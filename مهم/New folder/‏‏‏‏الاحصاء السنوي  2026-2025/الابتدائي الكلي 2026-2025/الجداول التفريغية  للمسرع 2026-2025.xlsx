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0185" yWindow="-15" windowWidth="10320" windowHeight="8145" tabRatio="945"/>
  </bookViews>
  <sheets>
    <sheet name="التعليم المسرع" sheetId="7" r:id="rId1"/>
    <sheet name="المحافظة" sheetId="3" r:id="rId2"/>
    <sheet name="قضاء النجف" sheetId="4" r:id="rId3"/>
    <sheet name="مركزالنجف" sheetId="8" r:id="rId4"/>
    <sheet name="الحيدرية" sheetId="9" r:id="rId5"/>
    <sheet name="الرضوية" sheetId="18" r:id="rId6"/>
    <sheet name="قضاء الكوفة" sheetId="5" r:id="rId7"/>
    <sheet name="مركزالكوفة" sheetId="10" r:id="rId8"/>
    <sheet name="العباسية" sheetId="11" r:id="rId9"/>
    <sheet name="الحرية" sheetId="12" r:id="rId10"/>
    <sheet name="قضاء المناذرة" sheetId="6" r:id="rId11"/>
    <sheet name="مركزالمناذرة" sheetId="13" r:id="rId12"/>
    <sheet name="الحيرة" sheetId="14" r:id="rId13"/>
    <sheet name="قضاءالمشخاب" sheetId="17" r:id="rId14"/>
    <sheet name="المشخاب" sheetId="15" r:id="rId15"/>
    <sheet name="القادسية" sheetId="16" r:id="rId16"/>
  </sheets>
  <definedNames>
    <definedName name="_xlnm._FilterDatabase" localSheetId="0" hidden="1">'التعليم المسرع'!$A$5:$JE$52</definedName>
    <definedName name="_xlnm.Print_Area" localSheetId="9">الحرية!$A$1:$P$70</definedName>
    <definedName name="_xlnm.Print_Area" localSheetId="4">الحيدرية!$A$1:$P$68</definedName>
    <definedName name="_xlnm.Print_Area" localSheetId="8">العباسية!$A$1:$P$70</definedName>
    <definedName name="_xlnm.Print_Area" localSheetId="15">القادسية!$A$1:$P$68</definedName>
    <definedName name="_xlnm.Print_Area" localSheetId="1">المحافظة!$A$1:$P$71</definedName>
    <definedName name="_xlnm.Print_Area" localSheetId="14">المشخاب!$A$1:$P$69</definedName>
    <definedName name="_xlnm.Print_Area" localSheetId="6">'قضاء الكوفة'!$A$1:$P$69</definedName>
    <definedName name="_xlnm.Print_Area" localSheetId="10">'قضاء المناذرة'!$A$1:$P$71</definedName>
    <definedName name="_xlnm.Print_Area" localSheetId="2">'قضاء النجف'!$A$1:$P$69</definedName>
    <definedName name="_xlnm.Print_Area" localSheetId="13">قضاءالمشخاب!$A$1:$P$69</definedName>
    <definedName name="_xlnm.Print_Area" localSheetId="7">مركزالكوفة!$A$1:$P$68</definedName>
    <definedName name="_xlnm.Print_Area" localSheetId="11">مركزالمناذرة!$A$1:$P$70</definedName>
    <definedName name="_xlnm.Print_Area" localSheetId="3">مركزالنجف!$A$1:$P$69</definedName>
  </definedNames>
  <calcPr calcId="145621"/>
  <fileRecoveryPr autoRecover="0"/>
</workbook>
</file>

<file path=xl/calcChain.xml><?xml version="1.0" encoding="utf-8"?>
<calcChain xmlns="http://schemas.openxmlformats.org/spreadsheetml/2006/main">
  <c r="CZ40" i="7" l="1"/>
  <c r="CY40" i="7"/>
  <c r="DA40" i="7" s="1"/>
  <c r="CX40" i="7"/>
  <c r="DA39" i="7"/>
  <c r="CZ39" i="7"/>
  <c r="CY39" i="7"/>
  <c r="CX39" i="7"/>
  <c r="CZ48" i="7"/>
  <c r="CY48" i="7"/>
  <c r="DA48" i="7" s="1"/>
  <c r="CX48" i="7"/>
  <c r="CZ46" i="7"/>
  <c r="CY46" i="7"/>
  <c r="DA46" i="7" s="1"/>
  <c r="CX46" i="7"/>
  <c r="DA45" i="7"/>
  <c r="CZ45" i="7"/>
  <c r="CY45" i="7"/>
  <c r="CX45" i="7"/>
  <c r="AO48" i="7"/>
  <c r="AO46" i="7"/>
  <c r="AO45" i="7"/>
  <c r="AO40" i="7"/>
  <c r="AO39" i="7"/>
  <c r="IB31" i="7"/>
  <c r="IC31" i="7"/>
  <c r="ID31" i="7"/>
  <c r="GW31" i="7"/>
  <c r="GY31" i="7" s="1"/>
  <c r="GX31" i="7"/>
  <c r="GN31" i="7"/>
  <c r="GO31" i="7"/>
  <c r="GP31" i="7"/>
  <c r="FU31" i="7"/>
  <c r="FV31" i="7"/>
  <c r="FW31" i="7"/>
  <c r="ER31" i="7"/>
  <c r="ES31" i="7"/>
  <c r="ET31" i="7"/>
  <c r="FC31" i="7"/>
  <c r="FD31" i="7"/>
  <c r="FE31" i="7"/>
  <c r="EI31" i="7"/>
  <c r="EJ31" i="7"/>
  <c r="EK31" i="7"/>
  <c r="DZ31" i="7"/>
  <c r="EA31" i="7"/>
  <c r="EB31" i="7"/>
  <c r="DQ31" i="7"/>
  <c r="DR31" i="7"/>
  <c r="DS31" i="7"/>
  <c r="DH31" i="7"/>
  <c r="DI31" i="7"/>
  <c r="DJ31" i="7"/>
  <c r="CX31" i="7"/>
  <c r="CY31" i="7"/>
  <c r="CZ31" i="7"/>
  <c r="DA31" i="7" s="1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L31" i="7" s="1"/>
  <c r="CN31" i="7" s="1"/>
  <c r="CK31" i="7"/>
  <c r="CM31" i="7"/>
  <c r="AM31" i="7"/>
  <c r="AN31" i="7"/>
  <c r="AO31" i="7"/>
  <c r="BD31" i="7"/>
  <c r="BE31" i="7"/>
  <c r="BF31" i="7"/>
  <c r="BU31" i="7"/>
  <c r="BV31" i="7"/>
  <c r="BW31" i="7" s="1"/>
  <c r="BW48" i="7"/>
  <c r="BW46" i="7"/>
  <c r="BW45" i="7"/>
  <c r="BW40" i="7"/>
  <c r="BW39" i="7"/>
  <c r="BF48" i="7"/>
  <c r="BF46" i="7"/>
  <c r="BF45" i="7"/>
  <c r="BF40" i="7"/>
  <c r="BF39" i="7"/>
  <c r="BE36" i="7" l="1"/>
  <c r="BF36" i="7" s="1"/>
  <c r="BD36" i="7"/>
  <c r="IC36" i="7"/>
  <c r="IB36" i="7"/>
  <c r="HR36" i="7"/>
  <c r="HS36" i="7" s="1"/>
  <c r="HQ36" i="7"/>
  <c r="GX36" i="7"/>
  <c r="GW36" i="7"/>
  <c r="GO36" i="7"/>
  <c r="GP36" i="7" s="1"/>
  <c r="GN36" i="7"/>
  <c r="FV36" i="7"/>
  <c r="FU36" i="7"/>
  <c r="FD36" i="7"/>
  <c r="FE36" i="7" s="1"/>
  <c r="FC36" i="7"/>
  <c r="ES36" i="7"/>
  <c r="ER36" i="7"/>
  <c r="EJ36" i="7"/>
  <c r="EK36" i="7" s="1"/>
  <c r="EI36" i="7"/>
  <c r="EA36" i="7"/>
  <c r="DZ36" i="7"/>
  <c r="DR36" i="7"/>
  <c r="DS36" i="7" s="1"/>
  <c r="DQ36" i="7"/>
  <c r="DI36" i="7"/>
  <c r="DH36" i="7"/>
  <c r="DJ36" i="7" s="1"/>
  <c r="CZ36" i="7"/>
  <c r="CY36" i="7"/>
  <c r="CX36" i="7"/>
  <c r="CK36" i="7"/>
  <c r="CJ36" i="7"/>
  <c r="CI36" i="7"/>
  <c r="CM36" i="7" s="1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AO36" i="7"/>
  <c r="AN36" i="7"/>
  <c r="AM36" i="7"/>
  <c r="IC34" i="7"/>
  <c r="IB34" i="7"/>
  <c r="HR34" i="7"/>
  <c r="HS34" i="7" s="1"/>
  <c r="HQ34" i="7"/>
  <c r="GX34" i="7"/>
  <c r="GW34" i="7"/>
  <c r="GO34" i="7"/>
  <c r="GP34" i="7" s="1"/>
  <c r="GN34" i="7"/>
  <c r="FD34" i="7"/>
  <c r="FC34" i="7"/>
  <c r="ES34" i="7"/>
  <c r="ET34" i="7" s="1"/>
  <c r="ER34" i="7"/>
  <c r="EJ34" i="7"/>
  <c r="EI34" i="7"/>
  <c r="EK34" i="7" s="1"/>
  <c r="EA34" i="7"/>
  <c r="DZ34" i="7"/>
  <c r="DR34" i="7"/>
  <c r="DQ34" i="7"/>
  <c r="DS34" i="7" s="1"/>
  <c r="DI34" i="7"/>
  <c r="DH34" i="7"/>
  <c r="CZ34" i="7"/>
  <c r="DA34" i="7" s="1"/>
  <c r="CY34" i="7"/>
  <c r="CX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V34" i="7"/>
  <c r="BU34" i="7"/>
  <c r="BE34" i="7"/>
  <c r="BD34" i="7"/>
  <c r="BF34" i="7" s="1"/>
  <c r="AN34" i="7"/>
  <c r="AM34" i="7"/>
  <c r="IC33" i="7"/>
  <c r="IB33" i="7"/>
  <c r="ID33" i="7" s="1"/>
  <c r="HR33" i="7"/>
  <c r="HS33" i="7" s="1"/>
  <c r="HQ33" i="7"/>
  <c r="GY33" i="7"/>
  <c r="GX33" i="7"/>
  <c r="GW33" i="7"/>
  <c r="GO33" i="7"/>
  <c r="GP33" i="7" s="1"/>
  <c r="GN33" i="7"/>
  <c r="FV33" i="7"/>
  <c r="FU33" i="7"/>
  <c r="FW33" i="7" s="1"/>
  <c r="FD33" i="7"/>
  <c r="FE33" i="7" s="1"/>
  <c r="FC33" i="7"/>
  <c r="ET33" i="7"/>
  <c r="ES33" i="7"/>
  <c r="ER33" i="7"/>
  <c r="EJ33" i="7"/>
  <c r="EI33" i="7"/>
  <c r="EA33" i="7"/>
  <c r="DZ33" i="7"/>
  <c r="EB33" i="7" s="1"/>
  <c r="DR33" i="7"/>
  <c r="DQ33" i="7"/>
  <c r="DJ33" i="7"/>
  <c r="DI33" i="7"/>
  <c r="DH33" i="7"/>
  <c r="CZ33" i="7"/>
  <c r="DA33" i="7" s="1"/>
  <c r="CY33" i="7"/>
  <c r="CX33" i="7"/>
  <c r="CK33" i="7"/>
  <c r="CJ33" i="7"/>
  <c r="CL33" i="7" s="1"/>
  <c r="CI33" i="7"/>
  <c r="CM33" i="7" s="1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E33" i="7"/>
  <c r="BF33" i="7" s="1"/>
  <c r="BD33" i="7"/>
  <c r="AN33" i="7"/>
  <c r="AM33" i="7"/>
  <c r="AO33" i="7" s="1"/>
  <c r="ID30" i="7"/>
  <c r="IC30" i="7"/>
  <c r="IB30" i="7"/>
  <c r="HR30" i="7"/>
  <c r="HS30" i="7" s="1"/>
  <c r="HQ30" i="7"/>
  <c r="GX30" i="7"/>
  <c r="GW30" i="7"/>
  <c r="GY30" i="7" s="1"/>
  <c r="GO30" i="7"/>
  <c r="GP30" i="7" s="1"/>
  <c r="GN30" i="7"/>
  <c r="FV30" i="7"/>
  <c r="FU30" i="7"/>
  <c r="FW30" i="7" s="1"/>
  <c r="FD30" i="7"/>
  <c r="FE30" i="7" s="1"/>
  <c r="FC30" i="7"/>
  <c r="ES30" i="7"/>
  <c r="ER30" i="7"/>
  <c r="ET30" i="7" s="1"/>
  <c r="EJ30" i="7"/>
  <c r="EK30" i="7" s="1"/>
  <c r="EI30" i="7"/>
  <c r="EA30" i="7"/>
  <c r="DZ30" i="7"/>
  <c r="DR30" i="7"/>
  <c r="DS30" i="7" s="1"/>
  <c r="DQ30" i="7"/>
  <c r="DI30" i="7"/>
  <c r="DH30" i="7"/>
  <c r="DJ30" i="7" s="1"/>
  <c r="CZ30" i="7"/>
  <c r="DA30" i="7" s="1"/>
  <c r="CY30" i="7"/>
  <c r="CX30" i="7"/>
  <c r="CK30" i="7"/>
  <c r="CM30" i="7" s="1"/>
  <c r="CJ30" i="7"/>
  <c r="CL30" i="7" s="1"/>
  <c r="CI30" i="7"/>
  <c r="CH30" i="7"/>
  <c r="CG30" i="7"/>
  <c r="CF30" i="7"/>
  <c r="CE30" i="7"/>
  <c r="CD30" i="7"/>
  <c r="CC30" i="7"/>
  <c r="CB30" i="7"/>
  <c r="CA30" i="7"/>
  <c r="BZ30" i="7"/>
  <c r="BY30" i="7"/>
  <c r="BX30" i="7"/>
  <c r="BV30" i="7"/>
  <c r="BU30" i="7"/>
  <c r="BW30" i="7" s="1"/>
  <c r="BE30" i="7"/>
  <c r="BF30" i="7" s="1"/>
  <c r="BD30" i="7"/>
  <c r="AN30" i="7"/>
  <c r="AM30" i="7"/>
  <c r="AO30" i="7" s="1"/>
  <c r="IC29" i="7"/>
  <c r="ID29" i="7" s="1"/>
  <c r="IB29" i="7"/>
  <c r="HR29" i="7"/>
  <c r="HQ29" i="7"/>
  <c r="HS29" i="7" s="1"/>
  <c r="GX29" i="7"/>
  <c r="GY29" i="7" s="1"/>
  <c r="GW29" i="7"/>
  <c r="GO29" i="7"/>
  <c r="GN29" i="7"/>
  <c r="GP29" i="7" s="1"/>
  <c r="FV29" i="7"/>
  <c r="FW29" i="7" s="1"/>
  <c r="FU29" i="7"/>
  <c r="FE29" i="7"/>
  <c r="FD29" i="7"/>
  <c r="FC29" i="7"/>
  <c r="ES29" i="7"/>
  <c r="ET29" i="7" s="1"/>
  <c r="ER29" i="7"/>
  <c r="EJ29" i="7"/>
  <c r="EI29" i="7"/>
  <c r="EA29" i="7"/>
  <c r="EB29" i="7" s="1"/>
  <c r="DZ29" i="7"/>
  <c r="DS29" i="7"/>
  <c r="DR29" i="7"/>
  <c r="DQ29" i="7"/>
  <c r="DI29" i="7"/>
  <c r="DJ29" i="7" s="1"/>
  <c r="DH29" i="7"/>
  <c r="CZ29" i="7"/>
  <c r="CY29" i="7"/>
  <c r="DA29" i="7" s="1"/>
  <c r="CX29" i="7"/>
  <c r="CK29" i="7"/>
  <c r="CM29" i="7" s="1"/>
  <c r="CN29" i="7" s="1"/>
  <c r="CJ29" i="7"/>
  <c r="CI29" i="7"/>
  <c r="CH29" i="7"/>
  <c r="CL29" i="7" s="1"/>
  <c r="CG29" i="7"/>
  <c r="CF29" i="7"/>
  <c r="CE29" i="7"/>
  <c r="CD29" i="7"/>
  <c r="CC29" i="7"/>
  <c r="CB29" i="7"/>
  <c r="CA29" i="7"/>
  <c r="BZ29" i="7"/>
  <c r="BY29" i="7"/>
  <c r="BX29" i="7"/>
  <c r="BV29" i="7"/>
  <c r="BW29" i="7" s="1"/>
  <c r="BU29" i="7"/>
  <c r="BE29" i="7"/>
  <c r="BD29" i="7"/>
  <c r="BF29" i="7" s="1"/>
  <c r="AN29" i="7"/>
  <c r="AO29" i="7" s="1"/>
  <c r="AM29" i="7"/>
  <c r="ID28" i="7"/>
  <c r="IC28" i="7"/>
  <c r="IB28" i="7"/>
  <c r="HR28" i="7"/>
  <c r="GY28" i="7"/>
  <c r="GX28" i="7"/>
  <c r="GW28" i="7"/>
  <c r="GO28" i="7"/>
  <c r="GP28" i="7" s="1"/>
  <c r="GN28" i="7"/>
  <c r="FV28" i="7"/>
  <c r="FU28" i="7"/>
  <c r="FW28" i="7" s="1"/>
  <c r="FD28" i="7"/>
  <c r="FE28" i="7" s="1"/>
  <c r="FC28" i="7"/>
  <c r="ET28" i="7"/>
  <c r="ES28" i="7"/>
  <c r="ER28" i="7"/>
  <c r="EJ28" i="7"/>
  <c r="EK28" i="7" s="1"/>
  <c r="EI28" i="7"/>
  <c r="EA28" i="7"/>
  <c r="DZ28" i="7"/>
  <c r="EB28" i="7" s="1"/>
  <c r="DR28" i="7"/>
  <c r="DQ28" i="7"/>
  <c r="DJ28" i="7"/>
  <c r="DI28" i="7"/>
  <c r="DH28" i="7"/>
  <c r="CZ28" i="7"/>
  <c r="DA28" i="7" s="1"/>
  <c r="CY28" i="7"/>
  <c r="CX28" i="7"/>
  <c r="CK28" i="7"/>
  <c r="CJ28" i="7"/>
  <c r="CI28" i="7"/>
  <c r="CM28" i="7" s="1"/>
  <c r="CN28" i="7" s="1"/>
  <c r="CH28" i="7"/>
  <c r="CL28" i="7" s="1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E28" i="7"/>
  <c r="BF28" i="7" s="1"/>
  <c r="BD28" i="7"/>
  <c r="AN28" i="7"/>
  <c r="AM28" i="7"/>
  <c r="AO28" i="7" s="1"/>
  <c r="EK33" i="7" l="1"/>
  <c r="DS33" i="7"/>
  <c r="EB30" i="7"/>
  <c r="EK29" i="7"/>
  <c r="DS28" i="7"/>
  <c r="CL36" i="7"/>
  <c r="CN36" i="7" s="1"/>
  <c r="DA36" i="7"/>
  <c r="EB36" i="7"/>
  <c r="ET36" i="7"/>
  <c r="FW36" i="7"/>
  <c r="GY36" i="7"/>
  <c r="ID36" i="7"/>
  <c r="CN33" i="7"/>
  <c r="AO34" i="7"/>
  <c r="BW34" i="7"/>
  <c r="DJ34" i="7"/>
  <c r="EB34" i="7"/>
  <c r="CL34" i="7"/>
  <c r="CM34" i="7"/>
  <c r="FE34" i="7"/>
  <c r="GY34" i="7"/>
  <c r="ID34" i="7"/>
  <c r="CN30" i="7"/>
  <c r="CN34" i="7" l="1"/>
  <c r="IB19" i="7"/>
  <c r="IC19" i="7"/>
  <c r="ID19" i="7" s="1"/>
  <c r="HQ19" i="7"/>
  <c r="HS19" i="7" s="1"/>
  <c r="HR19" i="7"/>
  <c r="GW19" i="7"/>
  <c r="GX19" i="7"/>
  <c r="GY19" i="7"/>
  <c r="GN19" i="7"/>
  <c r="GO19" i="7"/>
  <c r="GP19" i="7"/>
  <c r="FC19" i="7"/>
  <c r="FD19" i="7"/>
  <c r="FE19" i="7"/>
  <c r="ER19" i="7"/>
  <c r="ET19" i="7" s="1"/>
  <c r="ES19" i="7"/>
  <c r="EI19" i="7"/>
  <c r="EJ19" i="7"/>
  <c r="EK19" i="7"/>
  <c r="DZ19" i="7"/>
  <c r="EB19" i="7" s="1"/>
  <c r="EA19" i="7"/>
  <c r="DQ19" i="7"/>
  <c r="DS19" i="7" s="1"/>
  <c r="DS20" i="7" s="1"/>
  <c r="DR19" i="7"/>
  <c r="DR20" i="7"/>
  <c r="DR27" i="7" s="1"/>
  <c r="DQ21" i="7"/>
  <c r="DQ24" i="7" s="1"/>
  <c r="DR21" i="7"/>
  <c r="DS21" i="7"/>
  <c r="DQ22" i="7"/>
  <c r="DR22" i="7"/>
  <c r="DS22" i="7" s="1"/>
  <c r="DQ23" i="7"/>
  <c r="DS23" i="7" s="1"/>
  <c r="DR23" i="7"/>
  <c r="DR24" i="7"/>
  <c r="DQ25" i="7"/>
  <c r="DQ26" i="7" s="1"/>
  <c r="DR25" i="7"/>
  <c r="DS25" i="7"/>
  <c r="DS26" i="7" s="1"/>
  <c r="DR26" i="7"/>
  <c r="DH19" i="7"/>
  <c r="DI19" i="7"/>
  <c r="DJ19" i="7" s="1"/>
  <c r="CX19" i="7"/>
  <c r="CY19" i="7"/>
  <c r="CZ19" i="7"/>
  <c r="DA19" i="7" s="1"/>
  <c r="AM19" i="7"/>
  <c r="AN19" i="7"/>
  <c r="AO19" i="7"/>
  <c r="BU19" i="7"/>
  <c r="BW19" i="7" s="1"/>
  <c r="BV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M19" i="7" s="1"/>
  <c r="CN19" i="7" s="1"/>
  <c r="CL19" i="7"/>
  <c r="BD19" i="7"/>
  <c r="BE19" i="7"/>
  <c r="BF19" i="7"/>
  <c r="DS27" i="7" l="1"/>
  <c r="DS24" i="7"/>
  <c r="DQ20" i="7"/>
  <c r="DQ27" i="7" s="1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DA47" i="7"/>
  <c r="DB47" i="7"/>
  <c r="DC47" i="7"/>
  <c r="DD47" i="7"/>
  <c r="DE47" i="7"/>
  <c r="DF47" i="7"/>
  <c r="DG47" i="7"/>
  <c r="DH47" i="7"/>
  <c r="DI47" i="7"/>
  <c r="DJ47" i="7"/>
  <c r="DK47" i="7"/>
  <c r="DL47" i="7"/>
  <c r="DM47" i="7"/>
  <c r="DN47" i="7"/>
  <c r="DO47" i="7"/>
  <c r="DP47" i="7"/>
  <c r="DQ47" i="7"/>
  <c r="DR47" i="7"/>
  <c r="DS47" i="7"/>
  <c r="DT47" i="7"/>
  <c r="DU47" i="7"/>
  <c r="DV47" i="7"/>
  <c r="DW47" i="7"/>
  <c r="DX47" i="7"/>
  <c r="DY47" i="7"/>
  <c r="DZ47" i="7"/>
  <c r="EA47" i="7"/>
  <c r="EB47" i="7"/>
  <c r="EC47" i="7"/>
  <c r="ED47" i="7"/>
  <c r="EE47" i="7"/>
  <c r="EF47" i="7"/>
  <c r="EG47" i="7"/>
  <c r="EH47" i="7"/>
  <c r="EI47" i="7"/>
  <c r="EJ47" i="7"/>
  <c r="EK47" i="7"/>
  <c r="EL47" i="7"/>
  <c r="EM47" i="7"/>
  <c r="EN47" i="7"/>
  <c r="EO47" i="7"/>
  <c r="EP47" i="7"/>
  <c r="EQ47" i="7"/>
  <c r="ER47" i="7"/>
  <c r="ES47" i="7"/>
  <c r="ET47" i="7"/>
  <c r="EU47" i="7"/>
  <c r="EV47" i="7"/>
  <c r="EW47" i="7"/>
  <c r="EX47" i="7"/>
  <c r="EY47" i="7"/>
  <c r="EZ47" i="7"/>
  <c r="FA47" i="7"/>
  <c r="FB47" i="7"/>
  <c r="FC47" i="7"/>
  <c r="FD47" i="7"/>
  <c r="FE47" i="7"/>
  <c r="FF47" i="7"/>
  <c r="FG47" i="7"/>
  <c r="FH47" i="7"/>
  <c r="FI47" i="7"/>
  <c r="FJ47" i="7"/>
  <c r="FK47" i="7"/>
  <c r="FL47" i="7"/>
  <c r="FM47" i="7"/>
  <c r="FN47" i="7"/>
  <c r="FO47" i="7"/>
  <c r="FP47" i="7"/>
  <c r="FQ47" i="7"/>
  <c r="FR47" i="7"/>
  <c r="FS47" i="7"/>
  <c r="FT47" i="7"/>
  <c r="FU47" i="7"/>
  <c r="FV47" i="7"/>
  <c r="FW47" i="7"/>
  <c r="FX47" i="7"/>
  <c r="FY47" i="7"/>
  <c r="FZ47" i="7"/>
  <c r="GA47" i="7"/>
  <c r="GB47" i="7"/>
  <c r="GC47" i="7"/>
  <c r="GD47" i="7"/>
  <c r="GE47" i="7"/>
  <c r="GF47" i="7"/>
  <c r="GG47" i="7"/>
  <c r="GH47" i="7"/>
  <c r="GI47" i="7"/>
  <c r="GJ47" i="7"/>
  <c r="GK47" i="7"/>
  <c r="GL47" i="7"/>
  <c r="GM47" i="7"/>
  <c r="GN47" i="7"/>
  <c r="GO47" i="7"/>
  <c r="GP47" i="7"/>
  <c r="GQ47" i="7"/>
  <c r="GR47" i="7"/>
  <c r="GS47" i="7"/>
  <c r="GT47" i="7"/>
  <c r="GU47" i="7"/>
  <c r="GV47" i="7"/>
  <c r="GW47" i="7"/>
  <c r="GX47" i="7"/>
  <c r="GY47" i="7"/>
  <c r="GZ47" i="7"/>
  <c r="HA47" i="7"/>
  <c r="HB47" i="7"/>
  <c r="HC47" i="7"/>
  <c r="HD47" i="7"/>
  <c r="HE47" i="7"/>
  <c r="HF47" i="7"/>
  <c r="HG47" i="7"/>
  <c r="HH47" i="7"/>
  <c r="HI47" i="7"/>
  <c r="HJ47" i="7"/>
  <c r="HK47" i="7"/>
  <c r="HL47" i="7"/>
  <c r="HM47" i="7"/>
  <c r="HN47" i="7"/>
  <c r="HO47" i="7"/>
  <c r="HP47" i="7"/>
  <c r="HQ47" i="7"/>
  <c r="HR47" i="7"/>
  <c r="HS47" i="7"/>
  <c r="HT47" i="7"/>
  <c r="HU47" i="7"/>
  <c r="HV47" i="7"/>
  <c r="HW47" i="7"/>
  <c r="HX47" i="7"/>
  <c r="HY47" i="7"/>
  <c r="HZ47" i="7"/>
  <c r="IA47" i="7"/>
  <c r="IB47" i="7"/>
  <c r="IC47" i="7"/>
  <c r="ID47" i="7"/>
  <c r="IE47" i="7"/>
  <c r="IF47" i="7"/>
  <c r="IG47" i="7"/>
  <c r="IH47" i="7"/>
  <c r="II47" i="7"/>
  <c r="IJ47" i="7"/>
  <c r="IK47" i="7"/>
  <c r="IL47" i="7"/>
  <c r="IM47" i="7"/>
  <c r="IN47" i="7"/>
  <c r="IO47" i="7"/>
  <c r="IP47" i="7"/>
  <c r="IQ47" i="7"/>
  <c r="IR47" i="7"/>
  <c r="IS47" i="7"/>
  <c r="IT47" i="7"/>
  <c r="IU47" i="7"/>
  <c r="IV47" i="7"/>
  <c r="IW47" i="7"/>
  <c r="IX47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W44" i="7" s="1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EV41" i="7"/>
  <c r="EW41" i="7"/>
  <c r="EX41" i="7"/>
  <c r="EY41" i="7"/>
  <c r="EZ41" i="7"/>
  <c r="FA41" i="7"/>
  <c r="FB41" i="7"/>
  <c r="FC41" i="7"/>
  <c r="FD41" i="7"/>
  <c r="FE41" i="7"/>
  <c r="FF41" i="7"/>
  <c r="FG41" i="7"/>
  <c r="FH41" i="7"/>
  <c r="FI41" i="7"/>
  <c r="FJ41" i="7"/>
  <c r="FK41" i="7"/>
  <c r="FL41" i="7"/>
  <c r="FM41" i="7"/>
  <c r="FN41" i="7"/>
  <c r="FO41" i="7"/>
  <c r="FP41" i="7"/>
  <c r="FQ41" i="7"/>
  <c r="FR41" i="7"/>
  <c r="FS41" i="7"/>
  <c r="FT41" i="7"/>
  <c r="FU41" i="7"/>
  <c r="FV41" i="7"/>
  <c r="FW41" i="7"/>
  <c r="FX41" i="7"/>
  <c r="FY41" i="7"/>
  <c r="FZ41" i="7"/>
  <c r="GA41" i="7"/>
  <c r="GB41" i="7"/>
  <c r="GC41" i="7"/>
  <c r="GD41" i="7"/>
  <c r="GE41" i="7"/>
  <c r="GF41" i="7"/>
  <c r="GG41" i="7"/>
  <c r="GH41" i="7"/>
  <c r="GI41" i="7"/>
  <c r="GJ41" i="7"/>
  <c r="GK41" i="7"/>
  <c r="GL41" i="7"/>
  <c r="GM41" i="7"/>
  <c r="GN41" i="7"/>
  <c r="GO41" i="7"/>
  <c r="GP41" i="7"/>
  <c r="GQ41" i="7"/>
  <c r="GR41" i="7"/>
  <c r="GS41" i="7"/>
  <c r="GT41" i="7"/>
  <c r="GU41" i="7"/>
  <c r="GV41" i="7"/>
  <c r="GW41" i="7"/>
  <c r="GX41" i="7"/>
  <c r="GY41" i="7"/>
  <c r="GZ41" i="7"/>
  <c r="HA41" i="7"/>
  <c r="HB41" i="7"/>
  <c r="HC41" i="7"/>
  <c r="HD41" i="7"/>
  <c r="HE41" i="7"/>
  <c r="HF41" i="7"/>
  <c r="HG41" i="7"/>
  <c r="HH41" i="7"/>
  <c r="HI41" i="7"/>
  <c r="HJ41" i="7"/>
  <c r="HK41" i="7"/>
  <c r="HL41" i="7"/>
  <c r="HM41" i="7"/>
  <c r="HN41" i="7"/>
  <c r="HO41" i="7"/>
  <c r="HP41" i="7"/>
  <c r="HQ41" i="7"/>
  <c r="HR41" i="7"/>
  <c r="HS41" i="7"/>
  <c r="HT41" i="7"/>
  <c r="HU41" i="7"/>
  <c r="HV41" i="7"/>
  <c r="HW41" i="7"/>
  <c r="HX41" i="7"/>
  <c r="HY41" i="7"/>
  <c r="HZ41" i="7"/>
  <c r="IA41" i="7"/>
  <c r="IB41" i="7"/>
  <c r="IC41" i="7"/>
  <c r="ID41" i="7"/>
  <c r="IE41" i="7"/>
  <c r="IF41" i="7"/>
  <c r="IG41" i="7"/>
  <c r="IH41" i="7"/>
  <c r="II41" i="7"/>
  <c r="IJ41" i="7"/>
  <c r="IK41" i="7"/>
  <c r="IL41" i="7"/>
  <c r="IM41" i="7"/>
  <c r="IN41" i="7"/>
  <c r="IO41" i="7"/>
  <c r="IP41" i="7"/>
  <c r="IQ41" i="7"/>
  <c r="IR41" i="7"/>
  <c r="IS41" i="7"/>
  <c r="IT41" i="7"/>
  <c r="IU41" i="7"/>
  <c r="IV41" i="7"/>
  <c r="IW41" i="7"/>
  <c r="IX41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ES43" i="7"/>
  <c r="ET43" i="7"/>
  <c r="EU43" i="7"/>
  <c r="EV43" i="7"/>
  <c r="EW43" i="7"/>
  <c r="EX43" i="7"/>
  <c r="EY43" i="7"/>
  <c r="EZ43" i="7"/>
  <c r="FA43" i="7"/>
  <c r="FB43" i="7"/>
  <c r="FC43" i="7"/>
  <c r="FD43" i="7"/>
  <c r="FE43" i="7"/>
  <c r="FF43" i="7"/>
  <c r="FG43" i="7"/>
  <c r="FH43" i="7"/>
  <c r="FI43" i="7"/>
  <c r="FJ43" i="7"/>
  <c r="FK43" i="7"/>
  <c r="FL43" i="7"/>
  <c r="FM43" i="7"/>
  <c r="FN43" i="7"/>
  <c r="FO43" i="7"/>
  <c r="FP43" i="7"/>
  <c r="FQ43" i="7"/>
  <c r="FR43" i="7"/>
  <c r="FS43" i="7"/>
  <c r="FT43" i="7"/>
  <c r="FU43" i="7"/>
  <c r="FV43" i="7"/>
  <c r="FW43" i="7"/>
  <c r="FX43" i="7"/>
  <c r="FY43" i="7"/>
  <c r="FZ43" i="7"/>
  <c r="GA43" i="7"/>
  <c r="GB43" i="7"/>
  <c r="GC43" i="7"/>
  <c r="GD43" i="7"/>
  <c r="GE43" i="7"/>
  <c r="GF43" i="7"/>
  <c r="GG43" i="7"/>
  <c r="GH43" i="7"/>
  <c r="GI43" i="7"/>
  <c r="GJ43" i="7"/>
  <c r="GK43" i="7"/>
  <c r="GL43" i="7"/>
  <c r="GM43" i="7"/>
  <c r="GN43" i="7"/>
  <c r="GO43" i="7"/>
  <c r="GP43" i="7"/>
  <c r="GQ43" i="7"/>
  <c r="GR43" i="7"/>
  <c r="GS43" i="7"/>
  <c r="GT43" i="7"/>
  <c r="GU43" i="7"/>
  <c r="GV43" i="7"/>
  <c r="GW43" i="7"/>
  <c r="GX43" i="7"/>
  <c r="GY43" i="7"/>
  <c r="GZ43" i="7"/>
  <c r="HA43" i="7"/>
  <c r="HB43" i="7"/>
  <c r="HC43" i="7"/>
  <c r="HD43" i="7"/>
  <c r="HE43" i="7"/>
  <c r="HF43" i="7"/>
  <c r="HG43" i="7"/>
  <c r="HH43" i="7"/>
  <c r="HI43" i="7"/>
  <c r="HJ43" i="7"/>
  <c r="HK43" i="7"/>
  <c r="HL43" i="7"/>
  <c r="HM43" i="7"/>
  <c r="HN43" i="7"/>
  <c r="HO43" i="7"/>
  <c r="HP43" i="7"/>
  <c r="HQ43" i="7"/>
  <c r="HR43" i="7"/>
  <c r="HS43" i="7"/>
  <c r="HT43" i="7"/>
  <c r="HU43" i="7"/>
  <c r="HV43" i="7"/>
  <c r="HW43" i="7"/>
  <c r="HX43" i="7"/>
  <c r="HY43" i="7"/>
  <c r="HZ43" i="7"/>
  <c r="IA43" i="7"/>
  <c r="IB43" i="7"/>
  <c r="IC43" i="7"/>
  <c r="ID43" i="7"/>
  <c r="IE43" i="7"/>
  <c r="IF43" i="7"/>
  <c r="IG43" i="7"/>
  <c r="IH43" i="7"/>
  <c r="II43" i="7"/>
  <c r="IJ43" i="7"/>
  <c r="IK43" i="7"/>
  <c r="IL43" i="7"/>
  <c r="IM43" i="7"/>
  <c r="IN43" i="7"/>
  <c r="IO43" i="7"/>
  <c r="IP43" i="7"/>
  <c r="IQ43" i="7"/>
  <c r="IR43" i="7"/>
  <c r="IS43" i="7"/>
  <c r="IT43" i="7"/>
  <c r="IU43" i="7"/>
  <c r="IV43" i="7"/>
  <c r="IW43" i="7"/>
  <c r="IX43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ES44" i="7"/>
  <c r="ET44" i="7"/>
  <c r="EU44" i="7"/>
  <c r="EV44" i="7"/>
  <c r="EW44" i="7"/>
  <c r="EX44" i="7"/>
  <c r="EY44" i="7"/>
  <c r="EZ44" i="7"/>
  <c r="FA44" i="7"/>
  <c r="FB44" i="7"/>
  <c r="FC44" i="7"/>
  <c r="FD44" i="7"/>
  <c r="FE44" i="7"/>
  <c r="FF44" i="7"/>
  <c r="FG44" i="7"/>
  <c r="FH44" i="7"/>
  <c r="FI44" i="7"/>
  <c r="FJ44" i="7"/>
  <c r="FK44" i="7"/>
  <c r="FL44" i="7"/>
  <c r="FM44" i="7"/>
  <c r="FN44" i="7"/>
  <c r="FO44" i="7"/>
  <c r="FP44" i="7"/>
  <c r="FQ44" i="7"/>
  <c r="FR44" i="7"/>
  <c r="FS44" i="7"/>
  <c r="FT44" i="7"/>
  <c r="FU44" i="7"/>
  <c r="FV44" i="7"/>
  <c r="FW44" i="7"/>
  <c r="FX44" i="7"/>
  <c r="FY44" i="7"/>
  <c r="FZ44" i="7"/>
  <c r="GA44" i="7"/>
  <c r="GB44" i="7"/>
  <c r="GC44" i="7"/>
  <c r="GD44" i="7"/>
  <c r="GE44" i="7"/>
  <c r="GF44" i="7"/>
  <c r="GG44" i="7"/>
  <c r="GH44" i="7"/>
  <c r="GI44" i="7"/>
  <c r="GJ44" i="7"/>
  <c r="GK44" i="7"/>
  <c r="GL44" i="7"/>
  <c r="GM44" i="7"/>
  <c r="GN44" i="7"/>
  <c r="GO44" i="7"/>
  <c r="GP44" i="7"/>
  <c r="GQ44" i="7"/>
  <c r="GR44" i="7"/>
  <c r="GS44" i="7"/>
  <c r="GT44" i="7"/>
  <c r="GU44" i="7"/>
  <c r="GV44" i="7"/>
  <c r="GW44" i="7"/>
  <c r="GX44" i="7"/>
  <c r="GY44" i="7"/>
  <c r="GZ44" i="7"/>
  <c r="HA44" i="7"/>
  <c r="HB44" i="7"/>
  <c r="HC44" i="7"/>
  <c r="HD44" i="7"/>
  <c r="HE44" i="7"/>
  <c r="HF44" i="7"/>
  <c r="HG44" i="7"/>
  <c r="HH44" i="7"/>
  <c r="HI44" i="7"/>
  <c r="HJ44" i="7"/>
  <c r="HK44" i="7"/>
  <c r="HL44" i="7"/>
  <c r="HM44" i="7"/>
  <c r="HN44" i="7"/>
  <c r="HO44" i="7"/>
  <c r="HP44" i="7"/>
  <c r="HQ44" i="7"/>
  <c r="HR44" i="7"/>
  <c r="HS44" i="7"/>
  <c r="HT44" i="7"/>
  <c r="HU44" i="7"/>
  <c r="HV44" i="7"/>
  <c r="HW44" i="7"/>
  <c r="HX44" i="7"/>
  <c r="HY44" i="7"/>
  <c r="HZ44" i="7"/>
  <c r="IA44" i="7"/>
  <c r="IB44" i="7"/>
  <c r="IC44" i="7"/>
  <c r="ID44" i="7"/>
  <c r="IE44" i="7"/>
  <c r="IF44" i="7"/>
  <c r="IG44" i="7"/>
  <c r="IH44" i="7"/>
  <c r="II44" i="7"/>
  <c r="IJ44" i="7"/>
  <c r="IK44" i="7"/>
  <c r="IL44" i="7"/>
  <c r="IM44" i="7"/>
  <c r="IN44" i="7"/>
  <c r="IO44" i="7"/>
  <c r="IP44" i="7"/>
  <c r="IQ44" i="7"/>
  <c r="IR44" i="7"/>
  <c r="IS44" i="7"/>
  <c r="IT44" i="7"/>
  <c r="IU44" i="7"/>
  <c r="IV44" i="7"/>
  <c r="IW44" i="7"/>
  <c r="IX44" i="7"/>
  <c r="G41" i="7"/>
  <c r="G44" i="7" s="1"/>
  <c r="H41" i="7"/>
  <c r="H44" i="7" s="1"/>
  <c r="I41" i="7"/>
  <c r="I44" i="7" s="1"/>
  <c r="J41" i="7"/>
  <c r="J44" i="7" s="1"/>
  <c r="K41" i="7"/>
  <c r="K44" i="7" s="1"/>
  <c r="L41" i="7"/>
  <c r="L44" i="7" s="1"/>
  <c r="M41" i="7"/>
  <c r="M44" i="7" s="1"/>
  <c r="N41" i="7"/>
  <c r="N44" i="7" s="1"/>
  <c r="O41" i="7"/>
  <c r="O44" i="7" s="1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EG37" i="7"/>
  <c r="EH37" i="7"/>
  <c r="EI37" i="7"/>
  <c r="EJ37" i="7"/>
  <c r="EK37" i="7"/>
  <c r="EL37" i="7"/>
  <c r="EM37" i="7"/>
  <c r="EN37" i="7"/>
  <c r="EO37" i="7"/>
  <c r="EP37" i="7"/>
  <c r="EQ37" i="7"/>
  <c r="ER37" i="7"/>
  <c r="ES37" i="7"/>
  <c r="ET37" i="7"/>
  <c r="EU37" i="7"/>
  <c r="EV37" i="7"/>
  <c r="EW37" i="7"/>
  <c r="EX37" i="7"/>
  <c r="EY37" i="7"/>
  <c r="EZ37" i="7"/>
  <c r="FA37" i="7"/>
  <c r="FB37" i="7"/>
  <c r="FC37" i="7"/>
  <c r="FD37" i="7"/>
  <c r="FE37" i="7"/>
  <c r="FF37" i="7"/>
  <c r="FG37" i="7"/>
  <c r="FH37" i="7"/>
  <c r="FI37" i="7"/>
  <c r="FJ37" i="7"/>
  <c r="FK37" i="7"/>
  <c r="FL37" i="7"/>
  <c r="FM37" i="7"/>
  <c r="FN37" i="7"/>
  <c r="FO37" i="7"/>
  <c r="FP37" i="7"/>
  <c r="FQ37" i="7"/>
  <c r="FR37" i="7"/>
  <c r="FS37" i="7"/>
  <c r="FT37" i="7"/>
  <c r="FU37" i="7"/>
  <c r="FV37" i="7"/>
  <c r="FW37" i="7"/>
  <c r="FX37" i="7"/>
  <c r="FY37" i="7"/>
  <c r="FZ37" i="7"/>
  <c r="GA37" i="7"/>
  <c r="GB37" i="7"/>
  <c r="GC37" i="7"/>
  <c r="GD37" i="7"/>
  <c r="GE37" i="7"/>
  <c r="GF37" i="7"/>
  <c r="GG37" i="7"/>
  <c r="GH37" i="7"/>
  <c r="GI37" i="7"/>
  <c r="GJ37" i="7"/>
  <c r="GK37" i="7"/>
  <c r="GL37" i="7"/>
  <c r="GM37" i="7"/>
  <c r="GN37" i="7"/>
  <c r="GO37" i="7"/>
  <c r="GP37" i="7"/>
  <c r="GQ37" i="7"/>
  <c r="GR37" i="7"/>
  <c r="GS37" i="7"/>
  <c r="GT37" i="7"/>
  <c r="GU37" i="7"/>
  <c r="GV37" i="7"/>
  <c r="GW37" i="7"/>
  <c r="GX37" i="7"/>
  <c r="GY37" i="7"/>
  <c r="GZ37" i="7"/>
  <c r="HA37" i="7"/>
  <c r="HB37" i="7"/>
  <c r="HC37" i="7"/>
  <c r="HD37" i="7"/>
  <c r="HE37" i="7"/>
  <c r="HF37" i="7"/>
  <c r="HG37" i="7"/>
  <c r="HH37" i="7"/>
  <c r="HI37" i="7"/>
  <c r="HJ37" i="7"/>
  <c r="HK37" i="7"/>
  <c r="HL37" i="7"/>
  <c r="HM37" i="7"/>
  <c r="HN37" i="7"/>
  <c r="HO37" i="7"/>
  <c r="HP37" i="7"/>
  <c r="HQ37" i="7"/>
  <c r="HR37" i="7"/>
  <c r="HS37" i="7"/>
  <c r="HT37" i="7"/>
  <c r="HU37" i="7"/>
  <c r="HV37" i="7"/>
  <c r="HW37" i="7"/>
  <c r="HX37" i="7"/>
  <c r="HY37" i="7"/>
  <c r="HZ37" i="7"/>
  <c r="IA37" i="7"/>
  <c r="IB37" i="7"/>
  <c r="IC37" i="7"/>
  <c r="ID37" i="7"/>
  <c r="IE37" i="7"/>
  <c r="IF37" i="7"/>
  <c r="IG37" i="7"/>
  <c r="IH37" i="7"/>
  <c r="II37" i="7"/>
  <c r="IJ37" i="7"/>
  <c r="IK37" i="7"/>
  <c r="IL37" i="7"/>
  <c r="IM37" i="7"/>
  <c r="IN37" i="7"/>
  <c r="IO37" i="7"/>
  <c r="IP37" i="7"/>
  <c r="IQ37" i="7"/>
  <c r="IR37" i="7"/>
  <c r="IS37" i="7"/>
  <c r="IT37" i="7"/>
  <c r="IU37" i="7"/>
  <c r="IV37" i="7"/>
  <c r="IW37" i="7"/>
  <c r="IX37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ES35" i="7"/>
  <c r="ET35" i="7"/>
  <c r="EU35" i="7"/>
  <c r="EV35" i="7"/>
  <c r="EW35" i="7"/>
  <c r="EX35" i="7"/>
  <c r="EY35" i="7"/>
  <c r="EZ35" i="7"/>
  <c r="FA35" i="7"/>
  <c r="FB35" i="7"/>
  <c r="FC35" i="7"/>
  <c r="FD35" i="7"/>
  <c r="FE35" i="7"/>
  <c r="FF35" i="7"/>
  <c r="FG35" i="7"/>
  <c r="FH35" i="7"/>
  <c r="FI35" i="7"/>
  <c r="FJ35" i="7"/>
  <c r="FK35" i="7"/>
  <c r="FL35" i="7"/>
  <c r="FM35" i="7"/>
  <c r="FN35" i="7"/>
  <c r="FO35" i="7"/>
  <c r="FP35" i="7"/>
  <c r="FQ35" i="7"/>
  <c r="FR35" i="7"/>
  <c r="FS35" i="7"/>
  <c r="FT35" i="7"/>
  <c r="FU35" i="7"/>
  <c r="FV35" i="7"/>
  <c r="FW35" i="7"/>
  <c r="FX35" i="7"/>
  <c r="FY35" i="7"/>
  <c r="FZ35" i="7"/>
  <c r="GA35" i="7"/>
  <c r="GB35" i="7"/>
  <c r="GC35" i="7"/>
  <c r="GD35" i="7"/>
  <c r="GE35" i="7"/>
  <c r="GF35" i="7"/>
  <c r="GG35" i="7"/>
  <c r="GH35" i="7"/>
  <c r="GI35" i="7"/>
  <c r="GJ35" i="7"/>
  <c r="GK35" i="7"/>
  <c r="GL35" i="7"/>
  <c r="GM35" i="7"/>
  <c r="GN35" i="7"/>
  <c r="GO35" i="7"/>
  <c r="GP35" i="7"/>
  <c r="GQ35" i="7"/>
  <c r="GR35" i="7"/>
  <c r="GS35" i="7"/>
  <c r="GT35" i="7"/>
  <c r="GU35" i="7"/>
  <c r="GV35" i="7"/>
  <c r="GW35" i="7"/>
  <c r="GX35" i="7"/>
  <c r="GY35" i="7"/>
  <c r="GZ35" i="7"/>
  <c r="HA35" i="7"/>
  <c r="HB35" i="7"/>
  <c r="HC35" i="7"/>
  <c r="HD35" i="7"/>
  <c r="HE35" i="7"/>
  <c r="HF35" i="7"/>
  <c r="HG35" i="7"/>
  <c r="HH35" i="7"/>
  <c r="HI35" i="7"/>
  <c r="HJ35" i="7"/>
  <c r="HK35" i="7"/>
  <c r="HL35" i="7"/>
  <c r="HM35" i="7"/>
  <c r="HN35" i="7"/>
  <c r="HO35" i="7"/>
  <c r="HP35" i="7"/>
  <c r="HQ35" i="7"/>
  <c r="HR35" i="7"/>
  <c r="HS35" i="7"/>
  <c r="HT35" i="7"/>
  <c r="HU35" i="7"/>
  <c r="HV35" i="7"/>
  <c r="HW35" i="7"/>
  <c r="HX35" i="7"/>
  <c r="HY35" i="7"/>
  <c r="HZ35" i="7"/>
  <c r="IA35" i="7"/>
  <c r="IB35" i="7"/>
  <c r="IC35" i="7"/>
  <c r="ID35" i="7"/>
  <c r="IE35" i="7"/>
  <c r="IF35" i="7"/>
  <c r="IG35" i="7"/>
  <c r="IH35" i="7"/>
  <c r="II35" i="7"/>
  <c r="IJ35" i="7"/>
  <c r="IK35" i="7"/>
  <c r="IL35" i="7"/>
  <c r="IM35" i="7"/>
  <c r="IN35" i="7"/>
  <c r="IO35" i="7"/>
  <c r="IP35" i="7"/>
  <c r="IQ35" i="7"/>
  <c r="IR35" i="7"/>
  <c r="IS35" i="7"/>
  <c r="IT35" i="7"/>
  <c r="IU35" i="7"/>
  <c r="IV35" i="7"/>
  <c r="IW35" i="7"/>
  <c r="IX35" i="7"/>
  <c r="H32" i="7"/>
  <c r="I32" i="7"/>
  <c r="I38" i="7" s="1"/>
  <c r="J32" i="7"/>
  <c r="J38" i="7" s="1"/>
  <c r="K32" i="7"/>
  <c r="K38" i="7" s="1"/>
  <c r="L32" i="7"/>
  <c r="M32" i="7"/>
  <c r="M38" i="7" s="1"/>
  <c r="N32" i="7"/>
  <c r="N38" i="7" s="1"/>
  <c r="O32" i="7"/>
  <c r="O38" i="7" s="1"/>
  <c r="P32" i="7"/>
  <c r="Q32" i="7"/>
  <c r="Q38" i="7" s="1"/>
  <c r="R32" i="7"/>
  <c r="R38" i="7" s="1"/>
  <c r="S32" i="7"/>
  <c r="S38" i="7" s="1"/>
  <c r="T32" i="7"/>
  <c r="U32" i="7"/>
  <c r="U38" i="7" s="1"/>
  <c r="V32" i="7"/>
  <c r="V38" i="7" s="1"/>
  <c r="W32" i="7"/>
  <c r="W38" i="7" s="1"/>
  <c r="X32" i="7"/>
  <c r="Y32" i="7"/>
  <c r="Y38" i="7" s="1"/>
  <c r="Z32" i="7"/>
  <c r="Z38" i="7" s="1"/>
  <c r="AA32" i="7"/>
  <c r="AA38" i="7" s="1"/>
  <c r="AB32" i="7"/>
  <c r="AC32" i="7"/>
  <c r="AC38" i="7" s="1"/>
  <c r="AD32" i="7"/>
  <c r="AD38" i="7" s="1"/>
  <c r="AE32" i="7"/>
  <c r="AE38" i="7" s="1"/>
  <c r="AF32" i="7"/>
  <c r="AG32" i="7"/>
  <c r="AG38" i="7" s="1"/>
  <c r="AH32" i="7"/>
  <c r="AH38" i="7" s="1"/>
  <c r="AI32" i="7"/>
  <c r="AI38" i="7" s="1"/>
  <c r="AJ32" i="7"/>
  <c r="AK32" i="7"/>
  <c r="AK38" i="7" s="1"/>
  <c r="AL32" i="7"/>
  <c r="AL38" i="7" s="1"/>
  <c r="AM32" i="7"/>
  <c r="AM38" i="7" s="1"/>
  <c r="AN32" i="7"/>
  <c r="AO32" i="7"/>
  <c r="AO38" i="7" s="1"/>
  <c r="AP32" i="7"/>
  <c r="AP38" i="7" s="1"/>
  <c r="AQ32" i="7"/>
  <c r="AQ38" i="7" s="1"/>
  <c r="AR32" i="7"/>
  <c r="AS32" i="7"/>
  <c r="AS38" i="7" s="1"/>
  <c r="AT32" i="7"/>
  <c r="AT38" i="7" s="1"/>
  <c r="AU32" i="7"/>
  <c r="AU38" i="7" s="1"/>
  <c r="AV32" i="7"/>
  <c r="AW32" i="7"/>
  <c r="AW38" i="7" s="1"/>
  <c r="AX32" i="7"/>
  <c r="AX38" i="7" s="1"/>
  <c r="AY32" i="7"/>
  <c r="AY38" i="7" s="1"/>
  <c r="AZ32" i="7"/>
  <c r="BA32" i="7"/>
  <c r="BA38" i="7" s="1"/>
  <c r="BB32" i="7"/>
  <c r="BB38" i="7" s="1"/>
  <c r="BC32" i="7"/>
  <c r="BC38" i="7" s="1"/>
  <c r="BD32" i="7"/>
  <c r="BE32" i="7"/>
  <c r="BE38" i="7" s="1"/>
  <c r="BF32" i="7"/>
  <c r="BF38" i="7" s="1"/>
  <c r="BG32" i="7"/>
  <c r="BG38" i="7" s="1"/>
  <c r="BH32" i="7"/>
  <c r="BI32" i="7"/>
  <c r="BI38" i="7" s="1"/>
  <c r="BJ32" i="7"/>
  <c r="BJ38" i="7" s="1"/>
  <c r="BK32" i="7"/>
  <c r="BK38" i="7" s="1"/>
  <c r="BL32" i="7"/>
  <c r="BM32" i="7"/>
  <c r="BM38" i="7" s="1"/>
  <c r="BN32" i="7"/>
  <c r="BN38" i="7" s="1"/>
  <c r="BO32" i="7"/>
  <c r="BO38" i="7" s="1"/>
  <c r="BP32" i="7"/>
  <c r="BQ32" i="7"/>
  <c r="BQ38" i="7" s="1"/>
  <c r="BR32" i="7"/>
  <c r="BR38" i="7" s="1"/>
  <c r="BS32" i="7"/>
  <c r="BS38" i="7" s="1"/>
  <c r="BT32" i="7"/>
  <c r="BU32" i="7"/>
  <c r="BU38" i="7" s="1"/>
  <c r="BV32" i="7"/>
  <c r="BV38" i="7" s="1"/>
  <c r="BW32" i="7"/>
  <c r="BW38" i="7" s="1"/>
  <c r="BX32" i="7"/>
  <c r="BY32" i="7"/>
  <c r="BY38" i="7" s="1"/>
  <c r="BZ32" i="7"/>
  <c r="BZ38" i="7" s="1"/>
  <c r="CA32" i="7"/>
  <c r="CA38" i="7" s="1"/>
  <c r="CB32" i="7"/>
  <c r="CC32" i="7"/>
  <c r="CC38" i="7" s="1"/>
  <c r="CD32" i="7"/>
  <c r="CD38" i="7" s="1"/>
  <c r="CE32" i="7"/>
  <c r="CE38" i="7" s="1"/>
  <c r="CF32" i="7"/>
  <c r="CG32" i="7"/>
  <c r="CG38" i="7" s="1"/>
  <c r="CH32" i="7"/>
  <c r="CH38" i="7" s="1"/>
  <c r="CI32" i="7"/>
  <c r="CI38" i="7" s="1"/>
  <c r="CJ32" i="7"/>
  <c r="CK32" i="7"/>
  <c r="CK38" i="7" s="1"/>
  <c r="CL32" i="7"/>
  <c r="CL38" i="7" s="1"/>
  <c r="CM32" i="7"/>
  <c r="CM38" i="7" s="1"/>
  <c r="CN32" i="7"/>
  <c r="CO32" i="7"/>
  <c r="CO38" i="7" s="1"/>
  <c r="CP32" i="7"/>
  <c r="CP38" i="7" s="1"/>
  <c r="CQ32" i="7"/>
  <c r="CQ38" i="7" s="1"/>
  <c r="CR32" i="7"/>
  <c r="CS32" i="7"/>
  <c r="CS38" i="7" s="1"/>
  <c r="CT32" i="7"/>
  <c r="CT38" i="7" s="1"/>
  <c r="CU32" i="7"/>
  <c r="CU38" i="7" s="1"/>
  <c r="CV32" i="7"/>
  <c r="CW32" i="7"/>
  <c r="CW38" i="7" s="1"/>
  <c r="CX32" i="7"/>
  <c r="CX38" i="7" s="1"/>
  <c r="CY32" i="7"/>
  <c r="CY38" i="7" s="1"/>
  <c r="CZ32" i="7"/>
  <c r="DA32" i="7"/>
  <c r="DA38" i="7" s="1"/>
  <c r="DB32" i="7"/>
  <c r="DB38" i="7" s="1"/>
  <c r="DC32" i="7"/>
  <c r="DC38" i="7" s="1"/>
  <c r="DD32" i="7"/>
  <c r="DE32" i="7"/>
  <c r="DE38" i="7" s="1"/>
  <c r="DF32" i="7"/>
  <c r="DF38" i="7" s="1"/>
  <c r="DG32" i="7"/>
  <c r="DG38" i="7" s="1"/>
  <c r="DH32" i="7"/>
  <c r="DI32" i="7"/>
  <c r="DI38" i="7" s="1"/>
  <c r="DJ32" i="7"/>
  <c r="DJ38" i="7" s="1"/>
  <c r="DK32" i="7"/>
  <c r="DK38" i="7" s="1"/>
  <c r="DL32" i="7"/>
  <c r="DM32" i="7"/>
  <c r="DM38" i="7" s="1"/>
  <c r="DN32" i="7"/>
  <c r="DO32" i="7"/>
  <c r="DO38" i="7" s="1"/>
  <c r="DP32" i="7"/>
  <c r="DQ32" i="7"/>
  <c r="DQ38" i="7" s="1"/>
  <c r="DR32" i="7"/>
  <c r="DS32" i="7"/>
  <c r="DT32" i="7"/>
  <c r="DU32" i="7"/>
  <c r="DU38" i="7" s="1"/>
  <c r="DV32" i="7"/>
  <c r="DV38" i="7" s="1"/>
  <c r="DW32" i="7"/>
  <c r="DW38" i="7" s="1"/>
  <c r="DX32" i="7"/>
  <c r="DY32" i="7"/>
  <c r="DY38" i="7" s="1"/>
  <c r="DZ32" i="7"/>
  <c r="DZ38" i="7" s="1"/>
  <c r="EA32" i="7"/>
  <c r="EA38" i="7" s="1"/>
  <c r="EB32" i="7"/>
  <c r="EC32" i="7"/>
  <c r="EC38" i="7" s="1"/>
  <c r="ED32" i="7"/>
  <c r="ED38" i="7" s="1"/>
  <c r="EE32" i="7"/>
  <c r="EE38" i="7" s="1"/>
  <c r="EF32" i="7"/>
  <c r="EG32" i="7"/>
  <c r="EG38" i="7" s="1"/>
  <c r="EH32" i="7"/>
  <c r="EH38" i="7" s="1"/>
  <c r="EI32" i="7"/>
  <c r="EI38" i="7" s="1"/>
  <c r="EJ32" i="7"/>
  <c r="EK32" i="7"/>
  <c r="EK38" i="7" s="1"/>
  <c r="EL32" i="7"/>
  <c r="EL38" i="7" s="1"/>
  <c r="EM32" i="7"/>
  <c r="EM38" i="7" s="1"/>
  <c r="EN32" i="7"/>
  <c r="EO32" i="7"/>
  <c r="EO38" i="7" s="1"/>
  <c r="EP32" i="7"/>
  <c r="EP38" i="7" s="1"/>
  <c r="EQ32" i="7"/>
  <c r="EQ38" i="7" s="1"/>
  <c r="ER32" i="7"/>
  <c r="ES32" i="7"/>
  <c r="ES38" i="7" s="1"/>
  <c r="ET32" i="7"/>
  <c r="ET38" i="7" s="1"/>
  <c r="EU32" i="7"/>
  <c r="EU38" i="7" s="1"/>
  <c r="EV32" i="7"/>
  <c r="EW32" i="7"/>
  <c r="EW38" i="7" s="1"/>
  <c r="EX32" i="7"/>
  <c r="EX38" i="7" s="1"/>
  <c r="EY32" i="7"/>
  <c r="EY38" i="7" s="1"/>
  <c r="EZ32" i="7"/>
  <c r="FA32" i="7"/>
  <c r="FA38" i="7" s="1"/>
  <c r="FB32" i="7"/>
  <c r="FB38" i="7" s="1"/>
  <c r="FC32" i="7"/>
  <c r="FC38" i="7" s="1"/>
  <c r="FD32" i="7"/>
  <c r="FE32" i="7"/>
  <c r="FE38" i="7" s="1"/>
  <c r="FF32" i="7"/>
  <c r="FF38" i="7" s="1"/>
  <c r="FG32" i="7"/>
  <c r="FG38" i="7" s="1"/>
  <c r="FH32" i="7"/>
  <c r="FI32" i="7"/>
  <c r="FI38" i="7" s="1"/>
  <c r="FJ32" i="7"/>
  <c r="FJ38" i="7" s="1"/>
  <c r="FK32" i="7"/>
  <c r="FK38" i="7" s="1"/>
  <c r="FL32" i="7"/>
  <c r="FM32" i="7"/>
  <c r="FM38" i="7" s="1"/>
  <c r="FN32" i="7"/>
  <c r="FN38" i="7" s="1"/>
  <c r="FO32" i="7"/>
  <c r="FO38" i="7" s="1"/>
  <c r="FP32" i="7"/>
  <c r="FQ32" i="7"/>
  <c r="FQ38" i="7" s="1"/>
  <c r="FR32" i="7"/>
  <c r="FR38" i="7" s="1"/>
  <c r="FS32" i="7"/>
  <c r="FS38" i="7" s="1"/>
  <c r="FT32" i="7"/>
  <c r="FU32" i="7"/>
  <c r="FU38" i="7" s="1"/>
  <c r="FV32" i="7"/>
  <c r="FV38" i="7" s="1"/>
  <c r="FW32" i="7"/>
  <c r="FW38" i="7" s="1"/>
  <c r="FX32" i="7"/>
  <c r="FY32" i="7"/>
  <c r="FY38" i="7" s="1"/>
  <c r="FZ32" i="7"/>
  <c r="FZ38" i="7" s="1"/>
  <c r="GA32" i="7"/>
  <c r="GA38" i="7" s="1"/>
  <c r="GB32" i="7"/>
  <c r="GC32" i="7"/>
  <c r="GC38" i="7" s="1"/>
  <c r="GD32" i="7"/>
  <c r="GD38" i="7" s="1"/>
  <c r="GE32" i="7"/>
  <c r="GE38" i="7" s="1"/>
  <c r="GF32" i="7"/>
  <c r="GG32" i="7"/>
  <c r="GG38" i="7" s="1"/>
  <c r="GH32" i="7"/>
  <c r="GH38" i="7" s="1"/>
  <c r="GI32" i="7"/>
  <c r="GI38" i="7" s="1"/>
  <c r="GJ32" i="7"/>
  <c r="GK32" i="7"/>
  <c r="GK38" i="7" s="1"/>
  <c r="GL32" i="7"/>
  <c r="GL38" i="7" s="1"/>
  <c r="GM32" i="7"/>
  <c r="GM38" i="7" s="1"/>
  <c r="GN32" i="7"/>
  <c r="GO32" i="7"/>
  <c r="GO38" i="7" s="1"/>
  <c r="GP32" i="7"/>
  <c r="GP38" i="7" s="1"/>
  <c r="GQ32" i="7"/>
  <c r="GQ38" i="7" s="1"/>
  <c r="GR32" i="7"/>
  <c r="GS32" i="7"/>
  <c r="GS38" i="7" s="1"/>
  <c r="GT32" i="7"/>
  <c r="GT38" i="7" s="1"/>
  <c r="GU32" i="7"/>
  <c r="GU38" i="7" s="1"/>
  <c r="GV32" i="7"/>
  <c r="GW32" i="7"/>
  <c r="GW38" i="7" s="1"/>
  <c r="GX32" i="7"/>
  <c r="GX38" i="7" s="1"/>
  <c r="GY32" i="7"/>
  <c r="GY38" i="7" s="1"/>
  <c r="GZ32" i="7"/>
  <c r="HA32" i="7"/>
  <c r="HA38" i="7" s="1"/>
  <c r="HB32" i="7"/>
  <c r="HB38" i="7" s="1"/>
  <c r="HC32" i="7"/>
  <c r="HC38" i="7" s="1"/>
  <c r="HD32" i="7"/>
  <c r="HE32" i="7"/>
  <c r="HE38" i="7" s="1"/>
  <c r="HF32" i="7"/>
  <c r="HF38" i="7" s="1"/>
  <c r="HG32" i="7"/>
  <c r="HG38" i="7" s="1"/>
  <c r="HH32" i="7"/>
  <c r="HI32" i="7"/>
  <c r="HI38" i="7" s="1"/>
  <c r="HJ32" i="7"/>
  <c r="HJ38" i="7" s="1"/>
  <c r="HK32" i="7"/>
  <c r="HK38" i="7" s="1"/>
  <c r="HL32" i="7"/>
  <c r="HM32" i="7"/>
  <c r="HM38" i="7" s="1"/>
  <c r="HN32" i="7"/>
  <c r="HN38" i="7" s="1"/>
  <c r="HO32" i="7"/>
  <c r="HO38" i="7" s="1"/>
  <c r="HP32" i="7"/>
  <c r="HQ32" i="7"/>
  <c r="HQ38" i="7" s="1"/>
  <c r="HT32" i="7"/>
  <c r="HU32" i="7"/>
  <c r="HU38" i="7" s="1"/>
  <c r="HV32" i="7"/>
  <c r="HV38" i="7" s="1"/>
  <c r="HW32" i="7"/>
  <c r="HW38" i="7" s="1"/>
  <c r="HX32" i="7"/>
  <c r="HY32" i="7"/>
  <c r="HY38" i="7" s="1"/>
  <c r="HZ32" i="7"/>
  <c r="HZ38" i="7" s="1"/>
  <c r="IA32" i="7"/>
  <c r="IA38" i="7" s="1"/>
  <c r="IB32" i="7"/>
  <c r="IC32" i="7"/>
  <c r="IC38" i="7" s="1"/>
  <c r="ID32" i="7"/>
  <c r="ID38" i="7" s="1"/>
  <c r="IE32" i="7"/>
  <c r="IE38" i="7" s="1"/>
  <c r="IF32" i="7"/>
  <c r="IG32" i="7"/>
  <c r="IG38" i="7" s="1"/>
  <c r="IH32" i="7"/>
  <c r="IH38" i="7" s="1"/>
  <c r="II32" i="7"/>
  <c r="II38" i="7" s="1"/>
  <c r="IJ32" i="7"/>
  <c r="IK32" i="7"/>
  <c r="IK38" i="7" s="1"/>
  <c r="IL32" i="7"/>
  <c r="IL38" i="7" s="1"/>
  <c r="IM32" i="7"/>
  <c r="IM38" i="7" s="1"/>
  <c r="IN32" i="7"/>
  <c r="IO32" i="7"/>
  <c r="IO38" i="7" s="1"/>
  <c r="IP32" i="7"/>
  <c r="IP38" i="7" s="1"/>
  <c r="IQ32" i="7"/>
  <c r="IQ38" i="7" s="1"/>
  <c r="IR32" i="7"/>
  <c r="IS32" i="7"/>
  <c r="IS38" i="7" s="1"/>
  <c r="IT32" i="7"/>
  <c r="IT38" i="7" s="1"/>
  <c r="IU32" i="7"/>
  <c r="IU38" i="7" s="1"/>
  <c r="IV32" i="7"/>
  <c r="IW32" i="7"/>
  <c r="IW38" i="7" s="1"/>
  <c r="IX32" i="7"/>
  <c r="IX38" i="7" s="1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R26" i="7"/>
  <c r="FS26" i="7"/>
  <c r="FT26" i="7"/>
  <c r="FU26" i="7"/>
  <c r="FV26" i="7"/>
  <c r="FW26" i="7"/>
  <c r="FX26" i="7"/>
  <c r="FY26" i="7"/>
  <c r="FZ26" i="7"/>
  <c r="GA26" i="7"/>
  <c r="GB26" i="7"/>
  <c r="GC26" i="7"/>
  <c r="GD26" i="7"/>
  <c r="GE26" i="7"/>
  <c r="GF26" i="7"/>
  <c r="GG26" i="7"/>
  <c r="GH26" i="7"/>
  <c r="GI26" i="7"/>
  <c r="GJ26" i="7"/>
  <c r="GK26" i="7"/>
  <c r="GL26" i="7"/>
  <c r="GM26" i="7"/>
  <c r="GN26" i="7"/>
  <c r="GO26" i="7"/>
  <c r="GP26" i="7"/>
  <c r="GQ26" i="7"/>
  <c r="GR26" i="7"/>
  <c r="GS26" i="7"/>
  <c r="GT26" i="7"/>
  <c r="GU26" i="7"/>
  <c r="GV26" i="7"/>
  <c r="GW26" i="7"/>
  <c r="GX26" i="7"/>
  <c r="GY26" i="7"/>
  <c r="GZ26" i="7"/>
  <c r="HA26" i="7"/>
  <c r="HB26" i="7"/>
  <c r="HC26" i="7"/>
  <c r="HD26" i="7"/>
  <c r="HE26" i="7"/>
  <c r="HF26" i="7"/>
  <c r="HG26" i="7"/>
  <c r="HH26" i="7"/>
  <c r="HI26" i="7"/>
  <c r="HJ26" i="7"/>
  <c r="HK26" i="7"/>
  <c r="HL26" i="7"/>
  <c r="HM26" i="7"/>
  <c r="HN26" i="7"/>
  <c r="HO26" i="7"/>
  <c r="HP26" i="7"/>
  <c r="HQ26" i="7"/>
  <c r="HR26" i="7"/>
  <c r="HS26" i="7"/>
  <c r="HT26" i="7"/>
  <c r="HU26" i="7"/>
  <c r="HV26" i="7"/>
  <c r="HW26" i="7"/>
  <c r="HX26" i="7"/>
  <c r="HY26" i="7"/>
  <c r="HZ26" i="7"/>
  <c r="IA26" i="7"/>
  <c r="IB26" i="7"/>
  <c r="IC26" i="7"/>
  <c r="ID26" i="7"/>
  <c r="IE26" i="7"/>
  <c r="IF26" i="7"/>
  <c r="IG26" i="7"/>
  <c r="IH26" i="7"/>
  <c r="II26" i="7"/>
  <c r="IJ26" i="7"/>
  <c r="IK26" i="7"/>
  <c r="IL26" i="7"/>
  <c r="IM26" i="7"/>
  <c r="IN26" i="7"/>
  <c r="IO26" i="7"/>
  <c r="IP26" i="7"/>
  <c r="IQ26" i="7"/>
  <c r="IR26" i="7"/>
  <c r="IS26" i="7"/>
  <c r="IT26" i="7"/>
  <c r="IU26" i="7"/>
  <c r="IV26" i="7"/>
  <c r="IW26" i="7"/>
  <c r="IX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Z27" i="7"/>
  <c r="AB27" i="7"/>
  <c r="AC27" i="7"/>
  <c r="AD27" i="7"/>
  <c r="AF27" i="7"/>
  <c r="AH27" i="7"/>
  <c r="AJ27" i="7"/>
  <c r="AK27" i="7"/>
  <c r="AL27" i="7"/>
  <c r="AM27" i="7"/>
  <c r="AQ27" i="7"/>
  <c r="AS27" i="7"/>
  <c r="AU27" i="7"/>
  <c r="AW27" i="7"/>
  <c r="AX27" i="7"/>
  <c r="AY27" i="7"/>
  <c r="BA27" i="7"/>
  <c r="BC27" i="7"/>
  <c r="BH27" i="7"/>
  <c r="BJ27" i="7"/>
  <c r="BL27" i="7"/>
  <c r="BM27" i="7"/>
  <c r="BN27" i="7"/>
  <c r="BO27" i="7"/>
  <c r="BP27" i="7"/>
  <c r="BQ27" i="7"/>
  <c r="BR27" i="7"/>
  <c r="BS27" i="7"/>
  <c r="BT27" i="7"/>
  <c r="BV27" i="7"/>
  <c r="BX27" i="7"/>
  <c r="BZ27" i="7"/>
  <c r="CB27" i="7"/>
  <c r="CD27" i="7"/>
  <c r="CF27" i="7"/>
  <c r="CH27" i="7"/>
  <c r="CJ27" i="7"/>
  <c r="CL27" i="7"/>
  <c r="CN27" i="7"/>
  <c r="CO27" i="7"/>
  <c r="CP27" i="7"/>
  <c r="CQ27" i="7"/>
  <c r="CS27" i="7"/>
  <c r="CT27" i="7"/>
  <c r="CV27" i="7"/>
  <c r="CW27" i="7"/>
  <c r="CX27" i="7"/>
  <c r="CZ27" i="7"/>
  <c r="DB27" i="7"/>
  <c r="DC27" i="7"/>
  <c r="DD27" i="7"/>
  <c r="DE27" i="7"/>
  <c r="DF27" i="7"/>
  <c r="DG27" i="7"/>
  <c r="DH27" i="7"/>
  <c r="DK27" i="7"/>
  <c r="DL27" i="7"/>
  <c r="DM27" i="7"/>
  <c r="DN27" i="7"/>
  <c r="DO27" i="7"/>
  <c r="DP27" i="7"/>
  <c r="DT27" i="7"/>
  <c r="DU27" i="7"/>
  <c r="DV27" i="7"/>
  <c r="DW27" i="7"/>
  <c r="DX27" i="7"/>
  <c r="DY27" i="7"/>
  <c r="EA27" i="7"/>
  <c r="EC27" i="7"/>
  <c r="ED27" i="7"/>
  <c r="EE27" i="7"/>
  <c r="EF27" i="7"/>
  <c r="EG27" i="7"/>
  <c r="EH27" i="7"/>
  <c r="EK27" i="7"/>
  <c r="EL27" i="7"/>
  <c r="EM27" i="7"/>
  <c r="EN27" i="7"/>
  <c r="EO27" i="7"/>
  <c r="EP27" i="7"/>
  <c r="EQ27" i="7"/>
  <c r="EV27" i="7"/>
  <c r="EW27" i="7"/>
  <c r="EX27" i="7"/>
  <c r="EY27" i="7"/>
  <c r="EZ27" i="7"/>
  <c r="FA27" i="7"/>
  <c r="FB27" i="7"/>
  <c r="FC27" i="7"/>
  <c r="FF27" i="7"/>
  <c r="FG27" i="7"/>
  <c r="FH27" i="7"/>
  <c r="FI27" i="7"/>
  <c r="FJ27" i="7"/>
  <c r="FK27" i="7"/>
  <c r="FL27" i="7"/>
  <c r="FM27" i="7"/>
  <c r="FN27" i="7"/>
  <c r="FO27" i="7"/>
  <c r="FP27" i="7"/>
  <c r="FQ27" i="7"/>
  <c r="FR27" i="7"/>
  <c r="FS27" i="7"/>
  <c r="FT27" i="7"/>
  <c r="FU27" i="7"/>
  <c r="FV27" i="7"/>
  <c r="FW27" i="7"/>
  <c r="FX27" i="7"/>
  <c r="FY27" i="7"/>
  <c r="FZ27" i="7"/>
  <c r="GA27" i="7"/>
  <c r="GC27" i="7"/>
  <c r="GD27" i="7"/>
  <c r="GE27" i="7"/>
  <c r="GF27" i="7"/>
  <c r="GG27" i="7"/>
  <c r="GH27" i="7"/>
  <c r="GI27" i="7"/>
  <c r="GJ27" i="7"/>
  <c r="GK27" i="7"/>
  <c r="GL27" i="7"/>
  <c r="GM27" i="7"/>
  <c r="GO27" i="7"/>
  <c r="GR27" i="7"/>
  <c r="GS27" i="7"/>
  <c r="GT27" i="7"/>
  <c r="GU27" i="7"/>
  <c r="GV27" i="7"/>
  <c r="GX27" i="7"/>
  <c r="HA27" i="7"/>
  <c r="HB27" i="7"/>
  <c r="HC27" i="7"/>
  <c r="HD27" i="7"/>
  <c r="HE27" i="7"/>
  <c r="HF27" i="7"/>
  <c r="HG27" i="7"/>
  <c r="HH27" i="7"/>
  <c r="HI27" i="7"/>
  <c r="HJ27" i="7"/>
  <c r="HK27" i="7"/>
  <c r="HL27" i="7"/>
  <c r="HM27" i="7"/>
  <c r="HN27" i="7"/>
  <c r="HO27" i="7"/>
  <c r="HP27" i="7"/>
  <c r="HQ27" i="7"/>
  <c r="HS27" i="7"/>
  <c r="HT27" i="7"/>
  <c r="HU27" i="7"/>
  <c r="HW27" i="7"/>
  <c r="HX27" i="7"/>
  <c r="HY27" i="7"/>
  <c r="HZ27" i="7"/>
  <c r="IA27" i="7"/>
  <c r="ID27" i="7"/>
  <c r="IF27" i="7"/>
  <c r="IG27" i="7"/>
  <c r="II27" i="7"/>
  <c r="IJ27" i="7"/>
  <c r="IK27" i="7"/>
  <c r="IM27" i="7"/>
  <c r="IN27" i="7"/>
  <c r="IO27" i="7"/>
  <c r="IP27" i="7"/>
  <c r="IQ27" i="7"/>
  <c r="IR27" i="7"/>
  <c r="IS27" i="7"/>
  <c r="IT27" i="7"/>
  <c r="IU27" i="7"/>
  <c r="IV27" i="7"/>
  <c r="IW27" i="7"/>
  <c r="IX27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ES24" i="7"/>
  <c r="ET24" i="7"/>
  <c r="EU24" i="7"/>
  <c r="EV24" i="7"/>
  <c r="EW24" i="7"/>
  <c r="EX24" i="7"/>
  <c r="EY24" i="7"/>
  <c r="EZ24" i="7"/>
  <c r="FA24" i="7"/>
  <c r="FB24" i="7"/>
  <c r="FC24" i="7"/>
  <c r="FD24" i="7"/>
  <c r="FE24" i="7"/>
  <c r="FF24" i="7"/>
  <c r="FG24" i="7"/>
  <c r="FH24" i="7"/>
  <c r="FI24" i="7"/>
  <c r="FJ24" i="7"/>
  <c r="FK24" i="7"/>
  <c r="FL24" i="7"/>
  <c r="FM24" i="7"/>
  <c r="FN24" i="7"/>
  <c r="FO24" i="7"/>
  <c r="FP24" i="7"/>
  <c r="FQ24" i="7"/>
  <c r="FR24" i="7"/>
  <c r="FS24" i="7"/>
  <c r="FT24" i="7"/>
  <c r="FU24" i="7"/>
  <c r="FV24" i="7"/>
  <c r="FW24" i="7"/>
  <c r="FX24" i="7"/>
  <c r="FY24" i="7"/>
  <c r="FZ24" i="7"/>
  <c r="GA24" i="7"/>
  <c r="GB24" i="7"/>
  <c r="GC24" i="7"/>
  <c r="GD24" i="7"/>
  <c r="GE24" i="7"/>
  <c r="GF24" i="7"/>
  <c r="GG24" i="7"/>
  <c r="GH24" i="7"/>
  <c r="GI24" i="7"/>
  <c r="GJ24" i="7"/>
  <c r="GK24" i="7"/>
  <c r="GL24" i="7"/>
  <c r="GM24" i="7"/>
  <c r="GN24" i="7"/>
  <c r="GO24" i="7"/>
  <c r="GP24" i="7"/>
  <c r="GQ24" i="7"/>
  <c r="GR24" i="7"/>
  <c r="GS24" i="7"/>
  <c r="GT24" i="7"/>
  <c r="GU24" i="7"/>
  <c r="GV24" i="7"/>
  <c r="GW24" i="7"/>
  <c r="GX24" i="7"/>
  <c r="GY24" i="7"/>
  <c r="GZ24" i="7"/>
  <c r="HA24" i="7"/>
  <c r="HB24" i="7"/>
  <c r="HC24" i="7"/>
  <c r="HD24" i="7"/>
  <c r="HE24" i="7"/>
  <c r="HF24" i="7"/>
  <c r="HG24" i="7"/>
  <c r="HH24" i="7"/>
  <c r="HI24" i="7"/>
  <c r="HJ24" i="7"/>
  <c r="HK24" i="7"/>
  <c r="HL24" i="7"/>
  <c r="HM24" i="7"/>
  <c r="HN24" i="7"/>
  <c r="HO24" i="7"/>
  <c r="HP24" i="7"/>
  <c r="HQ24" i="7"/>
  <c r="HR24" i="7"/>
  <c r="HS24" i="7"/>
  <c r="HT24" i="7"/>
  <c r="HU24" i="7"/>
  <c r="HV24" i="7"/>
  <c r="HW24" i="7"/>
  <c r="HX24" i="7"/>
  <c r="HY24" i="7"/>
  <c r="HZ24" i="7"/>
  <c r="IA24" i="7"/>
  <c r="IB24" i="7"/>
  <c r="IC24" i="7"/>
  <c r="ID24" i="7"/>
  <c r="IE24" i="7"/>
  <c r="IF24" i="7"/>
  <c r="IG24" i="7"/>
  <c r="IH24" i="7"/>
  <c r="II24" i="7"/>
  <c r="IJ24" i="7"/>
  <c r="IK24" i="7"/>
  <c r="IL24" i="7"/>
  <c r="IM24" i="7"/>
  <c r="IN24" i="7"/>
  <c r="IO24" i="7"/>
  <c r="IP24" i="7"/>
  <c r="IQ24" i="7"/>
  <c r="IR24" i="7"/>
  <c r="IS24" i="7"/>
  <c r="IT24" i="7"/>
  <c r="IU24" i="7"/>
  <c r="IV24" i="7"/>
  <c r="IW24" i="7"/>
  <c r="IX24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Y27" i="7" s="1"/>
  <c r="Z20" i="7"/>
  <c r="AA20" i="7"/>
  <c r="AA27" i="7" s="1"/>
  <c r="AB20" i="7"/>
  <c r="AC20" i="7"/>
  <c r="AD20" i="7"/>
  <c r="AE20" i="7"/>
  <c r="AE27" i="7" s="1"/>
  <c r="AF20" i="7"/>
  <c r="AG20" i="7"/>
  <c r="AG27" i="7" s="1"/>
  <c r="AH20" i="7"/>
  <c r="AI20" i="7"/>
  <c r="AI27" i="7" s="1"/>
  <c r="AJ20" i="7"/>
  <c r="AK20" i="7"/>
  <c r="AL20" i="7"/>
  <c r="AM20" i="7"/>
  <c r="AN20" i="7"/>
  <c r="AN27" i="7" s="1"/>
  <c r="AO20" i="7"/>
  <c r="AO27" i="7" s="1"/>
  <c r="AP20" i="7"/>
  <c r="AP27" i="7" s="1"/>
  <c r="AQ20" i="7"/>
  <c r="AR20" i="7"/>
  <c r="AR27" i="7" s="1"/>
  <c r="AS20" i="7"/>
  <c r="AT20" i="7"/>
  <c r="AT27" i="7" s="1"/>
  <c r="AU20" i="7"/>
  <c r="AV20" i="7"/>
  <c r="AV27" i="7" s="1"/>
  <c r="AW20" i="7"/>
  <c r="AX20" i="7"/>
  <c r="AY20" i="7"/>
  <c r="AZ20" i="7"/>
  <c r="AZ27" i="7" s="1"/>
  <c r="BA20" i="7"/>
  <c r="BB20" i="7"/>
  <c r="BB27" i="7" s="1"/>
  <c r="BC20" i="7"/>
  <c r="BD20" i="7"/>
  <c r="BD27" i="7" s="1"/>
  <c r="BE20" i="7"/>
  <c r="BE27" i="7" s="1"/>
  <c r="BF20" i="7"/>
  <c r="BF27" i="7" s="1"/>
  <c r="BG20" i="7"/>
  <c r="BG27" i="7" s="1"/>
  <c r="BH20" i="7"/>
  <c r="BI20" i="7"/>
  <c r="BI27" i="7" s="1"/>
  <c r="BJ20" i="7"/>
  <c r="BK20" i="7"/>
  <c r="BK27" i="7" s="1"/>
  <c r="BL20" i="7"/>
  <c r="BM20" i="7"/>
  <c r="BN20" i="7"/>
  <c r="BO20" i="7"/>
  <c r="BP20" i="7"/>
  <c r="BQ20" i="7"/>
  <c r="BR20" i="7"/>
  <c r="BS20" i="7"/>
  <c r="BT20" i="7"/>
  <c r="BU20" i="7"/>
  <c r="BU27" i="7" s="1"/>
  <c r="BV20" i="7"/>
  <c r="BW20" i="7"/>
  <c r="BW27" i="7" s="1"/>
  <c r="BX20" i="7"/>
  <c r="BY20" i="7"/>
  <c r="BY27" i="7" s="1"/>
  <c r="BZ20" i="7"/>
  <c r="CA20" i="7"/>
  <c r="CA27" i="7" s="1"/>
  <c r="CB20" i="7"/>
  <c r="CC20" i="7"/>
  <c r="CC27" i="7" s="1"/>
  <c r="CD20" i="7"/>
  <c r="CE20" i="7"/>
  <c r="CE27" i="7" s="1"/>
  <c r="CF20" i="7"/>
  <c r="CG20" i="7"/>
  <c r="CG27" i="7" s="1"/>
  <c r="CH20" i="7"/>
  <c r="CI20" i="7"/>
  <c r="CI27" i="7" s="1"/>
  <c r="CJ20" i="7"/>
  <c r="CK20" i="7"/>
  <c r="CK27" i="7" s="1"/>
  <c r="CL20" i="7"/>
  <c r="CM20" i="7"/>
  <c r="CM27" i="7" s="1"/>
  <c r="CN20" i="7"/>
  <c r="CO20" i="7"/>
  <c r="CP20" i="7"/>
  <c r="CQ20" i="7"/>
  <c r="CR20" i="7"/>
  <c r="CR27" i="7" s="1"/>
  <c r="CS20" i="7"/>
  <c r="CT20" i="7"/>
  <c r="CU20" i="7"/>
  <c r="CU27" i="7" s="1"/>
  <c r="CV20" i="7"/>
  <c r="CW20" i="7"/>
  <c r="CX20" i="7"/>
  <c r="CY20" i="7"/>
  <c r="CY27" i="7" s="1"/>
  <c r="CZ20" i="7"/>
  <c r="DA20" i="7"/>
  <c r="DA27" i="7" s="1"/>
  <c r="DB20" i="7"/>
  <c r="DC20" i="7"/>
  <c r="DD20" i="7"/>
  <c r="DE20" i="7"/>
  <c r="DF20" i="7"/>
  <c r="DG20" i="7"/>
  <c r="DH20" i="7"/>
  <c r="DI20" i="7"/>
  <c r="DI27" i="7" s="1"/>
  <c r="DJ20" i="7"/>
  <c r="DJ27" i="7" s="1"/>
  <c r="DK20" i="7"/>
  <c r="DL20" i="7"/>
  <c r="DM20" i="7"/>
  <c r="DN20" i="7"/>
  <c r="DO20" i="7"/>
  <c r="DP20" i="7"/>
  <c r="DT20" i="7"/>
  <c r="DU20" i="7"/>
  <c r="DV20" i="7"/>
  <c r="DW20" i="7"/>
  <c r="DX20" i="7"/>
  <c r="DY20" i="7"/>
  <c r="DZ20" i="7"/>
  <c r="DZ27" i="7" s="1"/>
  <c r="EA20" i="7"/>
  <c r="EB20" i="7"/>
  <c r="EB27" i="7" s="1"/>
  <c r="EC20" i="7"/>
  <c r="ED20" i="7"/>
  <c r="EE20" i="7"/>
  <c r="EF20" i="7"/>
  <c r="EG20" i="7"/>
  <c r="EH20" i="7"/>
  <c r="EI20" i="7"/>
  <c r="EI27" i="7" s="1"/>
  <c r="EJ20" i="7"/>
  <c r="EJ27" i="7" s="1"/>
  <c r="EK20" i="7"/>
  <c r="EL20" i="7"/>
  <c r="EM20" i="7"/>
  <c r="EN20" i="7"/>
  <c r="EO20" i="7"/>
  <c r="EP20" i="7"/>
  <c r="EQ20" i="7"/>
  <c r="ER20" i="7"/>
  <c r="ER27" i="7" s="1"/>
  <c r="ES20" i="7"/>
  <c r="ES27" i="7" s="1"/>
  <c r="ET20" i="7"/>
  <c r="ET27" i="7" s="1"/>
  <c r="EU20" i="7"/>
  <c r="EU27" i="7" s="1"/>
  <c r="EV20" i="7"/>
  <c r="EW20" i="7"/>
  <c r="EX20" i="7"/>
  <c r="EY20" i="7"/>
  <c r="EZ20" i="7"/>
  <c r="FA20" i="7"/>
  <c r="FB20" i="7"/>
  <c r="FC20" i="7"/>
  <c r="FD20" i="7"/>
  <c r="FD27" i="7" s="1"/>
  <c r="FE20" i="7"/>
  <c r="FE27" i="7" s="1"/>
  <c r="FF20" i="7"/>
  <c r="FG20" i="7"/>
  <c r="FH20" i="7"/>
  <c r="FI20" i="7"/>
  <c r="FJ20" i="7"/>
  <c r="FK20" i="7"/>
  <c r="FL20" i="7"/>
  <c r="FM20" i="7"/>
  <c r="FN20" i="7"/>
  <c r="FO20" i="7"/>
  <c r="FP20" i="7"/>
  <c r="FQ20" i="7"/>
  <c r="FR20" i="7"/>
  <c r="FS20" i="7"/>
  <c r="FT20" i="7"/>
  <c r="FU20" i="7"/>
  <c r="FV20" i="7"/>
  <c r="FW20" i="7"/>
  <c r="FX20" i="7"/>
  <c r="FY20" i="7"/>
  <c r="FZ20" i="7"/>
  <c r="GA20" i="7"/>
  <c r="GB20" i="7"/>
  <c r="GB27" i="7" s="1"/>
  <c r="GC20" i="7"/>
  <c r="GD20" i="7"/>
  <c r="GE20" i="7"/>
  <c r="GF20" i="7"/>
  <c r="GG20" i="7"/>
  <c r="GH20" i="7"/>
  <c r="GI20" i="7"/>
  <c r="GJ20" i="7"/>
  <c r="GK20" i="7"/>
  <c r="GL20" i="7"/>
  <c r="GM20" i="7"/>
  <c r="GN20" i="7"/>
  <c r="GN27" i="7" s="1"/>
  <c r="GO20" i="7"/>
  <c r="GP20" i="7"/>
  <c r="GP27" i="7" s="1"/>
  <c r="GQ20" i="7"/>
  <c r="GQ27" i="7" s="1"/>
  <c r="GR20" i="7"/>
  <c r="GS20" i="7"/>
  <c r="GT20" i="7"/>
  <c r="GU20" i="7"/>
  <c r="GV20" i="7"/>
  <c r="GW20" i="7"/>
  <c r="GW27" i="7" s="1"/>
  <c r="GX20" i="7"/>
  <c r="GY20" i="7"/>
  <c r="GY27" i="7" s="1"/>
  <c r="GZ20" i="7"/>
  <c r="GZ27" i="7" s="1"/>
  <c r="HA20" i="7"/>
  <c r="HB20" i="7"/>
  <c r="HC20" i="7"/>
  <c r="HD20" i="7"/>
  <c r="HE20" i="7"/>
  <c r="HF20" i="7"/>
  <c r="HG20" i="7"/>
  <c r="HH20" i="7"/>
  <c r="HI20" i="7"/>
  <c r="HJ20" i="7"/>
  <c r="HK20" i="7"/>
  <c r="HL20" i="7"/>
  <c r="HM20" i="7"/>
  <c r="HN20" i="7"/>
  <c r="HO20" i="7"/>
  <c r="HP20" i="7"/>
  <c r="HQ20" i="7"/>
  <c r="HR20" i="7"/>
  <c r="HR27" i="7" s="1"/>
  <c r="HS20" i="7"/>
  <c r="HT20" i="7"/>
  <c r="HU20" i="7"/>
  <c r="HV20" i="7"/>
  <c r="HV27" i="7" s="1"/>
  <c r="HW20" i="7"/>
  <c r="HX20" i="7"/>
  <c r="HY20" i="7"/>
  <c r="HZ20" i="7"/>
  <c r="IA20" i="7"/>
  <c r="IB20" i="7"/>
  <c r="IB27" i="7" s="1"/>
  <c r="IC20" i="7"/>
  <c r="IC27" i="7" s="1"/>
  <c r="ID20" i="7"/>
  <c r="IE20" i="7"/>
  <c r="IE27" i="7" s="1"/>
  <c r="IF20" i="7"/>
  <c r="IG20" i="7"/>
  <c r="IH20" i="7"/>
  <c r="IH27" i="7" s="1"/>
  <c r="II20" i="7"/>
  <c r="IJ20" i="7"/>
  <c r="IK20" i="7"/>
  <c r="IL20" i="7"/>
  <c r="IL27" i="7" s="1"/>
  <c r="IM20" i="7"/>
  <c r="IN20" i="7"/>
  <c r="IO20" i="7"/>
  <c r="IP20" i="7"/>
  <c r="IQ20" i="7"/>
  <c r="IR20" i="7"/>
  <c r="IS20" i="7"/>
  <c r="IT20" i="7"/>
  <c r="IU20" i="7"/>
  <c r="IV20" i="7"/>
  <c r="IW20" i="7"/>
  <c r="IX20" i="7"/>
  <c r="G20" i="7"/>
  <c r="DS38" i="7" l="1"/>
  <c r="DR38" i="7"/>
  <c r="DN38" i="7"/>
  <c r="IV38" i="7"/>
  <c r="IR38" i="7"/>
  <c r="IN38" i="7"/>
  <c r="IJ38" i="7"/>
  <c r="IF38" i="7"/>
  <c r="IB38" i="7"/>
  <c r="HX38" i="7"/>
  <c r="HT38" i="7"/>
  <c r="HP38" i="7"/>
  <c r="HL38" i="7"/>
  <c r="HH38" i="7"/>
  <c r="HD38" i="7"/>
  <c r="GZ38" i="7"/>
  <c r="GV38" i="7"/>
  <c r="GR38" i="7"/>
  <c r="GN38" i="7"/>
  <c r="GJ38" i="7"/>
  <c r="GF38" i="7"/>
  <c r="GB38" i="7"/>
  <c r="FX38" i="7"/>
  <c r="FT38" i="7"/>
  <c r="FP38" i="7"/>
  <c r="FL38" i="7"/>
  <c r="FH38" i="7"/>
  <c r="FD38" i="7"/>
  <c r="EZ38" i="7"/>
  <c r="EV38" i="7"/>
  <c r="ER38" i="7"/>
  <c r="EN38" i="7"/>
  <c r="EJ38" i="7"/>
  <c r="EF38" i="7"/>
  <c r="EB38" i="7"/>
  <c r="DX38" i="7"/>
  <c r="DT38" i="7"/>
  <c r="DP38" i="7"/>
  <c r="DL38" i="7"/>
  <c r="DH38" i="7"/>
  <c r="DD38" i="7"/>
  <c r="CZ38" i="7"/>
  <c r="CV38" i="7"/>
  <c r="CR38" i="7"/>
  <c r="CN38" i="7"/>
  <c r="CJ38" i="7"/>
  <c r="CF38" i="7"/>
  <c r="CB38" i="7"/>
  <c r="BX38" i="7"/>
  <c r="BT38" i="7"/>
  <c r="BP38" i="7"/>
  <c r="BL38" i="7"/>
  <c r="BH38" i="7"/>
  <c r="BD38" i="7"/>
  <c r="AZ38" i="7"/>
  <c r="AV38" i="7"/>
  <c r="AR38" i="7"/>
  <c r="AN38" i="7"/>
  <c r="AJ38" i="7"/>
  <c r="AF38" i="7"/>
  <c r="AB38" i="7"/>
  <c r="X38" i="7"/>
  <c r="T38" i="7"/>
  <c r="P38" i="7"/>
  <c r="L38" i="7"/>
  <c r="H38" i="7"/>
  <c r="HR42" i="7"/>
  <c r="HQ42" i="7"/>
  <c r="HS42" i="7" s="1"/>
  <c r="HR31" i="7"/>
  <c r="HR32" i="7" s="1"/>
  <c r="HR38" i="7" s="1"/>
  <c r="HQ31" i="7"/>
  <c r="HR25" i="7"/>
  <c r="HS25" i="7" s="1"/>
  <c r="HQ25" i="7"/>
  <c r="HR23" i="7"/>
  <c r="HQ23" i="7"/>
  <c r="HS23" i="7" s="1"/>
  <c r="HR22" i="7"/>
  <c r="HS22" i="7" s="1"/>
  <c r="HQ22" i="7"/>
  <c r="HR21" i="7"/>
  <c r="HQ21" i="7"/>
  <c r="HS21" i="7" s="1"/>
  <c r="HQ6" i="7"/>
  <c r="HR6" i="7"/>
  <c r="HQ7" i="7"/>
  <c r="HR7" i="7"/>
  <c r="HQ8" i="7"/>
  <c r="HR8" i="7"/>
  <c r="HQ9" i="7"/>
  <c r="HR9" i="7"/>
  <c r="HQ11" i="7"/>
  <c r="HR11" i="7"/>
  <c r="HQ12" i="7"/>
  <c r="HR12" i="7"/>
  <c r="HQ13" i="7"/>
  <c r="HR13" i="7"/>
  <c r="HQ14" i="7"/>
  <c r="HR14" i="7"/>
  <c r="HQ15" i="7"/>
  <c r="HR15" i="7"/>
  <c r="HQ16" i="7"/>
  <c r="HR16" i="7"/>
  <c r="HQ17" i="7"/>
  <c r="HR17" i="7"/>
  <c r="HQ18" i="7"/>
  <c r="HR18" i="7"/>
  <c r="HQ10" i="7"/>
  <c r="HR10" i="7"/>
  <c r="HS31" i="7" l="1"/>
  <c r="HS32" i="7" s="1"/>
  <c r="HS38" i="7" s="1"/>
  <c r="F20" i="7"/>
  <c r="G32" i="7"/>
  <c r="F32" i="7"/>
  <c r="G37" i="7" l="1"/>
  <c r="F37" i="7"/>
  <c r="IU49" i="7" l="1"/>
  <c r="IV49" i="7"/>
  <c r="IW49" i="7"/>
  <c r="IX49" i="7"/>
  <c r="GA49" i="7"/>
  <c r="GB49" i="7"/>
  <c r="GC49" i="7"/>
  <c r="GD49" i="7"/>
  <c r="GE49" i="7"/>
  <c r="GF49" i="7"/>
  <c r="GG49" i="7"/>
  <c r="GH49" i="7"/>
  <c r="GI49" i="7"/>
  <c r="GJ49" i="7"/>
  <c r="GK49" i="7"/>
  <c r="GL49" i="7"/>
  <c r="GM49" i="7"/>
  <c r="GQ49" i="7"/>
  <c r="GR49" i="7"/>
  <c r="GS49" i="7"/>
  <c r="GT49" i="7"/>
  <c r="GU49" i="7"/>
  <c r="GV49" i="7"/>
  <c r="GZ49" i="7"/>
  <c r="HA49" i="7"/>
  <c r="HB49" i="7"/>
  <c r="HC49" i="7"/>
  <c r="HD49" i="7"/>
  <c r="HE49" i="7"/>
  <c r="HF49" i="7"/>
  <c r="HG49" i="7"/>
  <c r="HH49" i="7"/>
  <c r="HI49" i="7"/>
  <c r="HJ49" i="7"/>
  <c r="HK49" i="7"/>
  <c r="HL49" i="7"/>
  <c r="HM49" i="7"/>
  <c r="HN49" i="7"/>
  <c r="HT49" i="7"/>
  <c r="HU49" i="7"/>
  <c r="HV49" i="7"/>
  <c r="HW49" i="7"/>
  <c r="HX49" i="7"/>
  <c r="HY49" i="7"/>
  <c r="HZ49" i="7"/>
  <c r="IA49" i="7"/>
  <c r="IB49" i="7"/>
  <c r="IC49" i="7"/>
  <c r="ID49" i="7"/>
  <c r="IE49" i="7"/>
  <c r="IF49" i="7"/>
  <c r="IG49" i="7"/>
  <c r="IH49" i="7"/>
  <c r="II49" i="7"/>
  <c r="IJ49" i="7"/>
  <c r="IK49" i="7"/>
  <c r="IL49" i="7"/>
  <c r="IM49" i="7"/>
  <c r="IN49" i="7"/>
  <c r="IO49" i="7"/>
  <c r="IP49" i="7"/>
  <c r="IQ49" i="7"/>
  <c r="IR49" i="7"/>
  <c r="IS49" i="7"/>
  <c r="IT49" i="7"/>
  <c r="FZ49" i="7"/>
  <c r="HR49" i="7"/>
  <c r="HQ49" i="7"/>
  <c r="GW49" i="7"/>
  <c r="GN49" i="7"/>
  <c r="GP49" i="7" l="1"/>
  <c r="GY49" i="7"/>
  <c r="GX49" i="7"/>
  <c r="GO49" i="7"/>
  <c r="HP49" i="7"/>
  <c r="HO49" i="7"/>
  <c r="HS49" i="7"/>
  <c r="ES17" i="7" l="1"/>
  <c r="ER17" i="7"/>
  <c r="EJ17" i="7"/>
  <c r="EI17" i="7"/>
  <c r="F35" i="7"/>
  <c r="BU25" i="7"/>
  <c r="ET17" i="7" l="1"/>
  <c r="EK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GX17" i="7"/>
  <c r="GW17" i="7"/>
  <c r="GN17" i="7"/>
  <c r="GO17" i="7"/>
  <c r="FC17" i="7"/>
  <c r="FD17" i="7"/>
  <c r="BU17" i="7"/>
  <c r="BV17" i="7"/>
  <c r="AN17" i="7"/>
  <c r="AM17" i="7"/>
  <c r="BE17" i="7"/>
  <c r="BD17" i="7"/>
  <c r="GP17" i="7" l="1"/>
  <c r="FE17" i="7"/>
  <c r="CL17" i="7"/>
  <c r="BW17" i="7"/>
  <c r="BF17" i="7"/>
  <c r="AO17" i="7"/>
  <c r="GY17" i="7"/>
  <c r="CM17" i="7"/>
  <c r="CN17" i="7" s="1"/>
  <c r="BX15" i="7" l="1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X17" i="7" l="1"/>
  <c r="CY17" i="7"/>
  <c r="CZ17" i="7"/>
  <c r="DI17" i="7"/>
  <c r="DH17" i="7"/>
  <c r="DQ17" i="7"/>
  <c r="DR17" i="7"/>
  <c r="DZ17" i="7"/>
  <c r="EA17" i="7"/>
  <c r="DS17" i="7" l="1"/>
  <c r="DJ17" i="7"/>
  <c r="EB17" i="7"/>
  <c r="DA17" i="7"/>
  <c r="IC17" i="7"/>
  <c r="IB17" i="7"/>
  <c r="ID17" i="7" l="1"/>
  <c r="HS17" i="7"/>
  <c r="IB16" i="7"/>
  <c r="IC16" i="7"/>
  <c r="GW16" i="7"/>
  <c r="GX16" i="7"/>
  <c r="GN16" i="7"/>
  <c r="GO16" i="7"/>
  <c r="FU16" i="7"/>
  <c r="FV16" i="7"/>
  <c r="FC16" i="7"/>
  <c r="FD16" i="7"/>
  <c r="ER16" i="7"/>
  <c r="ES16" i="7"/>
  <c r="EI16" i="7"/>
  <c r="EJ16" i="7"/>
  <c r="DZ16" i="7"/>
  <c r="EA16" i="7"/>
  <c r="DQ16" i="7"/>
  <c r="DR16" i="7"/>
  <c r="DH16" i="7"/>
  <c r="DI16" i="7"/>
  <c r="CX16" i="7"/>
  <c r="CY16" i="7"/>
  <c r="CZ16" i="7"/>
  <c r="CL16" i="7"/>
  <c r="CM16" i="7"/>
  <c r="BU16" i="7"/>
  <c r="BV16" i="7"/>
  <c r="BD16" i="7"/>
  <c r="BE16" i="7"/>
  <c r="AM16" i="7"/>
  <c r="AN16" i="7"/>
  <c r="FE16" i="7" l="1"/>
  <c r="EK16" i="7"/>
  <c r="FW16" i="7"/>
  <c r="BW16" i="7"/>
  <c r="BF16" i="7"/>
  <c r="GP16" i="7"/>
  <c r="ET16" i="7"/>
  <c r="DS16" i="7"/>
  <c r="HS16" i="7"/>
  <c r="GY16" i="7"/>
  <c r="DA16" i="7"/>
  <c r="AO16" i="7"/>
  <c r="CN16" i="7"/>
  <c r="DJ16" i="7"/>
  <c r="EB16" i="7"/>
  <c r="ID16" i="7"/>
  <c r="IB15" i="7"/>
  <c r="IC15" i="7"/>
  <c r="GW15" i="7"/>
  <c r="GX15" i="7"/>
  <c r="GN15" i="7"/>
  <c r="GO15" i="7"/>
  <c r="FU15" i="7"/>
  <c r="FV15" i="7"/>
  <c r="FC15" i="7"/>
  <c r="FD15" i="7"/>
  <c r="ER15" i="7"/>
  <c r="ES15" i="7"/>
  <c r="EI15" i="7"/>
  <c r="EJ15" i="7"/>
  <c r="DZ15" i="7"/>
  <c r="EA15" i="7"/>
  <c r="DQ15" i="7"/>
  <c r="DR15" i="7"/>
  <c r="DH15" i="7"/>
  <c r="DI15" i="7"/>
  <c r="CX15" i="7"/>
  <c r="CY15" i="7"/>
  <c r="CZ15" i="7"/>
  <c r="CL15" i="7"/>
  <c r="CM15" i="7"/>
  <c r="BU15" i="7"/>
  <c r="BV15" i="7"/>
  <c r="BD15" i="7"/>
  <c r="BE15" i="7"/>
  <c r="AM15" i="7"/>
  <c r="AN15" i="7"/>
  <c r="ET15" i="7" l="1"/>
  <c r="FW15" i="7"/>
  <c r="GY15" i="7"/>
  <c r="ID15" i="7"/>
  <c r="EK15" i="7"/>
  <c r="AO15" i="7"/>
  <c r="BW15" i="7"/>
  <c r="BF15" i="7"/>
  <c r="CN15" i="7"/>
  <c r="FE15" i="7"/>
  <c r="GP15" i="7"/>
  <c r="DS15" i="7"/>
  <c r="DA15" i="7"/>
  <c r="DJ15" i="7"/>
  <c r="EB15" i="7"/>
  <c r="HS15" i="7"/>
  <c r="GO42" i="7" l="1"/>
  <c r="GN42" i="7"/>
  <c r="GP42" i="7" l="1"/>
  <c r="FG49" i="7"/>
  <c r="FH49" i="7"/>
  <c r="FI49" i="7"/>
  <c r="FJ49" i="7"/>
  <c r="FK49" i="7"/>
  <c r="FL49" i="7"/>
  <c r="FM49" i="7"/>
  <c r="FN49" i="7"/>
  <c r="FO49" i="7"/>
  <c r="FP49" i="7"/>
  <c r="FQ49" i="7"/>
  <c r="FR49" i="7"/>
  <c r="FS49" i="7"/>
  <c r="FT49" i="7"/>
  <c r="FU49" i="7"/>
  <c r="FV49" i="7"/>
  <c r="F41" i="7"/>
  <c r="FO50" i="7" l="1"/>
  <c r="FG50" i="7"/>
  <c r="FU50" i="7"/>
  <c r="FI50" i="7"/>
  <c r="FV50" i="7"/>
  <c r="FR50" i="7"/>
  <c r="FN50" i="7"/>
  <c r="FJ50" i="7"/>
  <c r="FS50" i="7"/>
  <c r="FK50" i="7"/>
  <c r="FL50" i="7"/>
  <c r="FQ50" i="7"/>
  <c r="FM50" i="7"/>
  <c r="FP50" i="7"/>
  <c r="FH50" i="7"/>
  <c r="IW50" i="7"/>
  <c r="IX50" i="7"/>
  <c r="FT50" i="7"/>
  <c r="FP51" i="7" l="1"/>
  <c r="FQ51" i="7"/>
  <c r="FV42" i="7"/>
  <c r="FU42" i="7"/>
  <c r="FV25" i="7"/>
  <c r="FU25" i="7"/>
  <c r="FV23" i="7"/>
  <c r="FU23" i="7"/>
  <c r="FV22" i="7"/>
  <c r="FU22" i="7"/>
  <c r="FV21" i="7"/>
  <c r="FU21" i="7"/>
  <c r="FW25" i="7" l="1"/>
  <c r="FW22" i="7"/>
  <c r="FW42" i="7"/>
  <c r="FW23" i="7"/>
  <c r="FW21" i="7"/>
  <c r="IB14" i="7"/>
  <c r="IC14" i="7"/>
  <c r="IB18" i="7"/>
  <c r="IC18" i="7"/>
  <c r="GW14" i="7"/>
  <c r="GX14" i="7"/>
  <c r="GW18" i="7"/>
  <c r="GX18" i="7"/>
  <c r="GN14" i="7"/>
  <c r="GO14" i="7"/>
  <c r="GN18" i="7"/>
  <c r="GO18" i="7"/>
  <c r="FU14" i="7"/>
  <c r="FV14" i="7"/>
  <c r="FU18" i="7"/>
  <c r="FV18" i="7"/>
  <c r="FC14" i="7"/>
  <c r="FD14" i="7"/>
  <c r="FC18" i="7"/>
  <c r="FD18" i="7"/>
  <c r="ER14" i="7"/>
  <c r="ES14" i="7"/>
  <c r="ER18" i="7"/>
  <c r="ES18" i="7"/>
  <c r="EI14" i="7"/>
  <c r="EJ14" i="7"/>
  <c r="EI18" i="7"/>
  <c r="EJ18" i="7"/>
  <c r="DZ14" i="7"/>
  <c r="EA14" i="7"/>
  <c r="DZ18" i="7"/>
  <c r="EA18" i="7"/>
  <c r="DQ14" i="7"/>
  <c r="DR14" i="7"/>
  <c r="DQ18" i="7"/>
  <c r="DR18" i="7"/>
  <c r="DH14" i="7"/>
  <c r="DI14" i="7"/>
  <c r="DH18" i="7"/>
  <c r="DI18" i="7"/>
  <c r="CX14" i="7"/>
  <c r="CY14" i="7"/>
  <c r="CZ14" i="7"/>
  <c r="CX18" i="7"/>
  <c r="CY18" i="7"/>
  <c r="CZ18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BU14" i="7"/>
  <c r="BV14" i="7"/>
  <c r="BU18" i="7"/>
  <c r="BV18" i="7"/>
  <c r="BD14" i="7"/>
  <c r="BE14" i="7"/>
  <c r="BD18" i="7"/>
  <c r="BE18" i="7"/>
  <c r="AM14" i="7"/>
  <c r="AN14" i="7"/>
  <c r="AM18" i="7"/>
  <c r="AN18" i="7"/>
  <c r="FE14" i="7" l="1"/>
  <c r="GP14" i="7"/>
  <c r="EB18" i="7"/>
  <c r="ET18" i="7"/>
  <c r="GY14" i="7"/>
  <c r="ID14" i="7"/>
  <c r="FE18" i="7"/>
  <c r="DS14" i="7"/>
  <c r="EK14" i="7"/>
  <c r="FW14" i="7"/>
  <c r="BF18" i="7"/>
  <c r="DJ18" i="7"/>
  <c r="AO18" i="7"/>
  <c r="BW18" i="7"/>
  <c r="DJ14" i="7"/>
  <c r="HS14" i="7"/>
  <c r="ET14" i="7"/>
  <c r="EK18" i="7"/>
  <c r="AO14" i="7"/>
  <c r="BW14" i="7"/>
  <c r="CM14" i="7"/>
  <c r="EB14" i="7"/>
  <c r="DA14" i="7"/>
  <c r="DS18" i="7"/>
  <c r="FW18" i="7"/>
  <c r="BF14" i="7"/>
  <c r="GY18" i="7"/>
  <c r="CL18" i="7"/>
  <c r="ID18" i="7"/>
  <c r="HS18" i="7"/>
  <c r="GP18" i="7"/>
  <c r="DA18" i="7"/>
  <c r="CM18" i="7"/>
  <c r="CL14" i="7"/>
  <c r="IW51" i="7" l="1"/>
  <c r="IX51" i="7"/>
  <c r="CN14" i="7"/>
  <c r="CN18" i="7"/>
  <c r="FU7" i="7" l="1"/>
  <c r="FV7" i="7"/>
  <c r="FU8" i="7"/>
  <c r="FV8" i="7"/>
  <c r="FU9" i="7"/>
  <c r="FV9" i="7"/>
  <c r="FU10" i="7"/>
  <c r="FV10" i="7"/>
  <c r="FU11" i="7"/>
  <c r="FV11" i="7"/>
  <c r="FU12" i="7"/>
  <c r="FV12" i="7"/>
  <c r="FU6" i="7"/>
  <c r="FV6" i="7"/>
  <c r="FW8" i="7" l="1"/>
  <c r="FW12" i="7"/>
  <c r="FW11" i="7"/>
  <c r="FW7" i="7"/>
  <c r="FW9" i="7"/>
  <c r="FW10" i="7"/>
  <c r="DZ7" i="7"/>
  <c r="EA7" i="7"/>
  <c r="DZ8" i="7"/>
  <c r="EA8" i="7"/>
  <c r="DZ9" i="7"/>
  <c r="EA9" i="7"/>
  <c r="DZ10" i="7"/>
  <c r="EA10" i="7"/>
  <c r="DZ11" i="7"/>
  <c r="EA11" i="7"/>
  <c r="DZ12" i="7"/>
  <c r="EA12" i="7"/>
  <c r="DZ13" i="7"/>
  <c r="EA13" i="7"/>
  <c r="EB13" i="7" l="1"/>
  <c r="EB10" i="7"/>
  <c r="EB12" i="7"/>
  <c r="EB11" i="7"/>
  <c r="EB9" i="7"/>
  <c r="EB8" i="7"/>
  <c r="EB7" i="7"/>
  <c r="F24" i="7"/>
  <c r="FT51" i="7" l="1"/>
  <c r="M22" i="6"/>
  <c r="G38" i="7"/>
  <c r="M20" i="6"/>
  <c r="FL51" i="7"/>
  <c r="FJ51" i="7"/>
  <c r="I31" i="9"/>
  <c r="N19" i="4"/>
  <c r="I29" i="9"/>
  <c r="M67" i="18"/>
  <c r="L67" i="18"/>
  <c r="K67" i="18"/>
  <c r="J67" i="18"/>
  <c r="I67" i="18"/>
  <c r="H67" i="18"/>
  <c r="F67" i="18"/>
  <c r="E67" i="18"/>
  <c r="C67" i="18"/>
  <c r="B67" i="18"/>
  <c r="M65" i="18"/>
  <c r="L65" i="18"/>
  <c r="K65" i="18"/>
  <c r="J65" i="18"/>
  <c r="I65" i="18"/>
  <c r="H65" i="18"/>
  <c r="F65" i="18"/>
  <c r="E65" i="18"/>
  <c r="C65" i="18"/>
  <c r="B65" i="18"/>
  <c r="M63" i="18"/>
  <c r="L63" i="18"/>
  <c r="K63" i="18"/>
  <c r="J63" i="18"/>
  <c r="I63" i="18"/>
  <c r="H63" i="18"/>
  <c r="F63" i="18"/>
  <c r="E63" i="18"/>
  <c r="C63" i="18"/>
  <c r="B63" i="18"/>
  <c r="H54" i="18"/>
  <c r="G54" i="18"/>
  <c r="F54" i="18"/>
  <c r="E54" i="18"/>
  <c r="D54" i="18"/>
  <c r="C54" i="18"/>
  <c r="H52" i="18"/>
  <c r="G52" i="18"/>
  <c r="F52" i="18"/>
  <c r="E52" i="18"/>
  <c r="D52" i="18"/>
  <c r="C52" i="18"/>
  <c r="H50" i="18"/>
  <c r="G50" i="18"/>
  <c r="F50" i="18"/>
  <c r="E50" i="18"/>
  <c r="D50" i="18"/>
  <c r="C50" i="18"/>
  <c r="H48" i="18"/>
  <c r="G48" i="18"/>
  <c r="F48" i="18"/>
  <c r="E48" i="18"/>
  <c r="D48" i="18"/>
  <c r="C48" i="18"/>
  <c r="H46" i="18"/>
  <c r="G46" i="18"/>
  <c r="F46" i="18"/>
  <c r="E46" i="18"/>
  <c r="D46" i="18"/>
  <c r="C46" i="18"/>
  <c r="H44" i="18"/>
  <c r="G44" i="18"/>
  <c r="F44" i="18"/>
  <c r="E44" i="18"/>
  <c r="D44" i="18"/>
  <c r="C44" i="18"/>
  <c r="H42" i="18"/>
  <c r="G42" i="18"/>
  <c r="F42" i="18"/>
  <c r="E42" i="18"/>
  <c r="D42" i="18"/>
  <c r="C42" i="18"/>
  <c r="I31" i="18"/>
  <c r="H31" i="18"/>
  <c r="G31" i="18"/>
  <c r="F31" i="18"/>
  <c r="E31" i="18"/>
  <c r="D31" i="18"/>
  <c r="C31" i="18"/>
  <c r="I29" i="18"/>
  <c r="H29" i="18"/>
  <c r="G29" i="18"/>
  <c r="F29" i="18"/>
  <c r="E29" i="18"/>
  <c r="D29" i="18"/>
  <c r="C29" i="18"/>
  <c r="E22" i="18"/>
  <c r="D22" i="18"/>
  <c r="C22" i="18"/>
  <c r="L21" i="18"/>
  <c r="K21" i="18"/>
  <c r="J21" i="18"/>
  <c r="E20" i="18"/>
  <c r="D20" i="18"/>
  <c r="C20" i="18"/>
  <c r="L19" i="18"/>
  <c r="K19" i="18"/>
  <c r="J19" i="18"/>
  <c r="E18" i="18"/>
  <c r="D18" i="18"/>
  <c r="C18" i="18"/>
  <c r="FR51" i="7" l="1"/>
  <c r="N21" i="4"/>
  <c r="N23" i="4" s="1"/>
  <c r="N21" i="5"/>
  <c r="N19" i="5"/>
  <c r="M24" i="6"/>
  <c r="FO51" i="7"/>
  <c r="FS51" i="7"/>
  <c r="FN51" i="7"/>
  <c r="FH51" i="7"/>
  <c r="FG51" i="7"/>
  <c r="FK51" i="7"/>
  <c r="FM51" i="7"/>
  <c r="FI51" i="7"/>
  <c r="L23" i="18"/>
  <c r="G33" i="18"/>
  <c r="M21" i="18"/>
  <c r="D65" i="18"/>
  <c r="K23" i="18"/>
  <c r="J48" i="18"/>
  <c r="C33" i="18"/>
  <c r="E24" i="18"/>
  <c r="F56" i="18"/>
  <c r="J50" i="18"/>
  <c r="D63" i="18"/>
  <c r="O65" i="18"/>
  <c r="N65" i="18"/>
  <c r="N67" i="18"/>
  <c r="C24" i="18"/>
  <c r="F22" i="18"/>
  <c r="J54" i="18"/>
  <c r="D67" i="18"/>
  <c r="D56" i="18"/>
  <c r="F33" i="18"/>
  <c r="H56" i="18"/>
  <c r="J52" i="18"/>
  <c r="J44" i="18"/>
  <c r="I33" i="18"/>
  <c r="E33" i="18"/>
  <c r="J31" i="18"/>
  <c r="I54" i="18"/>
  <c r="D33" i="18"/>
  <c r="H33" i="18"/>
  <c r="M19" i="18"/>
  <c r="O63" i="18"/>
  <c r="O67" i="18"/>
  <c r="N63" i="18"/>
  <c r="G65" i="18"/>
  <c r="G63" i="18"/>
  <c r="G67" i="18"/>
  <c r="D24" i="18"/>
  <c r="F20" i="18"/>
  <c r="G56" i="18"/>
  <c r="I42" i="18"/>
  <c r="I46" i="18"/>
  <c r="I50" i="18"/>
  <c r="K50" i="18" s="1"/>
  <c r="E56" i="18"/>
  <c r="I52" i="18"/>
  <c r="C56" i="18"/>
  <c r="J23" i="18"/>
  <c r="F18" i="18"/>
  <c r="J29" i="18"/>
  <c r="J42" i="18"/>
  <c r="I44" i="18"/>
  <c r="J46" i="18"/>
  <c r="I48" i="18"/>
  <c r="N23" i="5" l="1"/>
  <c r="M23" i="18"/>
  <c r="K54" i="18"/>
  <c r="K48" i="18"/>
  <c r="P65" i="18"/>
  <c r="K52" i="18"/>
  <c r="P67" i="18"/>
  <c r="F24" i="18"/>
  <c r="J56" i="18"/>
  <c r="K44" i="18"/>
  <c r="K42" i="18"/>
  <c r="J33" i="18"/>
  <c r="K46" i="18"/>
  <c r="P63" i="18"/>
  <c r="I56" i="18"/>
  <c r="K56" i="18" l="1"/>
  <c r="F13" i="18" l="1"/>
  <c r="G13" i="18"/>
  <c r="H13" i="18"/>
  <c r="C13" i="18"/>
  <c r="G8" i="18"/>
  <c r="L8" i="18"/>
  <c r="F26" i="7"/>
  <c r="IC25" i="7"/>
  <c r="IB25" i="7"/>
  <c r="GX25" i="7"/>
  <c r="GW25" i="7"/>
  <c r="GO25" i="7"/>
  <c r="GN25" i="7"/>
  <c r="FD25" i="7"/>
  <c r="FC25" i="7"/>
  <c r="ES25" i="7"/>
  <c r="ER25" i="7"/>
  <c r="EJ25" i="7"/>
  <c r="EI25" i="7"/>
  <c r="EA25" i="7"/>
  <c r="DZ25" i="7"/>
  <c r="DI25" i="7"/>
  <c r="DH25" i="7"/>
  <c r="CZ25" i="7"/>
  <c r="CY25" i="7"/>
  <c r="CX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V25" i="7"/>
  <c r="BE25" i="7"/>
  <c r="BD25" i="7"/>
  <c r="AN25" i="7"/>
  <c r="AM25" i="7"/>
  <c r="K13" i="18" l="1"/>
  <c r="L13" i="18"/>
  <c r="GY25" i="7"/>
  <c r="B13" i="18"/>
  <c r="B8" i="18"/>
  <c r="ET25" i="7"/>
  <c r="CM25" i="7"/>
  <c r="DJ25" i="7"/>
  <c r="BW25" i="7"/>
  <c r="ID25" i="7"/>
  <c r="GP25" i="7"/>
  <c r="FE25" i="7"/>
  <c r="EK25" i="7"/>
  <c r="EB25" i="7"/>
  <c r="DA25" i="7"/>
  <c r="BF25" i="7"/>
  <c r="CL25" i="7"/>
  <c r="AO25" i="7"/>
  <c r="G49" i="7"/>
  <c r="G50" i="7" s="1"/>
  <c r="H49" i="7"/>
  <c r="H50" i="7" s="1"/>
  <c r="I49" i="7"/>
  <c r="J49" i="7"/>
  <c r="K49" i="7"/>
  <c r="K50" i="7" s="1"/>
  <c r="L49" i="7"/>
  <c r="L50" i="7" s="1"/>
  <c r="M49" i="7"/>
  <c r="N49" i="7"/>
  <c r="O49" i="7"/>
  <c r="O50" i="7" s="1"/>
  <c r="P49" i="7"/>
  <c r="P50" i="7" s="1"/>
  <c r="Q49" i="7"/>
  <c r="R49" i="7"/>
  <c r="T49" i="7"/>
  <c r="T50" i="7" s="1"/>
  <c r="U49" i="7"/>
  <c r="U50" i="7" s="1"/>
  <c r="V49" i="7"/>
  <c r="W49" i="7"/>
  <c r="X49" i="7"/>
  <c r="X50" i="7" s="1"/>
  <c r="Y49" i="7"/>
  <c r="Z49" i="7"/>
  <c r="AA49" i="7"/>
  <c r="AA50" i="7" s="1"/>
  <c r="AB49" i="7"/>
  <c r="AB50" i="7" s="1"/>
  <c r="AC49" i="7"/>
  <c r="AD49" i="7"/>
  <c r="AE49" i="7"/>
  <c r="AE50" i="7" s="1"/>
  <c r="AF49" i="7"/>
  <c r="AF50" i="7" s="1"/>
  <c r="AG49" i="7"/>
  <c r="AH49" i="7"/>
  <c r="AI49" i="7"/>
  <c r="AI50" i="7" s="1"/>
  <c r="AJ49" i="7"/>
  <c r="AJ50" i="7" s="1"/>
  <c r="AK49" i="7"/>
  <c r="AL49" i="7"/>
  <c r="AP49" i="7"/>
  <c r="AQ49" i="7"/>
  <c r="AQ50" i="7" s="1"/>
  <c r="AR49" i="7"/>
  <c r="AR50" i="7" s="1"/>
  <c r="AS49" i="7"/>
  <c r="AT49" i="7"/>
  <c r="AU49" i="7"/>
  <c r="AU50" i="7" s="1"/>
  <c r="AV49" i="7"/>
  <c r="AV50" i="7" s="1"/>
  <c r="AW49" i="7"/>
  <c r="AX49" i="7"/>
  <c r="AY49" i="7"/>
  <c r="AY50" i="7" s="1"/>
  <c r="AZ49" i="7"/>
  <c r="AZ50" i="7" s="1"/>
  <c r="BA49" i="7"/>
  <c r="BB49" i="7"/>
  <c r="BC49" i="7"/>
  <c r="BC50" i="7" s="1"/>
  <c r="BG49" i="7"/>
  <c r="BG50" i="7" s="1"/>
  <c r="BH49" i="7"/>
  <c r="BH50" i="7" s="1"/>
  <c r="BI49" i="7"/>
  <c r="BI50" i="7" s="1"/>
  <c r="BJ49" i="7"/>
  <c r="BK49" i="7"/>
  <c r="BK50" i="7" s="1"/>
  <c r="BL49" i="7"/>
  <c r="BL50" i="7" s="1"/>
  <c r="BM49" i="7"/>
  <c r="BN49" i="7"/>
  <c r="BO49" i="7"/>
  <c r="BO50" i="7" s="1"/>
  <c r="BP49" i="7"/>
  <c r="BP50" i="7" s="1"/>
  <c r="BQ49" i="7"/>
  <c r="BR49" i="7"/>
  <c r="BS49" i="7"/>
  <c r="BS50" i="7" s="1"/>
  <c r="BT49" i="7"/>
  <c r="BT50" i="7" s="1"/>
  <c r="CO49" i="7"/>
  <c r="CO50" i="7" s="1"/>
  <c r="CP49" i="7"/>
  <c r="CQ49" i="7"/>
  <c r="CQ50" i="7" s="1"/>
  <c r="CR49" i="7"/>
  <c r="CR50" i="7" s="1"/>
  <c r="CS49" i="7"/>
  <c r="CT49" i="7"/>
  <c r="CU49" i="7"/>
  <c r="CU50" i="7" s="1"/>
  <c r="CV49" i="7"/>
  <c r="CV50" i="7" s="1"/>
  <c r="CW49" i="7"/>
  <c r="DB49" i="7"/>
  <c r="DC49" i="7"/>
  <c r="DC50" i="7" s="1"/>
  <c r="DD49" i="7"/>
  <c r="DE49" i="7"/>
  <c r="DF49" i="7"/>
  <c r="DG49" i="7"/>
  <c r="DG50" i="7" s="1"/>
  <c r="DK49" i="7"/>
  <c r="DK50" i="7" s="1"/>
  <c r="DL49" i="7"/>
  <c r="DL50" i="7" s="1"/>
  <c r="DM49" i="7"/>
  <c r="DN49" i="7"/>
  <c r="DO49" i="7"/>
  <c r="DO50" i="7" s="1"/>
  <c r="DP49" i="7"/>
  <c r="DP50" i="7" s="1"/>
  <c r="DT49" i="7"/>
  <c r="DT50" i="7" s="1"/>
  <c r="DU49" i="7"/>
  <c r="DU50" i="7" s="1"/>
  <c r="DV49" i="7"/>
  <c r="DW49" i="7"/>
  <c r="DW50" i="7" s="1"/>
  <c r="DX49" i="7"/>
  <c r="DX50" i="7" s="1"/>
  <c r="DY49" i="7"/>
  <c r="EC49" i="7"/>
  <c r="ED49" i="7"/>
  <c r="EE49" i="7"/>
  <c r="EE50" i="7" s="1"/>
  <c r="EF49" i="7"/>
  <c r="EF50" i="7" s="1"/>
  <c r="EG49" i="7"/>
  <c r="EG50" i="7" s="1"/>
  <c r="EH49" i="7"/>
  <c r="EL49" i="7"/>
  <c r="EM49" i="7"/>
  <c r="EM50" i="7" s="1"/>
  <c r="EN49" i="7"/>
  <c r="EO49" i="7"/>
  <c r="EP49" i="7"/>
  <c r="EQ49" i="7"/>
  <c r="EQ50" i="7" s="1"/>
  <c r="EU49" i="7"/>
  <c r="EU50" i="7" s="1"/>
  <c r="EU51" i="7" s="1"/>
  <c r="EV49" i="7"/>
  <c r="EV50" i="7" s="1"/>
  <c r="EW49" i="7"/>
  <c r="EW50" i="7" s="1"/>
  <c r="EX49" i="7"/>
  <c r="EY49" i="7"/>
  <c r="EY50" i="7" s="1"/>
  <c r="EZ49" i="7"/>
  <c r="EZ50" i="7" s="1"/>
  <c r="FA49" i="7"/>
  <c r="FA50" i="7" s="1"/>
  <c r="M19" i="17" s="1"/>
  <c r="FB49" i="7"/>
  <c r="FF49" i="7"/>
  <c r="FX49" i="7"/>
  <c r="FX50" i="7" s="1"/>
  <c r="FX51" i="7" s="1"/>
  <c r="FY49" i="7"/>
  <c r="GA50" i="7"/>
  <c r="GA51" i="7" s="1"/>
  <c r="GB50" i="7"/>
  <c r="GB51" i="7" s="1"/>
  <c r="GE50" i="7"/>
  <c r="GE51" i="7" s="1"/>
  <c r="GF50" i="7"/>
  <c r="GF51" i="7" s="1"/>
  <c r="GG50" i="7"/>
  <c r="GG51" i="7" s="1"/>
  <c r="GI50" i="7"/>
  <c r="GI51" i="7" s="1"/>
  <c r="GJ50" i="7"/>
  <c r="GJ51" i="7" s="1"/>
  <c r="GK50" i="7"/>
  <c r="GK51" i="7" s="1"/>
  <c r="GM50" i="7"/>
  <c r="GM51" i="7" s="1"/>
  <c r="GQ50" i="7"/>
  <c r="GR50" i="7"/>
  <c r="GU50" i="7"/>
  <c r="GV50" i="7"/>
  <c r="GZ50" i="7"/>
  <c r="HA50" i="7"/>
  <c r="HC50" i="7"/>
  <c r="HD50" i="7"/>
  <c r="HG50" i="7"/>
  <c r="HH50" i="7"/>
  <c r="HK50" i="7"/>
  <c r="HL50" i="7"/>
  <c r="HM50" i="7"/>
  <c r="HT50" i="7"/>
  <c r="HW50" i="7"/>
  <c r="HX50" i="7"/>
  <c r="IA50" i="7"/>
  <c r="IE50" i="7"/>
  <c r="IF50" i="7"/>
  <c r="IG50" i="7"/>
  <c r="IJ50" i="7"/>
  <c r="IK50" i="7"/>
  <c r="IN50" i="7"/>
  <c r="IO50" i="7"/>
  <c r="IP50" i="7"/>
  <c r="IR50" i="7"/>
  <c r="IS50" i="7"/>
  <c r="IS51" i="7" s="1"/>
  <c r="IT50" i="7"/>
  <c r="IT51" i="7" s="1"/>
  <c r="IV50" i="7"/>
  <c r="IV51" i="7" s="1"/>
  <c r="GN50" i="7"/>
  <c r="FC49" i="7"/>
  <c r="ES49" i="7"/>
  <c r="ER49" i="7"/>
  <c r="EJ49" i="7"/>
  <c r="EI49" i="7"/>
  <c r="DZ49" i="7"/>
  <c r="DQ49" i="7"/>
  <c r="DH49" i="7"/>
  <c r="CZ49" i="7"/>
  <c r="CY49" i="7"/>
  <c r="CX49" i="7"/>
  <c r="CK49" i="7"/>
  <c r="CH49" i="7"/>
  <c r="CG49" i="7"/>
  <c r="CF49" i="7"/>
  <c r="CE49" i="7"/>
  <c r="CD49" i="7"/>
  <c r="CC49" i="7"/>
  <c r="CB49" i="7"/>
  <c r="CA49" i="7"/>
  <c r="BZ49" i="7"/>
  <c r="BY49" i="7"/>
  <c r="BX49" i="7"/>
  <c r="BV49" i="7"/>
  <c r="BU49" i="7"/>
  <c r="BE49" i="7"/>
  <c r="AM49" i="7"/>
  <c r="M13" i="18" l="1"/>
  <c r="EN50" i="7"/>
  <c r="DD50" i="7"/>
  <c r="DD51" i="7" s="1"/>
  <c r="DE50" i="7"/>
  <c r="CN25" i="7"/>
  <c r="EJ50" i="7"/>
  <c r="CC50" i="7"/>
  <c r="GW50" i="7"/>
  <c r="IR51" i="7"/>
  <c r="IN51" i="7"/>
  <c r="IO51" i="7"/>
  <c r="IB50" i="7"/>
  <c r="ER50" i="7"/>
  <c r="AF51" i="7"/>
  <c r="IF51" i="7"/>
  <c r="I29" i="10"/>
  <c r="BT51" i="7"/>
  <c r="GZ51" i="7"/>
  <c r="AE51" i="7"/>
  <c r="AA51" i="7"/>
  <c r="CA50" i="7"/>
  <c r="CE50" i="7"/>
  <c r="FC50" i="7"/>
  <c r="GQ51" i="7"/>
  <c r="BG51" i="7"/>
  <c r="IK51" i="7"/>
  <c r="CU51" i="7"/>
  <c r="GP50" i="7"/>
  <c r="EE51" i="7"/>
  <c r="DT51" i="7"/>
  <c r="BC51" i="7"/>
  <c r="AU51" i="7"/>
  <c r="AQ51" i="7"/>
  <c r="AJ51" i="7"/>
  <c r="BW49" i="7"/>
  <c r="ET49" i="7"/>
  <c r="FB50" i="7"/>
  <c r="EX50" i="7"/>
  <c r="EX51" i="7" s="1"/>
  <c r="W50" i="7"/>
  <c r="R50" i="7"/>
  <c r="N50" i="7"/>
  <c r="J50" i="7"/>
  <c r="AM50" i="7"/>
  <c r="BY50" i="7"/>
  <c r="DO51" i="7"/>
  <c r="I31" i="10"/>
  <c r="HH51" i="7"/>
  <c r="HX51" i="7"/>
  <c r="HG51" i="7"/>
  <c r="HC51" i="7"/>
  <c r="BL51" i="7"/>
  <c r="HW51" i="7"/>
  <c r="AB51" i="7"/>
  <c r="CQ51" i="7"/>
  <c r="BO51" i="7"/>
  <c r="IE51" i="7"/>
  <c r="DK51" i="7"/>
  <c r="CK50" i="7"/>
  <c r="BD49" i="7"/>
  <c r="BF49" i="7"/>
  <c r="BU50" i="7"/>
  <c r="BZ50" i="7"/>
  <c r="CD50" i="7"/>
  <c r="CH50" i="7"/>
  <c r="CX50" i="7"/>
  <c r="DH50" i="7"/>
  <c r="DZ50" i="7"/>
  <c r="GO50" i="7"/>
  <c r="DW51" i="7"/>
  <c r="DL51" i="7"/>
  <c r="BV50" i="7"/>
  <c r="CG50" i="7"/>
  <c r="DA49" i="7"/>
  <c r="DS49" i="7"/>
  <c r="DR49" i="7"/>
  <c r="FW49" i="7"/>
  <c r="HK51" i="7"/>
  <c r="BK51" i="7"/>
  <c r="EZ51" i="7"/>
  <c r="IC50" i="7"/>
  <c r="CI49" i="7"/>
  <c r="DI49" i="7"/>
  <c r="DJ49" i="7"/>
  <c r="CY50" i="7"/>
  <c r="HP50" i="7"/>
  <c r="BE50" i="7"/>
  <c r="BX50" i="7"/>
  <c r="CB50" i="7"/>
  <c r="CF50" i="7"/>
  <c r="CZ50" i="7"/>
  <c r="DQ50" i="7"/>
  <c r="EI50" i="7"/>
  <c r="ES50" i="7"/>
  <c r="AO49" i="7"/>
  <c r="AN49" i="7"/>
  <c r="EK49" i="7"/>
  <c r="BP51" i="7"/>
  <c r="HA51" i="7"/>
  <c r="CL49" i="7"/>
  <c r="CJ49" i="7"/>
  <c r="EB49" i="7"/>
  <c r="EA49" i="7"/>
  <c r="FE49" i="7"/>
  <c r="FD49" i="7"/>
  <c r="HM51" i="7"/>
  <c r="FA51" i="7"/>
  <c r="N20" i="3" s="1"/>
  <c r="HL51" i="7"/>
  <c r="EV51" i="7"/>
  <c r="I31" i="5"/>
  <c r="AY51" i="7"/>
  <c r="CR51" i="7"/>
  <c r="I29" i="5"/>
  <c r="AI51" i="7"/>
  <c r="HZ50" i="7"/>
  <c r="HV50" i="7"/>
  <c r="HN50" i="7"/>
  <c r="HJ50" i="7"/>
  <c r="HF50" i="7"/>
  <c r="HB50" i="7"/>
  <c r="GL50" i="7"/>
  <c r="GL51" i="7" s="1"/>
  <c r="GH50" i="7"/>
  <c r="GH51" i="7" s="1"/>
  <c r="GD50" i="7"/>
  <c r="GD51" i="7" s="1"/>
  <c r="FZ50" i="7"/>
  <c r="FZ51" i="7" s="1"/>
  <c r="DV50" i="7"/>
  <c r="DF50" i="7"/>
  <c r="DB50" i="7"/>
  <c r="BB50" i="7"/>
  <c r="AX50" i="7"/>
  <c r="AT50" i="7"/>
  <c r="AP50" i="7"/>
  <c r="EP50" i="7"/>
  <c r="EL50" i="7"/>
  <c r="CT50" i="7"/>
  <c r="CP50" i="7"/>
  <c r="AL50" i="7"/>
  <c r="AH50" i="7"/>
  <c r="AD50" i="7"/>
  <c r="Z50" i="7"/>
  <c r="BH51" i="7"/>
  <c r="AV51" i="7"/>
  <c r="IL50" i="7"/>
  <c r="IH50" i="7"/>
  <c r="GT50" i="7"/>
  <c r="FF50" i="7"/>
  <c r="EH50" i="7"/>
  <c r="ED50" i="7"/>
  <c r="DN50" i="7"/>
  <c r="BR50" i="7"/>
  <c r="BR51" i="7" s="1"/>
  <c r="BN50" i="7"/>
  <c r="BJ50" i="7"/>
  <c r="HY50" i="7"/>
  <c r="HU50" i="7"/>
  <c r="HU51" i="7" s="1"/>
  <c r="HI50" i="7"/>
  <c r="HE50" i="7"/>
  <c r="GS50" i="7"/>
  <c r="GC50" i="7"/>
  <c r="GC51" i="7" s="1"/>
  <c r="FY50" i="7"/>
  <c r="FY51" i="7" s="1"/>
  <c r="EO50" i="7"/>
  <c r="EC50" i="7"/>
  <c r="DY50" i="7"/>
  <c r="DM50" i="7"/>
  <c r="CW50" i="7"/>
  <c r="CS50" i="7"/>
  <c r="CS51" i="7" s="1"/>
  <c r="BQ50" i="7"/>
  <c r="BM50" i="7"/>
  <c r="BA50" i="7"/>
  <c r="AW50" i="7"/>
  <c r="AS50" i="7"/>
  <c r="AK50" i="7"/>
  <c r="AG50" i="7"/>
  <c r="AC50" i="7"/>
  <c r="Y50" i="7"/>
  <c r="V50" i="7"/>
  <c r="Q50" i="7"/>
  <c r="M50" i="7"/>
  <c r="I50" i="7"/>
  <c r="IU50" i="7"/>
  <c r="IU51" i="7" s="1"/>
  <c r="IQ50" i="7"/>
  <c r="IM50" i="7"/>
  <c r="II50" i="7"/>
  <c r="FB51" i="7" l="1"/>
  <c r="N22" i="3" s="1"/>
  <c r="N24" i="3" s="1"/>
  <c r="M21" i="17"/>
  <c r="M23" i="17" s="1"/>
  <c r="DG51" i="7"/>
  <c r="IG51" i="7"/>
  <c r="GY50" i="7"/>
  <c r="EM51" i="7"/>
  <c r="EC51" i="7"/>
  <c r="ET50" i="7"/>
  <c r="BW50" i="7"/>
  <c r="GV51" i="7"/>
  <c r="DA50" i="7"/>
  <c r="H51" i="7"/>
  <c r="BD50" i="7"/>
  <c r="L51" i="7"/>
  <c r="FF51" i="7"/>
  <c r="IJ51" i="7"/>
  <c r="G51" i="7"/>
  <c r="IP51" i="7"/>
  <c r="K51" i="7"/>
  <c r="M51" i="7"/>
  <c r="EQ51" i="7"/>
  <c r="IA51" i="7"/>
  <c r="U51" i="7"/>
  <c r="HO50" i="7"/>
  <c r="FE50" i="7"/>
  <c r="CI50" i="7"/>
  <c r="I32" i="3"/>
  <c r="DC51" i="7"/>
  <c r="GS51" i="7"/>
  <c r="HY51" i="7"/>
  <c r="IL51" i="7"/>
  <c r="C30" i="3"/>
  <c r="DX51" i="7"/>
  <c r="DE51" i="7"/>
  <c r="DP51" i="7"/>
  <c r="FW50" i="7"/>
  <c r="HR50" i="7"/>
  <c r="AZ51" i="7"/>
  <c r="O51" i="7"/>
  <c r="EY51" i="7"/>
  <c r="GR51" i="7"/>
  <c r="X51" i="7"/>
  <c r="P51" i="7"/>
  <c r="IQ51" i="7"/>
  <c r="AC51" i="7"/>
  <c r="IH51" i="7"/>
  <c r="BS51" i="7"/>
  <c r="AR51" i="7"/>
  <c r="BM51" i="7"/>
  <c r="HD51" i="7"/>
  <c r="GX50" i="7"/>
  <c r="DU51" i="7"/>
  <c r="T51" i="7"/>
  <c r="EG51" i="7"/>
  <c r="FD50" i="7"/>
  <c r="J51" i="7"/>
  <c r="EF51" i="7"/>
  <c r="EW51" i="7"/>
  <c r="CO51" i="7"/>
  <c r="GU51" i="7"/>
  <c r="II51" i="7"/>
  <c r="EN51" i="7"/>
  <c r="BI51" i="7"/>
  <c r="CJ50" i="7"/>
  <c r="CW51" i="7"/>
  <c r="I51" i="7"/>
  <c r="Y51" i="7"/>
  <c r="AS51" i="7"/>
  <c r="HI51" i="7"/>
  <c r="EH51" i="7"/>
  <c r="GT51" i="7"/>
  <c r="AH51" i="7"/>
  <c r="EL51" i="7"/>
  <c r="AX51" i="7"/>
  <c r="DV51" i="7"/>
  <c r="I30" i="3"/>
  <c r="HN51" i="7"/>
  <c r="R51" i="7"/>
  <c r="HT51" i="7"/>
  <c r="N51" i="7"/>
  <c r="EB50" i="7"/>
  <c r="AO50" i="7"/>
  <c r="CV51" i="7"/>
  <c r="AW51" i="7"/>
  <c r="IM51" i="7"/>
  <c r="BQ51" i="7"/>
  <c r="DY51" i="7"/>
  <c r="BN51" i="7"/>
  <c r="AD51" i="7"/>
  <c r="CT51" i="7"/>
  <c r="AT51" i="7"/>
  <c r="DF51" i="7"/>
  <c r="HJ51" i="7"/>
  <c r="AL51" i="7"/>
  <c r="BB51" i="7"/>
  <c r="BA51" i="7"/>
  <c r="W51" i="7"/>
  <c r="EO51" i="7"/>
  <c r="DN51" i="7"/>
  <c r="EP51" i="7"/>
  <c r="HB51" i="7"/>
  <c r="HV51" i="7"/>
  <c r="Q51" i="7"/>
  <c r="AG51" i="7"/>
  <c r="CL50" i="7"/>
  <c r="EA50" i="7"/>
  <c r="DS50" i="7"/>
  <c r="DR50" i="7"/>
  <c r="DJ50" i="7"/>
  <c r="ID50" i="7"/>
  <c r="BF50" i="7"/>
  <c r="CN49" i="7"/>
  <c r="CM49" i="7"/>
  <c r="HQ50" i="7"/>
  <c r="DM51" i="7"/>
  <c r="HE51" i="7"/>
  <c r="BJ51" i="7"/>
  <c r="ED51" i="7"/>
  <c r="Z51" i="7"/>
  <c r="CP51" i="7"/>
  <c r="AP51" i="7"/>
  <c r="DB51" i="7"/>
  <c r="E30" i="3"/>
  <c r="HF51" i="7"/>
  <c r="HZ51" i="7"/>
  <c r="V51" i="7"/>
  <c r="AK51" i="7"/>
  <c r="DI50" i="7"/>
  <c r="EK50" i="7"/>
  <c r="AN50" i="7"/>
  <c r="CM50" i="7" l="1"/>
  <c r="HS50" i="7"/>
  <c r="CN50" i="7"/>
  <c r="F27" i="7" l="1"/>
  <c r="M64" i="8" l="1"/>
  <c r="M66" i="8"/>
  <c r="M68" i="8"/>
  <c r="K64" i="8"/>
  <c r="K66" i="8"/>
  <c r="K68" i="8"/>
  <c r="L68" i="8"/>
  <c r="L66" i="8"/>
  <c r="L64" i="8"/>
  <c r="J68" i="8"/>
  <c r="J64" i="8"/>
  <c r="H63" i="16"/>
  <c r="I63" i="16"/>
  <c r="H65" i="16"/>
  <c r="I65" i="16"/>
  <c r="H67" i="16"/>
  <c r="I67" i="16"/>
  <c r="J63" i="16"/>
  <c r="K63" i="16"/>
  <c r="J65" i="16"/>
  <c r="K65" i="16"/>
  <c r="K67" i="16"/>
  <c r="L63" i="16"/>
  <c r="M63" i="16"/>
  <c r="L65" i="16"/>
  <c r="M65" i="16"/>
  <c r="L67" i="16"/>
  <c r="M67" i="16"/>
  <c r="I64" i="15"/>
  <c r="H66" i="15"/>
  <c r="I68" i="15"/>
  <c r="J64" i="15"/>
  <c r="K64" i="15"/>
  <c r="J68" i="15"/>
  <c r="K68" i="15"/>
  <c r="L64" i="15"/>
  <c r="M66" i="15"/>
  <c r="L68" i="15"/>
  <c r="IC42" i="7"/>
  <c r="IB42" i="7"/>
  <c r="GX42" i="7"/>
  <c r="GW42" i="7"/>
  <c r="FD42" i="7"/>
  <c r="FC42" i="7"/>
  <c r="ES42" i="7"/>
  <c r="ER42" i="7"/>
  <c r="EJ42" i="7"/>
  <c r="EI42" i="7"/>
  <c r="EA42" i="7"/>
  <c r="DZ42" i="7"/>
  <c r="DR42" i="7"/>
  <c r="DQ42" i="7"/>
  <c r="DI42" i="7"/>
  <c r="DH42" i="7"/>
  <c r="CZ42" i="7"/>
  <c r="CZ43" i="7" s="1"/>
  <c r="CZ44" i="7" s="1"/>
  <c r="CY42" i="7"/>
  <c r="CX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V42" i="7"/>
  <c r="BU42" i="7"/>
  <c r="BE42" i="7"/>
  <c r="BD42" i="7"/>
  <c r="AN42" i="7"/>
  <c r="AM42" i="7"/>
  <c r="BF42" i="7" l="1"/>
  <c r="AO42" i="7"/>
  <c r="O67" i="16"/>
  <c r="O63" i="16"/>
  <c r="N63" i="16"/>
  <c r="O65" i="16"/>
  <c r="N65" i="16"/>
  <c r="DA42" i="7"/>
  <c r="DA43" i="7" s="1"/>
  <c r="DA44" i="7" s="1"/>
  <c r="FE42" i="7"/>
  <c r="DJ42" i="7"/>
  <c r="ET42" i="7"/>
  <c r="CL42" i="7"/>
  <c r="L66" i="17"/>
  <c r="L66" i="15"/>
  <c r="M68" i="17"/>
  <c r="M68" i="15"/>
  <c r="O68" i="15" s="1"/>
  <c r="M64" i="17"/>
  <c r="M64" i="15"/>
  <c r="O64" i="15" s="1"/>
  <c r="K66" i="17"/>
  <c r="K66" i="15"/>
  <c r="J68" i="17"/>
  <c r="J67" i="16"/>
  <c r="N67" i="16" s="1"/>
  <c r="BW42" i="7"/>
  <c r="EK42" i="7"/>
  <c r="I66" i="17"/>
  <c r="I66" i="15"/>
  <c r="J66" i="17"/>
  <c r="J66" i="15"/>
  <c r="J64" i="17"/>
  <c r="H68" i="17"/>
  <c r="H68" i="15"/>
  <c r="N68" i="15" s="1"/>
  <c r="H64" i="17"/>
  <c r="H64" i="15"/>
  <c r="N64" i="15" s="1"/>
  <c r="EB42" i="7"/>
  <c r="CM42" i="7"/>
  <c r="DS42" i="7"/>
  <c r="GY42" i="7"/>
  <c r="ID42" i="7"/>
  <c r="I68" i="17"/>
  <c r="I64" i="17"/>
  <c r="L68" i="17"/>
  <c r="L64" i="17"/>
  <c r="K68" i="17"/>
  <c r="K64" i="17"/>
  <c r="M66" i="17"/>
  <c r="H66" i="17"/>
  <c r="CN42" i="7" l="1"/>
  <c r="N66" i="15"/>
  <c r="N64" i="17"/>
  <c r="O64" i="17"/>
  <c r="N68" i="17"/>
  <c r="O66" i="15"/>
  <c r="O66" i="17"/>
  <c r="O68" i="17"/>
  <c r="N66" i="17"/>
  <c r="E64" i="13"/>
  <c r="E66" i="13"/>
  <c r="E68" i="13"/>
  <c r="H64" i="13"/>
  <c r="I64" i="13"/>
  <c r="H66" i="13"/>
  <c r="I66" i="13"/>
  <c r="H68" i="13"/>
  <c r="I68" i="13"/>
  <c r="J64" i="13"/>
  <c r="K64" i="13"/>
  <c r="J66" i="13"/>
  <c r="K66" i="13"/>
  <c r="J68" i="13"/>
  <c r="K68" i="13"/>
  <c r="L66" i="13"/>
  <c r="M66" i="13"/>
  <c r="L68" i="13"/>
  <c r="M68" i="13"/>
  <c r="O68" i="13" l="1"/>
  <c r="N68" i="13"/>
  <c r="N66" i="13"/>
  <c r="O66" i="13"/>
  <c r="M64" i="13" l="1"/>
  <c r="O64" i="13" s="1"/>
  <c r="L64" i="13"/>
  <c r="N64" i="13" s="1"/>
  <c r="H65" i="12" l="1"/>
  <c r="I65" i="12"/>
  <c r="H67" i="12"/>
  <c r="I67" i="12"/>
  <c r="H69" i="12"/>
  <c r="I69" i="12"/>
  <c r="J65" i="12"/>
  <c r="K65" i="12"/>
  <c r="J67" i="12"/>
  <c r="K67" i="12"/>
  <c r="J69" i="12"/>
  <c r="K69" i="12"/>
  <c r="L65" i="12"/>
  <c r="M65" i="12"/>
  <c r="L67" i="12"/>
  <c r="M67" i="12"/>
  <c r="L69" i="12"/>
  <c r="M69" i="12"/>
  <c r="C64" i="4"/>
  <c r="C68" i="4"/>
  <c r="H63" i="9"/>
  <c r="I63" i="9"/>
  <c r="H65" i="9"/>
  <c r="I65" i="9"/>
  <c r="H67" i="9"/>
  <c r="I67" i="9"/>
  <c r="K63" i="9"/>
  <c r="J65" i="9"/>
  <c r="K65" i="9"/>
  <c r="K67" i="9"/>
  <c r="L63" i="9"/>
  <c r="M63" i="9"/>
  <c r="L65" i="9"/>
  <c r="M65" i="9"/>
  <c r="L67" i="9"/>
  <c r="M67" i="9"/>
  <c r="I64" i="8"/>
  <c r="O64" i="8" s="1"/>
  <c r="H66" i="8"/>
  <c r="I68" i="8"/>
  <c r="O68" i="8" s="1"/>
  <c r="H63" i="10"/>
  <c r="I63" i="10"/>
  <c r="H65" i="10"/>
  <c r="I65" i="10"/>
  <c r="H67" i="10"/>
  <c r="I67" i="10"/>
  <c r="J63" i="10"/>
  <c r="K63" i="10"/>
  <c r="J65" i="10"/>
  <c r="K65" i="10"/>
  <c r="J67" i="10"/>
  <c r="K67" i="10"/>
  <c r="L63" i="10"/>
  <c r="M63" i="10"/>
  <c r="L65" i="10"/>
  <c r="M65" i="10"/>
  <c r="L67" i="10"/>
  <c r="M67" i="10"/>
  <c r="H65" i="11"/>
  <c r="I65" i="11"/>
  <c r="H67" i="11"/>
  <c r="I67" i="11"/>
  <c r="H69" i="11"/>
  <c r="I69" i="11"/>
  <c r="J65" i="11"/>
  <c r="K65" i="11"/>
  <c r="J67" i="11"/>
  <c r="K67" i="11"/>
  <c r="J69" i="11"/>
  <c r="K69" i="11"/>
  <c r="L65" i="11"/>
  <c r="M65" i="11"/>
  <c r="L67" i="11"/>
  <c r="M67" i="11"/>
  <c r="L69" i="11"/>
  <c r="M69" i="11"/>
  <c r="O69" i="11" l="1"/>
  <c r="O65" i="11"/>
  <c r="O65" i="10"/>
  <c r="N67" i="12"/>
  <c r="K66" i="4"/>
  <c r="O67" i="9"/>
  <c r="N69" i="11"/>
  <c r="N65" i="10"/>
  <c r="M68" i="4"/>
  <c r="O65" i="12"/>
  <c r="O67" i="11"/>
  <c r="O63" i="10"/>
  <c r="M64" i="4"/>
  <c r="N65" i="12"/>
  <c r="H31" i="14"/>
  <c r="E31" i="14"/>
  <c r="D31" i="14"/>
  <c r="L68" i="6"/>
  <c r="L65" i="14"/>
  <c r="N67" i="11"/>
  <c r="D29" i="14"/>
  <c r="M70" i="6"/>
  <c r="M67" i="14"/>
  <c r="M66" i="6"/>
  <c r="M63" i="14"/>
  <c r="K68" i="6"/>
  <c r="K65" i="14"/>
  <c r="I70" i="6"/>
  <c r="I67" i="14"/>
  <c r="I66" i="6"/>
  <c r="I63" i="14"/>
  <c r="O65" i="9"/>
  <c r="O67" i="12"/>
  <c r="I31" i="14"/>
  <c r="C31" i="14"/>
  <c r="L70" i="6"/>
  <c r="L67" i="14"/>
  <c r="L66" i="6"/>
  <c r="L63" i="14"/>
  <c r="N65" i="11"/>
  <c r="N67" i="10"/>
  <c r="N63" i="10"/>
  <c r="J68" i="4"/>
  <c r="J67" i="9"/>
  <c r="N67" i="9" s="1"/>
  <c r="J64" i="4"/>
  <c r="J63" i="9"/>
  <c r="N63" i="9" s="1"/>
  <c r="N65" i="9"/>
  <c r="N69" i="12"/>
  <c r="C29" i="14"/>
  <c r="M68" i="6"/>
  <c r="M65" i="14"/>
  <c r="K70" i="6"/>
  <c r="K67" i="14"/>
  <c r="K66" i="6"/>
  <c r="K63" i="14"/>
  <c r="I68" i="6"/>
  <c r="I65" i="14"/>
  <c r="O67" i="10"/>
  <c r="O63" i="9"/>
  <c r="O69" i="12"/>
  <c r="H68" i="4"/>
  <c r="H68" i="8"/>
  <c r="N68" i="8" s="1"/>
  <c r="P68" i="8" s="1"/>
  <c r="G31" i="14"/>
  <c r="E29" i="14"/>
  <c r="F31" i="14"/>
  <c r="J70" i="6"/>
  <c r="J67" i="14"/>
  <c r="J68" i="6"/>
  <c r="J65" i="14"/>
  <c r="J66" i="6"/>
  <c r="J63" i="14"/>
  <c r="H70" i="6"/>
  <c r="H67" i="14"/>
  <c r="H68" i="6"/>
  <c r="H65" i="14"/>
  <c r="H66" i="6"/>
  <c r="H63" i="14"/>
  <c r="I66" i="4"/>
  <c r="I66" i="8"/>
  <c r="O66" i="8" s="1"/>
  <c r="H64" i="4"/>
  <c r="H64" i="8"/>
  <c r="N64" i="8" s="1"/>
  <c r="P64" i="8" s="1"/>
  <c r="J66" i="4"/>
  <c r="J66" i="8"/>
  <c r="N66" i="8" s="1"/>
  <c r="L66" i="4"/>
  <c r="L68" i="5"/>
  <c r="L64" i="5"/>
  <c r="M68" i="5"/>
  <c r="F69" i="3"/>
  <c r="F65" i="3"/>
  <c r="K68" i="5"/>
  <c r="K64" i="5"/>
  <c r="L66" i="5"/>
  <c r="H68" i="5"/>
  <c r="H64" i="5"/>
  <c r="M64" i="5"/>
  <c r="J66" i="5"/>
  <c r="I66" i="5"/>
  <c r="H66" i="4"/>
  <c r="C66" i="4"/>
  <c r="I68" i="4"/>
  <c r="H66" i="5"/>
  <c r="M66" i="5"/>
  <c r="I68" i="5"/>
  <c r="I64" i="5"/>
  <c r="O65" i="14" l="1"/>
  <c r="O68" i="6"/>
  <c r="O66" i="6"/>
  <c r="N66" i="4"/>
  <c r="M69" i="3"/>
  <c r="K67" i="3"/>
  <c r="K66" i="5"/>
  <c r="O66" i="5" s="1"/>
  <c r="M65" i="3"/>
  <c r="O67" i="14"/>
  <c r="F67" i="3"/>
  <c r="N66" i="5"/>
  <c r="O70" i="6"/>
  <c r="O64" i="5"/>
  <c r="N66" i="6"/>
  <c r="N70" i="6"/>
  <c r="N68" i="6"/>
  <c r="O63" i="14"/>
  <c r="J69" i="3"/>
  <c r="J68" i="5"/>
  <c r="N68" i="5" s="1"/>
  <c r="O68" i="5"/>
  <c r="M67" i="3"/>
  <c r="M66" i="4"/>
  <c r="O66" i="4" s="1"/>
  <c r="L69" i="3"/>
  <c r="L68" i="4"/>
  <c r="N68" i="4" s="1"/>
  <c r="K69" i="3"/>
  <c r="K68" i="4"/>
  <c r="O68" i="4" s="1"/>
  <c r="L65" i="3"/>
  <c r="L64" i="4"/>
  <c r="N64" i="4" s="1"/>
  <c r="K65" i="3"/>
  <c r="K64" i="4"/>
  <c r="H69" i="3"/>
  <c r="N67" i="14"/>
  <c r="N65" i="14"/>
  <c r="N63" i="14"/>
  <c r="J65" i="3"/>
  <c r="J64" i="5"/>
  <c r="N64" i="5" s="1"/>
  <c r="P66" i="8"/>
  <c r="H65" i="3"/>
  <c r="I67" i="3"/>
  <c r="J67" i="3"/>
  <c r="I65" i="3"/>
  <c r="I64" i="4"/>
  <c r="I69" i="3"/>
  <c r="E67" i="3"/>
  <c r="H67" i="3"/>
  <c r="E69" i="3"/>
  <c r="L67" i="3"/>
  <c r="BX8" i="7"/>
  <c r="BZ8" i="7"/>
  <c r="ES23" i="7"/>
  <c r="ER23" i="7"/>
  <c r="ES22" i="7"/>
  <c r="ER22" i="7"/>
  <c r="ES21" i="7"/>
  <c r="ER21" i="7"/>
  <c r="ES13" i="7"/>
  <c r="ER13" i="7"/>
  <c r="ES12" i="7"/>
  <c r="ER12" i="7"/>
  <c r="ES11" i="7"/>
  <c r="ER11" i="7"/>
  <c r="ES10" i="7"/>
  <c r="ER10" i="7"/>
  <c r="ES9" i="7"/>
  <c r="ER9" i="7"/>
  <c r="ES8" i="7"/>
  <c r="ER8" i="7"/>
  <c r="ES7" i="7"/>
  <c r="ER7" i="7"/>
  <c r="ES6" i="7"/>
  <c r="ER6" i="7"/>
  <c r="EJ23" i="7"/>
  <c r="EI23" i="7"/>
  <c r="EJ22" i="7"/>
  <c r="EI22" i="7"/>
  <c r="EJ21" i="7"/>
  <c r="EI21" i="7"/>
  <c r="EJ13" i="7"/>
  <c r="EI13" i="7"/>
  <c r="EJ12" i="7"/>
  <c r="EI12" i="7"/>
  <c r="EJ11" i="7"/>
  <c r="EI11" i="7"/>
  <c r="EJ10" i="7"/>
  <c r="EI10" i="7"/>
  <c r="EJ9" i="7"/>
  <c r="EI9" i="7"/>
  <c r="EJ8" i="7"/>
  <c r="EI8" i="7"/>
  <c r="EJ7" i="7"/>
  <c r="EI7" i="7"/>
  <c r="EJ6" i="7"/>
  <c r="EI6" i="7"/>
  <c r="P66" i="4" l="1"/>
  <c r="P68" i="4"/>
  <c r="O64" i="4"/>
  <c r="P64" i="4" s="1"/>
  <c r="O67" i="3"/>
  <c r="O65" i="3"/>
  <c r="N69" i="3"/>
  <c r="O69" i="3"/>
  <c r="N65" i="3"/>
  <c r="N67" i="3"/>
  <c r="EK8" i="7"/>
  <c r="EK10" i="7"/>
  <c r="EK12" i="7"/>
  <c r="EK23" i="7"/>
  <c r="ET12" i="7"/>
  <c r="ET23" i="7"/>
  <c r="EK7" i="7"/>
  <c r="EK9" i="7"/>
  <c r="EK11" i="7"/>
  <c r="EK13" i="7"/>
  <c r="ET13" i="7"/>
  <c r="ET22" i="7"/>
  <c r="EK22" i="7"/>
  <c r="ET7" i="7"/>
  <c r="ET8" i="7"/>
  <c r="ET9" i="7"/>
  <c r="ET10" i="7"/>
  <c r="ET11" i="7"/>
  <c r="ET6" i="7"/>
  <c r="ET21" i="7"/>
  <c r="EK6" i="7"/>
  <c r="EK21" i="7"/>
  <c r="BV9" i="7"/>
  <c r="E45" i="6" l="1"/>
  <c r="F45" i="6"/>
  <c r="E47" i="6"/>
  <c r="F47" i="6"/>
  <c r="E49" i="6"/>
  <c r="F49" i="6"/>
  <c r="E51" i="6"/>
  <c r="F51" i="6"/>
  <c r="E53" i="6"/>
  <c r="F53" i="6"/>
  <c r="E55" i="6"/>
  <c r="F55" i="6"/>
  <c r="E57" i="6"/>
  <c r="F57" i="6"/>
  <c r="G45" i="6"/>
  <c r="H45" i="6"/>
  <c r="G47" i="6"/>
  <c r="H47" i="6"/>
  <c r="G49" i="6"/>
  <c r="H49" i="6"/>
  <c r="G51" i="6"/>
  <c r="H51" i="6"/>
  <c r="G53" i="6"/>
  <c r="H53" i="6"/>
  <c r="G55" i="6"/>
  <c r="H55" i="6"/>
  <c r="G57" i="6"/>
  <c r="H57" i="6"/>
  <c r="C19" i="6"/>
  <c r="D19" i="6"/>
  <c r="E19" i="6"/>
  <c r="C21" i="6"/>
  <c r="D21" i="6"/>
  <c r="E21" i="6"/>
  <c r="C23" i="6"/>
  <c r="D23" i="6"/>
  <c r="E23" i="6"/>
  <c r="B66" i="6"/>
  <c r="C66" i="6"/>
  <c r="B68" i="6"/>
  <c r="C68" i="6"/>
  <c r="B70" i="6"/>
  <c r="C70" i="6"/>
  <c r="E66" i="6"/>
  <c r="F66" i="6"/>
  <c r="E68" i="6"/>
  <c r="F68" i="6"/>
  <c r="E70" i="6"/>
  <c r="F70" i="6"/>
  <c r="J20" i="6"/>
  <c r="J22" i="6"/>
  <c r="K20" i="6"/>
  <c r="K22" i="6"/>
  <c r="L20" i="6"/>
  <c r="L22" i="6"/>
  <c r="D31" i="6"/>
  <c r="D33" i="6"/>
  <c r="C31" i="6"/>
  <c r="C33" i="6"/>
  <c r="F31" i="6"/>
  <c r="F33" i="6"/>
  <c r="E31" i="6"/>
  <c r="E33" i="6"/>
  <c r="G31" i="6"/>
  <c r="G33" i="6"/>
  <c r="H31" i="6"/>
  <c r="H33" i="6"/>
  <c r="I31" i="6"/>
  <c r="I33" i="6"/>
  <c r="EI51" i="7" l="1"/>
  <c r="ES51" i="7"/>
  <c r="ER51" i="7"/>
  <c r="EJ51" i="7"/>
  <c r="N20" i="6"/>
  <c r="N22" i="6"/>
  <c r="G70" i="6"/>
  <c r="G66" i="6"/>
  <c r="D68" i="6"/>
  <c r="G68" i="6"/>
  <c r="D70" i="6"/>
  <c r="D66" i="6"/>
  <c r="F68" i="15"/>
  <c r="F66" i="15"/>
  <c r="F64" i="15"/>
  <c r="C68" i="15"/>
  <c r="C66" i="15"/>
  <c r="C64" i="15"/>
  <c r="F67" i="14"/>
  <c r="F65" i="14"/>
  <c r="F63" i="14"/>
  <c r="C67" i="14"/>
  <c r="C65" i="14"/>
  <c r="C63" i="14"/>
  <c r="F68" i="13"/>
  <c r="G68" i="13" s="1"/>
  <c r="F66" i="13"/>
  <c r="G66" i="13" s="1"/>
  <c r="F64" i="13"/>
  <c r="G64" i="13" s="1"/>
  <c r="C68" i="13"/>
  <c r="C66" i="13"/>
  <c r="C64" i="13"/>
  <c r="F69" i="12"/>
  <c r="F67" i="12"/>
  <c r="F65" i="12"/>
  <c r="C69" i="12"/>
  <c r="C67" i="12"/>
  <c r="C65" i="12"/>
  <c r="B65" i="12"/>
  <c r="C69" i="11"/>
  <c r="B69" i="11"/>
  <c r="C67" i="11"/>
  <c r="B67" i="11"/>
  <c r="C65" i="11"/>
  <c r="B65" i="11"/>
  <c r="F69" i="11"/>
  <c r="E69" i="11"/>
  <c r="F67" i="11"/>
  <c r="E67" i="11"/>
  <c r="F65" i="11"/>
  <c r="E65" i="11"/>
  <c r="F67" i="10"/>
  <c r="F65" i="10"/>
  <c r="F63" i="10"/>
  <c r="C67" i="10"/>
  <c r="C65" i="10"/>
  <c r="C63" i="10"/>
  <c r="F68" i="5"/>
  <c r="F66" i="5"/>
  <c r="F64" i="5"/>
  <c r="C68" i="5"/>
  <c r="C66" i="5"/>
  <c r="C64" i="5"/>
  <c r="B68" i="5"/>
  <c r="F67" i="9"/>
  <c r="F65" i="9"/>
  <c r="F63" i="9"/>
  <c r="C67" i="9"/>
  <c r="C65" i="9"/>
  <c r="C63" i="9"/>
  <c r="C68" i="8"/>
  <c r="C66" i="8"/>
  <c r="C64" i="8"/>
  <c r="F68" i="8"/>
  <c r="F66" i="8"/>
  <c r="F64" i="8"/>
  <c r="F68" i="4"/>
  <c r="F66" i="4"/>
  <c r="F64" i="4"/>
  <c r="H13" i="17"/>
  <c r="L8" i="17"/>
  <c r="C46" i="17"/>
  <c r="C54" i="17"/>
  <c r="D43" i="11"/>
  <c r="IC23" i="7"/>
  <c r="IB23" i="7"/>
  <c r="IC22" i="7"/>
  <c r="IB22" i="7"/>
  <c r="IC21" i="7"/>
  <c r="IB21" i="7"/>
  <c r="IB7" i="7"/>
  <c r="IC7" i="7"/>
  <c r="IB8" i="7"/>
  <c r="IC8" i="7"/>
  <c r="IB9" i="7"/>
  <c r="IC9" i="7"/>
  <c r="IB10" i="7"/>
  <c r="IC10" i="7"/>
  <c r="IB11" i="7"/>
  <c r="IC11" i="7"/>
  <c r="IB12" i="7"/>
  <c r="IC12" i="7"/>
  <c r="IB13" i="7"/>
  <c r="IC13" i="7"/>
  <c r="IC6" i="7"/>
  <c r="IB6" i="7"/>
  <c r="EK51" i="7" l="1"/>
  <c r="ET51" i="7"/>
  <c r="HS11" i="7"/>
  <c r="HS8" i="7"/>
  <c r="D68" i="5"/>
  <c r="G69" i="11"/>
  <c r="D67" i="11"/>
  <c r="D65" i="12"/>
  <c r="G67" i="11"/>
  <c r="D65" i="11"/>
  <c r="D69" i="11"/>
  <c r="G65" i="11"/>
  <c r="D54" i="17"/>
  <c r="D50" i="17"/>
  <c r="D46" i="17"/>
  <c r="D42" i="17"/>
  <c r="C50" i="17"/>
  <c r="C42" i="17"/>
  <c r="D52" i="17"/>
  <c r="D48" i="17"/>
  <c r="D44" i="17"/>
  <c r="G8" i="17"/>
  <c r="G13" i="17"/>
  <c r="C52" i="17"/>
  <c r="C48" i="17"/>
  <c r="C44" i="17"/>
  <c r="C13" i="17"/>
  <c r="F13" i="17"/>
  <c r="C57" i="6"/>
  <c r="C55" i="6"/>
  <c r="C53" i="6"/>
  <c r="C51" i="6"/>
  <c r="C49" i="6"/>
  <c r="C47" i="6"/>
  <c r="C45" i="6"/>
  <c r="G9" i="6"/>
  <c r="G14" i="6"/>
  <c r="B13" i="17"/>
  <c r="I30" i="17"/>
  <c r="H30" i="17"/>
  <c r="G30" i="17"/>
  <c r="E30" i="17"/>
  <c r="F30" i="17"/>
  <c r="C30" i="17"/>
  <c r="D30" i="17"/>
  <c r="L21" i="17"/>
  <c r="K21" i="17"/>
  <c r="J21" i="17"/>
  <c r="F67" i="16"/>
  <c r="F66" i="17"/>
  <c r="F64" i="17"/>
  <c r="C67" i="16"/>
  <c r="C66" i="17"/>
  <c r="C63" i="16"/>
  <c r="E22" i="17"/>
  <c r="C22" i="17"/>
  <c r="D20" i="17"/>
  <c r="E18" i="17"/>
  <c r="C18" i="17"/>
  <c r="G54" i="17"/>
  <c r="G52" i="17"/>
  <c r="G50" i="17"/>
  <c r="G48" i="17"/>
  <c r="G46" i="17"/>
  <c r="G44" i="17"/>
  <c r="G42" i="17"/>
  <c r="E54" i="17"/>
  <c r="E52" i="17"/>
  <c r="E50" i="17"/>
  <c r="E48" i="17"/>
  <c r="E46" i="17"/>
  <c r="E44" i="17"/>
  <c r="E42" i="17"/>
  <c r="C65" i="16"/>
  <c r="F63" i="16"/>
  <c r="ID11" i="7"/>
  <c r="ID21" i="7"/>
  <c r="ID23" i="7"/>
  <c r="D57" i="6"/>
  <c r="D55" i="6"/>
  <c r="D53" i="6"/>
  <c r="D51" i="6"/>
  <c r="D49" i="6"/>
  <c r="D47" i="6"/>
  <c r="D45" i="6"/>
  <c r="L9" i="6"/>
  <c r="C14" i="6"/>
  <c r="H14" i="6"/>
  <c r="F14" i="6"/>
  <c r="I32" i="17"/>
  <c r="H32" i="17"/>
  <c r="G32" i="17"/>
  <c r="E32" i="17"/>
  <c r="F32" i="17"/>
  <c r="C32" i="17"/>
  <c r="D32" i="17"/>
  <c r="L19" i="17"/>
  <c r="K19" i="17"/>
  <c r="J19" i="17"/>
  <c r="E68" i="17"/>
  <c r="E66" i="17"/>
  <c r="E64" i="17"/>
  <c r="B68" i="17"/>
  <c r="B66" i="17"/>
  <c r="B64" i="17"/>
  <c r="D22" i="17"/>
  <c r="E20" i="17"/>
  <c r="C20" i="17"/>
  <c r="D18" i="17"/>
  <c r="H54" i="17"/>
  <c r="H52" i="17"/>
  <c r="H50" i="17"/>
  <c r="H48" i="17"/>
  <c r="H46" i="17"/>
  <c r="H44" i="17"/>
  <c r="H42" i="17"/>
  <c r="F54" i="17"/>
  <c r="F52" i="17"/>
  <c r="F50" i="17"/>
  <c r="F48" i="17"/>
  <c r="F46" i="17"/>
  <c r="F44" i="17"/>
  <c r="F42" i="17"/>
  <c r="ID9" i="7"/>
  <c r="ID6" i="7"/>
  <c r="ID12" i="7"/>
  <c r="ID22" i="7"/>
  <c r="ID13" i="7"/>
  <c r="F65" i="16"/>
  <c r="HS9" i="7"/>
  <c r="ID7" i="7"/>
  <c r="HS13" i="7"/>
  <c r="ID8" i="7"/>
  <c r="HS10" i="7"/>
  <c r="HS12" i="7"/>
  <c r="ID10" i="7"/>
  <c r="N21" i="17" l="1"/>
  <c r="N19" i="17"/>
  <c r="HS7" i="7"/>
  <c r="G64" i="17"/>
  <c r="G66" i="17"/>
  <c r="D66" i="17"/>
  <c r="P67" i="11"/>
  <c r="J42" i="17"/>
  <c r="K23" i="17"/>
  <c r="I46" i="17"/>
  <c r="I54" i="17"/>
  <c r="F56" i="17"/>
  <c r="J46" i="17"/>
  <c r="J50" i="17"/>
  <c r="J54" i="17"/>
  <c r="HS6" i="7"/>
  <c r="I50" i="17"/>
  <c r="C56" i="17"/>
  <c r="B8" i="17"/>
  <c r="D56" i="17"/>
  <c r="J44" i="17"/>
  <c r="J48" i="17"/>
  <c r="J52" i="17"/>
  <c r="F20" i="17"/>
  <c r="I44" i="17"/>
  <c r="I48" i="17"/>
  <c r="I52" i="17"/>
  <c r="H56" i="17"/>
  <c r="J23" i="17"/>
  <c r="J32" i="17"/>
  <c r="C64" i="17"/>
  <c r="D64" i="17" s="1"/>
  <c r="C68" i="17"/>
  <c r="D68" i="17" s="1"/>
  <c r="F68" i="17"/>
  <c r="G68" i="17" s="1"/>
  <c r="L23" i="17"/>
  <c r="C34" i="17"/>
  <c r="E34" i="17"/>
  <c r="G34" i="17"/>
  <c r="B14" i="6"/>
  <c r="B9" i="6"/>
  <c r="I42" i="17"/>
  <c r="E56" i="17"/>
  <c r="G56" i="17"/>
  <c r="C24" i="17"/>
  <c r="F18" i="17"/>
  <c r="E24" i="17"/>
  <c r="D24" i="17"/>
  <c r="F22" i="17"/>
  <c r="D34" i="17"/>
  <c r="F34" i="17"/>
  <c r="H34" i="17"/>
  <c r="I34" i="17"/>
  <c r="J30" i="17"/>
  <c r="P65" i="11"/>
  <c r="P69" i="11"/>
  <c r="GO23" i="7"/>
  <c r="GN23" i="7"/>
  <c r="GO22" i="7"/>
  <c r="GN22" i="7"/>
  <c r="GO21" i="7"/>
  <c r="GN21" i="7"/>
  <c r="GN7" i="7"/>
  <c r="GO7" i="7"/>
  <c r="GN8" i="7"/>
  <c r="GO8" i="7"/>
  <c r="GN9" i="7"/>
  <c r="GO9" i="7"/>
  <c r="GN10" i="7"/>
  <c r="GO10" i="7"/>
  <c r="GN11" i="7"/>
  <c r="GO11" i="7"/>
  <c r="GN12" i="7"/>
  <c r="GO12" i="7"/>
  <c r="GN13" i="7"/>
  <c r="GO13" i="7"/>
  <c r="GO6" i="7"/>
  <c r="GN6" i="7"/>
  <c r="GX23" i="7"/>
  <c r="GW23" i="7"/>
  <c r="GX22" i="7"/>
  <c r="GW22" i="7"/>
  <c r="GX21" i="7"/>
  <c r="GW21" i="7"/>
  <c r="GW7" i="7"/>
  <c r="GX7" i="7"/>
  <c r="GW8" i="7"/>
  <c r="GX8" i="7"/>
  <c r="GW9" i="7"/>
  <c r="GX9" i="7"/>
  <c r="GW10" i="7"/>
  <c r="GX10" i="7"/>
  <c r="GW11" i="7"/>
  <c r="GX11" i="7"/>
  <c r="GW12" i="7"/>
  <c r="GX12" i="7"/>
  <c r="GW13" i="7"/>
  <c r="GX13" i="7"/>
  <c r="GX6" i="7"/>
  <c r="GW6" i="7"/>
  <c r="FU13" i="7"/>
  <c r="FV13" i="7"/>
  <c r="FD23" i="7"/>
  <c r="FC23" i="7"/>
  <c r="FD22" i="7"/>
  <c r="FC22" i="7"/>
  <c r="FD21" i="7"/>
  <c r="FC21" i="7"/>
  <c r="FC7" i="7"/>
  <c r="FD7" i="7"/>
  <c r="FC8" i="7"/>
  <c r="FD8" i="7"/>
  <c r="FC9" i="7"/>
  <c r="FD9" i="7"/>
  <c r="FC10" i="7"/>
  <c r="FD10" i="7"/>
  <c r="FC11" i="7"/>
  <c r="FD11" i="7"/>
  <c r="FC12" i="7"/>
  <c r="FD12" i="7"/>
  <c r="FC13" i="7"/>
  <c r="FD13" i="7"/>
  <c r="FD6" i="7"/>
  <c r="FC6" i="7"/>
  <c r="DR13" i="7"/>
  <c r="DQ13" i="7"/>
  <c r="DR12" i="7"/>
  <c r="DQ12" i="7"/>
  <c r="DR11" i="7"/>
  <c r="DQ11" i="7"/>
  <c r="DR10" i="7"/>
  <c r="DQ10" i="7"/>
  <c r="DR9" i="7"/>
  <c r="DQ9" i="7"/>
  <c r="DR8" i="7"/>
  <c r="DQ8" i="7"/>
  <c r="DR7" i="7"/>
  <c r="DQ7" i="7"/>
  <c r="DR6" i="7"/>
  <c r="DQ6" i="7"/>
  <c r="DI23" i="7"/>
  <c r="DH23" i="7"/>
  <c r="DI22" i="7"/>
  <c r="DH22" i="7"/>
  <c r="DI21" i="7"/>
  <c r="DH21" i="7"/>
  <c r="DI13" i="7"/>
  <c r="DH13" i="7"/>
  <c r="DI12" i="7"/>
  <c r="DH12" i="7"/>
  <c r="DI11" i="7"/>
  <c r="DH11" i="7"/>
  <c r="DI10" i="7"/>
  <c r="DH10" i="7"/>
  <c r="DI9" i="7"/>
  <c r="DH9" i="7"/>
  <c r="DI8" i="7"/>
  <c r="DH8" i="7"/>
  <c r="DI7" i="7"/>
  <c r="DH7" i="7"/>
  <c r="DI6" i="7"/>
  <c r="DH6" i="7"/>
  <c r="EA23" i="7"/>
  <c r="DZ23" i="7"/>
  <c r="EA22" i="7"/>
  <c r="DZ22" i="7"/>
  <c r="EA21" i="7"/>
  <c r="DZ21" i="7"/>
  <c r="EA6" i="7"/>
  <c r="DZ6" i="7"/>
  <c r="CX7" i="7"/>
  <c r="CY7" i="7"/>
  <c r="CZ7" i="7"/>
  <c r="CX8" i="7"/>
  <c r="CY8" i="7"/>
  <c r="CZ8" i="7"/>
  <c r="CX9" i="7"/>
  <c r="CY9" i="7"/>
  <c r="CZ9" i="7"/>
  <c r="CX10" i="7"/>
  <c r="CY10" i="7"/>
  <c r="CZ10" i="7"/>
  <c r="CX11" i="7"/>
  <c r="CY11" i="7"/>
  <c r="CZ11" i="7"/>
  <c r="CX12" i="7"/>
  <c r="CY12" i="7"/>
  <c r="CZ12" i="7"/>
  <c r="CX13" i="7"/>
  <c r="CY13" i="7"/>
  <c r="CZ13" i="7"/>
  <c r="CX21" i="7"/>
  <c r="CY21" i="7"/>
  <c r="CZ21" i="7"/>
  <c r="CX22" i="7"/>
  <c r="CY22" i="7"/>
  <c r="CZ22" i="7"/>
  <c r="CX23" i="7"/>
  <c r="CY23" i="7"/>
  <c r="CZ23" i="7"/>
  <c r="CY6" i="7"/>
  <c r="CZ6" i="7"/>
  <c r="CX6" i="7"/>
  <c r="HP51" i="7" l="1"/>
  <c r="HO51" i="7"/>
  <c r="HR51" i="7"/>
  <c r="IB51" i="7"/>
  <c r="IC51" i="7"/>
  <c r="K14" i="6"/>
  <c r="K13" i="14"/>
  <c r="L14" i="6"/>
  <c r="L13" i="14"/>
  <c r="K46" i="17"/>
  <c r="K42" i="17"/>
  <c r="L13" i="17"/>
  <c r="K54" i="17"/>
  <c r="K44" i="17"/>
  <c r="K52" i="17"/>
  <c r="K48" i="17"/>
  <c r="P68" i="17"/>
  <c r="P64" i="17"/>
  <c r="K50" i="17"/>
  <c r="GY7" i="7"/>
  <c r="J56" i="17"/>
  <c r="P66" i="17"/>
  <c r="I56" i="17"/>
  <c r="J34" i="17"/>
  <c r="DJ22" i="7"/>
  <c r="GY6" i="7"/>
  <c r="F24" i="17"/>
  <c r="N23" i="17"/>
  <c r="DJ10" i="7"/>
  <c r="GP6" i="7"/>
  <c r="FW6" i="7"/>
  <c r="FE6" i="7"/>
  <c r="EB6" i="7"/>
  <c r="DA6" i="7"/>
  <c r="EB23" i="7"/>
  <c r="DS11" i="7"/>
  <c r="DS13" i="7"/>
  <c r="FE13" i="7"/>
  <c r="FE9" i="7"/>
  <c r="GY13" i="7"/>
  <c r="GY9" i="7"/>
  <c r="GY23" i="7"/>
  <c r="DJ23" i="7"/>
  <c r="FE23" i="7"/>
  <c r="GP23" i="7"/>
  <c r="GY21" i="7"/>
  <c r="GY10" i="7"/>
  <c r="GY8" i="7"/>
  <c r="GY22" i="7"/>
  <c r="GP11" i="7"/>
  <c r="GP22" i="7"/>
  <c r="GP21" i="7"/>
  <c r="GP10" i="7"/>
  <c r="FW13" i="7"/>
  <c r="FE21" i="7"/>
  <c r="FE22" i="7"/>
  <c r="FE12" i="7"/>
  <c r="FE10" i="7"/>
  <c r="FE8" i="7"/>
  <c r="DS10" i="7"/>
  <c r="DJ12" i="7"/>
  <c r="DJ21" i="7"/>
  <c r="EB21" i="7"/>
  <c r="EB22" i="7"/>
  <c r="DA11" i="7"/>
  <c r="DA22" i="7"/>
  <c r="DA12" i="7"/>
  <c r="DA8" i="7"/>
  <c r="DA23" i="7"/>
  <c r="DA13" i="7"/>
  <c r="DA9" i="7"/>
  <c r="DJ11" i="7"/>
  <c r="DJ13" i="7"/>
  <c r="DS12" i="7"/>
  <c r="GY11" i="7"/>
  <c r="DA10" i="7"/>
  <c r="GP9" i="7"/>
  <c r="DJ7" i="7"/>
  <c r="DJ9" i="7"/>
  <c r="DS7" i="7"/>
  <c r="DS9" i="7"/>
  <c r="FE11" i="7"/>
  <c r="GY12" i="7"/>
  <c r="GP12" i="7"/>
  <c r="GP7" i="7"/>
  <c r="GP8" i="7"/>
  <c r="DA21" i="7"/>
  <c r="DA7" i="7"/>
  <c r="DJ6" i="7"/>
  <c r="DJ8" i="7"/>
  <c r="DS6" i="7"/>
  <c r="DS8" i="7"/>
  <c r="FE7" i="7"/>
  <c r="GP13" i="7"/>
  <c r="HQ51" i="7" l="1"/>
  <c r="EA51" i="7"/>
  <c r="ID51" i="7"/>
  <c r="FU51" i="7"/>
  <c r="K13" i="17"/>
  <c r="M13" i="17" s="1"/>
  <c r="K56" i="17"/>
  <c r="HS51" i="7" l="1"/>
  <c r="GN51" i="7"/>
  <c r="DI51" i="7"/>
  <c r="CX51" i="7"/>
  <c r="FC51" i="7"/>
  <c r="FV51" i="7"/>
  <c r="GW51" i="7"/>
  <c r="DH51" i="7"/>
  <c r="CY51" i="7"/>
  <c r="FD51" i="7"/>
  <c r="GX51" i="7"/>
  <c r="DQ51" i="7"/>
  <c r="CZ51" i="7"/>
  <c r="GO51" i="7"/>
  <c r="DR51" i="7"/>
  <c r="DZ51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BY8" i="7"/>
  <c r="CA8" i="7"/>
  <c r="CB8" i="7"/>
  <c r="CC8" i="7"/>
  <c r="CD8" i="7"/>
  <c r="CE8" i="7"/>
  <c r="CF8" i="7"/>
  <c r="CG8" i="7"/>
  <c r="CH8" i="7"/>
  <c r="CI8" i="7"/>
  <c r="CJ8" i="7"/>
  <c r="CK8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BX6" i="7"/>
  <c r="BV23" i="7"/>
  <c r="BU23" i="7"/>
  <c r="BV22" i="7"/>
  <c r="BU22" i="7"/>
  <c r="BV21" i="7"/>
  <c r="BU21" i="7"/>
  <c r="BV13" i="7"/>
  <c r="BU13" i="7"/>
  <c r="BV12" i="7"/>
  <c r="BU12" i="7"/>
  <c r="BV11" i="7"/>
  <c r="BU11" i="7"/>
  <c r="BV10" i="7"/>
  <c r="BU10" i="7"/>
  <c r="BU9" i="7"/>
  <c r="BV8" i="7"/>
  <c r="BU8" i="7"/>
  <c r="BV7" i="7"/>
  <c r="BU7" i="7"/>
  <c r="BV6" i="7"/>
  <c r="BU6" i="7"/>
  <c r="BE23" i="7"/>
  <c r="BD23" i="7"/>
  <c r="BE22" i="7"/>
  <c r="BD22" i="7"/>
  <c r="BE21" i="7"/>
  <c r="BD21" i="7"/>
  <c r="BE13" i="7"/>
  <c r="BD13" i="7"/>
  <c r="BE12" i="7"/>
  <c r="BD12" i="7"/>
  <c r="BE11" i="7"/>
  <c r="BD11" i="7"/>
  <c r="BE10" i="7"/>
  <c r="BD10" i="7"/>
  <c r="BE9" i="7"/>
  <c r="BD9" i="7"/>
  <c r="BE8" i="7"/>
  <c r="BD8" i="7"/>
  <c r="BE7" i="7"/>
  <c r="BD7" i="7"/>
  <c r="BE6" i="7"/>
  <c r="BD6" i="7"/>
  <c r="AN23" i="7"/>
  <c r="AM23" i="7"/>
  <c r="AN22" i="7"/>
  <c r="AM22" i="7"/>
  <c r="AN21" i="7"/>
  <c r="AM21" i="7"/>
  <c r="AM7" i="7"/>
  <c r="AN7" i="7"/>
  <c r="AM8" i="7"/>
  <c r="AN8" i="7"/>
  <c r="AM9" i="7"/>
  <c r="AN9" i="7"/>
  <c r="AM10" i="7"/>
  <c r="AN10" i="7"/>
  <c r="AM11" i="7"/>
  <c r="AN11" i="7"/>
  <c r="AM12" i="7"/>
  <c r="AN12" i="7"/>
  <c r="AM13" i="7"/>
  <c r="AN13" i="7"/>
  <c r="AN6" i="7"/>
  <c r="AM6" i="7"/>
  <c r="EB51" i="7" l="1"/>
  <c r="DA51" i="7"/>
  <c r="FW51" i="7"/>
  <c r="GY51" i="7"/>
  <c r="GP51" i="7"/>
  <c r="DJ51" i="7"/>
  <c r="DS51" i="7"/>
  <c r="FE51" i="7"/>
  <c r="AO23" i="7"/>
  <c r="AO22" i="7"/>
  <c r="BF22" i="7"/>
  <c r="BF8" i="7"/>
  <c r="AO6" i="7"/>
  <c r="AO11" i="7"/>
  <c r="CM23" i="7"/>
  <c r="BF23" i="7"/>
  <c r="BW12" i="7"/>
  <c r="BW22" i="7"/>
  <c r="BW13" i="7"/>
  <c r="BW23" i="7"/>
  <c r="CM13" i="7"/>
  <c r="CM12" i="7"/>
  <c r="CM10" i="7"/>
  <c r="CM8" i="7"/>
  <c r="BW11" i="7"/>
  <c r="BW21" i="7"/>
  <c r="CM6" i="7"/>
  <c r="CL8" i="7"/>
  <c r="BF9" i="7"/>
  <c r="BF13" i="7"/>
  <c r="BF7" i="7"/>
  <c r="BF21" i="7"/>
  <c r="CL21" i="7"/>
  <c r="CL22" i="7"/>
  <c r="CL23" i="7"/>
  <c r="AO21" i="7"/>
  <c r="CM21" i="7"/>
  <c r="CM22" i="7"/>
  <c r="CM11" i="7"/>
  <c r="AO10" i="7"/>
  <c r="CL13" i="7"/>
  <c r="CL12" i="7"/>
  <c r="CL11" i="7"/>
  <c r="CL10" i="7"/>
  <c r="CL9" i="7"/>
  <c r="BW9" i="7"/>
  <c r="AO13" i="7"/>
  <c r="AO8" i="7"/>
  <c r="BF11" i="7"/>
  <c r="BW8" i="7"/>
  <c r="BW10" i="7"/>
  <c r="CL7" i="7"/>
  <c r="AO12" i="7"/>
  <c r="AO9" i="7"/>
  <c r="AO7" i="7"/>
  <c r="BF10" i="7"/>
  <c r="BF12" i="7"/>
  <c r="BW7" i="7"/>
  <c r="CM9" i="7"/>
  <c r="CM7" i="7"/>
  <c r="BF6" i="7"/>
  <c r="BW6" i="7"/>
  <c r="CL6" i="7"/>
  <c r="CN7" i="7" l="1"/>
  <c r="CN10" i="7"/>
  <c r="CN13" i="7"/>
  <c r="CN8" i="7"/>
  <c r="CN23" i="7"/>
  <c r="CN12" i="7"/>
  <c r="CN11" i="7"/>
  <c r="CN21" i="7"/>
  <c r="CN22" i="7"/>
  <c r="CN6" i="7"/>
  <c r="CN9" i="7"/>
  <c r="BY51" i="7" l="1"/>
  <c r="CD51" i="7"/>
  <c r="AM51" i="7"/>
  <c r="BX51" i="7"/>
  <c r="CJ51" i="7"/>
  <c r="CF51" i="7"/>
  <c r="BZ51" i="7"/>
  <c r="CK51" i="7"/>
  <c r="CI51" i="7"/>
  <c r="BE51" i="7"/>
  <c r="BU51" i="7"/>
  <c r="AN51" i="7"/>
  <c r="CB51" i="7"/>
  <c r="BD51" i="7"/>
  <c r="CC51" i="7"/>
  <c r="CE51" i="7"/>
  <c r="CH51" i="7"/>
  <c r="CA51" i="7"/>
  <c r="CG51" i="7"/>
  <c r="BV51" i="7"/>
  <c r="IA52" i="7"/>
  <c r="AO51" i="7" l="1"/>
  <c r="CM51" i="7"/>
  <c r="CL51" i="7"/>
  <c r="BF51" i="7"/>
  <c r="BW51" i="7"/>
  <c r="F49" i="7"/>
  <c r="F47" i="7"/>
  <c r="F43" i="7"/>
  <c r="F43" i="11"/>
  <c r="E45" i="11"/>
  <c r="F45" i="11"/>
  <c r="E47" i="11"/>
  <c r="F47" i="11"/>
  <c r="F49" i="11"/>
  <c r="E51" i="11"/>
  <c r="F51" i="11"/>
  <c r="E53" i="11"/>
  <c r="F53" i="11"/>
  <c r="F55" i="11"/>
  <c r="H43" i="11"/>
  <c r="H45" i="11"/>
  <c r="H47" i="11"/>
  <c r="G49" i="11"/>
  <c r="H49" i="11"/>
  <c r="H51" i="11"/>
  <c r="G53" i="11"/>
  <c r="H55" i="11"/>
  <c r="G55" i="11"/>
  <c r="G51" i="11"/>
  <c r="G47" i="11"/>
  <c r="G45" i="11"/>
  <c r="G43" i="11"/>
  <c r="E55" i="11"/>
  <c r="E49" i="11"/>
  <c r="E43" i="11"/>
  <c r="CN51" i="7" l="1"/>
  <c r="F44" i="7"/>
  <c r="F50" i="7"/>
  <c r="F38" i="7"/>
  <c r="H53" i="11"/>
  <c r="H57" i="11" s="1"/>
  <c r="I32" i="15"/>
  <c r="I30" i="15"/>
  <c r="H32" i="15"/>
  <c r="H30" i="15"/>
  <c r="G32" i="15"/>
  <c r="G30" i="15"/>
  <c r="F32" i="15"/>
  <c r="F30" i="15"/>
  <c r="E32" i="15"/>
  <c r="E30" i="15"/>
  <c r="D32" i="15"/>
  <c r="C32" i="15"/>
  <c r="C30" i="15"/>
  <c r="L21" i="15"/>
  <c r="L19" i="15"/>
  <c r="K21" i="15"/>
  <c r="K19" i="15"/>
  <c r="B68" i="15"/>
  <c r="D68" i="15" s="1"/>
  <c r="B66" i="15"/>
  <c r="D66" i="15" s="1"/>
  <c r="B64" i="15"/>
  <c r="D64" i="15" s="1"/>
  <c r="D18" i="15"/>
  <c r="E18" i="15"/>
  <c r="D20" i="15"/>
  <c r="E20" i="15"/>
  <c r="D22" i="15"/>
  <c r="E22" i="15"/>
  <c r="C22" i="15"/>
  <c r="C20" i="15"/>
  <c r="C18" i="15"/>
  <c r="H42" i="15"/>
  <c r="H44" i="15"/>
  <c r="H46" i="15"/>
  <c r="H48" i="15"/>
  <c r="H50" i="15"/>
  <c r="H52" i="15"/>
  <c r="H54" i="15"/>
  <c r="G54" i="15"/>
  <c r="G52" i="15"/>
  <c r="G50" i="15"/>
  <c r="G48" i="15"/>
  <c r="G46" i="15"/>
  <c r="G44" i="15"/>
  <c r="G42" i="15"/>
  <c r="F42" i="15"/>
  <c r="F44" i="15"/>
  <c r="F46" i="15"/>
  <c r="F48" i="15"/>
  <c r="F50" i="15"/>
  <c r="F52" i="15"/>
  <c r="F54" i="15"/>
  <c r="E54" i="15"/>
  <c r="E52" i="15"/>
  <c r="E50" i="15"/>
  <c r="E48" i="15"/>
  <c r="E46" i="15"/>
  <c r="E44" i="15"/>
  <c r="E42" i="15"/>
  <c r="I29" i="14"/>
  <c r="H29" i="14"/>
  <c r="G29" i="14"/>
  <c r="F29" i="14"/>
  <c r="L21" i="14"/>
  <c r="L19" i="14"/>
  <c r="K21" i="14"/>
  <c r="K19" i="14"/>
  <c r="E67" i="14"/>
  <c r="G67" i="14" s="1"/>
  <c r="E65" i="14"/>
  <c r="G65" i="14" s="1"/>
  <c r="E63" i="14"/>
  <c r="G63" i="14" s="1"/>
  <c r="B67" i="14"/>
  <c r="D67" i="14" s="1"/>
  <c r="B65" i="14"/>
  <c r="D65" i="14" s="1"/>
  <c r="B63" i="14"/>
  <c r="D63" i="14" s="1"/>
  <c r="D18" i="14"/>
  <c r="E18" i="14"/>
  <c r="D20" i="14"/>
  <c r="E20" i="14"/>
  <c r="D22" i="14"/>
  <c r="E22" i="14"/>
  <c r="C22" i="14"/>
  <c r="C20" i="14"/>
  <c r="C18" i="14"/>
  <c r="H42" i="14"/>
  <c r="H44" i="14"/>
  <c r="H46" i="14"/>
  <c r="H48" i="14"/>
  <c r="H50" i="14"/>
  <c r="H52" i="14"/>
  <c r="H54" i="14"/>
  <c r="G54" i="14"/>
  <c r="G52" i="14"/>
  <c r="G50" i="14"/>
  <c r="G48" i="14"/>
  <c r="G46" i="14"/>
  <c r="G44" i="14"/>
  <c r="G42" i="14"/>
  <c r="F42" i="14"/>
  <c r="F44" i="14"/>
  <c r="F46" i="14"/>
  <c r="F48" i="14"/>
  <c r="F50" i="14"/>
  <c r="F52" i="14"/>
  <c r="F54" i="14"/>
  <c r="E54" i="14"/>
  <c r="E52" i="14"/>
  <c r="E50" i="14"/>
  <c r="E48" i="14"/>
  <c r="E46" i="14"/>
  <c r="E44" i="14"/>
  <c r="E42" i="14"/>
  <c r="D42" i="14"/>
  <c r="D44" i="14"/>
  <c r="D46" i="14"/>
  <c r="D48" i="14"/>
  <c r="D50" i="14"/>
  <c r="D52" i="14"/>
  <c r="D54" i="14"/>
  <c r="C54" i="14"/>
  <c r="C52" i="14"/>
  <c r="C50" i="14"/>
  <c r="C48" i="14"/>
  <c r="C46" i="14"/>
  <c r="C44" i="14"/>
  <c r="C42" i="14"/>
  <c r="I32" i="13"/>
  <c r="I30" i="13"/>
  <c r="H32" i="13"/>
  <c r="H30" i="13"/>
  <c r="G32" i="13"/>
  <c r="G30" i="13"/>
  <c r="F32" i="13"/>
  <c r="F30" i="13"/>
  <c r="E32" i="13"/>
  <c r="E30" i="13"/>
  <c r="D32" i="13"/>
  <c r="C32" i="13"/>
  <c r="C30" i="13"/>
  <c r="L21" i="13"/>
  <c r="L19" i="13"/>
  <c r="K21" i="13"/>
  <c r="K19" i="13"/>
  <c r="B68" i="13"/>
  <c r="D68" i="13" s="1"/>
  <c r="B66" i="13"/>
  <c r="D66" i="13" s="1"/>
  <c r="B64" i="13"/>
  <c r="D64" i="13" s="1"/>
  <c r="D18" i="13"/>
  <c r="E18" i="13"/>
  <c r="D20" i="13"/>
  <c r="E20" i="13"/>
  <c r="D22" i="13"/>
  <c r="E22" i="13"/>
  <c r="C22" i="13"/>
  <c r="C20" i="13"/>
  <c r="C18" i="13"/>
  <c r="H43" i="13"/>
  <c r="H45" i="13"/>
  <c r="H47" i="13"/>
  <c r="H49" i="13"/>
  <c r="H51" i="13"/>
  <c r="H53" i="13"/>
  <c r="H55" i="13"/>
  <c r="G55" i="13"/>
  <c r="G53" i="13"/>
  <c r="G51" i="13"/>
  <c r="G49" i="13"/>
  <c r="G47" i="13"/>
  <c r="G45" i="13"/>
  <c r="G43" i="13"/>
  <c r="F45" i="13"/>
  <c r="F47" i="13"/>
  <c r="F49" i="13"/>
  <c r="F51" i="13"/>
  <c r="F53" i="13"/>
  <c r="F55" i="13"/>
  <c r="E55" i="13"/>
  <c r="E53" i="13"/>
  <c r="E51" i="13"/>
  <c r="E49" i="13"/>
  <c r="E47" i="13"/>
  <c r="E45" i="13"/>
  <c r="E43" i="13"/>
  <c r="D43" i="13"/>
  <c r="D45" i="13"/>
  <c r="D47" i="13"/>
  <c r="D49" i="13"/>
  <c r="D51" i="13"/>
  <c r="D53" i="13"/>
  <c r="D55" i="13"/>
  <c r="C55" i="13"/>
  <c r="C53" i="13"/>
  <c r="C51" i="13"/>
  <c r="C49" i="13"/>
  <c r="C47" i="13"/>
  <c r="C45" i="13"/>
  <c r="C43" i="13"/>
  <c r="I32" i="12"/>
  <c r="I30" i="12"/>
  <c r="H32" i="12"/>
  <c r="H30" i="12"/>
  <c r="G32" i="12"/>
  <c r="G30" i="12"/>
  <c r="F32" i="12"/>
  <c r="F30" i="12"/>
  <c r="E32" i="12"/>
  <c r="E30" i="12"/>
  <c r="D32" i="12"/>
  <c r="C32" i="12"/>
  <c r="C30" i="12"/>
  <c r="L21" i="12"/>
  <c r="L19" i="12"/>
  <c r="K21" i="12"/>
  <c r="K19" i="12"/>
  <c r="E69" i="12"/>
  <c r="G69" i="12" s="1"/>
  <c r="E67" i="12"/>
  <c r="G67" i="12" s="1"/>
  <c r="E65" i="12"/>
  <c r="G65" i="12" s="1"/>
  <c r="B69" i="12"/>
  <c r="D69" i="12" s="1"/>
  <c r="B67" i="12"/>
  <c r="D67" i="12" s="1"/>
  <c r="D18" i="12"/>
  <c r="E18" i="12"/>
  <c r="D20" i="12"/>
  <c r="E20" i="12"/>
  <c r="D22" i="12"/>
  <c r="E22" i="12"/>
  <c r="C22" i="12"/>
  <c r="C20" i="12"/>
  <c r="C18" i="12"/>
  <c r="H43" i="12"/>
  <c r="H45" i="12"/>
  <c r="H47" i="12"/>
  <c r="H49" i="12"/>
  <c r="H51" i="12"/>
  <c r="H53" i="12"/>
  <c r="H55" i="12"/>
  <c r="G55" i="12"/>
  <c r="G53" i="12"/>
  <c r="G51" i="12"/>
  <c r="G49" i="12"/>
  <c r="G47" i="12"/>
  <c r="G45" i="12"/>
  <c r="G43" i="12"/>
  <c r="F43" i="12"/>
  <c r="F45" i="12"/>
  <c r="F47" i="12"/>
  <c r="F49" i="12"/>
  <c r="F51" i="12"/>
  <c r="F53" i="12"/>
  <c r="F55" i="12"/>
  <c r="E55" i="12"/>
  <c r="E53" i="12"/>
  <c r="E51" i="12"/>
  <c r="E49" i="12"/>
  <c r="E47" i="12"/>
  <c r="E45" i="12"/>
  <c r="E43" i="12"/>
  <c r="D43" i="12"/>
  <c r="D45" i="12"/>
  <c r="D47" i="12"/>
  <c r="D49" i="12"/>
  <c r="D51" i="12"/>
  <c r="D53" i="12"/>
  <c r="D55" i="12"/>
  <c r="C55" i="12"/>
  <c r="C53" i="12"/>
  <c r="C51" i="12"/>
  <c r="C49" i="12"/>
  <c r="C47" i="12"/>
  <c r="C45" i="12"/>
  <c r="C43" i="12"/>
  <c r="I32" i="11"/>
  <c r="I30" i="11"/>
  <c r="H32" i="11"/>
  <c r="H30" i="11"/>
  <c r="G32" i="11"/>
  <c r="G30" i="11"/>
  <c r="F32" i="11"/>
  <c r="F30" i="11"/>
  <c r="E32" i="11"/>
  <c r="E30" i="11"/>
  <c r="C32" i="11"/>
  <c r="C30" i="11"/>
  <c r="D32" i="11"/>
  <c r="M21" i="11"/>
  <c r="M19" i="11"/>
  <c r="L21" i="11"/>
  <c r="L19" i="11"/>
  <c r="D18" i="11"/>
  <c r="E18" i="11"/>
  <c r="D20" i="11"/>
  <c r="E20" i="11"/>
  <c r="D22" i="11"/>
  <c r="E22" i="11"/>
  <c r="C22" i="11"/>
  <c r="C20" i="11"/>
  <c r="C18" i="11"/>
  <c r="F57" i="11"/>
  <c r="J43" i="11"/>
  <c r="D47" i="11"/>
  <c r="D49" i="11"/>
  <c r="J49" i="11" s="1"/>
  <c r="D51" i="11"/>
  <c r="J51" i="11" s="1"/>
  <c r="D53" i="11"/>
  <c r="D55" i="11"/>
  <c r="C55" i="11"/>
  <c r="I55" i="11" s="1"/>
  <c r="C53" i="11"/>
  <c r="I53" i="11" s="1"/>
  <c r="C51" i="11"/>
  <c r="I51" i="11" s="1"/>
  <c r="C49" i="11"/>
  <c r="I49" i="11" s="1"/>
  <c r="C47" i="11"/>
  <c r="C45" i="11"/>
  <c r="I45" i="11" s="1"/>
  <c r="C43" i="11"/>
  <c r="H31" i="10"/>
  <c r="H29" i="10"/>
  <c r="E31" i="10"/>
  <c r="E29" i="10"/>
  <c r="G31" i="10"/>
  <c r="G29" i="10"/>
  <c r="C31" i="10"/>
  <c r="C29" i="10"/>
  <c r="D31" i="10"/>
  <c r="K21" i="10"/>
  <c r="K19" i="10"/>
  <c r="H42" i="10"/>
  <c r="H44" i="10"/>
  <c r="H46" i="10"/>
  <c r="H48" i="10"/>
  <c r="H50" i="10"/>
  <c r="H52" i="10"/>
  <c r="H54" i="10"/>
  <c r="G54" i="10"/>
  <c r="G52" i="10"/>
  <c r="G50" i="10"/>
  <c r="G48" i="10"/>
  <c r="G46" i="10"/>
  <c r="G44" i="10"/>
  <c r="G42" i="10"/>
  <c r="F42" i="10"/>
  <c r="F44" i="10"/>
  <c r="F46" i="10"/>
  <c r="E54" i="10"/>
  <c r="E52" i="10"/>
  <c r="E50" i="10"/>
  <c r="E48" i="10"/>
  <c r="E46" i="10"/>
  <c r="E44" i="10"/>
  <c r="E42" i="10"/>
  <c r="D52" i="10"/>
  <c r="D54" i="10"/>
  <c r="C54" i="10"/>
  <c r="E67" i="10"/>
  <c r="G67" i="10" s="1"/>
  <c r="E65" i="10"/>
  <c r="G65" i="10" s="1"/>
  <c r="E63" i="10"/>
  <c r="G63" i="10" s="1"/>
  <c r="B67" i="10"/>
  <c r="D67" i="10" s="1"/>
  <c r="B65" i="10"/>
  <c r="D65" i="10" s="1"/>
  <c r="B63" i="10"/>
  <c r="D63" i="10" s="1"/>
  <c r="D18" i="10"/>
  <c r="E18" i="10"/>
  <c r="D20" i="10"/>
  <c r="E20" i="10"/>
  <c r="D22" i="10"/>
  <c r="E22" i="10"/>
  <c r="C22" i="10"/>
  <c r="C20" i="10"/>
  <c r="C18" i="10"/>
  <c r="H31" i="9"/>
  <c r="G31" i="9"/>
  <c r="F31" i="9"/>
  <c r="E31" i="9"/>
  <c r="C31" i="9"/>
  <c r="C29" i="9"/>
  <c r="D31" i="9"/>
  <c r="M21" i="9"/>
  <c r="M19" i="9"/>
  <c r="L21" i="9"/>
  <c r="L19" i="9"/>
  <c r="H42" i="9"/>
  <c r="H44" i="9"/>
  <c r="H46" i="9"/>
  <c r="H48" i="9"/>
  <c r="H50" i="9"/>
  <c r="H52" i="9"/>
  <c r="H54" i="9"/>
  <c r="G54" i="9"/>
  <c r="G52" i="9"/>
  <c r="G50" i="9"/>
  <c r="G48" i="9"/>
  <c r="G46" i="9"/>
  <c r="G44" i="9"/>
  <c r="G42" i="9"/>
  <c r="F42" i="9"/>
  <c r="F44" i="9"/>
  <c r="F46" i="9"/>
  <c r="F48" i="9"/>
  <c r="F50" i="9"/>
  <c r="F52" i="9"/>
  <c r="F54" i="9"/>
  <c r="E54" i="9"/>
  <c r="E52" i="9"/>
  <c r="E50" i="9"/>
  <c r="E48" i="9"/>
  <c r="E46" i="9"/>
  <c r="E44" i="9"/>
  <c r="D42" i="9"/>
  <c r="D44" i="9"/>
  <c r="D46" i="9"/>
  <c r="D48" i="9"/>
  <c r="D50" i="9"/>
  <c r="D52" i="9"/>
  <c r="D54" i="9"/>
  <c r="C54" i="9"/>
  <c r="C52" i="9"/>
  <c r="C50" i="9"/>
  <c r="C48" i="9"/>
  <c r="C46" i="9"/>
  <c r="C44" i="9"/>
  <c r="C42" i="9"/>
  <c r="E67" i="9"/>
  <c r="G67" i="9" s="1"/>
  <c r="E65" i="9"/>
  <c r="G65" i="9" s="1"/>
  <c r="E63" i="9"/>
  <c r="G63" i="9" s="1"/>
  <c r="B67" i="9"/>
  <c r="D67" i="9" s="1"/>
  <c r="B65" i="9"/>
  <c r="D65" i="9" s="1"/>
  <c r="B63" i="9"/>
  <c r="D63" i="9" s="1"/>
  <c r="D18" i="9"/>
  <c r="E18" i="9"/>
  <c r="D20" i="9"/>
  <c r="E20" i="9"/>
  <c r="D22" i="9"/>
  <c r="E22" i="9"/>
  <c r="C22" i="9"/>
  <c r="C20" i="9"/>
  <c r="C18" i="9"/>
  <c r="I29" i="8"/>
  <c r="H31" i="8"/>
  <c r="H29" i="8"/>
  <c r="G31" i="8"/>
  <c r="G29" i="8"/>
  <c r="F31" i="8"/>
  <c r="F29" i="8"/>
  <c r="E29" i="8"/>
  <c r="C31" i="8"/>
  <c r="C29" i="8"/>
  <c r="D31" i="8"/>
  <c r="M21" i="8"/>
  <c r="M19" i="8"/>
  <c r="L21" i="8"/>
  <c r="L19" i="8"/>
  <c r="E68" i="8"/>
  <c r="G68" i="8" s="1"/>
  <c r="E66" i="8"/>
  <c r="G66" i="8" s="1"/>
  <c r="E64" i="8"/>
  <c r="G64" i="8" s="1"/>
  <c r="B68" i="8"/>
  <c r="D68" i="8" s="1"/>
  <c r="B66" i="8"/>
  <c r="D66" i="8" s="1"/>
  <c r="B64" i="8"/>
  <c r="D64" i="8" s="1"/>
  <c r="E22" i="8"/>
  <c r="E20" i="8"/>
  <c r="D22" i="8"/>
  <c r="C22" i="8"/>
  <c r="H42" i="8"/>
  <c r="H44" i="8"/>
  <c r="H46" i="8"/>
  <c r="H48" i="8"/>
  <c r="H50" i="8"/>
  <c r="H52" i="8"/>
  <c r="H54" i="8"/>
  <c r="G54" i="8"/>
  <c r="G52" i="8"/>
  <c r="G50" i="8"/>
  <c r="G48" i="8"/>
  <c r="G46" i="8"/>
  <c r="G44" i="8"/>
  <c r="G42" i="8"/>
  <c r="F42" i="8"/>
  <c r="F44" i="8"/>
  <c r="F46" i="8"/>
  <c r="F48" i="8"/>
  <c r="F50" i="8"/>
  <c r="F52" i="8"/>
  <c r="F54" i="8"/>
  <c r="E54" i="8"/>
  <c r="E52" i="8"/>
  <c r="E50" i="8"/>
  <c r="E48" i="8"/>
  <c r="E46" i="8"/>
  <c r="E44" i="8"/>
  <c r="E42" i="8"/>
  <c r="D42" i="8"/>
  <c r="D44" i="8"/>
  <c r="D46" i="8"/>
  <c r="D48" i="8"/>
  <c r="D50" i="8"/>
  <c r="D52" i="8"/>
  <c r="D54" i="8"/>
  <c r="C54" i="8"/>
  <c r="C52" i="8"/>
  <c r="C50" i="8"/>
  <c r="C48" i="8"/>
  <c r="C46" i="8"/>
  <c r="C44" i="8"/>
  <c r="C42" i="8"/>
  <c r="M13" i="14"/>
  <c r="G57" i="11"/>
  <c r="F51" i="7" l="1"/>
  <c r="P68" i="15"/>
  <c r="P67" i="12"/>
  <c r="P63" i="14"/>
  <c r="P64" i="15"/>
  <c r="P65" i="14"/>
  <c r="P67" i="14"/>
  <c r="P68" i="13"/>
  <c r="P64" i="13"/>
  <c r="P69" i="12"/>
  <c r="P67" i="10"/>
  <c r="P63" i="10"/>
  <c r="P65" i="10"/>
  <c r="P67" i="9"/>
  <c r="P65" i="9"/>
  <c r="P63" i="9"/>
  <c r="C34" i="15"/>
  <c r="I54" i="8"/>
  <c r="J53" i="11"/>
  <c r="K53" i="11" s="1"/>
  <c r="I53" i="12"/>
  <c r="L23" i="15"/>
  <c r="G33" i="8"/>
  <c r="C34" i="11"/>
  <c r="H34" i="12"/>
  <c r="C34" i="13"/>
  <c r="H33" i="14"/>
  <c r="I46" i="9"/>
  <c r="M23" i="11"/>
  <c r="F18" i="12"/>
  <c r="I46" i="8"/>
  <c r="F34" i="15"/>
  <c r="F34" i="13"/>
  <c r="I33" i="9"/>
  <c r="I44" i="8"/>
  <c r="I52" i="8"/>
  <c r="I47" i="12"/>
  <c r="I55" i="12"/>
  <c r="I50" i="14"/>
  <c r="I45" i="12"/>
  <c r="J43" i="12"/>
  <c r="C34" i="12"/>
  <c r="L23" i="14"/>
  <c r="F18" i="15"/>
  <c r="C56" i="9"/>
  <c r="J48" i="9"/>
  <c r="G56" i="9"/>
  <c r="H56" i="9"/>
  <c r="C33" i="9"/>
  <c r="E24" i="11"/>
  <c r="I34" i="12"/>
  <c r="C57" i="13"/>
  <c r="F20" i="13"/>
  <c r="E34" i="13"/>
  <c r="G34" i="13"/>
  <c r="J32" i="13"/>
  <c r="G56" i="14"/>
  <c r="E56" i="15"/>
  <c r="E34" i="15"/>
  <c r="G34" i="15"/>
  <c r="J32" i="15"/>
  <c r="G34" i="11"/>
  <c r="E57" i="12"/>
  <c r="F22" i="15"/>
  <c r="G33" i="10"/>
  <c r="H33" i="10"/>
  <c r="C57" i="11"/>
  <c r="L23" i="12"/>
  <c r="I44" i="14"/>
  <c r="I52" i="14"/>
  <c r="J50" i="14"/>
  <c r="J42" i="14"/>
  <c r="E56" i="14"/>
  <c r="F18" i="14"/>
  <c r="M23" i="9"/>
  <c r="F22" i="11"/>
  <c r="F20" i="14"/>
  <c r="C57" i="12"/>
  <c r="G56" i="8"/>
  <c r="F33" i="8"/>
  <c r="H33" i="8"/>
  <c r="C24" i="10"/>
  <c r="J51" i="12"/>
  <c r="F22" i="12"/>
  <c r="E24" i="12"/>
  <c r="E34" i="12"/>
  <c r="I43" i="13"/>
  <c r="I51" i="13"/>
  <c r="G57" i="13"/>
  <c r="H57" i="13"/>
  <c r="F22" i="14"/>
  <c r="F56" i="15"/>
  <c r="E24" i="15"/>
  <c r="J50" i="8"/>
  <c r="D56" i="8"/>
  <c r="F56" i="8"/>
  <c r="L23" i="8"/>
  <c r="F18" i="9"/>
  <c r="F22" i="9"/>
  <c r="D24" i="9"/>
  <c r="I54" i="9"/>
  <c r="G56" i="10"/>
  <c r="C33" i="10"/>
  <c r="E33" i="10"/>
  <c r="F18" i="11"/>
  <c r="L23" i="11"/>
  <c r="F34" i="11"/>
  <c r="G57" i="12"/>
  <c r="I51" i="12"/>
  <c r="C24" i="13"/>
  <c r="J42" i="9"/>
  <c r="I54" i="10"/>
  <c r="H56" i="10"/>
  <c r="E34" i="11"/>
  <c r="J32" i="11"/>
  <c r="H57" i="12"/>
  <c r="F22" i="13"/>
  <c r="L23" i="13"/>
  <c r="H34" i="13"/>
  <c r="I33" i="14"/>
  <c r="H56" i="15"/>
  <c r="H34" i="15"/>
  <c r="I34" i="11"/>
  <c r="E33" i="14"/>
  <c r="C33" i="8"/>
  <c r="J31" i="9"/>
  <c r="J32" i="12"/>
  <c r="K23" i="14"/>
  <c r="L23" i="9"/>
  <c r="K23" i="12"/>
  <c r="E24" i="13"/>
  <c r="F20" i="9"/>
  <c r="C24" i="15"/>
  <c r="F20" i="15"/>
  <c r="E24" i="10"/>
  <c r="E24" i="14"/>
  <c r="F22" i="10"/>
  <c r="F20" i="11"/>
  <c r="D24" i="12"/>
  <c r="D24" i="13"/>
  <c r="F20" i="10"/>
  <c r="F20" i="12"/>
  <c r="D24" i="14"/>
  <c r="H56" i="8"/>
  <c r="J44" i="9"/>
  <c r="I44" i="9"/>
  <c r="I52" i="9"/>
  <c r="J50" i="9"/>
  <c r="J53" i="12"/>
  <c r="I53" i="13"/>
  <c r="I49" i="13"/>
  <c r="I48" i="14"/>
  <c r="I54" i="14"/>
  <c r="J48" i="14"/>
  <c r="H56" i="14"/>
  <c r="E56" i="8"/>
  <c r="I48" i="8"/>
  <c r="J42" i="8"/>
  <c r="J52" i="8"/>
  <c r="J44" i="8"/>
  <c r="I50" i="9"/>
  <c r="J54" i="8"/>
  <c r="I49" i="12"/>
  <c r="I55" i="13"/>
  <c r="J49" i="13"/>
  <c r="I46" i="14"/>
  <c r="C56" i="14"/>
  <c r="J52" i="9"/>
  <c r="J46" i="14"/>
  <c r="J46" i="8"/>
  <c r="I50" i="8"/>
  <c r="J47" i="12"/>
  <c r="I47" i="13"/>
  <c r="J51" i="13"/>
  <c r="G56" i="15"/>
  <c r="J52" i="14"/>
  <c r="J44" i="14"/>
  <c r="J54" i="14"/>
  <c r="J53" i="13"/>
  <c r="J45" i="13"/>
  <c r="J55" i="13"/>
  <c r="F34" i="12"/>
  <c r="J49" i="12"/>
  <c r="J45" i="12"/>
  <c r="J55" i="12"/>
  <c r="D24" i="11"/>
  <c r="J55" i="11"/>
  <c r="K55" i="11" s="1"/>
  <c r="J47" i="11"/>
  <c r="E57" i="11"/>
  <c r="K51" i="11"/>
  <c r="F18" i="10"/>
  <c r="J54" i="9"/>
  <c r="J46" i="9"/>
  <c r="I48" i="9"/>
  <c r="E24" i="9"/>
  <c r="F22" i="8"/>
  <c r="K23" i="15"/>
  <c r="I34" i="15"/>
  <c r="D24" i="15"/>
  <c r="D56" i="14"/>
  <c r="G33" i="14"/>
  <c r="C24" i="14"/>
  <c r="I42" i="14"/>
  <c r="F56" i="14"/>
  <c r="E57" i="13"/>
  <c r="K23" i="13"/>
  <c r="I34" i="13"/>
  <c r="F18" i="13"/>
  <c r="D57" i="13"/>
  <c r="J47" i="13"/>
  <c r="I45" i="13"/>
  <c r="D57" i="12"/>
  <c r="G34" i="12"/>
  <c r="C24" i="12"/>
  <c r="I43" i="12"/>
  <c r="F57" i="12"/>
  <c r="K49" i="11"/>
  <c r="I47" i="11"/>
  <c r="C24" i="11"/>
  <c r="H34" i="11"/>
  <c r="I43" i="11"/>
  <c r="K43" i="11" s="1"/>
  <c r="E56" i="10"/>
  <c r="K23" i="10"/>
  <c r="D24" i="10"/>
  <c r="I33" i="10"/>
  <c r="D56" i="9"/>
  <c r="C24" i="9"/>
  <c r="F56" i="9"/>
  <c r="J48" i="8"/>
  <c r="C56" i="8"/>
  <c r="I42" i="8"/>
  <c r="M23" i="8"/>
  <c r="K50" i="14" l="1"/>
  <c r="K45" i="12"/>
  <c r="K45" i="13"/>
  <c r="K55" i="12"/>
  <c r="K49" i="13"/>
  <c r="K48" i="9"/>
  <c r="K46" i="8"/>
  <c r="K54" i="8"/>
  <c r="K49" i="12"/>
  <c r="K52" i="9"/>
  <c r="K51" i="12"/>
  <c r="K53" i="12"/>
  <c r="I57" i="11"/>
  <c r="K51" i="13"/>
  <c r="K44" i="9"/>
  <c r="K52" i="8"/>
  <c r="K43" i="12"/>
  <c r="K46" i="9"/>
  <c r="I56" i="14"/>
  <c r="K44" i="14"/>
  <c r="K47" i="12"/>
  <c r="I57" i="12"/>
  <c r="K44" i="8"/>
  <c r="K42" i="14"/>
  <c r="K50" i="8"/>
  <c r="K54" i="9"/>
  <c r="K53" i="13"/>
  <c r="J56" i="8"/>
  <c r="F24" i="13"/>
  <c r="K52" i="14"/>
  <c r="I56" i="8"/>
  <c r="F24" i="12"/>
  <c r="F24" i="9"/>
  <c r="F24" i="10"/>
  <c r="K50" i="9"/>
  <c r="I57" i="13"/>
  <c r="F24" i="14"/>
  <c r="K48" i="14"/>
  <c r="F24" i="11"/>
  <c r="F24" i="15"/>
  <c r="K46" i="14"/>
  <c r="K54" i="14"/>
  <c r="K48" i="8"/>
  <c r="K42" i="8"/>
  <c r="K47" i="13"/>
  <c r="K55" i="13"/>
  <c r="K47" i="11"/>
  <c r="J56" i="9"/>
  <c r="J56" i="14"/>
  <c r="J57" i="12"/>
  <c r="K56" i="14" l="1"/>
  <c r="K57" i="12"/>
  <c r="K56" i="8"/>
  <c r="C31" i="5"/>
  <c r="G44" i="4"/>
  <c r="G13" i="16"/>
  <c r="H13" i="16"/>
  <c r="C13" i="16"/>
  <c r="G8" i="16"/>
  <c r="L8" i="16"/>
  <c r="C42" i="16"/>
  <c r="D42" i="16"/>
  <c r="C44" i="16"/>
  <c r="D44" i="16"/>
  <c r="C46" i="16"/>
  <c r="D46" i="16"/>
  <c r="C48" i="16"/>
  <c r="D48" i="16"/>
  <c r="C50" i="16"/>
  <c r="D50" i="16"/>
  <c r="C52" i="16"/>
  <c r="D52" i="16"/>
  <c r="C54" i="16"/>
  <c r="D54" i="16"/>
  <c r="E42" i="16"/>
  <c r="F42" i="16"/>
  <c r="E44" i="16"/>
  <c r="F44" i="16"/>
  <c r="E46" i="16"/>
  <c r="F46" i="16"/>
  <c r="E48" i="16"/>
  <c r="F48" i="16"/>
  <c r="E50" i="16"/>
  <c r="F50" i="16"/>
  <c r="E52" i="16"/>
  <c r="F52" i="16"/>
  <c r="E54" i="16"/>
  <c r="F54" i="16"/>
  <c r="G42" i="16"/>
  <c r="H42" i="16"/>
  <c r="G44" i="16"/>
  <c r="H44" i="16"/>
  <c r="G46" i="16"/>
  <c r="H46" i="16"/>
  <c r="G48" i="16"/>
  <c r="H48" i="16"/>
  <c r="G50" i="16"/>
  <c r="H50" i="16"/>
  <c r="G52" i="16"/>
  <c r="H52" i="16"/>
  <c r="G54" i="16"/>
  <c r="H54" i="16"/>
  <c r="C18" i="16"/>
  <c r="D18" i="16"/>
  <c r="E18" i="16"/>
  <c r="C20" i="16"/>
  <c r="D20" i="16"/>
  <c r="E20" i="16"/>
  <c r="C22" i="16"/>
  <c r="D22" i="16"/>
  <c r="E22" i="16"/>
  <c r="B63" i="16"/>
  <c r="D63" i="16" s="1"/>
  <c r="B65" i="16"/>
  <c r="D65" i="16" s="1"/>
  <c r="B67" i="16"/>
  <c r="D67" i="16" s="1"/>
  <c r="E63" i="16"/>
  <c r="G63" i="16" s="1"/>
  <c r="E65" i="16"/>
  <c r="G65" i="16" s="1"/>
  <c r="E67" i="16"/>
  <c r="G67" i="16" s="1"/>
  <c r="J19" i="16"/>
  <c r="J21" i="16"/>
  <c r="K19" i="16"/>
  <c r="K21" i="16"/>
  <c r="L19" i="16"/>
  <c r="L21" i="16"/>
  <c r="D29" i="16"/>
  <c r="D31" i="16"/>
  <c r="C29" i="16"/>
  <c r="C31" i="16"/>
  <c r="F29" i="16"/>
  <c r="F31" i="16"/>
  <c r="E29" i="16"/>
  <c r="E31" i="16"/>
  <c r="G13" i="15"/>
  <c r="H13" i="15"/>
  <c r="C13" i="15"/>
  <c r="G8" i="15"/>
  <c r="L8" i="15"/>
  <c r="C42" i="15"/>
  <c r="D42" i="15"/>
  <c r="C44" i="15"/>
  <c r="I44" i="15" s="1"/>
  <c r="D44" i="15"/>
  <c r="J44" i="15" s="1"/>
  <c r="C46" i="15"/>
  <c r="I46" i="15" s="1"/>
  <c r="D46" i="15"/>
  <c r="J46" i="15" s="1"/>
  <c r="C48" i="15"/>
  <c r="I48" i="15" s="1"/>
  <c r="D48" i="15"/>
  <c r="J48" i="15" s="1"/>
  <c r="C50" i="15"/>
  <c r="I50" i="15" s="1"/>
  <c r="D50" i="15"/>
  <c r="J50" i="15" s="1"/>
  <c r="C52" i="15"/>
  <c r="I52" i="15" s="1"/>
  <c r="D52" i="15"/>
  <c r="J52" i="15" s="1"/>
  <c r="C54" i="15"/>
  <c r="I54" i="15" s="1"/>
  <c r="D54" i="15"/>
  <c r="J54" i="15" s="1"/>
  <c r="E64" i="15"/>
  <c r="G64" i="15" s="1"/>
  <c r="E66" i="15"/>
  <c r="G66" i="15" s="1"/>
  <c r="E68" i="15"/>
  <c r="G68" i="15" s="1"/>
  <c r="J19" i="15"/>
  <c r="J21" i="15"/>
  <c r="M21" i="15" s="1"/>
  <c r="D30" i="15"/>
  <c r="G13" i="14"/>
  <c r="H13" i="14"/>
  <c r="C13" i="14"/>
  <c r="L8" i="14"/>
  <c r="J19" i="14"/>
  <c r="J21" i="14"/>
  <c r="M21" i="14" s="1"/>
  <c r="C33" i="14"/>
  <c r="G13" i="13"/>
  <c r="H13" i="13"/>
  <c r="C13" i="13"/>
  <c r="G8" i="13"/>
  <c r="L8" i="13"/>
  <c r="F43" i="13"/>
  <c r="P66" i="13"/>
  <c r="J21" i="13"/>
  <c r="M21" i="13" s="1"/>
  <c r="D30" i="13"/>
  <c r="G13" i="12"/>
  <c r="H13" i="12"/>
  <c r="C13" i="12"/>
  <c r="G8" i="12"/>
  <c r="L8" i="12"/>
  <c r="J19" i="12"/>
  <c r="J21" i="12"/>
  <c r="M21" i="12" s="1"/>
  <c r="L19" i="5"/>
  <c r="D30" i="12"/>
  <c r="D31" i="5"/>
  <c r="C20" i="5"/>
  <c r="G13" i="11"/>
  <c r="H13" i="11"/>
  <c r="C13" i="11"/>
  <c r="G8" i="11"/>
  <c r="L8" i="11"/>
  <c r="D45" i="11"/>
  <c r="K19" i="11"/>
  <c r="K21" i="11"/>
  <c r="N21" i="11" s="1"/>
  <c r="G13" i="10"/>
  <c r="H13" i="10"/>
  <c r="C13" i="10"/>
  <c r="L8" i="10"/>
  <c r="C42" i="10"/>
  <c r="D42" i="10"/>
  <c r="C44" i="10"/>
  <c r="I44" i="10" s="1"/>
  <c r="D44" i="10"/>
  <c r="J44" i="10" s="1"/>
  <c r="C46" i="10"/>
  <c r="I46" i="10" s="1"/>
  <c r="D46" i="10"/>
  <c r="J46" i="10" s="1"/>
  <c r="C48" i="10"/>
  <c r="I48" i="10" s="1"/>
  <c r="D48" i="10"/>
  <c r="C50" i="10"/>
  <c r="I50" i="10" s="1"/>
  <c r="D50" i="10"/>
  <c r="C52" i="10"/>
  <c r="I52" i="10" s="1"/>
  <c r="E45" i="5"/>
  <c r="E49" i="5"/>
  <c r="F48" i="10"/>
  <c r="F50" i="10"/>
  <c r="E53" i="5"/>
  <c r="F52" i="10"/>
  <c r="J52" i="10" s="1"/>
  <c r="F54" i="10"/>
  <c r="J54" i="10" s="1"/>
  <c r="K54" i="10" s="1"/>
  <c r="H43" i="5"/>
  <c r="H47" i="5"/>
  <c r="H51" i="5"/>
  <c r="H55" i="5"/>
  <c r="E22" i="5"/>
  <c r="J21" i="10"/>
  <c r="L21" i="5"/>
  <c r="L19" i="10"/>
  <c r="L21" i="10"/>
  <c r="D29" i="10"/>
  <c r="D33" i="10" s="1"/>
  <c r="G31" i="5"/>
  <c r="G13" i="9"/>
  <c r="H13" i="9"/>
  <c r="C13" i="9"/>
  <c r="G8" i="9"/>
  <c r="L8" i="9"/>
  <c r="C50" i="4"/>
  <c r="E42" i="9"/>
  <c r="H46" i="4"/>
  <c r="K19" i="9"/>
  <c r="K21" i="9"/>
  <c r="N21" i="9" s="1"/>
  <c r="M19" i="4"/>
  <c r="D29" i="9"/>
  <c r="D33" i="9" s="1"/>
  <c r="F29" i="9"/>
  <c r="E29" i="9"/>
  <c r="E33" i="9" s="1"/>
  <c r="G29" i="9"/>
  <c r="G33" i="9" s="1"/>
  <c r="H29" i="9"/>
  <c r="H33" i="9" s="1"/>
  <c r="C42" i="4"/>
  <c r="D52" i="4"/>
  <c r="E52" i="4"/>
  <c r="G48" i="4"/>
  <c r="L21" i="4"/>
  <c r="F13" i="8"/>
  <c r="H13" i="8"/>
  <c r="C13" i="8"/>
  <c r="G8" i="8"/>
  <c r="L8" i="8"/>
  <c r="D44" i="4"/>
  <c r="C46" i="4"/>
  <c r="D48" i="4"/>
  <c r="C54" i="4"/>
  <c r="E44" i="4"/>
  <c r="F44" i="4"/>
  <c r="E48" i="4"/>
  <c r="H42" i="4"/>
  <c r="H50" i="4"/>
  <c r="G52" i="4"/>
  <c r="H54" i="4"/>
  <c r="D18" i="8"/>
  <c r="E18" i="8"/>
  <c r="D20" i="8"/>
  <c r="D22" i="4"/>
  <c r="E22" i="4"/>
  <c r="B66" i="4"/>
  <c r="D66" i="4" s="1"/>
  <c r="E64" i="4"/>
  <c r="G64" i="4" s="1"/>
  <c r="E68" i="4"/>
  <c r="G68" i="4" s="1"/>
  <c r="K19" i="8"/>
  <c r="K21" i="8"/>
  <c r="N21" i="8" s="1"/>
  <c r="D29" i="8"/>
  <c r="E31" i="8"/>
  <c r="I31" i="8"/>
  <c r="I33" i="8" s="1"/>
  <c r="P63" i="16" l="1"/>
  <c r="P67" i="16"/>
  <c r="P65" i="16"/>
  <c r="P66" i="15"/>
  <c r="P65" i="12"/>
  <c r="L23" i="5"/>
  <c r="M21" i="16"/>
  <c r="E24" i="16"/>
  <c r="I52" i="16"/>
  <c r="I48" i="16"/>
  <c r="I44" i="16"/>
  <c r="E33" i="16"/>
  <c r="J54" i="16"/>
  <c r="J50" i="16"/>
  <c r="C56" i="16"/>
  <c r="G8" i="4"/>
  <c r="J30" i="12"/>
  <c r="D34" i="12"/>
  <c r="J34" i="12" s="1"/>
  <c r="G13" i="4"/>
  <c r="G13" i="8"/>
  <c r="B8" i="9"/>
  <c r="B13" i="9"/>
  <c r="K19" i="5"/>
  <c r="J19" i="10"/>
  <c r="J23" i="10" s="1"/>
  <c r="B13" i="10"/>
  <c r="B8" i="10"/>
  <c r="B13" i="11"/>
  <c r="B8" i="11"/>
  <c r="M19" i="12"/>
  <c r="M23" i="12" s="1"/>
  <c r="J23" i="12"/>
  <c r="B13" i="12"/>
  <c r="B8" i="12"/>
  <c r="J30" i="13"/>
  <c r="D34" i="13"/>
  <c r="J34" i="13" s="1"/>
  <c r="D33" i="14"/>
  <c r="J29" i="14"/>
  <c r="M19" i="14"/>
  <c r="M23" i="14" s="1"/>
  <c r="J23" i="14"/>
  <c r="B13" i="14"/>
  <c r="B8" i="14"/>
  <c r="M21" i="10"/>
  <c r="J46" i="16"/>
  <c r="J42" i="16"/>
  <c r="K23" i="9"/>
  <c r="N19" i="9"/>
  <c r="N23" i="9" s="1"/>
  <c r="K23" i="11"/>
  <c r="N19" i="11"/>
  <c r="N23" i="11" s="1"/>
  <c r="B13" i="8"/>
  <c r="B8" i="8"/>
  <c r="G8" i="5"/>
  <c r="G8" i="10"/>
  <c r="G8" i="14"/>
  <c r="D33" i="16"/>
  <c r="J23" i="16"/>
  <c r="D56" i="16"/>
  <c r="J29" i="8"/>
  <c r="D33" i="8"/>
  <c r="K23" i="8"/>
  <c r="N19" i="8"/>
  <c r="N23" i="8" s="1"/>
  <c r="J19" i="13"/>
  <c r="B8" i="13"/>
  <c r="B13" i="13"/>
  <c r="D34" i="15"/>
  <c r="J34" i="15" s="1"/>
  <c r="J30" i="15"/>
  <c r="J23" i="15"/>
  <c r="M19" i="15"/>
  <c r="M23" i="15" s="1"/>
  <c r="B13" i="15"/>
  <c r="B8" i="15"/>
  <c r="B8" i="16"/>
  <c r="B13" i="16"/>
  <c r="C13" i="4"/>
  <c r="C33" i="16"/>
  <c r="D30" i="11"/>
  <c r="D29" i="5"/>
  <c r="H31" i="16"/>
  <c r="H29" i="16"/>
  <c r="F33" i="16"/>
  <c r="I31" i="16"/>
  <c r="G31" i="16"/>
  <c r="I29" i="16"/>
  <c r="G29" i="16"/>
  <c r="M19" i="16"/>
  <c r="K23" i="16"/>
  <c r="L23" i="16"/>
  <c r="F22" i="16"/>
  <c r="F20" i="16"/>
  <c r="D24" i="16"/>
  <c r="F18" i="16"/>
  <c r="C24" i="16"/>
  <c r="G56" i="16"/>
  <c r="H56" i="16"/>
  <c r="K46" i="10"/>
  <c r="J52" i="16"/>
  <c r="J48" i="16"/>
  <c r="I54" i="16"/>
  <c r="I50" i="16"/>
  <c r="I46" i="16"/>
  <c r="K48" i="15"/>
  <c r="K54" i="15"/>
  <c r="K46" i="15"/>
  <c r="F56" i="16"/>
  <c r="J44" i="16"/>
  <c r="K52" i="15"/>
  <c r="K44" i="15"/>
  <c r="E56" i="16"/>
  <c r="I42" i="16"/>
  <c r="J42" i="15"/>
  <c r="D56" i="15"/>
  <c r="J56" i="15" s="1"/>
  <c r="K50" i="15"/>
  <c r="I42" i="15"/>
  <c r="C56" i="15"/>
  <c r="I56" i="15" s="1"/>
  <c r="K44" i="10"/>
  <c r="J45" i="11"/>
  <c r="K45" i="11" s="1"/>
  <c r="D57" i="11"/>
  <c r="J57" i="11" s="1"/>
  <c r="K57" i="11" s="1"/>
  <c r="J29" i="9"/>
  <c r="F33" i="9"/>
  <c r="J33" i="9" s="1"/>
  <c r="E56" i="9"/>
  <c r="I56" i="9" s="1"/>
  <c r="K56" i="9" s="1"/>
  <c r="I42" i="9"/>
  <c r="K42" i="9" s="1"/>
  <c r="D24" i="8"/>
  <c r="J43" i="13"/>
  <c r="K43" i="13" s="1"/>
  <c r="F57" i="13"/>
  <c r="J57" i="13" s="1"/>
  <c r="K57" i="13" s="1"/>
  <c r="F31" i="10"/>
  <c r="J31" i="10" s="1"/>
  <c r="F29" i="10"/>
  <c r="L23" i="10"/>
  <c r="J31" i="8"/>
  <c r="E33" i="8"/>
  <c r="F33" i="14"/>
  <c r="J31" i="14"/>
  <c r="K52" i="10"/>
  <c r="F56" i="10"/>
  <c r="J50" i="10"/>
  <c r="K50" i="10" s="1"/>
  <c r="J48" i="10"/>
  <c r="K48" i="10" s="1"/>
  <c r="J42" i="10"/>
  <c r="D56" i="10"/>
  <c r="I42" i="10"/>
  <c r="C56" i="10"/>
  <c r="I56" i="10" s="1"/>
  <c r="C20" i="4"/>
  <c r="C20" i="8"/>
  <c r="F20" i="8" s="1"/>
  <c r="C18" i="4"/>
  <c r="C18" i="8"/>
  <c r="E24" i="8"/>
  <c r="C29" i="5"/>
  <c r="D49" i="5"/>
  <c r="G29" i="5"/>
  <c r="M19" i="5"/>
  <c r="B66" i="5"/>
  <c r="D66" i="5" s="1"/>
  <c r="D20" i="5"/>
  <c r="C18" i="5"/>
  <c r="G53" i="5"/>
  <c r="G49" i="5"/>
  <c r="G45" i="5"/>
  <c r="F53" i="5"/>
  <c r="F49" i="5"/>
  <c r="F45" i="5"/>
  <c r="C55" i="5"/>
  <c r="C51" i="5"/>
  <c r="C47" i="5"/>
  <c r="C43" i="5"/>
  <c r="H31" i="5"/>
  <c r="F31" i="5"/>
  <c r="E68" i="5"/>
  <c r="G68" i="5" s="1"/>
  <c r="C22" i="5"/>
  <c r="E18" i="5"/>
  <c r="G51" i="5"/>
  <c r="G43" i="5"/>
  <c r="G55" i="5"/>
  <c r="G47" i="5"/>
  <c r="C29" i="4"/>
  <c r="K19" i="4"/>
  <c r="I29" i="4"/>
  <c r="C31" i="4"/>
  <c r="E54" i="4"/>
  <c r="E50" i="4"/>
  <c r="E46" i="4"/>
  <c r="E42" i="4"/>
  <c r="F48" i="4"/>
  <c r="F52" i="4"/>
  <c r="F29" i="4"/>
  <c r="D29" i="4"/>
  <c r="K21" i="4"/>
  <c r="D54" i="4"/>
  <c r="L13" i="16"/>
  <c r="E66" i="4"/>
  <c r="G66" i="4" s="1"/>
  <c r="E20" i="4"/>
  <c r="D18" i="4"/>
  <c r="M21" i="4"/>
  <c r="H52" i="4"/>
  <c r="H44" i="4"/>
  <c r="D50" i="4"/>
  <c r="L8" i="4"/>
  <c r="H13" i="4"/>
  <c r="H31" i="4"/>
  <c r="F31" i="4"/>
  <c r="D31" i="4"/>
  <c r="L19" i="4"/>
  <c r="B68" i="4"/>
  <c r="D68" i="4" s="1"/>
  <c r="B64" i="4"/>
  <c r="D64" i="4" s="1"/>
  <c r="C22" i="4"/>
  <c r="E18" i="4"/>
  <c r="G54" i="4"/>
  <c r="G50" i="4"/>
  <c r="G46" i="4"/>
  <c r="G42" i="4"/>
  <c r="F54" i="4"/>
  <c r="F50" i="4"/>
  <c r="F46" i="4"/>
  <c r="F42" i="4"/>
  <c r="C52" i="4"/>
  <c r="B64" i="5"/>
  <c r="D64" i="5" s="1"/>
  <c r="F55" i="5"/>
  <c r="F51" i="5"/>
  <c r="F47" i="5"/>
  <c r="F43" i="5"/>
  <c r="C53" i="5"/>
  <c r="C49" i="5"/>
  <c r="C45" i="5"/>
  <c r="B13" i="5"/>
  <c r="E64" i="5"/>
  <c r="G64" i="5" s="1"/>
  <c r="D22" i="5"/>
  <c r="D53" i="5"/>
  <c r="D45" i="5"/>
  <c r="C13" i="5"/>
  <c r="H29" i="5"/>
  <c r="F29" i="5"/>
  <c r="M21" i="5"/>
  <c r="K21" i="5"/>
  <c r="E66" i="5"/>
  <c r="G66" i="5" s="1"/>
  <c r="E20" i="5"/>
  <c r="D18" i="5"/>
  <c r="H53" i="5"/>
  <c r="H49" i="5"/>
  <c r="H45" i="5"/>
  <c r="E43" i="5"/>
  <c r="D55" i="5"/>
  <c r="D51" i="5"/>
  <c r="D47" i="5"/>
  <c r="D43" i="5"/>
  <c r="L8" i="5"/>
  <c r="H13" i="5"/>
  <c r="O19" i="5" l="1"/>
  <c r="O21" i="4"/>
  <c r="O19" i="4"/>
  <c r="O21" i="5"/>
  <c r="P68" i="6"/>
  <c r="P66" i="6"/>
  <c r="P66" i="5"/>
  <c r="P64" i="5"/>
  <c r="P68" i="5"/>
  <c r="M23" i="5"/>
  <c r="M23" i="16"/>
  <c r="G33" i="16"/>
  <c r="K48" i="16"/>
  <c r="D25" i="6"/>
  <c r="K44" i="16"/>
  <c r="J33" i="14"/>
  <c r="K54" i="16"/>
  <c r="C24" i="8"/>
  <c r="F24" i="8" s="1"/>
  <c r="K52" i="16"/>
  <c r="I56" i="16"/>
  <c r="E24" i="5"/>
  <c r="K50" i="16"/>
  <c r="M19" i="10"/>
  <c r="M23" i="10" s="1"/>
  <c r="J33" i="8"/>
  <c r="J56" i="16"/>
  <c r="K46" i="16"/>
  <c r="J23" i="13"/>
  <c r="M19" i="13"/>
  <c r="M23" i="13" s="1"/>
  <c r="F24" i="16"/>
  <c r="H33" i="16"/>
  <c r="K42" i="16"/>
  <c r="J30" i="11"/>
  <c r="D34" i="11"/>
  <c r="J34" i="11" s="1"/>
  <c r="G32" i="3"/>
  <c r="D32" i="3"/>
  <c r="J29" i="16"/>
  <c r="I33" i="16"/>
  <c r="J31" i="16"/>
  <c r="F18" i="8"/>
  <c r="K56" i="15"/>
  <c r="K42" i="15"/>
  <c r="G29" i="4"/>
  <c r="G30" i="3"/>
  <c r="E29" i="4"/>
  <c r="F30" i="3"/>
  <c r="J29" i="10"/>
  <c r="F33" i="10"/>
  <c r="J33" i="10" s="1"/>
  <c r="I31" i="4"/>
  <c r="E31" i="4"/>
  <c r="E32" i="3"/>
  <c r="C32" i="3"/>
  <c r="K42" i="10"/>
  <c r="J56" i="10"/>
  <c r="K56" i="10" s="1"/>
  <c r="G13" i="5"/>
  <c r="E25" i="6"/>
  <c r="E55" i="5"/>
  <c r="E29" i="5"/>
  <c r="E31" i="5"/>
  <c r="H32" i="3"/>
  <c r="E47" i="5"/>
  <c r="F32" i="3"/>
  <c r="E51" i="5"/>
  <c r="H30" i="3"/>
  <c r="H29" i="4"/>
  <c r="G31" i="4"/>
  <c r="D20" i="4"/>
  <c r="H48" i="4"/>
  <c r="C48" i="4"/>
  <c r="D42" i="4"/>
  <c r="D46" i="4"/>
  <c r="C44" i="4"/>
  <c r="B13" i="4"/>
  <c r="B8" i="4"/>
  <c r="D30" i="3"/>
  <c r="O23" i="5" l="1"/>
  <c r="J30" i="3"/>
  <c r="J32" i="3"/>
  <c r="P70" i="6"/>
  <c r="K56" i="16"/>
  <c r="J33" i="16"/>
  <c r="K13" i="16" l="1"/>
  <c r="M13" i="16" s="1"/>
  <c r="L13" i="15" l="1"/>
  <c r="L13" i="13"/>
  <c r="K13" i="15"/>
  <c r="K13" i="12"/>
  <c r="L13" i="12"/>
  <c r="K13" i="9"/>
  <c r="L13" i="8"/>
  <c r="K13" i="10"/>
  <c r="K13" i="11"/>
  <c r="K13" i="8"/>
  <c r="L13" i="11"/>
  <c r="K20" i="3"/>
  <c r="D19" i="3"/>
  <c r="C14" i="3"/>
  <c r="L22" i="3"/>
  <c r="M20" i="3"/>
  <c r="B69" i="3"/>
  <c r="D44" i="3"/>
  <c r="G52" i="3"/>
  <c r="G69" i="3"/>
  <c r="F48" i="3"/>
  <c r="B65" i="3"/>
  <c r="K22" i="3"/>
  <c r="G44" i="3"/>
  <c r="G9" i="3"/>
  <c r="E48" i="3"/>
  <c r="E65" i="3"/>
  <c r="G65" i="3" s="1"/>
  <c r="F44" i="3"/>
  <c r="G56" i="3"/>
  <c r="F46" i="3"/>
  <c r="M22" i="3"/>
  <c r="E56" i="3"/>
  <c r="E19" i="3"/>
  <c r="L20" i="3"/>
  <c r="F54" i="3"/>
  <c r="B67" i="3"/>
  <c r="C67" i="3"/>
  <c r="C56" i="3"/>
  <c r="D48" i="3"/>
  <c r="E44" i="3"/>
  <c r="H46" i="3"/>
  <c r="C23" i="3"/>
  <c r="D56" i="3"/>
  <c r="E52" i="3"/>
  <c r="H14" i="3"/>
  <c r="C54" i="3"/>
  <c r="F50" i="3"/>
  <c r="G46" i="3"/>
  <c r="H54" i="3"/>
  <c r="G14" i="3"/>
  <c r="C65" i="3"/>
  <c r="C48" i="3"/>
  <c r="G54" i="3"/>
  <c r="D52" i="3"/>
  <c r="G48" i="3"/>
  <c r="C69" i="3"/>
  <c r="D50" i="3"/>
  <c r="E46" i="3"/>
  <c r="H56" i="3"/>
  <c r="C52" i="3"/>
  <c r="H50" i="3"/>
  <c r="C21" i="3"/>
  <c r="H48" i="3"/>
  <c r="G67" i="3"/>
  <c r="C44" i="3"/>
  <c r="D46" i="3"/>
  <c r="H52" i="3"/>
  <c r="E23" i="3"/>
  <c r="E54" i="3"/>
  <c r="D21" i="3"/>
  <c r="F52" i="3"/>
  <c r="G50" i="3"/>
  <c r="E21" i="3"/>
  <c r="B14" i="3"/>
  <c r="D54" i="3"/>
  <c r="E50" i="3"/>
  <c r="H44" i="3"/>
  <c r="C19" i="3"/>
  <c r="L9" i="3"/>
  <c r="F56" i="3"/>
  <c r="C46" i="3"/>
  <c r="D23" i="3"/>
  <c r="C50" i="3"/>
  <c r="F13" i="16"/>
  <c r="F13" i="15"/>
  <c r="F13" i="14"/>
  <c r="F13" i="13"/>
  <c r="F13" i="12"/>
  <c r="F13" i="11"/>
  <c r="F13" i="10"/>
  <c r="F13" i="9"/>
  <c r="O22" i="3" l="1"/>
  <c r="O20" i="3"/>
  <c r="D69" i="3"/>
  <c r="D65" i="3"/>
  <c r="D67" i="3"/>
  <c r="P67" i="3"/>
  <c r="P65" i="3"/>
  <c r="K13" i="13"/>
  <c r="M13" i="13" s="1"/>
  <c r="M13" i="15"/>
  <c r="M13" i="12"/>
  <c r="M13" i="8"/>
  <c r="M13" i="11"/>
  <c r="L13" i="4"/>
  <c r="L13" i="9"/>
  <c r="M13" i="9" s="1"/>
  <c r="L13" i="10"/>
  <c r="M13" i="10" s="1"/>
  <c r="K13" i="4"/>
  <c r="K13" i="5"/>
  <c r="O24" i="3" l="1"/>
  <c r="P69" i="3"/>
  <c r="F13" i="4"/>
  <c r="L13" i="5"/>
  <c r="M13" i="5" s="1"/>
  <c r="M13" i="4"/>
  <c r="L14" i="3"/>
  <c r="F13" i="5"/>
  <c r="B8" i="5"/>
  <c r="K14" i="3"/>
  <c r="I35" i="6"/>
  <c r="H35" i="6"/>
  <c r="G35" i="6"/>
  <c r="F35" i="6"/>
  <c r="E35" i="6"/>
  <c r="D35" i="6"/>
  <c r="C35" i="6"/>
  <c r="J33" i="6"/>
  <c r="J31" i="6"/>
  <c r="L24" i="6"/>
  <c r="J24" i="6"/>
  <c r="H59" i="6"/>
  <c r="G59" i="6"/>
  <c r="F59" i="6"/>
  <c r="E59" i="6"/>
  <c r="D59" i="6"/>
  <c r="C59" i="6"/>
  <c r="J57" i="6"/>
  <c r="I57" i="6"/>
  <c r="J55" i="6"/>
  <c r="I55" i="6"/>
  <c r="J53" i="6"/>
  <c r="I53" i="6"/>
  <c r="J51" i="6"/>
  <c r="I51" i="6"/>
  <c r="J49" i="6"/>
  <c r="I49" i="6"/>
  <c r="J47" i="6"/>
  <c r="I47" i="6"/>
  <c r="J45" i="6"/>
  <c r="I45" i="6"/>
  <c r="C25" i="6"/>
  <c r="F23" i="6"/>
  <c r="F21" i="6"/>
  <c r="F19" i="6"/>
  <c r="M14" i="6"/>
  <c r="I33" i="5"/>
  <c r="H33" i="5"/>
  <c r="G33" i="5"/>
  <c r="F33" i="5"/>
  <c r="E33" i="5"/>
  <c r="D33" i="5"/>
  <c r="C33" i="5"/>
  <c r="J31" i="5"/>
  <c r="J29" i="5"/>
  <c r="K23" i="5"/>
  <c r="H57" i="5"/>
  <c r="G57" i="5"/>
  <c r="F57" i="5"/>
  <c r="E57" i="5"/>
  <c r="D57" i="5"/>
  <c r="C57" i="5"/>
  <c r="J55" i="5"/>
  <c r="I55" i="5"/>
  <c r="J53" i="5"/>
  <c r="I53" i="5"/>
  <c r="J51" i="5"/>
  <c r="I51" i="5"/>
  <c r="J49" i="5"/>
  <c r="I49" i="5"/>
  <c r="J47" i="5"/>
  <c r="I47" i="5"/>
  <c r="J45" i="5"/>
  <c r="I45" i="5"/>
  <c r="J43" i="5"/>
  <c r="I43" i="5"/>
  <c r="D24" i="5"/>
  <c r="C24" i="5"/>
  <c r="F22" i="5"/>
  <c r="F20" i="5"/>
  <c r="F18" i="5"/>
  <c r="I33" i="4"/>
  <c r="H33" i="4"/>
  <c r="G33" i="4"/>
  <c r="F33" i="4"/>
  <c r="E33" i="4"/>
  <c r="D33" i="4"/>
  <c r="C33" i="4"/>
  <c r="J31" i="4"/>
  <c r="J29" i="4"/>
  <c r="M23" i="4"/>
  <c r="L23" i="4"/>
  <c r="K23" i="4"/>
  <c r="H56" i="4"/>
  <c r="G56" i="4"/>
  <c r="F56" i="4"/>
  <c r="E56" i="4"/>
  <c r="D56" i="4"/>
  <c r="C56" i="4"/>
  <c r="J54" i="4"/>
  <c r="I54" i="4"/>
  <c r="J52" i="4"/>
  <c r="I52" i="4"/>
  <c r="J50" i="4"/>
  <c r="I50" i="4"/>
  <c r="J48" i="4"/>
  <c r="I48" i="4"/>
  <c r="J46" i="4"/>
  <c r="I46" i="4"/>
  <c r="J44" i="4"/>
  <c r="I44" i="4"/>
  <c r="J42" i="4"/>
  <c r="I42" i="4"/>
  <c r="E24" i="4"/>
  <c r="D24" i="4"/>
  <c r="C24" i="4"/>
  <c r="F22" i="4"/>
  <c r="F20" i="4"/>
  <c r="F18" i="4"/>
  <c r="D34" i="3"/>
  <c r="E34" i="3"/>
  <c r="F34" i="3"/>
  <c r="G34" i="3"/>
  <c r="H34" i="3"/>
  <c r="I34" i="3"/>
  <c r="C34" i="3"/>
  <c r="L24" i="3"/>
  <c r="M24" i="3"/>
  <c r="K24" i="3"/>
  <c r="J46" i="3"/>
  <c r="J48" i="3"/>
  <c r="J50" i="3"/>
  <c r="J52" i="3"/>
  <c r="J54" i="3"/>
  <c r="J56" i="3"/>
  <c r="I46" i="3"/>
  <c r="I48" i="3"/>
  <c r="I50" i="3"/>
  <c r="I52" i="3"/>
  <c r="I54" i="3"/>
  <c r="I56" i="3"/>
  <c r="J44" i="3"/>
  <c r="I44" i="3"/>
  <c r="H58" i="3"/>
  <c r="G58" i="3"/>
  <c r="F58" i="3"/>
  <c r="E58" i="3"/>
  <c r="D58" i="3"/>
  <c r="C58" i="3"/>
  <c r="F21" i="3"/>
  <c r="F23" i="3"/>
  <c r="F19" i="3"/>
  <c r="C25" i="3"/>
  <c r="D25" i="3"/>
  <c r="E25" i="3"/>
  <c r="F24" i="4" l="1"/>
  <c r="K45" i="5"/>
  <c r="K49" i="5"/>
  <c r="K53" i="5"/>
  <c r="F24" i="5"/>
  <c r="M14" i="3"/>
  <c r="F14" i="3"/>
  <c r="B9" i="3"/>
  <c r="I57" i="5"/>
  <c r="K50" i="3"/>
  <c r="K44" i="4"/>
  <c r="K48" i="4"/>
  <c r="K52" i="4"/>
  <c r="K44" i="3"/>
  <c r="K52" i="3"/>
  <c r="J34" i="3"/>
  <c r="J59" i="6"/>
  <c r="I58" i="3"/>
  <c r="K56" i="3"/>
  <c r="K48" i="3"/>
  <c r="F25" i="3"/>
  <c r="J58" i="3"/>
  <c r="K54" i="3"/>
  <c r="K46" i="3"/>
  <c r="I56" i="4"/>
  <c r="J56" i="4"/>
  <c r="K42" i="4"/>
  <c r="K46" i="4"/>
  <c r="K50" i="4"/>
  <c r="K54" i="4"/>
  <c r="O23" i="4"/>
  <c r="J57" i="5"/>
  <c r="K43" i="5"/>
  <c r="K47" i="5"/>
  <c r="K51" i="5"/>
  <c r="K55" i="5"/>
  <c r="F25" i="6"/>
  <c r="K47" i="6"/>
  <c r="K51" i="6"/>
  <c r="K55" i="6"/>
  <c r="I59" i="6"/>
  <c r="K45" i="6"/>
  <c r="K49" i="6"/>
  <c r="K53" i="6"/>
  <c r="K57" i="6"/>
  <c r="N24" i="6"/>
  <c r="J35" i="6"/>
  <c r="J33" i="5"/>
  <c r="J33" i="4"/>
  <c r="K59" i="6" l="1"/>
  <c r="K57" i="5"/>
  <c r="K56" i="4"/>
  <c r="K58" i="3"/>
</calcChain>
</file>

<file path=xl/sharedStrings.xml><?xml version="1.0" encoding="utf-8"?>
<sst xmlns="http://schemas.openxmlformats.org/spreadsheetml/2006/main" count="2137" uniqueCount="293">
  <si>
    <t>الناحية</t>
  </si>
  <si>
    <t>اسم المحافظة</t>
  </si>
  <si>
    <t xml:space="preserve">القضاء </t>
  </si>
  <si>
    <t>الاصلية</t>
  </si>
  <si>
    <t>الضيف</t>
  </si>
  <si>
    <t>الموقع البيئي للمدرسة</t>
  </si>
  <si>
    <t>جنس المدرسة</t>
  </si>
  <si>
    <t xml:space="preserve">عدد اعضاء الهيئة التعليمية </t>
  </si>
  <si>
    <t>حضر</t>
  </si>
  <si>
    <t>ريف</t>
  </si>
  <si>
    <t>بنون</t>
  </si>
  <si>
    <t>بنات</t>
  </si>
  <si>
    <t>مختلط</t>
  </si>
  <si>
    <t>ذكور</t>
  </si>
  <si>
    <t>اناث</t>
  </si>
  <si>
    <t>المجموع</t>
  </si>
  <si>
    <t>المرحلة</t>
  </si>
  <si>
    <t>المرحلة الاولى</t>
  </si>
  <si>
    <t>المرحلة الثانية</t>
  </si>
  <si>
    <t>المرحلة الثالثة</t>
  </si>
  <si>
    <t>عدد الشعب حسب المرحلة والجنس</t>
  </si>
  <si>
    <t>12سنة</t>
  </si>
  <si>
    <t>13سنة</t>
  </si>
  <si>
    <t>14سنة</t>
  </si>
  <si>
    <t>15سنة</t>
  </si>
  <si>
    <t>16سنة</t>
  </si>
  <si>
    <t>17سنة</t>
  </si>
  <si>
    <t>18سنة</t>
  </si>
  <si>
    <t>العمر</t>
  </si>
  <si>
    <t>المجموع الكلي</t>
  </si>
  <si>
    <t>عدد اعضاء الهيئة التعليمية حسب العنوان الوظيفي</t>
  </si>
  <si>
    <t>العنوان</t>
  </si>
  <si>
    <t>دور المعلمين والمعلمات</t>
  </si>
  <si>
    <t>الدراسة الاعدادية</t>
  </si>
  <si>
    <t>المدارس المهنية</t>
  </si>
  <si>
    <t>معاهد اعداد المعلمين والمعلمات</t>
  </si>
  <si>
    <t>جامعية تربوية</t>
  </si>
  <si>
    <t>جامعية اخرى</t>
  </si>
  <si>
    <t>اخرى</t>
  </si>
  <si>
    <t>عدد اعضاء الهيئة التعليمية حسب الشهادة</t>
  </si>
  <si>
    <t>اعلى شهادة تم الحصول عليها</t>
  </si>
  <si>
    <t>محافظة النجف الاشرف</t>
  </si>
  <si>
    <t>النجف</t>
  </si>
  <si>
    <t>عدد المدرسة</t>
  </si>
  <si>
    <t>مدير</t>
  </si>
  <si>
    <t>معاون</t>
  </si>
  <si>
    <t>معلم</t>
  </si>
  <si>
    <t>مجموع</t>
  </si>
  <si>
    <t>الكوفة</t>
  </si>
  <si>
    <t>المركز/ الحيدرية</t>
  </si>
  <si>
    <t>المركز/ العباسية/ الحرية</t>
  </si>
  <si>
    <t>المناذرة</t>
  </si>
  <si>
    <t>خلاصة قضاء المناذرة لمدارس التعليم المسرع</t>
  </si>
  <si>
    <t>خلاصة قضاء النجف لمدارس التعليم المسرع</t>
  </si>
  <si>
    <t>خلاصة قضاء الكوفة لمدارس التعليم المسرع</t>
  </si>
  <si>
    <t xml:space="preserve">وزارة التربية </t>
  </si>
  <si>
    <t>المديرية العامة للتربية في محافظة النجف الاشرف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</si>
  <si>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</si>
  <si>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</si>
  <si>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</si>
  <si>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</si>
  <si>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هل المدرسة فتح جديد</t>
  </si>
  <si>
    <t xml:space="preserve">عدد الشعب حسب الصف والجنس </t>
  </si>
  <si>
    <t>اعضاء الهيئة التعليمية حسب العنوان الوظيفي</t>
  </si>
  <si>
    <t>الموظفون الاداريون والخدميون حسب العنوان الوظيفي</t>
  </si>
  <si>
    <t>عدد الهيئة التعليمية حسب الجنسية</t>
  </si>
  <si>
    <t>عدد اعضاء الهيئة التعليمية حسب الحالة الوظيفية</t>
  </si>
  <si>
    <t>التجهيزات والاثاث  :-</t>
  </si>
  <si>
    <t>الحاسبات  :-</t>
  </si>
  <si>
    <t>داخل القوة العمل</t>
  </si>
  <si>
    <t>خارج القوة العمل</t>
  </si>
  <si>
    <t>عدد المعلمين</t>
  </si>
  <si>
    <t>هل المدرسة مشمولة بالارشاد التربوي</t>
  </si>
  <si>
    <t>هل المدرسة مشمولة بالحاسوب</t>
  </si>
  <si>
    <t>هل المدرسة مشمولة باللغات الاجنبية</t>
  </si>
  <si>
    <t>اللغات</t>
  </si>
  <si>
    <t>عدد الرحلات المزدوجة (ذات المقعدين) الصالحة</t>
  </si>
  <si>
    <t>عدد الرحلات (ذات المقعد الواحد) الصالحة</t>
  </si>
  <si>
    <t>عدد لوحات الكتابة (السبورات) الصالحة</t>
  </si>
  <si>
    <t>عدد الحاسبات الالكترونية  (كومبيوتر)</t>
  </si>
  <si>
    <t>عدد الطابعات</t>
  </si>
  <si>
    <t>عدد الماسحات الضوئية  (سكنرات)</t>
  </si>
  <si>
    <t>مرشد تربوي</t>
  </si>
  <si>
    <t>موظف ادارة</t>
  </si>
  <si>
    <t>محاسب</t>
  </si>
  <si>
    <t>امين مكتبة</t>
  </si>
  <si>
    <t>موظف خدمات</t>
  </si>
  <si>
    <t>فلاح</t>
  </si>
  <si>
    <t>حارس</t>
  </si>
  <si>
    <t>عراقية</t>
  </si>
  <si>
    <t>عربية</t>
  </si>
  <si>
    <t>اجنبية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</si>
  <si>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</si>
  <si>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</si>
  <si>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</si>
  <si>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</si>
  <si>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</si>
  <si>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اجازة امومة</t>
  </si>
  <si>
    <t>منسب الى جهة اخرى</t>
  </si>
  <si>
    <t xml:space="preserve">اعدادية </t>
  </si>
  <si>
    <t>دور معلمين</t>
  </si>
  <si>
    <t>دبلوم تعليمي</t>
  </si>
  <si>
    <t>مدارس مهنية</t>
  </si>
  <si>
    <t>دبلوم عام</t>
  </si>
  <si>
    <t xml:space="preserve">بكلوريوس عام </t>
  </si>
  <si>
    <t>بكلوريوس تعليمية</t>
  </si>
  <si>
    <t>فرنسي</t>
  </si>
  <si>
    <t>روسي</t>
  </si>
  <si>
    <t>اسباني</t>
  </si>
  <si>
    <t>كردي</t>
  </si>
  <si>
    <t xml:space="preserve">الناحية </t>
  </si>
  <si>
    <t>ت</t>
  </si>
  <si>
    <t xml:space="preserve">الرقم الاحصائي </t>
  </si>
  <si>
    <t xml:space="preserve">اسم المدرسة 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</si>
  <si>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</si>
  <si>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</si>
  <si>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</si>
  <si>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</si>
  <si>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</si>
  <si>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</si>
  <si>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</si>
  <si>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</si>
  <si>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</si>
  <si>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</si>
  <si>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</si>
  <si>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</si>
  <si>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 xml:space="preserve">ذكور </t>
  </si>
  <si>
    <t>كلا</t>
  </si>
  <si>
    <t>نعم</t>
  </si>
  <si>
    <t>المركز</t>
  </si>
  <si>
    <t>مدينة العلم</t>
  </si>
  <si>
    <t>الاقمار المنيرة</t>
  </si>
  <si>
    <t>اعلام الدين</t>
  </si>
  <si>
    <t>البيت المعمور</t>
  </si>
  <si>
    <t>الركن اليماني</t>
  </si>
  <si>
    <t>الحزام الاخضر</t>
  </si>
  <si>
    <t>الجواهر</t>
  </si>
  <si>
    <t>مجموع مركز النجف</t>
  </si>
  <si>
    <t>الحيدرية</t>
  </si>
  <si>
    <t>النبراس</t>
  </si>
  <si>
    <t>ام ابيها</t>
  </si>
  <si>
    <t>الكنز</t>
  </si>
  <si>
    <t>مجموع الحيدرية</t>
  </si>
  <si>
    <t>قضاء النجف</t>
  </si>
  <si>
    <t>الرحيق</t>
  </si>
  <si>
    <t>الوادي المقدس</t>
  </si>
  <si>
    <t>الشهب الثاقبة</t>
  </si>
  <si>
    <t>مركز الكوفة</t>
  </si>
  <si>
    <t>العباسية</t>
  </si>
  <si>
    <t>زنة العرش</t>
  </si>
  <si>
    <t>الحرية</t>
  </si>
  <si>
    <t>الازل</t>
  </si>
  <si>
    <t>قضاء الكوفة</t>
  </si>
  <si>
    <t>مركز المناذرة</t>
  </si>
  <si>
    <t>الحيرة</t>
  </si>
  <si>
    <t>يثرب</t>
  </si>
  <si>
    <t>المشخاب</t>
  </si>
  <si>
    <t>القادسية</t>
  </si>
  <si>
    <t>قضاء المناذرة</t>
  </si>
  <si>
    <t>خلاصة المحافظة</t>
  </si>
  <si>
    <t>عدد اعضاء الهيئة التعليمية حسب الحالة الاجتماعية</t>
  </si>
  <si>
    <t>اعزب</t>
  </si>
  <si>
    <t>متزوج</t>
  </si>
  <si>
    <t>مطلق</t>
  </si>
  <si>
    <t>ارمل</t>
  </si>
  <si>
    <t>عدد المعلمين المشاركين بدورات تربوية للعام الماضي</t>
  </si>
  <si>
    <t xml:space="preserve">المجموع الكلي </t>
  </si>
  <si>
    <t xml:space="preserve">المرحلة الثانية </t>
  </si>
  <si>
    <t xml:space="preserve">الهيئة التعليمية حسب الشهادة والجنس </t>
  </si>
  <si>
    <t>خلاصة مدارس التعليم المسرع</t>
  </si>
  <si>
    <t>ناحية الحيدرية</t>
  </si>
  <si>
    <t>ناحية العباسية</t>
  </si>
  <si>
    <t xml:space="preserve">المناذرة </t>
  </si>
  <si>
    <t xml:space="preserve"> النجف الاشرف</t>
  </si>
  <si>
    <t>النجف الاشرف</t>
  </si>
  <si>
    <t>خلاصة محافظة النجف الاشرف لمدارس التعليم المسرع</t>
  </si>
  <si>
    <t>ناحية الحرية</t>
  </si>
  <si>
    <t>مركز  المناذرة</t>
  </si>
  <si>
    <t>ناحية الحيرة</t>
  </si>
  <si>
    <t>ناحية المشخاب</t>
  </si>
  <si>
    <t>ناحية القادسية</t>
  </si>
  <si>
    <t>مركز النجف</t>
  </si>
  <si>
    <t>1400962</t>
  </si>
  <si>
    <t>مدرسة مسرع</t>
  </si>
  <si>
    <t>صف مسرع في مدرسة</t>
  </si>
  <si>
    <t>نوع صفوف المسرع</t>
  </si>
  <si>
    <t>الجديد</t>
  </si>
  <si>
    <t>قسم التخطيط التربوي</t>
  </si>
  <si>
    <t>مركزالمناذرة / الحيرة</t>
  </si>
  <si>
    <t>مركزالمشخاب + القادسية</t>
  </si>
  <si>
    <t>اقرب نقطة</t>
  </si>
  <si>
    <t>قضاء المشخاب</t>
  </si>
  <si>
    <t>مجموع الراسبين</t>
  </si>
  <si>
    <t>الفشل بألامتحان</t>
  </si>
  <si>
    <t>تجاوز الغياب</t>
  </si>
  <si>
    <t>اسباب الاخرى</t>
  </si>
  <si>
    <t>مركز المشخاب</t>
  </si>
  <si>
    <t xml:space="preserve">المركز </t>
  </si>
  <si>
    <t xml:space="preserve"> النجف / الكوفة / المناذرة / المشخاب</t>
  </si>
  <si>
    <t>الجنائن المعلقة</t>
  </si>
  <si>
    <t>مجموع الرضوية</t>
  </si>
  <si>
    <t xml:space="preserve">الجمهورية -قرب اولاد الحسن مع مدرسة الصحابة الابتدائية </t>
  </si>
  <si>
    <t>حي ميسان - مع متوسطة الوداد للبنات</t>
  </si>
  <si>
    <t xml:space="preserve">حي النصر - قرب صيدلية زمزم -  مع مدرسة جنة المعلى </t>
  </si>
  <si>
    <t xml:space="preserve">لايوجد مدرسة مسرع </t>
  </si>
  <si>
    <t xml:space="preserve">الجديدة الرابعة - قرب اعدادية الصناعة مع مدرسة الوطن الابتدائية </t>
  </si>
  <si>
    <t xml:space="preserve">قرب تقاطع العسكريين - حي العلماء مع مدرسة مصطفى جواد الابتدائية </t>
  </si>
  <si>
    <t xml:space="preserve">حي السلام - مع مدرسة الدعاء المستجاب الابتدائية </t>
  </si>
  <si>
    <t>حي الانصار - مع م . الفارس العربي للبنين</t>
  </si>
  <si>
    <t>الجديدة الرابعة - قرب سوق الحديقة مع م . النهروان للبنين</t>
  </si>
  <si>
    <t>الجديدة الثالثة - مقابل متنزه حي المعلمين مع م . الخنساء للبنات</t>
  </si>
  <si>
    <t xml:space="preserve">حي الميلاد - مع مدرسة اليعقوبي </t>
  </si>
  <si>
    <t xml:space="preserve">حي ابو طالب - مع مدرسة الاعتماد </t>
  </si>
  <si>
    <t xml:space="preserve">مع م . المنارة للبنات </t>
  </si>
  <si>
    <t xml:space="preserve">المزارع - مع مدرسة محمد تقي الخوئي </t>
  </si>
  <si>
    <t xml:space="preserve">مركز الناحية - مع مدرسة عابس الشاكري </t>
  </si>
  <si>
    <t>الرضوية مع مدرسة الوتر للبنين</t>
  </si>
  <si>
    <t xml:space="preserve">حي الفرات - مع اعدادية الكوفة المركزية للبنين </t>
  </si>
  <si>
    <t xml:space="preserve">مركز العباسية مع مدرسة زرقاء اليمامة </t>
  </si>
  <si>
    <t>الرضوية</t>
  </si>
  <si>
    <t>ناحية الرضوية</t>
  </si>
  <si>
    <t>كاتب</t>
  </si>
  <si>
    <t>استضافة</t>
  </si>
  <si>
    <t>المدير</t>
  </si>
  <si>
    <t>رقم الموبايل</t>
  </si>
  <si>
    <t>المديرية العامة للتربية في النجف الاشرف</t>
  </si>
  <si>
    <t xml:space="preserve">علي عبيد اسماعيل </t>
  </si>
  <si>
    <t>سعد طارق سعد</t>
  </si>
  <si>
    <t>نسيم كريم عباس</t>
  </si>
  <si>
    <t>غسق مجيد حميد</t>
  </si>
  <si>
    <t>سحر موسى سلمان</t>
  </si>
  <si>
    <t>ايمان علي صيهود</t>
  </si>
  <si>
    <t>انعام نعمه منسي</t>
  </si>
  <si>
    <t xml:space="preserve">محمد خلف جابر </t>
  </si>
  <si>
    <t xml:space="preserve">انور صباح هاشم </t>
  </si>
  <si>
    <t xml:space="preserve">محمد عبد الرزاق ابراهيم </t>
  </si>
  <si>
    <t>خلود محسن متعب</t>
  </si>
  <si>
    <t xml:space="preserve">زينب زيدان حسان </t>
  </si>
  <si>
    <t>البقعة المباركة للتعليم المسرع</t>
  </si>
  <si>
    <t>امير عباس علي</t>
  </si>
  <si>
    <t>الانجم الزاهرة للتعليم المسرع</t>
  </si>
  <si>
    <t>زينب كامل راهي</t>
  </si>
  <si>
    <t>الطارق للتعليم المسرع</t>
  </si>
  <si>
    <t>عبدالحسين عبدالجواد صاحب</t>
  </si>
  <si>
    <t>الرواسي للتعليم المسرع</t>
  </si>
  <si>
    <t>عقيل كامل عبدالزهرة</t>
  </si>
  <si>
    <t>هل توجد مكتبة</t>
  </si>
  <si>
    <t xml:space="preserve">نعم </t>
  </si>
  <si>
    <t>حرفي</t>
  </si>
  <si>
    <t>السمو</t>
  </si>
  <si>
    <t>حياة شرارة</t>
  </si>
  <si>
    <t>رشا مهدي بنية</t>
  </si>
  <si>
    <t>مزارع اليرموك / مع مدرسة الافاضة</t>
  </si>
  <si>
    <t>وسام هادي علي</t>
  </si>
  <si>
    <t>ضياء العلم للتعليم المسرع</t>
  </si>
  <si>
    <t>فاطمة عباس سلمان</t>
  </si>
  <si>
    <t xml:space="preserve">مرشد </t>
  </si>
  <si>
    <t>مرشد</t>
  </si>
  <si>
    <t>حسنين علي مسلم</t>
  </si>
  <si>
    <t>وطن السلام</t>
  </si>
  <si>
    <t>اسراء حكيم نوري</t>
  </si>
  <si>
    <t>ابواب الامل</t>
  </si>
  <si>
    <t>طريق الامل</t>
  </si>
  <si>
    <t>سايق</t>
  </si>
  <si>
    <t>اسراء مصطفى محسن</t>
  </si>
  <si>
    <t>هيفاء منعم شاكر</t>
  </si>
  <si>
    <t>حيدر محسن صبر</t>
  </si>
  <si>
    <t>حميدة جاسم محمد</t>
  </si>
  <si>
    <t>ضيف على اعدادية المربد</t>
  </si>
  <si>
    <t>الوفاء - ضيف على الولاية</t>
  </si>
  <si>
    <t>هاجر</t>
  </si>
  <si>
    <t>صبيحة مهدي حميدي</t>
  </si>
  <si>
    <t xml:space="preserve">حي النداء </t>
  </si>
  <si>
    <t>4-5سنوات</t>
  </si>
  <si>
    <t>عدد التلاميذ التاركين حسب الصف والجنس للعام 2026 / 2025</t>
  </si>
  <si>
    <t>التعليم المسرع  2026/2025</t>
  </si>
  <si>
    <t xml:space="preserve">البيانات الاحصائية لمدارس التعليم المسرع للعام الدراسي 2026/2025 </t>
  </si>
  <si>
    <t>التاركين للعام الدراسي2026/2025</t>
  </si>
  <si>
    <t>عدد التلاميذ الناجحين حسب الصف والجنس للعام الدراسي 2025 / 2024</t>
  </si>
  <si>
    <t>عدد التلامذة الراسبين (الفشل بالامتحان ) لعام 2025 /2024</t>
  </si>
  <si>
    <t>عدد التلامذة الراسبين ( تجاوز الغياب )لعام 2025 /2024</t>
  </si>
  <si>
    <t>عدد التلامذة الراسبين ( الاسباب الاخري )لعام 2021 /2024</t>
  </si>
  <si>
    <t>الناجحون للعام الدراسي 2025/2024</t>
  </si>
  <si>
    <t>الراسبون لجميع الاسباب للعام الدراسي 2025/2024</t>
  </si>
  <si>
    <t>الشيخ الكرباسي</t>
  </si>
  <si>
    <t xml:space="preserve">النخيل </t>
  </si>
  <si>
    <t>كرار ابراهيم حطاب</t>
  </si>
  <si>
    <t>حي الوفاء / مع ثانوية الشفق</t>
  </si>
  <si>
    <t>حسين سحاب عاشور</t>
  </si>
  <si>
    <t>مع مدرسة القائم</t>
  </si>
  <si>
    <t>صلاح نوري غاوي</t>
  </si>
  <si>
    <t>زمن احمد جودي</t>
  </si>
  <si>
    <t xml:space="preserve">كوفة - شارع المعمل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</si>
</sst>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name val="Arial"/>
      <family val="2"/>
    </font>
    <font>
      <sz val="14"/>
      <name val="Arial"/>
      <family val="2"/>
      <scheme val="minor"/>
    </font>
    <font>
      <b/>
      <sz val="12"/>
      <name val="Arial"/>
      <family val="2"/>
      <scheme val="minor"/>
    </font>
    <font>
      <b/>
      <sz val="16"/>
      <name val="Arial"/>
      <family val="2"/>
      <scheme val="minor"/>
    </font>
    <font>
      <sz val="16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7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auto="1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double">
        <color indexed="64"/>
      </top>
      <bottom/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 style="double">
        <color indexed="64"/>
      </left>
      <right/>
      <top/>
      <bottom style="thick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auto="1"/>
      </right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0" borderId="0" xfId="0" applyFont="1" applyAlignment="1">
      <alignment readingOrder="2"/>
    </xf>
    <xf numFmtId="0" fontId="1" fillId="0" borderId="4" xfId="0" applyFont="1" applyBorder="1" applyAlignment="1">
      <alignment horizontal="center" readingOrder="2"/>
    </xf>
    <xf numFmtId="0" fontId="1" fillId="0" borderId="6" xfId="0" applyFont="1" applyBorder="1" applyAlignment="1">
      <alignment horizontal="center" readingOrder="2"/>
    </xf>
    <xf numFmtId="0" fontId="1" fillId="0" borderId="17" xfId="0" applyFont="1" applyBorder="1" applyAlignment="1">
      <alignment horizontal="center" readingOrder="2"/>
    </xf>
    <xf numFmtId="0" fontId="1" fillId="0" borderId="18" xfId="0" applyFont="1" applyBorder="1" applyAlignment="1">
      <alignment horizontal="center" readingOrder="2"/>
    </xf>
    <xf numFmtId="0" fontId="1" fillId="0" borderId="19" xfId="0" applyFont="1" applyBorder="1" applyAlignment="1">
      <alignment horizontal="center" readingOrder="2"/>
    </xf>
    <xf numFmtId="0" fontId="1" fillId="0" borderId="5" xfId="0" applyFont="1" applyBorder="1" applyAlignment="1">
      <alignment horizontal="center" readingOrder="2"/>
    </xf>
    <xf numFmtId="0" fontId="2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3" fillId="0" borderId="4" xfId="0" applyFont="1" applyBorder="1" applyAlignment="1">
      <alignment horizontal="center" readingOrder="2"/>
    </xf>
    <xf numFmtId="0" fontId="3" fillId="0" borderId="6" xfId="0" applyFont="1" applyBorder="1" applyAlignment="1">
      <alignment horizontal="center" readingOrder="2"/>
    </xf>
    <xf numFmtId="0" fontId="3" fillId="0" borderId="17" xfId="0" applyFont="1" applyBorder="1" applyAlignment="1">
      <alignment horizontal="center" readingOrder="2"/>
    </xf>
    <xf numFmtId="0" fontId="3" fillId="0" borderId="18" xfId="0" applyFont="1" applyBorder="1" applyAlignment="1">
      <alignment horizontal="center" readingOrder="2"/>
    </xf>
    <xf numFmtId="0" fontId="3" fillId="0" borderId="19" xfId="0" applyFont="1" applyBorder="1" applyAlignment="1">
      <alignment horizontal="center" readingOrder="2"/>
    </xf>
    <xf numFmtId="0" fontId="3" fillId="0" borderId="5" xfId="0" applyFont="1" applyBorder="1" applyAlignment="1">
      <alignment horizontal="center" readingOrder="2"/>
    </xf>
    <xf numFmtId="0" fontId="3" fillId="0" borderId="7" xfId="0" applyFont="1" applyBorder="1" applyAlignment="1">
      <alignment horizontal="center" readingOrder="2"/>
    </xf>
    <xf numFmtId="0" fontId="3" fillId="0" borderId="9" xfId="0" applyFont="1" applyBorder="1" applyAlignment="1">
      <alignment horizontal="center" readingOrder="2"/>
    </xf>
    <xf numFmtId="0" fontId="3" fillId="0" borderId="14" xfId="0" applyFont="1" applyBorder="1" applyAlignment="1">
      <alignment horizontal="center" readingOrder="2"/>
    </xf>
    <xf numFmtId="0" fontId="3" fillId="0" borderId="15" xfId="0" applyFont="1" applyBorder="1" applyAlignment="1">
      <alignment horizontal="center" readingOrder="2"/>
    </xf>
    <xf numFmtId="0" fontId="3" fillId="0" borderId="16" xfId="0" applyFont="1" applyBorder="1" applyAlignment="1">
      <alignment horizontal="center" readingOrder="2"/>
    </xf>
    <xf numFmtId="0" fontId="3" fillId="0" borderId="8" xfId="0" applyFont="1" applyBorder="1" applyAlignment="1">
      <alignment horizont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4" fillId="0" borderId="0" xfId="0" applyFont="1" applyAlignment="1">
      <alignment readingOrder="2"/>
    </xf>
    <xf numFmtId="0" fontId="3" fillId="0" borderId="0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0" xfId="0" applyFont="1" applyAlignment="1">
      <alignment vertical="center" readingOrder="2"/>
    </xf>
    <xf numFmtId="0" fontId="3" fillId="0" borderId="0" xfId="0" applyFont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4" fillId="0" borderId="0" xfId="0" applyFont="1" applyAlignment="1">
      <alignment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7" xfId="0" applyFont="1" applyBorder="1" applyAlignment="1">
      <alignment horizontal="center" vertical="center" readingOrder="2"/>
    </xf>
    <xf numFmtId="0" fontId="3" fillId="0" borderId="18" xfId="0" applyFont="1" applyBorder="1" applyAlignment="1">
      <alignment horizontal="center" vertical="center" readingOrder="2"/>
    </xf>
    <xf numFmtId="0" fontId="3" fillId="0" borderId="19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61" xfId="0" applyFont="1" applyBorder="1" applyAlignment="1">
      <alignment horizontal="center" vertical="center" readingOrder="2"/>
    </xf>
    <xf numFmtId="0" fontId="5" fillId="0" borderId="0" xfId="0" applyFont="1" applyAlignment="1">
      <alignment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71" xfId="0" applyFont="1" applyBorder="1" applyAlignment="1">
      <alignment horizontal="center" vertical="center" readingOrder="2"/>
    </xf>
    <xf numFmtId="0" fontId="3" fillId="0" borderId="73" xfId="0" applyFont="1" applyBorder="1" applyAlignment="1">
      <alignment horizontal="center" vertical="center" readingOrder="2"/>
    </xf>
    <xf numFmtId="0" fontId="1" fillId="0" borderId="71" xfId="0" applyFont="1" applyBorder="1" applyAlignment="1">
      <alignment horizontal="center" vertical="center" readingOrder="2"/>
    </xf>
    <xf numFmtId="0" fontId="1" fillId="0" borderId="73" xfId="0" applyFont="1" applyBorder="1" applyAlignment="1">
      <alignment horizontal="center" vertical="center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left" vertical="top" readingOrder="2"/>
    </xf>
    <xf numFmtId="0" fontId="3" fillId="0" borderId="0" xfId="0" applyFont="1" applyBorder="1" applyAlignment="1">
      <alignment horizontal="right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5" fillId="0" borderId="7" xfId="0" applyFont="1" applyBorder="1" applyAlignment="1">
      <alignment horizontal="center" vertical="center" readingOrder="2"/>
    </xf>
    <xf numFmtId="0" fontId="5" fillId="0" borderId="9" xfId="0" applyFont="1" applyBorder="1" applyAlignment="1">
      <alignment horizontal="center" vertical="center" readingOrder="2"/>
    </xf>
    <xf numFmtId="0" fontId="7" fillId="15" borderId="46" xfId="0" applyFont="1" applyFill="1" applyBorder="1" applyAlignment="1">
      <alignment horizontal="center" vertical="center" shrinkToFit="1" readingOrder="2"/>
    </xf>
    <xf numFmtId="0" fontId="7" fillId="15" borderId="0" xfId="0" applyFont="1" applyFill="1" applyBorder="1" applyAlignment="1">
      <alignment horizontal="center" vertical="center" shrinkToFit="1" readingOrder="2"/>
    </xf>
    <xf numFmtId="0" fontId="7" fillId="16" borderId="46" xfId="0" applyFont="1" applyFill="1" applyBorder="1" applyAlignment="1">
      <alignment horizontal="center" vertical="center" shrinkToFit="1" readingOrder="2"/>
    </xf>
    <xf numFmtId="0" fontId="7" fillId="16" borderId="0" xfId="0" applyFont="1" applyFill="1" applyBorder="1" applyAlignment="1">
      <alignment horizontal="center" vertical="center" shrinkToFit="1" readingOrder="2"/>
    </xf>
    <xf numFmtId="0" fontId="7" fillId="9" borderId="46" xfId="0" applyFont="1" applyFill="1" applyBorder="1" applyAlignment="1">
      <alignment horizontal="center" vertical="center" shrinkToFit="1" readingOrder="2"/>
    </xf>
    <xf numFmtId="0" fontId="7" fillId="9" borderId="0" xfId="0" applyFont="1" applyFill="1" applyBorder="1" applyAlignment="1">
      <alignment horizontal="center" vertical="center" shrinkToFit="1" readingOrder="2"/>
    </xf>
    <xf numFmtId="0" fontId="7" fillId="2" borderId="46" xfId="0" applyFont="1" applyFill="1" applyBorder="1" applyAlignment="1">
      <alignment horizontal="center" vertical="center" shrinkToFit="1" readingOrder="2"/>
    </xf>
    <xf numFmtId="0" fontId="7" fillId="2" borderId="0" xfId="0" applyFont="1" applyFill="1" applyBorder="1" applyAlignment="1">
      <alignment horizontal="center" vertical="center" shrinkToFit="1" readingOrder="2"/>
    </xf>
    <xf numFmtId="0" fontId="9" fillId="0" borderId="0" xfId="0" applyFont="1"/>
    <xf numFmtId="0" fontId="7" fillId="3" borderId="0" xfId="0" applyFont="1" applyFill="1" applyBorder="1" applyAlignment="1">
      <alignment horizontal="center" vertical="center" shrinkToFit="1" readingOrder="2"/>
    </xf>
    <xf numFmtId="0" fontId="7" fillId="4" borderId="0" xfId="0" applyFont="1" applyFill="1" applyBorder="1" applyAlignment="1">
      <alignment horizontal="center" vertical="center" shrinkToFit="1" readingOrder="2"/>
    </xf>
    <xf numFmtId="0" fontId="7" fillId="5" borderId="0" xfId="0" applyFont="1" applyFill="1" applyBorder="1" applyAlignment="1">
      <alignment horizontal="center" vertical="center" shrinkToFit="1" readingOrder="2"/>
    </xf>
    <xf numFmtId="0" fontId="7" fillId="6" borderId="0" xfId="0" applyFont="1" applyFill="1" applyBorder="1" applyAlignment="1">
      <alignment horizontal="center" vertical="center" shrinkToFit="1" readingOrder="2"/>
    </xf>
    <xf numFmtId="0" fontId="7" fillId="7" borderId="0" xfId="0" applyFont="1" applyFill="1" applyBorder="1" applyAlignment="1">
      <alignment horizontal="center" vertical="center" shrinkToFit="1" readingOrder="2"/>
    </xf>
    <xf numFmtId="0" fontId="7" fillId="4" borderId="52" xfId="0" applyFont="1" applyFill="1" applyBorder="1" applyAlignment="1">
      <alignment horizontal="center" vertical="center" shrinkToFit="1" readingOrder="2"/>
    </xf>
    <xf numFmtId="0" fontId="7" fillId="0" borderId="0" xfId="0" applyFont="1" applyBorder="1" applyAlignment="1">
      <alignment horizontal="center" vertical="center" shrinkToFit="1" readingOrder="2"/>
    </xf>
    <xf numFmtId="0" fontId="7" fillId="10" borderId="0" xfId="0" applyFont="1" applyFill="1" applyBorder="1" applyAlignment="1">
      <alignment horizontal="center" vertical="center" shrinkToFit="1" readingOrder="2"/>
    </xf>
    <xf numFmtId="0" fontId="7" fillId="12" borderId="0" xfId="0" applyFont="1" applyFill="1" applyBorder="1" applyAlignment="1">
      <alignment horizontal="center" vertical="center" shrinkToFit="1" readingOrder="2"/>
    </xf>
    <xf numFmtId="0" fontId="7" fillId="11" borderId="0" xfId="0" applyFont="1" applyFill="1" applyBorder="1" applyAlignment="1">
      <alignment horizontal="center" vertical="center" shrinkToFit="1" readingOrder="2"/>
    </xf>
    <xf numFmtId="0" fontId="7" fillId="14" borderId="0" xfId="0" applyFont="1" applyFill="1" applyBorder="1" applyAlignment="1">
      <alignment horizontal="center" vertical="center" shrinkToFit="1" readingOrder="2"/>
    </xf>
    <xf numFmtId="0" fontId="11" fillId="2" borderId="46" xfId="0" applyFont="1" applyFill="1" applyBorder="1" applyAlignment="1">
      <alignment horizontal="center" vertical="center" shrinkToFit="1" readingOrder="2"/>
    </xf>
    <xf numFmtId="0" fontId="7" fillId="8" borderId="0" xfId="0" applyFont="1" applyFill="1" applyBorder="1" applyAlignment="1">
      <alignment horizontal="center" vertical="center" shrinkToFit="1" readingOrder="2"/>
    </xf>
    <xf numFmtId="0" fontId="11" fillId="15" borderId="46" xfId="0" applyFont="1" applyFill="1" applyBorder="1" applyAlignment="1">
      <alignment horizontal="center" vertical="center" shrinkToFit="1" readingOrder="2"/>
    </xf>
    <xf numFmtId="0" fontId="11" fillId="16" borderId="46" xfId="0" applyFont="1" applyFill="1" applyBorder="1" applyAlignment="1">
      <alignment horizontal="center" vertical="center" shrinkToFit="1" readingOrder="2"/>
    </xf>
    <xf numFmtId="0" fontId="11" fillId="9" borderId="46" xfId="0" applyFont="1" applyFill="1" applyBorder="1" applyAlignment="1">
      <alignment horizontal="center" vertical="center" shrinkToFit="1" readingOrder="2"/>
    </xf>
    <xf numFmtId="0" fontId="11" fillId="17" borderId="46" xfId="0" applyFont="1" applyFill="1" applyBorder="1" applyAlignment="1">
      <alignment horizontal="center" vertical="center" shrinkToFit="1" readingOrder="2"/>
    </xf>
    <xf numFmtId="0" fontId="12" fillId="0" borderId="0" xfId="0" applyFont="1"/>
    <xf numFmtId="0" fontId="11" fillId="13" borderId="0" xfId="0" applyFont="1" applyFill="1" applyBorder="1" applyAlignment="1">
      <alignment horizontal="center" vertical="center" shrinkToFit="1" readingOrder="2"/>
    </xf>
    <xf numFmtId="0" fontId="11" fillId="17" borderId="0" xfId="0" applyFont="1" applyFill="1" applyBorder="1" applyAlignment="1">
      <alignment horizontal="center" vertical="center" shrinkToFit="1" readingOrder="2"/>
    </xf>
    <xf numFmtId="0" fontId="7" fillId="2" borderId="51" xfId="0" applyFont="1" applyFill="1" applyBorder="1" applyAlignment="1">
      <alignment horizontal="center" vertical="center" shrinkToFit="1" readingOrder="2"/>
    </xf>
    <xf numFmtId="0" fontId="7" fillId="13" borderId="45" xfId="0" applyFont="1" applyFill="1" applyBorder="1" applyAlignment="1">
      <alignment vertical="center" shrinkToFit="1" readingOrder="2"/>
    </xf>
    <xf numFmtId="0" fontId="7" fillId="13" borderId="0" xfId="0" applyFont="1" applyFill="1" applyBorder="1" applyAlignment="1">
      <alignment vertical="center" shrinkToFit="1" readingOrder="2"/>
    </xf>
    <xf numFmtId="0" fontId="7" fillId="13" borderId="53" xfId="0" applyFont="1" applyFill="1" applyBorder="1" applyAlignment="1">
      <alignment vertical="center" shrinkToFit="1" readingOrder="2"/>
    </xf>
    <xf numFmtId="0" fontId="7" fillId="13" borderId="54" xfId="0" applyFont="1" applyFill="1" applyBorder="1" applyAlignment="1">
      <alignment vertical="center" shrinkToFit="1" readingOrder="2"/>
    </xf>
    <xf numFmtId="0" fontId="8" fillId="13" borderId="0" xfId="0" applyFont="1" applyFill="1" applyBorder="1" applyAlignment="1">
      <alignment horizontal="center" wrapText="1" shrinkToFit="1" readingOrder="2"/>
    </xf>
    <xf numFmtId="0" fontId="10" fillId="13" borderId="46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textRotation="90" shrinkToFit="1" readingOrder="2"/>
    </xf>
    <xf numFmtId="0" fontId="7" fillId="13" borderId="46" xfId="0" applyFont="1" applyFill="1" applyBorder="1" applyAlignment="1">
      <alignment horizontal="center" vertical="center" textRotation="90" wrapText="1" shrinkToFit="1" readingOrder="2"/>
    </xf>
    <xf numFmtId="0" fontId="7" fillId="13" borderId="46" xfId="0" applyFont="1" applyFill="1" applyBorder="1" applyAlignment="1">
      <alignment vertical="center" textRotation="90" shrinkToFit="1" readingOrder="2"/>
    </xf>
    <xf numFmtId="0" fontId="11" fillId="13" borderId="46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shrinkToFit="1" readingOrder="2"/>
    </xf>
    <xf numFmtId="0" fontId="7" fillId="13" borderId="51" xfId="0" applyFont="1" applyFill="1" applyBorder="1" applyAlignment="1">
      <alignment horizontal="center" vertical="center" shrinkToFit="1" readingOrder="2"/>
    </xf>
    <xf numFmtId="0" fontId="7" fillId="13" borderId="51" xfId="0" applyFont="1" applyFill="1" applyBorder="1" applyAlignment="1">
      <alignment horizontal="center" vertical="center" wrapText="1" shrinkToFit="1" readingOrder="2"/>
    </xf>
    <xf numFmtId="0" fontId="7" fillId="13" borderId="0" xfId="0" applyFont="1" applyFill="1" applyBorder="1" applyAlignment="1">
      <alignment horizontal="center" vertical="center" shrinkToFit="1" readingOrder="2"/>
    </xf>
    <xf numFmtId="0" fontId="7" fillId="13" borderId="54" xfId="0" applyFont="1" applyFill="1" applyBorder="1" applyAlignment="1">
      <alignment horizontal="center" vertical="center" shrinkToFit="1" readingOrder="2"/>
    </xf>
    <xf numFmtId="0" fontId="7" fillId="13" borderId="45" xfId="0" applyFont="1" applyFill="1" applyBorder="1" applyAlignment="1">
      <alignment horizontal="center" vertical="center" wrapText="1" shrinkToFit="1" readingOrder="2"/>
    </xf>
    <xf numFmtId="0" fontId="7" fillId="13" borderId="0" xfId="0" applyFont="1" applyFill="1" applyBorder="1" applyAlignment="1">
      <alignment horizontal="center" vertical="center" wrapText="1" shrinkToFit="1" readingOrder="2"/>
    </xf>
    <xf numFmtId="0" fontId="7" fillId="13" borderId="54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wrapText="1" shrinkToFit="1" readingOrder="2"/>
    </xf>
    <xf numFmtId="0" fontId="7" fillId="13" borderId="48" xfId="0" applyFont="1" applyFill="1" applyBorder="1" applyAlignment="1">
      <alignment horizontal="center" vertical="center" shrinkToFit="1" readingOrder="2"/>
    </xf>
    <xf numFmtId="0" fontId="8" fillId="13" borderId="46" xfId="0" applyFont="1" applyFill="1" applyBorder="1" applyAlignment="1">
      <alignment horizontal="center" vertical="center" textRotation="90" wrapText="1" shrinkToFit="1" readingOrder="2"/>
    </xf>
    <xf numFmtId="0" fontId="7" fillId="2" borderId="0" xfId="0" applyFont="1" applyFill="1" applyAlignment="1">
      <alignment horizontal="center" vertical="center" shrinkToFit="1" readingOrder="2"/>
    </xf>
    <xf numFmtId="0" fontId="7" fillId="2" borderId="46" xfId="0" applyNumberFormat="1" applyFont="1" applyFill="1" applyBorder="1" applyAlignment="1">
      <alignment horizontal="center" vertical="center" shrinkToFit="1" readingOrder="2"/>
    </xf>
    <xf numFmtId="0" fontId="11" fillId="2" borderId="0" xfId="0" applyFont="1" applyFill="1" applyBorder="1" applyAlignment="1">
      <alignment horizontal="center" vertical="center" shrinkToFit="1" readingOrder="2"/>
    </xf>
    <xf numFmtId="0" fontId="11" fillId="14" borderId="49" xfId="0" applyFont="1" applyFill="1" applyBorder="1" applyAlignment="1">
      <alignment horizontal="center" vertical="center" shrinkToFit="1" readingOrder="2"/>
    </xf>
    <xf numFmtId="0" fontId="11" fillId="14" borderId="0" xfId="0" applyFont="1" applyFill="1" applyBorder="1" applyAlignment="1">
      <alignment horizontal="center" vertical="center" shrinkToFit="1" readingOrder="2"/>
    </xf>
    <xf numFmtId="0" fontId="11" fillId="14" borderId="53" xfId="0" applyFont="1" applyFill="1" applyBorder="1" applyAlignment="1">
      <alignment horizontal="center" vertical="center" shrinkToFit="1" readingOrder="2"/>
    </xf>
    <xf numFmtId="0" fontId="11" fillId="14" borderId="54" xfId="0" applyFont="1" applyFill="1" applyBorder="1" applyAlignment="1">
      <alignment horizontal="center" vertical="center" shrinkToFit="1" readingOrder="2"/>
    </xf>
    <xf numFmtId="0" fontId="7" fillId="13" borderId="48" xfId="0" applyFont="1" applyFill="1" applyBorder="1" applyAlignment="1">
      <alignment horizontal="center" vertical="center" shrinkToFit="1" readingOrder="2"/>
    </xf>
    <xf numFmtId="0" fontId="7" fillId="13" borderId="52" xfId="0" applyFont="1" applyFill="1" applyBorder="1" applyAlignment="1">
      <alignment horizontal="center" vertical="center" shrinkToFit="1" readingOrder="2"/>
    </xf>
    <xf numFmtId="0" fontId="7" fillId="13" borderId="58" xfId="0" applyFont="1" applyFill="1" applyBorder="1" applyAlignment="1">
      <alignment horizontal="center" vertical="center" shrinkToFit="1" readingOrder="2"/>
    </xf>
    <xf numFmtId="0" fontId="7" fillId="13" borderId="44" xfId="0" applyFont="1" applyFill="1" applyBorder="1" applyAlignment="1">
      <alignment horizontal="center" vertical="center" shrinkToFit="1" readingOrder="2"/>
    </xf>
    <xf numFmtId="0" fontId="7" fillId="13" borderId="45" xfId="0" applyFont="1" applyFill="1" applyBorder="1" applyAlignment="1">
      <alignment horizontal="center" vertical="center" shrinkToFit="1" readingOrder="2"/>
    </xf>
    <xf numFmtId="0" fontId="7" fillId="13" borderId="47" xfId="0" applyFont="1" applyFill="1" applyBorder="1" applyAlignment="1">
      <alignment horizontal="center" vertical="center" shrinkToFit="1" readingOrder="2"/>
    </xf>
    <xf numFmtId="0" fontId="7" fillId="13" borderId="53" xfId="0" applyFont="1" applyFill="1" applyBorder="1" applyAlignment="1">
      <alignment horizontal="center" vertical="center" shrinkToFit="1" readingOrder="2"/>
    </xf>
    <xf numFmtId="0" fontId="7" fillId="13" borderId="54" xfId="0" applyFont="1" applyFill="1" applyBorder="1" applyAlignment="1">
      <alignment horizontal="center" vertical="center" shrinkToFit="1" readingOrder="2"/>
    </xf>
    <xf numFmtId="0" fontId="7" fillId="13" borderId="55" xfId="0" applyFont="1" applyFill="1" applyBorder="1" applyAlignment="1">
      <alignment horizontal="center" vertical="center" shrinkToFit="1" readingOrder="2"/>
    </xf>
    <xf numFmtId="49" fontId="7" fillId="13" borderId="56" xfId="0" applyNumberFormat="1" applyFont="1" applyFill="1" applyBorder="1" applyAlignment="1">
      <alignment horizontal="center" vertical="center" wrapText="1" shrinkToFit="1" readingOrder="2"/>
    </xf>
    <xf numFmtId="49" fontId="7" fillId="13" borderId="51" xfId="0" applyNumberFormat="1" applyFont="1" applyFill="1" applyBorder="1" applyAlignment="1">
      <alignment horizontal="center" vertical="center" wrapText="1" shrinkToFit="1" readingOrder="2"/>
    </xf>
    <xf numFmtId="49" fontId="7" fillId="13" borderId="46" xfId="0" applyNumberFormat="1" applyFont="1" applyFill="1" applyBorder="1" applyAlignment="1">
      <alignment horizontal="center" vertical="center" shrinkToFit="1" readingOrder="2"/>
    </xf>
    <xf numFmtId="0" fontId="7" fillId="13" borderId="56" xfId="0" applyFont="1" applyFill="1" applyBorder="1" applyAlignment="1">
      <alignment horizontal="center" vertical="center" wrapText="1" shrinkToFit="1" readingOrder="2"/>
    </xf>
    <xf numFmtId="0" fontId="7" fillId="13" borderId="51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shrinkToFit="1" readingOrder="2"/>
    </xf>
    <xf numFmtId="0" fontId="8" fillId="13" borderId="44" xfId="0" applyFont="1" applyFill="1" applyBorder="1" applyAlignment="1">
      <alignment horizontal="center" vertical="center" textRotation="90" wrapText="1" shrinkToFit="1" readingOrder="2"/>
    </xf>
    <xf numFmtId="0" fontId="8" fillId="13" borderId="47" xfId="0" applyFont="1" applyFill="1" applyBorder="1" applyAlignment="1">
      <alignment horizontal="center" vertical="center" textRotation="90" wrapText="1" shrinkToFit="1" readingOrder="2"/>
    </xf>
    <xf numFmtId="0" fontId="8" fillId="13" borderId="53" xfId="0" applyFont="1" applyFill="1" applyBorder="1" applyAlignment="1">
      <alignment horizontal="center" vertical="center" textRotation="90" wrapText="1" shrinkToFit="1" readingOrder="2"/>
    </xf>
    <xf numFmtId="0" fontId="8" fillId="13" borderId="55" xfId="0" applyFont="1" applyFill="1" applyBorder="1" applyAlignment="1">
      <alignment horizontal="center" vertical="center" textRotation="90" wrapText="1" shrinkToFit="1" readingOrder="2"/>
    </xf>
    <xf numFmtId="0" fontId="8" fillId="13" borderId="56" xfId="0" applyFont="1" applyFill="1" applyBorder="1" applyAlignment="1">
      <alignment horizontal="center" wrapText="1" shrinkToFit="1" readingOrder="2"/>
    </xf>
    <xf numFmtId="0" fontId="8" fillId="13" borderId="57" xfId="0" applyFont="1" applyFill="1" applyBorder="1" applyAlignment="1">
      <alignment horizontal="center" wrapText="1" shrinkToFit="1" readingOrder="2"/>
    </xf>
    <xf numFmtId="0" fontId="8" fillId="13" borderId="51" xfId="0" applyFont="1" applyFill="1" applyBorder="1" applyAlignment="1">
      <alignment horizontal="center" wrapText="1" shrinkToFit="1" readingOrder="2"/>
    </xf>
    <xf numFmtId="0" fontId="8" fillId="13" borderId="46" xfId="0" applyFont="1" applyFill="1" applyBorder="1" applyAlignment="1">
      <alignment horizontal="center" vertical="center" textRotation="90" wrapText="1" shrinkToFit="1" readingOrder="2"/>
    </xf>
    <xf numFmtId="0" fontId="8" fillId="13" borderId="48" xfId="0" applyFont="1" applyFill="1" applyBorder="1" applyAlignment="1">
      <alignment horizontal="center" vertical="center" textRotation="90" wrapText="1" shrinkToFit="1" readingOrder="2"/>
    </xf>
    <xf numFmtId="0" fontId="8" fillId="13" borderId="52" xfId="0" applyFont="1" applyFill="1" applyBorder="1" applyAlignment="1">
      <alignment horizontal="center" vertical="center" textRotation="90" wrapText="1" shrinkToFit="1" readingOrder="2"/>
    </xf>
    <xf numFmtId="0" fontId="8" fillId="13" borderId="58" xfId="0" applyFont="1" applyFill="1" applyBorder="1" applyAlignment="1">
      <alignment horizontal="center" vertical="center" textRotation="90" wrapText="1" shrinkToFit="1" readingOrder="2"/>
    </xf>
    <xf numFmtId="0" fontId="7" fillId="13" borderId="57" xfId="0" applyFont="1" applyFill="1" applyBorder="1" applyAlignment="1">
      <alignment horizontal="center" vertical="center" wrapText="1" shrinkToFit="1" readingOrder="2"/>
    </xf>
    <xf numFmtId="0" fontId="7" fillId="13" borderId="48" xfId="0" applyFont="1" applyFill="1" applyBorder="1" applyAlignment="1">
      <alignment horizontal="center" vertical="center" wrapText="1" shrinkToFit="1" readingOrder="2"/>
    </xf>
    <xf numFmtId="0" fontId="7" fillId="13" borderId="58" xfId="0" applyFont="1" applyFill="1" applyBorder="1" applyAlignment="1">
      <alignment horizontal="center" vertical="center" wrapText="1" shrinkToFit="1" readingOrder="2"/>
    </xf>
    <xf numFmtId="0" fontId="7" fillId="13" borderId="46" xfId="0" applyFont="1" applyFill="1" applyBorder="1" applyAlignment="1">
      <alignment horizontal="center" vertical="center" wrapText="1" shrinkToFit="1" readingOrder="2"/>
    </xf>
    <xf numFmtId="0" fontId="7" fillId="13" borderId="44" xfId="0" applyFont="1" applyFill="1" applyBorder="1" applyAlignment="1">
      <alignment horizontal="center" vertical="center" wrapText="1" shrinkToFit="1" readingOrder="2"/>
    </xf>
    <xf numFmtId="0" fontId="7" fillId="13" borderId="47" xfId="0" applyFont="1" applyFill="1" applyBorder="1" applyAlignment="1">
      <alignment horizontal="center" vertical="center" wrapText="1" shrinkToFit="1" readingOrder="2"/>
    </xf>
    <xf numFmtId="0" fontId="7" fillId="13" borderId="53" xfId="0" applyFont="1" applyFill="1" applyBorder="1" applyAlignment="1">
      <alignment horizontal="center" vertical="center" wrapText="1" shrinkToFit="1" readingOrder="2"/>
    </xf>
    <xf numFmtId="0" fontId="7" fillId="13" borderId="55" xfId="0" applyFont="1" applyFill="1" applyBorder="1" applyAlignment="1">
      <alignment horizontal="center" vertical="center" wrapText="1" shrinkToFit="1" readingOrder="2"/>
    </xf>
    <xf numFmtId="0" fontId="7" fillId="13" borderId="49" xfId="0" applyFont="1" applyFill="1" applyBorder="1" applyAlignment="1">
      <alignment horizontal="center" vertical="center" shrinkToFit="1" readingOrder="2"/>
    </xf>
    <xf numFmtId="0" fontId="7" fillId="13" borderId="0" xfId="0" applyFont="1" applyFill="1" applyBorder="1" applyAlignment="1">
      <alignment horizontal="center" vertical="center" shrinkToFit="1" readingOrder="2"/>
    </xf>
    <xf numFmtId="0" fontId="7" fillId="13" borderId="50" xfId="0" applyFont="1" applyFill="1" applyBorder="1" applyAlignment="1">
      <alignment horizontal="center" vertical="center" shrinkToFit="1" readingOrder="2"/>
    </xf>
    <xf numFmtId="0" fontId="7" fillId="13" borderId="56" xfId="0" applyFont="1" applyFill="1" applyBorder="1" applyAlignment="1">
      <alignment horizontal="center" vertical="center" shrinkToFit="1" readingOrder="2"/>
    </xf>
    <xf numFmtId="0" fontId="7" fillId="13" borderId="51" xfId="0" applyFont="1" applyFill="1" applyBorder="1" applyAlignment="1">
      <alignment horizontal="center" vertical="center" shrinkToFit="1" readingOrder="2"/>
    </xf>
    <xf numFmtId="0" fontId="7" fillId="13" borderId="57" xfId="0" applyFont="1" applyFill="1" applyBorder="1" applyAlignment="1">
      <alignment horizontal="center" vertical="center" shrinkToFit="1" readingOrder="2"/>
    </xf>
    <xf numFmtId="49" fontId="7" fillId="13" borderId="48" xfId="0" applyNumberFormat="1" applyFont="1" applyFill="1" applyBorder="1" applyAlignment="1">
      <alignment horizontal="center" vertical="center" wrapText="1" shrinkToFit="1" readingOrder="2"/>
    </xf>
    <xf numFmtId="49" fontId="7" fillId="13" borderId="58" xfId="0" applyNumberFormat="1" applyFont="1" applyFill="1" applyBorder="1" applyAlignment="1">
      <alignment horizontal="center" vertical="center" wrapText="1" shrinkToFit="1" readingOrder="2"/>
    </xf>
    <xf numFmtId="0" fontId="7" fillId="13" borderId="45" xfId="0" applyFont="1" applyFill="1" applyBorder="1" applyAlignment="1">
      <alignment horizontal="center" vertical="center" wrapText="1" shrinkToFit="1" readingOrder="2"/>
    </xf>
    <xf numFmtId="0" fontId="7" fillId="13" borderId="49" xfId="0" applyFont="1" applyFill="1" applyBorder="1" applyAlignment="1">
      <alignment horizontal="center" vertical="center" wrapText="1" shrinkToFit="1" readingOrder="2"/>
    </xf>
    <xf numFmtId="0" fontId="7" fillId="13" borderId="0" xfId="0" applyFont="1" applyFill="1" applyBorder="1" applyAlignment="1">
      <alignment horizontal="center" vertical="center" wrapText="1" shrinkToFit="1" readingOrder="2"/>
    </xf>
    <xf numFmtId="0" fontId="7" fillId="13" borderId="54" xfId="0" applyFont="1" applyFill="1" applyBorder="1" applyAlignment="1">
      <alignment horizontal="center" vertical="center" wrapText="1" shrinkToFit="1" readingOrder="2"/>
    </xf>
    <xf numFmtId="0" fontId="11" fillId="17" borderId="56" xfId="0" applyFont="1" applyFill="1" applyBorder="1" applyAlignment="1">
      <alignment horizontal="center" vertical="center" shrinkToFit="1" readingOrder="2"/>
    </xf>
    <xf numFmtId="0" fontId="11" fillId="17" borderId="57" xfId="0" applyFont="1" applyFill="1" applyBorder="1" applyAlignment="1">
      <alignment horizontal="center" vertical="center" shrinkToFit="1" readingOrder="2"/>
    </xf>
    <xf numFmtId="0" fontId="11" fillId="17" borderId="51" xfId="0" applyFont="1" applyFill="1" applyBorder="1" applyAlignment="1">
      <alignment horizontal="center" vertical="center" shrinkToFit="1" readingOrder="2"/>
    </xf>
    <xf numFmtId="0" fontId="7" fillId="15" borderId="56" xfId="0" applyFont="1" applyFill="1" applyBorder="1" applyAlignment="1">
      <alignment horizontal="center" vertical="center" shrinkToFit="1" readingOrder="2"/>
    </xf>
    <xf numFmtId="0" fontId="7" fillId="15" borderId="57" xfId="0" applyFont="1" applyFill="1" applyBorder="1" applyAlignment="1">
      <alignment horizontal="center" vertical="center" shrinkToFit="1" readingOrder="2"/>
    </xf>
    <xf numFmtId="0" fontId="7" fillId="15" borderId="51" xfId="0" applyFont="1" applyFill="1" applyBorder="1" applyAlignment="1">
      <alignment horizontal="center" vertical="center" shrinkToFit="1" readingOrder="2"/>
    </xf>
    <xf numFmtId="0" fontId="7" fillId="9" borderId="56" xfId="0" applyFont="1" applyFill="1" applyBorder="1" applyAlignment="1">
      <alignment horizontal="center" vertical="center" shrinkToFit="1" readingOrder="2"/>
    </xf>
    <xf numFmtId="0" fontId="7" fillId="9" borderId="57" xfId="0" applyFont="1" applyFill="1" applyBorder="1" applyAlignment="1">
      <alignment horizontal="center" vertical="center" shrinkToFit="1" readingOrder="2"/>
    </xf>
    <xf numFmtId="0" fontId="7" fillId="9" borderId="51" xfId="0" applyFont="1" applyFill="1" applyBorder="1" applyAlignment="1">
      <alignment horizontal="center" vertical="center" shrinkToFit="1" readingOrder="2"/>
    </xf>
    <xf numFmtId="0" fontId="7" fillId="13" borderId="48" xfId="0" applyFont="1" applyFill="1" applyBorder="1" applyAlignment="1">
      <alignment horizontal="center" vertical="center" textRotation="90" shrinkToFit="1" readingOrder="2"/>
    </xf>
    <xf numFmtId="0" fontId="7" fillId="13" borderId="52" xfId="0" applyFont="1" applyFill="1" applyBorder="1" applyAlignment="1">
      <alignment horizontal="center" vertical="center" textRotation="90" shrinkToFit="1" readingOrder="2"/>
    </xf>
    <xf numFmtId="0" fontId="7" fillId="16" borderId="56" xfId="0" applyFont="1" applyFill="1" applyBorder="1" applyAlignment="1">
      <alignment horizontal="center" vertical="center" shrinkToFit="1" readingOrder="2"/>
    </xf>
    <xf numFmtId="0" fontId="7" fillId="16" borderId="57" xfId="0" applyFont="1" applyFill="1" applyBorder="1" applyAlignment="1">
      <alignment horizontal="center" vertical="center" shrinkToFit="1" readingOrder="2"/>
    </xf>
    <xf numFmtId="0" fontId="7" fillId="16" borderId="51" xfId="0" applyFont="1" applyFill="1" applyBorder="1" applyAlignment="1">
      <alignment horizontal="center" vertical="center" shrinkToFit="1" readingOrder="2"/>
    </xf>
    <xf numFmtId="0" fontId="7" fillId="13" borderId="50" xfId="0" applyFont="1" applyFill="1" applyBorder="1" applyAlignment="1">
      <alignment horizontal="center" vertical="center" wrapText="1" shrinkToFit="1" readingOrder="2"/>
    </xf>
    <xf numFmtId="0" fontId="3" fillId="0" borderId="43" xfId="0" applyFont="1" applyBorder="1" applyAlignment="1">
      <alignment horizontal="center" vertical="center" readingOrder="2"/>
    </xf>
    <xf numFmtId="0" fontId="3" fillId="0" borderId="31" xfId="0" applyFont="1" applyBorder="1" applyAlignment="1">
      <alignment horizontal="center" vertical="center" readingOrder="2"/>
    </xf>
    <xf numFmtId="0" fontId="3" fillId="0" borderId="59" xfId="0" applyFont="1" applyBorder="1" applyAlignment="1">
      <alignment horizontal="center" vertical="center" readingOrder="2"/>
    </xf>
    <xf numFmtId="0" fontId="3" fillId="0" borderId="13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22" xfId="0" applyFont="1" applyBorder="1" applyAlignment="1">
      <alignment horizontal="center" vertical="center" readingOrder="2"/>
    </xf>
    <xf numFmtId="0" fontId="3" fillId="0" borderId="20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23" xfId="0" applyFont="1" applyBorder="1" applyAlignment="1">
      <alignment horizontal="center" vertical="center" readingOrder="2"/>
    </xf>
    <xf numFmtId="0" fontId="3" fillId="0" borderId="11" xfId="0" applyFont="1" applyBorder="1" applyAlignment="1">
      <alignment horizontal="center" vertical="center" readingOrder="2"/>
    </xf>
    <xf numFmtId="0" fontId="3" fillId="0" borderId="25" xfId="0" applyFont="1" applyBorder="1" applyAlignment="1">
      <alignment horizontal="center" vertical="center" readingOrder="2"/>
    </xf>
    <xf numFmtId="0" fontId="3" fillId="0" borderId="27" xfId="0" applyFont="1" applyBorder="1" applyAlignment="1">
      <alignment horizontal="center" vertical="center" readingOrder="2"/>
    </xf>
    <xf numFmtId="0" fontId="3" fillId="0" borderId="26" xfId="0" applyFont="1" applyBorder="1" applyAlignment="1">
      <alignment horizontal="center" vertical="center" readingOrder="2"/>
    </xf>
    <xf numFmtId="0" fontId="3" fillId="0" borderId="28" xfId="0" applyFont="1" applyBorder="1" applyAlignment="1">
      <alignment horizontal="center" vertical="center" readingOrder="2"/>
    </xf>
    <xf numFmtId="0" fontId="3" fillId="0" borderId="35" xfId="0" applyFont="1" applyBorder="1" applyAlignment="1">
      <alignment horizontal="center" vertical="center" readingOrder="2"/>
    </xf>
    <xf numFmtId="0" fontId="3" fillId="0" borderId="24" xfId="0" applyFont="1" applyBorder="1" applyAlignment="1">
      <alignment horizontal="center" vertical="center" readingOrder="2"/>
    </xf>
    <xf numFmtId="0" fontId="3" fillId="0" borderId="12" xfId="0" applyFont="1" applyBorder="1" applyAlignment="1">
      <alignment horizontal="center" vertical="center" readingOrder="2"/>
    </xf>
    <xf numFmtId="0" fontId="3" fillId="0" borderId="36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readingOrder="2"/>
    </xf>
    <xf numFmtId="0" fontId="3" fillId="0" borderId="0" xfId="0" applyFont="1" applyAlignment="1">
      <alignment horizont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3" fillId="0" borderId="29" xfId="0" applyFont="1" applyBorder="1" applyAlignment="1">
      <alignment horizontal="center" vertical="center" readingOrder="2"/>
    </xf>
    <xf numFmtId="0" fontId="3" fillId="0" borderId="35" xfId="0" applyFont="1" applyBorder="1" applyAlignment="1">
      <alignment horizontal="center" vertical="center" wrapText="1" readingOrder="2"/>
    </xf>
    <xf numFmtId="0" fontId="3" fillId="0" borderId="14" xfId="0" applyFont="1" applyBorder="1" applyAlignment="1">
      <alignment horizontal="center" vertical="center" wrapText="1" readingOrder="2"/>
    </xf>
    <xf numFmtId="0" fontId="3" fillId="0" borderId="37" xfId="0" applyFont="1" applyBorder="1" applyAlignment="1">
      <alignment horizontal="center" vertical="center" readingOrder="2"/>
    </xf>
    <xf numFmtId="0" fontId="3" fillId="0" borderId="71" xfId="0" applyFont="1" applyBorder="1" applyAlignment="1">
      <alignment horizontal="center" vertical="center" readingOrder="2"/>
    </xf>
    <xf numFmtId="0" fontId="3" fillId="0" borderId="72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73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38" xfId="0" applyFont="1" applyBorder="1" applyAlignment="1">
      <alignment horizontal="center" vertical="center" readingOrder="2"/>
    </xf>
    <xf numFmtId="0" fontId="3" fillId="0" borderId="70" xfId="0" applyFont="1" applyBorder="1" applyAlignment="1">
      <alignment horizontal="center" vertical="center" readingOrder="2"/>
    </xf>
    <xf numFmtId="0" fontId="3" fillId="0" borderId="32" xfId="0" applyFont="1" applyBorder="1" applyAlignment="1">
      <alignment horizontal="center" vertical="center" readingOrder="2"/>
    </xf>
    <xf numFmtId="0" fontId="3" fillId="0" borderId="69" xfId="0" applyFont="1" applyBorder="1" applyAlignment="1">
      <alignment horizontal="center" vertical="center" readingOrder="2"/>
    </xf>
    <xf numFmtId="0" fontId="3" fillId="0" borderId="21" xfId="0" applyFont="1" applyBorder="1" applyAlignment="1">
      <alignment horizontal="center" vertical="center" readingOrder="2"/>
    </xf>
    <xf numFmtId="0" fontId="3" fillId="0" borderId="40" xfId="0" applyFont="1" applyBorder="1" applyAlignment="1">
      <alignment horizontal="center" vertical="center" readingOrder="2"/>
    </xf>
    <xf numFmtId="0" fontId="3" fillId="0" borderId="68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71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readingOrder="2"/>
    </xf>
    <xf numFmtId="0" fontId="3" fillId="0" borderId="3" xfId="0" applyFont="1" applyBorder="1" applyAlignment="1">
      <alignment horizontal="center" readingOrder="2"/>
    </xf>
    <xf numFmtId="0" fontId="3" fillId="0" borderId="2" xfId="0" applyFont="1" applyBorder="1" applyAlignment="1">
      <alignment horizontal="center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72" xfId="0" applyFont="1" applyBorder="1" applyAlignment="1">
      <alignment horizontal="center" vertical="center" wrapText="1" readingOrder="2"/>
    </xf>
    <xf numFmtId="0" fontId="3" fillId="0" borderId="63" xfId="0" applyFont="1" applyBorder="1" applyAlignment="1">
      <alignment horizontal="center" vertical="center" readingOrder="2"/>
    </xf>
    <xf numFmtId="0" fontId="3" fillId="0" borderId="64" xfId="0" applyFont="1" applyBorder="1" applyAlignment="1">
      <alignment horizontal="center" vertical="center" readingOrder="2"/>
    </xf>
    <xf numFmtId="0" fontId="3" fillId="0" borderId="65" xfId="0" applyFont="1" applyBorder="1" applyAlignment="1">
      <alignment horizontal="center" vertical="center" readingOrder="2"/>
    </xf>
    <xf numFmtId="0" fontId="3" fillId="0" borderId="62" xfId="0" applyFont="1" applyBorder="1" applyAlignment="1">
      <alignment horizontal="center" vertical="center" readingOrder="2"/>
    </xf>
    <xf numFmtId="0" fontId="3" fillId="0" borderId="3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67" xfId="0" applyFont="1" applyBorder="1" applyAlignment="1">
      <alignment horizontal="center" vertical="center" readingOrder="2"/>
    </xf>
    <xf numFmtId="0" fontId="3" fillId="0" borderId="66" xfId="0" applyFont="1" applyBorder="1" applyAlignment="1">
      <alignment horizontal="center" vertical="center" readingOrder="2"/>
    </xf>
    <xf numFmtId="0" fontId="3" fillId="0" borderId="60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71" xfId="0" applyFont="1" applyBorder="1" applyAlignment="1">
      <alignment horizontal="center" vertical="center" wrapText="1" readingOrder="2"/>
    </xf>
    <xf numFmtId="0" fontId="1" fillId="0" borderId="21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 readingOrder="2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42" xfId="0" applyFont="1" applyBorder="1" applyAlignment="1">
      <alignment horizontal="center" vertical="center" readingOrder="2"/>
    </xf>
    <xf numFmtId="0" fontId="3" fillId="0" borderId="34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1" fillId="0" borderId="71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73" xfId="0" applyFont="1" applyBorder="1" applyAlignment="1">
      <alignment horizontal="center" vertical="center" readingOrder="2"/>
    </xf>
    <xf numFmtId="0" fontId="1" fillId="0" borderId="72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72" xfId="0" applyFont="1" applyBorder="1" applyAlignment="1">
      <alignment horizontal="center" vertical="center" wrapText="1" readingOrder="2"/>
    </xf>
    <xf numFmtId="0" fontId="3" fillId="0" borderId="39" xfId="0" applyFont="1" applyBorder="1" applyAlignment="1">
      <alignment horizontal="center" vertical="center" readingOrder="2"/>
    </xf>
    <xf numFmtId="0" fontId="3" fillId="0" borderId="33" xfId="0" applyFont="1" applyBorder="1" applyAlignment="1">
      <alignment horizontal="center" vertical="center" readingOrder="2"/>
    </xf>
    <xf numFmtId="0" fontId="3" fillId="0" borderId="41" xfId="0" applyFont="1" applyBorder="1" applyAlignment="1">
      <alignment horizontal="center" vertical="center" readingOrder="2"/>
    </xf>
    <xf numFmtId="0" fontId="3" fillId="0" borderId="6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3" fillId="0" borderId="74" xfId="0" applyFont="1" applyBorder="1" applyAlignment="1">
      <alignment horizontal="center" vertical="center" readingOrder="2"/>
    </xf>
    <xf numFmtId="0" fontId="3" fillId="0" borderId="75" xfId="0" applyFont="1" applyBorder="1" applyAlignment="1">
      <alignment horizontal="center" vertical="center" readingOrder="2"/>
    </xf>
  </cellXfs>
  <cellStyles count="1">
    <cellStyle name="Normal" xfId="0" builtinId="0"/>
  </cellStyles>
  <dxfs count="105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JE772"/>
  <sheetViews>
    <sheetView rightToLeft="1" tabSelected="1" zoomScale="70" zoomScaleNormal="70" workbookViewId="0">
      <pane xSplit="5" ySplit="5" topLeftCell="EF42" activePane="bottomRight" state="frozen"/>
      <selection pane="topRight" activeCell="F1" sqref="F1"/>
      <selection pane="bottomLeft" activeCell="A6" sqref="A6"/>
      <selection pane="bottomRight" activeCell="FE51" sqref="FE51"/>
    </sheetView>
  </sheetViews>
  <sheetFormatPr defaultColWidth="9.125" defaultRowHeight="24.75" customHeight="1" x14ac:dyDescent="0.2"/>
  <cols>
    <col min="1" max="1" width="8" style="69" bestFit="1" customWidth="1"/>
    <col min="2" max="2" width="7.125" style="69" customWidth="1"/>
    <col min="3" max="3" width="4.625" style="69" customWidth="1"/>
    <col min="4" max="4" width="10.875" style="69" customWidth="1"/>
    <col min="5" max="5" width="13.75" style="69" customWidth="1"/>
    <col min="6" max="6" width="7.875" style="69" customWidth="1"/>
    <col min="7" max="7" width="7.375" style="69" customWidth="1"/>
    <col min="8" max="8" width="6.375" style="71" customWidth="1"/>
    <col min="9" max="9" width="5.75" style="71" customWidth="1"/>
    <col min="10" max="10" width="5.875" style="71" bestFit="1" customWidth="1"/>
    <col min="11" max="11" width="7.125" style="72" customWidth="1"/>
    <col min="12" max="12" width="6.625" style="72" customWidth="1"/>
    <col min="13" max="13" width="6.75" style="73" bestFit="1" customWidth="1"/>
    <col min="14" max="14" width="6.875" style="73" customWidth="1"/>
    <col min="15" max="15" width="9.375" style="73" bestFit="1" customWidth="1"/>
    <col min="16" max="16" width="7" style="73" customWidth="1"/>
    <col min="17" max="17" width="7.625" style="74" customWidth="1"/>
    <col min="18" max="19" width="7.125" style="74" customWidth="1"/>
    <col min="20" max="22" width="5.125" style="75" customWidth="1"/>
    <col min="23" max="23" width="7.125" style="75" bestFit="1" customWidth="1"/>
    <col min="24" max="24" width="4.375" style="75" bestFit="1" customWidth="1"/>
    <col min="25" max="25" width="5.625" style="76" bestFit="1" customWidth="1"/>
    <col min="26" max="26" width="5.875" style="72" customWidth="1"/>
    <col min="27" max="27" width="5.625" style="72" bestFit="1" customWidth="1"/>
    <col min="28" max="28" width="4.625" style="72" bestFit="1" customWidth="1"/>
    <col min="29" max="29" width="5" style="72" bestFit="1" customWidth="1"/>
    <col min="30" max="30" width="4.625" style="72" bestFit="1" customWidth="1"/>
    <col min="31" max="31" width="5" style="72" bestFit="1" customWidth="1"/>
    <col min="32" max="32" width="4.625" style="72" bestFit="1" customWidth="1"/>
    <col min="33" max="33" width="5" style="72" bestFit="1" customWidth="1"/>
    <col min="34" max="34" width="4.625" style="72" bestFit="1" customWidth="1"/>
    <col min="35" max="35" width="5" style="72" bestFit="1" customWidth="1"/>
    <col min="36" max="36" width="4.625" style="72" bestFit="1" customWidth="1"/>
    <col min="37" max="37" width="5" style="72" bestFit="1" customWidth="1"/>
    <col min="38" max="38" width="4.625" style="72" bestFit="1" customWidth="1"/>
    <col min="39" max="40" width="5.625" style="72" bestFit="1" customWidth="1"/>
    <col min="41" max="41" width="7.75" style="72" bestFit="1" customWidth="1"/>
    <col min="42" max="42" width="5" style="83" bestFit="1" customWidth="1"/>
    <col min="43" max="43" width="4.625" style="83" bestFit="1" customWidth="1"/>
    <col min="44" max="44" width="5" style="83" bestFit="1" customWidth="1"/>
    <col min="45" max="45" width="4.625" style="83" bestFit="1" customWidth="1"/>
    <col min="46" max="46" width="5" style="83" bestFit="1" customWidth="1"/>
    <col min="47" max="47" width="4.625" style="83" bestFit="1" customWidth="1"/>
    <col min="48" max="48" width="5" style="83" bestFit="1" customWidth="1"/>
    <col min="49" max="49" width="4.625" style="83" bestFit="1" customWidth="1"/>
    <col min="50" max="50" width="5" style="83" bestFit="1" customWidth="1"/>
    <col min="51" max="51" width="4.625" style="83" bestFit="1" customWidth="1"/>
    <col min="52" max="52" width="5" style="83" bestFit="1" customWidth="1"/>
    <col min="53" max="53" width="4.625" style="83" bestFit="1" customWidth="1"/>
    <col min="54" max="54" width="5" style="83" bestFit="1" customWidth="1"/>
    <col min="55" max="55" width="4.625" style="83" bestFit="1" customWidth="1"/>
    <col min="56" max="57" width="5.625" style="83" bestFit="1" customWidth="1"/>
    <col min="58" max="58" width="7.75" style="83" bestFit="1" customWidth="1"/>
    <col min="59" max="59" width="5" style="67" bestFit="1" customWidth="1"/>
    <col min="60" max="60" width="4.625" style="67" bestFit="1" customWidth="1"/>
    <col min="61" max="61" width="5" style="67" bestFit="1" customWidth="1"/>
    <col min="62" max="62" width="4.625" style="67" bestFit="1" customWidth="1"/>
    <col min="63" max="63" width="5" style="67" bestFit="1" customWidth="1"/>
    <col min="64" max="64" width="4.625" style="67" bestFit="1" customWidth="1"/>
    <col min="65" max="65" width="5.625" style="67" bestFit="1" customWidth="1"/>
    <col min="66" max="66" width="4.625" style="67" bestFit="1" customWidth="1"/>
    <col min="67" max="67" width="5.625" style="67" bestFit="1" customWidth="1"/>
    <col min="68" max="68" width="4.625" style="67" bestFit="1" customWidth="1"/>
    <col min="69" max="69" width="5.625" style="67" bestFit="1" customWidth="1"/>
    <col min="70" max="70" width="4.625" style="67" bestFit="1" customWidth="1"/>
    <col min="71" max="71" width="5" style="67" bestFit="1" customWidth="1"/>
    <col min="72" max="72" width="4.625" style="67" bestFit="1" customWidth="1"/>
    <col min="73" max="74" width="5.625" style="67" bestFit="1" customWidth="1"/>
    <col min="75" max="75" width="7.75" style="67" bestFit="1" customWidth="1"/>
    <col min="76" max="80" width="5.625" style="77" bestFit="1" customWidth="1"/>
    <col min="81" max="81" width="5.875" style="77" customWidth="1"/>
    <col min="82" max="82" width="5.625" style="77" bestFit="1" customWidth="1"/>
    <col min="83" max="83" width="4.625" style="77" bestFit="1" customWidth="1"/>
    <col min="84" max="86" width="5.625" style="77" bestFit="1" customWidth="1"/>
    <col min="87" max="87" width="6" style="77" customWidth="1"/>
    <col min="88" max="88" width="5.625" style="77" bestFit="1" customWidth="1"/>
    <col min="89" max="89" width="5.75" style="77" customWidth="1"/>
    <col min="90" max="90" width="7.125" style="63" bestFit="1" customWidth="1"/>
    <col min="91" max="91" width="7" style="63" customWidth="1"/>
    <col min="92" max="92" width="9.75" style="63" customWidth="1"/>
    <col min="93" max="93" width="5" style="78" bestFit="1" customWidth="1"/>
    <col min="94" max="94" width="4.625" style="78" bestFit="1" customWidth="1"/>
    <col min="95" max="95" width="5.875" style="78" bestFit="1" customWidth="1"/>
    <col min="96" max="96" width="5" style="78" bestFit="1" customWidth="1"/>
    <col min="97" max="97" width="4.625" style="78" bestFit="1" customWidth="1"/>
    <col min="98" max="98" width="5.875" style="78" bestFit="1" customWidth="1"/>
    <col min="99" max="99" width="5.5" style="78" customWidth="1"/>
    <col min="100" max="100" width="5.375" style="78" customWidth="1"/>
    <col min="101" max="101" width="5.875" style="78" bestFit="1" customWidth="1"/>
    <col min="102" max="102" width="6.375" style="78" customWidth="1"/>
    <col min="103" max="103" width="5.875" style="78" customWidth="1"/>
    <col min="104" max="104" width="5.875" style="78" bestFit="1" customWidth="1"/>
    <col min="105" max="105" width="7.75" style="78" bestFit="1" customWidth="1"/>
    <col min="106" max="106" width="5" style="72" bestFit="1" customWidth="1"/>
    <col min="107" max="107" width="4.625" style="72" bestFit="1" customWidth="1"/>
    <col min="108" max="108" width="5" style="72" bestFit="1" customWidth="1"/>
    <col min="109" max="109" width="4.625" style="72" bestFit="1" customWidth="1"/>
    <col min="110" max="110" width="5.625" style="72" bestFit="1" customWidth="1"/>
    <col min="111" max="111" width="4.625" style="72" bestFit="1" customWidth="1"/>
    <col min="112" max="112" width="5.625" style="72" bestFit="1" customWidth="1"/>
    <col min="113" max="113" width="4.625" style="72" bestFit="1" customWidth="1"/>
    <col min="114" max="114" width="7.75" style="72" bestFit="1" customWidth="1"/>
    <col min="115" max="115" width="5.625" style="79" bestFit="1" customWidth="1"/>
    <col min="116" max="116" width="4.625" style="79" bestFit="1" customWidth="1"/>
    <col min="117" max="117" width="5.625" style="79" bestFit="1" customWidth="1"/>
    <col min="118" max="118" width="4.625" style="79" bestFit="1" customWidth="1"/>
    <col min="119" max="119" width="5.625" style="79" customWidth="1"/>
    <col min="120" max="122" width="5.625" style="79" bestFit="1" customWidth="1"/>
    <col min="123" max="123" width="7.75" style="79" bestFit="1" customWidth="1"/>
    <col min="124" max="124" width="5" style="80" bestFit="1" customWidth="1"/>
    <col min="125" max="125" width="4.625" style="80" bestFit="1" customWidth="1"/>
    <col min="126" max="126" width="5" style="80" bestFit="1" customWidth="1"/>
    <col min="127" max="127" width="4.625" style="80" bestFit="1" customWidth="1"/>
    <col min="128" max="128" width="5.625" style="80" bestFit="1" customWidth="1"/>
    <col min="129" max="129" width="4.625" style="80" bestFit="1" customWidth="1"/>
    <col min="130" max="130" width="5.625" style="80" bestFit="1" customWidth="1"/>
    <col min="131" max="131" width="4.625" style="80" bestFit="1" customWidth="1"/>
    <col min="132" max="132" width="6.125" style="80" customWidth="1"/>
    <col min="133" max="133" width="5" style="80" bestFit="1" customWidth="1"/>
    <col min="134" max="134" width="4.625" style="80" bestFit="1" customWidth="1"/>
    <col min="135" max="135" width="5" style="80" bestFit="1" customWidth="1"/>
    <col min="136" max="136" width="4.625" style="80" bestFit="1" customWidth="1"/>
    <col min="137" max="137" width="5.625" style="80" bestFit="1" customWidth="1"/>
    <col min="138" max="138" width="4.625" style="80" bestFit="1" customWidth="1"/>
    <col min="139" max="140" width="5.625" style="80" bestFit="1" customWidth="1"/>
    <col min="141" max="141" width="7.75" style="80" bestFit="1" customWidth="1"/>
    <col min="142" max="142" width="5" style="80" bestFit="1" customWidth="1"/>
    <col min="143" max="143" width="4.625" style="80" bestFit="1" customWidth="1"/>
    <col min="144" max="144" width="5" style="80" bestFit="1" customWidth="1"/>
    <col min="145" max="145" width="4.625" style="80" bestFit="1" customWidth="1"/>
    <col min="146" max="146" width="5" style="80" bestFit="1" customWidth="1"/>
    <col min="147" max="147" width="4.625" style="80" bestFit="1" customWidth="1"/>
    <col min="148" max="148" width="5" style="80" bestFit="1" customWidth="1"/>
    <col min="149" max="149" width="4.625" style="80" bestFit="1" customWidth="1"/>
    <col min="150" max="150" width="7.75" style="80" bestFit="1" customWidth="1"/>
    <col min="151" max="151" width="5.625" style="74" bestFit="1" customWidth="1"/>
    <col min="152" max="152" width="4.375" style="74" bestFit="1" customWidth="1"/>
    <col min="153" max="153" width="5.625" style="74" bestFit="1" customWidth="1"/>
    <col min="154" max="154" width="4.375" style="74" bestFit="1" customWidth="1"/>
    <col min="155" max="155" width="5.625" style="74" bestFit="1" customWidth="1"/>
    <col min="156" max="156" width="4.375" style="74" bestFit="1" customWidth="1"/>
    <col min="157" max="157" width="5.625" style="74" bestFit="1" customWidth="1"/>
    <col min="158" max="158" width="4.375" style="74" bestFit="1" customWidth="1"/>
    <col min="159" max="159" width="8" style="74" customWidth="1"/>
    <col min="160" max="160" width="9" style="74" customWidth="1"/>
    <col min="161" max="161" width="7.75" style="74" customWidth="1"/>
    <col min="162" max="169" width="6.5" style="77" customWidth="1"/>
    <col min="170" max="179" width="6.5" style="83" customWidth="1"/>
    <col min="180" max="180" width="5.625" style="83" bestFit="1" customWidth="1"/>
    <col min="181" max="181" width="4.375" style="83" bestFit="1" customWidth="1"/>
    <col min="182" max="182" width="5.625" style="83" bestFit="1" customWidth="1"/>
    <col min="183" max="183" width="5.625" style="83" customWidth="1"/>
    <col min="184" max="184" width="5.625" style="83" bestFit="1" customWidth="1"/>
    <col min="185" max="185" width="5.25" style="83" customWidth="1"/>
    <col min="186" max="186" width="5" style="83" bestFit="1" customWidth="1"/>
    <col min="187" max="187" width="4.375" style="83" bestFit="1" customWidth="1"/>
    <col min="188" max="188" width="5.625" style="83" bestFit="1" customWidth="1"/>
    <col min="189" max="189" width="4.375" style="83" bestFit="1" customWidth="1"/>
    <col min="190" max="190" width="5.625" style="83" bestFit="1" customWidth="1"/>
    <col min="191" max="191" width="5.75" style="83" customWidth="1"/>
    <col min="192" max="192" width="5.625" style="83" bestFit="1" customWidth="1"/>
    <col min="193" max="193" width="4.375" style="83" bestFit="1" customWidth="1"/>
    <col min="194" max="194" width="5.625" style="83" bestFit="1" customWidth="1"/>
    <col min="195" max="195" width="4.375" style="83" bestFit="1" customWidth="1"/>
    <col min="196" max="196" width="5.625" style="83" bestFit="1" customWidth="1"/>
    <col min="197" max="197" width="5.75" style="83" customWidth="1"/>
    <col min="198" max="198" width="6.375" style="83" customWidth="1"/>
    <col min="199" max="199" width="5" style="67" bestFit="1" customWidth="1"/>
    <col min="200" max="200" width="4.375" style="67" bestFit="1" customWidth="1"/>
    <col min="201" max="201" width="5" style="77" bestFit="1" customWidth="1"/>
    <col min="202" max="202" width="4.375" style="77" bestFit="1" customWidth="1"/>
    <col min="203" max="203" width="5" style="77" bestFit="1" customWidth="1"/>
    <col min="204" max="204" width="4.375" style="77" bestFit="1" customWidth="1"/>
    <col min="205" max="205" width="5" style="77" bestFit="1" customWidth="1"/>
    <col min="206" max="206" width="4.375" style="77" bestFit="1" customWidth="1"/>
    <col min="207" max="207" width="7.75" style="77" bestFit="1" customWidth="1"/>
    <col min="208" max="208" width="5" style="81" bestFit="1" customWidth="1"/>
    <col min="209" max="209" width="4.375" style="81" bestFit="1" customWidth="1"/>
    <col min="210" max="210" width="5" style="81" bestFit="1" customWidth="1"/>
    <col min="211" max="211" width="4.375" style="81" bestFit="1" customWidth="1"/>
    <col min="212" max="212" width="5" style="81" bestFit="1" customWidth="1"/>
    <col min="213" max="213" width="4.375" style="81" bestFit="1" customWidth="1"/>
    <col min="214" max="214" width="5" style="81" bestFit="1" customWidth="1"/>
    <col min="215" max="215" width="4.375" style="81" bestFit="1" customWidth="1"/>
    <col min="216" max="216" width="5" style="81" bestFit="1" customWidth="1"/>
    <col min="217" max="217" width="4.375" style="81" bestFit="1" customWidth="1"/>
    <col min="218" max="218" width="5" style="81" bestFit="1" customWidth="1"/>
    <col min="219" max="219" width="4.375" style="81" bestFit="1" customWidth="1"/>
    <col min="220" max="220" width="6.625" style="81" customWidth="1"/>
    <col min="221" max="221" width="5" style="81" bestFit="1" customWidth="1"/>
    <col min="222" max="222" width="4.375" style="81" bestFit="1" customWidth="1"/>
    <col min="223" max="223" width="5" style="81" bestFit="1" customWidth="1"/>
    <col min="224" max="224" width="4.375" style="81" bestFit="1" customWidth="1"/>
    <col min="225" max="225" width="5" style="81" bestFit="1" customWidth="1"/>
    <col min="226" max="226" width="6.375" style="81" customWidth="1"/>
    <col min="227" max="227" width="7.75" style="81" bestFit="1" customWidth="1"/>
    <col min="228" max="228" width="5.625" style="83" bestFit="1" customWidth="1"/>
    <col min="229" max="229" width="4.375" style="83" bestFit="1" customWidth="1"/>
    <col min="230" max="230" width="5.625" style="83" bestFit="1" customWidth="1"/>
    <col min="231" max="231" width="4.375" style="83" bestFit="1" customWidth="1"/>
    <col min="232" max="232" width="5.625" style="83" bestFit="1" customWidth="1"/>
    <col min="233" max="233" width="4.375" style="83" bestFit="1" customWidth="1"/>
    <col min="234" max="234" width="5.625" style="83" bestFit="1" customWidth="1"/>
    <col min="235" max="235" width="4.375" style="83" bestFit="1" customWidth="1"/>
    <col min="236" max="236" width="5.625" style="83" bestFit="1" customWidth="1"/>
    <col min="237" max="237" width="4.625" style="83" customWidth="1"/>
    <col min="238" max="238" width="8.875" style="83" customWidth="1"/>
    <col min="239" max="239" width="6.375" style="83" customWidth="1"/>
    <col min="240" max="240" width="6.875" style="83" customWidth="1"/>
    <col min="241" max="250" width="7.25" style="77" customWidth="1"/>
    <col min="251" max="251" width="8.875" style="69" customWidth="1"/>
    <col min="252" max="252" width="9" style="69" customWidth="1"/>
    <col min="253" max="253" width="8.25" style="69" customWidth="1"/>
    <col min="254" max="254" width="10.25" style="69" customWidth="1"/>
    <col min="255" max="255" width="8.25" style="69" customWidth="1"/>
    <col min="256" max="256" width="10.875" style="69" customWidth="1"/>
    <col min="257" max="257" width="7" style="69" customWidth="1"/>
    <col min="258" max="258" width="7.75" style="69" customWidth="1"/>
    <col min="259" max="259" width="29.25" style="105" customWidth="1"/>
    <col min="260" max="260" width="29.25" style="89" customWidth="1"/>
    <col min="261" max="261" width="41.25" style="105" customWidth="1"/>
    <col min="262" max="264" width="9.125" style="77"/>
    <col min="265" max="265" width="2.625" style="77" bestFit="1" customWidth="1"/>
    <col min="266" max="16384" width="9.125" style="77"/>
  </cols>
  <sheetData>
    <row r="1" spans="1:261" s="105" customFormat="1" ht="24.75" customHeight="1" x14ac:dyDescent="0.2">
      <c r="A1" s="123" t="s">
        <v>225</v>
      </c>
      <c r="B1" s="124"/>
      <c r="C1" s="124"/>
      <c r="D1" s="124"/>
      <c r="E1" s="124"/>
      <c r="F1" s="123" t="s">
        <v>185</v>
      </c>
      <c r="G1" s="125"/>
      <c r="H1" s="134" t="s">
        <v>6</v>
      </c>
      <c r="I1" s="134"/>
      <c r="J1" s="134"/>
      <c r="K1" s="134" t="s">
        <v>57</v>
      </c>
      <c r="L1" s="134"/>
      <c r="M1" s="123" t="s">
        <v>58</v>
      </c>
      <c r="N1" s="124"/>
      <c r="O1" s="124"/>
      <c r="P1" s="125"/>
      <c r="Q1" s="150" t="s">
        <v>59</v>
      </c>
      <c r="R1" s="151"/>
      <c r="S1" s="107"/>
      <c r="T1" s="123" t="s">
        <v>60</v>
      </c>
      <c r="U1" s="124"/>
      <c r="V1" s="124"/>
      <c r="W1" s="125"/>
      <c r="X1" s="175" t="s">
        <v>61</v>
      </c>
      <c r="Y1" s="134" t="s">
        <v>17</v>
      </c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 t="s">
        <v>18</v>
      </c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 t="s">
        <v>19</v>
      </c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24" t="s">
        <v>166</v>
      </c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5"/>
      <c r="CO1" s="134" t="s">
        <v>62</v>
      </c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49" t="s">
        <v>274</v>
      </c>
      <c r="DC1" s="149"/>
      <c r="DD1" s="149"/>
      <c r="DE1" s="149"/>
      <c r="DF1" s="149"/>
      <c r="DG1" s="149"/>
      <c r="DH1" s="149"/>
      <c r="DI1" s="149"/>
      <c r="DJ1" s="149"/>
      <c r="DK1" s="150" t="s">
        <v>278</v>
      </c>
      <c r="DL1" s="162"/>
      <c r="DM1" s="162"/>
      <c r="DN1" s="162"/>
      <c r="DO1" s="162"/>
      <c r="DP1" s="162"/>
      <c r="DQ1" s="162"/>
      <c r="DR1" s="162"/>
      <c r="DS1" s="151"/>
      <c r="DT1" s="134" t="s">
        <v>279</v>
      </c>
      <c r="DU1" s="134"/>
      <c r="DV1" s="134"/>
      <c r="DW1" s="134"/>
      <c r="DX1" s="134"/>
      <c r="DY1" s="134"/>
      <c r="DZ1" s="134"/>
      <c r="EA1" s="134"/>
      <c r="EB1" s="134"/>
      <c r="EC1" s="134" t="s">
        <v>280</v>
      </c>
      <c r="ED1" s="134"/>
      <c r="EE1" s="134"/>
      <c r="EF1" s="134"/>
      <c r="EG1" s="134"/>
      <c r="EH1" s="134"/>
      <c r="EI1" s="134"/>
      <c r="EJ1" s="134"/>
      <c r="EK1" s="134"/>
      <c r="EL1" s="134" t="s">
        <v>281</v>
      </c>
      <c r="EM1" s="134"/>
      <c r="EN1" s="134"/>
      <c r="EO1" s="134"/>
      <c r="EP1" s="134"/>
      <c r="EQ1" s="134"/>
      <c r="ER1" s="134"/>
      <c r="ES1" s="134"/>
      <c r="ET1" s="134"/>
      <c r="EU1" s="123" t="s">
        <v>63</v>
      </c>
      <c r="EV1" s="124"/>
      <c r="EW1" s="124"/>
      <c r="EX1" s="124"/>
      <c r="EY1" s="124"/>
      <c r="EZ1" s="124"/>
      <c r="FA1" s="124"/>
      <c r="FB1" s="124"/>
      <c r="FC1" s="124"/>
      <c r="FD1" s="124"/>
      <c r="FE1" s="125"/>
      <c r="FF1" s="120" t="s">
        <v>64</v>
      </c>
      <c r="FG1" s="120"/>
      <c r="FH1" s="120"/>
      <c r="FI1" s="120"/>
      <c r="FJ1" s="120"/>
      <c r="FK1" s="120"/>
      <c r="FL1" s="120"/>
      <c r="FM1" s="120"/>
      <c r="FN1" s="120"/>
      <c r="FO1" s="120"/>
      <c r="FP1" s="120"/>
      <c r="FQ1" s="120"/>
      <c r="FR1" s="120"/>
      <c r="FS1" s="120"/>
      <c r="FT1" s="120"/>
      <c r="FU1" s="120"/>
      <c r="FV1" s="120"/>
      <c r="FW1" s="120"/>
      <c r="FX1" s="154" t="s">
        <v>168</v>
      </c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5"/>
      <c r="GP1" s="156"/>
      <c r="GQ1" s="120" t="s">
        <v>65</v>
      </c>
      <c r="GR1" s="120"/>
      <c r="GS1" s="120"/>
      <c r="GT1" s="120"/>
      <c r="GU1" s="120"/>
      <c r="GV1" s="120"/>
      <c r="GW1" s="120"/>
      <c r="GX1" s="120"/>
      <c r="GY1" s="120"/>
      <c r="GZ1" s="123" t="s">
        <v>66</v>
      </c>
      <c r="HA1" s="124"/>
      <c r="HB1" s="124"/>
      <c r="HC1" s="124"/>
      <c r="HD1" s="124"/>
      <c r="HE1" s="124"/>
      <c r="HF1" s="124"/>
      <c r="HG1" s="124"/>
      <c r="HH1" s="124"/>
      <c r="HI1" s="124"/>
      <c r="HJ1" s="124"/>
      <c r="HK1" s="124"/>
      <c r="HL1" s="124"/>
      <c r="HM1" s="124"/>
      <c r="HN1" s="124"/>
      <c r="HO1" s="124"/>
      <c r="HP1" s="124"/>
      <c r="HQ1" s="124"/>
      <c r="HR1" s="124"/>
      <c r="HS1" s="125"/>
      <c r="HT1" s="123" t="s">
        <v>160</v>
      </c>
      <c r="HU1" s="124"/>
      <c r="HV1" s="124"/>
      <c r="HW1" s="124"/>
      <c r="HX1" s="124"/>
      <c r="HY1" s="124"/>
      <c r="HZ1" s="124"/>
      <c r="IA1" s="124"/>
      <c r="IB1" s="124"/>
      <c r="IC1" s="124"/>
      <c r="ID1" s="125"/>
      <c r="IE1" s="150" t="s">
        <v>165</v>
      </c>
      <c r="IF1" s="162"/>
      <c r="IH1" s="92"/>
      <c r="II1" s="92"/>
      <c r="IJ1" s="92"/>
      <c r="IK1" s="92"/>
      <c r="IL1" s="93"/>
      <c r="IM1" s="93"/>
      <c r="IP1" s="125"/>
      <c r="IQ1" s="103"/>
      <c r="IR1" s="102"/>
      <c r="IS1" s="102"/>
      <c r="IT1" s="102"/>
      <c r="IU1" s="102"/>
      <c r="IV1" s="102"/>
      <c r="IZ1" s="89"/>
    </row>
    <row r="2" spans="1:261" s="105" customFormat="1" ht="24.75" customHeight="1" x14ac:dyDescent="0.25">
      <c r="A2" s="154"/>
      <c r="B2" s="155"/>
      <c r="C2" s="155"/>
      <c r="D2" s="155"/>
      <c r="E2" s="155"/>
      <c r="F2" s="154"/>
      <c r="G2" s="156"/>
      <c r="H2" s="134"/>
      <c r="I2" s="134"/>
      <c r="J2" s="134"/>
      <c r="K2" s="134"/>
      <c r="L2" s="134"/>
      <c r="M2" s="154"/>
      <c r="N2" s="155"/>
      <c r="O2" s="155"/>
      <c r="P2" s="156"/>
      <c r="Q2" s="163"/>
      <c r="R2" s="180"/>
      <c r="S2" s="108"/>
      <c r="T2" s="154"/>
      <c r="U2" s="155"/>
      <c r="V2" s="155"/>
      <c r="W2" s="156"/>
      <c r="X2" s="176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  <c r="CJ2" s="155"/>
      <c r="CK2" s="155"/>
      <c r="CL2" s="155"/>
      <c r="CM2" s="155"/>
      <c r="CN2" s="156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49"/>
      <c r="DC2" s="149"/>
      <c r="DD2" s="149"/>
      <c r="DE2" s="149"/>
      <c r="DF2" s="149"/>
      <c r="DG2" s="149"/>
      <c r="DH2" s="149"/>
      <c r="DI2" s="149"/>
      <c r="DJ2" s="149"/>
      <c r="DK2" s="163"/>
      <c r="DL2" s="164"/>
      <c r="DM2" s="164"/>
      <c r="DN2" s="164"/>
      <c r="DO2" s="164"/>
      <c r="DP2" s="164"/>
      <c r="DQ2" s="164"/>
      <c r="DR2" s="164"/>
      <c r="DS2" s="180"/>
      <c r="DT2" s="134"/>
      <c r="DU2" s="134"/>
      <c r="DV2" s="134"/>
      <c r="DW2" s="134"/>
      <c r="DX2" s="134"/>
      <c r="DY2" s="134"/>
      <c r="DZ2" s="134"/>
      <c r="EA2" s="134"/>
      <c r="EB2" s="134"/>
      <c r="EC2" s="134"/>
      <c r="ED2" s="134"/>
      <c r="EE2" s="134"/>
      <c r="EF2" s="134"/>
      <c r="EG2" s="134"/>
      <c r="EH2" s="134"/>
      <c r="EI2" s="134"/>
      <c r="EJ2" s="134"/>
      <c r="EK2" s="134"/>
      <c r="EL2" s="134"/>
      <c r="EM2" s="134"/>
      <c r="EN2" s="134"/>
      <c r="EO2" s="134"/>
      <c r="EP2" s="134"/>
      <c r="EQ2" s="134"/>
      <c r="ER2" s="134"/>
      <c r="ES2" s="134"/>
      <c r="ET2" s="134"/>
      <c r="EU2" s="154"/>
      <c r="EV2" s="155"/>
      <c r="EW2" s="155"/>
      <c r="EX2" s="155"/>
      <c r="EY2" s="155"/>
      <c r="EZ2" s="155"/>
      <c r="FA2" s="155"/>
      <c r="FB2" s="155"/>
      <c r="FC2" s="155"/>
      <c r="FD2" s="155"/>
      <c r="FE2" s="156"/>
      <c r="FF2" s="121"/>
      <c r="FG2" s="121"/>
      <c r="FH2" s="121"/>
      <c r="FI2" s="121"/>
      <c r="FJ2" s="121"/>
      <c r="FK2" s="121"/>
      <c r="FL2" s="121"/>
      <c r="FM2" s="121"/>
      <c r="FN2" s="121"/>
      <c r="FO2" s="121"/>
      <c r="FP2" s="121"/>
      <c r="FQ2" s="121"/>
      <c r="FR2" s="121"/>
      <c r="FS2" s="121"/>
      <c r="FT2" s="121"/>
      <c r="FU2" s="121"/>
      <c r="FV2" s="121"/>
      <c r="FW2" s="121"/>
      <c r="FX2" s="154"/>
      <c r="FY2" s="155"/>
      <c r="FZ2" s="155"/>
      <c r="GA2" s="155"/>
      <c r="GB2" s="155"/>
      <c r="GC2" s="155"/>
      <c r="GD2" s="155"/>
      <c r="GE2" s="155"/>
      <c r="GF2" s="155"/>
      <c r="GG2" s="155"/>
      <c r="GH2" s="155"/>
      <c r="GI2" s="155"/>
      <c r="GJ2" s="155"/>
      <c r="GK2" s="155"/>
      <c r="GL2" s="155"/>
      <c r="GM2" s="155"/>
      <c r="GN2" s="155"/>
      <c r="GO2" s="155"/>
      <c r="GP2" s="156"/>
      <c r="GQ2" s="121"/>
      <c r="GR2" s="121"/>
      <c r="GS2" s="121"/>
      <c r="GT2" s="121"/>
      <c r="GU2" s="121"/>
      <c r="GV2" s="121"/>
      <c r="GW2" s="121"/>
      <c r="GX2" s="121"/>
      <c r="GY2" s="121"/>
      <c r="GZ2" s="126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8"/>
      <c r="HT2" s="154"/>
      <c r="HU2" s="155"/>
      <c r="HV2" s="155"/>
      <c r="HW2" s="155"/>
      <c r="HX2" s="155"/>
      <c r="HY2" s="155"/>
      <c r="HZ2" s="155"/>
      <c r="IA2" s="155"/>
      <c r="IB2" s="155"/>
      <c r="IC2" s="155"/>
      <c r="ID2" s="156"/>
      <c r="IE2" s="163"/>
      <c r="IF2" s="164"/>
      <c r="IG2" s="94"/>
      <c r="IH2" s="95"/>
      <c r="II2" s="95"/>
      <c r="IJ2" s="95"/>
      <c r="IK2" s="95"/>
      <c r="IL2" s="95"/>
      <c r="IM2" s="95"/>
      <c r="IN2" s="106"/>
      <c r="IO2" s="106"/>
      <c r="IP2" s="128"/>
      <c r="IQ2" s="139" t="s">
        <v>67</v>
      </c>
      <c r="IR2" s="140"/>
      <c r="IS2" s="141"/>
      <c r="IT2" s="139" t="s">
        <v>68</v>
      </c>
      <c r="IU2" s="140"/>
      <c r="IV2" s="141"/>
      <c r="IW2" s="96"/>
      <c r="IX2" s="96"/>
      <c r="IZ2" s="89"/>
    </row>
    <row r="3" spans="1:261" s="105" customFormat="1" ht="24.75" customHeight="1" x14ac:dyDescent="0.2">
      <c r="A3" s="116" t="s">
        <v>275</v>
      </c>
      <c r="B3" s="117"/>
      <c r="C3" s="117"/>
      <c r="D3" s="117"/>
      <c r="E3" s="117"/>
      <c r="F3" s="154"/>
      <c r="G3" s="156"/>
      <c r="H3" s="134"/>
      <c r="I3" s="134"/>
      <c r="J3" s="134"/>
      <c r="K3" s="134"/>
      <c r="L3" s="134"/>
      <c r="M3" s="154"/>
      <c r="N3" s="155"/>
      <c r="O3" s="155"/>
      <c r="P3" s="156"/>
      <c r="Q3" s="163"/>
      <c r="R3" s="180"/>
      <c r="S3" s="108"/>
      <c r="T3" s="154"/>
      <c r="U3" s="155"/>
      <c r="V3" s="155"/>
      <c r="W3" s="156"/>
      <c r="X3" s="176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  <c r="BW3" s="134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8"/>
      <c r="CO3" s="134"/>
      <c r="CP3" s="134"/>
      <c r="CQ3" s="134"/>
      <c r="CR3" s="134"/>
      <c r="CS3" s="134"/>
      <c r="CT3" s="134"/>
      <c r="CU3" s="134"/>
      <c r="CV3" s="134"/>
      <c r="CW3" s="134"/>
      <c r="CX3" s="134"/>
      <c r="CY3" s="134"/>
      <c r="CZ3" s="134"/>
      <c r="DA3" s="134"/>
      <c r="DB3" s="149"/>
      <c r="DC3" s="149"/>
      <c r="DD3" s="149"/>
      <c r="DE3" s="149"/>
      <c r="DF3" s="149"/>
      <c r="DG3" s="149"/>
      <c r="DH3" s="149"/>
      <c r="DI3" s="149"/>
      <c r="DJ3" s="149"/>
      <c r="DK3" s="152"/>
      <c r="DL3" s="165"/>
      <c r="DM3" s="165"/>
      <c r="DN3" s="165"/>
      <c r="DO3" s="165"/>
      <c r="DP3" s="165"/>
      <c r="DQ3" s="165"/>
      <c r="DR3" s="165"/>
      <c r="DS3" s="153"/>
      <c r="DT3" s="134"/>
      <c r="DU3" s="134"/>
      <c r="DV3" s="134"/>
      <c r="DW3" s="134"/>
      <c r="DX3" s="134"/>
      <c r="DY3" s="134"/>
      <c r="DZ3" s="134"/>
      <c r="EA3" s="134"/>
      <c r="EB3" s="134"/>
      <c r="EC3" s="134"/>
      <c r="ED3" s="134"/>
      <c r="EE3" s="134"/>
      <c r="EF3" s="134"/>
      <c r="EG3" s="134"/>
      <c r="EH3" s="134"/>
      <c r="EI3" s="134"/>
      <c r="EJ3" s="134"/>
      <c r="EK3" s="134"/>
      <c r="EL3" s="134"/>
      <c r="EM3" s="134"/>
      <c r="EN3" s="134"/>
      <c r="EO3" s="134"/>
      <c r="EP3" s="134"/>
      <c r="EQ3" s="134"/>
      <c r="ER3" s="134"/>
      <c r="ES3" s="134"/>
      <c r="ET3" s="134"/>
      <c r="EU3" s="126"/>
      <c r="EV3" s="127"/>
      <c r="EW3" s="127"/>
      <c r="EX3" s="127"/>
      <c r="EY3" s="127"/>
      <c r="EZ3" s="127"/>
      <c r="FA3" s="127"/>
      <c r="FB3" s="127"/>
      <c r="FC3" s="127"/>
      <c r="FD3" s="127"/>
      <c r="FE3" s="128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6"/>
      <c r="FY3" s="127"/>
      <c r="FZ3" s="127"/>
      <c r="GA3" s="127"/>
      <c r="GB3" s="127"/>
      <c r="GC3" s="127"/>
      <c r="GD3" s="127"/>
      <c r="GE3" s="127"/>
      <c r="GF3" s="127"/>
      <c r="GG3" s="127"/>
      <c r="GH3" s="127"/>
      <c r="GI3" s="127"/>
      <c r="GJ3" s="127"/>
      <c r="GK3" s="127"/>
      <c r="GL3" s="127"/>
      <c r="GM3" s="127"/>
      <c r="GN3" s="127"/>
      <c r="GO3" s="127"/>
      <c r="GP3" s="128"/>
      <c r="GQ3" s="122"/>
      <c r="GR3" s="122"/>
      <c r="GS3" s="122"/>
      <c r="GT3" s="122"/>
      <c r="GU3" s="122"/>
      <c r="GV3" s="122"/>
      <c r="GW3" s="122"/>
      <c r="GX3" s="122"/>
      <c r="GY3" s="122"/>
      <c r="GZ3" s="150" t="s">
        <v>69</v>
      </c>
      <c r="HA3" s="151"/>
      <c r="HB3" s="157" t="s">
        <v>70</v>
      </c>
      <c r="HC3" s="159"/>
      <c r="HD3" s="159"/>
      <c r="HE3" s="159"/>
      <c r="HF3" s="159"/>
      <c r="HG3" s="159"/>
      <c r="HH3" s="159"/>
      <c r="HI3" s="159"/>
      <c r="HJ3" s="159"/>
      <c r="HK3" s="159"/>
      <c r="HL3" s="159"/>
      <c r="HM3" s="159"/>
      <c r="HN3" s="159"/>
      <c r="HO3" s="159"/>
      <c r="HP3" s="158"/>
      <c r="HQ3" s="123" t="s">
        <v>15</v>
      </c>
      <c r="HR3" s="124"/>
      <c r="HS3" s="125"/>
      <c r="HT3" s="126"/>
      <c r="HU3" s="127"/>
      <c r="HV3" s="127"/>
      <c r="HW3" s="127"/>
      <c r="HX3" s="127"/>
      <c r="HY3" s="127"/>
      <c r="HZ3" s="127"/>
      <c r="IA3" s="127"/>
      <c r="IB3" s="127"/>
      <c r="IC3" s="127"/>
      <c r="ID3" s="128"/>
      <c r="IE3" s="152"/>
      <c r="IF3" s="165"/>
      <c r="IG3" s="149" t="s">
        <v>72</v>
      </c>
      <c r="IH3" s="149"/>
      <c r="II3" s="149" t="s">
        <v>73</v>
      </c>
      <c r="IJ3" s="149"/>
      <c r="IK3" s="149" t="s">
        <v>74</v>
      </c>
      <c r="IL3" s="149"/>
      <c r="IM3" s="132" t="s">
        <v>75</v>
      </c>
      <c r="IN3" s="146"/>
      <c r="IO3" s="146"/>
      <c r="IP3" s="133"/>
      <c r="IQ3" s="143" t="s">
        <v>76</v>
      </c>
      <c r="IR3" s="143" t="s">
        <v>77</v>
      </c>
      <c r="IS3" s="142" t="s">
        <v>78</v>
      </c>
      <c r="IT3" s="142" t="s">
        <v>79</v>
      </c>
      <c r="IU3" s="142" t="s">
        <v>80</v>
      </c>
      <c r="IV3" s="142" t="s">
        <v>81</v>
      </c>
      <c r="IW3" s="135" t="s">
        <v>246</v>
      </c>
      <c r="IX3" s="136"/>
      <c r="IZ3" s="89"/>
    </row>
    <row r="4" spans="1:261" s="105" customFormat="1" ht="29.25" customHeight="1" x14ac:dyDescent="0.2">
      <c r="A4" s="118"/>
      <c r="B4" s="119"/>
      <c r="C4" s="119"/>
      <c r="D4" s="119"/>
      <c r="E4" s="119"/>
      <c r="F4" s="126"/>
      <c r="G4" s="128"/>
      <c r="H4" s="134"/>
      <c r="I4" s="134"/>
      <c r="J4" s="134"/>
      <c r="K4" s="134"/>
      <c r="L4" s="134"/>
      <c r="M4" s="126"/>
      <c r="N4" s="127"/>
      <c r="O4" s="127"/>
      <c r="P4" s="128"/>
      <c r="Q4" s="152"/>
      <c r="R4" s="153"/>
      <c r="S4" s="109"/>
      <c r="T4" s="126"/>
      <c r="U4" s="127"/>
      <c r="V4" s="127"/>
      <c r="W4" s="128"/>
      <c r="X4" s="176"/>
      <c r="Y4" s="134">
        <v>12</v>
      </c>
      <c r="Z4" s="134"/>
      <c r="AA4" s="134">
        <v>13</v>
      </c>
      <c r="AB4" s="134"/>
      <c r="AC4" s="134">
        <v>14</v>
      </c>
      <c r="AD4" s="134"/>
      <c r="AE4" s="134">
        <v>15</v>
      </c>
      <c r="AF4" s="134"/>
      <c r="AG4" s="134">
        <v>16</v>
      </c>
      <c r="AH4" s="134"/>
      <c r="AI4" s="134">
        <v>17</v>
      </c>
      <c r="AJ4" s="134"/>
      <c r="AK4" s="134">
        <v>18</v>
      </c>
      <c r="AL4" s="134"/>
      <c r="AM4" s="134" t="s">
        <v>15</v>
      </c>
      <c r="AN4" s="134"/>
      <c r="AO4" s="134"/>
      <c r="AP4" s="134">
        <v>12</v>
      </c>
      <c r="AQ4" s="134"/>
      <c r="AR4" s="134">
        <v>13</v>
      </c>
      <c r="AS4" s="134"/>
      <c r="AT4" s="134">
        <v>14</v>
      </c>
      <c r="AU4" s="134"/>
      <c r="AV4" s="134">
        <v>15</v>
      </c>
      <c r="AW4" s="134"/>
      <c r="AX4" s="134">
        <v>16</v>
      </c>
      <c r="AY4" s="134"/>
      <c r="AZ4" s="134">
        <v>17</v>
      </c>
      <c r="BA4" s="134"/>
      <c r="BB4" s="134">
        <v>18</v>
      </c>
      <c r="BC4" s="134"/>
      <c r="BD4" s="134" t="s">
        <v>15</v>
      </c>
      <c r="BE4" s="134"/>
      <c r="BF4" s="134"/>
      <c r="BG4" s="157">
        <v>12</v>
      </c>
      <c r="BH4" s="158"/>
      <c r="BI4" s="157">
        <v>13</v>
      </c>
      <c r="BJ4" s="158"/>
      <c r="BK4" s="157">
        <v>14</v>
      </c>
      <c r="BL4" s="158"/>
      <c r="BM4" s="157">
        <v>15</v>
      </c>
      <c r="BN4" s="158"/>
      <c r="BO4" s="157">
        <v>16</v>
      </c>
      <c r="BP4" s="158"/>
      <c r="BQ4" s="157">
        <v>17</v>
      </c>
      <c r="BR4" s="158"/>
      <c r="BS4" s="157">
        <v>18</v>
      </c>
      <c r="BT4" s="158"/>
      <c r="BU4" s="134" t="s">
        <v>15</v>
      </c>
      <c r="BV4" s="134"/>
      <c r="BW4" s="134"/>
      <c r="BX4" s="157">
        <v>12</v>
      </c>
      <c r="BY4" s="158"/>
      <c r="BZ4" s="157">
        <v>13</v>
      </c>
      <c r="CA4" s="158"/>
      <c r="CB4" s="157">
        <v>14</v>
      </c>
      <c r="CC4" s="158"/>
      <c r="CD4" s="157">
        <v>15</v>
      </c>
      <c r="CE4" s="158"/>
      <c r="CF4" s="157">
        <v>16</v>
      </c>
      <c r="CG4" s="158"/>
      <c r="CH4" s="157">
        <v>17</v>
      </c>
      <c r="CI4" s="158"/>
      <c r="CJ4" s="157">
        <v>18</v>
      </c>
      <c r="CK4" s="158"/>
      <c r="CL4" s="157" t="s">
        <v>29</v>
      </c>
      <c r="CM4" s="159"/>
      <c r="CN4" s="158"/>
      <c r="CO4" s="157" t="s">
        <v>17</v>
      </c>
      <c r="CP4" s="159"/>
      <c r="CQ4" s="158"/>
      <c r="CR4" s="157" t="s">
        <v>167</v>
      </c>
      <c r="CS4" s="159"/>
      <c r="CT4" s="158"/>
      <c r="CU4" s="134" t="s">
        <v>19</v>
      </c>
      <c r="CV4" s="134"/>
      <c r="CW4" s="134"/>
      <c r="CX4" s="134" t="s">
        <v>15</v>
      </c>
      <c r="CY4" s="134"/>
      <c r="CZ4" s="134"/>
      <c r="DA4" s="134"/>
      <c r="DB4" s="134" t="s">
        <v>17</v>
      </c>
      <c r="DC4" s="134"/>
      <c r="DD4" s="134" t="s">
        <v>18</v>
      </c>
      <c r="DE4" s="134"/>
      <c r="DF4" s="134" t="s">
        <v>19</v>
      </c>
      <c r="DG4" s="134"/>
      <c r="DH4" s="134" t="s">
        <v>15</v>
      </c>
      <c r="DI4" s="134"/>
      <c r="DJ4" s="134"/>
      <c r="DK4" s="134" t="s">
        <v>17</v>
      </c>
      <c r="DL4" s="134"/>
      <c r="DM4" s="134" t="s">
        <v>18</v>
      </c>
      <c r="DN4" s="134"/>
      <c r="DO4" s="134" t="s">
        <v>19</v>
      </c>
      <c r="DP4" s="134"/>
      <c r="DQ4" s="134" t="s">
        <v>15</v>
      </c>
      <c r="DR4" s="134"/>
      <c r="DS4" s="134"/>
      <c r="DT4" s="134" t="s">
        <v>17</v>
      </c>
      <c r="DU4" s="134"/>
      <c r="DV4" s="134" t="s">
        <v>18</v>
      </c>
      <c r="DW4" s="134"/>
      <c r="DX4" s="134" t="s">
        <v>19</v>
      </c>
      <c r="DY4" s="134"/>
      <c r="DZ4" s="134" t="s">
        <v>15</v>
      </c>
      <c r="EA4" s="134"/>
      <c r="EB4" s="134"/>
      <c r="EC4" s="134" t="s">
        <v>17</v>
      </c>
      <c r="ED4" s="134"/>
      <c r="EE4" s="134" t="s">
        <v>18</v>
      </c>
      <c r="EF4" s="134"/>
      <c r="EG4" s="134" t="s">
        <v>19</v>
      </c>
      <c r="EH4" s="134"/>
      <c r="EI4" s="134" t="s">
        <v>15</v>
      </c>
      <c r="EJ4" s="134"/>
      <c r="EK4" s="134"/>
      <c r="EL4" s="134" t="s">
        <v>17</v>
      </c>
      <c r="EM4" s="134"/>
      <c r="EN4" s="134" t="s">
        <v>18</v>
      </c>
      <c r="EO4" s="134"/>
      <c r="EP4" s="134" t="s">
        <v>19</v>
      </c>
      <c r="EQ4" s="134"/>
      <c r="ER4" s="134" t="s">
        <v>15</v>
      </c>
      <c r="ES4" s="134"/>
      <c r="ET4" s="134"/>
      <c r="EU4" s="134" t="s">
        <v>44</v>
      </c>
      <c r="EV4" s="134"/>
      <c r="EW4" s="134" t="s">
        <v>45</v>
      </c>
      <c r="EX4" s="134"/>
      <c r="EY4" s="134" t="s">
        <v>46</v>
      </c>
      <c r="EZ4" s="134"/>
      <c r="FA4" s="134" t="s">
        <v>82</v>
      </c>
      <c r="FB4" s="134"/>
      <c r="FC4" s="134" t="s">
        <v>15</v>
      </c>
      <c r="FD4" s="134"/>
      <c r="FE4" s="134"/>
      <c r="FF4" s="134" t="s">
        <v>83</v>
      </c>
      <c r="FG4" s="134"/>
      <c r="FH4" s="134" t="s">
        <v>84</v>
      </c>
      <c r="FI4" s="134"/>
      <c r="FJ4" s="134" t="s">
        <v>221</v>
      </c>
      <c r="FK4" s="134"/>
      <c r="FL4" s="134" t="s">
        <v>85</v>
      </c>
      <c r="FM4" s="134"/>
      <c r="FN4" s="132" t="s">
        <v>86</v>
      </c>
      <c r="FO4" s="133"/>
      <c r="FP4" s="132" t="s">
        <v>248</v>
      </c>
      <c r="FQ4" s="133"/>
      <c r="FR4" s="102" t="s">
        <v>87</v>
      </c>
      <c r="FS4" s="102" t="s">
        <v>88</v>
      </c>
      <c r="FT4" s="102" t="s">
        <v>263</v>
      </c>
      <c r="FU4" s="157" t="s">
        <v>15</v>
      </c>
      <c r="FV4" s="159"/>
      <c r="FW4" s="158"/>
      <c r="FX4" s="134" t="s">
        <v>99</v>
      </c>
      <c r="FY4" s="134"/>
      <c r="FZ4" s="134" t="s">
        <v>100</v>
      </c>
      <c r="GA4" s="134"/>
      <c r="GB4" s="134" t="s">
        <v>101</v>
      </c>
      <c r="GC4" s="134"/>
      <c r="GD4" s="134" t="s">
        <v>102</v>
      </c>
      <c r="GE4" s="134"/>
      <c r="GF4" s="134" t="s">
        <v>103</v>
      </c>
      <c r="GG4" s="134"/>
      <c r="GH4" s="134" t="s">
        <v>105</v>
      </c>
      <c r="GI4" s="134"/>
      <c r="GJ4" s="134" t="s">
        <v>104</v>
      </c>
      <c r="GK4" s="134"/>
      <c r="GL4" s="134" t="s">
        <v>38</v>
      </c>
      <c r="GM4" s="134"/>
      <c r="GN4" s="157" t="s">
        <v>15</v>
      </c>
      <c r="GO4" s="158"/>
      <c r="GP4" s="120" t="s">
        <v>15</v>
      </c>
      <c r="GQ4" s="157" t="s">
        <v>89</v>
      </c>
      <c r="GR4" s="158"/>
      <c r="GS4" s="157" t="s">
        <v>90</v>
      </c>
      <c r="GT4" s="158"/>
      <c r="GU4" s="157" t="s">
        <v>91</v>
      </c>
      <c r="GV4" s="158"/>
      <c r="GW4" s="157" t="s">
        <v>15</v>
      </c>
      <c r="GX4" s="159"/>
      <c r="GY4" s="158"/>
      <c r="GZ4" s="152"/>
      <c r="HA4" s="153"/>
      <c r="HB4" s="132" t="s">
        <v>92</v>
      </c>
      <c r="HC4" s="133"/>
      <c r="HD4" s="132" t="s">
        <v>93</v>
      </c>
      <c r="HE4" s="133"/>
      <c r="HF4" s="132" t="s">
        <v>94</v>
      </c>
      <c r="HG4" s="133"/>
      <c r="HH4" s="132" t="s">
        <v>95</v>
      </c>
      <c r="HI4" s="133"/>
      <c r="HJ4" s="132" t="s">
        <v>96</v>
      </c>
      <c r="HK4" s="133"/>
      <c r="HL4" s="104" t="s">
        <v>97</v>
      </c>
      <c r="HM4" s="132" t="s">
        <v>98</v>
      </c>
      <c r="HN4" s="133"/>
      <c r="HO4" s="132" t="s">
        <v>273</v>
      </c>
      <c r="HP4" s="133"/>
      <c r="HQ4" s="126"/>
      <c r="HR4" s="127"/>
      <c r="HS4" s="128"/>
      <c r="HT4" s="134" t="s">
        <v>161</v>
      </c>
      <c r="HU4" s="134"/>
      <c r="HV4" s="131" t="s">
        <v>162</v>
      </c>
      <c r="HW4" s="131"/>
      <c r="HX4" s="131" t="s">
        <v>163</v>
      </c>
      <c r="HY4" s="131"/>
      <c r="HZ4" s="131" t="s">
        <v>164</v>
      </c>
      <c r="IA4" s="131"/>
      <c r="IB4" s="131" t="s">
        <v>15</v>
      </c>
      <c r="IC4" s="131"/>
      <c r="ID4" s="160" t="s">
        <v>29</v>
      </c>
      <c r="IE4" s="129" t="s">
        <v>71</v>
      </c>
      <c r="IF4" s="130"/>
      <c r="IG4" s="149"/>
      <c r="IH4" s="149"/>
      <c r="II4" s="149"/>
      <c r="IJ4" s="149"/>
      <c r="IK4" s="149"/>
      <c r="IL4" s="149"/>
      <c r="IM4" s="147" t="s">
        <v>106</v>
      </c>
      <c r="IN4" s="147" t="s">
        <v>107</v>
      </c>
      <c r="IO4" s="147" t="s">
        <v>108</v>
      </c>
      <c r="IP4" s="147" t="s">
        <v>109</v>
      </c>
      <c r="IQ4" s="144"/>
      <c r="IR4" s="144"/>
      <c r="IS4" s="142"/>
      <c r="IT4" s="142"/>
      <c r="IU4" s="142"/>
      <c r="IV4" s="142"/>
      <c r="IW4" s="137"/>
      <c r="IX4" s="138"/>
      <c r="IZ4" s="89"/>
    </row>
    <row r="5" spans="1:261" s="105" customFormat="1" ht="40.5" customHeight="1" x14ac:dyDescent="0.2">
      <c r="A5" s="102" t="s">
        <v>2</v>
      </c>
      <c r="B5" s="102" t="s">
        <v>110</v>
      </c>
      <c r="C5" s="102" t="s">
        <v>111</v>
      </c>
      <c r="D5" s="102" t="s">
        <v>112</v>
      </c>
      <c r="E5" s="102" t="s">
        <v>113</v>
      </c>
      <c r="F5" s="97" t="s">
        <v>184</v>
      </c>
      <c r="G5" s="110" t="s">
        <v>183</v>
      </c>
      <c r="H5" s="102" t="s">
        <v>10</v>
      </c>
      <c r="I5" s="102" t="s">
        <v>11</v>
      </c>
      <c r="J5" s="102" t="s">
        <v>12</v>
      </c>
      <c r="K5" s="102" t="s">
        <v>114</v>
      </c>
      <c r="L5" s="102" t="s">
        <v>115</v>
      </c>
      <c r="M5" s="102" t="s">
        <v>116</v>
      </c>
      <c r="N5" s="102" t="s">
        <v>117</v>
      </c>
      <c r="O5" s="110" t="s">
        <v>118</v>
      </c>
      <c r="P5" s="102" t="s">
        <v>119</v>
      </c>
      <c r="Q5" s="102" t="s">
        <v>120</v>
      </c>
      <c r="R5" s="102" t="s">
        <v>121</v>
      </c>
      <c r="S5" s="102" t="s">
        <v>222</v>
      </c>
      <c r="T5" s="98" t="s">
        <v>122</v>
      </c>
      <c r="U5" s="98" t="s">
        <v>123</v>
      </c>
      <c r="V5" s="98" t="s">
        <v>124</v>
      </c>
      <c r="W5" s="99" t="s">
        <v>125</v>
      </c>
      <c r="X5" s="100" t="s">
        <v>186</v>
      </c>
      <c r="Y5" s="102" t="s">
        <v>10</v>
      </c>
      <c r="Z5" s="103" t="s">
        <v>11</v>
      </c>
      <c r="AA5" s="102" t="s">
        <v>10</v>
      </c>
      <c r="AB5" s="102" t="s">
        <v>11</v>
      </c>
      <c r="AC5" s="102" t="s">
        <v>10</v>
      </c>
      <c r="AD5" s="102" t="s">
        <v>11</v>
      </c>
      <c r="AE5" s="102" t="s">
        <v>10</v>
      </c>
      <c r="AF5" s="102" t="s">
        <v>11</v>
      </c>
      <c r="AG5" s="102" t="s">
        <v>10</v>
      </c>
      <c r="AH5" s="102" t="s">
        <v>11</v>
      </c>
      <c r="AI5" s="102" t="s">
        <v>10</v>
      </c>
      <c r="AJ5" s="102" t="s">
        <v>11</v>
      </c>
      <c r="AK5" s="102" t="s">
        <v>10</v>
      </c>
      <c r="AL5" s="102" t="s">
        <v>11</v>
      </c>
      <c r="AM5" s="102" t="s">
        <v>10</v>
      </c>
      <c r="AN5" s="102" t="s">
        <v>11</v>
      </c>
      <c r="AO5" s="102" t="s">
        <v>15</v>
      </c>
      <c r="AP5" s="102" t="s">
        <v>10</v>
      </c>
      <c r="AQ5" s="102" t="s">
        <v>11</v>
      </c>
      <c r="AR5" s="102" t="s">
        <v>10</v>
      </c>
      <c r="AS5" s="102" t="s">
        <v>11</v>
      </c>
      <c r="AT5" s="102" t="s">
        <v>10</v>
      </c>
      <c r="AU5" s="102" t="s">
        <v>11</v>
      </c>
      <c r="AV5" s="102" t="s">
        <v>10</v>
      </c>
      <c r="AW5" s="102" t="s">
        <v>11</v>
      </c>
      <c r="AX5" s="102" t="s">
        <v>10</v>
      </c>
      <c r="AY5" s="102" t="s">
        <v>11</v>
      </c>
      <c r="AZ5" s="102" t="s">
        <v>10</v>
      </c>
      <c r="BA5" s="102" t="s">
        <v>11</v>
      </c>
      <c r="BB5" s="102" t="s">
        <v>10</v>
      </c>
      <c r="BC5" s="102" t="s">
        <v>11</v>
      </c>
      <c r="BD5" s="102" t="s">
        <v>10</v>
      </c>
      <c r="BE5" s="102" t="s">
        <v>11</v>
      </c>
      <c r="BF5" s="102" t="s">
        <v>15</v>
      </c>
      <c r="BG5" s="102" t="s">
        <v>10</v>
      </c>
      <c r="BH5" s="102" t="s">
        <v>11</v>
      </c>
      <c r="BI5" s="102" t="s">
        <v>10</v>
      </c>
      <c r="BJ5" s="102" t="s">
        <v>11</v>
      </c>
      <c r="BK5" s="102" t="s">
        <v>10</v>
      </c>
      <c r="BL5" s="102" t="s">
        <v>11</v>
      </c>
      <c r="BM5" s="102" t="s">
        <v>10</v>
      </c>
      <c r="BN5" s="102" t="s">
        <v>11</v>
      </c>
      <c r="BO5" s="102" t="s">
        <v>10</v>
      </c>
      <c r="BP5" s="102" t="s">
        <v>11</v>
      </c>
      <c r="BQ5" s="102" t="s">
        <v>10</v>
      </c>
      <c r="BR5" s="102" t="s">
        <v>11</v>
      </c>
      <c r="BS5" s="102" t="s">
        <v>10</v>
      </c>
      <c r="BT5" s="102" t="s">
        <v>11</v>
      </c>
      <c r="BU5" s="102" t="s">
        <v>10</v>
      </c>
      <c r="BV5" s="102" t="s">
        <v>11</v>
      </c>
      <c r="BW5" s="102" t="s">
        <v>15</v>
      </c>
      <c r="BX5" s="102" t="s">
        <v>10</v>
      </c>
      <c r="BY5" s="102" t="s">
        <v>11</v>
      </c>
      <c r="BZ5" s="102" t="s">
        <v>10</v>
      </c>
      <c r="CA5" s="102" t="s">
        <v>11</v>
      </c>
      <c r="CB5" s="102" t="s">
        <v>10</v>
      </c>
      <c r="CC5" s="102" t="s">
        <v>11</v>
      </c>
      <c r="CD5" s="102" t="s">
        <v>10</v>
      </c>
      <c r="CE5" s="102" t="s">
        <v>11</v>
      </c>
      <c r="CF5" s="102" t="s">
        <v>10</v>
      </c>
      <c r="CG5" s="102" t="s">
        <v>11</v>
      </c>
      <c r="CH5" s="102" t="s">
        <v>10</v>
      </c>
      <c r="CI5" s="102" t="s">
        <v>11</v>
      </c>
      <c r="CJ5" s="102" t="s">
        <v>10</v>
      </c>
      <c r="CK5" s="102" t="s">
        <v>11</v>
      </c>
      <c r="CL5" s="102" t="s">
        <v>10</v>
      </c>
      <c r="CM5" s="102" t="s">
        <v>11</v>
      </c>
      <c r="CN5" s="102" t="s">
        <v>15</v>
      </c>
      <c r="CO5" s="102" t="s">
        <v>10</v>
      </c>
      <c r="CP5" s="102" t="s">
        <v>11</v>
      </c>
      <c r="CQ5" s="102" t="s">
        <v>12</v>
      </c>
      <c r="CR5" s="102" t="s">
        <v>10</v>
      </c>
      <c r="CS5" s="102" t="s">
        <v>11</v>
      </c>
      <c r="CT5" s="102" t="s">
        <v>12</v>
      </c>
      <c r="CU5" s="102" t="s">
        <v>10</v>
      </c>
      <c r="CV5" s="102" t="s">
        <v>11</v>
      </c>
      <c r="CW5" s="102" t="s">
        <v>12</v>
      </c>
      <c r="CX5" s="102" t="s">
        <v>10</v>
      </c>
      <c r="CY5" s="102" t="s">
        <v>11</v>
      </c>
      <c r="CZ5" s="102" t="s">
        <v>12</v>
      </c>
      <c r="DA5" s="102" t="s">
        <v>15</v>
      </c>
      <c r="DB5" s="102" t="s">
        <v>10</v>
      </c>
      <c r="DC5" s="102" t="s">
        <v>11</v>
      </c>
      <c r="DD5" s="102" t="s">
        <v>10</v>
      </c>
      <c r="DE5" s="102" t="s">
        <v>11</v>
      </c>
      <c r="DF5" s="102" t="s">
        <v>10</v>
      </c>
      <c r="DG5" s="102" t="s">
        <v>11</v>
      </c>
      <c r="DH5" s="102" t="s">
        <v>10</v>
      </c>
      <c r="DI5" s="102" t="s">
        <v>11</v>
      </c>
      <c r="DJ5" s="102" t="s">
        <v>15</v>
      </c>
      <c r="DK5" s="102" t="s">
        <v>10</v>
      </c>
      <c r="DL5" s="102" t="s">
        <v>11</v>
      </c>
      <c r="DM5" s="102" t="s">
        <v>10</v>
      </c>
      <c r="DN5" s="102" t="s">
        <v>11</v>
      </c>
      <c r="DO5" s="102" t="s">
        <v>10</v>
      </c>
      <c r="DP5" s="102" t="s">
        <v>11</v>
      </c>
      <c r="DQ5" s="102" t="s">
        <v>10</v>
      </c>
      <c r="DR5" s="102" t="s">
        <v>11</v>
      </c>
      <c r="DS5" s="102" t="s">
        <v>15</v>
      </c>
      <c r="DT5" s="102" t="s">
        <v>10</v>
      </c>
      <c r="DU5" s="102" t="s">
        <v>11</v>
      </c>
      <c r="DV5" s="102" t="s">
        <v>10</v>
      </c>
      <c r="DW5" s="102" t="s">
        <v>11</v>
      </c>
      <c r="DX5" s="102" t="s">
        <v>10</v>
      </c>
      <c r="DY5" s="102" t="s">
        <v>11</v>
      </c>
      <c r="DZ5" s="102" t="s">
        <v>10</v>
      </c>
      <c r="EA5" s="102" t="s">
        <v>11</v>
      </c>
      <c r="EB5" s="102" t="s">
        <v>15</v>
      </c>
      <c r="EC5" s="102" t="s">
        <v>10</v>
      </c>
      <c r="ED5" s="102" t="s">
        <v>11</v>
      </c>
      <c r="EE5" s="102" t="s">
        <v>10</v>
      </c>
      <c r="EF5" s="102" t="s">
        <v>11</v>
      </c>
      <c r="EG5" s="102" t="s">
        <v>10</v>
      </c>
      <c r="EH5" s="102" t="s">
        <v>11</v>
      </c>
      <c r="EI5" s="102" t="s">
        <v>10</v>
      </c>
      <c r="EJ5" s="102" t="s">
        <v>11</v>
      </c>
      <c r="EK5" s="102" t="s">
        <v>15</v>
      </c>
      <c r="EL5" s="102" t="s">
        <v>10</v>
      </c>
      <c r="EM5" s="102" t="s">
        <v>11</v>
      </c>
      <c r="EN5" s="102" t="s">
        <v>10</v>
      </c>
      <c r="EO5" s="102" t="s">
        <v>11</v>
      </c>
      <c r="EP5" s="102" t="s">
        <v>10</v>
      </c>
      <c r="EQ5" s="102" t="s">
        <v>11</v>
      </c>
      <c r="ER5" s="102" t="s">
        <v>10</v>
      </c>
      <c r="ES5" s="102" t="s">
        <v>11</v>
      </c>
      <c r="ET5" s="102" t="s">
        <v>15</v>
      </c>
      <c r="EU5" s="102" t="s">
        <v>126</v>
      </c>
      <c r="EV5" s="102" t="s">
        <v>14</v>
      </c>
      <c r="EW5" s="102" t="s">
        <v>126</v>
      </c>
      <c r="EX5" s="102" t="s">
        <v>14</v>
      </c>
      <c r="EY5" s="102" t="s">
        <v>126</v>
      </c>
      <c r="EZ5" s="102" t="s">
        <v>14</v>
      </c>
      <c r="FA5" s="102" t="s">
        <v>126</v>
      </c>
      <c r="FB5" s="102" t="s">
        <v>14</v>
      </c>
      <c r="FC5" s="102" t="s">
        <v>126</v>
      </c>
      <c r="FD5" s="102" t="s">
        <v>14</v>
      </c>
      <c r="FE5" s="102" t="s">
        <v>15</v>
      </c>
      <c r="FF5" s="102" t="s">
        <v>13</v>
      </c>
      <c r="FG5" s="102" t="s">
        <v>14</v>
      </c>
      <c r="FH5" s="102" t="s">
        <v>13</v>
      </c>
      <c r="FI5" s="102" t="s">
        <v>14</v>
      </c>
      <c r="FJ5" s="102" t="s">
        <v>13</v>
      </c>
      <c r="FK5" s="102" t="s">
        <v>14</v>
      </c>
      <c r="FL5" s="102" t="s">
        <v>13</v>
      </c>
      <c r="FM5" s="102" t="s">
        <v>14</v>
      </c>
      <c r="FN5" s="102" t="s">
        <v>13</v>
      </c>
      <c r="FO5" s="102" t="s">
        <v>14</v>
      </c>
      <c r="FP5" s="102" t="s">
        <v>13</v>
      </c>
      <c r="FQ5" s="102" t="s">
        <v>14</v>
      </c>
      <c r="FR5" s="102" t="s">
        <v>13</v>
      </c>
      <c r="FS5" s="102" t="s">
        <v>13</v>
      </c>
      <c r="FT5" s="102" t="s">
        <v>13</v>
      </c>
      <c r="FU5" s="102" t="s">
        <v>13</v>
      </c>
      <c r="FV5" s="102" t="s">
        <v>14</v>
      </c>
      <c r="FW5" s="102" t="s">
        <v>15</v>
      </c>
      <c r="FX5" s="102" t="s">
        <v>126</v>
      </c>
      <c r="FY5" s="102" t="s">
        <v>14</v>
      </c>
      <c r="FZ5" s="102" t="s">
        <v>126</v>
      </c>
      <c r="GA5" s="102" t="s">
        <v>14</v>
      </c>
      <c r="GB5" s="102" t="s">
        <v>126</v>
      </c>
      <c r="GC5" s="102" t="s">
        <v>14</v>
      </c>
      <c r="GD5" s="102" t="s">
        <v>13</v>
      </c>
      <c r="GE5" s="102" t="s">
        <v>14</v>
      </c>
      <c r="GF5" s="102" t="s">
        <v>126</v>
      </c>
      <c r="GG5" s="102" t="s">
        <v>14</v>
      </c>
      <c r="GH5" s="102" t="s">
        <v>126</v>
      </c>
      <c r="GI5" s="102" t="s">
        <v>14</v>
      </c>
      <c r="GJ5" s="102" t="s">
        <v>126</v>
      </c>
      <c r="GK5" s="102" t="s">
        <v>14</v>
      </c>
      <c r="GL5" s="102" t="s">
        <v>126</v>
      </c>
      <c r="GM5" s="102" t="s">
        <v>14</v>
      </c>
      <c r="GN5" s="102" t="s">
        <v>126</v>
      </c>
      <c r="GO5" s="102" t="s">
        <v>14</v>
      </c>
      <c r="GP5" s="122"/>
      <c r="GQ5" s="102" t="s">
        <v>13</v>
      </c>
      <c r="GR5" s="102" t="s">
        <v>14</v>
      </c>
      <c r="GS5" s="102" t="s">
        <v>13</v>
      </c>
      <c r="GT5" s="102" t="s">
        <v>14</v>
      </c>
      <c r="GU5" s="102" t="s">
        <v>13</v>
      </c>
      <c r="GV5" s="102" t="s">
        <v>14</v>
      </c>
      <c r="GW5" s="102" t="s">
        <v>13</v>
      </c>
      <c r="GX5" s="102" t="s">
        <v>14</v>
      </c>
      <c r="GY5" s="102" t="s">
        <v>15</v>
      </c>
      <c r="GZ5" s="102" t="s">
        <v>13</v>
      </c>
      <c r="HA5" s="102" t="s">
        <v>14</v>
      </c>
      <c r="HB5" s="102" t="s">
        <v>13</v>
      </c>
      <c r="HC5" s="102" t="s">
        <v>14</v>
      </c>
      <c r="HD5" s="102" t="s">
        <v>13</v>
      </c>
      <c r="HE5" s="102" t="s">
        <v>14</v>
      </c>
      <c r="HF5" s="102" t="s">
        <v>13</v>
      </c>
      <c r="HG5" s="102" t="s">
        <v>14</v>
      </c>
      <c r="HH5" s="102" t="s">
        <v>13</v>
      </c>
      <c r="HI5" s="102" t="s">
        <v>14</v>
      </c>
      <c r="HJ5" s="102" t="s">
        <v>13</v>
      </c>
      <c r="HK5" s="102" t="s">
        <v>14</v>
      </c>
      <c r="HL5" s="102" t="s">
        <v>14</v>
      </c>
      <c r="HM5" s="102" t="s">
        <v>13</v>
      </c>
      <c r="HN5" s="102" t="s">
        <v>14</v>
      </c>
      <c r="HO5" s="102" t="s">
        <v>13</v>
      </c>
      <c r="HP5" s="102" t="s">
        <v>14</v>
      </c>
      <c r="HQ5" s="102" t="s">
        <v>13</v>
      </c>
      <c r="HR5" s="102" t="s">
        <v>14</v>
      </c>
      <c r="HS5" s="102" t="s">
        <v>15</v>
      </c>
      <c r="HT5" s="102" t="s">
        <v>126</v>
      </c>
      <c r="HU5" s="102" t="s">
        <v>14</v>
      </c>
      <c r="HV5" s="102" t="s">
        <v>126</v>
      </c>
      <c r="HW5" s="102" t="s">
        <v>14</v>
      </c>
      <c r="HX5" s="102" t="s">
        <v>126</v>
      </c>
      <c r="HY5" s="102" t="s">
        <v>14</v>
      </c>
      <c r="HZ5" s="102" t="s">
        <v>126</v>
      </c>
      <c r="IA5" s="102" t="s">
        <v>14</v>
      </c>
      <c r="IB5" s="102" t="s">
        <v>126</v>
      </c>
      <c r="IC5" s="102" t="s">
        <v>14</v>
      </c>
      <c r="ID5" s="161"/>
      <c r="IE5" s="102" t="s">
        <v>126</v>
      </c>
      <c r="IF5" s="102" t="s">
        <v>14</v>
      </c>
      <c r="IG5" s="111" t="s">
        <v>128</v>
      </c>
      <c r="IH5" s="111" t="s">
        <v>127</v>
      </c>
      <c r="II5" s="111" t="s">
        <v>128</v>
      </c>
      <c r="IJ5" s="111" t="s">
        <v>127</v>
      </c>
      <c r="IK5" s="111" t="s">
        <v>128</v>
      </c>
      <c r="IL5" s="111" t="s">
        <v>127</v>
      </c>
      <c r="IM5" s="148"/>
      <c r="IN5" s="148"/>
      <c r="IO5" s="148"/>
      <c r="IP5" s="148"/>
      <c r="IQ5" s="145"/>
      <c r="IR5" s="145"/>
      <c r="IS5" s="142"/>
      <c r="IT5" s="142"/>
      <c r="IU5" s="142"/>
      <c r="IV5" s="142"/>
      <c r="IW5" s="112" t="s">
        <v>247</v>
      </c>
      <c r="IX5" s="112" t="s">
        <v>127</v>
      </c>
      <c r="IY5" s="110" t="s">
        <v>223</v>
      </c>
      <c r="IZ5" s="101" t="s">
        <v>224</v>
      </c>
      <c r="JA5" s="110" t="s">
        <v>190</v>
      </c>
    </row>
    <row r="6" spans="1:261" s="69" customFormat="1" ht="24.75" customHeight="1" x14ac:dyDescent="0.2">
      <c r="A6" s="68" t="s">
        <v>42</v>
      </c>
      <c r="B6" s="68" t="s">
        <v>129</v>
      </c>
      <c r="C6" s="68">
        <v>1</v>
      </c>
      <c r="D6" s="68">
        <v>1400724</v>
      </c>
      <c r="E6" s="68" t="s">
        <v>130</v>
      </c>
      <c r="F6" s="68"/>
      <c r="G6" s="68">
        <v>1</v>
      </c>
      <c r="H6" s="68">
        <v>1</v>
      </c>
      <c r="I6" s="68"/>
      <c r="J6" s="68"/>
      <c r="K6" s="68">
        <v>1</v>
      </c>
      <c r="L6" s="68"/>
      <c r="M6" s="68"/>
      <c r="N6" s="68">
        <v>1</v>
      </c>
      <c r="O6" s="68"/>
      <c r="P6" s="68"/>
      <c r="Q6" s="68"/>
      <c r="R6" s="68">
        <v>1</v>
      </c>
      <c r="S6" s="68"/>
      <c r="T6" s="68"/>
      <c r="U6" s="68"/>
      <c r="V6" s="68">
        <v>1</v>
      </c>
      <c r="W6" s="68"/>
      <c r="X6" s="68"/>
      <c r="Y6" s="68">
        <v>5</v>
      </c>
      <c r="Z6" s="91"/>
      <c r="AA6" s="68">
        <v>9</v>
      </c>
      <c r="AB6" s="68"/>
      <c r="AC6" s="68">
        <v>13</v>
      </c>
      <c r="AD6" s="68"/>
      <c r="AE6" s="68">
        <v>6</v>
      </c>
      <c r="AF6" s="68"/>
      <c r="AG6" s="68">
        <v>9</v>
      </c>
      <c r="AH6" s="68"/>
      <c r="AI6" s="68">
        <v>8</v>
      </c>
      <c r="AJ6" s="68"/>
      <c r="AK6" s="68">
        <v>4</v>
      </c>
      <c r="AL6" s="68"/>
      <c r="AM6" s="68">
        <f>AK6+AI6+AG6+AE6+AC6+AA6+Y6</f>
        <v>54</v>
      </c>
      <c r="AN6" s="68">
        <f>AL6+AJ6+AH6+AF6+AD6+AB6+Z6</f>
        <v>0</v>
      </c>
      <c r="AO6" s="68">
        <f>AN6+AM6</f>
        <v>54</v>
      </c>
      <c r="AP6" s="68"/>
      <c r="AQ6" s="68"/>
      <c r="AR6" s="68">
        <v>2</v>
      </c>
      <c r="AS6" s="68"/>
      <c r="AT6" s="68">
        <v>10</v>
      </c>
      <c r="AU6" s="68"/>
      <c r="AV6" s="68">
        <v>12</v>
      </c>
      <c r="AW6" s="68"/>
      <c r="AX6" s="68">
        <v>13</v>
      </c>
      <c r="AY6" s="68"/>
      <c r="AZ6" s="68">
        <v>8</v>
      </c>
      <c r="BA6" s="68"/>
      <c r="BB6" s="68">
        <v>6</v>
      </c>
      <c r="BC6" s="68"/>
      <c r="BD6" s="68">
        <f t="shared" ref="BD6:BD13" si="0">BB6+AZ6+AX6+AV6+AT6+AR6+AP6</f>
        <v>51</v>
      </c>
      <c r="BE6" s="68">
        <f t="shared" ref="BE6:BE13" si="1">BC6+BA6+AY6+AW6+AU6+AS6+AQ6</f>
        <v>0</v>
      </c>
      <c r="BF6" s="68">
        <f t="shared" ref="BF6:BF13" si="2">BE6+BD6</f>
        <v>51</v>
      </c>
      <c r="BG6" s="68">
        <v>1</v>
      </c>
      <c r="BH6" s="68"/>
      <c r="BI6" s="68">
        <v>1</v>
      </c>
      <c r="BJ6" s="68"/>
      <c r="BK6" s="68">
        <v>12</v>
      </c>
      <c r="BL6" s="68"/>
      <c r="BM6" s="68">
        <v>19</v>
      </c>
      <c r="BN6" s="68"/>
      <c r="BO6" s="68">
        <v>33</v>
      </c>
      <c r="BP6" s="68"/>
      <c r="BQ6" s="68">
        <v>31</v>
      </c>
      <c r="BR6" s="68"/>
      <c r="BS6" s="68">
        <v>30</v>
      </c>
      <c r="BT6" s="68"/>
      <c r="BU6" s="68">
        <f t="shared" ref="BU6:BU13" si="3">BS6+BQ6+BO6+BM6+BK6+BI6+BG6</f>
        <v>127</v>
      </c>
      <c r="BV6" s="68">
        <f t="shared" ref="BV6:BV13" si="4">BT6+BR6+BP6+BN6+BL6+BJ6+BH6</f>
        <v>0</v>
      </c>
      <c r="BW6" s="68">
        <f t="shared" ref="BW6:BW13" si="5">BV6+BU6</f>
        <v>127</v>
      </c>
      <c r="BX6" s="68">
        <f>BG6+AP6+Y6</f>
        <v>6</v>
      </c>
      <c r="BY6" s="68">
        <f t="shared" ref="BY6:CK6" si="6">BH6+AQ6+Z6</f>
        <v>0</v>
      </c>
      <c r="BZ6" s="68">
        <f t="shared" si="6"/>
        <v>12</v>
      </c>
      <c r="CA6" s="68">
        <f t="shared" si="6"/>
        <v>0</v>
      </c>
      <c r="CB6" s="68">
        <f t="shared" si="6"/>
        <v>35</v>
      </c>
      <c r="CC6" s="68">
        <f t="shared" si="6"/>
        <v>0</v>
      </c>
      <c r="CD6" s="68">
        <f t="shared" si="6"/>
        <v>37</v>
      </c>
      <c r="CE6" s="68">
        <f t="shared" si="6"/>
        <v>0</v>
      </c>
      <c r="CF6" s="68">
        <f t="shared" si="6"/>
        <v>55</v>
      </c>
      <c r="CG6" s="68">
        <f t="shared" si="6"/>
        <v>0</v>
      </c>
      <c r="CH6" s="68">
        <f t="shared" si="6"/>
        <v>47</v>
      </c>
      <c r="CI6" s="68">
        <f t="shared" si="6"/>
        <v>0</v>
      </c>
      <c r="CJ6" s="68">
        <f t="shared" si="6"/>
        <v>40</v>
      </c>
      <c r="CK6" s="68">
        <f t="shared" si="6"/>
        <v>0</v>
      </c>
      <c r="CL6" s="68">
        <f t="shared" ref="CL6:CL13" si="7">CJ6+CH6+CF6+CD6+CB6+BZ6+BX6</f>
        <v>232</v>
      </c>
      <c r="CM6" s="68">
        <f t="shared" ref="CM6:CM13" si="8">CK6+CI6+CG6+CE6+CC6+CA6+BY6</f>
        <v>0</v>
      </c>
      <c r="CN6" s="68">
        <f t="shared" ref="CN6:CN13" si="9">CM6+CL6</f>
        <v>232</v>
      </c>
      <c r="CO6" s="68">
        <v>2</v>
      </c>
      <c r="CP6" s="68"/>
      <c r="CQ6" s="68"/>
      <c r="CR6" s="68">
        <v>2</v>
      </c>
      <c r="CS6" s="68"/>
      <c r="CT6" s="68"/>
      <c r="CU6" s="68">
        <v>4</v>
      </c>
      <c r="CV6" s="68"/>
      <c r="CW6" s="68"/>
      <c r="CX6" s="68">
        <f>CU6+CR6+CO6</f>
        <v>8</v>
      </c>
      <c r="CY6" s="68">
        <f t="shared" ref="CY6:CZ6" si="10">CV6+CS6+CP6</f>
        <v>0</v>
      </c>
      <c r="CZ6" s="68">
        <f t="shared" si="10"/>
        <v>0</v>
      </c>
      <c r="DA6" s="68">
        <f>CZ6+CY6+CX6</f>
        <v>8</v>
      </c>
      <c r="DB6" s="68">
        <v>23</v>
      </c>
      <c r="DC6" s="68"/>
      <c r="DD6" s="68"/>
      <c r="DE6" s="68"/>
      <c r="DF6" s="68"/>
      <c r="DG6" s="68"/>
      <c r="DH6" s="68">
        <f t="shared" ref="DH6:DH13" si="11">DF6+DD6+DB6</f>
        <v>23</v>
      </c>
      <c r="DI6" s="68">
        <f t="shared" ref="DI6:DI13" si="12">DG6+DE6+DC6</f>
        <v>0</v>
      </c>
      <c r="DJ6" s="68">
        <f t="shared" ref="DJ6:DJ13" si="13">DI6+DH6</f>
        <v>23</v>
      </c>
      <c r="DK6" s="68">
        <v>31</v>
      </c>
      <c r="DL6" s="68"/>
      <c r="DM6" s="68">
        <v>39</v>
      </c>
      <c r="DN6" s="68"/>
      <c r="DO6" s="68">
        <v>66</v>
      </c>
      <c r="DP6" s="68"/>
      <c r="DQ6" s="68">
        <f t="shared" ref="DQ6:DQ13" si="14">DO6+DM6+DK6</f>
        <v>136</v>
      </c>
      <c r="DR6" s="68">
        <f t="shared" ref="DR6:DR13" si="15">DP6+DN6+DL6</f>
        <v>0</v>
      </c>
      <c r="DS6" s="68">
        <f t="shared" ref="DS6:DS13" si="16">DR6+DQ6</f>
        <v>136</v>
      </c>
      <c r="DT6" s="68">
        <v>11</v>
      </c>
      <c r="DU6" s="68"/>
      <c r="DV6" s="68">
        <v>12</v>
      </c>
      <c r="DW6" s="68"/>
      <c r="DX6" s="68">
        <v>20</v>
      </c>
      <c r="DY6" s="68"/>
      <c r="DZ6" s="68">
        <f>DX6+DV6+DT6</f>
        <v>43</v>
      </c>
      <c r="EA6" s="68">
        <f>DY6+DW6+DU6</f>
        <v>0</v>
      </c>
      <c r="EB6" s="68">
        <f>EA6+DZ6</f>
        <v>43</v>
      </c>
      <c r="EC6" s="68"/>
      <c r="ED6" s="68"/>
      <c r="EE6" s="68"/>
      <c r="EF6" s="68"/>
      <c r="EG6" s="68"/>
      <c r="EH6" s="68"/>
      <c r="EI6" s="68">
        <f>EG6+EE6+EC6</f>
        <v>0</v>
      </c>
      <c r="EJ6" s="68">
        <f>EH6+EF6+ED6</f>
        <v>0</v>
      </c>
      <c r="EK6" s="68">
        <f>EJ6+EI6</f>
        <v>0</v>
      </c>
      <c r="EL6" s="68"/>
      <c r="EM6" s="68"/>
      <c r="EN6" s="68"/>
      <c r="EO6" s="68"/>
      <c r="EP6" s="68"/>
      <c r="EQ6" s="68"/>
      <c r="ER6" s="68">
        <f>EP6+EN6+EL6</f>
        <v>0</v>
      </c>
      <c r="ES6" s="68">
        <f>EQ6+EO6+EM6</f>
        <v>0</v>
      </c>
      <c r="ET6" s="68">
        <f>ES6+ER6</f>
        <v>0</v>
      </c>
      <c r="EU6" s="68">
        <v>1</v>
      </c>
      <c r="EV6" s="68"/>
      <c r="EW6" s="68">
        <v>1</v>
      </c>
      <c r="EX6" s="68"/>
      <c r="EY6" s="68">
        <v>4</v>
      </c>
      <c r="EZ6" s="68">
        <v>1</v>
      </c>
      <c r="FA6" s="68"/>
      <c r="FB6" s="68"/>
      <c r="FC6" s="68">
        <f>FA6+EY6+EW6+EU6</f>
        <v>6</v>
      </c>
      <c r="FD6" s="68">
        <f>FB6+EZ6+EX6+EV6</f>
        <v>1</v>
      </c>
      <c r="FE6" s="68">
        <f>FD6+FC6</f>
        <v>7</v>
      </c>
      <c r="FF6" s="68"/>
      <c r="FG6" s="68"/>
      <c r="FH6" s="68"/>
      <c r="FI6" s="68"/>
      <c r="FJ6" s="68"/>
      <c r="FK6" s="68"/>
      <c r="FL6" s="68"/>
      <c r="FM6" s="68"/>
      <c r="FN6" s="68">
        <v>2</v>
      </c>
      <c r="FO6" s="68"/>
      <c r="FP6" s="68"/>
      <c r="FQ6" s="68"/>
      <c r="FR6" s="68"/>
      <c r="FS6" s="68"/>
      <c r="FT6" s="68"/>
      <c r="FU6" s="68">
        <f>FT6+FS6+FR6+FN6+FL6+FH6+FF6+FP6+FJ6</f>
        <v>2</v>
      </c>
      <c r="FV6" s="68">
        <f>FO6+FM6+FI6+FG6+FK6+FQ6</f>
        <v>0</v>
      </c>
      <c r="FW6" s="68">
        <f>FV6+FU6</f>
        <v>2</v>
      </c>
      <c r="FX6" s="68"/>
      <c r="FY6" s="68"/>
      <c r="FZ6" s="68"/>
      <c r="GA6" s="68"/>
      <c r="GB6" s="68">
        <v>3</v>
      </c>
      <c r="GC6" s="68">
        <v>1</v>
      </c>
      <c r="GD6" s="68"/>
      <c r="GE6" s="68"/>
      <c r="GF6" s="68"/>
      <c r="GG6" s="68"/>
      <c r="GH6" s="68">
        <v>2</v>
      </c>
      <c r="GI6" s="68"/>
      <c r="GJ6" s="68">
        <v>1</v>
      </c>
      <c r="GK6" s="68"/>
      <c r="GL6" s="68"/>
      <c r="GM6" s="68"/>
      <c r="GN6" s="68">
        <f>GL6+GJ6+GH6+GF6+GD6+GB6+FZ6+FX6</f>
        <v>6</v>
      </c>
      <c r="GO6" s="68">
        <f>GM6+GK6+GI6+GG6+GE6+GC6+GA6+FY6</f>
        <v>1</v>
      </c>
      <c r="GP6" s="68">
        <f>GO6+GN6</f>
        <v>7</v>
      </c>
      <c r="GQ6" s="68">
        <v>6</v>
      </c>
      <c r="GR6" s="68">
        <v>1</v>
      </c>
      <c r="GS6" s="68"/>
      <c r="GT6" s="68"/>
      <c r="GU6" s="68"/>
      <c r="GV6" s="68"/>
      <c r="GW6" s="68">
        <f>GU6+GS6+GQ6</f>
        <v>6</v>
      </c>
      <c r="GX6" s="68">
        <f>GV6+GT6+GR6</f>
        <v>1</v>
      </c>
      <c r="GY6" s="68">
        <f>GX6+GW6</f>
        <v>7</v>
      </c>
      <c r="GZ6" s="68">
        <v>5</v>
      </c>
      <c r="HA6" s="68">
        <v>1</v>
      </c>
      <c r="HB6" s="68"/>
      <c r="HC6" s="68"/>
      <c r="HD6" s="68"/>
      <c r="HE6" s="68"/>
      <c r="HF6" s="68"/>
      <c r="HG6" s="68"/>
      <c r="HH6" s="68"/>
      <c r="HI6" s="68"/>
      <c r="HJ6" s="68"/>
      <c r="HK6" s="68"/>
      <c r="HL6" s="68"/>
      <c r="HM6" s="68"/>
      <c r="HN6" s="68"/>
      <c r="HO6" s="68">
        <v>1</v>
      </c>
      <c r="HP6" s="68"/>
      <c r="HQ6" s="68">
        <f t="shared" ref="HQ6:HQ9" si="17">HO6+GZ6+HM6+HJ6+HH6+HF6+HD6+HB6</f>
        <v>6</v>
      </c>
      <c r="HR6" s="68">
        <f t="shared" ref="HR6:HR9" si="18">HP6+HA6+HN6+HL6+HK6+HI6+HG6+HE6+HC6</f>
        <v>1</v>
      </c>
      <c r="HS6" s="68">
        <f>HR6+HQ6</f>
        <v>7</v>
      </c>
      <c r="HT6" s="68"/>
      <c r="HU6" s="68"/>
      <c r="HV6" s="68">
        <v>6</v>
      </c>
      <c r="HW6" s="68">
        <v>1</v>
      </c>
      <c r="HX6" s="68"/>
      <c r="HY6" s="68"/>
      <c r="HZ6" s="68"/>
      <c r="IA6" s="68"/>
      <c r="IB6" s="68">
        <f>HZ6+HX6+HV6+HT6</f>
        <v>6</v>
      </c>
      <c r="IC6" s="68">
        <f>IA6+HY6+HW6+HU6</f>
        <v>1</v>
      </c>
      <c r="ID6" s="68">
        <f>IC6+IB6</f>
        <v>7</v>
      </c>
      <c r="IE6" s="68"/>
      <c r="IF6" s="68"/>
      <c r="IG6" s="68"/>
      <c r="IH6" s="68">
        <v>1</v>
      </c>
      <c r="II6" s="68"/>
      <c r="IJ6" s="68">
        <v>1</v>
      </c>
      <c r="IK6" s="68"/>
      <c r="IL6" s="68">
        <v>1</v>
      </c>
      <c r="IM6" s="68"/>
      <c r="IN6" s="68"/>
      <c r="IO6" s="68"/>
      <c r="IP6" s="68"/>
      <c r="IQ6" s="68"/>
      <c r="IR6" s="68"/>
      <c r="IS6" s="68">
        <v>8</v>
      </c>
      <c r="IT6" s="68">
        <v>1</v>
      </c>
      <c r="IU6" s="68">
        <v>3</v>
      </c>
      <c r="IV6" s="68"/>
      <c r="IW6" s="68"/>
      <c r="IX6" s="68">
        <v>1</v>
      </c>
      <c r="IY6" s="68" t="s">
        <v>227</v>
      </c>
      <c r="IZ6" s="82">
        <v>7801262206</v>
      </c>
      <c r="JA6" s="68" t="s">
        <v>206</v>
      </c>
    </row>
    <row r="7" spans="1:261" s="69" customFormat="1" ht="24.75" customHeight="1" x14ac:dyDescent="0.2">
      <c r="A7" s="68" t="s">
        <v>42</v>
      </c>
      <c r="B7" s="68" t="s">
        <v>129</v>
      </c>
      <c r="C7" s="68">
        <v>2</v>
      </c>
      <c r="D7" s="68">
        <v>1400725</v>
      </c>
      <c r="E7" s="68" t="s">
        <v>131</v>
      </c>
      <c r="F7" s="68"/>
      <c r="G7" s="68">
        <v>1</v>
      </c>
      <c r="H7" s="68"/>
      <c r="I7" s="68">
        <v>1</v>
      </c>
      <c r="J7" s="68"/>
      <c r="K7" s="68">
        <v>1</v>
      </c>
      <c r="L7" s="68"/>
      <c r="M7" s="68"/>
      <c r="N7" s="68">
        <v>1</v>
      </c>
      <c r="O7" s="68"/>
      <c r="P7" s="68"/>
      <c r="Q7" s="68"/>
      <c r="R7" s="68">
        <v>1</v>
      </c>
      <c r="S7" s="68"/>
      <c r="T7" s="68"/>
      <c r="U7" s="68"/>
      <c r="V7" s="68">
        <v>1</v>
      </c>
      <c r="W7" s="68"/>
      <c r="X7" s="68"/>
      <c r="Y7" s="68"/>
      <c r="Z7" s="91">
        <v>2</v>
      </c>
      <c r="AA7" s="68"/>
      <c r="AB7" s="68">
        <v>1</v>
      </c>
      <c r="AC7" s="68"/>
      <c r="AD7" s="68"/>
      <c r="AE7" s="68"/>
      <c r="AF7" s="68">
        <v>1</v>
      </c>
      <c r="AG7" s="68"/>
      <c r="AH7" s="68"/>
      <c r="AI7" s="68"/>
      <c r="AJ7" s="68"/>
      <c r="AK7" s="68"/>
      <c r="AL7" s="68"/>
      <c r="AM7" s="68">
        <f t="shared" ref="AM7:AM13" si="19">AK7+AI7+AG7+AE7+AC7+AA7+Y7</f>
        <v>0</v>
      </c>
      <c r="AN7" s="68">
        <f t="shared" ref="AN7:AN13" si="20">AL7+AJ7+AH7+AF7+AD7+AB7+Z7</f>
        <v>4</v>
      </c>
      <c r="AO7" s="68">
        <f t="shared" ref="AO7:AO13" si="21">AN7+AM7</f>
        <v>4</v>
      </c>
      <c r="AP7" s="68"/>
      <c r="AQ7" s="68"/>
      <c r="AR7" s="68"/>
      <c r="AS7" s="68">
        <v>1</v>
      </c>
      <c r="AT7" s="68"/>
      <c r="AU7" s="68">
        <v>5</v>
      </c>
      <c r="AV7" s="68"/>
      <c r="AW7" s="68">
        <v>2</v>
      </c>
      <c r="AX7" s="68"/>
      <c r="AY7" s="68">
        <v>3</v>
      </c>
      <c r="AZ7" s="68"/>
      <c r="BA7" s="68">
        <v>2</v>
      </c>
      <c r="BB7" s="68"/>
      <c r="BC7" s="68">
        <v>2</v>
      </c>
      <c r="BD7" s="68">
        <f t="shared" si="0"/>
        <v>0</v>
      </c>
      <c r="BE7" s="68">
        <f t="shared" si="1"/>
        <v>15</v>
      </c>
      <c r="BF7" s="68">
        <f t="shared" si="2"/>
        <v>15</v>
      </c>
      <c r="BG7" s="68"/>
      <c r="BH7" s="68"/>
      <c r="BI7" s="68"/>
      <c r="BJ7" s="68"/>
      <c r="BK7" s="68"/>
      <c r="BL7" s="68">
        <v>5</v>
      </c>
      <c r="BM7" s="68"/>
      <c r="BN7" s="68">
        <v>2</v>
      </c>
      <c r="BO7" s="68"/>
      <c r="BP7" s="68">
        <v>7</v>
      </c>
      <c r="BQ7" s="68"/>
      <c r="BR7" s="68">
        <v>5</v>
      </c>
      <c r="BS7" s="68"/>
      <c r="BT7" s="68">
        <v>4</v>
      </c>
      <c r="BU7" s="68">
        <f t="shared" si="3"/>
        <v>0</v>
      </c>
      <c r="BV7" s="68">
        <f t="shared" si="4"/>
        <v>23</v>
      </c>
      <c r="BW7" s="68">
        <f t="shared" si="5"/>
        <v>23</v>
      </c>
      <c r="BX7" s="68">
        <f t="shared" ref="BX7:BX13" si="22">BG7+AP7+Y7</f>
        <v>0</v>
      </c>
      <c r="BY7" s="68">
        <f t="shared" ref="BY7:BY13" si="23">BH7+AQ7+Z7</f>
        <v>2</v>
      </c>
      <c r="BZ7" s="68">
        <f t="shared" ref="BZ7:BZ13" si="24">BI7+AR7+AA7</f>
        <v>0</v>
      </c>
      <c r="CA7" s="68">
        <f t="shared" ref="CA7:CA13" si="25">BJ7+AS7+AB7</f>
        <v>2</v>
      </c>
      <c r="CB7" s="68">
        <f t="shared" ref="CB7:CB13" si="26">BK7+AT7+AC7</f>
        <v>0</v>
      </c>
      <c r="CC7" s="68">
        <f t="shared" ref="CC7:CC13" si="27">BL7+AU7+AD7</f>
        <v>10</v>
      </c>
      <c r="CD7" s="68">
        <f t="shared" ref="CD7:CD13" si="28">BM7+AV7+AE7</f>
        <v>0</v>
      </c>
      <c r="CE7" s="68">
        <f t="shared" ref="CE7:CE13" si="29">BN7+AW7+AF7</f>
        <v>5</v>
      </c>
      <c r="CF7" s="68">
        <f t="shared" ref="CF7:CF13" si="30">BO7+AX7+AG7</f>
        <v>0</v>
      </c>
      <c r="CG7" s="68">
        <f t="shared" ref="CG7:CG13" si="31">BP7+AY7+AH7</f>
        <v>10</v>
      </c>
      <c r="CH7" s="68">
        <f t="shared" ref="CH7:CH13" si="32">BQ7+AZ7+AI7</f>
        <v>0</v>
      </c>
      <c r="CI7" s="68">
        <f t="shared" ref="CI7:CI13" si="33">BR7+BA7+AJ7</f>
        <v>7</v>
      </c>
      <c r="CJ7" s="68">
        <f t="shared" ref="CJ7:CJ13" si="34">BS7+BB7+AK7</f>
        <v>0</v>
      </c>
      <c r="CK7" s="68">
        <f t="shared" ref="CK7:CK13" si="35">BT7+BC7+AL7</f>
        <v>6</v>
      </c>
      <c r="CL7" s="68">
        <f t="shared" si="7"/>
        <v>0</v>
      </c>
      <c r="CM7" s="68">
        <f t="shared" si="8"/>
        <v>42</v>
      </c>
      <c r="CN7" s="68">
        <f t="shared" si="9"/>
        <v>42</v>
      </c>
      <c r="CO7" s="68"/>
      <c r="CP7" s="68">
        <v>1</v>
      </c>
      <c r="CQ7" s="68"/>
      <c r="CR7" s="68"/>
      <c r="CS7" s="68">
        <v>1</v>
      </c>
      <c r="CT7" s="68"/>
      <c r="CU7" s="68"/>
      <c r="CV7" s="68">
        <v>1</v>
      </c>
      <c r="CW7" s="68"/>
      <c r="CX7" s="68">
        <f t="shared" ref="CX7:CX23" si="36">CU7+CR7+CO7</f>
        <v>0</v>
      </c>
      <c r="CY7" s="68">
        <f t="shared" ref="CY7:CY23" si="37">CV7+CS7+CP7</f>
        <v>3</v>
      </c>
      <c r="CZ7" s="68">
        <f t="shared" ref="CZ7:CZ23" si="38">CW7+CT7+CQ7</f>
        <v>0</v>
      </c>
      <c r="DA7" s="68">
        <f t="shared" ref="DA7:DA23" si="39">CZ7+CY7+CX7</f>
        <v>3</v>
      </c>
      <c r="DB7" s="68"/>
      <c r="DC7" s="68">
        <v>1</v>
      </c>
      <c r="DD7" s="68"/>
      <c r="DE7" s="68"/>
      <c r="DF7" s="68"/>
      <c r="DG7" s="68">
        <v>7</v>
      </c>
      <c r="DH7" s="68">
        <f t="shared" si="11"/>
        <v>0</v>
      </c>
      <c r="DI7" s="68">
        <f t="shared" si="12"/>
        <v>8</v>
      </c>
      <c r="DJ7" s="68">
        <f t="shared" si="13"/>
        <v>8</v>
      </c>
      <c r="DK7" s="68"/>
      <c r="DL7" s="68">
        <v>4</v>
      </c>
      <c r="DM7" s="68"/>
      <c r="DN7" s="68">
        <v>10</v>
      </c>
      <c r="DO7" s="68"/>
      <c r="DP7" s="68">
        <v>28</v>
      </c>
      <c r="DQ7" s="68">
        <f t="shared" si="14"/>
        <v>0</v>
      </c>
      <c r="DR7" s="68">
        <f t="shared" si="15"/>
        <v>42</v>
      </c>
      <c r="DS7" s="68">
        <f t="shared" si="16"/>
        <v>42</v>
      </c>
      <c r="DT7" s="68"/>
      <c r="DU7" s="68">
        <v>6</v>
      </c>
      <c r="DV7" s="68"/>
      <c r="DW7" s="68">
        <v>5</v>
      </c>
      <c r="DX7" s="68"/>
      <c r="DY7" s="68">
        <v>10</v>
      </c>
      <c r="DZ7" s="68">
        <f t="shared" ref="DZ7:DZ13" si="40">DX7+DV7+DT7</f>
        <v>0</v>
      </c>
      <c r="EA7" s="68">
        <f t="shared" ref="EA7:EA13" si="41">DY7+DW7+DU7</f>
        <v>21</v>
      </c>
      <c r="EB7" s="68">
        <f t="shared" ref="EB7:EB13" si="42">EA7+DZ7</f>
        <v>21</v>
      </c>
      <c r="EC7" s="68"/>
      <c r="ED7" s="68"/>
      <c r="EE7" s="68"/>
      <c r="EF7" s="68"/>
      <c r="EG7" s="68"/>
      <c r="EH7" s="68"/>
      <c r="EI7" s="68">
        <f t="shared" ref="EI7:EI13" si="43">EG7+EE7+EC7</f>
        <v>0</v>
      </c>
      <c r="EJ7" s="68">
        <f t="shared" ref="EJ7:EJ13" si="44">EH7+EF7+ED7</f>
        <v>0</v>
      </c>
      <c r="EK7" s="68">
        <f t="shared" ref="EK7:EK13" si="45">EJ7+EI7</f>
        <v>0</v>
      </c>
      <c r="EL7" s="68"/>
      <c r="EM7" s="68"/>
      <c r="EN7" s="68"/>
      <c r="EO7" s="68"/>
      <c r="EP7" s="68"/>
      <c r="EQ7" s="68"/>
      <c r="ER7" s="68">
        <f t="shared" ref="ER7:ER13" si="46">EP7+EN7+EL7</f>
        <v>0</v>
      </c>
      <c r="ES7" s="68">
        <f t="shared" ref="ES7:ES13" si="47">EQ7+EO7+EM7</f>
        <v>0</v>
      </c>
      <c r="ET7" s="68">
        <f t="shared" ref="ET7:ET13" si="48">ES7+ER7</f>
        <v>0</v>
      </c>
      <c r="EU7" s="68"/>
      <c r="EV7" s="68">
        <v>1</v>
      </c>
      <c r="EW7" s="68"/>
      <c r="EX7" s="68"/>
      <c r="EY7" s="68"/>
      <c r="EZ7" s="68">
        <v>2</v>
      </c>
      <c r="FA7" s="68"/>
      <c r="FB7" s="68"/>
      <c r="FC7" s="68">
        <f t="shared" ref="FC7:FC13" si="49">FA7+EY7+EW7+EU7</f>
        <v>0</v>
      </c>
      <c r="FD7" s="68">
        <f t="shared" ref="FD7:FD13" si="50">FB7+EZ7+EX7+EV7</f>
        <v>3</v>
      </c>
      <c r="FE7" s="68">
        <f t="shared" ref="FE7:FE13" si="51">FD7+FC7</f>
        <v>3</v>
      </c>
      <c r="FF7" s="68"/>
      <c r="FG7" s="68"/>
      <c r="FH7" s="68"/>
      <c r="FI7" s="68"/>
      <c r="FJ7" s="68"/>
      <c r="FK7" s="68"/>
      <c r="FL7" s="68"/>
      <c r="FM7" s="68"/>
      <c r="FN7" s="68"/>
      <c r="FO7" s="68">
        <v>1</v>
      </c>
      <c r="FP7" s="68"/>
      <c r="FQ7" s="68"/>
      <c r="FR7" s="68"/>
      <c r="FS7" s="68"/>
      <c r="FT7" s="68"/>
      <c r="FU7" s="68">
        <f t="shared" ref="FU7:FU12" si="52">FT7+FS7+FR7+FN7+FL7+FH7+FF7+FP7+FJ7</f>
        <v>0</v>
      </c>
      <c r="FV7" s="68">
        <f t="shared" ref="FV7:FV12" si="53">FO7+FM7+FI7+FG7+FK7+FQ7</f>
        <v>1</v>
      </c>
      <c r="FW7" s="68">
        <f t="shared" ref="FW7:FW12" si="54">FV7+FU7</f>
        <v>1</v>
      </c>
      <c r="FX7" s="68"/>
      <c r="FY7" s="68"/>
      <c r="FZ7" s="68"/>
      <c r="GA7" s="68"/>
      <c r="GB7" s="68"/>
      <c r="GC7" s="68"/>
      <c r="GD7" s="68"/>
      <c r="GE7" s="68"/>
      <c r="GF7" s="68"/>
      <c r="GG7" s="68"/>
      <c r="GH7" s="68"/>
      <c r="GI7" s="68">
        <v>3</v>
      </c>
      <c r="GJ7" s="68"/>
      <c r="GK7" s="68"/>
      <c r="GL7" s="68"/>
      <c r="GM7" s="68"/>
      <c r="GN7" s="68">
        <f t="shared" ref="GN7:GN13" si="55">GL7+GJ7+GH7+GF7+GD7+GB7+FZ7+FX7</f>
        <v>0</v>
      </c>
      <c r="GO7" s="68">
        <f t="shared" ref="GO7:GO13" si="56">GM7+GK7+GI7+GG7+GE7+GC7+GA7+FY7</f>
        <v>3</v>
      </c>
      <c r="GP7" s="68">
        <f t="shared" ref="GP7:GP13" si="57">GO7+GN7</f>
        <v>3</v>
      </c>
      <c r="GQ7" s="68"/>
      <c r="GR7" s="68">
        <v>3</v>
      </c>
      <c r="GS7" s="68"/>
      <c r="GT7" s="68"/>
      <c r="GU7" s="68"/>
      <c r="GV7" s="68"/>
      <c r="GW7" s="68">
        <f t="shared" ref="GW7:GW13" si="58">GU7+GS7+GQ7</f>
        <v>0</v>
      </c>
      <c r="GX7" s="68">
        <f t="shared" ref="GX7:GX13" si="59">GV7+GT7+GR7</f>
        <v>3</v>
      </c>
      <c r="GY7" s="68">
        <f t="shared" ref="GY7:GY13" si="60">GX7+GW7</f>
        <v>3</v>
      </c>
      <c r="GZ7" s="68"/>
      <c r="HA7" s="68">
        <v>3</v>
      </c>
      <c r="HB7" s="68"/>
      <c r="HC7" s="68"/>
      <c r="HD7" s="68"/>
      <c r="HE7" s="68"/>
      <c r="HF7" s="68"/>
      <c r="HG7" s="68"/>
      <c r="HH7" s="68"/>
      <c r="HI7" s="68"/>
      <c r="HJ7" s="68"/>
      <c r="HK7" s="68"/>
      <c r="HL7" s="68"/>
      <c r="HM7" s="68"/>
      <c r="HN7" s="68"/>
      <c r="HO7" s="68"/>
      <c r="HP7" s="68"/>
      <c r="HQ7" s="68">
        <f t="shared" si="17"/>
        <v>0</v>
      </c>
      <c r="HR7" s="68">
        <f t="shared" si="18"/>
        <v>3</v>
      </c>
      <c r="HS7" s="68">
        <f t="shared" ref="HS7:HS13" si="61">HR7+HQ7</f>
        <v>3</v>
      </c>
      <c r="HT7" s="68"/>
      <c r="HU7" s="68"/>
      <c r="HV7" s="68"/>
      <c r="HW7" s="68">
        <v>3</v>
      </c>
      <c r="HX7" s="68"/>
      <c r="HY7" s="68"/>
      <c r="HZ7" s="68"/>
      <c r="IA7" s="68"/>
      <c r="IB7" s="68">
        <f t="shared" ref="IB7:IB13" si="62">HZ7+HX7+HV7+HT7</f>
        <v>0</v>
      </c>
      <c r="IC7" s="68">
        <f t="shared" ref="IC7:IC13" si="63">IA7+HY7+HW7+HU7</f>
        <v>3</v>
      </c>
      <c r="ID7" s="68">
        <f t="shared" ref="ID7:ID13" si="64">IC7+IB7</f>
        <v>3</v>
      </c>
      <c r="IE7" s="68"/>
      <c r="IF7" s="68">
        <v>1</v>
      </c>
      <c r="IG7" s="68"/>
      <c r="IH7" s="68">
        <v>1</v>
      </c>
      <c r="II7" s="68"/>
      <c r="IJ7" s="68">
        <v>1</v>
      </c>
      <c r="IK7" s="68"/>
      <c r="IL7" s="68">
        <v>1</v>
      </c>
      <c r="IM7" s="68"/>
      <c r="IN7" s="68"/>
      <c r="IO7" s="68"/>
      <c r="IP7" s="68"/>
      <c r="IQ7" s="68">
        <v>52</v>
      </c>
      <c r="IR7" s="68">
        <v>10</v>
      </c>
      <c r="IS7" s="68">
        <v>7</v>
      </c>
      <c r="IT7" s="68">
        <v>1</v>
      </c>
      <c r="IU7" s="68">
        <v>1</v>
      </c>
      <c r="IV7" s="68"/>
      <c r="IW7" s="68"/>
      <c r="IX7" s="68">
        <v>1</v>
      </c>
      <c r="IY7" s="68" t="s">
        <v>264</v>
      </c>
      <c r="IZ7" s="82">
        <v>7812422149</v>
      </c>
      <c r="JA7" s="68" t="s">
        <v>207</v>
      </c>
    </row>
    <row r="8" spans="1:261" s="69" customFormat="1" ht="24.75" customHeight="1" x14ac:dyDescent="0.2">
      <c r="A8" s="68" t="s">
        <v>42</v>
      </c>
      <c r="B8" s="68" t="s">
        <v>129</v>
      </c>
      <c r="C8" s="68">
        <v>3</v>
      </c>
      <c r="D8" s="68">
        <v>1400726</v>
      </c>
      <c r="E8" s="68" t="s">
        <v>132</v>
      </c>
      <c r="F8" s="68"/>
      <c r="G8" s="68">
        <v>1</v>
      </c>
      <c r="H8" s="68">
        <v>1</v>
      </c>
      <c r="I8" s="68"/>
      <c r="J8" s="68"/>
      <c r="K8" s="68">
        <v>1</v>
      </c>
      <c r="L8" s="68"/>
      <c r="M8" s="68"/>
      <c r="N8" s="68">
        <v>1</v>
      </c>
      <c r="O8" s="68"/>
      <c r="P8" s="68"/>
      <c r="Q8" s="68"/>
      <c r="R8" s="68">
        <v>1</v>
      </c>
      <c r="S8" s="68"/>
      <c r="T8" s="68"/>
      <c r="U8" s="68"/>
      <c r="V8" s="68">
        <v>1</v>
      </c>
      <c r="W8" s="68"/>
      <c r="X8" s="68"/>
      <c r="Y8" s="68">
        <v>5</v>
      </c>
      <c r="Z8" s="91"/>
      <c r="AA8" s="68">
        <v>7</v>
      </c>
      <c r="AB8" s="68"/>
      <c r="AC8" s="68">
        <v>10</v>
      </c>
      <c r="AD8" s="68"/>
      <c r="AE8" s="68">
        <v>8</v>
      </c>
      <c r="AF8" s="68"/>
      <c r="AG8" s="68">
        <v>1</v>
      </c>
      <c r="AH8" s="68"/>
      <c r="AI8" s="68">
        <v>1</v>
      </c>
      <c r="AJ8" s="68"/>
      <c r="AK8" s="68"/>
      <c r="AL8" s="68"/>
      <c r="AM8" s="68">
        <f t="shared" si="19"/>
        <v>32</v>
      </c>
      <c r="AN8" s="68">
        <f t="shared" si="20"/>
        <v>0</v>
      </c>
      <c r="AO8" s="68">
        <f t="shared" si="21"/>
        <v>32</v>
      </c>
      <c r="AP8" s="68">
        <v>6</v>
      </c>
      <c r="AQ8" s="91"/>
      <c r="AR8" s="68">
        <v>8</v>
      </c>
      <c r="AS8" s="68"/>
      <c r="AT8" s="68">
        <v>11</v>
      </c>
      <c r="AU8" s="68"/>
      <c r="AV8" s="68">
        <v>5</v>
      </c>
      <c r="AW8" s="68"/>
      <c r="AX8" s="68">
        <v>16</v>
      </c>
      <c r="AY8" s="68"/>
      <c r="AZ8" s="68">
        <v>3</v>
      </c>
      <c r="BA8" s="68"/>
      <c r="BB8" s="68">
        <v>2</v>
      </c>
      <c r="BC8" s="68"/>
      <c r="BD8" s="68">
        <f t="shared" si="0"/>
        <v>51</v>
      </c>
      <c r="BE8" s="68">
        <f t="shared" si="1"/>
        <v>0</v>
      </c>
      <c r="BF8" s="68">
        <f t="shared" si="2"/>
        <v>51</v>
      </c>
      <c r="BG8" s="68"/>
      <c r="BH8" s="68"/>
      <c r="BI8" s="68">
        <v>3</v>
      </c>
      <c r="BJ8" s="68"/>
      <c r="BK8" s="68">
        <v>3</v>
      </c>
      <c r="BL8" s="68"/>
      <c r="BM8" s="68">
        <v>11</v>
      </c>
      <c r="BN8" s="68"/>
      <c r="BO8" s="68">
        <v>15</v>
      </c>
      <c r="BP8" s="68"/>
      <c r="BQ8" s="68">
        <v>5</v>
      </c>
      <c r="BR8" s="68"/>
      <c r="BS8" s="68">
        <v>7</v>
      </c>
      <c r="BT8" s="68"/>
      <c r="BU8" s="68">
        <f t="shared" si="3"/>
        <v>44</v>
      </c>
      <c r="BV8" s="68">
        <f t="shared" si="4"/>
        <v>0</v>
      </c>
      <c r="BW8" s="68">
        <f t="shared" si="5"/>
        <v>44</v>
      </c>
      <c r="BX8" s="68">
        <f t="shared" si="22"/>
        <v>11</v>
      </c>
      <c r="BY8" s="68">
        <f t="shared" si="23"/>
        <v>0</v>
      </c>
      <c r="BZ8" s="68">
        <f t="shared" si="24"/>
        <v>18</v>
      </c>
      <c r="CA8" s="68">
        <f t="shared" si="25"/>
        <v>0</v>
      </c>
      <c r="CB8" s="68">
        <f t="shared" si="26"/>
        <v>24</v>
      </c>
      <c r="CC8" s="68">
        <f t="shared" si="27"/>
        <v>0</v>
      </c>
      <c r="CD8" s="68">
        <f t="shared" si="28"/>
        <v>24</v>
      </c>
      <c r="CE8" s="68">
        <f t="shared" si="29"/>
        <v>0</v>
      </c>
      <c r="CF8" s="68">
        <f t="shared" si="30"/>
        <v>32</v>
      </c>
      <c r="CG8" s="68">
        <f t="shared" si="31"/>
        <v>0</v>
      </c>
      <c r="CH8" s="68">
        <f t="shared" si="32"/>
        <v>9</v>
      </c>
      <c r="CI8" s="68">
        <f t="shared" si="33"/>
        <v>0</v>
      </c>
      <c r="CJ8" s="68">
        <f t="shared" si="34"/>
        <v>9</v>
      </c>
      <c r="CK8" s="68">
        <f t="shared" si="35"/>
        <v>0</v>
      </c>
      <c r="CL8" s="68">
        <f t="shared" si="7"/>
        <v>127</v>
      </c>
      <c r="CM8" s="68">
        <f t="shared" si="8"/>
        <v>0</v>
      </c>
      <c r="CN8" s="68">
        <f t="shared" si="9"/>
        <v>127</v>
      </c>
      <c r="CO8" s="68">
        <v>2</v>
      </c>
      <c r="CP8" s="68"/>
      <c r="CQ8" s="68"/>
      <c r="CR8" s="68">
        <v>2</v>
      </c>
      <c r="CS8" s="68"/>
      <c r="CT8" s="68"/>
      <c r="CU8" s="68">
        <v>2</v>
      </c>
      <c r="CV8" s="68"/>
      <c r="CW8" s="68"/>
      <c r="CX8" s="68">
        <f t="shared" si="36"/>
        <v>6</v>
      </c>
      <c r="CY8" s="68">
        <f t="shared" si="37"/>
        <v>0</v>
      </c>
      <c r="CZ8" s="68">
        <f t="shared" si="38"/>
        <v>0</v>
      </c>
      <c r="DA8" s="68">
        <f t="shared" si="39"/>
        <v>6</v>
      </c>
      <c r="DB8" s="68">
        <v>10</v>
      </c>
      <c r="DC8" s="68"/>
      <c r="DD8" s="68">
        <v>8</v>
      </c>
      <c r="DE8" s="68"/>
      <c r="DF8" s="68">
        <v>25</v>
      </c>
      <c r="DG8" s="68"/>
      <c r="DH8" s="68">
        <f t="shared" si="11"/>
        <v>43</v>
      </c>
      <c r="DI8" s="68">
        <f t="shared" si="12"/>
        <v>0</v>
      </c>
      <c r="DJ8" s="68">
        <f t="shared" si="13"/>
        <v>43</v>
      </c>
      <c r="DK8" s="68">
        <v>16</v>
      </c>
      <c r="DL8" s="68"/>
      <c r="DM8" s="68">
        <v>20</v>
      </c>
      <c r="DN8" s="68"/>
      <c r="DO8" s="68">
        <v>32</v>
      </c>
      <c r="DP8" s="68"/>
      <c r="DQ8" s="68">
        <f t="shared" si="14"/>
        <v>68</v>
      </c>
      <c r="DR8" s="68">
        <f t="shared" si="15"/>
        <v>0</v>
      </c>
      <c r="DS8" s="68">
        <f t="shared" si="16"/>
        <v>68</v>
      </c>
      <c r="DT8" s="68">
        <v>5</v>
      </c>
      <c r="DU8" s="68"/>
      <c r="DV8" s="68">
        <v>4</v>
      </c>
      <c r="DW8" s="68"/>
      <c r="DX8" s="68">
        <v>1</v>
      </c>
      <c r="DY8" s="68"/>
      <c r="DZ8" s="68">
        <f t="shared" si="40"/>
        <v>10</v>
      </c>
      <c r="EA8" s="68">
        <f t="shared" si="41"/>
        <v>0</v>
      </c>
      <c r="EB8" s="68">
        <f t="shared" si="42"/>
        <v>10</v>
      </c>
      <c r="EC8" s="68"/>
      <c r="ED8" s="68"/>
      <c r="EE8" s="68"/>
      <c r="EF8" s="68"/>
      <c r="EG8" s="68"/>
      <c r="EH8" s="68"/>
      <c r="EI8" s="68">
        <f t="shared" si="43"/>
        <v>0</v>
      </c>
      <c r="EJ8" s="68">
        <f t="shared" si="44"/>
        <v>0</v>
      </c>
      <c r="EK8" s="68">
        <f t="shared" si="45"/>
        <v>0</v>
      </c>
      <c r="EL8" s="68"/>
      <c r="EM8" s="68"/>
      <c r="EN8" s="68"/>
      <c r="EO8" s="68"/>
      <c r="EP8" s="68"/>
      <c r="EQ8" s="68"/>
      <c r="ER8" s="68">
        <f t="shared" si="46"/>
        <v>0</v>
      </c>
      <c r="ES8" s="68">
        <f t="shared" si="47"/>
        <v>0</v>
      </c>
      <c r="ET8" s="68">
        <f t="shared" si="48"/>
        <v>0</v>
      </c>
      <c r="EU8" s="68">
        <v>1</v>
      </c>
      <c r="EV8" s="68"/>
      <c r="EW8" s="68"/>
      <c r="EX8" s="68"/>
      <c r="EY8" s="68">
        <v>3</v>
      </c>
      <c r="EZ8" s="68">
        <v>1</v>
      </c>
      <c r="FA8" s="68"/>
      <c r="FB8" s="68"/>
      <c r="FC8" s="68">
        <f t="shared" si="49"/>
        <v>4</v>
      </c>
      <c r="FD8" s="68">
        <f t="shared" si="50"/>
        <v>1</v>
      </c>
      <c r="FE8" s="68">
        <f t="shared" si="51"/>
        <v>5</v>
      </c>
      <c r="FF8" s="68"/>
      <c r="FG8" s="68"/>
      <c r="FH8" s="68"/>
      <c r="FI8" s="68"/>
      <c r="FJ8" s="68"/>
      <c r="FK8" s="68"/>
      <c r="FL8" s="68"/>
      <c r="FM8" s="68"/>
      <c r="FN8" s="68">
        <v>2</v>
      </c>
      <c r="FO8" s="68"/>
      <c r="FP8" s="68"/>
      <c r="FQ8" s="68"/>
      <c r="FR8" s="68"/>
      <c r="FS8" s="68"/>
      <c r="FT8" s="68"/>
      <c r="FU8" s="68">
        <f t="shared" si="52"/>
        <v>2</v>
      </c>
      <c r="FV8" s="68">
        <f t="shared" si="53"/>
        <v>0</v>
      </c>
      <c r="FW8" s="68">
        <f t="shared" si="54"/>
        <v>2</v>
      </c>
      <c r="FX8" s="68"/>
      <c r="FY8" s="68"/>
      <c r="FZ8" s="68"/>
      <c r="GA8" s="68"/>
      <c r="GB8" s="68">
        <v>3</v>
      </c>
      <c r="GC8" s="68">
        <v>1</v>
      </c>
      <c r="GD8" s="68"/>
      <c r="GE8" s="68"/>
      <c r="GF8" s="68"/>
      <c r="GG8" s="68"/>
      <c r="GH8" s="68">
        <v>1</v>
      </c>
      <c r="GI8" s="68"/>
      <c r="GJ8" s="68"/>
      <c r="GK8" s="68"/>
      <c r="GL8" s="68"/>
      <c r="GM8" s="68"/>
      <c r="GN8" s="68">
        <f t="shared" si="55"/>
        <v>4</v>
      </c>
      <c r="GO8" s="68">
        <f t="shared" si="56"/>
        <v>1</v>
      </c>
      <c r="GP8" s="68">
        <f t="shared" si="57"/>
        <v>5</v>
      </c>
      <c r="GQ8" s="68">
        <v>4</v>
      </c>
      <c r="GR8" s="68">
        <v>1</v>
      </c>
      <c r="GS8" s="68"/>
      <c r="GT8" s="68"/>
      <c r="GU8" s="68"/>
      <c r="GV8" s="68"/>
      <c r="GW8" s="68">
        <f t="shared" si="58"/>
        <v>4</v>
      </c>
      <c r="GX8" s="68">
        <f t="shared" si="59"/>
        <v>1</v>
      </c>
      <c r="GY8" s="68">
        <f t="shared" si="60"/>
        <v>5</v>
      </c>
      <c r="GZ8" s="68">
        <v>4</v>
      </c>
      <c r="HA8" s="68">
        <v>1</v>
      </c>
      <c r="HB8" s="68"/>
      <c r="HC8" s="68"/>
      <c r="HD8" s="68"/>
      <c r="HE8" s="68"/>
      <c r="HF8" s="68"/>
      <c r="HG8" s="68"/>
      <c r="HH8" s="68"/>
      <c r="HI8" s="68"/>
      <c r="HJ8" s="68"/>
      <c r="HK8" s="68"/>
      <c r="HL8" s="68"/>
      <c r="HM8" s="68"/>
      <c r="HN8" s="68"/>
      <c r="HO8" s="68"/>
      <c r="HP8" s="68"/>
      <c r="HQ8" s="68">
        <f t="shared" si="17"/>
        <v>4</v>
      </c>
      <c r="HR8" s="68">
        <f t="shared" si="18"/>
        <v>1</v>
      </c>
      <c r="HS8" s="68">
        <f t="shared" si="61"/>
        <v>5</v>
      </c>
      <c r="HT8" s="68"/>
      <c r="HU8" s="68"/>
      <c r="HV8" s="68">
        <v>4</v>
      </c>
      <c r="HW8" s="68">
        <v>1</v>
      </c>
      <c r="HX8" s="68"/>
      <c r="HY8" s="68"/>
      <c r="HZ8" s="68"/>
      <c r="IA8" s="68"/>
      <c r="IB8" s="68">
        <f t="shared" si="62"/>
        <v>4</v>
      </c>
      <c r="IC8" s="68">
        <f t="shared" si="63"/>
        <v>1</v>
      </c>
      <c r="ID8" s="68">
        <f t="shared" si="64"/>
        <v>5</v>
      </c>
      <c r="IE8" s="68"/>
      <c r="IF8" s="68"/>
      <c r="IG8" s="68">
        <v>1</v>
      </c>
      <c r="IH8" s="68"/>
      <c r="II8" s="68"/>
      <c r="IJ8" s="68">
        <v>1</v>
      </c>
      <c r="IK8" s="68"/>
      <c r="IL8" s="68">
        <v>1</v>
      </c>
      <c r="IM8" s="68"/>
      <c r="IN8" s="68"/>
      <c r="IO8" s="68"/>
      <c r="IP8" s="68"/>
      <c r="IQ8" s="68"/>
      <c r="IR8" s="68"/>
      <c r="IS8" s="68"/>
      <c r="IT8" s="68">
        <v>1</v>
      </c>
      <c r="IU8" s="68">
        <v>2</v>
      </c>
      <c r="IV8" s="68"/>
      <c r="IW8" s="68"/>
      <c r="IX8" s="68">
        <v>1</v>
      </c>
      <c r="IY8" s="68" t="s">
        <v>286</v>
      </c>
      <c r="IZ8" s="82">
        <v>7810640813</v>
      </c>
      <c r="JA8" s="68" t="s">
        <v>208</v>
      </c>
    </row>
    <row r="9" spans="1:261" s="69" customFormat="1" ht="24.75" customHeight="1" x14ac:dyDescent="0.2">
      <c r="A9" s="68" t="s">
        <v>42</v>
      </c>
      <c r="B9" s="68" t="s">
        <v>129</v>
      </c>
      <c r="C9" s="68">
        <v>4</v>
      </c>
      <c r="D9" s="68">
        <v>1400727</v>
      </c>
      <c r="E9" s="68" t="s">
        <v>133</v>
      </c>
      <c r="F9" s="68"/>
      <c r="G9" s="68">
        <v>1</v>
      </c>
      <c r="H9" s="68"/>
      <c r="I9" s="68">
        <v>1</v>
      </c>
      <c r="J9" s="68"/>
      <c r="K9" s="68">
        <v>1</v>
      </c>
      <c r="L9" s="68"/>
      <c r="M9" s="68"/>
      <c r="N9" s="68">
        <v>1</v>
      </c>
      <c r="O9" s="68"/>
      <c r="P9" s="68"/>
      <c r="Q9" s="68"/>
      <c r="R9" s="68">
        <v>1</v>
      </c>
      <c r="S9" s="68"/>
      <c r="T9" s="68"/>
      <c r="U9" s="68"/>
      <c r="V9" s="68">
        <v>1</v>
      </c>
      <c r="W9" s="68"/>
      <c r="X9" s="68"/>
      <c r="Y9" s="68"/>
      <c r="Z9" s="91">
        <v>15</v>
      </c>
      <c r="AA9" s="68"/>
      <c r="AB9" s="68">
        <v>9</v>
      </c>
      <c r="AC9" s="68"/>
      <c r="AD9" s="68">
        <v>12</v>
      </c>
      <c r="AE9" s="68"/>
      <c r="AF9" s="68">
        <v>3</v>
      </c>
      <c r="AG9" s="68"/>
      <c r="AH9" s="68">
        <v>3</v>
      </c>
      <c r="AI9" s="68"/>
      <c r="AJ9" s="68">
        <v>3</v>
      </c>
      <c r="AK9" s="68"/>
      <c r="AL9" s="68"/>
      <c r="AM9" s="68">
        <f t="shared" si="19"/>
        <v>0</v>
      </c>
      <c r="AN9" s="68">
        <f t="shared" si="20"/>
        <v>45</v>
      </c>
      <c r="AO9" s="68">
        <f t="shared" si="21"/>
        <v>45</v>
      </c>
      <c r="AP9" s="68"/>
      <c r="AQ9" s="68">
        <v>8</v>
      </c>
      <c r="AR9" s="68"/>
      <c r="AS9" s="68">
        <v>9</v>
      </c>
      <c r="AT9" s="68"/>
      <c r="AU9" s="68">
        <v>7</v>
      </c>
      <c r="AV9" s="68"/>
      <c r="AW9" s="68">
        <v>5</v>
      </c>
      <c r="AX9" s="68"/>
      <c r="AY9" s="68">
        <v>3</v>
      </c>
      <c r="AZ9" s="68"/>
      <c r="BA9" s="68">
        <v>2</v>
      </c>
      <c r="BB9" s="68"/>
      <c r="BC9" s="68"/>
      <c r="BD9" s="68">
        <f t="shared" si="0"/>
        <v>0</v>
      </c>
      <c r="BE9" s="68">
        <f t="shared" si="1"/>
        <v>34</v>
      </c>
      <c r="BF9" s="68">
        <f t="shared" si="2"/>
        <v>34</v>
      </c>
      <c r="BG9" s="68"/>
      <c r="BH9" s="68">
        <v>4</v>
      </c>
      <c r="BI9" s="68"/>
      <c r="BJ9" s="68">
        <v>9</v>
      </c>
      <c r="BK9" s="68"/>
      <c r="BL9" s="68">
        <v>5</v>
      </c>
      <c r="BM9" s="68"/>
      <c r="BN9" s="68">
        <v>3</v>
      </c>
      <c r="BO9" s="68"/>
      <c r="BP9" s="68">
        <v>7</v>
      </c>
      <c r="BQ9" s="68"/>
      <c r="BR9" s="68">
        <v>2</v>
      </c>
      <c r="BS9" s="68"/>
      <c r="BT9" s="68">
        <v>2</v>
      </c>
      <c r="BU9" s="68">
        <f t="shared" si="3"/>
        <v>0</v>
      </c>
      <c r="BV9" s="68">
        <f t="shared" si="4"/>
        <v>32</v>
      </c>
      <c r="BW9" s="68">
        <f t="shared" si="5"/>
        <v>32</v>
      </c>
      <c r="BX9" s="68">
        <f t="shared" si="22"/>
        <v>0</v>
      </c>
      <c r="BY9" s="68">
        <f t="shared" si="23"/>
        <v>27</v>
      </c>
      <c r="BZ9" s="68">
        <f t="shared" si="24"/>
        <v>0</v>
      </c>
      <c r="CA9" s="68">
        <f t="shared" si="25"/>
        <v>27</v>
      </c>
      <c r="CB9" s="68">
        <f t="shared" si="26"/>
        <v>0</v>
      </c>
      <c r="CC9" s="68">
        <f t="shared" si="27"/>
        <v>24</v>
      </c>
      <c r="CD9" s="68">
        <f t="shared" si="28"/>
        <v>0</v>
      </c>
      <c r="CE9" s="68">
        <f t="shared" si="29"/>
        <v>11</v>
      </c>
      <c r="CF9" s="68">
        <f t="shared" si="30"/>
        <v>0</v>
      </c>
      <c r="CG9" s="68">
        <f t="shared" si="31"/>
        <v>13</v>
      </c>
      <c r="CH9" s="68">
        <f t="shared" si="32"/>
        <v>0</v>
      </c>
      <c r="CI9" s="68">
        <f t="shared" si="33"/>
        <v>7</v>
      </c>
      <c r="CJ9" s="68">
        <f t="shared" si="34"/>
        <v>0</v>
      </c>
      <c r="CK9" s="68">
        <f t="shared" si="35"/>
        <v>2</v>
      </c>
      <c r="CL9" s="68">
        <f t="shared" si="7"/>
        <v>0</v>
      </c>
      <c r="CM9" s="68">
        <f t="shared" si="8"/>
        <v>111</v>
      </c>
      <c r="CN9" s="68">
        <f t="shared" si="9"/>
        <v>111</v>
      </c>
      <c r="CO9" s="68"/>
      <c r="CP9" s="68">
        <v>1</v>
      </c>
      <c r="CQ9" s="68"/>
      <c r="CR9" s="68"/>
      <c r="CS9" s="68">
        <v>1</v>
      </c>
      <c r="CT9" s="68"/>
      <c r="CU9" s="68"/>
      <c r="CV9" s="68">
        <v>1</v>
      </c>
      <c r="CW9" s="68"/>
      <c r="CX9" s="68">
        <f t="shared" si="36"/>
        <v>0</v>
      </c>
      <c r="CY9" s="68">
        <f t="shared" si="37"/>
        <v>3</v>
      </c>
      <c r="CZ9" s="68">
        <f t="shared" si="38"/>
        <v>0</v>
      </c>
      <c r="DA9" s="68">
        <f t="shared" si="39"/>
        <v>3</v>
      </c>
      <c r="DB9" s="68"/>
      <c r="DC9" s="68">
        <v>4</v>
      </c>
      <c r="DD9" s="68"/>
      <c r="DE9" s="68">
        <v>2</v>
      </c>
      <c r="DF9" s="68"/>
      <c r="DG9" s="68">
        <v>5</v>
      </c>
      <c r="DH9" s="68">
        <f t="shared" si="11"/>
        <v>0</v>
      </c>
      <c r="DI9" s="68">
        <f t="shared" si="12"/>
        <v>11</v>
      </c>
      <c r="DJ9" s="68">
        <f t="shared" si="13"/>
        <v>11</v>
      </c>
      <c r="DK9" s="68"/>
      <c r="DL9" s="68">
        <v>22</v>
      </c>
      <c r="DM9" s="68"/>
      <c r="DN9" s="68">
        <v>23</v>
      </c>
      <c r="DO9" s="68"/>
      <c r="DP9" s="68">
        <v>31</v>
      </c>
      <c r="DQ9" s="68">
        <f t="shared" si="14"/>
        <v>0</v>
      </c>
      <c r="DR9" s="68">
        <f t="shared" si="15"/>
        <v>76</v>
      </c>
      <c r="DS9" s="68">
        <f t="shared" si="16"/>
        <v>76</v>
      </c>
      <c r="DT9" s="68"/>
      <c r="DU9" s="68">
        <v>14</v>
      </c>
      <c r="DV9" s="68"/>
      <c r="DW9" s="68">
        <v>6</v>
      </c>
      <c r="DX9" s="68"/>
      <c r="DY9" s="68">
        <v>3</v>
      </c>
      <c r="DZ9" s="68">
        <f t="shared" si="40"/>
        <v>0</v>
      </c>
      <c r="EA9" s="68">
        <f t="shared" si="41"/>
        <v>23</v>
      </c>
      <c r="EB9" s="68">
        <f t="shared" si="42"/>
        <v>23</v>
      </c>
      <c r="EC9" s="68"/>
      <c r="ED9" s="68"/>
      <c r="EE9" s="68"/>
      <c r="EF9" s="68"/>
      <c r="EG9" s="68"/>
      <c r="EH9" s="68"/>
      <c r="EI9" s="68">
        <f t="shared" si="43"/>
        <v>0</v>
      </c>
      <c r="EJ9" s="68">
        <f t="shared" si="44"/>
        <v>0</v>
      </c>
      <c r="EK9" s="68">
        <f t="shared" si="45"/>
        <v>0</v>
      </c>
      <c r="EL9" s="68"/>
      <c r="EM9" s="68"/>
      <c r="EN9" s="68"/>
      <c r="EO9" s="68"/>
      <c r="EP9" s="68"/>
      <c r="EQ9" s="68"/>
      <c r="ER9" s="68">
        <f t="shared" si="46"/>
        <v>0</v>
      </c>
      <c r="ES9" s="68">
        <f t="shared" si="47"/>
        <v>0</v>
      </c>
      <c r="ET9" s="68">
        <f t="shared" si="48"/>
        <v>0</v>
      </c>
      <c r="EU9" s="68"/>
      <c r="EV9" s="68">
        <v>1</v>
      </c>
      <c r="EW9" s="68"/>
      <c r="EX9" s="68">
        <v>1</v>
      </c>
      <c r="EY9" s="68"/>
      <c r="EZ9" s="68">
        <v>5</v>
      </c>
      <c r="FA9" s="68"/>
      <c r="FB9" s="68"/>
      <c r="FC9" s="68">
        <f t="shared" si="49"/>
        <v>0</v>
      </c>
      <c r="FD9" s="68">
        <f t="shared" si="50"/>
        <v>7</v>
      </c>
      <c r="FE9" s="68">
        <f t="shared" si="51"/>
        <v>7</v>
      </c>
      <c r="FF9" s="68"/>
      <c r="FG9" s="68"/>
      <c r="FH9" s="68"/>
      <c r="FI9" s="68"/>
      <c r="FJ9" s="68"/>
      <c r="FK9" s="68"/>
      <c r="FL9" s="68"/>
      <c r="FM9" s="68"/>
      <c r="FN9" s="68"/>
      <c r="FO9" s="68">
        <v>1</v>
      </c>
      <c r="FP9" s="68"/>
      <c r="FQ9" s="68"/>
      <c r="FR9" s="68"/>
      <c r="FS9" s="68"/>
      <c r="FT9" s="68"/>
      <c r="FU9" s="68">
        <f t="shared" si="52"/>
        <v>0</v>
      </c>
      <c r="FV9" s="68">
        <f t="shared" si="53"/>
        <v>1</v>
      </c>
      <c r="FW9" s="68">
        <f t="shared" si="54"/>
        <v>1</v>
      </c>
      <c r="FX9" s="68"/>
      <c r="FY9" s="68"/>
      <c r="FZ9" s="68"/>
      <c r="GA9" s="68"/>
      <c r="GB9" s="68"/>
      <c r="GC9" s="68">
        <v>2</v>
      </c>
      <c r="GD9" s="68"/>
      <c r="GE9" s="68"/>
      <c r="GF9" s="68"/>
      <c r="GG9" s="68"/>
      <c r="GH9" s="68"/>
      <c r="GI9" s="68">
        <v>4</v>
      </c>
      <c r="GJ9" s="68"/>
      <c r="GK9" s="68">
        <v>1</v>
      </c>
      <c r="GL9" s="68"/>
      <c r="GM9" s="68"/>
      <c r="GN9" s="68">
        <f t="shared" si="55"/>
        <v>0</v>
      </c>
      <c r="GO9" s="68">
        <f t="shared" si="56"/>
        <v>7</v>
      </c>
      <c r="GP9" s="68">
        <f t="shared" si="57"/>
        <v>7</v>
      </c>
      <c r="GQ9" s="68"/>
      <c r="GR9" s="68">
        <v>7</v>
      </c>
      <c r="GS9" s="68"/>
      <c r="GT9" s="68"/>
      <c r="GU9" s="68"/>
      <c r="GV9" s="68"/>
      <c r="GW9" s="68">
        <f t="shared" si="58"/>
        <v>0</v>
      </c>
      <c r="GX9" s="68">
        <f t="shared" si="59"/>
        <v>7</v>
      </c>
      <c r="GY9" s="68">
        <f t="shared" si="60"/>
        <v>7</v>
      </c>
      <c r="GZ9" s="68"/>
      <c r="HA9" s="68">
        <v>7</v>
      </c>
      <c r="HB9" s="68"/>
      <c r="HC9" s="68"/>
      <c r="HD9" s="68"/>
      <c r="HE9" s="68"/>
      <c r="HF9" s="68"/>
      <c r="HG9" s="68"/>
      <c r="HH9" s="68"/>
      <c r="HI9" s="68"/>
      <c r="HJ9" s="68"/>
      <c r="HK9" s="68"/>
      <c r="HL9" s="68"/>
      <c r="HM9" s="68"/>
      <c r="HN9" s="68"/>
      <c r="HO9" s="68"/>
      <c r="HP9" s="68"/>
      <c r="HQ9" s="68">
        <f t="shared" si="17"/>
        <v>0</v>
      </c>
      <c r="HR9" s="68">
        <f t="shared" si="18"/>
        <v>7</v>
      </c>
      <c r="HS9" s="68">
        <f t="shared" si="61"/>
        <v>7</v>
      </c>
      <c r="HT9" s="68"/>
      <c r="HU9" s="68">
        <v>2</v>
      </c>
      <c r="HV9" s="68"/>
      <c r="HW9" s="68">
        <v>5</v>
      </c>
      <c r="HX9" s="68"/>
      <c r="HY9" s="68"/>
      <c r="HZ9" s="68"/>
      <c r="IA9" s="68"/>
      <c r="IB9" s="68">
        <f t="shared" si="62"/>
        <v>0</v>
      </c>
      <c r="IC9" s="68">
        <f t="shared" si="63"/>
        <v>7</v>
      </c>
      <c r="ID9" s="68">
        <f t="shared" si="64"/>
        <v>7</v>
      </c>
      <c r="IE9" s="68"/>
      <c r="IF9" s="68"/>
      <c r="IG9" s="68"/>
      <c r="IH9" s="68">
        <v>1</v>
      </c>
      <c r="II9" s="68"/>
      <c r="IJ9" s="68">
        <v>1</v>
      </c>
      <c r="IK9" s="68"/>
      <c r="IL9" s="68">
        <v>1</v>
      </c>
      <c r="IM9" s="68"/>
      <c r="IN9" s="68"/>
      <c r="IO9" s="68"/>
      <c r="IP9" s="68"/>
      <c r="IQ9" s="68"/>
      <c r="IR9" s="68"/>
      <c r="IS9" s="68"/>
      <c r="IT9" s="68">
        <v>1</v>
      </c>
      <c r="IU9" s="68">
        <v>1</v>
      </c>
      <c r="IV9" s="68">
        <v>1</v>
      </c>
      <c r="IW9" s="68"/>
      <c r="IX9" s="68">
        <v>1</v>
      </c>
      <c r="IY9" s="68" t="s">
        <v>265</v>
      </c>
      <c r="IZ9" s="82">
        <v>7804303945</v>
      </c>
      <c r="JA9" s="68" t="s">
        <v>205</v>
      </c>
    </row>
    <row r="10" spans="1:261" s="69" customFormat="1" ht="24.75" customHeight="1" x14ac:dyDescent="0.2">
      <c r="A10" s="68" t="s">
        <v>42</v>
      </c>
      <c r="B10" s="68" t="s">
        <v>129</v>
      </c>
      <c r="C10" s="68">
        <v>5</v>
      </c>
      <c r="D10" s="68">
        <v>1400810</v>
      </c>
      <c r="E10" s="68" t="s">
        <v>134</v>
      </c>
      <c r="F10" s="68"/>
      <c r="G10" s="68">
        <v>1</v>
      </c>
      <c r="H10" s="68">
        <v>1</v>
      </c>
      <c r="I10" s="68"/>
      <c r="J10" s="68"/>
      <c r="K10" s="68">
        <v>1</v>
      </c>
      <c r="L10" s="68"/>
      <c r="M10" s="68"/>
      <c r="N10" s="68">
        <v>1</v>
      </c>
      <c r="O10" s="68"/>
      <c r="P10" s="68"/>
      <c r="Q10" s="68"/>
      <c r="R10" s="68">
        <v>1</v>
      </c>
      <c r="S10" s="68"/>
      <c r="T10" s="68"/>
      <c r="U10" s="68"/>
      <c r="V10" s="68">
        <v>1</v>
      </c>
      <c r="W10" s="68"/>
      <c r="X10" s="68"/>
      <c r="Y10" s="68">
        <v>12</v>
      </c>
      <c r="Z10" s="91"/>
      <c r="AA10" s="68">
        <v>21</v>
      </c>
      <c r="AB10" s="68"/>
      <c r="AC10" s="68">
        <v>20</v>
      </c>
      <c r="AD10" s="68"/>
      <c r="AE10" s="68">
        <v>15</v>
      </c>
      <c r="AF10" s="68"/>
      <c r="AG10" s="69">
        <v>7</v>
      </c>
      <c r="AH10" s="68"/>
      <c r="AI10" s="68">
        <v>2</v>
      </c>
      <c r="AJ10" s="68"/>
      <c r="AK10" s="68">
        <v>4</v>
      </c>
      <c r="AL10" s="68"/>
      <c r="AM10" s="68">
        <f t="shared" si="19"/>
        <v>81</v>
      </c>
      <c r="AN10" s="68">
        <f t="shared" si="20"/>
        <v>0</v>
      </c>
      <c r="AO10" s="68">
        <f t="shared" si="21"/>
        <v>81</v>
      </c>
      <c r="AP10" s="68"/>
      <c r="AQ10" s="68"/>
      <c r="AR10" s="68">
        <v>1</v>
      </c>
      <c r="AS10" s="68"/>
      <c r="AT10" s="68">
        <v>9</v>
      </c>
      <c r="AU10" s="68"/>
      <c r="AV10" s="68">
        <v>13</v>
      </c>
      <c r="AW10" s="68"/>
      <c r="AX10" s="68">
        <v>10</v>
      </c>
      <c r="AY10" s="68"/>
      <c r="AZ10" s="68">
        <v>11</v>
      </c>
      <c r="BA10" s="68"/>
      <c r="BB10" s="68">
        <v>8</v>
      </c>
      <c r="BC10" s="68"/>
      <c r="BD10" s="68">
        <f t="shared" si="0"/>
        <v>52</v>
      </c>
      <c r="BE10" s="68">
        <f t="shared" si="1"/>
        <v>0</v>
      </c>
      <c r="BF10" s="68">
        <f t="shared" si="2"/>
        <v>52</v>
      </c>
      <c r="BG10" s="68"/>
      <c r="BH10" s="68"/>
      <c r="BI10" s="68">
        <v>1</v>
      </c>
      <c r="BJ10" s="68"/>
      <c r="BK10" s="68">
        <v>4</v>
      </c>
      <c r="BL10" s="68"/>
      <c r="BM10" s="68">
        <v>12</v>
      </c>
      <c r="BN10" s="68"/>
      <c r="BO10" s="68">
        <v>21</v>
      </c>
      <c r="BP10" s="68"/>
      <c r="BQ10" s="68">
        <v>10</v>
      </c>
      <c r="BR10" s="68"/>
      <c r="BS10" s="68">
        <v>6</v>
      </c>
      <c r="BT10" s="68"/>
      <c r="BU10" s="68">
        <f t="shared" si="3"/>
        <v>54</v>
      </c>
      <c r="BV10" s="68">
        <f t="shared" si="4"/>
        <v>0</v>
      </c>
      <c r="BW10" s="68">
        <f t="shared" si="5"/>
        <v>54</v>
      </c>
      <c r="BX10" s="68">
        <f t="shared" si="22"/>
        <v>12</v>
      </c>
      <c r="BY10" s="68">
        <f t="shared" si="23"/>
        <v>0</v>
      </c>
      <c r="BZ10" s="68">
        <f t="shared" si="24"/>
        <v>23</v>
      </c>
      <c r="CA10" s="68">
        <f t="shared" si="25"/>
        <v>0</v>
      </c>
      <c r="CB10" s="68">
        <f t="shared" si="26"/>
        <v>33</v>
      </c>
      <c r="CC10" s="68">
        <f t="shared" si="27"/>
        <v>0</v>
      </c>
      <c r="CD10" s="68">
        <f t="shared" si="28"/>
        <v>40</v>
      </c>
      <c r="CE10" s="68">
        <f t="shared" si="29"/>
        <v>0</v>
      </c>
      <c r="CF10" s="68">
        <f t="shared" si="30"/>
        <v>38</v>
      </c>
      <c r="CG10" s="68">
        <f t="shared" si="31"/>
        <v>0</v>
      </c>
      <c r="CH10" s="68">
        <f t="shared" si="32"/>
        <v>23</v>
      </c>
      <c r="CI10" s="68">
        <f t="shared" si="33"/>
        <v>0</v>
      </c>
      <c r="CJ10" s="68">
        <f t="shared" si="34"/>
        <v>18</v>
      </c>
      <c r="CK10" s="68">
        <f t="shared" si="35"/>
        <v>0</v>
      </c>
      <c r="CL10" s="68">
        <f t="shared" si="7"/>
        <v>187</v>
      </c>
      <c r="CM10" s="68">
        <f t="shared" si="8"/>
        <v>0</v>
      </c>
      <c r="CN10" s="68">
        <f t="shared" si="9"/>
        <v>187</v>
      </c>
      <c r="CO10" s="68">
        <v>2</v>
      </c>
      <c r="CP10" s="68"/>
      <c r="CQ10" s="68"/>
      <c r="CR10" s="68">
        <v>2</v>
      </c>
      <c r="CS10" s="68"/>
      <c r="CT10" s="68"/>
      <c r="CU10" s="68">
        <v>2</v>
      </c>
      <c r="CV10" s="68"/>
      <c r="CW10" s="68"/>
      <c r="CX10" s="68">
        <f t="shared" si="36"/>
        <v>6</v>
      </c>
      <c r="CY10" s="68">
        <f t="shared" si="37"/>
        <v>0</v>
      </c>
      <c r="CZ10" s="68">
        <f t="shared" si="38"/>
        <v>0</v>
      </c>
      <c r="DA10" s="68">
        <f t="shared" si="39"/>
        <v>6</v>
      </c>
      <c r="DB10" s="68"/>
      <c r="DC10" s="68"/>
      <c r="DD10" s="68"/>
      <c r="DE10" s="68"/>
      <c r="DF10" s="68"/>
      <c r="DG10" s="68"/>
      <c r="DH10" s="68">
        <f t="shared" si="11"/>
        <v>0</v>
      </c>
      <c r="DI10" s="68">
        <f t="shared" si="12"/>
        <v>0</v>
      </c>
      <c r="DJ10" s="68">
        <f t="shared" si="13"/>
        <v>0</v>
      </c>
      <c r="DK10" s="68">
        <v>29</v>
      </c>
      <c r="DL10" s="68"/>
      <c r="DM10" s="68">
        <v>27</v>
      </c>
      <c r="DN10" s="68"/>
      <c r="DO10" s="68">
        <v>51</v>
      </c>
      <c r="DP10" s="68"/>
      <c r="DQ10" s="68">
        <f t="shared" si="14"/>
        <v>107</v>
      </c>
      <c r="DR10" s="68">
        <f t="shared" si="15"/>
        <v>0</v>
      </c>
      <c r="DS10" s="68">
        <f t="shared" si="16"/>
        <v>107</v>
      </c>
      <c r="DT10" s="68">
        <v>40</v>
      </c>
      <c r="DU10" s="68"/>
      <c r="DV10" s="68">
        <v>4</v>
      </c>
      <c r="DW10" s="68"/>
      <c r="DX10" s="68">
        <v>11</v>
      </c>
      <c r="DY10" s="68"/>
      <c r="DZ10" s="68">
        <f t="shared" si="40"/>
        <v>55</v>
      </c>
      <c r="EA10" s="68">
        <f t="shared" si="41"/>
        <v>0</v>
      </c>
      <c r="EB10" s="68">
        <f t="shared" si="42"/>
        <v>55</v>
      </c>
      <c r="EC10" s="68"/>
      <c r="ED10" s="68"/>
      <c r="EE10" s="68"/>
      <c r="EF10" s="68"/>
      <c r="EG10" s="68"/>
      <c r="EH10" s="68"/>
      <c r="EI10" s="68">
        <f t="shared" si="43"/>
        <v>0</v>
      </c>
      <c r="EJ10" s="68">
        <f t="shared" si="44"/>
        <v>0</v>
      </c>
      <c r="EK10" s="68">
        <f t="shared" si="45"/>
        <v>0</v>
      </c>
      <c r="EL10" s="68"/>
      <c r="EM10" s="68"/>
      <c r="EN10" s="68"/>
      <c r="EO10" s="68"/>
      <c r="EP10" s="68"/>
      <c r="EQ10" s="68"/>
      <c r="ER10" s="68">
        <f t="shared" si="46"/>
        <v>0</v>
      </c>
      <c r="ES10" s="68">
        <f t="shared" si="47"/>
        <v>0</v>
      </c>
      <c r="ET10" s="68">
        <f t="shared" si="48"/>
        <v>0</v>
      </c>
      <c r="EU10" s="68">
        <v>1</v>
      </c>
      <c r="EV10" s="68"/>
      <c r="EW10" s="68">
        <v>1</v>
      </c>
      <c r="EX10" s="68"/>
      <c r="EY10" s="68">
        <v>5</v>
      </c>
      <c r="EZ10" s="68"/>
      <c r="FA10" s="68"/>
      <c r="FB10" s="68"/>
      <c r="FC10" s="68">
        <f t="shared" si="49"/>
        <v>7</v>
      </c>
      <c r="FD10" s="68">
        <f t="shared" si="50"/>
        <v>0</v>
      </c>
      <c r="FE10" s="68">
        <f t="shared" si="51"/>
        <v>7</v>
      </c>
      <c r="FF10" s="68"/>
      <c r="FG10" s="68"/>
      <c r="FH10" s="68"/>
      <c r="FI10" s="68"/>
      <c r="FJ10" s="68"/>
      <c r="FK10" s="68"/>
      <c r="FL10" s="68"/>
      <c r="FM10" s="68"/>
      <c r="FN10" s="68">
        <v>1</v>
      </c>
      <c r="FO10" s="68"/>
      <c r="FP10" s="68"/>
      <c r="FQ10" s="68"/>
      <c r="FR10" s="68"/>
      <c r="FS10" s="68"/>
      <c r="FT10" s="68"/>
      <c r="FU10" s="68">
        <f t="shared" si="52"/>
        <v>1</v>
      </c>
      <c r="FV10" s="68">
        <f t="shared" si="53"/>
        <v>0</v>
      </c>
      <c r="FW10" s="68">
        <f t="shared" si="54"/>
        <v>1</v>
      </c>
      <c r="FX10" s="68"/>
      <c r="FY10" s="68"/>
      <c r="FZ10" s="68"/>
      <c r="GA10" s="68"/>
      <c r="GB10" s="68">
        <v>3</v>
      </c>
      <c r="GC10" s="68"/>
      <c r="GD10" s="68"/>
      <c r="GE10" s="68"/>
      <c r="GF10" s="68"/>
      <c r="GG10" s="68"/>
      <c r="GH10" s="68">
        <v>4</v>
      </c>
      <c r="GI10" s="68"/>
      <c r="GJ10" s="68"/>
      <c r="GK10" s="68"/>
      <c r="GL10" s="68"/>
      <c r="GM10" s="68"/>
      <c r="GN10" s="68">
        <f t="shared" si="55"/>
        <v>7</v>
      </c>
      <c r="GO10" s="68">
        <f t="shared" si="56"/>
        <v>0</v>
      </c>
      <c r="GP10" s="68">
        <f t="shared" si="57"/>
        <v>7</v>
      </c>
      <c r="GQ10" s="68">
        <v>7</v>
      </c>
      <c r="GR10" s="68"/>
      <c r="GS10" s="68"/>
      <c r="GT10" s="68"/>
      <c r="GU10" s="68"/>
      <c r="GV10" s="68"/>
      <c r="GW10" s="68">
        <f t="shared" si="58"/>
        <v>7</v>
      </c>
      <c r="GX10" s="68">
        <f t="shared" si="59"/>
        <v>0</v>
      </c>
      <c r="GY10" s="68">
        <f t="shared" si="60"/>
        <v>7</v>
      </c>
      <c r="GZ10" s="68">
        <v>6</v>
      </c>
      <c r="HA10" s="68"/>
      <c r="HB10" s="68"/>
      <c r="HC10" s="68"/>
      <c r="HD10" s="68"/>
      <c r="HE10" s="68"/>
      <c r="HF10" s="68"/>
      <c r="HG10" s="68"/>
      <c r="HH10" s="68"/>
      <c r="HI10" s="68"/>
      <c r="HJ10" s="68">
        <v>1</v>
      </c>
      <c r="HK10" s="68"/>
      <c r="HL10" s="68"/>
      <c r="HM10" s="68"/>
      <c r="HN10" s="68"/>
      <c r="HO10" s="68"/>
      <c r="HP10" s="68"/>
      <c r="HQ10" s="68">
        <f>HO10+GZ10+HM10+HJ10+HH10+HF10+HD10+HB10</f>
        <v>7</v>
      </c>
      <c r="HR10" s="68">
        <f>HP10+HA10+HN10+HL10+HK10+HI10+HG10+HE10+HC10</f>
        <v>0</v>
      </c>
      <c r="HS10" s="68">
        <f t="shared" si="61"/>
        <v>7</v>
      </c>
      <c r="HT10" s="68"/>
      <c r="HU10" s="68"/>
      <c r="HV10" s="68">
        <v>7</v>
      </c>
      <c r="HW10" s="68"/>
      <c r="HX10" s="68"/>
      <c r="HY10" s="68"/>
      <c r="HZ10" s="68"/>
      <c r="IA10" s="68"/>
      <c r="IB10" s="68">
        <f t="shared" si="62"/>
        <v>7</v>
      </c>
      <c r="IC10" s="68">
        <f t="shared" si="63"/>
        <v>0</v>
      </c>
      <c r="ID10" s="68">
        <f t="shared" si="64"/>
        <v>7</v>
      </c>
      <c r="IE10" s="68">
        <v>6</v>
      </c>
      <c r="IF10" s="68"/>
      <c r="IG10" s="68"/>
      <c r="IH10" s="68">
        <v>1</v>
      </c>
      <c r="II10" s="68"/>
      <c r="IJ10" s="68">
        <v>1</v>
      </c>
      <c r="IK10" s="68"/>
      <c r="IL10" s="68">
        <v>1</v>
      </c>
      <c r="IM10" s="68"/>
      <c r="IN10" s="68"/>
      <c r="IO10" s="68"/>
      <c r="IP10" s="68"/>
      <c r="IQ10" s="68"/>
      <c r="IR10" s="68"/>
      <c r="IS10" s="68"/>
      <c r="IT10" s="68">
        <v>1</v>
      </c>
      <c r="IU10" s="68">
        <v>2</v>
      </c>
      <c r="IV10" s="68"/>
      <c r="IW10" s="68"/>
      <c r="IX10" s="68">
        <v>1</v>
      </c>
      <c r="IY10" s="68" t="s">
        <v>228</v>
      </c>
      <c r="IZ10" s="82">
        <v>7807478284</v>
      </c>
      <c r="JA10" s="68" t="s">
        <v>209</v>
      </c>
    </row>
    <row r="11" spans="1:261" s="69" customFormat="1" ht="24.75" customHeight="1" x14ac:dyDescent="0.2">
      <c r="A11" s="68" t="s">
        <v>42</v>
      </c>
      <c r="B11" s="68" t="s">
        <v>129</v>
      </c>
      <c r="C11" s="68">
        <v>6</v>
      </c>
      <c r="D11" s="68">
        <v>1400811</v>
      </c>
      <c r="E11" s="68" t="s">
        <v>199</v>
      </c>
      <c r="F11" s="68"/>
      <c r="G11" s="68">
        <v>1</v>
      </c>
      <c r="H11" s="68"/>
      <c r="I11" s="68">
        <v>1</v>
      </c>
      <c r="J11" s="68"/>
      <c r="K11" s="68">
        <v>1</v>
      </c>
      <c r="L11" s="68"/>
      <c r="M11" s="68"/>
      <c r="N11" s="68">
        <v>1</v>
      </c>
      <c r="O11" s="68"/>
      <c r="P11" s="68"/>
      <c r="Q11" s="68"/>
      <c r="R11" s="68">
        <v>1</v>
      </c>
      <c r="S11" s="68"/>
      <c r="T11" s="68"/>
      <c r="U11" s="68"/>
      <c r="V11" s="68">
        <v>1</v>
      </c>
      <c r="W11" s="68"/>
      <c r="X11" s="68"/>
      <c r="Y11" s="68"/>
      <c r="Z11" s="91">
        <v>7</v>
      </c>
      <c r="AA11" s="68"/>
      <c r="AB11" s="68">
        <v>5</v>
      </c>
      <c r="AC11" s="68"/>
      <c r="AD11" s="68">
        <v>5</v>
      </c>
      <c r="AE11" s="68"/>
      <c r="AF11" s="68">
        <v>3</v>
      </c>
      <c r="AG11" s="68"/>
      <c r="AH11" s="68">
        <v>5</v>
      </c>
      <c r="AI11" s="68"/>
      <c r="AJ11" s="68">
        <v>5</v>
      </c>
      <c r="AK11" s="68"/>
      <c r="AL11" s="68">
        <v>5</v>
      </c>
      <c r="AM11" s="68">
        <f t="shared" si="19"/>
        <v>0</v>
      </c>
      <c r="AN11" s="68">
        <f t="shared" si="20"/>
        <v>35</v>
      </c>
      <c r="AO11" s="68">
        <f t="shared" si="21"/>
        <v>35</v>
      </c>
      <c r="AP11" s="68"/>
      <c r="AQ11" s="68">
        <v>2</v>
      </c>
      <c r="AR11" s="68"/>
      <c r="AS11" s="68">
        <v>5</v>
      </c>
      <c r="AT11" s="68"/>
      <c r="AU11" s="68">
        <v>10</v>
      </c>
      <c r="AV11" s="68"/>
      <c r="AW11" s="68">
        <v>5</v>
      </c>
      <c r="AX11" s="68"/>
      <c r="AY11" s="68">
        <v>7</v>
      </c>
      <c r="AZ11" s="68"/>
      <c r="BA11" s="68">
        <v>5</v>
      </c>
      <c r="BB11" s="68"/>
      <c r="BC11" s="68">
        <v>5</v>
      </c>
      <c r="BD11" s="68">
        <f t="shared" si="0"/>
        <v>0</v>
      </c>
      <c r="BE11" s="68">
        <f t="shared" si="1"/>
        <v>39</v>
      </c>
      <c r="BF11" s="68">
        <f t="shared" si="2"/>
        <v>39</v>
      </c>
      <c r="BG11" s="68"/>
      <c r="BH11" s="68">
        <v>4</v>
      </c>
      <c r="BI11" s="68"/>
      <c r="BJ11" s="68">
        <v>4</v>
      </c>
      <c r="BK11" s="68"/>
      <c r="BL11" s="68">
        <v>4</v>
      </c>
      <c r="BM11" s="68"/>
      <c r="BN11" s="68">
        <v>7</v>
      </c>
      <c r="BO11" s="68"/>
      <c r="BP11" s="68">
        <v>9</v>
      </c>
      <c r="BQ11" s="68"/>
      <c r="BR11" s="68">
        <v>4</v>
      </c>
      <c r="BS11" s="68"/>
      <c r="BT11" s="68">
        <v>5</v>
      </c>
      <c r="BU11" s="68">
        <f t="shared" si="3"/>
        <v>0</v>
      </c>
      <c r="BV11" s="68">
        <f t="shared" si="4"/>
        <v>37</v>
      </c>
      <c r="BW11" s="68">
        <f t="shared" si="5"/>
        <v>37</v>
      </c>
      <c r="BX11" s="68">
        <f t="shared" si="22"/>
        <v>0</v>
      </c>
      <c r="BY11" s="68">
        <f t="shared" si="23"/>
        <v>13</v>
      </c>
      <c r="BZ11" s="68">
        <f t="shared" si="24"/>
        <v>0</v>
      </c>
      <c r="CA11" s="68">
        <f t="shared" si="25"/>
        <v>14</v>
      </c>
      <c r="CB11" s="68">
        <f t="shared" si="26"/>
        <v>0</v>
      </c>
      <c r="CC11" s="68">
        <f t="shared" si="27"/>
        <v>19</v>
      </c>
      <c r="CD11" s="68">
        <f t="shared" si="28"/>
        <v>0</v>
      </c>
      <c r="CE11" s="68">
        <f t="shared" si="29"/>
        <v>15</v>
      </c>
      <c r="CF11" s="68">
        <f t="shared" si="30"/>
        <v>0</v>
      </c>
      <c r="CG11" s="68">
        <f t="shared" si="31"/>
        <v>21</v>
      </c>
      <c r="CH11" s="68">
        <f t="shared" si="32"/>
        <v>0</v>
      </c>
      <c r="CI11" s="68">
        <f t="shared" si="33"/>
        <v>14</v>
      </c>
      <c r="CJ11" s="68">
        <f t="shared" si="34"/>
        <v>0</v>
      </c>
      <c r="CK11" s="68">
        <f t="shared" si="35"/>
        <v>15</v>
      </c>
      <c r="CL11" s="68">
        <f t="shared" si="7"/>
        <v>0</v>
      </c>
      <c r="CM11" s="68">
        <f t="shared" si="8"/>
        <v>111</v>
      </c>
      <c r="CN11" s="68">
        <f t="shared" si="9"/>
        <v>111</v>
      </c>
      <c r="CO11" s="68"/>
      <c r="CP11" s="68">
        <v>2</v>
      </c>
      <c r="CQ11" s="68"/>
      <c r="CR11" s="68"/>
      <c r="CS11" s="68">
        <v>2</v>
      </c>
      <c r="CT11" s="68"/>
      <c r="CU11" s="68"/>
      <c r="CV11" s="68">
        <v>2</v>
      </c>
      <c r="CW11" s="68"/>
      <c r="CX11" s="68">
        <f t="shared" si="36"/>
        <v>0</v>
      </c>
      <c r="CY11" s="68">
        <f t="shared" si="37"/>
        <v>6</v>
      </c>
      <c r="CZ11" s="68">
        <f t="shared" si="38"/>
        <v>0</v>
      </c>
      <c r="DA11" s="68">
        <f t="shared" si="39"/>
        <v>6</v>
      </c>
      <c r="DB11" s="68"/>
      <c r="DC11" s="68">
        <v>1</v>
      </c>
      <c r="DD11" s="68"/>
      <c r="DE11" s="68">
        <v>5</v>
      </c>
      <c r="DF11" s="68"/>
      <c r="DG11" s="68">
        <v>4</v>
      </c>
      <c r="DH11" s="68">
        <f t="shared" si="11"/>
        <v>0</v>
      </c>
      <c r="DI11" s="68">
        <f t="shared" si="12"/>
        <v>10</v>
      </c>
      <c r="DJ11" s="68">
        <f t="shared" si="13"/>
        <v>10</v>
      </c>
      <c r="DK11" s="68"/>
      <c r="DL11" s="68">
        <v>11</v>
      </c>
      <c r="DM11" s="68"/>
      <c r="DN11" s="68">
        <v>20</v>
      </c>
      <c r="DO11" s="68"/>
      <c r="DP11" s="68">
        <v>34</v>
      </c>
      <c r="DQ11" s="68">
        <f t="shared" si="14"/>
        <v>0</v>
      </c>
      <c r="DR11" s="68">
        <f t="shared" si="15"/>
        <v>65</v>
      </c>
      <c r="DS11" s="68">
        <f t="shared" si="16"/>
        <v>65</v>
      </c>
      <c r="DT11" s="68"/>
      <c r="DU11" s="68">
        <v>3</v>
      </c>
      <c r="DV11" s="68"/>
      <c r="DW11" s="68">
        <v>11</v>
      </c>
      <c r="DX11" s="68"/>
      <c r="DY11" s="68"/>
      <c r="DZ11" s="68">
        <f t="shared" si="40"/>
        <v>0</v>
      </c>
      <c r="EA11" s="68">
        <f t="shared" si="41"/>
        <v>14</v>
      </c>
      <c r="EB11" s="68">
        <f t="shared" si="42"/>
        <v>14</v>
      </c>
      <c r="EC11" s="68"/>
      <c r="ED11" s="68"/>
      <c r="EE11" s="68"/>
      <c r="EF11" s="68"/>
      <c r="EG11" s="68"/>
      <c r="EH11" s="68"/>
      <c r="EI11" s="68">
        <f t="shared" si="43"/>
        <v>0</v>
      </c>
      <c r="EJ11" s="68">
        <f t="shared" si="44"/>
        <v>0</v>
      </c>
      <c r="EK11" s="68">
        <f t="shared" si="45"/>
        <v>0</v>
      </c>
      <c r="EL11" s="68"/>
      <c r="EM11" s="68"/>
      <c r="EN11" s="68"/>
      <c r="EO11" s="68"/>
      <c r="EP11" s="68"/>
      <c r="EQ11" s="68"/>
      <c r="ER11" s="68">
        <f t="shared" si="46"/>
        <v>0</v>
      </c>
      <c r="ES11" s="68">
        <f t="shared" si="47"/>
        <v>0</v>
      </c>
      <c r="ET11" s="68">
        <f t="shared" si="48"/>
        <v>0</v>
      </c>
      <c r="EU11" s="68"/>
      <c r="EV11" s="68">
        <v>1</v>
      </c>
      <c r="EW11" s="68"/>
      <c r="EX11" s="68"/>
      <c r="EY11" s="68"/>
      <c r="EZ11" s="68">
        <v>7</v>
      </c>
      <c r="FA11" s="68"/>
      <c r="FB11" s="68"/>
      <c r="FC11" s="68">
        <f t="shared" si="49"/>
        <v>0</v>
      </c>
      <c r="FD11" s="68">
        <f t="shared" si="50"/>
        <v>8</v>
      </c>
      <c r="FE11" s="68">
        <f t="shared" si="51"/>
        <v>8</v>
      </c>
      <c r="FF11" s="68"/>
      <c r="FG11" s="68"/>
      <c r="FH11" s="68"/>
      <c r="FI11" s="68"/>
      <c r="FJ11" s="68"/>
      <c r="FK11" s="68"/>
      <c r="FL11" s="68"/>
      <c r="FM11" s="68"/>
      <c r="FN11" s="68"/>
      <c r="FO11" s="68">
        <v>1</v>
      </c>
      <c r="FP11" s="68"/>
      <c r="FQ11" s="68"/>
      <c r="FR11" s="68"/>
      <c r="FS11" s="68"/>
      <c r="FT11" s="68"/>
      <c r="FU11" s="68">
        <f t="shared" si="52"/>
        <v>0</v>
      </c>
      <c r="FV11" s="68">
        <f t="shared" si="53"/>
        <v>1</v>
      </c>
      <c r="FW11" s="68">
        <f t="shared" si="54"/>
        <v>1</v>
      </c>
      <c r="FX11" s="68"/>
      <c r="FY11" s="68"/>
      <c r="FZ11" s="68"/>
      <c r="GA11" s="68"/>
      <c r="GB11" s="68"/>
      <c r="GC11" s="68">
        <v>2</v>
      </c>
      <c r="GD11" s="68"/>
      <c r="GE11" s="68"/>
      <c r="GF11" s="68"/>
      <c r="GG11" s="68"/>
      <c r="GH11" s="68"/>
      <c r="GI11" s="68">
        <v>6</v>
      </c>
      <c r="GJ11" s="68"/>
      <c r="GK11" s="68"/>
      <c r="GL11" s="68"/>
      <c r="GM11" s="68"/>
      <c r="GN11" s="68">
        <f t="shared" si="55"/>
        <v>0</v>
      </c>
      <c r="GO11" s="68">
        <f t="shared" si="56"/>
        <v>8</v>
      </c>
      <c r="GP11" s="68">
        <f t="shared" si="57"/>
        <v>8</v>
      </c>
      <c r="GQ11" s="68"/>
      <c r="GR11" s="68">
        <v>8</v>
      </c>
      <c r="GS11" s="68"/>
      <c r="GT11" s="68"/>
      <c r="GU11" s="68"/>
      <c r="GV11" s="68"/>
      <c r="GW11" s="68">
        <f t="shared" si="58"/>
        <v>0</v>
      </c>
      <c r="GX11" s="68">
        <f t="shared" si="59"/>
        <v>8</v>
      </c>
      <c r="GY11" s="68">
        <f t="shared" si="60"/>
        <v>8</v>
      </c>
      <c r="GZ11" s="68"/>
      <c r="HA11" s="68">
        <v>8</v>
      </c>
      <c r="HB11" s="68"/>
      <c r="HC11" s="68"/>
      <c r="HD11" s="68"/>
      <c r="HE11" s="68"/>
      <c r="HF11" s="68"/>
      <c r="HG11" s="68"/>
      <c r="HH11" s="68"/>
      <c r="HI11" s="68"/>
      <c r="HJ11" s="68"/>
      <c r="HK11" s="68"/>
      <c r="HL11" s="68"/>
      <c r="HM11" s="68"/>
      <c r="HN11" s="68"/>
      <c r="HO11" s="68"/>
      <c r="HP11" s="68"/>
      <c r="HQ11" s="68">
        <f t="shared" ref="HQ11:HQ18" si="65">HO11+GZ11+HM11+HJ11+HH11+HF11+HD11+HB11</f>
        <v>0</v>
      </c>
      <c r="HR11" s="68">
        <f t="shared" ref="HR11:HR18" si="66">HP11+HA11+HN11+HL11+HK11+HI11+HG11+HE11+HC11</f>
        <v>8</v>
      </c>
      <c r="HS11" s="68">
        <f t="shared" si="61"/>
        <v>8</v>
      </c>
      <c r="HT11" s="68"/>
      <c r="HU11" s="68"/>
      <c r="HV11" s="68"/>
      <c r="HW11" s="68">
        <v>7</v>
      </c>
      <c r="HX11" s="68"/>
      <c r="HY11" s="68"/>
      <c r="HZ11" s="68"/>
      <c r="IA11" s="68">
        <v>1</v>
      </c>
      <c r="IB11" s="68">
        <f t="shared" si="62"/>
        <v>0</v>
      </c>
      <c r="IC11" s="68">
        <f t="shared" si="63"/>
        <v>8</v>
      </c>
      <c r="ID11" s="68">
        <f t="shared" si="64"/>
        <v>8</v>
      </c>
      <c r="IE11" s="68"/>
      <c r="IF11" s="68">
        <v>3</v>
      </c>
      <c r="IG11" s="68"/>
      <c r="IH11" s="68">
        <v>1</v>
      </c>
      <c r="II11" s="68"/>
      <c r="IJ11" s="68">
        <v>1</v>
      </c>
      <c r="IK11" s="68"/>
      <c r="IL11" s="68">
        <v>1</v>
      </c>
      <c r="IM11" s="68"/>
      <c r="IN11" s="68"/>
      <c r="IO11" s="68"/>
      <c r="IP11" s="68"/>
      <c r="IQ11" s="68">
        <v>50</v>
      </c>
      <c r="IR11" s="68"/>
      <c r="IS11" s="68">
        <v>5</v>
      </c>
      <c r="IT11" s="68">
        <v>2</v>
      </c>
      <c r="IU11" s="68">
        <v>2</v>
      </c>
      <c r="IV11" s="68"/>
      <c r="IW11" s="68"/>
      <c r="IX11" s="68">
        <v>1</v>
      </c>
      <c r="IY11" s="68" t="s">
        <v>229</v>
      </c>
      <c r="IZ11" s="82">
        <v>7828100829</v>
      </c>
      <c r="JA11" s="68" t="s">
        <v>210</v>
      </c>
    </row>
    <row r="12" spans="1:261" s="69" customFormat="1" ht="24.75" customHeight="1" x14ac:dyDescent="0.2">
      <c r="A12" s="68" t="s">
        <v>42</v>
      </c>
      <c r="B12" s="68" t="s">
        <v>129</v>
      </c>
      <c r="C12" s="68">
        <v>7</v>
      </c>
      <c r="D12" s="68">
        <v>1400812</v>
      </c>
      <c r="E12" s="68" t="s">
        <v>135</v>
      </c>
      <c r="F12" s="68"/>
      <c r="G12" s="68">
        <v>1</v>
      </c>
      <c r="H12" s="68"/>
      <c r="I12" s="68">
        <v>1</v>
      </c>
      <c r="J12" s="68"/>
      <c r="K12" s="68">
        <v>1</v>
      </c>
      <c r="L12" s="68"/>
      <c r="M12" s="68"/>
      <c r="N12" s="68">
        <v>1</v>
      </c>
      <c r="O12" s="68"/>
      <c r="P12" s="68"/>
      <c r="Q12" s="68"/>
      <c r="R12" s="68">
        <v>1</v>
      </c>
      <c r="S12" s="68"/>
      <c r="T12" s="68"/>
      <c r="U12" s="68"/>
      <c r="V12" s="68">
        <v>1</v>
      </c>
      <c r="W12" s="68"/>
      <c r="X12" s="68"/>
      <c r="Y12" s="68"/>
      <c r="Z12" s="68">
        <v>3</v>
      </c>
      <c r="AA12" s="68"/>
      <c r="AB12" s="68">
        <v>4</v>
      </c>
      <c r="AC12" s="68"/>
      <c r="AD12" s="68">
        <v>3</v>
      </c>
      <c r="AE12" s="68"/>
      <c r="AF12" s="68">
        <v>4</v>
      </c>
      <c r="AG12" s="68"/>
      <c r="AH12" s="68">
        <v>4</v>
      </c>
      <c r="AI12" s="68"/>
      <c r="AJ12" s="68">
        <v>4</v>
      </c>
      <c r="AK12" s="68"/>
      <c r="AL12" s="68">
        <v>2</v>
      </c>
      <c r="AM12" s="68">
        <f t="shared" si="19"/>
        <v>0</v>
      </c>
      <c r="AN12" s="68">
        <f t="shared" si="20"/>
        <v>24</v>
      </c>
      <c r="AO12" s="68">
        <f t="shared" si="21"/>
        <v>24</v>
      </c>
      <c r="AP12" s="68"/>
      <c r="AQ12" s="68"/>
      <c r="AR12" s="68"/>
      <c r="AS12" s="68">
        <v>2</v>
      </c>
      <c r="AT12" s="68"/>
      <c r="AU12" s="68">
        <v>7</v>
      </c>
      <c r="AV12" s="68"/>
      <c r="AW12" s="68">
        <v>5</v>
      </c>
      <c r="AX12" s="68"/>
      <c r="AY12" s="68">
        <v>10</v>
      </c>
      <c r="AZ12" s="68"/>
      <c r="BA12" s="68">
        <v>11</v>
      </c>
      <c r="BB12" s="68"/>
      <c r="BC12" s="68">
        <v>9</v>
      </c>
      <c r="BD12" s="68">
        <f t="shared" si="0"/>
        <v>0</v>
      </c>
      <c r="BE12" s="68">
        <f t="shared" si="1"/>
        <v>44</v>
      </c>
      <c r="BF12" s="68">
        <f t="shared" si="2"/>
        <v>44</v>
      </c>
      <c r="BG12" s="68"/>
      <c r="BH12" s="68"/>
      <c r="BI12" s="68"/>
      <c r="BJ12" s="68">
        <v>1</v>
      </c>
      <c r="BK12" s="68"/>
      <c r="BL12" s="68">
        <v>3</v>
      </c>
      <c r="BM12" s="68"/>
      <c r="BN12" s="68">
        <v>5</v>
      </c>
      <c r="BO12" s="68"/>
      <c r="BP12" s="68">
        <v>8</v>
      </c>
      <c r="BQ12" s="68"/>
      <c r="BR12" s="68">
        <v>7</v>
      </c>
      <c r="BS12" s="68"/>
      <c r="BT12" s="68">
        <v>10</v>
      </c>
      <c r="BU12" s="68">
        <f t="shared" si="3"/>
        <v>0</v>
      </c>
      <c r="BV12" s="68">
        <f t="shared" si="4"/>
        <v>34</v>
      </c>
      <c r="BW12" s="68">
        <f t="shared" si="5"/>
        <v>34</v>
      </c>
      <c r="BX12" s="68">
        <f t="shared" si="22"/>
        <v>0</v>
      </c>
      <c r="BY12" s="68">
        <f t="shared" si="23"/>
        <v>3</v>
      </c>
      <c r="BZ12" s="68">
        <f t="shared" si="24"/>
        <v>0</v>
      </c>
      <c r="CA12" s="68">
        <f t="shared" si="25"/>
        <v>7</v>
      </c>
      <c r="CB12" s="68">
        <f t="shared" si="26"/>
        <v>0</v>
      </c>
      <c r="CC12" s="68">
        <f t="shared" si="27"/>
        <v>13</v>
      </c>
      <c r="CD12" s="68">
        <f t="shared" si="28"/>
        <v>0</v>
      </c>
      <c r="CE12" s="68">
        <f t="shared" si="29"/>
        <v>14</v>
      </c>
      <c r="CF12" s="68">
        <f t="shared" si="30"/>
        <v>0</v>
      </c>
      <c r="CG12" s="68">
        <f t="shared" si="31"/>
        <v>22</v>
      </c>
      <c r="CH12" s="68">
        <f t="shared" si="32"/>
        <v>0</v>
      </c>
      <c r="CI12" s="68">
        <f t="shared" si="33"/>
        <v>22</v>
      </c>
      <c r="CJ12" s="68">
        <f t="shared" si="34"/>
        <v>0</v>
      </c>
      <c r="CK12" s="68">
        <f t="shared" si="35"/>
        <v>21</v>
      </c>
      <c r="CL12" s="68">
        <f t="shared" si="7"/>
        <v>0</v>
      </c>
      <c r="CM12" s="68">
        <f t="shared" si="8"/>
        <v>102</v>
      </c>
      <c r="CN12" s="68">
        <f t="shared" si="9"/>
        <v>102</v>
      </c>
      <c r="CO12" s="68"/>
      <c r="CP12" s="68">
        <v>1</v>
      </c>
      <c r="CQ12" s="68"/>
      <c r="CR12" s="68"/>
      <c r="CS12" s="68">
        <v>2</v>
      </c>
      <c r="CT12" s="68"/>
      <c r="CU12" s="68"/>
      <c r="CV12" s="68">
        <v>1</v>
      </c>
      <c r="CW12" s="68"/>
      <c r="CX12" s="68">
        <f t="shared" si="36"/>
        <v>0</v>
      </c>
      <c r="CY12" s="68">
        <f t="shared" si="37"/>
        <v>4</v>
      </c>
      <c r="CZ12" s="68">
        <f t="shared" si="38"/>
        <v>0</v>
      </c>
      <c r="DA12" s="68">
        <f t="shared" si="39"/>
        <v>4</v>
      </c>
      <c r="DB12" s="68"/>
      <c r="DC12" s="68">
        <v>13</v>
      </c>
      <c r="DD12" s="68"/>
      <c r="DE12" s="68">
        <v>15</v>
      </c>
      <c r="DF12" s="68"/>
      <c r="DG12" s="68">
        <v>7</v>
      </c>
      <c r="DH12" s="68">
        <f t="shared" si="11"/>
        <v>0</v>
      </c>
      <c r="DI12" s="68">
        <f t="shared" si="12"/>
        <v>35</v>
      </c>
      <c r="DJ12" s="68">
        <f t="shared" si="13"/>
        <v>35</v>
      </c>
      <c r="DK12" s="68"/>
      <c r="DL12" s="68">
        <v>18</v>
      </c>
      <c r="DM12" s="68"/>
      <c r="DN12" s="68">
        <v>24</v>
      </c>
      <c r="DO12" s="68"/>
      <c r="DP12" s="68">
        <v>33</v>
      </c>
      <c r="DQ12" s="68">
        <f t="shared" si="14"/>
        <v>0</v>
      </c>
      <c r="DR12" s="68">
        <f t="shared" si="15"/>
        <v>75</v>
      </c>
      <c r="DS12" s="68">
        <f t="shared" si="16"/>
        <v>75</v>
      </c>
      <c r="DT12" s="68"/>
      <c r="DU12" s="68">
        <v>15</v>
      </c>
      <c r="DV12" s="68"/>
      <c r="DW12" s="68">
        <v>25</v>
      </c>
      <c r="DX12" s="68"/>
      <c r="DY12" s="68">
        <v>14</v>
      </c>
      <c r="DZ12" s="68">
        <f t="shared" si="40"/>
        <v>0</v>
      </c>
      <c r="EA12" s="68">
        <f t="shared" si="41"/>
        <v>54</v>
      </c>
      <c r="EB12" s="68">
        <f t="shared" si="42"/>
        <v>54</v>
      </c>
      <c r="EC12" s="68"/>
      <c r="ED12" s="68"/>
      <c r="EE12" s="68"/>
      <c r="EF12" s="68"/>
      <c r="EG12" s="68"/>
      <c r="EH12" s="68"/>
      <c r="EI12" s="68">
        <f t="shared" si="43"/>
        <v>0</v>
      </c>
      <c r="EJ12" s="68">
        <f t="shared" si="44"/>
        <v>0</v>
      </c>
      <c r="EK12" s="68">
        <f t="shared" si="45"/>
        <v>0</v>
      </c>
      <c r="EL12" s="68"/>
      <c r="EM12" s="68"/>
      <c r="EN12" s="68"/>
      <c r="EO12" s="68"/>
      <c r="EP12" s="68"/>
      <c r="EQ12" s="68"/>
      <c r="ER12" s="68">
        <f t="shared" si="46"/>
        <v>0</v>
      </c>
      <c r="ES12" s="68">
        <f t="shared" si="47"/>
        <v>0</v>
      </c>
      <c r="ET12" s="68">
        <f t="shared" si="48"/>
        <v>0</v>
      </c>
      <c r="EU12" s="68"/>
      <c r="EV12" s="68">
        <v>1</v>
      </c>
      <c r="EW12" s="68"/>
      <c r="EX12" s="68">
        <v>1</v>
      </c>
      <c r="EY12" s="68"/>
      <c r="EZ12" s="68">
        <v>3</v>
      </c>
      <c r="FA12" s="68"/>
      <c r="FB12" s="68"/>
      <c r="FC12" s="68">
        <f t="shared" si="49"/>
        <v>0</v>
      </c>
      <c r="FD12" s="68">
        <f t="shared" si="50"/>
        <v>5</v>
      </c>
      <c r="FE12" s="68">
        <f t="shared" si="51"/>
        <v>5</v>
      </c>
      <c r="FF12" s="68"/>
      <c r="FG12" s="68"/>
      <c r="FH12" s="68"/>
      <c r="FI12" s="68"/>
      <c r="FJ12" s="68"/>
      <c r="FK12" s="68"/>
      <c r="FL12" s="68"/>
      <c r="FM12" s="68"/>
      <c r="FN12" s="68"/>
      <c r="FO12" s="68">
        <v>1</v>
      </c>
      <c r="FP12" s="68"/>
      <c r="FQ12" s="68"/>
      <c r="FR12" s="68"/>
      <c r="FS12" s="68"/>
      <c r="FT12" s="68"/>
      <c r="FU12" s="68">
        <f t="shared" si="52"/>
        <v>0</v>
      </c>
      <c r="FV12" s="68">
        <f t="shared" si="53"/>
        <v>1</v>
      </c>
      <c r="FW12" s="68">
        <f t="shared" si="54"/>
        <v>1</v>
      </c>
      <c r="FX12" s="68"/>
      <c r="FY12" s="68"/>
      <c r="FZ12" s="68"/>
      <c r="GA12" s="68"/>
      <c r="GB12" s="68"/>
      <c r="GC12" s="68">
        <v>1</v>
      </c>
      <c r="GD12" s="68"/>
      <c r="GE12" s="68"/>
      <c r="GF12" s="68"/>
      <c r="GG12" s="68"/>
      <c r="GH12" s="68"/>
      <c r="GI12" s="68">
        <v>3</v>
      </c>
      <c r="GJ12" s="68"/>
      <c r="GK12" s="68"/>
      <c r="GL12" s="68"/>
      <c r="GM12" s="68">
        <v>1</v>
      </c>
      <c r="GN12" s="68">
        <f t="shared" si="55"/>
        <v>0</v>
      </c>
      <c r="GO12" s="68">
        <f t="shared" si="56"/>
        <v>5</v>
      </c>
      <c r="GP12" s="68">
        <f t="shared" si="57"/>
        <v>5</v>
      </c>
      <c r="GQ12" s="68"/>
      <c r="GR12" s="68">
        <v>5</v>
      </c>
      <c r="GS12" s="68"/>
      <c r="GT12" s="68"/>
      <c r="GU12" s="68"/>
      <c r="GV12" s="68"/>
      <c r="GW12" s="68">
        <f t="shared" si="58"/>
        <v>0</v>
      </c>
      <c r="GX12" s="68">
        <f t="shared" si="59"/>
        <v>5</v>
      </c>
      <c r="GY12" s="68">
        <f t="shared" si="60"/>
        <v>5</v>
      </c>
      <c r="GZ12" s="68"/>
      <c r="HA12" s="68">
        <v>4</v>
      </c>
      <c r="HB12" s="68"/>
      <c r="HC12" s="68"/>
      <c r="HD12" s="68"/>
      <c r="HE12" s="68"/>
      <c r="HF12" s="68"/>
      <c r="HG12" s="68"/>
      <c r="HH12" s="68"/>
      <c r="HI12" s="68"/>
      <c r="HJ12" s="68"/>
      <c r="HK12" s="68"/>
      <c r="HL12" s="68">
        <v>1</v>
      </c>
      <c r="HM12" s="68"/>
      <c r="HN12" s="68"/>
      <c r="HO12" s="68"/>
      <c r="HP12" s="68"/>
      <c r="HQ12" s="68">
        <f t="shared" si="65"/>
        <v>0</v>
      </c>
      <c r="HR12" s="68">
        <f t="shared" si="66"/>
        <v>5</v>
      </c>
      <c r="HS12" s="68">
        <f t="shared" si="61"/>
        <v>5</v>
      </c>
      <c r="HT12" s="68"/>
      <c r="HU12" s="68"/>
      <c r="HV12" s="68"/>
      <c r="HW12" s="68">
        <v>5</v>
      </c>
      <c r="HX12" s="68"/>
      <c r="HY12" s="68"/>
      <c r="HZ12" s="68"/>
      <c r="IA12" s="68"/>
      <c r="IB12" s="68">
        <f t="shared" si="62"/>
        <v>0</v>
      </c>
      <c r="IC12" s="68">
        <f t="shared" si="63"/>
        <v>5</v>
      </c>
      <c r="ID12" s="68">
        <f t="shared" si="64"/>
        <v>5</v>
      </c>
      <c r="IE12" s="68"/>
      <c r="IF12" s="68"/>
      <c r="IG12" s="68"/>
      <c r="IH12" s="68">
        <v>1</v>
      </c>
      <c r="II12" s="68"/>
      <c r="IJ12" s="68">
        <v>1</v>
      </c>
      <c r="IK12" s="68"/>
      <c r="IL12" s="68">
        <v>1</v>
      </c>
      <c r="IM12" s="68"/>
      <c r="IN12" s="68"/>
      <c r="IO12" s="68"/>
      <c r="IP12" s="68"/>
      <c r="IQ12" s="68"/>
      <c r="IR12" s="68"/>
      <c r="IS12" s="68"/>
      <c r="IT12" s="68">
        <v>1</v>
      </c>
      <c r="IU12" s="68">
        <v>1</v>
      </c>
      <c r="IV12" s="68"/>
      <c r="IW12" s="68"/>
      <c r="IX12" s="68">
        <v>1</v>
      </c>
      <c r="IY12" s="68" t="s">
        <v>230</v>
      </c>
      <c r="IZ12" s="82">
        <v>7840007696</v>
      </c>
      <c r="JA12" s="68" t="s">
        <v>211</v>
      </c>
    </row>
    <row r="13" spans="1:261" s="69" customFormat="1" ht="24.75" customHeight="1" x14ac:dyDescent="0.2">
      <c r="A13" s="68" t="s">
        <v>42</v>
      </c>
      <c r="B13" s="68" t="s">
        <v>129</v>
      </c>
      <c r="C13" s="68">
        <v>8</v>
      </c>
      <c r="D13" s="68" t="s">
        <v>182</v>
      </c>
      <c r="E13" s="68" t="s">
        <v>136</v>
      </c>
      <c r="F13" s="68"/>
      <c r="G13" s="68">
        <v>1</v>
      </c>
      <c r="H13" s="68"/>
      <c r="I13" s="68">
        <v>1</v>
      </c>
      <c r="J13" s="68"/>
      <c r="K13" s="68">
        <v>1</v>
      </c>
      <c r="L13" s="68"/>
      <c r="M13" s="68"/>
      <c r="N13" s="68">
        <v>1</v>
      </c>
      <c r="O13" s="68"/>
      <c r="P13" s="68"/>
      <c r="Q13" s="68"/>
      <c r="R13" s="68">
        <v>1</v>
      </c>
      <c r="S13" s="68"/>
      <c r="T13" s="68"/>
      <c r="U13" s="68"/>
      <c r="V13" s="68">
        <v>1</v>
      </c>
      <c r="W13" s="68"/>
      <c r="X13" s="68"/>
      <c r="Y13" s="68"/>
      <c r="Z13" s="91">
        <v>10</v>
      </c>
      <c r="AA13" s="68"/>
      <c r="AB13" s="68">
        <v>3</v>
      </c>
      <c r="AC13" s="68"/>
      <c r="AD13" s="68">
        <v>3</v>
      </c>
      <c r="AE13" s="68"/>
      <c r="AF13" s="68">
        <v>1</v>
      </c>
      <c r="AG13" s="68"/>
      <c r="AH13" s="68">
        <v>2</v>
      </c>
      <c r="AI13" s="68"/>
      <c r="AJ13" s="68"/>
      <c r="AK13" s="68"/>
      <c r="AL13" s="68">
        <v>3</v>
      </c>
      <c r="AM13" s="68">
        <f t="shared" si="19"/>
        <v>0</v>
      </c>
      <c r="AN13" s="68">
        <f t="shared" si="20"/>
        <v>22</v>
      </c>
      <c r="AO13" s="68">
        <f t="shared" si="21"/>
        <v>22</v>
      </c>
      <c r="AP13" s="68"/>
      <c r="AQ13" s="68">
        <v>6</v>
      </c>
      <c r="AR13" s="68"/>
      <c r="AS13" s="68">
        <v>3</v>
      </c>
      <c r="AT13" s="68"/>
      <c r="AU13" s="68">
        <v>5</v>
      </c>
      <c r="AV13" s="68"/>
      <c r="AW13" s="68">
        <v>6</v>
      </c>
      <c r="AX13" s="68"/>
      <c r="AY13" s="68">
        <v>3</v>
      </c>
      <c r="AZ13" s="68"/>
      <c r="BA13" s="68">
        <v>6</v>
      </c>
      <c r="BB13" s="68"/>
      <c r="BC13" s="68">
        <v>3</v>
      </c>
      <c r="BD13" s="68">
        <f t="shared" si="0"/>
        <v>0</v>
      </c>
      <c r="BE13" s="68">
        <f t="shared" si="1"/>
        <v>32</v>
      </c>
      <c r="BF13" s="68">
        <f t="shared" si="2"/>
        <v>32</v>
      </c>
      <c r="BG13" s="68"/>
      <c r="BH13" s="68">
        <v>7</v>
      </c>
      <c r="BI13" s="68"/>
      <c r="BJ13" s="68">
        <v>7</v>
      </c>
      <c r="BK13" s="68"/>
      <c r="BL13" s="68">
        <v>13</v>
      </c>
      <c r="BM13" s="68"/>
      <c r="BN13" s="68">
        <v>13</v>
      </c>
      <c r="BO13" s="68"/>
      <c r="BP13" s="68">
        <v>13</v>
      </c>
      <c r="BQ13" s="68"/>
      <c r="BR13" s="68">
        <v>5</v>
      </c>
      <c r="BS13" s="68"/>
      <c r="BT13" s="68">
        <v>13</v>
      </c>
      <c r="BU13" s="68">
        <f t="shared" si="3"/>
        <v>0</v>
      </c>
      <c r="BV13" s="68">
        <f t="shared" si="4"/>
        <v>71</v>
      </c>
      <c r="BW13" s="68">
        <f t="shared" si="5"/>
        <v>71</v>
      </c>
      <c r="BX13" s="68">
        <f t="shared" si="22"/>
        <v>0</v>
      </c>
      <c r="BY13" s="68">
        <f t="shared" si="23"/>
        <v>23</v>
      </c>
      <c r="BZ13" s="68">
        <f t="shared" si="24"/>
        <v>0</v>
      </c>
      <c r="CA13" s="68">
        <f t="shared" si="25"/>
        <v>13</v>
      </c>
      <c r="CB13" s="68">
        <f t="shared" si="26"/>
        <v>0</v>
      </c>
      <c r="CC13" s="68">
        <f t="shared" si="27"/>
        <v>21</v>
      </c>
      <c r="CD13" s="68">
        <f t="shared" si="28"/>
        <v>0</v>
      </c>
      <c r="CE13" s="68">
        <f t="shared" si="29"/>
        <v>20</v>
      </c>
      <c r="CF13" s="68">
        <f t="shared" si="30"/>
        <v>0</v>
      </c>
      <c r="CG13" s="68">
        <f t="shared" si="31"/>
        <v>18</v>
      </c>
      <c r="CH13" s="68">
        <f t="shared" si="32"/>
        <v>0</v>
      </c>
      <c r="CI13" s="68">
        <f t="shared" si="33"/>
        <v>11</v>
      </c>
      <c r="CJ13" s="68">
        <f t="shared" si="34"/>
        <v>0</v>
      </c>
      <c r="CK13" s="68">
        <f t="shared" si="35"/>
        <v>19</v>
      </c>
      <c r="CL13" s="68">
        <f t="shared" si="7"/>
        <v>0</v>
      </c>
      <c r="CM13" s="68">
        <f t="shared" si="8"/>
        <v>125</v>
      </c>
      <c r="CN13" s="68">
        <f t="shared" si="9"/>
        <v>125</v>
      </c>
      <c r="CO13" s="68"/>
      <c r="CP13" s="68">
        <v>1</v>
      </c>
      <c r="CQ13" s="68"/>
      <c r="CR13" s="68"/>
      <c r="CS13" s="68">
        <v>1</v>
      </c>
      <c r="CT13" s="68"/>
      <c r="CU13" s="68"/>
      <c r="CV13" s="68">
        <v>2</v>
      </c>
      <c r="CW13" s="68"/>
      <c r="CX13" s="68">
        <f t="shared" si="36"/>
        <v>0</v>
      </c>
      <c r="CY13" s="68">
        <f t="shared" si="37"/>
        <v>4</v>
      </c>
      <c r="CZ13" s="68">
        <f t="shared" si="38"/>
        <v>0</v>
      </c>
      <c r="DA13" s="68">
        <f t="shared" si="39"/>
        <v>4</v>
      </c>
      <c r="DB13" s="68"/>
      <c r="DC13" s="68"/>
      <c r="DD13" s="68"/>
      <c r="DE13" s="68"/>
      <c r="DF13" s="68"/>
      <c r="DG13" s="68"/>
      <c r="DH13" s="68">
        <f t="shared" si="11"/>
        <v>0</v>
      </c>
      <c r="DI13" s="68">
        <f t="shared" si="12"/>
        <v>0</v>
      </c>
      <c r="DJ13" s="68">
        <f t="shared" si="13"/>
        <v>0</v>
      </c>
      <c r="DK13" s="68"/>
      <c r="DL13" s="68">
        <v>12</v>
      </c>
      <c r="DM13" s="68"/>
      <c r="DN13" s="68">
        <v>18</v>
      </c>
      <c r="DO13" s="68"/>
      <c r="DP13" s="68">
        <v>55</v>
      </c>
      <c r="DQ13" s="68">
        <f t="shared" si="14"/>
        <v>0</v>
      </c>
      <c r="DR13" s="68">
        <f t="shared" si="15"/>
        <v>85</v>
      </c>
      <c r="DS13" s="68">
        <f t="shared" si="16"/>
        <v>85</v>
      </c>
      <c r="DT13" s="68"/>
      <c r="DU13" s="68">
        <v>8</v>
      </c>
      <c r="DV13" s="68"/>
      <c r="DW13" s="68">
        <v>9</v>
      </c>
      <c r="DX13" s="68"/>
      <c r="DY13" s="68">
        <v>40</v>
      </c>
      <c r="DZ13" s="68">
        <f t="shared" si="40"/>
        <v>0</v>
      </c>
      <c r="EA13" s="68">
        <f t="shared" si="41"/>
        <v>57</v>
      </c>
      <c r="EB13" s="68">
        <f t="shared" si="42"/>
        <v>57</v>
      </c>
      <c r="EC13" s="68"/>
      <c r="ED13" s="68"/>
      <c r="EE13" s="68"/>
      <c r="EF13" s="68"/>
      <c r="EG13" s="68"/>
      <c r="EH13" s="68"/>
      <c r="EI13" s="68">
        <f t="shared" si="43"/>
        <v>0</v>
      </c>
      <c r="EJ13" s="68">
        <f t="shared" si="44"/>
        <v>0</v>
      </c>
      <c r="EK13" s="68">
        <f t="shared" si="45"/>
        <v>0</v>
      </c>
      <c r="EL13" s="68"/>
      <c r="EM13" s="68"/>
      <c r="EN13" s="68"/>
      <c r="EO13" s="68"/>
      <c r="EP13" s="68"/>
      <c r="EQ13" s="68"/>
      <c r="ER13" s="68">
        <f t="shared" si="46"/>
        <v>0</v>
      </c>
      <c r="ES13" s="68">
        <f t="shared" si="47"/>
        <v>0</v>
      </c>
      <c r="ET13" s="68">
        <f t="shared" si="48"/>
        <v>0</v>
      </c>
      <c r="EU13" s="68"/>
      <c r="EV13" s="68">
        <v>1</v>
      </c>
      <c r="EW13" s="68"/>
      <c r="EX13" s="68">
        <v>1</v>
      </c>
      <c r="EY13" s="68"/>
      <c r="EZ13" s="68">
        <v>7</v>
      </c>
      <c r="FA13" s="68"/>
      <c r="FB13" s="68">
        <v>1</v>
      </c>
      <c r="FC13" s="68">
        <f t="shared" si="49"/>
        <v>0</v>
      </c>
      <c r="FD13" s="68">
        <f t="shared" si="50"/>
        <v>10</v>
      </c>
      <c r="FE13" s="68">
        <f t="shared" si="51"/>
        <v>10</v>
      </c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>
        <f t="shared" ref="FU13" si="67">FT13+FS13+FR13+FN13+FL13+FH13+FF13</f>
        <v>0</v>
      </c>
      <c r="FV13" s="68">
        <f t="shared" ref="FV13" si="68">FO13+FM13+FI13+FG13</f>
        <v>0</v>
      </c>
      <c r="FW13" s="68">
        <f t="shared" ref="FW13" si="69">FV13+FU13</f>
        <v>0</v>
      </c>
      <c r="FX13" s="68"/>
      <c r="FY13" s="68"/>
      <c r="FZ13" s="68"/>
      <c r="GA13" s="68"/>
      <c r="GB13" s="68"/>
      <c r="GC13" s="68">
        <v>2</v>
      </c>
      <c r="GD13" s="68"/>
      <c r="GE13" s="68"/>
      <c r="GF13" s="68"/>
      <c r="GG13" s="68">
        <v>1</v>
      </c>
      <c r="GH13" s="68"/>
      <c r="GI13" s="68">
        <v>7</v>
      </c>
      <c r="GJ13" s="68"/>
      <c r="GK13" s="68"/>
      <c r="GL13" s="68"/>
      <c r="GM13" s="68"/>
      <c r="GN13" s="68">
        <f t="shared" si="55"/>
        <v>0</v>
      </c>
      <c r="GO13" s="68">
        <f t="shared" si="56"/>
        <v>10</v>
      </c>
      <c r="GP13" s="68">
        <f t="shared" si="57"/>
        <v>10</v>
      </c>
      <c r="GQ13" s="68"/>
      <c r="GR13" s="68">
        <v>10</v>
      </c>
      <c r="GS13" s="68"/>
      <c r="GT13" s="68"/>
      <c r="GU13" s="68"/>
      <c r="GV13" s="68"/>
      <c r="GW13" s="68">
        <f t="shared" si="58"/>
        <v>0</v>
      </c>
      <c r="GX13" s="68">
        <f t="shared" si="59"/>
        <v>10</v>
      </c>
      <c r="GY13" s="68">
        <f t="shared" si="60"/>
        <v>10</v>
      </c>
      <c r="GZ13" s="68"/>
      <c r="HA13" s="68">
        <v>7</v>
      </c>
      <c r="HB13" s="68"/>
      <c r="HC13" s="68"/>
      <c r="HD13" s="68"/>
      <c r="HE13" s="68"/>
      <c r="HF13" s="68"/>
      <c r="HG13" s="68"/>
      <c r="HH13" s="68"/>
      <c r="HI13" s="68"/>
      <c r="HJ13" s="68"/>
      <c r="HK13" s="68">
        <v>1</v>
      </c>
      <c r="HL13" s="68"/>
      <c r="HM13" s="68"/>
      <c r="HN13" s="68"/>
      <c r="HO13" s="68"/>
      <c r="HP13" s="68">
        <v>2</v>
      </c>
      <c r="HQ13" s="68">
        <f t="shared" si="65"/>
        <v>0</v>
      </c>
      <c r="HR13" s="68">
        <f t="shared" si="66"/>
        <v>10</v>
      </c>
      <c r="HS13" s="68">
        <f t="shared" si="61"/>
        <v>10</v>
      </c>
      <c r="HT13" s="68"/>
      <c r="HU13" s="68"/>
      <c r="HV13" s="68"/>
      <c r="HW13" s="68">
        <v>9</v>
      </c>
      <c r="HX13" s="68"/>
      <c r="HY13" s="68"/>
      <c r="HZ13" s="68"/>
      <c r="IA13" s="68">
        <v>1</v>
      </c>
      <c r="IB13" s="68">
        <f t="shared" si="62"/>
        <v>0</v>
      </c>
      <c r="IC13" s="68">
        <f t="shared" si="63"/>
        <v>10</v>
      </c>
      <c r="ID13" s="68">
        <f t="shared" si="64"/>
        <v>10</v>
      </c>
      <c r="IE13" s="68"/>
      <c r="IF13" s="68"/>
      <c r="IG13" s="68">
        <v>1</v>
      </c>
      <c r="IH13" s="68"/>
      <c r="II13" s="68"/>
      <c r="IJ13" s="68">
        <v>1</v>
      </c>
      <c r="IK13" s="68"/>
      <c r="IL13" s="68">
        <v>1</v>
      </c>
      <c r="IM13" s="68"/>
      <c r="IN13" s="68"/>
      <c r="IO13" s="68"/>
      <c r="IP13" s="68"/>
      <c r="IQ13" s="68">
        <v>45</v>
      </c>
      <c r="IR13" s="68"/>
      <c r="IS13" s="68">
        <v>5</v>
      </c>
      <c r="IT13" s="68">
        <v>1</v>
      </c>
      <c r="IU13" s="68">
        <v>1</v>
      </c>
      <c r="IV13" s="68"/>
      <c r="IW13" s="68"/>
      <c r="IX13" s="68">
        <v>1</v>
      </c>
      <c r="IY13" s="68" t="s">
        <v>231</v>
      </c>
      <c r="IZ13" s="82">
        <v>7811776202</v>
      </c>
      <c r="JA13" s="68" t="s">
        <v>212</v>
      </c>
    </row>
    <row r="14" spans="1:261" s="69" customFormat="1" ht="24.75" customHeight="1" x14ac:dyDescent="0.2">
      <c r="A14" s="68" t="s">
        <v>42</v>
      </c>
      <c r="B14" s="68" t="s">
        <v>129</v>
      </c>
      <c r="C14" s="68">
        <v>9</v>
      </c>
      <c r="D14" s="114">
        <v>1400813</v>
      </c>
      <c r="E14" s="68" t="s">
        <v>249</v>
      </c>
      <c r="F14" s="68"/>
      <c r="G14" s="68">
        <v>1</v>
      </c>
      <c r="H14" s="68">
        <v>1</v>
      </c>
      <c r="I14" s="68"/>
      <c r="J14" s="68"/>
      <c r="K14" s="68">
        <v>1</v>
      </c>
      <c r="L14" s="68"/>
      <c r="M14" s="68"/>
      <c r="N14" s="68">
        <v>1</v>
      </c>
      <c r="O14" s="68"/>
      <c r="P14" s="68"/>
      <c r="Q14" s="68"/>
      <c r="R14" s="68">
        <v>1</v>
      </c>
      <c r="S14" s="68"/>
      <c r="T14" s="68"/>
      <c r="U14" s="68"/>
      <c r="V14" s="68">
        <v>1</v>
      </c>
      <c r="W14" s="68"/>
      <c r="X14" s="68"/>
      <c r="Y14" s="68">
        <v>5</v>
      </c>
      <c r="Z14" s="91"/>
      <c r="AA14" s="68">
        <v>8</v>
      </c>
      <c r="AB14" s="68"/>
      <c r="AC14" s="68">
        <v>12</v>
      </c>
      <c r="AD14" s="68"/>
      <c r="AE14" s="68">
        <v>16</v>
      </c>
      <c r="AF14" s="68"/>
      <c r="AG14" s="68"/>
      <c r="AH14" s="68"/>
      <c r="AI14" s="68"/>
      <c r="AJ14" s="68"/>
      <c r="AK14" s="68"/>
      <c r="AL14" s="68"/>
      <c r="AM14" s="68">
        <f t="shared" ref="AM14:AM18" si="70">AK14+AI14+AG14+AE14+AC14+AA14+Y14</f>
        <v>41</v>
      </c>
      <c r="AN14" s="68">
        <f t="shared" ref="AN14:AN18" si="71">AL14+AJ14+AH14+AF14+AD14+AB14+Z14</f>
        <v>0</v>
      </c>
      <c r="AO14" s="68">
        <f t="shared" ref="AO14:AO18" si="72">AN14+AM14</f>
        <v>41</v>
      </c>
      <c r="AP14" s="68"/>
      <c r="AQ14" s="68"/>
      <c r="AR14" s="68">
        <v>4</v>
      </c>
      <c r="AS14" s="68"/>
      <c r="AT14" s="68">
        <v>5</v>
      </c>
      <c r="AU14" s="68"/>
      <c r="AV14" s="68">
        <v>21</v>
      </c>
      <c r="AW14" s="68"/>
      <c r="AX14" s="68"/>
      <c r="AY14" s="68"/>
      <c r="AZ14" s="68"/>
      <c r="BA14" s="68"/>
      <c r="BB14" s="68"/>
      <c r="BC14" s="68"/>
      <c r="BD14" s="68">
        <f t="shared" ref="BD14:BD18" si="73">BB14+AZ14+AX14+AV14+AT14+AR14+AP14</f>
        <v>30</v>
      </c>
      <c r="BE14" s="68">
        <f t="shared" ref="BE14:BE18" si="74">BC14+BA14+AY14+AW14+AU14+AS14+AQ14</f>
        <v>0</v>
      </c>
      <c r="BF14" s="68">
        <f t="shared" ref="BF14:BF18" si="75">BE14+BD14</f>
        <v>30</v>
      </c>
      <c r="BG14" s="68">
        <v>4</v>
      </c>
      <c r="BH14" s="68"/>
      <c r="BI14" s="68">
        <v>14</v>
      </c>
      <c r="BJ14" s="68"/>
      <c r="BK14" s="68">
        <v>20</v>
      </c>
      <c r="BL14" s="68"/>
      <c r="BM14" s="68">
        <v>20</v>
      </c>
      <c r="BN14" s="68"/>
      <c r="BO14" s="68">
        <v>5</v>
      </c>
      <c r="BP14" s="68"/>
      <c r="BQ14" s="68">
        <v>5</v>
      </c>
      <c r="BR14" s="68"/>
      <c r="BS14" s="68"/>
      <c r="BT14" s="68"/>
      <c r="BU14" s="68">
        <f t="shared" ref="BU14:BU18" si="76">BS14+BQ14+BO14+BM14+BK14+BI14+BG14</f>
        <v>68</v>
      </c>
      <c r="BV14" s="68">
        <f t="shared" ref="BV14:BV18" si="77">BT14+BR14+BP14+BN14+BL14+BJ14+BH14</f>
        <v>0</v>
      </c>
      <c r="BW14" s="68">
        <f t="shared" ref="BW14:BW18" si="78">BV14+BU14</f>
        <v>68</v>
      </c>
      <c r="BX14" s="68">
        <f t="shared" ref="BX14:BX18" si="79">BG14+AP14+Y14</f>
        <v>9</v>
      </c>
      <c r="BY14" s="68">
        <f t="shared" ref="BY14:BY18" si="80">BH14+AQ14+Z14</f>
        <v>0</v>
      </c>
      <c r="BZ14" s="68">
        <f t="shared" ref="BZ14:BZ18" si="81">BI14+AR14+AA14</f>
        <v>26</v>
      </c>
      <c r="CA14" s="68">
        <f t="shared" ref="CA14:CA18" si="82">BJ14+AS14+AB14</f>
        <v>0</v>
      </c>
      <c r="CB14" s="68">
        <f t="shared" ref="CB14:CB18" si="83">BK14+AT14+AC14</f>
        <v>37</v>
      </c>
      <c r="CC14" s="68">
        <f t="shared" ref="CC14:CC18" si="84">BL14+AU14+AD14</f>
        <v>0</v>
      </c>
      <c r="CD14" s="68">
        <f t="shared" ref="CD14:CD18" si="85">BM14+AV14+AE14</f>
        <v>57</v>
      </c>
      <c r="CE14" s="68">
        <f t="shared" ref="CE14:CE18" si="86">BN14+AW14+AF14</f>
        <v>0</v>
      </c>
      <c r="CF14" s="68">
        <f t="shared" ref="CF14:CF18" si="87">BO14+AX14+AG14</f>
        <v>5</v>
      </c>
      <c r="CG14" s="68">
        <f t="shared" ref="CG14:CG18" si="88">BP14+AY14+AH14</f>
        <v>0</v>
      </c>
      <c r="CH14" s="68">
        <f t="shared" ref="CH14:CH18" si="89">BQ14+AZ14+AI14</f>
        <v>5</v>
      </c>
      <c r="CI14" s="68">
        <f t="shared" ref="CI14:CI18" si="90">BR14+BA14+AJ14</f>
        <v>0</v>
      </c>
      <c r="CJ14" s="68">
        <f t="shared" ref="CJ14:CJ18" si="91">BS14+BB14+AK14</f>
        <v>0</v>
      </c>
      <c r="CK14" s="68">
        <f t="shared" ref="CK14:CK18" si="92">BT14+BC14+AL14</f>
        <v>0</v>
      </c>
      <c r="CL14" s="68">
        <f t="shared" ref="CL14:CL18" si="93">CJ14+CH14+CF14+CD14+CB14+BZ14+BX14</f>
        <v>139</v>
      </c>
      <c r="CM14" s="68">
        <f t="shared" ref="CM14:CM18" si="94">CK14+CI14+CG14+CE14+CC14+CA14+BY14</f>
        <v>0</v>
      </c>
      <c r="CN14" s="68">
        <f t="shared" ref="CN14:CN18" si="95">CM14+CL14</f>
        <v>139</v>
      </c>
      <c r="CO14" s="68">
        <v>2</v>
      </c>
      <c r="CP14" s="68"/>
      <c r="CQ14" s="68"/>
      <c r="CR14" s="68">
        <v>2</v>
      </c>
      <c r="CS14" s="68"/>
      <c r="CT14" s="68"/>
      <c r="CU14" s="68">
        <v>3</v>
      </c>
      <c r="CV14" s="68"/>
      <c r="CW14" s="68"/>
      <c r="CX14" s="68">
        <f t="shared" ref="CX14:CX18" si="96">CU14+CR14+CO14</f>
        <v>7</v>
      </c>
      <c r="CY14" s="68">
        <f t="shared" ref="CY14:CY18" si="97">CV14+CS14+CP14</f>
        <v>0</v>
      </c>
      <c r="CZ14" s="68">
        <f t="shared" ref="CZ14:CZ18" si="98">CW14+CT14+CQ14</f>
        <v>0</v>
      </c>
      <c r="DA14" s="68">
        <f t="shared" ref="DA14:DA18" si="99">CZ14+CY14+CX14</f>
        <v>7</v>
      </c>
      <c r="DB14" s="68">
        <v>7</v>
      </c>
      <c r="DC14" s="68"/>
      <c r="DD14" s="68">
        <v>5</v>
      </c>
      <c r="DE14" s="68"/>
      <c r="DF14" s="68">
        <v>17</v>
      </c>
      <c r="DG14" s="68"/>
      <c r="DH14" s="68">
        <f t="shared" ref="DH14:DH18" si="100">DF14+DD14+DB14</f>
        <v>29</v>
      </c>
      <c r="DI14" s="68">
        <f t="shared" ref="DI14:DI18" si="101">DG14+DE14+DC14</f>
        <v>0</v>
      </c>
      <c r="DJ14" s="68">
        <f t="shared" ref="DJ14:DJ18" si="102">DI14+DH14</f>
        <v>29</v>
      </c>
      <c r="DK14" s="68">
        <v>5</v>
      </c>
      <c r="DL14" s="68"/>
      <c r="DM14" s="68">
        <v>19</v>
      </c>
      <c r="DN14" s="68"/>
      <c r="DO14" s="68">
        <v>48</v>
      </c>
      <c r="DP14" s="68"/>
      <c r="DQ14" s="68">
        <f t="shared" ref="DQ14:DQ18" si="103">DO14+DM14+DK14</f>
        <v>72</v>
      </c>
      <c r="DR14" s="68">
        <f t="shared" ref="DR14:DR18" si="104">DP14+DN14+DL14</f>
        <v>0</v>
      </c>
      <c r="DS14" s="68">
        <f t="shared" ref="DS14:DS18" si="105">DR14+DQ14</f>
        <v>72</v>
      </c>
      <c r="DT14" s="68">
        <v>11</v>
      </c>
      <c r="DU14" s="68"/>
      <c r="DV14" s="68">
        <v>8</v>
      </c>
      <c r="DW14" s="68"/>
      <c r="DX14" s="68">
        <v>35</v>
      </c>
      <c r="DY14" s="68"/>
      <c r="DZ14" s="68">
        <f t="shared" ref="DZ14:DZ18" si="106">DX14+DV14+DT14</f>
        <v>54</v>
      </c>
      <c r="EA14" s="68">
        <f t="shared" ref="EA14:EA18" si="107">DY14+DW14+DU14</f>
        <v>0</v>
      </c>
      <c r="EB14" s="68">
        <f t="shared" ref="EB14:EB18" si="108">EA14+DZ14</f>
        <v>54</v>
      </c>
      <c r="EC14" s="68"/>
      <c r="ED14" s="68"/>
      <c r="EE14" s="68"/>
      <c r="EF14" s="68"/>
      <c r="EG14" s="68"/>
      <c r="EH14" s="68"/>
      <c r="EI14" s="68">
        <f t="shared" ref="EI14:EI18" si="109">EG14+EE14+EC14</f>
        <v>0</v>
      </c>
      <c r="EJ14" s="68">
        <f t="shared" ref="EJ14:EJ18" si="110">EH14+EF14+ED14</f>
        <v>0</v>
      </c>
      <c r="EK14" s="68">
        <f t="shared" ref="EK14:EK18" si="111">EJ14+EI14</f>
        <v>0</v>
      </c>
      <c r="EL14" s="68"/>
      <c r="EM14" s="68"/>
      <c r="EN14" s="68"/>
      <c r="EO14" s="68"/>
      <c r="EP14" s="68"/>
      <c r="EQ14" s="68"/>
      <c r="ER14" s="68">
        <f t="shared" ref="ER14:ER18" si="112">EP14+EN14+EL14</f>
        <v>0</v>
      </c>
      <c r="ES14" s="68">
        <f t="shared" ref="ES14:ES18" si="113">EQ14+EO14+EM14</f>
        <v>0</v>
      </c>
      <c r="ET14" s="68">
        <f t="shared" ref="ET14:ET18" si="114">ES14+ER14</f>
        <v>0</v>
      </c>
      <c r="EU14" s="68">
        <v>1</v>
      </c>
      <c r="EV14" s="68"/>
      <c r="EW14" s="68">
        <v>1</v>
      </c>
      <c r="EX14" s="68"/>
      <c r="EY14" s="68"/>
      <c r="EZ14" s="68"/>
      <c r="FA14" s="68"/>
      <c r="FB14" s="68"/>
      <c r="FC14" s="68">
        <f t="shared" ref="FC14:FC18" si="115">FA14+EY14+EW14+EU14</f>
        <v>2</v>
      </c>
      <c r="FD14" s="68">
        <f t="shared" ref="FD14:FD18" si="116">FB14+EZ14+EX14+EV14</f>
        <v>0</v>
      </c>
      <c r="FE14" s="68">
        <f t="shared" ref="FE14:FE18" si="117">FD14+FC14</f>
        <v>2</v>
      </c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>
        <f t="shared" ref="FU14:FU18" si="118">FT14+FS14+FR14+FN14+FL14+FH14+FF14</f>
        <v>0</v>
      </c>
      <c r="FV14" s="68">
        <f t="shared" ref="FV14:FV18" si="119">FO14+FM14+FI14+FG14</f>
        <v>0</v>
      </c>
      <c r="FW14" s="68">
        <f t="shared" ref="FW14:FW18" si="120">FV14+FU14</f>
        <v>0</v>
      </c>
      <c r="FX14" s="68"/>
      <c r="FY14" s="68"/>
      <c r="FZ14" s="68"/>
      <c r="GA14" s="68"/>
      <c r="GB14" s="68">
        <v>1</v>
      </c>
      <c r="GC14" s="68"/>
      <c r="GD14" s="68"/>
      <c r="GE14" s="68"/>
      <c r="GF14" s="68"/>
      <c r="GG14" s="68"/>
      <c r="GH14" s="68"/>
      <c r="GI14" s="68"/>
      <c r="GJ14" s="68">
        <v>1</v>
      </c>
      <c r="GK14" s="68"/>
      <c r="GL14" s="68"/>
      <c r="GM14" s="68"/>
      <c r="GN14" s="68">
        <f t="shared" ref="GN14:GN18" si="121">GL14+GJ14+GH14+GF14+GD14+GB14+FZ14+FX14</f>
        <v>2</v>
      </c>
      <c r="GO14" s="68">
        <f t="shared" ref="GO14:GO18" si="122">GM14+GK14+GI14+GG14+GE14+GC14+GA14+FY14</f>
        <v>0</v>
      </c>
      <c r="GP14" s="68">
        <f t="shared" ref="GP14:GP18" si="123">GO14+GN14</f>
        <v>2</v>
      </c>
      <c r="GQ14" s="68">
        <v>2</v>
      </c>
      <c r="GR14" s="68"/>
      <c r="GS14" s="68"/>
      <c r="GT14" s="68"/>
      <c r="GU14" s="68"/>
      <c r="GV14" s="68"/>
      <c r="GW14" s="68">
        <f t="shared" ref="GW14:GW18" si="124">GU14+GS14+GQ14</f>
        <v>2</v>
      </c>
      <c r="GX14" s="68">
        <f t="shared" ref="GX14:GX18" si="125">GV14+GT14+GR14</f>
        <v>0</v>
      </c>
      <c r="GY14" s="68">
        <f t="shared" ref="GY14:GY18" si="126">GX14+GW14</f>
        <v>2</v>
      </c>
      <c r="GZ14" s="68">
        <v>2</v>
      </c>
      <c r="HA14" s="68"/>
      <c r="HB14" s="68"/>
      <c r="HC14" s="68"/>
      <c r="HD14" s="68"/>
      <c r="HE14" s="68"/>
      <c r="HF14" s="68"/>
      <c r="HG14" s="68"/>
      <c r="HH14" s="68"/>
      <c r="HI14" s="68"/>
      <c r="HJ14" s="68"/>
      <c r="HK14" s="68"/>
      <c r="HL14" s="68"/>
      <c r="HM14" s="68"/>
      <c r="HN14" s="68"/>
      <c r="HO14" s="68"/>
      <c r="HP14" s="68"/>
      <c r="HQ14" s="68">
        <f t="shared" si="65"/>
        <v>2</v>
      </c>
      <c r="HR14" s="68">
        <f t="shared" si="66"/>
        <v>0</v>
      </c>
      <c r="HS14" s="68">
        <f t="shared" ref="HS14:HS18" si="127">HR14+HQ14</f>
        <v>2</v>
      </c>
      <c r="HT14" s="68"/>
      <c r="HU14" s="68"/>
      <c r="HV14" s="68">
        <v>2</v>
      </c>
      <c r="HW14" s="68"/>
      <c r="HX14" s="68"/>
      <c r="HY14" s="68"/>
      <c r="HZ14" s="68"/>
      <c r="IA14" s="68"/>
      <c r="IB14" s="68">
        <f t="shared" ref="IB14:IB18" si="128">HZ14+HX14+HV14+HT14</f>
        <v>2</v>
      </c>
      <c r="IC14" s="68">
        <f t="shared" ref="IC14:IC18" si="129">IA14+HY14+HW14+HU14</f>
        <v>0</v>
      </c>
      <c r="ID14" s="68">
        <f t="shared" ref="ID14:ID18" si="130">IC14+IB14</f>
        <v>2</v>
      </c>
      <c r="IE14" s="68"/>
      <c r="IF14" s="68"/>
      <c r="IG14" s="68"/>
      <c r="IH14" s="68">
        <v>1</v>
      </c>
      <c r="II14" s="68"/>
      <c r="IJ14" s="68">
        <v>1</v>
      </c>
      <c r="IK14" s="68"/>
      <c r="IL14" s="68">
        <v>1</v>
      </c>
      <c r="IM14" s="68"/>
      <c r="IN14" s="68"/>
      <c r="IO14" s="68"/>
      <c r="IP14" s="68"/>
      <c r="IQ14" s="68"/>
      <c r="IR14" s="68"/>
      <c r="IS14" s="68"/>
      <c r="IT14" s="68"/>
      <c r="IU14" s="68">
        <v>1</v>
      </c>
      <c r="IV14" s="68"/>
      <c r="IW14" s="68"/>
      <c r="IX14" s="68">
        <v>1</v>
      </c>
      <c r="IY14" s="68" t="s">
        <v>258</v>
      </c>
      <c r="IZ14" s="82">
        <v>7805874243</v>
      </c>
      <c r="JA14" s="68" t="s">
        <v>287</v>
      </c>
    </row>
    <row r="15" spans="1:261" s="69" customFormat="1" ht="24.75" customHeight="1" x14ac:dyDescent="0.2">
      <c r="A15" s="68" t="s">
        <v>42</v>
      </c>
      <c r="B15" s="68" t="s">
        <v>129</v>
      </c>
      <c r="C15" s="68">
        <v>10</v>
      </c>
      <c r="D15" s="68">
        <v>1401613</v>
      </c>
      <c r="E15" s="68" t="s">
        <v>261</v>
      </c>
      <c r="F15" s="68"/>
      <c r="G15" s="68">
        <v>1</v>
      </c>
      <c r="H15" s="68"/>
      <c r="I15" s="68">
        <v>1</v>
      </c>
      <c r="J15" s="68"/>
      <c r="K15" s="68">
        <v>1</v>
      </c>
      <c r="L15" s="68"/>
      <c r="M15" s="68"/>
      <c r="N15" s="68">
        <v>1</v>
      </c>
      <c r="O15" s="68"/>
      <c r="P15" s="68"/>
      <c r="Q15" s="68"/>
      <c r="R15" s="68">
        <v>1</v>
      </c>
      <c r="S15" s="68"/>
      <c r="T15" s="68"/>
      <c r="U15" s="68"/>
      <c r="V15" s="68">
        <v>1</v>
      </c>
      <c r="W15" s="68"/>
      <c r="X15" s="68"/>
      <c r="Y15" s="68"/>
      <c r="Z15" s="91">
        <v>4</v>
      </c>
      <c r="AA15" s="68"/>
      <c r="AB15" s="68">
        <v>2</v>
      </c>
      <c r="AC15" s="68"/>
      <c r="AD15" s="68">
        <v>3</v>
      </c>
      <c r="AE15" s="68"/>
      <c r="AF15" s="68"/>
      <c r="AG15" s="68"/>
      <c r="AH15" s="68">
        <v>3</v>
      </c>
      <c r="AI15" s="68"/>
      <c r="AJ15" s="68">
        <v>2</v>
      </c>
      <c r="AK15" s="68"/>
      <c r="AL15" s="68"/>
      <c r="AM15" s="68">
        <f t="shared" ref="AM15" si="131">AK15+AI15+AG15+AE15+AC15+AA15+Y15</f>
        <v>0</v>
      </c>
      <c r="AN15" s="68">
        <f t="shared" ref="AN15" si="132">AL15+AJ15+AH15+AF15+AD15+AB15+Z15</f>
        <v>14</v>
      </c>
      <c r="AO15" s="68">
        <f t="shared" ref="AO15" si="133">AN15+AM15</f>
        <v>14</v>
      </c>
      <c r="AP15" s="68"/>
      <c r="AQ15" s="68"/>
      <c r="AR15" s="68"/>
      <c r="AS15" s="68">
        <v>5</v>
      </c>
      <c r="AT15" s="68"/>
      <c r="AU15" s="68">
        <v>4</v>
      </c>
      <c r="AV15" s="68"/>
      <c r="AW15" s="68">
        <v>4</v>
      </c>
      <c r="AX15" s="68"/>
      <c r="AY15" s="68">
        <v>9</v>
      </c>
      <c r="AZ15" s="68"/>
      <c r="BA15" s="68">
        <v>4</v>
      </c>
      <c r="BB15" s="68"/>
      <c r="BC15" s="68">
        <v>3</v>
      </c>
      <c r="BD15" s="68">
        <f t="shared" ref="BD15" si="134">BB15+AZ15+AX15+AV15+AT15+AR15+AP15</f>
        <v>0</v>
      </c>
      <c r="BE15" s="68">
        <f t="shared" ref="BE15" si="135">BC15+BA15+AY15+AW15+AU15+AS15+AQ15</f>
        <v>29</v>
      </c>
      <c r="BF15" s="68">
        <f t="shared" ref="BF15" si="136">BE15+BD15</f>
        <v>29</v>
      </c>
      <c r="BG15" s="68"/>
      <c r="BH15" s="68"/>
      <c r="BI15" s="68"/>
      <c r="BJ15" s="68">
        <v>2</v>
      </c>
      <c r="BK15" s="68"/>
      <c r="BL15" s="68">
        <v>4</v>
      </c>
      <c r="BM15" s="68"/>
      <c r="BN15" s="68">
        <v>5</v>
      </c>
      <c r="BO15" s="68"/>
      <c r="BP15" s="68">
        <v>6</v>
      </c>
      <c r="BQ15" s="68"/>
      <c r="BR15" s="68">
        <v>2</v>
      </c>
      <c r="BS15" s="68"/>
      <c r="BT15" s="68">
        <v>2</v>
      </c>
      <c r="BU15" s="68">
        <f t="shared" ref="BU15" si="137">BS15+BQ15+BO15+BM15+BK15+BI15+BG15</f>
        <v>0</v>
      </c>
      <c r="BV15" s="68">
        <f t="shared" ref="BV15" si="138">BT15+BR15+BP15+BN15+BL15+BJ15+BH15</f>
        <v>21</v>
      </c>
      <c r="BW15" s="68">
        <f t="shared" ref="BW15" si="139">BV15+BU15</f>
        <v>21</v>
      </c>
      <c r="BX15" s="68">
        <f t="shared" ref="BX15:BX16" si="140">BG15+AP15+Y15</f>
        <v>0</v>
      </c>
      <c r="BY15" s="68">
        <f t="shared" ref="BY15:BY16" si="141">BH15+AQ15+Z15</f>
        <v>4</v>
      </c>
      <c r="BZ15" s="68">
        <f t="shared" ref="BZ15:BZ16" si="142">BI15+AR15+AA15</f>
        <v>0</v>
      </c>
      <c r="CA15" s="68">
        <f t="shared" ref="CA15:CA16" si="143">BJ15+AS15+AB15</f>
        <v>9</v>
      </c>
      <c r="CB15" s="68">
        <f t="shared" ref="CB15:CB16" si="144">BK15+AT15+AC15</f>
        <v>0</v>
      </c>
      <c r="CC15" s="68">
        <f t="shared" ref="CC15:CC16" si="145">BL15+AU15+AD15</f>
        <v>11</v>
      </c>
      <c r="CD15" s="68">
        <f t="shared" ref="CD15:CD16" si="146">BM15+AV15+AE15</f>
        <v>0</v>
      </c>
      <c r="CE15" s="68">
        <f t="shared" ref="CE15:CE16" si="147">BN15+AW15+AF15</f>
        <v>9</v>
      </c>
      <c r="CF15" s="68">
        <f t="shared" ref="CF15:CF16" si="148">BO15+AX15+AG15</f>
        <v>0</v>
      </c>
      <c r="CG15" s="68">
        <f t="shared" ref="CG15:CG16" si="149">BP15+AY15+AH15</f>
        <v>18</v>
      </c>
      <c r="CH15" s="68">
        <f t="shared" ref="CH15:CH16" si="150">BQ15+AZ15+AI15</f>
        <v>0</v>
      </c>
      <c r="CI15" s="68">
        <f t="shared" ref="CI15:CI16" si="151">BR15+BA15+AJ15</f>
        <v>8</v>
      </c>
      <c r="CJ15" s="68">
        <f t="shared" ref="CJ15:CJ16" si="152">BS15+BB15+AK15</f>
        <v>0</v>
      </c>
      <c r="CK15" s="68">
        <f t="shared" ref="CK15:CK16" si="153">BT15+BC15+AL15</f>
        <v>5</v>
      </c>
      <c r="CL15" s="68">
        <f t="shared" ref="CL15" si="154">CJ15+CH15+CF15+CD15+CB15+BZ15+BX15</f>
        <v>0</v>
      </c>
      <c r="CM15" s="68">
        <f t="shared" ref="CM15" si="155">CK15+CI15+CG15+CE15+CC15+CA15+BY15</f>
        <v>64</v>
      </c>
      <c r="CN15" s="68">
        <f t="shared" ref="CN15" si="156">CM15+CL15</f>
        <v>64</v>
      </c>
      <c r="CO15" s="68"/>
      <c r="CP15" s="68">
        <v>1</v>
      </c>
      <c r="CQ15" s="68"/>
      <c r="CR15" s="68"/>
      <c r="CS15" s="68">
        <v>2</v>
      </c>
      <c r="CT15" s="68"/>
      <c r="CU15" s="68"/>
      <c r="CV15" s="68">
        <v>1</v>
      </c>
      <c r="CW15" s="68"/>
      <c r="CX15" s="68">
        <f t="shared" ref="CX15" si="157">CU15+CR15+CO15</f>
        <v>0</v>
      </c>
      <c r="CY15" s="68">
        <f t="shared" ref="CY15" si="158">CV15+CS15+CP15</f>
        <v>4</v>
      </c>
      <c r="CZ15" s="68">
        <f t="shared" ref="CZ15" si="159">CW15+CT15+CQ15</f>
        <v>0</v>
      </c>
      <c r="DA15" s="68">
        <f t="shared" ref="DA15" si="160">CZ15+CY15+CX15</f>
        <v>4</v>
      </c>
      <c r="DB15" s="68"/>
      <c r="DC15" s="68"/>
      <c r="DD15" s="68"/>
      <c r="DE15" s="68"/>
      <c r="DF15" s="68"/>
      <c r="DG15" s="68"/>
      <c r="DH15" s="68">
        <f t="shared" ref="DH15" si="161">DF15+DD15+DB15</f>
        <v>0</v>
      </c>
      <c r="DI15" s="68">
        <f t="shared" ref="DI15" si="162">DG15+DE15+DC15</f>
        <v>0</v>
      </c>
      <c r="DJ15" s="68">
        <f t="shared" ref="DJ15" si="163">DI15+DH15</f>
        <v>0</v>
      </c>
      <c r="DK15" s="68"/>
      <c r="DL15" s="68">
        <v>8</v>
      </c>
      <c r="DM15" s="68"/>
      <c r="DN15" s="68">
        <v>7</v>
      </c>
      <c r="DO15" s="68"/>
      <c r="DP15" s="68">
        <v>30</v>
      </c>
      <c r="DQ15" s="68">
        <f t="shared" ref="DQ15" si="164">DO15+DM15+DK15</f>
        <v>0</v>
      </c>
      <c r="DR15" s="68">
        <f t="shared" ref="DR15" si="165">DP15+DN15+DL15</f>
        <v>45</v>
      </c>
      <c r="DS15" s="68">
        <f t="shared" ref="DS15" si="166">DR15+DQ15</f>
        <v>45</v>
      </c>
      <c r="DT15" s="68"/>
      <c r="DU15" s="68">
        <v>7</v>
      </c>
      <c r="DV15" s="68"/>
      <c r="DW15" s="68">
        <v>8</v>
      </c>
      <c r="DX15" s="68"/>
      <c r="DY15" s="68">
        <v>9</v>
      </c>
      <c r="DZ15" s="68">
        <f t="shared" ref="DZ15" si="167">DX15+DV15+DT15</f>
        <v>0</v>
      </c>
      <c r="EA15" s="68">
        <f t="shared" ref="EA15" si="168">DY15+DW15+DU15</f>
        <v>24</v>
      </c>
      <c r="EB15" s="68">
        <f t="shared" ref="EB15" si="169">EA15+DZ15</f>
        <v>24</v>
      </c>
      <c r="EC15" s="68"/>
      <c r="ED15" s="68"/>
      <c r="EE15" s="68"/>
      <c r="EF15" s="68"/>
      <c r="EG15" s="68"/>
      <c r="EH15" s="68"/>
      <c r="EI15" s="68">
        <f t="shared" ref="EI15" si="170">EG15+EE15+EC15</f>
        <v>0</v>
      </c>
      <c r="EJ15" s="68">
        <f t="shared" ref="EJ15" si="171">EH15+EF15+ED15</f>
        <v>0</v>
      </c>
      <c r="EK15" s="68">
        <f t="shared" ref="EK15" si="172">EJ15+EI15</f>
        <v>0</v>
      </c>
      <c r="EL15" s="68"/>
      <c r="EM15" s="68"/>
      <c r="EN15" s="68"/>
      <c r="EO15" s="68"/>
      <c r="EP15" s="68"/>
      <c r="EQ15" s="68"/>
      <c r="ER15" s="68">
        <f t="shared" ref="ER15" si="173">EP15+EN15+EL15</f>
        <v>0</v>
      </c>
      <c r="ES15" s="68">
        <f t="shared" ref="ES15" si="174">EQ15+EO15+EM15</f>
        <v>0</v>
      </c>
      <c r="ET15" s="68">
        <f t="shared" ref="ET15" si="175">ES15+ER15</f>
        <v>0</v>
      </c>
      <c r="EU15" s="68"/>
      <c r="EV15" s="68">
        <v>1</v>
      </c>
      <c r="EW15" s="68"/>
      <c r="EX15" s="68"/>
      <c r="EY15" s="68"/>
      <c r="EZ15" s="68"/>
      <c r="FA15" s="68"/>
      <c r="FB15" s="68"/>
      <c r="FC15" s="68">
        <f t="shared" ref="FC15" si="176">FA15+EY15+EW15+EU15</f>
        <v>0</v>
      </c>
      <c r="FD15" s="68">
        <f t="shared" ref="FD15" si="177">FB15+EZ15+EX15+EV15</f>
        <v>1</v>
      </c>
      <c r="FE15" s="68">
        <f t="shared" ref="FE15" si="178">FD15+FC15</f>
        <v>1</v>
      </c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>
        <f t="shared" ref="FU15" si="179">FT15+FS15+FR15+FN15+FL15+FH15+FF15</f>
        <v>0</v>
      </c>
      <c r="FV15" s="68">
        <f t="shared" ref="FV15" si="180">FO15+FM15+FI15+FG15</f>
        <v>0</v>
      </c>
      <c r="FW15" s="68">
        <f t="shared" ref="FW15" si="181">FV15+FU15</f>
        <v>0</v>
      </c>
      <c r="FX15" s="68"/>
      <c r="FY15" s="68"/>
      <c r="FZ15" s="68"/>
      <c r="GA15" s="68"/>
      <c r="GB15" s="68"/>
      <c r="GC15" s="68"/>
      <c r="GD15" s="68"/>
      <c r="GE15" s="68"/>
      <c r="GF15" s="68"/>
      <c r="GG15" s="68"/>
      <c r="GH15" s="68"/>
      <c r="GI15" s="68">
        <v>1</v>
      </c>
      <c r="GJ15" s="68"/>
      <c r="GK15" s="68"/>
      <c r="GL15" s="68"/>
      <c r="GM15" s="68"/>
      <c r="GN15" s="68">
        <f t="shared" ref="GN15" si="182">GL15+GJ15+GH15+GF15+GD15+GB15+FZ15+FX15</f>
        <v>0</v>
      </c>
      <c r="GO15" s="68">
        <f t="shared" ref="GO15" si="183">GM15+GK15+GI15+GG15+GE15+GC15+GA15+FY15</f>
        <v>1</v>
      </c>
      <c r="GP15" s="68">
        <f t="shared" ref="GP15" si="184">GO15+GN15</f>
        <v>1</v>
      </c>
      <c r="GQ15" s="68"/>
      <c r="GR15" s="68">
        <v>1</v>
      </c>
      <c r="GS15" s="68"/>
      <c r="GT15" s="68"/>
      <c r="GU15" s="68"/>
      <c r="GV15" s="68"/>
      <c r="GW15" s="68">
        <f t="shared" ref="GW15" si="185">GU15+GS15+GQ15</f>
        <v>0</v>
      </c>
      <c r="GX15" s="68">
        <f t="shared" ref="GX15" si="186">GV15+GT15+GR15</f>
        <v>1</v>
      </c>
      <c r="GY15" s="68">
        <f t="shared" ref="GY15" si="187">GX15+GW15</f>
        <v>1</v>
      </c>
      <c r="GZ15" s="68"/>
      <c r="HA15" s="68">
        <v>1</v>
      </c>
      <c r="HB15" s="68"/>
      <c r="HC15" s="68"/>
      <c r="HD15" s="68"/>
      <c r="HE15" s="68"/>
      <c r="HF15" s="68"/>
      <c r="HG15" s="68"/>
      <c r="HH15" s="68"/>
      <c r="HI15" s="68"/>
      <c r="HJ15" s="68"/>
      <c r="HK15" s="68"/>
      <c r="HL15" s="68"/>
      <c r="HM15" s="68"/>
      <c r="HN15" s="68"/>
      <c r="HO15" s="68"/>
      <c r="HP15" s="68"/>
      <c r="HQ15" s="68">
        <f t="shared" si="65"/>
        <v>0</v>
      </c>
      <c r="HR15" s="68">
        <f t="shared" si="66"/>
        <v>1</v>
      </c>
      <c r="HS15" s="68">
        <f t="shared" ref="HS15" si="188">HR15+HQ15</f>
        <v>1</v>
      </c>
      <c r="HT15" s="68"/>
      <c r="HU15" s="68"/>
      <c r="HV15" s="68"/>
      <c r="HW15" s="68"/>
      <c r="HX15" s="68"/>
      <c r="HY15" s="68"/>
      <c r="HZ15" s="68"/>
      <c r="IA15" s="68">
        <v>1</v>
      </c>
      <c r="IB15" s="68">
        <f t="shared" ref="IB15" si="189">HZ15+HX15+HV15+HT15</f>
        <v>0</v>
      </c>
      <c r="IC15" s="68">
        <f t="shared" ref="IC15" si="190">IA15+HY15+HW15+HU15</f>
        <v>1</v>
      </c>
      <c r="ID15" s="68">
        <f t="shared" ref="ID15" si="191">IC15+IB15</f>
        <v>1</v>
      </c>
      <c r="IE15" s="68"/>
      <c r="IF15" s="68"/>
      <c r="IG15" s="68"/>
      <c r="IH15" s="68">
        <v>1</v>
      </c>
      <c r="II15" s="68"/>
      <c r="IJ15" s="68">
        <v>1</v>
      </c>
      <c r="IK15" s="68"/>
      <c r="IL15" s="68">
        <v>1</v>
      </c>
      <c r="IM15" s="68"/>
      <c r="IN15" s="68"/>
      <c r="IO15" s="68"/>
      <c r="IP15" s="68"/>
      <c r="IQ15" s="68">
        <v>32</v>
      </c>
      <c r="IR15" s="68"/>
      <c r="IS15" s="68">
        <v>4</v>
      </c>
      <c r="IT15" s="68"/>
      <c r="IU15" s="68"/>
      <c r="IV15" s="68"/>
      <c r="IW15" s="68"/>
      <c r="IX15" s="68">
        <v>1</v>
      </c>
      <c r="IY15" s="68" t="s">
        <v>271</v>
      </c>
      <c r="IZ15" s="82">
        <v>7837973367</v>
      </c>
      <c r="JA15" s="68" t="s">
        <v>272</v>
      </c>
    </row>
    <row r="16" spans="1:261" s="69" customFormat="1" ht="24.75" customHeight="1" x14ac:dyDescent="0.2">
      <c r="A16" s="68" t="s">
        <v>42</v>
      </c>
      <c r="B16" s="68" t="s">
        <v>129</v>
      </c>
      <c r="C16" s="68">
        <v>11</v>
      </c>
      <c r="D16" s="68">
        <v>1401614</v>
      </c>
      <c r="E16" s="68" t="s">
        <v>262</v>
      </c>
      <c r="F16" s="68"/>
      <c r="G16" s="68">
        <v>1</v>
      </c>
      <c r="H16" s="68">
        <v>1</v>
      </c>
      <c r="I16" s="68"/>
      <c r="J16" s="68"/>
      <c r="K16" s="68">
        <v>1</v>
      </c>
      <c r="L16" s="68"/>
      <c r="M16" s="68"/>
      <c r="N16" s="68">
        <v>1</v>
      </c>
      <c r="O16" s="68"/>
      <c r="P16" s="68"/>
      <c r="Q16" s="68"/>
      <c r="R16" s="68">
        <v>1</v>
      </c>
      <c r="S16" s="68"/>
      <c r="T16" s="68"/>
      <c r="U16" s="68"/>
      <c r="V16" s="68">
        <v>1</v>
      </c>
      <c r="W16" s="68"/>
      <c r="X16" s="68"/>
      <c r="Y16" s="68">
        <v>28</v>
      </c>
      <c r="Z16" s="91"/>
      <c r="AA16" s="68">
        <v>23</v>
      </c>
      <c r="AB16" s="68"/>
      <c r="AC16" s="68">
        <v>24</v>
      </c>
      <c r="AD16" s="68"/>
      <c r="AE16" s="68">
        <v>13</v>
      </c>
      <c r="AF16" s="68"/>
      <c r="AG16" s="68">
        <v>11</v>
      </c>
      <c r="AH16" s="68"/>
      <c r="AI16" s="68">
        <v>3</v>
      </c>
      <c r="AJ16" s="68"/>
      <c r="AK16" s="68"/>
      <c r="AL16" s="68"/>
      <c r="AM16" s="68">
        <f t="shared" ref="AM16" si="192">AK16+AI16+AG16+AE16+AC16+AA16+Y16</f>
        <v>102</v>
      </c>
      <c r="AN16" s="68">
        <f t="shared" ref="AN16" si="193">AL16+AJ16+AH16+AF16+AD16+AB16+Z16</f>
        <v>0</v>
      </c>
      <c r="AO16" s="68">
        <f t="shared" ref="AO16" si="194">AN16+AM16</f>
        <v>102</v>
      </c>
      <c r="AP16" s="68">
        <v>1</v>
      </c>
      <c r="AQ16" s="68"/>
      <c r="AR16" s="68">
        <v>6</v>
      </c>
      <c r="AS16" s="68"/>
      <c r="AT16" s="68">
        <v>6</v>
      </c>
      <c r="AU16" s="68"/>
      <c r="AV16" s="68">
        <v>1</v>
      </c>
      <c r="AW16" s="68"/>
      <c r="AX16" s="68">
        <v>2</v>
      </c>
      <c r="AY16" s="68"/>
      <c r="AZ16" s="68">
        <v>1</v>
      </c>
      <c r="BA16" s="68"/>
      <c r="BB16" s="68">
        <v>1</v>
      </c>
      <c r="BC16" s="68"/>
      <c r="BD16" s="68">
        <f t="shared" ref="BD16" si="195">BB16+AZ16+AX16+AV16+AT16+AR16+AP16</f>
        <v>18</v>
      </c>
      <c r="BE16" s="68">
        <f t="shared" ref="BE16" si="196">BC16+BA16+AY16+AW16+AU16+AS16+AQ16</f>
        <v>0</v>
      </c>
      <c r="BF16" s="68">
        <f t="shared" ref="BF16" si="197">BE16+BD16</f>
        <v>18</v>
      </c>
      <c r="BG16" s="68"/>
      <c r="BH16" s="68"/>
      <c r="BI16" s="68">
        <v>9</v>
      </c>
      <c r="BJ16" s="68"/>
      <c r="BK16" s="68">
        <v>13</v>
      </c>
      <c r="BL16" s="68"/>
      <c r="BM16" s="68">
        <v>21</v>
      </c>
      <c r="BN16" s="68"/>
      <c r="BO16" s="68">
        <v>23</v>
      </c>
      <c r="BP16" s="68"/>
      <c r="BQ16" s="68">
        <v>10</v>
      </c>
      <c r="BR16" s="68"/>
      <c r="BS16" s="68">
        <v>4</v>
      </c>
      <c r="BT16" s="68"/>
      <c r="BU16" s="68">
        <f t="shared" ref="BU16" si="198">BS16+BQ16+BO16+BM16+BK16+BI16+BG16</f>
        <v>80</v>
      </c>
      <c r="BV16" s="68">
        <f t="shared" ref="BV16" si="199">BT16+BR16+BP16+BN16+BL16+BJ16+BH16</f>
        <v>0</v>
      </c>
      <c r="BW16" s="68">
        <f t="shared" ref="BW16" si="200">BV16+BU16</f>
        <v>80</v>
      </c>
      <c r="BX16" s="68">
        <f t="shared" si="140"/>
        <v>29</v>
      </c>
      <c r="BY16" s="68">
        <f t="shared" si="141"/>
        <v>0</v>
      </c>
      <c r="BZ16" s="68">
        <f t="shared" si="142"/>
        <v>38</v>
      </c>
      <c r="CA16" s="68">
        <f t="shared" si="143"/>
        <v>0</v>
      </c>
      <c r="CB16" s="68">
        <f t="shared" si="144"/>
        <v>43</v>
      </c>
      <c r="CC16" s="68">
        <f t="shared" si="145"/>
        <v>0</v>
      </c>
      <c r="CD16" s="68">
        <f t="shared" si="146"/>
        <v>35</v>
      </c>
      <c r="CE16" s="68">
        <f t="shared" si="147"/>
        <v>0</v>
      </c>
      <c r="CF16" s="68">
        <f t="shared" si="148"/>
        <v>36</v>
      </c>
      <c r="CG16" s="68">
        <f t="shared" si="149"/>
        <v>0</v>
      </c>
      <c r="CH16" s="68">
        <f t="shared" si="150"/>
        <v>14</v>
      </c>
      <c r="CI16" s="68">
        <f t="shared" si="151"/>
        <v>0</v>
      </c>
      <c r="CJ16" s="68">
        <f t="shared" si="152"/>
        <v>5</v>
      </c>
      <c r="CK16" s="68">
        <f t="shared" si="153"/>
        <v>0</v>
      </c>
      <c r="CL16" s="68">
        <f t="shared" ref="CL16" si="201">CJ16+CH16+CF16+CD16+CB16+BZ16+BX16</f>
        <v>200</v>
      </c>
      <c r="CM16" s="68">
        <f t="shared" ref="CM16" si="202">CK16+CI16+CG16+CE16+CC16+CA16+BY16</f>
        <v>0</v>
      </c>
      <c r="CN16" s="68">
        <f t="shared" ref="CN16" si="203">CM16+CL16</f>
        <v>200</v>
      </c>
      <c r="CO16" s="68">
        <v>3</v>
      </c>
      <c r="CP16" s="68"/>
      <c r="CQ16" s="68"/>
      <c r="CR16" s="68">
        <v>1</v>
      </c>
      <c r="CS16" s="68"/>
      <c r="CT16" s="68"/>
      <c r="CU16" s="68">
        <v>3</v>
      </c>
      <c r="CV16" s="68"/>
      <c r="CW16" s="68"/>
      <c r="CX16" s="68">
        <f t="shared" ref="CX16" si="204">CU16+CR16+CO16</f>
        <v>7</v>
      </c>
      <c r="CY16" s="68">
        <f t="shared" ref="CY16" si="205">CV16+CS16+CP16</f>
        <v>0</v>
      </c>
      <c r="CZ16" s="68">
        <f t="shared" ref="CZ16" si="206">CW16+CT16+CQ16</f>
        <v>0</v>
      </c>
      <c r="DA16" s="68">
        <f t="shared" ref="DA16" si="207">CZ16+CY16+CX16</f>
        <v>7</v>
      </c>
      <c r="DB16" s="68"/>
      <c r="DC16" s="68"/>
      <c r="DD16" s="68"/>
      <c r="DE16" s="68"/>
      <c r="DF16" s="68"/>
      <c r="DG16" s="68"/>
      <c r="DH16" s="68">
        <f t="shared" ref="DH16" si="208">DF16+DD16+DB16</f>
        <v>0</v>
      </c>
      <c r="DI16" s="68">
        <f t="shared" ref="DI16" si="209">DG16+DE16+DC16</f>
        <v>0</v>
      </c>
      <c r="DJ16" s="68">
        <f t="shared" ref="DJ16" si="210">DI16+DH16</f>
        <v>0</v>
      </c>
      <c r="DK16" s="68">
        <v>16</v>
      </c>
      <c r="DL16" s="68"/>
      <c r="DM16" s="68">
        <v>20</v>
      </c>
      <c r="DN16" s="68"/>
      <c r="DO16" s="68">
        <v>34</v>
      </c>
      <c r="DP16" s="68"/>
      <c r="DQ16" s="68">
        <f t="shared" ref="DQ16" si="211">DO16+DM16+DK16</f>
        <v>70</v>
      </c>
      <c r="DR16" s="68">
        <f t="shared" ref="DR16" si="212">DP16+DN16+DL16</f>
        <v>0</v>
      </c>
      <c r="DS16" s="68">
        <f t="shared" ref="DS16" si="213">DR16+DQ16</f>
        <v>70</v>
      </c>
      <c r="DT16" s="68">
        <v>3</v>
      </c>
      <c r="DU16" s="68"/>
      <c r="DV16" s="68"/>
      <c r="DW16" s="68"/>
      <c r="DX16" s="68">
        <v>34</v>
      </c>
      <c r="DY16" s="68"/>
      <c r="DZ16" s="68">
        <f t="shared" ref="DZ16" si="214">DX16+DV16+DT16</f>
        <v>37</v>
      </c>
      <c r="EA16" s="68">
        <f t="shared" ref="EA16" si="215">DY16+DW16+DU16</f>
        <v>0</v>
      </c>
      <c r="EB16" s="68">
        <f t="shared" ref="EB16" si="216">EA16+DZ16</f>
        <v>37</v>
      </c>
      <c r="EC16" s="68"/>
      <c r="ED16" s="68"/>
      <c r="EE16" s="68"/>
      <c r="EF16" s="68"/>
      <c r="EG16" s="68"/>
      <c r="EH16" s="68"/>
      <c r="EI16" s="68">
        <f t="shared" ref="EI16" si="217">EG16+EE16+EC16</f>
        <v>0</v>
      </c>
      <c r="EJ16" s="68">
        <f t="shared" ref="EJ16" si="218">EH16+EF16+ED16</f>
        <v>0</v>
      </c>
      <c r="EK16" s="68">
        <f t="shared" ref="EK16" si="219">EJ16+EI16</f>
        <v>0</v>
      </c>
      <c r="EL16" s="68"/>
      <c r="EM16" s="68"/>
      <c r="EN16" s="68"/>
      <c r="EO16" s="68"/>
      <c r="EP16" s="68"/>
      <c r="EQ16" s="68"/>
      <c r="ER16" s="68">
        <f t="shared" ref="ER16" si="220">EP16+EN16+EL16</f>
        <v>0</v>
      </c>
      <c r="ES16" s="68">
        <f t="shared" ref="ES16" si="221">EQ16+EO16+EM16</f>
        <v>0</v>
      </c>
      <c r="ET16" s="68">
        <f t="shared" ref="ET16" si="222">ES16+ER16</f>
        <v>0</v>
      </c>
      <c r="EU16" s="68">
        <v>1</v>
      </c>
      <c r="EV16" s="68"/>
      <c r="EW16" s="68"/>
      <c r="EX16" s="68"/>
      <c r="EY16" s="68"/>
      <c r="EZ16" s="68"/>
      <c r="FA16" s="68"/>
      <c r="FB16" s="68"/>
      <c r="FC16" s="68">
        <f t="shared" ref="FC16" si="223">FA16+EY16+EW16+EU16</f>
        <v>1</v>
      </c>
      <c r="FD16" s="68">
        <f t="shared" ref="FD16" si="224">FB16+EZ16+EX16+EV16</f>
        <v>0</v>
      </c>
      <c r="FE16" s="68">
        <f t="shared" ref="FE16" si="225">FD16+FC16</f>
        <v>1</v>
      </c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>
        <f t="shared" ref="FU16" si="226">FT16+FS16+FR16+FN16+FL16+FH16+FF16</f>
        <v>0</v>
      </c>
      <c r="FV16" s="68">
        <f t="shared" ref="FV16" si="227">FO16+FM16+FI16+FG16</f>
        <v>0</v>
      </c>
      <c r="FW16" s="68">
        <f t="shared" ref="FW16" si="228">FV16+FU16</f>
        <v>0</v>
      </c>
      <c r="FX16" s="68"/>
      <c r="FY16" s="68"/>
      <c r="FZ16" s="68"/>
      <c r="GA16" s="68"/>
      <c r="GB16" s="68">
        <v>1</v>
      </c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>
        <f t="shared" ref="GN16" si="229">GL16+GJ16+GH16+GF16+GD16+GB16+FZ16+FX16</f>
        <v>1</v>
      </c>
      <c r="GO16" s="68">
        <f t="shared" ref="GO16" si="230">GM16+GK16+GI16+GG16+GE16+GC16+GA16+FY16</f>
        <v>0</v>
      </c>
      <c r="GP16" s="68">
        <f t="shared" ref="GP16" si="231">GO16+GN16</f>
        <v>1</v>
      </c>
      <c r="GQ16" s="68">
        <v>1</v>
      </c>
      <c r="GR16" s="68"/>
      <c r="GS16" s="68"/>
      <c r="GT16" s="68"/>
      <c r="GU16" s="68"/>
      <c r="GV16" s="68"/>
      <c r="GW16" s="68">
        <f t="shared" ref="GW16" si="232">GU16+GS16+GQ16</f>
        <v>1</v>
      </c>
      <c r="GX16" s="68">
        <f t="shared" ref="GX16" si="233">GV16+GT16+GR16</f>
        <v>0</v>
      </c>
      <c r="GY16" s="68">
        <f t="shared" ref="GY16" si="234">GX16+GW16</f>
        <v>1</v>
      </c>
      <c r="GZ16" s="68">
        <v>1</v>
      </c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>
        <f t="shared" si="65"/>
        <v>1</v>
      </c>
      <c r="HR16" s="68">
        <f t="shared" si="66"/>
        <v>0</v>
      </c>
      <c r="HS16" s="68">
        <f t="shared" ref="HS16" si="235">HR16+HQ16</f>
        <v>1</v>
      </c>
      <c r="HT16" s="68"/>
      <c r="HU16" s="68"/>
      <c r="HV16" s="68">
        <v>1</v>
      </c>
      <c r="HW16" s="68"/>
      <c r="HX16" s="68"/>
      <c r="HY16" s="68"/>
      <c r="HZ16" s="68"/>
      <c r="IA16" s="68"/>
      <c r="IB16" s="68">
        <f t="shared" ref="IB16" si="236">HZ16+HX16+HV16+HT16</f>
        <v>1</v>
      </c>
      <c r="IC16" s="68">
        <f t="shared" ref="IC16" si="237">IA16+HY16+HW16+HU16</f>
        <v>0</v>
      </c>
      <c r="ID16" s="68">
        <f t="shared" ref="ID16" si="238">IC16+IB16</f>
        <v>1</v>
      </c>
      <c r="IE16" s="68">
        <v>1</v>
      </c>
      <c r="IF16" s="68"/>
      <c r="IG16" s="68"/>
      <c r="IH16" s="68">
        <v>1</v>
      </c>
      <c r="II16" s="68"/>
      <c r="IJ16" s="68">
        <v>1</v>
      </c>
      <c r="IK16" s="68"/>
      <c r="IL16" s="68">
        <v>1</v>
      </c>
      <c r="IM16" s="68"/>
      <c r="IN16" s="68"/>
      <c r="IO16" s="68"/>
      <c r="IP16" s="68"/>
      <c r="IQ16" s="68">
        <v>95</v>
      </c>
      <c r="IR16" s="68"/>
      <c r="IS16" s="68">
        <v>24</v>
      </c>
      <c r="IT16" s="68"/>
      <c r="IU16" s="68"/>
      <c r="IV16" s="68"/>
      <c r="IW16" s="68"/>
      <c r="IX16" s="68">
        <v>1</v>
      </c>
      <c r="IY16" s="68" t="s">
        <v>266</v>
      </c>
      <c r="IZ16" s="82">
        <v>7715895507</v>
      </c>
      <c r="JA16" s="68"/>
    </row>
    <row r="17" spans="1:265" s="69" customFormat="1" ht="24.75" customHeight="1" x14ac:dyDescent="0.2">
      <c r="A17" s="68" t="s">
        <v>42</v>
      </c>
      <c r="B17" s="68" t="s">
        <v>129</v>
      </c>
      <c r="C17" s="68">
        <v>21</v>
      </c>
      <c r="D17" s="68">
        <v>1401616</v>
      </c>
      <c r="E17" s="68" t="s">
        <v>259</v>
      </c>
      <c r="F17" s="68"/>
      <c r="G17" s="68">
        <v>1</v>
      </c>
      <c r="H17" s="68"/>
      <c r="I17" s="68">
        <v>1</v>
      </c>
      <c r="J17" s="68"/>
      <c r="K17" s="68">
        <v>1</v>
      </c>
      <c r="L17" s="68"/>
      <c r="M17" s="68"/>
      <c r="N17" s="68">
        <v>1</v>
      </c>
      <c r="O17" s="68"/>
      <c r="P17" s="68"/>
      <c r="Q17" s="68"/>
      <c r="R17" s="68">
        <v>1</v>
      </c>
      <c r="S17" s="68"/>
      <c r="T17" s="68"/>
      <c r="U17" s="68"/>
      <c r="V17" s="68">
        <v>1</v>
      </c>
      <c r="W17" s="68"/>
      <c r="X17" s="68"/>
      <c r="Y17" s="68"/>
      <c r="Z17" s="91"/>
      <c r="AA17" s="68"/>
      <c r="AB17" s="68">
        <v>4</v>
      </c>
      <c r="AC17" s="68"/>
      <c r="AD17" s="68">
        <v>6</v>
      </c>
      <c r="AE17" s="68"/>
      <c r="AF17" s="68">
        <v>3</v>
      </c>
      <c r="AG17" s="68"/>
      <c r="AH17" s="68">
        <v>3</v>
      </c>
      <c r="AI17" s="68"/>
      <c r="AJ17" s="68">
        <v>3</v>
      </c>
      <c r="AK17" s="68"/>
      <c r="AL17" s="68">
        <v>1</v>
      </c>
      <c r="AM17" s="68">
        <f>AK17+AI17+AG17+AE17+AC17+AA17+Y17</f>
        <v>0</v>
      </c>
      <c r="AN17" s="68">
        <f>AL17+AJ17+AH17+AF17+AD17+AB17+Z17</f>
        <v>20</v>
      </c>
      <c r="AO17" s="68">
        <f>AN17+AM17</f>
        <v>20</v>
      </c>
      <c r="AP17" s="68"/>
      <c r="AQ17" s="68"/>
      <c r="AR17" s="68"/>
      <c r="AS17" s="68">
        <v>2</v>
      </c>
      <c r="AT17" s="68"/>
      <c r="AU17" s="68">
        <v>2</v>
      </c>
      <c r="AV17" s="68"/>
      <c r="AW17" s="68">
        <v>3</v>
      </c>
      <c r="AX17" s="68"/>
      <c r="AY17" s="68">
        <v>1</v>
      </c>
      <c r="AZ17" s="68"/>
      <c r="BA17" s="68">
        <v>3</v>
      </c>
      <c r="BB17" s="68"/>
      <c r="BC17" s="68">
        <v>1</v>
      </c>
      <c r="BD17" s="68">
        <f>BB17+AZ17+AX17+AV17+AT17+AR17+AP17</f>
        <v>0</v>
      </c>
      <c r="BE17" s="68">
        <f>BC17+BA17+AY17+AW17+AU17+AS17+AQ17</f>
        <v>12</v>
      </c>
      <c r="BF17" s="68">
        <f>BE17+BD17</f>
        <v>12</v>
      </c>
      <c r="BG17" s="68"/>
      <c r="BH17" s="68"/>
      <c r="BI17" s="68"/>
      <c r="BJ17" s="68"/>
      <c r="BK17" s="68"/>
      <c r="BL17" s="68">
        <v>1</v>
      </c>
      <c r="BM17" s="68"/>
      <c r="BN17" s="68">
        <v>4</v>
      </c>
      <c r="BO17" s="68"/>
      <c r="BP17" s="68">
        <v>8</v>
      </c>
      <c r="BQ17" s="68"/>
      <c r="BR17" s="68">
        <v>8</v>
      </c>
      <c r="BS17" s="68"/>
      <c r="BT17" s="68">
        <v>5</v>
      </c>
      <c r="BU17" s="68">
        <f t="shared" ref="BU17" si="239">BS17+BQ17+BO17+BM17+BK17+BI17+BG17</f>
        <v>0</v>
      </c>
      <c r="BV17" s="68">
        <f t="shared" ref="BV17" si="240">BT17+BR17+BP17+BN17+BL17+BJ17+BH17</f>
        <v>26</v>
      </c>
      <c r="BW17" s="68">
        <f t="shared" ref="BW17" si="241">BV17+BU17</f>
        <v>26</v>
      </c>
      <c r="BX17" s="68">
        <f t="shared" ref="BX17:CK17" si="242">BG17+AP17+Y17</f>
        <v>0</v>
      </c>
      <c r="BY17" s="68">
        <f t="shared" si="242"/>
        <v>0</v>
      </c>
      <c r="BZ17" s="68">
        <f t="shared" si="242"/>
        <v>0</v>
      </c>
      <c r="CA17" s="68">
        <f t="shared" si="242"/>
        <v>6</v>
      </c>
      <c r="CB17" s="68">
        <f t="shared" si="242"/>
        <v>0</v>
      </c>
      <c r="CC17" s="68">
        <f t="shared" si="242"/>
        <v>9</v>
      </c>
      <c r="CD17" s="68">
        <f t="shared" si="242"/>
        <v>0</v>
      </c>
      <c r="CE17" s="68">
        <f t="shared" si="242"/>
        <v>10</v>
      </c>
      <c r="CF17" s="68">
        <f t="shared" si="242"/>
        <v>0</v>
      </c>
      <c r="CG17" s="68">
        <f t="shared" si="242"/>
        <v>12</v>
      </c>
      <c r="CH17" s="68">
        <f t="shared" si="242"/>
        <v>0</v>
      </c>
      <c r="CI17" s="68">
        <f t="shared" si="242"/>
        <v>14</v>
      </c>
      <c r="CJ17" s="68">
        <f t="shared" si="242"/>
        <v>0</v>
      </c>
      <c r="CK17" s="68">
        <f t="shared" si="242"/>
        <v>7</v>
      </c>
      <c r="CL17" s="68">
        <f>CJ17+CH17+CF17+CD17+CB17+BZ17+BX17</f>
        <v>0</v>
      </c>
      <c r="CM17" s="68">
        <f>CK17+CI17+CG17+CE17+CC17+CA17+BY17</f>
        <v>58</v>
      </c>
      <c r="CN17" s="68">
        <f>CM17+CL17</f>
        <v>58</v>
      </c>
      <c r="CO17" s="68"/>
      <c r="CP17" s="68">
        <v>1</v>
      </c>
      <c r="CQ17" s="68"/>
      <c r="CR17" s="68"/>
      <c r="CS17" s="68">
        <v>1</v>
      </c>
      <c r="CT17" s="68"/>
      <c r="CU17" s="68"/>
      <c r="CV17" s="68">
        <v>1</v>
      </c>
      <c r="CW17" s="68"/>
      <c r="CX17" s="68">
        <f t="shared" ref="CX17" si="243">CU17+CR17+CO17</f>
        <v>0</v>
      </c>
      <c r="CY17" s="68">
        <f t="shared" ref="CY17" si="244">CV17+CS17+CP17</f>
        <v>3</v>
      </c>
      <c r="CZ17" s="68">
        <f t="shared" ref="CZ17" si="245">CW17+CT17+CQ17</f>
        <v>0</v>
      </c>
      <c r="DA17" s="68">
        <f t="shared" ref="DA17" si="246">CZ17+CY17+CX17</f>
        <v>3</v>
      </c>
      <c r="DB17" s="68"/>
      <c r="DC17" s="68">
        <v>3</v>
      </c>
      <c r="DD17" s="68"/>
      <c r="DE17" s="68">
        <v>6</v>
      </c>
      <c r="DF17" s="68"/>
      <c r="DG17" s="68">
        <v>15</v>
      </c>
      <c r="DH17" s="68">
        <f t="shared" ref="DH17" si="247">DF17+DD17+DB17</f>
        <v>0</v>
      </c>
      <c r="DI17" s="68">
        <f t="shared" ref="DI17" si="248">DG17+DE17+DC17</f>
        <v>24</v>
      </c>
      <c r="DJ17" s="68">
        <f t="shared" ref="DJ17" si="249">DI17+DH17</f>
        <v>24</v>
      </c>
      <c r="DK17" s="68"/>
      <c r="DL17" s="68">
        <v>4</v>
      </c>
      <c r="DM17" s="68"/>
      <c r="DN17" s="68">
        <v>2</v>
      </c>
      <c r="DO17" s="68"/>
      <c r="DP17" s="68">
        <v>25</v>
      </c>
      <c r="DQ17" s="68">
        <f t="shared" ref="DQ17" si="250">DO17+DM17+DK17</f>
        <v>0</v>
      </c>
      <c r="DR17" s="68">
        <f t="shared" ref="DR17" si="251">DP17+DN17+DL17</f>
        <v>31</v>
      </c>
      <c r="DS17" s="68">
        <f t="shared" ref="DS17" si="252">DR17+DQ17</f>
        <v>31</v>
      </c>
      <c r="DT17" s="68"/>
      <c r="DU17" s="68">
        <v>8</v>
      </c>
      <c r="DV17" s="68"/>
      <c r="DW17" s="68">
        <v>10</v>
      </c>
      <c r="DX17" s="68"/>
      <c r="DY17" s="68">
        <v>24</v>
      </c>
      <c r="DZ17" s="68">
        <f t="shared" ref="DZ17" si="253">DX17+DV17+DT17</f>
        <v>0</v>
      </c>
      <c r="EA17" s="68">
        <f t="shared" ref="EA17" si="254">DY17+DW17+DU17</f>
        <v>42</v>
      </c>
      <c r="EB17" s="68">
        <f t="shared" ref="EB17" si="255">EA17+DZ17</f>
        <v>42</v>
      </c>
      <c r="EC17" s="68"/>
      <c r="ED17" s="68"/>
      <c r="EE17" s="68"/>
      <c r="EF17" s="68"/>
      <c r="EG17" s="68"/>
      <c r="EH17" s="68"/>
      <c r="EI17" s="68">
        <f t="shared" ref="EI17" si="256">EG17+EE17+EC17</f>
        <v>0</v>
      </c>
      <c r="EJ17" s="68">
        <f t="shared" ref="EJ17" si="257">EH17+EF17+ED17</f>
        <v>0</v>
      </c>
      <c r="EK17" s="68">
        <f t="shared" ref="EK17" si="258">EJ17+EI17</f>
        <v>0</v>
      </c>
      <c r="EL17" s="68"/>
      <c r="EM17" s="68"/>
      <c r="EN17" s="68"/>
      <c r="EO17" s="68"/>
      <c r="EP17" s="68"/>
      <c r="EQ17" s="68"/>
      <c r="ER17" s="68">
        <f t="shared" ref="ER17" si="259">EP17+EN17+EL17</f>
        <v>0</v>
      </c>
      <c r="ES17" s="68">
        <f t="shared" ref="ES17" si="260">EQ17+EO17+EM17</f>
        <v>0</v>
      </c>
      <c r="ET17" s="68">
        <f t="shared" ref="ET17" si="261">ES17+ER17</f>
        <v>0</v>
      </c>
      <c r="EU17" s="68"/>
      <c r="EV17" s="68">
        <v>1</v>
      </c>
      <c r="EW17" s="68"/>
      <c r="EX17" s="68"/>
      <c r="EY17" s="68"/>
      <c r="EZ17" s="68"/>
      <c r="FA17" s="68"/>
      <c r="FB17" s="68"/>
      <c r="FC17" s="68">
        <f t="shared" ref="FC17" si="262">FA17+EY17+EW17+EU17</f>
        <v>0</v>
      </c>
      <c r="FD17" s="68">
        <f t="shared" ref="FD17" si="263">FB17+EZ17+EX17+EV17</f>
        <v>1</v>
      </c>
      <c r="FE17" s="68">
        <f t="shared" ref="FE17" si="264">FD17+FC17</f>
        <v>1</v>
      </c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>
        <v>1</v>
      </c>
      <c r="GD17" s="68"/>
      <c r="GE17" s="68"/>
      <c r="GF17" s="68"/>
      <c r="GG17" s="68"/>
      <c r="GH17" s="68"/>
      <c r="GI17" s="68"/>
      <c r="GJ17" s="68"/>
      <c r="GK17" s="68"/>
      <c r="GL17" s="68"/>
      <c r="GM17" s="68"/>
      <c r="GN17" s="68">
        <f t="shared" ref="GN17" si="265">GL17+GJ17+GH17+GF17+GD17+GB17+FZ17+FX17</f>
        <v>0</v>
      </c>
      <c r="GO17" s="68">
        <f t="shared" ref="GO17" si="266">GM17+GK17+GI17+GG17+GE17+GC17+GA17+FY17</f>
        <v>1</v>
      </c>
      <c r="GP17" s="68">
        <f t="shared" ref="GP17" si="267">GO17+GN17</f>
        <v>1</v>
      </c>
      <c r="GQ17" s="68"/>
      <c r="GR17" s="68">
        <v>1</v>
      </c>
      <c r="GS17" s="68"/>
      <c r="GT17" s="68"/>
      <c r="GU17" s="68"/>
      <c r="GV17" s="68"/>
      <c r="GW17" s="68">
        <f t="shared" ref="GW17" si="268">GU17+GS17+GQ17</f>
        <v>0</v>
      </c>
      <c r="GX17" s="68">
        <f t="shared" ref="GX17" si="269">GV17+GT17+GR17</f>
        <v>1</v>
      </c>
      <c r="GY17" s="68">
        <f t="shared" ref="GY17" si="270">GX17+GW17</f>
        <v>1</v>
      </c>
      <c r="GZ17" s="68"/>
      <c r="HA17" s="68">
        <v>1</v>
      </c>
      <c r="HB17" s="68"/>
      <c r="HC17" s="68"/>
      <c r="HD17" s="68"/>
      <c r="HE17" s="68"/>
      <c r="HF17" s="68"/>
      <c r="HG17" s="68"/>
      <c r="HH17" s="68"/>
      <c r="HI17" s="68"/>
      <c r="HJ17" s="68"/>
      <c r="HK17" s="68"/>
      <c r="HL17" s="68"/>
      <c r="HM17" s="68"/>
      <c r="HN17" s="68"/>
      <c r="HO17" s="68"/>
      <c r="HP17" s="68"/>
      <c r="HQ17" s="68">
        <f t="shared" si="65"/>
        <v>0</v>
      </c>
      <c r="HR17" s="68">
        <f t="shared" si="66"/>
        <v>1</v>
      </c>
      <c r="HS17" s="68">
        <f>HR17+HQ17</f>
        <v>1</v>
      </c>
      <c r="HT17" s="68"/>
      <c r="HU17" s="68"/>
      <c r="HV17" s="68"/>
      <c r="HW17" s="68"/>
      <c r="HX17" s="68"/>
      <c r="HY17" s="68">
        <v>1</v>
      </c>
      <c r="HZ17" s="68"/>
      <c r="IA17" s="68"/>
      <c r="IB17" s="68">
        <f t="shared" ref="IB17" si="271">HZ17+HX17+HV17+HT17</f>
        <v>0</v>
      </c>
      <c r="IC17" s="68">
        <f t="shared" ref="IC17" si="272">IA17+HY17+HW17+HU17</f>
        <v>1</v>
      </c>
      <c r="ID17" s="68">
        <f t="shared" ref="ID17" si="273">IC17+IB17</f>
        <v>1</v>
      </c>
      <c r="IE17" s="68"/>
      <c r="IF17" s="68"/>
      <c r="IG17" s="68"/>
      <c r="IH17" s="68">
        <v>1</v>
      </c>
      <c r="II17" s="68"/>
      <c r="IJ17" s="68">
        <v>1</v>
      </c>
      <c r="IK17" s="68"/>
      <c r="IL17" s="68">
        <v>1</v>
      </c>
      <c r="IM17" s="68"/>
      <c r="IN17" s="68"/>
      <c r="IO17" s="68"/>
      <c r="IP17" s="68"/>
      <c r="IQ17" s="68"/>
      <c r="IR17" s="68"/>
      <c r="IS17" s="68"/>
      <c r="IT17" s="68"/>
      <c r="IU17" s="68">
        <v>1</v>
      </c>
      <c r="IV17" s="68"/>
      <c r="IW17" s="68"/>
      <c r="IX17" s="68">
        <v>1</v>
      </c>
      <c r="IY17" s="68" t="s">
        <v>260</v>
      </c>
      <c r="IZ17" s="82">
        <v>7808247774</v>
      </c>
      <c r="JA17" s="68" t="s">
        <v>269</v>
      </c>
    </row>
    <row r="18" spans="1:265" s="69" customFormat="1" ht="24.75" customHeight="1" x14ac:dyDescent="0.2">
      <c r="A18" s="68" t="s">
        <v>42</v>
      </c>
      <c r="B18" s="68" t="s">
        <v>129</v>
      </c>
      <c r="C18" s="68">
        <v>12</v>
      </c>
      <c r="D18" s="114">
        <v>1401494</v>
      </c>
      <c r="E18" s="68" t="s">
        <v>250</v>
      </c>
      <c r="F18" s="68"/>
      <c r="G18" s="68">
        <v>1</v>
      </c>
      <c r="H18" s="68"/>
      <c r="I18" s="68">
        <v>1</v>
      </c>
      <c r="J18" s="68"/>
      <c r="K18" s="68"/>
      <c r="L18" s="68">
        <v>1</v>
      </c>
      <c r="M18" s="68"/>
      <c r="N18" s="68">
        <v>1</v>
      </c>
      <c r="O18" s="68"/>
      <c r="P18" s="68"/>
      <c r="Q18" s="68"/>
      <c r="R18" s="68">
        <v>1</v>
      </c>
      <c r="S18" s="68"/>
      <c r="T18" s="68"/>
      <c r="U18" s="68"/>
      <c r="V18" s="68">
        <v>1</v>
      </c>
      <c r="W18" s="68"/>
      <c r="X18" s="68"/>
      <c r="Y18" s="68"/>
      <c r="Z18" s="91">
        <v>5</v>
      </c>
      <c r="AA18" s="68"/>
      <c r="AB18" s="68">
        <v>2</v>
      </c>
      <c r="AC18" s="68"/>
      <c r="AD18" s="68">
        <v>3</v>
      </c>
      <c r="AE18" s="68"/>
      <c r="AF18" s="68">
        <v>3</v>
      </c>
      <c r="AG18" s="68"/>
      <c r="AH18" s="68"/>
      <c r="AI18" s="68"/>
      <c r="AJ18" s="68">
        <v>1</v>
      </c>
      <c r="AK18" s="68"/>
      <c r="AL18" s="68">
        <v>3</v>
      </c>
      <c r="AM18" s="68">
        <f t="shared" si="70"/>
        <v>0</v>
      </c>
      <c r="AN18" s="68">
        <f t="shared" si="71"/>
        <v>17</v>
      </c>
      <c r="AO18" s="68">
        <f t="shared" si="72"/>
        <v>17</v>
      </c>
      <c r="AP18" s="68"/>
      <c r="AQ18" s="68">
        <v>1</v>
      </c>
      <c r="AR18" s="68"/>
      <c r="AS18" s="68">
        <v>1</v>
      </c>
      <c r="AT18" s="68"/>
      <c r="AU18" s="68">
        <v>4</v>
      </c>
      <c r="AV18" s="68"/>
      <c r="AW18" s="68">
        <v>5</v>
      </c>
      <c r="AX18" s="68"/>
      <c r="AY18" s="68">
        <v>8</v>
      </c>
      <c r="AZ18" s="68"/>
      <c r="BA18" s="68">
        <v>4</v>
      </c>
      <c r="BB18" s="68"/>
      <c r="BC18" s="68">
        <v>4</v>
      </c>
      <c r="BD18" s="68">
        <f t="shared" si="73"/>
        <v>0</v>
      </c>
      <c r="BE18" s="68">
        <f t="shared" si="74"/>
        <v>27</v>
      </c>
      <c r="BF18" s="68">
        <f t="shared" si="75"/>
        <v>27</v>
      </c>
      <c r="BG18" s="68"/>
      <c r="BH18" s="68">
        <v>1</v>
      </c>
      <c r="BI18" s="68"/>
      <c r="BJ18" s="68">
        <v>1</v>
      </c>
      <c r="BK18" s="68"/>
      <c r="BL18" s="68">
        <v>4</v>
      </c>
      <c r="BM18" s="68"/>
      <c r="BN18" s="68">
        <v>4</v>
      </c>
      <c r="BO18" s="68"/>
      <c r="BP18" s="68">
        <v>2</v>
      </c>
      <c r="BQ18" s="68"/>
      <c r="BR18" s="68">
        <v>2</v>
      </c>
      <c r="BS18" s="68"/>
      <c r="BT18" s="68">
        <v>8</v>
      </c>
      <c r="BU18" s="68">
        <f t="shared" si="76"/>
        <v>0</v>
      </c>
      <c r="BV18" s="68">
        <f t="shared" si="77"/>
        <v>22</v>
      </c>
      <c r="BW18" s="68">
        <f t="shared" si="78"/>
        <v>22</v>
      </c>
      <c r="BX18" s="68">
        <f t="shared" si="79"/>
        <v>0</v>
      </c>
      <c r="BY18" s="68">
        <f t="shared" si="80"/>
        <v>7</v>
      </c>
      <c r="BZ18" s="68">
        <f t="shared" si="81"/>
        <v>0</v>
      </c>
      <c r="CA18" s="68">
        <f t="shared" si="82"/>
        <v>4</v>
      </c>
      <c r="CB18" s="68">
        <f t="shared" si="83"/>
        <v>0</v>
      </c>
      <c r="CC18" s="68">
        <f t="shared" si="84"/>
        <v>11</v>
      </c>
      <c r="CD18" s="68">
        <f t="shared" si="85"/>
        <v>0</v>
      </c>
      <c r="CE18" s="68">
        <f t="shared" si="86"/>
        <v>12</v>
      </c>
      <c r="CF18" s="68">
        <f t="shared" si="87"/>
        <v>0</v>
      </c>
      <c r="CG18" s="68">
        <f t="shared" si="88"/>
        <v>10</v>
      </c>
      <c r="CH18" s="68">
        <f t="shared" si="89"/>
        <v>0</v>
      </c>
      <c r="CI18" s="68">
        <f t="shared" si="90"/>
        <v>7</v>
      </c>
      <c r="CJ18" s="68">
        <f t="shared" si="91"/>
        <v>0</v>
      </c>
      <c r="CK18" s="68">
        <f t="shared" si="92"/>
        <v>15</v>
      </c>
      <c r="CL18" s="68">
        <f t="shared" si="93"/>
        <v>0</v>
      </c>
      <c r="CM18" s="68">
        <f t="shared" si="94"/>
        <v>66</v>
      </c>
      <c r="CN18" s="68">
        <f t="shared" si="95"/>
        <v>66</v>
      </c>
      <c r="CO18" s="68"/>
      <c r="CP18" s="68">
        <v>1</v>
      </c>
      <c r="CQ18" s="68"/>
      <c r="CR18" s="68"/>
      <c r="CS18" s="68">
        <v>1</v>
      </c>
      <c r="CT18" s="68"/>
      <c r="CU18" s="68"/>
      <c r="CV18" s="68">
        <v>1</v>
      </c>
      <c r="CW18" s="68"/>
      <c r="CX18" s="68">
        <f t="shared" si="96"/>
        <v>0</v>
      </c>
      <c r="CY18" s="68">
        <f t="shared" si="97"/>
        <v>3</v>
      </c>
      <c r="CZ18" s="68">
        <f t="shared" si="98"/>
        <v>0</v>
      </c>
      <c r="DA18" s="68">
        <f t="shared" si="99"/>
        <v>3</v>
      </c>
      <c r="DB18" s="68"/>
      <c r="DC18" s="68">
        <v>5</v>
      </c>
      <c r="DD18" s="68"/>
      <c r="DE18" s="68">
        <v>2</v>
      </c>
      <c r="DF18" s="68"/>
      <c r="DG18" s="68">
        <v>6</v>
      </c>
      <c r="DH18" s="68">
        <f t="shared" si="100"/>
        <v>0</v>
      </c>
      <c r="DI18" s="68">
        <f t="shared" si="101"/>
        <v>13</v>
      </c>
      <c r="DJ18" s="68">
        <f t="shared" si="102"/>
        <v>13</v>
      </c>
      <c r="DK18" s="68"/>
      <c r="DL18" s="68">
        <v>17</v>
      </c>
      <c r="DM18" s="68"/>
      <c r="DN18" s="68">
        <v>14</v>
      </c>
      <c r="DO18" s="68"/>
      <c r="DP18" s="68">
        <v>28</v>
      </c>
      <c r="DQ18" s="68">
        <f t="shared" si="103"/>
        <v>0</v>
      </c>
      <c r="DR18" s="68">
        <f t="shared" si="104"/>
        <v>59</v>
      </c>
      <c r="DS18" s="68">
        <f t="shared" si="105"/>
        <v>59</v>
      </c>
      <c r="DT18" s="68"/>
      <c r="DU18" s="68">
        <v>22</v>
      </c>
      <c r="DV18" s="68"/>
      <c r="DW18" s="68">
        <v>14</v>
      </c>
      <c r="DX18" s="68"/>
      <c r="DY18" s="68">
        <v>17</v>
      </c>
      <c r="DZ18" s="68">
        <f t="shared" si="106"/>
        <v>0</v>
      </c>
      <c r="EA18" s="68">
        <f t="shared" si="107"/>
        <v>53</v>
      </c>
      <c r="EB18" s="68">
        <f t="shared" si="108"/>
        <v>53</v>
      </c>
      <c r="EC18" s="68"/>
      <c r="ED18" s="68"/>
      <c r="EE18" s="68"/>
      <c r="EF18" s="68"/>
      <c r="EG18" s="68"/>
      <c r="EH18" s="68"/>
      <c r="EI18" s="68">
        <f t="shared" si="109"/>
        <v>0</v>
      </c>
      <c r="EJ18" s="68">
        <f t="shared" si="110"/>
        <v>0</v>
      </c>
      <c r="EK18" s="68">
        <f t="shared" si="111"/>
        <v>0</v>
      </c>
      <c r="EL18" s="68"/>
      <c r="EM18" s="68"/>
      <c r="EN18" s="68"/>
      <c r="EO18" s="68"/>
      <c r="EP18" s="68"/>
      <c r="EQ18" s="68"/>
      <c r="ER18" s="68">
        <f t="shared" si="112"/>
        <v>0</v>
      </c>
      <c r="ES18" s="68">
        <f t="shared" si="113"/>
        <v>0</v>
      </c>
      <c r="ET18" s="68">
        <f t="shared" si="114"/>
        <v>0</v>
      </c>
      <c r="EU18" s="68"/>
      <c r="EV18" s="68">
        <v>1</v>
      </c>
      <c r="EW18" s="68"/>
      <c r="EX18" s="68"/>
      <c r="EY18" s="68"/>
      <c r="EZ18" s="68">
        <v>5</v>
      </c>
      <c r="FA18" s="68"/>
      <c r="FB18" s="68"/>
      <c r="FC18" s="68">
        <f t="shared" si="115"/>
        <v>0</v>
      </c>
      <c r="FD18" s="68">
        <f t="shared" si="116"/>
        <v>6</v>
      </c>
      <c r="FE18" s="68">
        <f t="shared" si="117"/>
        <v>6</v>
      </c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>
        <f t="shared" si="118"/>
        <v>0</v>
      </c>
      <c r="FV18" s="68">
        <f t="shared" si="119"/>
        <v>0</v>
      </c>
      <c r="FW18" s="68">
        <f t="shared" si="120"/>
        <v>0</v>
      </c>
      <c r="FX18" s="68"/>
      <c r="FY18" s="68"/>
      <c r="FZ18" s="68"/>
      <c r="GA18" s="68"/>
      <c r="GB18" s="68"/>
      <c r="GC18" s="68">
        <v>1</v>
      </c>
      <c r="GD18" s="68"/>
      <c r="GE18" s="68"/>
      <c r="GF18" s="68"/>
      <c r="GG18" s="68"/>
      <c r="GH18" s="68"/>
      <c r="GI18" s="68">
        <v>3</v>
      </c>
      <c r="GJ18" s="68"/>
      <c r="GK18" s="68">
        <v>2</v>
      </c>
      <c r="GL18" s="68"/>
      <c r="GM18" s="68"/>
      <c r="GN18" s="68">
        <f t="shared" si="121"/>
        <v>0</v>
      </c>
      <c r="GO18" s="68">
        <f t="shared" si="122"/>
        <v>6</v>
      </c>
      <c r="GP18" s="68">
        <f t="shared" si="123"/>
        <v>6</v>
      </c>
      <c r="GQ18" s="68"/>
      <c r="GR18" s="68">
        <v>6</v>
      </c>
      <c r="GS18" s="68"/>
      <c r="GT18" s="68"/>
      <c r="GU18" s="68"/>
      <c r="GV18" s="68"/>
      <c r="GW18" s="68">
        <f t="shared" si="124"/>
        <v>0</v>
      </c>
      <c r="GX18" s="68">
        <f t="shared" si="125"/>
        <v>6</v>
      </c>
      <c r="GY18" s="68">
        <f t="shared" si="126"/>
        <v>6</v>
      </c>
      <c r="GZ18" s="68"/>
      <c r="HA18" s="68">
        <v>6</v>
      </c>
      <c r="HB18" s="68"/>
      <c r="HC18" s="68"/>
      <c r="HD18" s="68"/>
      <c r="HE18" s="68"/>
      <c r="HF18" s="68"/>
      <c r="HG18" s="68"/>
      <c r="HH18" s="68"/>
      <c r="HI18" s="68"/>
      <c r="HJ18" s="68"/>
      <c r="HK18" s="68"/>
      <c r="HL18" s="68"/>
      <c r="HM18" s="68"/>
      <c r="HN18" s="68"/>
      <c r="HO18" s="68"/>
      <c r="HP18" s="68"/>
      <c r="HQ18" s="68">
        <f t="shared" si="65"/>
        <v>0</v>
      </c>
      <c r="HR18" s="68">
        <f t="shared" si="66"/>
        <v>6</v>
      </c>
      <c r="HS18" s="68">
        <f t="shared" si="127"/>
        <v>6</v>
      </c>
      <c r="HT18" s="68"/>
      <c r="HU18" s="68">
        <v>1</v>
      </c>
      <c r="HV18" s="68"/>
      <c r="HW18" s="68">
        <v>5</v>
      </c>
      <c r="HX18" s="68"/>
      <c r="HY18" s="68"/>
      <c r="HZ18" s="68"/>
      <c r="IA18" s="68"/>
      <c r="IB18" s="68">
        <f t="shared" si="128"/>
        <v>0</v>
      </c>
      <c r="IC18" s="68">
        <f t="shared" si="129"/>
        <v>6</v>
      </c>
      <c r="ID18" s="68">
        <f t="shared" si="130"/>
        <v>6</v>
      </c>
      <c r="IE18" s="68"/>
      <c r="IF18" s="68">
        <v>6</v>
      </c>
      <c r="IG18" s="68"/>
      <c r="IH18" s="68">
        <v>1</v>
      </c>
      <c r="II18" s="68"/>
      <c r="IJ18" s="68">
        <v>1</v>
      </c>
      <c r="IK18" s="68"/>
      <c r="IL18" s="68">
        <v>1</v>
      </c>
      <c r="IM18" s="68"/>
      <c r="IN18" s="68"/>
      <c r="IO18" s="68"/>
      <c r="IP18" s="68"/>
      <c r="IQ18" s="68">
        <v>200</v>
      </c>
      <c r="IR18" s="68"/>
      <c r="IS18" s="68">
        <v>12</v>
      </c>
      <c r="IT18" s="68"/>
      <c r="IU18" s="68"/>
      <c r="IV18" s="68"/>
      <c r="IW18" s="68"/>
      <c r="IX18" s="68">
        <v>1</v>
      </c>
      <c r="IY18" s="68" t="s">
        <v>251</v>
      </c>
      <c r="IZ18" s="82">
        <v>7816032430</v>
      </c>
      <c r="JA18" s="68" t="s">
        <v>252</v>
      </c>
    </row>
    <row r="19" spans="1:265" s="69" customFormat="1" ht="24.75" customHeight="1" x14ac:dyDescent="0.2">
      <c r="A19" s="68" t="s">
        <v>42</v>
      </c>
      <c r="B19" s="68" t="s">
        <v>129</v>
      </c>
      <c r="C19" s="68">
        <v>13</v>
      </c>
      <c r="D19" s="68">
        <v>1401710</v>
      </c>
      <c r="E19" s="68" t="s">
        <v>284</v>
      </c>
      <c r="F19" s="68"/>
      <c r="G19" s="68">
        <v>1</v>
      </c>
      <c r="H19" s="68">
        <v>1</v>
      </c>
      <c r="I19" s="68"/>
      <c r="J19" s="68"/>
      <c r="K19" s="68">
        <v>1</v>
      </c>
      <c r="L19" s="68"/>
      <c r="M19" s="68"/>
      <c r="N19" s="68">
        <v>1</v>
      </c>
      <c r="O19" s="68"/>
      <c r="P19" s="68"/>
      <c r="Q19" s="68"/>
      <c r="R19" s="68">
        <v>1</v>
      </c>
      <c r="S19" s="68"/>
      <c r="T19" s="68"/>
      <c r="U19" s="68"/>
      <c r="V19" s="68">
        <v>1</v>
      </c>
      <c r="W19" s="68"/>
      <c r="X19" s="68">
        <v>1</v>
      </c>
      <c r="Y19" s="68">
        <v>6</v>
      </c>
      <c r="Z19" s="91"/>
      <c r="AA19" s="68">
        <v>13</v>
      </c>
      <c r="AB19" s="68"/>
      <c r="AC19" s="68">
        <v>11</v>
      </c>
      <c r="AD19" s="68"/>
      <c r="AE19" s="68">
        <v>8</v>
      </c>
      <c r="AF19" s="68"/>
      <c r="AG19" s="68">
        <v>8</v>
      </c>
      <c r="AH19" s="68"/>
      <c r="AI19" s="68">
        <v>2</v>
      </c>
      <c r="AJ19" s="68"/>
      <c r="AK19" s="68"/>
      <c r="AL19" s="68"/>
      <c r="AM19" s="68">
        <f t="shared" ref="AM19" si="274">AK19+AI19+AG19+AE19+AC19+AA19+Y19</f>
        <v>48</v>
      </c>
      <c r="AN19" s="68">
        <f t="shared" ref="AN19" si="275">AL19+AJ19+AH19+AF19+AD19+AB19+Z19</f>
        <v>0</v>
      </c>
      <c r="AO19" s="68">
        <f t="shared" ref="AO19" si="276">AN19+AM19</f>
        <v>48</v>
      </c>
      <c r="AP19" s="68">
        <v>1</v>
      </c>
      <c r="AQ19" s="68"/>
      <c r="AR19" s="68">
        <v>7</v>
      </c>
      <c r="AS19" s="68"/>
      <c r="AT19" s="68">
        <v>5</v>
      </c>
      <c r="AU19" s="68"/>
      <c r="AV19" s="68">
        <v>10</v>
      </c>
      <c r="AW19" s="68"/>
      <c r="AX19" s="68">
        <v>6</v>
      </c>
      <c r="AY19" s="68"/>
      <c r="AZ19" s="68">
        <v>2</v>
      </c>
      <c r="BA19" s="68"/>
      <c r="BB19" s="68">
        <v>4</v>
      </c>
      <c r="BC19" s="68"/>
      <c r="BD19" s="68">
        <f t="shared" ref="BD19" si="277">BB19+AZ19+AX19+AV19+AT19+AR19+AP19</f>
        <v>35</v>
      </c>
      <c r="BE19" s="68">
        <f t="shared" ref="BE19" si="278">BC19+BA19+AY19+AW19+AU19+AS19+AQ19</f>
        <v>0</v>
      </c>
      <c r="BF19" s="68">
        <f t="shared" ref="BF19" si="279">BE19+BD19</f>
        <v>35</v>
      </c>
      <c r="BG19" s="68">
        <v>2</v>
      </c>
      <c r="BH19" s="68"/>
      <c r="BI19" s="68">
        <v>5</v>
      </c>
      <c r="BJ19" s="68"/>
      <c r="BK19" s="68">
        <v>6</v>
      </c>
      <c r="BL19" s="68"/>
      <c r="BM19" s="68">
        <v>15</v>
      </c>
      <c r="BN19" s="68"/>
      <c r="BO19" s="68">
        <v>19</v>
      </c>
      <c r="BP19" s="68"/>
      <c r="BQ19" s="68">
        <v>3</v>
      </c>
      <c r="BR19" s="68"/>
      <c r="BS19" s="68">
        <v>3</v>
      </c>
      <c r="BT19" s="68"/>
      <c r="BU19" s="68">
        <f t="shared" ref="BU19" si="280">BS19+BQ19+BO19+BM19+BK19+BI19+BG19</f>
        <v>53</v>
      </c>
      <c r="BV19" s="68">
        <f t="shared" ref="BV19" si="281">BT19+BR19+BP19+BN19+BL19+BJ19+BH19</f>
        <v>0</v>
      </c>
      <c r="BW19" s="68">
        <f t="shared" ref="BW19" si="282">BV19+BU19</f>
        <v>53</v>
      </c>
      <c r="BX19" s="68">
        <f t="shared" ref="BX19" si="283">BG19+AP19+Y19</f>
        <v>9</v>
      </c>
      <c r="BY19" s="68">
        <f t="shared" ref="BY19" si="284">BH19+AQ19+Z19</f>
        <v>0</v>
      </c>
      <c r="BZ19" s="68">
        <f t="shared" ref="BZ19" si="285">BI19+AR19+AA19</f>
        <v>25</v>
      </c>
      <c r="CA19" s="68">
        <f t="shared" ref="CA19" si="286">BJ19+AS19+AB19</f>
        <v>0</v>
      </c>
      <c r="CB19" s="68">
        <f t="shared" ref="CB19" si="287">BK19+AT19+AC19</f>
        <v>22</v>
      </c>
      <c r="CC19" s="68">
        <f t="shared" ref="CC19" si="288">BL19+AU19+AD19</f>
        <v>0</v>
      </c>
      <c r="CD19" s="68">
        <f t="shared" ref="CD19" si="289">BM19+AV19+AE19</f>
        <v>33</v>
      </c>
      <c r="CE19" s="68">
        <f t="shared" ref="CE19" si="290">BN19+AW19+AF19</f>
        <v>0</v>
      </c>
      <c r="CF19" s="68">
        <f t="shared" ref="CF19" si="291">BO19+AX19+AG19</f>
        <v>33</v>
      </c>
      <c r="CG19" s="68">
        <f t="shared" ref="CG19" si="292">BP19+AY19+AH19</f>
        <v>0</v>
      </c>
      <c r="CH19" s="68">
        <f t="shared" ref="CH19" si="293">BQ19+AZ19+AI19</f>
        <v>7</v>
      </c>
      <c r="CI19" s="68">
        <f t="shared" ref="CI19" si="294">BR19+BA19+AJ19</f>
        <v>0</v>
      </c>
      <c r="CJ19" s="68">
        <f t="shared" ref="CJ19" si="295">BS19+BB19+AK19</f>
        <v>7</v>
      </c>
      <c r="CK19" s="68">
        <f t="shared" ref="CK19" si="296">BT19+BC19+AL19</f>
        <v>0</v>
      </c>
      <c r="CL19" s="68">
        <f t="shared" ref="CL19" si="297">CJ19+CH19+CF19+CD19+CB19+BZ19+BX19</f>
        <v>136</v>
      </c>
      <c r="CM19" s="68">
        <f t="shared" ref="CM19" si="298">CK19+CI19+CG19+CE19+CC19+CA19+BY19</f>
        <v>0</v>
      </c>
      <c r="CN19" s="68">
        <f t="shared" ref="CN19" si="299">CM19+CL19</f>
        <v>136</v>
      </c>
      <c r="CO19" s="68">
        <v>3</v>
      </c>
      <c r="CP19" s="68"/>
      <c r="CQ19" s="68"/>
      <c r="CR19" s="68">
        <v>2</v>
      </c>
      <c r="CS19" s="68"/>
      <c r="CT19" s="68"/>
      <c r="CU19" s="68">
        <v>2</v>
      </c>
      <c r="CV19" s="68"/>
      <c r="CW19" s="68"/>
      <c r="CX19" s="68">
        <f t="shared" ref="CX19" si="300">CU19+CR19+CO19</f>
        <v>7</v>
      </c>
      <c r="CY19" s="68">
        <f t="shared" ref="CY19" si="301">CV19+CS19+CP19</f>
        <v>0</v>
      </c>
      <c r="CZ19" s="68">
        <f t="shared" ref="CZ19" si="302">CW19+CT19+CQ19</f>
        <v>0</v>
      </c>
      <c r="DA19" s="68">
        <f t="shared" ref="DA19" si="303">CZ19+CY19+CX19</f>
        <v>7</v>
      </c>
      <c r="DB19" s="68"/>
      <c r="DC19" s="68"/>
      <c r="DD19" s="68"/>
      <c r="DE19" s="68"/>
      <c r="DF19" s="68"/>
      <c r="DG19" s="68"/>
      <c r="DH19" s="68">
        <f t="shared" ref="DH19" si="304">DF19+DD19+DB19</f>
        <v>0</v>
      </c>
      <c r="DI19" s="68">
        <f t="shared" ref="DI19" si="305">DG19+DE19+DC19</f>
        <v>0</v>
      </c>
      <c r="DJ19" s="68">
        <f t="shared" ref="DJ19" si="306">DI19+DH19</f>
        <v>0</v>
      </c>
      <c r="DK19" s="68"/>
      <c r="DL19" s="68"/>
      <c r="DM19" s="68"/>
      <c r="DN19" s="68"/>
      <c r="DO19" s="68"/>
      <c r="DP19" s="68"/>
      <c r="DQ19" s="68">
        <f t="shared" ref="DQ19" si="307">DO19+DM19+DK19</f>
        <v>0</v>
      </c>
      <c r="DR19" s="68">
        <f t="shared" ref="DR19" si="308">DP19+DN19+DL19</f>
        <v>0</v>
      </c>
      <c r="DS19" s="68">
        <f t="shared" ref="DS19" si="309">DR19+DQ19</f>
        <v>0</v>
      </c>
      <c r="DT19" s="68"/>
      <c r="DU19" s="68"/>
      <c r="DV19" s="68"/>
      <c r="DW19" s="68"/>
      <c r="DX19" s="68"/>
      <c r="DY19" s="68"/>
      <c r="DZ19" s="68">
        <f t="shared" ref="DZ19" si="310">DX19+DV19+DT19</f>
        <v>0</v>
      </c>
      <c r="EA19" s="68">
        <f t="shared" ref="EA19" si="311">DY19+DW19+DU19</f>
        <v>0</v>
      </c>
      <c r="EB19" s="68">
        <f t="shared" ref="EB19" si="312">EA19+DZ19</f>
        <v>0</v>
      </c>
      <c r="EC19" s="68"/>
      <c r="ED19" s="68"/>
      <c r="EE19" s="68"/>
      <c r="EF19" s="68"/>
      <c r="EG19" s="68"/>
      <c r="EH19" s="68"/>
      <c r="EI19" s="68">
        <f t="shared" ref="EI19" si="313">EG19+EE19+EC19</f>
        <v>0</v>
      </c>
      <c r="EJ19" s="68">
        <f t="shared" ref="EJ19" si="314">EH19+EF19+ED19</f>
        <v>0</v>
      </c>
      <c r="EK19" s="68">
        <f t="shared" ref="EK19" si="315">EJ19+EI19</f>
        <v>0</v>
      </c>
      <c r="EL19" s="68"/>
      <c r="EM19" s="68"/>
      <c r="EN19" s="68"/>
      <c r="EO19" s="68"/>
      <c r="EP19" s="68"/>
      <c r="EQ19" s="68"/>
      <c r="ER19" s="68">
        <f t="shared" ref="ER19" si="316">EP19+EN19+EL19</f>
        <v>0</v>
      </c>
      <c r="ES19" s="68">
        <f t="shared" ref="ES19" si="317">EQ19+EO19+EM19</f>
        <v>0</v>
      </c>
      <c r="ET19" s="68">
        <f t="shared" ref="ET19" si="318">ES19+ER19</f>
        <v>0</v>
      </c>
      <c r="EU19" s="68">
        <v>1</v>
      </c>
      <c r="EV19" s="68"/>
      <c r="EW19" s="68"/>
      <c r="EX19" s="68"/>
      <c r="EY19" s="68"/>
      <c r="EZ19" s="68"/>
      <c r="FA19" s="68"/>
      <c r="FB19" s="68"/>
      <c r="FC19" s="68">
        <f t="shared" ref="FC19" si="319">FA19+EY19+EW19+EU19</f>
        <v>1</v>
      </c>
      <c r="FD19" s="68">
        <f t="shared" ref="FD19" si="320">FB19+EZ19+EX19+EV19</f>
        <v>0</v>
      </c>
      <c r="FE19" s="68">
        <f t="shared" ref="FE19" si="321">FD19+FC19</f>
        <v>1</v>
      </c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>
        <v>1</v>
      </c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>
        <f t="shared" ref="GN19" si="322">GL19+GJ19+GH19+GF19+GD19+GB19+FZ19+FX19</f>
        <v>1</v>
      </c>
      <c r="GO19" s="68">
        <f t="shared" ref="GO19" si="323">GM19+GK19+GI19+GG19+GE19+GC19+GA19+FY19</f>
        <v>0</v>
      </c>
      <c r="GP19" s="68">
        <f t="shared" ref="GP19" si="324">GO19+GN19</f>
        <v>1</v>
      </c>
      <c r="GQ19" s="68">
        <v>1</v>
      </c>
      <c r="GR19" s="68"/>
      <c r="GS19" s="68"/>
      <c r="GT19" s="68"/>
      <c r="GU19" s="68"/>
      <c r="GV19" s="68"/>
      <c r="GW19" s="68">
        <f t="shared" ref="GW19" si="325">GU19+GS19+GQ19</f>
        <v>1</v>
      </c>
      <c r="GX19" s="68">
        <f t="shared" ref="GX19" si="326">GV19+GT19+GR19</f>
        <v>0</v>
      </c>
      <c r="GY19" s="68">
        <f t="shared" ref="GY19" si="327">GX19+GW19</f>
        <v>1</v>
      </c>
      <c r="GZ19" s="68">
        <v>1</v>
      </c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>
        <f t="shared" ref="HQ19" si="328">HO19+GZ19+HM19+HJ19+HH19+HF19+HD19+HB19</f>
        <v>1</v>
      </c>
      <c r="HR19" s="68">
        <f t="shared" ref="HR19" si="329">HP19+HA19+HN19+HL19+HK19+HI19+HG19+HE19+HC19</f>
        <v>0</v>
      </c>
      <c r="HS19" s="68">
        <f t="shared" ref="HS19" si="330">HR19+HQ19</f>
        <v>1</v>
      </c>
      <c r="HT19" s="68"/>
      <c r="HU19" s="68"/>
      <c r="HV19" s="68">
        <v>1</v>
      </c>
      <c r="HW19" s="68"/>
      <c r="HX19" s="68"/>
      <c r="HY19" s="68"/>
      <c r="HZ19" s="68"/>
      <c r="IA19" s="68"/>
      <c r="IB19" s="68">
        <f t="shared" ref="IB19" si="331">HZ19+HX19+HV19+HT19</f>
        <v>1</v>
      </c>
      <c r="IC19" s="68">
        <f t="shared" ref="IC19" si="332">IA19+HY19+HW19+HU19</f>
        <v>0</v>
      </c>
      <c r="ID19" s="68">
        <f t="shared" ref="ID19" si="333">IC19+IB19</f>
        <v>1</v>
      </c>
      <c r="IE19" s="68">
        <v>1</v>
      </c>
      <c r="IF19" s="68"/>
      <c r="IG19" s="68"/>
      <c r="IH19" s="68">
        <v>1</v>
      </c>
      <c r="II19" s="68"/>
      <c r="IJ19" s="68">
        <v>1</v>
      </c>
      <c r="IK19" s="68"/>
      <c r="IL19" s="68">
        <v>1</v>
      </c>
      <c r="IM19" s="68"/>
      <c r="IN19" s="68"/>
      <c r="IO19" s="68"/>
      <c r="IP19" s="68"/>
      <c r="IQ19" s="68"/>
      <c r="IR19" s="68"/>
      <c r="IS19" s="68"/>
      <c r="IT19" s="68"/>
      <c r="IU19" s="68"/>
      <c r="IV19" s="68"/>
      <c r="IW19" s="68"/>
      <c r="IX19" s="68"/>
      <c r="IY19" s="68" t="s">
        <v>288</v>
      </c>
      <c r="IZ19" s="82">
        <v>7813872421</v>
      </c>
      <c r="JA19" s="68" t="s">
        <v>289</v>
      </c>
    </row>
    <row r="20" spans="1:265" s="63" customFormat="1" ht="24.75" customHeight="1" x14ac:dyDescent="0.2">
      <c r="A20" s="169" t="s">
        <v>137</v>
      </c>
      <c r="B20" s="170"/>
      <c r="C20" s="170"/>
      <c r="D20" s="170"/>
      <c r="E20" s="171"/>
      <c r="F20" s="62">
        <f>SUM(F6:F19)</f>
        <v>0</v>
      </c>
      <c r="G20" s="62">
        <f>SUM(G6:G19)</f>
        <v>14</v>
      </c>
      <c r="H20" s="62">
        <f t="shared" ref="H20:BS20" si="334">SUM(H6:H19)</f>
        <v>6</v>
      </c>
      <c r="I20" s="62">
        <f t="shared" si="334"/>
        <v>8</v>
      </c>
      <c r="J20" s="62">
        <f t="shared" si="334"/>
        <v>0</v>
      </c>
      <c r="K20" s="62">
        <f t="shared" si="334"/>
        <v>13</v>
      </c>
      <c r="L20" s="62">
        <f t="shared" si="334"/>
        <v>1</v>
      </c>
      <c r="M20" s="62">
        <f t="shared" si="334"/>
        <v>0</v>
      </c>
      <c r="N20" s="62">
        <f t="shared" si="334"/>
        <v>14</v>
      </c>
      <c r="O20" s="62">
        <f t="shared" si="334"/>
        <v>0</v>
      </c>
      <c r="P20" s="62">
        <f t="shared" si="334"/>
        <v>0</v>
      </c>
      <c r="Q20" s="62">
        <f t="shared" si="334"/>
        <v>0</v>
      </c>
      <c r="R20" s="62">
        <f t="shared" si="334"/>
        <v>14</v>
      </c>
      <c r="S20" s="62">
        <f t="shared" si="334"/>
        <v>0</v>
      </c>
      <c r="T20" s="62">
        <f t="shared" si="334"/>
        <v>0</v>
      </c>
      <c r="U20" s="62">
        <f t="shared" si="334"/>
        <v>0</v>
      </c>
      <c r="V20" s="62">
        <f t="shared" si="334"/>
        <v>14</v>
      </c>
      <c r="W20" s="62">
        <f t="shared" si="334"/>
        <v>0</v>
      </c>
      <c r="X20" s="62">
        <f t="shared" si="334"/>
        <v>1</v>
      </c>
      <c r="Y20" s="62">
        <f t="shared" si="334"/>
        <v>61</v>
      </c>
      <c r="Z20" s="62">
        <f t="shared" si="334"/>
        <v>46</v>
      </c>
      <c r="AA20" s="62">
        <f t="shared" si="334"/>
        <v>81</v>
      </c>
      <c r="AB20" s="62">
        <f t="shared" si="334"/>
        <v>30</v>
      </c>
      <c r="AC20" s="62">
        <f t="shared" si="334"/>
        <v>90</v>
      </c>
      <c r="AD20" s="62">
        <f t="shared" si="334"/>
        <v>35</v>
      </c>
      <c r="AE20" s="62">
        <f t="shared" si="334"/>
        <v>66</v>
      </c>
      <c r="AF20" s="62">
        <f t="shared" si="334"/>
        <v>18</v>
      </c>
      <c r="AG20" s="62">
        <f t="shared" si="334"/>
        <v>36</v>
      </c>
      <c r="AH20" s="62">
        <f t="shared" si="334"/>
        <v>20</v>
      </c>
      <c r="AI20" s="62">
        <f t="shared" si="334"/>
        <v>16</v>
      </c>
      <c r="AJ20" s="62">
        <f t="shared" si="334"/>
        <v>18</v>
      </c>
      <c r="AK20" s="62">
        <f t="shared" si="334"/>
        <v>8</v>
      </c>
      <c r="AL20" s="62">
        <f t="shared" si="334"/>
        <v>14</v>
      </c>
      <c r="AM20" s="62">
        <f t="shared" si="334"/>
        <v>358</v>
      </c>
      <c r="AN20" s="62">
        <f t="shared" si="334"/>
        <v>181</v>
      </c>
      <c r="AO20" s="62">
        <f t="shared" si="334"/>
        <v>539</v>
      </c>
      <c r="AP20" s="62">
        <f t="shared" si="334"/>
        <v>8</v>
      </c>
      <c r="AQ20" s="62">
        <f t="shared" si="334"/>
        <v>17</v>
      </c>
      <c r="AR20" s="62">
        <f t="shared" si="334"/>
        <v>28</v>
      </c>
      <c r="AS20" s="62">
        <f t="shared" si="334"/>
        <v>28</v>
      </c>
      <c r="AT20" s="62">
        <f t="shared" si="334"/>
        <v>46</v>
      </c>
      <c r="AU20" s="62">
        <f t="shared" si="334"/>
        <v>44</v>
      </c>
      <c r="AV20" s="62">
        <f t="shared" si="334"/>
        <v>62</v>
      </c>
      <c r="AW20" s="62">
        <f t="shared" si="334"/>
        <v>35</v>
      </c>
      <c r="AX20" s="62">
        <f t="shared" si="334"/>
        <v>47</v>
      </c>
      <c r="AY20" s="62">
        <f t="shared" si="334"/>
        <v>44</v>
      </c>
      <c r="AZ20" s="62">
        <f t="shared" si="334"/>
        <v>25</v>
      </c>
      <c r="BA20" s="62">
        <f t="shared" si="334"/>
        <v>37</v>
      </c>
      <c r="BB20" s="62">
        <f t="shared" si="334"/>
        <v>21</v>
      </c>
      <c r="BC20" s="62">
        <f t="shared" si="334"/>
        <v>27</v>
      </c>
      <c r="BD20" s="62">
        <f t="shared" si="334"/>
        <v>237</v>
      </c>
      <c r="BE20" s="62">
        <f t="shared" si="334"/>
        <v>232</v>
      </c>
      <c r="BF20" s="62">
        <f t="shared" si="334"/>
        <v>469</v>
      </c>
      <c r="BG20" s="62">
        <f t="shared" si="334"/>
        <v>7</v>
      </c>
      <c r="BH20" s="62">
        <f t="shared" si="334"/>
        <v>16</v>
      </c>
      <c r="BI20" s="62">
        <f t="shared" si="334"/>
        <v>33</v>
      </c>
      <c r="BJ20" s="62">
        <f t="shared" si="334"/>
        <v>24</v>
      </c>
      <c r="BK20" s="62">
        <f t="shared" si="334"/>
        <v>58</v>
      </c>
      <c r="BL20" s="62">
        <f t="shared" si="334"/>
        <v>39</v>
      </c>
      <c r="BM20" s="62">
        <f t="shared" si="334"/>
        <v>98</v>
      </c>
      <c r="BN20" s="62">
        <f t="shared" si="334"/>
        <v>43</v>
      </c>
      <c r="BO20" s="62">
        <f t="shared" si="334"/>
        <v>116</v>
      </c>
      <c r="BP20" s="62">
        <f t="shared" si="334"/>
        <v>60</v>
      </c>
      <c r="BQ20" s="62">
        <f t="shared" si="334"/>
        <v>64</v>
      </c>
      <c r="BR20" s="62">
        <f t="shared" si="334"/>
        <v>35</v>
      </c>
      <c r="BS20" s="62">
        <f t="shared" si="334"/>
        <v>50</v>
      </c>
      <c r="BT20" s="62">
        <f t="shared" ref="BT20:EE20" si="335">SUM(BT6:BT19)</f>
        <v>49</v>
      </c>
      <c r="BU20" s="62">
        <f t="shared" si="335"/>
        <v>426</v>
      </c>
      <c r="BV20" s="62">
        <f t="shared" si="335"/>
        <v>266</v>
      </c>
      <c r="BW20" s="62">
        <f t="shared" si="335"/>
        <v>692</v>
      </c>
      <c r="BX20" s="62">
        <f t="shared" si="335"/>
        <v>76</v>
      </c>
      <c r="BY20" s="62">
        <f t="shared" si="335"/>
        <v>79</v>
      </c>
      <c r="BZ20" s="62">
        <f t="shared" si="335"/>
        <v>142</v>
      </c>
      <c r="CA20" s="62">
        <f t="shared" si="335"/>
        <v>82</v>
      </c>
      <c r="CB20" s="62">
        <f t="shared" si="335"/>
        <v>194</v>
      </c>
      <c r="CC20" s="62">
        <f t="shared" si="335"/>
        <v>118</v>
      </c>
      <c r="CD20" s="62">
        <f t="shared" si="335"/>
        <v>226</v>
      </c>
      <c r="CE20" s="62">
        <f t="shared" si="335"/>
        <v>96</v>
      </c>
      <c r="CF20" s="62">
        <f t="shared" si="335"/>
        <v>199</v>
      </c>
      <c r="CG20" s="62">
        <f t="shared" si="335"/>
        <v>124</v>
      </c>
      <c r="CH20" s="62">
        <f t="shared" si="335"/>
        <v>105</v>
      </c>
      <c r="CI20" s="62">
        <f t="shared" si="335"/>
        <v>90</v>
      </c>
      <c r="CJ20" s="62">
        <f t="shared" si="335"/>
        <v>79</v>
      </c>
      <c r="CK20" s="62">
        <f t="shared" si="335"/>
        <v>90</v>
      </c>
      <c r="CL20" s="62">
        <f t="shared" si="335"/>
        <v>1021</v>
      </c>
      <c r="CM20" s="62">
        <f t="shared" si="335"/>
        <v>679</v>
      </c>
      <c r="CN20" s="62">
        <f t="shared" si="335"/>
        <v>1700</v>
      </c>
      <c r="CO20" s="62">
        <f t="shared" si="335"/>
        <v>14</v>
      </c>
      <c r="CP20" s="62">
        <f t="shared" si="335"/>
        <v>9</v>
      </c>
      <c r="CQ20" s="62">
        <f t="shared" si="335"/>
        <v>0</v>
      </c>
      <c r="CR20" s="62">
        <f t="shared" si="335"/>
        <v>11</v>
      </c>
      <c r="CS20" s="62">
        <f t="shared" si="335"/>
        <v>11</v>
      </c>
      <c r="CT20" s="62">
        <f t="shared" si="335"/>
        <v>0</v>
      </c>
      <c r="CU20" s="62">
        <f t="shared" si="335"/>
        <v>16</v>
      </c>
      <c r="CV20" s="62">
        <f t="shared" si="335"/>
        <v>10</v>
      </c>
      <c r="CW20" s="62">
        <f t="shared" si="335"/>
        <v>0</v>
      </c>
      <c r="CX20" s="62">
        <f t="shared" si="335"/>
        <v>41</v>
      </c>
      <c r="CY20" s="62">
        <f t="shared" si="335"/>
        <v>30</v>
      </c>
      <c r="CZ20" s="62">
        <f t="shared" si="335"/>
        <v>0</v>
      </c>
      <c r="DA20" s="62">
        <f t="shared" si="335"/>
        <v>71</v>
      </c>
      <c r="DB20" s="62">
        <f t="shared" si="335"/>
        <v>40</v>
      </c>
      <c r="DC20" s="62">
        <f t="shared" si="335"/>
        <v>27</v>
      </c>
      <c r="DD20" s="62">
        <f t="shared" si="335"/>
        <v>13</v>
      </c>
      <c r="DE20" s="62">
        <f t="shared" si="335"/>
        <v>30</v>
      </c>
      <c r="DF20" s="62">
        <f t="shared" si="335"/>
        <v>42</v>
      </c>
      <c r="DG20" s="62">
        <f t="shared" si="335"/>
        <v>44</v>
      </c>
      <c r="DH20" s="62">
        <f t="shared" si="335"/>
        <v>95</v>
      </c>
      <c r="DI20" s="62">
        <f t="shared" si="335"/>
        <v>101</v>
      </c>
      <c r="DJ20" s="62">
        <f t="shared" si="335"/>
        <v>196</v>
      </c>
      <c r="DK20" s="62">
        <f t="shared" si="335"/>
        <v>97</v>
      </c>
      <c r="DL20" s="62">
        <f t="shared" si="335"/>
        <v>96</v>
      </c>
      <c r="DM20" s="62">
        <f t="shared" si="335"/>
        <v>125</v>
      </c>
      <c r="DN20" s="62">
        <f t="shared" si="335"/>
        <v>118</v>
      </c>
      <c r="DO20" s="62">
        <f t="shared" si="335"/>
        <v>231</v>
      </c>
      <c r="DP20" s="62">
        <f t="shared" si="335"/>
        <v>264</v>
      </c>
      <c r="DQ20" s="62">
        <f t="shared" si="335"/>
        <v>453</v>
      </c>
      <c r="DR20" s="62">
        <f t="shared" si="335"/>
        <v>478</v>
      </c>
      <c r="DS20" s="62">
        <f t="shared" si="335"/>
        <v>931</v>
      </c>
      <c r="DT20" s="62">
        <f t="shared" si="335"/>
        <v>70</v>
      </c>
      <c r="DU20" s="62">
        <f t="shared" si="335"/>
        <v>83</v>
      </c>
      <c r="DV20" s="62">
        <f t="shared" si="335"/>
        <v>28</v>
      </c>
      <c r="DW20" s="62">
        <f t="shared" si="335"/>
        <v>88</v>
      </c>
      <c r="DX20" s="62">
        <f t="shared" si="335"/>
        <v>101</v>
      </c>
      <c r="DY20" s="62">
        <f t="shared" si="335"/>
        <v>117</v>
      </c>
      <c r="DZ20" s="62">
        <f t="shared" si="335"/>
        <v>199</v>
      </c>
      <c r="EA20" s="62">
        <f t="shared" si="335"/>
        <v>288</v>
      </c>
      <c r="EB20" s="62">
        <f t="shared" si="335"/>
        <v>487</v>
      </c>
      <c r="EC20" s="62">
        <f t="shared" si="335"/>
        <v>0</v>
      </c>
      <c r="ED20" s="62">
        <f t="shared" si="335"/>
        <v>0</v>
      </c>
      <c r="EE20" s="62">
        <f t="shared" si="335"/>
        <v>0</v>
      </c>
      <c r="EF20" s="62">
        <f t="shared" ref="EF20:GQ20" si="336">SUM(EF6:EF19)</f>
        <v>0</v>
      </c>
      <c r="EG20" s="62">
        <f t="shared" si="336"/>
        <v>0</v>
      </c>
      <c r="EH20" s="62">
        <f t="shared" si="336"/>
        <v>0</v>
      </c>
      <c r="EI20" s="62">
        <f t="shared" si="336"/>
        <v>0</v>
      </c>
      <c r="EJ20" s="62">
        <f t="shared" si="336"/>
        <v>0</v>
      </c>
      <c r="EK20" s="62">
        <f t="shared" si="336"/>
        <v>0</v>
      </c>
      <c r="EL20" s="62">
        <f t="shared" si="336"/>
        <v>0</v>
      </c>
      <c r="EM20" s="62">
        <f t="shared" si="336"/>
        <v>0</v>
      </c>
      <c r="EN20" s="62">
        <f t="shared" si="336"/>
        <v>0</v>
      </c>
      <c r="EO20" s="62">
        <f t="shared" si="336"/>
        <v>0</v>
      </c>
      <c r="EP20" s="62">
        <f t="shared" si="336"/>
        <v>0</v>
      </c>
      <c r="EQ20" s="62">
        <f t="shared" si="336"/>
        <v>0</v>
      </c>
      <c r="ER20" s="62">
        <f t="shared" si="336"/>
        <v>0</v>
      </c>
      <c r="ES20" s="62">
        <f t="shared" si="336"/>
        <v>0</v>
      </c>
      <c r="ET20" s="62">
        <f t="shared" si="336"/>
        <v>0</v>
      </c>
      <c r="EU20" s="62">
        <f t="shared" si="336"/>
        <v>6</v>
      </c>
      <c r="EV20" s="62">
        <f t="shared" si="336"/>
        <v>8</v>
      </c>
      <c r="EW20" s="62">
        <f t="shared" si="336"/>
        <v>3</v>
      </c>
      <c r="EX20" s="62">
        <f t="shared" si="336"/>
        <v>3</v>
      </c>
      <c r="EY20" s="62">
        <f t="shared" si="336"/>
        <v>12</v>
      </c>
      <c r="EZ20" s="62">
        <f t="shared" si="336"/>
        <v>31</v>
      </c>
      <c r="FA20" s="62">
        <f t="shared" si="336"/>
        <v>0</v>
      </c>
      <c r="FB20" s="62">
        <f t="shared" si="336"/>
        <v>1</v>
      </c>
      <c r="FC20" s="62">
        <f t="shared" si="336"/>
        <v>21</v>
      </c>
      <c r="FD20" s="62">
        <f t="shared" si="336"/>
        <v>43</v>
      </c>
      <c r="FE20" s="62">
        <f t="shared" si="336"/>
        <v>64</v>
      </c>
      <c r="FF20" s="62">
        <f t="shared" si="336"/>
        <v>0</v>
      </c>
      <c r="FG20" s="62">
        <f t="shared" si="336"/>
        <v>0</v>
      </c>
      <c r="FH20" s="62">
        <f t="shared" si="336"/>
        <v>0</v>
      </c>
      <c r="FI20" s="62">
        <f t="shared" si="336"/>
        <v>0</v>
      </c>
      <c r="FJ20" s="62">
        <f t="shared" si="336"/>
        <v>0</v>
      </c>
      <c r="FK20" s="62">
        <f t="shared" si="336"/>
        <v>0</v>
      </c>
      <c r="FL20" s="62">
        <f t="shared" si="336"/>
        <v>0</v>
      </c>
      <c r="FM20" s="62">
        <f t="shared" si="336"/>
        <v>0</v>
      </c>
      <c r="FN20" s="62">
        <f t="shared" si="336"/>
        <v>5</v>
      </c>
      <c r="FO20" s="62">
        <f t="shared" si="336"/>
        <v>4</v>
      </c>
      <c r="FP20" s="62">
        <f t="shared" si="336"/>
        <v>0</v>
      </c>
      <c r="FQ20" s="62">
        <f t="shared" si="336"/>
        <v>0</v>
      </c>
      <c r="FR20" s="62">
        <f t="shared" si="336"/>
        <v>0</v>
      </c>
      <c r="FS20" s="62">
        <f t="shared" si="336"/>
        <v>0</v>
      </c>
      <c r="FT20" s="62">
        <f t="shared" si="336"/>
        <v>0</v>
      </c>
      <c r="FU20" s="62">
        <f t="shared" si="336"/>
        <v>5</v>
      </c>
      <c r="FV20" s="62">
        <f t="shared" si="336"/>
        <v>4</v>
      </c>
      <c r="FW20" s="62">
        <f t="shared" si="336"/>
        <v>9</v>
      </c>
      <c r="FX20" s="62">
        <f t="shared" si="336"/>
        <v>0</v>
      </c>
      <c r="FY20" s="62">
        <f t="shared" si="336"/>
        <v>0</v>
      </c>
      <c r="FZ20" s="62">
        <f t="shared" si="336"/>
        <v>0</v>
      </c>
      <c r="GA20" s="62">
        <f t="shared" si="336"/>
        <v>0</v>
      </c>
      <c r="GB20" s="62">
        <f t="shared" si="336"/>
        <v>12</v>
      </c>
      <c r="GC20" s="62">
        <f t="shared" si="336"/>
        <v>11</v>
      </c>
      <c r="GD20" s="62">
        <f t="shared" si="336"/>
        <v>0</v>
      </c>
      <c r="GE20" s="62">
        <f t="shared" si="336"/>
        <v>0</v>
      </c>
      <c r="GF20" s="62">
        <f t="shared" si="336"/>
        <v>0</v>
      </c>
      <c r="GG20" s="62">
        <f t="shared" si="336"/>
        <v>1</v>
      </c>
      <c r="GH20" s="62">
        <f t="shared" si="336"/>
        <v>7</v>
      </c>
      <c r="GI20" s="62">
        <f t="shared" si="336"/>
        <v>27</v>
      </c>
      <c r="GJ20" s="62">
        <f t="shared" si="336"/>
        <v>2</v>
      </c>
      <c r="GK20" s="62">
        <f t="shared" si="336"/>
        <v>3</v>
      </c>
      <c r="GL20" s="62">
        <f t="shared" si="336"/>
        <v>0</v>
      </c>
      <c r="GM20" s="62">
        <f t="shared" si="336"/>
        <v>1</v>
      </c>
      <c r="GN20" s="62">
        <f t="shared" si="336"/>
        <v>21</v>
      </c>
      <c r="GO20" s="62">
        <f t="shared" si="336"/>
        <v>43</v>
      </c>
      <c r="GP20" s="62">
        <f t="shared" si="336"/>
        <v>64</v>
      </c>
      <c r="GQ20" s="62">
        <f t="shared" si="336"/>
        <v>21</v>
      </c>
      <c r="GR20" s="62">
        <f t="shared" ref="GR20:IX20" si="337">SUM(GR6:GR19)</f>
        <v>43</v>
      </c>
      <c r="GS20" s="62">
        <f t="shared" si="337"/>
        <v>0</v>
      </c>
      <c r="GT20" s="62">
        <f t="shared" si="337"/>
        <v>0</v>
      </c>
      <c r="GU20" s="62">
        <f t="shared" si="337"/>
        <v>0</v>
      </c>
      <c r="GV20" s="62">
        <f t="shared" si="337"/>
        <v>0</v>
      </c>
      <c r="GW20" s="62">
        <f t="shared" si="337"/>
        <v>21</v>
      </c>
      <c r="GX20" s="62">
        <f t="shared" si="337"/>
        <v>43</v>
      </c>
      <c r="GY20" s="62">
        <f t="shared" si="337"/>
        <v>64</v>
      </c>
      <c r="GZ20" s="62">
        <f t="shared" si="337"/>
        <v>19</v>
      </c>
      <c r="HA20" s="62">
        <f t="shared" si="337"/>
        <v>39</v>
      </c>
      <c r="HB20" s="62">
        <f t="shared" si="337"/>
        <v>0</v>
      </c>
      <c r="HC20" s="62">
        <f t="shared" si="337"/>
        <v>0</v>
      </c>
      <c r="HD20" s="62">
        <f t="shared" si="337"/>
        <v>0</v>
      </c>
      <c r="HE20" s="62">
        <f t="shared" si="337"/>
        <v>0</v>
      </c>
      <c r="HF20" s="62">
        <f t="shared" si="337"/>
        <v>0</v>
      </c>
      <c r="HG20" s="62">
        <f t="shared" si="337"/>
        <v>0</v>
      </c>
      <c r="HH20" s="62">
        <f t="shared" si="337"/>
        <v>0</v>
      </c>
      <c r="HI20" s="62">
        <f t="shared" si="337"/>
        <v>0</v>
      </c>
      <c r="HJ20" s="62">
        <f t="shared" si="337"/>
        <v>1</v>
      </c>
      <c r="HK20" s="62">
        <f t="shared" si="337"/>
        <v>1</v>
      </c>
      <c r="HL20" s="62">
        <f t="shared" si="337"/>
        <v>1</v>
      </c>
      <c r="HM20" s="62">
        <f t="shared" si="337"/>
        <v>0</v>
      </c>
      <c r="HN20" s="62">
        <f t="shared" si="337"/>
        <v>0</v>
      </c>
      <c r="HO20" s="62">
        <f t="shared" si="337"/>
        <v>1</v>
      </c>
      <c r="HP20" s="62">
        <f t="shared" si="337"/>
        <v>2</v>
      </c>
      <c r="HQ20" s="62">
        <f t="shared" si="337"/>
        <v>21</v>
      </c>
      <c r="HR20" s="62">
        <f t="shared" si="337"/>
        <v>43</v>
      </c>
      <c r="HS20" s="62">
        <f t="shared" si="337"/>
        <v>64</v>
      </c>
      <c r="HT20" s="62">
        <f t="shared" si="337"/>
        <v>0</v>
      </c>
      <c r="HU20" s="62">
        <f t="shared" si="337"/>
        <v>3</v>
      </c>
      <c r="HV20" s="62">
        <f t="shared" si="337"/>
        <v>21</v>
      </c>
      <c r="HW20" s="62">
        <f t="shared" si="337"/>
        <v>36</v>
      </c>
      <c r="HX20" s="62">
        <f t="shared" si="337"/>
        <v>0</v>
      </c>
      <c r="HY20" s="62">
        <f t="shared" si="337"/>
        <v>1</v>
      </c>
      <c r="HZ20" s="62">
        <f t="shared" si="337"/>
        <v>0</v>
      </c>
      <c r="IA20" s="62">
        <f t="shared" si="337"/>
        <v>3</v>
      </c>
      <c r="IB20" s="62">
        <f t="shared" si="337"/>
        <v>21</v>
      </c>
      <c r="IC20" s="62">
        <f t="shared" si="337"/>
        <v>43</v>
      </c>
      <c r="ID20" s="62">
        <f t="shared" si="337"/>
        <v>64</v>
      </c>
      <c r="IE20" s="62">
        <f t="shared" si="337"/>
        <v>8</v>
      </c>
      <c r="IF20" s="62">
        <f t="shared" si="337"/>
        <v>10</v>
      </c>
      <c r="IG20" s="62">
        <f t="shared" si="337"/>
        <v>2</v>
      </c>
      <c r="IH20" s="62">
        <f t="shared" si="337"/>
        <v>12</v>
      </c>
      <c r="II20" s="62">
        <f t="shared" si="337"/>
        <v>0</v>
      </c>
      <c r="IJ20" s="62">
        <f t="shared" si="337"/>
        <v>14</v>
      </c>
      <c r="IK20" s="62">
        <f t="shared" si="337"/>
        <v>0</v>
      </c>
      <c r="IL20" s="62">
        <f t="shared" si="337"/>
        <v>14</v>
      </c>
      <c r="IM20" s="62">
        <f t="shared" si="337"/>
        <v>0</v>
      </c>
      <c r="IN20" s="62">
        <f t="shared" si="337"/>
        <v>0</v>
      </c>
      <c r="IO20" s="62">
        <f t="shared" si="337"/>
        <v>0</v>
      </c>
      <c r="IP20" s="62">
        <f t="shared" si="337"/>
        <v>0</v>
      </c>
      <c r="IQ20" s="62">
        <f t="shared" si="337"/>
        <v>474</v>
      </c>
      <c r="IR20" s="62">
        <f t="shared" si="337"/>
        <v>10</v>
      </c>
      <c r="IS20" s="62">
        <f t="shared" si="337"/>
        <v>65</v>
      </c>
      <c r="IT20" s="62">
        <f t="shared" si="337"/>
        <v>9</v>
      </c>
      <c r="IU20" s="62">
        <f t="shared" si="337"/>
        <v>15</v>
      </c>
      <c r="IV20" s="62">
        <f t="shared" si="337"/>
        <v>1</v>
      </c>
      <c r="IW20" s="62">
        <f t="shared" si="337"/>
        <v>0</v>
      </c>
      <c r="IX20" s="62">
        <f t="shared" si="337"/>
        <v>13</v>
      </c>
      <c r="IY20" s="62"/>
      <c r="IZ20" s="84"/>
      <c r="JA20" s="62"/>
    </row>
    <row r="21" spans="1:265" s="69" customFormat="1" ht="24.75" customHeight="1" x14ac:dyDescent="0.2">
      <c r="A21" s="68" t="s">
        <v>42</v>
      </c>
      <c r="B21" s="68" t="s">
        <v>138</v>
      </c>
      <c r="C21" s="68">
        <v>13</v>
      </c>
      <c r="D21" s="68">
        <v>1400728</v>
      </c>
      <c r="E21" s="68" t="s">
        <v>139</v>
      </c>
      <c r="F21" s="68"/>
      <c r="G21" s="68">
        <v>1</v>
      </c>
      <c r="H21" s="68"/>
      <c r="I21" s="68">
        <v>1</v>
      </c>
      <c r="J21" s="68"/>
      <c r="K21" s="68">
        <v>1</v>
      </c>
      <c r="L21" s="68"/>
      <c r="M21" s="68"/>
      <c r="N21" s="68">
        <v>1</v>
      </c>
      <c r="O21" s="68"/>
      <c r="P21" s="68"/>
      <c r="Q21" s="68"/>
      <c r="R21" s="68">
        <v>1</v>
      </c>
      <c r="S21" s="68"/>
      <c r="T21" s="68"/>
      <c r="U21" s="68"/>
      <c r="V21" s="68">
        <v>1</v>
      </c>
      <c r="W21" s="68"/>
      <c r="X21" s="68"/>
      <c r="Y21" s="68"/>
      <c r="Z21" s="91">
        <v>1</v>
      </c>
      <c r="AA21" s="68"/>
      <c r="AB21" s="68">
        <v>1</v>
      </c>
      <c r="AC21" s="68"/>
      <c r="AD21" s="68">
        <v>3</v>
      </c>
      <c r="AE21" s="68"/>
      <c r="AF21" s="68">
        <v>3</v>
      </c>
      <c r="AG21" s="68"/>
      <c r="AH21" s="68"/>
      <c r="AI21" s="68"/>
      <c r="AJ21" s="68">
        <v>2</v>
      </c>
      <c r="AK21" s="68"/>
      <c r="AL21" s="68">
        <v>2</v>
      </c>
      <c r="AM21" s="68">
        <f t="shared" ref="AM21:AM23" si="338">AK21+AI21+AG21+AE21+AC21+AA21+Y21</f>
        <v>0</v>
      </c>
      <c r="AN21" s="68">
        <f t="shared" ref="AN21:AN23" si="339">AL21+AJ21+AH21+AF21+AD21+AB21+Z21</f>
        <v>12</v>
      </c>
      <c r="AO21" s="68">
        <f t="shared" ref="AO21:AO23" si="340">AN21+AM21</f>
        <v>12</v>
      </c>
      <c r="AP21" s="68"/>
      <c r="AQ21" s="68"/>
      <c r="AR21" s="68"/>
      <c r="AS21" s="68"/>
      <c r="AT21" s="68"/>
      <c r="AU21" s="68">
        <v>3</v>
      </c>
      <c r="AV21" s="68"/>
      <c r="AW21" s="68">
        <v>4</v>
      </c>
      <c r="AX21" s="68"/>
      <c r="AY21" s="68">
        <v>3</v>
      </c>
      <c r="AZ21" s="68"/>
      <c r="BA21" s="68">
        <v>3</v>
      </c>
      <c r="BB21" s="68"/>
      <c r="BC21" s="68">
        <v>2</v>
      </c>
      <c r="BD21" s="68">
        <f t="shared" ref="BD21:BD23" si="341">BB21+AZ21+AX21+AV21+AT21+AR21+AP21</f>
        <v>0</v>
      </c>
      <c r="BE21" s="68">
        <f t="shared" ref="BE21:BE23" si="342">BC21+BA21+AY21+AW21+AU21+AS21+AQ21</f>
        <v>15</v>
      </c>
      <c r="BF21" s="68">
        <f t="shared" ref="BF21:BF23" si="343">BE21+BD21</f>
        <v>15</v>
      </c>
      <c r="BG21" s="68"/>
      <c r="BH21" s="68"/>
      <c r="BI21" s="68"/>
      <c r="BJ21" s="68"/>
      <c r="BK21" s="68"/>
      <c r="BL21" s="68">
        <v>2</v>
      </c>
      <c r="BM21" s="68"/>
      <c r="BN21" s="68">
        <v>4</v>
      </c>
      <c r="BO21" s="68"/>
      <c r="BP21" s="68">
        <v>7</v>
      </c>
      <c r="BQ21" s="68"/>
      <c r="BR21" s="68">
        <v>4</v>
      </c>
      <c r="BS21" s="68"/>
      <c r="BT21" s="68">
        <v>5</v>
      </c>
      <c r="BU21" s="68">
        <f t="shared" ref="BU21:BU23" si="344">BS21+BQ21+BO21+BM21+BK21+BI21+BG21</f>
        <v>0</v>
      </c>
      <c r="BV21" s="68">
        <f t="shared" ref="BV21:BV23" si="345">BT21+BR21+BP21+BN21+BL21+BJ21+BH21</f>
        <v>22</v>
      </c>
      <c r="BW21" s="68">
        <f t="shared" ref="BW21:BW23" si="346">BV21+BU21</f>
        <v>22</v>
      </c>
      <c r="BX21" s="68">
        <f t="shared" ref="BX21:BX23" si="347">BG21+AP21+Y21</f>
        <v>0</v>
      </c>
      <c r="BY21" s="68">
        <f t="shared" ref="BY21:BY23" si="348">BH21+AQ21+Z21</f>
        <v>1</v>
      </c>
      <c r="BZ21" s="68">
        <f t="shared" ref="BZ21:BZ23" si="349">BI21+AR21+AA21</f>
        <v>0</v>
      </c>
      <c r="CA21" s="68">
        <f t="shared" ref="CA21:CA23" si="350">BJ21+AS21+AB21</f>
        <v>1</v>
      </c>
      <c r="CB21" s="68">
        <f t="shared" ref="CB21:CB23" si="351">BK21+AT21+AC21</f>
        <v>0</v>
      </c>
      <c r="CC21" s="68">
        <f t="shared" ref="CC21:CC23" si="352">BL21+AU21+AD21</f>
        <v>8</v>
      </c>
      <c r="CD21" s="68">
        <f t="shared" ref="CD21:CD23" si="353">BM21+AV21+AE21</f>
        <v>0</v>
      </c>
      <c r="CE21" s="68">
        <f t="shared" ref="CE21:CE23" si="354">BN21+AW21+AF21</f>
        <v>11</v>
      </c>
      <c r="CF21" s="68">
        <f t="shared" ref="CF21:CF23" si="355">BO21+AX21+AG21</f>
        <v>0</v>
      </c>
      <c r="CG21" s="68">
        <f t="shared" ref="CG21:CG23" si="356">BP21+AY21+AH21</f>
        <v>10</v>
      </c>
      <c r="CH21" s="68">
        <f t="shared" ref="CH21:CH23" si="357">BQ21+AZ21+AI21</f>
        <v>0</v>
      </c>
      <c r="CI21" s="68">
        <f t="shared" ref="CI21:CI23" si="358">BR21+BA21+AJ21</f>
        <v>9</v>
      </c>
      <c r="CJ21" s="68">
        <f t="shared" ref="CJ21:CJ23" si="359">BS21+BB21+AK21</f>
        <v>0</v>
      </c>
      <c r="CK21" s="68">
        <f t="shared" ref="CK21:CK23" si="360">BT21+BC21+AL21</f>
        <v>9</v>
      </c>
      <c r="CL21" s="68">
        <f t="shared" ref="CL21:CL23" si="361">CJ21+CH21+CF21+CD21+CB21+BZ21+BX21</f>
        <v>0</v>
      </c>
      <c r="CM21" s="68">
        <f t="shared" ref="CM21:CM23" si="362">CK21+CI21+CG21+CE21+CC21+CA21+BY21</f>
        <v>49</v>
      </c>
      <c r="CN21" s="68">
        <f t="shared" ref="CN21:CN23" si="363">CM21+CL21</f>
        <v>49</v>
      </c>
      <c r="CO21" s="68"/>
      <c r="CP21" s="68">
        <v>1</v>
      </c>
      <c r="CQ21" s="68"/>
      <c r="CR21" s="68"/>
      <c r="CS21" s="68">
        <v>1</v>
      </c>
      <c r="CT21" s="68"/>
      <c r="CU21" s="68"/>
      <c r="CV21" s="68">
        <v>1</v>
      </c>
      <c r="CW21" s="68"/>
      <c r="CX21" s="68">
        <f t="shared" si="36"/>
        <v>0</v>
      </c>
      <c r="CY21" s="68">
        <f t="shared" si="37"/>
        <v>3</v>
      </c>
      <c r="CZ21" s="68">
        <f t="shared" si="38"/>
        <v>0</v>
      </c>
      <c r="DA21" s="68">
        <f t="shared" si="39"/>
        <v>3</v>
      </c>
      <c r="DB21" s="68"/>
      <c r="DC21" s="68">
        <v>1</v>
      </c>
      <c r="DD21" s="68"/>
      <c r="DE21" s="68">
        <v>1</v>
      </c>
      <c r="DF21" s="68"/>
      <c r="DG21" s="68">
        <v>4</v>
      </c>
      <c r="DH21" s="68">
        <f t="shared" ref="DH21:DH23" si="364">DF21+DD21+DB21</f>
        <v>0</v>
      </c>
      <c r="DI21" s="68">
        <f t="shared" ref="DI21:DI23" si="365">DG21+DE21+DC21</f>
        <v>6</v>
      </c>
      <c r="DJ21" s="68">
        <f t="shared" ref="DJ21:DJ23" si="366">DI21+DH21</f>
        <v>6</v>
      </c>
      <c r="DK21" s="68"/>
      <c r="DL21" s="68">
        <v>8</v>
      </c>
      <c r="DM21" s="68"/>
      <c r="DN21" s="68">
        <v>11</v>
      </c>
      <c r="DO21" s="68"/>
      <c r="DP21" s="68">
        <v>23</v>
      </c>
      <c r="DQ21" s="68">
        <f t="shared" ref="DQ21:DQ23" si="367">DO21+DM21+DK21</f>
        <v>0</v>
      </c>
      <c r="DR21" s="68">
        <f t="shared" ref="DR21:DR23" si="368">DP21+DN21+DL21</f>
        <v>42</v>
      </c>
      <c r="DS21" s="68">
        <f t="shared" ref="DS21:DS23" si="369">DR21+DQ21</f>
        <v>42</v>
      </c>
      <c r="DT21" s="68"/>
      <c r="DU21" s="68">
        <v>5</v>
      </c>
      <c r="DV21" s="68"/>
      <c r="DW21" s="68">
        <v>4</v>
      </c>
      <c r="DX21" s="68"/>
      <c r="DY21" s="68">
        <v>11</v>
      </c>
      <c r="DZ21" s="68">
        <f t="shared" ref="DZ21:DZ23" si="370">DX21+DV21+DT21</f>
        <v>0</v>
      </c>
      <c r="EA21" s="68">
        <f t="shared" ref="EA21:EA23" si="371">DY21+DW21+DU21</f>
        <v>20</v>
      </c>
      <c r="EB21" s="68">
        <f t="shared" ref="EB21:EB23" si="372">EA21+DZ21</f>
        <v>20</v>
      </c>
      <c r="EC21" s="68"/>
      <c r="ED21" s="68"/>
      <c r="EE21" s="68"/>
      <c r="EF21" s="68"/>
      <c r="EG21" s="68"/>
      <c r="EH21" s="68"/>
      <c r="EI21" s="68">
        <f t="shared" ref="EI21:EI23" si="373">EG21+EE21+EC21</f>
        <v>0</v>
      </c>
      <c r="EJ21" s="68">
        <f t="shared" ref="EJ21:EJ23" si="374">EH21+EF21+ED21</f>
        <v>0</v>
      </c>
      <c r="EK21" s="68">
        <f t="shared" ref="EK21:EK23" si="375">EJ21+EI21</f>
        <v>0</v>
      </c>
      <c r="EL21" s="68"/>
      <c r="EM21" s="68"/>
      <c r="EN21" s="68"/>
      <c r="EO21" s="68"/>
      <c r="EP21" s="68"/>
      <c r="EQ21" s="68"/>
      <c r="ER21" s="68">
        <f t="shared" ref="ER21:ER23" si="376">EP21+EN21+EL21</f>
        <v>0</v>
      </c>
      <c r="ES21" s="68">
        <f t="shared" ref="ES21:ES23" si="377">EQ21+EO21+EM21</f>
        <v>0</v>
      </c>
      <c r="ET21" s="68">
        <f t="shared" ref="ET21:ET23" si="378">ES21+ER21</f>
        <v>0</v>
      </c>
      <c r="EU21" s="68"/>
      <c r="EV21" s="68">
        <v>1</v>
      </c>
      <c r="EW21" s="68"/>
      <c r="EX21" s="68"/>
      <c r="EY21" s="68"/>
      <c r="EZ21" s="68">
        <v>5</v>
      </c>
      <c r="FA21" s="68"/>
      <c r="FB21" s="68"/>
      <c r="FC21" s="68">
        <f t="shared" ref="FC21:FC23" si="379">FA21+EY21+EW21+EU21</f>
        <v>0</v>
      </c>
      <c r="FD21" s="68">
        <f t="shared" ref="FD21:FD23" si="380">FB21+EZ21+EX21+EV21</f>
        <v>6</v>
      </c>
      <c r="FE21" s="68">
        <f t="shared" ref="FE21:FE23" si="381">FD21+FC21</f>
        <v>6</v>
      </c>
      <c r="FF21" s="68"/>
      <c r="FG21" s="68"/>
      <c r="FH21" s="68"/>
      <c r="FI21" s="68"/>
      <c r="FJ21" s="68"/>
      <c r="FK21" s="68"/>
      <c r="FL21" s="68"/>
      <c r="FM21" s="68"/>
      <c r="FN21" s="68"/>
      <c r="FO21" s="68">
        <v>1</v>
      </c>
      <c r="FP21" s="68"/>
      <c r="FQ21" s="68"/>
      <c r="FR21" s="68"/>
      <c r="FS21" s="68"/>
      <c r="FT21" s="68"/>
      <c r="FU21" s="68">
        <f t="shared" ref="FU21:FU23" si="382">FT21+FS21+FR21+FN21+FL21+FH21+FF21</f>
        <v>0</v>
      </c>
      <c r="FV21" s="68">
        <f t="shared" ref="FV21:FV23" si="383">FO21+FM21+FI21+FG21</f>
        <v>1</v>
      </c>
      <c r="FW21" s="68">
        <f t="shared" ref="FW21:FW23" si="384">FV21+FU21</f>
        <v>1</v>
      </c>
      <c r="FX21" s="68"/>
      <c r="FY21" s="68"/>
      <c r="FZ21" s="68"/>
      <c r="GA21" s="68"/>
      <c r="GB21" s="68"/>
      <c r="GC21" s="68">
        <v>4</v>
      </c>
      <c r="GD21" s="68"/>
      <c r="GE21" s="68"/>
      <c r="GF21" s="68"/>
      <c r="GG21" s="68">
        <v>1</v>
      </c>
      <c r="GH21" s="68"/>
      <c r="GI21" s="68">
        <v>1</v>
      </c>
      <c r="GJ21" s="68"/>
      <c r="GK21" s="68"/>
      <c r="GL21" s="68"/>
      <c r="GM21" s="68"/>
      <c r="GN21" s="68">
        <f t="shared" ref="GN21:GN23" si="385">GL21+GJ21+GH21+GF21+GD21+GB21+FZ21+FX21</f>
        <v>0</v>
      </c>
      <c r="GO21" s="68">
        <f t="shared" ref="GO21:GO23" si="386">GM21+GK21+GI21+GG21+GE21+GC21+GA21+FY21</f>
        <v>6</v>
      </c>
      <c r="GP21" s="68">
        <f t="shared" ref="GP21:GP23" si="387">GO21+GN21</f>
        <v>6</v>
      </c>
      <c r="GQ21" s="68"/>
      <c r="GR21" s="68">
        <v>6</v>
      </c>
      <c r="GS21" s="68"/>
      <c r="GT21" s="68"/>
      <c r="GU21" s="68"/>
      <c r="GV21" s="68"/>
      <c r="GW21" s="68">
        <f t="shared" ref="GW21:GW23" si="388">GU21+GS21+GQ21</f>
        <v>0</v>
      </c>
      <c r="GX21" s="68">
        <f t="shared" ref="GX21:GX23" si="389">GV21+GT21+GR21</f>
        <v>6</v>
      </c>
      <c r="GY21" s="68">
        <f t="shared" ref="GY21:GY23" si="390">GX21+GW21</f>
        <v>6</v>
      </c>
      <c r="GZ21" s="68"/>
      <c r="HA21" s="68">
        <v>6</v>
      </c>
      <c r="HB21" s="68"/>
      <c r="HC21" s="68"/>
      <c r="HD21" s="68"/>
      <c r="HE21" s="68"/>
      <c r="HF21" s="68"/>
      <c r="HG21" s="68"/>
      <c r="HH21" s="68"/>
      <c r="HI21" s="68"/>
      <c r="HJ21" s="68"/>
      <c r="HK21" s="68"/>
      <c r="HL21" s="68"/>
      <c r="HM21" s="68"/>
      <c r="HN21" s="68"/>
      <c r="HO21" s="68"/>
      <c r="HP21" s="68"/>
      <c r="HQ21" s="68">
        <f t="shared" ref="HQ21:HQ23" si="391">HO21+GZ21+HM21+HJ21+HH21+HF21+HD21+HB21</f>
        <v>0</v>
      </c>
      <c r="HR21" s="68">
        <f t="shared" ref="HR21:HR23" si="392">HP21+HA21+HN21+HL21+HK21+HI21+HG21+HE21+HC21</f>
        <v>6</v>
      </c>
      <c r="HS21" s="68">
        <f t="shared" ref="HS21:HS23" si="393">HR21+HQ21</f>
        <v>6</v>
      </c>
      <c r="HT21" s="68"/>
      <c r="HU21" s="68"/>
      <c r="HV21" s="68"/>
      <c r="HW21" s="68">
        <v>5</v>
      </c>
      <c r="HX21" s="68"/>
      <c r="HY21" s="68">
        <v>1</v>
      </c>
      <c r="HZ21" s="68"/>
      <c r="IA21" s="68"/>
      <c r="IB21" s="68">
        <f t="shared" ref="IB21:IB23" si="394">HZ21+HX21+HV21+HT21</f>
        <v>0</v>
      </c>
      <c r="IC21" s="68">
        <f t="shared" ref="IC21:IC23" si="395">IA21+HY21+HW21+HU21</f>
        <v>6</v>
      </c>
      <c r="ID21" s="68">
        <f t="shared" ref="ID21:ID23" si="396">IC21+IB21</f>
        <v>6</v>
      </c>
      <c r="IE21" s="68"/>
      <c r="IF21" s="68"/>
      <c r="IG21" s="68"/>
      <c r="IH21" s="68">
        <v>1</v>
      </c>
      <c r="II21" s="68"/>
      <c r="IJ21" s="68">
        <v>1</v>
      </c>
      <c r="IK21" s="68"/>
      <c r="IL21" s="68">
        <v>1</v>
      </c>
      <c r="IM21" s="68"/>
      <c r="IN21" s="68"/>
      <c r="IO21" s="68"/>
      <c r="IP21" s="68"/>
      <c r="IQ21" s="68"/>
      <c r="IR21" s="68"/>
      <c r="IS21" s="68">
        <v>5</v>
      </c>
      <c r="IT21" s="68">
        <v>1</v>
      </c>
      <c r="IU21" s="68">
        <v>1</v>
      </c>
      <c r="IV21" s="68"/>
      <c r="IW21" s="68"/>
      <c r="IX21" s="68">
        <v>1</v>
      </c>
      <c r="IY21" s="68" t="s">
        <v>232</v>
      </c>
      <c r="IZ21" s="82">
        <v>7814850538</v>
      </c>
      <c r="JA21" s="68" t="s">
        <v>213</v>
      </c>
    </row>
    <row r="22" spans="1:265" s="69" customFormat="1" ht="24.75" customHeight="1" x14ac:dyDescent="0.2">
      <c r="A22" s="68" t="s">
        <v>42</v>
      </c>
      <c r="B22" s="68" t="s">
        <v>138</v>
      </c>
      <c r="C22" s="68">
        <v>14</v>
      </c>
      <c r="D22" s="68">
        <v>1400729</v>
      </c>
      <c r="E22" s="68" t="s">
        <v>140</v>
      </c>
      <c r="F22" s="68"/>
      <c r="G22" s="68">
        <v>1</v>
      </c>
      <c r="H22" s="68">
        <v>1</v>
      </c>
      <c r="I22" s="68"/>
      <c r="J22" s="68"/>
      <c r="K22" s="68"/>
      <c r="L22" s="68">
        <v>1</v>
      </c>
      <c r="M22" s="68"/>
      <c r="N22" s="68">
        <v>1</v>
      </c>
      <c r="O22" s="68"/>
      <c r="P22" s="68"/>
      <c r="Q22" s="68"/>
      <c r="R22" s="68">
        <v>1</v>
      </c>
      <c r="S22" s="68"/>
      <c r="T22" s="68"/>
      <c r="U22" s="68"/>
      <c r="V22" s="68">
        <v>1</v>
      </c>
      <c r="W22" s="68"/>
      <c r="X22" s="68"/>
      <c r="Y22" s="68">
        <v>1</v>
      </c>
      <c r="Z22" s="91"/>
      <c r="AA22" s="68">
        <v>3</v>
      </c>
      <c r="AB22" s="68"/>
      <c r="AC22" s="68">
        <v>1</v>
      </c>
      <c r="AD22" s="68"/>
      <c r="AE22" s="68">
        <v>2</v>
      </c>
      <c r="AF22" s="68"/>
      <c r="AG22" s="68">
        <v>1</v>
      </c>
      <c r="AH22" s="68"/>
      <c r="AI22" s="68">
        <v>1</v>
      </c>
      <c r="AJ22" s="68"/>
      <c r="AK22" s="68"/>
      <c r="AL22" s="68"/>
      <c r="AM22" s="68">
        <f t="shared" si="338"/>
        <v>9</v>
      </c>
      <c r="AN22" s="68">
        <f t="shared" si="339"/>
        <v>0</v>
      </c>
      <c r="AO22" s="68">
        <f t="shared" si="340"/>
        <v>9</v>
      </c>
      <c r="AP22" s="68">
        <v>1</v>
      </c>
      <c r="AQ22" s="68"/>
      <c r="AR22" s="68">
        <v>4</v>
      </c>
      <c r="AS22" s="68"/>
      <c r="AT22" s="68">
        <v>6</v>
      </c>
      <c r="AU22" s="68"/>
      <c r="AV22" s="68">
        <v>6</v>
      </c>
      <c r="AW22" s="68"/>
      <c r="AX22" s="68">
        <v>2</v>
      </c>
      <c r="AY22" s="68"/>
      <c r="AZ22" s="68">
        <v>4</v>
      </c>
      <c r="BA22" s="68"/>
      <c r="BB22" s="68">
        <v>3</v>
      </c>
      <c r="BC22" s="68"/>
      <c r="BD22" s="68">
        <f t="shared" si="341"/>
        <v>26</v>
      </c>
      <c r="BE22" s="68">
        <f t="shared" si="342"/>
        <v>0</v>
      </c>
      <c r="BF22" s="68">
        <f t="shared" si="343"/>
        <v>26</v>
      </c>
      <c r="BG22" s="68"/>
      <c r="BH22" s="68"/>
      <c r="BI22" s="68">
        <v>1</v>
      </c>
      <c r="BJ22" s="68"/>
      <c r="BK22" s="68">
        <v>7</v>
      </c>
      <c r="BL22" s="68"/>
      <c r="BM22" s="68">
        <v>5</v>
      </c>
      <c r="BN22" s="68"/>
      <c r="BO22" s="68">
        <v>13</v>
      </c>
      <c r="BP22" s="68"/>
      <c r="BQ22" s="68">
        <v>3</v>
      </c>
      <c r="BR22" s="68"/>
      <c r="BS22" s="68">
        <v>4</v>
      </c>
      <c r="BT22" s="68"/>
      <c r="BU22" s="68">
        <f t="shared" si="344"/>
        <v>33</v>
      </c>
      <c r="BV22" s="68">
        <f t="shared" si="345"/>
        <v>0</v>
      </c>
      <c r="BW22" s="68">
        <f t="shared" si="346"/>
        <v>33</v>
      </c>
      <c r="BX22" s="68">
        <f t="shared" si="347"/>
        <v>2</v>
      </c>
      <c r="BY22" s="68">
        <f t="shared" si="348"/>
        <v>0</v>
      </c>
      <c r="BZ22" s="68">
        <f t="shared" si="349"/>
        <v>8</v>
      </c>
      <c r="CA22" s="68">
        <f t="shared" si="350"/>
        <v>0</v>
      </c>
      <c r="CB22" s="68">
        <f t="shared" si="351"/>
        <v>14</v>
      </c>
      <c r="CC22" s="68">
        <f t="shared" si="352"/>
        <v>0</v>
      </c>
      <c r="CD22" s="68">
        <f t="shared" si="353"/>
        <v>13</v>
      </c>
      <c r="CE22" s="68">
        <f t="shared" si="354"/>
        <v>0</v>
      </c>
      <c r="CF22" s="68">
        <f t="shared" si="355"/>
        <v>16</v>
      </c>
      <c r="CG22" s="68">
        <f t="shared" si="356"/>
        <v>0</v>
      </c>
      <c r="CH22" s="68">
        <f t="shared" si="357"/>
        <v>8</v>
      </c>
      <c r="CI22" s="68">
        <f t="shared" si="358"/>
        <v>0</v>
      </c>
      <c r="CJ22" s="68">
        <f t="shared" si="359"/>
        <v>7</v>
      </c>
      <c r="CK22" s="68">
        <f t="shared" si="360"/>
        <v>0</v>
      </c>
      <c r="CL22" s="68">
        <f t="shared" si="361"/>
        <v>68</v>
      </c>
      <c r="CM22" s="68">
        <f t="shared" si="362"/>
        <v>0</v>
      </c>
      <c r="CN22" s="68">
        <f t="shared" si="363"/>
        <v>68</v>
      </c>
      <c r="CO22" s="68">
        <v>1</v>
      </c>
      <c r="CP22" s="68"/>
      <c r="CQ22" s="68"/>
      <c r="CR22" s="68">
        <v>1</v>
      </c>
      <c r="CS22" s="68"/>
      <c r="CT22" s="68"/>
      <c r="CU22" s="68">
        <v>1</v>
      </c>
      <c r="CV22" s="68"/>
      <c r="CW22" s="68"/>
      <c r="CX22" s="68">
        <f t="shared" si="36"/>
        <v>3</v>
      </c>
      <c r="CY22" s="68">
        <f t="shared" si="37"/>
        <v>0</v>
      </c>
      <c r="CZ22" s="68">
        <f t="shared" si="38"/>
        <v>0</v>
      </c>
      <c r="DA22" s="68">
        <f t="shared" si="39"/>
        <v>3</v>
      </c>
      <c r="DB22" s="68"/>
      <c r="DC22" s="68"/>
      <c r="DD22" s="68"/>
      <c r="DE22" s="68"/>
      <c r="DF22" s="68"/>
      <c r="DG22" s="68"/>
      <c r="DH22" s="68">
        <f t="shared" si="364"/>
        <v>0</v>
      </c>
      <c r="DI22" s="68">
        <f t="shared" si="365"/>
        <v>0</v>
      </c>
      <c r="DJ22" s="68">
        <f t="shared" si="366"/>
        <v>0</v>
      </c>
      <c r="DK22" s="68">
        <v>20</v>
      </c>
      <c r="DL22" s="68"/>
      <c r="DM22" s="68">
        <v>11</v>
      </c>
      <c r="DN22" s="68"/>
      <c r="DO22" s="68">
        <v>22</v>
      </c>
      <c r="DP22" s="68"/>
      <c r="DQ22" s="68">
        <f t="shared" si="367"/>
        <v>53</v>
      </c>
      <c r="DR22" s="68">
        <f t="shared" si="368"/>
        <v>0</v>
      </c>
      <c r="DS22" s="68">
        <f t="shared" si="369"/>
        <v>53</v>
      </c>
      <c r="DT22" s="68">
        <v>9</v>
      </c>
      <c r="DU22" s="68"/>
      <c r="DV22" s="68">
        <v>21</v>
      </c>
      <c r="DW22" s="68"/>
      <c r="DX22" s="68">
        <v>15</v>
      </c>
      <c r="DY22" s="68"/>
      <c r="DZ22" s="68">
        <f t="shared" si="370"/>
        <v>45</v>
      </c>
      <c r="EA22" s="68">
        <f t="shared" si="371"/>
        <v>0</v>
      </c>
      <c r="EB22" s="68">
        <f t="shared" si="372"/>
        <v>45</v>
      </c>
      <c r="EC22" s="68"/>
      <c r="ED22" s="68"/>
      <c r="EE22" s="68"/>
      <c r="EF22" s="68"/>
      <c r="EG22" s="68"/>
      <c r="EH22" s="68"/>
      <c r="EI22" s="68">
        <f t="shared" si="373"/>
        <v>0</v>
      </c>
      <c r="EJ22" s="68">
        <f t="shared" si="374"/>
        <v>0</v>
      </c>
      <c r="EK22" s="68">
        <f t="shared" si="375"/>
        <v>0</v>
      </c>
      <c r="EL22" s="68"/>
      <c r="EM22" s="68"/>
      <c r="EN22" s="68"/>
      <c r="EO22" s="68"/>
      <c r="EP22" s="68"/>
      <c r="EQ22" s="68"/>
      <c r="ER22" s="68">
        <f t="shared" si="376"/>
        <v>0</v>
      </c>
      <c r="ES22" s="68">
        <f t="shared" si="377"/>
        <v>0</v>
      </c>
      <c r="ET22" s="68">
        <f t="shared" si="378"/>
        <v>0</v>
      </c>
      <c r="EU22" s="68">
        <v>1</v>
      </c>
      <c r="EV22" s="68"/>
      <c r="EW22" s="68"/>
      <c r="EX22" s="68"/>
      <c r="EY22" s="68">
        <v>7</v>
      </c>
      <c r="EZ22" s="68"/>
      <c r="FA22" s="68"/>
      <c r="FB22" s="68"/>
      <c r="FC22" s="68">
        <f t="shared" si="379"/>
        <v>8</v>
      </c>
      <c r="FD22" s="68">
        <f t="shared" si="380"/>
        <v>0</v>
      </c>
      <c r="FE22" s="68">
        <f t="shared" si="381"/>
        <v>8</v>
      </c>
      <c r="FF22" s="68"/>
      <c r="FG22" s="68"/>
      <c r="FH22" s="68"/>
      <c r="FI22" s="68"/>
      <c r="FJ22" s="68"/>
      <c r="FK22" s="68"/>
      <c r="FL22" s="68"/>
      <c r="FM22" s="68"/>
      <c r="FN22" s="68">
        <v>1</v>
      </c>
      <c r="FO22" s="68"/>
      <c r="FP22" s="68"/>
      <c r="FQ22" s="68"/>
      <c r="FR22" s="68"/>
      <c r="FS22" s="68"/>
      <c r="FT22" s="68"/>
      <c r="FU22" s="68">
        <f t="shared" si="382"/>
        <v>1</v>
      </c>
      <c r="FV22" s="68">
        <f t="shared" si="383"/>
        <v>0</v>
      </c>
      <c r="FW22" s="68">
        <f t="shared" si="384"/>
        <v>1</v>
      </c>
      <c r="FX22" s="68"/>
      <c r="FY22" s="68"/>
      <c r="FZ22" s="68"/>
      <c r="GA22" s="68"/>
      <c r="GB22" s="68">
        <v>3</v>
      </c>
      <c r="GC22" s="68"/>
      <c r="GD22" s="68"/>
      <c r="GE22" s="68"/>
      <c r="GF22" s="68"/>
      <c r="GG22" s="68"/>
      <c r="GH22" s="68">
        <v>3</v>
      </c>
      <c r="GI22" s="68"/>
      <c r="GJ22" s="68">
        <v>1</v>
      </c>
      <c r="GK22" s="68"/>
      <c r="GL22" s="68">
        <v>1</v>
      </c>
      <c r="GM22" s="68"/>
      <c r="GN22" s="68">
        <f t="shared" si="385"/>
        <v>8</v>
      </c>
      <c r="GO22" s="68">
        <f t="shared" si="386"/>
        <v>0</v>
      </c>
      <c r="GP22" s="68">
        <f t="shared" si="387"/>
        <v>8</v>
      </c>
      <c r="GQ22" s="68">
        <v>8</v>
      </c>
      <c r="GR22" s="68"/>
      <c r="GS22" s="68"/>
      <c r="GT22" s="68"/>
      <c r="GU22" s="68"/>
      <c r="GV22" s="68"/>
      <c r="GW22" s="68">
        <f t="shared" si="388"/>
        <v>8</v>
      </c>
      <c r="GX22" s="68">
        <f t="shared" si="389"/>
        <v>0</v>
      </c>
      <c r="GY22" s="68">
        <f t="shared" si="390"/>
        <v>8</v>
      </c>
      <c r="GZ22" s="68">
        <v>7</v>
      </c>
      <c r="HA22" s="68"/>
      <c r="HB22" s="68"/>
      <c r="HC22" s="68"/>
      <c r="HD22" s="68"/>
      <c r="HE22" s="68"/>
      <c r="HF22" s="68"/>
      <c r="HG22" s="68"/>
      <c r="HH22" s="68"/>
      <c r="HI22" s="68"/>
      <c r="HJ22" s="68"/>
      <c r="HK22" s="68"/>
      <c r="HL22" s="68"/>
      <c r="HM22" s="68"/>
      <c r="HN22" s="68"/>
      <c r="HO22" s="68">
        <v>1</v>
      </c>
      <c r="HP22" s="68"/>
      <c r="HQ22" s="68">
        <f t="shared" si="391"/>
        <v>8</v>
      </c>
      <c r="HR22" s="68">
        <f t="shared" si="392"/>
        <v>0</v>
      </c>
      <c r="HS22" s="68">
        <f t="shared" si="393"/>
        <v>8</v>
      </c>
      <c r="HT22" s="68">
        <v>2</v>
      </c>
      <c r="HU22" s="68"/>
      <c r="HV22" s="68">
        <v>6</v>
      </c>
      <c r="HW22" s="68"/>
      <c r="HX22" s="68"/>
      <c r="HY22" s="68"/>
      <c r="HZ22" s="68"/>
      <c r="IA22" s="68"/>
      <c r="IB22" s="68">
        <f t="shared" si="394"/>
        <v>8</v>
      </c>
      <c r="IC22" s="68">
        <f t="shared" si="395"/>
        <v>0</v>
      </c>
      <c r="ID22" s="68">
        <f t="shared" si="396"/>
        <v>8</v>
      </c>
      <c r="IE22" s="68">
        <v>3</v>
      </c>
      <c r="IF22" s="68"/>
      <c r="IG22" s="68"/>
      <c r="IH22" s="68">
        <v>1</v>
      </c>
      <c r="II22" s="68"/>
      <c r="IJ22" s="68">
        <v>1</v>
      </c>
      <c r="IK22" s="68"/>
      <c r="IL22" s="68">
        <v>1</v>
      </c>
      <c r="IM22" s="68"/>
      <c r="IN22" s="68"/>
      <c r="IO22" s="68"/>
      <c r="IP22" s="68"/>
      <c r="IQ22" s="68"/>
      <c r="IR22" s="68"/>
      <c r="IS22" s="68">
        <v>4</v>
      </c>
      <c r="IT22" s="68">
        <v>1</v>
      </c>
      <c r="IU22" s="68">
        <v>3</v>
      </c>
      <c r="IV22" s="68"/>
      <c r="IW22" s="68"/>
      <c r="IX22" s="68">
        <v>1</v>
      </c>
      <c r="IY22" s="68" t="s">
        <v>233</v>
      </c>
      <c r="IZ22" s="82">
        <v>7816033841</v>
      </c>
      <c r="JA22" s="68" t="s">
        <v>214</v>
      </c>
    </row>
    <row r="23" spans="1:265" s="69" customFormat="1" ht="24.75" customHeight="1" x14ac:dyDescent="0.2">
      <c r="A23" s="68" t="s">
        <v>42</v>
      </c>
      <c r="B23" s="68" t="s">
        <v>138</v>
      </c>
      <c r="C23" s="68">
        <v>15</v>
      </c>
      <c r="D23" s="68">
        <v>1400814</v>
      </c>
      <c r="E23" s="68" t="s">
        <v>141</v>
      </c>
      <c r="F23" s="68"/>
      <c r="G23" s="68">
        <v>1</v>
      </c>
      <c r="H23" s="68">
        <v>1</v>
      </c>
      <c r="I23" s="68"/>
      <c r="J23" s="68"/>
      <c r="K23" s="68">
        <v>1</v>
      </c>
      <c r="L23" s="68"/>
      <c r="M23" s="68"/>
      <c r="N23" s="68">
        <v>1</v>
      </c>
      <c r="O23" s="68"/>
      <c r="P23" s="68"/>
      <c r="Q23" s="68"/>
      <c r="R23" s="68">
        <v>1</v>
      </c>
      <c r="S23" s="68"/>
      <c r="T23" s="68"/>
      <c r="U23" s="68"/>
      <c r="V23" s="68">
        <v>1</v>
      </c>
      <c r="W23" s="68"/>
      <c r="X23" s="68"/>
      <c r="Y23" s="68">
        <v>4</v>
      </c>
      <c r="Z23" s="91"/>
      <c r="AA23" s="68">
        <v>2</v>
      </c>
      <c r="AB23" s="68"/>
      <c r="AC23" s="68">
        <v>3</v>
      </c>
      <c r="AD23" s="68"/>
      <c r="AE23" s="68">
        <v>2</v>
      </c>
      <c r="AF23" s="68"/>
      <c r="AG23" s="68">
        <v>2</v>
      </c>
      <c r="AH23" s="68"/>
      <c r="AI23" s="68">
        <v>2</v>
      </c>
      <c r="AJ23" s="68"/>
      <c r="AK23" s="68"/>
      <c r="AL23" s="68"/>
      <c r="AM23" s="68">
        <f t="shared" si="338"/>
        <v>15</v>
      </c>
      <c r="AN23" s="68">
        <f t="shared" si="339"/>
        <v>0</v>
      </c>
      <c r="AO23" s="68">
        <f t="shared" si="340"/>
        <v>15</v>
      </c>
      <c r="AP23" s="68"/>
      <c r="AQ23" s="68"/>
      <c r="AR23" s="68">
        <v>8</v>
      </c>
      <c r="AS23" s="68"/>
      <c r="AT23" s="68">
        <v>5</v>
      </c>
      <c r="AU23" s="68"/>
      <c r="AV23" s="68">
        <v>7</v>
      </c>
      <c r="AW23" s="68"/>
      <c r="AX23" s="68">
        <v>8</v>
      </c>
      <c r="AY23" s="68"/>
      <c r="AZ23" s="68"/>
      <c r="BA23" s="68"/>
      <c r="BB23" s="68"/>
      <c r="BC23" s="68"/>
      <c r="BD23" s="68">
        <f t="shared" si="341"/>
        <v>28</v>
      </c>
      <c r="BE23" s="68">
        <f t="shared" si="342"/>
        <v>0</v>
      </c>
      <c r="BF23" s="68">
        <f t="shared" si="343"/>
        <v>28</v>
      </c>
      <c r="BG23" s="68"/>
      <c r="BH23" s="68"/>
      <c r="BI23" s="68"/>
      <c r="BJ23" s="68"/>
      <c r="BK23" s="68">
        <v>3</v>
      </c>
      <c r="BL23" s="68"/>
      <c r="BM23" s="68">
        <v>4</v>
      </c>
      <c r="BN23" s="68"/>
      <c r="BO23" s="68"/>
      <c r="BP23" s="68"/>
      <c r="BQ23" s="68">
        <v>3</v>
      </c>
      <c r="BR23" s="68"/>
      <c r="BS23" s="68">
        <v>20</v>
      </c>
      <c r="BT23" s="68"/>
      <c r="BU23" s="68">
        <f t="shared" si="344"/>
        <v>30</v>
      </c>
      <c r="BV23" s="68">
        <f t="shared" si="345"/>
        <v>0</v>
      </c>
      <c r="BW23" s="68">
        <f t="shared" si="346"/>
        <v>30</v>
      </c>
      <c r="BX23" s="68">
        <f t="shared" si="347"/>
        <v>4</v>
      </c>
      <c r="BY23" s="68">
        <f t="shared" si="348"/>
        <v>0</v>
      </c>
      <c r="BZ23" s="68">
        <f t="shared" si="349"/>
        <v>10</v>
      </c>
      <c r="CA23" s="68">
        <f t="shared" si="350"/>
        <v>0</v>
      </c>
      <c r="CB23" s="68">
        <f t="shared" si="351"/>
        <v>11</v>
      </c>
      <c r="CC23" s="68">
        <f t="shared" si="352"/>
        <v>0</v>
      </c>
      <c r="CD23" s="68">
        <f t="shared" si="353"/>
        <v>13</v>
      </c>
      <c r="CE23" s="68">
        <f t="shared" si="354"/>
        <v>0</v>
      </c>
      <c r="CF23" s="68">
        <f t="shared" si="355"/>
        <v>10</v>
      </c>
      <c r="CG23" s="68">
        <f t="shared" si="356"/>
        <v>0</v>
      </c>
      <c r="CH23" s="68">
        <f t="shared" si="357"/>
        <v>5</v>
      </c>
      <c r="CI23" s="68">
        <f t="shared" si="358"/>
        <v>0</v>
      </c>
      <c r="CJ23" s="68">
        <f t="shared" si="359"/>
        <v>20</v>
      </c>
      <c r="CK23" s="68">
        <f t="shared" si="360"/>
        <v>0</v>
      </c>
      <c r="CL23" s="68">
        <f t="shared" si="361"/>
        <v>73</v>
      </c>
      <c r="CM23" s="68">
        <f t="shared" si="362"/>
        <v>0</v>
      </c>
      <c r="CN23" s="68">
        <f t="shared" si="363"/>
        <v>73</v>
      </c>
      <c r="CO23" s="68">
        <v>1</v>
      </c>
      <c r="CP23" s="68"/>
      <c r="CQ23" s="68"/>
      <c r="CR23" s="68">
        <v>1</v>
      </c>
      <c r="CS23" s="68"/>
      <c r="CT23" s="68"/>
      <c r="CU23" s="68">
        <v>1</v>
      </c>
      <c r="CV23" s="68"/>
      <c r="CW23" s="68"/>
      <c r="CX23" s="68">
        <f t="shared" si="36"/>
        <v>3</v>
      </c>
      <c r="CY23" s="68">
        <f t="shared" si="37"/>
        <v>0</v>
      </c>
      <c r="CZ23" s="68">
        <f t="shared" si="38"/>
        <v>0</v>
      </c>
      <c r="DA23" s="68">
        <f t="shared" si="39"/>
        <v>3</v>
      </c>
      <c r="DB23" s="68"/>
      <c r="DC23" s="68"/>
      <c r="DD23" s="68">
        <v>1</v>
      </c>
      <c r="DE23" s="68"/>
      <c r="DF23" s="68">
        <v>7</v>
      </c>
      <c r="DG23" s="68"/>
      <c r="DH23" s="68">
        <f t="shared" si="364"/>
        <v>8</v>
      </c>
      <c r="DI23" s="68">
        <f t="shared" si="365"/>
        <v>0</v>
      </c>
      <c r="DJ23" s="68">
        <f t="shared" si="366"/>
        <v>8</v>
      </c>
      <c r="DK23" s="68">
        <v>18</v>
      </c>
      <c r="DL23" s="68"/>
      <c r="DM23" s="68">
        <v>6</v>
      </c>
      <c r="DN23" s="68"/>
      <c r="DO23" s="68">
        <v>19</v>
      </c>
      <c r="DP23" s="68"/>
      <c r="DQ23" s="68">
        <f t="shared" si="367"/>
        <v>43</v>
      </c>
      <c r="DR23" s="68">
        <f t="shared" si="368"/>
        <v>0</v>
      </c>
      <c r="DS23" s="68">
        <f t="shared" si="369"/>
        <v>43</v>
      </c>
      <c r="DT23" s="68">
        <v>4</v>
      </c>
      <c r="DU23" s="68"/>
      <c r="DV23" s="68">
        <v>11</v>
      </c>
      <c r="DW23" s="68"/>
      <c r="DX23" s="68">
        <v>26</v>
      </c>
      <c r="DY23" s="68"/>
      <c r="DZ23" s="68">
        <f t="shared" si="370"/>
        <v>41</v>
      </c>
      <c r="EA23" s="68">
        <f t="shared" si="371"/>
        <v>0</v>
      </c>
      <c r="EB23" s="68">
        <f t="shared" si="372"/>
        <v>41</v>
      </c>
      <c r="EC23" s="68"/>
      <c r="ED23" s="68"/>
      <c r="EE23" s="68"/>
      <c r="EF23" s="68"/>
      <c r="EG23" s="68"/>
      <c r="EH23" s="68"/>
      <c r="EI23" s="68">
        <f t="shared" si="373"/>
        <v>0</v>
      </c>
      <c r="EJ23" s="68">
        <f t="shared" si="374"/>
        <v>0</v>
      </c>
      <c r="EK23" s="68">
        <f t="shared" si="375"/>
        <v>0</v>
      </c>
      <c r="EL23" s="68"/>
      <c r="EM23" s="68"/>
      <c r="EN23" s="68"/>
      <c r="EO23" s="68"/>
      <c r="EP23" s="68"/>
      <c r="EQ23" s="68"/>
      <c r="ER23" s="68">
        <f t="shared" si="376"/>
        <v>0</v>
      </c>
      <c r="ES23" s="68">
        <f t="shared" si="377"/>
        <v>0</v>
      </c>
      <c r="ET23" s="68">
        <f t="shared" si="378"/>
        <v>0</v>
      </c>
      <c r="EU23" s="68">
        <v>1</v>
      </c>
      <c r="EV23" s="68"/>
      <c r="EW23" s="68"/>
      <c r="EX23" s="68"/>
      <c r="EY23" s="68">
        <v>7</v>
      </c>
      <c r="EZ23" s="68"/>
      <c r="FA23" s="68"/>
      <c r="FB23" s="68"/>
      <c r="FC23" s="68">
        <f t="shared" si="379"/>
        <v>8</v>
      </c>
      <c r="FD23" s="68">
        <f t="shared" si="380"/>
        <v>0</v>
      </c>
      <c r="FE23" s="68">
        <f t="shared" si="381"/>
        <v>8</v>
      </c>
      <c r="FF23" s="68"/>
      <c r="FG23" s="68"/>
      <c r="FH23" s="68"/>
      <c r="FI23" s="68"/>
      <c r="FJ23" s="68"/>
      <c r="FK23" s="68"/>
      <c r="FL23" s="68"/>
      <c r="FM23" s="68"/>
      <c r="FN23" s="68">
        <v>1</v>
      </c>
      <c r="FO23" s="68"/>
      <c r="FP23" s="68"/>
      <c r="FQ23" s="68"/>
      <c r="FR23" s="68"/>
      <c r="FS23" s="68"/>
      <c r="FT23" s="68"/>
      <c r="FU23" s="68">
        <f t="shared" si="382"/>
        <v>1</v>
      </c>
      <c r="FV23" s="68">
        <f t="shared" si="383"/>
        <v>0</v>
      </c>
      <c r="FW23" s="68">
        <f t="shared" si="384"/>
        <v>1</v>
      </c>
      <c r="FX23" s="68"/>
      <c r="FY23" s="68"/>
      <c r="FZ23" s="68"/>
      <c r="GA23" s="68"/>
      <c r="GB23" s="68">
        <v>5</v>
      </c>
      <c r="GC23" s="68"/>
      <c r="GD23" s="68"/>
      <c r="GE23" s="68"/>
      <c r="GF23" s="68"/>
      <c r="GG23" s="68"/>
      <c r="GH23" s="68">
        <v>2</v>
      </c>
      <c r="GI23" s="68"/>
      <c r="GJ23" s="68">
        <v>1</v>
      </c>
      <c r="GK23" s="68"/>
      <c r="GL23" s="68"/>
      <c r="GM23" s="68"/>
      <c r="GN23" s="68">
        <f t="shared" si="385"/>
        <v>8</v>
      </c>
      <c r="GO23" s="68">
        <f t="shared" si="386"/>
        <v>0</v>
      </c>
      <c r="GP23" s="68">
        <f t="shared" si="387"/>
        <v>8</v>
      </c>
      <c r="GQ23" s="68">
        <v>8</v>
      </c>
      <c r="GR23" s="68"/>
      <c r="GS23" s="68"/>
      <c r="GT23" s="68"/>
      <c r="GU23" s="68"/>
      <c r="GV23" s="68"/>
      <c r="GW23" s="68">
        <f t="shared" si="388"/>
        <v>8</v>
      </c>
      <c r="GX23" s="68">
        <f t="shared" si="389"/>
        <v>0</v>
      </c>
      <c r="GY23" s="68">
        <f t="shared" si="390"/>
        <v>8</v>
      </c>
      <c r="GZ23" s="68">
        <v>8</v>
      </c>
      <c r="HA23" s="68"/>
      <c r="HB23" s="68"/>
      <c r="HC23" s="68"/>
      <c r="HD23" s="68"/>
      <c r="HE23" s="68"/>
      <c r="HF23" s="68"/>
      <c r="HG23" s="68"/>
      <c r="HH23" s="68"/>
      <c r="HI23" s="68"/>
      <c r="HJ23" s="68"/>
      <c r="HK23" s="68"/>
      <c r="HL23" s="68"/>
      <c r="HM23" s="68"/>
      <c r="HN23" s="68"/>
      <c r="HO23" s="68"/>
      <c r="HP23" s="68"/>
      <c r="HQ23" s="68">
        <f t="shared" si="391"/>
        <v>8</v>
      </c>
      <c r="HR23" s="68">
        <f t="shared" si="392"/>
        <v>0</v>
      </c>
      <c r="HS23" s="68">
        <f t="shared" si="393"/>
        <v>8</v>
      </c>
      <c r="HT23" s="68"/>
      <c r="HU23" s="68"/>
      <c r="HV23" s="68">
        <v>8</v>
      </c>
      <c r="HW23" s="68"/>
      <c r="HX23" s="68"/>
      <c r="HY23" s="68"/>
      <c r="HZ23" s="68"/>
      <c r="IA23" s="68"/>
      <c r="IB23" s="68">
        <f t="shared" si="394"/>
        <v>8</v>
      </c>
      <c r="IC23" s="68">
        <f t="shared" si="395"/>
        <v>0</v>
      </c>
      <c r="ID23" s="68">
        <f t="shared" si="396"/>
        <v>8</v>
      </c>
      <c r="IE23" s="68">
        <v>5</v>
      </c>
      <c r="IF23" s="68"/>
      <c r="IG23" s="68"/>
      <c r="IH23" s="68">
        <v>1</v>
      </c>
      <c r="II23" s="68"/>
      <c r="IJ23" s="68">
        <v>1</v>
      </c>
      <c r="IK23" s="68"/>
      <c r="IL23" s="68">
        <v>1</v>
      </c>
      <c r="IM23" s="68"/>
      <c r="IN23" s="68"/>
      <c r="IO23" s="68"/>
      <c r="IP23" s="68"/>
      <c r="IQ23" s="68"/>
      <c r="IR23" s="68"/>
      <c r="IS23" s="68"/>
      <c r="IT23" s="68">
        <v>1</v>
      </c>
      <c r="IU23" s="68">
        <v>1</v>
      </c>
      <c r="IV23" s="68"/>
      <c r="IW23" s="68"/>
      <c r="IX23" s="68">
        <v>1</v>
      </c>
      <c r="IY23" s="68" t="s">
        <v>226</v>
      </c>
      <c r="IZ23" s="82">
        <v>7802707634</v>
      </c>
      <c r="JA23" s="68" t="s">
        <v>215</v>
      </c>
    </row>
    <row r="24" spans="1:265" s="63" customFormat="1" ht="24.75" customHeight="1" x14ac:dyDescent="0.2">
      <c r="A24" s="169" t="s">
        <v>142</v>
      </c>
      <c r="B24" s="170"/>
      <c r="C24" s="170"/>
      <c r="D24" s="170"/>
      <c r="E24" s="171"/>
      <c r="F24" s="62">
        <f>SUM(F21:F23)</f>
        <v>0</v>
      </c>
      <c r="G24" s="62">
        <f t="shared" ref="G24:BR24" si="397">SUM(G21:G23)</f>
        <v>3</v>
      </c>
      <c r="H24" s="62">
        <f t="shared" si="397"/>
        <v>2</v>
      </c>
      <c r="I24" s="62">
        <f t="shared" si="397"/>
        <v>1</v>
      </c>
      <c r="J24" s="62">
        <f t="shared" si="397"/>
        <v>0</v>
      </c>
      <c r="K24" s="62">
        <f t="shared" si="397"/>
        <v>2</v>
      </c>
      <c r="L24" s="62">
        <f t="shared" si="397"/>
        <v>1</v>
      </c>
      <c r="M24" s="62">
        <f t="shared" si="397"/>
        <v>0</v>
      </c>
      <c r="N24" s="62">
        <f t="shared" si="397"/>
        <v>3</v>
      </c>
      <c r="O24" s="62">
        <f t="shared" si="397"/>
        <v>0</v>
      </c>
      <c r="P24" s="62">
        <f t="shared" si="397"/>
        <v>0</v>
      </c>
      <c r="Q24" s="62">
        <f t="shared" si="397"/>
        <v>0</v>
      </c>
      <c r="R24" s="62">
        <f t="shared" si="397"/>
        <v>3</v>
      </c>
      <c r="S24" s="62">
        <f t="shared" si="397"/>
        <v>0</v>
      </c>
      <c r="T24" s="62">
        <f t="shared" si="397"/>
        <v>0</v>
      </c>
      <c r="U24" s="62">
        <f t="shared" si="397"/>
        <v>0</v>
      </c>
      <c r="V24" s="62">
        <f t="shared" si="397"/>
        <v>3</v>
      </c>
      <c r="W24" s="62">
        <f t="shared" si="397"/>
        <v>0</v>
      </c>
      <c r="X24" s="62">
        <f t="shared" si="397"/>
        <v>0</v>
      </c>
      <c r="Y24" s="62">
        <f t="shared" si="397"/>
        <v>5</v>
      </c>
      <c r="Z24" s="62">
        <f t="shared" si="397"/>
        <v>1</v>
      </c>
      <c r="AA24" s="62">
        <f t="shared" si="397"/>
        <v>5</v>
      </c>
      <c r="AB24" s="62">
        <f t="shared" si="397"/>
        <v>1</v>
      </c>
      <c r="AC24" s="62">
        <f t="shared" si="397"/>
        <v>4</v>
      </c>
      <c r="AD24" s="62">
        <f t="shared" si="397"/>
        <v>3</v>
      </c>
      <c r="AE24" s="62">
        <f t="shared" si="397"/>
        <v>4</v>
      </c>
      <c r="AF24" s="62">
        <f t="shared" si="397"/>
        <v>3</v>
      </c>
      <c r="AG24" s="62">
        <f t="shared" si="397"/>
        <v>3</v>
      </c>
      <c r="AH24" s="62">
        <f t="shared" si="397"/>
        <v>0</v>
      </c>
      <c r="AI24" s="62">
        <f t="shared" si="397"/>
        <v>3</v>
      </c>
      <c r="AJ24" s="62">
        <f t="shared" si="397"/>
        <v>2</v>
      </c>
      <c r="AK24" s="62">
        <f t="shared" si="397"/>
        <v>0</v>
      </c>
      <c r="AL24" s="62">
        <f t="shared" si="397"/>
        <v>2</v>
      </c>
      <c r="AM24" s="62">
        <f t="shared" si="397"/>
        <v>24</v>
      </c>
      <c r="AN24" s="62">
        <f t="shared" si="397"/>
        <v>12</v>
      </c>
      <c r="AO24" s="62">
        <f t="shared" si="397"/>
        <v>36</v>
      </c>
      <c r="AP24" s="62">
        <f t="shared" si="397"/>
        <v>1</v>
      </c>
      <c r="AQ24" s="62">
        <f t="shared" si="397"/>
        <v>0</v>
      </c>
      <c r="AR24" s="62">
        <f t="shared" si="397"/>
        <v>12</v>
      </c>
      <c r="AS24" s="62">
        <f t="shared" si="397"/>
        <v>0</v>
      </c>
      <c r="AT24" s="62">
        <f t="shared" si="397"/>
        <v>11</v>
      </c>
      <c r="AU24" s="62">
        <f t="shared" si="397"/>
        <v>3</v>
      </c>
      <c r="AV24" s="62">
        <f t="shared" si="397"/>
        <v>13</v>
      </c>
      <c r="AW24" s="62">
        <f t="shared" si="397"/>
        <v>4</v>
      </c>
      <c r="AX24" s="62">
        <f t="shared" si="397"/>
        <v>10</v>
      </c>
      <c r="AY24" s="62">
        <f t="shared" si="397"/>
        <v>3</v>
      </c>
      <c r="AZ24" s="62">
        <f t="shared" si="397"/>
        <v>4</v>
      </c>
      <c r="BA24" s="62">
        <f t="shared" si="397"/>
        <v>3</v>
      </c>
      <c r="BB24" s="62">
        <f t="shared" si="397"/>
        <v>3</v>
      </c>
      <c r="BC24" s="62">
        <f t="shared" si="397"/>
        <v>2</v>
      </c>
      <c r="BD24" s="62">
        <f t="shared" si="397"/>
        <v>54</v>
      </c>
      <c r="BE24" s="62">
        <f t="shared" si="397"/>
        <v>15</v>
      </c>
      <c r="BF24" s="62">
        <f t="shared" si="397"/>
        <v>69</v>
      </c>
      <c r="BG24" s="62">
        <f t="shared" si="397"/>
        <v>0</v>
      </c>
      <c r="BH24" s="62">
        <f t="shared" si="397"/>
        <v>0</v>
      </c>
      <c r="BI24" s="62">
        <f t="shared" si="397"/>
        <v>1</v>
      </c>
      <c r="BJ24" s="62">
        <f t="shared" si="397"/>
        <v>0</v>
      </c>
      <c r="BK24" s="62">
        <f t="shared" si="397"/>
        <v>10</v>
      </c>
      <c r="BL24" s="62">
        <f t="shared" si="397"/>
        <v>2</v>
      </c>
      <c r="BM24" s="62">
        <f t="shared" si="397"/>
        <v>9</v>
      </c>
      <c r="BN24" s="62">
        <f t="shared" si="397"/>
        <v>4</v>
      </c>
      <c r="BO24" s="62">
        <f t="shared" si="397"/>
        <v>13</v>
      </c>
      <c r="BP24" s="62">
        <f t="shared" si="397"/>
        <v>7</v>
      </c>
      <c r="BQ24" s="62">
        <f t="shared" si="397"/>
        <v>6</v>
      </c>
      <c r="BR24" s="62">
        <f t="shared" si="397"/>
        <v>4</v>
      </c>
      <c r="BS24" s="62">
        <f t="shared" ref="BS24:ED24" si="398">SUM(BS21:BS23)</f>
        <v>24</v>
      </c>
      <c r="BT24" s="62">
        <f t="shared" si="398"/>
        <v>5</v>
      </c>
      <c r="BU24" s="62">
        <f t="shared" si="398"/>
        <v>63</v>
      </c>
      <c r="BV24" s="62">
        <f t="shared" si="398"/>
        <v>22</v>
      </c>
      <c r="BW24" s="62">
        <f t="shared" si="398"/>
        <v>85</v>
      </c>
      <c r="BX24" s="62">
        <f t="shared" si="398"/>
        <v>6</v>
      </c>
      <c r="BY24" s="62">
        <f t="shared" si="398"/>
        <v>1</v>
      </c>
      <c r="BZ24" s="62">
        <f t="shared" si="398"/>
        <v>18</v>
      </c>
      <c r="CA24" s="62">
        <f t="shared" si="398"/>
        <v>1</v>
      </c>
      <c r="CB24" s="62">
        <f t="shared" si="398"/>
        <v>25</v>
      </c>
      <c r="CC24" s="62">
        <f t="shared" si="398"/>
        <v>8</v>
      </c>
      <c r="CD24" s="62">
        <f t="shared" si="398"/>
        <v>26</v>
      </c>
      <c r="CE24" s="62">
        <f t="shared" si="398"/>
        <v>11</v>
      </c>
      <c r="CF24" s="62">
        <f t="shared" si="398"/>
        <v>26</v>
      </c>
      <c r="CG24" s="62">
        <f t="shared" si="398"/>
        <v>10</v>
      </c>
      <c r="CH24" s="62">
        <f t="shared" si="398"/>
        <v>13</v>
      </c>
      <c r="CI24" s="62">
        <f t="shared" si="398"/>
        <v>9</v>
      </c>
      <c r="CJ24" s="62">
        <f t="shared" si="398"/>
        <v>27</v>
      </c>
      <c r="CK24" s="62">
        <f t="shared" si="398"/>
        <v>9</v>
      </c>
      <c r="CL24" s="62">
        <f t="shared" si="398"/>
        <v>141</v>
      </c>
      <c r="CM24" s="62">
        <f t="shared" si="398"/>
        <v>49</v>
      </c>
      <c r="CN24" s="62">
        <f t="shared" si="398"/>
        <v>190</v>
      </c>
      <c r="CO24" s="62">
        <f t="shared" si="398"/>
        <v>2</v>
      </c>
      <c r="CP24" s="62">
        <f t="shared" si="398"/>
        <v>1</v>
      </c>
      <c r="CQ24" s="62">
        <f t="shared" si="398"/>
        <v>0</v>
      </c>
      <c r="CR24" s="62">
        <f t="shared" si="398"/>
        <v>2</v>
      </c>
      <c r="CS24" s="62">
        <f t="shared" si="398"/>
        <v>1</v>
      </c>
      <c r="CT24" s="62">
        <f t="shared" si="398"/>
        <v>0</v>
      </c>
      <c r="CU24" s="62">
        <f t="shared" si="398"/>
        <v>2</v>
      </c>
      <c r="CV24" s="62">
        <f t="shared" si="398"/>
        <v>1</v>
      </c>
      <c r="CW24" s="62">
        <f t="shared" si="398"/>
        <v>0</v>
      </c>
      <c r="CX24" s="62">
        <f t="shared" si="398"/>
        <v>6</v>
      </c>
      <c r="CY24" s="62">
        <f t="shared" si="398"/>
        <v>3</v>
      </c>
      <c r="CZ24" s="62">
        <f t="shared" si="398"/>
        <v>0</v>
      </c>
      <c r="DA24" s="62">
        <f t="shared" si="398"/>
        <v>9</v>
      </c>
      <c r="DB24" s="62">
        <f t="shared" si="398"/>
        <v>0</v>
      </c>
      <c r="DC24" s="62">
        <f t="shared" si="398"/>
        <v>1</v>
      </c>
      <c r="DD24" s="62">
        <f t="shared" si="398"/>
        <v>1</v>
      </c>
      <c r="DE24" s="62">
        <f t="shared" si="398"/>
        <v>1</v>
      </c>
      <c r="DF24" s="62">
        <f t="shared" si="398"/>
        <v>7</v>
      </c>
      <c r="DG24" s="62">
        <f t="shared" si="398"/>
        <v>4</v>
      </c>
      <c r="DH24" s="62">
        <f t="shared" si="398"/>
        <v>8</v>
      </c>
      <c r="DI24" s="62">
        <f t="shared" si="398"/>
        <v>6</v>
      </c>
      <c r="DJ24" s="62">
        <f t="shared" si="398"/>
        <v>14</v>
      </c>
      <c r="DK24" s="62">
        <f t="shared" si="398"/>
        <v>38</v>
      </c>
      <c r="DL24" s="62">
        <f t="shared" si="398"/>
        <v>8</v>
      </c>
      <c r="DM24" s="62">
        <f t="shared" si="398"/>
        <v>17</v>
      </c>
      <c r="DN24" s="62">
        <f t="shared" si="398"/>
        <v>11</v>
      </c>
      <c r="DO24" s="62">
        <f t="shared" si="398"/>
        <v>41</v>
      </c>
      <c r="DP24" s="62">
        <f t="shared" si="398"/>
        <v>23</v>
      </c>
      <c r="DQ24" s="62">
        <f t="shared" si="398"/>
        <v>96</v>
      </c>
      <c r="DR24" s="62">
        <f t="shared" si="398"/>
        <v>42</v>
      </c>
      <c r="DS24" s="62">
        <f t="shared" si="398"/>
        <v>138</v>
      </c>
      <c r="DT24" s="62">
        <f t="shared" si="398"/>
        <v>13</v>
      </c>
      <c r="DU24" s="62">
        <f t="shared" si="398"/>
        <v>5</v>
      </c>
      <c r="DV24" s="62">
        <f t="shared" si="398"/>
        <v>32</v>
      </c>
      <c r="DW24" s="62">
        <f t="shared" si="398"/>
        <v>4</v>
      </c>
      <c r="DX24" s="62">
        <f t="shared" si="398"/>
        <v>41</v>
      </c>
      <c r="DY24" s="62">
        <f t="shared" si="398"/>
        <v>11</v>
      </c>
      <c r="DZ24" s="62">
        <f t="shared" si="398"/>
        <v>86</v>
      </c>
      <c r="EA24" s="62">
        <f t="shared" si="398"/>
        <v>20</v>
      </c>
      <c r="EB24" s="62">
        <f t="shared" si="398"/>
        <v>106</v>
      </c>
      <c r="EC24" s="62">
        <f t="shared" si="398"/>
        <v>0</v>
      </c>
      <c r="ED24" s="62">
        <f t="shared" si="398"/>
        <v>0</v>
      </c>
      <c r="EE24" s="62">
        <f t="shared" ref="EE24:GP24" si="399">SUM(EE21:EE23)</f>
        <v>0</v>
      </c>
      <c r="EF24" s="62">
        <f t="shared" si="399"/>
        <v>0</v>
      </c>
      <c r="EG24" s="62">
        <f t="shared" si="399"/>
        <v>0</v>
      </c>
      <c r="EH24" s="62">
        <f t="shared" si="399"/>
        <v>0</v>
      </c>
      <c r="EI24" s="62">
        <f t="shared" si="399"/>
        <v>0</v>
      </c>
      <c r="EJ24" s="62">
        <f t="shared" si="399"/>
        <v>0</v>
      </c>
      <c r="EK24" s="62">
        <f t="shared" si="399"/>
        <v>0</v>
      </c>
      <c r="EL24" s="62">
        <f t="shared" si="399"/>
        <v>0</v>
      </c>
      <c r="EM24" s="62">
        <f t="shared" si="399"/>
        <v>0</v>
      </c>
      <c r="EN24" s="62">
        <f t="shared" si="399"/>
        <v>0</v>
      </c>
      <c r="EO24" s="62">
        <f t="shared" si="399"/>
        <v>0</v>
      </c>
      <c r="EP24" s="62">
        <f t="shared" si="399"/>
        <v>0</v>
      </c>
      <c r="EQ24" s="62">
        <f t="shared" si="399"/>
        <v>0</v>
      </c>
      <c r="ER24" s="62">
        <f t="shared" si="399"/>
        <v>0</v>
      </c>
      <c r="ES24" s="62">
        <f t="shared" si="399"/>
        <v>0</v>
      </c>
      <c r="ET24" s="62">
        <f t="shared" si="399"/>
        <v>0</v>
      </c>
      <c r="EU24" s="62">
        <f t="shared" si="399"/>
        <v>2</v>
      </c>
      <c r="EV24" s="62">
        <f t="shared" si="399"/>
        <v>1</v>
      </c>
      <c r="EW24" s="62">
        <f t="shared" si="399"/>
        <v>0</v>
      </c>
      <c r="EX24" s="62">
        <f t="shared" si="399"/>
        <v>0</v>
      </c>
      <c r="EY24" s="62">
        <f t="shared" si="399"/>
        <v>14</v>
      </c>
      <c r="EZ24" s="62">
        <f t="shared" si="399"/>
        <v>5</v>
      </c>
      <c r="FA24" s="62">
        <f t="shared" si="399"/>
        <v>0</v>
      </c>
      <c r="FB24" s="62">
        <f t="shared" si="399"/>
        <v>0</v>
      </c>
      <c r="FC24" s="62">
        <f t="shared" si="399"/>
        <v>16</v>
      </c>
      <c r="FD24" s="62">
        <f t="shared" si="399"/>
        <v>6</v>
      </c>
      <c r="FE24" s="62">
        <f t="shared" si="399"/>
        <v>22</v>
      </c>
      <c r="FF24" s="62">
        <f t="shared" si="399"/>
        <v>0</v>
      </c>
      <c r="FG24" s="62">
        <f t="shared" si="399"/>
        <v>0</v>
      </c>
      <c r="FH24" s="62">
        <f t="shared" si="399"/>
        <v>0</v>
      </c>
      <c r="FI24" s="62">
        <f t="shared" si="399"/>
        <v>0</v>
      </c>
      <c r="FJ24" s="62">
        <f t="shared" si="399"/>
        <v>0</v>
      </c>
      <c r="FK24" s="62">
        <f t="shared" si="399"/>
        <v>0</v>
      </c>
      <c r="FL24" s="62">
        <f t="shared" si="399"/>
        <v>0</v>
      </c>
      <c r="FM24" s="62">
        <f t="shared" si="399"/>
        <v>0</v>
      </c>
      <c r="FN24" s="62">
        <f t="shared" si="399"/>
        <v>2</v>
      </c>
      <c r="FO24" s="62">
        <f t="shared" si="399"/>
        <v>1</v>
      </c>
      <c r="FP24" s="62">
        <f t="shared" si="399"/>
        <v>0</v>
      </c>
      <c r="FQ24" s="62">
        <f t="shared" si="399"/>
        <v>0</v>
      </c>
      <c r="FR24" s="62">
        <f t="shared" si="399"/>
        <v>0</v>
      </c>
      <c r="FS24" s="62">
        <f t="shared" si="399"/>
        <v>0</v>
      </c>
      <c r="FT24" s="62">
        <f t="shared" si="399"/>
        <v>0</v>
      </c>
      <c r="FU24" s="62">
        <f t="shared" si="399"/>
        <v>2</v>
      </c>
      <c r="FV24" s="62">
        <f t="shared" si="399"/>
        <v>1</v>
      </c>
      <c r="FW24" s="62">
        <f t="shared" si="399"/>
        <v>3</v>
      </c>
      <c r="FX24" s="62">
        <f t="shared" si="399"/>
        <v>0</v>
      </c>
      <c r="FY24" s="62">
        <f t="shared" si="399"/>
        <v>0</v>
      </c>
      <c r="FZ24" s="62">
        <f t="shared" si="399"/>
        <v>0</v>
      </c>
      <c r="GA24" s="62">
        <f t="shared" si="399"/>
        <v>0</v>
      </c>
      <c r="GB24" s="62">
        <f t="shared" si="399"/>
        <v>8</v>
      </c>
      <c r="GC24" s="62">
        <f t="shared" si="399"/>
        <v>4</v>
      </c>
      <c r="GD24" s="62">
        <f t="shared" si="399"/>
        <v>0</v>
      </c>
      <c r="GE24" s="62">
        <f t="shared" si="399"/>
        <v>0</v>
      </c>
      <c r="GF24" s="62">
        <f t="shared" si="399"/>
        <v>0</v>
      </c>
      <c r="GG24" s="62">
        <f t="shared" si="399"/>
        <v>1</v>
      </c>
      <c r="GH24" s="62">
        <f t="shared" si="399"/>
        <v>5</v>
      </c>
      <c r="GI24" s="62">
        <f t="shared" si="399"/>
        <v>1</v>
      </c>
      <c r="GJ24" s="62">
        <f t="shared" si="399"/>
        <v>2</v>
      </c>
      <c r="GK24" s="62">
        <f t="shared" si="399"/>
        <v>0</v>
      </c>
      <c r="GL24" s="62">
        <f t="shared" si="399"/>
        <v>1</v>
      </c>
      <c r="GM24" s="62">
        <f t="shared" si="399"/>
        <v>0</v>
      </c>
      <c r="GN24" s="62">
        <f t="shared" si="399"/>
        <v>16</v>
      </c>
      <c r="GO24" s="62">
        <f t="shared" si="399"/>
        <v>6</v>
      </c>
      <c r="GP24" s="62">
        <f t="shared" si="399"/>
        <v>22</v>
      </c>
      <c r="GQ24" s="62">
        <f t="shared" ref="GQ24:IX24" si="400">SUM(GQ21:GQ23)</f>
        <v>16</v>
      </c>
      <c r="GR24" s="62">
        <f t="shared" si="400"/>
        <v>6</v>
      </c>
      <c r="GS24" s="62">
        <f t="shared" si="400"/>
        <v>0</v>
      </c>
      <c r="GT24" s="62">
        <f t="shared" si="400"/>
        <v>0</v>
      </c>
      <c r="GU24" s="62">
        <f t="shared" si="400"/>
        <v>0</v>
      </c>
      <c r="GV24" s="62">
        <f t="shared" si="400"/>
        <v>0</v>
      </c>
      <c r="GW24" s="62">
        <f t="shared" si="400"/>
        <v>16</v>
      </c>
      <c r="GX24" s="62">
        <f t="shared" si="400"/>
        <v>6</v>
      </c>
      <c r="GY24" s="62">
        <f t="shared" si="400"/>
        <v>22</v>
      </c>
      <c r="GZ24" s="62">
        <f t="shared" si="400"/>
        <v>15</v>
      </c>
      <c r="HA24" s="62">
        <f t="shared" si="400"/>
        <v>6</v>
      </c>
      <c r="HB24" s="62">
        <f t="shared" si="400"/>
        <v>0</v>
      </c>
      <c r="HC24" s="62">
        <f t="shared" si="400"/>
        <v>0</v>
      </c>
      <c r="HD24" s="62">
        <f t="shared" si="400"/>
        <v>0</v>
      </c>
      <c r="HE24" s="62">
        <f t="shared" si="400"/>
        <v>0</v>
      </c>
      <c r="HF24" s="62">
        <f t="shared" si="400"/>
        <v>0</v>
      </c>
      <c r="HG24" s="62">
        <f t="shared" si="400"/>
        <v>0</v>
      </c>
      <c r="HH24" s="62">
        <f t="shared" si="400"/>
        <v>0</v>
      </c>
      <c r="HI24" s="62">
        <f t="shared" si="400"/>
        <v>0</v>
      </c>
      <c r="HJ24" s="62">
        <f t="shared" si="400"/>
        <v>0</v>
      </c>
      <c r="HK24" s="62">
        <f t="shared" si="400"/>
        <v>0</v>
      </c>
      <c r="HL24" s="62">
        <f t="shared" si="400"/>
        <v>0</v>
      </c>
      <c r="HM24" s="62">
        <f t="shared" si="400"/>
        <v>0</v>
      </c>
      <c r="HN24" s="62">
        <f t="shared" si="400"/>
        <v>0</v>
      </c>
      <c r="HO24" s="62">
        <f t="shared" si="400"/>
        <v>1</v>
      </c>
      <c r="HP24" s="62">
        <f t="shared" si="400"/>
        <v>0</v>
      </c>
      <c r="HQ24" s="62">
        <f t="shared" si="400"/>
        <v>16</v>
      </c>
      <c r="HR24" s="62">
        <f t="shared" si="400"/>
        <v>6</v>
      </c>
      <c r="HS24" s="62">
        <f t="shared" si="400"/>
        <v>22</v>
      </c>
      <c r="HT24" s="62">
        <f t="shared" si="400"/>
        <v>2</v>
      </c>
      <c r="HU24" s="62">
        <f t="shared" si="400"/>
        <v>0</v>
      </c>
      <c r="HV24" s="62">
        <f t="shared" si="400"/>
        <v>14</v>
      </c>
      <c r="HW24" s="62">
        <f t="shared" si="400"/>
        <v>5</v>
      </c>
      <c r="HX24" s="62">
        <f t="shared" si="400"/>
        <v>0</v>
      </c>
      <c r="HY24" s="62">
        <f t="shared" si="400"/>
        <v>1</v>
      </c>
      <c r="HZ24" s="62">
        <f t="shared" si="400"/>
        <v>0</v>
      </c>
      <c r="IA24" s="62">
        <f t="shared" si="400"/>
        <v>0</v>
      </c>
      <c r="IB24" s="62">
        <f t="shared" si="400"/>
        <v>16</v>
      </c>
      <c r="IC24" s="62">
        <f t="shared" si="400"/>
        <v>6</v>
      </c>
      <c r="ID24" s="62">
        <f t="shared" si="400"/>
        <v>22</v>
      </c>
      <c r="IE24" s="62">
        <f t="shared" si="400"/>
        <v>8</v>
      </c>
      <c r="IF24" s="62">
        <f t="shared" si="400"/>
        <v>0</v>
      </c>
      <c r="IG24" s="62">
        <f t="shared" si="400"/>
        <v>0</v>
      </c>
      <c r="IH24" s="62">
        <f t="shared" si="400"/>
        <v>3</v>
      </c>
      <c r="II24" s="62">
        <f t="shared" si="400"/>
        <v>0</v>
      </c>
      <c r="IJ24" s="62">
        <f t="shared" si="400"/>
        <v>3</v>
      </c>
      <c r="IK24" s="62">
        <f t="shared" si="400"/>
        <v>0</v>
      </c>
      <c r="IL24" s="62">
        <f t="shared" si="400"/>
        <v>3</v>
      </c>
      <c r="IM24" s="62">
        <f t="shared" si="400"/>
        <v>0</v>
      </c>
      <c r="IN24" s="62">
        <f t="shared" si="400"/>
        <v>0</v>
      </c>
      <c r="IO24" s="62">
        <f t="shared" si="400"/>
        <v>0</v>
      </c>
      <c r="IP24" s="62">
        <f t="shared" si="400"/>
        <v>0</v>
      </c>
      <c r="IQ24" s="62">
        <f t="shared" si="400"/>
        <v>0</v>
      </c>
      <c r="IR24" s="62">
        <f t="shared" si="400"/>
        <v>0</v>
      </c>
      <c r="IS24" s="62">
        <f t="shared" si="400"/>
        <v>9</v>
      </c>
      <c r="IT24" s="62">
        <f t="shared" si="400"/>
        <v>3</v>
      </c>
      <c r="IU24" s="62">
        <f t="shared" si="400"/>
        <v>5</v>
      </c>
      <c r="IV24" s="62">
        <f t="shared" si="400"/>
        <v>0</v>
      </c>
      <c r="IW24" s="62">
        <f t="shared" si="400"/>
        <v>0</v>
      </c>
      <c r="IX24" s="62">
        <f t="shared" si="400"/>
        <v>3</v>
      </c>
      <c r="IY24" s="62"/>
      <c r="IZ24" s="84"/>
      <c r="JA24" s="62"/>
    </row>
    <row r="25" spans="1:265" s="69" customFormat="1" ht="24.75" customHeight="1" x14ac:dyDescent="0.2">
      <c r="A25" s="68" t="s">
        <v>42</v>
      </c>
      <c r="B25" s="68" t="s">
        <v>219</v>
      </c>
      <c r="C25" s="68">
        <v>16</v>
      </c>
      <c r="D25" s="68">
        <v>1400819</v>
      </c>
      <c r="E25" s="68" t="s">
        <v>155</v>
      </c>
      <c r="F25" s="68"/>
      <c r="G25" s="68">
        <v>1</v>
      </c>
      <c r="H25" s="68">
        <v>1</v>
      </c>
      <c r="I25" s="68"/>
      <c r="J25" s="68"/>
      <c r="K25" s="68">
        <v>1</v>
      </c>
      <c r="L25" s="68"/>
      <c r="M25" s="68"/>
      <c r="N25" s="68">
        <v>1</v>
      </c>
      <c r="O25" s="68"/>
      <c r="P25" s="68"/>
      <c r="Q25" s="68"/>
      <c r="R25" s="68">
        <v>1</v>
      </c>
      <c r="S25" s="68"/>
      <c r="T25" s="68"/>
      <c r="U25" s="68"/>
      <c r="V25" s="68">
        <v>1</v>
      </c>
      <c r="W25" s="68"/>
      <c r="X25" s="68"/>
      <c r="Y25" s="68">
        <v>5</v>
      </c>
      <c r="Z25" s="91"/>
      <c r="AA25" s="68">
        <v>6</v>
      </c>
      <c r="AB25" s="68"/>
      <c r="AC25" s="68">
        <v>6</v>
      </c>
      <c r="AD25" s="68"/>
      <c r="AE25" s="68">
        <v>4</v>
      </c>
      <c r="AF25" s="68"/>
      <c r="AG25" s="68"/>
      <c r="AH25" s="68"/>
      <c r="AI25" s="68">
        <v>1</v>
      </c>
      <c r="AJ25" s="68"/>
      <c r="AK25" s="68"/>
      <c r="AL25" s="68"/>
      <c r="AM25" s="68">
        <f t="shared" ref="AM25" si="401">AK25+AI25+AG25+AE25+AC25+AA25+Y25</f>
        <v>22</v>
      </c>
      <c r="AN25" s="68">
        <f t="shared" ref="AN25" si="402">AL25+AJ25+AH25+AF25+AD25+AB25+Z25</f>
        <v>0</v>
      </c>
      <c r="AO25" s="68">
        <f t="shared" ref="AO25" si="403">AN25+AM25</f>
        <v>22</v>
      </c>
      <c r="AP25" s="68"/>
      <c r="AQ25" s="68"/>
      <c r="AR25" s="68">
        <v>7</v>
      </c>
      <c r="AS25" s="68"/>
      <c r="AT25" s="68">
        <v>5</v>
      </c>
      <c r="AU25" s="68"/>
      <c r="AV25" s="68">
        <v>5</v>
      </c>
      <c r="AW25" s="68"/>
      <c r="AX25" s="68"/>
      <c r="AY25" s="68"/>
      <c r="AZ25" s="68">
        <v>1</v>
      </c>
      <c r="BA25" s="68"/>
      <c r="BB25" s="68">
        <v>2</v>
      </c>
      <c r="BC25" s="68"/>
      <c r="BD25" s="68">
        <f t="shared" ref="BD25" si="404">BB25+AZ25+AX25+AV25+AT25+AR25+AP25</f>
        <v>20</v>
      </c>
      <c r="BE25" s="68">
        <f t="shared" ref="BE25" si="405">BC25+BA25+AY25+AW25+AU25+AS25+AQ25</f>
        <v>0</v>
      </c>
      <c r="BF25" s="68">
        <f t="shared" ref="BF25" si="406">BE25+BD25</f>
        <v>20</v>
      </c>
      <c r="BG25" s="68"/>
      <c r="BH25" s="68"/>
      <c r="BI25" s="68">
        <v>1</v>
      </c>
      <c r="BJ25" s="68"/>
      <c r="BK25" s="68">
        <v>11</v>
      </c>
      <c r="BL25" s="68"/>
      <c r="BM25" s="68">
        <v>12</v>
      </c>
      <c r="BN25" s="68"/>
      <c r="BO25" s="68">
        <v>23</v>
      </c>
      <c r="BP25" s="68"/>
      <c r="BQ25" s="68">
        <v>6</v>
      </c>
      <c r="BR25" s="68"/>
      <c r="BS25" s="68">
        <v>1</v>
      </c>
      <c r="BT25" s="68"/>
      <c r="BU25" s="68">
        <f>BS25+BQ25+BO25+BM25+BK25+BI25+BG25</f>
        <v>54</v>
      </c>
      <c r="BV25" s="68">
        <f t="shared" ref="BV25" si="407">BT25+BR25+BP25+BN25+BL25+BJ25+BH25</f>
        <v>0</v>
      </c>
      <c r="BW25" s="68">
        <f t="shared" ref="BW25" si="408">BV25+BU25</f>
        <v>54</v>
      </c>
      <c r="BX25" s="68">
        <f t="shared" ref="BX25" si="409">BG25+AP25+Y25</f>
        <v>5</v>
      </c>
      <c r="BY25" s="68">
        <f t="shared" ref="BY25" si="410">BH25+AQ25+Z25</f>
        <v>0</v>
      </c>
      <c r="BZ25" s="68">
        <f t="shared" ref="BZ25" si="411">BI25+AR25+AA25</f>
        <v>14</v>
      </c>
      <c r="CA25" s="68">
        <f t="shared" ref="CA25" si="412">BJ25+AS25+AB25</f>
        <v>0</v>
      </c>
      <c r="CB25" s="68">
        <f t="shared" ref="CB25" si="413">BK25+AT25+AC25</f>
        <v>22</v>
      </c>
      <c r="CC25" s="68">
        <f t="shared" ref="CC25" si="414">BL25+AU25+AD25</f>
        <v>0</v>
      </c>
      <c r="CD25" s="68">
        <f t="shared" ref="CD25" si="415">BM25+AV25+AE25</f>
        <v>21</v>
      </c>
      <c r="CE25" s="68">
        <f t="shared" ref="CE25" si="416">BN25+AW25+AF25</f>
        <v>0</v>
      </c>
      <c r="CF25" s="68">
        <f t="shared" ref="CF25" si="417">BO25+AX25+AG25</f>
        <v>23</v>
      </c>
      <c r="CG25" s="68">
        <f t="shared" ref="CG25" si="418">BP25+AY25+AH25</f>
        <v>0</v>
      </c>
      <c r="CH25" s="68">
        <f t="shared" ref="CH25" si="419">BQ25+AZ25+AI25</f>
        <v>8</v>
      </c>
      <c r="CI25" s="68">
        <f t="shared" ref="CI25" si="420">BR25+BA25+AJ25</f>
        <v>0</v>
      </c>
      <c r="CJ25" s="68">
        <f t="shared" ref="CJ25" si="421">BS25+BB25+AK25</f>
        <v>3</v>
      </c>
      <c r="CK25" s="68">
        <f t="shared" ref="CK25" si="422">BT25+BC25+AL25</f>
        <v>0</v>
      </c>
      <c r="CL25" s="68">
        <f t="shared" ref="CL25" si="423">CJ25+CH25+CF25+CD25+CB25+BZ25+BX25</f>
        <v>96</v>
      </c>
      <c r="CM25" s="68">
        <f t="shared" ref="CM25" si="424">CK25+CI25+CG25+CE25+CC25+CA25+BY25</f>
        <v>0</v>
      </c>
      <c r="CN25" s="68">
        <f t="shared" ref="CN25" si="425">CM25+CL25</f>
        <v>96</v>
      </c>
      <c r="CO25" s="68">
        <v>1</v>
      </c>
      <c r="CP25" s="68"/>
      <c r="CQ25" s="68"/>
      <c r="CR25" s="68">
        <v>1</v>
      </c>
      <c r="CS25" s="68"/>
      <c r="CT25" s="68"/>
      <c r="CU25" s="68">
        <v>2</v>
      </c>
      <c r="CV25" s="68"/>
      <c r="CW25" s="68"/>
      <c r="CX25" s="68">
        <f t="shared" ref="CX25" si="426">CU25+CR25+CO25</f>
        <v>4</v>
      </c>
      <c r="CY25" s="68">
        <f t="shared" ref="CY25" si="427">CV25+CS25+CP25</f>
        <v>0</v>
      </c>
      <c r="CZ25" s="68">
        <f t="shared" ref="CZ25" si="428">CW25+CT25+CQ25</f>
        <v>0</v>
      </c>
      <c r="DA25" s="68">
        <f t="shared" ref="DA25" si="429">CZ25+CY25+CX25</f>
        <v>4</v>
      </c>
      <c r="DB25" s="68"/>
      <c r="DC25" s="68"/>
      <c r="DD25" s="68"/>
      <c r="DE25" s="68"/>
      <c r="DF25" s="68"/>
      <c r="DG25" s="68"/>
      <c r="DH25" s="68">
        <f>DF25+DD25+DB25</f>
        <v>0</v>
      </c>
      <c r="DI25" s="68">
        <f>DG25+DE25+DC25</f>
        <v>0</v>
      </c>
      <c r="DJ25" s="68">
        <f>DI25+DH25</f>
        <v>0</v>
      </c>
      <c r="DK25" s="68">
        <v>17</v>
      </c>
      <c r="DL25" s="68"/>
      <c r="DM25" s="68">
        <v>18</v>
      </c>
      <c r="DN25" s="68"/>
      <c r="DO25" s="68">
        <v>26</v>
      </c>
      <c r="DP25" s="68"/>
      <c r="DQ25" s="68">
        <f t="shared" ref="DQ25" si="430">DO25+DM25+DK25</f>
        <v>61</v>
      </c>
      <c r="DR25" s="68">
        <f t="shared" ref="DR25" si="431">DP25+DN25+DL25</f>
        <v>0</v>
      </c>
      <c r="DS25" s="68">
        <f t="shared" ref="DS25" si="432">DR25+DQ25</f>
        <v>61</v>
      </c>
      <c r="DT25" s="68">
        <v>10</v>
      </c>
      <c r="DU25" s="68"/>
      <c r="DV25" s="68">
        <v>8</v>
      </c>
      <c r="DW25" s="68"/>
      <c r="DX25" s="68">
        <v>33</v>
      </c>
      <c r="DY25" s="68"/>
      <c r="DZ25" s="68">
        <f t="shared" ref="DZ25" si="433">DX25+DV25+DT25</f>
        <v>51</v>
      </c>
      <c r="EA25" s="68">
        <f t="shared" ref="EA25" si="434">DY25+DW25+DU25</f>
        <v>0</v>
      </c>
      <c r="EB25" s="68">
        <f t="shared" ref="EB25" si="435">EA25+DZ25</f>
        <v>51</v>
      </c>
      <c r="EC25" s="68"/>
      <c r="ED25" s="68"/>
      <c r="EE25" s="68"/>
      <c r="EF25" s="68"/>
      <c r="EG25" s="68"/>
      <c r="EH25" s="68"/>
      <c r="EI25" s="68">
        <f t="shared" ref="EI25" si="436">EG25+EE25+EC25</f>
        <v>0</v>
      </c>
      <c r="EJ25" s="68">
        <f t="shared" ref="EJ25" si="437">EH25+EF25+ED25</f>
        <v>0</v>
      </c>
      <c r="EK25" s="68">
        <f t="shared" ref="EK25" si="438">EJ25+EI25</f>
        <v>0</v>
      </c>
      <c r="EL25" s="68"/>
      <c r="EM25" s="68"/>
      <c r="EN25" s="68"/>
      <c r="EO25" s="68"/>
      <c r="EP25" s="68"/>
      <c r="EQ25" s="68"/>
      <c r="ER25" s="68">
        <f t="shared" ref="ER25" si="439">EP25+EN25+EL25</f>
        <v>0</v>
      </c>
      <c r="ES25" s="68">
        <f t="shared" ref="ES25" si="440">EQ25+EO25+EM25</f>
        <v>0</v>
      </c>
      <c r="ET25" s="68">
        <f t="shared" ref="ET25" si="441">ES25+ER25</f>
        <v>0</v>
      </c>
      <c r="EU25" s="68">
        <v>1</v>
      </c>
      <c r="EV25" s="68"/>
      <c r="EW25" s="68"/>
      <c r="EX25" s="68"/>
      <c r="EY25" s="68">
        <v>9</v>
      </c>
      <c r="EZ25" s="68"/>
      <c r="FA25" s="68"/>
      <c r="FB25" s="68"/>
      <c r="FC25" s="68">
        <f t="shared" ref="FC25" si="442">FA25+EY25+EW25+EU25</f>
        <v>10</v>
      </c>
      <c r="FD25" s="68">
        <f t="shared" ref="FD25" si="443">FB25+EZ25+EX25+EV25</f>
        <v>0</v>
      </c>
      <c r="FE25" s="68">
        <f t="shared" ref="FE25" si="444">FD25+FC25</f>
        <v>10</v>
      </c>
      <c r="FF25" s="68"/>
      <c r="FG25" s="68"/>
      <c r="FH25" s="68"/>
      <c r="FI25" s="68"/>
      <c r="FJ25" s="68"/>
      <c r="FK25" s="68"/>
      <c r="FL25" s="68"/>
      <c r="FM25" s="68"/>
      <c r="FN25" s="68"/>
      <c r="FO25" s="68">
        <v>1</v>
      </c>
      <c r="FP25" s="68"/>
      <c r="FQ25" s="68"/>
      <c r="FR25" s="68"/>
      <c r="FS25" s="68"/>
      <c r="FT25" s="68"/>
      <c r="FU25" s="68">
        <f t="shared" ref="FU25" si="445">FT25+FS25+FR25+FN25+FL25+FH25+FF25</f>
        <v>0</v>
      </c>
      <c r="FV25" s="68">
        <f t="shared" ref="FV25" si="446">FO25+FM25+FI25+FG25</f>
        <v>1</v>
      </c>
      <c r="FW25" s="68">
        <f t="shared" ref="FW25" si="447">FV25+FU25</f>
        <v>1</v>
      </c>
      <c r="FX25" s="68"/>
      <c r="FY25" s="68"/>
      <c r="FZ25" s="68"/>
      <c r="GA25" s="68"/>
      <c r="GB25" s="68">
        <v>6</v>
      </c>
      <c r="GC25" s="68"/>
      <c r="GD25" s="68"/>
      <c r="GE25" s="68"/>
      <c r="GF25" s="68"/>
      <c r="GG25" s="68"/>
      <c r="GH25" s="68">
        <v>4</v>
      </c>
      <c r="GI25" s="68"/>
      <c r="GJ25" s="68"/>
      <c r="GK25" s="68"/>
      <c r="GL25" s="68"/>
      <c r="GM25" s="68"/>
      <c r="GN25" s="68">
        <f t="shared" ref="GN25" si="448">GL25+GJ25+GH25+GF25+GD25+GB25+FZ25+FX25</f>
        <v>10</v>
      </c>
      <c r="GO25" s="68">
        <f t="shared" ref="GO25" si="449">GM25+GK25+GI25+GG25+GE25+GC25+GA25+FY25</f>
        <v>0</v>
      </c>
      <c r="GP25" s="68">
        <f t="shared" ref="GP25" si="450">GO25+GN25</f>
        <v>10</v>
      </c>
      <c r="GQ25" s="68">
        <v>10</v>
      </c>
      <c r="GR25" s="68"/>
      <c r="GS25" s="68"/>
      <c r="GT25" s="68"/>
      <c r="GU25" s="68"/>
      <c r="GV25" s="68"/>
      <c r="GW25" s="68">
        <f t="shared" ref="GW25" si="451">GU25+GS25+GQ25</f>
        <v>10</v>
      </c>
      <c r="GX25" s="68">
        <f t="shared" ref="GX25" si="452">GV25+GT25+GR25</f>
        <v>0</v>
      </c>
      <c r="GY25" s="68">
        <f t="shared" ref="GY25" si="453">GX25+GW25</f>
        <v>10</v>
      </c>
      <c r="GZ25" s="68">
        <v>6</v>
      </c>
      <c r="HA25" s="68"/>
      <c r="HB25" s="68"/>
      <c r="HC25" s="68"/>
      <c r="HD25" s="68"/>
      <c r="HE25" s="68"/>
      <c r="HF25" s="68"/>
      <c r="HG25" s="68"/>
      <c r="HH25" s="68">
        <v>1</v>
      </c>
      <c r="HI25" s="68"/>
      <c r="HJ25" s="68"/>
      <c r="HK25" s="68"/>
      <c r="HL25" s="68"/>
      <c r="HM25" s="68"/>
      <c r="HN25" s="68"/>
      <c r="HO25" s="68">
        <v>3</v>
      </c>
      <c r="HP25" s="68"/>
      <c r="HQ25" s="68">
        <f t="shared" ref="HQ25" si="454">HO25+GZ25+HM25+HJ25+HH25+HF25+HD25+HB25</f>
        <v>10</v>
      </c>
      <c r="HR25" s="68">
        <f t="shared" ref="HR25" si="455">HP25+HA25+HN25+HL25+HK25+HI25+HG25+HE25+HC25</f>
        <v>0</v>
      </c>
      <c r="HS25" s="68">
        <f t="shared" ref="HS25" si="456">HR25+HQ25</f>
        <v>10</v>
      </c>
      <c r="HT25" s="68"/>
      <c r="HU25" s="68"/>
      <c r="HV25" s="68">
        <v>10</v>
      </c>
      <c r="HW25" s="68"/>
      <c r="HX25" s="68"/>
      <c r="HY25" s="68"/>
      <c r="HZ25" s="68"/>
      <c r="IA25" s="68"/>
      <c r="IB25" s="68">
        <f t="shared" ref="IB25" si="457">HZ25+HX25+HV25+HT25</f>
        <v>10</v>
      </c>
      <c r="IC25" s="68">
        <f t="shared" ref="IC25" si="458">IA25+HY25+HW25+HU25</f>
        <v>0</v>
      </c>
      <c r="ID25" s="68">
        <f t="shared" ref="ID25" si="459">IC25+IB25</f>
        <v>10</v>
      </c>
      <c r="IE25" s="68"/>
      <c r="IF25" s="68"/>
      <c r="IG25" s="68"/>
      <c r="IH25" s="68">
        <v>1</v>
      </c>
      <c r="II25" s="68"/>
      <c r="IJ25" s="68">
        <v>1</v>
      </c>
      <c r="IK25" s="68"/>
      <c r="IL25" s="68">
        <v>1</v>
      </c>
      <c r="IM25" s="68"/>
      <c r="IN25" s="68"/>
      <c r="IO25" s="68"/>
      <c r="IP25" s="68"/>
      <c r="IQ25" s="68"/>
      <c r="IR25" s="68"/>
      <c r="IS25" s="68"/>
      <c r="IT25" s="68">
        <v>1</v>
      </c>
      <c r="IU25" s="68">
        <v>1</v>
      </c>
      <c r="IV25" s="68"/>
      <c r="IW25" s="68"/>
      <c r="IX25" s="68">
        <v>1</v>
      </c>
      <c r="IY25" s="68" t="s">
        <v>234</v>
      </c>
      <c r="IZ25" s="82">
        <v>7706911091</v>
      </c>
      <c r="JA25" s="68" t="s">
        <v>216</v>
      </c>
      <c r="JE25" s="69">
        <v>0</v>
      </c>
    </row>
    <row r="26" spans="1:265" s="63" customFormat="1" ht="24.75" customHeight="1" x14ac:dyDescent="0.2">
      <c r="A26" s="169" t="s">
        <v>200</v>
      </c>
      <c r="B26" s="170"/>
      <c r="C26" s="170"/>
      <c r="D26" s="170"/>
      <c r="E26" s="171"/>
      <c r="F26" s="62">
        <f>SUM(F25:F25)</f>
        <v>0</v>
      </c>
      <c r="G26" s="62">
        <f t="shared" ref="G26:BR26" si="460">SUM(G25:G25)</f>
        <v>1</v>
      </c>
      <c r="H26" s="62">
        <f t="shared" si="460"/>
        <v>1</v>
      </c>
      <c r="I26" s="62">
        <f t="shared" si="460"/>
        <v>0</v>
      </c>
      <c r="J26" s="62">
        <f t="shared" si="460"/>
        <v>0</v>
      </c>
      <c r="K26" s="62">
        <f t="shared" si="460"/>
        <v>1</v>
      </c>
      <c r="L26" s="62">
        <f t="shared" si="460"/>
        <v>0</v>
      </c>
      <c r="M26" s="62">
        <f t="shared" si="460"/>
        <v>0</v>
      </c>
      <c r="N26" s="62">
        <f t="shared" si="460"/>
        <v>1</v>
      </c>
      <c r="O26" s="62">
        <f t="shared" si="460"/>
        <v>0</v>
      </c>
      <c r="P26" s="62">
        <f t="shared" si="460"/>
        <v>0</v>
      </c>
      <c r="Q26" s="62">
        <f t="shared" si="460"/>
        <v>0</v>
      </c>
      <c r="R26" s="62">
        <f t="shared" si="460"/>
        <v>1</v>
      </c>
      <c r="S26" s="62">
        <f t="shared" si="460"/>
        <v>0</v>
      </c>
      <c r="T26" s="62">
        <f t="shared" si="460"/>
        <v>0</v>
      </c>
      <c r="U26" s="62">
        <f t="shared" si="460"/>
        <v>0</v>
      </c>
      <c r="V26" s="62">
        <f t="shared" si="460"/>
        <v>1</v>
      </c>
      <c r="W26" s="62">
        <f t="shared" si="460"/>
        <v>0</v>
      </c>
      <c r="X26" s="62">
        <f t="shared" si="460"/>
        <v>0</v>
      </c>
      <c r="Y26" s="62">
        <f t="shared" si="460"/>
        <v>5</v>
      </c>
      <c r="Z26" s="62">
        <f t="shared" si="460"/>
        <v>0</v>
      </c>
      <c r="AA26" s="62">
        <f t="shared" si="460"/>
        <v>6</v>
      </c>
      <c r="AB26" s="62">
        <f t="shared" si="460"/>
        <v>0</v>
      </c>
      <c r="AC26" s="62">
        <f t="shared" si="460"/>
        <v>6</v>
      </c>
      <c r="AD26" s="62">
        <f t="shared" si="460"/>
        <v>0</v>
      </c>
      <c r="AE26" s="62">
        <f t="shared" si="460"/>
        <v>4</v>
      </c>
      <c r="AF26" s="62">
        <f t="shared" si="460"/>
        <v>0</v>
      </c>
      <c r="AG26" s="62">
        <f t="shared" si="460"/>
        <v>0</v>
      </c>
      <c r="AH26" s="62">
        <f t="shared" si="460"/>
        <v>0</v>
      </c>
      <c r="AI26" s="62">
        <f t="shared" si="460"/>
        <v>1</v>
      </c>
      <c r="AJ26" s="62">
        <f t="shared" si="460"/>
        <v>0</v>
      </c>
      <c r="AK26" s="62">
        <f t="shared" si="460"/>
        <v>0</v>
      </c>
      <c r="AL26" s="62">
        <f t="shared" si="460"/>
        <v>0</v>
      </c>
      <c r="AM26" s="62">
        <f t="shared" si="460"/>
        <v>22</v>
      </c>
      <c r="AN26" s="62">
        <f t="shared" si="460"/>
        <v>0</v>
      </c>
      <c r="AO26" s="62">
        <f t="shared" si="460"/>
        <v>22</v>
      </c>
      <c r="AP26" s="62">
        <f t="shared" si="460"/>
        <v>0</v>
      </c>
      <c r="AQ26" s="62">
        <f t="shared" si="460"/>
        <v>0</v>
      </c>
      <c r="AR26" s="62">
        <f t="shared" si="460"/>
        <v>7</v>
      </c>
      <c r="AS26" s="62">
        <f t="shared" si="460"/>
        <v>0</v>
      </c>
      <c r="AT26" s="62">
        <f t="shared" si="460"/>
        <v>5</v>
      </c>
      <c r="AU26" s="62">
        <f t="shared" si="460"/>
        <v>0</v>
      </c>
      <c r="AV26" s="62">
        <f t="shared" si="460"/>
        <v>5</v>
      </c>
      <c r="AW26" s="62">
        <f t="shared" si="460"/>
        <v>0</v>
      </c>
      <c r="AX26" s="62">
        <f t="shared" si="460"/>
        <v>0</v>
      </c>
      <c r="AY26" s="62">
        <f t="shared" si="460"/>
        <v>0</v>
      </c>
      <c r="AZ26" s="62">
        <f t="shared" si="460"/>
        <v>1</v>
      </c>
      <c r="BA26" s="62">
        <f t="shared" si="460"/>
        <v>0</v>
      </c>
      <c r="BB26" s="62">
        <f t="shared" si="460"/>
        <v>2</v>
      </c>
      <c r="BC26" s="62">
        <f t="shared" si="460"/>
        <v>0</v>
      </c>
      <c r="BD26" s="62">
        <f t="shared" si="460"/>
        <v>20</v>
      </c>
      <c r="BE26" s="62">
        <f t="shared" si="460"/>
        <v>0</v>
      </c>
      <c r="BF26" s="62">
        <f t="shared" si="460"/>
        <v>20</v>
      </c>
      <c r="BG26" s="62">
        <f t="shared" si="460"/>
        <v>0</v>
      </c>
      <c r="BH26" s="62">
        <f t="shared" si="460"/>
        <v>0</v>
      </c>
      <c r="BI26" s="62">
        <f t="shared" si="460"/>
        <v>1</v>
      </c>
      <c r="BJ26" s="62">
        <f t="shared" si="460"/>
        <v>0</v>
      </c>
      <c r="BK26" s="62">
        <f t="shared" si="460"/>
        <v>11</v>
      </c>
      <c r="BL26" s="62">
        <f t="shared" si="460"/>
        <v>0</v>
      </c>
      <c r="BM26" s="62">
        <f t="shared" si="460"/>
        <v>12</v>
      </c>
      <c r="BN26" s="62">
        <f t="shared" si="460"/>
        <v>0</v>
      </c>
      <c r="BO26" s="62">
        <f t="shared" si="460"/>
        <v>23</v>
      </c>
      <c r="BP26" s="62">
        <f t="shared" si="460"/>
        <v>0</v>
      </c>
      <c r="BQ26" s="62">
        <f t="shared" si="460"/>
        <v>6</v>
      </c>
      <c r="BR26" s="62">
        <f t="shared" si="460"/>
        <v>0</v>
      </c>
      <c r="BS26" s="62">
        <f t="shared" ref="BS26:ED26" si="461">SUM(BS25:BS25)</f>
        <v>1</v>
      </c>
      <c r="BT26" s="62">
        <f t="shared" si="461"/>
        <v>0</v>
      </c>
      <c r="BU26" s="62">
        <f t="shared" si="461"/>
        <v>54</v>
      </c>
      <c r="BV26" s="62">
        <f t="shared" si="461"/>
        <v>0</v>
      </c>
      <c r="BW26" s="62">
        <f t="shared" si="461"/>
        <v>54</v>
      </c>
      <c r="BX26" s="62">
        <f t="shared" si="461"/>
        <v>5</v>
      </c>
      <c r="BY26" s="62">
        <f t="shared" si="461"/>
        <v>0</v>
      </c>
      <c r="BZ26" s="62">
        <f t="shared" si="461"/>
        <v>14</v>
      </c>
      <c r="CA26" s="62">
        <f t="shared" si="461"/>
        <v>0</v>
      </c>
      <c r="CB26" s="62">
        <f t="shared" si="461"/>
        <v>22</v>
      </c>
      <c r="CC26" s="62">
        <f t="shared" si="461"/>
        <v>0</v>
      </c>
      <c r="CD26" s="62">
        <f t="shared" si="461"/>
        <v>21</v>
      </c>
      <c r="CE26" s="62">
        <f t="shared" si="461"/>
        <v>0</v>
      </c>
      <c r="CF26" s="62">
        <f t="shared" si="461"/>
        <v>23</v>
      </c>
      <c r="CG26" s="62">
        <f t="shared" si="461"/>
        <v>0</v>
      </c>
      <c r="CH26" s="62">
        <f t="shared" si="461"/>
        <v>8</v>
      </c>
      <c r="CI26" s="62">
        <f t="shared" si="461"/>
        <v>0</v>
      </c>
      <c r="CJ26" s="62">
        <f t="shared" si="461"/>
        <v>3</v>
      </c>
      <c r="CK26" s="62">
        <f t="shared" si="461"/>
        <v>0</v>
      </c>
      <c r="CL26" s="62">
        <f t="shared" si="461"/>
        <v>96</v>
      </c>
      <c r="CM26" s="62">
        <f t="shared" si="461"/>
        <v>0</v>
      </c>
      <c r="CN26" s="62">
        <f t="shared" si="461"/>
        <v>96</v>
      </c>
      <c r="CO26" s="62">
        <f t="shared" si="461"/>
        <v>1</v>
      </c>
      <c r="CP26" s="62">
        <f t="shared" si="461"/>
        <v>0</v>
      </c>
      <c r="CQ26" s="62">
        <f t="shared" si="461"/>
        <v>0</v>
      </c>
      <c r="CR26" s="62">
        <f t="shared" si="461"/>
        <v>1</v>
      </c>
      <c r="CS26" s="62">
        <f t="shared" si="461"/>
        <v>0</v>
      </c>
      <c r="CT26" s="62">
        <f t="shared" si="461"/>
        <v>0</v>
      </c>
      <c r="CU26" s="62">
        <f t="shared" si="461"/>
        <v>2</v>
      </c>
      <c r="CV26" s="62">
        <f t="shared" si="461"/>
        <v>0</v>
      </c>
      <c r="CW26" s="62">
        <f t="shared" si="461"/>
        <v>0</v>
      </c>
      <c r="CX26" s="62">
        <f t="shared" si="461"/>
        <v>4</v>
      </c>
      <c r="CY26" s="62">
        <f t="shared" si="461"/>
        <v>0</v>
      </c>
      <c r="CZ26" s="62">
        <f t="shared" si="461"/>
        <v>0</v>
      </c>
      <c r="DA26" s="62">
        <f t="shared" si="461"/>
        <v>4</v>
      </c>
      <c r="DB26" s="62">
        <f t="shared" si="461"/>
        <v>0</v>
      </c>
      <c r="DC26" s="62">
        <f t="shared" si="461"/>
        <v>0</v>
      </c>
      <c r="DD26" s="62">
        <f t="shared" si="461"/>
        <v>0</v>
      </c>
      <c r="DE26" s="62">
        <f t="shared" si="461"/>
        <v>0</v>
      </c>
      <c r="DF26" s="62">
        <f t="shared" si="461"/>
        <v>0</v>
      </c>
      <c r="DG26" s="62">
        <f t="shared" si="461"/>
        <v>0</v>
      </c>
      <c r="DH26" s="62">
        <f t="shared" si="461"/>
        <v>0</v>
      </c>
      <c r="DI26" s="62">
        <f t="shared" si="461"/>
        <v>0</v>
      </c>
      <c r="DJ26" s="62">
        <f t="shared" si="461"/>
        <v>0</v>
      </c>
      <c r="DK26" s="62">
        <f t="shared" si="461"/>
        <v>17</v>
      </c>
      <c r="DL26" s="62">
        <f t="shared" si="461"/>
        <v>0</v>
      </c>
      <c r="DM26" s="62">
        <f t="shared" si="461"/>
        <v>18</v>
      </c>
      <c r="DN26" s="62">
        <f t="shared" si="461"/>
        <v>0</v>
      </c>
      <c r="DO26" s="62">
        <f t="shared" si="461"/>
        <v>26</v>
      </c>
      <c r="DP26" s="62">
        <f t="shared" si="461"/>
        <v>0</v>
      </c>
      <c r="DQ26" s="62">
        <f t="shared" si="461"/>
        <v>61</v>
      </c>
      <c r="DR26" s="62">
        <f t="shared" si="461"/>
        <v>0</v>
      </c>
      <c r="DS26" s="62">
        <f t="shared" si="461"/>
        <v>61</v>
      </c>
      <c r="DT26" s="62">
        <f t="shared" si="461"/>
        <v>10</v>
      </c>
      <c r="DU26" s="62">
        <f t="shared" si="461"/>
        <v>0</v>
      </c>
      <c r="DV26" s="62">
        <f t="shared" si="461"/>
        <v>8</v>
      </c>
      <c r="DW26" s="62">
        <f t="shared" si="461"/>
        <v>0</v>
      </c>
      <c r="DX26" s="62">
        <f t="shared" si="461"/>
        <v>33</v>
      </c>
      <c r="DY26" s="62">
        <f t="shared" si="461"/>
        <v>0</v>
      </c>
      <c r="DZ26" s="62">
        <f t="shared" si="461"/>
        <v>51</v>
      </c>
      <c r="EA26" s="62">
        <f t="shared" si="461"/>
        <v>0</v>
      </c>
      <c r="EB26" s="62">
        <f t="shared" si="461"/>
        <v>51</v>
      </c>
      <c r="EC26" s="62">
        <f t="shared" si="461"/>
        <v>0</v>
      </c>
      <c r="ED26" s="62">
        <f t="shared" si="461"/>
        <v>0</v>
      </c>
      <c r="EE26" s="62">
        <f t="shared" ref="EE26:GP26" si="462">SUM(EE25:EE25)</f>
        <v>0</v>
      </c>
      <c r="EF26" s="62">
        <f t="shared" si="462"/>
        <v>0</v>
      </c>
      <c r="EG26" s="62">
        <f t="shared" si="462"/>
        <v>0</v>
      </c>
      <c r="EH26" s="62">
        <f t="shared" si="462"/>
        <v>0</v>
      </c>
      <c r="EI26" s="62">
        <f t="shared" si="462"/>
        <v>0</v>
      </c>
      <c r="EJ26" s="62">
        <f t="shared" si="462"/>
        <v>0</v>
      </c>
      <c r="EK26" s="62">
        <f t="shared" si="462"/>
        <v>0</v>
      </c>
      <c r="EL26" s="62">
        <f t="shared" si="462"/>
        <v>0</v>
      </c>
      <c r="EM26" s="62">
        <f t="shared" si="462"/>
        <v>0</v>
      </c>
      <c r="EN26" s="62">
        <f t="shared" si="462"/>
        <v>0</v>
      </c>
      <c r="EO26" s="62">
        <f t="shared" si="462"/>
        <v>0</v>
      </c>
      <c r="EP26" s="62">
        <f t="shared" si="462"/>
        <v>0</v>
      </c>
      <c r="EQ26" s="62">
        <f t="shared" si="462"/>
        <v>0</v>
      </c>
      <c r="ER26" s="62">
        <f t="shared" si="462"/>
        <v>0</v>
      </c>
      <c r="ES26" s="62">
        <f t="shared" si="462"/>
        <v>0</v>
      </c>
      <c r="ET26" s="62">
        <f t="shared" si="462"/>
        <v>0</v>
      </c>
      <c r="EU26" s="62">
        <f t="shared" si="462"/>
        <v>1</v>
      </c>
      <c r="EV26" s="62">
        <f t="shared" si="462"/>
        <v>0</v>
      </c>
      <c r="EW26" s="62">
        <f t="shared" si="462"/>
        <v>0</v>
      </c>
      <c r="EX26" s="62">
        <f t="shared" si="462"/>
        <v>0</v>
      </c>
      <c r="EY26" s="62">
        <f t="shared" si="462"/>
        <v>9</v>
      </c>
      <c r="EZ26" s="62">
        <f t="shared" si="462"/>
        <v>0</v>
      </c>
      <c r="FA26" s="62">
        <f t="shared" si="462"/>
        <v>0</v>
      </c>
      <c r="FB26" s="62">
        <f t="shared" si="462"/>
        <v>0</v>
      </c>
      <c r="FC26" s="62">
        <f t="shared" si="462"/>
        <v>10</v>
      </c>
      <c r="FD26" s="62">
        <f t="shared" si="462"/>
        <v>0</v>
      </c>
      <c r="FE26" s="62">
        <f t="shared" si="462"/>
        <v>10</v>
      </c>
      <c r="FF26" s="62">
        <f t="shared" si="462"/>
        <v>0</v>
      </c>
      <c r="FG26" s="62">
        <f t="shared" si="462"/>
        <v>0</v>
      </c>
      <c r="FH26" s="62">
        <f t="shared" si="462"/>
        <v>0</v>
      </c>
      <c r="FI26" s="62">
        <f t="shared" si="462"/>
        <v>0</v>
      </c>
      <c r="FJ26" s="62">
        <f t="shared" si="462"/>
        <v>0</v>
      </c>
      <c r="FK26" s="62">
        <f t="shared" si="462"/>
        <v>0</v>
      </c>
      <c r="FL26" s="62">
        <f t="shared" si="462"/>
        <v>0</v>
      </c>
      <c r="FM26" s="62">
        <f t="shared" si="462"/>
        <v>0</v>
      </c>
      <c r="FN26" s="62">
        <f t="shared" si="462"/>
        <v>0</v>
      </c>
      <c r="FO26" s="62">
        <f t="shared" si="462"/>
        <v>1</v>
      </c>
      <c r="FP26" s="62">
        <f t="shared" si="462"/>
        <v>0</v>
      </c>
      <c r="FQ26" s="62">
        <f t="shared" si="462"/>
        <v>0</v>
      </c>
      <c r="FR26" s="62">
        <f t="shared" si="462"/>
        <v>0</v>
      </c>
      <c r="FS26" s="62">
        <f t="shared" si="462"/>
        <v>0</v>
      </c>
      <c r="FT26" s="62">
        <f t="shared" si="462"/>
        <v>0</v>
      </c>
      <c r="FU26" s="62">
        <f t="shared" si="462"/>
        <v>0</v>
      </c>
      <c r="FV26" s="62">
        <f t="shared" si="462"/>
        <v>1</v>
      </c>
      <c r="FW26" s="62">
        <f t="shared" si="462"/>
        <v>1</v>
      </c>
      <c r="FX26" s="62">
        <f t="shared" si="462"/>
        <v>0</v>
      </c>
      <c r="FY26" s="62">
        <f t="shared" si="462"/>
        <v>0</v>
      </c>
      <c r="FZ26" s="62">
        <f t="shared" si="462"/>
        <v>0</v>
      </c>
      <c r="GA26" s="62">
        <f t="shared" si="462"/>
        <v>0</v>
      </c>
      <c r="GB26" s="62">
        <f t="shared" si="462"/>
        <v>6</v>
      </c>
      <c r="GC26" s="62">
        <f t="shared" si="462"/>
        <v>0</v>
      </c>
      <c r="GD26" s="62">
        <f t="shared" si="462"/>
        <v>0</v>
      </c>
      <c r="GE26" s="62">
        <f t="shared" si="462"/>
        <v>0</v>
      </c>
      <c r="GF26" s="62">
        <f t="shared" si="462"/>
        <v>0</v>
      </c>
      <c r="GG26" s="62">
        <f t="shared" si="462"/>
        <v>0</v>
      </c>
      <c r="GH26" s="62">
        <f t="shared" si="462"/>
        <v>4</v>
      </c>
      <c r="GI26" s="62">
        <f t="shared" si="462"/>
        <v>0</v>
      </c>
      <c r="GJ26" s="62">
        <f t="shared" si="462"/>
        <v>0</v>
      </c>
      <c r="GK26" s="62">
        <f t="shared" si="462"/>
        <v>0</v>
      </c>
      <c r="GL26" s="62">
        <f t="shared" si="462"/>
        <v>0</v>
      </c>
      <c r="GM26" s="62">
        <f t="shared" si="462"/>
        <v>0</v>
      </c>
      <c r="GN26" s="62">
        <f t="shared" si="462"/>
        <v>10</v>
      </c>
      <c r="GO26" s="62">
        <f t="shared" si="462"/>
        <v>0</v>
      </c>
      <c r="GP26" s="62">
        <f t="shared" si="462"/>
        <v>10</v>
      </c>
      <c r="GQ26" s="62">
        <f t="shared" ref="GQ26:IX26" si="463">SUM(GQ25:GQ25)</f>
        <v>10</v>
      </c>
      <c r="GR26" s="62">
        <f t="shared" si="463"/>
        <v>0</v>
      </c>
      <c r="GS26" s="62">
        <f t="shared" si="463"/>
        <v>0</v>
      </c>
      <c r="GT26" s="62">
        <f t="shared" si="463"/>
        <v>0</v>
      </c>
      <c r="GU26" s="62">
        <f t="shared" si="463"/>
        <v>0</v>
      </c>
      <c r="GV26" s="62">
        <f t="shared" si="463"/>
        <v>0</v>
      </c>
      <c r="GW26" s="62">
        <f t="shared" si="463"/>
        <v>10</v>
      </c>
      <c r="GX26" s="62">
        <f t="shared" si="463"/>
        <v>0</v>
      </c>
      <c r="GY26" s="62">
        <f t="shared" si="463"/>
        <v>10</v>
      </c>
      <c r="GZ26" s="62">
        <f t="shared" si="463"/>
        <v>6</v>
      </c>
      <c r="HA26" s="62">
        <f t="shared" si="463"/>
        <v>0</v>
      </c>
      <c r="HB26" s="62">
        <f t="shared" si="463"/>
        <v>0</v>
      </c>
      <c r="HC26" s="62">
        <f t="shared" si="463"/>
        <v>0</v>
      </c>
      <c r="HD26" s="62">
        <f t="shared" si="463"/>
        <v>0</v>
      </c>
      <c r="HE26" s="62">
        <f t="shared" si="463"/>
        <v>0</v>
      </c>
      <c r="HF26" s="62">
        <f t="shared" si="463"/>
        <v>0</v>
      </c>
      <c r="HG26" s="62">
        <f t="shared" si="463"/>
        <v>0</v>
      </c>
      <c r="HH26" s="62">
        <f t="shared" si="463"/>
        <v>1</v>
      </c>
      <c r="HI26" s="62">
        <f t="shared" si="463"/>
        <v>0</v>
      </c>
      <c r="HJ26" s="62">
        <f t="shared" si="463"/>
        <v>0</v>
      </c>
      <c r="HK26" s="62">
        <f t="shared" si="463"/>
        <v>0</v>
      </c>
      <c r="HL26" s="62">
        <f t="shared" si="463"/>
        <v>0</v>
      </c>
      <c r="HM26" s="62">
        <f t="shared" si="463"/>
        <v>0</v>
      </c>
      <c r="HN26" s="62">
        <f t="shared" si="463"/>
        <v>0</v>
      </c>
      <c r="HO26" s="62">
        <f t="shared" si="463"/>
        <v>3</v>
      </c>
      <c r="HP26" s="62">
        <f t="shared" si="463"/>
        <v>0</v>
      </c>
      <c r="HQ26" s="62">
        <f t="shared" si="463"/>
        <v>10</v>
      </c>
      <c r="HR26" s="62">
        <f t="shared" si="463"/>
        <v>0</v>
      </c>
      <c r="HS26" s="62">
        <f t="shared" si="463"/>
        <v>10</v>
      </c>
      <c r="HT26" s="62">
        <f t="shared" si="463"/>
        <v>0</v>
      </c>
      <c r="HU26" s="62">
        <f t="shared" si="463"/>
        <v>0</v>
      </c>
      <c r="HV26" s="62">
        <f t="shared" si="463"/>
        <v>10</v>
      </c>
      <c r="HW26" s="62">
        <f t="shared" si="463"/>
        <v>0</v>
      </c>
      <c r="HX26" s="62">
        <f t="shared" si="463"/>
        <v>0</v>
      </c>
      <c r="HY26" s="62">
        <f t="shared" si="463"/>
        <v>0</v>
      </c>
      <c r="HZ26" s="62">
        <f t="shared" si="463"/>
        <v>0</v>
      </c>
      <c r="IA26" s="62">
        <f t="shared" si="463"/>
        <v>0</v>
      </c>
      <c r="IB26" s="62">
        <f t="shared" si="463"/>
        <v>10</v>
      </c>
      <c r="IC26" s="62">
        <f t="shared" si="463"/>
        <v>0</v>
      </c>
      <c r="ID26" s="62">
        <f t="shared" si="463"/>
        <v>10</v>
      </c>
      <c r="IE26" s="62">
        <f t="shared" si="463"/>
        <v>0</v>
      </c>
      <c r="IF26" s="62">
        <f t="shared" si="463"/>
        <v>0</v>
      </c>
      <c r="IG26" s="62">
        <f t="shared" si="463"/>
        <v>0</v>
      </c>
      <c r="IH26" s="62">
        <f t="shared" si="463"/>
        <v>1</v>
      </c>
      <c r="II26" s="62">
        <f t="shared" si="463"/>
        <v>0</v>
      </c>
      <c r="IJ26" s="62">
        <f t="shared" si="463"/>
        <v>1</v>
      </c>
      <c r="IK26" s="62">
        <f t="shared" si="463"/>
        <v>0</v>
      </c>
      <c r="IL26" s="62">
        <f t="shared" si="463"/>
        <v>1</v>
      </c>
      <c r="IM26" s="62">
        <f t="shared" si="463"/>
        <v>0</v>
      </c>
      <c r="IN26" s="62">
        <f t="shared" si="463"/>
        <v>0</v>
      </c>
      <c r="IO26" s="62">
        <f t="shared" si="463"/>
        <v>0</v>
      </c>
      <c r="IP26" s="62">
        <f t="shared" si="463"/>
        <v>0</v>
      </c>
      <c r="IQ26" s="62">
        <f t="shared" si="463"/>
        <v>0</v>
      </c>
      <c r="IR26" s="62">
        <f t="shared" si="463"/>
        <v>0</v>
      </c>
      <c r="IS26" s="62">
        <f t="shared" si="463"/>
        <v>0</v>
      </c>
      <c r="IT26" s="62">
        <f t="shared" si="463"/>
        <v>1</v>
      </c>
      <c r="IU26" s="62">
        <f t="shared" si="463"/>
        <v>1</v>
      </c>
      <c r="IV26" s="62">
        <f t="shared" si="463"/>
        <v>0</v>
      </c>
      <c r="IW26" s="62">
        <f t="shared" si="463"/>
        <v>0</v>
      </c>
      <c r="IX26" s="62">
        <f t="shared" si="463"/>
        <v>1</v>
      </c>
      <c r="IY26" s="62"/>
      <c r="IZ26" s="84"/>
      <c r="JA26" s="62"/>
    </row>
    <row r="27" spans="1:265" s="65" customFormat="1" ht="24.75" customHeight="1" x14ac:dyDescent="0.2">
      <c r="A27" s="177" t="s">
        <v>143</v>
      </c>
      <c r="B27" s="178"/>
      <c r="C27" s="178"/>
      <c r="D27" s="178"/>
      <c r="E27" s="179"/>
      <c r="F27" s="64">
        <f>F20+F24+F26</f>
        <v>0</v>
      </c>
      <c r="G27" s="64">
        <f t="shared" ref="G27:BR27" si="464">G20+G24+G26</f>
        <v>18</v>
      </c>
      <c r="H27" s="64">
        <f t="shared" si="464"/>
        <v>9</v>
      </c>
      <c r="I27" s="64">
        <f t="shared" si="464"/>
        <v>9</v>
      </c>
      <c r="J27" s="64">
        <f t="shared" si="464"/>
        <v>0</v>
      </c>
      <c r="K27" s="64">
        <f t="shared" si="464"/>
        <v>16</v>
      </c>
      <c r="L27" s="64">
        <f t="shared" si="464"/>
        <v>2</v>
      </c>
      <c r="M27" s="64">
        <f t="shared" si="464"/>
        <v>0</v>
      </c>
      <c r="N27" s="64">
        <f t="shared" si="464"/>
        <v>18</v>
      </c>
      <c r="O27" s="64">
        <f t="shared" si="464"/>
        <v>0</v>
      </c>
      <c r="P27" s="64">
        <f t="shared" si="464"/>
        <v>0</v>
      </c>
      <c r="Q27" s="64">
        <f t="shared" si="464"/>
        <v>0</v>
      </c>
      <c r="R27" s="64">
        <f t="shared" si="464"/>
        <v>18</v>
      </c>
      <c r="S27" s="64">
        <f t="shared" si="464"/>
        <v>0</v>
      </c>
      <c r="T27" s="64">
        <f t="shared" si="464"/>
        <v>0</v>
      </c>
      <c r="U27" s="64">
        <f t="shared" si="464"/>
        <v>0</v>
      </c>
      <c r="V27" s="64">
        <f t="shared" si="464"/>
        <v>18</v>
      </c>
      <c r="W27" s="64">
        <f t="shared" si="464"/>
        <v>0</v>
      </c>
      <c r="X27" s="64">
        <f t="shared" si="464"/>
        <v>1</v>
      </c>
      <c r="Y27" s="64">
        <f t="shared" si="464"/>
        <v>71</v>
      </c>
      <c r="Z27" s="64">
        <f t="shared" si="464"/>
        <v>47</v>
      </c>
      <c r="AA27" s="64">
        <f t="shared" si="464"/>
        <v>92</v>
      </c>
      <c r="AB27" s="64">
        <f t="shared" si="464"/>
        <v>31</v>
      </c>
      <c r="AC27" s="64">
        <f t="shared" si="464"/>
        <v>100</v>
      </c>
      <c r="AD27" s="64">
        <f t="shared" si="464"/>
        <v>38</v>
      </c>
      <c r="AE27" s="64">
        <f t="shared" si="464"/>
        <v>74</v>
      </c>
      <c r="AF27" s="64">
        <f t="shared" si="464"/>
        <v>21</v>
      </c>
      <c r="AG27" s="64">
        <f t="shared" si="464"/>
        <v>39</v>
      </c>
      <c r="AH27" s="64">
        <f t="shared" si="464"/>
        <v>20</v>
      </c>
      <c r="AI27" s="64">
        <f t="shared" si="464"/>
        <v>20</v>
      </c>
      <c r="AJ27" s="64">
        <f t="shared" si="464"/>
        <v>20</v>
      </c>
      <c r="AK27" s="64">
        <f t="shared" si="464"/>
        <v>8</v>
      </c>
      <c r="AL27" s="64">
        <f t="shared" si="464"/>
        <v>16</v>
      </c>
      <c r="AM27" s="64">
        <f t="shared" si="464"/>
        <v>404</v>
      </c>
      <c r="AN27" s="64">
        <f t="shared" si="464"/>
        <v>193</v>
      </c>
      <c r="AO27" s="64">
        <f t="shared" si="464"/>
        <v>597</v>
      </c>
      <c r="AP27" s="64">
        <f t="shared" si="464"/>
        <v>9</v>
      </c>
      <c r="AQ27" s="64">
        <f t="shared" si="464"/>
        <v>17</v>
      </c>
      <c r="AR27" s="64">
        <f t="shared" si="464"/>
        <v>47</v>
      </c>
      <c r="AS27" s="64">
        <f t="shared" si="464"/>
        <v>28</v>
      </c>
      <c r="AT27" s="64">
        <f t="shared" si="464"/>
        <v>62</v>
      </c>
      <c r="AU27" s="64">
        <f t="shared" si="464"/>
        <v>47</v>
      </c>
      <c r="AV27" s="64">
        <f t="shared" si="464"/>
        <v>80</v>
      </c>
      <c r="AW27" s="64">
        <f t="shared" si="464"/>
        <v>39</v>
      </c>
      <c r="AX27" s="64">
        <f t="shared" si="464"/>
        <v>57</v>
      </c>
      <c r="AY27" s="64">
        <f t="shared" si="464"/>
        <v>47</v>
      </c>
      <c r="AZ27" s="64">
        <f t="shared" si="464"/>
        <v>30</v>
      </c>
      <c r="BA27" s="64">
        <f t="shared" si="464"/>
        <v>40</v>
      </c>
      <c r="BB27" s="64">
        <f t="shared" si="464"/>
        <v>26</v>
      </c>
      <c r="BC27" s="64">
        <f t="shared" si="464"/>
        <v>29</v>
      </c>
      <c r="BD27" s="64">
        <f t="shared" si="464"/>
        <v>311</v>
      </c>
      <c r="BE27" s="64">
        <f t="shared" si="464"/>
        <v>247</v>
      </c>
      <c r="BF27" s="64">
        <f t="shared" si="464"/>
        <v>558</v>
      </c>
      <c r="BG27" s="64">
        <f t="shared" si="464"/>
        <v>7</v>
      </c>
      <c r="BH27" s="64">
        <f t="shared" si="464"/>
        <v>16</v>
      </c>
      <c r="BI27" s="64">
        <f t="shared" si="464"/>
        <v>35</v>
      </c>
      <c r="BJ27" s="64">
        <f t="shared" si="464"/>
        <v>24</v>
      </c>
      <c r="BK27" s="64">
        <f t="shared" si="464"/>
        <v>79</v>
      </c>
      <c r="BL27" s="64">
        <f t="shared" si="464"/>
        <v>41</v>
      </c>
      <c r="BM27" s="64">
        <f t="shared" si="464"/>
        <v>119</v>
      </c>
      <c r="BN27" s="64">
        <f t="shared" si="464"/>
        <v>47</v>
      </c>
      <c r="BO27" s="64">
        <f t="shared" si="464"/>
        <v>152</v>
      </c>
      <c r="BP27" s="64">
        <f t="shared" si="464"/>
        <v>67</v>
      </c>
      <c r="BQ27" s="64">
        <f t="shared" si="464"/>
        <v>76</v>
      </c>
      <c r="BR27" s="64">
        <f t="shared" si="464"/>
        <v>39</v>
      </c>
      <c r="BS27" s="64">
        <f t="shared" ref="BS27:ED27" si="465">BS20+BS24+BS26</f>
        <v>75</v>
      </c>
      <c r="BT27" s="64">
        <f t="shared" si="465"/>
        <v>54</v>
      </c>
      <c r="BU27" s="64">
        <f t="shared" si="465"/>
        <v>543</v>
      </c>
      <c r="BV27" s="64">
        <f t="shared" si="465"/>
        <v>288</v>
      </c>
      <c r="BW27" s="64">
        <f t="shared" si="465"/>
        <v>831</v>
      </c>
      <c r="BX27" s="64">
        <f t="shared" si="465"/>
        <v>87</v>
      </c>
      <c r="BY27" s="64">
        <f t="shared" si="465"/>
        <v>80</v>
      </c>
      <c r="BZ27" s="64">
        <f t="shared" si="465"/>
        <v>174</v>
      </c>
      <c r="CA27" s="64">
        <f t="shared" si="465"/>
        <v>83</v>
      </c>
      <c r="CB27" s="64">
        <f t="shared" si="465"/>
        <v>241</v>
      </c>
      <c r="CC27" s="64">
        <f t="shared" si="465"/>
        <v>126</v>
      </c>
      <c r="CD27" s="64">
        <f t="shared" si="465"/>
        <v>273</v>
      </c>
      <c r="CE27" s="64">
        <f t="shared" si="465"/>
        <v>107</v>
      </c>
      <c r="CF27" s="64">
        <f t="shared" si="465"/>
        <v>248</v>
      </c>
      <c r="CG27" s="64">
        <f t="shared" si="465"/>
        <v>134</v>
      </c>
      <c r="CH27" s="64">
        <f t="shared" si="465"/>
        <v>126</v>
      </c>
      <c r="CI27" s="64">
        <f t="shared" si="465"/>
        <v>99</v>
      </c>
      <c r="CJ27" s="64">
        <f t="shared" si="465"/>
        <v>109</v>
      </c>
      <c r="CK27" s="64">
        <f t="shared" si="465"/>
        <v>99</v>
      </c>
      <c r="CL27" s="64">
        <f t="shared" si="465"/>
        <v>1258</v>
      </c>
      <c r="CM27" s="64">
        <f t="shared" si="465"/>
        <v>728</v>
      </c>
      <c r="CN27" s="64">
        <f t="shared" si="465"/>
        <v>1986</v>
      </c>
      <c r="CO27" s="64">
        <f t="shared" si="465"/>
        <v>17</v>
      </c>
      <c r="CP27" s="64">
        <f t="shared" si="465"/>
        <v>10</v>
      </c>
      <c r="CQ27" s="64">
        <f t="shared" si="465"/>
        <v>0</v>
      </c>
      <c r="CR27" s="64">
        <f t="shared" si="465"/>
        <v>14</v>
      </c>
      <c r="CS27" s="64">
        <f t="shared" si="465"/>
        <v>12</v>
      </c>
      <c r="CT27" s="64">
        <f t="shared" si="465"/>
        <v>0</v>
      </c>
      <c r="CU27" s="64">
        <f t="shared" si="465"/>
        <v>20</v>
      </c>
      <c r="CV27" s="64">
        <f t="shared" si="465"/>
        <v>11</v>
      </c>
      <c r="CW27" s="64">
        <f t="shared" si="465"/>
        <v>0</v>
      </c>
      <c r="CX27" s="64">
        <f t="shared" si="465"/>
        <v>51</v>
      </c>
      <c r="CY27" s="64">
        <f t="shared" si="465"/>
        <v>33</v>
      </c>
      <c r="CZ27" s="64">
        <f t="shared" si="465"/>
        <v>0</v>
      </c>
      <c r="DA27" s="64">
        <f t="shared" si="465"/>
        <v>84</v>
      </c>
      <c r="DB27" s="64">
        <f t="shared" si="465"/>
        <v>40</v>
      </c>
      <c r="DC27" s="64">
        <f t="shared" si="465"/>
        <v>28</v>
      </c>
      <c r="DD27" s="64">
        <f t="shared" si="465"/>
        <v>14</v>
      </c>
      <c r="DE27" s="64">
        <f t="shared" si="465"/>
        <v>31</v>
      </c>
      <c r="DF27" s="64">
        <f t="shared" si="465"/>
        <v>49</v>
      </c>
      <c r="DG27" s="64">
        <f t="shared" si="465"/>
        <v>48</v>
      </c>
      <c r="DH27" s="64">
        <f t="shared" si="465"/>
        <v>103</v>
      </c>
      <c r="DI27" s="64">
        <f t="shared" si="465"/>
        <v>107</v>
      </c>
      <c r="DJ27" s="64">
        <f t="shared" si="465"/>
        <v>210</v>
      </c>
      <c r="DK27" s="64">
        <f t="shared" si="465"/>
        <v>152</v>
      </c>
      <c r="DL27" s="64">
        <f t="shared" si="465"/>
        <v>104</v>
      </c>
      <c r="DM27" s="64">
        <f t="shared" si="465"/>
        <v>160</v>
      </c>
      <c r="DN27" s="64">
        <f t="shared" si="465"/>
        <v>129</v>
      </c>
      <c r="DO27" s="64">
        <f t="shared" si="465"/>
        <v>298</v>
      </c>
      <c r="DP27" s="64">
        <f t="shared" si="465"/>
        <v>287</v>
      </c>
      <c r="DQ27" s="64">
        <f t="shared" si="465"/>
        <v>610</v>
      </c>
      <c r="DR27" s="64">
        <f t="shared" si="465"/>
        <v>520</v>
      </c>
      <c r="DS27" s="64">
        <f t="shared" si="465"/>
        <v>1130</v>
      </c>
      <c r="DT27" s="64">
        <f t="shared" si="465"/>
        <v>93</v>
      </c>
      <c r="DU27" s="64">
        <f t="shared" si="465"/>
        <v>88</v>
      </c>
      <c r="DV27" s="64">
        <f t="shared" si="465"/>
        <v>68</v>
      </c>
      <c r="DW27" s="64">
        <f t="shared" si="465"/>
        <v>92</v>
      </c>
      <c r="DX27" s="64">
        <f t="shared" si="465"/>
        <v>175</v>
      </c>
      <c r="DY27" s="64">
        <f t="shared" si="465"/>
        <v>128</v>
      </c>
      <c r="DZ27" s="64">
        <f t="shared" si="465"/>
        <v>336</v>
      </c>
      <c r="EA27" s="64">
        <f t="shared" si="465"/>
        <v>308</v>
      </c>
      <c r="EB27" s="64">
        <f t="shared" si="465"/>
        <v>644</v>
      </c>
      <c r="EC27" s="64">
        <f t="shared" si="465"/>
        <v>0</v>
      </c>
      <c r="ED27" s="64">
        <f t="shared" si="465"/>
        <v>0</v>
      </c>
      <c r="EE27" s="64">
        <f t="shared" ref="EE27:GP27" si="466">EE20+EE24+EE26</f>
        <v>0</v>
      </c>
      <c r="EF27" s="64">
        <f t="shared" si="466"/>
        <v>0</v>
      </c>
      <c r="EG27" s="64">
        <f t="shared" si="466"/>
        <v>0</v>
      </c>
      <c r="EH27" s="64">
        <f t="shared" si="466"/>
        <v>0</v>
      </c>
      <c r="EI27" s="64">
        <f t="shared" si="466"/>
        <v>0</v>
      </c>
      <c r="EJ27" s="64">
        <f t="shared" si="466"/>
        <v>0</v>
      </c>
      <c r="EK27" s="64">
        <f t="shared" si="466"/>
        <v>0</v>
      </c>
      <c r="EL27" s="64">
        <f t="shared" si="466"/>
        <v>0</v>
      </c>
      <c r="EM27" s="64">
        <f t="shared" si="466"/>
        <v>0</v>
      </c>
      <c r="EN27" s="64">
        <f t="shared" si="466"/>
        <v>0</v>
      </c>
      <c r="EO27" s="64">
        <f t="shared" si="466"/>
        <v>0</v>
      </c>
      <c r="EP27" s="64">
        <f t="shared" si="466"/>
        <v>0</v>
      </c>
      <c r="EQ27" s="64">
        <f t="shared" si="466"/>
        <v>0</v>
      </c>
      <c r="ER27" s="64">
        <f t="shared" si="466"/>
        <v>0</v>
      </c>
      <c r="ES27" s="64">
        <f t="shared" si="466"/>
        <v>0</v>
      </c>
      <c r="ET27" s="64">
        <f t="shared" si="466"/>
        <v>0</v>
      </c>
      <c r="EU27" s="64">
        <f t="shared" si="466"/>
        <v>9</v>
      </c>
      <c r="EV27" s="64">
        <f t="shared" si="466"/>
        <v>9</v>
      </c>
      <c r="EW27" s="64">
        <f t="shared" si="466"/>
        <v>3</v>
      </c>
      <c r="EX27" s="64">
        <f t="shared" si="466"/>
        <v>3</v>
      </c>
      <c r="EY27" s="64">
        <f t="shared" si="466"/>
        <v>35</v>
      </c>
      <c r="EZ27" s="64">
        <f t="shared" si="466"/>
        <v>36</v>
      </c>
      <c r="FA27" s="64">
        <f t="shared" si="466"/>
        <v>0</v>
      </c>
      <c r="FB27" s="64">
        <f t="shared" si="466"/>
        <v>1</v>
      </c>
      <c r="FC27" s="64">
        <f t="shared" si="466"/>
        <v>47</v>
      </c>
      <c r="FD27" s="64">
        <f t="shared" si="466"/>
        <v>49</v>
      </c>
      <c r="FE27" s="64">
        <f t="shared" si="466"/>
        <v>96</v>
      </c>
      <c r="FF27" s="64">
        <f t="shared" si="466"/>
        <v>0</v>
      </c>
      <c r="FG27" s="64">
        <f t="shared" si="466"/>
        <v>0</v>
      </c>
      <c r="FH27" s="64">
        <f t="shared" si="466"/>
        <v>0</v>
      </c>
      <c r="FI27" s="64">
        <f t="shared" si="466"/>
        <v>0</v>
      </c>
      <c r="FJ27" s="64">
        <f t="shared" si="466"/>
        <v>0</v>
      </c>
      <c r="FK27" s="64">
        <f t="shared" si="466"/>
        <v>0</v>
      </c>
      <c r="FL27" s="64">
        <f t="shared" si="466"/>
        <v>0</v>
      </c>
      <c r="FM27" s="64">
        <f t="shared" si="466"/>
        <v>0</v>
      </c>
      <c r="FN27" s="64">
        <f t="shared" si="466"/>
        <v>7</v>
      </c>
      <c r="FO27" s="64">
        <f t="shared" si="466"/>
        <v>6</v>
      </c>
      <c r="FP27" s="64">
        <f t="shared" si="466"/>
        <v>0</v>
      </c>
      <c r="FQ27" s="64">
        <f t="shared" si="466"/>
        <v>0</v>
      </c>
      <c r="FR27" s="64">
        <f t="shared" si="466"/>
        <v>0</v>
      </c>
      <c r="FS27" s="64">
        <f t="shared" si="466"/>
        <v>0</v>
      </c>
      <c r="FT27" s="64">
        <f t="shared" si="466"/>
        <v>0</v>
      </c>
      <c r="FU27" s="64">
        <f t="shared" si="466"/>
        <v>7</v>
      </c>
      <c r="FV27" s="64">
        <f t="shared" si="466"/>
        <v>6</v>
      </c>
      <c r="FW27" s="64">
        <f t="shared" si="466"/>
        <v>13</v>
      </c>
      <c r="FX27" s="64">
        <f t="shared" si="466"/>
        <v>0</v>
      </c>
      <c r="FY27" s="64">
        <f t="shared" si="466"/>
        <v>0</v>
      </c>
      <c r="FZ27" s="64">
        <f t="shared" si="466"/>
        <v>0</v>
      </c>
      <c r="GA27" s="64">
        <f t="shared" si="466"/>
        <v>0</v>
      </c>
      <c r="GB27" s="64">
        <f t="shared" si="466"/>
        <v>26</v>
      </c>
      <c r="GC27" s="64">
        <f t="shared" si="466"/>
        <v>15</v>
      </c>
      <c r="GD27" s="64">
        <f t="shared" si="466"/>
        <v>0</v>
      </c>
      <c r="GE27" s="64">
        <f t="shared" si="466"/>
        <v>0</v>
      </c>
      <c r="GF27" s="64">
        <f t="shared" si="466"/>
        <v>0</v>
      </c>
      <c r="GG27" s="64">
        <f t="shared" si="466"/>
        <v>2</v>
      </c>
      <c r="GH27" s="64">
        <f t="shared" si="466"/>
        <v>16</v>
      </c>
      <c r="GI27" s="64">
        <f t="shared" si="466"/>
        <v>28</v>
      </c>
      <c r="GJ27" s="64">
        <f t="shared" si="466"/>
        <v>4</v>
      </c>
      <c r="GK27" s="64">
        <f t="shared" si="466"/>
        <v>3</v>
      </c>
      <c r="GL27" s="64">
        <f t="shared" si="466"/>
        <v>1</v>
      </c>
      <c r="GM27" s="64">
        <f t="shared" si="466"/>
        <v>1</v>
      </c>
      <c r="GN27" s="64">
        <f t="shared" si="466"/>
        <v>47</v>
      </c>
      <c r="GO27" s="64">
        <f t="shared" si="466"/>
        <v>49</v>
      </c>
      <c r="GP27" s="64">
        <f t="shared" si="466"/>
        <v>96</v>
      </c>
      <c r="GQ27" s="64">
        <f t="shared" ref="GQ27:IX27" si="467">GQ20+GQ24+GQ26</f>
        <v>47</v>
      </c>
      <c r="GR27" s="64">
        <f t="shared" si="467"/>
        <v>49</v>
      </c>
      <c r="GS27" s="64">
        <f t="shared" si="467"/>
        <v>0</v>
      </c>
      <c r="GT27" s="64">
        <f t="shared" si="467"/>
        <v>0</v>
      </c>
      <c r="GU27" s="64">
        <f t="shared" si="467"/>
        <v>0</v>
      </c>
      <c r="GV27" s="64">
        <f t="shared" si="467"/>
        <v>0</v>
      </c>
      <c r="GW27" s="64">
        <f t="shared" si="467"/>
        <v>47</v>
      </c>
      <c r="GX27" s="64">
        <f t="shared" si="467"/>
        <v>49</v>
      </c>
      <c r="GY27" s="64">
        <f t="shared" si="467"/>
        <v>96</v>
      </c>
      <c r="GZ27" s="64">
        <f t="shared" si="467"/>
        <v>40</v>
      </c>
      <c r="HA27" s="64">
        <f t="shared" si="467"/>
        <v>45</v>
      </c>
      <c r="HB27" s="64">
        <f t="shared" si="467"/>
        <v>0</v>
      </c>
      <c r="HC27" s="64">
        <f t="shared" si="467"/>
        <v>0</v>
      </c>
      <c r="HD27" s="64">
        <f t="shared" si="467"/>
        <v>0</v>
      </c>
      <c r="HE27" s="64">
        <f t="shared" si="467"/>
        <v>0</v>
      </c>
      <c r="HF27" s="64">
        <f t="shared" si="467"/>
        <v>0</v>
      </c>
      <c r="HG27" s="64">
        <f t="shared" si="467"/>
        <v>0</v>
      </c>
      <c r="HH27" s="64">
        <f t="shared" si="467"/>
        <v>1</v>
      </c>
      <c r="HI27" s="64">
        <f t="shared" si="467"/>
        <v>0</v>
      </c>
      <c r="HJ27" s="64">
        <f t="shared" si="467"/>
        <v>1</v>
      </c>
      <c r="HK27" s="64">
        <f t="shared" si="467"/>
        <v>1</v>
      </c>
      <c r="HL27" s="64">
        <f t="shared" si="467"/>
        <v>1</v>
      </c>
      <c r="HM27" s="64">
        <f t="shared" si="467"/>
        <v>0</v>
      </c>
      <c r="HN27" s="64">
        <f t="shared" si="467"/>
        <v>0</v>
      </c>
      <c r="HO27" s="64">
        <f t="shared" si="467"/>
        <v>5</v>
      </c>
      <c r="HP27" s="64">
        <f t="shared" si="467"/>
        <v>2</v>
      </c>
      <c r="HQ27" s="64">
        <f t="shared" si="467"/>
        <v>47</v>
      </c>
      <c r="HR27" s="64">
        <f t="shared" si="467"/>
        <v>49</v>
      </c>
      <c r="HS27" s="64">
        <f t="shared" si="467"/>
        <v>96</v>
      </c>
      <c r="HT27" s="64">
        <f t="shared" si="467"/>
        <v>2</v>
      </c>
      <c r="HU27" s="64">
        <f t="shared" si="467"/>
        <v>3</v>
      </c>
      <c r="HV27" s="64">
        <f t="shared" si="467"/>
        <v>45</v>
      </c>
      <c r="HW27" s="64">
        <f t="shared" si="467"/>
        <v>41</v>
      </c>
      <c r="HX27" s="64">
        <f t="shared" si="467"/>
        <v>0</v>
      </c>
      <c r="HY27" s="64">
        <f t="shared" si="467"/>
        <v>2</v>
      </c>
      <c r="HZ27" s="64">
        <f t="shared" si="467"/>
        <v>0</v>
      </c>
      <c r="IA27" s="64">
        <f t="shared" si="467"/>
        <v>3</v>
      </c>
      <c r="IB27" s="64">
        <f t="shared" si="467"/>
        <v>47</v>
      </c>
      <c r="IC27" s="64">
        <f t="shared" si="467"/>
        <v>49</v>
      </c>
      <c r="ID27" s="64">
        <f t="shared" si="467"/>
        <v>96</v>
      </c>
      <c r="IE27" s="64">
        <f t="shared" si="467"/>
        <v>16</v>
      </c>
      <c r="IF27" s="64">
        <f t="shared" si="467"/>
        <v>10</v>
      </c>
      <c r="IG27" s="64">
        <f t="shared" si="467"/>
        <v>2</v>
      </c>
      <c r="IH27" s="64">
        <f t="shared" si="467"/>
        <v>16</v>
      </c>
      <c r="II27" s="64">
        <f t="shared" si="467"/>
        <v>0</v>
      </c>
      <c r="IJ27" s="64">
        <f t="shared" si="467"/>
        <v>18</v>
      </c>
      <c r="IK27" s="64">
        <f t="shared" si="467"/>
        <v>0</v>
      </c>
      <c r="IL27" s="64">
        <f t="shared" si="467"/>
        <v>18</v>
      </c>
      <c r="IM27" s="64">
        <f t="shared" si="467"/>
        <v>0</v>
      </c>
      <c r="IN27" s="64">
        <f t="shared" si="467"/>
        <v>0</v>
      </c>
      <c r="IO27" s="64">
        <f t="shared" si="467"/>
        <v>0</v>
      </c>
      <c r="IP27" s="64">
        <f t="shared" si="467"/>
        <v>0</v>
      </c>
      <c r="IQ27" s="64">
        <f t="shared" si="467"/>
        <v>474</v>
      </c>
      <c r="IR27" s="64">
        <f t="shared" si="467"/>
        <v>10</v>
      </c>
      <c r="IS27" s="64">
        <f t="shared" si="467"/>
        <v>74</v>
      </c>
      <c r="IT27" s="64">
        <f t="shared" si="467"/>
        <v>13</v>
      </c>
      <c r="IU27" s="64">
        <f t="shared" si="467"/>
        <v>21</v>
      </c>
      <c r="IV27" s="64">
        <f t="shared" si="467"/>
        <v>1</v>
      </c>
      <c r="IW27" s="64">
        <f t="shared" si="467"/>
        <v>0</v>
      </c>
      <c r="IX27" s="64">
        <f t="shared" si="467"/>
        <v>17</v>
      </c>
      <c r="IY27" s="64"/>
      <c r="IZ27" s="85"/>
      <c r="JA27" s="64"/>
    </row>
    <row r="28" spans="1:265" s="69" customFormat="1" ht="24.75" customHeight="1" x14ac:dyDescent="0.2">
      <c r="A28" s="68" t="s">
        <v>48</v>
      </c>
      <c r="B28" s="68" t="s">
        <v>129</v>
      </c>
      <c r="C28" s="68">
        <v>17</v>
      </c>
      <c r="D28" s="68">
        <v>1400730</v>
      </c>
      <c r="E28" s="68" t="s">
        <v>144</v>
      </c>
      <c r="F28" s="68"/>
      <c r="G28" s="68">
        <v>1</v>
      </c>
      <c r="H28" s="68">
        <v>1</v>
      </c>
      <c r="I28" s="68"/>
      <c r="J28" s="68"/>
      <c r="K28" s="68">
        <v>1</v>
      </c>
      <c r="L28" s="68"/>
      <c r="M28" s="68"/>
      <c r="N28" s="68">
        <v>1</v>
      </c>
      <c r="O28" s="68"/>
      <c r="P28" s="68"/>
      <c r="Q28" s="68"/>
      <c r="R28" s="68">
        <v>1</v>
      </c>
      <c r="S28" s="68"/>
      <c r="T28" s="68"/>
      <c r="U28" s="68"/>
      <c r="V28" s="68">
        <v>1</v>
      </c>
      <c r="W28" s="68"/>
      <c r="X28" s="68"/>
      <c r="Y28" s="68">
        <v>1</v>
      </c>
      <c r="Z28" s="91"/>
      <c r="AA28" s="68">
        <v>9</v>
      </c>
      <c r="AB28" s="68"/>
      <c r="AC28" s="68">
        <v>12</v>
      </c>
      <c r="AD28" s="68"/>
      <c r="AE28" s="68">
        <v>13</v>
      </c>
      <c r="AF28" s="68"/>
      <c r="AG28" s="68">
        <v>7</v>
      </c>
      <c r="AH28" s="68"/>
      <c r="AI28" s="68">
        <v>3</v>
      </c>
      <c r="AJ28" s="68"/>
      <c r="AK28" s="68">
        <v>4</v>
      </c>
      <c r="AL28" s="68"/>
      <c r="AM28" s="68">
        <f t="shared" ref="AM28:AN30" si="468">AK28+AI28+AG28+AE28+AC28+AA28+Y28</f>
        <v>49</v>
      </c>
      <c r="AN28" s="68">
        <f t="shared" si="468"/>
        <v>0</v>
      </c>
      <c r="AO28" s="68">
        <f t="shared" ref="AO28:AO30" si="469">AN28+AM28</f>
        <v>49</v>
      </c>
      <c r="AP28" s="68"/>
      <c r="AQ28" s="68"/>
      <c r="AR28" s="68">
        <v>8</v>
      </c>
      <c r="AS28" s="68"/>
      <c r="AT28" s="68">
        <v>6</v>
      </c>
      <c r="AU28" s="68"/>
      <c r="AV28" s="68">
        <v>14</v>
      </c>
      <c r="AW28" s="68"/>
      <c r="AX28" s="68">
        <v>12</v>
      </c>
      <c r="AY28" s="68"/>
      <c r="AZ28" s="68">
        <v>10</v>
      </c>
      <c r="BA28" s="68"/>
      <c r="BB28" s="68">
        <v>7</v>
      </c>
      <c r="BC28" s="68"/>
      <c r="BD28" s="68">
        <f t="shared" ref="BD28:BE30" si="470">BB28+AZ28+AX28+AV28+AT28+AR28+AP28</f>
        <v>57</v>
      </c>
      <c r="BE28" s="68">
        <f t="shared" si="470"/>
        <v>0</v>
      </c>
      <c r="BF28" s="68">
        <f t="shared" ref="BF28:BF30" si="471">BE28+BD28</f>
        <v>57</v>
      </c>
      <c r="BG28" s="68"/>
      <c r="BH28" s="68"/>
      <c r="BI28" s="68"/>
      <c r="BJ28" s="68"/>
      <c r="BK28" s="68">
        <v>4</v>
      </c>
      <c r="BL28" s="68"/>
      <c r="BM28" s="68">
        <v>2</v>
      </c>
      <c r="BN28" s="68"/>
      <c r="BO28" s="68">
        <v>25</v>
      </c>
      <c r="BP28" s="68"/>
      <c r="BQ28" s="68">
        <v>15</v>
      </c>
      <c r="BR28" s="68"/>
      <c r="BS28" s="68">
        <v>7</v>
      </c>
      <c r="BT28" s="68"/>
      <c r="BU28" s="68">
        <f>BS28+BQ28+BO28+BM28+BK28+BI28+BG28</f>
        <v>53</v>
      </c>
      <c r="BV28" s="68">
        <f t="shared" ref="BV28:BV30" si="472">BT28+BR28+BP28+BN28+BL28+BJ28+BH28</f>
        <v>0</v>
      </c>
      <c r="BW28" s="68">
        <f t="shared" ref="BW28:BW30" si="473">BV28+BU28</f>
        <v>53</v>
      </c>
      <c r="BX28" s="68">
        <f t="shared" ref="BX28:CK30" si="474">BG28+AP28+Y28</f>
        <v>1</v>
      </c>
      <c r="BY28" s="68">
        <f t="shared" si="474"/>
        <v>0</v>
      </c>
      <c r="BZ28" s="68">
        <f t="shared" si="474"/>
        <v>17</v>
      </c>
      <c r="CA28" s="68">
        <f t="shared" si="474"/>
        <v>0</v>
      </c>
      <c r="CB28" s="68">
        <f t="shared" si="474"/>
        <v>22</v>
      </c>
      <c r="CC28" s="68">
        <f t="shared" si="474"/>
        <v>0</v>
      </c>
      <c r="CD28" s="68">
        <f t="shared" si="474"/>
        <v>29</v>
      </c>
      <c r="CE28" s="68">
        <f t="shared" si="474"/>
        <v>0</v>
      </c>
      <c r="CF28" s="68">
        <f t="shared" si="474"/>
        <v>44</v>
      </c>
      <c r="CG28" s="68">
        <f t="shared" si="474"/>
        <v>0</v>
      </c>
      <c r="CH28" s="68">
        <f t="shared" si="474"/>
        <v>28</v>
      </c>
      <c r="CI28" s="68">
        <f t="shared" si="474"/>
        <v>0</v>
      </c>
      <c r="CJ28" s="68">
        <f t="shared" si="474"/>
        <v>18</v>
      </c>
      <c r="CK28" s="68">
        <f t="shared" si="474"/>
        <v>0</v>
      </c>
      <c r="CL28" s="68">
        <f t="shared" ref="CL28:CM30" si="475">CJ28+CH28+CF28+CD28+CB28+BZ28+BX28</f>
        <v>159</v>
      </c>
      <c r="CM28" s="68">
        <f t="shared" si="475"/>
        <v>0</v>
      </c>
      <c r="CN28" s="68">
        <f t="shared" ref="CN28:CN30" si="476">CM28+CL28</f>
        <v>159</v>
      </c>
      <c r="CO28" s="68">
        <v>2</v>
      </c>
      <c r="CP28" s="68"/>
      <c r="CQ28" s="68"/>
      <c r="CR28" s="68">
        <v>2</v>
      </c>
      <c r="CS28" s="68"/>
      <c r="CT28" s="68"/>
      <c r="CU28" s="68">
        <v>2</v>
      </c>
      <c r="CV28" s="68"/>
      <c r="CW28" s="68"/>
      <c r="CX28" s="68">
        <f t="shared" ref="CX28:CZ30" si="477">CU28+CR28+CO28</f>
        <v>6</v>
      </c>
      <c r="CY28" s="68">
        <f t="shared" si="477"/>
        <v>0</v>
      </c>
      <c r="CZ28" s="68">
        <f t="shared" si="477"/>
        <v>0</v>
      </c>
      <c r="DA28" s="68">
        <f t="shared" ref="DA28:DA30" si="478">CZ28+CY28+CX28</f>
        <v>6</v>
      </c>
      <c r="DB28" s="68"/>
      <c r="DC28" s="68"/>
      <c r="DD28" s="68"/>
      <c r="DE28" s="68"/>
      <c r="DF28" s="68"/>
      <c r="DG28" s="68"/>
      <c r="DH28" s="68">
        <f t="shared" ref="DH28:DI30" si="479">DF28+DD28+DB28</f>
        <v>0</v>
      </c>
      <c r="DI28" s="68">
        <f t="shared" si="479"/>
        <v>0</v>
      </c>
      <c r="DJ28" s="68">
        <f t="shared" ref="DJ28:DJ30" si="480">DI28+DH28</f>
        <v>0</v>
      </c>
      <c r="DK28" s="68">
        <v>27</v>
      </c>
      <c r="DL28" s="68"/>
      <c r="DM28" s="68">
        <v>21</v>
      </c>
      <c r="DN28" s="68"/>
      <c r="DO28" s="68">
        <v>37</v>
      </c>
      <c r="DP28" s="68"/>
      <c r="DQ28" s="68">
        <f t="shared" ref="DQ28:DR30" si="481">DO28+DM28+DK28</f>
        <v>85</v>
      </c>
      <c r="DR28" s="68">
        <f t="shared" si="481"/>
        <v>0</v>
      </c>
      <c r="DS28" s="68">
        <f t="shared" ref="DS28:DS30" si="482">DR28+DQ28</f>
        <v>85</v>
      </c>
      <c r="DT28" s="68">
        <v>29</v>
      </c>
      <c r="DU28" s="68"/>
      <c r="DV28" s="68">
        <v>27</v>
      </c>
      <c r="DW28" s="68"/>
      <c r="DX28" s="68">
        <v>31</v>
      </c>
      <c r="DY28" s="68"/>
      <c r="DZ28" s="68">
        <f t="shared" ref="DZ28:EA30" si="483">DX28+DV28+DT28</f>
        <v>87</v>
      </c>
      <c r="EA28" s="68">
        <f t="shared" si="483"/>
        <v>0</v>
      </c>
      <c r="EB28" s="68">
        <f t="shared" ref="EB28:EB30" si="484">EA28+DZ28</f>
        <v>87</v>
      </c>
      <c r="EC28" s="68"/>
      <c r="ED28" s="68"/>
      <c r="EE28" s="68"/>
      <c r="EF28" s="68"/>
      <c r="EG28" s="68"/>
      <c r="EH28" s="68"/>
      <c r="EI28" s="68">
        <f t="shared" ref="EI28:EJ30" si="485">EG28+EE28+EC28</f>
        <v>0</v>
      </c>
      <c r="EJ28" s="68">
        <f t="shared" si="485"/>
        <v>0</v>
      </c>
      <c r="EK28" s="68">
        <f t="shared" ref="EK28:EK30" si="486">EJ28+EI28</f>
        <v>0</v>
      </c>
      <c r="EL28" s="68"/>
      <c r="EM28" s="68"/>
      <c r="EN28" s="68"/>
      <c r="EO28" s="68"/>
      <c r="EP28" s="68"/>
      <c r="EQ28" s="68"/>
      <c r="ER28" s="68">
        <f t="shared" ref="ER28:ES30" si="487">EP28+EN28+EL28</f>
        <v>0</v>
      </c>
      <c r="ES28" s="68">
        <f t="shared" si="487"/>
        <v>0</v>
      </c>
      <c r="ET28" s="68">
        <f t="shared" ref="ET28:ET30" si="488">ES28+ER28</f>
        <v>0</v>
      </c>
      <c r="EU28" s="68">
        <v>1</v>
      </c>
      <c r="EV28" s="68"/>
      <c r="EW28" s="68">
        <v>1</v>
      </c>
      <c r="EX28" s="68"/>
      <c r="EY28" s="68">
        <v>7</v>
      </c>
      <c r="EZ28" s="68"/>
      <c r="FA28" s="68"/>
      <c r="FB28" s="68"/>
      <c r="FC28" s="68">
        <f t="shared" ref="FC28:FD30" si="489">FA28+EY28+EW28+EU28</f>
        <v>9</v>
      </c>
      <c r="FD28" s="68">
        <f t="shared" si="489"/>
        <v>0</v>
      </c>
      <c r="FE28" s="68">
        <f t="shared" ref="FE28:FE30" si="490">FD28+FC28</f>
        <v>9</v>
      </c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>
        <f t="shared" ref="FU28:FU30" si="491">FT28+FS28+FR28+FN28+FL28+FH28+FF28</f>
        <v>0</v>
      </c>
      <c r="FV28" s="68">
        <f t="shared" ref="FV28:FV30" si="492">FO28+FM28+FI28+FG28</f>
        <v>0</v>
      </c>
      <c r="FW28" s="68">
        <f t="shared" ref="FW28:FW30" si="493">FV28+FU28</f>
        <v>0</v>
      </c>
      <c r="FX28" s="68"/>
      <c r="FY28" s="68"/>
      <c r="FZ28" s="68"/>
      <c r="GA28" s="68"/>
      <c r="GB28" s="68">
        <v>2</v>
      </c>
      <c r="GC28" s="68"/>
      <c r="GD28" s="68"/>
      <c r="GE28" s="68"/>
      <c r="GF28" s="68"/>
      <c r="GG28" s="68"/>
      <c r="GH28" s="68">
        <v>7</v>
      </c>
      <c r="GI28" s="68"/>
      <c r="GJ28" s="68"/>
      <c r="GK28" s="68"/>
      <c r="GL28" s="68"/>
      <c r="GM28" s="68"/>
      <c r="GN28" s="68">
        <f t="shared" ref="GN28:GO30" si="494">GL28+GJ28+GH28+GF28+GD28+GB28+FZ28+FX28</f>
        <v>9</v>
      </c>
      <c r="GO28" s="68">
        <f t="shared" si="494"/>
        <v>0</v>
      </c>
      <c r="GP28" s="68">
        <f t="shared" ref="GP28:GP30" si="495">GO28+GN28</f>
        <v>9</v>
      </c>
      <c r="GQ28" s="68">
        <v>9</v>
      </c>
      <c r="GR28" s="68"/>
      <c r="GS28" s="68"/>
      <c r="GT28" s="68"/>
      <c r="GU28" s="68"/>
      <c r="GV28" s="68"/>
      <c r="GW28" s="68">
        <f t="shared" ref="GW28:GX30" si="496">GU28+GS28+GQ28</f>
        <v>9</v>
      </c>
      <c r="GX28" s="68">
        <f t="shared" si="496"/>
        <v>0</v>
      </c>
      <c r="GY28" s="68">
        <f t="shared" ref="GY28:GY30" si="497">GX28+GW28</f>
        <v>9</v>
      </c>
      <c r="GZ28" s="68">
        <v>7</v>
      </c>
      <c r="HA28" s="68"/>
      <c r="HB28" s="68"/>
      <c r="HC28" s="68"/>
      <c r="HD28" s="68"/>
      <c r="HE28" s="68"/>
      <c r="HF28" s="68"/>
      <c r="HG28" s="68"/>
      <c r="HH28" s="68">
        <v>1</v>
      </c>
      <c r="HI28" s="68"/>
      <c r="HJ28" s="68"/>
      <c r="HK28" s="68"/>
      <c r="HL28" s="68"/>
      <c r="HM28" s="68"/>
      <c r="HN28" s="68"/>
      <c r="HO28" s="68">
        <v>1</v>
      </c>
      <c r="HP28" s="68"/>
      <c r="HQ28" s="68">
        <v>9</v>
      </c>
      <c r="HR28" s="68">
        <f t="shared" ref="HR28:HR30" si="498">HP28+HA28</f>
        <v>0</v>
      </c>
      <c r="HS28" s="68">
        <v>9</v>
      </c>
      <c r="HT28" s="68"/>
      <c r="HU28" s="68"/>
      <c r="HV28" s="68">
        <v>9</v>
      </c>
      <c r="HW28" s="68"/>
      <c r="HX28" s="68"/>
      <c r="HY28" s="68"/>
      <c r="HZ28" s="68"/>
      <c r="IA28" s="68"/>
      <c r="IB28" s="68">
        <f t="shared" ref="IB28:IC30" si="499">HZ28+HX28+HV28+HT28</f>
        <v>9</v>
      </c>
      <c r="IC28" s="68">
        <f t="shared" si="499"/>
        <v>0</v>
      </c>
      <c r="ID28" s="68">
        <f t="shared" ref="ID28:ID30" si="500">IC28+IB28</f>
        <v>9</v>
      </c>
      <c r="IE28" s="68"/>
      <c r="IF28" s="68"/>
      <c r="IG28" s="68"/>
      <c r="IH28" s="68">
        <v>1</v>
      </c>
      <c r="II28" s="68"/>
      <c r="IJ28" s="68">
        <v>1</v>
      </c>
      <c r="IK28" s="68"/>
      <c r="IL28" s="68">
        <v>1</v>
      </c>
      <c r="IM28" s="68"/>
      <c r="IN28" s="68"/>
      <c r="IO28" s="68"/>
      <c r="IP28" s="68"/>
      <c r="IQ28" s="68"/>
      <c r="IR28" s="68"/>
      <c r="IS28" s="68">
        <v>3</v>
      </c>
      <c r="IT28" s="68">
        <v>1</v>
      </c>
      <c r="IU28" s="68">
        <v>1</v>
      </c>
      <c r="IV28" s="68"/>
      <c r="IW28" s="68">
        <v>1</v>
      </c>
      <c r="IX28" s="68"/>
      <c r="IY28" s="68" t="s">
        <v>235</v>
      </c>
      <c r="IZ28" s="82">
        <v>7812782060</v>
      </c>
      <c r="JA28" s="68" t="s">
        <v>201</v>
      </c>
    </row>
    <row r="29" spans="1:265" s="113" customFormat="1" ht="24.75" customHeight="1" x14ac:dyDescent="0.2">
      <c r="A29" s="68" t="s">
        <v>48</v>
      </c>
      <c r="B29" s="68" t="s">
        <v>129</v>
      </c>
      <c r="C29" s="68">
        <v>18</v>
      </c>
      <c r="D29" s="68">
        <v>1400731</v>
      </c>
      <c r="E29" s="68" t="s">
        <v>145</v>
      </c>
      <c r="F29" s="68"/>
      <c r="G29" s="68">
        <v>1</v>
      </c>
      <c r="H29" s="68"/>
      <c r="I29" s="68">
        <v>1</v>
      </c>
      <c r="J29" s="68"/>
      <c r="K29" s="68">
        <v>1</v>
      </c>
      <c r="L29" s="68"/>
      <c r="M29" s="68"/>
      <c r="N29" s="68">
        <v>1</v>
      </c>
      <c r="O29" s="68"/>
      <c r="P29" s="68"/>
      <c r="Q29" s="68"/>
      <c r="R29" s="68">
        <v>1</v>
      </c>
      <c r="S29" s="68"/>
      <c r="T29" s="68"/>
      <c r="U29" s="68"/>
      <c r="V29" s="68">
        <v>1</v>
      </c>
      <c r="W29" s="68"/>
      <c r="X29" s="68"/>
      <c r="Y29" s="68"/>
      <c r="Z29" s="91">
        <v>2</v>
      </c>
      <c r="AA29" s="68"/>
      <c r="AB29" s="68">
        <v>1</v>
      </c>
      <c r="AC29" s="68"/>
      <c r="AD29" s="68">
        <v>1</v>
      </c>
      <c r="AE29" s="68"/>
      <c r="AF29" s="68">
        <v>2</v>
      </c>
      <c r="AG29" s="68"/>
      <c r="AH29" s="68"/>
      <c r="AI29" s="68"/>
      <c r="AJ29" s="68">
        <v>1</v>
      </c>
      <c r="AK29" s="68"/>
      <c r="AL29" s="68"/>
      <c r="AM29" s="68">
        <f t="shared" si="468"/>
        <v>0</v>
      </c>
      <c r="AN29" s="68">
        <f t="shared" si="468"/>
        <v>7</v>
      </c>
      <c r="AO29" s="68">
        <f t="shared" si="469"/>
        <v>7</v>
      </c>
      <c r="AP29" s="68"/>
      <c r="AQ29" s="68">
        <v>2</v>
      </c>
      <c r="AR29" s="68"/>
      <c r="AS29" s="68">
        <v>5</v>
      </c>
      <c r="AT29" s="68"/>
      <c r="AU29" s="68">
        <v>3</v>
      </c>
      <c r="AV29" s="68"/>
      <c r="AW29" s="68">
        <v>3</v>
      </c>
      <c r="AX29" s="68"/>
      <c r="AY29" s="68">
        <v>1</v>
      </c>
      <c r="AZ29" s="68"/>
      <c r="BA29" s="68">
        <v>2</v>
      </c>
      <c r="BB29" s="68"/>
      <c r="BC29" s="68">
        <v>1</v>
      </c>
      <c r="BD29" s="68">
        <f t="shared" si="470"/>
        <v>0</v>
      </c>
      <c r="BE29" s="68">
        <f t="shared" si="470"/>
        <v>17</v>
      </c>
      <c r="BF29" s="68">
        <f t="shared" si="471"/>
        <v>17</v>
      </c>
      <c r="BG29" s="68"/>
      <c r="BH29" s="68">
        <v>1</v>
      </c>
      <c r="BI29" s="68"/>
      <c r="BJ29" s="68">
        <v>1</v>
      </c>
      <c r="BK29" s="68"/>
      <c r="BL29" s="68">
        <v>3</v>
      </c>
      <c r="BM29" s="68"/>
      <c r="BN29" s="68">
        <v>6</v>
      </c>
      <c r="BO29" s="68"/>
      <c r="BP29" s="68">
        <v>11</v>
      </c>
      <c r="BQ29" s="68"/>
      <c r="BR29" s="68">
        <v>8</v>
      </c>
      <c r="BS29" s="68"/>
      <c r="BT29" s="68">
        <v>7</v>
      </c>
      <c r="BU29" s="68">
        <f t="shared" ref="BU29:BU30" si="501">BS29+BQ29+BO29+BM29+BK29+BI29+BG29</f>
        <v>0</v>
      </c>
      <c r="BV29" s="68">
        <f t="shared" si="472"/>
        <v>37</v>
      </c>
      <c r="BW29" s="68">
        <f t="shared" si="473"/>
        <v>37</v>
      </c>
      <c r="BX29" s="68">
        <f t="shared" si="474"/>
        <v>0</v>
      </c>
      <c r="BY29" s="68">
        <f t="shared" si="474"/>
        <v>5</v>
      </c>
      <c r="BZ29" s="68">
        <f t="shared" si="474"/>
        <v>0</v>
      </c>
      <c r="CA29" s="68">
        <f t="shared" si="474"/>
        <v>7</v>
      </c>
      <c r="CB29" s="68">
        <f t="shared" si="474"/>
        <v>0</v>
      </c>
      <c r="CC29" s="68">
        <f t="shared" si="474"/>
        <v>7</v>
      </c>
      <c r="CD29" s="68">
        <f t="shared" si="474"/>
        <v>0</v>
      </c>
      <c r="CE29" s="68">
        <f t="shared" si="474"/>
        <v>11</v>
      </c>
      <c r="CF29" s="68">
        <f t="shared" si="474"/>
        <v>0</v>
      </c>
      <c r="CG29" s="68">
        <f t="shared" si="474"/>
        <v>12</v>
      </c>
      <c r="CH29" s="68">
        <f t="shared" si="474"/>
        <v>0</v>
      </c>
      <c r="CI29" s="68">
        <f t="shared" si="474"/>
        <v>11</v>
      </c>
      <c r="CJ29" s="68">
        <f t="shared" si="474"/>
        <v>0</v>
      </c>
      <c r="CK29" s="68">
        <f t="shared" si="474"/>
        <v>8</v>
      </c>
      <c r="CL29" s="68">
        <f t="shared" si="475"/>
        <v>0</v>
      </c>
      <c r="CM29" s="68">
        <f t="shared" si="475"/>
        <v>61</v>
      </c>
      <c r="CN29" s="68">
        <f t="shared" si="476"/>
        <v>61</v>
      </c>
      <c r="CO29" s="68"/>
      <c r="CP29" s="68">
        <v>2</v>
      </c>
      <c r="CQ29" s="68"/>
      <c r="CR29" s="68"/>
      <c r="CS29" s="68">
        <v>1</v>
      </c>
      <c r="CT29" s="68"/>
      <c r="CU29" s="68"/>
      <c r="CV29" s="68">
        <v>2</v>
      </c>
      <c r="CW29" s="68"/>
      <c r="CX29" s="68">
        <f t="shared" si="477"/>
        <v>0</v>
      </c>
      <c r="CY29" s="68">
        <f t="shared" si="477"/>
        <v>5</v>
      </c>
      <c r="CZ29" s="68">
        <f t="shared" si="477"/>
        <v>0</v>
      </c>
      <c r="DA29" s="68">
        <f t="shared" si="478"/>
        <v>5</v>
      </c>
      <c r="DB29" s="68"/>
      <c r="DC29" s="68">
        <v>5</v>
      </c>
      <c r="DD29" s="68"/>
      <c r="DE29" s="68">
        <v>4</v>
      </c>
      <c r="DF29" s="68"/>
      <c r="DG29" s="68">
        <v>14</v>
      </c>
      <c r="DH29" s="68">
        <f t="shared" si="479"/>
        <v>0</v>
      </c>
      <c r="DI29" s="68">
        <f t="shared" si="479"/>
        <v>23</v>
      </c>
      <c r="DJ29" s="68">
        <f t="shared" si="480"/>
        <v>23</v>
      </c>
      <c r="DK29" s="68"/>
      <c r="DL29" s="68">
        <v>9</v>
      </c>
      <c r="DM29" s="68"/>
      <c r="DN29" s="68">
        <v>21</v>
      </c>
      <c r="DO29" s="68"/>
      <c r="DP29" s="68">
        <v>29</v>
      </c>
      <c r="DQ29" s="68">
        <f t="shared" si="481"/>
        <v>0</v>
      </c>
      <c r="DR29" s="68">
        <f t="shared" si="481"/>
        <v>59</v>
      </c>
      <c r="DS29" s="68">
        <f t="shared" si="482"/>
        <v>59</v>
      </c>
      <c r="DT29" s="68"/>
      <c r="DU29" s="68">
        <v>20</v>
      </c>
      <c r="DV29" s="68"/>
      <c r="DW29" s="68">
        <v>20</v>
      </c>
      <c r="DX29" s="68"/>
      <c r="DY29" s="68">
        <v>13</v>
      </c>
      <c r="DZ29" s="68">
        <f t="shared" si="483"/>
        <v>0</v>
      </c>
      <c r="EA29" s="68">
        <f t="shared" si="483"/>
        <v>53</v>
      </c>
      <c r="EB29" s="68">
        <f t="shared" si="484"/>
        <v>53</v>
      </c>
      <c r="EC29" s="68"/>
      <c r="ED29" s="68">
        <v>1</v>
      </c>
      <c r="EE29" s="68"/>
      <c r="EF29" s="68">
        <v>2</v>
      </c>
      <c r="EG29" s="68"/>
      <c r="EH29" s="68">
        <v>29</v>
      </c>
      <c r="EI29" s="68">
        <f t="shared" si="485"/>
        <v>0</v>
      </c>
      <c r="EJ29" s="68">
        <f t="shared" si="485"/>
        <v>32</v>
      </c>
      <c r="EK29" s="68">
        <f t="shared" si="486"/>
        <v>32</v>
      </c>
      <c r="EL29" s="68"/>
      <c r="EM29" s="68"/>
      <c r="EN29" s="68"/>
      <c r="EO29" s="68"/>
      <c r="EP29" s="68"/>
      <c r="EQ29" s="68"/>
      <c r="ER29" s="68">
        <f t="shared" si="487"/>
        <v>0</v>
      </c>
      <c r="ES29" s="68">
        <f t="shared" si="487"/>
        <v>0</v>
      </c>
      <c r="ET29" s="68">
        <f t="shared" si="488"/>
        <v>0</v>
      </c>
      <c r="EU29" s="68"/>
      <c r="EV29" s="68">
        <v>1</v>
      </c>
      <c r="EW29" s="68"/>
      <c r="EX29" s="68">
        <v>1</v>
      </c>
      <c r="EY29" s="68"/>
      <c r="EZ29" s="68">
        <v>3</v>
      </c>
      <c r="FA29" s="68"/>
      <c r="FB29" s="68"/>
      <c r="FC29" s="68">
        <f t="shared" si="489"/>
        <v>0</v>
      </c>
      <c r="FD29" s="68">
        <f t="shared" si="489"/>
        <v>5</v>
      </c>
      <c r="FE29" s="68">
        <f t="shared" si="490"/>
        <v>5</v>
      </c>
      <c r="FF29" s="68"/>
      <c r="FG29" s="68"/>
      <c r="FH29" s="68"/>
      <c r="FI29" s="68"/>
      <c r="FJ29" s="68"/>
      <c r="FK29" s="68"/>
      <c r="FL29" s="68"/>
      <c r="FM29" s="68"/>
      <c r="FN29" s="68"/>
      <c r="FO29" s="68">
        <v>1</v>
      </c>
      <c r="FP29" s="68"/>
      <c r="FQ29" s="68"/>
      <c r="FR29" s="68"/>
      <c r="FS29" s="68"/>
      <c r="FT29" s="68"/>
      <c r="FU29" s="68">
        <f t="shared" si="491"/>
        <v>0</v>
      </c>
      <c r="FV29" s="68">
        <f t="shared" si="492"/>
        <v>1</v>
      </c>
      <c r="FW29" s="68">
        <f t="shared" si="493"/>
        <v>1</v>
      </c>
      <c r="FX29" s="68"/>
      <c r="FY29" s="68"/>
      <c r="FZ29" s="68"/>
      <c r="GA29" s="68"/>
      <c r="GB29" s="68"/>
      <c r="GC29" s="68">
        <v>1</v>
      </c>
      <c r="GD29" s="68"/>
      <c r="GE29" s="68"/>
      <c r="GF29" s="68"/>
      <c r="GG29" s="68"/>
      <c r="GH29" s="68"/>
      <c r="GI29" s="68">
        <v>3</v>
      </c>
      <c r="GJ29" s="68"/>
      <c r="GK29" s="68"/>
      <c r="GL29" s="68"/>
      <c r="GM29" s="68">
        <v>1</v>
      </c>
      <c r="GN29" s="68">
        <f t="shared" si="494"/>
        <v>0</v>
      </c>
      <c r="GO29" s="68">
        <f t="shared" si="494"/>
        <v>5</v>
      </c>
      <c r="GP29" s="68">
        <f t="shared" si="495"/>
        <v>5</v>
      </c>
      <c r="GQ29" s="68"/>
      <c r="GR29" s="68">
        <v>5</v>
      </c>
      <c r="GS29" s="68"/>
      <c r="GT29" s="68"/>
      <c r="GU29" s="68"/>
      <c r="GV29" s="68"/>
      <c r="GW29" s="68">
        <f t="shared" si="496"/>
        <v>0</v>
      </c>
      <c r="GX29" s="68">
        <f t="shared" si="496"/>
        <v>5</v>
      </c>
      <c r="GY29" s="68">
        <f t="shared" si="497"/>
        <v>5</v>
      </c>
      <c r="GZ29" s="68"/>
      <c r="HA29" s="68">
        <v>5</v>
      </c>
      <c r="HB29" s="68"/>
      <c r="HC29" s="68"/>
      <c r="HD29" s="68"/>
      <c r="HE29" s="68"/>
      <c r="HF29" s="68"/>
      <c r="HG29" s="68"/>
      <c r="HH29" s="68"/>
      <c r="HI29" s="68"/>
      <c r="HJ29" s="68"/>
      <c r="HK29" s="68"/>
      <c r="HL29" s="68"/>
      <c r="HM29" s="68"/>
      <c r="HN29" s="68"/>
      <c r="HO29" s="68"/>
      <c r="HP29" s="68"/>
      <c r="HQ29" s="68">
        <f t="shared" ref="HQ29:HQ30" si="502">HO29+GZ29</f>
        <v>0</v>
      </c>
      <c r="HR29" s="68">
        <f t="shared" si="498"/>
        <v>5</v>
      </c>
      <c r="HS29" s="68">
        <f t="shared" ref="HS29:HS30" si="503">HR29+HQ29</f>
        <v>5</v>
      </c>
      <c r="HT29" s="68"/>
      <c r="HU29" s="68">
        <v>1</v>
      </c>
      <c r="HV29" s="68"/>
      <c r="HW29" s="68">
        <v>4</v>
      </c>
      <c r="HX29" s="68"/>
      <c r="HY29" s="68"/>
      <c r="HZ29" s="68"/>
      <c r="IA29" s="68"/>
      <c r="IB29" s="68">
        <f t="shared" si="499"/>
        <v>0</v>
      </c>
      <c r="IC29" s="68">
        <f t="shared" si="499"/>
        <v>5</v>
      </c>
      <c r="ID29" s="68">
        <f t="shared" si="500"/>
        <v>5</v>
      </c>
      <c r="IE29" s="68"/>
      <c r="IF29" s="68">
        <v>1</v>
      </c>
      <c r="IG29" s="68">
        <v>1</v>
      </c>
      <c r="IH29" s="68"/>
      <c r="II29" s="68"/>
      <c r="IJ29" s="68">
        <v>1</v>
      </c>
      <c r="IK29" s="68"/>
      <c r="IL29" s="68">
        <v>1</v>
      </c>
      <c r="IM29" s="68"/>
      <c r="IN29" s="68"/>
      <c r="IO29" s="68"/>
      <c r="IP29" s="68"/>
      <c r="IQ29" s="68"/>
      <c r="IR29" s="68"/>
      <c r="IS29" s="68"/>
      <c r="IT29" s="68">
        <v>1</v>
      </c>
      <c r="IU29" s="68">
        <v>1</v>
      </c>
      <c r="IV29" s="68"/>
      <c r="IW29" s="68">
        <v>1</v>
      </c>
      <c r="IX29" s="68"/>
      <c r="IY29" s="68" t="s">
        <v>236</v>
      </c>
      <c r="IZ29" s="82">
        <v>7816116131</v>
      </c>
      <c r="JA29" s="68" t="s">
        <v>217</v>
      </c>
    </row>
    <row r="30" spans="1:265" s="69" customFormat="1" ht="24.75" customHeight="1" x14ac:dyDescent="0.2">
      <c r="A30" s="68" t="s">
        <v>48</v>
      </c>
      <c r="B30" s="68" t="s">
        <v>129</v>
      </c>
      <c r="C30" s="68">
        <v>19</v>
      </c>
      <c r="D30" s="68">
        <v>1400738</v>
      </c>
      <c r="E30" s="68" t="s">
        <v>146</v>
      </c>
      <c r="F30" s="68"/>
      <c r="G30" s="68">
        <v>1</v>
      </c>
      <c r="H30" s="68"/>
      <c r="I30" s="68">
        <v>1</v>
      </c>
      <c r="J30" s="68"/>
      <c r="K30" s="68">
        <v>1</v>
      </c>
      <c r="L30" s="68"/>
      <c r="M30" s="68"/>
      <c r="N30" s="68">
        <v>1</v>
      </c>
      <c r="O30" s="68"/>
      <c r="P30" s="68"/>
      <c r="Q30" s="68"/>
      <c r="R30" s="68">
        <v>1</v>
      </c>
      <c r="S30" s="68"/>
      <c r="T30" s="68"/>
      <c r="U30" s="68"/>
      <c r="V30" s="68">
        <v>1</v>
      </c>
      <c r="W30" s="68"/>
      <c r="X30" s="68"/>
      <c r="Y30" s="68"/>
      <c r="Z30" s="91">
        <v>6</v>
      </c>
      <c r="AA30" s="68"/>
      <c r="AB30" s="68">
        <v>4</v>
      </c>
      <c r="AC30" s="68"/>
      <c r="AD30" s="68">
        <v>5</v>
      </c>
      <c r="AE30" s="68"/>
      <c r="AF30" s="68">
        <v>6</v>
      </c>
      <c r="AG30" s="68"/>
      <c r="AH30" s="68">
        <v>3</v>
      </c>
      <c r="AI30" s="68"/>
      <c r="AJ30" s="68">
        <v>1</v>
      </c>
      <c r="AK30" s="68"/>
      <c r="AL30" s="68">
        <v>4</v>
      </c>
      <c r="AM30" s="68">
        <f t="shared" si="468"/>
        <v>0</v>
      </c>
      <c r="AN30" s="68">
        <f t="shared" si="468"/>
        <v>29</v>
      </c>
      <c r="AO30" s="68">
        <f t="shared" si="469"/>
        <v>29</v>
      </c>
      <c r="AP30" s="68"/>
      <c r="AQ30" s="68">
        <v>1</v>
      </c>
      <c r="AR30" s="68"/>
      <c r="AS30" s="68">
        <v>2</v>
      </c>
      <c r="AT30" s="68"/>
      <c r="AU30" s="68">
        <v>7</v>
      </c>
      <c r="AV30" s="68"/>
      <c r="AW30" s="68">
        <v>8</v>
      </c>
      <c r="AX30" s="68"/>
      <c r="AY30" s="68">
        <v>15</v>
      </c>
      <c r="AZ30" s="68"/>
      <c r="BA30" s="68">
        <v>5</v>
      </c>
      <c r="BB30" s="68"/>
      <c r="BC30" s="68">
        <v>10</v>
      </c>
      <c r="BD30" s="68">
        <f t="shared" si="470"/>
        <v>0</v>
      </c>
      <c r="BE30" s="68">
        <f t="shared" si="470"/>
        <v>48</v>
      </c>
      <c r="BF30" s="68">
        <f t="shared" si="471"/>
        <v>48</v>
      </c>
      <c r="BG30" s="68"/>
      <c r="BH30" s="68"/>
      <c r="BI30" s="68"/>
      <c r="BJ30" s="68"/>
      <c r="BK30" s="68"/>
      <c r="BL30" s="68">
        <v>2</v>
      </c>
      <c r="BM30" s="68"/>
      <c r="BN30" s="68">
        <v>1</v>
      </c>
      <c r="BO30" s="68"/>
      <c r="BP30" s="68">
        <v>6</v>
      </c>
      <c r="BQ30" s="68"/>
      <c r="BR30" s="68">
        <v>9</v>
      </c>
      <c r="BS30" s="68"/>
      <c r="BT30" s="68">
        <v>5</v>
      </c>
      <c r="BU30" s="68">
        <f t="shared" si="501"/>
        <v>0</v>
      </c>
      <c r="BV30" s="68">
        <f t="shared" si="472"/>
        <v>23</v>
      </c>
      <c r="BW30" s="68">
        <f t="shared" si="473"/>
        <v>23</v>
      </c>
      <c r="BX30" s="68">
        <f t="shared" si="474"/>
        <v>0</v>
      </c>
      <c r="BY30" s="68">
        <f t="shared" si="474"/>
        <v>7</v>
      </c>
      <c r="BZ30" s="68">
        <f t="shared" si="474"/>
        <v>0</v>
      </c>
      <c r="CA30" s="68">
        <f t="shared" si="474"/>
        <v>6</v>
      </c>
      <c r="CB30" s="68">
        <f t="shared" si="474"/>
        <v>0</v>
      </c>
      <c r="CC30" s="68">
        <f t="shared" si="474"/>
        <v>14</v>
      </c>
      <c r="CD30" s="68">
        <f t="shared" si="474"/>
        <v>0</v>
      </c>
      <c r="CE30" s="68">
        <f t="shared" si="474"/>
        <v>15</v>
      </c>
      <c r="CF30" s="68">
        <f t="shared" si="474"/>
        <v>0</v>
      </c>
      <c r="CG30" s="68">
        <f t="shared" si="474"/>
        <v>24</v>
      </c>
      <c r="CH30" s="68">
        <f t="shared" si="474"/>
        <v>0</v>
      </c>
      <c r="CI30" s="68">
        <f t="shared" si="474"/>
        <v>15</v>
      </c>
      <c r="CJ30" s="68">
        <f t="shared" si="474"/>
        <v>0</v>
      </c>
      <c r="CK30" s="68">
        <f t="shared" si="474"/>
        <v>19</v>
      </c>
      <c r="CL30" s="68">
        <f t="shared" si="475"/>
        <v>0</v>
      </c>
      <c r="CM30" s="68">
        <f t="shared" si="475"/>
        <v>100</v>
      </c>
      <c r="CN30" s="68">
        <f t="shared" si="476"/>
        <v>100</v>
      </c>
      <c r="CO30" s="68"/>
      <c r="CP30" s="68">
        <v>1</v>
      </c>
      <c r="CQ30" s="68"/>
      <c r="CR30" s="68"/>
      <c r="CS30" s="68">
        <v>1</v>
      </c>
      <c r="CT30" s="68"/>
      <c r="CU30" s="68"/>
      <c r="CV30" s="68">
        <v>1</v>
      </c>
      <c r="CW30" s="68"/>
      <c r="CX30" s="68">
        <f t="shared" si="477"/>
        <v>0</v>
      </c>
      <c r="CY30" s="68">
        <f t="shared" si="477"/>
        <v>3</v>
      </c>
      <c r="CZ30" s="68">
        <f t="shared" si="477"/>
        <v>0</v>
      </c>
      <c r="DA30" s="68">
        <f t="shared" si="478"/>
        <v>3</v>
      </c>
      <c r="DB30" s="68"/>
      <c r="DC30" s="68"/>
      <c r="DD30" s="68"/>
      <c r="DE30" s="68"/>
      <c r="DF30" s="68"/>
      <c r="DG30" s="68"/>
      <c r="DH30" s="68">
        <f t="shared" si="479"/>
        <v>0</v>
      </c>
      <c r="DI30" s="68">
        <f t="shared" si="479"/>
        <v>0</v>
      </c>
      <c r="DJ30" s="68">
        <f t="shared" si="480"/>
        <v>0</v>
      </c>
      <c r="DK30" s="68"/>
      <c r="DL30" s="68">
        <v>5</v>
      </c>
      <c r="DM30" s="68"/>
      <c r="DN30" s="68">
        <v>6</v>
      </c>
      <c r="DO30" s="68"/>
      <c r="DP30" s="68"/>
      <c r="DQ30" s="68">
        <f t="shared" si="481"/>
        <v>0</v>
      </c>
      <c r="DR30" s="68">
        <f t="shared" si="481"/>
        <v>11</v>
      </c>
      <c r="DS30" s="68">
        <f t="shared" si="482"/>
        <v>11</v>
      </c>
      <c r="DT30" s="68"/>
      <c r="DU30" s="68">
        <v>9</v>
      </c>
      <c r="DV30" s="68"/>
      <c r="DW30" s="68"/>
      <c r="DX30" s="68"/>
      <c r="DY30" s="68"/>
      <c r="DZ30" s="68">
        <f t="shared" si="483"/>
        <v>0</v>
      </c>
      <c r="EA30" s="68">
        <f t="shared" si="483"/>
        <v>9</v>
      </c>
      <c r="EB30" s="68">
        <f t="shared" si="484"/>
        <v>9</v>
      </c>
      <c r="EC30" s="68"/>
      <c r="ED30" s="68"/>
      <c r="EE30" s="68"/>
      <c r="EF30" s="68"/>
      <c r="EG30" s="68"/>
      <c r="EH30" s="68"/>
      <c r="EI30" s="68">
        <f t="shared" si="485"/>
        <v>0</v>
      </c>
      <c r="EJ30" s="68">
        <f t="shared" si="485"/>
        <v>0</v>
      </c>
      <c r="EK30" s="68">
        <f t="shared" si="486"/>
        <v>0</v>
      </c>
      <c r="EL30" s="68"/>
      <c r="EM30" s="68"/>
      <c r="EN30" s="68"/>
      <c r="EO30" s="68"/>
      <c r="EP30" s="68"/>
      <c r="EQ30" s="68"/>
      <c r="ER30" s="68">
        <f t="shared" si="487"/>
        <v>0</v>
      </c>
      <c r="ES30" s="68">
        <f t="shared" si="487"/>
        <v>0</v>
      </c>
      <c r="ET30" s="68">
        <f t="shared" si="488"/>
        <v>0</v>
      </c>
      <c r="EU30" s="68"/>
      <c r="EV30" s="68">
        <v>1</v>
      </c>
      <c r="EW30" s="68"/>
      <c r="EX30" s="68"/>
      <c r="EY30" s="68"/>
      <c r="EZ30" s="68">
        <v>4</v>
      </c>
      <c r="FA30" s="68"/>
      <c r="FB30" s="68"/>
      <c r="FC30" s="68">
        <f t="shared" si="489"/>
        <v>0</v>
      </c>
      <c r="FD30" s="68">
        <f t="shared" si="489"/>
        <v>5</v>
      </c>
      <c r="FE30" s="68">
        <f t="shared" si="490"/>
        <v>5</v>
      </c>
      <c r="FF30" s="68"/>
      <c r="FG30" s="68"/>
      <c r="FH30" s="68"/>
      <c r="FI30" s="68"/>
      <c r="FJ30" s="68"/>
      <c r="FK30" s="68"/>
      <c r="FL30" s="68"/>
      <c r="FM30" s="68"/>
      <c r="FN30" s="68"/>
      <c r="FO30" s="68">
        <v>1</v>
      </c>
      <c r="FP30" s="68"/>
      <c r="FQ30" s="68"/>
      <c r="FR30" s="68"/>
      <c r="FS30" s="68"/>
      <c r="FT30" s="68"/>
      <c r="FU30" s="68">
        <f t="shared" si="491"/>
        <v>0</v>
      </c>
      <c r="FV30" s="68">
        <f t="shared" si="492"/>
        <v>1</v>
      </c>
      <c r="FW30" s="68">
        <f t="shared" si="493"/>
        <v>1</v>
      </c>
      <c r="FX30" s="68"/>
      <c r="FY30" s="68"/>
      <c r="FZ30" s="68"/>
      <c r="GA30" s="68"/>
      <c r="GB30" s="68"/>
      <c r="GC30" s="68">
        <v>2</v>
      </c>
      <c r="GD30" s="68"/>
      <c r="GE30" s="68"/>
      <c r="GF30" s="68"/>
      <c r="GG30" s="68"/>
      <c r="GH30" s="68"/>
      <c r="GI30" s="68">
        <v>2</v>
      </c>
      <c r="GJ30" s="68"/>
      <c r="GK30" s="68">
        <v>1</v>
      </c>
      <c r="GL30" s="68"/>
      <c r="GM30" s="68"/>
      <c r="GN30" s="68">
        <f t="shared" si="494"/>
        <v>0</v>
      </c>
      <c r="GO30" s="68">
        <f t="shared" si="494"/>
        <v>5</v>
      </c>
      <c r="GP30" s="68">
        <f t="shared" si="495"/>
        <v>5</v>
      </c>
      <c r="GQ30" s="68"/>
      <c r="GR30" s="68">
        <v>5</v>
      </c>
      <c r="GS30" s="68"/>
      <c r="GT30" s="68"/>
      <c r="GU30" s="68"/>
      <c r="GV30" s="68"/>
      <c r="GW30" s="68">
        <f t="shared" si="496"/>
        <v>0</v>
      </c>
      <c r="GX30" s="68">
        <f t="shared" si="496"/>
        <v>5</v>
      </c>
      <c r="GY30" s="68">
        <f t="shared" si="497"/>
        <v>5</v>
      </c>
      <c r="GZ30" s="68"/>
      <c r="HA30" s="68">
        <v>5</v>
      </c>
      <c r="HB30" s="68"/>
      <c r="HC30" s="68"/>
      <c r="HD30" s="68"/>
      <c r="HE30" s="68"/>
      <c r="HF30" s="68"/>
      <c r="HG30" s="68"/>
      <c r="HH30" s="68"/>
      <c r="HI30" s="68"/>
      <c r="HJ30" s="68"/>
      <c r="HK30" s="68"/>
      <c r="HL30" s="68"/>
      <c r="HM30" s="68"/>
      <c r="HN30" s="68"/>
      <c r="HO30" s="68"/>
      <c r="HP30" s="68"/>
      <c r="HQ30" s="68">
        <f t="shared" si="502"/>
        <v>0</v>
      </c>
      <c r="HR30" s="68">
        <f t="shared" si="498"/>
        <v>5</v>
      </c>
      <c r="HS30" s="68">
        <f t="shared" si="503"/>
        <v>5</v>
      </c>
      <c r="HT30" s="68"/>
      <c r="HU30" s="68">
        <v>2</v>
      </c>
      <c r="HV30" s="68"/>
      <c r="HW30" s="68">
        <v>3</v>
      </c>
      <c r="HX30" s="68"/>
      <c r="HY30" s="68"/>
      <c r="HZ30" s="68"/>
      <c r="IA30" s="68"/>
      <c r="IB30" s="68">
        <f t="shared" si="499"/>
        <v>0</v>
      </c>
      <c r="IC30" s="68">
        <f t="shared" si="499"/>
        <v>5</v>
      </c>
      <c r="ID30" s="68">
        <f t="shared" si="500"/>
        <v>5</v>
      </c>
      <c r="IE30" s="68"/>
      <c r="IF30" s="68"/>
      <c r="IG30" s="68"/>
      <c r="IH30" s="68">
        <v>1</v>
      </c>
      <c r="II30" s="68"/>
      <c r="IJ30" s="68">
        <v>1</v>
      </c>
      <c r="IK30" s="68"/>
      <c r="IL30" s="68">
        <v>1</v>
      </c>
      <c r="IM30" s="68"/>
      <c r="IN30" s="68"/>
      <c r="IO30" s="68"/>
      <c r="IP30" s="68"/>
      <c r="IQ30" s="68">
        <v>59</v>
      </c>
      <c r="IR30" s="68"/>
      <c r="IS30" s="68">
        <v>6</v>
      </c>
      <c r="IT30" s="68">
        <v>1</v>
      </c>
      <c r="IU30" s="68"/>
      <c r="IV30" s="68">
        <v>1</v>
      </c>
      <c r="IW30" s="68">
        <v>1</v>
      </c>
      <c r="IX30" s="68"/>
      <c r="IY30" s="68" t="s">
        <v>237</v>
      </c>
      <c r="IZ30" s="82">
        <v>7811342562</v>
      </c>
      <c r="JA30" s="68" t="s">
        <v>202</v>
      </c>
    </row>
    <row r="31" spans="1:265" s="69" customFormat="1" ht="24.75" customHeight="1" x14ac:dyDescent="0.2">
      <c r="A31" s="68" t="s">
        <v>48</v>
      </c>
      <c r="B31" s="68" t="s">
        <v>129</v>
      </c>
      <c r="C31" s="68">
        <v>20</v>
      </c>
      <c r="D31" s="68">
        <v>1401711</v>
      </c>
      <c r="E31" s="68" t="s">
        <v>285</v>
      </c>
      <c r="F31" s="68"/>
      <c r="G31" s="68">
        <v>1</v>
      </c>
      <c r="H31" s="68"/>
      <c r="I31" s="68">
        <v>1</v>
      </c>
      <c r="J31" s="68"/>
      <c r="K31" s="68">
        <v>1</v>
      </c>
      <c r="L31" s="68"/>
      <c r="M31" s="68"/>
      <c r="N31" s="68">
        <v>1</v>
      </c>
      <c r="O31" s="68"/>
      <c r="P31" s="68"/>
      <c r="Q31" s="68"/>
      <c r="R31" s="68">
        <v>1</v>
      </c>
      <c r="S31" s="68"/>
      <c r="T31" s="68"/>
      <c r="U31" s="68"/>
      <c r="V31" s="68">
        <v>1</v>
      </c>
      <c r="W31" s="68"/>
      <c r="X31" s="68">
        <v>1</v>
      </c>
      <c r="Y31" s="68"/>
      <c r="Z31" s="91">
        <v>6</v>
      </c>
      <c r="AA31" s="68"/>
      <c r="AB31" s="68">
        <v>4</v>
      </c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>
        <f t="shared" ref="AM31" si="504">AK31+AI31+AG31+AE31+AC31+AA31+Y31</f>
        <v>0</v>
      </c>
      <c r="AN31" s="68">
        <f t="shared" ref="AN31" si="505">AL31+AJ31+AH31+AF31+AD31+AB31+Z31</f>
        <v>10</v>
      </c>
      <c r="AO31" s="68">
        <f t="shared" ref="AO31" si="506">AN31+AM31</f>
        <v>10</v>
      </c>
      <c r="AP31" s="68"/>
      <c r="AQ31" s="68">
        <v>6</v>
      </c>
      <c r="AR31" s="68"/>
      <c r="AS31" s="68">
        <v>4</v>
      </c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>
        <f t="shared" ref="BD31" si="507">BB31+AZ31+AX31+AV31+AT31+AR31+AP31</f>
        <v>0</v>
      </c>
      <c r="BE31" s="68">
        <f t="shared" ref="BE31" si="508">BC31+BA31+AY31+AW31+AU31+AS31+AQ31</f>
        <v>10</v>
      </c>
      <c r="BF31" s="68">
        <f t="shared" ref="BF31" si="509">BE31+BD31</f>
        <v>10</v>
      </c>
      <c r="BG31" s="68"/>
      <c r="BH31" s="68"/>
      <c r="BI31" s="68"/>
      <c r="BJ31" s="68"/>
      <c r="BK31" s="68"/>
      <c r="BL31" s="68">
        <v>10</v>
      </c>
      <c r="BM31" s="68"/>
      <c r="BN31" s="68">
        <v>10</v>
      </c>
      <c r="BO31" s="68"/>
      <c r="BP31" s="68"/>
      <c r="BQ31" s="68"/>
      <c r="BR31" s="68"/>
      <c r="BS31" s="68"/>
      <c r="BT31" s="68"/>
      <c r="BU31" s="68">
        <f t="shared" ref="BU31" si="510">BS31+BQ31+BO31+BM31+BK31+BI31+BG31</f>
        <v>0</v>
      </c>
      <c r="BV31" s="68">
        <f t="shared" ref="BV31" si="511">BT31+BR31+BP31+BN31+BL31+BJ31+BH31</f>
        <v>20</v>
      </c>
      <c r="BW31" s="68">
        <f t="shared" ref="BW31" si="512">BV31+BU31</f>
        <v>20</v>
      </c>
      <c r="BX31" s="68">
        <f t="shared" ref="BX31" si="513">BG31+AP31+Y31</f>
        <v>0</v>
      </c>
      <c r="BY31" s="68">
        <f t="shared" ref="BY31" si="514">BH31+AQ31+Z31</f>
        <v>12</v>
      </c>
      <c r="BZ31" s="68">
        <f t="shared" ref="BZ31" si="515">BI31+AR31+AA31</f>
        <v>0</v>
      </c>
      <c r="CA31" s="68">
        <f t="shared" ref="CA31" si="516">BJ31+AS31+AB31</f>
        <v>8</v>
      </c>
      <c r="CB31" s="68">
        <f t="shared" ref="CB31" si="517">BK31+AT31+AC31</f>
        <v>0</v>
      </c>
      <c r="CC31" s="68">
        <f t="shared" ref="CC31" si="518">BL31+AU31+AD31</f>
        <v>10</v>
      </c>
      <c r="CD31" s="68">
        <f t="shared" ref="CD31" si="519">BM31+AV31+AE31</f>
        <v>0</v>
      </c>
      <c r="CE31" s="68">
        <f t="shared" ref="CE31" si="520">BN31+AW31+AF31</f>
        <v>10</v>
      </c>
      <c r="CF31" s="68">
        <f t="shared" ref="CF31" si="521">BO31+AX31+AG31</f>
        <v>0</v>
      </c>
      <c r="CG31" s="68">
        <f t="shared" ref="CG31" si="522">BP31+AY31+AH31</f>
        <v>0</v>
      </c>
      <c r="CH31" s="68">
        <f t="shared" ref="CH31" si="523">BQ31+AZ31+AI31</f>
        <v>0</v>
      </c>
      <c r="CI31" s="68">
        <f t="shared" ref="CI31" si="524">BR31+BA31+AJ31</f>
        <v>0</v>
      </c>
      <c r="CJ31" s="68">
        <f t="shared" ref="CJ31" si="525">BS31+BB31+AK31</f>
        <v>0</v>
      </c>
      <c r="CK31" s="68">
        <f t="shared" ref="CK31" si="526">BT31+BC31+AL31</f>
        <v>0</v>
      </c>
      <c r="CL31" s="68">
        <f t="shared" ref="CL31" si="527">CJ31+CH31+CF31+CD31+CB31+BZ31+BX31</f>
        <v>0</v>
      </c>
      <c r="CM31" s="68">
        <f t="shared" ref="CM31" si="528">CK31+CI31+CG31+CE31+CC31+CA31+BY31</f>
        <v>40</v>
      </c>
      <c r="CN31" s="68">
        <f t="shared" ref="CN31" si="529">CM31+CL31</f>
        <v>40</v>
      </c>
      <c r="CO31" s="68"/>
      <c r="CP31" s="68">
        <v>1</v>
      </c>
      <c r="CQ31" s="68"/>
      <c r="CR31" s="68"/>
      <c r="CS31" s="68">
        <v>1</v>
      </c>
      <c r="CT31" s="68"/>
      <c r="CU31" s="68"/>
      <c r="CV31" s="68">
        <v>1</v>
      </c>
      <c r="CW31" s="68"/>
      <c r="CX31" s="68">
        <f t="shared" ref="CX31" si="530">CU31+CR31+CO31</f>
        <v>0</v>
      </c>
      <c r="CY31" s="68">
        <f t="shared" ref="CY31" si="531">CV31+CS31+CP31</f>
        <v>3</v>
      </c>
      <c r="CZ31" s="68">
        <f t="shared" ref="CZ31" si="532">CW31+CT31+CQ31</f>
        <v>0</v>
      </c>
      <c r="DA31" s="68">
        <f t="shared" ref="DA31" si="533">CZ31+CY31+CX31</f>
        <v>3</v>
      </c>
      <c r="DB31" s="68"/>
      <c r="DC31" s="68"/>
      <c r="DD31" s="68"/>
      <c r="DE31" s="68"/>
      <c r="DF31" s="68"/>
      <c r="DG31" s="68"/>
      <c r="DH31" s="68">
        <f t="shared" ref="DH31" si="534">DF31+DD31+DB31</f>
        <v>0</v>
      </c>
      <c r="DI31" s="68">
        <f t="shared" ref="DI31" si="535">DG31+DE31+DC31</f>
        <v>0</v>
      </c>
      <c r="DJ31" s="68">
        <f t="shared" ref="DJ31" si="536">DI31+DH31</f>
        <v>0</v>
      </c>
      <c r="DK31" s="68"/>
      <c r="DL31" s="68"/>
      <c r="DM31" s="68"/>
      <c r="DN31" s="68"/>
      <c r="DO31" s="68"/>
      <c r="DP31" s="68"/>
      <c r="DQ31" s="68">
        <f t="shared" ref="DQ31" si="537">DO31+DM31+DK31</f>
        <v>0</v>
      </c>
      <c r="DR31" s="68">
        <f t="shared" ref="DR31" si="538">DP31+DN31+DL31</f>
        <v>0</v>
      </c>
      <c r="DS31" s="68">
        <f t="shared" ref="DS31" si="539">DR31+DQ31</f>
        <v>0</v>
      </c>
      <c r="DT31" s="68"/>
      <c r="DU31" s="68"/>
      <c r="DV31" s="68"/>
      <c r="DW31" s="68"/>
      <c r="DX31" s="68"/>
      <c r="DY31" s="68"/>
      <c r="DZ31" s="68">
        <f t="shared" ref="DZ31" si="540">DX31+DV31+DT31</f>
        <v>0</v>
      </c>
      <c r="EA31" s="68">
        <f t="shared" ref="EA31" si="541">DY31+DW31+DU31</f>
        <v>0</v>
      </c>
      <c r="EB31" s="68">
        <f t="shared" ref="EB31" si="542">EA31+DZ31</f>
        <v>0</v>
      </c>
      <c r="EC31" s="68"/>
      <c r="ED31" s="68"/>
      <c r="EE31" s="68"/>
      <c r="EF31" s="68"/>
      <c r="EG31" s="68"/>
      <c r="EH31" s="68"/>
      <c r="EI31" s="68">
        <f t="shared" ref="EI31" si="543">EG31+EE31+EC31</f>
        <v>0</v>
      </c>
      <c r="EJ31" s="68">
        <f t="shared" ref="EJ31" si="544">EH31+EF31+ED31</f>
        <v>0</v>
      </c>
      <c r="EK31" s="68">
        <f t="shared" ref="EK31" si="545">EJ31+EI31</f>
        <v>0</v>
      </c>
      <c r="EL31" s="68"/>
      <c r="EM31" s="68"/>
      <c r="EN31" s="68"/>
      <c r="EO31" s="68"/>
      <c r="EP31" s="68"/>
      <c r="EQ31" s="68"/>
      <c r="ER31" s="68">
        <f t="shared" ref="ER31" si="546">EP31+EN31+EL31</f>
        <v>0</v>
      </c>
      <c r="ES31" s="68">
        <f t="shared" ref="ES31" si="547">EQ31+EO31+EM31</f>
        <v>0</v>
      </c>
      <c r="ET31" s="68">
        <f t="shared" ref="ET31" si="548">ES31+ER31</f>
        <v>0</v>
      </c>
      <c r="EU31" s="68"/>
      <c r="EV31" s="68">
        <v>1</v>
      </c>
      <c r="EW31" s="68"/>
      <c r="EX31" s="68"/>
      <c r="EY31" s="68"/>
      <c r="EZ31" s="68"/>
      <c r="FA31" s="68"/>
      <c r="FB31" s="68"/>
      <c r="FC31" s="68">
        <f t="shared" ref="FC31" si="549">FA31+EY31+EW31+EU31</f>
        <v>0</v>
      </c>
      <c r="FD31" s="68">
        <f t="shared" ref="FD31" si="550">FB31+EZ31+EX31+EV31</f>
        <v>1</v>
      </c>
      <c r="FE31" s="68">
        <f t="shared" ref="FE31" si="551">FD31+FC31</f>
        <v>1</v>
      </c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>
        <f t="shared" ref="FU31" si="552">FT31+FS31+FR31+FN31+FL31+FH31+FF31</f>
        <v>0</v>
      </c>
      <c r="FV31" s="68">
        <f t="shared" ref="FV31" si="553">FO31+FM31+FI31+FG31</f>
        <v>0</v>
      </c>
      <c r="FW31" s="68">
        <f t="shared" ref="FW31" si="554">FV31+FU31</f>
        <v>0</v>
      </c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>
        <v>1</v>
      </c>
      <c r="GL31" s="68"/>
      <c r="GM31" s="68"/>
      <c r="GN31" s="68">
        <f t="shared" ref="GN31" si="555">GL31+GJ31+GH31+GF31+GD31+GB31+FZ31+FX31</f>
        <v>0</v>
      </c>
      <c r="GO31" s="68">
        <f t="shared" ref="GO31" si="556">GM31+GK31+GI31+GG31+GE31+GC31+GA31+FY31</f>
        <v>1</v>
      </c>
      <c r="GP31" s="68">
        <f t="shared" ref="GP31" si="557">GO31+GN31</f>
        <v>1</v>
      </c>
      <c r="GQ31" s="68"/>
      <c r="GR31" s="68">
        <v>1</v>
      </c>
      <c r="GS31" s="68"/>
      <c r="GT31" s="68"/>
      <c r="GU31" s="68"/>
      <c r="GV31" s="68"/>
      <c r="GW31" s="68">
        <f t="shared" ref="GW31" si="558">GU31+GS31+GQ31</f>
        <v>0</v>
      </c>
      <c r="GX31" s="68">
        <f t="shared" ref="GX31" si="559">GV31+GT31+GR31</f>
        <v>1</v>
      </c>
      <c r="GY31" s="68">
        <f t="shared" ref="GY31" si="560">GX31+GW31</f>
        <v>1</v>
      </c>
      <c r="GZ31" s="68"/>
      <c r="HA31" s="68">
        <v>1</v>
      </c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>
        <f t="shared" ref="HQ31" si="561">HO31+GZ31+HM31+HJ31+HH31+HF31+HD31+HB31</f>
        <v>0</v>
      </c>
      <c r="HR31" s="68">
        <f t="shared" ref="HR31" si="562">HP31+HA31+HN31+HL31+HK31+HI31+HG31+HE31+HC31</f>
        <v>1</v>
      </c>
      <c r="HS31" s="68">
        <f t="shared" ref="HS31" si="563">HR31+HQ31</f>
        <v>1</v>
      </c>
      <c r="HT31" s="68"/>
      <c r="HU31" s="68"/>
      <c r="HV31" s="68"/>
      <c r="HW31" s="68">
        <v>1</v>
      </c>
      <c r="HX31" s="68"/>
      <c r="HY31" s="68"/>
      <c r="HZ31" s="68"/>
      <c r="IA31" s="68"/>
      <c r="IB31" s="68">
        <f t="shared" ref="IB31" si="564">HZ31+HX31+HV31+HT31</f>
        <v>0</v>
      </c>
      <c r="IC31" s="68">
        <f t="shared" ref="IC31" si="565">IA31+HY31+HW31+HU31</f>
        <v>1</v>
      </c>
      <c r="ID31" s="68">
        <f t="shared" ref="ID31" si="566">IC31+IB31</f>
        <v>1</v>
      </c>
      <c r="IE31" s="68"/>
      <c r="IF31" s="68"/>
      <c r="IG31" s="68"/>
      <c r="IH31" s="68">
        <v>1</v>
      </c>
      <c r="II31" s="68"/>
      <c r="IJ31" s="68">
        <v>1</v>
      </c>
      <c r="IK31" s="68"/>
      <c r="IL31" s="68">
        <v>1</v>
      </c>
      <c r="IM31" s="68"/>
      <c r="IN31" s="68"/>
      <c r="IO31" s="68"/>
      <c r="IP31" s="68"/>
      <c r="IQ31" s="68"/>
      <c r="IR31" s="68"/>
      <c r="IS31" s="68"/>
      <c r="IT31" s="68"/>
      <c r="IU31" s="68">
        <v>1</v>
      </c>
      <c r="IV31" s="68"/>
      <c r="IW31" s="68"/>
      <c r="IX31" s="68">
        <v>1</v>
      </c>
      <c r="IY31" s="68" t="s">
        <v>291</v>
      </c>
      <c r="IZ31" s="82">
        <v>7831782460</v>
      </c>
      <c r="JA31" s="68" t="s">
        <v>292</v>
      </c>
    </row>
    <row r="32" spans="1:265" s="63" customFormat="1" ht="24.75" customHeight="1" x14ac:dyDescent="0.2">
      <c r="A32" s="169" t="s">
        <v>147</v>
      </c>
      <c r="B32" s="170"/>
      <c r="C32" s="170"/>
      <c r="D32" s="170"/>
      <c r="E32" s="171"/>
      <c r="F32" s="62">
        <f>SUM(F28:F31)</f>
        <v>0</v>
      </c>
      <c r="G32" s="62">
        <f t="shared" ref="G32:BR32" si="567">SUM(G28:G31)</f>
        <v>4</v>
      </c>
      <c r="H32" s="62">
        <f t="shared" si="567"/>
        <v>1</v>
      </c>
      <c r="I32" s="62">
        <f t="shared" si="567"/>
        <v>3</v>
      </c>
      <c r="J32" s="62">
        <f t="shared" si="567"/>
        <v>0</v>
      </c>
      <c r="K32" s="62">
        <f t="shared" si="567"/>
        <v>4</v>
      </c>
      <c r="L32" s="62">
        <f t="shared" si="567"/>
        <v>0</v>
      </c>
      <c r="M32" s="62">
        <f t="shared" si="567"/>
        <v>0</v>
      </c>
      <c r="N32" s="62">
        <f t="shared" si="567"/>
        <v>4</v>
      </c>
      <c r="O32" s="62">
        <f t="shared" si="567"/>
        <v>0</v>
      </c>
      <c r="P32" s="62">
        <f t="shared" si="567"/>
        <v>0</v>
      </c>
      <c r="Q32" s="62">
        <f t="shared" si="567"/>
        <v>0</v>
      </c>
      <c r="R32" s="62">
        <f t="shared" si="567"/>
        <v>4</v>
      </c>
      <c r="S32" s="62">
        <f t="shared" si="567"/>
        <v>0</v>
      </c>
      <c r="T32" s="62">
        <f t="shared" si="567"/>
        <v>0</v>
      </c>
      <c r="U32" s="62">
        <f t="shared" si="567"/>
        <v>0</v>
      </c>
      <c r="V32" s="62">
        <f t="shared" si="567"/>
        <v>4</v>
      </c>
      <c r="W32" s="62">
        <f t="shared" si="567"/>
        <v>0</v>
      </c>
      <c r="X32" s="62">
        <f t="shared" si="567"/>
        <v>1</v>
      </c>
      <c r="Y32" s="62">
        <f t="shared" si="567"/>
        <v>1</v>
      </c>
      <c r="Z32" s="62">
        <f t="shared" si="567"/>
        <v>14</v>
      </c>
      <c r="AA32" s="62">
        <f t="shared" si="567"/>
        <v>9</v>
      </c>
      <c r="AB32" s="62">
        <f t="shared" si="567"/>
        <v>9</v>
      </c>
      <c r="AC32" s="62">
        <f t="shared" si="567"/>
        <v>12</v>
      </c>
      <c r="AD32" s="62">
        <f t="shared" si="567"/>
        <v>6</v>
      </c>
      <c r="AE32" s="62">
        <f t="shared" si="567"/>
        <v>13</v>
      </c>
      <c r="AF32" s="62">
        <f t="shared" si="567"/>
        <v>8</v>
      </c>
      <c r="AG32" s="62">
        <f t="shared" si="567"/>
        <v>7</v>
      </c>
      <c r="AH32" s="62">
        <f t="shared" si="567"/>
        <v>3</v>
      </c>
      <c r="AI32" s="62">
        <f t="shared" si="567"/>
        <v>3</v>
      </c>
      <c r="AJ32" s="62">
        <f t="shared" si="567"/>
        <v>2</v>
      </c>
      <c r="AK32" s="62">
        <f t="shared" si="567"/>
        <v>4</v>
      </c>
      <c r="AL32" s="62">
        <f t="shared" si="567"/>
        <v>4</v>
      </c>
      <c r="AM32" s="62">
        <f t="shared" si="567"/>
        <v>49</v>
      </c>
      <c r="AN32" s="62">
        <f t="shared" si="567"/>
        <v>46</v>
      </c>
      <c r="AO32" s="62">
        <f t="shared" si="567"/>
        <v>95</v>
      </c>
      <c r="AP32" s="62">
        <f t="shared" si="567"/>
        <v>0</v>
      </c>
      <c r="AQ32" s="62">
        <f t="shared" si="567"/>
        <v>9</v>
      </c>
      <c r="AR32" s="62">
        <f t="shared" si="567"/>
        <v>8</v>
      </c>
      <c r="AS32" s="62">
        <f t="shared" si="567"/>
        <v>11</v>
      </c>
      <c r="AT32" s="62">
        <f t="shared" si="567"/>
        <v>6</v>
      </c>
      <c r="AU32" s="62">
        <f t="shared" si="567"/>
        <v>10</v>
      </c>
      <c r="AV32" s="62">
        <f t="shared" si="567"/>
        <v>14</v>
      </c>
      <c r="AW32" s="62">
        <f t="shared" si="567"/>
        <v>11</v>
      </c>
      <c r="AX32" s="62">
        <f t="shared" si="567"/>
        <v>12</v>
      </c>
      <c r="AY32" s="62">
        <f t="shared" si="567"/>
        <v>16</v>
      </c>
      <c r="AZ32" s="62">
        <f t="shared" si="567"/>
        <v>10</v>
      </c>
      <c r="BA32" s="62">
        <f t="shared" si="567"/>
        <v>7</v>
      </c>
      <c r="BB32" s="62">
        <f t="shared" si="567"/>
        <v>7</v>
      </c>
      <c r="BC32" s="62">
        <f t="shared" si="567"/>
        <v>11</v>
      </c>
      <c r="BD32" s="62">
        <f t="shared" si="567"/>
        <v>57</v>
      </c>
      <c r="BE32" s="62">
        <f t="shared" si="567"/>
        <v>75</v>
      </c>
      <c r="BF32" s="62">
        <f t="shared" si="567"/>
        <v>132</v>
      </c>
      <c r="BG32" s="62">
        <f t="shared" si="567"/>
        <v>0</v>
      </c>
      <c r="BH32" s="62">
        <f t="shared" si="567"/>
        <v>1</v>
      </c>
      <c r="BI32" s="62">
        <f t="shared" si="567"/>
        <v>0</v>
      </c>
      <c r="BJ32" s="62">
        <f t="shared" si="567"/>
        <v>1</v>
      </c>
      <c r="BK32" s="62">
        <f t="shared" si="567"/>
        <v>4</v>
      </c>
      <c r="BL32" s="62">
        <f t="shared" si="567"/>
        <v>15</v>
      </c>
      <c r="BM32" s="62">
        <f t="shared" si="567"/>
        <v>2</v>
      </c>
      <c r="BN32" s="62">
        <f t="shared" si="567"/>
        <v>17</v>
      </c>
      <c r="BO32" s="62">
        <f t="shared" si="567"/>
        <v>25</v>
      </c>
      <c r="BP32" s="62">
        <f t="shared" si="567"/>
        <v>17</v>
      </c>
      <c r="BQ32" s="62">
        <f t="shared" si="567"/>
        <v>15</v>
      </c>
      <c r="BR32" s="62">
        <f t="shared" si="567"/>
        <v>17</v>
      </c>
      <c r="BS32" s="62">
        <f t="shared" ref="BS32:ED32" si="568">SUM(BS28:BS31)</f>
        <v>7</v>
      </c>
      <c r="BT32" s="62">
        <f t="shared" si="568"/>
        <v>12</v>
      </c>
      <c r="BU32" s="62">
        <f t="shared" si="568"/>
        <v>53</v>
      </c>
      <c r="BV32" s="62">
        <f t="shared" si="568"/>
        <v>80</v>
      </c>
      <c r="BW32" s="62">
        <f t="shared" si="568"/>
        <v>133</v>
      </c>
      <c r="BX32" s="62">
        <f t="shared" si="568"/>
        <v>1</v>
      </c>
      <c r="BY32" s="62">
        <f t="shared" si="568"/>
        <v>24</v>
      </c>
      <c r="BZ32" s="62">
        <f t="shared" si="568"/>
        <v>17</v>
      </c>
      <c r="CA32" s="62">
        <f t="shared" si="568"/>
        <v>21</v>
      </c>
      <c r="CB32" s="62">
        <f t="shared" si="568"/>
        <v>22</v>
      </c>
      <c r="CC32" s="62">
        <f t="shared" si="568"/>
        <v>31</v>
      </c>
      <c r="CD32" s="62">
        <f t="shared" si="568"/>
        <v>29</v>
      </c>
      <c r="CE32" s="62">
        <f t="shared" si="568"/>
        <v>36</v>
      </c>
      <c r="CF32" s="62">
        <f t="shared" si="568"/>
        <v>44</v>
      </c>
      <c r="CG32" s="62">
        <f t="shared" si="568"/>
        <v>36</v>
      </c>
      <c r="CH32" s="62">
        <f t="shared" si="568"/>
        <v>28</v>
      </c>
      <c r="CI32" s="62">
        <f t="shared" si="568"/>
        <v>26</v>
      </c>
      <c r="CJ32" s="62">
        <f t="shared" si="568"/>
        <v>18</v>
      </c>
      <c r="CK32" s="62">
        <f t="shared" si="568"/>
        <v>27</v>
      </c>
      <c r="CL32" s="62">
        <f t="shared" si="568"/>
        <v>159</v>
      </c>
      <c r="CM32" s="62">
        <f t="shared" si="568"/>
        <v>201</v>
      </c>
      <c r="CN32" s="62">
        <f t="shared" si="568"/>
        <v>360</v>
      </c>
      <c r="CO32" s="62">
        <f t="shared" si="568"/>
        <v>2</v>
      </c>
      <c r="CP32" s="62">
        <f t="shared" si="568"/>
        <v>4</v>
      </c>
      <c r="CQ32" s="62">
        <f t="shared" si="568"/>
        <v>0</v>
      </c>
      <c r="CR32" s="62">
        <f t="shared" si="568"/>
        <v>2</v>
      </c>
      <c r="CS32" s="62">
        <f t="shared" si="568"/>
        <v>3</v>
      </c>
      <c r="CT32" s="62">
        <f t="shared" si="568"/>
        <v>0</v>
      </c>
      <c r="CU32" s="62">
        <f t="shared" si="568"/>
        <v>2</v>
      </c>
      <c r="CV32" s="62">
        <f t="shared" si="568"/>
        <v>4</v>
      </c>
      <c r="CW32" s="62">
        <f t="shared" si="568"/>
        <v>0</v>
      </c>
      <c r="CX32" s="62">
        <f t="shared" si="568"/>
        <v>6</v>
      </c>
      <c r="CY32" s="62">
        <f t="shared" si="568"/>
        <v>11</v>
      </c>
      <c r="CZ32" s="62">
        <f t="shared" si="568"/>
        <v>0</v>
      </c>
      <c r="DA32" s="62">
        <f t="shared" si="568"/>
        <v>17</v>
      </c>
      <c r="DB32" s="62">
        <f t="shared" si="568"/>
        <v>0</v>
      </c>
      <c r="DC32" s="62">
        <f t="shared" si="568"/>
        <v>5</v>
      </c>
      <c r="DD32" s="62">
        <f t="shared" si="568"/>
        <v>0</v>
      </c>
      <c r="DE32" s="62">
        <f t="shared" si="568"/>
        <v>4</v>
      </c>
      <c r="DF32" s="62">
        <f t="shared" si="568"/>
        <v>0</v>
      </c>
      <c r="DG32" s="62">
        <f t="shared" si="568"/>
        <v>14</v>
      </c>
      <c r="DH32" s="62">
        <f t="shared" si="568"/>
        <v>0</v>
      </c>
      <c r="DI32" s="62">
        <f t="shared" si="568"/>
        <v>23</v>
      </c>
      <c r="DJ32" s="62">
        <f t="shared" si="568"/>
        <v>23</v>
      </c>
      <c r="DK32" s="62">
        <f t="shared" si="568"/>
        <v>27</v>
      </c>
      <c r="DL32" s="62">
        <f t="shared" si="568"/>
        <v>14</v>
      </c>
      <c r="DM32" s="62">
        <f t="shared" si="568"/>
        <v>21</v>
      </c>
      <c r="DN32" s="62">
        <f t="shared" si="568"/>
        <v>27</v>
      </c>
      <c r="DO32" s="62">
        <f t="shared" si="568"/>
        <v>37</v>
      </c>
      <c r="DP32" s="62">
        <f t="shared" si="568"/>
        <v>29</v>
      </c>
      <c r="DQ32" s="62">
        <f t="shared" si="568"/>
        <v>85</v>
      </c>
      <c r="DR32" s="62">
        <f t="shared" si="568"/>
        <v>70</v>
      </c>
      <c r="DS32" s="62">
        <f t="shared" si="568"/>
        <v>155</v>
      </c>
      <c r="DT32" s="62">
        <f t="shared" si="568"/>
        <v>29</v>
      </c>
      <c r="DU32" s="62">
        <f t="shared" si="568"/>
        <v>29</v>
      </c>
      <c r="DV32" s="62">
        <f t="shared" si="568"/>
        <v>27</v>
      </c>
      <c r="DW32" s="62">
        <f t="shared" si="568"/>
        <v>20</v>
      </c>
      <c r="DX32" s="62">
        <f t="shared" si="568"/>
        <v>31</v>
      </c>
      <c r="DY32" s="62">
        <f t="shared" si="568"/>
        <v>13</v>
      </c>
      <c r="DZ32" s="62">
        <f t="shared" si="568"/>
        <v>87</v>
      </c>
      <c r="EA32" s="62">
        <f t="shared" si="568"/>
        <v>62</v>
      </c>
      <c r="EB32" s="62">
        <f t="shared" si="568"/>
        <v>149</v>
      </c>
      <c r="EC32" s="62">
        <f t="shared" si="568"/>
        <v>0</v>
      </c>
      <c r="ED32" s="62">
        <f t="shared" si="568"/>
        <v>1</v>
      </c>
      <c r="EE32" s="62">
        <f t="shared" ref="EE32:GP32" si="569">SUM(EE28:EE31)</f>
        <v>0</v>
      </c>
      <c r="EF32" s="62">
        <f t="shared" si="569"/>
        <v>2</v>
      </c>
      <c r="EG32" s="62">
        <f t="shared" si="569"/>
        <v>0</v>
      </c>
      <c r="EH32" s="62">
        <f t="shared" si="569"/>
        <v>29</v>
      </c>
      <c r="EI32" s="62">
        <f t="shared" si="569"/>
        <v>0</v>
      </c>
      <c r="EJ32" s="62">
        <f t="shared" si="569"/>
        <v>32</v>
      </c>
      <c r="EK32" s="62">
        <f t="shared" si="569"/>
        <v>32</v>
      </c>
      <c r="EL32" s="62">
        <f t="shared" si="569"/>
        <v>0</v>
      </c>
      <c r="EM32" s="62">
        <f t="shared" si="569"/>
        <v>0</v>
      </c>
      <c r="EN32" s="62">
        <f t="shared" si="569"/>
        <v>0</v>
      </c>
      <c r="EO32" s="62">
        <f t="shared" si="569"/>
        <v>0</v>
      </c>
      <c r="EP32" s="62">
        <f t="shared" si="569"/>
        <v>0</v>
      </c>
      <c r="EQ32" s="62">
        <f t="shared" si="569"/>
        <v>0</v>
      </c>
      <c r="ER32" s="62">
        <f t="shared" si="569"/>
        <v>0</v>
      </c>
      <c r="ES32" s="62">
        <f t="shared" si="569"/>
        <v>0</v>
      </c>
      <c r="ET32" s="62">
        <f t="shared" si="569"/>
        <v>0</v>
      </c>
      <c r="EU32" s="62">
        <f t="shared" si="569"/>
        <v>1</v>
      </c>
      <c r="EV32" s="62">
        <f t="shared" si="569"/>
        <v>3</v>
      </c>
      <c r="EW32" s="62">
        <f t="shared" si="569"/>
        <v>1</v>
      </c>
      <c r="EX32" s="62">
        <f t="shared" si="569"/>
        <v>1</v>
      </c>
      <c r="EY32" s="62">
        <f t="shared" si="569"/>
        <v>7</v>
      </c>
      <c r="EZ32" s="62">
        <f t="shared" si="569"/>
        <v>7</v>
      </c>
      <c r="FA32" s="62">
        <f t="shared" si="569"/>
        <v>0</v>
      </c>
      <c r="FB32" s="62">
        <f t="shared" si="569"/>
        <v>0</v>
      </c>
      <c r="FC32" s="62">
        <f t="shared" si="569"/>
        <v>9</v>
      </c>
      <c r="FD32" s="62">
        <f t="shared" si="569"/>
        <v>11</v>
      </c>
      <c r="FE32" s="62">
        <f t="shared" si="569"/>
        <v>20</v>
      </c>
      <c r="FF32" s="62">
        <f t="shared" si="569"/>
        <v>0</v>
      </c>
      <c r="FG32" s="62">
        <f t="shared" si="569"/>
        <v>0</v>
      </c>
      <c r="FH32" s="62">
        <f t="shared" si="569"/>
        <v>0</v>
      </c>
      <c r="FI32" s="62">
        <f t="shared" si="569"/>
        <v>0</v>
      </c>
      <c r="FJ32" s="62">
        <f t="shared" si="569"/>
        <v>0</v>
      </c>
      <c r="FK32" s="62">
        <f t="shared" si="569"/>
        <v>0</v>
      </c>
      <c r="FL32" s="62">
        <f t="shared" si="569"/>
        <v>0</v>
      </c>
      <c r="FM32" s="62">
        <f t="shared" si="569"/>
        <v>0</v>
      </c>
      <c r="FN32" s="62">
        <f t="shared" si="569"/>
        <v>0</v>
      </c>
      <c r="FO32" s="62">
        <f t="shared" si="569"/>
        <v>2</v>
      </c>
      <c r="FP32" s="62">
        <f t="shared" si="569"/>
        <v>0</v>
      </c>
      <c r="FQ32" s="62">
        <f t="shared" si="569"/>
        <v>0</v>
      </c>
      <c r="FR32" s="62">
        <f t="shared" si="569"/>
        <v>0</v>
      </c>
      <c r="FS32" s="62">
        <f t="shared" si="569"/>
        <v>0</v>
      </c>
      <c r="FT32" s="62">
        <f t="shared" si="569"/>
        <v>0</v>
      </c>
      <c r="FU32" s="62">
        <f t="shared" si="569"/>
        <v>0</v>
      </c>
      <c r="FV32" s="62">
        <f t="shared" si="569"/>
        <v>2</v>
      </c>
      <c r="FW32" s="62">
        <f t="shared" si="569"/>
        <v>2</v>
      </c>
      <c r="FX32" s="62">
        <f t="shared" si="569"/>
        <v>0</v>
      </c>
      <c r="FY32" s="62">
        <f t="shared" si="569"/>
        <v>0</v>
      </c>
      <c r="FZ32" s="62">
        <f t="shared" si="569"/>
        <v>0</v>
      </c>
      <c r="GA32" s="62">
        <f t="shared" si="569"/>
        <v>0</v>
      </c>
      <c r="GB32" s="62">
        <f t="shared" si="569"/>
        <v>2</v>
      </c>
      <c r="GC32" s="62">
        <f t="shared" si="569"/>
        <v>3</v>
      </c>
      <c r="GD32" s="62">
        <f t="shared" si="569"/>
        <v>0</v>
      </c>
      <c r="GE32" s="62">
        <f t="shared" si="569"/>
        <v>0</v>
      </c>
      <c r="GF32" s="62">
        <f t="shared" si="569"/>
        <v>0</v>
      </c>
      <c r="GG32" s="62">
        <f t="shared" si="569"/>
        <v>0</v>
      </c>
      <c r="GH32" s="62">
        <f t="shared" si="569"/>
        <v>7</v>
      </c>
      <c r="GI32" s="62">
        <f t="shared" si="569"/>
        <v>5</v>
      </c>
      <c r="GJ32" s="62">
        <f t="shared" si="569"/>
        <v>0</v>
      </c>
      <c r="GK32" s="62">
        <f t="shared" si="569"/>
        <v>2</v>
      </c>
      <c r="GL32" s="62">
        <f t="shared" si="569"/>
        <v>0</v>
      </c>
      <c r="GM32" s="62">
        <f t="shared" si="569"/>
        <v>1</v>
      </c>
      <c r="GN32" s="62">
        <f t="shared" si="569"/>
        <v>9</v>
      </c>
      <c r="GO32" s="62">
        <f t="shared" si="569"/>
        <v>11</v>
      </c>
      <c r="GP32" s="62">
        <f t="shared" si="569"/>
        <v>20</v>
      </c>
      <c r="GQ32" s="62">
        <f t="shared" ref="GQ32:IX32" si="570">SUM(GQ28:GQ31)</f>
        <v>9</v>
      </c>
      <c r="GR32" s="62">
        <f t="shared" si="570"/>
        <v>11</v>
      </c>
      <c r="GS32" s="62">
        <f t="shared" si="570"/>
        <v>0</v>
      </c>
      <c r="GT32" s="62">
        <f t="shared" si="570"/>
        <v>0</v>
      </c>
      <c r="GU32" s="62">
        <f t="shared" si="570"/>
        <v>0</v>
      </c>
      <c r="GV32" s="62">
        <f t="shared" si="570"/>
        <v>0</v>
      </c>
      <c r="GW32" s="62">
        <f t="shared" si="570"/>
        <v>9</v>
      </c>
      <c r="GX32" s="62">
        <f t="shared" si="570"/>
        <v>11</v>
      </c>
      <c r="GY32" s="62">
        <f t="shared" si="570"/>
        <v>20</v>
      </c>
      <c r="GZ32" s="62">
        <f t="shared" si="570"/>
        <v>7</v>
      </c>
      <c r="HA32" s="62">
        <f t="shared" si="570"/>
        <v>11</v>
      </c>
      <c r="HB32" s="62">
        <f t="shared" si="570"/>
        <v>0</v>
      </c>
      <c r="HC32" s="62">
        <f t="shared" si="570"/>
        <v>0</v>
      </c>
      <c r="HD32" s="62">
        <f t="shared" si="570"/>
        <v>0</v>
      </c>
      <c r="HE32" s="62">
        <f t="shared" si="570"/>
        <v>0</v>
      </c>
      <c r="HF32" s="62">
        <f t="shared" si="570"/>
        <v>0</v>
      </c>
      <c r="HG32" s="62">
        <f t="shared" si="570"/>
        <v>0</v>
      </c>
      <c r="HH32" s="62">
        <f t="shared" si="570"/>
        <v>1</v>
      </c>
      <c r="HI32" s="62">
        <f t="shared" si="570"/>
        <v>0</v>
      </c>
      <c r="HJ32" s="62">
        <f t="shared" si="570"/>
        <v>0</v>
      </c>
      <c r="HK32" s="62">
        <f t="shared" si="570"/>
        <v>0</v>
      </c>
      <c r="HL32" s="62">
        <f t="shared" si="570"/>
        <v>0</v>
      </c>
      <c r="HM32" s="62">
        <f t="shared" si="570"/>
        <v>0</v>
      </c>
      <c r="HN32" s="62">
        <f t="shared" si="570"/>
        <v>0</v>
      </c>
      <c r="HO32" s="62">
        <f t="shared" si="570"/>
        <v>1</v>
      </c>
      <c r="HP32" s="62">
        <f t="shared" si="570"/>
        <v>0</v>
      </c>
      <c r="HQ32" s="62">
        <f t="shared" si="570"/>
        <v>9</v>
      </c>
      <c r="HR32" s="62">
        <f t="shared" si="570"/>
        <v>11</v>
      </c>
      <c r="HS32" s="62">
        <f t="shared" si="570"/>
        <v>20</v>
      </c>
      <c r="HT32" s="62">
        <f t="shared" si="570"/>
        <v>0</v>
      </c>
      <c r="HU32" s="62">
        <f t="shared" si="570"/>
        <v>3</v>
      </c>
      <c r="HV32" s="62">
        <f t="shared" si="570"/>
        <v>9</v>
      </c>
      <c r="HW32" s="62">
        <f t="shared" si="570"/>
        <v>8</v>
      </c>
      <c r="HX32" s="62">
        <f t="shared" si="570"/>
        <v>0</v>
      </c>
      <c r="HY32" s="62">
        <f t="shared" si="570"/>
        <v>0</v>
      </c>
      <c r="HZ32" s="62">
        <f t="shared" si="570"/>
        <v>0</v>
      </c>
      <c r="IA32" s="62">
        <f t="shared" si="570"/>
        <v>0</v>
      </c>
      <c r="IB32" s="62">
        <f t="shared" si="570"/>
        <v>9</v>
      </c>
      <c r="IC32" s="62">
        <f t="shared" si="570"/>
        <v>11</v>
      </c>
      <c r="ID32" s="62">
        <f t="shared" si="570"/>
        <v>20</v>
      </c>
      <c r="IE32" s="62">
        <f t="shared" si="570"/>
        <v>0</v>
      </c>
      <c r="IF32" s="62">
        <f t="shared" si="570"/>
        <v>1</v>
      </c>
      <c r="IG32" s="62">
        <f t="shared" si="570"/>
        <v>1</v>
      </c>
      <c r="IH32" s="62">
        <f t="shared" si="570"/>
        <v>3</v>
      </c>
      <c r="II32" s="62">
        <f t="shared" si="570"/>
        <v>0</v>
      </c>
      <c r="IJ32" s="62">
        <f t="shared" si="570"/>
        <v>4</v>
      </c>
      <c r="IK32" s="62">
        <f t="shared" si="570"/>
        <v>0</v>
      </c>
      <c r="IL32" s="62">
        <f t="shared" si="570"/>
        <v>4</v>
      </c>
      <c r="IM32" s="62">
        <f t="shared" si="570"/>
        <v>0</v>
      </c>
      <c r="IN32" s="62">
        <f t="shared" si="570"/>
        <v>0</v>
      </c>
      <c r="IO32" s="62">
        <f t="shared" si="570"/>
        <v>0</v>
      </c>
      <c r="IP32" s="62">
        <f t="shared" si="570"/>
        <v>0</v>
      </c>
      <c r="IQ32" s="62">
        <f t="shared" si="570"/>
        <v>59</v>
      </c>
      <c r="IR32" s="62">
        <f t="shared" si="570"/>
        <v>0</v>
      </c>
      <c r="IS32" s="62">
        <f t="shared" si="570"/>
        <v>9</v>
      </c>
      <c r="IT32" s="62">
        <f t="shared" si="570"/>
        <v>3</v>
      </c>
      <c r="IU32" s="62">
        <f t="shared" si="570"/>
        <v>3</v>
      </c>
      <c r="IV32" s="62">
        <f t="shared" si="570"/>
        <v>1</v>
      </c>
      <c r="IW32" s="62">
        <f t="shared" si="570"/>
        <v>3</v>
      </c>
      <c r="IX32" s="62">
        <f t="shared" si="570"/>
        <v>1</v>
      </c>
      <c r="IY32" s="62"/>
      <c r="IZ32" s="84"/>
      <c r="JA32" s="62"/>
    </row>
    <row r="33" spans="1:262" s="69" customFormat="1" ht="24.75" customHeight="1" x14ac:dyDescent="0.2">
      <c r="A33" s="68" t="s">
        <v>48</v>
      </c>
      <c r="B33" s="68" t="s">
        <v>148</v>
      </c>
      <c r="C33" s="68">
        <v>20</v>
      </c>
      <c r="D33" s="68">
        <v>1400732</v>
      </c>
      <c r="E33" s="68" t="s">
        <v>149</v>
      </c>
      <c r="F33" s="68"/>
      <c r="G33" s="68">
        <v>1</v>
      </c>
      <c r="H33" s="68">
        <v>1</v>
      </c>
      <c r="I33" s="68"/>
      <c r="J33" s="68"/>
      <c r="K33" s="68">
        <v>1</v>
      </c>
      <c r="L33" s="68"/>
      <c r="M33" s="68"/>
      <c r="N33" s="68">
        <v>1</v>
      </c>
      <c r="O33" s="68"/>
      <c r="P33" s="68"/>
      <c r="Q33" s="68"/>
      <c r="R33" s="68">
        <v>1</v>
      </c>
      <c r="S33" s="68"/>
      <c r="T33" s="68"/>
      <c r="U33" s="68"/>
      <c r="V33" s="68">
        <v>1</v>
      </c>
      <c r="W33" s="68"/>
      <c r="X33" s="68"/>
      <c r="Y33" s="68">
        <v>12</v>
      </c>
      <c r="Z33" s="91"/>
      <c r="AA33" s="68">
        <v>13</v>
      </c>
      <c r="AB33" s="68"/>
      <c r="AC33" s="68">
        <v>9</v>
      </c>
      <c r="AD33" s="68"/>
      <c r="AE33" s="68">
        <v>9</v>
      </c>
      <c r="AF33" s="68"/>
      <c r="AG33" s="68">
        <v>5</v>
      </c>
      <c r="AH33" s="68"/>
      <c r="AI33" s="68">
        <v>4</v>
      </c>
      <c r="AJ33" s="68"/>
      <c r="AK33" s="68">
        <v>2</v>
      </c>
      <c r="AL33" s="68"/>
      <c r="AM33" s="68">
        <f t="shared" ref="AM33:AN34" si="571">AK33+AI33+AG33+AE33+AC33+AA33+Y33</f>
        <v>54</v>
      </c>
      <c r="AN33" s="68">
        <f t="shared" si="571"/>
        <v>0</v>
      </c>
      <c r="AO33" s="68">
        <f t="shared" ref="AO33:AO34" si="572">AN33+AM33</f>
        <v>54</v>
      </c>
      <c r="AP33" s="68">
        <v>4</v>
      </c>
      <c r="AQ33" s="68"/>
      <c r="AR33" s="68">
        <v>2</v>
      </c>
      <c r="AS33" s="68"/>
      <c r="AT33" s="68">
        <v>6</v>
      </c>
      <c r="AU33" s="68"/>
      <c r="AV33" s="68">
        <v>11</v>
      </c>
      <c r="AW33" s="68"/>
      <c r="AX33" s="68">
        <v>5</v>
      </c>
      <c r="AY33" s="68"/>
      <c r="AZ33" s="68">
        <v>7</v>
      </c>
      <c r="BA33" s="68"/>
      <c r="BB33" s="68">
        <v>5</v>
      </c>
      <c r="BC33" s="68"/>
      <c r="BD33" s="68">
        <f t="shared" ref="BD33:BE34" si="573">BB33+AZ33+AX33+AV33+AT33+AR33+AP33</f>
        <v>40</v>
      </c>
      <c r="BE33" s="68">
        <f t="shared" si="573"/>
        <v>0</v>
      </c>
      <c r="BF33" s="68">
        <f t="shared" ref="BF33:BF34" si="574">BE33+BD33</f>
        <v>40</v>
      </c>
      <c r="BG33" s="68">
        <v>10</v>
      </c>
      <c r="BH33" s="68"/>
      <c r="BI33" s="68">
        <v>5</v>
      </c>
      <c r="BJ33" s="68"/>
      <c r="BK33" s="68">
        <v>4</v>
      </c>
      <c r="BL33" s="68"/>
      <c r="BM33" s="68">
        <v>14</v>
      </c>
      <c r="BN33" s="68"/>
      <c r="BO33" s="68">
        <v>10</v>
      </c>
      <c r="BP33" s="68"/>
      <c r="BQ33" s="68">
        <v>23</v>
      </c>
      <c r="BR33" s="68"/>
      <c r="BS33" s="68">
        <v>13</v>
      </c>
      <c r="BT33" s="68"/>
      <c r="BU33" s="68">
        <f t="shared" ref="BU33:BV34" si="575">BS33+BQ33+BO33+BM33+BK33+BI33+BG33</f>
        <v>79</v>
      </c>
      <c r="BV33" s="68">
        <f t="shared" si="575"/>
        <v>0</v>
      </c>
      <c r="BW33" s="68">
        <f t="shared" ref="BW33:BW34" si="576">BV33+BU33</f>
        <v>79</v>
      </c>
      <c r="BX33" s="68">
        <f t="shared" ref="BX33:CK34" si="577">BG33+AP33+Y33</f>
        <v>26</v>
      </c>
      <c r="BY33" s="68">
        <f t="shared" si="577"/>
        <v>0</v>
      </c>
      <c r="BZ33" s="68">
        <f t="shared" si="577"/>
        <v>20</v>
      </c>
      <c r="CA33" s="68">
        <f t="shared" si="577"/>
        <v>0</v>
      </c>
      <c r="CB33" s="68">
        <f t="shared" si="577"/>
        <v>19</v>
      </c>
      <c r="CC33" s="68">
        <f t="shared" si="577"/>
        <v>0</v>
      </c>
      <c r="CD33" s="68">
        <f t="shared" si="577"/>
        <v>34</v>
      </c>
      <c r="CE33" s="68">
        <f t="shared" si="577"/>
        <v>0</v>
      </c>
      <c r="CF33" s="68">
        <f t="shared" si="577"/>
        <v>20</v>
      </c>
      <c r="CG33" s="68">
        <f t="shared" si="577"/>
        <v>0</v>
      </c>
      <c r="CH33" s="68">
        <f t="shared" si="577"/>
        <v>34</v>
      </c>
      <c r="CI33" s="68">
        <f t="shared" si="577"/>
        <v>0</v>
      </c>
      <c r="CJ33" s="68">
        <f t="shared" si="577"/>
        <v>20</v>
      </c>
      <c r="CK33" s="68">
        <f t="shared" si="577"/>
        <v>0</v>
      </c>
      <c r="CL33" s="68">
        <f t="shared" ref="CL33:CM34" si="578">CJ33+CH33+CF33+CD33+CB33+BZ33+BX33</f>
        <v>173</v>
      </c>
      <c r="CM33" s="68">
        <f t="shared" si="578"/>
        <v>0</v>
      </c>
      <c r="CN33" s="68">
        <f t="shared" ref="CN33:CN34" si="579">CM33+CL33</f>
        <v>173</v>
      </c>
      <c r="CO33" s="68">
        <v>2</v>
      </c>
      <c r="CP33" s="68"/>
      <c r="CQ33" s="68"/>
      <c r="CR33" s="68">
        <v>1</v>
      </c>
      <c r="CS33" s="68"/>
      <c r="CT33" s="68"/>
      <c r="CU33" s="68">
        <v>2</v>
      </c>
      <c r="CV33" s="68"/>
      <c r="CW33" s="68"/>
      <c r="CX33" s="68">
        <f t="shared" ref="CX33:CZ34" si="580">CU33+CR33+CO33</f>
        <v>5</v>
      </c>
      <c r="CY33" s="68">
        <f t="shared" si="580"/>
        <v>0</v>
      </c>
      <c r="CZ33" s="68">
        <f t="shared" si="580"/>
        <v>0</v>
      </c>
      <c r="DA33" s="68">
        <f t="shared" ref="DA33:DA34" si="581">CZ33+CY33+CX33</f>
        <v>5</v>
      </c>
      <c r="DB33" s="68"/>
      <c r="DC33" s="68"/>
      <c r="DD33" s="68"/>
      <c r="DE33" s="68"/>
      <c r="DF33" s="68"/>
      <c r="DG33" s="68"/>
      <c r="DH33" s="68">
        <f>DF33+DD33+DB33</f>
        <v>0</v>
      </c>
      <c r="DI33" s="68">
        <f>DG33+DE33+DC33</f>
        <v>0</v>
      </c>
      <c r="DJ33" s="68">
        <f>DI33+DH33</f>
        <v>0</v>
      </c>
      <c r="DK33" s="68">
        <v>34</v>
      </c>
      <c r="DL33" s="68"/>
      <c r="DM33" s="68">
        <v>21</v>
      </c>
      <c r="DN33" s="68"/>
      <c r="DO33" s="68">
        <v>17</v>
      </c>
      <c r="DP33" s="68"/>
      <c r="DQ33" s="68">
        <f t="shared" ref="DQ33:DR34" si="582">DO33+DM33+DK33</f>
        <v>72</v>
      </c>
      <c r="DR33" s="68">
        <f t="shared" si="582"/>
        <v>0</v>
      </c>
      <c r="DS33" s="68">
        <f t="shared" ref="DS33:DS34" si="583">DR33+DQ33</f>
        <v>72</v>
      </c>
      <c r="DT33" s="68">
        <v>1</v>
      </c>
      <c r="DU33" s="68"/>
      <c r="DV33" s="68">
        <v>1</v>
      </c>
      <c r="DW33" s="68"/>
      <c r="DX33" s="68">
        <v>33</v>
      </c>
      <c r="DY33" s="68"/>
      <c r="DZ33" s="68">
        <f t="shared" ref="DZ33:EA34" si="584">DX33+DV33+DT33</f>
        <v>35</v>
      </c>
      <c r="EA33" s="68">
        <f t="shared" si="584"/>
        <v>0</v>
      </c>
      <c r="EB33" s="68">
        <f t="shared" ref="EB33:EB34" si="585">EA33+DZ33</f>
        <v>35</v>
      </c>
      <c r="EC33" s="68">
        <v>32</v>
      </c>
      <c r="ED33" s="68"/>
      <c r="EE33" s="68">
        <v>9</v>
      </c>
      <c r="EF33" s="68"/>
      <c r="EG33" s="68">
        <v>18</v>
      </c>
      <c r="EH33" s="68"/>
      <c r="EI33" s="68">
        <f t="shared" ref="EI33:EJ34" si="586">EG33+EE33+EC33</f>
        <v>59</v>
      </c>
      <c r="EJ33" s="68">
        <f t="shared" si="586"/>
        <v>0</v>
      </c>
      <c r="EK33" s="68">
        <f t="shared" ref="EK33:EK34" si="587">EJ33+EI33</f>
        <v>59</v>
      </c>
      <c r="EL33" s="68"/>
      <c r="EM33" s="68"/>
      <c r="EN33" s="68"/>
      <c r="EO33" s="68"/>
      <c r="EP33" s="68"/>
      <c r="EQ33" s="68"/>
      <c r="ER33" s="68">
        <f t="shared" ref="ER33:ES34" si="588">EP33+EN33+EL33</f>
        <v>0</v>
      </c>
      <c r="ES33" s="68">
        <f t="shared" si="588"/>
        <v>0</v>
      </c>
      <c r="ET33" s="68">
        <f t="shared" ref="ET33:ET34" si="589">ES33+ER33</f>
        <v>0</v>
      </c>
      <c r="EU33" s="68">
        <v>1</v>
      </c>
      <c r="EV33" s="68"/>
      <c r="EW33" s="68"/>
      <c r="EX33" s="68"/>
      <c r="EY33" s="68">
        <v>2</v>
      </c>
      <c r="EZ33" s="68"/>
      <c r="FA33" s="68"/>
      <c r="FB33" s="68"/>
      <c r="FC33" s="68">
        <f t="shared" ref="FC33:FD34" si="590">FA33+EY33+EW33+EU33</f>
        <v>3</v>
      </c>
      <c r="FD33" s="68">
        <f t="shared" si="590"/>
        <v>0</v>
      </c>
      <c r="FE33" s="68">
        <f t="shared" ref="FE33:FE34" si="591">FD33+FC33</f>
        <v>3</v>
      </c>
      <c r="FF33" s="68"/>
      <c r="FG33" s="68"/>
      <c r="FH33" s="68"/>
      <c r="FI33" s="68"/>
      <c r="FJ33" s="68"/>
      <c r="FK33" s="68"/>
      <c r="FL33" s="68"/>
      <c r="FM33" s="68"/>
      <c r="FN33" s="68">
        <v>2</v>
      </c>
      <c r="FO33" s="68"/>
      <c r="FP33" s="68"/>
      <c r="FQ33" s="68"/>
      <c r="FR33" s="68"/>
      <c r="FS33" s="68"/>
      <c r="FT33" s="68"/>
      <c r="FU33" s="68">
        <f t="shared" ref="FU33" si="592">FT33+FS33+FR33+FN33+FL33+FH33+FF33</f>
        <v>2</v>
      </c>
      <c r="FV33" s="68">
        <f t="shared" ref="FV33" si="593">FO33+FM33+FI33+FG33</f>
        <v>0</v>
      </c>
      <c r="FW33" s="68">
        <f t="shared" ref="FW33" si="594">FV33+FU33</f>
        <v>2</v>
      </c>
      <c r="FX33" s="68"/>
      <c r="FY33" s="68"/>
      <c r="FZ33" s="68"/>
      <c r="GA33" s="68"/>
      <c r="GB33" s="68">
        <v>1</v>
      </c>
      <c r="GC33" s="68"/>
      <c r="GD33" s="68"/>
      <c r="GE33" s="68"/>
      <c r="GF33" s="68"/>
      <c r="GG33" s="68"/>
      <c r="GH33" s="68"/>
      <c r="GI33" s="68"/>
      <c r="GJ33" s="68">
        <v>2</v>
      </c>
      <c r="GK33" s="68"/>
      <c r="GL33" s="68"/>
      <c r="GM33" s="68"/>
      <c r="GN33" s="68">
        <f t="shared" ref="GN33:GO34" si="595">GL33+GJ33+GH33+GF33+GD33+GB33+FZ33+FX33</f>
        <v>3</v>
      </c>
      <c r="GO33" s="68">
        <f t="shared" si="595"/>
        <v>0</v>
      </c>
      <c r="GP33" s="68">
        <f t="shared" ref="GP33:GP34" si="596">GO33+GN33</f>
        <v>3</v>
      </c>
      <c r="GQ33" s="68">
        <v>3</v>
      </c>
      <c r="GR33" s="68"/>
      <c r="GS33" s="68"/>
      <c r="GT33" s="68"/>
      <c r="GU33" s="68"/>
      <c r="GV33" s="68"/>
      <c r="GW33" s="68">
        <f t="shared" ref="GW33:GX34" si="597">GU33+GS33+GQ33</f>
        <v>3</v>
      </c>
      <c r="GX33" s="68">
        <f t="shared" si="597"/>
        <v>0</v>
      </c>
      <c r="GY33" s="68">
        <f t="shared" ref="GY33:GY34" si="598">GX33+GW33</f>
        <v>3</v>
      </c>
      <c r="GZ33" s="68">
        <v>3</v>
      </c>
      <c r="HA33" s="68"/>
      <c r="HB33" s="68"/>
      <c r="HC33" s="68"/>
      <c r="HD33" s="68"/>
      <c r="HE33" s="68"/>
      <c r="HF33" s="68"/>
      <c r="HG33" s="68"/>
      <c r="HH33" s="68"/>
      <c r="HI33" s="68"/>
      <c r="HJ33" s="68"/>
      <c r="HK33" s="68"/>
      <c r="HL33" s="68"/>
      <c r="HM33" s="68"/>
      <c r="HN33" s="68"/>
      <c r="HO33" s="68"/>
      <c r="HP33" s="68"/>
      <c r="HQ33" s="68">
        <f t="shared" ref="HQ33:HR34" si="599">HO33+GZ33</f>
        <v>3</v>
      </c>
      <c r="HR33" s="68">
        <f t="shared" si="599"/>
        <v>0</v>
      </c>
      <c r="HS33" s="68">
        <f t="shared" ref="HS33:HS34" si="600">HR33+HQ33</f>
        <v>3</v>
      </c>
      <c r="HT33" s="68"/>
      <c r="HU33" s="68"/>
      <c r="HV33" s="68">
        <v>3</v>
      </c>
      <c r="HW33" s="68"/>
      <c r="HX33" s="68"/>
      <c r="HY33" s="68"/>
      <c r="HZ33" s="68"/>
      <c r="IA33" s="68"/>
      <c r="IB33" s="68">
        <f t="shared" ref="IB33:IC34" si="601">HZ33+HX33+HV33+HT33</f>
        <v>3</v>
      </c>
      <c r="IC33" s="68">
        <f t="shared" si="601"/>
        <v>0</v>
      </c>
      <c r="ID33" s="68">
        <f t="shared" ref="ID33:ID34" si="602">IC33+IB33</f>
        <v>3</v>
      </c>
      <c r="IE33" s="68"/>
      <c r="IF33" s="68"/>
      <c r="IG33" s="68"/>
      <c r="IH33" s="68">
        <v>1</v>
      </c>
      <c r="II33" s="68"/>
      <c r="IJ33" s="68">
        <v>1</v>
      </c>
      <c r="IK33" s="68"/>
      <c r="IL33" s="68">
        <v>1</v>
      </c>
      <c r="IM33" s="68"/>
      <c r="IN33" s="68"/>
      <c r="IO33" s="68"/>
      <c r="IP33" s="68"/>
      <c r="IQ33" s="68">
        <v>80</v>
      </c>
      <c r="IR33" s="68"/>
      <c r="IS33" s="68">
        <v>5</v>
      </c>
      <c r="IT33" s="68">
        <v>1</v>
      </c>
      <c r="IU33" s="68">
        <v>1</v>
      </c>
      <c r="IV33" s="68"/>
      <c r="IW33" s="68"/>
      <c r="IX33" s="68">
        <v>1</v>
      </c>
      <c r="IY33" s="68" t="s">
        <v>290</v>
      </c>
      <c r="IZ33" s="82">
        <v>7831488275</v>
      </c>
      <c r="JA33" s="68" t="s">
        <v>218</v>
      </c>
    </row>
    <row r="34" spans="1:262" s="69" customFormat="1" ht="24.75" customHeight="1" x14ac:dyDescent="0.2">
      <c r="A34" s="68" t="s">
        <v>48</v>
      </c>
      <c r="B34" s="68" t="s">
        <v>148</v>
      </c>
      <c r="C34" s="68">
        <v>21</v>
      </c>
      <c r="D34" s="68">
        <v>1400766</v>
      </c>
      <c r="E34" s="68" t="s">
        <v>270</v>
      </c>
      <c r="F34" s="68"/>
      <c r="G34" s="68">
        <v>1</v>
      </c>
      <c r="H34" s="68"/>
      <c r="I34" s="68">
        <v>1</v>
      </c>
      <c r="J34" s="68"/>
      <c r="K34" s="68">
        <v>1</v>
      </c>
      <c r="L34" s="68"/>
      <c r="M34" s="68"/>
      <c r="N34" s="68">
        <v>1</v>
      </c>
      <c r="O34" s="68"/>
      <c r="P34" s="68"/>
      <c r="Q34" s="68"/>
      <c r="R34" s="68">
        <v>1</v>
      </c>
      <c r="S34" s="68"/>
      <c r="T34" s="68"/>
      <c r="U34" s="68"/>
      <c r="V34" s="68">
        <v>1</v>
      </c>
      <c r="W34" s="68"/>
      <c r="X34" s="68">
        <v>1</v>
      </c>
      <c r="Y34" s="68"/>
      <c r="Z34" s="91">
        <v>2</v>
      </c>
      <c r="AA34" s="68"/>
      <c r="AB34" s="68">
        <v>2</v>
      </c>
      <c r="AC34" s="68"/>
      <c r="AD34" s="68">
        <v>1</v>
      </c>
      <c r="AE34" s="68"/>
      <c r="AF34" s="68">
        <v>3</v>
      </c>
      <c r="AG34" s="68"/>
      <c r="AH34" s="68">
        <v>1</v>
      </c>
      <c r="AI34" s="68"/>
      <c r="AJ34" s="68">
        <v>4</v>
      </c>
      <c r="AK34" s="68"/>
      <c r="AL34" s="68">
        <v>2</v>
      </c>
      <c r="AM34" s="68">
        <f t="shared" si="571"/>
        <v>0</v>
      </c>
      <c r="AN34" s="68">
        <f t="shared" si="571"/>
        <v>15</v>
      </c>
      <c r="AO34" s="68">
        <f t="shared" si="572"/>
        <v>15</v>
      </c>
      <c r="AP34" s="68"/>
      <c r="AQ34" s="68">
        <v>4</v>
      </c>
      <c r="AR34" s="68"/>
      <c r="AS34" s="68">
        <v>2</v>
      </c>
      <c r="AT34" s="68"/>
      <c r="AU34" s="68">
        <v>7</v>
      </c>
      <c r="AV34" s="68"/>
      <c r="AW34" s="68">
        <v>2</v>
      </c>
      <c r="AX34" s="68"/>
      <c r="AY34" s="68">
        <v>2</v>
      </c>
      <c r="AZ34" s="68"/>
      <c r="BA34" s="68">
        <v>1</v>
      </c>
      <c r="BB34" s="68"/>
      <c r="BC34" s="68"/>
      <c r="BD34" s="68">
        <f t="shared" si="573"/>
        <v>0</v>
      </c>
      <c r="BE34" s="68">
        <f t="shared" si="573"/>
        <v>18</v>
      </c>
      <c r="BF34" s="68">
        <f t="shared" si="574"/>
        <v>18</v>
      </c>
      <c r="BG34" s="68"/>
      <c r="BH34" s="68">
        <v>2</v>
      </c>
      <c r="BI34" s="68"/>
      <c r="BJ34" s="68">
        <v>1</v>
      </c>
      <c r="BK34" s="68"/>
      <c r="BL34" s="68">
        <v>2</v>
      </c>
      <c r="BM34" s="68"/>
      <c r="BN34" s="68">
        <v>3</v>
      </c>
      <c r="BO34" s="68"/>
      <c r="BP34" s="68">
        <v>8</v>
      </c>
      <c r="BQ34" s="68"/>
      <c r="BR34" s="68">
        <v>4</v>
      </c>
      <c r="BS34" s="68"/>
      <c r="BT34" s="68">
        <v>12</v>
      </c>
      <c r="BU34" s="68">
        <f t="shared" si="575"/>
        <v>0</v>
      </c>
      <c r="BV34" s="68">
        <f t="shared" si="575"/>
        <v>32</v>
      </c>
      <c r="BW34" s="68">
        <f t="shared" si="576"/>
        <v>32</v>
      </c>
      <c r="BX34" s="68">
        <f t="shared" si="577"/>
        <v>0</v>
      </c>
      <c r="BY34" s="68">
        <f t="shared" si="577"/>
        <v>8</v>
      </c>
      <c r="BZ34" s="68">
        <f t="shared" si="577"/>
        <v>0</v>
      </c>
      <c r="CA34" s="68">
        <f t="shared" si="577"/>
        <v>5</v>
      </c>
      <c r="CB34" s="68">
        <f t="shared" si="577"/>
        <v>0</v>
      </c>
      <c r="CC34" s="68">
        <f t="shared" si="577"/>
        <v>10</v>
      </c>
      <c r="CD34" s="68">
        <f t="shared" si="577"/>
        <v>0</v>
      </c>
      <c r="CE34" s="68">
        <f t="shared" si="577"/>
        <v>8</v>
      </c>
      <c r="CF34" s="68">
        <f t="shared" si="577"/>
        <v>0</v>
      </c>
      <c r="CG34" s="68">
        <f t="shared" si="577"/>
        <v>11</v>
      </c>
      <c r="CH34" s="68">
        <f t="shared" si="577"/>
        <v>0</v>
      </c>
      <c r="CI34" s="68">
        <f t="shared" si="577"/>
        <v>9</v>
      </c>
      <c r="CJ34" s="68">
        <f t="shared" si="577"/>
        <v>0</v>
      </c>
      <c r="CK34" s="68">
        <f t="shared" si="577"/>
        <v>14</v>
      </c>
      <c r="CL34" s="68">
        <f t="shared" si="578"/>
        <v>0</v>
      </c>
      <c r="CM34" s="68">
        <f t="shared" si="578"/>
        <v>65</v>
      </c>
      <c r="CN34" s="68">
        <f t="shared" si="579"/>
        <v>65</v>
      </c>
      <c r="CO34" s="68"/>
      <c r="CP34" s="68">
        <v>1</v>
      </c>
      <c r="CQ34" s="68"/>
      <c r="CR34" s="68"/>
      <c r="CS34" s="68">
        <v>1</v>
      </c>
      <c r="CT34" s="68"/>
      <c r="CU34" s="68"/>
      <c r="CV34" s="68">
        <v>2</v>
      </c>
      <c r="CW34" s="68"/>
      <c r="CX34" s="68">
        <f t="shared" si="580"/>
        <v>0</v>
      </c>
      <c r="CY34" s="68">
        <f t="shared" si="580"/>
        <v>4</v>
      </c>
      <c r="CZ34" s="68">
        <f t="shared" si="580"/>
        <v>0</v>
      </c>
      <c r="DA34" s="68">
        <f t="shared" si="581"/>
        <v>4</v>
      </c>
      <c r="DB34" s="68"/>
      <c r="DC34" s="68"/>
      <c r="DD34" s="68"/>
      <c r="DE34" s="68">
        <v>2</v>
      </c>
      <c r="DF34" s="68"/>
      <c r="DG34" s="68">
        <v>1</v>
      </c>
      <c r="DH34" s="68">
        <f>DF34+DD34+DB34</f>
        <v>0</v>
      </c>
      <c r="DI34" s="68">
        <f>DG34+DE34+DC34</f>
        <v>3</v>
      </c>
      <c r="DJ34" s="68">
        <f>DI34+DH34</f>
        <v>3</v>
      </c>
      <c r="DK34" s="68"/>
      <c r="DL34" s="68">
        <v>10</v>
      </c>
      <c r="DM34" s="68"/>
      <c r="DN34" s="68">
        <v>10</v>
      </c>
      <c r="DO34" s="68"/>
      <c r="DP34" s="68">
        <v>13</v>
      </c>
      <c r="DQ34" s="68">
        <f t="shared" si="582"/>
        <v>0</v>
      </c>
      <c r="DR34" s="68">
        <f t="shared" si="582"/>
        <v>33</v>
      </c>
      <c r="DS34" s="68">
        <f t="shared" si="583"/>
        <v>33</v>
      </c>
      <c r="DT34" s="68"/>
      <c r="DU34" s="68"/>
      <c r="DV34" s="68"/>
      <c r="DW34" s="68"/>
      <c r="DX34" s="68"/>
      <c r="DY34" s="68">
        <v>3</v>
      </c>
      <c r="DZ34" s="68">
        <f t="shared" si="584"/>
        <v>0</v>
      </c>
      <c r="EA34" s="68">
        <f t="shared" si="584"/>
        <v>3</v>
      </c>
      <c r="EB34" s="68">
        <f t="shared" si="585"/>
        <v>3</v>
      </c>
      <c r="EC34" s="68"/>
      <c r="ED34" s="68"/>
      <c r="EE34" s="68"/>
      <c r="EF34" s="68"/>
      <c r="EG34" s="68"/>
      <c r="EH34" s="68">
        <v>3</v>
      </c>
      <c r="EI34" s="68">
        <f t="shared" si="586"/>
        <v>0</v>
      </c>
      <c r="EJ34" s="68">
        <f t="shared" si="586"/>
        <v>3</v>
      </c>
      <c r="EK34" s="68">
        <f t="shared" si="587"/>
        <v>3</v>
      </c>
      <c r="EL34" s="68"/>
      <c r="EM34" s="68"/>
      <c r="EN34" s="68"/>
      <c r="EO34" s="68"/>
      <c r="EP34" s="68"/>
      <c r="EQ34" s="68">
        <v>3</v>
      </c>
      <c r="ER34" s="68">
        <f t="shared" si="588"/>
        <v>0</v>
      </c>
      <c r="ES34" s="68">
        <f t="shared" si="588"/>
        <v>3</v>
      </c>
      <c r="ET34" s="68">
        <f t="shared" si="589"/>
        <v>3</v>
      </c>
      <c r="EU34" s="68"/>
      <c r="EV34" s="68">
        <v>1</v>
      </c>
      <c r="EW34" s="68"/>
      <c r="EX34" s="68"/>
      <c r="EY34" s="68"/>
      <c r="EZ34" s="68">
        <v>7</v>
      </c>
      <c r="FA34" s="68"/>
      <c r="FB34" s="68"/>
      <c r="FC34" s="68">
        <f t="shared" si="590"/>
        <v>0</v>
      </c>
      <c r="FD34" s="68">
        <f t="shared" si="590"/>
        <v>8</v>
      </c>
      <c r="FE34" s="68">
        <f t="shared" si="591"/>
        <v>8</v>
      </c>
      <c r="FF34" s="68"/>
      <c r="FG34" s="68"/>
      <c r="FH34" s="68"/>
      <c r="FI34" s="68"/>
      <c r="FJ34" s="68"/>
      <c r="FK34" s="68"/>
      <c r="FL34" s="68"/>
      <c r="FM34" s="68"/>
      <c r="FN34" s="68"/>
      <c r="FO34" s="68"/>
      <c r="FP34" s="68"/>
      <c r="FQ34" s="68"/>
      <c r="FR34" s="68"/>
      <c r="FS34" s="68"/>
      <c r="FT34" s="68"/>
      <c r="FU34" s="68"/>
      <c r="FV34" s="68"/>
      <c r="FW34" s="68"/>
      <c r="FX34" s="68"/>
      <c r="FY34" s="68">
        <v>1</v>
      </c>
      <c r="FZ34" s="68"/>
      <c r="GA34" s="68"/>
      <c r="GB34" s="68"/>
      <c r="GC34" s="68">
        <v>7</v>
      </c>
      <c r="GD34" s="68"/>
      <c r="GE34" s="68"/>
      <c r="GF34" s="68"/>
      <c r="GG34" s="68"/>
      <c r="GH34" s="68"/>
      <c r="GI34" s="68"/>
      <c r="GJ34" s="68"/>
      <c r="GK34" s="68"/>
      <c r="GL34" s="68"/>
      <c r="GM34" s="68"/>
      <c r="GN34" s="68">
        <f t="shared" si="595"/>
        <v>0</v>
      </c>
      <c r="GO34" s="68">
        <f t="shared" si="595"/>
        <v>8</v>
      </c>
      <c r="GP34" s="68">
        <f t="shared" si="596"/>
        <v>8</v>
      </c>
      <c r="GQ34" s="68"/>
      <c r="GR34" s="68">
        <v>8</v>
      </c>
      <c r="GS34" s="68"/>
      <c r="GT34" s="68"/>
      <c r="GU34" s="68"/>
      <c r="GV34" s="68"/>
      <c r="GW34" s="68">
        <f t="shared" si="597"/>
        <v>0</v>
      </c>
      <c r="GX34" s="68">
        <f t="shared" si="597"/>
        <v>8</v>
      </c>
      <c r="GY34" s="68">
        <f t="shared" si="598"/>
        <v>8</v>
      </c>
      <c r="GZ34" s="68"/>
      <c r="HA34" s="68">
        <v>7</v>
      </c>
      <c r="HB34" s="68"/>
      <c r="HC34" s="68"/>
      <c r="HD34" s="68"/>
      <c r="HE34" s="68"/>
      <c r="HF34" s="68"/>
      <c r="HG34" s="68"/>
      <c r="HH34" s="68"/>
      <c r="HI34" s="68"/>
      <c r="HJ34" s="68"/>
      <c r="HK34" s="68">
        <v>1</v>
      </c>
      <c r="HL34" s="68"/>
      <c r="HM34" s="68"/>
      <c r="HN34" s="68"/>
      <c r="HO34" s="68"/>
      <c r="HP34" s="68"/>
      <c r="HQ34" s="68">
        <f t="shared" si="599"/>
        <v>0</v>
      </c>
      <c r="HR34" s="68">
        <f t="shared" si="599"/>
        <v>7</v>
      </c>
      <c r="HS34" s="68">
        <f t="shared" si="600"/>
        <v>7</v>
      </c>
      <c r="HT34" s="68"/>
      <c r="HU34" s="68">
        <v>1</v>
      </c>
      <c r="HV34" s="68"/>
      <c r="HW34" s="68">
        <v>7</v>
      </c>
      <c r="HX34" s="68"/>
      <c r="HY34" s="68"/>
      <c r="HZ34" s="68"/>
      <c r="IA34" s="68"/>
      <c r="IB34" s="68">
        <f t="shared" si="601"/>
        <v>0</v>
      </c>
      <c r="IC34" s="68">
        <f t="shared" si="601"/>
        <v>8</v>
      </c>
      <c r="ID34" s="68">
        <f t="shared" si="602"/>
        <v>8</v>
      </c>
      <c r="IE34" s="68"/>
      <c r="IF34" s="68"/>
      <c r="IG34" s="68"/>
      <c r="IH34" s="68">
        <v>1</v>
      </c>
      <c r="II34" s="68"/>
      <c r="IJ34" s="68">
        <v>1</v>
      </c>
      <c r="IK34" s="68"/>
      <c r="IL34" s="68">
        <v>1</v>
      </c>
      <c r="IM34" s="68"/>
      <c r="IN34" s="68"/>
      <c r="IO34" s="68"/>
      <c r="IP34" s="68"/>
      <c r="IQ34" s="68"/>
      <c r="IR34" s="68"/>
      <c r="IS34" s="68">
        <v>4</v>
      </c>
      <c r="IT34" s="68"/>
      <c r="IU34" s="68"/>
      <c r="IV34" s="68"/>
      <c r="IW34" s="68"/>
      <c r="IX34" s="68">
        <v>1</v>
      </c>
      <c r="IY34" s="68" t="s">
        <v>267</v>
      </c>
      <c r="IZ34" s="82">
        <v>7817918680</v>
      </c>
      <c r="JA34" s="68" t="s">
        <v>268</v>
      </c>
    </row>
    <row r="35" spans="1:262" s="63" customFormat="1" ht="24.75" customHeight="1" x14ac:dyDescent="0.2">
      <c r="A35" s="169" t="s">
        <v>148</v>
      </c>
      <c r="B35" s="170"/>
      <c r="C35" s="170"/>
      <c r="D35" s="170"/>
      <c r="E35" s="171"/>
      <c r="F35" s="62">
        <f>SUM(F33:F34)</f>
        <v>0</v>
      </c>
      <c r="G35" s="62">
        <f t="shared" ref="G35:BR35" si="603">SUM(G33:G34)</f>
        <v>2</v>
      </c>
      <c r="H35" s="62">
        <f t="shared" si="603"/>
        <v>1</v>
      </c>
      <c r="I35" s="62">
        <f t="shared" si="603"/>
        <v>1</v>
      </c>
      <c r="J35" s="62">
        <f t="shared" si="603"/>
        <v>0</v>
      </c>
      <c r="K35" s="62">
        <f t="shared" si="603"/>
        <v>2</v>
      </c>
      <c r="L35" s="62">
        <f t="shared" si="603"/>
        <v>0</v>
      </c>
      <c r="M35" s="62">
        <f t="shared" si="603"/>
        <v>0</v>
      </c>
      <c r="N35" s="62">
        <f t="shared" si="603"/>
        <v>2</v>
      </c>
      <c r="O35" s="62">
        <f t="shared" si="603"/>
        <v>0</v>
      </c>
      <c r="P35" s="62">
        <f t="shared" si="603"/>
        <v>0</v>
      </c>
      <c r="Q35" s="62">
        <f t="shared" si="603"/>
        <v>0</v>
      </c>
      <c r="R35" s="62">
        <f t="shared" si="603"/>
        <v>2</v>
      </c>
      <c r="S35" s="62">
        <f t="shared" si="603"/>
        <v>0</v>
      </c>
      <c r="T35" s="62">
        <f t="shared" si="603"/>
        <v>0</v>
      </c>
      <c r="U35" s="62">
        <f t="shared" si="603"/>
        <v>0</v>
      </c>
      <c r="V35" s="62">
        <f t="shared" si="603"/>
        <v>2</v>
      </c>
      <c r="W35" s="62">
        <f t="shared" si="603"/>
        <v>0</v>
      </c>
      <c r="X35" s="62">
        <f t="shared" si="603"/>
        <v>1</v>
      </c>
      <c r="Y35" s="62">
        <f t="shared" si="603"/>
        <v>12</v>
      </c>
      <c r="Z35" s="62">
        <f t="shared" si="603"/>
        <v>2</v>
      </c>
      <c r="AA35" s="62">
        <f t="shared" si="603"/>
        <v>13</v>
      </c>
      <c r="AB35" s="62">
        <f t="shared" si="603"/>
        <v>2</v>
      </c>
      <c r="AC35" s="62">
        <f t="shared" si="603"/>
        <v>9</v>
      </c>
      <c r="AD35" s="62">
        <f t="shared" si="603"/>
        <v>1</v>
      </c>
      <c r="AE35" s="62">
        <f t="shared" si="603"/>
        <v>9</v>
      </c>
      <c r="AF35" s="62">
        <f t="shared" si="603"/>
        <v>3</v>
      </c>
      <c r="AG35" s="62">
        <f t="shared" si="603"/>
        <v>5</v>
      </c>
      <c r="AH35" s="62">
        <f t="shared" si="603"/>
        <v>1</v>
      </c>
      <c r="AI35" s="62">
        <f t="shared" si="603"/>
        <v>4</v>
      </c>
      <c r="AJ35" s="62">
        <f t="shared" si="603"/>
        <v>4</v>
      </c>
      <c r="AK35" s="62">
        <f t="shared" si="603"/>
        <v>2</v>
      </c>
      <c r="AL35" s="62">
        <f t="shared" si="603"/>
        <v>2</v>
      </c>
      <c r="AM35" s="62">
        <f t="shared" si="603"/>
        <v>54</v>
      </c>
      <c r="AN35" s="62">
        <f t="shared" si="603"/>
        <v>15</v>
      </c>
      <c r="AO35" s="62">
        <f t="shared" si="603"/>
        <v>69</v>
      </c>
      <c r="AP35" s="62">
        <f t="shared" si="603"/>
        <v>4</v>
      </c>
      <c r="AQ35" s="62">
        <f t="shared" si="603"/>
        <v>4</v>
      </c>
      <c r="AR35" s="62">
        <f t="shared" si="603"/>
        <v>2</v>
      </c>
      <c r="AS35" s="62">
        <f t="shared" si="603"/>
        <v>2</v>
      </c>
      <c r="AT35" s="62">
        <f t="shared" si="603"/>
        <v>6</v>
      </c>
      <c r="AU35" s="62">
        <f t="shared" si="603"/>
        <v>7</v>
      </c>
      <c r="AV35" s="62">
        <f t="shared" si="603"/>
        <v>11</v>
      </c>
      <c r="AW35" s="62">
        <f t="shared" si="603"/>
        <v>2</v>
      </c>
      <c r="AX35" s="62">
        <f t="shared" si="603"/>
        <v>5</v>
      </c>
      <c r="AY35" s="62">
        <f t="shared" si="603"/>
        <v>2</v>
      </c>
      <c r="AZ35" s="62">
        <f t="shared" si="603"/>
        <v>7</v>
      </c>
      <c r="BA35" s="62">
        <f t="shared" si="603"/>
        <v>1</v>
      </c>
      <c r="BB35" s="62">
        <f t="shared" si="603"/>
        <v>5</v>
      </c>
      <c r="BC35" s="62">
        <f t="shared" si="603"/>
        <v>0</v>
      </c>
      <c r="BD35" s="62">
        <f t="shared" si="603"/>
        <v>40</v>
      </c>
      <c r="BE35" s="62">
        <f t="shared" si="603"/>
        <v>18</v>
      </c>
      <c r="BF35" s="62">
        <f t="shared" si="603"/>
        <v>58</v>
      </c>
      <c r="BG35" s="62">
        <f t="shared" si="603"/>
        <v>10</v>
      </c>
      <c r="BH35" s="62">
        <f t="shared" si="603"/>
        <v>2</v>
      </c>
      <c r="BI35" s="62">
        <f t="shared" si="603"/>
        <v>5</v>
      </c>
      <c r="BJ35" s="62">
        <f t="shared" si="603"/>
        <v>1</v>
      </c>
      <c r="BK35" s="62">
        <f t="shared" si="603"/>
        <v>4</v>
      </c>
      <c r="BL35" s="62">
        <f t="shared" si="603"/>
        <v>2</v>
      </c>
      <c r="BM35" s="62">
        <f t="shared" si="603"/>
        <v>14</v>
      </c>
      <c r="BN35" s="62">
        <f t="shared" si="603"/>
        <v>3</v>
      </c>
      <c r="BO35" s="62">
        <f t="shared" si="603"/>
        <v>10</v>
      </c>
      <c r="BP35" s="62">
        <f t="shared" si="603"/>
        <v>8</v>
      </c>
      <c r="BQ35" s="62">
        <f t="shared" si="603"/>
        <v>23</v>
      </c>
      <c r="BR35" s="62">
        <f t="shared" si="603"/>
        <v>4</v>
      </c>
      <c r="BS35" s="62">
        <f t="shared" ref="BS35:ED35" si="604">SUM(BS33:BS34)</f>
        <v>13</v>
      </c>
      <c r="BT35" s="62">
        <f t="shared" si="604"/>
        <v>12</v>
      </c>
      <c r="BU35" s="62">
        <f t="shared" si="604"/>
        <v>79</v>
      </c>
      <c r="BV35" s="62">
        <f t="shared" si="604"/>
        <v>32</v>
      </c>
      <c r="BW35" s="62">
        <f t="shared" si="604"/>
        <v>111</v>
      </c>
      <c r="BX35" s="62">
        <f t="shared" si="604"/>
        <v>26</v>
      </c>
      <c r="BY35" s="62">
        <f t="shared" si="604"/>
        <v>8</v>
      </c>
      <c r="BZ35" s="62">
        <f t="shared" si="604"/>
        <v>20</v>
      </c>
      <c r="CA35" s="62">
        <f t="shared" si="604"/>
        <v>5</v>
      </c>
      <c r="CB35" s="62">
        <f t="shared" si="604"/>
        <v>19</v>
      </c>
      <c r="CC35" s="62">
        <f t="shared" si="604"/>
        <v>10</v>
      </c>
      <c r="CD35" s="62">
        <f t="shared" si="604"/>
        <v>34</v>
      </c>
      <c r="CE35" s="62">
        <f t="shared" si="604"/>
        <v>8</v>
      </c>
      <c r="CF35" s="62">
        <f t="shared" si="604"/>
        <v>20</v>
      </c>
      <c r="CG35" s="62">
        <f t="shared" si="604"/>
        <v>11</v>
      </c>
      <c r="CH35" s="62">
        <f t="shared" si="604"/>
        <v>34</v>
      </c>
      <c r="CI35" s="62">
        <f t="shared" si="604"/>
        <v>9</v>
      </c>
      <c r="CJ35" s="62">
        <f t="shared" si="604"/>
        <v>20</v>
      </c>
      <c r="CK35" s="62">
        <f t="shared" si="604"/>
        <v>14</v>
      </c>
      <c r="CL35" s="62">
        <f t="shared" si="604"/>
        <v>173</v>
      </c>
      <c r="CM35" s="62">
        <f t="shared" si="604"/>
        <v>65</v>
      </c>
      <c r="CN35" s="62">
        <f t="shared" si="604"/>
        <v>238</v>
      </c>
      <c r="CO35" s="62">
        <f t="shared" si="604"/>
        <v>2</v>
      </c>
      <c r="CP35" s="62">
        <f t="shared" si="604"/>
        <v>1</v>
      </c>
      <c r="CQ35" s="62">
        <f t="shared" si="604"/>
        <v>0</v>
      </c>
      <c r="CR35" s="62">
        <f t="shared" si="604"/>
        <v>1</v>
      </c>
      <c r="CS35" s="62">
        <f t="shared" si="604"/>
        <v>1</v>
      </c>
      <c r="CT35" s="62">
        <f t="shared" si="604"/>
        <v>0</v>
      </c>
      <c r="CU35" s="62">
        <f t="shared" si="604"/>
        <v>2</v>
      </c>
      <c r="CV35" s="62">
        <f t="shared" si="604"/>
        <v>2</v>
      </c>
      <c r="CW35" s="62">
        <f t="shared" si="604"/>
        <v>0</v>
      </c>
      <c r="CX35" s="62">
        <f t="shared" si="604"/>
        <v>5</v>
      </c>
      <c r="CY35" s="62">
        <f t="shared" si="604"/>
        <v>4</v>
      </c>
      <c r="CZ35" s="62">
        <f t="shared" si="604"/>
        <v>0</v>
      </c>
      <c r="DA35" s="62">
        <f t="shared" si="604"/>
        <v>9</v>
      </c>
      <c r="DB35" s="62">
        <f t="shared" si="604"/>
        <v>0</v>
      </c>
      <c r="DC35" s="62">
        <f t="shared" si="604"/>
        <v>0</v>
      </c>
      <c r="DD35" s="62">
        <f t="shared" si="604"/>
        <v>0</v>
      </c>
      <c r="DE35" s="62">
        <f t="shared" si="604"/>
        <v>2</v>
      </c>
      <c r="DF35" s="62">
        <f t="shared" si="604"/>
        <v>0</v>
      </c>
      <c r="DG35" s="62">
        <f t="shared" si="604"/>
        <v>1</v>
      </c>
      <c r="DH35" s="62">
        <f t="shared" si="604"/>
        <v>0</v>
      </c>
      <c r="DI35" s="62">
        <f t="shared" si="604"/>
        <v>3</v>
      </c>
      <c r="DJ35" s="62">
        <f t="shared" si="604"/>
        <v>3</v>
      </c>
      <c r="DK35" s="62">
        <f t="shared" si="604"/>
        <v>34</v>
      </c>
      <c r="DL35" s="62">
        <f t="shared" si="604"/>
        <v>10</v>
      </c>
      <c r="DM35" s="62">
        <f t="shared" si="604"/>
        <v>21</v>
      </c>
      <c r="DN35" s="62">
        <f t="shared" si="604"/>
        <v>10</v>
      </c>
      <c r="DO35" s="62">
        <f t="shared" si="604"/>
        <v>17</v>
      </c>
      <c r="DP35" s="62">
        <f t="shared" si="604"/>
        <v>13</v>
      </c>
      <c r="DQ35" s="62">
        <f t="shared" si="604"/>
        <v>72</v>
      </c>
      <c r="DR35" s="62">
        <f t="shared" si="604"/>
        <v>33</v>
      </c>
      <c r="DS35" s="62">
        <f t="shared" si="604"/>
        <v>105</v>
      </c>
      <c r="DT35" s="62">
        <f t="shared" si="604"/>
        <v>1</v>
      </c>
      <c r="DU35" s="62">
        <f t="shared" si="604"/>
        <v>0</v>
      </c>
      <c r="DV35" s="62">
        <f t="shared" si="604"/>
        <v>1</v>
      </c>
      <c r="DW35" s="62">
        <f t="shared" si="604"/>
        <v>0</v>
      </c>
      <c r="DX35" s="62">
        <f t="shared" si="604"/>
        <v>33</v>
      </c>
      <c r="DY35" s="62">
        <f t="shared" si="604"/>
        <v>3</v>
      </c>
      <c r="DZ35" s="62">
        <f t="shared" si="604"/>
        <v>35</v>
      </c>
      <c r="EA35" s="62">
        <f t="shared" si="604"/>
        <v>3</v>
      </c>
      <c r="EB35" s="62">
        <f t="shared" si="604"/>
        <v>38</v>
      </c>
      <c r="EC35" s="62">
        <f t="shared" si="604"/>
        <v>32</v>
      </c>
      <c r="ED35" s="62">
        <f t="shared" si="604"/>
        <v>0</v>
      </c>
      <c r="EE35" s="62">
        <f t="shared" ref="EE35:GP35" si="605">SUM(EE33:EE34)</f>
        <v>9</v>
      </c>
      <c r="EF35" s="62">
        <f t="shared" si="605"/>
        <v>0</v>
      </c>
      <c r="EG35" s="62">
        <f t="shared" si="605"/>
        <v>18</v>
      </c>
      <c r="EH35" s="62">
        <f t="shared" si="605"/>
        <v>3</v>
      </c>
      <c r="EI35" s="62">
        <f t="shared" si="605"/>
        <v>59</v>
      </c>
      <c r="EJ35" s="62">
        <f t="shared" si="605"/>
        <v>3</v>
      </c>
      <c r="EK35" s="62">
        <f t="shared" si="605"/>
        <v>62</v>
      </c>
      <c r="EL35" s="62">
        <f t="shared" si="605"/>
        <v>0</v>
      </c>
      <c r="EM35" s="62">
        <f t="shared" si="605"/>
        <v>0</v>
      </c>
      <c r="EN35" s="62">
        <f t="shared" si="605"/>
        <v>0</v>
      </c>
      <c r="EO35" s="62">
        <f t="shared" si="605"/>
        <v>0</v>
      </c>
      <c r="EP35" s="62">
        <f t="shared" si="605"/>
        <v>0</v>
      </c>
      <c r="EQ35" s="62">
        <f t="shared" si="605"/>
        <v>3</v>
      </c>
      <c r="ER35" s="62">
        <f t="shared" si="605"/>
        <v>0</v>
      </c>
      <c r="ES35" s="62">
        <f t="shared" si="605"/>
        <v>3</v>
      </c>
      <c r="ET35" s="62">
        <f t="shared" si="605"/>
        <v>3</v>
      </c>
      <c r="EU35" s="62">
        <f t="shared" si="605"/>
        <v>1</v>
      </c>
      <c r="EV35" s="62">
        <f t="shared" si="605"/>
        <v>1</v>
      </c>
      <c r="EW35" s="62">
        <f t="shared" si="605"/>
        <v>0</v>
      </c>
      <c r="EX35" s="62">
        <f t="shared" si="605"/>
        <v>0</v>
      </c>
      <c r="EY35" s="62">
        <f t="shared" si="605"/>
        <v>2</v>
      </c>
      <c r="EZ35" s="62">
        <f t="shared" si="605"/>
        <v>7</v>
      </c>
      <c r="FA35" s="62">
        <f t="shared" si="605"/>
        <v>0</v>
      </c>
      <c r="FB35" s="62">
        <f t="shared" si="605"/>
        <v>0</v>
      </c>
      <c r="FC35" s="62">
        <f t="shared" si="605"/>
        <v>3</v>
      </c>
      <c r="FD35" s="62">
        <f t="shared" si="605"/>
        <v>8</v>
      </c>
      <c r="FE35" s="62">
        <f t="shared" si="605"/>
        <v>11</v>
      </c>
      <c r="FF35" s="62">
        <f t="shared" si="605"/>
        <v>0</v>
      </c>
      <c r="FG35" s="62">
        <f t="shared" si="605"/>
        <v>0</v>
      </c>
      <c r="FH35" s="62">
        <f t="shared" si="605"/>
        <v>0</v>
      </c>
      <c r="FI35" s="62">
        <f t="shared" si="605"/>
        <v>0</v>
      </c>
      <c r="FJ35" s="62">
        <f t="shared" si="605"/>
        <v>0</v>
      </c>
      <c r="FK35" s="62">
        <f t="shared" si="605"/>
        <v>0</v>
      </c>
      <c r="FL35" s="62">
        <f t="shared" si="605"/>
        <v>0</v>
      </c>
      <c r="FM35" s="62">
        <f t="shared" si="605"/>
        <v>0</v>
      </c>
      <c r="FN35" s="62">
        <f t="shared" si="605"/>
        <v>2</v>
      </c>
      <c r="FO35" s="62">
        <f t="shared" si="605"/>
        <v>0</v>
      </c>
      <c r="FP35" s="62">
        <f t="shared" si="605"/>
        <v>0</v>
      </c>
      <c r="FQ35" s="62">
        <f t="shared" si="605"/>
        <v>0</v>
      </c>
      <c r="FR35" s="62">
        <f t="shared" si="605"/>
        <v>0</v>
      </c>
      <c r="FS35" s="62">
        <f t="shared" si="605"/>
        <v>0</v>
      </c>
      <c r="FT35" s="62">
        <f t="shared" si="605"/>
        <v>0</v>
      </c>
      <c r="FU35" s="62">
        <f t="shared" si="605"/>
        <v>2</v>
      </c>
      <c r="FV35" s="62">
        <f t="shared" si="605"/>
        <v>0</v>
      </c>
      <c r="FW35" s="62">
        <f t="shared" si="605"/>
        <v>2</v>
      </c>
      <c r="FX35" s="62">
        <f t="shared" si="605"/>
        <v>0</v>
      </c>
      <c r="FY35" s="62">
        <f t="shared" si="605"/>
        <v>1</v>
      </c>
      <c r="FZ35" s="62">
        <f t="shared" si="605"/>
        <v>0</v>
      </c>
      <c r="GA35" s="62">
        <f t="shared" si="605"/>
        <v>0</v>
      </c>
      <c r="GB35" s="62">
        <f t="shared" si="605"/>
        <v>1</v>
      </c>
      <c r="GC35" s="62">
        <f t="shared" si="605"/>
        <v>7</v>
      </c>
      <c r="GD35" s="62">
        <f t="shared" si="605"/>
        <v>0</v>
      </c>
      <c r="GE35" s="62">
        <f t="shared" si="605"/>
        <v>0</v>
      </c>
      <c r="GF35" s="62">
        <f t="shared" si="605"/>
        <v>0</v>
      </c>
      <c r="GG35" s="62">
        <f t="shared" si="605"/>
        <v>0</v>
      </c>
      <c r="GH35" s="62">
        <f t="shared" si="605"/>
        <v>0</v>
      </c>
      <c r="GI35" s="62">
        <f t="shared" si="605"/>
        <v>0</v>
      </c>
      <c r="GJ35" s="62">
        <f t="shared" si="605"/>
        <v>2</v>
      </c>
      <c r="GK35" s="62">
        <f t="shared" si="605"/>
        <v>0</v>
      </c>
      <c r="GL35" s="62">
        <f t="shared" si="605"/>
        <v>0</v>
      </c>
      <c r="GM35" s="62">
        <f t="shared" si="605"/>
        <v>0</v>
      </c>
      <c r="GN35" s="62">
        <f t="shared" si="605"/>
        <v>3</v>
      </c>
      <c r="GO35" s="62">
        <f t="shared" si="605"/>
        <v>8</v>
      </c>
      <c r="GP35" s="62">
        <f t="shared" si="605"/>
        <v>11</v>
      </c>
      <c r="GQ35" s="62">
        <f t="shared" ref="GQ35:IX35" si="606">SUM(GQ33:GQ34)</f>
        <v>3</v>
      </c>
      <c r="GR35" s="62">
        <f t="shared" si="606"/>
        <v>8</v>
      </c>
      <c r="GS35" s="62">
        <f t="shared" si="606"/>
        <v>0</v>
      </c>
      <c r="GT35" s="62">
        <f t="shared" si="606"/>
        <v>0</v>
      </c>
      <c r="GU35" s="62">
        <f t="shared" si="606"/>
        <v>0</v>
      </c>
      <c r="GV35" s="62">
        <f t="shared" si="606"/>
        <v>0</v>
      </c>
      <c r="GW35" s="62">
        <f t="shared" si="606"/>
        <v>3</v>
      </c>
      <c r="GX35" s="62">
        <f t="shared" si="606"/>
        <v>8</v>
      </c>
      <c r="GY35" s="62">
        <f t="shared" si="606"/>
        <v>11</v>
      </c>
      <c r="GZ35" s="62">
        <f t="shared" si="606"/>
        <v>3</v>
      </c>
      <c r="HA35" s="62">
        <f t="shared" si="606"/>
        <v>7</v>
      </c>
      <c r="HB35" s="62">
        <f t="shared" si="606"/>
        <v>0</v>
      </c>
      <c r="HC35" s="62">
        <f t="shared" si="606"/>
        <v>0</v>
      </c>
      <c r="HD35" s="62">
        <f t="shared" si="606"/>
        <v>0</v>
      </c>
      <c r="HE35" s="62">
        <f t="shared" si="606"/>
        <v>0</v>
      </c>
      <c r="HF35" s="62">
        <f t="shared" si="606"/>
        <v>0</v>
      </c>
      <c r="HG35" s="62">
        <f t="shared" si="606"/>
        <v>0</v>
      </c>
      <c r="HH35" s="62">
        <f t="shared" si="606"/>
        <v>0</v>
      </c>
      <c r="HI35" s="62">
        <f t="shared" si="606"/>
        <v>0</v>
      </c>
      <c r="HJ35" s="62">
        <f t="shared" si="606"/>
        <v>0</v>
      </c>
      <c r="HK35" s="62">
        <f t="shared" si="606"/>
        <v>1</v>
      </c>
      <c r="HL35" s="62">
        <f t="shared" si="606"/>
        <v>0</v>
      </c>
      <c r="HM35" s="62">
        <f t="shared" si="606"/>
        <v>0</v>
      </c>
      <c r="HN35" s="62">
        <f t="shared" si="606"/>
        <v>0</v>
      </c>
      <c r="HO35" s="62">
        <f t="shared" si="606"/>
        <v>0</v>
      </c>
      <c r="HP35" s="62">
        <f t="shared" si="606"/>
        <v>0</v>
      </c>
      <c r="HQ35" s="62">
        <f t="shared" si="606"/>
        <v>3</v>
      </c>
      <c r="HR35" s="62">
        <f t="shared" si="606"/>
        <v>7</v>
      </c>
      <c r="HS35" s="62">
        <f t="shared" si="606"/>
        <v>10</v>
      </c>
      <c r="HT35" s="62">
        <f t="shared" si="606"/>
        <v>0</v>
      </c>
      <c r="HU35" s="62">
        <f t="shared" si="606"/>
        <v>1</v>
      </c>
      <c r="HV35" s="62">
        <f t="shared" si="606"/>
        <v>3</v>
      </c>
      <c r="HW35" s="62">
        <f t="shared" si="606"/>
        <v>7</v>
      </c>
      <c r="HX35" s="62">
        <f t="shared" si="606"/>
        <v>0</v>
      </c>
      <c r="HY35" s="62">
        <f t="shared" si="606"/>
        <v>0</v>
      </c>
      <c r="HZ35" s="62">
        <f t="shared" si="606"/>
        <v>0</v>
      </c>
      <c r="IA35" s="62">
        <f t="shared" si="606"/>
        <v>0</v>
      </c>
      <c r="IB35" s="62">
        <f t="shared" si="606"/>
        <v>3</v>
      </c>
      <c r="IC35" s="62">
        <f t="shared" si="606"/>
        <v>8</v>
      </c>
      <c r="ID35" s="62">
        <f t="shared" si="606"/>
        <v>11</v>
      </c>
      <c r="IE35" s="62">
        <f t="shared" si="606"/>
        <v>0</v>
      </c>
      <c r="IF35" s="62">
        <f t="shared" si="606"/>
        <v>0</v>
      </c>
      <c r="IG35" s="62">
        <f t="shared" si="606"/>
        <v>0</v>
      </c>
      <c r="IH35" s="62">
        <f t="shared" si="606"/>
        <v>2</v>
      </c>
      <c r="II35" s="62">
        <f t="shared" si="606"/>
        <v>0</v>
      </c>
      <c r="IJ35" s="62">
        <f t="shared" si="606"/>
        <v>2</v>
      </c>
      <c r="IK35" s="62">
        <f t="shared" si="606"/>
        <v>0</v>
      </c>
      <c r="IL35" s="62">
        <f t="shared" si="606"/>
        <v>2</v>
      </c>
      <c r="IM35" s="62">
        <f t="shared" si="606"/>
        <v>0</v>
      </c>
      <c r="IN35" s="62">
        <f t="shared" si="606"/>
        <v>0</v>
      </c>
      <c r="IO35" s="62">
        <f t="shared" si="606"/>
        <v>0</v>
      </c>
      <c r="IP35" s="62">
        <f t="shared" si="606"/>
        <v>0</v>
      </c>
      <c r="IQ35" s="62">
        <f t="shared" si="606"/>
        <v>80</v>
      </c>
      <c r="IR35" s="62">
        <f t="shared" si="606"/>
        <v>0</v>
      </c>
      <c r="IS35" s="62">
        <f t="shared" si="606"/>
        <v>9</v>
      </c>
      <c r="IT35" s="62">
        <f t="shared" si="606"/>
        <v>1</v>
      </c>
      <c r="IU35" s="62">
        <f t="shared" si="606"/>
        <v>1</v>
      </c>
      <c r="IV35" s="62">
        <f t="shared" si="606"/>
        <v>0</v>
      </c>
      <c r="IW35" s="62">
        <f t="shared" si="606"/>
        <v>0</v>
      </c>
      <c r="IX35" s="62">
        <f t="shared" si="606"/>
        <v>2</v>
      </c>
      <c r="IY35" s="62"/>
      <c r="IZ35" s="84"/>
      <c r="JA35" s="62"/>
    </row>
    <row r="36" spans="1:262" s="69" customFormat="1" ht="24.75" customHeight="1" x14ac:dyDescent="0.2">
      <c r="A36" s="68" t="s">
        <v>48</v>
      </c>
      <c r="B36" s="68" t="s">
        <v>150</v>
      </c>
      <c r="C36" s="68">
        <v>22</v>
      </c>
      <c r="D36" s="68">
        <v>1400733</v>
      </c>
      <c r="E36" s="68" t="s">
        <v>151</v>
      </c>
      <c r="F36" s="68"/>
      <c r="G36" s="68">
        <v>1</v>
      </c>
      <c r="H36" s="68">
        <v>1</v>
      </c>
      <c r="I36" s="68"/>
      <c r="J36" s="68"/>
      <c r="K36" s="68">
        <v>1</v>
      </c>
      <c r="L36" s="68"/>
      <c r="M36" s="68"/>
      <c r="N36" s="68">
        <v>1</v>
      </c>
      <c r="O36" s="68"/>
      <c r="P36" s="68"/>
      <c r="Q36" s="68"/>
      <c r="R36" s="68">
        <v>1</v>
      </c>
      <c r="S36" s="68"/>
      <c r="T36" s="68"/>
      <c r="U36" s="68"/>
      <c r="V36" s="68">
        <v>1</v>
      </c>
      <c r="W36" s="68"/>
      <c r="X36" s="68"/>
      <c r="Y36" s="68"/>
      <c r="Z36" s="91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>
        <f t="shared" ref="AM36:AN36" si="607">AK36+AI36+AG36+AE36+AC36+AA36+Y36</f>
        <v>0</v>
      </c>
      <c r="AN36" s="68">
        <f t="shared" si="607"/>
        <v>0</v>
      </c>
      <c r="AO36" s="68">
        <f t="shared" ref="AO36" si="608">AN36+AM36</f>
        <v>0</v>
      </c>
      <c r="AP36" s="68">
        <v>1</v>
      </c>
      <c r="AQ36" s="68"/>
      <c r="AR36" s="68">
        <v>1</v>
      </c>
      <c r="AS36" s="68"/>
      <c r="AT36" s="68">
        <v>7</v>
      </c>
      <c r="AU36" s="68"/>
      <c r="AV36" s="68">
        <v>7</v>
      </c>
      <c r="AW36" s="68"/>
      <c r="AX36" s="68">
        <v>2</v>
      </c>
      <c r="AY36" s="68"/>
      <c r="AZ36" s="68"/>
      <c r="BA36" s="68"/>
      <c r="BB36" s="68">
        <v>1</v>
      </c>
      <c r="BC36" s="68"/>
      <c r="BD36" s="68">
        <f t="shared" ref="BD36" si="609">BB36+AZ36+AX36+AV36+AT36+AR36+AP36</f>
        <v>19</v>
      </c>
      <c r="BE36" s="68">
        <f t="shared" ref="BE36" si="610">BC36+BA36+AY36+AW36+AU36+AS36+AQ36</f>
        <v>0</v>
      </c>
      <c r="BF36" s="68">
        <f t="shared" ref="BF36" si="611">BE36+BD36</f>
        <v>19</v>
      </c>
      <c r="BG36" s="68"/>
      <c r="BH36" s="68"/>
      <c r="BI36" s="68">
        <v>2</v>
      </c>
      <c r="BJ36" s="68"/>
      <c r="BK36" s="68">
        <v>14</v>
      </c>
      <c r="BL36" s="68"/>
      <c r="BM36" s="68">
        <v>9</v>
      </c>
      <c r="BN36" s="68"/>
      <c r="BO36" s="68">
        <v>20</v>
      </c>
      <c r="BP36" s="68"/>
      <c r="BQ36" s="68">
        <v>8</v>
      </c>
      <c r="BR36" s="68"/>
      <c r="BS36" s="68"/>
      <c r="BT36" s="68"/>
      <c r="BU36" s="68">
        <f t="shared" ref="BU36:BV36" si="612">BS36+BQ36+BO36+BM36+BK36+BI36+BG36</f>
        <v>53</v>
      </c>
      <c r="BV36" s="68">
        <f t="shared" si="612"/>
        <v>0</v>
      </c>
      <c r="BW36" s="68">
        <f t="shared" ref="BW36" si="613">BV36+BU36</f>
        <v>53</v>
      </c>
      <c r="BX36" s="68">
        <f t="shared" ref="BX36:CK36" si="614">BG36+AP36+Y36</f>
        <v>1</v>
      </c>
      <c r="BY36" s="68">
        <f t="shared" si="614"/>
        <v>0</v>
      </c>
      <c r="BZ36" s="68">
        <f t="shared" si="614"/>
        <v>3</v>
      </c>
      <c r="CA36" s="68">
        <f t="shared" si="614"/>
        <v>0</v>
      </c>
      <c r="CB36" s="68">
        <f t="shared" si="614"/>
        <v>21</v>
      </c>
      <c r="CC36" s="68">
        <f t="shared" si="614"/>
        <v>0</v>
      </c>
      <c r="CD36" s="68">
        <f t="shared" si="614"/>
        <v>16</v>
      </c>
      <c r="CE36" s="68">
        <f t="shared" si="614"/>
        <v>0</v>
      </c>
      <c r="CF36" s="68">
        <f t="shared" si="614"/>
        <v>22</v>
      </c>
      <c r="CG36" s="68">
        <f t="shared" si="614"/>
        <v>0</v>
      </c>
      <c r="CH36" s="68">
        <f t="shared" si="614"/>
        <v>8</v>
      </c>
      <c r="CI36" s="68">
        <f t="shared" si="614"/>
        <v>0</v>
      </c>
      <c r="CJ36" s="68">
        <f t="shared" si="614"/>
        <v>1</v>
      </c>
      <c r="CK36" s="68">
        <f t="shared" si="614"/>
        <v>0</v>
      </c>
      <c r="CL36" s="68">
        <f t="shared" ref="CL36:CM36" si="615">CJ36+CH36+CF36+CD36+CB36+BZ36+BX36</f>
        <v>72</v>
      </c>
      <c r="CM36" s="68">
        <f t="shared" si="615"/>
        <v>0</v>
      </c>
      <c r="CN36" s="68">
        <f t="shared" ref="CN36" si="616">CM36+CL36</f>
        <v>72</v>
      </c>
      <c r="CO36" s="68"/>
      <c r="CP36" s="68"/>
      <c r="CQ36" s="68"/>
      <c r="CR36" s="68">
        <v>1</v>
      </c>
      <c r="CS36" s="68"/>
      <c r="CT36" s="68"/>
      <c r="CU36" s="68">
        <v>2</v>
      </c>
      <c r="CV36" s="68"/>
      <c r="CW36" s="68"/>
      <c r="CX36" s="68">
        <f t="shared" ref="CX36:CZ36" si="617">CU36+CR36+CO36</f>
        <v>3</v>
      </c>
      <c r="CY36" s="68">
        <f t="shared" si="617"/>
        <v>0</v>
      </c>
      <c r="CZ36" s="68">
        <f t="shared" si="617"/>
        <v>0</v>
      </c>
      <c r="DA36" s="68">
        <f t="shared" ref="DA36" si="618">CZ36+CY36+CX36</f>
        <v>3</v>
      </c>
      <c r="DB36" s="68"/>
      <c r="DC36" s="68"/>
      <c r="DD36" s="68"/>
      <c r="DE36" s="68"/>
      <c r="DF36" s="68"/>
      <c r="DG36" s="68"/>
      <c r="DH36" s="68">
        <f>DF36+DD36+DB36</f>
        <v>0</v>
      </c>
      <c r="DI36" s="68">
        <f>DG36+DE36+DC36</f>
        <v>0</v>
      </c>
      <c r="DJ36" s="68">
        <f>DI36+DH36</f>
        <v>0</v>
      </c>
      <c r="DK36" s="68"/>
      <c r="DL36" s="68"/>
      <c r="DM36" s="68"/>
      <c r="DN36" s="68">
        <v>14</v>
      </c>
      <c r="DO36" s="68"/>
      <c r="DP36" s="68">
        <v>4</v>
      </c>
      <c r="DQ36" s="68">
        <f t="shared" ref="DQ36:DR36" si="619">DO36+DM36+DK36</f>
        <v>0</v>
      </c>
      <c r="DR36" s="68">
        <f t="shared" si="619"/>
        <v>18</v>
      </c>
      <c r="DS36" s="68">
        <f t="shared" ref="DS36" si="620">DR36+DQ36</f>
        <v>18</v>
      </c>
      <c r="DT36" s="68"/>
      <c r="DU36" s="68"/>
      <c r="DV36" s="68"/>
      <c r="DW36" s="68">
        <v>3</v>
      </c>
      <c r="DX36" s="68"/>
      <c r="DY36" s="68">
        <v>54</v>
      </c>
      <c r="DZ36" s="68">
        <f t="shared" ref="DZ36:EA36" si="621">DX36+DV36+DT36</f>
        <v>0</v>
      </c>
      <c r="EA36" s="68">
        <f t="shared" si="621"/>
        <v>57</v>
      </c>
      <c r="EB36" s="68">
        <f t="shared" ref="EB36" si="622">EA36+DZ36</f>
        <v>57</v>
      </c>
      <c r="EC36" s="68"/>
      <c r="ED36" s="68"/>
      <c r="EE36" s="68"/>
      <c r="EF36" s="68">
        <v>7</v>
      </c>
      <c r="EG36" s="68"/>
      <c r="EH36" s="68">
        <v>10</v>
      </c>
      <c r="EI36" s="68">
        <f t="shared" ref="EI36:EJ36" si="623">EG36+EE36+EC36</f>
        <v>0</v>
      </c>
      <c r="EJ36" s="68">
        <f t="shared" si="623"/>
        <v>17</v>
      </c>
      <c r="EK36" s="68">
        <f t="shared" ref="EK36" si="624">EJ36+EI36</f>
        <v>17</v>
      </c>
      <c r="EL36" s="68"/>
      <c r="EM36" s="68"/>
      <c r="EN36" s="68"/>
      <c r="EO36" s="68"/>
      <c r="EP36" s="68"/>
      <c r="EQ36" s="68"/>
      <c r="ER36" s="68">
        <f t="shared" ref="ER36:ES36" si="625">EP36+EN36+EL36</f>
        <v>0</v>
      </c>
      <c r="ES36" s="68">
        <f t="shared" si="625"/>
        <v>0</v>
      </c>
      <c r="ET36" s="68">
        <f t="shared" ref="ET36" si="626">ES36+ER36</f>
        <v>0</v>
      </c>
      <c r="EU36" s="68">
        <v>1</v>
      </c>
      <c r="EV36" s="68"/>
      <c r="EW36" s="68"/>
      <c r="EX36" s="68"/>
      <c r="EY36" s="68">
        <v>4</v>
      </c>
      <c r="EZ36" s="68"/>
      <c r="FA36" s="68"/>
      <c r="FB36" s="68"/>
      <c r="FC36" s="68">
        <f t="shared" ref="FC36:FD36" si="627">FA36+EY36+EW36+EU36</f>
        <v>5</v>
      </c>
      <c r="FD36" s="68">
        <f t="shared" si="627"/>
        <v>0</v>
      </c>
      <c r="FE36" s="68">
        <f t="shared" ref="FE36" si="628">FD36+FC36</f>
        <v>5</v>
      </c>
      <c r="FF36" s="68"/>
      <c r="FG36" s="68"/>
      <c r="FH36" s="68"/>
      <c r="FI36" s="68"/>
      <c r="FJ36" s="68"/>
      <c r="FK36" s="68"/>
      <c r="FL36" s="68"/>
      <c r="FM36" s="68"/>
      <c r="FN36" s="68">
        <v>2</v>
      </c>
      <c r="FO36" s="68"/>
      <c r="FP36" s="68"/>
      <c r="FQ36" s="68"/>
      <c r="FR36" s="68"/>
      <c r="FS36" s="68"/>
      <c r="FT36" s="68"/>
      <c r="FU36" s="68">
        <f t="shared" ref="FU36" si="629">FT36+FS36+FR36+FN36+FL36+FH36+FF36</f>
        <v>2</v>
      </c>
      <c r="FV36" s="68">
        <f t="shared" ref="FV36" si="630">FO36+FM36+FI36+FG36</f>
        <v>0</v>
      </c>
      <c r="FW36" s="68">
        <f t="shared" ref="FW36" si="631">FV36+FU36</f>
        <v>2</v>
      </c>
      <c r="FX36" s="68"/>
      <c r="FY36" s="68"/>
      <c r="FZ36" s="68"/>
      <c r="GA36" s="68"/>
      <c r="GB36" s="68">
        <v>1</v>
      </c>
      <c r="GC36" s="68"/>
      <c r="GD36" s="68"/>
      <c r="GE36" s="68"/>
      <c r="GF36" s="68"/>
      <c r="GG36" s="68"/>
      <c r="GH36" s="68">
        <v>4</v>
      </c>
      <c r="GI36" s="68"/>
      <c r="GJ36" s="68"/>
      <c r="GK36" s="68"/>
      <c r="GL36" s="68"/>
      <c r="GM36" s="68"/>
      <c r="GN36" s="68">
        <f t="shared" ref="GN36:GO36" si="632">GL36+GJ36+GH36+GF36+GD36+GB36+FZ36+FX36</f>
        <v>5</v>
      </c>
      <c r="GO36" s="68">
        <f t="shared" si="632"/>
        <v>0</v>
      </c>
      <c r="GP36" s="68">
        <f t="shared" ref="GP36" si="633">GO36+GN36</f>
        <v>5</v>
      </c>
      <c r="GQ36" s="68">
        <v>5</v>
      </c>
      <c r="GR36" s="68"/>
      <c r="GS36" s="68"/>
      <c r="GT36" s="68"/>
      <c r="GU36" s="68"/>
      <c r="GV36" s="68"/>
      <c r="GW36" s="68">
        <f t="shared" ref="GW36:GX36" si="634">GU36+GS36+GQ36</f>
        <v>5</v>
      </c>
      <c r="GX36" s="68">
        <f t="shared" si="634"/>
        <v>0</v>
      </c>
      <c r="GY36" s="68">
        <f t="shared" ref="GY36" si="635">GX36+GW36</f>
        <v>5</v>
      </c>
      <c r="GZ36" s="68">
        <v>4</v>
      </c>
      <c r="HA36" s="68"/>
      <c r="HB36" s="68"/>
      <c r="HC36" s="68"/>
      <c r="HD36" s="68"/>
      <c r="HE36" s="68"/>
      <c r="HF36" s="68"/>
      <c r="HG36" s="68"/>
      <c r="HH36" s="68"/>
      <c r="HI36" s="68"/>
      <c r="HJ36" s="68"/>
      <c r="HK36" s="68"/>
      <c r="HL36" s="68"/>
      <c r="HM36" s="68"/>
      <c r="HN36" s="68"/>
      <c r="HO36" s="68">
        <v>1</v>
      </c>
      <c r="HP36" s="68"/>
      <c r="HQ36" s="68">
        <f t="shared" ref="HQ36:HR36" si="636">HO36+GZ36</f>
        <v>5</v>
      </c>
      <c r="HR36" s="68">
        <f t="shared" si="636"/>
        <v>0</v>
      </c>
      <c r="HS36" s="68">
        <f t="shared" ref="HS36" si="637">HR36+HQ36</f>
        <v>5</v>
      </c>
      <c r="HT36" s="68">
        <v>1</v>
      </c>
      <c r="HU36" s="68"/>
      <c r="HV36" s="68">
        <v>4</v>
      </c>
      <c r="HW36" s="68"/>
      <c r="HX36" s="68"/>
      <c r="HY36" s="68"/>
      <c r="HZ36" s="68"/>
      <c r="IA36" s="68"/>
      <c r="IB36" s="68">
        <f t="shared" ref="IB36:IC36" si="638">HZ36+HX36+HV36+HT36</f>
        <v>5</v>
      </c>
      <c r="IC36" s="68">
        <f t="shared" si="638"/>
        <v>0</v>
      </c>
      <c r="ID36" s="68">
        <f t="shared" ref="ID36" si="639">IC36+IB36</f>
        <v>5</v>
      </c>
      <c r="IE36" s="68"/>
      <c r="IF36" s="68"/>
      <c r="IG36" s="68"/>
      <c r="IH36" s="68">
        <v>1</v>
      </c>
      <c r="II36" s="68"/>
      <c r="IJ36" s="68">
        <v>1</v>
      </c>
      <c r="IK36" s="68"/>
      <c r="IL36" s="68">
        <v>1</v>
      </c>
      <c r="IM36" s="68"/>
      <c r="IN36" s="68"/>
      <c r="IO36" s="68"/>
      <c r="IP36" s="68"/>
      <c r="IQ36" s="68"/>
      <c r="IR36" s="68"/>
      <c r="IS36" s="68"/>
      <c r="IT36" s="68">
        <v>1</v>
      </c>
      <c r="IU36" s="68">
        <v>1</v>
      </c>
      <c r="IV36" s="68"/>
      <c r="IW36" s="68"/>
      <c r="IX36" s="68">
        <v>1</v>
      </c>
      <c r="IY36" s="68" t="s">
        <v>253</v>
      </c>
      <c r="IZ36" s="82">
        <v>7807413933</v>
      </c>
      <c r="JA36" s="68" t="s">
        <v>203</v>
      </c>
    </row>
    <row r="37" spans="1:262" s="63" customFormat="1" ht="24.75" customHeight="1" x14ac:dyDescent="0.2">
      <c r="A37" s="169" t="s">
        <v>150</v>
      </c>
      <c r="B37" s="170"/>
      <c r="C37" s="170"/>
      <c r="D37" s="170"/>
      <c r="E37" s="171"/>
      <c r="F37" s="62">
        <f>SUM(F36:F36)</f>
        <v>0</v>
      </c>
      <c r="G37" s="62">
        <f>G36</f>
        <v>1</v>
      </c>
      <c r="H37" s="62">
        <f t="shared" ref="H37:BS37" si="640">H36</f>
        <v>1</v>
      </c>
      <c r="I37" s="62">
        <f t="shared" si="640"/>
        <v>0</v>
      </c>
      <c r="J37" s="62">
        <f t="shared" si="640"/>
        <v>0</v>
      </c>
      <c r="K37" s="62">
        <f t="shared" si="640"/>
        <v>1</v>
      </c>
      <c r="L37" s="62">
        <f t="shared" si="640"/>
        <v>0</v>
      </c>
      <c r="M37" s="62">
        <f t="shared" si="640"/>
        <v>0</v>
      </c>
      <c r="N37" s="62">
        <f t="shared" si="640"/>
        <v>1</v>
      </c>
      <c r="O37" s="62">
        <f t="shared" si="640"/>
        <v>0</v>
      </c>
      <c r="P37" s="62">
        <f t="shared" si="640"/>
        <v>0</v>
      </c>
      <c r="Q37" s="62">
        <f t="shared" si="640"/>
        <v>0</v>
      </c>
      <c r="R37" s="62">
        <f t="shared" si="640"/>
        <v>1</v>
      </c>
      <c r="S37" s="62">
        <f t="shared" si="640"/>
        <v>0</v>
      </c>
      <c r="T37" s="62">
        <f t="shared" si="640"/>
        <v>0</v>
      </c>
      <c r="U37" s="62">
        <f t="shared" si="640"/>
        <v>0</v>
      </c>
      <c r="V37" s="62">
        <f t="shared" si="640"/>
        <v>1</v>
      </c>
      <c r="W37" s="62">
        <f t="shared" si="640"/>
        <v>0</v>
      </c>
      <c r="X37" s="62">
        <f t="shared" si="640"/>
        <v>0</v>
      </c>
      <c r="Y37" s="62">
        <f t="shared" si="640"/>
        <v>0</v>
      </c>
      <c r="Z37" s="62">
        <f t="shared" si="640"/>
        <v>0</v>
      </c>
      <c r="AA37" s="62">
        <f t="shared" si="640"/>
        <v>0</v>
      </c>
      <c r="AB37" s="62">
        <f t="shared" si="640"/>
        <v>0</v>
      </c>
      <c r="AC37" s="62">
        <f t="shared" si="640"/>
        <v>0</v>
      </c>
      <c r="AD37" s="62">
        <f t="shared" si="640"/>
        <v>0</v>
      </c>
      <c r="AE37" s="62">
        <f t="shared" si="640"/>
        <v>0</v>
      </c>
      <c r="AF37" s="62">
        <f t="shared" si="640"/>
        <v>0</v>
      </c>
      <c r="AG37" s="62">
        <f t="shared" si="640"/>
        <v>0</v>
      </c>
      <c r="AH37" s="62">
        <f t="shared" si="640"/>
        <v>0</v>
      </c>
      <c r="AI37" s="62">
        <f t="shared" si="640"/>
        <v>0</v>
      </c>
      <c r="AJ37" s="62">
        <f t="shared" si="640"/>
        <v>0</v>
      </c>
      <c r="AK37" s="62">
        <f t="shared" si="640"/>
        <v>0</v>
      </c>
      <c r="AL37" s="62">
        <f t="shared" si="640"/>
        <v>0</v>
      </c>
      <c r="AM37" s="62">
        <f t="shared" si="640"/>
        <v>0</v>
      </c>
      <c r="AN37" s="62">
        <f t="shared" si="640"/>
        <v>0</v>
      </c>
      <c r="AO37" s="62">
        <f t="shared" si="640"/>
        <v>0</v>
      </c>
      <c r="AP37" s="62">
        <f t="shared" si="640"/>
        <v>1</v>
      </c>
      <c r="AQ37" s="62">
        <f t="shared" si="640"/>
        <v>0</v>
      </c>
      <c r="AR37" s="62">
        <f t="shared" si="640"/>
        <v>1</v>
      </c>
      <c r="AS37" s="62">
        <f t="shared" si="640"/>
        <v>0</v>
      </c>
      <c r="AT37" s="62">
        <f t="shared" si="640"/>
        <v>7</v>
      </c>
      <c r="AU37" s="62">
        <f t="shared" si="640"/>
        <v>0</v>
      </c>
      <c r="AV37" s="62">
        <f t="shared" si="640"/>
        <v>7</v>
      </c>
      <c r="AW37" s="62">
        <f t="shared" si="640"/>
        <v>0</v>
      </c>
      <c r="AX37" s="62">
        <f t="shared" si="640"/>
        <v>2</v>
      </c>
      <c r="AY37" s="62">
        <f t="shared" si="640"/>
        <v>0</v>
      </c>
      <c r="AZ37" s="62">
        <f t="shared" si="640"/>
        <v>0</v>
      </c>
      <c r="BA37" s="62">
        <f t="shared" si="640"/>
        <v>0</v>
      </c>
      <c r="BB37" s="62">
        <f t="shared" si="640"/>
        <v>1</v>
      </c>
      <c r="BC37" s="62">
        <f t="shared" si="640"/>
        <v>0</v>
      </c>
      <c r="BD37" s="62">
        <f t="shared" si="640"/>
        <v>19</v>
      </c>
      <c r="BE37" s="62">
        <f t="shared" si="640"/>
        <v>0</v>
      </c>
      <c r="BF37" s="62">
        <f t="shared" si="640"/>
        <v>19</v>
      </c>
      <c r="BG37" s="62">
        <f t="shared" si="640"/>
        <v>0</v>
      </c>
      <c r="BH37" s="62">
        <f t="shared" si="640"/>
        <v>0</v>
      </c>
      <c r="BI37" s="62">
        <f t="shared" si="640"/>
        <v>2</v>
      </c>
      <c r="BJ37" s="62">
        <f t="shared" si="640"/>
        <v>0</v>
      </c>
      <c r="BK37" s="62">
        <f t="shared" si="640"/>
        <v>14</v>
      </c>
      <c r="BL37" s="62">
        <f t="shared" si="640"/>
        <v>0</v>
      </c>
      <c r="BM37" s="62">
        <f t="shared" si="640"/>
        <v>9</v>
      </c>
      <c r="BN37" s="62">
        <f t="shared" si="640"/>
        <v>0</v>
      </c>
      <c r="BO37" s="62">
        <f t="shared" si="640"/>
        <v>20</v>
      </c>
      <c r="BP37" s="62">
        <f t="shared" si="640"/>
        <v>0</v>
      </c>
      <c r="BQ37" s="62">
        <f t="shared" si="640"/>
        <v>8</v>
      </c>
      <c r="BR37" s="62">
        <f t="shared" si="640"/>
        <v>0</v>
      </c>
      <c r="BS37" s="62">
        <f t="shared" si="640"/>
        <v>0</v>
      </c>
      <c r="BT37" s="62">
        <f t="shared" ref="BT37:EE37" si="641">BT36</f>
        <v>0</v>
      </c>
      <c r="BU37" s="62">
        <f t="shared" si="641"/>
        <v>53</v>
      </c>
      <c r="BV37" s="62">
        <f t="shared" si="641"/>
        <v>0</v>
      </c>
      <c r="BW37" s="62">
        <f t="shared" si="641"/>
        <v>53</v>
      </c>
      <c r="BX37" s="62">
        <f t="shared" si="641"/>
        <v>1</v>
      </c>
      <c r="BY37" s="62">
        <f t="shared" si="641"/>
        <v>0</v>
      </c>
      <c r="BZ37" s="62">
        <f t="shared" si="641"/>
        <v>3</v>
      </c>
      <c r="CA37" s="62">
        <f t="shared" si="641"/>
        <v>0</v>
      </c>
      <c r="CB37" s="62">
        <f t="shared" si="641"/>
        <v>21</v>
      </c>
      <c r="CC37" s="62">
        <f t="shared" si="641"/>
        <v>0</v>
      </c>
      <c r="CD37" s="62">
        <f t="shared" si="641"/>
        <v>16</v>
      </c>
      <c r="CE37" s="62">
        <f t="shared" si="641"/>
        <v>0</v>
      </c>
      <c r="CF37" s="62">
        <f t="shared" si="641"/>
        <v>22</v>
      </c>
      <c r="CG37" s="62">
        <f t="shared" si="641"/>
        <v>0</v>
      </c>
      <c r="CH37" s="62">
        <f t="shared" si="641"/>
        <v>8</v>
      </c>
      <c r="CI37" s="62">
        <f t="shared" si="641"/>
        <v>0</v>
      </c>
      <c r="CJ37" s="62">
        <f t="shared" si="641"/>
        <v>1</v>
      </c>
      <c r="CK37" s="62">
        <f t="shared" si="641"/>
        <v>0</v>
      </c>
      <c r="CL37" s="62">
        <f t="shared" si="641"/>
        <v>72</v>
      </c>
      <c r="CM37" s="62">
        <f t="shared" si="641"/>
        <v>0</v>
      </c>
      <c r="CN37" s="62">
        <f t="shared" si="641"/>
        <v>72</v>
      </c>
      <c r="CO37" s="62">
        <f t="shared" si="641"/>
        <v>0</v>
      </c>
      <c r="CP37" s="62">
        <f t="shared" si="641"/>
        <v>0</v>
      </c>
      <c r="CQ37" s="62">
        <f t="shared" si="641"/>
        <v>0</v>
      </c>
      <c r="CR37" s="62">
        <f t="shared" si="641"/>
        <v>1</v>
      </c>
      <c r="CS37" s="62">
        <f t="shared" si="641"/>
        <v>0</v>
      </c>
      <c r="CT37" s="62">
        <f t="shared" si="641"/>
        <v>0</v>
      </c>
      <c r="CU37" s="62">
        <f t="shared" si="641"/>
        <v>2</v>
      </c>
      <c r="CV37" s="62">
        <f t="shared" si="641"/>
        <v>0</v>
      </c>
      <c r="CW37" s="62">
        <f t="shared" si="641"/>
        <v>0</v>
      </c>
      <c r="CX37" s="62">
        <f t="shared" si="641"/>
        <v>3</v>
      </c>
      <c r="CY37" s="62">
        <f t="shared" si="641"/>
        <v>0</v>
      </c>
      <c r="CZ37" s="62">
        <f t="shared" si="641"/>
        <v>0</v>
      </c>
      <c r="DA37" s="62">
        <f t="shared" si="641"/>
        <v>3</v>
      </c>
      <c r="DB37" s="62">
        <f t="shared" si="641"/>
        <v>0</v>
      </c>
      <c r="DC37" s="62">
        <f t="shared" si="641"/>
        <v>0</v>
      </c>
      <c r="DD37" s="62">
        <f t="shared" si="641"/>
        <v>0</v>
      </c>
      <c r="DE37" s="62">
        <f t="shared" si="641"/>
        <v>0</v>
      </c>
      <c r="DF37" s="62">
        <f t="shared" si="641"/>
        <v>0</v>
      </c>
      <c r="DG37" s="62">
        <f t="shared" si="641"/>
        <v>0</v>
      </c>
      <c r="DH37" s="62">
        <f t="shared" si="641"/>
        <v>0</v>
      </c>
      <c r="DI37" s="62">
        <f t="shared" si="641"/>
        <v>0</v>
      </c>
      <c r="DJ37" s="62">
        <f t="shared" si="641"/>
        <v>0</v>
      </c>
      <c r="DK37" s="62">
        <f t="shared" si="641"/>
        <v>0</v>
      </c>
      <c r="DL37" s="62">
        <f t="shared" si="641"/>
        <v>0</v>
      </c>
      <c r="DM37" s="62">
        <f t="shared" si="641"/>
        <v>0</v>
      </c>
      <c r="DN37" s="62">
        <f t="shared" si="641"/>
        <v>14</v>
      </c>
      <c r="DO37" s="62">
        <f t="shared" si="641"/>
        <v>0</v>
      </c>
      <c r="DP37" s="62">
        <f t="shared" si="641"/>
        <v>4</v>
      </c>
      <c r="DQ37" s="62">
        <f t="shared" si="641"/>
        <v>0</v>
      </c>
      <c r="DR37" s="62">
        <f t="shared" si="641"/>
        <v>18</v>
      </c>
      <c r="DS37" s="62">
        <f t="shared" si="641"/>
        <v>18</v>
      </c>
      <c r="DT37" s="62">
        <f t="shared" si="641"/>
        <v>0</v>
      </c>
      <c r="DU37" s="62">
        <f t="shared" si="641"/>
        <v>0</v>
      </c>
      <c r="DV37" s="62">
        <f t="shared" si="641"/>
        <v>0</v>
      </c>
      <c r="DW37" s="62">
        <f t="shared" si="641"/>
        <v>3</v>
      </c>
      <c r="DX37" s="62">
        <f t="shared" si="641"/>
        <v>0</v>
      </c>
      <c r="DY37" s="62">
        <f t="shared" si="641"/>
        <v>54</v>
      </c>
      <c r="DZ37" s="62">
        <f t="shared" si="641"/>
        <v>0</v>
      </c>
      <c r="EA37" s="62">
        <f t="shared" si="641"/>
        <v>57</v>
      </c>
      <c r="EB37" s="62">
        <f t="shared" si="641"/>
        <v>57</v>
      </c>
      <c r="EC37" s="62">
        <f t="shared" si="641"/>
        <v>0</v>
      </c>
      <c r="ED37" s="62">
        <f t="shared" si="641"/>
        <v>0</v>
      </c>
      <c r="EE37" s="62">
        <f t="shared" si="641"/>
        <v>0</v>
      </c>
      <c r="EF37" s="62">
        <f t="shared" ref="EF37:GQ37" si="642">EF36</f>
        <v>7</v>
      </c>
      <c r="EG37" s="62">
        <f t="shared" si="642"/>
        <v>0</v>
      </c>
      <c r="EH37" s="62">
        <f t="shared" si="642"/>
        <v>10</v>
      </c>
      <c r="EI37" s="62">
        <f t="shared" si="642"/>
        <v>0</v>
      </c>
      <c r="EJ37" s="62">
        <f t="shared" si="642"/>
        <v>17</v>
      </c>
      <c r="EK37" s="62">
        <f t="shared" si="642"/>
        <v>17</v>
      </c>
      <c r="EL37" s="62">
        <f t="shared" si="642"/>
        <v>0</v>
      </c>
      <c r="EM37" s="62">
        <f t="shared" si="642"/>
        <v>0</v>
      </c>
      <c r="EN37" s="62">
        <f t="shared" si="642"/>
        <v>0</v>
      </c>
      <c r="EO37" s="62">
        <f t="shared" si="642"/>
        <v>0</v>
      </c>
      <c r="EP37" s="62">
        <f t="shared" si="642"/>
        <v>0</v>
      </c>
      <c r="EQ37" s="62">
        <f t="shared" si="642"/>
        <v>0</v>
      </c>
      <c r="ER37" s="62">
        <f t="shared" si="642"/>
        <v>0</v>
      </c>
      <c r="ES37" s="62">
        <f t="shared" si="642"/>
        <v>0</v>
      </c>
      <c r="ET37" s="62">
        <f t="shared" si="642"/>
        <v>0</v>
      </c>
      <c r="EU37" s="62">
        <f t="shared" si="642"/>
        <v>1</v>
      </c>
      <c r="EV37" s="62">
        <f t="shared" si="642"/>
        <v>0</v>
      </c>
      <c r="EW37" s="62">
        <f t="shared" si="642"/>
        <v>0</v>
      </c>
      <c r="EX37" s="62">
        <f t="shared" si="642"/>
        <v>0</v>
      </c>
      <c r="EY37" s="62">
        <f t="shared" si="642"/>
        <v>4</v>
      </c>
      <c r="EZ37" s="62">
        <f t="shared" si="642"/>
        <v>0</v>
      </c>
      <c r="FA37" s="62">
        <f t="shared" si="642"/>
        <v>0</v>
      </c>
      <c r="FB37" s="62">
        <f t="shared" si="642"/>
        <v>0</v>
      </c>
      <c r="FC37" s="62">
        <f t="shared" si="642"/>
        <v>5</v>
      </c>
      <c r="FD37" s="62">
        <f t="shared" si="642"/>
        <v>0</v>
      </c>
      <c r="FE37" s="62">
        <f t="shared" si="642"/>
        <v>5</v>
      </c>
      <c r="FF37" s="62">
        <f t="shared" si="642"/>
        <v>0</v>
      </c>
      <c r="FG37" s="62">
        <f t="shared" si="642"/>
        <v>0</v>
      </c>
      <c r="FH37" s="62">
        <f t="shared" si="642"/>
        <v>0</v>
      </c>
      <c r="FI37" s="62">
        <f t="shared" si="642"/>
        <v>0</v>
      </c>
      <c r="FJ37" s="62">
        <f t="shared" si="642"/>
        <v>0</v>
      </c>
      <c r="FK37" s="62">
        <f t="shared" si="642"/>
        <v>0</v>
      </c>
      <c r="FL37" s="62">
        <f t="shared" si="642"/>
        <v>0</v>
      </c>
      <c r="FM37" s="62">
        <f t="shared" si="642"/>
        <v>0</v>
      </c>
      <c r="FN37" s="62">
        <f t="shared" si="642"/>
        <v>2</v>
      </c>
      <c r="FO37" s="62">
        <f t="shared" si="642"/>
        <v>0</v>
      </c>
      <c r="FP37" s="62">
        <f t="shared" si="642"/>
        <v>0</v>
      </c>
      <c r="FQ37" s="62">
        <f t="shared" si="642"/>
        <v>0</v>
      </c>
      <c r="FR37" s="62">
        <f t="shared" si="642"/>
        <v>0</v>
      </c>
      <c r="FS37" s="62">
        <f t="shared" si="642"/>
        <v>0</v>
      </c>
      <c r="FT37" s="62">
        <f t="shared" si="642"/>
        <v>0</v>
      </c>
      <c r="FU37" s="62">
        <f t="shared" si="642"/>
        <v>2</v>
      </c>
      <c r="FV37" s="62">
        <f t="shared" si="642"/>
        <v>0</v>
      </c>
      <c r="FW37" s="62">
        <f t="shared" si="642"/>
        <v>2</v>
      </c>
      <c r="FX37" s="62">
        <f t="shared" si="642"/>
        <v>0</v>
      </c>
      <c r="FY37" s="62">
        <f t="shared" si="642"/>
        <v>0</v>
      </c>
      <c r="FZ37" s="62">
        <f t="shared" si="642"/>
        <v>0</v>
      </c>
      <c r="GA37" s="62">
        <f t="shared" si="642"/>
        <v>0</v>
      </c>
      <c r="GB37" s="62">
        <f t="shared" si="642"/>
        <v>1</v>
      </c>
      <c r="GC37" s="62">
        <f t="shared" si="642"/>
        <v>0</v>
      </c>
      <c r="GD37" s="62">
        <f t="shared" si="642"/>
        <v>0</v>
      </c>
      <c r="GE37" s="62">
        <f t="shared" si="642"/>
        <v>0</v>
      </c>
      <c r="GF37" s="62">
        <f t="shared" si="642"/>
        <v>0</v>
      </c>
      <c r="GG37" s="62">
        <f t="shared" si="642"/>
        <v>0</v>
      </c>
      <c r="GH37" s="62">
        <f t="shared" si="642"/>
        <v>4</v>
      </c>
      <c r="GI37" s="62">
        <f t="shared" si="642"/>
        <v>0</v>
      </c>
      <c r="GJ37" s="62">
        <f t="shared" si="642"/>
        <v>0</v>
      </c>
      <c r="GK37" s="62">
        <f t="shared" si="642"/>
        <v>0</v>
      </c>
      <c r="GL37" s="62">
        <f t="shared" si="642"/>
        <v>0</v>
      </c>
      <c r="GM37" s="62">
        <f t="shared" si="642"/>
        <v>0</v>
      </c>
      <c r="GN37" s="62">
        <f t="shared" si="642"/>
        <v>5</v>
      </c>
      <c r="GO37" s="62">
        <f t="shared" si="642"/>
        <v>0</v>
      </c>
      <c r="GP37" s="62">
        <f t="shared" si="642"/>
        <v>5</v>
      </c>
      <c r="GQ37" s="62">
        <f t="shared" si="642"/>
        <v>5</v>
      </c>
      <c r="GR37" s="62">
        <f t="shared" ref="GR37:IX37" si="643">GR36</f>
        <v>0</v>
      </c>
      <c r="GS37" s="62">
        <f t="shared" si="643"/>
        <v>0</v>
      </c>
      <c r="GT37" s="62">
        <f t="shared" si="643"/>
        <v>0</v>
      </c>
      <c r="GU37" s="62">
        <f t="shared" si="643"/>
        <v>0</v>
      </c>
      <c r="GV37" s="62">
        <f t="shared" si="643"/>
        <v>0</v>
      </c>
      <c r="GW37" s="62">
        <f t="shared" si="643"/>
        <v>5</v>
      </c>
      <c r="GX37" s="62">
        <f t="shared" si="643"/>
        <v>0</v>
      </c>
      <c r="GY37" s="62">
        <f t="shared" si="643"/>
        <v>5</v>
      </c>
      <c r="GZ37" s="62">
        <f t="shared" si="643"/>
        <v>4</v>
      </c>
      <c r="HA37" s="62">
        <f t="shared" si="643"/>
        <v>0</v>
      </c>
      <c r="HB37" s="62">
        <f t="shared" si="643"/>
        <v>0</v>
      </c>
      <c r="HC37" s="62">
        <f t="shared" si="643"/>
        <v>0</v>
      </c>
      <c r="HD37" s="62">
        <f t="shared" si="643"/>
        <v>0</v>
      </c>
      <c r="HE37" s="62">
        <f t="shared" si="643"/>
        <v>0</v>
      </c>
      <c r="HF37" s="62">
        <f t="shared" si="643"/>
        <v>0</v>
      </c>
      <c r="HG37" s="62">
        <f t="shared" si="643"/>
        <v>0</v>
      </c>
      <c r="HH37" s="62">
        <f t="shared" si="643"/>
        <v>0</v>
      </c>
      <c r="HI37" s="62">
        <f t="shared" si="643"/>
        <v>0</v>
      </c>
      <c r="HJ37" s="62">
        <f t="shared" si="643"/>
        <v>0</v>
      </c>
      <c r="HK37" s="62">
        <f t="shared" si="643"/>
        <v>0</v>
      </c>
      <c r="HL37" s="62">
        <f t="shared" si="643"/>
        <v>0</v>
      </c>
      <c r="HM37" s="62">
        <f t="shared" si="643"/>
        <v>0</v>
      </c>
      <c r="HN37" s="62">
        <f t="shared" si="643"/>
        <v>0</v>
      </c>
      <c r="HO37" s="62">
        <f t="shared" si="643"/>
        <v>1</v>
      </c>
      <c r="HP37" s="62">
        <f t="shared" si="643"/>
        <v>0</v>
      </c>
      <c r="HQ37" s="62">
        <f t="shared" si="643"/>
        <v>5</v>
      </c>
      <c r="HR37" s="62">
        <f t="shared" si="643"/>
        <v>0</v>
      </c>
      <c r="HS37" s="62">
        <f t="shared" si="643"/>
        <v>5</v>
      </c>
      <c r="HT37" s="62">
        <f t="shared" si="643"/>
        <v>1</v>
      </c>
      <c r="HU37" s="62">
        <f t="shared" si="643"/>
        <v>0</v>
      </c>
      <c r="HV37" s="62">
        <f t="shared" si="643"/>
        <v>4</v>
      </c>
      <c r="HW37" s="62">
        <f t="shared" si="643"/>
        <v>0</v>
      </c>
      <c r="HX37" s="62">
        <f t="shared" si="643"/>
        <v>0</v>
      </c>
      <c r="HY37" s="62">
        <f t="shared" si="643"/>
        <v>0</v>
      </c>
      <c r="HZ37" s="62">
        <f t="shared" si="643"/>
        <v>0</v>
      </c>
      <c r="IA37" s="62">
        <f t="shared" si="643"/>
        <v>0</v>
      </c>
      <c r="IB37" s="62">
        <f t="shared" si="643"/>
        <v>5</v>
      </c>
      <c r="IC37" s="62">
        <f t="shared" si="643"/>
        <v>0</v>
      </c>
      <c r="ID37" s="62">
        <f t="shared" si="643"/>
        <v>5</v>
      </c>
      <c r="IE37" s="62">
        <f t="shared" si="643"/>
        <v>0</v>
      </c>
      <c r="IF37" s="62">
        <f t="shared" si="643"/>
        <v>0</v>
      </c>
      <c r="IG37" s="62">
        <f t="shared" si="643"/>
        <v>0</v>
      </c>
      <c r="IH37" s="62">
        <f t="shared" si="643"/>
        <v>1</v>
      </c>
      <c r="II37" s="62">
        <f t="shared" si="643"/>
        <v>0</v>
      </c>
      <c r="IJ37" s="62">
        <f t="shared" si="643"/>
        <v>1</v>
      </c>
      <c r="IK37" s="62">
        <f t="shared" si="643"/>
        <v>0</v>
      </c>
      <c r="IL37" s="62">
        <f t="shared" si="643"/>
        <v>1</v>
      </c>
      <c r="IM37" s="62">
        <f t="shared" si="643"/>
        <v>0</v>
      </c>
      <c r="IN37" s="62">
        <f t="shared" si="643"/>
        <v>0</v>
      </c>
      <c r="IO37" s="62">
        <f t="shared" si="643"/>
        <v>0</v>
      </c>
      <c r="IP37" s="62">
        <f t="shared" si="643"/>
        <v>0</v>
      </c>
      <c r="IQ37" s="62">
        <f t="shared" si="643"/>
        <v>0</v>
      </c>
      <c r="IR37" s="62">
        <f t="shared" si="643"/>
        <v>0</v>
      </c>
      <c r="IS37" s="62">
        <f t="shared" si="643"/>
        <v>0</v>
      </c>
      <c r="IT37" s="62">
        <f t="shared" si="643"/>
        <v>1</v>
      </c>
      <c r="IU37" s="62">
        <f t="shared" si="643"/>
        <v>1</v>
      </c>
      <c r="IV37" s="62">
        <f t="shared" si="643"/>
        <v>0</v>
      </c>
      <c r="IW37" s="62">
        <f t="shared" si="643"/>
        <v>0</v>
      </c>
      <c r="IX37" s="62">
        <f t="shared" si="643"/>
        <v>1</v>
      </c>
      <c r="IY37" s="62"/>
      <c r="IZ37" s="84"/>
      <c r="JA37" s="62"/>
    </row>
    <row r="38" spans="1:262" s="67" customFormat="1" ht="24.75" customHeight="1" x14ac:dyDescent="0.2">
      <c r="A38" s="172" t="s">
        <v>152</v>
      </c>
      <c r="B38" s="173"/>
      <c r="C38" s="173"/>
      <c r="D38" s="173"/>
      <c r="E38" s="174"/>
      <c r="F38" s="66">
        <f t="shared" ref="F38:G38" si="644">F32+F35+F37</f>
        <v>0</v>
      </c>
      <c r="G38" s="66">
        <f t="shared" si="644"/>
        <v>7</v>
      </c>
      <c r="H38" s="66">
        <f t="shared" ref="H38:BS38" si="645">H32+H35+H37</f>
        <v>3</v>
      </c>
      <c r="I38" s="66">
        <f t="shared" si="645"/>
        <v>4</v>
      </c>
      <c r="J38" s="66">
        <f t="shared" si="645"/>
        <v>0</v>
      </c>
      <c r="K38" s="66">
        <f t="shared" si="645"/>
        <v>7</v>
      </c>
      <c r="L38" s="66">
        <f t="shared" si="645"/>
        <v>0</v>
      </c>
      <c r="M38" s="66">
        <f t="shared" si="645"/>
        <v>0</v>
      </c>
      <c r="N38" s="66">
        <f t="shared" si="645"/>
        <v>7</v>
      </c>
      <c r="O38" s="66">
        <f t="shared" si="645"/>
        <v>0</v>
      </c>
      <c r="P38" s="66">
        <f t="shared" si="645"/>
        <v>0</v>
      </c>
      <c r="Q38" s="66">
        <f t="shared" si="645"/>
        <v>0</v>
      </c>
      <c r="R38" s="66">
        <f t="shared" si="645"/>
        <v>7</v>
      </c>
      <c r="S38" s="66">
        <f t="shared" si="645"/>
        <v>0</v>
      </c>
      <c r="T38" s="66">
        <f t="shared" si="645"/>
        <v>0</v>
      </c>
      <c r="U38" s="66">
        <f t="shared" si="645"/>
        <v>0</v>
      </c>
      <c r="V38" s="66">
        <f t="shared" si="645"/>
        <v>7</v>
      </c>
      <c r="W38" s="66">
        <f t="shared" si="645"/>
        <v>0</v>
      </c>
      <c r="X38" s="66">
        <f t="shared" si="645"/>
        <v>2</v>
      </c>
      <c r="Y38" s="66">
        <f t="shared" si="645"/>
        <v>13</v>
      </c>
      <c r="Z38" s="66">
        <f t="shared" si="645"/>
        <v>16</v>
      </c>
      <c r="AA38" s="66">
        <f t="shared" si="645"/>
        <v>22</v>
      </c>
      <c r="AB38" s="66">
        <f t="shared" si="645"/>
        <v>11</v>
      </c>
      <c r="AC38" s="66">
        <f t="shared" si="645"/>
        <v>21</v>
      </c>
      <c r="AD38" s="66">
        <f t="shared" si="645"/>
        <v>7</v>
      </c>
      <c r="AE38" s="66">
        <f t="shared" si="645"/>
        <v>22</v>
      </c>
      <c r="AF38" s="66">
        <f t="shared" si="645"/>
        <v>11</v>
      </c>
      <c r="AG38" s="66">
        <f t="shared" si="645"/>
        <v>12</v>
      </c>
      <c r="AH38" s="66">
        <f t="shared" si="645"/>
        <v>4</v>
      </c>
      <c r="AI38" s="66">
        <f t="shared" si="645"/>
        <v>7</v>
      </c>
      <c r="AJ38" s="66">
        <f t="shared" si="645"/>
        <v>6</v>
      </c>
      <c r="AK38" s="66">
        <f t="shared" si="645"/>
        <v>6</v>
      </c>
      <c r="AL38" s="66">
        <f t="shared" si="645"/>
        <v>6</v>
      </c>
      <c r="AM38" s="66">
        <f t="shared" si="645"/>
        <v>103</v>
      </c>
      <c r="AN38" s="66">
        <f t="shared" si="645"/>
        <v>61</v>
      </c>
      <c r="AO38" s="66">
        <f t="shared" si="645"/>
        <v>164</v>
      </c>
      <c r="AP38" s="66">
        <f t="shared" si="645"/>
        <v>5</v>
      </c>
      <c r="AQ38" s="66">
        <f t="shared" si="645"/>
        <v>13</v>
      </c>
      <c r="AR38" s="66">
        <f t="shared" si="645"/>
        <v>11</v>
      </c>
      <c r="AS38" s="66">
        <f t="shared" si="645"/>
        <v>13</v>
      </c>
      <c r="AT38" s="66">
        <f t="shared" si="645"/>
        <v>19</v>
      </c>
      <c r="AU38" s="66">
        <f t="shared" si="645"/>
        <v>17</v>
      </c>
      <c r="AV38" s="66">
        <f t="shared" si="645"/>
        <v>32</v>
      </c>
      <c r="AW38" s="66">
        <f t="shared" si="645"/>
        <v>13</v>
      </c>
      <c r="AX38" s="66">
        <f t="shared" si="645"/>
        <v>19</v>
      </c>
      <c r="AY38" s="66">
        <f t="shared" si="645"/>
        <v>18</v>
      </c>
      <c r="AZ38" s="66">
        <f t="shared" si="645"/>
        <v>17</v>
      </c>
      <c r="BA38" s="66">
        <f t="shared" si="645"/>
        <v>8</v>
      </c>
      <c r="BB38" s="66">
        <f t="shared" si="645"/>
        <v>13</v>
      </c>
      <c r="BC38" s="66">
        <f t="shared" si="645"/>
        <v>11</v>
      </c>
      <c r="BD38" s="66">
        <f t="shared" si="645"/>
        <v>116</v>
      </c>
      <c r="BE38" s="66">
        <f t="shared" si="645"/>
        <v>93</v>
      </c>
      <c r="BF38" s="66">
        <f t="shared" si="645"/>
        <v>209</v>
      </c>
      <c r="BG38" s="66">
        <f t="shared" si="645"/>
        <v>10</v>
      </c>
      <c r="BH38" s="66">
        <f t="shared" si="645"/>
        <v>3</v>
      </c>
      <c r="BI38" s="66">
        <f t="shared" si="645"/>
        <v>7</v>
      </c>
      <c r="BJ38" s="66">
        <f t="shared" si="645"/>
        <v>2</v>
      </c>
      <c r="BK38" s="66">
        <f t="shared" si="645"/>
        <v>22</v>
      </c>
      <c r="BL38" s="66">
        <f t="shared" si="645"/>
        <v>17</v>
      </c>
      <c r="BM38" s="66">
        <f t="shared" si="645"/>
        <v>25</v>
      </c>
      <c r="BN38" s="66">
        <f t="shared" si="645"/>
        <v>20</v>
      </c>
      <c r="BO38" s="66">
        <f t="shared" si="645"/>
        <v>55</v>
      </c>
      <c r="BP38" s="66">
        <f t="shared" si="645"/>
        <v>25</v>
      </c>
      <c r="BQ38" s="66">
        <f t="shared" si="645"/>
        <v>46</v>
      </c>
      <c r="BR38" s="66">
        <f t="shared" si="645"/>
        <v>21</v>
      </c>
      <c r="BS38" s="66">
        <f t="shared" si="645"/>
        <v>20</v>
      </c>
      <c r="BT38" s="66">
        <f t="shared" ref="BT38:EE38" si="646">BT32+BT35+BT37</f>
        <v>24</v>
      </c>
      <c r="BU38" s="66">
        <f t="shared" si="646"/>
        <v>185</v>
      </c>
      <c r="BV38" s="66">
        <f t="shared" si="646"/>
        <v>112</v>
      </c>
      <c r="BW38" s="66">
        <f t="shared" si="646"/>
        <v>297</v>
      </c>
      <c r="BX38" s="66">
        <f t="shared" si="646"/>
        <v>28</v>
      </c>
      <c r="BY38" s="66">
        <f t="shared" si="646"/>
        <v>32</v>
      </c>
      <c r="BZ38" s="66">
        <f t="shared" si="646"/>
        <v>40</v>
      </c>
      <c r="CA38" s="66">
        <f t="shared" si="646"/>
        <v>26</v>
      </c>
      <c r="CB38" s="66">
        <f t="shared" si="646"/>
        <v>62</v>
      </c>
      <c r="CC38" s="66">
        <f t="shared" si="646"/>
        <v>41</v>
      </c>
      <c r="CD38" s="66">
        <f t="shared" si="646"/>
        <v>79</v>
      </c>
      <c r="CE38" s="66">
        <f t="shared" si="646"/>
        <v>44</v>
      </c>
      <c r="CF38" s="66">
        <f t="shared" si="646"/>
        <v>86</v>
      </c>
      <c r="CG38" s="66">
        <f t="shared" si="646"/>
        <v>47</v>
      </c>
      <c r="CH38" s="66">
        <f t="shared" si="646"/>
        <v>70</v>
      </c>
      <c r="CI38" s="66">
        <f t="shared" si="646"/>
        <v>35</v>
      </c>
      <c r="CJ38" s="66">
        <f t="shared" si="646"/>
        <v>39</v>
      </c>
      <c r="CK38" s="66">
        <f t="shared" si="646"/>
        <v>41</v>
      </c>
      <c r="CL38" s="66">
        <f t="shared" si="646"/>
        <v>404</v>
      </c>
      <c r="CM38" s="66">
        <f t="shared" si="646"/>
        <v>266</v>
      </c>
      <c r="CN38" s="66">
        <f t="shared" si="646"/>
        <v>670</v>
      </c>
      <c r="CO38" s="66">
        <f t="shared" si="646"/>
        <v>4</v>
      </c>
      <c r="CP38" s="66">
        <f t="shared" si="646"/>
        <v>5</v>
      </c>
      <c r="CQ38" s="66">
        <f t="shared" si="646"/>
        <v>0</v>
      </c>
      <c r="CR38" s="66">
        <f t="shared" si="646"/>
        <v>4</v>
      </c>
      <c r="CS38" s="66">
        <f t="shared" si="646"/>
        <v>4</v>
      </c>
      <c r="CT38" s="66">
        <f t="shared" si="646"/>
        <v>0</v>
      </c>
      <c r="CU38" s="66">
        <f t="shared" si="646"/>
        <v>6</v>
      </c>
      <c r="CV38" s="66">
        <f t="shared" si="646"/>
        <v>6</v>
      </c>
      <c r="CW38" s="66">
        <f t="shared" si="646"/>
        <v>0</v>
      </c>
      <c r="CX38" s="66">
        <f t="shared" si="646"/>
        <v>14</v>
      </c>
      <c r="CY38" s="66">
        <f t="shared" si="646"/>
        <v>15</v>
      </c>
      <c r="CZ38" s="66">
        <f t="shared" si="646"/>
        <v>0</v>
      </c>
      <c r="DA38" s="66">
        <f t="shared" si="646"/>
        <v>29</v>
      </c>
      <c r="DB38" s="66">
        <f t="shared" si="646"/>
        <v>0</v>
      </c>
      <c r="DC38" s="66">
        <f t="shared" si="646"/>
        <v>5</v>
      </c>
      <c r="DD38" s="66">
        <f t="shared" si="646"/>
        <v>0</v>
      </c>
      <c r="DE38" s="66">
        <f t="shared" si="646"/>
        <v>6</v>
      </c>
      <c r="DF38" s="66">
        <f t="shared" si="646"/>
        <v>0</v>
      </c>
      <c r="DG38" s="66">
        <f t="shared" si="646"/>
        <v>15</v>
      </c>
      <c r="DH38" s="66">
        <f t="shared" si="646"/>
        <v>0</v>
      </c>
      <c r="DI38" s="66">
        <f t="shared" si="646"/>
        <v>26</v>
      </c>
      <c r="DJ38" s="66">
        <f t="shared" si="646"/>
        <v>26</v>
      </c>
      <c r="DK38" s="66">
        <f t="shared" si="646"/>
        <v>61</v>
      </c>
      <c r="DL38" s="66">
        <f t="shared" si="646"/>
        <v>24</v>
      </c>
      <c r="DM38" s="66">
        <f t="shared" si="646"/>
        <v>42</v>
      </c>
      <c r="DN38" s="66">
        <f t="shared" si="646"/>
        <v>51</v>
      </c>
      <c r="DO38" s="66">
        <f t="shared" si="646"/>
        <v>54</v>
      </c>
      <c r="DP38" s="66">
        <f t="shared" si="646"/>
        <v>46</v>
      </c>
      <c r="DQ38" s="66">
        <f t="shared" si="646"/>
        <v>157</v>
      </c>
      <c r="DR38" s="66">
        <f t="shared" si="646"/>
        <v>121</v>
      </c>
      <c r="DS38" s="66">
        <f t="shared" si="646"/>
        <v>278</v>
      </c>
      <c r="DT38" s="66">
        <f t="shared" si="646"/>
        <v>30</v>
      </c>
      <c r="DU38" s="66">
        <f t="shared" si="646"/>
        <v>29</v>
      </c>
      <c r="DV38" s="66">
        <f t="shared" si="646"/>
        <v>28</v>
      </c>
      <c r="DW38" s="66">
        <f t="shared" si="646"/>
        <v>23</v>
      </c>
      <c r="DX38" s="66">
        <f t="shared" si="646"/>
        <v>64</v>
      </c>
      <c r="DY38" s="66">
        <f t="shared" si="646"/>
        <v>70</v>
      </c>
      <c r="DZ38" s="66">
        <f t="shared" si="646"/>
        <v>122</v>
      </c>
      <c r="EA38" s="66">
        <f t="shared" si="646"/>
        <v>122</v>
      </c>
      <c r="EB38" s="66">
        <f t="shared" si="646"/>
        <v>244</v>
      </c>
      <c r="EC38" s="66">
        <f t="shared" si="646"/>
        <v>32</v>
      </c>
      <c r="ED38" s="66">
        <f t="shared" si="646"/>
        <v>1</v>
      </c>
      <c r="EE38" s="66">
        <f t="shared" si="646"/>
        <v>9</v>
      </c>
      <c r="EF38" s="66">
        <f t="shared" ref="EF38:GQ38" si="647">EF32+EF35+EF37</f>
        <v>9</v>
      </c>
      <c r="EG38" s="66">
        <f t="shared" si="647"/>
        <v>18</v>
      </c>
      <c r="EH38" s="66">
        <f t="shared" si="647"/>
        <v>42</v>
      </c>
      <c r="EI38" s="66">
        <f t="shared" si="647"/>
        <v>59</v>
      </c>
      <c r="EJ38" s="66">
        <f t="shared" si="647"/>
        <v>52</v>
      </c>
      <c r="EK38" s="66">
        <f t="shared" si="647"/>
        <v>111</v>
      </c>
      <c r="EL38" s="66">
        <f t="shared" si="647"/>
        <v>0</v>
      </c>
      <c r="EM38" s="66">
        <f t="shared" si="647"/>
        <v>0</v>
      </c>
      <c r="EN38" s="66">
        <f t="shared" si="647"/>
        <v>0</v>
      </c>
      <c r="EO38" s="66">
        <f t="shared" si="647"/>
        <v>0</v>
      </c>
      <c r="EP38" s="66">
        <f t="shared" si="647"/>
        <v>0</v>
      </c>
      <c r="EQ38" s="66">
        <f t="shared" si="647"/>
        <v>3</v>
      </c>
      <c r="ER38" s="66">
        <f t="shared" si="647"/>
        <v>0</v>
      </c>
      <c r="ES38" s="66">
        <f t="shared" si="647"/>
        <v>3</v>
      </c>
      <c r="ET38" s="66">
        <f t="shared" si="647"/>
        <v>3</v>
      </c>
      <c r="EU38" s="66">
        <f t="shared" si="647"/>
        <v>3</v>
      </c>
      <c r="EV38" s="66">
        <f t="shared" si="647"/>
        <v>4</v>
      </c>
      <c r="EW38" s="66">
        <f t="shared" si="647"/>
        <v>1</v>
      </c>
      <c r="EX38" s="66">
        <f t="shared" si="647"/>
        <v>1</v>
      </c>
      <c r="EY38" s="66">
        <f t="shared" si="647"/>
        <v>13</v>
      </c>
      <c r="EZ38" s="66">
        <f t="shared" si="647"/>
        <v>14</v>
      </c>
      <c r="FA38" s="66">
        <f t="shared" si="647"/>
        <v>0</v>
      </c>
      <c r="FB38" s="66">
        <f t="shared" si="647"/>
        <v>0</v>
      </c>
      <c r="FC38" s="66">
        <f t="shared" si="647"/>
        <v>17</v>
      </c>
      <c r="FD38" s="66">
        <f t="shared" si="647"/>
        <v>19</v>
      </c>
      <c r="FE38" s="66">
        <f t="shared" si="647"/>
        <v>36</v>
      </c>
      <c r="FF38" s="66">
        <f t="shared" si="647"/>
        <v>0</v>
      </c>
      <c r="FG38" s="66">
        <f t="shared" si="647"/>
        <v>0</v>
      </c>
      <c r="FH38" s="66">
        <f t="shared" si="647"/>
        <v>0</v>
      </c>
      <c r="FI38" s="66">
        <f t="shared" si="647"/>
        <v>0</v>
      </c>
      <c r="FJ38" s="66">
        <f t="shared" si="647"/>
        <v>0</v>
      </c>
      <c r="FK38" s="66">
        <f t="shared" si="647"/>
        <v>0</v>
      </c>
      <c r="FL38" s="66">
        <f t="shared" si="647"/>
        <v>0</v>
      </c>
      <c r="FM38" s="66">
        <f t="shared" si="647"/>
        <v>0</v>
      </c>
      <c r="FN38" s="66">
        <f t="shared" si="647"/>
        <v>4</v>
      </c>
      <c r="FO38" s="66">
        <f t="shared" si="647"/>
        <v>2</v>
      </c>
      <c r="FP38" s="66">
        <f t="shared" si="647"/>
        <v>0</v>
      </c>
      <c r="FQ38" s="66">
        <f t="shared" si="647"/>
        <v>0</v>
      </c>
      <c r="FR38" s="66">
        <f t="shared" si="647"/>
        <v>0</v>
      </c>
      <c r="FS38" s="66">
        <f t="shared" si="647"/>
        <v>0</v>
      </c>
      <c r="FT38" s="66">
        <f t="shared" si="647"/>
        <v>0</v>
      </c>
      <c r="FU38" s="66">
        <f t="shared" si="647"/>
        <v>4</v>
      </c>
      <c r="FV38" s="66">
        <f t="shared" si="647"/>
        <v>2</v>
      </c>
      <c r="FW38" s="66">
        <f t="shared" si="647"/>
        <v>6</v>
      </c>
      <c r="FX38" s="66">
        <f t="shared" si="647"/>
        <v>0</v>
      </c>
      <c r="FY38" s="66">
        <f t="shared" si="647"/>
        <v>1</v>
      </c>
      <c r="FZ38" s="66">
        <f t="shared" si="647"/>
        <v>0</v>
      </c>
      <c r="GA38" s="66">
        <f t="shared" si="647"/>
        <v>0</v>
      </c>
      <c r="GB38" s="66">
        <f t="shared" si="647"/>
        <v>4</v>
      </c>
      <c r="GC38" s="66">
        <f t="shared" si="647"/>
        <v>10</v>
      </c>
      <c r="GD38" s="66">
        <f t="shared" si="647"/>
        <v>0</v>
      </c>
      <c r="GE38" s="66">
        <f t="shared" si="647"/>
        <v>0</v>
      </c>
      <c r="GF38" s="66">
        <f t="shared" si="647"/>
        <v>0</v>
      </c>
      <c r="GG38" s="66">
        <f t="shared" si="647"/>
        <v>0</v>
      </c>
      <c r="GH38" s="66">
        <f t="shared" si="647"/>
        <v>11</v>
      </c>
      <c r="GI38" s="66">
        <f t="shared" si="647"/>
        <v>5</v>
      </c>
      <c r="GJ38" s="66">
        <f t="shared" si="647"/>
        <v>2</v>
      </c>
      <c r="GK38" s="66">
        <f t="shared" si="647"/>
        <v>2</v>
      </c>
      <c r="GL38" s="66">
        <f t="shared" si="647"/>
        <v>0</v>
      </c>
      <c r="GM38" s="66">
        <f t="shared" si="647"/>
        <v>1</v>
      </c>
      <c r="GN38" s="66">
        <f t="shared" si="647"/>
        <v>17</v>
      </c>
      <c r="GO38" s="66">
        <f t="shared" si="647"/>
        <v>19</v>
      </c>
      <c r="GP38" s="66">
        <f t="shared" si="647"/>
        <v>36</v>
      </c>
      <c r="GQ38" s="66">
        <f t="shared" si="647"/>
        <v>17</v>
      </c>
      <c r="GR38" s="66">
        <f t="shared" ref="GR38:IX38" si="648">GR32+GR35+GR37</f>
        <v>19</v>
      </c>
      <c r="GS38" s="66">
        <f t="shared" si="648"/>
        <v>0</v>
      </c>
      <c r="GT38" s="66">
        <f t="shared" si="648"/>
        <v>0</v>
      </c>
      <c r="GU38" s="66">
        <f t="shared" si="648"/>
        <v>0</v>
      </c>
      <c r="GV38" s="66">
        <f t="shared" si="648"/>
        <v>0</v>
      </c>
      <c r="GW38" s="66">
        <f t="shared" si="648"/>
        <v>17</v>
      </c>
      <c r="GX38" s="66">
        <f t="shared" si="648"/>
        <v>19</v>
      </c>
      <c r="GY38" s="66">
        <f t="shared" si="648"/>
        <v>36</v>
      </c>
      <c r="GZ38" s="66">
        <f t="shared" si="648"/>
        <v>14</v>
      </c>
      <c r="HA38" s="66">
        <f t="shared" si="648"/>
        <v>18</v>
      </c>
      <c r="HB38" s="66">
        <f t="shared" si="648"/>
        <v>0</v>
      </c>
      <c r="HC38" s="66">
        <f t="shared" si="648"/>
        <v>0</v>
      </c>
      <c r="HD38" s="66">
        <f t="shared" si="648"/>
        <v>0</v>
      </c>
      <c r="HE38" s="66">
        <f t="shared" si="648"/>
        <v>0</v>
      </c>
      <c r="HF38" s="66">
        <f t="shared" si="648"/>
        <v>0</v>
      </c>
      <c r="HG38" s="66">
        <f t="shared" si="648"/>
        <v>0</v>
      </c>
      <c r="HH38" s="66">
        <f t="shared" si="648"/>
        <v>1</v>
      </c>
      <c r="HI38" s="66">
        <f t="shared" si="648"/>
        <v>0</v>
      </c>
      <c r="HJ38" s="66">
        <f t="shared" si="648"/>
        <v>0</v>
      </c>
      <c r="HK38" s="66">
        <f t="shared" si="648"/>
        <v>1</v>
      </c>
      <c r="HL38" s="66">
        <f t="shared" si="648"/>
        <v>0</v>
      </c>
      <c r="HM38" s="66">
        <f t="shared" si="648"/>
        <v>0</v>
      </c>
      <c r="HN38" s="66">
        <f t="shared" si="648"/>
        <v>0</v>
      </c>
      <c r="HO38" s="66">
        <f t="shared" si="648"/>
        <v>2</v>
      </c>
      <c r="HP38" s="66">
        <f t="shared" si="648"/>
        <v>0</v>
      </c>
      <c r="HQ38" s="66">
        <f t="shared" si="648"/>
        <v>17</v>
      </c>
      <c r="HR38" s="66">
        <f t="shared" si="648"/>
        <v>18</v>
      </c>
      <c r="HS38" s="66">
        <f t="shared" si="648"/>
        <v>35</v>
      </c>
      <c r="HT38" s="66">
        <f t="shared" si="648"/>
        <v>1</v>
      </c>
      <c r="HU38" s="66">
        <f t="shared" si="648"/>
        <v>4</v>
      </c>
      <c r="HV38" s="66">
        <f t="shared" si="648"/>
        <v>16</v>
      </c>
      <c r="HW38" s="66">
        <f t="shared" si="648"/>
        <v>15</v>
      </c>
      <c r="HX38" s="66">
        <f t="shared" si="648"/>
        <v>0</v>
      </c>
      <c r="HY38" s="66">
        <f t="shared" si="648"/>
        <v>0</v>
      </c>
      <c r="HZ38" s="66">
        <f t="shared" si="648"/>
        <v>0</v>
      </c>
      <c r="IA38" s="66">
        <f t="shared" si="648"/>
        <v>0</v>
      </c>
      <c r="IB38" s="66">
        <f t="shared" si="648"/>
        <v>17</v>
      </c>
      <c r="IC38" s="66">
        <f t="shared" si="648"/>
        <v>19</v>
      </c>
      <c r="ID38" s="66">
        <f t="shared" si="648"/>
        <v>36</v>
      </c>
      <c r="IE38" s="66">
        <f t="shared" si="648"/>
        <v>0</v>
      </c>
      <c r="IF38" s="66">
        <f t="shared" si="648"/>
        <v>1</v>
      </c>
      <c r="IG38" s="66">
        <f t="shared" si="648"/>
        <v>1</v>
      </c>
      <c r="IH38" s="66">
        <f t="shared" si="648"/>
        <v>6</v>
      </c>
      <c r="II38" s="66">
        <f t="shared" si="648"/>
        <v>0</v>
      </c>
      <c r="IJ38" s="66">
        <f t="shared" si="648"/>
        <v>7</v>
      </c>
      <c r="IK38" s="66">
        <f t="shared" si="648"/>
        <v>0</v>
      </c>
      <c r="IL38" s="66">
        <f t="shared" si="648"/>
        <v>7</v>
      </c>
      <c r="IM38" s="66">
        <f t="shared" si="648"/>
        <v>0</v>
      </c>
      <c r="IN38" s="66">
        <f t="shared" si="648"/>
        <v>0</v>
      </c>
      <c r="IO38" s="66">
        <f t="shared" si="648"/>
        <v>0</v>
      </c>
      <c r="IP38" s="66">
        <f t="shared" si="648"/>
        <v>0</v>
      </c>
      <c r="IQ38" s="66">
        <f t="shared" si="648"/>
        <v>139</v>
      </c>
      <c r="IR38" s="66">
        <f t="shared" si="648"/>
        <v>0</v>
      </c>
      <c r="IS38" s="66">
        <f t="shared" si="648"/>
        <v>18</v>
      </c>
      <c r="IT38" s="66">
        <f t="shared" si="648"/>
        <v>5</v>
      </c>
      <c r="IU38" s="66">
        <f t="shared" si="648"/>
        <v>5</v>
      </c>
      <c r="IV38" s="66">
        <f t="shared" si="648"/>
        <v>1</v>
      </c>
      <c r="IW38" s="66">
        <f t="shared" si="648"/>
        <v>3</v>
      </c>
      <c r="IX38" s="66">
        <f t="shared" si="648"/>
        <v>4</v>
      </c>
      <c r="IY38" s="66"/>
      <c r="IZ38" s="86"/>
      <c r="JA38" s="66"/>
    </row>
    <row r="39" spans="1:262" s="115" customFormat="1" ht="29.25" customHeight="1" x14ac:dyDescent="0.2">
      <c r="A39" s="82" t="s">
        <v>158</v>
      </c>
      <c r="B39" s="82" t="s">
        <v>153</v>
      </c>
      <c r="C39" s="82">
        <v>1</v>
      </c>
      <c r="D39" s="82">
        <v>1400734</v>
      </c>
      <c r="E39" s="82" t="s">
        <v>238</v>
      </c>
      <c r="F39" s="82"/>
      <c r="G39" s="82">
        <v>1</v>
      </c>
      <c r="H39" s="82">
        <v>1</v>
      </c>
      <c r="I39" s="82">
        <v>0</v>
      </c>
      <c r="J39" s="82">
        <v>0</v>
      </c>
      <c r="K39" s="82">
        <v>1</v>
      </c>
      <c r="L39" s="82">
        <v>0</v>
      </c>
      <c r="M39" s="82">
        <v>0</v>
      </c>
      <c r="N39" s="82">
        <v>1</v>
      </c>
      <c r="O39" s="82">
        <v>0</v>
      </c>
      <c r="P39" s="82">
        <v>0</v>
      </c>
      <c r="Q39" s="82">
        <v>0</v>
      </c>
      <c r="R39" s="82">
        <v>1</v>
      </c>
      <c r="S39" s="82"/>
      <c r="T39" s="82">
        <v>0</v>
      </c>
      <c r="U39" s="82">
        <v>0</v>
      </c>
      <c r="V39" s="82">
        <v>1</v>
      </c>
      <c r="W39" s="82">
        <v>0</v>
      </c>
      <c r="X39" s="82">
        <v>0</v>
      </c>
      <c r="Y39" s="82">
        <v>6</v>
      </c>
      <c r="Z39" s="82">
        <v>0</v>
      </c>
      <c r="AA39" s="82">
        <v>12</v>
      </c>
      <c r="AB39" s="82">
        <v>0</v>
      </c>
      <c r="AC39" s="82">
        <v>6</v>
      </c>
      <c r="AD39" s="82">
        <v>0</v>
      </c>
      <c r="AE39" s="82">
        <v>4</v>
      </c>
      <c r="AF39" s="82">
        <v>0</v>
      </c>
      <c r="AG39" s="82">
        <v>6</v>
      </c>
      <c r="AH39" s="82">
        <v>0</v>
      </c>
      <c r="AI39" s="82">
        <v>1</v>
      </c>
      <c r="AJ39" s="82">
        <v>0</v>
      </c>
      <c r="AK39" s="82">
        <v>0</v>
      </c>
      <c r="AL39" s="82">
        <v>0</v>
      </c>
      <c r="AM39" s="82">
        <v>35</v>
      </c>
      <c r="AN39" s="82">
        <v>0</v>
      </c>
      <c r="AO39" s="68">
        <f t="shared" ref="AO39:AO40" si="649">AN39+AM39</f>
        <v>35</v>
      </c>
      <c r="AP39" s="82">
        <v>2</v>
      </c>
      <c r="AQ39" s="82">
        <v>0</v>
      </c>
      <c r="AR39" s="82">
        <v>4</v>
      </c>
      <c r="AS39" s="82">
        <v>0</v>
      </c>
      <c r="AT39" s="82">
        <v>11</v>
      </c>
      <c r="AU39" s="82">
        <v>0</v>
      </c>
      <c r="AV39" s="82">
        <v>18</v>
      </c>
      <c r="AW39" s="82">
        <v>0</v>
      </c>
      <c r="AX39" s="82">
        <v>10</v>
      </c>
      <c r="AY39" s="82">
        <v>0</v>
      </c>
      <c r="AZ39" s="82">
        <v>6</v>
      </c>
      <c r="BA39" s="82">
        <v>0</v>
      </c>
      <c r="BB39" s="82">
        <v>6</v>
      </c>
      <c r="BC39" s="82">
        <v>0</v>
      </c>
      <c r="BD39" s="82">
        <v>57</v>
      </c>
      <c r="BE39" s="82">
        <v>0</v>
      </c>
      <c r="BF39" s="68">
        <f t="shared" ref="BF39:BF40" si="650">BE39+BD39</f>
        <v>57</v>
      </c>
      <c r="BG39" s="82">
        <v>1</v>
      </c>
      <c r="BH39" s="82">
        <v>0</v>
      </c>
      <c r="BI39" s="82">
        <v>2</v>
      </c>
      <c r="BJ39" s="82">
        <v>0</v>
      </c>
      <c r="BK39" s="82">
        <v>1</v>
      </c>
      <c r="BL39" s="82">
        <v>0</v>
      </c>
      <c r="BM39" s="82">
        <v>6</v>
      </c>
      <c r="BN39" s="82">
        <v>0</v>
      </c>
      <c r="BO39" s="82">
        <v>9</v>
      </c>
      <c r="BP39" s="82">
        <v>0</v>
      </c>
      <c r="BQ39" s="82">
        <v>7</v>
      </c>
      <c r="BR39" s="82">
        <v>0</v>
      </c>
      <c r="BS39" s="82">
        <v>12</v>
      </c>
      <c r="BT39" s="82">
        <v>0</v>
      </c>
      <c r="BU39" s="82">
        <v>38</v>
      </c>
      <c r="BV39" s="82">
        <v>0</v>
      </c>
      <c r="BW39" s="68">
        <f t="shared" ref="BW39:BW40" si="651">BV39+BU39</f>
        <v>38</v>
      </c>
      <c r="BX39" s="82">
        <v>9</v>
      </c>
      <c r="BY39" s="82">
        <v>0</v>
      </c>
      <c r="BZ39" s="82">
        <v>18</v>
      </c>
      <c r="CA39" s="82">
        <v>0</v>
      </c>
      <c r="CB39" s="82">
        <v>18</v>
      </c>
      <c r="CC39" s="82">
        <v>0</v>
      </c>
      <c r="CD39" s="82">
        <v>28</v>
      </c>
      <c r="CE39" s="82">
        <v>0</v>
      </c>
      <c r="CF39" s="82">
        <v>25</v>
      </c>
      <c r="CG39" s="82">
        <v>0</v>
      </c>
      <c r="CH39" s="82">
        <v>14</v>
      </c>
      <c r="CI39" s="82">
        <v>0</v>
      </c>
      <c r="CJ39" s="82">
        <v>18</v>
      </c>
      <c r="CK39" s="82">
        <v>0</v>
      </c>
      <c r="CL39" s="82">
        <v>130</v>
      </c>
      <c r="CM39" s="82">
        <v>0</v>
      </c>
      <c r="CN39" s="82">
        <v>130</v>
      </c>
      <c r="CO39" s="82">
        <v>1</v>
      </c>
      <c r="CP39" s="82">
        <v>0</v>
      </c>
      <c r="CQ39" s="82">
        <v>0</v>
      </c>
      <c r="CR39" s="82">
        <v>2</v>
      </c>
      <c r="CS39" s="82">
        <v>0</v>
      </c>
      <c r="CT39" s="82">
        <v>0</v>
      </c>
      <c r="CU39" s="82">
        <v>1</v>
      </c>
      <c r="CV39" s="82">
        <v>0</v>
      </c>
      <c r="CW39" s="82">
        <v>0</v>
      </c>
      <c r="CX39" s="68">
        <f t="shared" ref="CX39:CX40" si="652">CU39+CR39+CO39</f>
        <v>4</v>
      </c>
      <c r="CY39" s="68">
        <f t="shared" ref="CY39:CY40" si="653">CV39+CS39+CP39</f>
        <v>0</v>
      </c>
      <c r="CZ39" s="68">
        <f t="shared" ref="CZ39:CZ40" si="654">CW39+CT39+CQ39</f>
        <v>0</v>
      </c>
      <c r="DA39" s="68">
        <f t="shared" ref="DA39:DA40" si="655">CZ39+CY39+CX39</f>
        <v>4</v>
      </c>
      <c r="DB39" s="82">
        <v>1</v>
      </c>
      <c r="DC39" s="82">
        <v>0</v>
      </c>
      <c r="DD39" s="82">
        <v>13</v>
      </c>
      <c r="DE39" s="82">
        <v>0</v>
      </c>
      <c r="DF39" s="82">
        <v>4</v>
      </c>
      <c r="DG39" s="82">
        <v>0</v>
      </c>
      <c r="DH39" s="82">
        <v>18</v>
      </c>
      <c r="DI39" s="82">
        <v>0</v>
      </c>
      <c r="DJ39" s="82">
        <v>18</v>
      </c>
      <c r="DK39" s="82">
        <v>33</v>
      </c>
      <c r="DL39" s="82">
        <v>0</v>
      </c>
      <c r="DM39" s="82">
        <v>24</v>
      </c>
      <c r="DN39" s="82">
        <v>0</v>
      </c>
      <c r="DO39" s="82">
        <v>23</v>
      </c>
      <c r="DP39" s="82">
        <v>0</v>
      </c>
      <c r="DQ39" s="82">
        <v>80</v>
      </c>
      <c r="DR39" s="82">
        <v>0</v>
      </c>
      <c r="DS39" s="82">
        <v>80</v>
      </c>
      <c r="DT39" s="82">
        <v>8</v>
      </c>
      <c r="DU39" s="82">
        <v>0</v>
      </c>
      <c r="DV39" s="82">
        <v>12</v>
      </c>
      <c r="DW39" s="82">
        <v>0</v>
      </c>
      <c r="DX39" s="82">
        <v>7</v>
      </c>
      <c r="DY39" s="82">
        <v>0</v>
      </c>
      <c r="DZ39" s="82">
        <v>27</v>
      </c>
      <c r="EA39" s="82">
        <v>0</v>
      </c>
      <c r="EB39" s="82"/>
      <c r="EC39" s="82">
        <v>0</v>
      </c>
      <c r="ED39" s="82">
        <v>0</v>
      </c>
      <c r="EE39" s="82">
        <v>0</v>
      </c>
      <c r="EF39" s="82">
        <v>0</v>
      </c>
      <c r="EG39" s="82">
        <v>0</v>
      </c>
      <c r="EH39" s="82">
        <v>0</v>
      </c>
      <c r="EI39" s="82">
        <v>0</v>
      </c>
      <c r="EJ39" s="82">
        <v>0</v>
      </c>
      <c r="EK39" s="82"/>
      <c r="EL39" s="82">
        <v>0</v>
      </c>
      <c r="EM39" s="82">
        <v>0</v>
      </c>
      <c r="EN39" s="82">
        <v>0</v>
      </c>
      <c r="EO39" s="82">
        <v>0</v>
      </c>
      <c r="EP39" s="82">
        <v>0</v>
      </c>
      <c r="EQ39" s="82">
        <v>0</v>
      </c>
      <c r="ER39" s="82">
        <v>0</v>
      </c>
      <c r="ES39" s="82">
        <v>0</v>
      </c>
      <c r="ET39" s="82"/>
      <c r="EU39" s="82">
        <v>1</v>
      </c>
      <c r="EV39" s="82">
        <v>0</v>
      </c>
      <c r="EW39" s="82">
        <v>1</v>
      </c>
      <c r="EX39" s="82">
        <v>0</v>
      </c>
      <c r="EY39" s="82">
        <v>6</v>
      </c>
      <c r="EZ39" s="82">
        <v>0</v>
      </c>
      <c r="FA39" s="82">
        <v>0</v>
      </c>
      <c r="FB39" s="82">
        <v>0</v>
      </c>
      <c r="FC39" s="82">
        <v>8</v>
      </c>
      <c r="FD39" s="82">
        <v>0</v>
      </c>
      <c r="FE39" s="82">
        <v>8</v>
      </c>
      <c r="FF39" s="82">
        <v>0</v>
      </c>
      <c r="FG39" s="82">
        <v>0</v>
      </c>
      <c r="FH39" s="82">
        <v>0</v>
      </c>
      <c r="FI39" s="82">
        <v>0</v>
      </c>
      <c r="FJ39" s="82">
        <v>0</v>
      </c>
      <c r="FK39" s="82">
        <v>0</v>
      </c>
      <c r="FL39" s="82">
        <v>0</v>
      </c>
      <c r="FM39" s="82">
        <v>0</v>
      </c>
      <c r="FN39" s="82">
        <v>1</v>
      </c>
      <c r="FO39" s="82">
        <v>0</v>
      </c>
      <c r="FP39" s="82"/>
      <c r="FQ39" s="82"/>
      <c r="FR39" s="82">
        <v>0</v>
      </c>
      <c r="FS39" s="82">
        <v>0</v>
      </c>
      <c r="FT39" s="82">
        <v>0</v>
      </c>
      <c r="FU39" s="82">
        <v>1</v>
      </c>
      <c r="FV39" s="82">
        <v>0</v>
      </c>
      <c r="FW39" s="82">
        <v>1</v>
      </c>
      <c r="FX39" s="82"/>
      <c r="FY39" s="82"/>
      <c r="FZ39" s="82">
        <v>0</v>
      </c>
      <c r="GA39" s="82">
        <v>0</v>
      </c>
      <c r="GB39" s="82">
        <v>2</v>
      </c>
      <c r="GC39" s="82">
        <v>0</v>
      </c>
      <c r="GD39" s="82">
        <v>0</v>
      </c>
      <c r="GE39" s="82">
        <v>0</v>
      </c>
      <c r="GF39" s="82">
        <v>0</v>
      </c>
      <c r="GG39" s="82">
        <v>0</v>
      </c>
      <c r="GH39" s="82">
        <v>6</v>
      </c>
      <c r="GI39" s="82">
        <v>0</v>
      </c>
      <c r="GJ39" s="82">
        <v>0</v>
      </c>
      <c r="GK39" s="82">
        <v>0</v>
      </c>
      <c r="GL39" s="82">
        <v>0</v>
      </c>
      <c r="GM39" s="82">
        <v>0</v>
      </c>
      <c r="GN39" s="82">
        <v>8</v>
      </c>
      <c r="GO39" s="82">
        <v>0</v>
      </c>
      <c r="GP39" s="82">
        <v>8</v>
      </c>
      <c r="GQ39" s="82">
        <v>8</v>
      </c>
      <c r="GR39" s="82">
        <v>0</v>
      </c>
      <c r="GS39" s="82">
        <v>0</v>
      </c>
      <c r="GT39" s="82">
        <v>0</v>
      </c>
      <c r="GU39" s="82">
        <v>0</v>
      </c>
      <c r="GV39" s="82">
        <v>0</v>
      </c>
      <c r="GW39" s="82">
        <v>8</v>
      </c>
      <c r="GX39" s="82">
        <v>0</v>
      </c>
      <c r="GY39" s="82">
        <v>8</v>
      </c>
      <c r="GZ39" s="82">
        <v>8</v>
      </c>
      <c r="HA39" s="82">
        <v>0</v>
      </c>
      <c r="HB39" s="82">
        <v>0</v>
      </c>
      <c r="HC39" s="82">
        <v>0</v>
      </c>
      <c r="HD39" s="82">
        <v>0</v>
      </c>
      <c r="HE39" s="82">
        <v>0</v>
      </c>
      <c r="HF39" s="82">
        <v>0</v>
      </c>
      <c r="HG39" s="82">
        <v>0</v>
      </c>
      <c r="HH39" s="82">
        <v>0</v>
      </c>
      <c r="HI39" s="82">
        <v>0</v>
      </c>
      <c r="HJ39" s="82"/>
      <c r="HK39" s="82"/>
      <c r="HL39" s="82">
        <v>0</v>
      </c>
      <c r="HM39" s="82">
        <v>0</v>
      </c>
      <c r="HN39" s="82">
        <v>0</v>
      </c>
      <c r="HO39" s="82">
        <v>0</v>
      </c>
      <c r="HP39" s="82">
        <v>0</v>
      </c>
      <c r="HQ39" s="82">
        <v>8</v>
      </c>
      <c r="HR39" s="82">
        <v>0</v>
      </c>
      <c r="HS39" s="82">
        <v>8</v>
      </c>
      <c r="HT39" s="82">
        <v>0</v>
      </c>
      <c r="HU39" s="82">
        <v>0</v>
      </c>
      <c r="HV39" s="82">
        <v>8</v>
      </c>
      <c r="HW39" s="82">
        <v>0</v>
      </c>
      <c r="HX39" s="82">
        <v>0</v>
      </c>
      <c r="HY39" s="82">
        <v>0</v>
      </c>
      <c r="HZ39" s="82">
        <v>0</v>
      </c>
      <c r="IA39" s="82">
        <v>0</v>
      </c>
      <c r="IB39" s="82">
        <v>8</v>
      </c>
      <c r="IC39" s="82">
        <v>0</v>
      </c>
      <c r="ID39" s="82">
        <v>8</v>
      </c>
      <c r="IE39" s="82">
        <v>0</v>
      </c>
      <c r="IF39" s="82">
        <v>0</v>
      </c>
      <c r="IG39" s="82">
        <v>0</v>
      </c>
      <c r="IH39" s="82">
        <v>0</v>
      </c>
      <c r="II39" s="82">
        <v>0</v>
      </c>
      <c r="IJ39" s="82">
        <v>0</v>
      </c>
      <c r="IK39" s="82">
        <v>0</v>
      </c>
      <c r="IL39" s="82">
        <v>0</v>
      </c>
      <c r="IM39" s="82">
        <v>0</v>
      </c>
      <c r="IN39" s="82">
        <v>0</v>
      </c>
      <c r="IO39" s="82">
        <v>0</v>
      </c>
      <c r="IP39" s="82">
        <v>0</v>
      </c>
      <c r="IQ39" s="82">
        <v>50</v>
      </c>
      <c r="IR39" s="82">
        <v>0</v>
      </c>
      <c r="IS39" s="82">
        <v>12</v>
      </c>
      <c r="IT39" s="82">
        <v>0</v>
      </c>
      <c r="IU39" s="82">
        <v>1</v>
      </c>
      <c r="IV39" s="82">
        <v>0</v>
      </c>
      <c r="IW39" s="82"/>
      <c r="IX39" s="82">
        <v>1</v>
      </c>
      <c r="IY39" s="82" t="s">
        <v>239</v>
      </c>
      <c r="IZ39" s="82">
        <v>7812393803</v>
      </c>
      <c r="JA39" s="82"/>
    </row>
    <row r="40" spans="1:262" s="115" customFormat="1" ht="29.25" customHeight="1" x14ac:dyDescent="0.2">
      <c r="A40" s="82" t="s">
        <v>158</v>
      </c>
      <c r="B40" s="82" t="s">
        <v>153</v>
      </c>
      <c r="C40" s="82">
        <v>2</v>
      </c>
      <c r="D40" s="82">
        <v>1401568</v>
      </c>
      <c r="E40" s="82" t="s">
        <v>254</v>
      </c>
      <c r="F40" s="82"/>
      <c r="G40" s="82">
        <v>1</v>
      </c>
      <c r="H40" s="82">
        <v>0</v>
      </c>
      <c r="I40" s="82">
        <v>1</v>
      </c>
      <c r="J40" s="82">
        <v>0</v>
      </c>
      <c r="K40" s="82">
        <v>1</v>
      </c>
      <c r="L40" s="82">
        <v>0</v>
      </c>
      <c r="M40" s="82">
        <v>0</v>
      </c>
      <c r="N40" s="82">
        <v>1</v>
      </c>
      <c r="O40" s="82">
        <v>0</v>
      </c>
      <c r="P40" s="82">
        <v>0</v>
      </c>
      <c r="Q40" s="82">
        <v>0</v>
      </c>
      <c r="R40" s="82">
        <v>1</v>
      </c>
      <c r="S40" s="82"/>
      <c r="T40" s="82">
        <v>0</v>
      </c>
      <c r="U40" s="82">
        <v>0</v>
      </c>
      <c r="V40" s="82">
        <v>1</v>
      </c>
      <c r="W40" s="82">
        <v>0</v>
      </c>
      <c r="X40" s="82">
        <v>0</v>
      </c>
      <c r="Y40" s="82">
        <v>0</v>
      </c>
      <c r="Z40" s="82">
        <v>7</v>
      </c>
      <c r="AA40" s="82">
        <v>0</v>
      </c>
      <c r="AB40" s="82">
        <v>1</v>
      </c>
      <c r="AC40" s="82">
        <v>0</v>
      </c>
      <c r="AD40" s="82">
        <v>8</v>
      </c>
      <c r="AE40" s="82">
        <v>0</v>
      </c>
      <c r="AF40" s="82">
        <v>3</v>
      </c>
      <c r="AG40" s="82">
        <v>0</v>
      </c>
      <c r="AH40" s="82">
        <v>0</v>
      </c>
      <c r="AI40" s="82">
        <v>0</v>
      </c>
      <c r="AJ40" s="82">
        <v>4</v>
      </c>
      <c r="AK40" s="82">
        <v>0</v>
      </c>
      <c r="AL40" s="82">
        <v>1</v>
      </c>
      <c r="AM40" s="82">
        <v>0</v>
      </c>
      <c r="AN40" s="82">
        <v>24</v>
      </c>
      <c r="AO40" s="68">
        <f t="shared" si="649"/>
        <v>24</v>
      </c>
      <c r="AP40" s="82">
        <v>0</v>
      </c>
      <c r="AQ40" s="82">
        <v>5</v>
      </c>
      <c r="AR40" s="82">
        <v>0</v>
      </c>
      <c r="AS40" s="82">
        <v>4</v>
      </c>
      <c r="AT40" s="82">
        <v>0</v>
      </c>
      <c r="AU40" s="82">
        <v>3</v>
      </c>
      <c r="AV40" s="82">
        <v>0</v>
      </c>
      <c r="AW40" s="82">
        <v>6</v>
      </c>
      <c r="AX40" s="82">
        <v>0</v>
      </c>
      <c r="AY40" s="82">
        <v>5</v>
      </c>
      <c r="AZ40" s="82">
        <v>0</v>
      </c>
      <c r="BA40" s="82">
        <v>2</v>
      </c>
      <c r="BB40" s="82">
        <v>0</v>
      </c>
      <c r="BC40" s="82">
        <v>0</v>
      </c>
      <c r="BD40" s="82">
        <v>0</v>
      </c>
      <c r="BE40" s="82">
        <v>25</v>
      </c>
      <c r="BF40" s="68">
        <f t="shared" si="650"/>
        <v>25</v>
      </c>
      <c r="BG40" s="82">
        <v>0</v>
      </c>
      <c r="BH40" s="82">
        <v>2</v>
      </c>
      <c r="BI40" s="82">
        <v>0</v>
      </c>
      <c r="BJ40" s="82">
        <v>0</v>
      </c>
      <c r="BK40" s="82">
        <v>0</v>
      </c>
      <c r="BL40" s="82">
        <v>5</v>
      </c>
      <c r="BM40" s="82">
        <v>0</v>
      </c>
      <c r="BN40" s="82">
        <v>7</v>
      </c>
      <c r="BO40" s="82">
        <v>0</v>
      </c>
      <c r="BP40" s="82">
        <v>9</v>
      </c>
      <c r="BQ40" s="82">
        <v>0</v>
      </c>
      <c r="BR40" s="82">
        <v>8</v>
      </c>
      <c r="BS40" s="82">
        <v>0</v>
      </c>
      <c r="BT40" s="82">
        <v>7</v>
      </c>
      <c r="BU40" s="82">
        <v>0</v>
      </c>
      <c r="BV40" s="82">
        <v>38</v>
      </c>
      <c r="BW40" s="68">
        <f t="shared" si="651"/>
        <v>38</v>
      </c>
      <c r="BX40" s="82">
        <v>0</v>
      </c>
      <c r="BY40" s="82">
        <v>14</v>
      </c>
      <c r="BZ40" s="82">
        <v>0</v>
      </c>
      <c r="CA40" s="82">
        <v>5</v>
      </c>
      <c r="CB40" s="82">
        <v>0</v>
      </c>
      <c r="CC40" s="82">
        <v>16</v>
      </c>
      <c r="CD40" s="82">
        <v>0</v>
      </c>
      <c r="CE40" s="82">
        <v>16</v>
      </c>
      <c r="CF40" s="82">
        <v>0</v>
      </c>
      <c r="CG40" s="82">
        <v>14</v>
      </c>
      <c r="CH40" s="82">
        <v>0</v>
      </c>
      <c r="CI40" s="82">
        <v>14</v>
      </c>
      <c r="CJ40" s="82">
        <v>0</v>
      </c>
      <c r="CK40" s="82">
        <v>8</v>
      </c>
      <c r="CL40" s="82">
        <v>0</v>
      </c>
      <c r="CM40" s="82">
        <v>87</v>
      </c>
      <c r="CN40" s="82">
        <v>87</v>
      </c>
      <c r="CO40" s="82">
        <v>0</v>
      </c>
      <c r="CP40" s="82">
        <v>1</v>
      </c>
      <c r="CQ40" s="82">
        <v>0</v>
      </c>
      <c r="CR40" s="82">
        <v>0</v>
      </c>
      <c r="CS40" s="82">
        <v>1</v>
      </c>
      <c r="CT40" s="82">
        <v>0</v>
      </c>
      <c r="CU40" s="82">
        <v>0</v>
      </c>
      <c r="CV40" s="82">
        <v>2</v>
      </c>
      <c r="CW40" s="82">
        <v>0</v>
      </c>
      <c r="CX40" s="68">
        <f t="shared" si="652"/>
        <v>0</v>
      </c>
      <c r="CY40" s="68">
        <f t="shared" si="653"/>
        <v>4</v>
      </c>
      <c r="CZ40" s="68">
        <f t="shared" si="654"/>
        <v>0</v>
      </c>
      <c r="DA40" s="68">
        <f t="shared" si="655"/>
        <v>4</v>
      </c>
      <c r="DB40" s="82">
        <v>0</v>
      </c>
      <c r="DC40" s="82">
        <v>2</v>
      </c>
      <c r="DD40" s="82">
        <v>0</v>
      </c>
      <c r="DE40" s="82">
        <v>2</v>
      </c>
      <c r="DF40" s="82">
        <v>0</v>
      </c>
      <c r="DG40" s="82">
        <v>1</v>
      </c>
      <c r="DH40" s="82">
        <v>0</v>
      </c>
      <c r="DI40" s="82">
        <v>5</v>
      </c>
      <c r="DJ40" s="82">
        <v>5</v>
      </c>
      <c r="DK40" s="82">
        <v>0</v>
      </c>
      <c r="DL40" s="82">
        <v>11</v>
      </c>
      <c r="DM40" s="82">
        <v>0</v>
      </c>
      <c r="DN40" s="82">
        <v>19</v>
      </c>
      <c r="DO40" s="82">
        <v>0</v>
      </c>
      <c r="DP40" s="82">
        <v>23</v>
      </c>
      <c r="DQ40" s="82">
        <v>0</v>
      </c>
      <c r="DR40" s="82">
        <v>53</v>
      </c>
      <c r="DS40" s="82">
        <v>53</v>
      </c>
      <c r="DT40" s="82">
        <v>0</v>
      </c>
      <c r="DU40" s="82">
        <v>19</v>
      </c>
      <c r="DV40" s="82">
        <v>0</v>
      </c>
      <c r="DW40" s="82">
        <v>17</v>
      </c>
      <c r="DX40" s="82">
        <v>0</v>
      </c>
      <c r="DY40" s="82">
        <v>12</v>
      </c>
      <c r="DZ40" s="82">
        <v>0</v>
      </c>
      <c r="EA40" s="82">
        <v>48</v>
      </c>
      <c r="EB40" s="82"/>
      <c r="EC40" s="82">
        <v>0</v>
      </c>
      <c r="ED40" s="82">
        <v>0</v>
      </c>
      <c r="EE40" s="82">
        <v>0</v>
      </c>
      <c r="EF40" s="82">
        <v>0</v>
      </c>
      <c r="EG40" s="82">
        <v>0</v>
      </c>
      <c r="EH40" s="82">
        <v>0</v>
      </c>
      <c r="EI40" s="82">
        <v>0</v>
      </c>
      <c r="EJ40" s="82">
        <v>0</v>
      </c>
      <c r="EK40" s="82"/>
      <c r="EL40" s="82">
        <v>0</v>
      </c>
      <c r="EM40" s="82">
        <v>0</v>
      </c>
      <c r="EN40" s="82">
        <v>0</v>
      </c>
      <c r="EO40" s="82">
        <v>0</v>
      </c>
      <c r="EP40" s="82">
        <v>0</v>
      </c>
      <c r="EQ40" s="82">
        <v>0</v>
      </c>
      <c r="ER40" s="82">
        <v>0</v>
      </c>
      <c r="ES40" s="82">
        <v>0</v>
      </c>
      <c r="ET40" s="82"/>
      <c r="EU40" s="82">
        <v>0</v>
      </c>
      <c r="EV40" s="82">
        <v>1</v>
      </c>
      <c r="EW40" s="82">
        <v>0</v>
      </c>
      <c r="EX40" s="82">
        <v>0</v>
      </c>
      <c r="EY40" s="82">
        <v>0</v>
      </c>
      <c r="EZ40" s="82">
        <v>0</v>
      </c>
      <c r="FA40" s="82">
        <v>0</v>
      </c>
      <c r="FB40" s="82">
        <v>0</v>
      </c>
      <c r="FC40" s="82">
        <v>0</v>
      </c>
      <c r="FD40" s="82">
        <v>1</v>
      </c>
      <c r="FE40" s="82">
        <v>1</v>
      </c>
      <c r="FF40" s="82">
        <v>0</v>
      </c>
      <c r="FG40" s="82">
        <v>0</v>
      </c>
      <c r="FH40" s="82">
        <v>0</v>
      </c>
      <c r="FI40" s="82">
        <v>0</v>
      </c>
      <c r="FJ40" s="82">
        <v>0</v>
      </c>
      <c r="FK40" s="82">
        <v>0</v>
      </c>
      <c r="FL40" s="82">
        <v>0</v>
      </c>
      <c r="FM40" s="82">
        <v>0</v>
      </c>
      <c r="FN40" s="82">
        <v>1</v>
      </c>
      <c r="FO40" s="82">
        <v>0</v>
      </c>
      <c r="FP40" s="82"/>
      <c r="FQ40" s="82"/>
      <c r="FR40" s="82">
        <v>0</v>
      </c>
      <c r="FS40" s="82">
        <v>0</v>
      </c>
      <c r="FT40" s="82">
        <v>0</v>
      </c>
      <c r="FU40" s="82">
        <v>1</v>
      </c>
      <c r="FV40" s="82">
        <v>0</v>
      </c>
      <c r="FW40" s="82">
        <v>1</v>
      </c>
      <c r="FX40" s="82"/>
      <c r="FY40" s="82"/>
      <c r="FZ40" s="82">
        <v>0</v>
      </c>
      <c r="GA40" s="82">
        <v>0</v>
      </c>
      <c r="GB40" s="82">
        <v>0</v>
      </c>
      <c r="GC40" s="82">
        <v>1</v>
      </c>
      <c r="GD40" s="82">
        <v>0</v>
      </c>
      <c r="GE40" s="82">
        <v>0</v>
      </c>
      <c r="GF40" s="82">
        <v>0</v>
      </c>
      <c r="GG40" s="82">
        <v>0</v>
      </c>
      <c r="GH40" s="82">
        <v>0</v>
      </c>
      <c r="GI40" s="82">
        <v>0</v>
      </c>
      <c r="GJ40" s="82">
        <v>0</v>
      </c>
      <c r="GK40" s="82">
        <v>0</v>
      </c>
      <c r="GL40" s="82">
        <v>0</v>
      </c>
      <c r="GM40" s="82">
        <v>0</v>
      </c>
      <c r="GN40" s="82">
        <v>0</v>
      </c>
      <c r="GO40" s="82">
        <v>1</v>
      </c>
      <c r="GP40" s="82">
        <v>1</v>
      </c>
      <c r="GQ40" s="82">
        <v>0</v>
      </c>
      <c r="GR40" s="82">
        <v>1</v>
      </c>
      <c r="GS40" s="82">
        <v>0</v>
      </c>
      <c r="GT40" s="82">
        <v>0</v>
      </c>
      <c r="GU40" s="82">
        <v>0</v>
      </c>
      <c r="GV40" s="82">
        <v>0</v>
      </c>
      <c r="GW40" s="82">
        <v>0</v>
      </c>
      <c r="GX40" s="82">
        <v>1</v>
      </c>
      <c r="GY40" s="82">
        <v>1</v>
      </c>
      <c r="GZ40" s="82">
        <v>0</v>
      </c>
      <c r="HA40" s="82">
        <v>1</v>
      </c>
      <c r="HB40" s="82">
        <v>0</v>
      </c>
      <c r="HC40" s="82">
        <v>0</v>
      </c>
      <c r="HD40" s="82">
        <v>0</v>
      </c>
      <c r="HE40" s="82">
        <v>0</v>
      </c>
      <c r="HF40" s="82">
        <v>0</v>
      </c>
      <c r="HG40" s="82">
        <v>0</v>
      </c>
      <c r="HH40" s="82">
        <v>0</v>
      </c>
      <c r="HI40" s="82">
        <v>0</v>
      </c>
      <c r="HJ40" s="82"/>
      <c r="HK40" s="82"/>
      <c r="HL40" s="82">
        <v>0</v>
      </c>
      <c r="HM40" s="82">
        <v>0</v>
      </c>
      <c r="HN40" s="82">
        <v>0</v>
      </c>
      <c r="HO40" s="82">
        <v>0</v>
      </c>
      <c r="HP40" s="82">
        <v>0</v>
      </c>
      <c r="HQ40" s="82">
        <v>0</v>
      </c>
      <c r="HR40" s="82">
        <v>1</v>
      </c>
      <c r="HS40" s="82">
        <v>1</v>
      </c>
      <c r="HT40" s="82">
        <v>0</v>
      </c>
      <c r="HU40" s="82">
        <v>0</v>
      </c>
      <c r="HV40" s="82">
        <v>0</v>
      </c>
      <c r="HW40" s="82">
        <v>1</v>
      </c>
      <c r="HX40" s="82">
        <v>0</v>
      </c>
      <c r="HY40" s="82">
        <v>0</v>
      </c>
      <c r="HZ40" s="82">
        <v>0</v>
      </c>
      <c r="IA40" s="82">
        <v>0</v>
      </c>
      <c r="IB40" s="82">
        <v>0</v>
      </c>
      <c r="IC40" s="82">
        <v>1</v>
      </c>
      <c r="ID40" s="82">
        <v>1</v>
      </c>
      <c r="IE40" s="82">
        <v>0</v>
      </c>
      <c r="IF40" s="82">
        <v>0</v>
      </c>
      <c r="IG40" s="82">
        <v>0</v>
      </c>
      <c r="IH40" s="82">
        <v>0</v>
      </c>
      <c r="II40" s="82">
        <v>0</v>
      </c>
      <c r="IJ40" s="82">
        <v>0</v>
      </c>
      <c r="IK40" s="82">
        <v>0</v>
      </c>
      <c r="IL40" s="82">
        <v>0</v>
      </c>
      <c r="IM40" s="82">
        <v>0</v>
      </c>
      <c r="IN40" s="82">
        <v>0</v>
      </c>
      <c r="IO40" s="82">
        <v>0</v>
      </c>
      <c r="IP40" s="82">
        <v>0</v>
      </c>
      <c r="IQ40" s="82"/>
      <c r="IR40" s="82"/>
      <c r="IS40" s="82"/>
      <c r="IT40" s="82"/>
      <c r="IU40" s="82"/>
      <c r="IV40" s="82"/>
      <c r="IW40" s="82"/>
      <c r="IX40" s="82">
        <v>1</v>
      </c>
      <c r="IY40" s="82" t="s">
        <v>255</v>
      </c>
      <c r="IZ40" s="82">
        <v>7825033403</v>
      </c>
      <c r="JA40" s="82"/>
    </row>
    <row r="41" spans="1:262" s="63" customFormat="1" ht="24.75" customHeight="1" x14ac:dyDescent="0.2">
      <c r="A41" s="169" t="s">
        <v>153</v>
      </c>
      <c r="B41" s="170"/>
      <c r="C41" s="170"/>
      <c r="D41" s="170"/>
      <c r="E41" s="171"/>
      <c r="F41" s="62">
        <f t="shared" ref="F41:BQ41" si="656">SUM(F39:F40)</f>
        <v>0</v>
      </c>
      <c r="G41" s="62">
        <f t="shared" si="656"/>
        <v>2</v>
      </c>
      <c r="H41" s="62">
        <f t="shared" si="656"/>
        <v>1</v>
      </c>
      <c r="I41" s="62">
        <f t="shared" si="656"/>
        <v>1</v>
      </c>
      <c r="J41" s="62">
        <f t="shared" si="656"/>
        <v>0</v>
      </c>
      <c r="K41" s="62">
        <f t="shared" si="656"/>
        <v>2</v>
      </c>
      <c r="L41" s="62">
        <f t="shared" si="656"/>
        <v>0</v>
      </c>
      <c r="M41" s="62">
        <f t="shared" si="656"/>
        <v>0</v>
      </c>
      <c r="N41" s="62">
        <f t="shared" si="656"/>
        <v>2</v>
      </c>
      <c r="O41" s="62">
        <f t="shared" si="656"/>
        <v>0</v>
      </c>
      <c r="P41" s="62">
        <f t="shared" si="656"/>
        <v>0</v>
      </c>
      <c r="Q41" s="62">
        <f t="shared" si="656"/>
        <v>0</v>
      </c>
      <c r="R41" s="62">
        <f t="shared" si="656"/>
        <v>2</v>
      </c>
      <c r="S41" s="62">
        <f t="shared" si="656"/>
        <v>0</v>
      </c>
      <c r="T41" s="62">
        <f t="shared" si="656"/>
        <v>0</v>
      </c>
      <c r="U41" s="62">
        <f t="shared" si="656"/>
        <v>0</v>
      </c>
      <c r="V41" s="62">
        <f t="shared" si="656"/>
        <v>2</v>
      </c>
      <c r="W41" s="62">
        <f t="shared" si="656"/>
        <v>0</v>
      </c>
      <c r="X41" s="62">
        <f t="shared" si="656"/>
        <v>0</v>
      </c>
      <c r="Y41" s="62">
        <f t="shared" si="656"/>
        <v>6</v>
      </c>
      <c r="Z41" s="62">
        <f t="shared" si="656"/>
        <v>7</v>
      </c>
      <c r="AA41" s="62">
        <f t="shared" si="656"/>
        <v>12</v>
      </c>
      <c r="AB41" s="62">
        <f t="shared" si="656"/>
        <v>1</v>
      </c>
      <c r="AC41" s="62">
        <f t="shared" si="656"/>
        <v>6</v>
      </c>
      <c r="AD41" s="62">
        <f t="shared" si="656"/>
        <v>8</v>
      </c>
      <c r="AE41" s="62">
        <f t="shared" si="656"/>
        <v>4</v>
      </c>
      <c r="AF41" s="62">
        <f t="shared" si="656"/>
        <v>3</v>
      </c>
      <c r="AG41" s="62">
        <f t="shared" si="656"/>
        <v>6</v>
      </c>
      <c r="AH41" s="62">
        <f t="shared" si="656"/>
        <v>0</v>
      </c>
      <c r="AI41" s="62">
        <f t="shared" si="656"/>
        <v>1</v>
      </c>
      <c r="AJ41" s="62">
        <f t="shared" si="656"/>
        <v>4</v>
      </c>
      <c r="AK41" s="62">
        <f t="shared" si="656"/>
        <v>0</v>
      </c>
      <c r="AL41" s="62">
        <f t="shared" si="656"/>
        <v>1</v>
      </c>
      <c r="AM41" s="62">
        <f t="shared" si="656"/>
        <v>35</v>
      </c>
      <c r="AN41" s="62">
        <f t="shared" si="656"/>
        <v>24</v>
      </c>
      <c r="AO41" s="62">
        <f t="shared" si="656"/>
        <v>59</v>
      </c>
      <c r="AP41" s="62">
        <f t="shared" si="656"/>
        <v>2</v>
      </c>
      <c r="AQ41" s="62">
        <f t="shared" si="656"/>
        <v>5</v>
      </c>
      <c r="AR41" s="62">
        <f t="shared" si="656"/>
        <v>4</v>
      </c>
      <c r="AS41" s="62">
        <f t="shared" si="656"/>
        <v>4</v>
      </c>
      <c r="AT41" s="62">
        <f t="shared" si="656"/>
        <v>11</v>
      </c>
      <c r="AU41" s="62">
        <f t="shared" si="656"/>
        <v>3</v>
      </c>
      <c r="AV41" s="62">
        <f t="shared" si="656"/>
        <v>18</v>
      </c>
      <c r="AW41" s="62">
        <f t="shared" si="656"/>
        <v>6</v>
      </c>
      <c r="AX41" s="62">
        <f t="shared" si="656"/>
        <v>10</v>
      </c>
      <c r="AY41" s="62">
        <f t="shared" si="656"/>
        <v>5</v>
      </c>
      <c r="AZ41" s="62">
        <f t="shared" si="656"/>
        <v>6</v>
      </c>
      <c r="BA41" s="62">
        <f t="shared" si="656"/>
        <v>2</v>
      </c>
      <c r="BB41" s="62">
        <f t="shared" si="656"/>
        <v>6</v>
      </c>
      <c r="BC41" s="62">
        <f t="shared" si="656"/>
        <v>0</v>
      </c>
      <c r="BD41" s="62">
        <f t="shared" si="656"/>
        <v>57</v>
      </c>
      <c r="BE41" s="62">
        <f t="shared" si="656"/>
        <v>25</v>
      </c>
      <c r="BF41" s="62">
        <f t="shared" si="656"/>
        <v>82</v>
      </c>
      <c r="BG41" s="62">
        <f t="shared" si="656"/>
        <v>1</v>
      </c>
      <c r="BH41" s="62">
        <f t="shared" si="656"/>
        <v>2</v>
      </c>
      <c r="BI41" s="62">
        <f t="shared" si="656"/>
        <v>2</v>
      </c>
      <c r="BJ41" s="62">
        <f t="shared" si="656"/>
        <v>0</v>
      </c>
      <c r="BK41" s="62">
        <f t="shared" si="656"/>
        <v>1</v>
      </c>
      <c r="BL41" s="62">
        <f t="shared" si="656"/>
        <v>5</v>
      </c>
      <c r="BM41" s="62">
        <f t="shared" si="656"/>
        <v>6</v>
      </c>
      <c r="BN41" s="62">
        <f t="shared" si="656"/>
        <v>7</v>
      </c>
      <c r="BO41" s="62">
        <f t="shared" si="656"/>
        <v>9</v>
      </c>
      <c r="BP41" s="62">
        <f t="shared" si="656"/>
        <v>9</v>
      </c>
      <c r="BQ41" s="62">
        <f t="shared" si="656"/>
        <v>7</v>
      </c>
      <c r="BR41" s="62">
        <f t="shared" ref="BR41:EC41" si="657">SUM(BR39:BR40)</f>
        <v>8</v>
      </c>
      <c r="BS41" s="62">
        <f t="shared" si="657"/>
        <v>12</v>
      </c>
      <c r="BT41" s="62">
        <f t="shared" si="657"/>
        <v>7</v>
      </c>
      <c r="BU41" s="62">
        <f t="shared" si="657"/>
        <v>38</v>
      </c>
      <c r="BV41" s="62">
        <f t="shared" si="657"/>
        <v>38</v>
      </c>
      <c r="BW41" s="62">
        <f t="shared" si="657"/>
        <v>76</v>
      </c>
      <c r="BX41" s="62">
        <f t="shared" si="657"/>
        <v>9</v>
      </c>
      <c r="BY41" s="62">
        <f t="shared" si="657"/>
        <v>14</v>
      </c>
      <c r="BZ41" s="62">
        <f t="shared" si="657"/>
        <v>18</v>
      </c>
      <c r="CA41" s="62">
        <f t="shared" si="657"/>
        <v>5</v>
      </c>
      <c r="CB41" s="62">
        <f t="shared" si="657"/>
        <v>18</v>
      </c>
      <c r="CC41" s="62">
        <f t="shared" si="657"/>
        <v>16</v>
      </c>
      <c r="CD41" s="62">
        <f t="shared" si="657"/>
        <v>28</v>
      </c>
      <c r="CE41" s="62">
        <f t="shared" si="657"/>
        <v>16</v>
      </c>
      <c r="CF41" s="62">
        <f t="shared" si="657"/>
        <v>25</v>
      </c>
      <c r="CG41" s="62">
        <f t="shared" si="657"/>
        <v>14</v>
      </c>
      <c r="CH41" s="62">
        <f t="shared" si="657"/>
        <v>14</v>
      </c>
      <c r="CI41" s="62">
        <f t="shared" si="657"/>
        <v>14</v>
      </c>
      <c r="CJ41" s="62">
        <f t="shared" si="657"/>
        <v>18</v>
      </c>
      <c r="CK41" s="62">
        <f t="shared" si="657"/>
        <v>8</v>
      </c>
      <c r="CL41" s="62">
        <f t="shared" si="657"/>
        <v>130</v>
      </c>
      <c r="CM41" s="62">
        <f t="shared" si="657"/>
        <v>87</v>
      </c>
      <c r="CN41" s="62">
        <f t="shared" si="657"/>
        <v>217</v>
      </c>
      <c r="CO41" s="62">
        <f t="shared" si="657"/>
        <v>1</v>
      </c>
      <c r="CP41" s="62">
        <f t="shared" si="657"/>
        <v>1</v>
      </c>
      <c r="CQ41" s="62">
        <f t="shared" si="657"/>
        <v>0</v>
      </c>
      <c r="CR41" s="62">
        <f t="shared" si="657"/>
        <v>2</v>
      </c>
      <c r="CS41" s="62">
        <f t="shared" si="657"/>
        <v>1</v>
      </c>
      <c r="CT41" s="62">
        <f t="shared" si="657"/>
        <v>0</v>
      </c>
      <c r="CU41" s="62">
        <f t="shared" si="657"/>
        <v>1</v>
      </c>
      <c r="CV41" s="62">
        <f t="shared" si="657"/>
        <v>2</v>
      </c>
      <c r="CW41" s="62">
        <f t="shared" si="657"/>
        <v>0</v>
      </c>
      <c r="CX41" s="62">
        <f t="shared" si="657"/>
        <v>4</v>
      </c>
      <c r="CY41" s="62">
        <f t="shared" si="657"/>
        <v>4</v>
      </c>
      <c r="CZ41" s="62">
        <f t="shared" si="657"/>
        <v>0</v>
      </c>
      <c r="DA41" s="62">
        <f t="shared" si="657"/>
        <v>8</v>
      </c>
      <c r="DB41" s="62">
        <f t="shared" si="657"/>
        <v>1</v>
      </c>
      <c r="DC41" s="62">
        <f t="shared" si="657"/>
        <v>2</v>
      </c>
      <c r="DD41" s="62">
        <f t="shared" si="657"/>
        <v>13</v>
      </c>
      <c r="DE41" s="62">
        <f t="shared" si="657"/>
        <v>2</v>
      </c>
      <c r="DF41" s="62">
        <f t="shared" si="657"/>
        <v>4</v>
      </c>
      <c r="DG41" s="62">
        <f t="shared" si="657"/>
        <v>1</v>
      </c>
      <c r="DH41" s="62">
        <f t="shared" si="657"/>
        <v>18</v>
      </c>
      <c r="DI41" s="62">
        <f t="shared" si="657"/>
        <v>5</v>
      </c>
      <c r="DJ41" s="62">
        <f t="shared" si="657"/>
        <v>23</v>
      </c>
      <c r="DK41" s="62">
        <f t="shared" si="657"/>
        <v>33</v>
      </c>
      <c r="DL41" s="62">
        <f t="shared" si="657"/>
        <v>11</v>
      </c>
      <c r="DM41" s="62">
        <f t="shared" si="657"/>
        <v>24</v>
      </c>
      <c r="DN41" s="62">
        <f t="shared" si="657"/>
        <v>19</v>
      </c>
      <c r="DO41" s="62">
        <f t="shared" si="657"/>
        <v>23</v>
      </c>
      <c r="DP41" s="62">
        <f t="shared" si="657"/>
        <v>23</v>
      </c>
      <c r="DQ41" s="62">
        <f t="shared" si="657"/>
        <v>80</v>
      </c>
      <c r="DR41" s="62">
        <f t="shared" si="657"/>
        <v>53</v>
      </c>
      <c r="DS41" s="62">
        <f t="shared" si="657"/>
        <v>133</v>
      </c>
      <c r="DT41" s="62">
        <f t="shared" si="657"/>
        <v>8</v>
      </c>
      <c r="DU41" s="62">
        <f t="shared" si="657"/>
        <v>19</v>
      </c>
      <c r="DV41" s="62">
        <f t="shared" si="657"/>
        <v>12</v>
      </c>
      <c r="DW41" s="62">
        <f t="shared" si="657"/>
        <v>17</v>
      </c>
      <c r="DX41" s="62">
        <f t="shared" si="657"/>
        <v>7</v>
      </c>
      <c r="DY41" s="62">
        <f t="shared" si="657"/>
        <v>12</v>
      </c>
      <c r="DZ41" s="62">
        <f t="shared" si="657"/>
        <v>27</v>
      </c>
      <c r="EA41" s="62">
        <f t="shared" si="657"/>
        <v>48</v>
      </c>
      <c r="EB41" s="62">
        <f t="shared" si="657"/>
        <v>0</v>
      </c>
      <c r="EC41" s="62">
        <f t="shared" si="657"/>
        <v>0</v>
      </c>
      <c r="ED41" s="62">
        <f t="shared" ref="ED41:GO41" si="658">SUM(ED39:ED40)</f>
        <v>0</v>
      </c>
      <c r="EE41" s="62">
        <f t="shared" si="658"/>
        <v>0</v>
      </c>
      <c r="EF41" s="62">
        <f t="shared" si="658"/>
        <v>0</v>
      </c>
      <c r="EG41" s="62">
        <f t="shared" si="658"/>
        <v>0</v>
      </c>
      <c r="EH41" s="62">
        <f t="shared" si="658"/>
        <v>0</v>
      </c>
      <c r="EI41" s="62">
        <f t="shared" si="658"/>
        <v>0</v>
      </c>
      <c r="EJ41" s="62">
        <f t="shared" si="658"/>
        <v>0</v>
      </c>
      <c r="EK41" s="62">
        <f t="shared" si="658"/>
        <v>0</v>
      </c>
      <c r="EL41" s="62">
        <f t="shared" si="658"/>
        <v>0</v>
      </c>
      <c r="EM41" s="62">
        <f t="shared" si="658"/>
        <v>0</v>
      </c>
      <c r="EN41" s="62">
        <f t="shared" si="658"/>
        <v>0</v>
      </c>
      <c r="EO41" s="62">
        <f t="shared" si="658"/>
        <v>0</v>
      </c>
      <c r="EP41" s="62">
        <f t="shared" si="658"/>
        <v>0</v>
      </c>
      <c r="EQ41" s="62">
        <f t="shared" si="658"/>
        <v>0</v>
      </c>
      <c r="ER41" s="62">
        <f t="shared" si="658"/>
        <v>0</v>
      </c>
      <c r="ES41" s="62">
        <f t="shared" si="658"/>
        <v>0</v>
      </c>
      <c r="ET41" s="62">
        <f t="shared" si="658"/>
        <v>0</v>
      </c>
      <c r="EU41" s="62">
        <f t="shared" si="658"/>
        <v>1</v>
      </c>
      <c r="EV41" s="62">
        <f t="shared" si="658"/>
        <v>1</v>
      </c>
      <c r="EW41" s="62">
        <f t="shared" si="658"/>
        <v>1</v>
      </c>
      <c r="EX41" s="62">
        <f t="shared" si="658"/>
        <v>0</v>
      </c>
      <c r="EY41" s="62">
        <f t="shared" si="658"/>
        <v>6</v>
      </c>
      <c r="EZ41" s="62">
        <f t="shared" si="658"/>
        <v>0</v>
      </c>
      <c r="FA41" s="62">
        <f t="shared" si="658"/>
        <v>0</v>
      </c>
      <c r="FB41" s="62">
        <f t="shared" si="658"/>
        <v>0</v>
      </c>
      <c r="FC41" s="62">
        <f t="shared" si="658"/>
        <v>8</v>
      </c>
      <c r="FD41" s="62">
        <f t="shared" si="658"/>
        <v>1</v>
      </c>
      <c r="FE41" s="62">
        <f t="shared" si="658"/>
        <v>9</v>
      </c>
      <c r="FF41" s="62">
        <f t="shared" si="658"/>
        <v>0</v>
      </c>
      <c r="FG41" s="62">
        <f t="shared" si="658"/>
        <v>0</v>
      </c>
      <c r="FH41" s="62">
        <f t="shared" si="658"/>
        <v>0</v>
      </c>
      <c r="FI41" s="62">
        <f t="shared" si="658"/>
        <v>0</v>
      </c>
      <c r="FJ41" s="62">
        <f t="shared" si="658"/>
        <v>0</v>
      </c>
      <c r="FK41" s="62">
        <f t="shared" si="658"/>
        <v>0</v>
      </c>
      <c r="FL41" s="62">
        <f t="shared" si="658"/>
        <v>0</v>
      </c>
      <c r="FM41" s="62">
        <f t="shared" si="658"/>
        <v>0</v>
      </c>
      <c r="FN41" s="62">
        <f t="shared" si="658"/>
        <v>2</v>
      </c>
      <c r="FO41" s="62">
        <f t="shared" si="658"/>
        <v>0</v>
      </c>
      <c r="FP41" s="62">
        <f t="shared" si="658"/>
        <v>0</v>
      </c>
      <c r="FQ41" s="62">
        <f t="shared" si="658"/>
        <v>0</v>
      </c>
      <c r="FR41" s="62">
        <f t="shared" si="658"/>
        <v>0</v>
      </c>
      <c r="FS41" s="62">
        <f t="shared" si="658"/>
        <v>0</v>
      </c>
      <c r="FT41" s="62">
        <f t="shared" si="658"/>
        <v>0</v>
      </c>
      <c r="FU41" s="62">
        <f t="shared" si="658"/>
        <v>2</v>
      </c>
      <c r="FV41" s="62">
        <f t="shared" si="658"/>
        <v>0</v>
      </c>
      <c r="FW41" s="62">
        <f t="shared" si="658"/>
        <v>2</v>
      </c>
      <c r="FX41" s="62">
        <f t="shared" si="658"/>
        <v>0</v>
      </c>
      <c r="FY41" s="62">
        <f t="shared" si="658"/>
        <v>0</v>
      </c>
      <c r="FZ41" s="62">
        <f t="shared" si="658"/>
        <v>0</v>
      </c>
      <c r="GA41" s="62">
        <f t="shared" si="658"/>
        <v>0</v>
      </c>
      <c r="GB41" s="62">
        <f t="shared" si="658"/>
        <v>2</v>
      </c>
      <c r="GC41" s="62">
        <f t="shared" si="658"/>
        <v>1</v>
      </c>
      <c r="GD41" s="62">
        <f t="shared" si="658"/>
        <v>0</v>
      </c>
      <c r="GE41" s="62">
        <f t="shared" si="658"/>
        <v>0</v>
      </c>
      <c r="GF41" s="62">
        <f t="shared" si="658"/>
        <v>0</v>
      </c>
      <c r="GG41" s="62">
        <f t="shared" si="658"/>
        <v>0</v>
      </c>
      <c r="GH41" s="62">
        <f t="shared" si="658"/>
        <v>6</v>
      </c>
      <c r="GI41" s="62">
        <f t="shared" si="658"/>
        <v>0</v>
      </c>
      <c r="GJ41" s="62">
        <f t="shared" si="658"/>
        <v>0</v>
      </c>
      <c r="GK41" s="62">
        <f t="shared" si="658"/>
        <v>0</v>
      </c>
      <c r="GL41" s="62">
        <f t="shared" si="658"/>
        <v>0</v>
      </c>
      <c r="GM41" s="62">
        <f t="shared" si="658"/>
        <v>0</v>
      </c>
      <c r="GN41" s="62">
        <f t="shared" si="658"/>
        <v>8</v>
      </c>
      <c r="GO41" s="62">
        <f t="shared" si="658"/>
        <v>1</v>
      </c>
      <c r="GP41" s="62">
        <f t="shared" ref="GP41:IX41" si="659">SUM(GP39:GP40)</f>
        <v>9</v>
      </c>
      <c r="GQ41" s="62">
        <f t="shared" si="659"/>
        <v>8</v>
      </c>
      <c r="GR41" s="62">
        <f t="shared" si="659"/>
        <v>1</v>
      </c>
      <c r="GS41" s="62">
        <f t="shared" si="659"/>
        <v>0</v>
      </c>
      <c r="GT41" s="62">
        <f t="shared" si="659"/>
        <v>0</v>
      </c>
      <c r="GU41" s="62">
        <f t="shared" si="659"/>
        <v>0</v>
      </c>
      <c r="GV41" s="62">
        <f t="shared" si="659"/>
        <v>0</v>
      </c>
      <c r="GW41" s="62">
        <f t="shared" si="659"/>
        <v>8</v>
      </c>
      <c r="GX41" s="62">
        <f t="shared" si="659"/>
        <v>1</v>
      </c>
      <c r="GY41" s="62">
        <f t="shared" si="659"/>
        <v>9</v>
      </c>
      <c r="GZ41" s="62">
        <f t="shared" si="659"/>
        <v>8</v>
      </c>
      <c r="HA41" s="62">
        <f t="shared" si="659"/>
        <v>1</v>
      </c>
      <c r="HB41" s="62">
        <f t="shared" si="659"/>
        <v>0</v>
      </c>
      <c r="HC41" s="62">
        <f t="shared" si="659"/>
        <v>0</v>
      </c>
      <c r="HD41" s="62">
        <f t="shared" si="659"/>
        <v>0</v>
      </c>
      <c r="HE41" s="62">
        <f t="shared" si="659"/>
        <v>0</v>
      </c>
      <c r="HF41" s="62">
        <f t="shared" si="659"/>
        <v>0</v>
      </c>
      <c r="HG41" s="62">
        <f t="shared" si="659"/>
        <v>0</v>
      </c>
      <c r="HH41" s="62">
        <f t="shared" si="659"/>
        <v>0</v>
      </c>
      <c r="HI41" s="62">
        <f t="shared" si="659"/>
        <v>0</v>
      </c>
      <c r="HJ41" s="62">
        <f t="shared" si="659"/>
        <v>0</v>
      </c>
      <c r="HK41" s="62">
        <f t="shared" si="659"/>
        <v>0</v>
      </c>
      <c r="HL41" s="62">
        <f t="shared" si="659"/>
        <v>0</v>
      </c>
      <c r="HM41" s="62">
        <f t="shared" si="659"/>
        <v>0</v>
      </c>
      <c r="HN41" s="62">
        <f t="shared" si="659"/>
        <v>0</v>
      </c>
      <c r="HO41" s="62">
        <f t="shared" si="659"/>
        <v>0</v>
      </c>
      <c r="HP41" s="62">
        <f t="shared" si="659"/>
        <v>0</v>
      </c>
      <c r="HQ41" s="62">
        <f t="shared" si="659"/>
        <v>8</v>
      </c>
      <c r="HR41" s="62">
        <f t="shared" si="659"/>
        <v>1</v>
      </c>
      <c r="HS41" s="62">
        <f t="shared" si="659"/>
        <v>9</v>
      </c>
      <c r="HT41" s="62">
        <f t="shared" si="659"/>
        <v>0</v>
      </c>
      <c r="HU41" s="62">
        <f t="shared" si="659"/>
        <v>0</v>
      </c>
      <c r="HV41" s="62">
        <f t="shared" si="659"/>
        <v>8</v>
      </c>
      <c r="HW41" s="62">
        <f t="shared" si="659"/>
        <v>1</v>
      </c>
      <c r="HX41" s="62">
        <f t="shared" si="659"/>
        <v>0</v>
      </c>
      <c r="HY41" s="62">
        <f t="shared" si="659"/>
        <v>0</v>
      </c>
      <c r="HZ41" s="62">
        <f t="shared" si="659"/>
        <v>0</v>
      </c>
      <c r="IA41" s="62">
        <f t="shared" si="659"/>
        <v>0</v>
      </c>
      <c r="IB41" s="62">
        <f t="shared" si="659"/>
        <v>8</v>
      </c>
      <c r="IC41" s="62">
        <f t="shared" si="659"/>
        <v>1</v>
      </c>
      <c r="ID41" s="62">
        <f t="shared" si="659"/>
        <v>9</v>
      </c>
      <c r="IE41" s="62">
        <f t="shared" si="659"/>
        <v>0</v>
      </c>
      <c r="IF41" s="62">
        <f t="shared" si="659"/>
        <v>0</v>
      </c>
      <c r="IG41" s="62">
        <f t="shared" si="659"/>
        <v>0</v>
      </c>
      <c r="IH41" s="62">
        <f t="shared" si="659"/>
        <v>0</v>
      </c>
      <c r="II41" s="62">
        <f t="shared" si="659"/>
        <v>0</v>
      </c>
      <c r="IJ41" s="62">
        <f t="shared" si="659"/>
        <v>0</v>
      </c>
      <c r="IK41" s="62">
        <f t="shared" si="659"/>
        <v>0</v>
      </c>
      <c r="IL41" s="62">
        <f t="shared" si="659"/>
        <v>0</v>
      </c>
      <c r="IM41" s="62">
        <f t="shared" si="659"/>
        <v>0</v>
      </c>
      <c r="IN41" s="62">
        <f t="shared" si="659"/>
        <v>0</v>
      </c>
      <c r="IO41" s="62">
        <f t="shared" si="659"/>
        <v>0</v>
      </c>
      <c r="IP41" s="62">
        <f t="shared" si="659"/>
        <v>0</v>
      </c>
      <c r="IQ41" s="62">
        <f t="shared" si="659"/>
        <v>50</v>
      </c>
      <c r="IR41" s="62">
        <f t="shared" si="659"/>
        <v>0</v>
      </c>
      <c r="IS41" s="62">
        <f t="shared" si="659"/>
        <v>12</v>
      </c>
      <c r="IT41" s="62">
        <f t="shared" si="659"/>
        <v>0</v>
      </c>
      <c r="IU41" s="62">
        <f t="shared" si="659"/>
        <v>1</v>
      </c>
      <c r="IV41" s="62">
        <f t="shared" si="659"/>
        <v>0</v>
      </c>
      <c r="IW41" s="62">
        <f t="shared" si="659"/>
        <v>0</v>
      </c>
      <c r="IX41" s="62">
        <f t="shared" si="659"/>
        <v>2</v>
      </c>
      <c r="IY41" s="62"/>
      <c r="IZ41" s="84"/>
      <c r="JA41" s="62"/>
    </row>
    <row r="42" spans="1:262" s="115" customFormat="1" ht="29.25" customHeight="1" x14ac:dyDescent="0.2">
      <c r="A42" s="82" t="s">
        <v>51</v>
      </c>
      <c r="B42" s="82" t="s">
        <v>154</v>
      </c>
      <c r="C42" s="82"/>
      <c r="D42" s="82"/>
      <c r="E42" s="82" t="s">
        <v>204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>
        <f t="shared" ref="AM42:AN42" si="660">AK42+AI42+AG42+AE42+AC42+AA42+Y42</f>
        <v>0</v>
      </c>
      <c r="AN42" s="82">
        <f t="shared" si="660"/>
        <v>0</v>
      </c>
      <c r="AO42" s="82">
        <f t="shared" ref="AO42" si="661">AN42+AM42</f>
        <v>0</v>
      </c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68">
        <f t="shared" ref="BD42:BE42" si="662">BB42+AZ42+AX42+AV42+AT42+AR42+AP42</f>
        <v>0</v>
      </c>
      <c r="BE42" s="68">
        <f t="shared" si="662"/>
        <v>0</v>
      </c>
      <c r="BF42" s="68">
        <f>BE42+BD42</f>
        <v>0</v>
      </c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68">
        <f t="shared" ref="BU42:BV42" si="663">BS42+BQ42+BO42+BM42+BK42+BI42+BG42</f>
        <v>0</v>
      </c>
      <c r="BV42" s="68">
        <f t="shared" si="663"/>
        <v>0</v>
      </c>
      <c r="BW42" s="68">
        <f t="shared" ref="BW42" si="664">BV42+BU42</f>
        <v>0</v>
      </c>
      <c r="BX42" s="82">
        <f t="shared" ref="BX42:CK42" si="665">BG42+AP42+Y42</f>
        <v>0</v>
      </c>
      <c r="BY42" s="82">
        <f t="shared" si="665"/>
        <v>0</v>
      </c>
      <c r="BZ42" s="82">
        <f t="shared" si="665"/>
        <v>0</v>
      </c>
      <c r="CA42" s="82">
        <f t="shared" si="665"/>
        <v>0</v>
      </c>
      <c r="CB42" s="82">
        <f t="shared" si="665"/>
        <v>0</v>
      </c>
      <c r="CC42" s="82">
        <f t="shared" si="665"/>
        <v>0</v>
      </c>
      <c r="CD42" s="82">
        <f t="shared" si="665"/>
        <v>0</v>
      </c>
      <c r="CE42" s="82">
        <f t="shared" si="665"/>
        <v>0</v>
      </c>
      <c r="CF42" s="82">
        <f t="shared" si="665"/>
        <v>0</v>
      </c>
      <c r="CG42" s="82">
        <f t="shared" si="665"/>
        <v>0</v>
      </c>
      <c r="CH42" s="82">
        <f t="shared" si="665"/>
        <v>0</v>
      </c>
      <c r="CI42" s="82">
        <f t="shared" si="665"/>
        <v>0</v>
      </c>
      <c r="CJ42" s="82">
        <f t="shared" si="665"/>
        <v>0</v>
      </c>
      <c r="CK42" s="82">
        <f t="shared" si="665"/>
        <v>0</v>
      </c>
      <c r="CL42" s="82">
        <f t="shared" ref="CL42:CM42" si="666">CJ42+CH42+CF42+CD42+CB42+BZ42+BX42</f>
        <v>0</v>
      </c>
      <c r="CM42" s="82">
        <f t="shared" si="666"/>
        <v>0</v>
      </c>
      <c r="CN42" s="82">
        <f t="shared" ref="CN42" si="667">CM42+CL42</f>
        <v>0</v>
      </c>
      <c r="CO42" s="82"/>
      <c r="CP42" s="82"/>
      <c r="CQ42" s="82"/>
      <c r="CR42" s="82"/>
      <c r="CS42" s="82"/>
      <c r="CT42" s="82"/>
      <c r="CU42" s="82"/>
      <c r="CV42" s="82"/>
      <c r="CW42" s="82"/>
      <c r="CX42" s="68">
        <f t="shared" ref="CX42:CZ42" si="668">CU42+CR42+CO42</f>
        <v>0</v>
      </c>
      <c r="CY42" s="68">
        <f t="shared" si="668"/>
        <v>0</v>
      </c>
      <c r="CZ42" s="68">
        <f t="shared" si="668"/>
        <v>0</v>
      </c>
      <c r="DA42" s="68">
        <f t="shared" ref="DA42" si="669">CZ42+CY42+CX42</f>
        <v>0</v>
      </c>
      <c r="DB42" s="82"/>
      <c r="DC42" s="82"/>
      <c r="DD42" s="82"/>
      <c r="DE42" s="82"/>
      <c r="DF42" s="82"/>
      <c r="DG42" s="82"/>
      <c r="DH42" s="68">
        <f>DF42+DD42+DB42</f>
        <v>0</v>
      </c>
      <c r="DI42" s="68">
        <f>DG42+DE42+DC42</f>
        <v>0</v>
      </c>
      <c r="DJ42" s="68">
        <f>DI42+DH42</f>
        <v>0</v>
      </c>
      <c r="DK42" s="82"/>
      <c r="DL42" s="82"/>
      <c r="DM42" s="82"/>
      <c r="DN42" s="82"/>
      <c r="DO42" s="82"/>
      <c r="DP42" s="82"/>
      <c r="DQ42" s="68">
        <f t="shared" ref="DQ42:DR42" si="670">DO42+DM42+DK42</f>
        <v>0</v>
      </c>
      <c r="DR42" s="68">
        <f t="shared" si="670"/>
        <v>0</v>
      </c>
      <c r="DS42" s="68">
        <f t="shared" ref="DS42" si="671">DR42+DQ42</f>
        <v>0</v>
      </c>
      <c r="DT42" s="82"/>
      <c r="DU42" s="82"/>
      <c r="DV42" s="82"/>
      <c r="DW42" s="82"/>
      <c r="DX42" s="82"/>
      <c r="DY42" s="82"/>
      <c r="DZ42" s="68">
        <f t="shared" ref="DZ42:EA42" si="672">DX42+DV42+DT42</f>
        <v>0</v>
      </c>
      <c r="EA42" s="68">
        <f t="shared" si="672"/>
        <v>0</v>
      </c>
      <c r="EB42" s="68">
        <f t="shared" ref="EB42" si="673">EA42+DZ42</f>
        <v>0</v>
      </c>
      <c r="EC42" s="82"/>
      <c r="ED42" s="82"/>
      <c r="EE42" s="82"/>
      <c r="EF42" s="82"/>
      <c r="EG42" s="82"/>
      <c r="EH42" s="82"/>
      <c r="EI42" s="68">
        <f t="shared" ref="EI42:EJ42" si="674">EG42+EE42+EC42</f>
        <v>0</v>
      </c>
      <c r="EJ42" s="68">
        <f t="shared" si="674"/>
        <v>0</v>
      </c>
      <c r="EK42" s="68">
        <f t="shared" ref="EK42" si="675">EJ42+EI42</f>
        <v>0</v>
      </c>
      <c r="EL42" s="82"/>
      <c r="EM42" s="82"/>
      <c r="EN42" s="82"/>
      <c r="EO42" s="82"/>
      <c r="EP42" s="82"/>
      <c r="EQ42" s="82"/>
      <c r="ER42" s="68">
        <f t="shared" ref="ER42:ES42" si="676">EP42+EN42+EL42</f>
        <v>0</v>
      </c>
      <c r="ES42" s="68">
        <f t="shared" si="676"/>
        <v>0</v>
      </c>
      <c r="ET42" s="68">
        <f t="shared" ref="ET42" si="677">ES42+ER42</f>
        <v>0</v>
      </c>
      <c r="EU42" s="82"/>
      <c r="EV42" s="82"/>
      <c r="EW42" s="82"/>
      <c r="EX42" s="82"/>
      <c r="EY42" s="82"/>
      <c r="EZ42" s="82"/>
      <c r="FA42" s="82"/>
      <c r="FB42" s="82"/>
      <c r="FC42" s="82">
        <f t="shared" ref="FC42:FD42" si="678">FA42+EY42+EW42+EU42</f>
        <v>0</v>
      </c>
      <c r="FD42" s="82">
        <f t="shared" si="678"/>
        <v>0</v>
      </c>
      <c r="FE42" s="82">
        <f t="shared" ref="FE42" si="679">FD42+FC42</f>
        <v>0</v>
      </c>
      <c r="FF42" s="82"/>
      <c r="FG42" s="82"/>
      <c r="FH42" s="82"/>
      <c r="FI42" s="82"/>
      <c r="FJ42" s="82"/>
      <c r="FK42" s="82"/>
      <c r="FL42" s="82"/>
      <c r="FM42" s="82"/>
      <c r="FN42" s="82"/>
      <c r="FO42" s="82"/>
      <c r="FP42" s="82"/>
      <c r="FQ42" s="82"/>
      <c r="FR42" s="82"/>
      <c r="FS42" s="82"/>
      <c r="FT42" s="82"/>
      <c r="FU42" s="82">
        <f t="shared" ref="FU42" si="680">FT42+FS42+FR42+FN42+FL42+FH42+FF42</f>
        <v>0</v>
      </c>
      <c r="FV42" s="82">
        <f t="shared" ref="FV42" si="681">FO42+FM42+FI42+FG42</f>
        <v>0</v>
      </c>
      <c r="FW42" s="82">
        <f t="shared" ref="FW42" si="682">FV42+FU42</f>
        <v>0</v>
      </c>
      <c r="FX42" s="82"/>
      <c r="FY42" s="82"/>
      <c r="FZ42" s="82"/>
      <c r="GA42" s="82"/>
      <c r="GB42" s="82"/>
      <c r="GC42" s="82"/>
      <c r="GD42" s="82"/>
      <c r="GE42" s="82"/>
      <c r="GF42" s="82"/>
      <c r="GG42" s="82"/>
      <c r="GH42" s="82"/>
      <c r="GI42" s="82"/>
      <c r="GJ42" s="82"/>
      <c r="GK42" s="82"/>
      <c r="GL42" s="82"/>
      <c r="GM42" s="82"/>
      <c r="GN42" s="82">
        <f t="shared" ref="GN42" si="683">GL42+GJ42+GH42+GF42+GD42+GB42+FZ42+FX42</f>
        <v>0</v>
      </c>
      <c r="GO42" s="82">
        <f t="shared" ref="GO42" si="684">GM42+GK42+GI42+GG42+GE42+GC42+GA42+FY42</f>
        <v>0</v>
      </c>
      <c r="GP42" s="82">
        <f t="shared" ref="GP42" si="685">GO42+GN42</f>
        <v>0</v>
      </c>
      <c r="GQ42" s="82"/>
      <c r="GR42" s="82"/>
      <c r="GS42" s="82"/>
      <c r="GT42" s="82"/>
      <c r="GU42" s="82"/>
      <c r="GV42" s="82"/>
      <c r="GW42" s="68">
        <f t="shared" ref="GW42:GX42" si="686">GU42+GS42+GQ42</f>
        <v>0</v>
      </c>
      <c r="GX42" s="68">
        <f t="shared" si="686"/>
        <v>0</v>
      </c>
      <c r="GY42" s="68">
        <f t="shared" ref="GY42" si="687">GX42+GW42</f>
        <v>0</v>
      </c>
      <c r="GZ42" s="82"/>
      <c r="HA42" s="82"/>
      <c r="HB42" s="82"/>
      <c r="HC42" s="82"/>
      <c r="HD42" s="82"/>
      <c r="HE42" s="82"/>
      <c r="HF42" s="82"/>
      <c r="HG42" s="82"/>
      <c r="HH42" s="82"/>
      <c r="HI42" s="82"/>
      <c r="HJ42" s="82"/>
      <c r="HK42" s="82"/>
      <c r="HL42" s="82"/>
      <c r="HM42" s="82"/>
      <c r="HN42" s="82"/>
      <c r="HO42" s="68"/>
      <c r="HP42" s="68"/>
      <c r="HQ42" s="68">
        <f t="shared" ref="HQ42" si="688">HO42+GZ42+HM42+HJ42+HH42+HF42+HD42+HB42</f>
        <v>0</v>
      </c>
      <c r="HR42" s="68">
        <f t="shared" ref="HR42" si="689">HP42+HA42+HN42+HL42+HK42+HI42+HG42+HE42+HC42</f>
        <v>0</v>
      </c>
      <c r="HS42" s="68">
        <f t="shared" ref="HS42" si="690">HR42+HQ42</f>
        <v>0</v>
      </c>
      <c r="HT42" s="82"/>
      <c r="HU42" s="82"/>
      <c r="HV42" s="82"/>
      <c r="HW42" s="82"/>
      <c r="HX42" s="82"/>
      <c r="HY42" s="82"/>
      <c r="HZ42" s="82"/>
      <c r="IA42" s="82"/>
      <c r="IB42" s="68">
        <f t="shared" ref="IB42:IC42" si="691">HZ42+HX42+HV42+HT42</f>
        <v>0</v>
      </c>
      <c r="IC42" s="68">
        <f t="shared" si="691"/>
        <v>0</v>
      </c>
      <c r="ID42" s="68">
        <f t="shared" ref="ID42" si="692">IC42+IB42</f>
        <v>0</v>
      </c>
      <c r="IE42" s="82"/>
      <c r="IF42" s="82"/>
      <c r="IG42" s="82"/>
      <c r="IH42" s="82"/>
      <c r="II42" s="82"/>
      <c r="IJ42" s="82"/>
      <c r="IK42" s="82"/>
      <c r="IL42" s="82"/>
      <c r="IM42" s="82"/>
      <c r="IN42" s="82"/>
      <c r="IO42" s="82"/>
      <c r="IP42" s="82"/>
      <c r="IQ42" s="82"/>
      <c r="IR42" s="82"/>
      <c r="IS42" s="82"/>
      <c r="IT42" s="82"/>
      <c r="IU42" s="82"/>
      <c r="IV42" s="82"/>
      <c r="IW42" s="82"/>
      <c r="IX42" s="82"/>
      <c r="IY42" s="82"/>
      <c r="IZ42" s="82"/>
      <c r="JA42" s="82"/>
      <c r="JB42" s="82"/>
    </row>
    <row r="43" spans="1:262" s="63" customFormat="1" ht="24.75" customHeight="1" x14ac:dyDescent="0.2">
      <c r="A43" s="169" t="s">
        <v>178</v>
      </c>
      <c r="B43" s="170"/>
      <c r="C43" s="170"/>
      <c r="D43" s="170"/>
      <c r="E43" s="171"/>
      <c r="F43" s="62">
        <f t="shared" ref="F43:BQ43" si="693">SUM(F42:F42)</f>
        <v>0</v>
      </c>
      <c r="G43" s="62">
        <f t="shared" si="693"/>
        <v>0</v>
      </c>
      <c r="H43" s="62">
        <f t="shared" si="693"/>
        <v>0</v>
      </c>
      <c r="I43" s="62">
        <f t="shared" si="693"/>
        <v>0</v>
      </c>
      <c r="J43" s="62">
        <f t="shared" si="693"/>
        <v>0</v>
      </c>
      <c r="K43" s="62">
        <f t="shared" si="693"/>
        <v>0</v>
      </c>
      <c r="L43" s="62">
        <f t="shared" si="693"/>
        <v>0</v>
      </c>
      <c r="M43" s="62">
        <f t="shared" si="693"/>
        <v>0</v>
      </c>
      <c r="N43" s="62">
        <f t="shared" si="693"/>
        <v>0</v>
      </c>
      <c r="O43" s="62">
        <f t="shared" si="693"/>
        <v>0</v>
      </c>
      <c r="P43" s="62">
        <f t="shared" si="693"/>
        <v>0</v>
      </c>
      <c r="Q43" s="62">
        <f t="shared" si="693"/>
        <v>0</v>
      </c>
      <c r="R43" s="62">
        <f t="shared" si="693"/>
        <v>0</v>
      </c>
      <c r="S43" s="62">
        <f t="shared" si="693"/>
        <v>0</v>
      </c>
      <c r="T43" s="62">
        <f t="shared" si="693"/>
        <v>0</v>
      </c>
      <c r="U43" s="62">
        <f t="shared" si="693"/>
        <v>0</v>
      </c>
      <c r="V43" s="62">
        <f t="shared" si="693"/>
        <v>0</v>
      </c>
      <c r="W43" s="62">
        <f t="shared" si="693"/>
        <v>0</v>
      </c>
      <c r="X43" s="62">
        <f t="shared" si="693"/>
        <v>0</v>
      </c>
      <c r="Y43" s="62">
        <f t="shared" si="693"/>
        <v>0</v>
      </c>
      <c r="Z43" s="62">
        <f t="shared" si="693"/>
        <v>0</v>
      </c>
      <c r="AA43" s="62">
        <f t="shared" si="693"/>
        <v>0</v>
      </c>
      <c r="AB43" s="62">
        <f t="shared" si="693"/>
        <v>0</v>
      </c>
      <c r="AC43" s="62">
        <f t="shared" si="693"/>
        <v>0</v>
      </c>
      <c r="AD43" s="62">
        <f t="shared" si="693"/>
        <v>0</v>
      </c>
      <c r="AE43" s="62">
        <f t="shared" si="693"/>
        <v>0</v>
      </c>
      <c r="AF43" s="62">
        <f t="shared" si="693"/>
        <v>0</v>
      </c>
      <c r="AG43" s="62">
        <f t="shared" si="693"/>
        <v>0</v>
      </c>
      <c r="AH43" s="62">
        <f t="shared" si="693"/>
        <v>0</v>
      </c>
      <c r="AI43" s="62">
        <f t="shared" si="693"/>
        <v>0</v>
      </c>
      <c r="AJ43" s="62">
        <f t="shared" si="693"/>
        <v>0</v>
      </c>
      <c r="AK43" s="62">
        <f t="shared" si="693"/>
        <v>0</v>
      </c>
      <c r="AL43" s="62">
        <f t="shared" si="693"/>
        <v>0</v>
      </c>
      <c r="AM43" s="62">
        <f t="shared" si="693"/>
        <v>0</v>
      </c>
      <c r="AN43" s="62">
        <f t="shared" si="693"/>
        <v>0</v>
      </c>
      <c r="AO43" s="62">
        <f t="shared" si="693"/>
        <v>0</v>
      </c>
      <c r="AP43" s="62">
        <f t="shared" si="693"/>
        <v>0</v>
      </c>
      <c r="AQ43" s="62">
        <f t="shared" si="693"/>
        <v>0</v>
      </c>
      <c r="AR43" s="62">
        <f t="shared" si="693"/>
        <v>0</v>
      </c>
      <c r="AS43" s="62">
        <f t="shared" si="693"/>
        <v>0</v>
      </c>
      <c r="AT43" s="62">
        <f t="shared" si="693"/>
        <v>0</v>
      </c>
      <c r="AU43" s="62">
        <f t="shared" si="693"/>
        <v>0</v>
      </c>
      <c r="AV43" s="62">
        <f t="shared" si="693"/>
        <v>0</v>
      </c>
      <c r="AW43" s="62">
        <f t="shared" si="693"/>
        <v>0</v>
      </c>
      <c r="AX43" s="62">
        <f t="shared" si="693"/>
        <v>0</v>
      </c>
      <c r="AY43" s="62">
        <f t="shared" si="693"/>
        <v>0</v>
      </c>
      <c r="AZ43" s="62">
        <f t="shared" si="693"/>
        <v>0</v>
      </c>
      <c r="BA43" s="62">
        <f t="shared" si="693"/>
        <v>0</v>
      </c>
      <c r="BB43" s="62">
        <f t="shared" si="693"/>
        <v>0</v>
      </c>
      <c r="BC43" s="62">
        <f t="shared" si="693"/>
        <v>0</v>
      </c>
      <c r="BD43" s="62">
        <f t="shared" si="693"/>
        <v>0</v>
      </c>
      <c r="BE43" s="62">
        <f t="shared" si="693"/>
        <v>0</v>
      </c>
      <c r="BF43" s="62">
        <f t="shared" si="693"/>
        <v>0</v>
      </c>
      <c r="BG43" s="62">
        <f t="shared" si="693"/>
        <v>0</v>
      </c>
      <c r="BH43" s="62">
        <f t="shared" si="693"/>
        <v>0</v>
      </c>
      <c r="BI43" s="62">
        <f t="shared" si="693"/>
        <v>0</v>
      </c>
      <c r="BJ43" s="62">
        <f t="shared" si="693"/>
        <v>0</v>
      </c>
      <c r="BK43" s="62">
        <f t="shared" si="693"/>
        <v>0</v>
      </c>
      <c r="BL43" s="62">
        <f t="shared" si="693"/>
        <v>0</v>
      </c>
      <c r="BM43" s="62">
        <f t="shared" si="693"/>
        <v>0</v>
      </c>
      <c r="BN43" s="62">
        <f t="shared" si="693"/>
        <v>0</v>
      </c>
      <c r="BO43" s="62">
        <f t="shared" si="693"/>
        <v>0</v>
      </c>
      <c r="BP43" s="62">
        <f t="shared" si="693"/>
        <v>0</v>
      </c>
      <c r="BQ43" s="62">
        <f t="shared" si="693"/>
        <v>0</v>
      </c>
      <c r="BR43" s="62">
        <f t="shared" ref="BR43:EC43" si="694">SUM(BR42:BR42)</f>
        <v>0</v>
      </c>
      <c r="BS43" s="62">
        <f t="shared" si="694"/>
        <v>0</v>
      </c>
      <c r="BT43" s="62">
        <f t="shared" si="694"/>
        <v>0</v>
      </c>
      <c r="BU43" s="62">
        <f t="shared" si="694"/>
        <v>0</v>
      </c>
      <c r="BV43" s="62">
        <f t="shared" si="694"/>
        <v>0</v>
      </c>
      <c r="BW43" s="62">
        <f t="shared" si="694"/>
        <v>0</v>
      </c>
      <c r="BX43" s="62">
        <f t="shared" si="694"/>
        <v>0</v>
      </c>
      <c r="BY43" s="62">
        <f t="shared" si="694"/>
        <v>0</v>
      </c>
      <c r="BZ43" s="62">
        <f t="shared" si="694"/>
        <v>0</v>
      </c>
      <c r="CA43" s="62">
        <f t="shared" si="694"/>
        <v>0</v>
      </c>
      <c r="CB43" s="62">
        <f t="shared" si="694"/>
        <v>0</v>
      </c>
      <c r="CC43" s="62">
        <f t="shared" si="694"/>
        <v>0</v>
      </c>
      <c r="CD43" s="62">
        <f t="shared" si="694"/>
        <v>0</v>
      </c>
      <c r="CE43" s="62">
        <f t="shared" si="694"/>
        <v>0</v>
      </c>
      <c r="CF43" s="62">
        <f t="shared" si="694"/>
        <v>0</v>
      </c>
      <c r="CG43" s="62">
        <f t="shared" si="694"/>
        <v>0</v>
      </c>
      <c r="CH43" s="62">
        <f t="shared" si="694"/>
        <v>0</v>
      </c>
      <c r="CI43" s="62">
        <f t="shared" si="694"/>
        <v>0</v>
      </c>
      <c r="CJ43" s="62">
        <f t="shared" si="694"/>
        <v>0</v>
      </c>
      <c r="CK43" s="62">
        <f t="shared" si="694"/>
        <v>0</v>
      </c>
      <c r="CL43" s="62">
        <f t="shared" si="694"/>
        <v>0</v>
      </c>
      <c r="CM43" s="62">
        <f t="shared" si="694"/>
        <v>0</v>
      </c>
      <c r="CN43" s="62">
        <f t="shared" si="694"/>
        <v>0</v>
      </c>
      <c r="CO43" s="62">
        <f t="shared" si="694"/>
        <v>0</v>
      </c>
      <c r="CP43" s="62">
        <f t="shared" si="694"/>
        <v>0</v>
      </c>
      <c r="CQ43" s="62">
        <f t="shared" si="694"/>
        <v>0</v>
      </c>
      <c r="CR43" s="62">
        <f t="shared" si="694"/>
        <v>0</v>
      </c>
      <c r="CS43" s="62">
        <f t="shared" si="694"/>
        <v>0</v>
      </c>
      <c r="CT43" s="62">
        <f t="shared" si="694"/>
        <v>0</v>
      </c>
      <c r="CU43" s="62">
        <f t="shared" si="694"/>
        <v>0</v>
      </c>
      <c r="CV43" s="62">
        <f t="shared" si="694"/>
        <v>0</v>
      </c>
      <c r="CW43" s="62">
        <f t="shared" si="694"/>
        <v>0</v>
      </c>
      <c r="CX43" s="62">
        <f t="shared" si="694"/>
        <v>0</v>
      </c>
      <c r="CY43" s="62">
        <f t="shared" si="694"/>
        <v>0</v>
      </c>
      <c r="CZ43" s="62">
        <f t="shared" si="694"/>
        <v>0</v>
      </c>
      <c r="DA43" s="62">
        <f t="shared" si="694"/>
        <v>0</v>
      </c>
      <c r="DB43" s="62">
        <f t="shared" si="694"/>
        <v>0</v>
      </c>
      <c r="DC43" s="62">
        <f t="shared" si="694"/>
        <v>0</v>
      </c>
      <c r="DD43" s="62">
        <f t="shared" si="694"/>
        <v>0</v>
      </c>
      <c r="DE43" s="62">
        <f t="shared" si="694"/>
        <v>0</v>
      </c>
      <c r="DF43" s="62">
        <f t="shared" si="694"/>
        <v>0</v>
      </c>
      <c r="DG43" s="62">
        <f t="shared" si="694"/>
        <v>0</v>
      </c>
      <c r="DH43" s="62">
        <f t="shared" si="694"/>
        <v>0</v>
      </c>
      <c r="DI43" s="62">
        <f t="shared" si="694"/>
        <v>0</v>
      </c>
      <c r="DJ43" s="62">
        <f t="shared" si="694"/>
        <v>0</v>
      </c>
      <c r="DK43" s="62">
        <f t="shared" si="694"/>
        <v>0</v>
      </c>
      <c r="DL43" s="62">
        <f t="shared" si="694"/>
        <v>0</v>
      </c>
      <c r="DM43" s="62">
        <f t="shared" si="694"/>
        <v>0</v>
      </c>
      <c r="DN43" s="62">
        <f t="shared" si="694"/>
        <v>0</v>
      </c>
      <c r="DO43" s="62">
        <f t="shared" si="694"/>
        <v>0</v>
      </c>
      <c r="DP43" s="62">
        <f t="shared" si="694"/>
        <v>0</v>
      </c>
      <c r="DQ43" s="62">
        <f t="shared" si="694"/>
        <v>0</v>
      </c>
      <c r="DR43" s="62">
        <f t="shared" si="694"/>
        <v>0</v>
      </c>
      <c r="DS43" s="62">
        <f t="shared" si="694"/>
        <v>0</v>
      </c>
      <c r="DT43" s="62">
        <f t="shared" si="694"/>
        <v>0</v>
      </c>
      <c r="DU43" s="62">
        <f t="shared" si="694"/>
        <v>0</v>
      </c>
      <c r="DV43" s="62">
        <f t="shared" si="694"/>
        <v>0</v>
      </c>
      <c r="DW43" s="62">
        <f t="shared" si="694"/>
        <v>0</v>
      </c>
      <c r="DX43" s="62">
        <f t="shared" si="694"/>
        <v>0</v>
      </c>
      <c r="DY43" s="62">
        <f t="shared" si="694"/>
        <v>0</v>
      </c>
      <c r="DZ43" s="62">
        <f t="shared" si="694"/>
        <v>0</v>
      </c>
      <c r="EA43" s="62">
        <f t="shared" si="694"/>
        <v>0</v>
      </c>
      <c r="EB43" s="62">
        <f t="shared" si="694"/>
        <v>0</v>
      </c>
      <c r="EC43" s="62">
        <f t="shared" si="694"/>
        <v>0</v>
      </c>
      <c r="ED43" s="62">
        <f t="shared" ref="ED43:GO43" si="695">SUM(ED42:ED42)</f>
        <v>0</v>
      </c>
      <c r="EE43" s="62">
        <f t="shared" si="695"/>
        <v>0</v>
      </c>
      <c r="EF43" s="62">
        <f t="shared" si="695"/>
        <v>0</v>
      </c>
      <c r="EG43" s="62">
        <f t="shared" si="695"/>
        <v>0</v>
      </c>
      <c r="EH43" s="62">
        <f t="shared" si="695"/>
        <v>0</v>
      </c>
      <c r="EI43" s="62">
        <f t="shared" si="695"/>
        <v>0</v>
      </c>
      <c r="EJ43" s="62">
        <f t="shared" si="695"/>
        <v>0</v>
      </c>
      <c r="EK43" s="62">
        <f t="shared" si="695"/>
        <v>0</v>
      </c>
      <c r="EL43" s="62">
        <f t="shared" si="695"/>
        <v>0</v>
      </c>
      <c r="EM43" s="62">
        <f t="shared" si="695"/>
        <v>0</v>
      </c>
      <c r="EN43" s="62">
        <f t="shared" si="695"/>
        <v>0</v>
      </c>
      <c r="EO43" s="62">
        <f t="shared" si="695"/>
        <v>0</v>
      </c>
      <c r="EP43" s="62">
        <f t="shared" si="695"/>
        <v>0</v>
      </c>
      <c r="EQ43" s="62">
        <f t="shared" si="695"/>
        <v>0</v>
      </c>
      <c r="ER43" s="62">
        <f t="shared" si="695"/>
        <v>0</v>
      </c>
      <c r="ES43" s="62">
        <f t="shared" si="695"/>
        <v>0</v>
      </c>
      <c r="ET43" s="62">
        <f t="shared" si="695"/>
        <v>0</v>
      </c>
      <c r="EU43" s="62">
        <f t="shared" si="695"/>
        <v>0</v>
      </c>
      <c r="EV43" s="62">
        <f t="shared" si="695"/>
        <v>0</v>
      </c>
      <c r="EW43" s="62">
        <f t="shared" si="695"/>
        <v>0</v>
      </c>
      <c r="EX43" s="62">
        <f t="shared" si="695"/>
        <v>0</v>
      </c>
      <c r="EY43" s="62">
        <f t="shared" si="695"/>
        <v>0</v>
      </c>
      <c r="EZ43" s="62">
        <f t="shared" si="695"/>
        <v>0</v>
      </c>
      <c r="FA43" s="62">
        <f t="shared" si="695"/>
        <v>0</v>
      </c>
      <c r="FB43" s="62">
        <f t="shared" si="695"/>
        <v>0</v>
      </c>
      <c r="FC43" s="62">
        <f t="shared" si="695"/>
        <v>0</v>
      </c>
      <c r="FD43" s="62">
        <f t="shared" si="695"/>
        <v>0</v>
      </c>
      <c r="FE43" s="62">
        <f t="shared" si="695"/>
        <v>0</v>
      </c>
      <c r="FF43" s="62">
        <f t="shared" si="695"/>
        <v>0</v>
      </c>
      <c r="FG43" s="62">
        <f t="shared" si="695"/>
        <v>0</v>
      </c>
      <c r="FH43" s="62">
        <f t="shared" si="695"/>
        <v>0</v>
      </c>
      <c r="FI43" s="62">
        <f t="shared" si="695"/>
        <v>0</v>
      </c>
      <c r="FJ43" s="62">
        <f t="shared" si="695"/>
        <v>0</v>
      </c>
      <c r="FK43" s="62">
        <f t="shared" si="695"/>
        <v>0</v>
      </c>
      <c r="FL43" s="62">
        <f t="shared" si="695"/>
        <v>0</v>
      </c>
      <c r="FM43" s="62">
        <f t="shared" si="695"/>
        <v>0</v>
      </c>
      <c r="FN43" s="62">
        <f t="shared" si="695"/>
        <v>0</v>
      </c>
      <c r="FO43" s="62">
        <f t="shared" si="695"/>
        <v>0</v>
      </c>
      <c r="FP43" s="62">
        <f t="shared" si="695"/>
        <v>0</v>
      </c>
      <c r="FQ43" s="62">
        <f t="shared" si="695"/>
        <v>0</v>
      </c>
      <c r="FR43" s="62">
        <f t="shared" si="695"/>
        <v>0</v>
      </c>
      <c r="FS43" s="62">
        <f t="shared" si="695"/>
        <v>0</v>
      </c>
      <c r="FT43" s="62">
        <f t="shared" si="695"/>
        <v>0</v>
      </c>
      <c r="FU43" s="62">
        <f t="shared" si="695"/>
        <v>0</v>
      </c>
      <c r="FV43" s="62">
        <f t="shared" si="695"/>
        <v>0</v>
      </c>
      <c r="FW43" s="62">
        <f t="shared" si="695"/>
        <v>0</v>
      </c>
      <c r="FX43" s="62">
        <f t="shared" si="695"/>
        <v>0</v>
      </c>
      <c r="FY43" s="62">
        <f t="shared" si="695"/>
        <v>0</v>
      </c>
      <c r="FZ43" s="62">
        <f t="shared" si="695"/>
        <v>0</v>
      </c>
      <c r="GA43" s="62">
        <f t="shared" si="695"/>
        <v>0</v>
      </c>
      <c r="GB43" s="62">
        <f t="shared" si="695"/>
        <v>0</v>
      </c>
      <c r="GC43" s="62">
        <f t="shared" si="695"/>
        <v>0</v>
      </c>
      <c r="GD43" s="62">
        <f t="shared" si="695"/>
        <v>0</v>
      </c>
      <c r="GE43" s="62">
        <f t="shared" si="695"/>
        <v>0</v>
      </c>
      <c r="GF43" s="62">
        <f t="shared" si="695"/>
        <v>0</v>
      </c>
      <c r="GG43" s="62">
        <f t="shared" si="695"/>
        <v>0</v>
      </c>
      <c r="GH43" s="62">
        <f t="shared" si="695"/>
        <v>0</v>
      </c>
      <c r="GI43" s="62">
        <f t="shared" si="695"/>
        <v>0</v>
      </c>
      <c r="GJ43" s="62">
        <f t="shared" si="695"/>
        <v>0</v>
      </c>
      <c r="GK43" s="62">
        <f t="shared" si="695"/>
        <v>0</v>
      </c>
      <c r="GL43" s="62">
        <f t="shared" si="695"/>
        <v>0</v>
      </c>
      <c r="GM43" s="62">
        <f t="shared" si="695"/>
        <v>0</v>
      </c>
      <c r="GN43" s="62">
        <f t="shared" si="695"/>
        <v>0</v>
      </c>
      <c r="GO43" s="62">
        <f t="shared" si="695"/>
        <v>0</v>
      </c>
      <c r="GP43" s="62">
        <f t="shared" ref="GP43:IX43" si="696">SUM(GP42:GP42)</f>
        <v>0</v>
      </c>
      <c r="GQ43" s="62">
        <f t="shared" si="696"/>
        <v>0</v>
      </c>
      <c r="GR43" s="62">
        <f t="shared" si="696"/>
        <v>0</v>
      </c>
      <c r="GS43" s="62">
        <f t="shared" si="696"/>
        <v>0</v>
      </c>
      <c r="GT43" s="62">
        <f t="shared" si="696"/>
        <v>0</v>
      </c>
      <c r="GU43" s="62">
        <f t="shared" si="696"/>
        <v>0</v>
      </c>
      <c r="GV43" s="62">
        <f t="shared" si="696"/>
        <v>0</v>
      </c>
      <c r="GW43" s="62">
        <f t="shared" si="696"/>
        <v>0</v>
      </c>
      <c r="GX43" s="62">
        <f t="shared" si="696"/>
        <v>0</v>
      </c>
      <c r="GY43" s="62">
        <f t="shared" si="696"/>
        <v>0</v>
      </c>
      <c r="GZ43" s="62">
        <f t="shared" si="696"/>
        <v>0</v>
      </c>
      <c r="HA43" s="62">
        <f t="shared" si="696"/>
        <v>0</v>
      </c>
      <c r="HB43" s="62">
        <f t="shared" si="696"/>
        <v>0</v>
      </c>
      <c r="HC43" s="62">
        <f t="shared" si="696"/>
        <v>0</v>
      </c>
      <c r="HD43" s="62">
        <f t="shared" si="696"/>
        <v>0</v>
      </c>
      <c r="HE43" s="62">
        <f t="shared" si="696"/>
        <v>0</v>
      </c>
      <c r="HF43" s="62">
        <f t="shared" si="696"/>
        <v>0</v>
      </c>
      <c r="HG43" s="62">
        <f t="shared" si="696"/>
        <v>0</v>
      </c>
      <c r="HH43" s="62">
        <f t="shared" si="696"/>
        <v>0</v>
      </c>
      <c r="HI43" s="62">
        <f t="shared" si="696"/>
        <v>0</v>
      </c>
      <c r="HJ43" s="62">
        <f t="shared" si="696"/>
        <v>0</v>
      </c>
      <c r="HK43" s="62">
        <f t="shared" si="696"/>
        <v>0</v>
      </c>
      <c r="HL43" s="62">
        <f t="shared" si="696"/>
        <v>0</v>
      </c>
      <c r="HM43" s="62">
        <f t="shared" si="696"/>
        <v>0</v>
      </c>
      <c r="HN43" s="62">
        <f t="shared" si="696"/>
        <v>0</v>
      </c>
      <c r="HO43" s="62">
        <f t="shared" si="696"/>
        <v>0</v>
      </c>
      <c r="HP43" s="62">
        <f t="shared" si="696"/>
        <v>0</v>
      </c>
      <c r="HQ43" s="62">
        <f t="shared" si="696"/>
        <v>0</v>
      </c>
      <c r="HR43" s="62">
        <f t="shared" si="696"/>
        <v>0</v>
      </c>
      <c r="HS43" s="62">
        <f t="shared" si="696"/>
        <v>0</v>
      </c>
      <c r="HT43" s="62">
        <f t="shared" si="696"/>
        <v>0</v>
      </c>
      <c r="HU43" s="62">
        <f t="shared" si="696"/>
        <v>0</v>
      </c>
      <c r="HV43" s="62">
        <f t="shared" si="696"/>
        <v>0</v>
      </c>
      <c r="HW43" s="62">
        <f t="shared" si="696"/>
        <v>0</v>
      </c>
      <c r="HX43" s="62">
        <f t="shared" si="696"/>
        <v>0</v>
      </c>
      <c r="HY43" s="62">
        <f t="shared" si="696"/>
        <v>0</v>
      </c>
      <c r="HZ43" s="62">
        <f t="shared" si="696"/>
        <v>0</v>
      </c>
      <c r="IA43" s="62">
        <f t="shared" si="696"/>
        <v>0</v>
      </c>
      <c r="IB43" s="62">
        <f t="shared" si="696"/>
        <v>0</v>
      </c>
      <c r="IC43" s="62">
        <f t="shared" si="696"/>
        <v>0</v>
      </c>
      <c r="ID43" s="62">
        <f t="shared" si="696"/>
        <v>0</v>
      </c>
      <c r="IE43" s="62">
        <f t="shared" si="696"/>
        <v>0</v>
      </c>
      <c r="IF43" s="62">
        <f t="shared" si="696"/>
        <v>0</v>
      </c>
      <c r="IG43" s="62">
        <f t="shared" si="696"/>
        <v>0</v>
      </c>
      <c r="IH43" s="62">
        <f t="shared" si="696"/>
        <v>0</v>
      </c>
      <c r="II43" s="62">
        <f t="shared" si="696"/>
        <v>0</v>
      </c>
      <c r="IJ43" s="62">
        <f t="shared" si="696"/>
        <v>0</v>
      </c>
      <c r="IK43" s="62">
        <f t="shared" si="696"/>
        <v>0</v>
      </c>
      <c r="IL43" s="62">
        <f t="shared" si="696"/>
        <v>0</v>
      </c>
      <c r="IM43" s="62">
        <f t="shared" si="696"/>
        <v>0</v>
      </c>
      <c r="IN43" s="62">
        <f t="shared" si="696"/>
        <v>0</v>
      </c>
      <c r="IO43" s="62">
        <f t="shared" si="696"/>
        <v>0</v>
      </c>
      <c r="IP43" s="62">
        <f t="shared" si="696"/>
        <v>0</v>
      </c>
      <c r="IQ43" s="62">
        <f t="shared" si="696"/>
        <v>0</v>
      </c>
      <c r="IR43" s="62">
        <f t="shared" si="696"/>
        <v>0</v>
      </c>
      <c r="IS43" s="62">
        <f t="shared" si="696"/>
        <v>0</v>
      </c>
      <c r="IT43" s="62">
        <f t="shared" si="696"/>
        <v>0</v>
      </c>
      <c r="IU43" s="62">
        <f t="shared" si="696"/>
        <v>0</v>
      </c>
      <c r="IV43" s="62">
        <f t="shared" si="696"/>
        <v>0</v>
      </c>
      <c r="IW43" s="62">
        <f t="shared" si="696"/>
        <v>0</v>
      </c>
      <c r="IX43" s="62">
        <f t="shared" si="696"/>
        <v>0</v>
      </c>
      <c r="IY43" s="62"/>
      <c r="IZ43" s="84"/>
      <c r="JA43" s="62"/>
    </row>
    <row r="44" spans="1:262" s="67" customFormat="1" ht="24.75" customHeight="1" x14ac:dyDescent="0.2">
      <c r="A44" s="172" t="s">
        <v>158</v>
      </c>
      <c r="B44" s="173"/>
      <c r="C44" s="173"/>
      <c r="D44" s="173"/>
      <c r="E44" s="174"/>
      <c r="F44" s="66">
        <f>F43+F41</f>
        <v>0</v>
      </c>
      <c r="G44" s="66">
        <f t="shared" ref="G44:BR44" si="697">G43+G41</f>
        <v>2</v>
      </c>
      <c r="H44" s="66">
        <f t="shared" si="697"/>
        <v>1</v>
      </c>
      <c r="I44" s="66">
        <f t="shared" si="697"/>
        <v>1</v>
      </c>
      <c r="J44" s="66">
        <f t="shared" si="697"/>
        <v>0</v>
      </c>
      <c r="K44" s="66">
        <f t="shared" si="697"/>
        <v>2</v>
      </c>
      <c r="L44" s="66">
        <f t="shared" si="697"/>
        <v>0</v>
      </c>
      <c r="M44" s="66">
        <f t="shared" si="697"/>
        <v>0</v>
      </c>
      <c r="N44" s="66">
        <f t="shared" si="697"/>
        <v>2</v>
      </c>
      <c r="O44" s="66">
        <f t="shared" si="697"/>
        <v>0</v>
      </c>
      <c r="P44" s="66">
        <f t="shared" si="697"/>
        <v>0</v>
      </c>
      <c r="Q44" s="66">
        <f t="shared" si="697"/>
        <v>0</v>
      </c>
      <c r="R44" s="66">
        <f t="shared" si="697"/>
        <v>2</v>
      </c>
      <c r="S44" s="66">
        <f t="shared" si="697"/>
        <v>0</v>
      </c>
      <c r="T44" s="66">
        <f t="shared" si="697"/>
        <v>0</v>
      </c>
      <c r="U44" s="66">
        <f t="shared" si="697"/>
        <v>0</v>
      </c>
      <c r="V44" s="66">
        <f t="shared" si="697"/>
        <v>2</v>
      </c>
      <c r="W44" s="66">
        <f t="shared" si="697"/>
        <v>0</v>
      </c>
      <c r="X44" s="66">
        <f t="shared" si="697"/>
        <v>0</v>
      </c>
      <c r="Y44" s="66">
        <f t="shared" si="697"/>
        <v>6</v>
      </c>
      <c r="Z44" s="66">
        <f t="shared" si="697"/>
        <v>7</v>
      </c>
      <c r="AA44" s="66">
        <f t="shared" si="697"/>
        <v>12</v>
      </c>
      <c r="AB44" s="66">
        <f t="shared" si="697"/>
        <v>1</v>
      </c>
      <c r="AC44" s="66">
        <f t="shared" si="697"/>
        <v>6</v>
      </c>
      <c r="AD44" s="66">
        <f t="shared" si="697"/>
        <v>8</v>
      </c>
      <c r="AE44" s="66">
        <f t="shared" si="697"/>
        <v>4</v>
      </c>
      <c r="AF44" s="66">
        <f t="shared" si="697"/>
        <v>3</v>
      </c>
      <c r="AG44" s="66">
        <f t="shared" si="697"/>
        <v>6</v>
      </c>
      <c r="AH44" s="66">
        <f t="shared" si="697"/>
        <v>0</v>
      </c>
      <c r="AI44" s="66">
        <f t="shared" si="697"/>
        <v>1</v>
      </c>
      <c r="AJ44" s="66">
        <f t="shared" si="697"/>
        <v>4</v>
      </c>
      <c r="AK44" s="66">
        <f t="shared" si="697"/>
        <v>0</v>
      </c>
      <c r="AL44" s="66">
        <f t="shared" si="697"/>
        <v>1</v>
      </c>
      <c r="AM44" s="66">
        <f t="shared" si="697"/>
        <v>35</v>
      </c>
      <c r="AN44" s="66">
        <f t="shared" si="697"/>
        <v>24</v>
      </c>
      <c r="AO44" s="66">
        <f t="shared" si="697"/>
        <v>59</v>
      </c>
      <c r="AP44" s="66">
        <f t="shared" si="697"/>
        <v>2</v>
      </c>
      <c r="AQ44" s="66">
        <f t="shared" si="697"/>
        <v>5</v>
      </c>
      <c r="AR44" s="66">
        <f t="shared" si="697"/>
        <v>4</v>
      </c>
      <c r="AS44" s="66">
        <f t="shared" si="697"/>
        <v>4</v>
      </c>
      <c r="AT44" s="66">
        <f t="shared" si="697"/>
        <v>11</v>
      </c>
      <c r="AU44" s="66">
        <f t="shared" si="697"/>
        <v>3</v>
      </c>
      <c r="AV44" s="66">
        <f t="shared" si="697"/>
        <v>18</v>
      </c>
      <c r="AW44" s="66">
        <f t="shared" si="697"/>
        <v>6</v>
      </c>
      <c r="AX44" s="66">
        <f t="shared" si="697"/>
        <v>10</v>
      </c>
      <c r="AY44" s="66">
        <f t="shared" si="697"/>
        <v>5</v>
      </c>
      <c r="AZ44" s="66">
        <f t="shared" si="697"/>
        <v>6</v>
      </c>
      <c r="BA44" s="66">
        <f t="shared" si="697"/>
        <v>2</v>
      </c>
      <c r="BB44" s="66">
        <f t="shared" si="697"/>
        <v>6</v>
      </c>
      <c r="BC44" s="66">
        <f t="shared" si="697"/>
        <v>0</v>
      </c>
      <c r="BD44" s="66">
        <f t="shared" si="697"/>
        <v>57</v>
      </c>
      <c r="BE44" s="66">
        <f t="shared" si="697"/>
        <v>25</v>
      </c>
      <c r="BF44" s="66">
        <f t="shared" si="697"/>
        <v>82</v>
      </c>
      <c r="BG44" s="66">
        <f t="shared" si="697"/>
        <v>1</v>
      </c>
      <c r="BH44" s="66">
        <f t="shared" si="697"/>
        <v>2</v>
      </c>
      <c r="BI44" s="66">
        <f t="shared" si="697"/>
        <v>2</v>
      </c>
      <c r="BJ44" s="66">
        <f t="shared" si="697"/>
        <v>0</v>
      </c>
      <c r="BK44" s="66">
        <f t="shared" si="697"/>
        <v>1</v>
      </c>
      <c r="BL44" s="66">
        <f t="shared" si="697"/>
        <v>5</v>
      </c>
      <c r="BM44" s="66">
        <f t="shared" si="697"/>
        <v>6</v>
      </c>
      <c r="BN44" s="66">
        <f t="shared" si="697"/>
        <v>7</v>
      </c>
      <c r="BO44" s="66">
        <f t="shared" si="697"/>
        <v>9</v>
      </c>
      <c r="BP44" s="66">
        <f t="shared" si="697"/>
        <v>9</v>
      </c>
      <c r="BQ44" s="66">
        <f t="shared" si="697"/>
        <v>7</v>
      </c>
      <c r="BR44" s="66">
        <f t="shared" si="697"/>
        <v>8</v>
      </c>
      <c r="BS44" s="66">
        <f t="shared" ref="BS44:ED44" si="698">BS43+BS41</f>
        <v>12</v>
      </c>
      <c r="BT44" s="66">
        <f t="shared" si="698"/>
        <v>7</v>
      </c>
      <c r="BU44" s="66">
        <f t="shared" si="698"/>
        <v>38</v>
      </c>
      <c r="BV44" s="66">
        <f t="shared" si="698"/>
        <v>38</v>
      </c>
      <c r="BW44" s="66">
        <f t="shared" si="698"/>
        <v>76</v>
      </c>
      <c r="BX44" s="66">
        <f t="shared" si="698"/>
        <v>9</v>
      </c>
      <c r="BY44" s="66">
        <f t="shared" si="698"/>
        <v>14</v>
      </c>
      <c r="BZ44" s="66">
        <f t="shared" si="698"/>
        <v>18</v>
      </c>
      <c r="CA44" s="66">
        <f t="shared" si="698"/>
        <v>5</v>
      </c>
      <c r="CB44" s="66">
        <f t="shared" si="698"/>
        <v>18</v>
      </c>
      <c r="CC44" s="66">
        <f t="shared" si="698"/>
        <v>16</v>
      </c>
      <c r="CD44" s="66">
        <f t="shared" si="698"/>
        <v>28</v>
      </c>
      <c r="CE44" s="66">
        <f t="shared" si="698"/>
        <v>16</v>
      </c>
      <c r="CF44" s="66">
        <f t="shared" si="698"/>
        <v>25</v>
      </c>
      <c r="CG44" s="66">
        <f t="shared" si="698"/>
        <v>14</v>
      </c>
      <c r="CH44" s="66">
        <f t="shared" si="698"/>
        <v>14</v>
      </c>
      <c r="CI44" s="66">
        <f t="shared" si="698"/>
        <v>14</v>
      </c>
      <c r="CJ44" s="66">
        <f t="shared" si="698"/>
        <v>18</v>
      </c>
      <c r="CK44" s="66">
        <f t="shared" si="698"/>
        <v>8</v>
      </c>
      <c r="CL44" s="66">
        <f t="shared" si="698"/>
        <v>130</v>
      </c>
      <c r="CM44" s="66">
        <f t="shared" si="698"/>
        <v>87</v>
      </c>
      <c r="CN44" s="66">
        <f t="shared" si="698"/>
        <v>217</v>
      </c>
      <c r="CO44" s="66">
        <f t="shared" si="698"/>
        <v>1</v>
      </c>
      <c r="CP44" s="66">
        <f t="shared" si="698"/>
        <v>1</v>
      </c>
      <c r="CQ44" s="66">
        <f t="shared" si="698"/>
        <v>0</v>
      </c>
      <c r="CR44" s="66">
        <f t="shared" si="698"/>
        <v>2</v>
      </c>
      <c r="CS44" s="66">
        <f t="shared" si="698"/>
        <v>1</v>
      </c>
      <c r="CT44" s="66">
        <f t="shared" si="698"/>
        <v>0</v>
      </c>
      <c r="CU44" s="66">
        <f t="shared" si="698"/>
        <v>1</v>
      </c>
      <c r="CV44" s="66">
        <f t="shared" si="698"/>
        <v>2</v>
      </c>
      <c r="CW44" s="66">
        <f t="shared" si="698"/>
        <v>0</v>
      </c>
      <c r="CX44" s="66">
        <f t="shared" si="698"/>
        <v>4</v>
      </c>
      <c r="CY44" s="66">
        <f t="shared" si="698"/>
        <v>4</v>
      </c>
      <c r="CZ44" s="66">
        <f t="shared" si="698"/>
        <v>0</v>
      </c>
      <c r="DA44" s="66">
        <f t="shared" si="698"/>
        <v>8</v>
      </c>
      <c r="DB44" s="66">
        <f t="shared" si="698"/>
        <v>1</v>
      </c>
      <c r="DC44" s="66">
        <f t="shared" si="698"/>
        <v>2</v>
      </c>
      <c r="DD44" s="66">
        <f t="shared" si="698"/>
        <v>13</v>
      </c>
      <c r="DE44" s="66">
        <f t="shared" si="698"/>
        <v>2</v>
      </c>
      <c r="DF44" s="66">
        <f t="shared" si="698"/>
        <v>4</v>
      </c>
      <c r="DG44" s="66">
        <f t="shared" si="698"/>
        <v>1</v>
      </c>
      <c r="DH44" s="66">
        <f t="shared" si="698"/>
        <v>18</v>
      </c>
      <c r="DI44" s="66">
        <f t="shared" si="698"/>
        <v>5</v>
      </c>
      <c r="DJ44" s="66">
        <f t="shared" si="698"/>
        <v>23</v>
      </c>
      <c r="DK44" s="66">
        <f t="shared" si="698"/>
        <v>33</v>
      </c>
      <c r="DL44" s="66">
        <f t="shared" si="698"/>
        <v>11</v>
      </c>
      <c r="DM44" s="66">
        <f t="shared" si="698"/>
        <v>24</v>
      </c>
      <c r="DN44" s="66">
        <f t="shared" si="698"/>
        <v>19</v>
      </c>
      <c r="DO44" s="66">
        <f t="shared" si="698"/>
        <v>23</v>
      </c>
      <c r="DP44" s="66">
        <f t="shared" si="698"/>
        <v>23</v>
      </c>
      <c r="DQ44" s="66">
        <f t="shared" si="698"/>
        <v>80</v>
      </c>
      <c r="DR44" s="66">
        <f t="shared" si="698"/>
        <v>53</v>
      </c>
      <c r="DS44" s="66">
        <f t="shared" si="698"/>
        <v>133</v>
      </c>
      <c r="DT44" s="66">
        <f t="shared" si="698"/>
        <v>8</v>
      </c>
      <c r="DU44" s="66">
        <f t="shared" si="698"/>
        <v>19</v>
      </c>
      <c r="DV44" s="66">
        <f t="shared" si="698"/>
        <v>12</v>
      </c>
      <c r="DW44" s="66">
        <f t="shared" si="698"/>
        <v>17</v>
      </c>
      <c r="DX44" s="66">
        <f t="shared" si="698"/>
        <v>7</v>
      </c>
      <c r="DY44" s="66">
        <f t="shared" si="698"/>
        <v>12</v>
      </c>
      <c r="DZ44" s="66">
        <f t="shared" si="698"/>
        <v>27</v>
      </c>
      <c r="EA44" s="66">
        <f t="shared" si="698"/>
        <v>48</v>
      </c>
      <c r="EB44" s="66">
        <f t="shared" si="698"/>
        <v>0</v>
      </c>
      <c r="EC44" s="66">
        <f t="shared" si="698"/>
        <v>0</v>
      </c>
      <c r="ED44" s="66">
        <f t="shared" si="698"/>
        <v>0</v>
      </c>
      <c r="EE44" s="66">
        <f t="shared" ref="EE44:GP44" si="699">EE43+EE41</f>
        <v>0</v>
      </c>
      <c r="EF44" s="66">
        <f t="shared" si="699"/>
        <v>0</v>
      </c>
      <c r="EG44" s="66">
        <f t="shared" si="699"/>
        <v>0</v>
      </c>
      <c r="EH44" s="66">
        <f t="shared" si="699"/>
        <v>0</v>
      </c>
      <c r="EI44" s="66">
        <f t="shared" si="699"/>
        <v>0</v>
      </c>
      <c r="EJ44" s="66">
        <f t="shared" si="699"/>
        <v>0</v>
      </c>
      <c r="EK44" s="66">
        <f t="shared" si="699"/>
        <v>0</v>
      </c>
      <c r="EL44" s="66">
        <f t="shared" si="699"/>
        <v>0</v>
      </c>
      <c r="EM44" s="66">
        <f t="shared" si="699"/>
        <v>0</v>
      </c>
      <c r="EN44" s="66">
        <f t="shared" si="699"/>
        <v>0</v>
      </c>
      <c r="EO44" s="66">
        <f t="shared" si="699"/>
        <v>0</v>
      </c>
      <c r="EP44" s="66">
        <f t="shared" si="699"/>
        <v>0</v>
      </c>
      <c r="EQ44" s="66">
        <f t="shared" si="699"/>
        <v>0</v>
      </c>
      <c r="ER44" s="66">
        <f t="shared" si="699"/>
        <v>0</v>
      </c>
      <c r="ES44" s="66">
        <f t="shared" si="699"/>
        <v>0</v>
      </c>
      <c r="ET44" s="66">
        <f t="shared" si="699"/>
        <v>0</v>
      </c>
      <c r="EU44" s="66">
        <f t="shared" si="699"/>
        <v>1</v>
      </c>
      <c r="EV44" s="66">
        <f t="shared" si="699"/>
        <v>1</v>
      </c>
      <c r="EW44" s="66">
        <f t="shared" si="699"/>
        <v>1</v>
      </c>
      <c r="EX44" s="66">
        <f t="shared" si="699"/>
        <v>0</v>
      </c>
      <c r="EY44" s="66">
        <f t="shared" si="699"/>
        <v>6</v>
      </c>
      <c r="EZ44" s="66">
        <f t="shared" si="699"/>
        <v>0</v>
      </c>
      <c r="FA44" s="66">
        <f t="shared" si="699"/>
        <v>0</v>
      </c>
      <c r="FB44" s="66">
        <f t="shared" si="699"/>
        <v>0</v>
      </c>
      <c r="FC44" s="66">
        <f t="shared" si="699"/>
        <v>8</v>
      </c>
      <c r="FD44" s="66">
        <f t="shared" si="699"/>
        <v>1</v>
      </c>
      <c r="FE44" s="66">
        <f t="shared" si="699"/>
        <v>9</v>
      </c>
      <c r="FF44" s="66">
        <f t="shared" si="699"/>
        <v>0</v>
      </c>
      <c r="FG44" s="66">
        <f t="shared" si="699"/>
        <v>0</v>
      </c>
      <c r="FH44" s="66">
        <f t="shared" si="699"/>
        <v>0</v>
      </c>
      <c r="FI44" s="66">
        <f t="shared" si="699"/>
        <v>0</v>
      </c>
      <c r="FJ44" s="66">
        <f t="shared" si="699"/>
        <v>0</v>
      </c>
      <c r="FK44" s="66">
        <f t="shared" si="699"/>
        <v>0</v>
      </c>
      <c r="FL44" s="66">
        <f t="shared" si="699"/>
        <v>0</v>
      </c>
      <c r="FM44" s="66">
        <f t="shared" si="699"/>
        <v>0</v>
      </c>
      <c r="FN44" s="66">
        <f t="shared" si="699"/>
        <v>2</v>
      </c>
      <c r="FO44" s="66">
        <f t="shared" si="699"/>
        <v>0</v>
      </c>
      <c r="FP44" s="66">
        <f t="shared" si="699"/>
        <v>0</v>
      </c>
      <c r="FQ44" s="66">
        <f t="shared" si="699"/>
        <v>0</v>
      </c>
      <c r="FR44" s="66">
        <f t="shared" si="699"/>
        <v>0</v>
      </c>
      <c r="FS44" s="66">
        <f t="shared" si="699"/>
        <v>0</v>
      </c>
      <c r="FT44" s="66">
        <f t="shared" si="699"/>
        <v>0</v>
      </c>
      <c r="FU44" s="66">
        <f t="shared" si="699"/>
        <v>2</v>
      </c>
      <c r="FV44" s="66">
        <f t="shared" si="699"/>
        <v>0</v>
      </c>
      <c r="FW44" s="66">
        <f t="shared" si="699"/>
        <v>2</v>
      </c>
      <c r="FX44" s="66">
        <f t="shared" si="699"/>
        <v>0</v>
      </c>
      <c r="FY44" s="66">
        <f t="shared" si="699"/>
        <v>0</v>
      </c>
      <c r="FZ44" s="66">
        <f t="shared" si="699"/>
        <v>0</v>
      </c>
      <c r="GA44" s="66">
        <f t="shared" si="699"/>
        <v>0</v>
      </c>
      <c r="GB44" s="66">
        <f t="shared" si="699"/>
        <v>2</v>
      </c>
      <c r="GC44" s="66">
        <f t="shared" si="699"/>
        <v>1</v>
      </c>
      <c r="GD44" s="66">
        <f t="shared" si="699"/>
        <v>0</v>
      </c>
      <c r="GE44" s="66">
        <f t="shared" si="699"/>
        <v>0</v>
      </c>
      <c r="GF44" s="66">
        <f t="shared" si="699"/>
        <v>0</v>
      </c>
      <c r="GG44" s="66">
        <f t="shared" si="699"/>
        <v>0</v>
      </c>
      <c r="GH44" s="66">
        <f t="shared" si="699"/>
        <v>6</v>
      </c>
      <c r="GI44" s="66">
        <f t="shared" si="699"/>
        <v>0</v>
      </c>
      <c r="GJ44" s="66">
        <f t="shared" si="699"/>
        <v>0</v>
      </c>
      <c r="GK44" s="66">
        <f t="shared" si="699"/>
        <v>0</v>
      </c>
      <c r="GL44" s="66">
        <f t="shared" si="699"/>
        <v>0</v>
      </c>
      <c r="GM44" s="66">
        <f t="shared" si="699"/>
        <v>0</v>
      </c>
      <c r="GN44" s="66">
        <f t="shared" si="699"/>
        <v>8</v>
      </c>
      <c r="GO44" s="66">
        <f t="shared" si="699"/>
        <v>1</v>
      </c>
      <c r="GP44" s="66">
        <f t="shared" si="699"/>
        <v>9</v>
      </c>
      <c r="GQ44" s="66">
        <f t="shared" ref="GQ44:IX44" si="700">GQ43+GQ41</f>
        <v>8</v>
      </c>
      <c r="GR44" s="66">
        <f t="shared" si="700"/>
        <v>1</v>
      </c>
      <c r="GS44" s="66">
        <f t="shared" si="700"/>
        <v>0</v>
      </c>
      <c r="GT44" s="66">
        <f t="shared" si="700"/>
        <v>0</v>
      </c>
      <c r="GU44" s="66">
        <f t="shared" si="700"/>
        <v>0</v>
      </c>
      <c r="GV44" s="66">
        <f t="shared" si="700"/>
        <v>0</v>
      </c>
      <c r="GW44" s="66">
        <f t="shared" si="700"/>
        <v>8</v>
      </c>
      <c r="GX44" s="66">
        <f t="shared" si="700"/>
        <v>1</v>
      </c>
      <c r="GY44" s="66">
        <f t="shared" si="700"/>
        <v>9</v>
      </c>
      <c r="GZ44" s="66">
        <f t="shared" si="700"/>
        <v>8</v>
      </c>
      <c r="HA44" s="66">
        <f t="shared" si="700"/>
        <v>1</v>
      </c>
      <c r="HB44" s="66">
        <f t="shared" si="700"/>
        <v>0</v>
      </c>
      <c r="HC44" s="66">
        <f t="shared" si="700"/>
        <v>0</v>
      </c>
      <c r="HD44" s="66">
        <f t="shared" si="700"/>
        <v>0</v>
      </c>
      <c r="HE44" s="66">
        <f t="shared" si="700"/>
        <v>0</v>
      </c>
      <c r="HF44" s="66">
        <f t="shared" si="700"/>
        <v>0</v>
      </c>
      <c r="HG44" s="66">
        <f t="shared" si="700"/>
        <v>0</v>
      </c>
      <c r="HH44" s="66">
        <f t="shared" si="700"/>
        <v>0</v>
      </c>
      <c r="HI44" s="66">
        <f t="shared" si="700"/>
        <v>0</v>
      </c>
      <c r="HJ44" s="66">
        <f t="shared" si="700"/>
        <v>0</v>
      </c>
      <c r="HK44" s="66">
        <f t="shared" si="700"/>
        <v>0</v>
      </c>
      <c r="HL44" s="66">
        <f t="shared" si="700"/>
        <v>0</v>
      </c>
      <c r="HM44" s="66">
        <f t="shared" si="700"/>
        <v>0</v>
      </c>
      <c r="HN44" s="66">
        <f t="shared" si="700"/>
        <v>0</v>
      </c>
      <c r="HO44" s="66">
        <f t="shared" si="700"/>
        <v>0</v>
      </c>
      <c r="HP44" s="66">
        <f t="shared" si="700"/>
        <v>0</v>
      </c>
      <c r="HQ44" s="66">
        <f t="shared" si="700"/>
        <v>8</v>
      </c>
      <c r="HR44" s="66">
        <f t="shared" si="700"/>
        <v>1</v>
      </c>
      <c r="HS44" s="66">
        <f t="shared" si="700"/>
        <v>9</v>
      </c>
      <c r="HT44" s="66">
        <f t="shared" si="700"/>
        <v>0</v>
      </c>
      <c r="HU44" s="66">
        <f t="shared" si="700"/>
        <v>0</v>
      </c>
      <c r="HV44" s="66">
        <f t="shared" si="700"/>
        <v>8</v>
      </c>
      <c r="HW44" s="66">
        <f t="shared" si="700"/>
        <v>1</v>
      </c>
      <c r="HX44" s="66">
        <f t="shared" si="700"/>
        <v>0</v>
      </c>
      <c r="HY44" s="66">
        <f t="shared" si="700"/>
        <v>0</v>
      </c>
      <c r="HZ44" s="66">
        <f t="shared" si="700"/>
        <v>0</v>
      </c>
      <c r="IA44" s="66">
        <f t="shared" si="700"/>
        <v>0</v>
      </c>
      <c r="IB44" s="66">
        <f t="shared" si="700"/>
        <v>8</v>
      </c>
      <c r="IC44" s="66">
        <f t="shared" si="700"/>
        <v>1</v>
      </c>
      <c r="ID44" s="66">
        <f t="shared" si="700"/>
        <v>9</v>
      </c>
      <c r="IE44" s="66">
        <f t="shared" si="700"/>
        <v>0</v>
      </c>
      <c r="IF44" s="66">
        <f t="shared" si="700"/>
        <v>0</v>
      </c>
      <c r="IG44" s="66">
        <f t="shared" si="700"/>
        <v>0</v>
      </c>
      <c r="IH44" s="66">
        <f t="shared" si="700"/>
        <v>0</v>
      </c>
      <c r="II44" s="66">
        <f t="shared" si="700"/>
        <v>0</v>
      </c>
      <c r="IJ44" s="66">
        <f t="shared" si="700"/>
        <v>0</v>
      </c>
      <c r="IK44" s="66">
        <f t="shared" si="700"/>
        <v>0</v>
      </c>
      <c r="IL44" s="66">
        <f t="shared" si="700"/>
        <v>0</v>
      </c>
      <c r="IM44" s="66">
        <f t="shared" si="700"/>
        <v>0</v>
      </c>
      <c r="IN44" s="66">
        <f t="shared" si="700"/>
        <v>0</v>
      </c>
      <c r="IO44" s="66">
        <f t="shared" si="700"/>
        <v>0</v>
      </c>
      <c r="IP44" s="66">
        <f t="shared" si="700"/>
        <v>0</v>
      </c>
      <c r="IQ44" s="66">
        <f t="shared" si="700"/>
        <v>50</v>
      </c>
      <c r="IR44" s="66">
        <f t="shared" si="700"/>
        <v>0</v>
      </c>
      <c r="IS44" s="66">
        <f t="shared" si="700"/>
        <v>12</v>
      </c>
      <c r="IT44" s="66">
        <f t="shared" si="700"/>
        <v>0</v>
      </c>
      <c r="IU44" s="66">
        <f t="shared" si="700"/>
        <v>1</v>
      </c>
      <c r="IV44" s="66">
        <f t="shared" si="700"/>
        <v>0</v>
      </c>
      <c r="IW44" s="66">
        <f t="shared" si="700"/>
        <v>0</v>
      </c>
      <c r="IX44" s="66">
        <f t="shared" si="700"/>
        <v>2</v>
      </c>
      <c r="IY44" s="66"/>
      <c r="IZ44" s="86"/>
      <c r="JA44" s="66"/>
    </row>
    <row r="45" spans="1:262" s="115" customFormat="1" ht="29.25" customHeight="1" x14ac:dyDescent="0.2">
      <c r="A45" s="82" t="s">
        <v>191</v>
      </c>
      <c r="B45" s="82" t="s">
        <v>196</v>
      </c>
      <c r="C45" s="82">
        <v>1</v>
      </c>
      <c r="D45" s="82">
        <v>1400736</v>
      </c>
      <c r="E45" s="82" t="s">
        <v>240</v>
      </c>
      <c r="F45" s="82"/>
      <c r="G45" s="82">
        <v>1</v>
      </c>
      <c r="H45" s="82">
        <v>0</v>
      </c>
      <c r="I45" s="82">
        <v>1</v>
      </c>
      <c r="J45" s="82">
        <v>0</v>
      </c>
      <c r="K45" s="82">
        <v>1</v>
      </c>
      <c r="L45" s="82">
        <v>0</v>
      </c>
      <c r="M45" s="82">
        <v>0</v>
      </c>
      <c r="N45" s="82">
        <v>1</v>
      </c>
      <c r="O45" s="82">
        <v>0</v>
      </c>
      <c r="P45" s="82">
        <v>0</v>
      </c>
      <c r="Q45" s="82">
        <v>0</v>
      </c>
      <c r="R45" s="82">
        <v>1</v>
      </c>
      <c r="S45" s="82"/>
      <c r="T45" s="82">
        <v>0</v>
      </c>
      <c r="U45" s="82">
        <v>0</v>
      </c>
      <c r="V45" s="82">
        <v>1</v>
      </c>
      <c r="W45" s="82">
        <v>0</v>
      </c>
      <c r="X45" s="82">
        <v>0</v>
      </c>
      <c r="Y45" s="82">
        <v>0</v>
      </c>
      <c r="Z45" s="82">
        <v>3</v>
      </c>
      <c r="AA45" s="82">
        <v>0</v>
      </c>
      <c r="AB45" s="82">
        <v>2</v>
      </c>
      <c r="AC45" s="82">
        <v>0</v>
      </c>
      <c r="AD45" s="82">
        <v>1</v>
      </c>
      <c r="AE45" s="82">
        <v>0</v>
      </c>
      <c r="AF45" s="82">
        <v>1</v>
      </c>
      <c r="AG45" s="82">
        <v>0</v>
      </c>
      <c r="AH45" s="82">
        <v>0</v>
      </c>
      <c r="AI45" s="82">
        <v>0</v>
      </c>
      <c r="AJ45" s="82">
        <v>0</v>
      </c>
      <c r="AK45" s="82">
        <v>0</v>
      </c>
      <c r="AL45" s="82">
        <v>0</v>
      </c>
      <c r="AM45" s="82">
        <v>0</v>
      </c>
      <c r="AN45" s="82">
        <v>7</v>
      </c>
      <c r="AO45" s="68">
        <f t="shared" ref="AO45:AO46" si="701">AN45+AM45</f>
        <v>7</v>
      </c>
      <c r="AP45" s="82">
        <v>0</v>
      </c>
      <c r="AQ45" s="82">
        <v>1</v>
      </c>
      <c r="AR45" s="82">
        <v>0</v>
      </c>
      <c r="AS45" s="82">
        <v>1</v>
      </c>
      <c r="AT45" s="82">
        <v>0</v>
      </c>
      <c r="AU45" s="82">
        <v>0</v>
      </c>
      <c r="AV45" s="82">
        <v>0</v>
      </c>
      <c r="AW45" s="82">
        <v>1</v>
      </c>
      <c r="AX45" s="82">
        <v>0</v>
      </c>
      <c r="AY45" s="82">
        <v>0</v>
      </c>
      <c r="AZ45" s="82">
        <v>0</v>
      </c>
      <c r="BA45" s="82">
        <v>1</v>
      </c>
      <c r="BB45" s="82">
        <v>0</v>
      </c>
      <c r="BC45" s="82">
        <v>2</v>
      </c>
      <c r="BD45" s="82">
        <v>0</v>
      </c>
      <c r="BE45" s="82">
        <v>6</v>
      </c>
      <c r="BF45" s="68">
        <f t="shared" ref="BF45:BF46" si="702">BE45+BD45</f>
        <v>6</v>
      </c>
      <c r="BG45" s="82">
        <v>0</v>
      </c>
      <c r="BH45" s="82">
        <v>1</v>
      </c>
      <c r="BI45" s="82">
        <v>0</v>
      </c>
      <c r="BJ45" s="82">
        <v>1</v>
      </c>
      <c r="BK45" s="82">
        <v>0</v>
      </c>
      <c r="BL45" s="82">
        <v>7</v>
      </c>
      <c r="BM45" s="82">
        <v>0</v>
      </c>
      <c r="BN45" s="82">
        <v>3</v>
      </c>
      <c r="BO45" s="82">
        <v>0</v>
      </c>
      <c r="BP45" s="82">
        <v>2</v>
      </c>
      <c r="BQ45" s="82">
        <v>0</v>
      </c>
      <c r="BR45" s="82">
        <v>4</v>
      </c>
      <c r="BS45" s="82">
        <v>0</v>
      </c>
      <c r="BT45" s="82">
        <v>4</v>
      </c>
      <c r="BU45" s="82">
        <v>0</v>
      </c>
      <c r="BV45" s="82">
        <v>22</v>
      </c>
      <c r="BW45" s="68">
        <f t="shared" ref="BW45:BW46" si="703">BV45+BU45</f>
        <v>22</v>
      </c>
      <c r="BX45" s="82">
        <v>0</v>
      </c>
      <c r="BY45" s="82">
        <v>5</v>
      </c>
      <c r="BZ45" s="82">
        <v>0</v>
      </c>
      <c r="CA45" s="82">
        <v>4</v>
      </c>
      <c r="CB45" s="82">
        <v>0</v>
      </c>
      <c r="CC45" s="82">
        <v>8</v>
      </c>
      <c r="CD45" s="82">
        <v>0</v>
      </c>
      <c r="CE45" s="82">
        <v>5</v>
      </c>
      <c r="CF45" s="82">
        <v>0</v>
      </c>
      <c r="CG45" s="82">
        <v>2</v>
      </c>
      <c r="CH45" s="82">
        <v>0</v>
      </c>
      <c r="CI45" s="82">
        <v>5</v>
      </c>
      <c r="CJ45" s="82">
        <v>0</v>
      </c>
      <c r="CK45" s="82">
        <v>6</v>
      </c>
      <c r="CL45" s="82">
        <v>0</v>
      </c>
      <c r="CM45" s="82">
        <v>35</v>
      </c>
      <c r="CN45" s="82">
        <v>35</v>
      </c>
      <c r="CO45" s="82">
        <v>0</v>
      </c>
      <c r="CP45" s="82">
        <v>1</v>
      </c>
      <c r="CQ45" s="82">
        <v>0</v>
      </c>
      <c r="CR45" s="82">
        <v>0</v>
      </c>
      <c r="CS45" s="82">
        <v>1</v>
      </c>
      <c r="CT45" s="82">
        <v>0</v>
      </c>
      <c r="CU45" s="82">
        <v>0</v>
      </c>
      <c r="CV45" s="82">
        <v>1</v>
      </c>
      <c r="CW45" s="82">
        <v>0</v>
      </c>
      <c r="CX45" s="68">
        <f t="shared" ref="CX45:CX46" si="704">CU45+CR45+CO45</f>
        <v>0</v>
      </c>
      <c r="CY45" s="68">
        <f t="shared" ref="CY45:CY46" si="705">CV45+CS45+CP45</f>
        <v>3</v>
      </c>
      <c r="CZ45" s="68">
        <f t="shared" ref="CZ45:CZ46" si="706">CW45+CT45+CQ45</f>
        <v>0</v>
      </c>
      <c r="DA45" s="68">
        <f t="shared" ref="DA45:DA46" si="707">CZ45+CY45+CX45</f>
        <v>3</v>
      </c>
      <c r="DB45" s="82">
        <v>0</v>
      </c>
      <c r="DC45" s="82">
        <v>0</v>
      </c>
      <c r="DD45" s="82">
        <v>0</v>
      </c>
      <c r="DE45" s="82">
        <v>0</v>
      </c>
      <c r="DF45" s="82">
        <v>0</v>
      </c>
      <c r="DG45" s="82">
        <v>0</v>
      </c>
      <c r="DH45" s="82">
        <v>0</v>
      </c>
      <c r="DI45" s="82">
        <v>0</v>
      </c>
      <c r="DJ45" s="82">
        <v>0</v>
      </c>
      <c r="DK45" s="82">
        <v>4</v>
      </c>
      <c r="DL45" s="82">
        <v>0</v>
      </c>
      <c r="DM45" s="82">
        <v>11</v>
      </c>
      <c r="DN45" s="82">
        <v>0</v>
      </c>
      <c r="DO45" s="82">
        <v>28</v>
      </c>
      <c r="DP45" s="82">
        <v>0</v>
      </c>
      <c r="DQ45" s="82">
        <v>43</v>
      </c>
      <c r="DR45" s="82">
        <v>0</v>
      </c>
      <c r="DS45" s="82">
        <v>43</v>
      </c>
      <c r="DT45" s="82">
        <v>7</v>
      </c>
      <c r="DU45" s="82">
        <v>0</v>
      </c>
      <c r="DV45" s="82">
        <v>9</v>
      </c>
      <c r="DW45" s="82">
        <v>0</v>
      </c>
      <c r="DX45" s="82">
        <v>17</v>
      </c>
      <c r="DY45" s="82">
        <v>0</v>
      </c>
      <c r="DZ45" s="82">
        <v>33</v>
      </c>
      <c r="EA45" s="82">
        <v>0</v>
      </c>
      <c r="EB45" s="82"/>
      <c r="EC45" s="82">
        <v>0</v>
      </c>
      <c r="ED45" s="82">
        <v>0</v>
      </c>
      <c r="EE45" s="82">
        <v>0</v>
      </c>
      <c r="EF45" s="82">
        <v>0</v>
      </c>
      <c r="EG45" s="82">
        <v>0</v>
      </c>
      <c r="EH45" s="82">
        <v>0</v>
      </c>
      <c r="EI45" s="82">
        <v>0</v>
      </c>
      <c r="EJ45" s="82">
        <v>0</v>
      </c>
      <c r="EK45" s="82"/>
      <c r="EL45" s="82">
        <v>0</v>
      </c>
      <c r="EM45" s="82">
        <v>0</v>
      </c>
      <c r="EN45" s="82">
        <v>0</v>
      </c>
      <c r="EO45" s="82">
        <v>0</v>
      </c>
      <c r="EP45" s="82">
        <v>0</v>
      </c>
      <c r="EQ45" s="82">
        <v>0</v>
      </c>
      <c r="ER45" s="82">
        <v>0</v>
      </c>
      <c r="ES45" s="82">
        <v>0</v>
      </c>
      <c r="ET45" s="82"/>
      <c r="EU45" s="82">
        <v>0</v>
      </c>
      <c r="EV45" s="82">
        <v>1</v>
      </c>
      <c r="EW45" s="82">
        <v>0</v>
      </c>
      <c r="EX45" s="82">
        <v>0</v>
      </c>
      <c r="EY45" s="82">
        <v>0</v>
      </c>
      <c r="EZ45" s="82">
        <v>5</v>
      </c>
      <c r="FA45" s="82">
        <v>0</v>
      </c>
      <c r="FB45" s="82">
        <v>0</v>
      </c>
      <c r="FC45" s="82">
        <v>0</v>
      </c>
      <c r="FD45" s="82">
        <v>6</v>
      </c>
      <c r="FE45" s="82">
        <v>6</v>
      </c>
      <c r="FF45" s="82">
        <v>0</v>
      </c>
      <c r="FG45" s="82">
        <v>0</v>
      </c>
      <c r="FH45" s="82">
        <v>0</v>
      </c>
      <c r="FI45" s="82">
        <v>0</v>
      </c>
      <c r="FJ45" s="82">
        <v>0</v>
      </c>
      <c r="FK45" s="82">
        <v>0</v>
      </c>
      <c r="FL45" s="82">
        <v>0</v>
      </c>
      <c r="FM45" s="82">
        <v>0</v>
      </c>
      <c r="FN45" s="82">
        <v>0</v>
      </c>
      <c r="FO45" s="82">
        <v>1</v>
      </c>
      <c r="FP45" s="82"/>
      <c r="FQ45" s="82"/>
      <c r="FR45" s="82">
        <v>0</v>
      </c>
      <c r="FS45" s="82">
        <v>0</v>
      </c>
      <c r="FT45" s="82">
        <v>0</v>
      </c>
      <c r="FU45" s="82">
        <v>0</v>
      </c>
      <c r="FV45" s="82">
        <v>1</v>
      </c>
      <c r="FW45" s="82">
        <v>1</v>
      </c>
      <c r="FX45" s="82"/>
      <c r="FY45" s="82"/>
      <c r="FZ45" s="82">
        <v>0</v>
      </c>
      <c r="GA45" s="82">
        <v>0</v>
      </c>
      <c r="GB45" s="82">
        <v>0</v>
      </c>
      <c r="GC45" s="82">
        <v>2</v>
      </c>
      <c r="GD45" s="82">
        <v>0</v>
      </c>
      <c r="GE45" s="82">
        <v>0</v>
      </c>
      <c r="GF45" s="82">
        <v>0</v>
      </c>
      <c r="GG45" s="82">
        <v>0</v>
      </c>
      <c r="GH45" s="82">
        <v>0</v>
      </c>
      <c r="GI45" s="82">
        <v>4</v>
      </c>
      <c r="GJ45" s="82">
        <v>0</v>
      </c>
      <c r="GK45" s="82">
        <v>0</v>
      </c>
      <c r="GL45" s="82">
        <v>0</v>
      </c>
      <c r="GM45" s="82">
        <v>0</v>
      </c>
      <c r="GN45" s="82">
        <v>0</v>
      </c>
      <c r="GO45" s="82">
        <v>6</v>
      </c>
      <c r="GP45" s="82">
        <v>6</v>
      </c>
      <c r="GQ45" s="82">
        <v>0</v>
      </c>
      <c r="GR45" s="82">
        <v>6</v>
      </c>
      <c r="GS45" s="82">
        <v>0</v>
      </c>
      <c r="GT45" s="82">
        <v>0</v>
      </c>
      <c r="GU45" s="82">
        <v>0</v>
      </c>
      <c r="GV45" s="82">
        <v>0</v>
      </c>
      <c r="GW45" s="82">
        <v>0</v>
      </c>
      <c r="GX45" s="82">
        <v>6</v>
      </c>
      <c r="GY45" s="82">
        <v>6</v>
      </c>
      <c r="GZ45" s="82">
        <v>0</v>
      </c>
      <c r="HA45" s="82">
        <v>6</v>
      </c>
      <c r="HB45" s="82">
        <v>0</v>
      </c>
      <c r="HC45" s="82">
        <v>0</v>
      </c>
      <c r="HD45" s="82">
        <v>0</v>
      </c>
      <c r="HE45" s="82">
        <v>0</v>
      </c>
      <c r="HF45" s="82">
        <v>0</v>
      </c>
      <c r="HG45" s="82">
        <v>0</v>
      </c>
      <c r="HH45" s="82">
        <v>0</v>
      </c>
      <c r="HI45" s="82">
        <v>0</v>
      </c>
      <c r="HJ45" s="82"/>
      <c r="HK45" s="82"/>
      <c r="HL45" s="82">
        <v>0</v>
      </c>
      <c r="HM45" s="82">
        <v>0</v>
      </c>
      <c r="HN45" s="82">
        <v>0</v>
      </c>
      <c r="HO45" s="82">
        <v>0</v>
      </c>
      <c r="HP45" s="82">
        <v>0</v>
      </c>
      <c r="HQ45" s="82">
        <v>0</v>
      </c>
      <c r="HR45" s="82">
        <v>6</v>
      </c>
      <c r="HS45" s="82">
        <v>6</v>
      </c>
      <c r="HT45" s="82">
        <v>0</v>
      </c>
      <c r="HU45" s="82">
        <v>1</v>
      </c>
      <c r="HV45" s="82">
        <v>0</v>
      </c>
      <c r="HW45" s="82">
        <v>5</v>
      </c>
      <c r="HX45" s="82">
        <v>0</v>
      </c>
      <c r="HY45" s="82">
        <v>0</v>
      </c>
      <c r="HZ45" s="82">
        <v>0</v>
      </c>
      <c r="IA45" s="82">
        <v>0</v>
      </c>
      <c r="IB45" s="82">
        <v>0</v>
      </c>
      <c r="IC45" s="82">
        <v>6</v>
      </c>
      <c r="ID45" s="82">
        <v>6</v>
      </c>
      <c r="IE45" s="82">
        <v>0</v>
      </c>
      <c r="IF45" s="82">
        <v>1</v>
      </c>
      <c r="IG45" s="82">
        <v>0</v>
      </c>
      <c r="IH45" s="82">
        <v>0</v>
      </c>
      <c r="II45" s="82">
        <v>0</v>
      </c>
      <c r="IJ45" s="82">
        <v>0</v>
      </c>
      <c r="IK45" s="82">
        <v>0</v>
      </c>
      <c r="IL45" s="82">
        <v>0</v>
      </c>
      <c r="IM45" s="82">
        <v>0</v>
      </c>
      <c r="IN45" s="82">
        <v>0</v>
      </c>
      <c r="IO45" s="82">
        <v>0</v>
      </c>
      <c r="IP45" s="82">
        <v>0</v>
      </c>
      <c r="IQ45" s="82">
        <v>0</v>
      </c>
      <c r="IR45" s="82">
        <v>0</v>
      </c>
      <c r="IS45" s="82">
        <v>5</v>
      </c>
      <c r="IT45" s="82">
        <v>0</v>
      </c>
      <c r="IU45" s="82">
        <v>0</v>
      </c>
      <c r="IV45" s="82">
        <v>0</v>
      </c>
      <c r="IW45" s="82"/>
      <c r="IX45" s="82">
        <v>1</v>
      </c>
      <c r="IY45" s="82" t="s">
        <v>241</v>
      </c>
      <c r="IZ45" s="82">
        <v>7807252685</v>
      </c>
      <c r="JA45" s="82"/>
    </row>
    <row r="46" spans="1:262" s="115" customFormat="1" ht="29.25" customHeight="1" x14ac:dyDescent="0.2">
      <c r="A46" s="82" t="s">
        <v>191</v>
      </c>
      <c r="B46" s="82" t="s">
        <v>196</v>
      </c>
      <c r="C46" s="82">
        <v>2</v>
      </c>
      <c r="D46" s="82">
        <v>1400737</v>
      </c>
      <c r="E46" s="82" t="s">
        <v>242</v>
      </c>
      <c r="F46" s="82"/>
      <c r="G46" s="82">
        <v>1</v>
      </c>
      <c r="H46" s="82">
        <v>1</v>
      </c>
      <c r="I46" s="82">
        <v>0</v>
      </c>
      <c r="J46" s="82">
        <v>0</v>
      </c>
      <c r="K46" s="82">
        <v>1</v>
      </c>
      <c r="L46" s="82">
        <v>0</v>
      </c>
      <c r="M46" s="82">
        <v>0</v>
      </c>
      <c r="N46" s="82">
        <v>1</v>
      </c>
      <c r="O46" s="82">
        <v>0</v>
      </c>
      <c r="P46" s="82">
        <v>0</v>
      </c>
      <c r="Q46" s="82"/>
      <c r="R46" s="82">
        <v>1</v>
      </c>
      <c r="S46" s="82"/>
      <c r="T46" s="82">
        <v>0</v>
      </c>
      <c r="U46" s="82">
        <v>0</v>
      </c>
      <c r="V46" s="82">
        <v>1</v>
      </c>
      <c r="W46" s="82">
        <v>0</v>
      </c>
      <c r="X46" s="82">
        <v>0</v>
      </c>
      <c r="Y46" s="82">
        <v>1</v>
      </c>
      <c r="Z46" s="82">
        <v>0</v>
      </c>
      <c r="AA46" s="82">
        <v>2</v>
      </c>
      <c r="AB46" s="82">
        <v>0</v>
      </c>
      <c r="AC46" s="82">
        <v>5</v>
      </c>
      <c r="AD46" s="82">
        <v>0</v>
      </c>
      <c r="AE46" s="82">
        <v>5</v>
      </c>
      <c r="AF46" s="82">
        <v>0</v>
      </c>
      <c r="AG46" s="82">
        <v>0</v>
      </c>
      <c r="AH46" s="82">
        <v>0</v>
      </c>
      <c r="AI46" s="82">
        <v>0</v>
      </c>
      <c r="AJ46" s="82">
        <v>0</v>
      </c>
      <c r="AK46" s="82">
        <v>0</v>
      </c>
      <c r="AL46" s="82">
        <v>0</v>
      </c>
      <c r="AM46" s="82">
        <v>13</v>
      </c>
      <c r="AN46" s="82">
        <v>0</v>
      </c>
      <c r="AO46" s="68">
        <f t="shared" si="701"/>
        <v>13</v>
      </c>
      <c r="AP46" s="82">
        <v>1</v>
      </c>
      <c r="AQ46" s="82">
        <v>0</v>
      </c>
      <c r="AR46" s="82">
        <v>6</v>
      </c>
      <c r="AS46" s="82">
        <v>0</v>
      </c>
      <c r="AT46" s="82">
        <v>9</v>
      </c>
      <c r="AU46" s="82">
        <v>0</v>
      </c>
      <c r="AV46" s="82">
        <v>9</v>
      </c>
      <c r="AW46" s="82">
        <v>0</v>
      </c>
      <c r="AX46" s="82">
        <v>8</v>
      </c>
      <c r="AY46" s="82">
        <v>0</v>
      </c>
      <c r="AZ46" s="82">
        <v>7</v>
      </c>
      <c r="BA46" s="82">
        <v>0</v>
      </c>
      <c r="BB46" s="82">
        <v>2</v>
      </c>
      <c r="BC46" s="82">
        <v>0</v>
      </c>
      <c r="BD46" s="82">
        <v>42</v>
      </c>
      <c r="BE46" s="82">
        <v>0</v>
      </c>
      <c r="BF46" s="68">
        <f t="shared" si="702"/>
        <v>42</v>
      </c>
      <c r="BG46" s="82">
        <v>3</v>
      </c>
      <c r="BH46" s="82">
        <v>0</v>
      </c>
      <c r="BI46" s="82">
        <v>6</v>
      </c>
      <c r="BJ46" s="82">
        <v>0</v>
      </c>
      <c r="BK46" s="82">
        <v>8</v>
      </c>
      <c r="BL46" s="82">
        <v>0</v>
      </c>
      <c r="BM46" s="82">
        <v>10</v>
      </c>
      <c r="BN46" s="82">
        <v>0</v>
      </c>
      <c r="BO46" s="82">
        <v>10</v>
      </c>
      <c r="BP46" s="82">
        <v>0</v>
      </c>
      <c r="BQ46" s="82">
        <v>9</v>
      </c>
      <c r="BR46" s="82">
        <v>0</v>
      </c>
      <c r="BS46" s="82">
        <v>13</v>
      </c>
      <c r="BT46" s="82">
        <v>0</v>
      </c>
      <c r="BU46" s="82">
        <v>59</v>
      </c>
      <c r="BV46" s="82">
        <v>0</v>
      </c>
      <c r="BW46" s="68">
        <f t="shared" si="703"/>
        <v>59</v>
      </c>
      <c r="BX46" s="82">
        <v>5</v>
      </c>
      <c r="BY46" s="82">
        <v>0</v>
      </c>
      <c r="BZ46" s="82">
        <v>14</v>
      </c>
      <c r="CA46" s="82">
        <v>0</v>
      </c>
      <c r="CB46" s="82">
        <v>22</v>
      </c>
      <c r="CC46" s="82">
        <v>0</v>
      </c>
      <c r="CD46" s="82">
        <v>24</v>
      </c>
      <c r="CE46" s="82">
        <v>0</v>
      </c>
      <c r="CF46" s="82">
        <v>18</v>
      </c>
      <c r="CG46" s="82">
        <v>0</v>
      </c>
      <c r="CH46" s="82">
        <v>16</v>
      </c>
      <c r="CI46" s="82">
        <v>0</v>
      </c>
      <c r="CJ46" s="82">
        <v>15</v>
      </c>
      <c r="CK46" s="82">
        <v>0</v>
      </c>
      <c r="CL46" s="82">
        <v>114</v>
      </c>
      <c r="CM46" s="82">
        <v>0</v>
      </c>
      <c r="CN46" s="82">
        <v>114</v>
      </c>
      <c r="CO46" s="82">
        <v>1</v>
      </c>
      <c r="CP46" s="82">
        <v>0</v>
      </c>
      <c r="CQ46" s="82">
        <v>0</v>
      </c>
      <c r="CR46" s="82">
        <v>2</v>
      </c>
      <c r="CS46" s="82">
        <v>0</v>
      </c>
      <c r="CT46" s="82">
        <v>0</v>
      </c>
      <c r="CU46" s="82">
        <v>2</v>
      </c>
      <c r="CV46" s="82">
        <v>0</v>
      </c>
      <c r="CW46" s="82">
        <v>0</v>
      </c>
      <c r="CX46" s="68">
        <f t="shared" si="704"/>
        <v>5</v>
      </c>
      <c r="CY46" s="68">
        <f t="shared" si="705"/>
        <v>0</v>
      </c>
      <c r="CZ46" s="68">
        <f t="shared" si="706"/>
        <v>0</v>
      </c>
      <c r="DA46" s="68">
        <f t="shared" si="707"/>
        <v>5</v>
      </c>
      <c r="DB46" s="82">
        <v>0</v>
      </c>
      <c r="DC46" s="82">
        <v>0</v>
      </c>
      <c r="DD46" s="82">
        <v>0</v>
      </c>
      <c r="DE46" s="82">
        <v>0</v>
      </c>
      <c r="DF46" s="82">
        <v>0</v>
      </c>
      <c r="DG46" s="82">
        <v>0</v>
      </c>
      <c r="DH46" s="82">
        <v>0</v>
      </c>
      <c r="DI46" s="82">
        <v>0</v>
      </c>
      <c r="DJ46" s="82">
        <v>0</v>
      </c>
      <c r="DK46" s="82">
        <v>33</v>
      </c>
      <c r="DL46" s="82">
        <v>0</v>
      </c>
      <c r="DM46" s="82">
        <v>36</v>
      </c>
      <c r="DN46" s="82">
        <v>0</v>
      </c>
      <c r="DO46" s="82">
        <v>0</v>
      </c>
      <c r="DP46" s="82">
        <v>0</v>
      </c>
      <c r="DQ46" s="82">
        <v>69</v>
      </c>
      <c r="DR46" s="82">
        <v>0</v>
      </c>
      <c r="DS46" s="82">
        <v>69</v>
      </c>
      <c r="DT46" s="82">
        <v>3</v>
      </c>
      <c r="DU46" s="82">
        <v>0</v>
      </c>
      <c r="DV46" s="82">
        <v>33</v>
      </c>
      <c r="DW46" s="82">
        <v>0</v>
      </c>
      <c r="DX46" s="82">
        <v>0</v>
      </c>
      <c r="DY46" s="82">
        <v>0</v>
      </c>
      <c r="DZ46" s="82">
        <v>36</v>
      </c>
      <c r="EA46" s="82">
        <v>0</v>
      </c>
      <c r="EB46" s="82"/>
      <c r="EC46" s="82">
        <v>0</v>
      </c>
      <c r="ED46" s="82">
        <v>0</v>
      </c>
      <c r="EE46" s="82">
        <v>0</v>
      </c>
      <c r="EF46" s="82">
        <v>0</v>
      </c>
      <c r="EG46" s="82">
        <v>0</v>
      </c>
      <c r="EH46" s="82">
        <v>0</v>
      </c>
      <c r="EI46" s="82">
        <v>0</v>
      </c>
      <c r="EJ46" s="82">
        <v>0</v>
      </c>
      <c r="EK46" s="82"/>
      <c r="EL46" s="82">
        <v>0</v>
      </c>
      <c r="EM46" s="82">
        <v>0</v>
      </c>
      <c r="EN46" s="82">
        <v>0</v>
      </c>
      <c r="EO46" s="82">
        <v>0</v>
      </c>
      <c r="EP46" s="82">
        <v>0</v>
      </c>
      <c r="EQ46" s="82">
        <v>0</v>
      </c>
      <c r="ER46" s="82">
        <v>0</v>
      </c>
      <c r="ES46" s="82">
        <v>0</v>
      </c>
      <c r="ET46" s="82"/>
      <c r="EU46" s="82">
        <v>1</v>
      </c>
      <c r="EV46" s="82">
        <v>0</v>
      </c>
      <c r="EW46" s="82">
        <v>1</v>
      </c>
      <c r="EX46" s="82">
        <v>0</v>
      </c>
      <c r="EY46" s="82">
        <v>3</v>
      </c>
      <c r="EZ46" s="82">
        <v>0</v>
      </c>
      <c r="FA46" s="82">
        <v>0</v>
      </c>
      <c r="FB46" s="82">
        <v>0</v>
      </c>
      <c r="FC46" s="82">
        <v>5</v>
      </c>
      <c r="FD46" s="82">
        <v>0</v>
      </c>
      <c r="FE46" s="82">
        <v>5</v>
      </c>
      <c r="FF46" s="82">
        <v>0</v>
      </c>
      <c r="FG46" s="82">
        <v>0</v>
      </c>
      <c r="FH46" s="82">
        <v>0</v>
      </c>
      <c r="FI46" s="82">
        <v>0</v>
      </c>
      <c r="FJ46" s="82">
        <v>0</v>
      </c>
      <c r="FK46" s="82">
        <v>0</v>
      </c>
      <c r="FL46" s="82">
        <v>0</v>
      </c>
      <c r="FM46" s="82">
        <v>0</v>
      </c>
      <c r="FN46" s="82">
        <v>1</v>
      </c>
      <c r="FO46" s="82">
        <v>0</v>
      </c>
      <c r="FP46" s="82"/>
      <c r="FQ46" s="82"/>
      <c r="FR46" s="82">
        <v>0</v>
      </c>
      <c r="FS46" s="82">
        <v>1</v>
      </c>
      <c r="FT46" s="82">
        <v>0</v>
      </c>
      <c r="FU46" s="82">
        <v>2</v>
      </c>
      <c r="FV46" s="82">
        <v>0</v>
      </c>
      <c r="FW46" s="82">
        <v>2</v>
      </c>
      <c r="FX46" s="82"/>
      <c r="FY46" s="82"/>
      <c r="FZ46" s="82">
        <v>0</v>
      </c>
      <c r="GA46" s="82">
        <v>0</v>
      </c>
      <c r="GB46" s="82">
        <v>1</v>
      </c>
      <c r="GC46" s="82">
        <v>0</v>
      </c>
      <c r="GD46" s="82">
        <v>0</v>
      </c>
      <c r="GE46" s="82">
        <v>0</v>
      </c>
      <c r="GF46" s="82">
        <v>0</v>
      </c>
      <c r="GG46" s="82">
        <v>0</v>
      </c>
      <c r="GH46" s="82">
        <v>4</v>
      </c>
      <c r="GI46" s="82">
        <v>0</v>
      </c>
      <c r="GJ46" s="82">
        <v>0</v>
      </c>
      <c r="GK46" s="82">
        <v>0</v>
      </c>
      <c r="GL46" s="82">
        <v>0</v>
      </c>
      <c r="GM46" s="82">
        <v>0</v>
      </c>
      <c r="GN46" s="82">
        <v>5</v>
      </c>
      <c r="GO46" s="82">
        <v>0</v>
      </c>
      <c r="GP46" s="82">
        <v>5</v>
      </c>
      <c r="GQ46" s="82">
        <v>5</v>
      </c>
      <c r="GR46" s="82">
        <v>0</v>
      </c>
      <c r="GS46" s="82">
        <v>0</v>
      </c>
      <c r="GT46" s="82">
        <v>0</v>
      </c>
      <c r="GU46" s="82">
        <v>0</v>
      </c>
      <c r="GV46" s="82">
        <v>0</v>
      </c>
      <c r="GW46" s="82">
        <v>5</v>
      </c>
      <c r="GX46" s="82">
        <v>0</v>
      </c>
      <c r="GY46" s="82">
        <v>5</v>
      </c>
      <c r="GZ46" s="82">
        <v>4</v>
      </c>
      <c r="HA46" s="82">
        <v>0</v>
      </c>
      <c r="HB46" s="82">
        <v>0</v>
      </c>
      <c r="HC46" s="82">
        <v>0</v>
      </c>
      <c r="HD46" s="82">
        <v>0</v>
      </c>
      <c r="HE46" s="82">
        <v>0</v>
      </c>
      <c r="HF46" s="82">
        <v>0</v>
      </c>
      <c r="HG46" s="82">
        <v>0</v>
      </c>
      <c r="HH46" s="82">
        <v>0</v>
      </c>
      <c r="HI46" s="82">
        <v>0</v>
      </c>
      <c r="HJ46" s="82"/>
      <c r="HK46" s="82"/>
      <c r="HL46" s="82">
        <v>0</v>
      </c>
      <c r="HM46" s="82">
        <v>0</v>
      </c>
      <c r="HN46" s="82">
        <v>0</v>
      </c>
      <c r="HO46" s="82">
        <v>1</v>
      </c>
      <c r="HP46" s="82">
        <v>0</v>
      </c>
      <c r="HQ46" s="82">
        <v>5</v>
      </c>
      <c r="HR46" s="82">
        <v>0</v>
      </c>
      <c r="HS46" s="82">
        <v>5</v>
      </c>
      <c r="HT46" s="82">
        <v>0</v>
      </c>
      <c r="HU46" s="82">
        <v>0</v>
      </c>
      <c r="HV46" s="82">
        <v>5</v>
      </c>
      <c r="HW46" s="82">
        <v>0</v>
      </c>
      <c r="HX46" s="82">
        <v>0</v>
      </c>
      <c r="HY46" s="82">
        <v>0</v>
      </c>
      <c r="HZ46" s="82">
        <v>0</v>
      </c>
      <c r="IA46" s="82">
        <v>0</v>
      </c>
      <c r="IB46" s="82">
        <v>5</v>
      </c>
      <c r="IC46" s="82">
        <v>0</v>
      </c>
      <c r="ID46" s="82">
        <v>5</v>
      </c>
      <c r="IE46" s="82">
        <v>0</v>
      </c>
      <c r="IF46" s="82">
        <v>0</v>
      </c>
      <c r="IG46" s="82">
        <v>0</v>
      </c>
      <c r="IH46" s="82">
        <v>0</v>
      </c>
      <c r="II46" s="82">
        <v>0</v>
      </c>
      <c r="IJ46" s="82">
        <v>0</v>
      </c>
      <c r="IK46" s="82">
        <v>0</v>
      </c>
      <c r="IL46" s="82">
        <v>0</v>
      </c>
      <c r="IM46" s="82">
        <v>0</v>
      </c>
      <c r="IN46" s="82">
        <v>0</v>
      </c>
      <c r="IO46" s="82">
        <v>0</v>
      </c>
      <c r="IP46" s="82">
        <v>0</v>
      </c>
      <c r="IQ46" s="82">
        <v>60</v>
      </c>
      <c r="IR46" s="82">
        <v>0</v>
      </c>
      <c r="IS46" s="82">
        <v>5</v>
      </c>
      <c r="IT46" s="82">
        <v>0</v>
      </c>
      <c r="IU46" s="82">
        <v>0</v>
      </c>
      <c r="IV46" s="82">
        <v>0</v>
      </c>
      <c r="IW46" s="82"/>
      <c r="IX46" s="82">
        <v>1</v>
      </c>
      <c r="IY46" s="82" t="s">
        <v>243</v>
      </c>
      <c r="IZ46" s="82">
        <v>7816242610</v>
      </c>
      <c r="JA46" s="82"/>
    </row>
    <row r="47" spans="1:262" s="63" customFormat="1" ht="24.75" customHeight="1" x14ac:dyDescent="0.2">
      <c r="A47" s="169" t="s">
        <v>196</v>
      </c>
      <c r="B47" s="170"/>
      <c r="C47" s="170"/>
      <c r="D47" s="170"/>
      <c r="E47" s="171"/>
      <c r="F47" s="62">
        <f t="shared" ref="F47:BQ47" si="708">SUM(F45:F46)</f>
        <v>0</v>
      </c>
      <c r="G47" s="62">
        <f t="shared" si="708"/>
        <v>2</v>
      </c>
      <c r="H47" s="62">
        <f t="shared" si="708"/>
        <v>1</v>
      </c>
      <c r="I47" s="62">
        <f t="shared" si="708"/>
        <v>1</v>
      </c>
      <c r="J47" s="62">
        <f t="shared" si="708"/>
        <v>0</v>
      </c>
      <c r="K47" s="62">
        <f t="shared" si="708"/>
        <v>2</v>
      </c>
      <c r="L47" s="62">
        <f t="shared" si="708"/>
        <v>0</v>
      </c>
      <c r="M47" s="62">
        <f t="shared" si="708"/>
        <v>0</v>
      </c>
      <c r="N47" s="62">
        <f t="shared" si="708"/>
        <v>2</v>
      </c>
      <c r="O47" s="62">
        <f t="shared" si="708"/>
        <v>0</v>
      </c>
      <c r="P47" s="62">
        <f t="shared" si="708"/>
        <v>0</v>
      </c>
      <c r="Q47" s="62">
        <f t="shared" si="708"/>
        <v>0</v>
      </c>
      <c r="R47" s="62">
        <f t="shared" si="708"/>
        <v>2</v>
      </c>
      <c r="S47" s="62">
        <f t="shared" si="708"/>
        <v>0</v>
      </c>
      <c r="T47" s="62">
        <f t="shared" si="708"/>
        <v>0</v>
      </c>
      <c r="U47" s="62">
        <f t="shared" si="708"/>
        <v>0</v>
      </c>
      <c r="V47" s="62">
        <f t="shared" si="708"/>
        <v>2</v>
      </c>
      <c r="W47" s="62">
        <f t="shared" si="708"/>
        <v>0</v>
      </c>
      <c r="X47" s="62">
        <f t="shared" si="708"/>
        <v>0</v>
      </c>
      <c r="Y47" s="62">
        <f t="shared" si="708"/>
        <v>1</v>
      </c>
      <c r="Z47" s="62">
        <f t="shared" si="708"/>
        <v>3</v>
      </c>
      <c r="AA47" s="62">
        <f t="shared" si="708"/>
        <v>2</v>
      </c>
      <c r="AB47" s="62">
        <f t="shared" si="708"/>
        <v>2</v>
      </c>
      <c r="AC47" s="62">
        <f t="shared" si="708"/>
        <v>5</v>
      </c>
      <c r="AD47" s="62">
        <f t="shared" si="708"/>
        <v>1</v>
      </c>
      <c r="AE47" s="62">
        <f t="shared" si="708"/>
        <v>5</v>
      </c>
      <c r="AF47" s="62">
        <f t="shared" si="708"/>
        <v>1</v>
      </c>
      <c r="AG47" s="62">
        <f t="shared" si="708"/>
        <v>0</v>
      </c>
      <c r="AH47" s="62">
        <f t="shared" si="708"/>
        <v>0</v>
      </c>
      <c r="AI47" s="62">
        <f t="shared" si="708"/>
        <v>0</v>
      </c>
      <c r="AJ47" s="62">
        <f t="shared" si="708"/>
        <v>0</v>
      </c>
      <c r="AK47" s="62">
        <f t="shared" si="708"/>
        <v>0</v>
      </c>
      <c r="AL47" s="62">
        <f t="shared" si="708"/>
        <v>0</v>
      </c>
      <c r="AM47" s="62">
        <f t="shared" si="708"/>
        <v>13</v>
      </c>
      <c r="AN47" s="62">
        <f t="shared" si="708"/>
        <v>7</v>
      </c>
      <c r="AO47" s="62">
        <f t="shared" si="708"/>
        <v>20</v>
      </c>
      <c r="AP47" s="62">
        <f t="shared" si="708"/>
        <v>1</v>
      </c>
      <c r="AQ47" s="62">
        <f t="shared" si="708"/>
        <v>1</v>
      </c>
      <c r="AR47" s="62">
        <f t="shared" si="708"/>
        <v>6</v>
      </c>
      <c r="AS47" s="62">
        <f t="shared" si="708"/>
        <v>1</v>
      </c>
      <c r="AT47" s="62">
        <f t="shared" si="708"/>
        <v>9</v>
      </c>
      <c r="AU47" s="62">
        <f t="shared" si="708"/>
        <v>0</v>
      </c>
      <c r="AV47" s="62">
        <f t="shared" si="708"/>
        <v>9</v>
      </c>
      <c r="AW47" s="62">
        <f t="shared" si="708"/>
        <v>1</v>
      </c>
      <c r="AX47" s="62">
        <f t="shared" si="708"/>
        <v>8</v>
      </c>
      <c r="AY47" s="62">
        <f t="shared" si="708"/>
        <v>0</v>
      </c>
      <c r="AZ47" s="62">
        <f t="shared" si="708"/>
        <v>7</v>
      </c>
      <c r="BA47" s="62">
        <f t="shared" si="708"/>
        <v>1</v>
      </c>
      <c r="BB47" s="62">
        <f t="shared" si="708"/>
        <v>2</v>
      </c>
      <c r="BC47" s="62">
        <f t="shared" si="708"/>
        <v>2</v>
      </c>
      <c r="BD47" s="62">
        <f t="shared" si="708"/>
        <v>42</v>
      </c>
      <c r="BE47" s="62">
        <f t="shared" si="708"/>
        <v>6</v>
      </c>
      <c r="BF47" s="62">
        <f t="shared" si="708"/>
        <v>48</v>
      </c>
      <c r="BG47" s="62">
        <f t="shared" si="708"/>
        <v>3</v>
      </c>
      <c r="BH47" s="62">
        <f t="shared" si="708"/>
        <v>1</v>
      </c>
      <c r="BI47" s="62">
        <f t="shared" si="708"/>
        <v>6</v>
      </c>
      <c r="BJ47" s="62">
        <f t="shared" si="708"/>
        <v>1</v>
      </c>
      <c r="BK47" s="62">
        <f t="shared" si="708"/>
        <v>8</v>
      </c>
      <c r="BL47" s="62">
        <f t="shared" si="708"/>
        <v>7</v>
      </c>
      <c r="BM47" s="62">
        <f t="shared" si="708"/>
        <v>10</v>
      </c>
      <c r="BN47" s="62">
        <f t="shared" si="708"/>
        <v>3</v>
      </c>
      <c r="BO47" s="62">
        <f t="shared" si="708"/>
        <v>10</v>
      </c>
      <c r="BP47" s="62">
        <f t="shared" si="708"/>
        <v>2</v>
      </c>
      <c r="BQ47" s="62">
        <f t="shared" si="708"/>
        <v>9</v>
      </c>
      <c r="BR47" s="62">
        <f t="shared" ref="BR47:EC47" si="709">SUM(BR45:BR46)</f>
        <v>4</v>
      </c>
      <c r="BS47" s="62">
        <f t="shared" si="709"/>
        <v>13</v>
      </c>
      <c r="BT47" s="62">
        <f t="shared" si="709"/>
        <v>4</v>
      </c>
      <c r="BU47" s="62">
        <f t="shared" si="709"/>
        <v>59</v>
      </c>
      <c r="BV47" s="62">
        <f t="shared" si="709"/>
        <v>22</v>
      </c>
      <c r="BW47" s="62">
        <f t="shared" si="709"/>
        <v>81</v>
      </c>
      <c r="BX47" s="62">
        <f t="shared" si="709"/>
        <v>5</v>
      </c>
      <c r="BY47" s="62">
        <f t="shared" si="709"/>
        <v>5</v>
      </c>
      <c r="BZ47" s="62">
        <f t="shared" si="709"/>
        <v>14</v>
      </c>
      <c r="CA47" s="62">
        <f t="shared" si="709"/>
        <v>4</v>
      </c>
      <c r="CB47" s="62">
        <f t="shared" si="709"/>
        <v>22</v>
      </c>
      <c r="CC47" s="62">
        <f t="shared" si="709"/>
        <v>8</v>
      </c>
      <c r="CD47" s="62">
        <f t="shared" si="709"/>
        <v>24</v>
      </c>
      <c r="CE47" s="62">
        <f t="shared" si="709"/>
        <v>5</v>
      </c>
      <c r="CF47" s="62">
        <f t="shared" si="709"/>
        <v>18</v>
      </c>
      <c r="CG47" s="62">
        <f t="shared" si="709"/>
        <v>2</v>
      </c>
      <c r="CH47" s="62">
        <f t="shared" si="709"/>
        <v>16</v>
      </c>
      <c r="CI47" s="62">
        <f t="shared" si="709"/>
        <v>5</v>
      </c>
      <c r="CJ47" s="62">
        <f t="shared" si="709"/>
        <v>15</v>
      </c>
      <c r="CK47" s="62">
        <f t="shared" si="709"/>
        <v>6</v>
      </c>
      <c r="CL47" s="62">
        <f t="shared" si="709"/>
        <v>114</v>
      </c>
      <c r="CM47" s="62">
        <f t="shared" si="709"/>
        <v>35</v>
      </c>
      <c r="CN47" s="62">
        <f t="shared" si="709"/>
        <v>149</v>
      </c>
      <c r="CO47" s="62">
        <f t="shared" si="709"/>
        <v>1</v>
      </c>
      <c r="CP47" s="62">
        <f t="shared" si="709"/>
        <v>1</v>
      </c>
      <c r="CQ47" s="62">
        <f t="shared" si="709"/>
        <v>0</v>
      </c>
      <c r="CR47" s="62">
        <f t="shared" si="709"/>
        <v>2</v>
      </c>
      <c r="CS47" s="62">
        <f t="shared" si="709"/>
        <v>1</v>
      </c>
      <c r="CT47" s="62">
        <f t="shared" si="709"/>
        <v>0</v>
      </c>
      <c r="CU47" s="62">
        <f t="shared" si="709"/>
        <v>2</v>
      </c>
      <c r="CV47" s="62">
        <f t="shared" si="709"/>
        <v>1</v>
      </c>
      <c r="CW47" s="62">
        <f t="shared" si="709"/>
        <v>0</v>
      </c>
      <c r="CX47" s="62">
        <f t="shared" si="709"/>
        <v>5</v>
      </c>
      <c r="CY47" s="62">
        <f t="shared" si="709"/>
        <v>3</v>
      </c>
      <c r="CZ47" s="62">
        <f t="shared" si="709"/>
        <v>0</v>
      </c>
      <c r="DA47" s="62">
        <f t="shared" si="709"/>
        <v>8</v>
      </c>
      <c r="DB47" s="62">
        <f t="shared" si="709"/>
        <v>0</v>
      </c>
      <c r="DC47" s="62">
        <f t="shared" si="709"/>
        <v>0</v>
      </c>
      <c r="DD47" s="62">
        <f t="shared" si="709"/>
        <v>0</v>
      </c>
      <c r="DE47" s="62">
        <f t="shared" si="709"/>
        <v>0</v>
      </c>
      <c r="DF47" s="62">
        <f t="shared" si="709"/>
        <v>0</v>
      </c>
      <c r="DG47" s="62">
        <f t="shared" si="709"/>
        <v>0</v>
      </c>
      <c r="DH47" s="62">
        <f t="shared" si="709"/>
        <v>0</v>
      </c>
      <c r="DI47" s="62">
        <f t="shared" si="709"/>
        <v>0</v>
      </c>
      <c r="DJ47" s="62">
        <f t="shared" si="709"/>
        <v>0</v>
      </c>
      <c r="DK47" s="62">
        <f t="shared" si="709"/>
        <v>37</v>
      </c>
      <c r="DL47" s="62">
        <f t="shared" si="709"/>
        <v>0</v>
      </c>
      <c r="DM47" s="62">
        <f t="shared" si="709"/>
        <v>47</v>
      </c>
      <c r="DN47" s="62">
        <f t="shared" si="709"/>
        <v>0</v>
      </c>
      <c r="DO47" s="62">
        <f t="shared" si="709"/>
        <v>28</v>
      </c>
      <c r="DP47" s="62">
        <f t="shared" si="709"/>
        <v>0</v>
      </c>
      <c r="DQ47" s="62">
        <f t="shared" si="709"/>
        <v>112</v>
      </c>
      <c r="DR47" s="62">
        <f t="shared" si="709"/>
        <v>0</v>
      </c>
      <c r="DS47" s="62">
        <f t="shared" si="709"/>
        <v>112</v>
      </c>
      <c r="DT47" s="62">
        <f t="shared" si="709"/>
        <v>10</v>
      </c>
      <c r="DU47" s="62">
        <f t="shared" si="709"/>
        <v>0</v>
      </c>
      <c r="DV47" s="62">
        <f t="shared" si="709"/>
        <v>42</v>
      </c>
      <c r="DW47" s="62">
        <f t="shared" si="709"/>
        <v>0</v>
      </c>
      <c r="DX47" s="62">
        <f t="shared" si="709"/>
        <v>17</v>
      </c>
      <c r="DY47" s="62">
        <f t="shared" si="709"/>
        <v>0</v>
      </c>
      <c r="DZ47" s="62">
        <f t="shared" si="709"/>
        <v>69</v>
      </c>
      <c r="EA47" s="62">
        <f t="shared" si="709"/>
        <v>0</v>
      </c>
      <c r="EB47" s="62">
        <f t="shared" si="709"/>
        <v>0</v>
      </c>
      <c r="EC47" s="62">
        <f t="shared" si="709"/>
        <v>0</v>
      </c>
      <c r="ED47" s="62">
        <f t="shared" ref="ED47:GO47" si="710">SUM(ED45:ED46)</f>
        <v>0</v>
      </c>
      <c r="EE47" s="62">
        <f t="shared" si="710"/>
        <v>0</v>
      </c>
      <c r="EF47" s="62">
        <f t="shared" si="710"/>
        <v>0</v>
      </c>
      <c r="EG47" s="62">
        <f t="shared" si="710"/>
        <v>0</v>
      </c>
      <c r="EH47" s="62">
        <f t="shared" si="710"/>
        <v>0</v>
      </c>
      <c r="EI47" s="62">
        <f t="shared" si="710"/>
        <v>0</v>
      </c>
      <c r="EJ47" s="62">
        <f t="shared" si="710"/>
        <v>0</v>
      </c>
      <c r="EK47" s="62">
        <f t="shared" si="710"/>
        <v>0</v>
      </c>
      <c r="EL47" s="62">
        <f t="shared" si="710"/>
        <v>0</v>
      </c>
      <c r="EM47" s="62">
        <f t="shared" si="710"/>
        <v>0</v>
      </c>
      <c r="EN47" s="62">
        <f t="shared" si="710"/>
        <v>0</v>
      </c>
      <c r="EO47" s="62">
        <f t="shared" si="710"/>
        <v>0</v>
      </c>
      <c r="EP47" s="62">
        <f t="shared" si="710"/>
        <v>0</v>
      </c>
      <c r="EQ47" s="62">
        <f t="shared" si="710"/>
        <v>0</v>
      </c>
      <c r="ER47" s="62">
        <f t="shared" si="710"/>
        <v>0</v>
      </c>
      <c r="ES47" s="62">
        <f t="shared" si="710"/>
        <v>0</v>
      </c>
      <c r="ET47" s="62">
        <f t="shared" si="710"/>
        <v>0</v>
      </c>
      <c r="EU47" s="62">
        <f t="shared" si="710"/>
        <v>1</v>
      </c>
      <c r="EV47" s="62">
        <f t="shared" si="710"/>
        <v>1</v>
      </c>
      <c r="EW47" s="62">
        <f t="shared" si="710"/>
        <v>1</v>
      </c>
      <c r="EX47" s="62">
        <f t="shared" si="710"/>
        <v>0</v>
      </c>
      <c r="EY47" s="62">
        <f t="shared" si="710"/>
        <v>3</v>
      </c>
      <c r="EZ47" s="62">
        <f t="shared" si="710"/>
        <v>5</v>
      </c>
      <c r="FA47" s="62">
        <f t="shared" si="710"/>
        <v>0</v>
      </c>
      <c r="FB47" s="62">
        <f t="shared" si="710"/>
        <v>0</v>
      </c>
      <c r="FC47" s="62">
        <f t="shared" si="710"/>
        <v>5</v>
      </c>
      <c r="FD47" s="62">
        <f t="shared" si="710"/>
        <v>6</v>
      </c>
      <c r="FE47" s="62">
        <f t="shared" si="710"/>
        <v>11</v>
      </c>
      <c r="FF47" s="62">
        <f t="shared" si="710"/>
        <v>0</v>
      </c>
      <c r="FG47" s="62">
        <f t="shared" si="710"/>
        <v>0</v>
      </c>
      <c r="FH47" s="62">
        <f t="shared" si="710"/>
        <v>0</v>
      </c>
      <c r="FI47" s="62">
        <f t="shared" si="710"/>
        <v>0</v>
      </c>
      <c r="FJ47" s="62">
        <f t="shared" si="710"/>
        <v>0</v>
      </c>
      <c r="FK47" s="62">
        <f t="shared" si="710"/>
        <v>0</v>
      </c>
      <c r="FL47" s="62">
        <f t="shared" si="710"/>
        <v>0</v>
      </c>
      <c r="FM47" s="62">
        <f t="shared" si="710"/>
        <v>0</v>
      </c>
      <c r="FN47" s="62">
        <f t="shared" si="710"/>
        <v>1</v>
      </c>
      <c r="FO47" s="62">
        <f t="shared" si="710"/>
        <v>1</v>
      </c>
      <c r="FP47" s="62">
        <f t="shared" si="710"/>
        <v>0</v>
      </c>
      <c r="FQ47" s="62">
        <f t="shared" si="710"/>
        <v>0</v>
      </c>
      <c r="FR47" s="62">
        <f t="shared" si="710"/>
        <v>0</v>
      </c>
      <c r="FS47" s="62">
        <f t="shared" si="710"/>
        <v>1</v>
      </c>
      <c r="FT47" s="62">
        <f t="shared" si="710"/>
        <v>0</v>
      </c>
      <c r="FU47" s="62">
        <f t="shared" si="710"/>
        <v>2</v>
      </c>
      <c r="FV47" s="62">
        <f t="shared" si="710"/>
        <v>1</v>
      </c>
      <c r="FW47" s="62">
        <f t="shared" si="710"/>
        <v>3</v>
      </c>
      <c r="FX47" s="62">
        <f t="shared" si="710"/>
        <v>0</v>
      </c>
      <c r="FY47" s="62">
        <f t="shared" si="710"/>
        <v>0</v>
      </c>
      <c r="FZ47" s="62">
        <f t="shared" si="710"/>
        <v>0</v>
      </c>
      <c r="GA47" s="62">
        <f t="shared" si="710"/>
        <v>0</v>
      </c>
      <c r="GB47" s="62">
        <f t="shared" si="710"/>
        <v>1</v>
      </c>
      <c r="GC47" s="62">
        <f t="shared" si="710"/>
        <v>2</v>
      </c>
      <c r="GD47" s="62">
        <f t="shared" si="710"/>
        <v>0</v>
      </c>
      <c r="GE47" s="62">
        <f t="shared" si="710"/>
        <v>0</v>
      </c>
      <c r="GF47" s="62">
        <f t="shared" si="710"/>
        <v>0</v>
      </c>
      <c r="GG47" s="62">
        <f t="shared" si="710"/>
        <v>0</v>
      </c>
      <c r="GH47" s="62">
        <f t="shared" si="710"/>
        <v>4</v>
      </c>
      <c r="GI47" s="62">
        <f t="shared" si="710"/>
        <v>4</v>
      </c>
      <c r="GJ47" s="62">
        <f t="shared" si="710"/>
        <v>0</v>
      </c>
      <c r="GK47" s="62">
        <f t="shared" si="710"/>
        <v>0</v>
      </c>
      <c r="GL47" s="62">
        <f t="shared" si="710"/>
        <v>0</v>
      </c>
      <c r="GM47" s="62">
        <f t="shared" si="710"/>
        <v>0</v>
      </c>
      <c r="GN47" s="62">
        <f t="shared" si="710"/>
        <v>5</v>
      </c>
      <c r="GO47" s="62">
        <f t="shared" si="710"/>
        <v>6</v>
      </c>
      <c r="GP47" s="62">
        <f t="shared" ref="GP47:IX47" si="711">SUM(GP45:GP46)</f>
        <v>11</v>
      </c>
      <c r="GQ47" s="62">
        <f t="shared" si="711"/>
        <v>5</v>
      </c>
      <c r="GR47" s="62">
        <f t="shared" si="711"/>
        <v>6</v>
      </c>
      <c r="GS47" s="62">
        <f t="shared" si="711"/>
        <v>0</v>
      </c>
      <c r="GT47" s="62">
        <f t="shared" si="711"/>
        <v>0</v>
      </c>
      <c r="GU47" s="62">
        <f t="shared" si="711"/>
        <v>0</v>
      </c>
      <c r="GV47" s="62">
        <f t="shared" si="711"/>
        <v>0</v>
      </c>
      <c r="GW47" s="62">
        <f t="shared" si="711"/>
        <v>5</v>
      </c>
      <c r="GX47" s="62">
        <f t="shared" si="711"/>
        <v>6</v>
      </c>
      <c r="GY47" s="62">
        <f t="shared" si="711"/>
        <v>11</v>
      </c>
      <c r="GZ47" s="62">
        <f t="shared" si="711"/>
        <v>4</v>
      </c>
      <c r="HA47" s="62">
        <f t="shared" si="711"/>
        <v>6</v>
      </c>
      <c r="HB47" s="62">
        <f t="shared" si="711"/>
        <v>0</v>
      </c>
      <c r="HC47" s="62">
        <f t="shared" si="711"/>
        <v>0</v>
      </c>
      <c r="HD47" s="62">
        <f t="shared" si="711"/>
        <v>0</v>
      </c>
      <c r="HE47" s="62">
        <f t="shared" si="711"/>
        <v>0</v>
      </c>
      <c r="HF47" s="62">
        <f t="shared" si="711"/>
        <v>0</v>
      </c>
      <c r="HG47" s="62">
        <f t="shared" si="711"/>
        <v>0</v>
      </c>
      <c r="HH47" s="62">
        <f t="shared" si="711"/>
        <v>0</v>
      </c>
      <c r="HI47" s="62">
        <f t="shared" si="711"/>
        <v>0</v>
      </c>
      <c r="HJ47" s="62">
        <f t="shared" si="711"/>
        <v>0</v>
      </c>
      <c r="HK47" s="62">
        <f t="shared" si="711"/>
        <v>0</v>
      </c>
      <c r="HL47" s="62">
        <f t="shared" si="711"/>
        <v>0</v>
      </c>
      <c r="HM47" s="62">
        <f t="shared" si="711"/>
        <v>0</v>
      </c>
      <c r="HN47" s="62">
        <f t="shared" si="711"/>
        <v>0</v>
      </c>
      <c r="HO47" s="62">
        <f t="shared" si="711"/>
        <v>1</v>
      </c>
      <c r="HP47" s="62">
        <f t="shared" si="711"/>
        <v>0</v>
      </c>
      <c r="HQ47" s="62">
        <f t="shared" si="711"/>
        <v>5</v>
      </c>
      <c r="HR47" s="62">
        <f t="shared" si="711"/>
        <v>6</v>
      </c>
      <c r="HS47" s="62">
        <f t="shared" si="711"/>
        <v>11</v>
      </c>
      <c r="HT47" s="62">
        <f t="shared" si="711"/>
        <v>0</v>
      </c>
      <c r="HU47" s="62">
        <f t="shared" si="711"/>
        <v>1</v>
      </c>
      <c r="HV47" s="62">
        <f t="shared" si="711"/>
        <v>5</v>
      </c>
      <c r="HW47" s="62">
        <f t="shared" si="711"/>
        <v>5</v>
      </c>
      <c r="HX47" s="62">
        <f t="shared" si="711"/>
        <v>0</v>
      </c>
      <c r="HY47" s="62">
        <f t="shared" si="711"/>
        <v>0</v>
      </c>
      <c r="HZ47" s="62">
        <f t="shared" si="711"/>
        <v>0</v>
      </c>
      <c r="IA47" s="62">
        <f t="shared" si="711"/>
        <v>0</v>
      </c>
      <c r="IB47" s="62">
        <f t="shared" si="711"/>
        <v>5</v>
      </c>
      <c r="IC47" s="62">
        <f t="shared" si="711"/>
        <v>6</v>
      </c>
      <c r="ID47" s="62">
        <f t="shared" si="711"/>
        <v>11</v>
      </c>
      <c r="IE47" s="62">
        <f t="shared" si="711"/>
        <v>0</v>
      </c>
      <c r="IF47" s="62">
        <f t="shared" si="711"/>
        <v>1</v>
      </c>
      <c r="IG47" s="62">
        <f t="shared" si="711"/>
        <v>0</v>
      </c>
      <c r="IH47" s="62">
        <f t="shared" si="711"/>
        <v>0</v>
      </c>
      <c r="II47" s="62">
        <f t="shared" si="711"/>
        <v>0</v>
      </c>
      <c r="IJ47" s="62">
        <f t="shared" si="711"/>
        <v>0</v>
      </c>
      <c r="IK47" s="62">
        <f t="shared" si="711"/>
        <v>0</v>
      </c>
      <c r="IL47" s="62">
        <f t="shared" si="711"/>
        <v>0</v>
      </c>
      <c r="IM47" s="62">
        <f t="shared" si="711"/>
        <v>0</v>
      </c>
      <c r="IN47" s="62">
        <f t="shared" si="711"/>
        <v>0</v>
      </c>
      <c r="IO47" s="62">
        <f t="shared" si="711"/>
        <v>0</v>
      </c>
      <c r="IP47" s="62">
        <f t="shared" si="711"/>
        <v>0</v>
      </c>
      <c r="IQ47" s="62">
        <f t="shared" si="711"/>
        <v>60</v>
      </c>
      <c r="IR47" s="62">
        <f t="shared" si="711"/>
        <v>0</v>
      </c>
      <c r="IS47" s="62">
        <f t="shared" si="711"/>
        <v>10</v>
      </c>
      <c r="IT47" s="62">
        <f t="shared" si="711"/>
        <v>0</v>
      </c>
      <c r="IU47" s="62">
        <f t="shared" si="711"/>
        <v>0</v>
      </c>
      <c r="IV47" s="62">
        <f t="shared" si="711"/>
        <v>0</v>
      </c>
      <c r="IW47" s="62">
        <f t="shared" si="711"/>
        <v>0</v>
      </c>
      <c r="IX47" s="62">
        <f t="shared" si="711"/>
        <v>2</v>
      </c>
      <c r="IY47" s="62"/>
      <c r="IZ47" s="84"/>
      <c r="JA47" s="62"/>
    </row>
    <row r="48" spans="1:262" s="115" customFormat="1" ht="29.25" customHeight="1" x14ac:dyDescent="0.2">
      <c r="A48" s="82" t="s">
        <v>191</v>
      </c>
      <c r="B48" s="82" t="s">
        <v>180</v>
      </c>
      <c r="C48" s="82">
        <v>1</v>
      </c>
      <c r="D48" s="82">
        <v>1400739</v>
      </c>
      <c r="E48" s="82" t="s">
        <v>244</v>
      </c>
      <c r="F48" s="82"/>
      <c r="G48" s="82">
        <v>1</v>
      </c>
      <c r="H48" s="82">
        <v>1</v>
      </c>
      <c r="I48" s="82">
        <v>0</v>
      </c>
      <c r="J48" s="82">
        <v>0</v>
      </c>
      <c r="K48" s="82">
        <v>1</v>
      </c>
      <c r="L48" s="82">
        <v>0</v>
      </c>
      <c r="M48" s="82">
        <v>0</v>
      </c>
      <c r="N48" s="82">
        <v>1</v>
      </c>
      <c r="O48" s="82">
        <v>0</v>
      </c>
      <c r="P48" s="82">
        <v>0</v>
      </c>
      <c r="Q48" s="82">
        <v>0</v>
      </c>
      <c r="R48" s="82">
        <v>1</v>
      </c>
      <c r="S48" s="82"/>
      <c r="T48" s="82">
        <v>0</v>
      </c>
      <c r="U48" s="82">
        <v>0</v>
      </c>
      <c r="V48" s="82">
        <v>1</v>
      </c>
      <c r="W48" s="82">
        <v>0</v>
      </c>
      <c r="X48" s="82">
        <v>0</v>
      </c>
      <c r="Y48" s="82">
        <v>3</v>
      </c>
      <c r="Z48" s="82">
        <v>0</v>
      </c>
      <c r="AA48" s="82">
        <v>1</v>
      </c>
      <c r="AB48" s="82">
        <v>0</v>
      </c>
      <c r="AC48" s="82">
        <v>3</v>
      </c>
      <c r="AD48" s="82">
        <v>0</v>
      </c>
      <c r="AE48" s="82">
        <v>2</v>
      </c>
      <c r="AF48" s="82">
        <v>0</v>
      </c>
      <c r="AG48" s="82">
        <v>0</v>
      </c>
      <c r="AH48" s="82">
        <v>0</v>
      </c>
      <c r="AI48" s="82">
        <v>2</v>
      </c>
      <c r="AJ48" s="82">
        <v>0</v>
      </c>
      <c r="AK48" s="82">
        <v>0</v>
      </c>
      <c r="AL48" s="82">
        <v>0</v>
      </c>
      <c r="AM48" s="82">
        <v>11</v>
      </c>
      <c r="AN48" s="82">
        <v>0</v>
      </c>
      <c r="AO48" s="68">
        <f t="shared" ref="AO48" si="712">AN48+AM48</f>
        <v>11</v>
      </c>
      <c r="AP48" s="82">
        <v>2</v>
      </c>
      <c r="AQ48" s="82">
        <v>0</v>
      </c>
      <c r="AR48" s="82">
        <v>3</v>
      </c>
      <c r="AS48" s="82">
        <v>0</v>
      </c>
      <c r="AT48" s="82">
        <v>6</v>
      </c>
      <c r="AU48" s="82">
        <v>0</v>
      </c>
      <c r="AV48" s="82">
        <v>9</v>
      </c>
      <c r="AW48" s="82">
        <v>0</v>
      </c>
      <c r="AX48" s="82">
        <v>5</v>
      </c>
      <c r="AY48" s="82">
        <v>0</v>
      </c>
      <c r="AZ48" s="82">
        <v>4</v>
      </c>
      <c r="BA48" s="82">
        <v>0</v>
      </c>
      <c r="BB48" s="82">
        <v>6</v>
      </c>
      <c r="BC48" s="82">
        <v>0</v>
      </c>
      <c r="BD48" s="82">
        <v>35</v>
      </c>
      <c r="BE48" s="82">
        <v>0</v>
      </c>
      <c r="BF48" s="68">
        <f t="shared" ref="BF48" si="713">BE48+BD48</f>
        <v>35</v>
      </c>
      <c r="BG48" s="82">
        <v>3</v>
      </c>
      <c r="BH48" s="82">
        <v>0</v>
      </c>
      <c r="BI48" s="82">
        <v>3</v>
      </c>
      <c r="BJ48" s="82">
        <v>0</v>
      </c>
      <c r="BK48" s="82">
        <v>4</v>
      </c>
      <c r="BL48" s="82">
        <v>0</v>
      </c>
      <c r="BM48" s="82">
        <v>7</v>
      </c>
      <c r="BN48" s="82">
        <v>0</v>
      </c>
      <c r="BO48" s="82">
        <v>13</v>
      </c>
      <c r="BP48" s="82">
        <v>0</v>
      </c>
      <c r="BQ48" s="82">
        <v>6</v>
      </c>
      <c r="BR48" s="82">
        <v>0</v>
      </c>
      <c r="BS48" s="82">
        <v>6</v>
      </c>
      <c r="BT48" s="82">
        <v>0</v>
      </c>
      <c r="BU48" s="82">
        <v>42</v>
      </c>
      <c r="BV48" s="82">
        <v>0</v>
      </c>
      <c r="BW48" s="68">
        <f t="shared" ref="BW48" si="714">BV48+BU48</f>
        <v>42</v>
      </c>
      <c r="BX48" s="82">
        <v>8</v>
      </c>
      <c r="BY48" s="82">
        <v>0</v>
      </c>
      <c r="BZ48" s="82">
        <v>7</v>
      </c>
      <c r="CA48" s="82">
        <v>0</v>
      </c>
      <c r="CB48" s="82">
        <v>13</v>
      </c>
      <c r="CC48" s="82">
        <v>0</v>
      </c>
      <c r="CD48" s="82">
        <v>18</v>
      </c>
      <c r="CE48" s="82">
        <v>0</v>
      </c>
      <c r="CF48" s="82">
        <v>18</v>
      </c>
      <c r="CG48" s="82">
        <v>0</v>
      </c>
      <c r="CH48" s="82">
        <v>12</v>
      </c>
      <c r="CI48" s="82">
        <v>0</v>
      </c>
      <c r="CJ48" s="82">
        <v>12</v>
      </c>
      <c r="CK48" s="82">
        <v>0</v>
      </c>
      <c r="CL48" s="82">
        <v>88</v>
      </c>
      <c r="CM48" s="82">
        <v>0</v>
      </c>
      <c r="CN48" s="82">
        <v>88</v>
      </c>
      <c r="CO48" s="82">
        <v>1</v>
      </c>
      <c r="CP48" s="82">
        <v>0</v>
      </c>
      <c r="CQ48" s="82">
        <v>0</v>
      </c>
      <c r="CR48" s="82">
        <v>1</v>
      </c>
      <c r="CS48" s="82">
        <v>0</v>
      </c>
      <c r="CT48" s="82">
        <v>0</v>
      </c>
      <c r="CU48" s="82">
        <v>2</v>
      </c>
      <c r="CV48" s="82">
        <v>0</v>
      </c>
      <c r="CW48" s="82">
        <v>0</v>
      </c>
      <c r="CX48" s="68">
        <f t="shared" ref="CX48" si="715">CU48+CR48+CO48</f>
        <v>4</v>
      </c>
      <c r="CY48" s="68">
        <f t="shared" ref="CY48" si="716">CV48+CS48+CP48</f>
        <v>0</v>
      </c>
      <c r="CZ48" s="68">
        <f t="shared" ref="CZ48" si="717">CW48+CT48+CQ48</f>
        <v>0</v>
      </c>
      <c r="DA48" s="68">
        <f t="shared" ref="DA48" si="718">CZ48+CY48+CX48</f>
        <v>4</v>
      </c>
      <c r="DB48" s="82">
        <v>0</v>
      </c>
      <c r="DC48" s="82">
        <v>0</v>
      </c>
      <c r="DD48" s="82">
        <v>0</v>
      </c>
      <c r="DE48" s="82">
        <v>0</v>
      </c>
      <c r="DF48" s="82">
        <v>0</v>
      </c>
      <c r="DG48" s="82">
        <v>0</v>
      </c>
      <c r="DH48" s="82">
        <v>0</v>
      </c>
      <c r="DI48" s="82">
        <v>0</v>
      </c>
      <c r="DJ48" s="82">
        <v>0</v>
      </c>
      <c r="DK48" s="82">
        <v>13</v>
      </c>
      <c r="DL48" s="82">
        <v>0</v>
      </c>
      <c r="DM48" s="82">
        <v>23</v>
      </c>
      <c r="DN48" s="82">
        <v>0</v>
      </c>
      <c r="DO48" s="82">
        <v>14</v>
      </c>
      <c r="DP48" s="82">
        <v>0</v>
      </c>
      <c r="DQ48" s="82">
        <v>50</v>
      </c>
      <c r="DR48" s="82">
        <v>0</v>
      </c>
      <c r="DS48" s="82">
        <v>50</v>
      </c>
      <c r="DT48" s="82">
        <v>6</v>
      </c>
      <c r="DU48" s="82">
        <v>0</v>
      </c>
      <c r="DV48" s="82">
        <v>6</v>
      </c>
      <c r="DW48" s="82">
        <v>0</v>
      </c>
      <c r="DX48" s="82">
        <v>24</v>
      </c>
      <c r="DY48" s="82">
        <v>0</v>
      </c>
      <c r="DZ48" s="82">
        <v>36</v>
      </c>
      <c r="EA48" s="82">
        <v>0</v>
      </c>
      <c r="EB48" s="82"/>
      <c r="EC48" s="82">
        <v>0</v>
      </c>
      <c r="ED48" s="82">
        <v>0</v>
      </c>
      <c r="EE48" s="82">
        <v>0</v>
      </c>
      <c r="EF48" s="82">
        <v>0</v>
      </c>
      <c r="EG48" s="82">
        <v>0</v>
      </c>
      <c r="EH48" s="82">
        <v>0</v>
      </c>
      <c r="EI48" s="82">
        <v>0</v>
      </c>
      <c r="EJ48" s="82">
        <v>0</v>
      </c>
      <c r="EK48" s="82"/>
      <c r="EL48" s="82">
        <v>0</v>
      </c>
      <c r="EM48" s="82">
        <v>0</v>
      </c>
      <c r="EN48" s="82">
        <v>0</v>
      </c>
      <c r="EO48" s="82">
        <v>0</v>
      </c>
      <c r="EP48" s="82">
        <v>0</v>
      </c>
      <c r="EQ48" s="82">
        <v>0</v>
      </c>
      <c r="ER48" s="82">
        <v>0</v>
      </c>
      <c r="ES48" s="82">
        <v>0</v>
      </c>
      <c r="ET48" s="82"/>
      <c r="EU48" s="82">
        <v>1</v>
      </c>
      <c r="EV48" s="82">
        <v>0</v>
      </c>
      <c r="EW48" s="82">
        <v>0</v>
      </c>
      <c r="EX48" s="82">
        <v>0</v>
      </c>
      <c r="EY48" s="82">
        <v>7</v>
      </c>
      <c r="EZ48" s="82">
        <v>0</v>
      </c>
      <c r="FA48" s="82">
        <v>0</v>
      </c>
      <c r="FB48" s="82">
        <v>0</v>
      </c>
      <c r="FC48" s="82">
        <v>8</v>
      </c>
      <c r="FD48" s="82">
        <v>0</v>
      </c>
      <c r="FE48" s="82">
        <v>8</v>
      </c>
      <c r="FF48" s="82">
        <v>0</v>
      </c>
      <c r="FG48" s="82">
        <v>0</v>
      </c>
      <c r="FH48" s="82">
        <v>0</v>
      </c>
      <c r="FI48" s="82">
        <v>0</v>
      </c>
      <c r="FJ48" s="82">
        <v>0</v>
      </c>
      <c r="FK48" s="82">
        <v>0</v>
      </c>
      <c r="FL48" s="82">
        <v>0</v>
      </c>
      <c r="FM48" s="82">
        <v>0</v>
      </c>
      <c r="FN48" s="82">
        <v>0</v>
      </c>
      <c r="FO48" s="82">
        <v>0</v>
      </c>
      <c r="FP48" s="82"/>
      <c r="FQ48" s="82"/>
      <c r="FR48" s="82">
        <v>0</v>
      </c>
      <c r="FS48" s="82">
        <v>0</v>
      </c>
      <c r="FT48" s="82">
        <v>0</v>
      </c>
      <c r="FU48" s="82">
        <v>0</v>
      </c>
      <c r="FV48" s="82">
        <v>0</v>
      </c>
      <c r="FW48" s="82">
        <v>0</v>
      </c>
      <c r="FX48" s="82"/>
      <c r="FY48" s="82"/>
      <c r="FZ48" s="82">
        <v>0</v>
      </c>
      <c r="GA48" s="82">
        <v>0</v>
      </c>
      <c r="GB48" s="82">
        <v>5</v>
      </c>
      <c r="GC48" s="82">
        <v>0</v>
      </c>
      <c r="GD48" s="82">
        <v>0</v>
      </c>
      <c r="GE48" s="82">
        <v>0</v>
      </c>
      <c r="GF48" s="82">
        <v>0</v>
      </c>
      <c r="GG48" s="82">
        <v>0</v>
      </c>
      <c r="GH48" s="82">
        <v>3</v>
      </c>
      <c r="GI48" s="82">
        <v>0</v>
      </c>
      <c r="GJ48" s="82">
        <v>0</v>
      </c>
      <c r="GK48" s="82">
        <v>0</v>
      </c>
      <c r="GL48" s="82">
        <v>0</v>
      </c>
      <c r="GM48" s="82">
        <v>0</v>
      </c>
      <c r="GN48" s="82">
        <v>8</v>
      </c>
      <c r="GO48" s="82">
        <v>0</v>
      </c>
      <c r="GP48" s="82">
        <v>8</v>
      </c>
      <c r="GQ48" s="82">
        <v>8</v>
      </c>
      <c r="GR48" s="82">
        <v>0</v>
      </c>
      <c r="GS48" s="82">
        <v>0</v>
      </c>
      <c r="GT48" s="82">
        <v>0</v>
      </c>
      <c r="GU48" s="82">
        <v>0</v>
      </c>
      <c r="GV48" s="82">
        <v>0</v>
      </c>
      <c r="GW48" s="82">
        <v>8</v>
      </c>
      <c r="GX48" s="82">
        <v>0</v>
      </c>
      <c r="GY48" s="82">
        <v>8</v>
      </c>
      <c r="GZ48" s="82">
        <v>8</v>
      </c>
      <c r="HA48" s="82">
        <v>0</v>
      </c>
      <c r="HB48" s="82">
        <v>0</v>
      </c>
      <c r="HC48" s="82">
        <v>0</v>
      </c>
      <c r="HD48" s="82">
        <v>0</v>
      </c>
      <c r="HE48" s="82">
        <v>0</v>
      </c>
      <c r="HF48" s="82">
        <v>0</v>
      </c>
      <c r="HG48" s="82">
        <v>0</v>
      </c>
      <c r="HH48" s="82">
        <v>0</v>
      </c>
      <c r="HI48" s="82">
        <v>0</v>
      </c>
      <c r="HJ48" s="82"/>
      <c r="HK48" s="82"/>
      <c r="HL48" s="82">
        <v>0</v>
      </c>
      <c r="HM48" s="82">
        <v>0</v>
      </c>
      <c r="HN48" s="82">
        <v>0</v>
      </c>
      <c r="HO48" s="82">
        <v>0</v>
      </c>
      <c r="HP48" s="82">
        <v>0</v>
      </c>
      <c r="HQ48" s="82">
        <v>8</v>
      </c>
      <c r="HR48" s="82">
        <v>0</v>
      </c>
      <c r="HS48" s="82">
        <v>8</v>
      </c>
      <c r="HT48" s="82">
        <v>0</v>
      </c>
      <c r="HU48" s="82">
        <v>0</v>
      </c>
      <c r="HV48" s="82">
        <v>8</v>
      </c>
      <c r="HW48" s="82">
        <v>0</v>
      </c>
      <c r="HX48" s="82">
        <v>0</v>
      </c>
      <c r="HY48" s="82">
        <v>0</v>
      </c>
      <c r="HZ48" s="82">
        <v>0</v>
      </c>
      <c r="IA48" s="82">
        <v>0</v>
      </c>
      <c r="IB48" s="82">
        <v>8</v>
      </c>
      <c r="IC48" s="82">
        <v>0</v>
      </c>
      <c r="ID48" s="82">
        <v>8</v>
      </c>
      <c r="IE48" s="82">
        <v>0</v>
      </c>
      <c r="IF48" s="82">
        <v>0</v>
      </c>
      <c r="IG48" s="82">
        <v>0</v>
      </c>
      <c r="IH48" s="82">
        <v>0</v>
      </c>
      <c r="II48" s="82">
        <v>0</v>
      </c>
      <c r="IJ48" s="82">
        <v>0</v>
      </c>
      <c r="IK48" s="82">
        <v>0</v>
      </c>
      <c r="IL48" s="82">
        <v>0</v>
      </c>
      <c r="IM48" s="82">
        <v>0</v>
      </c>
      <c r="IN48" s="82">
        <v>0</v>
      </c>
      <c r="IO48" s="82">
        <v>0</v>
      </c>
      <c r="IP48" s="82">
        <v>0</v>
      </c>
      <c r="IQ48" s="82">
        <v>80</v>
      </c>
      <c r="IR48" s="82">
        <v>0</v>
      </c>
      <c r="IS48" s="82">
        <v>0</v>
      </c>
      <c r="IT48" s="82">
        <v>1</v>
      </c>
      <c r="IU48" s="82">
        <v>0</v>
      </c>
      <c r="IV48" s="82">
        <v>0</v>
      </c>
      <c r="IW48" s="82"/>
      <c r="IX48" s="82">
        <v>1</v>
      </c>
      <c r="IY48" s="82" t="s">
        <v>245</v>
      </c>
      <c r="IZ48" s="82">
        <v>7816146469</v>
      </c>
      <c r="JA48" s="82"/>
    </row>
    <row r="49" spans="1:261" s="63" customFormat="1" ht="24.75" customHeight="1" x14ac:dyDescent="0.2">
      <c r="A49" s="169" t="s">
        <v>180</v>
      </c>
      <c r="B49" s="170"/>
      <c r="C49" s="170"/>
      <c r="D49" s="170"/>
      <c r="E49" s="171"/>
      <c r="F49" s="62">
        <f t="shared" ref="F49:BA49" si="719">SUM(F48)</f>
        <v>0</v>
      </c>
      <c r="G49" s="62">
        <f t="shared" si="719"/>
        <v>1</v>
      </c>
      <c r="H49" s="62">
        <f t="shared" si="719"/>
        <v>1</v>
      </c>
      <c r="I49" s="62">
        <f t="shared" si="719"/>
        <v>0</v>
      </c>
      <c r="J49" s="62">
        <f t="shared" si="719"/>
        <v>0</v>
      </c>
      <c r="K49" s="62">
        <f t="shared" si="719"/>
        <v>1</v>
      </c>
      <c r="L49" s="62">
        <f t="shared" si="719"/>
        <v>0</v>
      </c>
      <c r="M49" s="62">
        <f t="shared" si="719"/>
        <v>0</v>
      </c>
      <c r="N49" s="62">
        <f t="shared" si="719"/>
        <v>1</v>
      </c>
      <c r="O49" s="62">
        <f t="shared" si="719"/>
        <v>0</v>
      </c>
      <c r="P49" s="62">
        <f t="shared" si="719"/>
        <v>0</v>
      </c>
      <c r="Q49" s="62">
        <f t="shared" si="719"/>
        <v>0</v>
      </c>
      <c r="R49" s="62">
        <f t="shared" si="719"/>
        <v>1</v>
      </c>
      <c r="S49" s="62"/>
      <c r="T49" s="62">
        <f t="shared" si="719"/>
        <v>0</v>
      </c>
      <c r="U49" s="62">
        <f t="shared" si="719"/>
        <v>0</v>
      </c>
      <c r="V49" s="62">
        <f t="shared" si="719"/>
        <v>1</v>
      </c>
      <c r="W49" s="62">
        <f t="shared" si="719"/>
        <v>0</v>
      </c>
      <c r="X49" s="62">
        <f t="shared" si="719"/>
        <v>0</v>
      </c>
      <c r="Y49" s="62">
        <f t="shared" si="719"/>
        <v>3</v>
      </c>
      <c r="Z49" s="62">
        <f t="shared" si="719"/>
        <v>0</v>
      </c>
      <c r="AA49" s="62">
        <f t="shared" si="719"/>
        <v>1</v>
      </c>
      <c r="AB49" s="62">
        <f t="shared" si="719"/>
        <v>0</v>
      </c>
      <c r="AC49" s="62">
        <f t="shared" si="719"/>
        <v>3</v>
      </c>
      <c r="AD49" s="62">
        <f t="shared" si="719"/>
        <v>0</v>
      </c>
      <c r="AE49" s="62">
        <f t="shared" si="719"/>
        <v>2</v>
      </c>
      <c r="AF49" s="62">
        <f t="shared" si="719"/>
        <v>0</v>
      </c>
      <c r="AG49" s="62">
        <f t="shared" si="719"/>
        <v>0</v>
      </c>
      <c r="AH49" s="62">
        <f t="shared" si="719"/>
        <v>0</v>
      </c>
      <c r="AI49" s="62">
        <f t="shared" si="719"/>
        <v>2</v>
      </c>
      <c r="AJ49" s="62">
        <f t="shared" si="719"/>
        <v>0</v>
      </c>
      <c r="AK49" s="62">
        <f t="shared" si="719"/>
        <v>0</v>
      </c>
      <c r="AL49" s="62">
        <f t="shared" si="719"/>
        <v>0</v>
      </c>
      <c r="AM49" s="62">
        <f t="shared" si="719"/>
        <v>11</v>
      </c>
      <c r="AN49" s="62">
        <f t="shared" si="719"/>
        <v>0</v>
      </c>
      <c r="AO49" s="62">
        <f t="shared" si="719"/>
        <v>11</v>
      </c>
      <c r="AP49" s="62">
        <f t="shared" si="719"/>
        <v>2</v>
      </c>
      <c r="AQ49" s="62">
        <f t="shared" si="719"/>
        <v>0</v>
      </c>
      <c r="AR49" s="62">
        <f t="shared" si="719"/>
        <v>3</v>
      </c>
      <c r="AS49" s="62">
        <f t="shared" si="719"/>
        <v>0</v>
      </c>
      <c r="AT49" s="62">
        <f t="shared" si="719"/>
        <v>6</v>
      </c>
      <c r="AU49" s="62">
        <f t="shared" si="719"/>
        <v>0</v>
      </c>
      <c r="AV49" s="62">
        <f t="shared" si="719"/>
        <v>9</v>
      </c>
      <c r="AW49" s="62">
        <f t="shared" si="719"/>
        <v>0</v>
      </c>
      <c r="AX49" s="62">
        <f t="shared" si="719"/>
        <v>5</v>
      </c>
      <c r="AY49" s="62">
        <f t="shared" si="719"/>
        <v>0</v>
      </c>
      <c r="AZ49" s="62">
        <f t="shared" si="719"/>
        <v>4</v>
      </c>
      <c r="BA49" s="62">
        <f t="shared" si="719"/>
        <v>0</v>
      </c>
      <c r="BB49" s="62">
        <f t="shared" ref="BB49:DM49" si="720">SUM(BB48)</f>
        <v>6</v>
      </c>
      <c r="BC49" s="62">
        <f t="shared" si="720"/>
        <v>0</v>
      </c>
      <c r="BD49" s="62">
        <f t="shared" si="720"/>
        <v>35</v>
      </c>
      <c r="BE49" s="62">
        <f t="shared" si="720"/>
        <v>0</v>
      </c>
      <c r="BF49" s="62">
        <f t="shared" si="720"/>
        <v>35</v>
      </c>
      <c r="BG49" s="62">
        <f t="shared" si="720"/>
        <v>3</v>
      </c>
      <c r="BH49" s="62">
        <f t="shared" si="720"/>
        <v>0</v>
      </c>
      <c r="BI49" s="62">
        <f t="shared" si="720"/>
        <v>3</v>
      </c>
      <c r="BJ49" s="62">
        <f t="shared" si="720"/>
        <v>0</v>
      </c>
      <c r="BK49" s="62">
        <f t="shared" si="720"/>
        <v>4</v>
      </c>
      <c r="BL49" s="62">
        <f t="shared" si="720"/>
        <v>0</v>
      </c>
      <c r="BM49" s="62">
        <f t="shared" si="720"/>
        <v>7</v>
      </c>
      <c r="BN49" s="62">
        <f t="shared" si="720"/>
        <v>0</v>
      </c>
      <c r="BO49" s="62">
        <f t="shared" si="720"/>
        <v>13</v>
      </c>
      <c r="BP49" s="62">
        <f t="shared" si="720"/>
        <v>0</v>
      </c>
      <c r="BQ49" s="62">
        <f t="shared" si="720"/>
        <v>6</v>
      </c>
      <c r="BR49" s="62">
        <f t="shared" si="720"/>
        <v>0</v>
      </c>
      <c r="BS49" s="62">
        <f t="shared" si="720"/>
        <v>6</v>
      </c>
      <c r="BT49" s="62">
        <f t="shared" si="720"/>
        <v>0</v>
      </c>
      <c r="BU49" s="62">
        <f t="shared" si="720"/>
        <v>42</v>
      </c>
      <c r="BV49" s="62">
        <f t="shared" si="720"/>
        <v>0</v>
      </c>
      <c r="BW49" s="62">
        <f t="shared" si="720"/>
        <v>42</v>
      </c>
      <c r="BX49" s="62">
        <f t="shared" si="720"/>
        <v>8</v>
      </c>
      <c r="BY49" s="62">
        <f t="shared" si="720"/>
        <v>0</v>
      </c>
      <c r="BZ49" s="62">
        <f t="shared" si="720"/>
        <v>7</v>
      </c>
      <c r="CA49" s="62">
        <f t="shared" si="720"/>
        <v>0</v>
      </c>
      <c r="CB49" s="62">
        <f t="shared" si="720"/>
        <v>13</v>
      </c>
      <c r="CC49" s="62">
        <f t="shared" si="720"/>
        <v>0</v>
      </c>
      <c r="CD49" s="62">
        <f t="shared" si="720"/>
        <v>18</v>
      </c>
      <c r="CE49" s="62">
        <f t="shared" si="720"/>
        <v>0</v>
      </c>
      <c r="CF49" s="62">
        <f t="shared" si="720"/>
        <v>18</v>
      </c>
      <c r="CG49" s="62">
        <f t="shared" si="720"/>
        <v>0</v>
      </c>
      <c r="CH49" s="62">
        <f t="shared" si="720"/>
        <v>12</v>
      </c>
      <c r="CI49" s="62">
        <f t="shared" si="720"/>
        <v>0</v>
      </c>
      <c r="CJ49" s="62">
        <f t="shared" si="720"/>
        <v>12</v>
      </c>
      <c r="CK49" s="62">
        <f t="shared" si="720"/>
        <v>0</v>
      </c>
      <c r="CL49" s="62">
        <f t="shared" si="720"/>
        <v>88</v>
      </c>
      <c r="CM49" s="62">
        <f t="shared" si="720"/>
        <v>0</v>
      </c>
      <c r="CN49" s="62">
        <f t="shared" si="720"/>
        <v>88</v>
      </c>
      <c r="CO49" s="62">
        <f t="shared" si="720"/>
        <v>1</v>
      </c>
      <c r="CP49" s="62">
        <f t="shared" si="720"/>
        <v>0</v>
      </c>
      <c r="CQ49" s="62">
        <f t="shared" si="720"/>
        <v>0</v>
      </c>
      <c r="CR49" s="62">
        <f t="shared" si="720"/>
        <v>1</v>
      </c>
      <c r="CS49" s="62">
        <f t="shared" si="720"/>
        <v>0</v>
      </c>
      <c r="CT49" s="62">
        <f t="shared" si="720"/>
        <v>0</v>
      </c>
      <c r="CU49" s="62">
        <f t="shared" si="720"/>
        <v>2</v>
      </c>
      <c r="CV49" s="62">
        <f t="shared" si="720"/>
        <v>0</v>
      </c>
      <c r="CW49" s="62">
        <f t="shared" si="720"/>
        <v>0</v>
      </c>
      <c r="CX49" s="62">
        <f t="shared" si="720"/>
        <v>4</v>
      </c>
      <c r="CY49" s="62">
        <f t="shared" si="720"/>
        <v>0</v>
      </c>
      <c r="CZ49" s="62">
        <f t="shared" si="720"/>
        <v>0</v>
      </c>
      <c r="DA49" s="62">
        <f t="shared" si="720"/>
        <v>4</v>
      </c>
      <c r="DB49" s="62">
        <f t="shared" si="720"/>
        <v>0</v>
      </c>
      <c r="DC49" s="62">
        <f t="shared" si="720"/>
        <v>0</v>
      </c>
      <c r="DD49" s="62">
        <f t="shared" si="720"/>
        <v>0</v>
      </c>
      <c r="DE49" s="62">
        <f t="shared" si="720"/>
        <v>0</v>
      </c>
      <c r="DF49" s="62">
        <f t="shared" si="720"/>
        <v>0</v>
      </c>
      <c r="DG49" s="62">
        <f t="shared" si="720"/>
        <v>0</v>
      </c>
      <c r="DH49" s="62">
        <f t="shared" si="720"/>
        <v>0</v>
      </c>
      <c r="DI49" s="62">
        <f t="shared" si="720"/>
        <v>0</v>
      </c>
      <c r="DJ49" s="62">
        <f t="shared" si="720"/>
        <v>0</v>
      </c>
      <c r="DK49" s="62">
        <f t="shared" si="720"/>
        <v>13</v>
      </c>
      <c r="DL49" s="62">
        <f t="shared" si="720"/>
        <v>0</v>
      </c>
      <c r="DM49" s="62">
        <f t="shared" si="720"/>
        <v>23</v>
      </c>
      <c r="DN49" s="62">
        <f t="shared" ref="DN49:FY49" si="721">SUM(DN48)</f>
        <v>0</v>
      </c>
      <c r="DO49" s="62">
        <f t="shared" si="721"/>
        <v>14</v>
      </c>
      <c r="DP49" s="62">
        <f t="shared" si="721"/>
        <v>0</v>
      </c>
      <c r="DQ49" s="62">
        <f t="shared" si="721"/>
        <v>50</v>
      </c>
      <c r="DR49" s="62">
        <f t="shared" si="721"/>
        <v>0</v>
      </c>
      <c r="DS49" s="62">
        <f t="shared" si="721"/>
        <v>50</v>
      </c>
      <c r="DT49" s="62">
        <f t="shared" si="721"/>
        <v>6</v>
      </c>
      <c r="DU49" s="62">
        <f t="shared" si="721"/>
        <v>0</v>
      </c>
      <c r="DV49" s="62">
        <f t="shared" si="721"/>
        <v>6</v>
      </c>
      <c r="DW49" s="62">
        <f t="shared" si="721"/>
        <v>0</v>
      </c>
      <c r="DX49" s="62">
        <f t="shared" si="721"/>
        <v>24</v>
      </c>
      <c r="DY49" s="62">
        <f t="shared" si="721"/>
        <v>0</v>
      </c>
      <c r="DZ49" s="62">
        <f t="shared" si="721"/>
        <v>36</v>
      </c>
      <c r="EA49" s="62">
        <f t="shared" si="721"/>
        <v>0</v>
      </c>
      <c r="EB49" s="62">
        <f t="shared" si="721"/>
        <v>0</v>
      </c>
      <c r="EC49" s="62">
        <f t="shared" si="721"/>
        <v>0</v>
      </c>
      <c r="ED49" s="62">
        <f t="shared" si="721"/>
        <v>0</v>
      </c>
      <c r="EE49" s="62">
        <f t="shared" si="721"/>
        <v>0</v>
      </c>
      <c r="EF49" s="62">
        <f t="shared" si="721"/>
        <v>0</v>
      </c>
      <c r="EG49" s="62">
        <f t="shared" si="721"/>
        <v>0</v>
      </c>
      <c r="EH49" s="62">
        <f t="shared" si="721"/>
        <v>0</v>
      </c>
      <c r="EI49" s="62">
        <f t="shared" si="721"/>
        <v>0</v>
      </c>
      <c r="EJ49" s="62">
        <f t="shared" si="721"/>
        <v>0</v>
      </c>
      <c r="EK49" s="62">
        <f t="shared" si="721"/>
        <v>0</v>
      </c>
      <c r="EL49" s="62">
        <f t="shared" si="721"/>
        <v>0</v>
      </c>
      <c r="EM49" s="62">
        <f t="shared" si="721"/>
        <v>0</v>
      </c>
      <c r="EN49" s="62">
        <f t="shared" si="721"/>
        <v>0</v>
      </c>
      <c r="EO49" s="62">
        <f t="shared" si="721"/>
        <v>0</v>
      </c>
      <c r="EP49" s="62">
        <f t="shared" si="721"/>
        <v>0</v>
      </c>
      <c r="EQ49" s="62">
        <f t="shared" si="721"/>
        <v>0</v>
      </c>
      <c r="ER49" s="62">
        <f t="shared" si="721"/>
        <v>0</v>
      </c>
      <c r="ES49" s="62">
        <f t="shared" si="721"/>
        <v>0</v>
      </c>
      <c r="ET49" s="62">
        <f t="shared" si="721"/>
        <v>0</v>
      </c>
      <c r="EU49" s="62">
        <f t="shared" si="721"/>
        <v>1</v>
      </c>
      <c r="EV49" s="62">
        <f t="shared" si="721"/>
        <v>0</v>
      </c>
      <c r="EW49" s="62">
        <f t="shared" si="721"/>
        <v>0</v>
      </c>
      <c r="EX49" s="62">
        <f t="shared" si="721"/>
        <v>0</v>
      </c>
      <c r="EY49" s="62">
        <f t="shared" si="721"/>
        <v>7</v>
      </c>
      <c r="EZ49" s="62">
        <f t="shared" si="721"/>
        <v>0</v>
      </c>
      <c r="FA49" s="62">
        <f t="shared" si="721"/>
        <v>0</v>
      </c>
      <c r="FB49" s="62">
        <f t="shared" si="721"/>
        <v>0</v>
      </c>
      <c r="FC49" s="62">
        <f t="shared" si="721"/>
        <v>8</v>
      </c>
      <c r="FD49" s="62">
        <f t="shared" si="721"/>
        <v>0</v>
      </c>
      <c r="FE49" s="62">
        <f t="shared" si="721"/>
        <v>8</v>
      </c>
      <c r="FF49" s="62">
        <f t="shared" si="721"/>
        <v>0</v>
      </c>
      <c r="FG49" s="62">
        <f t="shared" ref="FG49:FV49" si="722">SUM(FG48)</f>
        <v>0</v>
      </c>
      <c r="FH49" s="62">
        <f t="shared" si="722"/>
        <v>0</v>
      </c>
      <c r="FI49" s="62">
        <f t="shared" si="722"/>
        <v>0</v>
      </c>
      <c r="FJ49" s="62">
        <f t="shared" si="722"/>
        <v>0</v>
      </c>
      <c r="FK49" s="62">
        <f t="shared" si="722"/>
        <v>0</v>
      </c>
      <c r="FL49" s="62">
        <f t="shared" si="722"/>
        <v>0</v>
      </c>
      <c r="FM49" s="62">
        <f t="shared" si="722"/>
        <v>0</v>
      </c>
      <c r="FN49" s="62">
        <f t="shared" si="722"/>
        <v>0</v>
      </c>
      <c r="FO49" s="62">
        <f t="shared" si="722"/>
        <v>0</v>
      </c>
      <c r="FP49" s="62">
        <f t="shared" si="722"/>
        <v>0</v>
      </c>
      <c r="FQ49" s="62">
        <f t="shared" si="722"/>
        <v>0</v>
      </c>
      <c r="FR49" s="62">
        <f t="shared" si="722"/>
        <v>0</v>
      </c>
      <c r="FS49" s="62">
        <f t="shared" si="722"/>
        <v>0</v>
      </c>
      <c r="FT49" s="62">
        <f t="shared" si="722"/>
        <v>0</v>
      </c>
      <c r="FU49" s="62">
        <f t="shared" si="722"/>
        <v>0</v>
      </c>
      <c r="FV49" s="62">
        <f t="shared" si="722"/>
        <v>0</v>
      </c>
      <c r="FW49" s="62">
        <f t="shared" si="721"/>
        <v>0</v>
      </c>
      <c r="FX49" s="62">
        <f t="shared" si="721"/>
        <v>0</v>
      </c>
      <c r="FY49" s="62">
        <f t="shared" si="721"/>
        <v>0</v>
      </c>
      <c r="FZ49" s="62">
        <f>SUM(FZ48)</f>
        <v>0</v>
      </c>
      <c r="GA49" s="62">
        <f t="shared" ref="GA49:IL49" si="723">SUM(GA48)</f>
        <v>0</v>
      </c>
      <c r="GB49" s="62">
        <f t="shared" si="723"/>
        <v>5</v>
      </c>
      <c r="GC49" s="62">
        <f t="shared" si="723"/>
        <v>0</v>
      </c>
      <c r="GD49" s="62">
        <f t="shared" si="723"/>
        <v>0</v>
      </c>
      <c r="GE49" s="62">
        <f t="shared" si="723"/>
        <v>0</v>
      </c>
      <c r="GF49" s="62">
        <f t="shared" si="723"/>
        <v>0</v>
      </c>
      <c r="GG49" s="62">
        <f t="shared" si="723"/>
        <v>0</v>
      </c>
      <c r="GH49" s="62">
        <f t="shared" si="723"/>
        <v>3</v>
      </c>
      <c r="GI49" s="62">
        <f t="shared" si="723"/>
        <v>0</v>
      </c>
      <c r="GJ49" s="62">
        <f t="shared" si="723"/>
        <v>0</v>
      </c>
      <c r="GK49" s="62">
        <f t="shared" si="723"/>
        <v>0</v>
      </c>
      <c r="GL49" s="62">
        <f t="shared" si="723"/>
        <v>0</v>
      </c>
      <c r="GM49" s="62">
        <f t="shared" si="723"/>
        <v>0</v>
      </c>
      <c r="GN49" s="62">
        <f t="shared" si="723"/>
        <v>8</v>
      </c>
      <c r="GO49" s="62">
        <f t="shared" si="723"/>
        <v>0</v>
      </c>
      <c r="GP49" s="62">
        <f t="shared" si="723"/>
        <v>8</v>
      </c>
      <c r="GQ49" s="62">
        <f t="shared" si="723"/>
        <v>8</v>
      </c>
      <c r="GR49" s="62">
        <f t="shared" si="723"/>
        <v>0</v>
      </c>
      <c r="GS49" s="62">
        <f t="shared" si="723"/>
        <v>0</v>
      </c>
      <c r="GT49" s="62">
        <f t="shared" si="723"/>
        <v>0</v>
      </c>
      <c r="GU49" s="62">
        <f t="shared" si="723"/>
        <v>0</v>
      </c>
      <c r="GV49" s="62">
        <f t="shared" si="723"/>
        <v>0</v>
      </c>
      <c r="GW49" s="62">
        <f t="shared" si="723"/>
        <v>8</v>
      </c>
      <c r="GX49" s="62">
        <f t="shared" si="723"/>
        <v>0</v>
      </c>
      <c r="GY49" s="62">
        <f t="shared" si="723"/>
        <v>8</v>
      </c>
      <c r="GZ49" s="62">
        <f t="shared" si="723"/>
        <v>8</v>
      </c>
      <c r="HA49" s="62">
        <f t="shared" si="723"/>
        <v>0</v>
      </c>
      <c r="HB49" s="62">
        <f t="shared" si="723"/>
        <v>0</v>
      </c>
      <c r="HC49" s="62">
        <f t="shared" si="723"/>
        <v>0</v>
      </c>
      <c r="HD49" s="62">
        <f t="shared" si="723"/>
        <v>0</v>
      </c>
      <c r="HE49" s="62">
        <f t="shared" si="723"/>
        <v>0</v>
      </c>
      <c r="HF49" s="62">
        <f t="shared" si="723"/>
        <v>0</v>
      </c>
      <c r="HG49" s="62">
        <f t="shared" si="723"/>
        <v>0</v>
      </c>
      <c r="HH49" s="62">
        <f t="shared" si="723"/>
        <v>0</v>
      </c>
      <c r="HI49" s="62">
        <f t="shared" si="723"/>
        <v>0</v>
      </c>
      <c r="HJ49" s="62">
        <f t="shared" si="723"/>
        <v>0</v>
      </c>
      <c r="HK49" s="62">
        <f t="shared" si="723"/>
        <v>0</v>
      </c>
      <c r="HL49" s="62">
        <f t="shared" si="723"/>
        <v>0</v>
      </c>
      <c r="HM49" s="62">
        <f t="shared" si="723"/>
        <v>0</v>
      </c>
      <c r="HN49" s="62">
        <f t="shared" si="723"/>
        <v>0</v>
      </c>
      <c r="HO49" s="62">
        <f t="shared" si="723"/>
        <v>0</v>
      </c>
      <c r="HP49" s="62">
        <f t="shared" si="723"/>
        <v>0</v>
      </c>
      <c r="HQ49" s="62">
        <f t="shared" si="723"/>
        <v>8</v>
      </c>
      <c r="HR49" s="62">
        <f t="shared" si="723"/>
        <v>0</v>
      </c>
      <c r="HS49" s="62">
        <f t="shared" si="723"/>
        <v>8</v>
      </c>
      <c r="HT49" s="62">
        <f t="shared" si="723"/>
        <v>0</v>
      </c>
      <c r="HU49" s="62">
        <f t="shared" si="723"/>
        <v>0</v>
      </c>
      <c r="HV49" s="62">
        <f t="shared" si="723"/>
        <v>8</v>
      </c>
      <c r="HW49" s="62">
        <f t="shared" si="723"/>
        <v>0</v>
      </c>
      <c r="HX49" s="62">
        <f t="shared" si="723"/>
        <v>0</v>
      </c>
      <c r="HY49" s="62">
        <f t="shared" si="723"/>
        <v>0</v>
      </c>
      <c r="HZ49" s="62">
        <f t="shared" si="723"/>
        <v>0</v>
      </c>
      <c r="IA49" s="62">
        <f t="shared" si="723"/>
        <v>0</v>
      </c>
      <c r="IB49" s="62">
        <f t="shared" si="723"/>
        <v>8</v>
      </c>
      <c r="IC49" s="62">
        <f t="shared" si="723"/>
        <v>0</v>
      </c>
      <c r="ID49" s="62">
        <f t="shared" si="723"/>
        <v>8</v>
      </c>
      <c r="IE49" s="62">
        <f t="shared" si="723"/>
        <v>0</v>
      </c>
      <c r="IF49" s="62">
        <f t="shared" si="723"/>
        <v>0</v>
      </c>
      <c r="IG49" s="62">
        <f t="shared" si="723"/>
        <v>0</v>
      </c>
      <c r="IH49" s="62">
        <f t="shared" si="723"/>
        <v>0</v>
      </c>
      <c r="II49" s="62">
        <f t="shared" si="723"/>
        <v>0</v>
      </c>
      <c r="IJ49" s="62">
        <f t="shared" si="723"/>
        <v>0</v>
      </c>
      <c r="IK49" s="62">
        <f t="shared" si="723"/>
        <v>0</v>
      </c>
      <c r="IL49" s="62">
        <f t="shared" si="723"/>
        <v>0</v>
      </c>
      <c r="IM49" s="62">
        <f t="shared" ref="IM49:IT49" si="724">SUM(IM48)</f>
        <v>0</v>
      </c>
      <c r="IN49" s="62">
        <f t="shared" si="724"/>
        <v>0</v>
      </c>
      <c r="IO49" s="62">
        <f t="shared" si="724"/>
        <v>0</v>
      </c>
      <c r="IP49" s="62">
        <f t="shared" si="724"/>
        <v>0</v>
      </c>
      <c r="IQ49" s="62">
        <f t="shared" si="724"/>
        <v>80</v>
      </c>
      <c r="IR49" s="62">
        <f t="shared" si="724"/>
        <v>0</v>
      </c>
      <c r="IS49" s="62">
        <f t="shared" si="724"/>
        <v>0</v>
      </c>
      <c r="IT49" s="62">
        <f t="shared" si="724"/>
        <v>1</v>
      </c>
      <c r="IU49" s="62">
        <f t="shared" ref="IU49" si="725">SUM(IU48)</f>
        <v>0</v>
      </c>
      <c r="IV49" s="62">
        <f t="shared" ref="IV49" si="726">SUM(IV48)</f>
        <v>0</v>
      </c>
      <c r="IW49" s="62">
        <f t="shared" ref="IW49" si="727">SUM(IW48)</f>
        <v>0</v>
      </c>
      <c r="IX49" s="62">
        <f t="shared" ref="IX49" si="728">SUM(IX48)</f>
        <v>1</v>
      </c>
      <c r="IY49" s="62"/>
      <c r="IZ49" s="84"/>
      <c r="JA49" s="62"/>
    </row>
    <row r="50" spans="1:261" s="67" customFormat="1" ht="29.25" customHeight="1" x14ac:dyDescent="0.2">
      <c r="A50" s="172" t="s">
        <v>191</v>
      </c>
      <c r="B50" s="173"/>
      <c r="C50" s="173"/>
      <c r="D50" s="173"/>
      <c r="E50" s="174"/>
      <c r="F50" s="66">
        <f>F47+F49</f>
        <v>0</v>
      </c>
      <c r="G50" s="66">
        <f t="shared" ref="G50:BB50" si="729">G47+G49</f>
        <v>3</v>
      </c>
      <c r="H50" s="66">
        <f t="shared" si="729"/>
        <v>2</v>
      </c>
      <c r="I50" s="66">
        <f t="shared" si="729"/>
        <v>1</v>
      </c>
      <c r="J50" s="66">
        <f t="shared" si="729"/>
        <v>0</v>
      </c>
      <c r="K50" s="66">
        <f t="shared" si="729"/>
        <v>3</v>
      </c>
      <c r="L50" s="66">
        <f t="shared" si="729"/>
        <v>0</v>
      </c>
      <c r="M50" s="66">
        <f t="shared" si="729"/>
        <v>0</v>
      </c>
      <c r="N50" s="66">
        <f t="shared" si="729"/>
        <v>3</v>
      </c>
      <c r="O50" s="66">
        <f t="shared" si="729"/>
        <v>0</v>
      </c>
      <c r="P50" s="66">
        <f t="shared" si="729"/>
        <v>0</v>
      </c>
      <c r="Q50" s="66">
        <f t="shared" si="729"/>
        <v>0</v>
      </c>
      <c r="R50" s="66">
        <f t="shared" si="729"/>
        <v>3</v>
      </c>
      <c r="S50" s="66"/>
      <c r="T50" s="66">
        <f t="shared" si="729"/>
        <v>0</v>
      </c>
      <c r="U50" s="66">
        <f t="shared" si="729"/>
        <v>0</v>
      </c>
      <c r="V50" s="66">
        <f t="shared" si="729"/>
        <v>3</v>
      </c>
      <c r="W50" s="66">
        <f t="shared" si="729"/>
        <v>0</v>
      </c>
      <c r="X50" s="66">
        <f t="shared" si="729"/>
        <v>0</v>
      </c>
      <c r="Y50" s="66">
        <f t="shared" si="729"/>
        <v>4</v>
      </c>
      <c r="Z50" s="66">
        <f t="shared" si="729"/>
        <v>3</v>
      </c>
      <c r="AA50" s="66">
        <f t="shared" si="729"/>
        <v>3</v>
      </c>
      <c r="AB50" s="66">
        <f t="shared" si="729"/>
        <v>2</v>
      </c>
      <c r="AC50" s="66">
        <f t="shared" si="729"/>
        <v>8</v>
      </c>
      <c r="AD50" s="66">
        <f t="shared" si="729"/>
        <v>1</v>
      </c>
      <c r="AE50" s="66">
        <f t="shared" si="729"/>
        <v>7</v>
      </c>
      <c r="AF50" s="66">
        <f t="shared" si="729"/>
        <v>1</v>
      </c>
      <c r="AG50" s="66">
        <f t="shared" si="729"/>
        <v>0</v>
      </c>
      <c r="AH50" s="66">
        <f t="shared" si="729"/>
        <v>0</v>
      </c>
      <c r="AI50" s="66">
        <f t="shared" si="729"/>
        <v>2</v>
      </c>
      <c r="AJ50" s="66">
        <f t="shared" si="729"/>
        <v>0</v>
      </c>
      <c r="AK50" s="66">
        <f t="shared" si="729"/>
        <v>0</v>
      </c>
      <c r="AL50" s="66">
        <f t="shared" si="729"/>
        <v>0</v>
      </c>
      <c r="AM50" s="66">
        <f t="shared" si="729"/>
        <v>24</v>
      </c>
      <c r="AN50" s="66">
        <f t="shared" si="729"/>
        <v>7</v>
      </c>
      <c r="AO50" s="66">
        <f t="shared" si="729"/>
        <v>31</v>
      </c>
      <c r="AP50" s="66">
        <f t="shared" si="729"/>
        <v>3</v>
      </c>
      <c r="AQ50" s="66">
        <f t="shared" si="729"/>
        <v>1</v>
      </c>
      <c r="AR50" s="66">
        <f t="shared" si="729"/>
        <v>9</v>
      </c>
      <c r="AS50" s="66">
        <f t="shared" si="729"/>
        <v>1</v>
      </c>
      <c r="AT50" s="66">
        <f t="shared" si="729"/>
        <v>15</v>
      </c>
      <c r="AU50" s="66">
        <f t="shared" si="729"/>
        <v>0</v>
      </c>
      <c r="AV50" s="66">
        <f t="shared" si="729"/>
        <v>18</v>
      </c>
      <c r="AW50" s="66">
        <f t="shared" si="729"/>
        <v>1</v>
      </c>
      <c r="AX50" s="66">
        <f t="shared" si="729"/>
        <v>13</v>
      </c>
      <c r="AY50" s="66">
        <f t="shared" si="729"/>
        <v>0</v>
      </c>
      <c r="AZ50" s="66">
        <f t="shared" si="729"/>
        <v>11</v>
      </c>
      <c r="BA50" s="66">
        <f t="shared" si="729"/>
        <v>1</v>
      </c>
      <c r="BB50" s="66">
        <f t="shared" si="729"/>
        <v>8</v>
      </c>
      <c r="BC50" s="66">
        <f t="shared" ref="BC50:DN50" si="730">BC47+BC49</f>
        <v>2</v>
      </c>
      <c r="BD50" s="66">
        <f t="shared" si="730"/>
        <v>77</v>
      </c>
      <c r="BE50" s="66">
        <f t="shared" si="730"/>
        <v>6</v>
      </c>
      <c r="BF50" s="66">
        <f t="shared" si="730"/>
        <v>83</v>
      </c>
      <c r="BG50" s="66">
        <f t="shared" si="730"/>
        <v>6</v>
      </c>
      <c r="BH50" s="66">
        <f t="shared" si="730"/>
        <v>1</v>
      </c>
      <c r="BI50" s="66">
        <f t="shared" si="730"/>
        <v>9</v>
      </c>
      <c r="BJ50" s="66">
        <f t="shared" si="730"/>
        <v>1</v>
      </c>
      <c r="BK50" s="66">
        <f t="shared" si="730"/>
        <v>12</v>
      </c>
      <c r="BL50" s="66">
        <f t="shared" si="730"/>
        <v>7</v>
      </c>
      <c r="BM50" s="66">
        <f t="shared" si="730"/>
        <v>17</v>
      </c>
      <c r="BN50" s="66">
        <f t="shared" si="730"/>
        <v>3</v>
      </c>
      <c r="BO50" s="66">
        <f t="shared" si="730"/>
        <v>23</v>
      </c>
      <c r="BP50" s="66">
        <f t="shared" si="730"/>
        <v>2</v>
      </c>
      <c r="BQ50" s="66">
        <f t="shared" si="730"/>
        <v>15</v>
      </c>
      <c r="BR50" s="66">
        <f t="shared" si="730"/>
        <v>4</v>
      </c>
      <c r="BS50" s="66">
        <f t="shared" si="730"/>
        <v>19</v>
      </c>
      <c r="BT50" s="66">
        <f t="shared" si="730"/>
        <v>4</v>
      </c>
      <c r="BU50" s="66">
        <f t="shared" si="730"/>
        <v>101</v>
      </c>
      <c r="BV50" s="66">
        <f t="shared" si="730"/>
        <v>22</v>
      </c>
      <c r="BW50" s="66">
        <f t="shared" si="730"/>
        <v>123</v>
      </c>
      <c r="BX50" s="66">
        <f t="shared" si="730"/>
        <v>13</v>
      </c>
      <c r="BY50" s="66">
        <f t="shared" si="730"/>
        <v>5</v>
      </c>
      <c r="BZ50" s="66">
        <f t="shared" si="730"/>
        <v>21</v>
      </c>
      <c r="CA50" s="66">
        <f t="shared" si="730"/>
        <v>4</v>
      </c>
      <c r="CB50" s="66">
        <f t="shared" si="730"/>
        <v>35</v>
      </c>
      <c r="CC50" s="66">
        <f t="shared" si="730"/>
        <v>8</v>
      </c>
      <c r="CD50" s="66">
        <f t="shared" si="730"/>
        <v>42</v>
      </c>
      <c r="CE50" s="66">
        <f t="shared" si="730"/>
        <v>5</v>
      </c>
      <c r="CF50" s="66">
        <f t="shared" si="730"/>
        <v>36</v>
      </c>
      <c r="CG50" s="66">
        <f t="shared" si="730"/>
        <v>2</v>
      </c>
      <c r="CH50" s="66">
        <f t="shared" si="730"/>
        <v>28</v>
      </c>
      <c r="CI50" s="66">
        <f t="shared" si="730"/>
        <v>5</v>
      </c>
      <c r="CJ50" s="66">
        <f t="shared" si="730"/>
        <v>27</v>
      </c>
      <c r="CK50" s="66">
        <f t="shared" si="730"/>
        <v>6</v>
      </c>
      <c r="CL50" s="66">
        <f t="shared" si="730"/>
        <v>202</v>
      </c>
      <c r="CM50" s="66">
        <f t="shared" si="730"/>
        <v>35</v>
      </c>
      <c r="CN50" s="66">
        <f t="shared" si="730"/>
        <v>237</v>
      </c>
      <c r="CO50" s="66">
        <f t="shared" si="730"/>
        <v>2</v>
      </c>
      <c r="CP50" s="66">
        <f t="shared" si="730"/>
        <v>1</v>
      </c>
      <c r="CQ50" s="66">
        <f t="shared" si="730"/>
        <v>0</v>
      </c>
      <c r="CR50" s="66">
        <f t="shared" si="730"/>
        <v>3</v>
      </c>
      <c r="CS50" s="66">
        <f t="shared" si="730"/>
        <v>1</v>
      </c>
      <c r="CT50" s="66">
        <f t="shared" si="730"/>
        <v>0</v>
      </c>
      <c r="CU50" s="66">
        <f t="shared" si="730"/>
        <v>4</v>
      </c>
      <c r="CV50" s="66">
        <f t="shared" si="730"/>
        <v>1</v>
      </c>
      <c r="CW50" s="66">
        <f t="shared" si="730"/>
        <v>0</v>
      </c>
      <c r="CX50" s="66">
        <f t="shared" si="730"/>
        <v>9</v>
      </c>
      <c r="CY50" s="66">
        <f t="shared" si="730"/>
        <v>3</v>
      </c>
      <c r="CZ50" s="66">
        <f t="shared" si="730"/>
        <v>0</v>
      </c>
      <c r="DA50" s="66">
        <f t="shared" si="730"/>
        <v>12</v>
      </c>
      <c r="DB50" s="66">
        <f t="shared" si="730"/>
        <v>0</v>
      </c>
      <c r="DC50" s="66">
        <f t="shared" si="730"/>
        <v>0</v>
      </c>
      <c r="DD50" s="66">
        <f t="shared" si="730"/>
        <v>0</v>
      </c>
      <c r="DE50" s="66">
        <f t="shared" si="730"/>
        <v>0</v>
      </c>
      <c r="DF50" s="66">
        <f t="shared" si="730"/>
        <v>0</v>
      </c>
      <c r="DG50" s="66">
        <f t="shared" si="730"/>
        <v>0</v>
      </c>
      <c r="DH50" s="66">
        <f t="shared" si="730"/>
        <v>0</v>
      </c>
      <c r="DI50" s="66">
        <f t="shared" si="730"/>
        <v>0</v>
      </c>
      <c r="DJ50" s="66">
        <f t="shared" si="730"/>
        <v>0</v>
      </c>
      <c r="DK50" s="66">
        <f t="shared" si="730"/>
        <v>50</v>
      </c>
      <c r="DL50" s="66">
        <f t="shared" si="730"/>
        <v>0</v>
      </c>
      <c r="DM50" s="66">
        <f t="shared" si="730"/>
        <v>70</v>
      </c>
      <c r="DN50" s="66">
        <f t="shared" si="730"/>
        <v>0</v>
      </c>
      <c r="DO50" s="66">
        <f t="shared" ref="DO50:GD50" si="731">DO47+DO49</f>
        <v>42</v>
      </c>
      <c r="DP50" s="66">
        <f t="shared" si="731"/>
        <v>0</v>
      </c>
      <c r="DQ50" s="66">
        <f t="shared" si="731"/>
        <v>162</v>
      </c>
      <c r="DR50" s="66">
        <f t="shared" si="731"/>
        <v>0</v>
      </c>
      <c r="DS50" s="66">
        <f t="shared" si="731"/>
        <v>162</v>
      </c>
      <c r="DT50" s="66">
        <f t="shared" si="731"/>
        <v>16</v>
      </c>
      <c r="DU50" s="66">
        <f t="shared" si="731"/>
        <v>0</v>
      </c>
      <c r="DV50" s="66">
        <f t="shared" si="731"/>
        <v>48</v>
      </c>
      <c r="DW50" s="66">
        <f t="shared" si="731"/>
        <v>0</v>
      </c>
      <c r="DX50" s="66">
        <f t="shared" si="731"/>
        <v>41</v>
      </c>
      <c r="DY50" s="66">
        <f t="shared" si="731"/>
        <v>0</v>
      </c>
      <c r="DZ50" s="66">
        <f t="shared" si="731"/>
        <v>105</v>
      </c>
      <c r="EA50" s="66">
        <f t="shared" si="731"/>
        <v>0</v>
      </c>
      <c r="EB50" s="66">
        <f t="shared" si="731"/>
        <v>0</v>
      </c>
      <c r="EC50" s="66">
        <f t="shared" si="731"/>
        <v>0</v>
      </c>
      <c r="ED50" s="66">
        <f t="shared" si="731"/>
        <v>0</v>
      </c>
      <c r="EE50" s="66">
        <f t="shared" si="731"/>
        <v>0</v>
      </c>
      <c r="EF50" s="66">
        <f t="shared" si="731"/>
        <v>0</v>
      </c>
      <c r="EG50" s="66">
        <f t="shared" si="731"/>
        <v>0</v>
      </c>
      <c r="EH50" s="66">
        <f t="shared" si="731"/>
        <v>0</v>
      </c>
      <c r="EI50" s="66">
        <f t="shared" si="731"/>
        <v>0</v>
      </c>
      <c r="EJ50" s="66">
        <f t="shared" si="731"/>
        <v>0</v>
      </c>
      <c r="EK50" s="66">
        <f t="shared" si="731"/>
        <v>0</v>
      </c>
      <c r="EL50" s="66">
        <f t="shared" si="731"/>
        <v>0</v>
      </c>
      <c r="EM50" s="66">
        <f t="shared" si="731"/>
        <v>0</v>
      </c>
      <c r="EN50" s="66">
        <f t="shared" si="731"/>
        <v>0</v>
      </c>
      <c r="EO50" s="66">
        <f t="shared" si="731"/>
        <v>0</v>
      </c>
      <c r="EP50" s="66">
        <f t="shared" si="731"/>
        <v>0</v>
      </c>
      <c r="EQ50" s="66">
        <f t="shared" si="731"/>
        <v>0</v>
      </c>
      <c r="ER50" s="66">
        <f t="shared" si="731"/>
        <v>0</v>
      </c>
      <c r="ES50" s="66">
        <f t="shared" si="731"/>
        <v>0</v>
      </c>
      <c r="ET50" s="66">
        <f t="shared" si="731"/>
        <v>0</v>
      </c>
      <c r="EU50" s="66">
        <f t="shared" si="731"/>
        <v>2</v>
      </c>
      <c r="EV50" s="66">
        <f t="shared" si="731"/>
        <v>1</v>
      </c>
      <c r="EW50" s="66">
        <f t="shared" si="731"/>
        <v>1</v>
      </c>
      <c r="EX50" s="66">
        <f t="shared" si="731"/>
        <v>0</v>
      </c>
      <c r="EY50" s="66">
        <f t="shared" si="731"/>
        <v>10</v>
      </c>
      <c r="EZ50" s="66">
        <f t="shared" si="731"/>
        <v>5</v>
      </c>
      <c r="FA50" s="66">
        <f t="shared" si="731"/>
        <v>0</v>
      </c>
      <c r="FB50" s="66">
        <f t="shared" si="731"/>
        <v>0</v>
      </c>
      <c r="FC50" s="66">
        <f t="shared" si="731"/>
        <v>13</v>
      </c>
      <c r="FD50" s="66">
        <f t="shared" si="731"/>
        <v>6</v>
      </c>
      <c r="FE50" s="66">
        <f t="shared" si="731"/>
        <v>19</v>
      </c>
      <c r="FF50" s="66">
        <f t="shared" si="731"/>
        <v>0</v>
      </c>
      <c r="FG50" s="66">
        <f t="shared" ref="FG50:FV50" si="732">FG47+FG49</f>
        <v>0</v>
      </c>
      <c r="FH50" s="66">
        <f t="shared" si="732"/>
        <v>0</v>
      </c>
      <c r="FI50" s="66">
        <f t="shared" si="732"/>
        <v>0</v>
      </c>
      <c r="FJ50" s="66">
        <f t="shared" si="732"/>
        <v>0</v>
      </c>
      <c r="FK50" s="66">
        <f t="shared" si="732"/>
        <v>0</v>
      </c>
      <c r="FL50" s="66">
        <f t="shared" si="732"/>
        <v>0</v>
      </c>
      <c r="FM50" s="66">
        <f t="shared" si="732"/>
        <v>0</v>
      </c>
      <c r="FN50" s="66">
        <f t="shared" si="732"/>
        <v>1</v>
      </c>
      <c r="FO50" s="66">
        <f t="shared" si="732"/>
        <v>1</v>
      </c>
      <c r="FP50" s="66">
        <f t="shared" si="732"/>
        <v>0</v>
      </c>
      <c r="FQ50" s="66">
        <f t="shared" si="732"/>
        <v>0</v>
      </c>
      <c r="FR50" s="66">
        <f t="shared" si="732"/>
        <v>0</v>
      </c>
      <c r="FS50" s="66">
        <f t="shared" si="732"/>
        <v>1</v>
      </c>
      <c r="FT50" s="66">
        <f t="shared" si="732"/>
        <v>0</v>
      </c>
      <c r="FU50" s="66">
        <f t="shared" si="732"/>
        <v>2</v>
      </c>
      <c r="FV50" s="66">
        <f t="shared" si="732"/>
        <v>1</v>
      </c>
      <c r="FW50" s="66">
        <f t="shared" si="731"/>
        <v>3</v>
      </c>
      <c r="FX50" s="66">
        <f t="shared" si="731"/>
        <v>0</v>
      </c>
      <c r="FY50" s="66">
        <f t="shared" si="731"/>
        <v>0</v>
      </c>
      <c r="FZ50" s="66">
        <f t="shared" si="731"/>
        <v>0</v>
      </c>
      <c r="GA50" s="66">
        <f t="shared" si="731"/>
        <v>0</v>
      </c>
      <c r="GB50" s="66">
        <f t="shared" si="731"/>
        <v>6</v>
      </c>
      <c r="GC50" s="66">
        <f t="shared" si="731"/>
        <v>2</v>
      </c>
      <c r="GD50" s="66">
        <f t="shared" si="731"/>
        <v>0</v>
      </c>
      <c r="GE50" s="66">
        <f t="shared" ref="GE50:IM50" si="733">GE47+GE49</f>
        <v>0</v>
      </c>
      <c r="GF50" s="66">
        <f t="shared" si="733"/>
        <v>0</v>
      </c>
      <c r="GG50" s="66">
        <f t="shared" si="733"/>
        <v>0</v>
      </c>
      <c r="GH50" s="66">
        <f t="shared" si="733"/>
        <v>7</v>
      </c>
      <c r="GI50" s="66">
        <f t="shared" si="733"/>
        <v>4</v>
      </c>
      <c r="GJ50" s="66">
        <f t="shared" si="733"/>
        <v>0</v>
      </c>
      <c r="GK50" s="66">
        <f t="shared" si="733"/>
        <v>0</v>
      </c>
      <c r="GL50" s="66">
        <f t="shared" si="733"/>
        <v>0</v>
      </c>
      <c r="GM50" s="66">
        <f t="shared" si="733"/>
        <v>0</v>
      </c>
      <c r="GN50" s="66">
        <f>GN47+GN49</f>
        <v>13</v>
      </c>
      <c r="GO50" s="66">
        <f t="shared" si="733"/>
        <v>6</v>
      </c>
      <c r="GP50" s="66">
        <f t="shared" si="733"/>
        <v>19</v>
      </c>
      <c r="GQ50" s="66">
        <f t="shared" si="733"/>
        <v>13</v>
      </c>
      <c r="GR50" s="66">
        <f t="shared" si="733"/>
        <v>6</v>
      </c>
      <c r="GS50" s="66">
        <f t="shared" si="733"/>
        <v>0</v>
      </c>
      <c r="GT50" s="66">
        <f t="shared" si="733"/>
        <v>0</v>
      </c>
      <c r="GU50" s="66">
        <f t="shared" si="733"/>
        <v>0</v>
      </c>
      <c r="GV50" s="66">
        <f t="shared" si="733"/>
        <v>0</v>
      </c>
      <c r="GW50" s="66">
        <f t="shared" si="733"/>
        <v>13</v>
      </c>
      <c r="GX50" s="66">
        <f t="shared" si="733"/>
        <v>6</v>
      </c>
      <c r="GY50" s="66">
        <f t="shared" si="733"/>
        <v>19</v>
      </c>
      <c r="GZ50" s="66">
        <f t="shared" si="733"/>
        <v>12</v>
      </c>
      <c r="HA50" s="66">
        <f t="shared" si="733"/>
        <v>6</v>
      </c>
      <c r="HB50" s="66">
        <f t="shared" si="733"/>
        <v>0</v>
      </c>
      <c r="HC50" s="66">
        <f t="shared" si="733"/>
        <v>0</v>
      </c>
      <c r="HD50" s="66">
        <f t="shared" si="733"/>
        <v>0</v>
      </c>
      <c r="HE50" s="66">
        <f t="shared" si="733"/>
        <v>0</v>
      </c>
      <c r="HF50" s="66">
        <f t="shared" si="733"/>
        <v>0</v>
      </c>
      <c r="HG50" s="66">
        <f t="shared" si="733"/>
        <v>0</v>
      </c>
      <c r="HH50" s="66">
        <f t="shared" si="733"/>
        <v>0</v>
      </c>
      <c r="HI50" s="66">
        <f t="shared" si="733"/>
        <v>0</v>
      </c>
      <c r="HJ50" s="66">
        <f t="shared" si="733"/>
        <v>0</v>
      </c>
      <c r="HK50" s="66">
        <f t="shared" si="733"/>
        <v>0</v>
      </c>
      <c r="HL50" s="66">
        <f t="shared" si="733"/>
        <v>0</v>
      </c>
      <c r="HM50" s="66">
        <f t="shared" si="733"/>
        <v>0</v>
      </c>
      <c r="HN50" s="66">
        <f t="shared" si="733"/>
        <v>0</v>
      </c>
      <c r="HO50" s="66">
        <f t="shared" si="733"/>
        <v>1</v>
      </c>
      <c r="HP50" s="66">
        <f t="shared" si="733"/>
        <v>0</v>
      </c>
      <c r="HQ50" s="66">
        <f t="shared" si="733"/>
        <v>13</v>
      </c>
      <c r="HR50" s="66">
        <f t="shared" si="733"/>
        <v>6</v>
      </c>
      <c r="HS50" s="66">
        <f t="shared" si="733"/>
        <v>19</v>
      </c>
      <c r="HT50" s="66">
        <f t="shared" si="733"/>
        <v>0</v>
      </c>
      <c r="HU50" s="66">
        <f t="shared" si="733"/>
        <v>1</v>
      </c>
      <c r="HV50" s="66">
        <f t="shared" si="733"/>
        <v>13</v>
      </c>
      <c r="HW50" s="66">
        <f t="shared" si="733"/>
        <v>5</v>
      </c>
      <c r="HX50" s="66">
        <f t="shared" si="733"/>
        <v>0</v>
      </c>
      <c r="HY50" s="66">
        <f t="shared" si="733"/>
        <v>0</v>
      </c>
      <c r="HZ50" s="66">
        <f t="shared" si="733"/>
        <v>0</v>
      </c>
      <c r="IA50" s="66">
        <f t="shared" si="733"/>
        <v>0</v>
      </c>
      <c r="IB50" s="66">
        <f t="shared" si="733"/>
        <v>13</v>
      </c>
      <c r="IC50" s="66">
        <f t="shared" si="733"/>
        <v>6</v>
      </c>
      <c r="ID50" s="66">
        <f t="shared" si="733"/>
        <v>19</v>
      </c>
      <c r="IE50" s="66">
        <f t="shared" si="733"/>
        <v>0</v>
      </c>
      <c r="IF50" s="66">
        <f t="shared" si="733"/>
        <v>1</v>
      </c>
      <c r="IG50" s="66">
        <f t="shared" si="733"/>
        <v>0</v>
      </c>
      <c r="IH50" s="66">
        <f t="shared" si="733"/>
        <v>0</v>
      </c>
      <c r="II50" s="66">
        <f t="shared" si="733"/>
        <v>0</v>
      </c>
      <c r="IJ50" s="66">
        <f t="shared" si="733"/>
        <v>0</v>
      </c>
      <c r="IK50" s="66">
        <f t="shared" si="733"/>
        <v>0</v>
      </c>
      <c r="IL50" s="66">
        <f t="shared" si="733"/>
        <v>0</v>
      </c>
      <c r="IM50" s="66">
        <f t="shared" si="733"/>
        <v>0</v>
      </c>
      <c r="IN50" s="66">
        <f t="shared" ref="IN50:IV50" si="734">IN47+IN49</f>
        <v>0</v>
      </c>
      <c r="IO50" s="66">
        <f t="shared" si="734"/>
        <v>0</v>
      </c>
      <c r="IP50" s="66">
        <f t="shared" si="734"/>
        <v>0</v>
      </c>
      <c r="IQ50" s="66">
        <f t="shared" si="734"/>
        <v>140</v>
      </c>
      <c r="IR50" s="66">
        <f t="shared" si="734"/>
        <v>0</v>
      </c>
      <c r="IS50" s="66">
        <f t="shared" si="734"/>
        <v>10</v>
      </c>
      <c r="IT50" s="66">
        <f t="shared" si="734"/>
        <v>1</v>
      </c>
      <c r="IU50" s="66">
        <f t="shared" si="734"/>
        <v>0</v>
      </c>
      <c r="IV50" s="66">
        <f t="shared" si="734"/>
        <v>0</v>
      </c>
      <c r="IW50" s="66">
        <f t="shared" ref="IW50:IX50" si="735">IW47+IW49</f>
        <v>0</v>
      </c>
      <c r="IX50" s="66">
        <f t="shared" si="735"/>
        <v>3</v>
      </c>
      <c r="IY50" s="66"/>
      <c r="IZ50" s="86"/>
      <c r="JA50" s="66"/>
    </row>
    <row r="51" spans="1:261" s="90" customFormat="1" ht="35.25" customHeight="1" x14ac:dyDescent="0.2">
      <c r="A51" s="166" t="s">
        <v>159</v>
      </c>
      <c r="B51" s="167"/>
      <c r="C51" s="167"/>
      <c r="D51" s="167"/>
      <c r="E51" s="168"/>
      <c r="F51" s="87">
        <f t="shared" ref="F51:R51" si="736">F27+F38+F50+F44</f>
        <v>0</v>
      </c>
      <c r="G51" s="87">
        <f t="shared" si="736"/>
        <v>30</v>
      </c>
      <c r="H51" s="87">
        <f t="shared" si="736"/>
        <v>15</v>
      </c>
      <c r="I51" s="87">
        <f t="shared" si="736"/>
        <v>15</v>
      </c>
      <c r="J51" s="87">
        <f t="shared" si="736"/>
        <v>0</v>
      </c>
      <c r="K51" s="87">
        <f t="shared" si="736"/>
        <v>28</v>
      </c>
      <c r="L51" s="87">
        <f t="shared" si="736"/>
        <v>2</v>
      </c>
      <c r="M51" s="87">
        <f t="shared" si="736"/>
        <v>0</v>
      </c>
      <c r="N51" s="87">
        <f t="shared" si="736"/>
        <v>30</v>
      </c>
      <c r="O51" s="87">
        <f t="shared" si="736"/>
        <v>0</v>
      </c>
      <c r="P51" s="87">
        <f t="shared" si="736"/>
        <v>0</v>
      </c>
      <c r="Q51" s="87">
        <f t="shared" si="736"/>
        <v>0</v>
      </c>
      <c r="R51" s="87">
        <f t="shared" si="736"/>
        <v>30</v>
      </c>
      <c r="S51" s="87"/>
      <c r="T51" s="87">
        <f t="shared" ref="T51:CE51" si="737">T27+T38+T50+T44</f>
        <v>0</v>
      </c>
      <c r="U51" s="87">
        <f t="shared" si="737"/>
        <v>0</v>
      </c>
      <c r="V51" s="87">
        <f t="shared" si="737"/>
        <v>30</v>
      </c>
      <c r="W51" s="87">
        <f t="shared" si="737"/>
        <v>0</v>
      </c>
      <c r="X51" s="87">
        <f t="shared" si="737"/>
        <v>3</v>
      </c>
      <c r="Y51" s="87">
        <f t="shared" si="737"/>
        <v>94</v>
      </c>
      <c r="Z51" s="87">
        <f t="shared" si="737"/>
        <v>73</v>
      </c>
      <c r="AA51" s="87">
        <f t="shared" si="737"/>
        <v>129</v>
      </c>
      <c r="AB51" s="87">
        <f t="shared" si="737"/>
        <v>45</v>
      </c>
      <c r="AC51" s="87">
        <f t="shared" si="737"/>
        <v>135</v>
      </c>
      <c r="AD51" s="87">
        <f t="shared" si="737"/>
        <v>54</v>
      </c>
      <c r="AE51" s="87">
        <f t="shared" si="737"/>
        <v>107</v>
      </c>
      <c r="AF51" s="87">
        <f t="shared" si="737"/>
        <v>36</v>
      </c>
      <c r="AG51" s="87">
        <f t="shared" si="737"/>
        <v>57</v>
      </c>
      <c r="AH51" s="87">
        <f t="shared" si="737"/>
        <v>24</v>
      </c>
      <c r="AI51" s="87">
        <f t="shared" si="737"/>
        <v>30</v>
      </c>
      <c r="AJ51" s="87">
        <f t="shared" si="737"/>
        <v>30</v>
      </c>
      <c r="AK51" s="87">
        <f t="shared" si="737"/>
        <v>14</v>
      </c>
      <c r="AL51" s="87">
        <f t="shared" si="737"/>
        <v>23</v>
      </c>
      <c r="AM51" s="87">
        <f t="shared" si="737"/>
        <v>566</v>
      </c>
      <c r="AN51" s="87">
        <f t="shared" si="737"/>
        <v>285</v>
      </c>
      <c r="AO51" s="87">
        <f t="shared" si="737"/>
        <v>851</v>
      </c>
      <c r="AP51" s="87">
        <f t="shared" si="737"/>
        <v>19</v>
      </c>
      <c r="AQ51" s="87">
        <f t="shared" si="737"/>
        <v>36</v>
      </c>
      <c r="AR51" s="87">
        <f t="shared" si="737"/>
        <v>71</v>
      </c>
      <c r="AS51" s="87">
        <f t="shared" si="737"/>
        <v>46</v>
      </c>
      <c r="AT51" s="87">
        <f t="shared" si="737"/>
        <v>107</v>
      </c>
      <c r="AU51" s="87">
        <f t="shared" si="737"/>
        <v>67</v>
      </c>
      <c r="AV51" s="87">
        <f t="shared" si="737"/>
        <v>148</v>
      </c>
      <c r="AW51" s="87">
        <f t="shared" si="737"/>
        <v>59</v>
      </c>
      <c r="AX51" s="87">
        <f t="shared" si="737"/>
        <v>99</v>
      </c>
      <c r="AY51" s="87">
        <f t="shared" si="737"/>
        <v>70</v>
      </c>
      <c r="AZ51" s="87">
        <f t="shared" si="737"/>
        <v>64</v>
      </c>
      <c r="BA51" s="87">
        <f t="shared" si="737"/>
        <v>51</v>
      </c>
      <c r="BB51" s="87">
        <f t="shared" si="737"/>
        <v>53</v>
      </c>
      <c r="BC51" s="87">
        <f t="shared" si="737"/>
        <v>42</v>
      </c>
      <c r="BD51" s="87">
        <f t="shared" si="737"/>
        <v>561</v>
      </c>
      <c r="BE51" s="87">
        <f t="shared" si="737"/>
        <v>371</v>
      </c>
      <c r="BF51" s="87">
        <f t="shared" si="737"/>
        <v>932</v>
      </c>
      <c r="BG51" s="87">
        <f t="shared" si="737"/>
        <v>24</v>
      </c>
      <c r="BH51" s="87">
        <f t="shared" si="737"/>
        <v>22</v>
      </c>
      <c r="BI51" s="87">
        <f t="shared" si="737"/>
        <v>53</v>
      </c>
      <c r="BJ51" s="87">
        <f t="shared" si="737"/>
        <v>27</v>
      </c>
      <c r="BK51" s="87">
        <f t="shared" si="737"/>
        <v>114</v>
      </c>
      <c r="BL51" s="87">
        <f t="shared" si="737"/>
        <v>70</v>
      </c>
      <c r="BM51" s="87">
        <f t="shared" si="737"/>
        <v>167</v>
      </c>
      <c r="BN51" s="87">
        <f t="shared" si="737"/>
        <v>77</v>
      </c>
      <c r="BO51" s="87">
        <f t="shared" si="737"/>
        <v>239</v>
      </c>
      <c r="BP51" s="87">
        <f t="shared" si="737"/>
        <v>103</v>
      </c>
      <c r="BQ51" s="87">
        <f t="shared" si="737"/>
        <v>144</v>
      </c>
      <c r="BR51" s="87">
        <f t="shared" si="737"/>
        <v>72</v>
      </c>
      <c r="BS51" s="87">
        <f t="shared" si="737"/>
        <v>126</v>
      </c>
      <c r="BT51" s="87">
        <f t="shared" si="737"/>
        <v>89</v>
      </c>
      <c r="BU51" s="87">
        <f t="shared" si="737"/>
        <v>867</v>
      </c>
      <c r="BV51" s="87">
        <f t="shared" si="737"/>
        <v>460</v>
      </c>
      <c r="BW51" s="87">
        <f t="shared" si="737"/>
        <v>1327</v>
      </c>
      <c r="BX51" s="87">
        <f t="shared" si="737"/>
        <v>137</v>
      </c>
      <c r="BY51" s="87">
        <f t="shared" si="737"/>
        <v>131</v>
      </c>
      <c r="BZ51" s="87">
        <f t="shared" si="737"/>
        <v>253</v>
      </c>
      <c r="CA51" s="87">
        <f t="shared" si="737"/>
        <v>118</v>
      </c>
      <c r="CB51" s="87">
        <f t="shared" si="737"/>
        <v>356</v>
      </c>
      <c r="CC51" s="87">
        <f t="shared" si="737"/>
        <v>191</v>
      </c>
      <c r="CD51" s="87">
        <f t="shared" si="737"/>
        <v>422</v>
      </c>
      <c r="CE51" s="87">
        <f t="shared" si="737"/>
        <v>172</v>
      </c>
      <c r="CF51" s="87">
        <f t="shared" ref="CF51:EQ51" si="738">CF27+CF38+CF50+CF44</f>
        <v>395</v>
      </c>
      <c r="CG51" s="87">
        <f t="shared" si="738"/>
        <v>197</v>
      </c>
      <c r="CH51" s="87">
        <f t="shared" si="738"/>
        <v>238</v>
      </c>
      <c r="CI51" s="87">
        <f t="shared" si="738"/>
        <v>153</v>
      </c>
      <c r="CJ51" s="87">
        <f t="shared" si="738"/>
        <v>193</v>
      </c>
      <c r="CK51" s="87">
        <f t="shared" si="738"/>
        <v>154</v>
      </c>
      <c r="CL51" s="87">
        <f t="shared" si="738"/>
        <v>1994</v>
      </c>
      <c r="CM51" s="87">
        <f t="shared" si="738"/>
        <v>1116</v>
      </c>
      <c r="CN51" s="87">
        <f t="shared" si="738"/>
        <v>3110</v>
      </c>
      <c r="CO51" s="87">
        <f t="shared" si="738"/>
        <v>24</v>
      </c>
      <c r="CP51" s="87">
        <f t="shared" si="738"/>
        <v>17</v>
      </c>
      <c r="CQ51" s="87">
        <f t="shared" si="738"/>
        <v>0</v>
      </c>
      <c r="CR51" s="87">
        <f t="shared" si="738"/>
        <v>23</v>
      </c>
      <c r="CS51" s="87">
        <f t="shared" si="738"/>
        <v>18</v>
      </c>
      <c r="CT51" s="87">
        <f t="shared" si="738"/>
        <v>0</v>
      </c>
      <c r="CU51" s="87">
        <f t="shared" si="738"/>
        <v>31</v>
      </c>
      <c r="CV51" s="87">
        <f t="shared" si="738"/>
        <v>20</v>
      </c>
      <c r="CW51" s="87">
        <f t="shared" si="738"/>
        <v>0</v>
      </c>
      <c r="CX51" s="87">
        <f t="shared" si="738"/>
        <v>78</v>
      </c>
      <c r="CY51" s="87">
        <f t="shared" si="738"/>
        <v>55</v>
      </c>
      <c r="CZ51" s="87">
        <f t="shared" si="738"/>
        <v>0</v>
      </c>
      <c r="DA51" s="87">
        <f t="shared" si="738"/>
        <v>133</v>
      </c>
      <c r="DB51" s="87">
        <f t="shared" si="738"/>
        <v>41</v>
      </c>
      <c r="DC51" s="87">
        <f t="shared" si="738"/>
        <v>35</v>
      </c>
      <c r="DD51" s="87">
        <f t="shared" si="738"/>
        <v>27</v>
      </c>
      <c r="DE51" s="87">
        <f t="shared" si="738"/>
        <v>39</v>
      </c>
      <c r="DF51" s="87">
        <f t="shared" si="738"/>
        <v>53</v>
      </c>
      <c r="DG51" s="87">
        <f t="shared" si="738"/>
        <v>64</v>
      </c>
      <c r="DH51" s="87">
        <f t="shared" si="738"/>
        <v>121</v>
      </c>
      <c r="DI51" s="87">
        <f t="shared" si="738"/>
        <v>138</v>
      </c>
      <c r="DJ51" s="87">
        <f t="shared" si="738"/>
        <v>259</v>
      </c>
      <c r="DK51" s="87">
        <f t="shared" si="738"/>
        <v>296</v>
      </c>
      <c r="DL51" s="87">
        <f t="shared" si="738"/>
        <v>139</v>
      </c>
      <c r="DM51" s="87">
        <f t="shared" si="738"/>
        <v>296</v>
      </c>
      <c r="DN51" s="87">
        <f t="shared" si="738"/>
        <v>199</v>
      </c>
      <c r="DO51" s="87">
        <f t="shared" si="738"/>
        <v>417</v>
      </c>
      <c r="DP51" s="87">
        <f t="shared" si="738"/>
        <v>356</v>
      </c>
      <c r="DQ51" s="87">
        <f t="shared" si="738"/>
        <v>1009</v>
      </c>
      <c r="DR51" s="87">
        <f t="shared" si="738"/>
        <v>694</v>
      </c>
      <c r="DS51" s="87">
        <f t="shared" si="738"/>
        <v>1703</v>
      </c>
      <c r="DT51" s="87">
        <f t="shared" si="738"/>
        <v>147</v>
      </c>
      <c r="DU51" s="87">
        <f t="shared" si="738"/>
        <v>136</v>
      </c>
      <c r="DV51" s="87">
        <f t="shared" si="738"/>
        <v>156</v>
      </c>
      <c r="DW51" s="87">
        <f t="shared" si="738"/>
        <v>132</v>
      </c>
      <c r="DX51" s="87">
        <f t="shared" si="738"/>
        <v>287</v>
      </c>
      <c r="DY51" s="87">
        <f t="shared" si="738"/>
        <v>210</v>
      </c>
      <c r="DZ51" s="87">
        <f t="shared" si="738"/>
        <v>590</v>
      </c>
      <c r="EA51" s="87">
        <f t="shared" si="738"/>
        <v>478</v>
      </c>
      <c r="EB51" s="87">
        <f t="shared" si="738"/>
        <v>888</v>
      </c>
      <c r="EC51" s="87">
        <f t="shared" si="738"/>
        <v>32</v>
      </c>
      <c r="ED51" s="87">
        <f t="shared" si="738"/>
        <v>1</v>
      </c>
      <c r="EE51" s="87">
        <f t="shared" si="738"/>
        <v>9</v>
      </c>
      <c r="EF51" s="87">
        <f t="shared" si="738"/>
        <v>9</v>
      </c>
      <c r="EG51" s="87">
        <f t="shared" si="738"/>
        <v>18</v>
      </c>
      <c r="EH51" s="87">
        <f t="shared" si="738"/>
        <v>42</v>
      </c>
      <c r="EI51" s="87">
        <f t="shared" si="738"/>
        <v>59</v>
      </c>
      <c r="EJ51" s="87">
        <f t="shared" si="738"/>
        <v>52</v>
      </c>
      <c r="EK51" s="87">
        <f t="shared" si="738"/>
        <v>111</v>
      </c>
      <c r="EL51" s="87">
        <f t="shared" si="738"/>
        <v>0</v>
      </c>
      <c r="EM51" s="87">
        <f t="shared" si="738"/>
        <v>0</v>
      </c>
      <c r="EN51" s="87">
        <f t="shared" si="738"/>
        <v>0</v>
      </c>
      <c r="EO51" s="87">
        <f t="shared" si="738"/>
        <v>0</v>
      </c>
      <c r="EP51" s="87">
        <f t="shared" si="738"/>
        <v>0</v>
      </c>
      <c r="EQ51" s="87">
        <f t="shared" si="738"/>
        <v>3</v>
      </c>
      <c r="ER51" s="87">
        <f t="shared" ref="ER51:HC51" si="739">ER27+ER38+ER50+ER44</f>
        <v>0</v>
      </c>
      <c r="ES51" s="87">
        <f t="shared" si="739"/>
        <v>3</v>
      </c>
      <c r="ET51" s="87">
        <f t="shared" si="739"/>
        <v>3</v>
      </c>
      <c r="EU51" s="87">
        <f t="shared" si="739"/>
        <v>15</v>
      </c>
      <c r="EV51" s="87">
        <f t="shared" si="739"/>
        <v>15</v>
      </c>
      <c r="EW51" s="87">
        <f t="shared" si="739"/>
        <v>6</v>
      </c>
      <c r="EX51" s="87">
        <f t="shared" si="739"/>
        <v>4</v>
      </c>
      <c r="EY51" s="87">
        <f t="shared" si="739"/>
        <v>64</v>
      </c>
      <c r="EZ51" s="87">
        <f t="shared" si="739"/>
        <v>55</v>
      </c>
      <c r="FA51" s="87">
        <f t="shared" si="739"/>
        <v>0</v>
      </c>
      <c r="FB51" s="87">
        <f t="shared" si="739"/>
        <v>1</v>
      </c>
      <c r="FC51" s="87">
        <f t="shared" si="739"/>
        <v>85</v>
      </c>
      <c r="FD51" s="87">
        <f t="shared" si="739"/>
        <v>75</v>
      </c>
      <c r="FE51" s="87">
        <f t="shared" si="739"/>
        <v>160</v>
      </c>
      <c r="FF51" s="87">
        <f t="shared" si="739"/>
        <v>0</v>
      </c>
      <c r="FG51" s="87">
        <f t="shared" si="739"/>
        <v>0</v>
      </c>
      <c r="FH51" s="87">
        <f t="shared" si="739"/>
        <v>0</v>
      </c>
      <c r="FI51" s="87">
        <f t="shared" si="739"/>
        <v>0</v>
      </c>
      <c r="FJ51" s="87">
        <f t="shared" si="739"/>
        <v>0</v>
      </c>
      <c r="FK51" s="87">
        <f t="shared" si="739"/>
        <v>0</v>
      </c>
      <c r="FL51" s="87">
        <f t="shared" si="739"/>
        <v>0</v>
      </c>
      <c r="FM51" s="87">
        <f t="shared" si="739"/>
        <v>0</v>
      </c>
      <c r="FN51" s="87">
        <f t="shared" si="739"/>
        <v>14</v>
      </c>
      <c r="FO51" s="87">
        <f t="shared" si="739"/>
        <v>9</v>
      </c>
      <c r="FP51" s="87">
        <f t="shared" si="739"/>
        <v>0</v>
      </c>
      <c r="FQ51" s="87">
        <f t="shared" si="739"/>
        <v>0</v>
      </c>
      <c r="FR51" s="87">
        <f t="shared" si="739"/>
        <v>0</v>
      </c>
      <c r="FS51" s="87">
        <f t="shared" si="739"/>
        <v>1</v>
      </c>
      <c r="FT51" s="87">
        <f t="shared" si="739"/>
        <v>0</v>
      </c>
      <c r="FU51" s="87">
        <f t="shared" si="739"/>
        <v>15</v>
      </c>
      <c r="FV51" s="87">
        <f t="shared" si="739"/>
        <v>9</v>
      </c>
      <c r="FW51" s="87">
        <f t="shared" si="739"/>
        <v>24</v>
      </c>
      <c r="FX51" s="87">
        <f t="shared" si="739"/>
        <v>0</v>
      </c>
      <c r="FY51" s="87">
        <f t="shared" si="739"/>
        <v>1</v>
      </c>
      <c r="FZ51" s="87">
        <f t="shared" si="739"/>
        <v>0</v>
      </c>
      <c r="GA51" s="87">
        <f t="shared" si="739"/>
        <v>0</v>
      </c>
      <c r="GB51" s="87">
        <f t="shared" si="739"/>
        <v>38</v>
      </c>
      <c r="GC51" s="87">
        <f t="shared" si="739"/>
        <v>28</v>
      </c>
      <c r="GD51" s="87">
        <f t="shared" si="739"/>
        <v>0</v>
      </c>
      <c r="GE51" s="87">
        <f t="shared" si="739"/>
        <v>0</v>
      </c>
      <c r="GF51" s="87">
        <f t="shared" si="739"/>
        <v>0</v>
      </c>
      <c r="GG51" s="87">
        <f t="shared" si="739"/>
        <v>2</v>
      </c>
      <c r="GH51" s="87">
        <f t="shared" si="739"/>
        <v>40</v>
      </c>
      <c r="GI51" s="87">
        <f t="shared" si="739"/>
        <v>37</v>
      </c>
      <c r="GJ51" s="87">
        <f t="shared" si="739"/>
        <v>6</v>
      </c>
      <c r="GK51" s="87">
        <f t="shared" si="739"/>
        <v>5</v>
      </c>
      <c r="GL51" s="87">
        <f t="shared" si="739"/>
        <v>1</v>
      </c>
      <c r="GM51" s="87">
        <f t="shared" si="739"/>
        <v>2</v>
      </c>
      <c r="GN51" s="87">
        <f t="shared" si="739"/>
        <v>85</v>
      </c>
      <c r="GO51" s="87">
        <f t="shared" si="739"/>
        <v>75</v>
      </c>
      <c r="GP51" s="87">
        <f t="shared" si="739"/>
        <v>160</v>
      </c>
      <c r="GQ51" s="87">
        <f t="shared" si="739"/>
        <v>85</v>
      </c>
      <c r="GR51" s="87">
        <f t="shared" si="739"/>
        <v>75</v>
      </c>
      <c r="GS51" s="87">
        <f t="shared" si="739"/>
        <v>0</v>
      </c>
      <c r="GT51" s="87">
        <f t="shared" si="739"/>
        <v>0</v>
      </c>
      <c r="GU51" s="87">
        <f t="shared" si="739"/>
        <v>0</v>
      </c>
      <c r="GV51" s="87">
        <f t="shared" si="739"/>
        <v>0</v>
      </c>
      <c r="GW51" s="87">
        <f t="shared" si="739"/>
        <v>85</v>
      </c>
      <c r="GX51" s="87">
        <f t="shared" si="739"/>
        <v>75</v>
      </c>
      <c r="GY51" s="87">
        <f t="shared" si="739"/>
        <v>160</v>
      </c>
      <c r="GZ51" s="87">
        <f t="shared" si="739"/>
        <v>74</v>
      </c>
      <c r="HA51" s="87">
        <f t="shared" si="739"/>
        <v>70</v>
      </c>
      <c r="HB51" s="87">
        <f t="shared" si="739"/>
        <v>0</v>
      </c>
      <c r="HC51" s="87">
        <f t="shared" si="739"/>
        <v>0</v>
      </c>
      <c r="HD51" s="87">
        <f t="shared" ref="HD51:IX51" si="740">HD27+HD38+HD50+HD44</f>
        <v>0</v>
      </c>
      <c r="HE51" s="87">
        <f t="shared" si="740"/>
        <v>0</v>
      </c>
      <c r="HF51" s="87">
        <f t="shared" si="740"/>
        <v>0</v>
      </c>
      <c r="HG51" s="87">
        <f t="shared" si="740"/>
        <v>0</v>
      </c>
      <c r="HH51" s="87">
        <f t="shared" si="740"/>
        <v>2</v>
      </c>
      <c r="HI51" s="87">
        <f t="shared" si="740"/>
        <v>0</v>
      </c>
      <c r="HJ51" s="87">
        <f t="shared" si="740"/>
        <v>1</v>
      </c>
      <c r="HK51" s="87">
        <f t="shared" si="740"/>
        <v>2</v>
      </c>
      <c r="HL51" s="87">
        <f t="shared" si="740"/>
        <v>1</v>
      </c>
      <c r="HM51" s="87">
        <f t="shared" si="740"/>
        <v>0</v>
      </c>
      <c r="HN51" s="87">
        <f t="shared" si="740"/>
        <v>0</v>
      </c>
      <c r="HO51" s="87">
        <f t="shared" si="740"/>
        <v>8</v>
      </c>
      <c r="HP51" s="87">
        <f t="shared" si="740"/>
        <v>2</v>
      </c>
      <c r="HQ51" s="87">
        <f t="shared" si="740"/>
        <v>85</v>
      </c>
      <c r="HR51" s="87">
        <f t="shared" si="740"/>
        <v>74</v>
      </c>
      <c r="HS51" s="87">
        <f t="shared" si="740"/>
        <v>159</v>
      </c>
      <c r="HT51" s="87">
        <f t="shared" si="740"/>
        <v>3</v>
      </c>
      <c r="HU51" s="87">
        <f t="shared" si="740"/>
        <v>8</v>
      </c>
      <c r="HV51" s="87">
        <f t="shared" si="740"/>
        <v>82</v>
      </c>
      <c r="HW51" s="87">
        <f t="shared" si="740"/>
        <v>62</v>
      </c>
      <c r="HX51" s="87">
        <f t="shared" si="740"/>
        <v>0</v>
      </c>
      <c r="HY51" s="87">
        <f t="shared" si="740"/>
        <v>2</v>
      </c>
      <c r="HZ51" s="87">
        <f t="shared" si="740"/>
        <v>0</v>
      </c>
      <c r="IA51" s="87">
        <f t="shared" si="740"/>
        <v>3</v>
      </c>
      <c r="IB51" s="87">
        <f t="shared" si="740"/>
        <v>85</v>
      </c>
      <c r="IC51" s="87">
        <f t="shared" si="740"/>
        <v>75</v>
      </c>
      <c r="ID51" s="87">
        <f t="shared" si="740"/>
        <v>160</v>
      </c>
      <c r="IE51" s="87">
        <f t="shared" si="740"/>
        <v>16</v>
      </c>
      <c r="IF51" s="87">
        <f t="shared" si="740"/>
        <v>12</v>
      </c>
      <c r="IG51" s="87">
        <f t="shared" si="740"/>
        <v>3</v>
      </c>
      <c r="IH51" s="87">
        <f t="shared" si="740"/>
        <v>22</v>
      </c>
      <c r="II51" s="87">
        <f t="shared" si="740"/>
        <v>0</v>
      </c>
      <c r="IJ51" s="87">
        <f t="shared" si="740"/>
        <v>25</v>
      </c>
      <c r="IK51" s="87">
        <f t="shared" si="740"/>
        <v>0</v>
      </c>
      <c r="IL51" s="87">
        <f t="shared" si="740"/>
        <v>25</v>
      </c>
      <c r="IM51" s="87">
        <f t="shared" si="740"/>
        <v>0</v>
      </c>
      <c r="IN51" s="87">
        <f t="shared" si="740"/>
        <v>0</v>
      </c>
      <c r="IO51" s="87">
        <f t="shared" si="740"/>
        <v>0</v>
      </c>
      <c r="IP51" s="87">
        <f t="shared" si="740"/>
        <v>0</v>
      </c>
      <c r="IQ51" s="87">
        <f t="shared" si="740"/>
        <v>803</v>
      </c>
      <c r="IR51" s="87">
        <f t="shared" si="740"/>
        <v>10</v>
      </c>
      <c r="IS51" s="87">
        <f t="shared" si="740"/>
        <v>114</v>
      </c>
      <c r="IT51" s="87">
        <f t="shared" si="740"/>
        <v>19</v>
      </c>
      <c r="IU51" s="87">
        <f t="shared" si="740"/>
        <v>27</v>
      </c>
      <c r="IV51" s="87">
        <f t="shared" si="740"/>
        <v>2</v>
      </c>
      <c r="IW51" s="87">
        <f t="shared" si="740"/>
        <v>3</v>
      </c>
      <c r="IX51" s="87">
        <f t="shared" si="740"/>
        <v>26</v>
      </c>
      <c r="IY51" s="87"/>
      <c r="IZ51" s="87"/>
      <c r="JA51" s="87"/>
    </row>
    <row r="52" spans="1:261" s="70" customFormat="1" ht="24.75" customHeight="1" x14ac:dyDescent="0.3">
      <c r="IA52" s="70">
        <f>SUM(IT46)</f>
        <v>0</v>
      </c>
      <c r="IZ52" s="88"/>
    </row>
    <row r="53" spans="1:261" s="70" customFormat="1" ht="24.75" customHeight="1" x14ac:dyDescent="0.3">
      <c r="IZ53" s="88"/>
    </row>
    <row r="54" spans="1:261" s="70" customFormat="1" ht="24.75" customHeight="1" x14ac:dyDescent="0.3">
      <c r="IZ54" s="88"/>
    </row>
    <row r="55" spans="1:261" s="70" customFormat="1" ht="24.75" customHeight="1" x14ac:dyDescent="0.3">
      <c r="IZ55" s="88"/>
    </row>
    <row r="56" spans="1:261" s="70" customFormat="1" ht="24.75" customHeight="1" x14ac:dyDescent="0.3">
      <c r="IZ56" s="88"/>
    </row>
    <row r="57" spans="1:261" s="70" customFormat="1" ht="24.75" customHeight="1" x14ac:dyDescent="0.3">
      <c r="IZ57" s="88"/>
    </row>
    <row r="58" spans="1:261" s="70" customFormat="1" ht="24.75" customHeight="1" x14ac:dyDescent="0.3">
      <c r="IZ58" s="88"/>
    </row>
    <row r="59" spans="1:261" s="70" customFormat="1" ht="24.75" customHeight="1" x14ac:dyDescent="0.3">
      <c r="IZ59" s="88"/>
    </row>
    <row r="60" spans="1:261" s="70" customFormat="1" ht="24.75" customHeight="1" x14ac:dyDescent="0.3">
      <c r="IZ60" s="88"/>
    </row>
    <row r="61" spans="1:261" s="70" customFormat="1" ht="24.75" customHeight="1" x14ac:dyDescent="0.3">
      <c r="IZ61" s="88"/>
    </row>
    <row r="62" spans="1:261" s="70" customFormat="1" ht="24.75" customHeight="1" x14ac:dyDescent="0.3">
      <c r="IZ62" s="88"/>
    </row>
    <row r="63" spans="1:261" s="70" customFormat="1" ht="24.75" customHeight="1" x14ac:dyDescent="0.3">
      <c r="IZ63" s="88"/>
    </row>
    <row r="64" spans="1:261" s="70" customFormat="1" ht="24.75" customHeight="1" x14ac:dyDescent="0.3">
      <c r="IZ64" s="88"/>
    </row>
    <row r="65" spans="260:260" s="70" customFormat="1" ht="24.75" customHeight="1" x14ac:dyDescent="0.3">
      <c r="IZ65" s="88"/>
    </row>
    <row r="66" spans="260:260" s="70" customFormat="1" ht="24.75" customHeight="1" x14ac:dyDescent="0.3">
      <c r="IZ66" s="88"/>
    </row>
    <row r="67" spans="260:260" s="70" customFormat="1" ht="24.75" customHeight="1" x14ac:dyDescent="0.3">
      <c r="IZ67" s="88"/>
    </row>
    <row r="68" spans="260:260" s="70" customFormat="1" ht="24.75" customHeight="1" x14ac:dyDescent="0.3">
      <c r="IZ68" s="88"/>
    </row>
    <row r="69" spans="260:260" s="70" customFormat="1" ht="24.75" customHeight="1" x14ac:dyDescent="0.3">
      <c r="IZ69" s="88"/>
    </row>
    <row r="70" spans="260:260" s="70" customFormat="1" ht="24.75" customHeight="1" x14ac:dyDescent="0.3">
      <c r="IZ70" s="88"/>
    </row>
    <row r="71" spans="260:260" s="70" customFormat="1" ht="24.75" customHeight="1" x14ac:dyDescent="0.3">
      <c r="IZ71" s="88"/>
    </row>
    <row r="72" spans="260:260" s="70" customFormat="1" ht="24.75" customHeight="1" x14ac:dyDescent="0.3">
      <c r="IZ72" s="88"/>
    </row>
    <row r="73" spans="260:260" s="70" customFormat="1" ht="24.75" customHeight="1" x14ac:dyDescent="0.3">
      <c r="IZ73" s="88"/>
    </row>
    <row r="74" spans="260:260" s="70" customFormat="1" ht="24.75" customHeight="1" x14ac:dyDescent="0.3">
      <c r="IZ74" s="88"/>
    </row>
    <row r="75" spans="260:260" s="70" customFormat="1" ht="24.75" customHeight="1" x14ac:dyDescent="0.3">
      <c r="IZ75" s="88"/>
    </row>
    <row r="76" spans="260:260" s="70" customFormat="1" ht="24.75" customHeight="1" x14ac:dyDescent="0.3">
      <c r="IZ76" s="88"/>
    </row>
    <row r="77" spans="260:260" s="70" customFormat="1" ht="24.75" customHeight="1" x14ac:dyDescent="0.3">
      <c r="IZ77" s="88"/>
    </row>
    <row r="78" spans="260:260" s="70" customFormat="1" ht="24.75" customHeight="1" x14ac:dyDescent="0.3">
      <c r="IZ78" s="88"/>
    </row>
    <row r="79" spans="260:260" s="70" customFormat="1" ht="24.75" customHeight="1" x14ac:dyDescent="0.3">
      <c r="IZ79" s="88"/>
    </row>
    <row r="80" spans="260:260" s="70" customFormat="1" ht="24.75" customHeight="1" x14ac:dyDescent="0.3">
      <c r="IZ80" s="88"/>
    </row>
    <row r="81" spans="260:260" s="70" customFormat="1" ht="24.75" customHeight="1" x14ac:dyDescent="0.3">
      <c r="IZ81" s="88"/>
    </row>
    <row r="82" spans="260:260" s="70" customFormat="1" ht="24.75" customHeight="1" x14ac:dyDescent="0.3">
      <c r="IZ82" s="88"/>
    </row>
    <row r="83" spans="260:260" s="70" customFormat="1" ht="24.75" customHeight="1" x14ac:dyDescent="0.3">
      <c r="IZ83" s="88"/>
    </row>
    <row r="84" spans="260:260" s="70" customFormat="1" ht="24.75" customHeight="1" x14ac:dyDescent="0.3">
      <c r="IZ84" s="88"/>
    </row>
    <row r="85" spans="260:260" s="70" customFormat="1" ht="24.75" customHeight="1" x14ac:dyDescent="0.3">
      <c r="IZ85" s="88"/>
    </row>
    <row r="86" spans="260:260" s="70" customFormat="1" ht="24.75" customHeight="1" x14ac:dyDescent="0.3">
      <c r="IZ86" s="88"/>
    </row>
    <row r="87" spans="260:260" s="70" customFormat="1" ht="24.75" customHeight="1" x14ac:dyDescent="0.3">
      <c r="IZ87" s="88"/>
    </row>
    <row r="88" spans="260:260" s="70" customFormat="1" ht="24.75" customHeight="1" x14ac:dyDescent="0.3">
      <c r="IZ88" s="88"/>
    </row>
    <row r="89" spans="260:260" s="70" customFormat="1" ht="24.75" customHeight="1" x14ac:dyDescent="0.3">
      <c r="IZ89" s="88"/>
    </row>
    <row r="90" spans="260:260" s="70" customFormat="1" ht="24.75" customHeight="1" x14ac:dyDescent="0.3">
      <c r="IZ90" s="88"/>
    </row>
    <row r="91" spans="260:260" s="70" customFormat="1" ht="24.75" customHeight="1" x14ac:dyDescent="0.3">
      <c r="IZ91" s="88"/>
    </row>
    <row r="92" spans="260:260" s="70" customFormat="1" ht="24.75" customHeight="1" x14ac:dyDescent="0.3">
      <c r="IZ92" s="88"/>
    </row>
    <row r="93" spans="260:260" s="70" customFormat="1" ht="24.75" customHeight="1" x14ac:dyDescent="0.3">
      <c r="IZ93" s="88"/>
    </row>
    <row r="94" spans="260:260" s="70" customFormat="1" ht="24.75" customHeight="1" x14ac:dyDescent="0.3">
      <c r="IZ94" s="88"/>
    </row>
    <row r="95" spans="260:260" s="70" customFormat="1" ht="24.75" customHeight="1" x14ac:dyDescent="0.3">
      <c r="IZ95" s="88"/>
    </row>
    <row r="96" spans="260:260" s="70" customFormat="1" ht="24.75" customHeight="1" x14ac:dyDescent="0.3">
      <c r="IZ96" s="88"/>
    </row>
    <row r="97" spans="260:260" s="70" customFormat="1" ht="24.75" customHeight="1" x14ac:dyDescent="0.3">
      <c r="IZ97" s="88"/>
    </row>
    <row r="98" spans="260:260" s="70" customFormat="1" ht="24.75" customHeight="1" x14ac:dyDescent="0.3">
      <c r="IZ98" s="88"/>
    </row>
    <row r="99" spans="260:260" s="70" customFormat="1" ht="24.75" customHeight="1" x14ac:dyDescent="0.3">
      <c r="IZ99" s="88"/>
    </row>
    <row r="100" spans="260:260" s="70" customFormat="1" ht="24.75" customHeight="1" x14ac:dyDescent="0.3">
      <c r="IZ100" s="88"/>
    </row>
    <row r="101" spans="260:260" s="70" customFormat="1" ht="24.75" customHeight="1" x14ac:dyDescent="0.3">
      <c r="IZ101" s="88"/>
    </row>
    <row r="102" spans="260:260" s="70" customFormat="1" ht="24.75" customHeight="1" x14ac:dyDescent="0.3">
      <c r="IZ102" s="88"/>
    </row>
    <row r="103" spans="260:260" s="70" customFormat="1" ht="24.75" customHeight="1" x14ac:dyDescent="0.3">
      <c r="IZ103" s="88"/>
    </row>
    <row r="104" spans="260:260" s="70" customFormat="1" ht="24.75" customHeight="1" x14ac:dyDescent="0.3">
      <c r="IZ104" s="88"/>
    </row>
    <row r="105" spans="260:260" s="70" customFormat="1" ht="24.75" customHeight="1" x14ac:dyDescent="0.3">
      <c r="IZ105" s="88"/>
    </row>
    <row r="106" spans="260:260" s="70" customFormat="1" ht="24.75" customHeight="1" x14ac:dyDescent="0.3">
      <c r="IZ106" s="88"/>
    </row>
    <row r="107" spans="260:260" s="70" customFormat="1" ht="24.75" customHeight="1" x14ac:dyDescent="0.3">
      <c r="IZ107" s="88"/>
    </row>
    <row r="108" spans="260:260" s="70" customFormat="1" ht="24.75" customHeight="1" x14ac:dyDescent="0.3">
      <c r="IZ108" s="88"/>
    </row>
    <row r="109" spans="260:260" s="70" customFormat="1" ht="24.75" customHeight="1" x14ac:dyDescent="0.3">
      <c r="IZ109" s="88"/>
    </row>
    <row r="110" spans="260:260" s="70" customFormat="1" ht="24.75" customHeight="1" x14ac:dyDescent="0.3">
      <c r="IZ110" s="88"/>
    </row>
    <row r="111" spans="260:260" s="70" customFormat="1" ht="24.75" customHeight="1" x14ac:dyDescent="0.3">
      <c r="IZ111" s="88"/>
    </row>
    <row r="112" spans="260:260" s="70" customFormat="1" ht="24.75" customHeight="1" x14ac:dyDescent="0.3">
      <c r="IZ112" s="88"/>
    </row>
    <row r="113" spans="260:260" s="70" customFormat="1" ht="24.75" customHeight="1" x14ac:dyDescent="0.3">
      <c r="IZ113" s="88"/>
    </row>
    <row r="114" spans="260:260" s="70" customFormat="1" ht="24.75" customHeight="1" x14ac:dyDescent="0.3">
      <c r="IZ114" s="88"/>
    </row>
    <row r="115" spans="260:260" s="70" customFormat="1" ht="24.75" customHeight="1" x14ac:dyDescent="0.3">
      <c r="IZ115" s="88"/>
    </row>
    <row r="116" spans="260:260" s="70" customFormat="1" ht="24.75" customHeight="1" x14ac:dyDescent="0.3">
      <c r="IZ116" s="88"/>
    </row>
    <row r="117" spans="260:260" s="70" customFormat="1" ht="24.75" customHeight="1" x14ac:dyDescent="0.3">
      <c r="IZ117" s="88"/>
    </row>
    <row r="118" spans="260:260" s="70" customFormat="1" ht="24.75" customHeight="1" x14ac:dyDescent="0.3">
      <c r="IZ118" s="88"/>
    </row>
    <row r="119" spans="260:260" s="70" customFormat="1" ht="24.75" customHeight="1" x14ac:dyDescent="0.3">
      <c r="IZ119" s="88"/>
    </row>
    <row r="120" spans="260:260" s="70" customFormat="1" ht="24.75" customHeight="1" x14ac:dyDescent="0.3">
      <c r="IZ120" s="88"/>
    </row>
    <row r="121" spans="260:260" s="70" customFormat="1" ht="24.75" customHeight="1" x14ac:dyDescent="0.3">
      <c r="IZ121" s="88"/>
    </row>
    <row r="122" spans="260:260" s="70" customFormat="1" ht="24.75" customHeight="1" x14ac:dyDescent="0.3">
      <c r="IZ122" s="88"/>
    </row>
    <row r="123" spans="260:260" s="70" customFormat="1" ht="24.75" customHeight="1" x14ac:dyDescent="0.3">
      <c r="IZ123" s="88"/>
    </row>
    <row r="124" spans="260:260" s="70" customFormat="1" ht="24.75" customHeight="1" x14ac:dyDescent="0.3">
      <c r="IZ124" s="88"/>
    </row>
    <row r="125" spans="260:260" s="70" customFormat="1" ht="24.75" customHeight="1" x14ac:dyDescent="0.3">
      <c r="IZ125" s="88"/>
    </row>
    <row r="126" spans="260:260" s="70" customFormat="1" ht="24.75" customHeight="1" x14ac:dyDescent="0.3">
      <c r="IZ126" s="88"/>
    </row>
    <row r="127" spans="260:260" s="70" customFormat="1" ht="24.75" customHeight="1" x14ac:dyDescent="0.3">
      <c r="IZ127" s="88"/>
    </row>
    <row r="128" spans="260:260" s="70" customFormat="1" ht="24.75" customHeight="1" x14ac:dyDescent="0.3">
      <c r="IZ128" s="88"/>
    </row>
    <row r="129" spans="260:260" s="70" customFormat="1" ht="24.75" customHeight="1" x14ac:dyDescent="0.3">
      <c r="IZ129" s="88"/>
    </row>
    <row r="130" spans="260:260" s="70" customFormat="1" ht="24.75" customHeight="1" x14ac:dyDescent="0.3">
      <c r="IZ130" s="88"/>
    </row>
    <row r="131" spans="260:260" s="70" customFormat="1" ht="24.75" customHeight="1" x14ac:dyDescent="0.3">
      <c r="IZ131" s="88"/>
    </row>
    <row r="132" spans="260:260" s="70" customFormat="1" ht="24.75" customHeight="1" x14ac:dyDescent="0.3">
      <c r="IZ132" s="88"/>
    </row>
    <row r="133" spans="260:260" s="70" customFormat="1" ht="24.75" customHeight="1" x14ac:dyDescent="0.3">
      <c r="IZ133" s="88"/>
    </row>
    <row r="134" spans="260:260" s="70" customFormat="1" ht="24.75" customHeight="1" x14ac:dyDescent="0.3">
      <c r="IZ134" s="88"/>
    </row>
    <row r="135" spans="260:260" s="70" customFormat="1" ht="24.75" customHeight="1" x14ac:dyDescent="0.3">
      <c r="IZ135" s="88"/>
    </row>
    <row r="136" spans="260:260" s="70" customFormat="1" ht="24.75" customHeight="1" x14ac:dyDescent="0.3">
      <c r="IZ136" s="88"/>
    </row>
    <row r="137" spans="260:260" s="70" customFormat="1" ht="24.75" customHeight="1" x14ac:dyDescent="0.3">
      <c r="IZ137" s="88"/>
    </row>
    <row r="138" spans="260:260" s="70" customFormat="1" ht="24.75" customHeight="1" x14ac:dyDescent="0.3">
      <c r="IZ138" s="88"/>
    </row>
    <row r="139" spans="260:260" s="70" customFormat="1" ht="24.75" customHeight="1" x14ac:dyDescent="0.3">
      <c r="IZ139" s="88"/>
    </row>
    <row r="140" spans="260:260" s="70" customFormat="1" ht="24.75" customHeight="1" x14ac:dyDescent="0.3">
      <c r="IZ140" s="88"/>
    </row>
    <row r="141" spans="260:260" s="70" customFormat="1" ht="24.75" customHeight="1" x14ac:dyDescent="0.3">
      <c r="IZ141" s="88"/>
    </row>
    <row r="142" spans="260:260" s="70" customFormat="1" ht="24.75" customHeight="1" x14ac:dyDescent="0.3">
      <c r="IZ142" s="88"/>
    </row>
    <row r="143" spans="260:260" s="70" customFormat="1" ht="24.75" customHeight="1" x14ac:dyDescent="0.3">
      <c r="IZ143" s="88"/>
    </row>
    <row r="144" spans="260:260" s="70" customFormat="1" ht="24.75" customHeight="1" x14ac:dyDescent="0.3">
      <c r="IZ144" s="88"/>
    </row>
    <row r="145" spans="260:260" s="70" customFormat="1" ht="24.75" customHeight="1" x14ac:dyDescent="0.3">
      <c r="IZ145" s="88"/>
    </row>
    <row r="146" spans="260:260" s="70" customFormat="1" ht="24.75" customHeight="1" x14ac:dyDescent="0.3">
      <c r="IZ146" s="88"/>
    </row>
    <row r="147" spans="260:260" s="70" customFormat="1" ht="24.75" customHeight="1" x14ac:dyDescent="0.3">
      <c r="IZ147" s="88"/>
    </row>
    <row r="148" spans="260:260" s="70" customFormat="1" ht="24.75" customHeight="1" x14ac:dyDescent="0.3">
      <c r="IZ148" s="88"/>
    </row>
    <row r="149" spans="260:260" s="70" customFormat="1" ht="24.75" customHeight="1" x14ac:dyDescent="0.3">
      <c r="IZ149" s="88"/>
    </row>
    <row r="150" spans="260:260" s="70" customFormat="1" ht="24.75" customHeight="1" x14ac:dyDescent="0.3">
      <c r="IZ150" s="88"/>
    </row>
    <row r="151" spans="260:260" s="70" customFormat="1" ht="24.75" customHeight="1" x14ac:dyDescent="0.3">
      <c r="IZ151" s="88"/>
    </row>
    <row r="152" spans="260:260" s="70" customFormat="1" ht="24.75" customHeight="1" x14ac:dyDescent="0.3">
      <c r="IZ152" s="88"/>
    </row>
    <row r="153" spans="260:260" s="70" customFormat="1" ht="24.75" customHeight="1" x14ac:dyDescent="0.3">
      <c r="IZ153" s="88"/>
    </row>
    <row r="154" spans="260:260" s="70" customFormat="1" ht="24.75" customHeight="1" x14ac:dyDescent="0.3">
      <c r="IZ154" s="88"/>
    </row>
    <row r="155" spans="260:260" s="70" customFormat="1" ht="24.75" customHeight="1" x14ac:dyDescent="0.3">
      <c r="IZ155" s="88"/>
    </row>
    <row r="156" spans="260:260" s="70" customFormat="1" ht="24.75" customHeight="1" x14ac:dyDescent="0.3">
      <c r="IZ156" s="88"/>
    </row>
    <row r="157" spans="260:260" s="70" customFormat="1" ht="24.75" customHeight="1" x14ac:dyDescent="0.3">
      <c r="IZ157" s="88"/>
    </row>
    <row r="158" spans="260:260" s="70" customFormat="1" ht="24.75" customHeight="1" x14ac:dyDescent="0.3">
      <c r="IZ158" s="88"/>
    </row>
    <row r="159" spans="260:260" s="70" customFormat="1" ht="24.75" customHeight="1" x14ac:dyDescent="0.3">
      <c r="IZ159" s="88"/>
    </row>
    <row r="160" spans="260:260" s="70" customFormat="1" ht="24.75" customHeight="1" x14ac:dyDescent="0.3">
      <c r="IZ160" s="88"/>
    </row>
    <row r="161" spans="260:260" s="70" customFormat="1" ht="24.75" customHeight="1" x14ac:dyDescent="0.3">
      <c r="IZ161" s="88"/>
    </row>
    <row r="162" spans="260:260" s="70" customFormat="1" ht="24.75" customHeight="1" x14ac:dyDescent="0.3">
      <c r="IZ162" s="88"/>
    </row>
    <row r="163" spans="260:260" s="70" customFormat="1" ht="24.75" customHeight="1" x14ac:dyDescent="0.3">
      <c r="IZ163" s="88"/>
    </row>
    <row r="164" spans="260:260" s="70" customFormat="1" ht="24.75" customHeight="1" x14ac:dyDescent="0.3">
      <c r="IZ164" s="88"/>
    </row>
    <row r="165" spans="260:260" s="70" customFormat="1" ht="24.75" customHeight="1" x14ac:dyDescent="0.3">
      <c r="IZ165" s="88"/>
    </row>
    <row r="166" spans="260:260" s="70" customFormat="1" ht="24.75" customHeight="1" x14ac:dyDescent="0.3">
      <c r="IZ166" s="88"/>
    </row>
    <row r="167" spans="260:260" s="70" customFormat="1" ht="24.75" customHeight="1" x14ac:dyDescent="0.3">
      <c r="IZ167" s="88"/>
    </row>
    <row r="168" spans="260:260" s="70" customFormat="1" ht="24.75" customHeight="1" x14ac:dyDescent="0.3">
      <c r="IZ168" s="88"/>
    </row>
    <row r="169" spans="260:260" s="70" customFormat="1" ht="24.75" customHeight="1" x14ac:dyDescent="0.3">
      <c r="IZ169" s="88"/>
    </row>
    <row r="170" spans="260:260" s="70" customFormat="1" ht="24.75" customHeight="1" x14ac:dyDescent="0.3">
      <c r="IZ170" s="88"/>
    </row>
    <row r="171" spans="260:260" s="70" customFormat="1" ht="24.75" customHeight="1" x14ac:dyDescent="0.3">
      <c r="IZ171" s="88"/>
    </row>
    <row r="172" spans="260:260" s="70" customFormat="1" ht="24.75" customHeight="1" x14ac:dyDescent="0.3">
      <c r="IZ172" s="88"/>
    </row>
    <row r="173" spans="260:260" s="70" customFormat="1" ht="24.75" customHeight="1" x14ac:dyDescent="0.3">
      <c r="IZ173" s="88"/>
    </row>
    <row r="174" spans="260:260" s="70" customFormat="1" ht="24.75" customHeight="1" x14ac:dyDescent="0.3">
      <c r="IZ174" s="88"/>
    </row>
    <row r="175" spans="260:260" s="70" customFormat="1" ht="24.75" customHeight="1" x14ac:dyDescent="0.3">
      <c r="IZ175" s="88"/>
    </row>
    <row r="176" spans="260:260" s="70" customFormat="1" ht="24.75" customHeight="1" x14ac:dyDescent="0.3">
      <c r="IZ176" s="88"/>
    </row>
    <row r="177" spans="260:260" s="70" customFormat="1" ht="24.75" customHeight="1" x14ac:dyDescent="0.3">
      <c r="IZ177" s="88"/>
    </row>
    <row r="178" spans="260:260" s="70" customFormat="1" ht="24.75" customHeight="1" x14ac:dyDescent="0.3">
      <c r="IZ178" s="88"/>
    </row>
    <row r="179" spans="260:260" s="70" customFormat="1" ht="24.75" customHeight="1" x14ac:dyDescent="0.3">
      <c r="IZ179" s="88"/>
    </row>
    <row r="180" spans="260:260" s="70" customFormat="1" ht="24.75" customHeight="1" x14ac:dyDescent="0.3">
      <c r="IZ180" s="88"/>
    </row>
    <row r="181" spans="260:260" s="70" customFormat="1" ht="24.75" customHeight="1" x14ac:dyDescent="0.3">
      <c r="IZ181" s="88"/>
    </row>
    <row r="182" spans="260:260" s="70" customFormat="1" ht="24.75" customHeight="1" x14ac:dyDescent="0.3">
      <c r="IZ182" s="88"/>
    </row>
    <row r="183" spans="260:260" s="70" customFormat="1" ht="24.75" customHeight="1" x14ac:dyDescent="0.3">
      <c r="IZ183" s="88"/>
    </row>
    <row r="184" spans="260:260" s="70" customFormat="1" ht="24.75" customHeight="1" x14ac:dyDescent="0.3">
      <c r="IZ184" s="88"/>
    </row>
    <row r="185" spans="260:260" s="70" customFormat="1" ht="24.75" customHeight="1" x14ac:dyDescent="0.3">
      <c r="IZ185" s="88"/>
    </row>
    <row r="186" spans="260:260" s="70" customFormat="1" ht="24.75" customHeight="1" x14ac:dyDescent="0.3">
      <c r="IZ186" s="88"/>
    </row>
    <row r="187" spans="260:260" s="70" customFormat="1" ht="24.75" customHeight="1" x14ac:dyDescent="0.3">
      <c r="IZ187" s="88"/>
    </row>
    <row r="188" spans="260:260" s="70" customFormat="1" ht="24.75" customHeight="1" x14ac:dyDescent="0.3">
      <c r="IZ188" s="88"/>
    </row>
    <row r="189" spans="260:260" s="70" customFormat="1" ht="24.75" customHeight="1" x14ac:dyDescent="0.3">
      <c r="IZ189" s="88"/>
    </row>
    <row r="190" spans="260:260" s="70" customFormat="1" ht="24.75" customHeight="1" x14ac:dyDescent="0.3">
      <c r="IZ190" s="88"/>
    </row>
    <row r="191" spans="260:260" s="70" customFormat="1" ht="24.75" customHeight="1" x14ac:dyDescent="0.3">
      <c r="IZ191" s="88"/>
    </row>
    <row r="192" spans="260:260" s="70" customFormat="1" ht="24.75" customHeight="1" x14ac:dyDescent="0.3">
      <c r="IZ192" s="88"/>
    </row>
    <row r="193" spans="260:260" s="70" customFormat="1" ht="24.75" customHeight="1" x14ac:dyDescent="0.3">
      <c r="IZ193" s="88"/>
    </row>
    <row r="194" spans="260:260" s="70" customFormat="1" ht="24.75" customHeight="1" x14ac:dyDescent="0.3">
      <c r="IZ194" s="88"/>
    </row>
    <row r="195" spans="260:260" s="70" customFormat="1" ht="24.75" customHeight="1" x14ac:dyDescent="0.3">
      <c r="IZ195" s="88"/>
    </row>
    <row r="196" spans="260:260" s="70" customFormat="1" ht="24.75" customHeight="1" x14ac:dyDescent="0.3">
      <c r="IZ196" s="88"/>
    </row>
    <row r="197" spans="260:260" s="70" customFormat="1" ht="24.75" customHeight="1" x14ac:dyDescent="0.3">
      <c r="IZ197" s="88"/>
    </row>
    <row r="198" spans="260:260" s="70" customFormat="1" ht="24.75" customHeight="1" x14ac:dyDescent="0.3">
      <c r="IZ198" s="88"/>
    </row>
    <row r="199" spans="260:260" s="70" customFormat="1" ht="24.75" customHeight="1" x14ac:dyDescent="0.3">
      <c r="IZ199" s="88"/>
    </row>
    <row r="200" spans="260:260" s="70" customFormat="1" ht="24.75" customHeight="1" x14ac:dyDescent="0.3">
      <c r="IZ200" s="88"/>
    </row>
    <row r="201" spans="260:260" s="70" customFormat="1" ht="24.75" customHeight="1" x14ac:dyDescent="0.3">
      <c r="IZ201" s="88"/>
    </row>
    <row r="202" spans="260:260" s="70" customFormat="1" ht="24.75" customHeight="1" x14ac:dyDescent="0.3">
      <c r="IZ202" s="88"/>
    </row>
    <row r="203" spans="260:260" s="70" customFormat="1" ht="24.75" customHeight="1" x14ac:dyDescent="0.3">
      <c r="IZ203" s="88"/>
    </row>
    <row r="204" spans="260:260" s="70" customFormat="1" ht="24.75" customHeight="1" x14ac:dyDescent="0.3">
      <c r="IZ204" s="88"/>
    </row>
    <row r="205" spans="260:260" s="70" customFormat="1" ht="24.75" customHeight="1" x14ac:dyDescent="0.3">
      <c r="IZ205" s="88"/>
    </row>
    <row r="206" spans="260:260" s="70" customFormat="1" ht="24.75" customHeight="1" x14ac:dyDescent="0.3">
      <c r="IZ206" s="88"/>
    </row>
    <row r="207" spans="260:260" s="70" customFormat="1" ht="24.75" customHeight="1" x14ac:dyDescent="0.3">
      <c r="IZ207" s="88"/>
    </row>
    <row r="208" spans="260:260" s="70" customFormat="1" ht="24.75" customHeight="1" x14ac:dyDescent="0.3">
      <c r="IZ208" s="88"/>
    </row>
    <row r="209" spans="260:260" s="70" customFormat="1" ht="24.75" customHeight="1" x14ac:dyDescent="0.3">
      <c r="IZ209" s="88"/>
    </row>
    <row r="210" spans="260:260" s="70" customFormat="1" ht="24.75" customHeight="1" x14ac:dyDescent="0.3">
      <c r="IZ210" s="88"/>
    </row>
    <row r="211" spans="260:260" s="70" customFormat="1" ht="24.75" customHeight="1" x14ac:dyDescent="0.3">
      <c r="IZ211" s="88"/>
    </row>
    <row r="212" spans="260:260" s="70" customFormat="1" ht="24.75" customHeight="1" x14ac:dyDescent="0.3">
      <c r="IZ212" s="88"/>
    </row>
    <row r="213" spans="260:260" s="70" customFormat="1" ht="24.75" customHeight="1" x14ac:dyDescent="0.3">
      <c r="IZ213" s="88"/>
    </row>
    <row r="214" spans="260:260" s="70" customFormat="1" ht="24.75" customHeight="1" x14ac:dyDescent="0.3">
      <c r="IZ214" s="88"/>
    </row>
    <row r="215" spans="260:260" s="70" customFormat="1" ht="24.75" customHeight="1" x14ac:dyDescent="0.3">
      <c r="IZ215" s="88"/>
    </row>
    <row r="216" spans="260:260" s="70" customFormat="1" ht="24.75" customHeight="1" x14ac:dyDescent="0.3">
      <c r="IZ216" s="88"/>
    </row>
    <row r="217" spans="260:260" s="70" customFormat="1" ht="24.75" customHeight="1" x14ac:dyDescent="0.3">
      <c r="IZ217" s="88"/>
    </row>
    <row r="218" spans="260:260" s="70" customFormat="1" ht="24.75" customHeight="1" x14ac:dyDescent="0.3">
      <c r="IZ218" s="88"/>
    </row>
    <row r="219" spans="260:260" s="70" customFormat="1" ht="24.75" customHeight="1" x14ac:dyDescent="0.3">
      <c r="IZ219" s="88"/>
    </row>
    <row r="220" spans="260:260" s="70" customFormat="1" ht="24.75" customHeight="1" x14ac:dyDescent="0.3">
      <c r="IZ220" s="88"/>
    </row>
    <row r="221" spans="260:260" s="70" customFormat="1" ht="24.75" customHeight="1" x14ac:dyDescent="0.3">
      <c r="IZ221" s="88"/>
    </row>
    <row r="222" spans="260:260" s="70" customFormat="1" ht="24.75" customHeight="1" x14ac:dyDescent="0.3">
      <c r="IZ222" s="88"/>
    </row>
    <row r="223" spans="260:260" s="70" customFormat="1" ht="24.75" customHeight="1" x14ac:dyDescent="0.3">
      <c r="IZ223" s="88"/>
    </row>
    <row r="224" spans="260:260" s="70" customFormat="1" ht="24.75" customHeight="1" x14ac:dyDescent="0.3">
      <c r="IZ224" s="88"/>
    </row>
    <row r="225" spans="260:260" s="70" customFormat="1" ht="24.75" customHeight="1" x14ac:dyDescent="0.3">
      <c r="IZ225" s="88"/>
    </row>
    <row r="226" spans="260:260" s="70" customFormat="1" ht="24.75" customHeight="1" x14ac:dyDescent="0.3">
      <c r="IZ226" s="88"/>
    </row>
    <row r="227" spans="260:260" s="70" customFormat="1" ht="24.75" customHeight="1" x14ac:dyDescent="0.3">
      <c r="IZ227" s="88"/>
    </row>
    <row r="228" spans="260:260" s="70" customFormat="1" ht="24.75" customHeight="1" x14ac:dyDescent="0.3">
      <c r="IZ228" s="88"/>
    </row>
    <row r="229" spans="260:260" s="70" customFormat="1" ht="24.75" customHeight="1" x14ac:dyDescent="0.3">
      <c r="IZ229" s="88"/>
    </row>
    <row r="230" spans="260:260" s="70" customFormat="1" ht="24.75" customHeight="1" x14ac:dyDescent="0.3">
      <c r="IZ230" s="88"/>
    </row>
    <row r="231" spans="260:260" s="70" customFormat="1" ht="24.75" customHeight="1" x14ac:dyDescent="0.3">
      <c r="IZ231" s="88"/>
    </row>
    <row r="232" spans="260:260" s="70" customFormat="1" ht="24.75" customHeight="1" x14ac:dyDescent="0.3">
      <c r="IZ232" s="88"/>
    </row>
    <row r="233" spans="260:260" s="70" customFormat="1" ht="24.75" customHeight="1" x14ac:dyDescent="0.3">
      <c r="IZ233" s="88"/>
    </row>
    <row r="234" spans="260:260" s="70" customFormat="1" ht="24.75" customHeight="1" x14ac:dyDescent="0.3">
      <c r="IZ234" s="88"/>
    </row>
    <row r="235" spans="260:260" s="70" customFormat="1" ht="24.75" customHeight="1" x14ac:dyDescent="0.3">
      <c r="IZ235" s="88"/>
    </row>
    <row r="236" spans="260:260" s="70" customFormat="1" ht="24.75" customHeight="1" x14ac:dyDescent="0.3">
      <c r="IZ236" s="88"/>
    </row>
    <row r="237" spans="260:260" s="70" customFormat="1" ht="24.75" customHeight="1" x14ac:dyDescent="0.3">
      <c r="IZ237" s="88"/>
    </row>
    <row r="238" spans="260:260" s="70" customFormat="1" ht="24.75" customHeight="1" x14ac:dyDescent="0.3">
      <c r="IZ238" s="88"/>
    </row>
    <row r="239" spans="260:260" s="70" customFormat="1" ht="24.75" customHeight="1" x14ac:dyDescent="0.3">
      <c r="IZ239" s="88"/>
    </row>
    <row r="240" spans="260:260" s="70" customFormat="1" ht="24.75" customHeight="1" x14ac:dyDescent="0.3">
      <c r="IZ240" s="88"/>
    </row>
    <row r="241" spans="260:260" s="70" customFormat="1" ht="24.75" customHeight="1" x14ac:dyDescent="0.3">
      <c r="IZ241" s="88"/>
    </row>
    <row r="242" spans="260:260" s="70" customFormat="1" ht="24.75" customHeight="1" x14ac:dyDescent="0.3">
      <c r="IZ242" s="88"/>
    </row>
    <row r="243" spans="260:260" s="70" customFormat="1" ht="24.75" customHeight="1" x14ac:dyDescent="0.3">
      <c r="IZ243" s="88"/>
    </row>
    <row r="244" spans="260:260" s="70" customFormat="1" ht="24.75" customHeight="1" x14ac:dyDescent="0.3">
      <c r="IZ244" s="88"/>
    </row>
    <row r="245" spans="260:260" s="70" customFormat="1" ht="24.75" customHeight="1" x14ac:dyDescent="0.3">
      <c r="IZ245" s="88"/>
    </row>
    <row r="246" spans="260:260" s="70" customFormat="1" ht="24.75" customHeight="1" x14ac:dyDescent="0.3">
      <c r="IZ246" s="88"/>
    </row>
    <row r="247" spans="260:260" s="70" customFormat="1" ht="24.75" customHeight="1" x14ac:dyDescent="0.3">
      <c r="IZ247" s="88"/>
    </row>
    <row r="248" spans="260:260" s="70" customFormat="1" ht="24.75" customHeight="1" x14ac:dyDescent="0.3">
      <c r="IZ248" s="88"/>
    </row>
    <row r="249" spans="260:260" s="70" customFormat="1" ht="24.75" customHeight="1" x14ac:dyDescent="0.3">
      <c r="IZ249" s="88"/>
    </row>
    <row r="250" spans="260:260" s="70" customFormat="1" ht="24.75" customHeight="1" x14ac:dyDescent="0.3">
      <c r="IZ250" s="88"/>
    </row>
    <row r="251" spans="260:260" s="70" customFormat="1" ht="24.75" customHeight="1" x14ac:dyDescent="0.3">
      <c r="IZ251" s="88"/>
    </row>
    <row r="252" spans="260:260" s="70" customFormat="1" ht="24.75" customHeight="1" x14ac:dyDescent="0.3">
      <c r="IZ252" s="88"/>
    </row>
    <row r="253" spans="260:260" s="70" customFormat="1" ht="24.75" customHeight="1" x14ac:dyDescent="0.3">
      <c r="IZ253" s="88"/>
    </row>
    <row r="254" spans="260:260" s="70" customFormat="1" ht="24.75" customHeight="1" x14ac:dyDescent="0.3">
      <c r="IZ254" s="88"/>
    </row>
    <row r="255" spans="260:260" s="70" customFormat="1" ht="24.75" customHeight="1" x14ac:dyDescent="0.3">
      <c r="IZ255" s="88"/>
    </row>
    <row r="256" spans="260:260" s="70" customFormat="1" ht="24.75" customHeight="1" x14ac:dyDescent="0.3">
      <c r="IZ256" s="88"/>
    </row>
    <row r="257" spans="260:260" s="70" customFormat="1" ht="24.75" customHeight="1" x14ac:dyDescent="0.3">
      <c r="IZ257" s="88"/>
    </row>
    <row r="258" spans="260:260" s="70" customFormat="1" ht="24.75" customHeight="1" x14ac:dyDescent="0.3">
      <c r="IZ258" s="88"/>
    </row>
    <row r="259" spans="260:260" s="70" customFormat="1" ht="24.75" customHeight="1" x14ac:dyDescent="0.3">
      <c r="IZ259" s="88"/>
    </row>
    <row r="260" spans="260:260" s="70" customFormat="1" ht="24.75" customHeight="1" x14ac:dyDescent="0.3">
      <c r="IZ260" s="88"/>
    </row>
    <row r="261" spans="260:260" s="70" customFormat="1" ht="24.75" customHeight="1" x14ac:dyDescent="0.3">
      <c r="IZ261" s="88"/>
    </row>
    <row r="262" spans="260:260" s="70" customFormat="1" ht="24.75" customHeight="1" x14ac:dyDescent="0.3">
      <c r="IZ262" s="88"/>
    </row>
    <row r="263" spans="260:260" s="70" customFormat="1" ht="24.75" customHeight="1" x14ac:dyDescent="0.3">
      <c r="IZ263" s="88"/>
    </row>
    <row r="264" spans="260:260" s="70" customFormat="1" ht="24.75" customHeight="1" x14ac:dyDescent="0.3">
      <c r="IZ264" s="88"/>
    </row>
    <row r="265" spans="260:260" s="70" customFormat="1" ht="24.75" customHeight="1" x14ac:dyDescent="0.3">
      <c r="IZ265" s="88"/>
    </row>
    <row r="266" spans="260:260" s="70" customFormat="1" ht="24.75" customHeight="1" x14ac:dyDescent="0.3">
      <c r="IZ266" s="88"/>
    </row>
    <row r="267" spans="260:260" s="70" customFormat="1" ht="24.75" customHeight="1" x14ac:dyDescent="0.3">
      <c r="IZ267" s="88"/>
    </row>
    <row r="268" spans="260:260" s="70" customFormat="1" ht="24.75" customHeight="1" x14ac:dyDescent="0.3">
      <c r="IZ268" s="88"/>
    </row>
    <row r="269" spans="260:260" s="70" customFormat="1" ht="24.75" customHeight="1" x14ac:dyDescent="0.3">
      <c r="IZ269" s="88"/>
    </row>
    <row r="270" spans="260:260" s="70" customFormat="1" ht="24.75" customHeight="1" x14ac:dyDescent="0.3">
      <c r="IZ270" s="88"/>
    </row>
    <row r="271" spans="260:260" s="70" customFormat="1" ht="24.75" customHeight="1" x14ac:dyDescent="0.3">
      <c r="IZ271" s="88"/>
    </row>
    <row r="272" spans="260:260" s="70" customFormat="1" ht="24.75" customHeight="1" x14ac:dyDescent="0.3">
      <c r="IZ272" s="88"/>
    </row>
    <row r="273" spans="260:260" s="70" customFormat="1" ht="24.75" customHeight="1" x14ac:dyDescent="0.3">
      <c r="IZ273" s="88"/>
    </row>
    <row r="274" spans="260:260" s="70" customFormat="1" ht="24.75" customHeight="1" x14ac:dyDescent="0.3">
      <c r="IZ274" s="88"/>
    </row>
    <row r="275" spans="260:260" s="70" customFormat="1" ht="24.75" customHeight="1" x14ac:dyDescent="0.3">
      <c r="IZ275" s="88"/>
    </row>
    <row r="276" spans="260:260" s="70" customFormat="1" ht="24.75" customHeight="1" x14ac:dyDescent="0.3">
      <c r="IZ276" s="88"/>
    </row>
    <row r="277" spans="260:260" s="70" customFormat="1" ht="24.75" customHeight="1" x14ac:dyDescent="0.3">
      <c r="IZ277" s="88"/>
    </row>
    <row r="278" spans="260:260" s="70" customFormat="1" ht="24.75" customHeight="1" x14ac:dyDescent="0.3">
      <c r="IZ278" s="88"/>
    </row>
    <row r="279" spans="260:260" s="70" customFormat="1" ht="24.75" customHeight="1" x14ac:dyDescent="0.3">
      <c r="IZ279" s="88"/>
    </row>
    <row r="280" spans="260:260" s="70" customFormat="1" ht="24.75" customHeight="1" x14ac:dyDescent="0.3">
      <c r="IZ280" s="88"/>
    </row>
    <row r="281" spans="260:260" s="70" customFormat="1" ht="24.75" customHeight="1" x14ac:dyDescent="0.3">
      <c r="IZ281" s="88"/>
    </row>
    <row r="282" spans="260:260" s="70" customFormat="1" ht="24.75" customHeight="1" x14ac:dyDescent="0.3">
      <c r="IZ282" s="88"/>
    </row>
    <row r="283" spans="260:260" s="70" customFormat="1" ht="24.75" customHeight="1" x14ac:dyDescent="0.3">
      <c r="IZ283" s="88"/>
    </row>
    <row r="284" spans="260:260" s="70" customFormat="1" ht="24.75" customHeight="1" x14ac:dyDescent="0.3">
      <c r="IZ284" s="88"/>
    </row>
    <row r="285" spans="260:260" s="70" customFormat="1" ht="24.75" customHeight="1" x14ac:dyDescent="0.3">
      <c r="IZ285" s="88"/>
    </row>
    <row r="286" spans="260:260" s="70" customFormat="1" ht="24.75" customHeight="1" x14ac:dyDescent="0.3">
      <c r="IZ286" s="88"/>
    </row>
    <row r="287" spans="260:260" s="70" customFormat="1" ht="24.75" customHeight="1" x14ac:dyDescent="0.3">
      <c r="IZ287" s="88"/>
    </row>
    <row r="288" spans="260:260" s="70" customFormat="1" ht="24.75" customHeight="1" x14ac:dyDescent="0.3">
      <c r="IZ288" s="88"/>
    </row>
    <row r="289" spans="260:260" s="70" customFormat="1" ht="24.75" customHeight="1" x14ac:dyDescent="0.3">
      <c r="IZ289" s="88"/>
    </row>
    <row r="290" spans="260:260" s="70" customFormat="1" ht="24.75" customHeight="1" x14ac:dyDescent="0.3">
      <c r="IZ290" s="88"/>
    </row>
    <row r="291" spans="260:260" s="70" customFormat="1" ht="24.75" customHeight="1" x14ac:dyDescent="0.3">
      <c r="IZ291" s="88"/>
    </row>
    <row r="292" spans="260:260" s="70" customFormat="1" ht="24.75" customHeight="1" x14ac:dyDescent="0.3">
      <c r="IZ292" s="88"/>
    </row>
    <row r="293" spans="260:260" s="70" customFormat="1" ht="24.75" customHeight="1" x14ac:dyDescent="0.3">
      <c r="IZ293" s="88"/>
    </row>
    <row r="294" spans="260:260" s="70" customFormat="1" ht="24.75" customHeight="1" x14ac:dyDescent="0.3">
      <c r="IZ294" s="88"/>
    </row>
    <row r="295" spans="260:260" s="70" customFormat="1" ht="24.75" customHeight="1" x14ac:dyDescent="0.3">
      <c r="IZ295" s="88"/>
    </row>
    <row r="296" spans="260:260" s="70" customFormat="1" ht="24.75" customHeight="1" x14ac:dyDescent="0.3">
      <c r="IZ296" s="88"/>
    </row>
    <row r="297" spans="260:260" s="70" customFormat="1" ht="24.75" customHeight="1" x14ac:dyDescent="0.3">
      <c r="IZ297" s="88"/>
    </row>
    <row r="298" spans="260:260" s="70" customFormat="1" ht="24.75" customHeight="1" x14ac:dyDescent="0.3">
      <c r="IZ298" s="88"/>
    </row>
    <row r="299" spans="260:260" s="70" customFormat="1" ht="24.75" customHeight="1" x14ac:dyDescent="0.3">
      <c r="IZ299" s="88"/>
    </row>
    <row r="300" spans="260:260" s="70" customFormat="1" ht="24.75" customHeight="1" x14ac:dyDescent="0.3">
      <c r="IZ300" s="88"/>
    </row>
    <row r="301" spans="260:260" s="70" customFormat="1" ht="24.75" customHeight="1" x14ac:dyDescent="0.3">
      <c r="IZ301" s="88"/>
    </row>
    <row r="302" spans="260:260" s="70" customFormat="1" ht="24.75" customHeight="1" x14ac:dyDescent="0.3">
      <c r="IZ302" s="88"/>
    </row>
    <row r="303" spans="260:260" s="70" customFormat="1" ht="24.75" customHeight="1" x14ac:dyDescent="0.3">
      <c r="IZ303" s="88"/>
    </row>
    <row r="304" spans="260:260" s="70" customFormat="1" ht="24.75" customHeight="1" x14ac:dyDescent="0.3">
      <c r="IZ304" s="88"/>
    </row>
    <row r="305" spans="260:260" s="70" customFormat="1" ht="24.75" customHeight="1" x14ac:dyDescent="0.3">
      <c r="IZ305" s="88"/>
    </row>
    <row r="306" spans="260:260" s="70" customFormat="1" ht="24.75" customHeight="1" x14ac:dyDescent="0.3">
      <c r="IZ306" s="88"/>
    </row>
    <row r="307" spans="260:260" s="70" customFormat="1" ht="24.75" customHeight="1" x14ac:dyDescent="0.3">
      <c r="IZ307" s="88"/>
    </row>
    <row r="308" spans="260:260" s="70" customFormat="1" ht="24.75" customHeight="1" x14ac:dyDescent="0.3">
      <c r="IZ308" s="88"/>
    </row>
    <row r="309" spans="260:260" s="70" customFormat="1" ht="24.75" customHeight="1" x14ac:dyDescent="0.3">
      <c r="IZ309" s="88"/>
    </row>
    <row r="310" spans="260:260" s="70" customFormat="1" ht="24.75" customHeight="1" x14ac:dyDescent="0.3">
      <c r="IZ310" s="88"/>
    </row>
    <row r="311" spans="260:260" s="70" customFormat="1" ht="24.75" customHeight="1" x14ac:dyDescent="0.3">
      <c r="IZ311" s="88"/>
    </row>
    <row r="312" spans="260:260" s="70" customFormat="1" ht="24.75" customHeight="1" x14ac:dyDescent="0.3">
      <c r="IZ312" s="88"/>
    </row>
    <row r="313" spans="260:260" s="70" customFormat="1" ht="24.75" customHeight="1" x14ac:dyDescent="0.3">
      <c r="IZ313" s="88"/>
    </row>
    <row r="314" spans="260:260" s="70" customFormat="1" ht="24.75" customHeight="1" x14ac:dyDescent="0.3">
      <c r="IZ314" s="88"/>
    </row>
    <row r="315" spans="260:260" s="70" customFormat="1" ht="24.75" customHeight="1" x14ac:dyDescent="0.3">
      <c r="IZ315" s="88"/>
    </row>
    <row r="316" spans="260:260" s="70" customFormat="1" ht="24.75" customHeight="1" x14ac:dyDescent="0.3">
      <c r="IZ316" s="88"/>
    </row>
    <row r="317" spans="260:260" s="70" customFormat="1" ht="24.75" customHeight="1" x14ac:dyDescent="0.3">
      <c r="IZ317" s="88"/>
    </row>
    <row r="318" spans="260:260" s="70" customFormat="1" ht="24.75" customHeight="1" x14ac:dyDescent="0.3">
      <c r="IZ318" s="88"/>
    </row>
    <row r="319" spans="260:260" s="70" customFormat="1" ht="24.75" customHeight="1" x14ac:dyDescent="0.3">
      <c r="IZ319" s="88"/>
    </row>
    <row r="320" spans="260:260" s="70" customFormat="1" ht="24.75" customHeight="1" x14ac:dyDescent="0.3">
      <c r="IZ320" s="88"/>
    </row>
    <row r="321" spans="260:260" s="70" customFormat="1" ht="24.75" customHeight="1" x14ac:dyDescent="0.3">
      <c r="IZ321" s="88"/>
    </row>
    <row r="322" spans="260:260" s="70" customFormat="1" ht="24.75" customHeight="1" x14ac:dyDescent="0.3">
      <c r="IZ322" s="88"/>
    </row>
    <row r="323" spans="260:260" s="70" customFormat="1" ht="24.75" customHeight="1" x14ac:dyDescent="0.3">
      <c r="IZ323" s="88"/>
    </row>
    <row r="324" spans="260:260" s="70" customFormat="1" ht="24.75" customHeight="1" x14ac:dyDescent="0.3">
      <c r="IZ324" s="88"/>
    </row>
    <row r="325" spans="260:260" s="70" customFormat="1" ht="24.75" customHeight="1" x14ac:dyDescent="0.3">
      <c r="IZ325" s="88"/>
    </row>
    <row r="326" spans="260:260" s="70" customFormat="1" ht="24.75" customHeight="1" x14ac:dyDescent="0.3">
      <c r="IZ326" s="88"/>
    </row>
    <row r="327" spans="260:260" s="70" customFormat="1" ht="24.75" customHeight="1" x14ac:dyDescent="0.3">
      <c r="IZ327" s="88"/>
    </row>
    <row r="328" spans="260:260" s="70" customFormat="1" ht="24.75" customHeight="1" x14ac:dyDescent="0.3">
      <c r="IZ328" s="88"/>
    </row>
    <row r="329" spans="260:260" s="70" customFormat="1" ht="24.75" customHeight="1" x14ac:dyDescent="0.3">
      <c r="IZ329" s="88"/>
    </row>
    <row r="330" spans="260:260" s="70" customFormat="1" ht="24.75" customHeight="1" x14ac:dyDescent="0.3">
      <c r="IZ330" s="88"/>
    </row>
    <row r="331" spans="260:260" s="70" customFormat="1" ht="24.75" customHeight="1" x14ac:dyDescent="0.3">
      <c r="IZ331" s="88"/>
    </row>
    <row r="332" spans="260:260" s="70" customFormat="1" ht="24.75" customHeight="1" x14ac:dyDescent="0.3">
      <c r="IZ332" s="88"/>
    </row>
    <row r="333" spans="260:260" s="70" customFormat="1" ht="24.75" customHeight="1" x14ac:dyDescent="0.3">
      <c r="IZ333" s="88"/>
    </row>
    <row r="334" spans="260:260" s="70" customFormat="1" ht="24.75" customHeight="1" x14ac:dyDescent="0.3">
      <c r="IZ334" s="88"/>
    </row>
    <row r="335" spans="260:260" s="70" customFormat="1" ht="24.75" customHeight="1" x14ac:dyDescent="0.3">
      <c r="IZ335" s="88"/>
    </row>
    <row r="336" spans="260:260" s="70" customFormat="1" ht="24.75" customHeight="1" x14ac:dyDescent="0.3">
      <c r="IZ336" s="88"/>
    </row>
    <row r="337" spans="260:260" s="70" customFormat="1" ht="24.75" customHeight="1" x14ac:dyDescent="0.3">
      <c r="IZ337" s="88"/>
    </row>
    <row r="338" spans="260:260" s="70" customFormat="1" ht="24.75" customHeight="1" x14ac:dyDescent="0.3">
      <c r="IZ338" s="88"/>
    </row>
    <row r="339" spans="260:260" s="70" customFormat="1" ht="24.75" customHeight="1" x14ac:dyDescent="0.3">
      <c r="IZ339" s="88"/>
    </row>
    <row r="340" spans="260:260" s="70" customFormat="1" ht="24.75" customHeight="1" x14ac:dyDescent="0.3">
      <c r="IZ340" s="88"/>
    </row>
    <row r="341" spans="260:260" s="70" customFormat="1" ht="24.75" customHeight="1" x14ac:dyDescent="0.3">
      <c r="IZ341" s="88"/>
    </row>
    <row r="342" spans="260:260" s="70" customFormat="1" ht="24.75" customHeight="1" x14ac:dyDescent="0.3">
      <c r="IZ342" s="88"/>
    </row>
    <row r="343" spans="260:260" s="70" customFormat="1" ht="24.75" customHeight="1" x14ac:dyDescent="0.3">
      <c r="IZ343" s="88"/>
    </row>
    <row r="344" spans="260:260" s="70" customFormat="1" ht="24.75" customHeight="1" x14ac:dyDescent="0.3">
      <c r="IZ344" s="88"/>
    </row>
    <row r="345" spans="260:260" s="70" customFormat="1" ht="24.75" customHeight="1" x14ac:dyDescent="0.3">
      <c r="IZ345" s="88"/>
    </row>
    <row r="346" spans="260:260" s="70" customFormat="1" ht="24.75" customHeight="1" x14ac:dyDescent="0.3">
      <c r="IZ346" s="88"/>
    </row>
    <row r="347" spans="260:260" s="70" customFormat="1" ht="24.75" customHeight="1" x14ac:dyDescent="0.3">
      <c r="IZ347" s="88"/>
    </row>
    <row r="348" spans="260:260" s="70" customFormat="1" ht="24.75" customHeight="1" x14ac:dyDescent="0.3">
      <c r="IZ348" s="88"/>
    </row>
    <row r="349" spans="260:260" s="70" customFormat="1" ht="24.75" customHeight="1" x14ac:dyDescent="0.3">
      <c r="IZ349" s="88"/>
    </row>
    <row r="350" spans="260:260" s="70" customFormat="1" ht="24.75" customHeight="1" x14ac:dyDescent="0.3">
      <c r="IZ350" s="88"/>
    </row>
    <row r="351" spans="260:260" s="70" customFormat="1" ht="24.75" customHeight="1" x14ac:dyDescent="0.3">
      <c r="IZ351" s="88"/>
    </row>
    <row r="352" spans="260:260" s="70" customFormat="1" ht="24.75" customHeight="1" x14ac:dyDescent="0.3">
      <c r="IZ352" s="88"/>
    </row>
    <row r="353" spans="260:260" s="70" customFormat="1" ht="24.75" customHeight="1" x14ac:dyDescent="0.3">
      <c r="IZ353" s="88"/>
    </row>
    <row r="354" spans="260:260" s="70" customFormat="1" ht="24.75" customHeight="1" x14ac:dyDescent="0.3">
      <c r="IZ354" s="88"/>
    </row>
    <row r="355" spans="260:260" s="70" customFormat="1" ht="24.75" customHeight="1" x14ac:dyDescent="0.3">
      <c r="IZ355" s="88"/>
    </row>
    <row r="356" spans="260:260" s="70" customFormat="1" ht="24.75" customHeight="1" x14ac:dyDescent="0.3">
      <c r="IZ356" s="88"/>
    </row>
    <row r="357" spans="260:260" s="70" customFormat="1" ht="24.75" customHeight="1" x14ac:dyDescent="0.3">
      <c r="IZ357" s="88"/>
    </row>
    <row r="358" spans="260:260" s="70" customFormat="1" ht="24.75" customHeight="1" x14ac:dyDescent="0.3">
      <c r="IZ358" s="88"/>
    </row>
    <row r="359" spans="260:260" s="70" customFormat="1" ht="24.75" customHeight="1" x14ac:dyDescent="0.3">
      <c r="IZ359" s="88"/>
    </row>
    <row r="360" spans="260:260" s="70" customFormat="1" ht="24.75" customHeight="1" x14ac:dyDescent="0.3">
      <c r="IZ360" s="88"/>
    </row>
    <row r="361" spans="260:260" s="70" customFormat="1" ht="24.75" customHeight="1" x14ac:dyDescent="0.3">
      <c r="IZ361" s="88"/>
    </row>
    <row r="362" spans="260:260" s="70" customFormat="1" ht="24.75" customHeight="1" x14ac:dyDescent="0.3">
      <c r="IZ362" s="88"/>
    </row>
    <row r="363" spans="260:260" s="70" customFormat="1" ht="24.75" customHeight="1" x14ac:dyDescent="0.3">
      <c r="IZ363" s="88"/>
    </row>
    <row r="364" spans="260:260" s="70" customFormat="1" ht="24.75" customHeight="1" x14ac:dyDescent="0.3">
      <c r="IZ364" s="88"/>
    </row>
    <row r="365" spans="260:260" s="70" customFormat="1" ht="24.75" customHeight="1" x14ac:dyDescent="0.3">
      <c r="IZ365" s="88"/>
    </row>
    <row r="366" spans="260:260" s="70" customFormat="1" ht="24.75" customHeight="1" x14ac:dyDescent="0.3">
      <c r="IZ366" s="88"/>
    </row>
    <row r="367" spans="260:260" s="70" customFormat="1" ht="24.75" customHeight="1" x14ac:dyDescent="0.3">
      <c r="IZ367" s="88"/>
    </row>
    <row r="368" spans="260:260" s="70" customFormat="1" ht="24.75" customHeight="1" x14ac:dyDescent="0.3">
      <c r="IZ368" s="88"/>
    </row>
    <row r="369" spans="260:260" s="70" customFormat="1" ht="24.75" customHeight="1" x14ac:dyDescent="0.3">
      <c r="IZ369" s="88"/>
    </row>
    <row r="370" spans="260:260" s="70" customFormat="1" ht="24.75" customHeight="1" x14ac:dyDescent="0.3">
      <c r="IZ370" s="88"/>
    </row>
    <row r="371" spans="260:260" s="70" customFormat="1" ht="24.75" customHeight="1" x14ac:dyDescent="0.3">
      <c r="IZ371" s="88"/>
    </row>
    <row r="372" spans="260:260" s="70" customFormat="1" ht="24.75" customHeight="1" x14ac:dyDescent="0.3">
      <c r="IZ372" s="88"/>
    </row>
    <row r="373" spans="260:260" s="70" customFormat="1" ht="24.75" customHeight="1" x14ac:dyDescent="0.3">
      <c r="IZ373" s="88"/>
    </row>
    <row r="374" spans="260:260" s="70" customFormat="1" ht="24.75" customHeight="1" x14ac:dyDescent="0.3">
      <c r="IZ374" s="88"/>
    </row>
    <row r="375" spans="260:260" s="70" customFormat="1" ht="24.75" customHeight="1" x14ac:dyDescent="0.3">
      <c r="IZ375" s="88"/>
    </row>
    <row r="376" spans="260:260" s="70" customFormat="1" ht="24.75" customHeight="1" x14ac:dyDescent="0.3">
      <c r="IZ376" s="88"/>
    </row>
    <row r="377" spans="260:260" s="70" customFormat="1" ht="24.75" customHeight="1" x14ac:dyDescent="0.3">
      <c r="IZ377" s="88"/>
    </row>
    <row r="378" spans="260:260" s="70" customFormat="1" ht="24.75" customHeight="1" x14ac:dyDescent="0.3">
      <c r="IZ378" s="88"/>
    </row>
    <row r="379" spans="260:260" s="70" customFormat="1" ht="24.75" customHeight="1" x14ac:dyDescent="0.3">
      <c r="IZ379" s="88"/>
    </row>
    <row r="380" spans="260:260" s="70" customFormat="1" ht="24.75" customHeight="1" x14ac:dyDescent="0.3">
      <c r="IZ380" s="88"/>
    </row>
    <row r="381" spans="260:260" s="70" customFormat="1" ht="24.75" customHeight="1" x14ac:dyDescent="0.3">
      <c r="IZ381" s="88"/>
    </row>
    <row r="382" spans="260:260" s="70" customFormat="1" ht="24.75" customHeight="1" x14ac:dyDescent="0.3">
      <c r="IZ382" s="88"/>
    </row>
    <row r="383" spans="260:260" s="70" customFormat="1" ht="24.75" customHeight="1" x14ac:dyDescent="0.3">
      <c r="IZ383" s="88"/>
    </row>
    <row r="384" spans="260:260" s="70" customFormat="1" ht="24.75" customHeight="1" x14ac:dyDescent="0.3">
      <c r="IZ384" s="88"/>
    </row>
    <row r="385" spans="260:260" s="70" customFormat="1" ht="24.75" customHeight="1" x14ac:dyDescent="0.3">
      <c r="IZ385" s="88"/>
    </row>
    <row r="386" spans="260:260" s="70" customFormat="1" ht="24.75" customHeight="1" x14ac:dyDescent="0.3">
      <c r="IZ386" s="88"/>
    </row>
    <row r="387" spans="260:260" s="70" customFormat="1" ht="24.75" customHeight="1" x14ac:dyDescent="0.3">
      <c r="IZ387" s="88"/>
    </row>
    <row r="388" spans="260:260" s="70" customFormat="1" ht="24.75" customHeight="1" x14ac:dyDescent="0.3">
      <c r="IZ388" s="88"/>
    </row>
    <row r="389" spans="260:260" s="70" customFormat="1" ht="24.75" customHeight="1" x14ac:dyDescent="0.3">
      <c r="IZ389" s="88"/>
    </row>
    <row r="390" spans="260:260" s="70" customFormat="1" ht="24.75" customHeight="1" x14ac:dyDescent="0.3">
      <c r="IZ390" s="88"/>
    </row>
    <row r="391" spans="260:260" s="70" customFormat="1" ht="24.75" customHeight="1" x14ac:dyDescent="0.3">
      <c r="IZ391" s="88"/>
    </row>
    <row r="392" spans="260:260" s="70" customFormat="1" ht="24.75" customHeight="1" x14ac:dyDescent="0.3">
      <c r="IZ392" s="88"/>
    </row>
    <row r="393" spans="260:260" s="70" customFormat="1" ht="24.75" customHeight="1" x14ac:dyDescent="0.3">
      <c r="IZ393" s="88"/>
    </row>
    <row r="394" spans="260:260" s="70" customFormat="1" ht="24.75" customHeight="1" x14ac:dyDescent="0.3">
      <c r="IZ394" s="88"/>
    </row>
    <row r="395" spans="260:260" s="70" customFormat="1" ht="24.75" customHeight="1" x14ac:dyDescent="0.3">
      <c r="IZ395" s="88"/>
    </row>
    <row r="396" spans="260:260" s="70" customFormat="1" ht="24.75" customHeight="1" x14ac:dyDescent="0.3">
      <c r="IZ396" s="88"/>
    </row>
    <row r="397" spans="260:260" s="70" customFormat="1" ht="24.75" customHeight="1" x14ac:dyDescent="0.3">
      <c r="IZ397" s="88"/>
    </row>
    <row r="398" spans="260:260" s="70" customFormat="1" ht="24.75" customHeight="1" x14ac:dyDescent="0.3">
      <c r="IZ398" s="88"/>
    </row>
    <row r="399" spans="260:260" s="70" customFormat="1" ht="24.75" customHeight="1" x14ac:dyDescent="0.3">
      <c r="IZ399" s="88"/>
    </row>
    <row r="400" spans="260:260" s="70" customFormat="1" ht="24.75" customHeight="1" x14ac:dyDescent="0.3">
      <c r="IZ400" s="88"/>
    </row>
    <row r="401" spans="260:260" s="70" customFormat="1" ht="24.75" customHeight="1" x14ac:dyDescent="0.3">
      <c r="IZ401" s="88"/>
    </row>
    <row r="402" spans="260:260" s="70" customFormat="1" ht="24.75" customHeight="1" x14ac:dyDescent="0.3">
      <c r="IZ402" s="88"/>
    </row>
    <row r="403" spans="260:260" s="70" customFormat="1" ht="24.75" customHeight="1" x14ac:dyDescent="0.3">
      <c r="IZ403" s="88"/>
    </row>
    <row r="404" spans="260:260" s="70" customFormat="1" ht="24.75" customHeight="1" x14ac:dyDescent="0.3">
      <c r="IZ404" s="88"/>
    </row>
    <row r="405" spans="260:260" s="70" customFormat="1" ht="24.75" customHeight="1" x14ac:dyDescent="0.3">
      <c r="IZ405" s="88"/>
    </row>
    <row r="406" spans="260:260" s="70" customFormat="1" ht="24.75" customHeight="1" x14ac:dyDescent="0.3">
      <c r="IZ406" s="88"/>
    </row>
    <row r="407" spans="260:260" s="70" customFormat="1" ht="24.75" customHeight="1" x14ac:dyDescent="0.3">
      <c r="IZ407" s="88"/>
    </row>
    <row r="408" spans="260:260" s="70" customFormat="1" ht="24.75" customHeight="1" x14ac:dyDescent="0.3">
      <c r="IZ408" s="88"/>
    </row>
    <row r="409" spans="260:260" s="70" customFormat="1" ht="24.75" customHeight="1" x14ac:dyDescent="0.3">
      <c r="IZ409" s="88"/>
    </row>
    <row r="410" spans="260:260" s="70" customFormat="1" ht="24.75" customHeight="1" x14ac:dyDescent="0.3">
      <c r="IZ410" s="88"/>
    </row>
    <row r="411" spans="260:260" s="70" customFormat="1" ht="24.75" customHeight="1" x14ac:dyDescent="0.3">
      <c r="IZ411" s="88"/>
    </row>
    <row r="412" spans="260:260" s="70" customFormat="1" ht="24.75" customHeight="1" x14ac:dyDescent="0.3">
      <c r="IZ412" s="88"/>
    </row>
    <row r="413" spans="260:260" s="70" customFormat="1" ht="24.75" customHeight="1" x14ac:dyDescent="0.3">
      <c r="IZ413" s="88"/>
    </row>
    <row r="414" spans="260:260" s="70" customFormat="1" ht="24.75" customHeight="1" x14ac:dyDescent="0.3">
      <c r="IZ414" s="88"/>
    </row>
    <row r="415" spans="260:260" s="70" customFormat="1" ht="24.75" customHeight="1" x14ac:dyDescent="0.3">
      <c r="IZ415" s="88"/>
    </row>
    <row r="416" spans="260:260" s="70" customFormat="1" ht="24.75" customHeight="1" x14ac:dyDescent="0.3">
      <c r="IZ416" s="88"/>
    </row>
    <row r="417" spans="260:260" s="70" customFormat="1" ht="24.75" customHeight="1" x14ac:dyDescent="0.3">
      <c r="IZ417" s="88"/>
    </row>
    <row r="418" spans="260:260" s="70" customFormat="1" ht="24.75" customHeight="1" x14ac:dyDescent="0.3">
      <c r="IZ418" s="88"/>
    </row>
    <row r="419" spans="260:260" s="70" customFormat="1" ht="24.75" customHeight="1" x14ac:dyDescent="0.3">
      <c r="IZ419" s="88"/>
    </row>
    <row r="420" spans="260:260" s="70" customFormat="1" ht="24.75" customHeight="1" x14ac:dyDescent="0.3">
      <c r="IZ420" s="88"/>
    </row>
    <row r="421" spans="260:260" s="70" customFormat="1" ht="24.75" customHeight="1" x14ac:dyDescent="0.3">
      <c r="IZ421" s="88"/>
    </row>
    <row r="422" spans="260:260" s="70" customFormat="1" ht="24.75" customHeight="1" x14ac:dyDescent="0.3">
      <c r="IZ422" s="88"/>
    </row>
    <row r="423" spans="260:260" s="70" customFormat="1" ht="24.75" customHeight="1" x14ac:dyDescent="0.3">
      <c r="IZ423" s="88"/>
    </row>
    <row r="424" spans="260:260" s="70" customFormat="1" ht="24.75" customHeight="1" x14ac:dyDescent="0.3">
      <c r="IZ424" s="88"/>
    </row>
    <row r="425" spans="260:260" s="70" customFormat="1" ht="24.75" customHeight="1" x14ac:dyDescent="0.3">
      <c r="IZ425" s="88"/>
    </row>
    <row r="426" spans="260:260" s="70" customFormat="1" ht="24.75" customHeight="1" x14ac:dyDescent="0.3">
      <c r="IZ426" s="88"/>
    </row>
    <row r="427" spans="260:260" s="70" customFormat="1" ht="24.75" customHeight="1" x14ac:dyDescent="0.3">
      <c r="IZ427" s="88"/>
    </row>
    <row r="428" spans="260:260" s="70" customFormat="1" ht="24.75" customHeight="1" x14ac:dyDescent="0.3">
      <c r="IZ428" s="88"/>
    </row>
    <row r="429" spans="260:260" s="70" customFormat="1" ht="24.75" customHeight="1" x14ac:dyDescent="0.3">
      <c r="IZ429" s="88"/>
    </row>
    <row r="430" spans="260:260" s="70" customFormat="1" ht="24.75" customHeight="1" x14ac:dyDescent="0.3">
      <c r="IZ430" s="88"/>
    </row>
    <row r="431" spans="260:260" s="70" customFormat="1" ht="24.75" customHeight="1" x14ac:dyDescent="0.3">
      <c r="IZ431" s="88"/>
    </row>
    <row r="432" spans="260:260" s="70" customFormat="1" ht="24.75" customHeight="1" x14ac:dyDescent="0.3">
      <c r="IZ432" s="88"/>
    </row>
    <row r="433" spans="260:260" s="70" customFormat="1" ht="24.75" customHeight="1" x14ac:dyDescent="0.3">
      <c r="IZ433" s="88"/>
    </row>
    <row r="434" spans="260:260" s="70" customFormat="1" ht="24.75" customHeight="1" x14ac:dyDescent="0.3">
      <c r="IZ434" s="88"/>
    </row>
    <row r="435" spans="260:260" s="70" customFormat="1" ht="24.75" customHeight="1" x14ac:dyDescent="0.3">
      <c r="IZ435" s="88"/>
    </row>
    <row r="436" spans="260:260" s="70" customFormat="1" ht="24.75" customHeight="1" x14ac:dyDescent="0.3">
      <c r="IZ436" s="88"/>
    </row>
    <row r="437" spans="260:260" s="70" customFormat="1" ht="24.75" customHeight="1" x14ac:dyDescent="0.3">
      <c r="IZ437" s="88"/>
    </row>
    <row r="438" spans="260:260" s="70" customFormat="1" ht="24.75" customHeight="1" x14ac:dyDescent="0.3">
      <c r="IZ438" s="88"/>
    </row>
    <row r="439" spans="260:260" s="70" customFormat="1" ht="24.75" customHeight="1" x14ac:dyDescent="0.3">
      <c r="IZ439" s="88"/>
    </row>
    <row r="440" spans="260:260" s="70" customFormat="1" ht="24.75" customHeight="1" x14ac:dyDescent="0.3">
      <c r="IZ440" s="88"/>
    </row>
    <row r="441" spans="260:260" s="70" customFormat="1" ht="24.75" customHeight="1" x14ac:dyDescent="0.3">
      <c r="IZ441" s="88"/>
    </row>
    <row r="442" spans="260:260" s="70" customFormat="1" ht="24.75" customHeight="1" x14ac:dyDescent="0.3">
      <c r="IZ442" s="88"/>
    </row>
    <row r="443" spans="260:260" s="70" customFormat="1" ht="24.75" customHeight="1" x14ac:dyDescent="0.3">
      <c r="IZ443" s="88"/>
    </row>
    <row r="444" spans="260:260" s="70" customFormat="1" ht="24.75" customHeight="1" x14ac:dyDescent="0.3">
      <c r="IZ444" s="88"/>
    </row>
    <row r="445" spans="260:260" s="70" customFormat="1" ht="24.75" customHeight="1" x14ac:dyDescent="0.3">
      <c r="IZ445" s="88"/>
    </row>
    <row r="446" spans="260:260" s="70" customFormat="1" ht="24.75" customHeight="1" x14ac:dyDescent="0.3">
      <c r="IZ446" s="88"/>
    </row>
    <row r="447" spans="260:260" s="70" customFormat="1" ht="24.75" customHeight="1" x14ac:dyDescent="0.3">
      <c r="IZ447" s="88"/>
    </row>
    <row r="448" spans="260:260" s="70" customFormat="1" ht="24.75" customHeight="1" x14ac:dyDescent="0.3">
      <c r="IZ448" s="88"/>
    </row>
    <row r="449" spans="260:260" s="70" customFormat="1" ht="24.75" customHeight="1" x14ac:dyDescent="0.3">
      <c r="IZ449" s="88"/>
    </row>
    <row r="450" spans="260:260" s="70" customFormat="1" ht="24.75" customHeight="1" x14ac:dyDescent="0.3">
      <c r="IZ450" s="88"/>
    </row>
    <row r="451" spans="260:260" s="70" customFormat="1" ht="24.75" customHeight="1" x14ac:dyDescent="0.3">
      <c r="IZ451" s="88"/>
    </row>
    <row r="452" spans="260:260" s="70" customFormat="1" ht="24.75" customHeight="1" x14ac:dyDescent="0.3">
      <c r="IZ452" s="88"/>
    </row>
    <row r="453" spans="260:260" s="70" customFormat="1" ht="24.75" customHeight="1" x14ac:dyDescent="0.3">
      <c r="IZ453" s="88"/>
    </row>
    <row r="454" spans="260:260" s="70" customFormat="1" ht="24.75" customHeight="1" x14ac:dyDescent="0.3">
      <c r="IZ454" s="88"/>
    </row>
    <row r="455" spans="260:260" s="70" customFormat="1" ht="24.75" customHeight="1" x14ac:dyDescent="0.3">
      <c r="IZ455" s="88"/>
    </row>
    <row r="456" spans="260:260" s="70" customFormat="1" ht="24.75" customHeight="1" x14ac:dyDescent="0.3">
      <c r="IZ456" s="88"/>
    </row>
    <row r="457" spans="260:260" s="70" customFormat="1" ht="24.75" customHeight="1" x14ac:dyDescent="0.3">
      <c r="IZ457" s="88"/>
    </row>
    <row r="458" spans="260:260" s="70" customFormat="1" ht="24.75" customHeight="1" x14ac:dyDescent="0.3">
      <c r="IZ458" s="88"/>
    </row>
    <row r="459" spans="260:260" s="70" customFormat="1" ht="24.75" customHeight="1" x14ac:dyDescent="0.3">
      <c r="IZ459" s="88"/>
    </row>
    <row r="460" spans="260:260" s="70" customFormat="1" ht="24.75" customHeight="1" x14ac:dyDescent="0.3">
      <c r="IZ460" s="88"/>
    </row>
    <row r="461" spans="260:260" s="70" customFormat="1" ht="24.75" customHeight="1" x14ac:dyDescent="0.3">
      <c r="IZ461" s="88"/>
    </row>
    <row r="462" spans="260:260" s="70" customFormat="1" ht="24.75" customHeight="1" x14ac:dyDescent="0.3">
      <c r="IZ462" s="88"/>
    </row>
    <row r="463" spans="260:260" s="70" customFormat="1" ht="24.75" customHeight="1" x14ac:dyDescent="0.3">
      <c r="IZ463" s="88"/>
    </row>
    <row r="464" spans="260:260" s="70" customFormat="1" ht="24.75" customHeight="1" x14ac:dyDescent="0.3">
      <c r="IZ464" s="88"/>
    </row>
    <row r="465" spans="260:260" s="70" customFormat="1" ht="24.75" customHeight="1" x14ac:dyDescent="0.3">
      <c r="IZ465" s="88"/>
    </row>
    <row r="466" spans="260:260" s="70" customFormat="1" ht="24.75" customHeight="1" x14ac:dyDescent="0.3">
      <c r="IZ466" s="88"/>
    </row>
    <row r="467" spans="260:260" s="70" customFormat="1" ht="24.75" customHeight="1" x14ac:dyDescent="0.3">
      <c r="IZ467" s="88"/>
    </row>
    <row r="468" spans="260:260" s="70" customFormat="1" ht="24.75" customHeight="1" x14ac:dyDescent="0.3">
      <c r="IZ468" s="88"/>
    </row>
    <row r="469" spans="260:260" s="70" customFormat="1" ht="24.75" customHeight="1" x14ac:dyDescent="0.3">
      <c r="IZ469" s="88"/>
    </row>
    <row r="470" spans="260:260" s="70" customFormat="1" ht="24.75" customHeight="1" x14ac:dyDescent="0.3">
      <c r="IZ470" s="88"/>
    </row>
    <row r="471" spans="260:260" s="70" customFormat="1" ht="24.75" customHeight="1" x14ac:dyDescent="0.3">
      <c r="IZ471" s="88"/>
    </row>
    <row r="472" spans="260:260" s="70" customFormat="1" ht="24.75" customHeight="1" x14ac:dyDescent="0.3">
      <c r="IZ472" s="88"/>
    </row>
    <row r="473" spans="260:260" s="70" customFormat="1" ht="24.75" customHeight="1" x14ac:dyDescent="0.3">
      <c r="IZ473" s="88"/>
    </row>
    <row r="474" spans="260:260" s="70" customFormat="1" ht="24.75" customHeight="1" x14ac:dyDescent="0.3">
      <c r="IZ474" s="88"/>
    </row>
    <row r="475" spans="260:260" s="70" customFormat="1" ht="24.75" customHeight="1" x14ac:dyDescent="0.3">
      <c r="IZ475" s="88"/>
    </row>
    <row r="476" spans="260:260" s="70" customFormat="1" ht="24.75" customHeight="1" x14ac:dyDescent="0.3">
      <c r="IZ476" s="88"/>
    </row>
    <row r="477" spans="260:260" s="70" customFormat="1" ht="24.75" customHeight="1" x14ac:dyDescent="0.3">
      <c r="IZ477" s="88"/>
    </row>
    <row r="478" spans="260:260" s="70" customFormat="1" ht="24.75" customHeight="1" x14ac:dyDescent="0.3">
      <c r="IZ478" s="88"/>
    </row>
    <row r="479" spans="260:260" s="70" customFormat="1" ht="24.75" customHeight="1" x14ac:dyDescent="0.3">
      <c r="IZ479" s="88"/>
    </row>
    <row r="480" spans="260:260" s="70" customFormat="1" ht="24.75" customHeight="1" x14ac:dyDescent="0.3">
      <c r="IZ480" s="88"/>
    </row>
    <row r="481" spans="260:260" s="70" customFormat="1" ht="24.75" customHeight="1" x14ac:dyDescent="0.3">
      <c r="IZ481" s="88"/>
    </row>
    <row r="482" spans="260:260" s="70" customFormat="1" ht="24.75" customHeight="1" x14ac:dyDescent="0.3">
      <c r="IZ482" s="88"/>
    </row>
    <row r="483" spans="260:260" s="70" customFormat="1" ht="24.75" customHeight="1" x14ac:dyDescent="0.3">
      <c r="IZ483" s="88"/>
    </row>
    <row r="484" spans="260:260" s="70" customFormat="1" ht="24.75" customHeight="1" x14ac:dyDescent="0.3">
      <c r="IZ484" s="88"/>
    </row>
    <row r="485" spans="260:260" s="70" customFormat="1" ht="24.75" customHeight="1" x14ac:dyDescent="0.3">
      <c r="IZ485" s="88"/>
    </row>
    <row r="486" spans="260:260" s="70" customFormat="1" ht="24.75" customHeight="1" x14ac:dyDescent="0.3">
      <c r="IZ486" s="88"/>
    </row>
    <row r="487" spans="260:260" s="70" customFormat="1" ht="24.75" customHeight="1" x14ac:dyDescent="0.3">
      <c r="IZ487" s="88"/>
    </row>
    <row r="488" spans="260:260" s="70" customFormat="1" ht="24.75" customHeight="1" x14ac:dyDescent="0.3">
      <c r="IZ488" s="88"/>
    </row>
    <row r="489" spans="260:260" s="70" customFormat="1" ht="24.75" customHeight="1" x14ac:dyDescent="0.3">
      <c r="IZ489" s="88"/>
    </row>
    <row r="490" spans="260:260" s="70" customFormat="1" ht="24.75" customHeight="1" x14ac:dyDescent="0.3">
      <c r="IZ490" s="88"/>
    </row>
    <row r="491" spans="260:260" s="70" customFormat="1" ht="24.75" customHeight="1" x14ac:dyDescent="0.3">
      <c r="IZ491" s="88"/>
    </row>
    <row r="492" spans="260:260" s="70" customFormat="1" ht="24.75" customHeight="1" x14ac:dyDescent="0.3">
      <c r="IZ492" s="88"/>
    </row>
    <row r="493" spans="260:260" s="70" customFormat="1" ht="24.75" customHeight="1" x14ac:dyDescent="0.3">
      <c r="IZ493" s="88"/>
    </row>
    <row r="494" spans="260:260" s="70" customFormat="1" ht="24.75" customHeight="1" x14ac:dyDescent="0.3">
      <c r="IZ494" s="88"/>
    </row>
    <row r="495" spans="260:260" s="70" customFormat="1" ht="24.75" customHeight="1" x14ac:dyDescent="0.3">
      <c r="IZ495" s="88"/>
    </row>
    <row r="496" spans="260:260" s="70" customFormat="1" ht="24.75" customHeight="1" x14ac:dyDescent="0.3">
      <c r="IZ496" s="88"/>
    </row>
    <row r="497" spans="260:260" s="70" customFormat="1" ht="24.75" customHeight="1" x14ac:dyDescent="0.3">
      <c r="IZ497" s="88"/>
    </row>
    <row r="498" spans="260:260" s="70" customFormat="1" ht="24.75" customHeight="1" x14ac:dyDescent="0.3">
      <c r="IZ498" s="88"/>
    </row>
    <row r="499" spans="260:260" s="70" customFormat="1" ht="24.75" customHeight="1" x14ac:dyDescent="0.3">
      <c r="IZ499" s="88"/>
    </row>
    <row r="500" spans="260:260" s="70" customFormat="1" ht="24.75" customHeight="1" x14ac:dyDescent="0.3">
      <c r="IZ500" s="88"/>
    </row>
    <row r="501" spans="260:260" s="70" customFormat="1" ht="24.75" customHeight="1" x14ac:dyDescent="0.3">
      <c r="IZ501" s="88"/>
    </row>
    <row r="502" spans="260:260" s="70" customFormat="1" ht="24.75" customHeight="1" x14ac:dyDescent="0.3">
      <c r="IZ502" s="88"/>
    </row>
    <row r="503" spans="260:260" s="70" customFormat="1" ht="24.75" customHeight="1" x14ac:dyDescent="0.3">
      <c r="IZ503" s="88"/>
    </row>
    <row r="504" spans="260:260" s="70" customFormat="1" ht="24.75" customHeight="1" x14ac:dyDescent="0.3">
      <c r="IZ504" s="88"/>
    </row>
    <row r="505" spans="260:260" s="70" customFormat="1" ht="24.75" customHeight="1" x14ac:dyDescent="0.3">
      <c r="IZ505" s="88"/>
    </row>
    <row r="506" spans="260:260" s="70" customFormat="1" ht="24.75" customHeight="1" x14ac:dyDescent="0.3">
      <c r="IZ506" s="88"/>
    </row>
    <row r="507" spans="260:260" s="70" customFormat="1" ht="24.75" customHeight="1" x14ac:dyDescent="0.3">
      <c r="IZ507" s="88"/>
    </row>
    <row r="508" spans="260:260" s="70" customFormat="1" ht="24.75" customHeight="1" x14ac:dyDescent="0.3">
      <c r="IZ508" s="88"/>
    </row>
    <row r="509" spans="260:260" s="70" customFormat="1" ht="24.75" customHeight="1" x14ac:dyDescent="0.3">
      <c r="IZ509" s="88"/>
    </row>
    <row r="510" spans="260:260" s="70" customFormat="1" ht="24.75" customHeight="1" x14ac:dyDescent="0.3">
      <c r="IZ510" s="88"/>
    </row>
    <row r="511" spans="260:260" s="70" customFormat="1" ht="24.75" customHeight="1" x14ac:dyDescent="0.3">
      <c r="IZ511" s="88"/>
    </row>
    <row r="512" spans="260:260" s="70" customFormat="1" ht="24.75" customHeight="1" x14ac:dyDescent="0.3">
      <c r="IZ512" s="88"/>
    </row>
    <row r="513" spans="260:260" s="70" customFormat="1" ht="24.75" customHeight="1" x14ac:dyDescent="0.3">
      <c r="IZ513" s="88"/>
    </row>
    <row r="514" spans="260:260" s="70" customFormat="1" ht="24.75" customHeight="1" x14ac:dyDescent="0.3">
      <c r="IZ514" s="88"/>
    </row>
    <row r="515" spans="260:260" s="70" customFormat="1" ht="24.75" customHeight="1" x14ac:dyDescent="0.3">
      <c r="IZ515" s="88"/>
    </row>
    <row r="516" spans="260:260" s="70" customFormat="1" ht="24.75" customHeight="1" x14ac:dyDescent="0.3">
      <c r="IZ516" s="88"/>
    </row>
    <row r="517" spans="260:260" s="70" customFormat="1" ht="24.75" customHeight="1" x14ac:dyDescent="0.3">
      <c r="IZ517" s="88"/>
    </row>
    <row r="518" spans="260:260" s="70" customFormat="1" ht="24.75" customHeight="1" x14ac:dyDescent="0.3">
      <c r="IZ518" s="88"/>
    </row>
    <row r="519" spans="260:260" s="70" customFormat="1" ht="24.75" customHeight="1" x14ac:dyDescent="0.3">
      <c r="IZ519" s="88"/>
    </row>
    <row r="520" spans="260:260" s="70" customFormat="1" ht="24.75" customHeight="1" x14ac:dyDescent="0.3">
      <c r="IZ520" s="88"/>
    </row>
    <row r="521" spans="260:260" s="70" customFormat="1" ht="24.75" customHeight="1" x14ac:dyDescent="0.3">
      <c r="IZ521" s="88"/>
    </row>
    <row r="522" spans="260:260" s="70" customFormat="1" ht="24.75" customHeight="1" x14ac:dyDescent="0.3">
      <c r="IZ522" s="88"/>
    </row>
    <row r="523" spans="260:260" s="70" customFormat="1" ht="24.75" customHeight="1" x14ac:dyDescent="0.3">
      <c r="IZ523" s="88"/>
    </row>
    <row r="524" spans="260:260" s="70" customFormat="1" ht="24.75" customHeight="1" x14ac:dyDescent="0.3">
      <c r="IZ524" s="88"/>
    </row>
    <row r="525" spans="260:260" s="70" customFormat="1" ht="24.75" customHeight="1" x14ac:dyDescent="0.3">
      <c r="IZ525" s="88"/>
    </row>
    <row r="526" spans="260:260" s="70" customFormat="1" ht="24.75" customHeight="1" x14ac:dyDescent="0.3">
      <c r="IZ526" s="88"/>
    </row>
    <row r="527" spans="260:260" s="70" customFormat="1" ht="24.75" customHeight="1" x14ac:dyDescent="0.3">
      <c r="IZ527" s="88"/>
    </row>
    <row r="528" spans="260:260" s="70" customFormat="1" ht="24.75" customHeight="1" x14ac:dyDescent="0.3">
      <c r="IZ528" s="88"/>
    </row>
    <row r="529" spans="260:260" s="70" customFormat="1" ht="24.75" customHeight="1" x14ac:dyDescent="0.3">
      <c r="IZ529" s="88"/>
    </row>
    <row r="530" spans="260:260" s="70" customFormat="1" ht="24.75" customHeight="1" x14ac:dyDescent="0.3">
      <c r="IZ530" s="88"/>
    </row>
    <row r="531" spans="260:260" s="70" customFormat="1" ht="24.75" customHeight="1" x14ac:dyDescent="0.3">
      <c r="IZ531" s="88"/>
    </row>
    <row r="532" spans="260:260" s="70" customFormat="1" ht="24.75" customHeight="1" x14ac:dyDescent="0.3">
      <c r="IZ532" s="88"/>
    </row>
    <row r="533" spans="260:260" s="70" customFormat="1" ht="24.75" customHeight="1" x14ac:dyDescent="0.3">
      <c r="IZ533" s="88"/>
    </row>
    <row r="534" spans="260:260" s="70" customFormat="1" ht="24.75" customHeight="1" x14ac:dyDescent="0.3">
      <c r="IZ534" s="88"/>
    </row>
    <row r="535" spans="260:260" s="70" customFormat="1" ht="24.75" customHeight="1" x14ac:dyDescent="0.3">
      <c r="IZ535" s="88"/>
    </row>
    <row r="536" spans="260:260" s="70" customFormat="1" ht="24.75" customHeight="1" x14ac:dyDescent="0.3">
      <c r="IZ536" s="88"/>
    </row>
    <row r="537" spans="260:260" s="70" customFormat="1" ht="24.75" customHeight="1" x14ac:dyDescent="0.3">
      <c r="IZ537" s="88"/>
    </row>
    <row r="538" spans="260:260" s="70" customFormat="1" ht="24.75" customHeight="1" x14ac:dyDescent="0.3">
      <c r="IZ538" s="88"/>
    </row>
    <row r="539" spans="260:260" s="70" customFormat="1" ht="24.75" customHeight="1" x14ac:dyDescent="0.3">
      <c r="IZ539" s="88"/>
    </row>
    <row r="540" spans="260:260" s="70" customFormat="1" ht="24.75" customHeight="1" x14ac:dyDescent="0.3">
      <c r="IZ540" s="88"/>
    </row>
    <row r="541" spans="260:260" s="70" customFormat="1" ht="24.75" customHeight="1" x14ac:dyDescent="0.3">
      <c r="IZ541" s="88"/>
    </row>
    <row r="542" spans="260:260" s="70" customFormat="1" ht="24.75" customHeight="1" x14ac:dyDescent="0.3">
      <c r="IZ542" s="88"/>
    </row>
    <row r="543" spans="260:260" s="70" customFormat="1" ht="24.75" customHeight="1" x14ac:dyDescent="0.3">
      <c r="IZ543" s="88"/>
    </row>
    <row r="544" spans="260:260" s="70" customFormat="1" ht="24.75" customHeight="1" x14ac:dyDescent="0.3">
      <c r="IZ544" s="88"/>
    </row>
    <row r="545" spans="260:260" s="70" customFormat="1" ht="24.75" customHeight="1" x14ac:dyDescent="0.3">
      <c r="IZ545" s="88"/>
    </row>
    <row r="546" spans="260:260" s="70" customFormat="1" ht="24.75" customHeight="1" x14ac:dyDescent="0.3">
      <c r="IZ546" s="88"/>
    </row>
    <row r="547" spans="260:260" s="70" customFormat="1" ht="24.75" customHeight="1" x14ac:dyDescent="0.3">
      <c r="IZ547" s="88"/>
    </row>
    <row r="548" spans="260:260" s="70" customFormat="1" ht="24.75" customHeight="1" x14ac:dyDescent="0.3">
      <c r="IZ548" s="88"/>
    </row>
    <row r="549" spans="260:260" s="70" customFormat="1" ht="24.75" customHeight="1" x14ac:dyDescent="0.3">
      <c r="IZ549" s="88"/>
    </row>
    <row r="550" spans="260:260" s="70" customFormat="1" ht="24.75" customHeight="1" x14ac:dyDescent="0.3">
      <c r="IZ550" s="88"/>
    </row>
    <row r="551" spans="260:260" s="70" customFormat="1" ht="24.75" customHeight="1" x14ac:dyDescent="0.3">
      <c r="IZ551" s="88"/>
    </row>
    <row r="552" spans="260:260" s="70" customFormat="1" ht="24.75" customHeight="1" x14ac:dyDescent="0.3">
      <c r="IZ552" s="88"/>
    </row>
    <row r="553" spans="260:260" s="70" customFormat="1" ht="24.75" customHeight="1" x14ac:dyDescent="0.3">
      <c r="IZ553" s="88"/>
    </row>
    <row r="554" spans="260:260" s="70" customFormat="1" ht="24.75" customHeight="1" x14ac:dyDescent="0.3">
      <c r="IZ554" s="88"/>
    </row>
    <row r="555" spans="260:260" s="70" customFormat="1" ht="24.75" customHeight="1" x14ac:dyDescent="0.3">
      <c r="IZ555" s="88"/>
    </row>
    <row r="556" spans="260:260" s="70" customFormat="1" ht="24.75" customHeight="1" x14ac:dyDescent="0.3">
      <c r="IZ556" s="88"/>
    </row>
    <row r="557" spans="260:260" s="70" customFormat="1" ht="24.75" customHeight="1" x14ac:dyDescent="0.3">
      <c r="IZ557" s="88"/>
    </row>
    <row r="558" spans="260:260" s="70" customFormat="1" ht="24.75" customHeight="1" x14ac:dyDescent="0.3">
      <c r="IZ558" s="88"/>
    </row>
    <row r="559" spans="260:260" s="70" customFormat="1" ht="24.75" customHeight="1" x14ac:dyDescent="0.3">
      <c r="IZ559" s="88"/>
    </row>
    <row r="560" spans="260:260" s="70" customFormat="1" ht="24.75" customHeight="1" x14ac:dyDescent="0.3">
      <c r="IZ560" s="88"/>
    </row>
    <row r="561" spans="260:260" s="70" customFormat="1" ht="24.75" customHeight="1" x14ac:dyDescent="0.3">
      <c r="IZ561" s="88"/>
    </row>
    <row r="562" spans="260:260" s="70" customFormat="1" ht="24.75" customHeight="1" x14ac:dyDescent="0.3">
      <c r="IZ562" s="88"/>
    </row>
    <row r="563" spans="260:260" s="70" customFormat="1" ht="24.75" customHeight="1" x14ac:dyDescent="0.3">
      <c r="IZ563" s="88"/>
    </row>
    <row r="564" spans="260:260" s="70" customFormat="1" ht="24.75" customHeight="1" x14ac:dyDescent="0.3">
      <c r="IZ564" s="88"/>
    </row>
    <row r="565" spans="260:260" s="70" customFormat="1" ht="24.75" customHeight="1" x14ac:dyDescent="0.3">
      <c r="IZ565" s="88"/>
    </row>
    <row r="566" spans="260:260" s="70" customFormat="1" ht="24.75" customHeight="1" x14ac:dyDescent="0.3">
      <c r="IZ566" s="88"/>
    </row>
    <row r="567" spans="260:260" s="70" customFormat="1" ht="24.75" customHeight="1" x14ac:dyDescent="0.3">
      <c r="IZ567" s="88"/>
    </row>
    <row r="568" spans="260:260" s="70" customFormat="1" ht="24.75" customHeight="1" x14ac:dyDescent="0.3">
      <c r="IZ568" s="88"/>
    </row>
    <row r="569" spans="260:260" s="70" customFormat="1" ht="24.75" customHeight="1" x14ac:dyDescent="0.3">
      <c r="IZ569" s="88"/>
    </row>
    <row r="570" spans="260:260" s="70" customFormat="1" ht="24.75" customHeight="1" x14ac:dyDescent="0.3">
      <c r="IZ570" s="88"/>
    </row>
    <row r="571" spans="260:260" s="70" customFormat="1" ht="24.75" customHeight="1" x14ac:dyDescent="0.3">
      <c r="IZ571" s="88"/>
    </row>
    <row r="572" spans="260:260" s="70" customFormat="1" ht="24.75" customHeight="1" x14ac:dyDescent="0.3">
      <c r="IZ572" s="88"/>
    </row>
    <row r="573" spans="260:260" s="70" customFormat="1" ht="24.75" customHeight="1" x14ac:dyDescent="0.3">
      <c r="IZ573" s="88"/>
    </row>
    <row r="574" spans="260:260" s="70" customFormat="1" ht="24.75" customHeight="1" x14ac:dyDescent="0.3">
      <c r="IZ574" s="88"/>
    </row>
    <row r="575" spans="260:260" s="70" customFormat="1" ht="24.75" customHeight="1" x14ac:dyDescent="0.3">
      <c r="IZ575" s="88"/>
    </row>
    <row r="576" spans="260:260" s="70" customFormat="1" ht="24.75" customHeight="1" x14ac:dyDescent="0.3">
      <c r="IZ576" s="88"/>
    </row>
    <row r="577" spans="260:260" s="70" customFormat="1" ht="24.75" customHeight="1" x14ac:dyDescent="0.3">
      <c r="IZ577" s="88"/>
    </row>
    <row r="578" spans="260:260" s="70" customFormat="1" ht="24.75" customHeight="1" x14ac:dyDescent="0.3">
      <c r="IZ578" s="88"/>
    </row>
    <row r="579" spans="260:260" s="70" customFormat="1" ht="24.75" customHeight="1" x14ac:dyDescent="0.3">
      <c r="IZ579" s="88"/>
    </row>
    <row r="580" spans="260:260" s="70" customFormat="1" ht="24.75" customHeight="1" x14ac:dyDescent="0.3">
      <c r="IZ580" s="88"/>
    </row>
    <row r="581" spans="260:260" s="70" customFormat="1" ht="24.75" customHeight="1" x14ac:dyDescent="0.3">
      <c r="IZ581" s="88"/>
    </row>
    <row r="582" spans="260:260" s="70" customFormat="1" ht="24.75" customHeight="1" x14ac:dyDescent="0.3">
      <c r="IZ582" s="88"/>
    </row>
    <row r="583" spans="260:260" s="70" customFormat="1" ht="24.75" customHeight="1" x14ac:dyDescent="0.3">
      <c r="IZ583" s="88"/>
    </row>
    <row r="584" spans="260:260" s="70" customFormat="1" ht="24.75" customHeight="1" x14ac:dyDescent="0.3">
      <c r="IZ584" s="88"/>
    </row>
    <row r="585" spans="260:260" s="70" customFormat="1" ht="24.75" customHeight="1" x14ac:dyDescent="0.3">
      <c r="IZ585" s="88"/>
    </row>
    <row r="586" spans="260:260" s="70" customFormat="1" ht="24.75" customHeight="1" x14ac:dyDescent="0.3">
      <c r="IZ586" s="88"/>
    </row>
    <row r="587" spans="260:260" s="70" customFormat="1" ht="24.75" customHeight="1" x14ac:dyDescent="0.3">
      <c r="IZ587" s="88"/>
    </row>
    <row r="588" spans="260:260" s="70" customFormat="1" ht="24.75" customHeight="1" x14ac:dyDescent="0.3">
      <c r="IZ588" s="88"/>
    </row>
    <row r="589" spans="260:260" s="70" customFormat="1" ht="24.75" customHeight="1" x14ac:dyDescent="0.3">
      <c r="IZ589" s="88"/>
    </row>
    <row r="590" spans="260:260" s="70" customFormat="1" ht="24.75" customHeight="1" x14ac:dyDescent="0.3">
      <c r="IZ590" s="88"/>
    </row>
    <row r="591" spans="260:260" s="70" customFormat="1" ht="24.75" customHeight="1" x14ac:dyDescent="0.3">
      <c r="IZ591" s="88"/>
    </row>
    <row r="592" spans="260:260" s="70" customFormat="1" ht="24.75" customHeight="1" x14ac:dyDescent="0.3">
      <c r="IZ592" s="88"/>
    </row>
    <row r="593" spans="260:260" s="70" customFormat="1" ht="24.75" customHeight="1" x14ac:dyDescent="0.3">
      <c r="IZ593" s="88"/>
    </row>
    <row r="594" spans="260:260" s="70" customFormat="1" ht="24.75" customHeight="1" x14ac:dyDescent="0.3">
      <c r="IZ594" s="88"/>
    </row>
    <row r="595" spans="260:260" s="70" customFormat="1" ht="24.75" customHeight="1" x14ac:dyDescent="0.3">
      <c r="IZ595" s="88"/>
    </row>
    <row r="596" spans="260:260" s="70" customFormat="1" ht="24.75" customHeight="1" x14ac:dyDescent="0.3">
      <c r="IZ596" s="88"/>
    </row>
    <row r="597" spans="260:260" s="70" customFormat="1" ht="24.75" customHeight="1" x14ac:dyDescent="0.3">
      <c r="IZ597" s="88"/>
    </row>
    <row r="598" spans="260:260" s="70" customFormat="1" ht="24.75" customHeight="1" x14ac:dyDescent="0.3">
      <c r="IZ598" s="88"/>
    </row>
    <row r="599" spans="260:260" s="70" customFormat="1" ht="24.75" customHeight="1" x14ac:dyDescent="0.3">
      <c r="IZ599" s="88"/>
    </row>
    <row r="600" spans="260:260" s="70" customFormat="1" ht="24.75" customHeight="1" x14ac:dyDescent="0.3">
      <c r="IZ600" s="88"/>
    </row>
    <row r="601" spans="260:260" s="70" customFormat="1" ht="24.75" customHeight="1" x14ac:dyDescent="0.3">
      <c r="IZ601" s="88"/>
    </row>
    <row r="602" spans="260:260" s="70" customFormat="1" ht="24.75" customHeight="1" x14ac:dyDescent="0.3">
      <c r="IZ602" s="88"/>
    </row>
    <row r="603" spans="260:260" s="70" customFormat="1" ht="24.75" customHeight="1" x14ac:dyDescent="0.3">
      <c r="IZ603" s="88"/>
    </row>
    <row r="604" spans="260:260" s="70" customFormat="1" ht="24.75" customHeight="1" x14ac:dyDescent="0.3">
      <c r="IZ604" s="88"/>
    </row>
    <row r="605" spans="260:260" s="70" customFormat="1" ht="24.75" customHeight="1" x14ac:dyDescent="0.3">
      <c r="IZ605" s="88"/>
    </row>
    <row r="606" spans="260:260" s="70" customFormat="1" ht="24.75" customHeight="1" x14ac:dyDescent="0.3">
      <c r="IZ606" s="88"/>
    </row>
    <row r="607" spans="260:260" s="70" customFormat="1" ht="24.75" customHeight="1" x14ac:dyDescent="0.3">
      <c r="IZ607" s="88"/>
    </row>
    <row r="608" spans="260:260" s="70" customFormat="1" ht="24.75" customHeight="1" x14ac:dyDescent="0.3">
      <c r="IZ608" s="88"/>
    </row>
    <row r="609" spans="260:260" s="70" customFormat="1" ht="24.75" customHeight="1" x14ac:dyDescent="0.3">
      <c r="IZ609" s="88"/>
    </row>
    <row r="610" spans="260:260" s="70" customFormat="1" ht="24.75" customHeight="1" x14ac:dyDescent="0.3">
      <c r="IZ610" s="88"/>
    </row>
    <row r="611" spans="260:260" s="70" customFormat="1" ht="24.75" customHeight="1" x14ac:dyDescent="0.3">
      <c r="IZ611" s="88"/>
    </row>
    <row r="612" spans="260:260" s="70" customFormat="1" ht="24.75" customHeight="1" x14ac:dyDescent="0.3">
      <c r="IZ612" s="88"/>
    </row>
    <row r="613" spans="260:260" s="70" customFormat="1" ht="24.75" customHeight="1" x14ac:dyDescent="0.3">
      <c r="IZ613" s="88"/>
    </row>
    <row r="614" spans="260:260" s="70" customFormat="1" ht="24.75" customHeight="1" x14ac:dyDescent="0.3">
      <c r="IZ614" s="88"/>
    </row>
    <row r="615" spans="260:260" s="70" customFormat="1" ht="24.75" customHeight="1" x14ac:dyDescent="0.3">
      <c r="IZ615" s="88"/>
    </row>
    <row r="616" spans="260:260" s="70" customFormat="1" ht="24.75" customHeight="1" x14ac:dyDescent="0.3">
      <c r="IZ616" s="88"/>
    </row>
    <row r="617" spans="260:260" s="70" customFormat="1" ht="24.75" customHeight="1" x14ac:dyDescent="0.3">
      <c r="IZ617" s="88"/>
    </row>
    <row r="618" spans="260:260" s="70" customFormat="1" ht="24.75" customHeight="1" x14ac:dyDescent="0.3">
      <c r="IZ618" s="88"/>
    </row>
    <row r="619" spans="260:260" s="70" customFormat="1" ht="24.75" customHeight="1" x14ac:dyDescent="0.3">
      <c r="IZ619" s="88"/>
    </row>
    <row r="620" spans="260:260" s="70" customFormat="1" ht="24.75" customHeight="1" x14ac:dyDescent="0.3">
      <c r="IZ620" s="88"/>
    </row>
    <row r="621" spans="260:260" s="70" customFormat="1" ht="24.75" customHeight="1" x14ac:dyDescent="0.3">
      <c r="IZ621" s="88"/>
    </row>
    <row r="622" spans="260:260" s="70" customFormat="1" ht="24.75" customHeight="1" x14ac:dyDescent="0.3">
      <c r="IZ622" s="88"/>
    </row>
    <row r="623" spans="260:260" s="70" customFormat="1" ht="24.75" customHeight="1" x14ac:dyDescent="0.3">
      <c r="IZ623" s="88"/>
    </row>
    <row r="624" spans="260:260" s="70" customFormat="1" ht="24.75" customHeight="1" x14ac:dyDescent="0.3">
      <c r="IZ624" s="88"/>
    </row>
    <row r="625" spans="260:260" s="70" customFormat="1" ht="24.75" customHeight="1" x14ac:dyDescent="0.3">
      <c r="IZ625" s="88"/>
    </row>
    <row r="626" spans="260:260" s="70" customFormat="1" ht="24.75" customHeight="1" x14ac:dyDescent="0.3">
      <c r="IZ626" s="88"/>
    </row>
    <row r="627" spans="260:260" s="70" customFormat="1" ht="24.75" customHeight="1" x14ac:dyDescent="0.3">
      <c r="IZ627" s="88"/>
    </row>
    <row r="628" spans="260:260" s="70" customFormat="1" ht="24.75" customHeight="1" x14ac:dyDescent="0.3">
      <c r="IZ628" s="88"/>
    </row>
    <row r="629" spans="260:260" s="70" customFormat="1" ht="24.75" customHeight="1" x14ac:dyDescent="0.3">
      <c r="IZ629" s="88"/>
    </row>
    <row r="630" spans="260:260" s="70" customFormat="1" ht="24.75" customHeight="1" x14ac:dyDescent="0.3">
      <c r="IZ630" s="88"/>
    </row>
    <row r="631" spans="260:260" s="70" customFormat="1" ht="24.75" customHeight="1" x14ac:dyDescent="0.3">
      <c r="IZ631" s="88"/>
    </row>
    <row r="632" spans="260:260" s="70" customFormat="1" ht="24.75" customHeight="1" x14ac:dyDescent="0.3">
      <c r="IZ632" s="88"/>
    </row>
    <row r="633" spans="260:260" s="70" customFormat="1" ht="24.75" customHeight="1" x14ac:dyDescent="0.3">
      <c r="IZ633" s="88"/>
    </row>
    <row r="634" spans="260:260" s="70" customFormat="1" ht="24.75" customHeight="1" x14ac:dyDescent="0.3">
      <c r="IZ634" s="88"/>
    </row>
    <row r="635" spans="260:260" s="70" customFormat="1" ht="24.75" customHeight="1" x14ac:dyDescent="0.3">
      <c r="IZ635" s="88"/>
    </row>
    <row r="636" spans="260:260" s="70" customFormat="1" ht="24.75" customHeight="1" x14ac:dyDescent="0.3">
      <c r="IZ636" s="88"/>
    </row>
    <row r="637" spans="260:260" s="70" customFormat="1" ht="24.75" customHeight="1" x14ac:dyDescent="0.3">
      <c r="IZ637" s="88"/>
    </row>
    <row r="638" spans="260:260" s="70" customFormat="1" ht="24.75" customHeight="1" x14ac:dyDescent="0.3">
      <c r="IZ638" s="88"/>
    </row>
    <row r="639" spans="260:260" s="70" customFormat="1" ht="24.75" customHeight="1" x14ac:dyDescent="0.3">
      <c r="IZ639" s="88"/>
    </row>
    <row r="640" spans="260:260" s="70" customFormat="1" ht="24.75" customHeight="1" x14ac:dyDescent="0.3">
      <c r="IZ640" s="88"/>
    </row>
    <row r="641" spans="260:260" s="70" customFormat="1" ht="24.75" customHeight="1" x14ac:dyDescent="0.3">
      <c r="IZ641" s="88"/>
    </row>
    <row r="642" spans="260:260" s="70" customFormat="1" ht="24.75" customHeight="1" x14ac:dyDescent="0.3">
      <c r="IZ642" s="88"/>
    </row>
    <row r="643" spans="260:260" s="70" customFormat="1" ht="24.75" customHeight="1" x14ac:dyDescent="0.3">
      <c r="IZ643" s="88"/>
    </row>
    <row r="644" spans="260:260" s="70" customFormat="1" ht="24.75" customHeight="1" x14ac:dyDescent="0.3">
      <c r="IZ644" s="88"/>
    </row>
    <row r="645" spans="260:260" s="70" customFormat="1" ht="24.75" customHeight="1" x14ac:dyDescent="0.3">
      <c r="IZ645" s="88"/>
    </row>
    <row r="646" spans="260:260" s="70" customFormat="1" ht="24.75" customHeight="1" x14ac:dyDescent="0.3">
      <c r="IZ646" s="88"/>
    </row>
    <row r="647" spans="260:260" s="70" customFormat="1" ht="24.75" customHeight="1" x14ac:dyDescent="0.3">
      <c r="IZ647" s="88"/>
    </row>
    <row r="648" spans="260:260" s="70" customFormat="1" ht="24.75" customHeight="1" x14ac:dyDescent="0.3">
      <c r="IZ648" s="88"/>
    </row>
    <row r="649" spans="260:260" s="70" customFormat="1" ht="24.75" customHeight="1" x14ac:dyDescent="0.3">
      <c r="IZ649" s="88"/>
    </row>
    <row r="650" spans="260:260" s="70" customFormat="1" ht="24.75" customHeight="1" x14ac:dyDescent="0.3">
      <c r="IZ650" s="88"/>
    </row>
    <row r="651" spans="260:260" s="70" customFormat="1" ht="24.75" customHeight="1" x14ac:dyDescent="0.3">
      <c r="IZ651" s="88"/>
    </row>
    <row r="652" spans="260:260" s="70" customFormat="1" ht="24.75" customHeight="1" x14ac:dyDescent="0.3">
      <c r="IZ652" s="88"/>
    </row>
    <row r="653" spans="260:260" s="70" customFormat="1" ht="24.75" customHeight="1" x14ac:dyDescent="0.3">
      <c r="IZ653" s="88"/>
    </row>
    <row r="654" spans="260:260" s="70" customFormat="1" ht="24.75" customHeight="1" x14ac:dyDescent="0.3">
      <c r="IZ654" s="88"/>
    </row>
    <row r="655" spans="260:260" s="70" customFormat="1" ht="24.75" customHeight="1" x14ac:dyDescent="0.3">
      <c r="IZ655" s="88"/>
    </row>
    <row r="656" spans="260:260" s="70" customFormat="1" ht="24.75" customHeight="1" x14ac:dyDescent="0.3">
      <c r="IZ656" s="88"/>
    </row>
    <row r="657" spans="260:260" s="70" customFormat="1" ht="24.75" customHeight="1" x14ac:dyDescent="0.3">
      <c r="IZ657" s="88"/>
    </row>
    <row r="658" spans="260:260" s="70" customFormat="1" ht="24.75" customHeight="1" x14ac:dyDescent="0.3">
      <c r="IZ658" s="88"/>
    </row>
    <row r="659" spans="260:260" s="70" customFormat="1" ht="24.75" customHeight="1" x14ac:dyDescent="0.3">
      <c r="IZ659" s="88"/>
    </row>
    <row r="660" spans="260:260" s="70" customFormat="1" ht="24.75" customHeight="1" x14ac:dyDescent="0.3">
      <c r="IZ660" s="88"/>
    </row>
    <row r="661" spans="260:260" s="70" customFormat="1" ht="24.75" customHeight="1" x14ac:dyDescent="0.3">
      <c r="IZ661" s="88"/>
    </row>
    <row r="662" spans="260:260" s="70" customFormat="1" ht="24.75" customHeight="1" x14ac:dyDescent="0.3">
      <c r="IZ662" s="88"/>
    </row>
    <row r="663" spans="260:260" s="70" customFormat="1" ht="24.75" customHeight="1" x14ac:dyDescent="0.3">
      <c r="IZ663" s="88"/>
    </row>
    <row r="664" spans="260:260" s="70" customFormat="1" ht="24.75" customHeight="1" x14ac:dyDescent="0.3">
      <c r="IZ664" s="88"/>
    </row>
    <row r="665" spans="260:260" s="70" customFormat="1" ht="24.75" customHeight="1" x14ac:dyDescent="0.3">
      <c r="IZ665" s="88"/>
    </row>
    <row r="666" spans="260:260" s="70" customFormat="1" ht="24.75" customHeight="1" x14ac:dyDescent="0.3">
      <c r="IZ666" s="88"/>
    </row>
    <row r="667" spans="260:260" s="70" customFormat="1" ht="24.75" customHeight="1" x14ac:dyDescent="0.3">
      <c r="IZ667" s="88"/>
    </row>
    <row r="668" spans="260:260" s="70" customFormat="1" ht="24.75" customHeight="1" x14ac:dyDescent="0.3">
      <c r="IZ668" s="88"/>
    </row>
    <row r="669" spans="260:260" s="70" customFormat="1" ht="24.75" customHeight="1" x14ac:dyDescent="0.3">
      <c r="IZ669" s="88"/>
    </row>
    <row r="670" spans="260:260" s="70" customFormat="1" ht="24.75" customHeight="1" x14ac:dyDescent="0.3">
      <c r="IZ670" s="88"/>
    </row>
    <row r="671" spans="260:260" s="70" customFormat="1" ht="24.75" customHeight="1" x14ac:dyDescent="0.3">
      <c r="IZ671" s="88"/>
    </row>
    <row r="672" spans="260:260" s="70" customFormat="1" ht="24.75" customHeight="1" x14ac:dyDescent="0.3">
      <c r="IZ672" s="88"/>
    </row>
    <row r="673" spans="260:260" s="70" customFormat="1" ht="24.75" customHeight="1" x14ac:dyDescent="0.3">
      <c r="IZ673" s="88"/>
    </row>
    <row r="674" spans="260:260" s="70" customFormat="1" ht="24.75" customHeight="1" x14ac:dyDescent="0.3">
      <c r="IZ674" s="88"/>
    </row>
    <row r="675" spans="260:260" s="70" customFormat="1" ht="24.75" customHeight="1" x14ac:dyDescent="0.3">
      <c r="IZ675" s="88"/>
    </row>
    <row r="676" spans="260:260" s="70" customFormat="1" ht="24.75" customHeight="1" x14ac:dyDescent="0.3">
      <c r="IZ676" s="88"/>
    </row>
    <row r="677" spans="260:260" s="70" customFormat="1" ht="24.75" customHeight="1" x14ac:dyDescent="0.3">
      <c r="IZ677" s="88"/>
    </row>
    <row r="678" spans="260:260" s="70" customFormat="1" ht="24.75" customHeight="1" x14ac:dyDescent="0.3">
      <c r="IZ678" s="88"/>
    </row>
    <row r="679" spans="260:260" s="70" customFormat="1" ht="24.75" customHeight="1" x14ac:dyDescent="0.3">
      <c r="IZ679" s="88"/>
    </row>
    <row r="680" spans="260:260" s="70" customFormat="1" ht="24.75" customHeight="1" x14ac:dyDescent="0.3">
      <c r="IZ680" s="88"/>
    </row>
    <row r="681" spans="260:260" s="70" customFormat="1" ht="24.75" customHeight="1" x14ac:dyDescent="0.3">
      <c r="IZ681" s="88"/>
    </row>
    <row r="682" spans="260:260" s="70" customFormat="1" ht="24.75" customHeight="1" x14ac:dyDescent="0.3">
      <c r="IZ682" s="88"/>
    </row>
    <row r="683" spans="260:260" s="70" customFormat="1" ht="24.75" customHeight="1" x14ac:dyDescent="0.3">
      <c r="IZ683" s="88"/>
    </row>
    <row r="684" spans="260:260" s="70" customFormat="1" ht="24.75" customHeight="1" x14ac:dyDescent="0.3">
      <c r="IZ684" s="88"/>
    </row>
    <row r="685" spans="260:260" s="70" customFormat="1" ht="24.75" customHeight="1" x14ac:dyDescent="0.3">
      <c r="IZ685" s="88"/>
    </row>
    <row r="686" spans="260:260" s="70" customFormat="1" ht="24.75" customHeight="1" x14ac:dyDescent="0.3">
      <c r="IZ686" s="88"/>
    </row>
    <row r="687" spans="260:260" s="70" customFormat="1" ht="24.75" customHeight="1" x14ac:dyDescent="0.3">
      <c r="IZ687" s="88"/>
    </row>
    <row r="688" spans="260:260" s="70" customFormat="1" ht="24.75" customHeight="1" x14ac:dyDescent="0.3">
      <c r="IZ688" s="88"/>
    </row>
    <row r="689" spans="260:260" s="70" customFormat="1" ht="24.75" customHeight="1" x14ac:dyDescent="0.3">
      <c r="IZ689" s="88"/>
    </row>
    <row r="690" spans="260:260" s="70" customFormat="1" ht="24.75" customHeight="1" x14ac:dyDescent="0.3">
      <c r="IZ690" s="88"/>
    </row>
    <row r="691" spans="260:260" s="70" customFormat="1" ht="24.75" customHeight="1" x14ac:dyDescent="0.3">
      <c r="IZ691" s="88"/>
    </row>
    <row r="692" spans="260:260" s="70" customFormat="1" ht="24.75" customHeight="1" x14ac:dyDescent="0.3">
      <c r="IZ692" s="88"/>
    </row>
    <row r="693" spans="260:260" s="70" customFormat="1" ht="24.75" customHeight="1" x14ac:dyDescent="0.3">
      <c r="IZ693" s="88"/>
    </row>
    <row r="694" spans="260:260" s="70" customFormat="1" ht="24.75" customHeight="1" x14ac:dyDescent="0.3">
      <c r="IZ694" s="88"/>
    </row>
    <row r="695" spans="260:260" s="70" customFormat="1" ht="24.75" customHeight="1" x14ac:dyDescent="0.3">
      <c r="IZ695" s="88"/>
    </row>
    <row r="696" spans="260:260" s="70" customFormat="1" ht="24.75" customHeight="1" x14ac:dyDescent="0.3">
      <c r="IZ696" s="88"/>
    </row>
    <row r="697" spans="260:260" s="70" customFormat="1" ht="24.75" customHeight="1" x14ac:dyDescent="0.3">
      <c r="IZ697" s="88"/>
    </row>
    <row r="698" spans="260:260" s="70" customFormat="1" ht="24.75" customHeight="1" x14ac:dyDescent="0.3">
      <c r="IZ698" s="88"/>
    </row>
    <row r="699" spans="260:260" s="70" customFormat="1" ht="24.75" customHeight="1" x14ac:dyDescent="0.3">
      <c r="IZ699" s="88"/>
    </row>
    <row r="700" spans="260:260" s="70" customFormat="1" ht="24.75" customHeight="1" x14ac:dyDescent="0.3">
      <c r="IZ700" s="88"/>
    </row>
    <row r="701" spans="260:260" s="70" customFormat="1" ht="24.75" customHeight="1" x14ac:dyDescent="0.3">
      <c r="IZ701" s="88"/>
    </row>
    <row r="702" spans="260:260" s="70" customFormat="1" ht="24.75" customHeight="1" x14ac:dyDescent="0.3">
      <c r="IZ702" s="88"/>
    </row>
    <row r="703" spans="260:260" s="70" customFormat="1" ht="24.75" customHeight="1" x14ac:dyDescent="0.3">
      <c r="IZ703" s="88"/>
    </row>
    <row r="704" spans="260:260" s="70" customFormat="1" ht="24.75" customHeight="1" x14ac:dyDescent="0.3">
      <c r="IZ704" s="88"/>
    </row>
    <row r="705" spans="260:260" s="70" customFormat="1" ht="24.75" customHeight="1" x14ac:dyDescent="0.3">
      <c r="IZ705" s="88"/>
    </row>
    <row r="706" spans="260:260" s="70" customFormat="1" ht="24.75" customHeight="1" x14ac:dyDescent="0.3">
      <c r="IZ706" s="88"/>
    </row>
    <row r="707" spans="260:260" s="70" customFormat="1" ht="24.75" customHeight="1" x14ac:dyDescent="0.3">
      <c r="IZ707" s="88"/>
    </row>
    <row r="708" spans="260:260" s="70" customFormat="1" ht="24.75" customHeight="1" x14ac:dyDescent="0.3">
      <c r="IZ708" s="88"/>
    </row>
    <row r="709" spans="260:260" s="70" customFormat="1" ht="24.75" customHeight="1" x14ac:dyDescent="0.3">
      <c r="IZ709" s="88"/>
    </row>
    <row r="710" spans="260:260" s="70" customFormat="1" ht="24.75" customHeight="1" x14ac:dyDescent="0.3">
      <c r="IZ710" s="88"/>
    </row>
    <row r="711" spans="260:260" s="70" customFormat="1" ht="24.75" customHeight="1" x14ac:dyDescent="0.3">
      <c r="IZ711" s="88"/>
    </row>
    <row r="712" spans="260:260" s="70" customFormat="1" ht="24.75" customHeight="1" x14ac:dyDescent="0.3">
      <c r="IZ712" s="88"/>
    </row>
    <row r="713" spans="260:260" s="70" customFormat="1" ht="24.75" customHeight="1" x14ac:dyDescent="0.3">
      <c r="IZ713" s="88"/>
    </row>
    <row r="714" spans="260:260" s="70" customFormat="1" ht="24.75" customHeight="1" x14ac:dyDescent="0.3">
      <c r="IZ714" s="88"/>
    </row>
    <row r="715" spans="260:260" s="70" customFormat="1" ht="24.75" customHeight="1" x14ac:dyDescent="0.3">
      <c r="IZ715" s="88"/>
    </row>
    <row r="716" spans="260:260" s="70" customFormat="1" ht="24.75" customHeight="1" x14ac:dyDescent="0.3">
      <c r="IZ716" s="88"/>
    </row>
    <row r="717" spans="260:260" s="70" customFormat="1" ht="24.75" customHeight="1" x14ac:dyDescent="0.3">
      <c r="IZ717" s="88"/>
    </row>
    <row r="718" spans="260:260" s="70" customFormat="1" ht="24.75" customHeight="1" x14ac:dyDescent="0.3">
      <c r="IZ718" s="88"/>
    </row>
    <row r="719" spans="260:260" s="70" customFormat="1" ht="24.75" customHeight="1" x14ac:dyDescent="0.3">
      <c r="IZ719" s="88"/>
    </row>
    <row r="720" spans="260:260" s="70" customFormat="1" ht="24.75" customHeight="1" x14ac:dyDescent="0.3">
      <c r="IZ720" s="88"/>
    </row>
    <row r="721" spans="260:260" s="70" customFormat="1" ht="24.75" customHeight="1" x14ac:dyDescent="0.3">
      <c r="IZ721" s="88"/>
    </row>
    <row r="722" spans="260:260" s="70" customFormat="1" ht="24.75" customHeight="1" x14ac:dyDescent="0.3">
      <c r="IZ722" s="88"/>
    </row>
    <row r="723" spans="260:260" s="70" customFormat="1" ht="24.75" customHeight="1" x14ac:dyDescent="0.3">
      <c r="IZ723" s="88"/>
    </row>
    <row r="724" spans="260:260" s="70" customFormat="1" ht="24.75" customHeight="1" x14ac:dyDescent="0.3">
      <c r="IZ724" s="88"/>
    </row>
    <row r="725" spans="260:260" s="70" customFormat="1" ht="24.75" customHeight="1" x14ac:dyDescent="0.3">
      <c r="IZ725" s="88"/>
    </row>
    <row r="726" spans="260:260" s="70" customFormat="1" ht="24.75" customHeight="1" x14ac:dyDescent="0.3">
      <c r="IZ726" s="88"/>
    </row>
    <row r="727" spans="260:260" s="70" customFormat="1" ht="24.75" customHeight="1" x14ac:dyDescent="0.3">
      <c r="IZ727" s="88"/>
    </row>
    <row r="728" spans="260:260" s="70" customFormat="1" ht="24.75" customHeight="1" x14ac:dyDescent="0.3">
      <c r="IZ728" s="88"/>
    </row>
    <row r="729" spans="260:260" s="70" customFormat="1" ht="24.75" customHeight="1" x14ac:dyDescent="0.3">
      <c r="IZ729" s="88"/>
    </row>
    <row r="730" spans="260:260" s="70" customFormat="1" ht="24.75" customHeight="1" x14ac:dyDescent="0.3">
      <c r="IZ730" s="88"/>
    </row>
    <row r="731" spans="260:260" s="70" customFormat="1" ht="24.75" customHeight="1" x14ac:dyDescent="0.3">
      <c r="IZ731" s="88"/>
    </row>
    <row r="732" spans="260:260" s="70" customFormat="1" ht="24.75" customHeight="1" x14ac:dyDescent="0.3">
      <c r="IZ732" s="88"/>
    </row>
    <row r="733" spans="260:260" s="70" customFormat="1" ht="24.75" customHeight="1" x14ac:dyDescent="0.3">
      <c r="IZ733" s="88"/>
    </row>
    <row r="734" spans="260:260" s="70" customFormat="1" ht="24.75" customHeight="1" x14ac:dyDescent="0.3">
      <c r="IZ734" s="88"/>
    </row>
    <row r="735" spans="260:260" s="70" customFormat="1" ht="24.75" customHeight="1" x14ac:dyDescent="0.3">
      <c r="IZ735" s="88"/>
    </row>
    <row r="736" spans="260:260" s="70" customFormat="1" ht="24.75" customHeight="1" x14ac:dyDescent="0.3">
      <c r="IZ736" s="88"/>
    </row>
    <row r="737" spans="260:260" s="70" customFormat="1" ht="24.75" customHeight="1" x14ac:dyDescent="0.3">
      <c r="IZ737" s="88"/>
    </row>
    <row r="738" spans="260:260" s="70" customFormat="1" ht="24.75" customHeight="1" x14ac:dyDescent="0.3">
      <c r="IZ738" s="88"/>
    </row>
    <row r="739" spans="260:260" s="70" customFormat="1" ht="24.75" customHeight="1" x14ac:dyDescent="0.3">
      <c r="IZ739" s="88"/>
    </row>
    <row r="740" spans="260:260" s="70" customFormat="1" ht="24.75" customHeight="1" x14ac:dyDescent="0.3">
      <c r="IZ740" s="88"/>
    </row>
    <row r="741" spans="260:260" s="70" customFormat="1" ht="24.75" customHeight="1" x14ac:dyDescent="0.3">
      <c r="IZ741" s="88"/>
    </row>
    <row r="742" spans="260:260" s="70" customFormat="1" ht="24.75" customHeight="1" x14ac:dyDescent="0.3">
      <c r="IZ742" s="88"/>
    </row>
    <row r="743" spans="260:260" s="70" customFormat="1" ht="24.75" customHeight="1" x14ac:dyDescent="0.3">
      <c r="IZ743" s="88"/>
    </row>
    <row r="744" spans="260:260" s="70" customFormat="1" ht="24.75" customHeight="1" x14ac:dyDescent="0.3">
      <c r="IZ744" s="88"/>
    </row>
    <row r="745" spans="260:260" s="70" customFormat="1" ht="24.75" customHeight="1" x14ac:dyDescent="0.3">
      <c r="IZ745" s="88"/>
    </row>
    <row r="746" spans="260:260" s="70" customFormat="1" ht="24.75" customHeight="1" x14ac:dyDescent="0.3">
      <c r="IZ746" s="88"/>
    </row>
    <row r="747" spans="260:260" s="70" customFormat="1" ht="24.75" customHeight="1" x14ac:dyDescent="0.3">
      <c r="IZ747" s="88"/>
    </row>
    <row r="748" spans="260:260" s="70" customFormat="1" ht="24.75" customHeight="1" x14ac:dyDescent="0.3">
      <c r="IZ748" s="88"/>
    </row>
    <row r="749" spans="260:260" s="70" customFormat="1" ht="24.75" customHeight="1" x14ac:dyDescent="0.3">
      <c r="IZ749" s="88"/>
    </row>
    <row r="750" spans="260:260" s="70" customFormat="1" ht="24.75" customHeight="1" x14ac:dyDescent="0.3">
      <c r="IZ750" s="88"/>
    </row>
    <row r="751" spans="260:260" s="70" customFormat="1" ht="24.75" customHeight="1" x14ac:dyDescent="0.3">
      <c r="IZ751" s="88"/>
    </row>
    <row r="752" spans="260:260" s="70" customFormat="1" ht="24.75" customHeight="1" x14ac:dyDescent="0.3">
      <c r="IZ752" s="88"/>
    </row>
    <row r="753" spans="260:260" s="70" customFormat="1" ht="24.75" customHeight="1" x14ac:dyDescent="0.3">
      <c r="IZ753" s="88"/>
    </row>
    <row r="754" spans="260:260" s="70" customFormat="1" ht="24.75" customHeight="1" x14ac:dyDescent="0.3">
      <c r="IZ754" s="88"/>
    </row>
    <row r="755" spans="260:260" s="70" customFormat="1" ht="24.75" customHeight="1" x14ac:dyDescent="0.3">
      <c r="IZ755" s="88"/>
    </row>
    <row r="756" spans="260:260" s="70" customFormat="1" ht="24.75" customHeight="1" x14ac:dyDescent="0.3">
      <c r="IZ756" s="88"/>
    </row>
    <row r="757" spans="260:260" s="70" customFormat="1" ht="24.75" customHeight="1" x14ac:dyDescent="0.3">
      <c r="IZ757" s="88"/>
    </row>
    <row r="758" spans="260:260" s="70" customFormat="1" ht="24.75" customHeight="1" x14ac:dyDescent="0.3">
      <c r="IZ758" s="88"/>
    </row>
    <row r="759" spans="260:260" s="70" customFormat="1" ht="24.75" customHeight="1" x14ac:dyDescent="0.3">
      <c r="IZ759" s="88"/>
    </row>
    <row r="760" spans="260:260" s="70" customFormat="1" ht="24.75" customHeight="1" x14ac:dyDescent="0.3">
      <c r="IZ760" s="88"/>
    </row>
    <row r="761" spans="260:260" s="70" customFormat="1" ht="24.75" customHeight="1" x14ac:dyDescent="0.3">
      <c r="IZ761" s="88"/>
    </row>
    <row r="762" spans="260:260" s="70" customFormat="1" ht="24.75" customHeight="1" x14ac:dyDescent="0.3">
      <c r="IZ762" s="88"/>
    </row>
    <row r="763" spans="260:260" s="70" customFormat="1" ht="24.75" customHeight="1" x14ac:dyDescent="0.3">
      <c r="IZ763" s="88"/>
    </row>
    <row r="764" spans="260:260" s="70" customFormat="1" ht="24.75" customHeight="1" x14ac:dyDescent="0.3">
      <c r="IZ764" s="88"/>
    </row>
    <row r="765" spans="260:260" s="70" customFormat="1" ht="24.75" customHeight="1" x14ac:dyDescent="0.3">
      <c r="IZ765" s="88"/>
    </row>
    <row r="766" spans="260:260" s="70" customFormat="1" ht="24.75" customHeight="1" x14ac:dyDescent="0.3">
      <c r="IZ766" s="88"/>
    </row>
    <row r="767" spans="260:260" s="70" customFormat="1" ht="24.75" customHeight="1" x14ac:dyDescent="0.3">
      <c r="IZ767" s="88"/>
    </row>
    <row r="768" spans="260:260" s="70" customFormat="1" ht="24.75" customHeight="1" x14ac:dyDescent="0.3">
      <c r="IZ768" s="88"/>
    </row>
    <row r="769" spans="260:260" s="70" customFormat="1" ht="24.75" customHeight="1" x14ac:dyDescent="0.3">
      <c r="IZ769" s="88"/>
    </row>
    <row r="770" spans="260:260" s="70" customFormat="1" ht="24.75" customHeight="1" x14ac:dyDescent="0.3">
      <c r="IZ770" s="88"/>
    </row>
    <row r="771" spans="260:260" s="70" customFormat="1" ht="24.75" customHeight="1" x14ac:dyDescent="0.3">
      <c r="IZ771" s="88"/>
    </row>
    <row r="772" spans="260:260" s="70" customFormat="1" ht="24.75" customHeight="1" x14ac:dyDescent="0.3">
      <c r="IZ772" s="88"/>
    </row>
  </sheetData>
  <autoFilter ref="A5:JE52"/>
  <mergeCells count="158">
    <mergeCell ref="EC1:EK3"/>
    <mergeCell ref="AA4:AB4"/>
    <mergeCell ref="CD4:CE4"/>
    <mergeCell ref="AZ4:BA4"/>
    <mergeCell ref="BX4:BY4"/>
    <mergeCell ref="AV4:AW4"/>
    <mergeCell ref="BB4:BC4"/>
    <mergeCell ref="CO1:DA3"/>
    <mergeCell ref="DT1:EB3"/>
    <mergeCell ref="CJ4:CK4"/>
    <mergeCell ref="BZ4:CA4"/>
    <mergeCell ref="Y1:AO3"/>
    <mergeCell ref="AP1:BF3"/>
    <mergeCell ref="BG1:BW3"/>
    <mergeCell ref="Y4:Z4"/>
    <mergeCell ref="AC4:AD4"/>
    <mergeCell ref="AK4:AL4"/>
    <mergeCell ref="AM4:AO4"/>
    <mergeCell ref="AR4:AS4"/>
    <mergeCell ref="AP4:AQ4"/>
    <mergeCell ref="BM4:BN4"/>
    <mergeCell ref="BS4:BT4"/>
    <mergeCell ref="BU4:BW4"/>
    <mergeCell ref="BD4:BF4"/>
    <mergeCell ref="BI4:BJ4"/>
    <mergeCell ref="BK4:BL4"/>
    <mergeCell ref="AE4:AF4"/>
    <mergeCell ref="AG4:AH4"/>
    <mergeCell ref="AI4:AJ4"/>
    <mergeCell ref="GD4:GE4"/>
    <mergeCell ref="GF4:GG4"/>
    <mergeCell ref="FJ4:FK4"/>
    <mergeCell ref="GJ4:GK4"/>
    <mergeCell ref="DF4:DG4"/>
    <mergeCell ref="DM4:DN4"/>
    <mergeCell ref="EC4:ED4"/>
    <mergeCell ref="FA4:FB4"/>
    <mergeCell ref="GB4:GC4"/>
    <mergeCell ref="EL1:ET3"/>
    <mergeCell ref="EL4:EM4"/>
    <mergeCell ref="EN4:EO4"/>
    <mergeCell ref="EP4:EQ4"/>
    <mergeCell ref="ER4:ET4"/>
    <mergeCell ref="HD4:HE4"/>
    <mergeCell ref="IB4:IC4"/>
    <mergeCell ref="BG4:BH4"/>
    <mergeCell ref="BO4:BP4"/>
    <mergeCell ref="HM4:HN4"/>
    <mergeCell ref="HO4:HP4"/>
    <mergeCell ref="HT4:HU4"/>
    <mergeCell ref="HV4:HW4"/>
    <mergeCell ref="CF4:CG4"/>
    <mergeCell ref="CH4:CI4"/>
    <mergeCell ref="CX4:DA4"/>
    <mergeCell ref="DT4:DU4"/>
    <mergeCell ref="DV4:DW4"/>
    <mergeCell ref="CL4:CN4"/>
    <mergeCell ref="CO4:CQ4"/>
    <mergeCell ref="CR4:CT4"/>
    <mergeCell ref="CU4:CW4"/>
    <mergeCell ref="DO4:DP4"/>
    <mergeCell ref="HF4:HG4"/>
    <mergeCell ref="HH4:HI4"/>
    <mergeCell ref="EE4:EF4"/>
    <mergeCell ref="EG4:EH4"/>
    <mergeCell ref="EI4:EK4"/>
    <mergeCell ref="FC4:FE4"/>
    <mergeCell ref="F1:G4"/>
    <mergeCell ref="A26:E26"/>
    <mergeCell ref="A1:E2"/>
    <mergeCell ref="H1:J4"/>
    <mergeCell ref="K1:L4"/>
    <mergeCell ref="M1:P4"/>
    <mergeCell ref="Q1:R4"/>
    <mergeCell ref="T1:W4"/>
    <mergeCell ref="HB4:HC4"/>
    <mergeCell ref="GL4:GM4"/>
    <mergeCell ref="CB4:CC4"/>
    <mergeCell ref="FU4:FW4"/>
    <mergeCell ref="GS4:GT4"/>
    <mergeCell ref="GQ4:GR4"/>
    <mergeCell ref="DH4:DJ4"/>
    <mergeCell ref="DK4:DL4"/>
    <mergeCell ref="DB4:DC4"/>
    <mergeCell ref="GN4:GO4"/>
    <mergeCell ref="DD4:DE4"/>
    <mergeCell ref="A51:E51"/>
    <mergeCell ref="A49:E49"/>
    <mergeCell ref="A47:E47"/>
    <mergeCell ref="A43:E43"/>
    <mergeCell ref="A41:E41"/>
    <mergeCell ref="A38:E38"/>
    <mergeCell ref="DZ4:EB4"/>
    <mergeCell ref="A44:E44"/>
    <mergeCell ref="X1:X4"/>
    <mergeCell ref="A37:E37"/>
    <mergeCell ref="A35:E35"/>
    <mergeCell ref="A32:E32"/>
    <mergeCell ref="A27:E27"/>
    <mergeCell ref="A24:E24"/>
    <mergeCell ref="A20:E20"/>
    <mergeCell ref="AX4:AY4"/>
    <mergeCell ref="BQ4:BR4"/>
    <mergeCell ref="DK1:DS3"/>
    <mergeCell ref="AT4:AU4"/>
    <mergeCell ref="DQ4:DS4"/>
    <mergeCell ref="DX4:DY4"/>
    <mergeCell ref="A50:E50"/>
    <mergeCell ref="DB1:DJ3"/>
    <mergeCell ref="BX1:CN3"/>
    <mergeCell ref="IP1:IP2"/>
    <mergeCell ref="GZ3:HA4"/>
    <mergeCell ref="EU1:FE3"/>
    <mergeCell ref="EY4:EZ4"/>
    <mergeCell ref="FF4:FG4"/>
    <mergeCell ref="FH4:FI4"/>
    <mergeCell ref="FL4:FM4"/>
    <mergeCell ref="EU4:EV4"/>
    <mergeCell ref="EW4:EX4"/>
    <mergeCell ref="FN4:FO4"/>
    <mergeCell ref="FX1:GP3"/>
    <mergeCell ref="FX4:FY4"/>
    <mergeCell ref="FZ4:GA4"/>
    <mergeCell ref="FF1:FW3"/>
    <mergeCell ref="GU4:GV4"/>
    <mergeCell ref="GW4:GY4"/>
    <mergeCell ref="IN4:IN5"/>
    <mergeCell ref="IK3:IL4"/>
    <mergeCell ref="ID4:ID5"/>
    <mergeCell ref="HT1:ID3"/>
    <mergeCell ref="IE1:IF3"/>
    <mergeCell ref="HB3:HP3"/>
    <mergeCell ref="HQ3:HS4"/>
    <mergeCell ref="HX4:HY4"/>
    <mergeCell ref="A3:E4"/>
    <mergeCell ref="GQ1:GY3"/>
    <mergeCell ref="GZ1:HS2"/>
    <mergeCell ref="IE4:IF4"/>
    <mergeCell ref="HZ4:IA4"/>
    <mergeCell ref="HJ4:HK4"/>
    <mergeCell ref="GH4:GI4"/>
    <mergeCell ref="GP4:GP5"/>
    <mergeCell ref="IW3:IX4"/>
    <mergeCell ref="FP4:FQ4"/>
    <mergeCell ref="IQ2:IS2"/>
    <mergeCell ref="IT2:IV2"/>
    <mergeCell ref="IT3:IT5"/>
    <mergeCell ref="IU3:IU5"/>
    <mergeCell ref="IV3:IV5"/>
    <mergeCell ref="IQ3:IQ5"/>
    <mergeCell ref="IR3:IR5"/>
    <mergeCell ref="IS3:IS5"/>
    <mergeCell ref="IM3:IP3"/>
    <mergeCell ref="IO4:IO5"/>
    <mergeCell ref="IP4:IP5"/>
    <mergeCell ref="IM4:IM5"/>
    <mergeCell ref="IG3:IH4"/>
    <mergeCell ref="II3:IJ4"/>
  </mergeCells>
  <conditionalFormatting sqref="IG21:IS23 EU21:FB23 H21:X23 JA20 JA24 JA32 JA37:JA38 JA41 JA47 JA49:JA51 JA43:JA44 JA26:JA27 H6:X16 IG6:IS16 EU6:FB16 F17:BT17 EC17:EH17 DT17:DY17 DB17:DP17 BX17:CW17 FF17:GM17 EL17:FB17 F49:IX51 EU18:FB18 IG18:IS18 H18:X18 GQ17:HP17 HS17:JA17 F20:IX20 F24:IX24 F26:IX27 F32:IX32 F35:JA35 F37:IX38 F43:IX44 F41:IX41 F47:IX47">
    <cfRule type="cellIs" dxfId="104" priority="562" stopIfTrue="1" operator="between">
      <formula>"بنين"</formula>
      <formula>"بنين"</formula>
    </cfRule>
    <cfRule type="cellIs" dxfId="103" priority="563" stopIfTrue="1" operator="between">
      <formula>"بنات"</formula>
      <formula>"بنات"</formula>
    </cfRule>
    <cfRule type="cellIs" dxfId="102" priority="564" stopIfTrue="1" operator="between">
      <formula>"مختلطة"</formula>
      <formula>"مختلطة"</formula>
    </cfRule>
  </conditionalFormatting>
  <conditionalFormatting sqref="K21:N23 Q21:V23 K6:N16 Q6:V16 Q18:V18 K18:N18">
    <cfRule type="cellIs" dxfId="101" priority="560" stopIfTrue="1" operator="equal">
      <formula>"حضر"</formula>
    </cfRule>
    <cfRule type="cellIs" dxfId="100" priority="561" stopIfTrue="1" operator="equal">
      <formula>"ريف"</formula>
    </cfRule>
  </conditionalFormatting>
  <conditionalFormatting sqref="A21:B23 Q21:V23 H21:N23 JA20 JA24 JA32 JA37:JA38 JA41 JA47 JA49:JA51 JA43:JA44 JA26:JA27 H6:N16 Q6:V16 F17:BT17 EC17:EH17 DT17:DY17 DB17:DP17 BX17:CW17 FF17:GM17 EL17:FB17 F49:IX51 Q18:V18 H18:N18 GQ17:HP17 A6:B19 A31:B31 HS17:JA17 F20:IX20 F24:IX24 F26:IX27 F32:IX32 F35:JA35 F37:IX38 F43:IX44 F41:IX41 F47:IX47">
    <cfRule type="cellIs" dxfId="99" priority="558" stopIfTrue="1" operator="equal">
      <formula>"اصلية"</formula>
    </cfRule>
    <cfRule type="cellIs" dxfId="98" priority="559" stopIfTrue="1" operator="equal">
      <formula>"ضيف"</formula>
    </cfRule>
  </conditionalFormatting>
  <conditionalFormatting sqref="IT21:IX23 IT6:IX16 IT18:IX18">
    <cfRule type="cellIs" dxfId="97" priority="557" stopIfTrue="1" operator="equal">
      <formula>FALSE</formula>
    </cfRule>
  </conditionalFormatting>
  <conditionalFormatting sqref="IY20:IZ20 IY24:IZ24 IY32:IZ32 IY37:IZ38 IY41:IZ41 IY47:IZ47 IY49:IZ51 IY43:IZ44 IY26:IZ27">
    <cfRule type="cellIs" dxfId="96" priority="276" stopIfTrue="1" operator="between">
      <formula>"بنين"</formula>
      <formula>"بنين"</formula>
    </cfRule>
    <cfRule type="cellIs" dxfId="95" priority="277" stopIfTrue="1" operator="between">
      <formula>"بنات"</formula>
      <formula>"بنات"</formula>
    </cfRule>
    <cfRule type="cellIs" dxfId="94" priority="278" stopIfTrue="1" operator="between">
      <formula>"مختلطة"</formula>
      <formula>"مختلطة"</formula>
    </cfRule>
  </conditionalFormatting>
  <conditionalFormatting sqref="IY20:IZ20 IY24:IZ24 IY32:IZ32 IY37:IZ38 IY41:IZ41 IY47:IZ47 IY49:IZ51 IY43:IZ44 IY26:IZ27">
    <cfRule type="cellIs" dxfId="93" priority="274" stopIfTrue="1" operator="equal">
      <formula>"اصلية"</formula>
    </cfRule>
    <cfRule type="cellIs" dxfId="92" priority="275" stopIfTrue="1" operator="equal">
      <formula>"ضيف"</formula>
    </cfRule>
  </conditionalFormatting>
  <conditionalFormatting sqref="IG25:IS25 EU25:FB25 H25:X25">
    <cfRule type="cellIs" dxfId="91" priority="157" stopIfTrue="1" operator="between">
      <formula>"بنين"</formula>
      <formula>"بنين"</formula>
    </cfRule>
    <cfRule type="cellIs" dxfId="90" priority="158" stopIfTrue="1" operator="between">
      <formula>"بنات"</formula>
      <formula>"بنات"</formula>
    </cfRule>
    <cfRule type="cellIs" dxfId="89" priority="159" stopIfTrue="1" operator="between">
      <formula>"مختلطة"</formula>
      <formula>"مختلطة"</formula>
    </cfRule>
  </conditionalFormatting>
  <conditionalFormatting sqref="K25:N25 Q25:V25">
    <cfRule type="cellIs" dxfId="88" priority="155" stopIfTrue="1" operator="equal">
      <formula>"حضر"</formula>
    </cfRule>
    <cfRule type="cellIs" dxfId="87" priority="156" stopIfTrue="1" operator="equal">
      <formula>"ريف"</formula>
    </cfRule>
  </conditionalFormatting>
  <conditionalFormatting sqref="A25:B25 Q25:V25 H25:N25">
    <cfRule type="cellIs" dxfId="86" priority="153" stopIfTrue="1" operator="equal">
      <formula>"اصلية"</formula>
    </cfRule>
    <cfRule type="cellIs" dxfId="85" priority="154" stopIfTrue="1" operator="equal">
      <formula>"ضيف"</formula>
    </cfRule>
  </conditionalFormatting>
  <conditionalFormatting sqref="IT25:IX25">
    <cfRule type="cellIs" dxfId="84" priority="152" stopIfTrue="1" operator="equal">
      <formula>FALSE</formula>
    </cfRule>
  </conditionalFormatting>
  <conditionalFormatting sqref="A42:B42 N42:S42 H42:K42">
    <cfRule type="cellIs" dxfId="83" priority="150" stopIfTrue="1" operator="equal">
      <formula>"اصلية"</formula>
    </cfRule>
    <cfRule type="cellIs" dxfId="82" priority="151" stopIfTrue="1" operator="equal">
      <formula>"ضيف"</formula>
    </cfRule>
  </conditionalFormatting>
  <conditionalFormatting sqref="DT42:DV42 HT42:IA42 H42:U42 IE42:IF42">
    <cfRule type="cellIs" dxfId="81" priority="147" stopIfTrue="1" operator="between">
      <formula>"بنين"</formula>
      <formula>"بنين"</formula>
    </cfRule>
    <cfRule type="cellIs" dxfId="80" priority="148" stopIfTrue="1" operator="between">
      <formula>"بنات"</formula>
      <formula>"بنات"</formula>
    </cfRule>
    <cfRule type="cellIs" dxfId="79" priority="149" stopIfTrue="1" operator="between">
      <formula>"مختلطة"</formula>
      <formula>"مختلطة"</formula>
    </cfRule>
  </conditionalFormatting>
  <conditionalFormatting sqref="N42:S42 H42:K42">
    <cfRule type="cellIs" dxfId="78" priority="145" stopIfTrue="1" operator="equal">
      <formula>"حضر"</formula>
    </cfRule>
    <cfRule type="cellIs" dxfId="77" priority="146" stopIfTrue="1" operator="equal">
      <formula>"ريف"</formula>
    </cfRule>
  </conditionalFormatting>
  <conditionalFormatting sqref="EU19:FB19 IG19:IS19 H19:X19">
    <cfRule type="cellIs" dxfId="76" priority="142" stopIfTrue="1" operator="between">
      <formula>"بنين"</formula>
      <formula>"بنين"</formula>
    </cfRule>
    <cfRule type="cellIs" dxfId="75" priority="143" stopIfTrue="1" operator="between">
      <formula>"بنات"</formula>
      <formula>"بنات"</formula>
    </cfRule>
    <cfRule type="cellIs" dxfId="74" priority="144" stopIfTrue="1" operator="between">
      <formula>"مختلطة"</formula>
      <formula>"مختلطة"</formula>
    </cfRule>
  </conditionalFormatting>
  <conditionalFormatting sqref="Q19:V19 K19:N19">
    <cfRule type="cellIs" dxfId="73" priority="140" stopIfTrue="1" operator="equal">
      <formula>"حضر"</formula>
    </cfRule>
    <cfRule type="cellIs" dxfId="72" priority="141" stopIfTrue="1" operator="equal">
      <formula>"ريف"</formula>
    </cfRule>
  </conditionalFormatting>
  <conditionalFormatting sqref="Q19:V19 H19:N19">
    <cfRule type="cellIs" dxfId="71" priority="138" stopIfTrue="1" operator="equal">
      <formula>"اصلية"</formula>
    </cfRule>
    <cfRule type="cellIs" dxfId="70" priority="139" stopIfTrue="1" operator="equal">
      <formula>"ضيف"</formula>
    </cfRule>
  </conditionalFormatting>
  <conditionalFormatting sqref="IT19:IX19">
    <cfRule type="cellIs" dxfId="69" priority="137" stopIfTrue="1" operator="equal">
      <formula>FALSE</formula>
    </cfRule>
  </conditionalFormatting>
  <conditionalFormatting sqref="EU31:FB31 IG31:IS31 H31:X31">
    <cfRule type="cellIs" dxfId="68" priority="134" stopIfTrue="1" operator="between">
      <formula>"بنين"</formula>
      <formula>"بنين"</formula>
    </cfRule>
    <cfRule type="cellIs" dxfId="67" priority="135" stopIfTrue="1" operator="between">
      <formula>"بنات"</formula>
      <formula>"بنات"</formula>
    </cfRule>
    <cfRule type="cellIs" dxfId="66" priority="136" stopIfTrue="1" operator="between">
      <formula>"مختلطة"</formula>
      <formula>"مختلطة"</formula>
    </cfRule>
  </conditionalFormatting>
  <conditionalFormatting sqref="Q31:V31 K31:N31">
    <cfRule type="cellIs" dxfId="65" priority="132" stopIfTrue="1" operator="equal">
      <formula>"حضر"</formula>
    </cfRule>
    <cfRule type="cellIs" dxfId="64" priority="133" stopIfTrue="1" operator="equal">
      <formula>"ريف"</formula>
    </cfRule>
  </conditionalFormatting>
  <conditionalFormatting sqref="Q31:V31 H31:N31">
    <cfRule type="cellIs" dxfId="63" priority="130" stopIfTrue="1" operator="equal">
      <formula>"اصلية"</formula>
    </cfRule>
    <cfRule type="cellIs" dxfId="62" priority="131" stopIfTrue="1" operator="equal">
      <formula>"ضيف"</formula>
    </cfRule>
  </conditionalFormatting>
  <conditionalFormatting sqref="IT31:IX31">
    <cfRule type="cellIs" dxfId="61" priority="129" stopIfTrue="1" operator="equal">
      <formula>FALSE</formula>
    </cfRule>
  </conditionalFormatting>
  <conditionalFormatting sqref="EU28:FB28 IG28:IS28 H28:X28 H30:X30 IG30:IS30 EU30:FB30">
    <cfRule type="cellIs" dxfId="60" priority="126" stopIfTrue="1" operator="between">
      <formula>"بنين"</formula>
      <formula>"بنين"</formula>
    </cfRule>
    <cfRule type="cellIs" dxfId="59" priority="127" stopIfTrue="1" operator="between">
      <formula>"بنات"</formula>
      <formula>"بنات"</formula>
    </cfRule>
    <cfRule type="cellIs" dxfId="58" priority="128" stopIfTrue="1" operator="between">
      <formula>"مختلطة"</formula>
      <formula>"مختلطة"</formula>
    </cfRule>
  </conditionalFormatting>
  <conditionalFormatting sqref="Q28:V28 K28:N28 K30:N30 Q30:V30">
    <cfRule type="cellIs" dxfId="57" priority="124" stopIfTrue="1" operator="equal">
      <formula>"حضر"</formula>
    </cfRule>
    <cfRule type="cellIs" dxfId="56" priority="125" stopIfTrue="1" operator="equal">
      <formula>"ريف"</formula>
    </cfRule>
  </conditionalFormatting>
  <conditionalFormatting sqref="Q28:V28 H28:N28 A28:B28 A30:B30 H30:N30 Q30:V30">
    <cfRule type="cellIs" dxfId="55" priority="122" stopIfTrue="1" operator="equal">
      <formula>"اصلية"</formula>
    </cfRule>
    <cfRule type="cellIs" dxfId="54" priority="123" stopIfTrue="1" operator="equal">
      <formula>"ضيف"</formula>
    </cfRule>
  </conditionalFormatting>
  <conditionalFormatting sqref="IT28:IX28 IT30:IX30">
    <cfRule type="cellIs" dxfId="53" priority="121" stopIfTrue="1" operator="equal">
      <formula>FALSE</formula>
    </cfRule>
  </conditionalFormatting>
  <conditionalFormatting sqref="EU29:FB29 IG29:IS29 H29:X29">
    <cfRule type="cellIs" dxfId="52" priority="118" stopIfTrue="1" operator="between">
      <formula>"بنين"</formula>
      <formula>"بنين"</formula>
    </cfRule>
    <cfRule type="cellIs" dxfId="51" priority="119" stopIfTrue="1" operator="between">
      <formula>"بنات"</formula>
      <formula>"بنات"</formula>
    </cfRule>
    <cfRule type="cellIs" dxfId="50" priority="120" stopIfTrue="1" operator="between">
      <formula>"مختلطة"</formula>
      <formula>"مختلطة"</formula>
    </cfRule>
  </conditionalFormatting>
  <conditionalFormatting sqref="Q29:V29 K29:N29">
    <cfRule type="cellIs" dxfId="49" priority="116" stopIfTrue="1" operator="equal">
      <formula>"حضر"</formula>
    </cfRule>
    <cfRule type="cellIs" dxfId="48" priority="117" stopIfTrue="1" operator="equal">
      <formula>"ريف"</formula>
    </cfRule>
  </conditionalFormatting>
  <conditionalFormatting sqref="Q29:V29 H29:N29 A29:B29">
    <cfRule type="cellIs" dxfId="47" priority="114" stopIfTrue="1" operator="equal">
      <formula>"اصلية"</formula>
    </cfRule>
    <cfRule type="cellIs" dxfId="46" priority="115" stopIfTrue="1" operator="equal">
      <formula>"ضيف"</formula>
    </cfRule>
  </conditionalFormatting>
  <conditionalFormatting sqref="IT29:IX29">
    <cfRule type="cellIs" dxfId="45" priority="113" stopIfTrue="1" operator="equal">
      <formula>FALSE</formula>
    </cfRule>
  </conditionalFormatting>
  <conditionalFormatting sqref="IG33:IS33 EU33:FB33 H33:X33">
    <cfRule type="cellIs" dxfId="44" priority="110" stopIfTrue="1" operator="between">
      <formula>"بنين"</formula>
      <formula>"بنين"</formula>
    </cfRule>
    <cfRule type="cellIs" dxfId="43" priority="111" stopIfTrue="1" operator="between">
      <formula>"بنات"</formula>
      <formula>"بنات"</formula>
    </cfRule>
    <cfRule type="cellIs" dxfId="42" priority="112" stopIfTrue="1" operator="between">
      <formula>"مختلطة"</formula>
      <formula>"مختلطة"</formula>
    </cfRule>
  </conditionalFormatting>
  <conditionalFormatting sqref="K33:N33 Q33:V33">
    <cfRule type="cellIs" dxfId="41" priority="108" stopIfTrue="1" operator="equal">
      <formula>"حضر"</formula>
    </cfRule>
    <cfRule type="cellIs" dxfId="40" priority="109" stopIfTrue="1" operator="equal">
      <formula>"ريف"</formula>
    </cfRule>
  </conditionalFormatting>
  <conditionalFormatting sqref="Q33:V33 H33:N33 A33:B33">
    <cfRule type="cellIs" dxfId="39" priority="106" stopIfTrue="1" operator="equal">
      <formula>"اصلية"</formula>
    </cfRule>
    <cfRule type="cellIs" dxfId="38" priority="107" stopIfTrue="1" operator="equal">
      <formula>"ضيف"</formula>
    </cfRule>
  </conditionalFormatting>
  <conditionalFormatting sqref="IT33:IX33">
    <cfRule type="cellIs" dxfId="37" priority="105" stopIfTrue="1" operator="equal">
      <formula>FALSE</formula>
    </cfRule>
  </conditionalFormatting>
  <conditionalFormatting sqref="IG34:IS34 EU34:FB34 H34:X34">
    <cfRule type="cellIs" dxfId="36" priority="92" stopIfTrue="1" operator="between">
      <formula>"بنين"</formula>
      <formula>"بنين"</formula>
    </cfRule>
    <cfRule type="cellIs" dxfId="35" priority="93" stopIfTrue="1" operator="between">
      <formula>"بنات"</formula>
      <formula>"بنات"</formula>
    </cfRule>
    <cfRule type="cellIs" dxfId="34" priority="94" stopIfTrue="1" operator="between">
      <formula>"مختلطة"</formula>
      <formula>"مختلطة"</formula>
    </cfRule>
  </conditionalFormatting>
  <conditionalFormatting sqref="K34:N34 Q34:V34">
    <cfRule type="cellIs" dxfId="33" priority="90" stopIfTrue="1" operator="equal">
      <formula>"حضر"</formula>
    </cfRule>
    <cfRule type="cellIs" dxfId="32" priority="91" stopIfTrue="1" operator="equal">
      <formula>"ريف"</formula>
    </cfRule>
  </conditionalFormatting>
  <conditionalFormatting sqref="Q34:V34 H34:N34 A34:B34">
    <cfRule type="cellIs" dxfId="31" priority="88" stopIfTrue="1" operator="equal">
      <formula>"اصلية"</formula>
    </cfRule>
    <cfRule type="cellIs" dxfId="30" priority="89" stopIfTrue="1" operator="equal">
      <formula>"ضيف"</formula>
    </cfRule>
  </conditionalFormatting>
  <conditionalFormatting sqref="IT34:IX34">
    <cfRule type="cellIs" dxfId="29" priority="87" stopIfTrue="1" operator="equal">
      <formula>FALSE</formula>
    </cfRule>
  </conditionalFormatting>
  <conditionalFormatting sqref="IG36:IS36 EU36:FB36 H36:X36">
    <cfRule type="cellIs" dxfId="28" priority="76" stopIfTrue="1" operator="between">
      <formula>"بنين"</formula>
      <formula>"بنين"</formula>
    </cfRule>
    <cfRule type="cellIs" dxfId="27" priority="77" stopIfTrue="1" operator="between">
      <formula>"بنات"</formula>
      <formula>"بنات"</formula>
    </cfRule>
    <cfRule type="cellIs" dxfId="26" priority="78" stopIfTrue="1" operator="between">
      <formula>"مختلطة"</formula>
      <formula>"مختلطة"</formula>
    </cfRule>
  </conditionalFormatting>
  <conditionalFormatting sqref="K36:N36 Q36:V36">
    <cfRule type="cellIs" dxfId="25" priority="74" stopIfTrue="1" operator="equal">
      <formula>"حضر"</formula>
    </cfRule>
    <cfRule type="cellIs" dxfId="24" priority="75" stopIfTrue="1" operator="equal">
      <formula>"ريف"</formula>
    </cfRule>
  </conditionalFormatting>
  <conditionalFormatting sqref="Q36:V36 H36:N36 A36:B36">
    <cfRule type="cellIs" dxfId="23" priority="72" stopIfTrue="1" operator="equal">
      <formula>"اصلية"</formula>
    </cfRule>
    <cfRule type="cellIs" dxfId="22" priority="73" stopIfTrue="1" operator="equal">
      <formula>"ضيف"</formula>
    </cfRule>
  </conditionalFormatting>
  <conditionalFormatting sqref="IT36:IX36">
    <cfRule type="cellIs" dxfId="21" priority="71" stopIfTrue="1" operator="equal">
      <formula>FALSE</formula>
    </cfRule>
  </conditionalFormatting>
  <conditionalFormatting sqref="H39:K40 N39:S40 A39:B40">
    <cfRule type="cellIs" dxfId="20" priority="20" stopIfTrue="1" operator="equal">
      <formula>"اصلية"</formula>
    </cfRule>
    <cfRule type="cellIs" dxfId="19" priority="21" stopIfTrue="1" operator="equal">
      <formula>"ضيف"</formula>
    </cfRule>
  </conditionalFormatting>
  <conditionalFormatting sqref="H39:U40 HT39:IH40 DR39:DV40">
    <cfRule type="cellIs" dxfId="18" priority="17" stopIfTrue="1" operator="between">
      <formula>"بنين"</formula>
      <formula>"بنين"</formula>
    </cfRule>
    <cfRule type="cellIs" dxfId="17" priority="18" stopIfTrue="1" operator="between">
      <formula>"بنات"</formula>
      <formula>"بنات"</formula>
    </cfRule>
    <cfRule type="cellIs" dxfId="16" priority="19" stopIfTrue="1" operator="between">
      <formula>"مختلطة"</formula>
      <formula>"مختلطة"</formula>
    </cfRule>
  </conditionalFormatting>
  <conditionalFormatting sqref="H39:K40 N39:S40">
    <cfRule type="cellIs" dxfId="15" priority="15" stopIfTrue="1" operator="equal">
      <formula>"حضر"</formula>
    </cfRule>
    <cfRule type="cellIs" dxfId="14" priority="16" stopIfTrue="1" operator="equal">
      <formula>"ريف"</formula>
    </cfRule>
  </conditionalFormatting>
  <conditionalFormatting sqref="H45:K46 N45:S46 A45:B46">
    <cfRule type="cellIs" dxfId="13" priority="13" stopIfTrue="1" operator="equal">
      <formula>"اصلية"</formula>
    </cfRule>
    <cfRule type="cellIs" dxfId="12" priority="14" stopIfTrue="1" operator="equal">
      <formula>"ضيف"</formula>
    </cfRule>
  </conditionalFormatting>
  <conditionalFormatting sqref="H45:U46 HT45:IH46 DR45:DV46">
    <cfRule type="cellIs" dxfId="11" priority="10" stopIfTrue="1" operator="between">
      <formula>"بنين"</formula>
      <formula>"بنين"</formula>
    </cfRule>
    <cfRule type="cellIs" dxfId="10" priority="11" stopIfTrue="1" operator="between">
      <formula>"بنات"</formula>
      <formula>"بنات"</formula>
    </cfRule>
    <cfRule type="cellIs" dxfId="9" priority="12" stopIfTrue="1" operator="between">
      <formula>"مختلطة"</formula>
      <formula>"مختلطة"</formula>
    </cfRule>
  </conditionalFormatting>
  <conditionalFormatting sqref="H45:K46 N45:S46">
    <cfRule type="cellIs" dxfId="8" priority="8" stopIfTrue="1" operator="equal">
      <formula>"حضر"</formula>
    </cfRule>
    <cfRule type="cellIs" dxfId="7" priority="9" stopIfTrue="1" operator="equal">
      <formula>"ريف"</formula>
    </cfRule>
  </conditionalFormatting>
  <conditionalFormatting sqref="H48:K48 N48:S48 A48:B48">
    <cfRule type="cellIs" dxfId="6" priority="6" stopIfTrue="1" operator="equal">
      <formula>"اصلية"</formula>
    </cfRule>
    <cfRule type="cellIs" dxfId="5" priority="7" stopIfTrue="1" operator="equal">
      <formula>"ضيف"</formula>
    </cfRule>
  </conditionalFormatting>
  <conditionalFormatting sqref="H48:U48 HT48:IH48 DR48:DV48">
    <cfRule type="cellIs" dxfId="4" priority="3" stopIfTrue="1" operator="between">
      <formula>"بنين"</formula>
      <formula>"بنين"</formula>
    </cfRule>
    <cfRule type="cellIs" dxfId="3" priority="4" stopIfTrue="1" operator="between">
      <formula>"بنات"</formula>
      <formula>"بنات"</formula>
    </cfRule>
    <cfRule type="cellIs" dxfId="2" priority="5" stopIfTrue="1" operator="between">
      <formula>"مختلطة"</formula>
      <formula>"مختلطة"</formula>
    </cfRule>
  </conditionalFormatting>
  <conditionalFormatting sqref="H48:K48 N48:S48">
    <cfRule type="cellIs" dxfId="1" priority="1" stopIfTrue="1" operator="equal">
      <formula>"حضر"</formula>
    </cfRule>
    <cfRule type="cellIs" dxfId="0" priority="2" stopIfTrue="1" operator="equal">
      <formula>"ريف"</formula>
    </cfRule>
  </conditionalFormatting>
  <pageMargins left="0.7" right="0.7" top="0.75" bottom="0.75" header="0.3" footer="0.3"/>
  <pageSetup paperSize="9" orientation="portrait" r:id="rId1"/>
  <ignoredErrors>
    <ignoredError sqref="D13" numberStoredAsText="1"/>
    <ignoredError sqref="DH42:DJ42 EI42:EK42 GW42:GY42 IB42:ID42 FC42:FE42 AM20:AO20 AM24:AO24 AM35:AO35 AM47:AO47 AM41:AO41 BD32:BF32 BD35:BF35 BD24:BF24 BD20:BF20 BX32:CN32 BX35:CN35 BX24:CN24 BX20:CN20 CX35:DA35 CX32:DA32 CX24:DA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72"/>
  <sheetViews>
    <sheetView rightToLeft="1" view="pageBreakPreview" topLeftCell="A52" zoomScale="60" workbookViewId="0">
      <selection activeCell="C65" sqref="C65:C66"/>
    </sheetView>
  </sheetViews>
  <sheetFormatPr defaultColWidth="9" defaultRowHeight="20.25" x14ac:dyDescent="0.3"/>
  <cols>
    <col min="1" max="1" width="17.125" style="9" customWidth="1"/>
    <col min="2" max="2" width="15.375" style="9" customWidth="1"/>
    <col min="3" max="3" width="12.375" style="9" customWidth="1"/>
    <col min="4" max="5" width="10.75" style="9" customWidth="1"/>
    <col min="6" max="6" width="11.625" style="9" customWidth="1"/>
    <col min="7" max="7" width="11" style="9" customWidth="1"/>
    <col min="8" max="8" width="12.375" style="9" customWidth="1"/>
    <col min="9" max="9" width="14.25" style="9" customWidth="1"/>
    <col min="10" max="10" width="11.25" style="9" customWidth="1"/>
    <col min="11" max="11" width="13.25" style="9" customWidth="1"/>
    <col min="12" max="12" width="10.375" style="9" customWidth="1"/>
    <col min="13" max="13" width="10.625" style="9" customWidth="1"/>
    <col min="14" max="14" width="8.625" style="9" customWidth="1"/>
    <col min="15" max="15" width="9.375" style="9" customWidth="1"/>
    <col min="16" max="16384" width="9" style="9"/>
  </cols>
  <sheetData>
    <row r="1" spans="1:14" ht="29.25" customHeight="1" x14ac:dyDescent="0.35">
      <c r="A1" s="201" t="s">
        <v>55</v>
      </c>
      <c r="B1" s="201"/>
      <c r="C1" s="201"/>
    </row>
    <row r="2" spans="1:14" ht="29.25" customHeight="1" x14ac:dyDescent="0.3">
      <c r="A2" s="202" t="s">
        <v>56</v>
      </c>
      <c r="B2" s="202"/>
      <c r="C2" s="202"/>
      <c r="D2" s="202"/>
    </row>
    <row r="3" spans="1:14" ht="26.25" customHeight="1" x14ac:dyDescent="0.35">
      <c r="A3" s="201" t="s">
        <v>175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</row>
    <row r="5" spans="1:14" ht="29.25" customHeight="1" x14ac:dyDescent="0.35">
      <c r="E5" s="43" t="s">
        <v>276</v>
      </c>
    </row>
    <row r="6" spans="1:14" ht="21" thickBot="1" x14ac:dyDescent="0.35"/>
    <row r="7" spans="1:14" s="32" customFormat="1" ht="31.5" customHeight="1" thickTop="1" thickBot="1" x14ac:dyDescent="0.25">
      <c r="A7" s="32" t="s">
        <v>1</v>
      </c>
      <c r="B7" s="186" t="s">
        <v>41</v>
      </c>
      <c r="C7" s="190"/>
      <c r="D7" s="187"/>
      <c r="F7" s="32" t="s">
        <v>2</v>
      </c>
      <c r="G7" s="186" t="s">
        <v>198</v>
      </c>
      <c r="H7" s="190"/>
      <c r="I7" s="187"/>
      <c r="K7" s="32" t="s">
        <v>0</v>
      </c>
      <c r="L7" s="186"/>
      <c r="M7" s="190"/>
      <c r="N7" s="187"/>
    </row>
    <row r="8" spans="1:14" s="32" customFormat="1" ht="31.5" customHeight="1" thickTop="1" thickBot="1" x14ac:dyDescent="0.25"/>
    <row r="9" spans="1:14" s="35" customFormat="1" ht="31.5" customHeight="1" thickTop="1" thickBot="1" x14ac:dyDescent="0.25">
      <c r="A9" s="35" t="s">
        <v>43</v>
      </c>
      <c r="B9" s="203">
        <f>'التعليم المسرع'!H51+'التعليم المسرع'!I51+'التعليم المسرع'!J51</f>
        <v>30</v>
      </c>
      <c r="C9" s="204"/>
      <c r="D9" s="205"/>
      <c r="F9" s="35" t="s">
        <v>3</v>
      </c>
      <c r="G9" s="203">
        <f>'التعليم المسرع'!Q51</f>
        <v>0</v>
      </c>
      <c r="H9" s="204"/>
      <c r="I9" s="205"/>
      <c r="K9" s="35" t="s">
        <v>4</v>
      </c>
      <c r="L9" s="203">
        <f>'التعليم المسرع'!R51</f>
        <v>30</v>
      </c>
      <c r="M9" s="204"/>
      <c r="N9" s="205"/>
    </row>
    <row r="10" spans="1:14" s="32" customFormat="1" ht="21" thickTop="1" x14ac:dyDescent="0.2">
      <c r="B10" s="27"/>
      <c r="C10" s="27"/>
      <c r="D10" s="27"/>
      <c r="G10" s="27"/>
      <c r="H10" s="27"/>
      <c r="I10" s="27"/>
      <c r="L10" s="27"/>
      <c r="M10" s="27"/>
      <c r="N10" s="27"/>
    </row>
    <row r="11" spans="1:14" ht="21" thickBot="1" x14ac:dyDescent="0.35"/>
    <row r="12" spans="1:14" s="31" customFormat="1" ht="36" customHeight="1" thickTop="1" thickBot="1" x14ac:dyDescent="0.25">
      <c r="B12" s="186" t="s">
        <v>5</v>
      </c>
      <c r="C12" s="187"/>
      <c r="F12" s="186" t="s">
        <v>6</v>
      </c>
      <c r="G12" s="190"/>
      <c r="H12" s="187"/>
      <c r="K12" s="186" t="s">
        <v>7</v>
      </c>
      <c r="L12" s="190"/>
      <c r="M12" s="187"/>
    </row>
    <row r="13" spans="1:14" ht="27" customHeight="1" thickTop="1" thickBot="1" x14ac:dyDescent="0.35">
      <c r="B13" s="10" t="s">
        <v>8</v>
      </c>
      <c r="C13" s="11" t="s">
        <v>9</v>
      </c>
      <c r="F13" s="12" t="s">
        <v>10</v>
      </c>
      <c r="G13" s="13" t="s">
        <v>11</v>
      </c>
      <c r="H13" s="14" t="s">
        <v>12</v>
      </c>
      <c r="K13" s="10" t="s">
        <v>13</v>
      </c>
      <c r="L13" s="15" t="s">
        <v>14</v>
      </c>
      <c r="M13" s="11" t="s">
        <v>15</v>
      </c>
    </row>
    <row r="14" spans="1:14" s="32" customFormat="1" ht="27" customHeight="1" thickTop="1" thickBot="1" x14ac:dyDescent="0.25">
      <c r="B14" s="60">
        <f>'التعليم المسرع'!K51</f>
        <v>28</v>
      </c>
      <c r="C14" s="61">
        <f>'التعليم المسرع'!L51</f>
        <v>2</v>
      </c>
      <c r="F14" s="29">
        <f>'التعليم المسرع'!H51</f>
        <v>15</v>
      </c>
      <c r="G14" s="30">
        <f>'التعليم المسرع'!I51</f>
        <v>15</v>
      </c>
      <c r="H14" s="34">
        <f>'التعليم المسرع'!J51</f>
        <v>0</v>
      </c>
      <c r="K14" s="24">
        <f>'التعليم المسرع'!FC51</f>
        <v>85</v>
      </c>
      <c r="L14" s="25">
        <f>'التعليم المسرع'!FD51</f>
        <v>75</v>
      </c>
      <c r="M14" s="33">
        <f>SUM(K14:L14)</f>
        <v>160</v>
      </c>
    </row>
    <row r="15" spans="1:14" ht="21" thickTop="1" x14ac:dyDescent="0.3"/>
    <row r="16" spans="1:14" ht="21" thickBot="1" x14ac:dyDescent="0.35"/>
    <row r="17" spans="2:15" s="32" customFormat="1" ht="33.75" customHeight="1" thickTop="1" thickBot="1" x14ac:dyDescent="0.25">
      <c r="B17" s="186" t="s">
        <v>20</v>
      </c>
      <c r="C17" s="190"/>
      <c r="D17" s="190"/>
      <c r="E17" s="190"/>
      <c r="F17" s="190"/>
      <c r="G17" s="187"/>
      <c r="J17" s="186" t="s">
        <v>30</v>
      </c>
      <c r="K17" s="190"/>
      <c r="L17" s="190"/>
      <c r="M17" s="190"/>
      <c r="N17" s="190"/>
      <c r="O17" s="187"/>
    </row>
    <row r="18" spans="2:15" ht="25.5" customHeight="1" thickTop="1" thickBot="1" x14ac:dyDescent="0.35">
      <c r="B18" s="22" t="s">
        <v>16</v>
      </c>
      <c r="C18" s="23" t="s">
        <v>10</v>
      </c>
      <c r="D18" s="23" t="s">
        <v>11</v>
      </c>
      <c r="E18" s="23" t="s">
        <v>12</v>
      </c>
      <c r="F18" s="188" t="s">
        <v>15</v>
      </c>
      <c r="G18" s="189"/>
      <c r="J18" s="197" t="s">
        <v>31</v>
      </c>
      <c r="K18" s="200" t="s">
        <v>44</v>
      </c>
      <c r="L18" s="209" t="s">
        <v>45</v>
      </c>
      <c r="M18" s="200" t="s">
        <v>46</v>
      </c>
      <c r="N18" s="200" t="s">
        <v>256</v>
      </c>
      <c r="O18" s="181" t="s">
        <v>47</v>
      </c>
    </row>
    <row r="19" spans="2:15" ht="21.75" thickTop="1" thickBot="1" x14ac:dyDescent="0.35">
      <c r="B19" s="191" t="s">
        <v>17</v>
      </c>
      <c r="C19" s="191">
        <f>'التعليم المسرع'!CO51</f>
        <v>24</v>
      </c>
      <c r="D19" s="191">
        <f>'التعليم المسرع'!CP51</f>
        <v>17</v>
      </c>
      <c r="E19" s="191">
        <f>'التعليم المسرع'!CQ51</f>
        <v>0</v>
      </c>
      <c r="F19" s="193">
        <f>C19+D19+E19</f>
        <v>41</v>
      </c>
      <c r="G19" s="194"/>
      <c r="J19" s="192"/>
      <c r="K19" s="199"/>
      <c r="L19" s="184"/>
      <c r="M19" s="199"/>
      <c r="N19" s="199"/>
      <c r="O19" s="182"/>
    </row>
    <row r="20" spans="2:15" ht="21.75" thickTop="1" thickBot="1" x14ac:dyDescent="0.35">
      <c r="B20" s="192"/>
      <c r="C20" s="192"/>
      <c r="D20" s="192"/>
      <c r="E20" s="192"/>
      <c r="F20" s="195"/>
      <c r="G20" s="196"/>
      <c r="J20" s="191" t="s">
        <v>13</v>
      </c>
      <c r="K20" s="198">
        <f>'التعليم المسرع'!EU51</f>
        <v>15</v>
      </c>
      <c r="L20" s="198">
        <f>'التعليم المسرع'!EW51</f>
        <v>6</v>
      </c>
      <c r="M20" s="198">
        <f>'التعليم المسرع'!EY51</f>
        <v>64</v>
      </c>
      <c r="N20" s="198">
        <f>'التعليم المسرع'!FA51</f>
        <v>0</v>
      </c>
      <c r="O20" s="183">
        <f>SUM(K20:N21)</f>
        <v>85</v>
      </c>
    </row>
    <row r="21" spans="2:15" ht="21.75" thickTop="1" thickBot="1" x14ac:dyDescent="0.35">
      <c r="B21" s="191" t="s">
        <v>18</v>
      </c>
      <c r="C21" s="191">
        <f>'التعليم المسرع'!CR51</f>
        <v>23</v>
      </c>
      <c r="D21" s="191">
        <f>'التعليم المسرع'!CS51</f>
        <v>18</v>
      </c>
      <c r="E21" s="191">
        <f>'التعليم المسرع'!CT51</f>
        <v>0</v>
      </c>
      <c r="F21" s="193">
        <f t="shared" ref="F21" si="0">C21+D21+E21</f>
        <v>41</v>
      </c>
      <c r="G21" s="194"/>
      <c r="J21" s="192"/>
      <c r="K21" s="199"/>
      <c r="L21" s="199"/>
      <c r="M21" s="199"/>
      <c r="N21" s="199"/>
      <c r="O21" s="184"/>
    </row>
    <row r="22" spans="2:15" ht="21.75" thickTop="1" thickBot="1" x14ac:dyDescent="0.35">
      <c r="B22" s="192"/>
      <c r="C22" s="192"/>
      <c r="D22" s="192"/>
      <c r="E22" s="192"/>
      <c r="F22" s="195"/>
      <c r="G22" s="196"/>
      <c r="J22" s="191" t="s">
        <v>14</v>
      </c>
      <c r="K22" s="198">
        <f>'التعليم المسرع'!EV51</f>
        <v>15</v>
      </c>
      <c r="L22" s="198">
        <f>'التعليم المسرع'!EX51</f>
        <v>4</v>
      </c>
      <c r="M22" s="198">
        <f>'التعليم المسرع'!EZ51</f>
        <v>55</v>
      </c>
      <c r="N22" s="198">
        <f>'التعليم المسرع'!FB51</f>
        <v>1</v>
      </c>
      <c r="O22" s="183">
        <f>SUM(K22:N23)</f>
        <v>75</v>
      </c>
    </row>
    <row r="23" spans="2:15" ht="21.75" thickTop="1" thickBot="1" x14ac:dyDescent="0.35">
      <c r="B23" s="191" t="s">
        <v>19</v>
      </c>
      <c r="C23" s="191">
        <f>'التعليم المسرع'!CU51</f>
        <v>31</v>
      </c>
      <c r="D23" s="191">
        <f>'التعليم المسرع'!CV51</f>
        <v>20</v>
      </c>
      <c r="E23" s="191">
        <f>'التعليم المسرع'!CW51</f>
        <v>0</v>
      </c>
      <c r="F23" s="193">
        <f t="shared" ref="F23" si="1">C23+D23+E23</f>
        <v>51</v>
      </c>
      <c r="G23" s="194"/>
      <c r="J23" s="192"/>
      <c r="K23" s="199"/>
      <c r="L23" s="199"/>
      <c r="M23" s="199"/>
      <c r="N23" s="199"/>
      <c r="O23" s="184"/>
    </row>
    <row r="24" spans="2:15" ht="21.75" thickTop="1" thickBot="1" x14ac:dyDescent="0.35">
      <c r="B24" s="192"/>
      <c r="C24" s="192"/>
      <c r="D24" s="192"/>
      <c r="E24" s="192"/>
      <c r="F24" s="195"/>
      <c r="G24" s="196"/>
      <c r="J24" s="191" t="s">
        <v>15</v>
      </c>
      <c r="K24" s="198">
        <f>K20+K22</f>
        <v>30</v>
      </c>
      <c r="L24" s="198">
        <f t="shared" ref="L24:M24" si="2">L20+L22</f>
        <v>10</v>
      </c>
      <c r="M24" s="198">
        <f t="shared" si="2"/>
        <v>119</v>
      </c>
      <c r="N24" s="198">
        <f t="shared" ref="N24" si="3">N20+N22</f>
        <v>1</v>
      </c>
      <c r="O24" s="183">
        <f>O20+O22</f>
        <v>160</v>
      </c>
    </row>
    <row r="25" spans="2:15" ht="27" customHeight="1" thickTop="1" thickBot="1" x14ac:dyDescent="0.35">
      <c r="B25" s="24" t="s">
        <v>15</v>
      </c>
      <c r="C25" s="25">
        <f>SUM(C19:C24)</f>
        <v>78</v>
      </c>
      <c r="D25" s="25">
        <f>SUM(D19:D24)</f>
        <v>55</v>
      </c>
      <c r="E25" s="25">
        <f>SUM(E19:E24)</f>
        <v>0</v>
      </c>
      <c r="F25" s="206">
        <f>C25+D25+E25</f>
        <v>133</v>
      </c>
      <c r="G25" s="187"/>
      <c r="J25" s="218"/>
      <c r="K25" s="219"/>
      <c r="L25" s="219"/>
      <c r="M25" s="219"/>
      <c r="N25" s="219"/>
      <c r="O25" s="185"/>
    </row>
    <row r="26" spans="2:15" ht="27" customHeight="1" thickTop="1" thickBot="1" x14ac:dyDescent="0.35">
      <c r="B26" s="41"/>
      <c r="C26" s="42"/>
      <c r="D26" s="42"/>
      <c r="E26" s="42"/>
      <c r="F26" s="41"/>
      <c r="G26" s="41"/>
      <c r="J26" s="42"/>
      <c r="K26" s="42"/>
      <c r="L26" s="27"/>
      <c r="M26" s="27"/>
      <c r="N26" s="27"/>
    </row>
    <row r="27" spans="2:15" ht="36" customHeight="1" thickTop="1" thickBot="1" x14ac:dyDescent="0.35">
      <c r="B27" s="186" t="s">
        <v>39</v>
      </c>
      <c r="C27" s="190"/>
      <c r="D27" s="190"/>
      <c r="E27" s="190"/>
      <c r="F27" s="190"/>
      <c r="G27" s="190"/>
      <c r="H27" s="190"/>
      <c r="I27" s="190"/>
      <c r="J27" s="190"/>
      <c r="K27" s="187"/>
      <c r="L27" s="26"/>
      <c r="M27" s="26"/>
    </row>
    <row r="28" spans="2:15" ht="28.5" customHeight="1" thickTop="1" x14ac:dyDescent="0.3">
      <c r="B28" s="207" t="s">
        <v>40</v>
      </c>
      <c r="C28" s="207" t="s">
        <v>32</v>
      </c>
      <c r="D28" s="207" t="s">
        <v>33</v>
      </c>
      <c r="E28" s="207" t="s">
        <v>34</v>
      </c>
      <c r="F28" s="207" t="s">
        <v>35</v>
      </c>
      <c r="G28" s="207" t="s">
        <v>36</v>
      </c>
      <c r="H28" s="207" t="s">
        <v>37</v>
      </c>
      <c r="I28" s="207" t="s">
        <v>38</v>
      </c>
      <c r="J28" s="225" t="s">
        <v>15</v>
      </c>
      <c r="K28" s="226"/>
      <c r="L28" s="26"/>
      <c r="M28" s="26"/>
    </row>
    <row r="29" spans="2:15" ht="63.75" customHeight="1" thickBot="1" x14ac:dyDescent="0.35">
      <c r="B29" s="208"/>
      <c r="C29" s="208"/>
      <c r="D29" s="208"/>
      <c r="E29" s="208"/>
      <c r="F29" s="208"/>
      <c r="G29" s="208"/>
      <c r="H29" s="208"/>
      <c r="I29" s="208"/>
      <c r="J29" s="222"/>
      <c r="K29" s="223"/>
      <c r="L29" s="26"/>
      <c r="M29" s="26"/>
    </row>
    <row r="30" spans="2:15" ht="21" thickTop="1" x14ac:dyDescent="0.3">
      <c r="B30" s="191" t="s">
        <v>13</v>
      </c>
      <c r="C30" s="224">
        <f>'التعليم المسرع'!FZ51</f>
        <v>0</v>
      </c>
      <c r="D30" s="224">
        <f>'التعليم المسرع'!FX51</f>
        <v>0</v>
      </c>
      <c r="E30" s="224">
        <f>'التعليم المسرع'!GD51</f>
        <v>0</v>
      </c>
      <c r="F30" s="224">
        <f>'التعليم المسرع'!GB51</f>
        <v>38</v>
      </c>
      <c r="G30" s="224">
        <f>'التعليم المسرع'!GH51</f>
        <v>40</v>
      </c>
      <c r="H30" s="224">
        <f>'التعليم المسرع'!GJ51</f>
        <v>6</v>
      </c>
      <c r="I30" s="224">
        <f>'التعليم المسرع'!GL51+'التعليم المسرع'!GF51</f>
        <v>1</v>
      </c>
      <c r="J30" s="220">
        <f>I30+H30+G30+F30+E30+D30+C30</f>
        <v>85</v>
      </c>
      <c r="K30" s="221"/>
      <c r="L30" s="26"/>
      <c r="M30" s="26"/>
    </row>
    <row r="31" spans="2:15" ht="21" thickBot="1" x14ac:dyDescent="0.35">
      <c r="B31" s="192"/>
      <c r="C31" s="218"/>
      <c r="D31" s="218"/>
      <c r="E31" s="218"/>
      <c r="F31" s="218"/>
      <c r="G31" s="218"/>
      <c r="H31" s="218"/>
      <c r="I31" s="218"/>
      <c r="J31" s="222"/>
      <c r="K31" s="223"/>
      <c r="L31" s="26"/>
      <c r="M31" s="26"/>
    </row>
    <row r="32" spans="2:15" ht="21" thickTop="1" x14ac:dyDescent="0.3">
      <c r="B32" s="191" t="s">
        <v>14</v>
      </c>
      <c r="C32" s="224">
        <f>'التعليم المسرع'!GA51</f>
        <v>0</v>
      </c>
      <c r="D32" s="224">
        <f>'التعليم المسرع'!FY51</f>
        <v>1</v>
      </c>
      <c r="E32" s="224">
        <f>'التعليم المسرع'!GE51</f>
        <v>0</v>
      </c>
      <c r="F32" s="224">
        <f>'التعليم المسرع'!GC51</f>
        <v>28</v>
      </c>
      <c r="G32" s="224">
        <f>'التعليم المسرع'!GI51</f>
        <v>37</v>
      </c>
      <c r="H32" s="224">
        <f>'التعليم المسرع'!GK51</f>
        <v>5</v>
      </c>
      <c r="I32" s="224">
        <f>'التعليم المسرع'!GM51+'التعليم المسرع'!GG51</f>
        <v>4</v>
      </c>
      <c r="J32" s="220">
        <f>I32+H32+G32+F32+E32+D32+C32</f>
        <v>75</v>
      </c>
      <c r="K32" s="221"/>
      <c r="L32" s="26"/>
      <c r="M32" s="26"/>
    </row>
    <row r="33" spans="1:14" ht="21" thickBot="1" x14ac:dyDescent="0.35">
      <c r="B33" s="192"/>
      <c r="C33" s="218"/>
      <c r="D33" s="218"/>
      <c r="E33" s="218"/>
      <c r="F33" s="218"/>
      <c r="G33" s="218"/>
      <c r="H33" s="218"/>
      <c r="I33" s="218"/>
      <c r="J33" s="222"/>
      <c r="K33" s="223"/>
      <c r="L33" s="26"/>
      <c r="M33" s="26"/>
    </row>
    <row r="34" spans="1:14" ht="21" thickTop="1" x14ac:dyDescent="0.3">
      <c r="B34" s="191" t="s">
        <v>15</v>
      </c>
      <c r="C34" s="224">
        <f>C30+C32</f>
        <v>0</v>
      </c>
      <c r="D34" s="224">
        <f t="shared" ref="D34:I34" si="4">D30+D32</f>
        <v>1</v>
      </c>
      <c r="E34" s="224">
        <f t="shared" si="4"/>
        <v>0</v>
      </c>
      <c r="F34" s="224">
        <f t="shared" si="4"/>
        <v>66</v>
      </c>
      <c r="G34" s="224">
        <f t="shared" si="4"/>
        <v>77</v>
      </c>
      <c r="H34" s="224">
        <f t="shared" si="4"/>
        <v>11</v>
      </c>
      <c r="I34" s="224">
        <f t="shared" si="4"/>
        <v>5</v>
      </c>
      <c r="J34" s="220">
        <f t="shared" ref="J34" si="5">I34+H34+G34+F34+E34+D34+C34</f>
        <v>160</v>
      </c>
      <c r="K34" s="221"/>
      <c r="L34" s="26"/>
      <c r="M34" s="26"/>
    </row>
    <row r="35" spans="1:14" ht="21" thickBot="1" x14ac:dyDescent="0.35">
      <c r="B35" s="218"/>
      <c r="C35" s="218"/>
      <c r="D35" s="218"/>
      <c r="E35" s="218"/>
      <c r="F35" s="218"/>
      <c r="G35" s="218"/>
      <c r="H35" s="218"/>
      <c r="I35" s="218"/>
      <c r="J35" s="222"/>
      <c r="K35" s="223"/>
      <c r="L35" s="26"/>
      <c r="M35" s="26"/>
    </row>
    <row r="36" spans="1:14" ht="21" thickTop="1" x14ac:dyDescent="0.3"/>
    <row r="37" spans="1:14" s="43" customFormat="1" ht="30" customHeight="1" x14ac:dyDescent="0.35">
      <c r="A37" s="201" t="s">
        <v>55</v>
      </c>
      <c r="B37" s="201"/>
      <c r="C37" s="201"/>
    </row>
    <row r="38" spans="1:14" s="43" customFormat="1" ht="26.25" customHeight="1" x14ac:dyDescent="0.35">
      <c r="A38" s="201" t="s">
        <v>56</v>
      </c>
      <c r="B38" s="201"/>
      <c r="C38" s="201"/>
      <c r="D38" s="201"/>
      <c r="J38" s="43" t="s">
        <v>187</v>
      </c>
    </row>
    <row r="39" spans="1:14" s="43" customFormat="1" ht="23.25" x14ac:dyDescent="0.35"/>
    <row r="40" spans="1:14" s="43" customFormat="1" ht="23.25" x14ac:dyDescent="0.35">
      <c r="E40" s="43" t="s">
        <v>175</v>
      </c>
    </row>
    <row r="41" spans="1:14" ht="21" thickBot="1" x14ac:dyDescent="0.35"/>
    <row r="42" spans="1:14" ht="34.5" customHeight="1" thickTop="1" thickBot="1" x14ac:dyDescent="0.35">
      <c r="B42" s="215" t="s">
        <v>28</v>
      </c>
      <c r="C42" s="216" t="s">
        <v>17</v>
      </c>
      <c r="D42" s="216"/>
      <c r="E42" s="216" t="s">
        <v>18</v>
      </c>
      <c r="F42" s="216"/>
      <c r="G42" s="216" t="s">
        <v>19</v>
      </c>
      <c r="H42" s="216"/>
      <c r="I42" s="216" t="s">
        <v>29</v>
      </c>
      <c r="J42" s="216"/>
      <c r="K42" s="217"/>
      <c r="L42" s="26"/>
      <c r="M42" s="26"/>
      <c r="N42" s="26"/>
    </row>
    <row r="43" spans="1:14" ht="30" customHeight="1" thickTop="1" thickBot="1" x14ac:dyDescent="0.35">
      <c r="B43" s="211"/>
      <c r="C43" s="48" t="s">
        <v>10</v>
      </c>
      <c r="D43" s="48" t="s">
        <v>11</v>
      </c>
      <c r="E43" s="48" t="s">
        <v>10</v>
      </c>
      <c r="F43" s="48" t="s">
        <v>11</v>
      </c>
      <c r="G43" s="48" t="s">
        <v>10</v>
      </c>
      <c r="H43" s="48" t="s">
        <v>11</v>
      </c>
      <c r="I43" s="48" t="s">
        <v>10</v>
      </c>
      <c r="J43" s="48" t="s">
        <v>11</v>
      </c>
      <c r="K43" s="49" t="s">
        <v>15</v>
      </c>
      <c r="L43" s="26"/>
      <c r="M43" s="26"/>
      <c r="N43" s="26"/>
    </row>
    <row r="44" spans="1:14" ht="21.75" thickTop="1" thickBot="1" x14ac:dyDescent="0.35">
      <c r="B44" s="211" t="s">
        <v>21</v>
      </c>
      <c r="C44" s="210">
        <f>'التعليم المسرع'!Y51</f>
        <v>94</v>
      </c>
      <c r="D44" s="210">
        <f>'التعليم المسرع'!Z51</f>
        <v>73</v>
      </c>
      <c r="E44" s="210">
        <f>'التعليم المسرع'!AP51</f>
        <v>19</v>
      </c>
      <c r="F44" s="210">
        <f>'التعليم المسرع'!AQ51</f>
        <v>36</v>
      </c>
      <c r="G44" s="210">
        <f>'التعليم المسرع'!BG51</f>
        <v>24</v>
      </c>
      <c r="H44" s="210">
        <f>'التعليم المسرع'!BH51</f>
        <v>22</v>
      </c>
      <c r="I44" s="210">
        <f>C44+E44+G44</f>
        <v>137</v>
      </c>
      <c r="J44" s="210">
        <f>D44+F44+H44</f>
        <v>131</v>
      </c>
      <c r="K44" s="213">
        <f>SUM(I44:J44)</f>
        <v>268</v>
      </c>
      <c r="L44" s="26"/>
      <c r="M44" s="26"/>
      <c r="N44" s="26"/>
    </row>
    <row r="45" spans="1:14" ht="21.75" thickTop="1" thickBot="1" x14ac:dyDescent="0.35">
      <c r="B45" s="211"/>
      <c r="C45" s="210"/>
      <c r="D45" s="210"/>
      <c r="E45" s="210"/>
      <c r="F45" s="210"/>
      <c r="G45" s="210"/>
      <c r="H45" s="210"/>
      <c r="I45" s="210"/>
      <c r="J45" s="210"/>
      <c r="K45" s="213"/>
      <c r="L45" s="26"/>
      <c r="M45" s="26"/>
      <c r="N45" s="26"/>
    </row>
    <row r="46" spans="1:14" ht="21.75" thickTop="1" thickBot="1" x14ac:dyDescent="0.35">
      <c r="B46" s="211" t="s">
        <v>22</v>
      </c>
      <c r="C46" s="210">
        <f>'التعليم المسرع'!AA51</f>
        <v>129</v>
      </c>
      <c r="D46" s="210">
        <f>'التعليم المسرع'!AB51</f>
        <v>45</v>
      </c>
      <c r="E46" s="210">
        <f>'التعليم المسرع'!AR51</f>
        <v>71</v>
      </c>
      <c r="F46" s="210">
        <f>'التعليم المسرع'!AS51</f>
        <v>46</v>
      </c>
      <c r="G46" s="210">
        <f>'التعليم المسرع'!BI51</f>
        <v>53</v>
      </c>
      <c r="H46" s="210">
        <f>'التعليم المسرع'!BJ51</f>
        <v>27</v>
      </c>
      <c r="I46" s="210">
        <f t="shared" ref="I46" si="6">C46+E46+G46</f>
        <v>253</v>
      </c>
      <c r="J46" s="210">
        <f t="shared" ref="J46" si="7">D46+F46+H46</f>
        <v>118</v>
      </c>
      <c r="K46" s="213">
        <f t="shared" ref="K46" si="8">SUM(I46:J46)</f>
        <v>371</v>
      </c>
      <c r="L46" s="26"/>
    </row>
    <row r="47" spans="1:14" ht="21.75" thickTop="1" thickBot="1" x14ac:dyDescent="0.35">
      <c r="B47" s="211"/>
      <c r="C47" s="210"/>
      <c r="D47" s="210"/>
      <c r="E47" s="210"/>
      <c r="F47" s="210"/>
      <c r="G47" s="210"/>
      <c r="H47" s="210"/>
      <c r="I47" s="210"/>
      <c r="J47" s="210"/>
      <c r="K47" s="213"/>
      <c r="L47" s="26"/>
    </row>
    <row r="48" spans="1:14" ht="21.75" thickTop="1" thickBot="1" x14ac:dyDescent="0.35">
      <c r="B48" s="211" t="s">
        <v>23</v>
      </c>
      <c r="C48" s="210">
        <f>'التعليم المسرع'!AC51</f>
        <v>135</v>
      </c>
      <c r="D48" s="210">
        <f>'التعليم المسرع'!AD51</f>
        <v>54</v>
      </c>
      <c r="E48" s="210">
        <f>'التعليم المسرع'!AT51</f>
        <v>107</v>
      </c>
      <c r="F48" s="210">
        <f>'التعليم المسرع'!AU51</f>
        <v>67</v>
      </c>
      <c r="G48" s="210">
        <f>'التعليم المسرع'!BK51</f>
        <v>114</v>
      </c>
      <c r="H48" s="210">
        <f>'التعليم المسرع'!BL51</f>
        <v>70</v>
      </c>
      <c r="I48" s="210">
        <f t="shared" ref="I48" si="9">C48+E48+G48</f>
        <v>356</v>
      </c>
      <c r="J48" s="210">
        <f t="shared" ref="J48" si="10">D48+F48+H48</f>
        <v>191</v>
      </c>
      <c r="K48" s="213">
        <f t="shared" ref="K48" si="11">SUM(I48:J48)</f>
        <v>547</v>
      </c>
      <c r="L48" s="26"/>
    </row>
    <row r="49" spans="1:16" ht="21.75" thickTop="1" thickBot="1" x14ac:dyDescent="0.35">
      <c r="B49" s="211"/>
      <c r="C49" s="210"/>
      <c r="D49" s="210"/>
      <c r="E49" s="210"/>
      <c r="F49" s="210"/>
      <c r="G49" s="210"/>
      <c r="H49" s="210"/>
      <c r="I49" s="210"/>
      <c r="J49" s="210"/>
      <c r="K49" s="213"/>
      <c r="L49" s="26"/>
    </row>
    <row r="50" spans="1:16" ht="21.75" thickTop="1" thickBot="1" x14ac:dyDescent="0.35">
      <c r="B50" s="211" t="s">
        <v>24</v>
      </c>
      <c r="C50" s="210">
        <f>'التعليم المسرع'!AE51</f>
        <v>107</v>
      </c>
      <c r="D50" s="210">
        <f>'التعليم المسرع'!AF51</f>
        <v>36</v>
      </c>
      <c r="E50" s="210">
        <f>'التعليم المسرع'!AV51</f>
        <v>148</v>
      </c>
      <c r="F50" s="210">
        <f>'التعليم المسرع'!AW51</f>
        <v>59</v>
      </c>
      <c r="G50" s="210">
        <f>'التعليم المسرع'!BM51</f>
        <v>167</v>
      </c>
      <c r="H50" s="210">
        <f>'التعليم المسرع'!BN51</f>
        <v>77</v>
      </c>
      <c r="I50" s="210">
        <f t="shared" ref="I50" si="12">C50+E50+G50</f>
        <v>422</v>
      </c>
      <c r="J50" s="210">
        <f t="shared" ref="J50" si="13">D50+F50+H50</f>
        <v>172</v>
      </c>
      <c r="K50" s="213">
        <f t="shared" ref="K50" si="14">SUM(I50:J50)</f>
        <v>594</v>
      </c>
      <c r="L50" s="26"/>
    </row>
    <row r="51" spans="1:16" ht="21.75" thickTop="1" thickBot="1" x14ac:dyDescent="0.35">
      <c r="B51" s="211"/>
      <c r="C51" s="210"/>
      <c r="D51" s="210"/>
      <c r="E51" s="210"/>
      <c r="F51" s="210"/>
      <c r="G51" s="210"/>
      <c r="H51" s="210"/>
      <c r="I51" s="210"/>
      <c r="J51" s="210"/>
      <c r="K51" s="213"/>
      <c r="L51" s="26"/>
    </row>
    <row r="52" spans="1:16" ht="21.75" thickTop="1" thickBot="1" x14ac:dyDescent="0.35">
      <c r="B52" s="211" t="s">
        <v>25</v>
      </c>
      <c r="C52" s="210">
        <f>'التعليم المسرع'!AG51</f>
        <v>57</v>
      </c>
      <c r="D52" s="210">
        <f>'التعليم المسرع'!AH51</f>
        <v>24</v>
      </c>
      <c r="E52" s="210">
        <f>'التعليم المسرع'!AX51</f>
        <v>99</v>
      </c>
      <c r="F52" s="210">
        <f>'التعليم المسرع'!AY51</f>
        <v>70</v>
      </c>
      <c r="G52" s="210">
        <f>'التعليم المسرع'!BO51</f>
        <v>239</v>
      </c>
      <c r="H52" s="210">
        <f>'التعليم المسرع'!BP51</f>
        <v>103</v>
      </c>
      <c r="I52" s="210">
        <f t="shared" ref="I52" si="15">C52+E52+G52</f>
        <v>395</v>
      </c>
      <c r="J52" s="210">
        <f t="shared" ref="J52" si="16">D52+F52+H52</f>
        <v>197</v>
      </c>
      <c r="K52" s="213">
        <f t="shared" ref="K52" si="17">SUM(I52:J52)</f>
        <v>592</v>
      </c>
      <c r="L52" s="26"/>
    </row>
    <row r="53" spans="1:16" ht="21.75" thickTop="1" thickBot="1" x14ac:dyDescent="0.35">
      <c r="B53" s="211"/>
      <c r="C53" s="210"/>
      <c r="D53" s="210"/>
      <c r="E53" s="210"/>
      <c r="F53" s="210"/>
      <c r="G53" s="210"/>
      <c r="H53" s="210"/>
      <c r="I53" s="210"/>
      <c r="J53" s="210"/>
      <c r="K53" s="213"/>
      <c r="L53" s="26"/>
    </row>
    <row r="54" spans="1:16" ht="21.75" thickTop="1" thickBot="1" x14ac:dyDescent="0.35">
      <c r="B54" s="211" t="s">
        <v>26</v>
      </c>
      <c r="C54" s="210">
        <f>'التعليم المسرع'!AI51</f>
        <v>30</v>
      </c>
      <c r="D54" s="210">
        <f>'التعليم المسرع'!AJ51</f>
        <v>30</v>
      </c>
      <c r="E54" s="210">
        <f>'التعليم المسرع'!AZ51</f>
        <v>64</v>
      </c>
      <c r="F54" s="210">
        <f>'التعليم المسرع'!BA51</f>
        <v>51</v>
      </c>
      <c r="G54" s="210">
        <f>'التعليم المسرع'!BQ51</f>
        <v>144</v>
      </c>
      <c r="H54" s="210">
        <f>'التعليم المسرع'!BR51</f>
        <v>72</v>
      </c>
      <c r="I54" s="210">
        <f t="shared" ref="I54" si="18">C54+E54+G54</f>
        <v>238</v>
      </c>
      <c r="J54" s="210">
        <f t="shared" ref="J54" si="19">D54+F54+H54</f>
        <v>153</v>
      </c>
      <c r="K54" s="213">
        <f t="shared" ref="K54" si="20">SUM(I54:J54)</f>
        <v>391</v>
      </c>
      <c r="L54" s="26"/>
    </row>
    <row r="55" spans="1:16" ht="21.75" thickTop="1" thickBot="1" x14ac:dyDescent="0.35">
      <c r="B55" s="211"/>
      <c r="C55" s="210"/>
      <c r="D55" s="210"/>
      <c r="E55" s="210"/>
      <c r="F55" s="210"/>
      <c r="G55" s="210"/>
      <c r="H55" s="210"/>
      <c r="I55" s="210"/>
      <c r="J55" s="210"/>
      <c r="K55" s="213"/>
    </row>
    <row r="56" spans="1:16" ht="21.75" thickTop="1" thickBot="1" x14ac:dyDescent="0.35">
      <c r="B56" s="211" t="s">
        <v>27</v>
      </c>
      <c r="C56" s="210">
        <f>'التعليم المسرع'!AK51</f>
        <v>14</v>
      </c>
      <c r="D56" s="210">
        <f>'التعليم المسرع'!AL51</f>
        <v>23</v>
      </c>
      <c r="E56" s="210">
        <f>'التعليم المسرع'!BB51</f>
        <v>53</v>
      </c>
      <c r="F56" s="210">
        <f>'التعليم المسرع'!BC51</f>
        <v>42</v>
      </c>
      <c r="G56" s="210">
        <f>'التعليم المسرع'!BS51</f>
        <v>126</v>
      </c>
      <c r="H56" s="210">
        <f>'التعليم المسرع'!BT51</f>
        <v>89</v>
      </c>
      <c r="I56" s="210">
        <f t="shared" ref="I56" si="21">C56+E56+G56</f>
        <v>193</v>
      </c>
      <c r="J56" s="210">
        <f t="shared" ref="J56" si="22">D56+F56+H56</f>
        <v>154</v>
      </c>
      <c r="K56" s="213">
        <f t="shared" ref="K56" si="23">SUM(I56:J56)</f>
        <v>347</v>
      </c>
    </row>
    <row r="57" spans="1:16" ht="21.75" thickTop="1" thickBot="1" x14ac:dyDescent="0.35">
      <c r="B57" s="211"/>
      <c r="C57" s="210"/>
      <c r="D57" s="210"/>
      <c r="E57" s="210"/>
      <c r="F57" s="210"/>
      <c r="G57" s="210"/>
      <c r="H57" s="210"/>
      <c r="I57" s="210"/>
      <c r="J57" s="210"/>
      <c r="K57" s="213"/>
    </row>
    <row r="58" spans="1:16" ht="21.75" thickTop="1" thickBot="1" x14ac:dyDescent="0.35">
      <c r="B58" s="211" t="s">
        <v>15</v>
      </c>
      <c r="C58" s="210">
        <f t="shared" ref="C58:H58" si="24">C44+C46+C48+C50+C52+C54+C56</f>
        <v>566</v>
      </c>
      <c r="D58" s="210">
        <f t="shared" si="24"/>
        <v>285</v>
      </c>
      <c r="E58" s="210">
        <f t="shared" si="24"/>
        <v>561</v>
      </c>
      <c r="F58" s="210">
        <f t="shared" si="24"/>
        <v>371</v>
      </c>
      <c r="G58" s="210">
        <f t="shared" si="24"/>
        <v>867</v>
      </c>
      <c r="H58" s="210">
        <f t="shared" si="24"/>
        <v>460</v>
      </c>
      <c r="I58" s="210">
        <f>C58+E58+G58</f>
        <v>1994</v>
      </c>
      <c r="J58" s="210">
        <f t="shared" ref="J58" si="25">D58+F58+H58</f>
        <v>1116</v>
      </c>
      <c r="K58" s="213">
        <f t="shared" ref="K58" si="26">SUM(I58:J58)</f>
        <v>3110</v>
      </c>
    </row>
    <row r="59" spans="1:16" ht="21.75" thickTop="1" thickBot="1" x14ac:dyDescent="0.35">
      <c r="B59" s="214"/>
      <c r="C59" s="212"/>
      <c r="D59" s="212"/>
      <c r="E59" s="212"/>
      <c r="F59" s="212"/>
      <c r="G59" s="212"/>
      <c r="H59" s="212"/>
      <c r="I59" s="212"/>
      <c r="J59" s="212"/>
      <c r="K59" s="229"/>
    </row>
    <row r="60" spans="1:16" ht="21.75" thickTop="1" thickBot="1" x14ac:dyDescent="0.35"/>
    <row r="61" spans="1:16" ht="42.75" customHeight="1" thickTop="1" thickBot="1" x14ac:dyDescent="0.35">
      <c r="A61" s="215"/>
      <c r="B61" s="227" t="s">
        <v>277</v>
      </c>
      <c r="C61" s="227"/>
      <c r="D61" s="227"/>
      <c r="E61" s="227" t="s">
        <v>282</v>
      </c>
      <c r="F61" s="227"/>
      <c r="G61" s="227"/>
      <c r="H61" s="216" t="s">
        <v>283</v>
      </c>
      <c r="I61" s="216"/>
      <c r="J61" s="216"/>
      <c r="K61" s="216"/>
      <c r="L61" s="216"/>
      <c r="M61" s="216"/>
      <c r="N61" s="216" t="s">
        <v>192</v>
      </c>
      <c r="O61" s="216"/>
      <c r="P61" s="217"/>
    </row>
    <row r="62" spans="1:16" ht="36.75" customHeight="1" thickTop="1" thickBot="1" x14ac:dyDescent="0.35">
      <c r="A62" s="211"/>
      <c r="B62" s="228"/>
      <c r="C62" s="228"/>
      <c r="D62" s="228"/>
      <c r="E62" s="228"/>
      <c r="F62" s="228"/>
      <c r="G62" s="228"/>
      <c r="H62" s="210" t="s">
        <v>193</v>
      </c>
      <c r="I62" s="210"/>
      <c r="J62" s="210" t="s">
        <v>194</v>
      </c>
      <c r="K62" s="210"/>
      <c r="L62" s="210" t="s">
        <v>195</v>
      </c>
      <c r="M62" s="210"/>
      <c r="N62" s="210"/>
      <c r="O62" s="210"/>
      <c r="P62" s="213"/>
    </row>
    <row r="63" spans="1:16" ht="21.75" thickTop="1" thickBot="1" x14ac:dyDescent="0.35">
      <c r="A63" s="211"/>
      <c r="B63" s="210" t="s">
        <v>10</v>
      </c>
      <c r="C63" s="210" t="s">
        <v>11</v>
      </c>
      <c r="D63" s="210" t="s">
        <v>15</v>
      </c>
      <c r="E63" s="210" t="s">
        <v>10</v>
      </c>
      <c r="F63" s="210" t="s">
        <v>11</v>
      </c>
      <c r="G63" s="210" t="s">
        <v>15</v>
      </c>
      <c r="H63" s="210" t="s">
        <v>10</v>
      </c>
      <c r="I63" s="210" t="s">
        <v>11</v>
      </c>
      <c r="J63" s="210" t="s">
        <v>10</v>
      </c>
      <c r="K63" s="210" t="s">
        <v>11</v>
      </c>
      <c r="L63" s="210" t="s">
        <v>10</v>
      </c>
      <c r="M63" s="210" t="s">
        <v>11</v>
      </c>
      <c r="N63" s="210" t="s">
        <v>10</v>
      </c>
      <c r="O63" s="210" t="s">
        <v>11</v>
      </c>
      <c r="P63" s="213" t="s">
        <v>15</v>
      </c>
    </row>
    <row r="64" spans="1:16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17</v>
      </c>
      <c r="B65" s="210">
        <f>'التعليم المسرع'!DB51</f>
        <v>41</v>
      </c>
      <c r="C65" s="210">
        <f>'التعليم المسرع'!DC51</f>
        <v>35</v>
      </c>
      <c r="D65" s="210">
        <f>C65+B65</f>
        <v>76</v>
      </c>
      <c r="E65" s="210">
        <f>'التعليم المسرع'!DK51</f>
        <v>296</v>
      </c>
      <c r="F65" s="210">
        <f>'التعليم المسرع'!DL51</f>
        <v>139</v>
      </c>
      <c r="G65" s="210">
        <f>F65+E65</f>
        <v>435</v>
      </c>
      <c r="H65" s="210">
        <f>'التعليم المسرع'!DT51</f>
        <v>147</v>
      </c>
      <c r="I65" s="210">
        <f>'التعليم المسرع'!DU51</f>
        <v>136</v>
      </c>
      <c r="J65" s="210">
        <f>'التعليم المسرع'!EC51</f>
        <v>32</v>
      </c>
      <c r="K65" s="210">
        <f>'التعليم المسرع'!ED51</f>
        <v>1</v>
      </c>
      <c r="L65" s="210">
        <f>'التعليم المسرع'!EL51</f>
        <v>0</v>
      </c>
      <c r="M65" s="210">
        <f>'التعليم المسرع'!EM51</f>
        <v>0</v>
      </c>
      <c r="N65" s="210">
        <f>L65+J65+H65</f>
        <v>179</v>
      </c>
      <c r="O65" s="210">
        <f>M65+K65+I65</f>
        <v>137</v>
      </c>
      <c r="P65" s="213">
        <f>O65+N65</f>
        <v>316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18</v>
      </c>
      <c r="B67" s="210">
        <f>'التعليم المسرع'!DD51</f>
        <v>27</v>
      </c>
      <c r="C67" s="210">
        <f>'التعليم المسرع'!DE51</f>
        <v>39</v>
      </c>
      <c r="D67" s="210">
        <f t="shared" ref="D67" si="27">C67+B67</f>
        <v>66</v>
      </c>
      <c r="E67" s="210">
        <f>'التعليم المسرع'!DM51</f>
        <v>296</v>
      </c>
      <c r="F67" s="210">
        <f>'التعليم المسرع'!DN51</f>
        <v>199</v>
      </c>
      <c r="G67" s="210">
        <f t="shared" ref="G67" si="28">F67+E67</f>
        <v>495</v>
      </c>
      <c r="H67" s="210">
        <f>'التعليم المسرع'!DV51</f>
        <v>156</v>
      </c>
      <c r="I67" s="210">
        <f>'التعليم المسرع'!DW51</f>
        <v>132</v>
      </c>
      <c r="J67" s="210">
        <f>'التعليم المسرع'!EE51</f>
        <v>9</v>
      </c>
      <c r="K67" s="210">
        <f>'التعليم المسرع'!EF51</f>
        <v>9</v>
      </c>
      <c r="L67" s="210">
        <f>'التعليم المسرع'!EN51</f>
        <v>0</v>
      </c>
      <c r="M67" s="210">
        <f>'التعليم المسرع'!EO51</f>
        <v>0</v>
      </c>
      <c r="N67" s="210">
        <f t="shared" ref="N67" si="29">L67+J67+H67</f>
        <v>165</v>
      </c>
      <c r="O67" s="210">
        <f t="shared" ref="O67" si="30">M67+K67+I67</f>
        <v>141</v>
      </c>
      <c r="P67" s="213">
        <f t="shared" ref="P67" si="31">O67+N67</f>
        <v>306</v>
      </c>
    </row>
    <row r="68" spans="1:16" ht="21.75" thickTop="1" thickBot="1" x14ac:dyDescent="0.35">
      <c r="A68" s="211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3"/>
    </row>
    <row r="69" spans="1:16" ht="21.75" thickTop="1" thickBot="1" x14ac:dyDescent="0.35">
      <c r="A69" s="211" t="s">
        <v>19</v>
      </c>
      <c r="B69" s="210">
        <f>'التعليم المسرع'!DF51</f>
        <v>53</v>
      </c>
      <c r="C69" s="210">
        <f>'التعليم المسرع'!DG51</f>
        <v>64</v>
      </c>
      <c r="D69" s="210">
        <f t="shared" ref="D69" si="32">C69+B69</f>
        <v>117</v>
      </c>
      <c r="E69" s="210">
        <f>'التعليم المسرع'!DO51</f>
        <v>417</v>
      </c>
      <c r="F69" s="210">
        <f>'التعليم المسرع'!DP51</f>
        <v>356</v>
      </c>
      <c r="G69" s="210">
        <f t="shared" ref="G69" si="33">F69+E69</f>
        <v>773</v>
      </c>
      <c r="H69" s="210">
        <f>'التعليم المسرع'!DX51</f>
        <v>287</v>
      </c>
      <c r="I69" s="210">
        <f>'التعليم المسرع'!DY51</f>
        <v>210</v>
      </c>
      <c r="J69" s="210">
        <f>'التعليم المسرع'!EG51</f>
        <v>18</v>
      </c>
      <c r="K69" s="210">
        <f>'التعليم المسرع'!EH51</f>
        <v>42</v>
      </c>
      <c r="L69" s="210">
        <f>'التعليم المسرع'!EP51</f>
        <v>0</v>
      </c>
      <c r="M69" s="210">
        <f>'التعليم المسرع'!EQ51</f>
        <v>3</v>
      </c>
      <c r="N69" s="210">
        <f t="shared" ref="N69" si="34">L69+J69+H69</f>
        <v>305</v>
      </c>
      <c r="O69" s="210">
        <f t="shared" ref="O69" si="35">M69+K69+I69</f>
        <v>255</v>
      </c>
      <c r="P69" s="213">
        <f t="shared" ref="P69" si="36">O69+N69</f>
        <v>560</v>
      </c>
    </row>
    <row r="70" spans="1:16" ht="21.75" thickTop="1" thickBot="1" x14ac:dyDescent="0.35">
      <c r="A70" s="214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29"/>
    </row>
    <row r="71" spans="1:16" ht="32.25" customHeight="1" thickTop="1" x14ac:dyDescent="0.3">
      <c r="A71" s="53"/>
      <c r="B71" s="54"/>
      <c r="C71" s="27"/>
      <c r="D71" s="27"/>
      <c r="E71" s="27"/>
    </row>
    <row r="72" spans="1:16" ht="24.75" customHeight="1" x14ac:dyDescent="0.3">
      <c r="B72" s="52"/>
    </row>
  </sheetData>
  <mergeCells count="250">
    <mergeCell ref="N24:N25"/>
    <mergeCell ref="P69:P70"/>
    <mergeCell ref="A61:A64"/>
    <mergeCell ref="A65:A66"/>
    <mergeCell ref="A67:A68"/>
    <mergeCell ref="A69:A70"/>
    <mergeCell ref="M63:M64"/>
    <mergeCell ref="M65:M66"/>
    <mergeCell ref="M67:M68"/>
    <mergeCell ref="M69:M70"/>
    <mergeCell ref="J63:J64"/>
    <mergeCell ref="K63:K64"/>
    <mergeCell ref="L63:L64"/>
    <mergeCell ref="J65:J66"/>
    <mergeCell ref="K65:K66"/>
    <mergeCell ref="L65:L66"/>
    <mergeCell ref="J67:J68"/>
    <mergeCell ref="K67:K68"/>
    <mergeCell ref="L67:L68"/>
    <mergeCell ref="J69:J70"/>
    <mergeCell ref="K69:K70"/>
    <mergeCell ref="L69:L70"/>
    <mergeCell ref="H63:H64"/>
    <mergeCell ref="I63:I64"/>
    <mergeCell ref="N69:N70"/>
    <mergeCell ref="O69:O70"/>
    <mergeCell ref="D63:D64"/>
    <mergeCell ref="D65:D66"/>
    <mergeCell ref="D67:D68"/>
    <mergeCell ref="D69:D70"/>
    <mergeCell ref="G63:G64"/>
    <mergeCell ref="G65:G66"/>
    <mergeCell ref="G67:G68"/>
    <mergeCell ref="G69:G70"/>
    <mergeCell ref="H65:H66"/>
    <mergeCell ref="I65:I66"/>
    <mergeCell ref="J62:K62"/>
    <mergeCell ref="L62:M62"/>
    <mergeCell ref="J30:K31"/>
    <mergeCell ref="I44:I45"/>
    <mergeCell ref="J44:J45"/>
    <mergeCell ref="K44:K45"/>
    <mergeCell ref="H46:H47"/>
    <mergeCell ref="I46:I47"/>
    <mergeCell ref="J46:J47"/>
    <mergeCell ref="K46:K47"/>
    <mergeCell ref="K48:K49"/>
    <mergeCell ref="H52:H53"/>
    <mergeCell ref="I48:I49"/>
    <mergeCell ref="J48:J49"/>
    <mergeCell ref="H58:H59"/>
    <mergeCell ref="H54:H55"/>
    <mergeCell ref="I54:I55"/>
    <mergeCell ref="J54:J55"/>
    <mergeCell ref="K58:K59"/>
    <mergeCell ref="H56:H57"/>
    <mergeCell ref="I56:I57"/>
    <mergeCell ref="J56:J57"/>
    <mergeCell ref="K56:K57"/>
    <mergeCell ref="I58:I59"/>
    <mergeCell ref="A38:D38"/>
    <mergeCell ref="E34:E35"/>
    <mergeCell ref="E30:E31"/>
    <mergeCell ref="H44:H45"/>
    <mergeCell ref="F30:F31"/>
    <mergeCell ref="G30:G31"/>
    <mergeCell ref="H30:H31"/>
    <mergeCell ref="F34:F35"/>
    <mergeCell ref="F48:F49"/>
    <mergeCell ref="G48:G49"/>
    <mergeCell ref="F46:F47"/>
    <mergeCell ref="G46:G47"/>
    <mergeCell ref="F44:F45"/>
    <mergeCell ref="G44:G45"/>
    <mergeCell ref="H48:H49"/>
    <mergeCell ref="C34:C35"/>
    <mergeCell ref="D34:D35"/>
    <mergeCell ref="B32:B33"/>
    <mergeCell ref="C32:C33"/>
    <mergeCell ref="D32:D33"/>
    <mergeCell ref="E32:E33"/>
    <mergeCell ref="F32:F33"/>
    <mergeCell ref="G32:G33"/>
    <mergeCell ref="H32:H33"/>
    <mergeCell ref="P67:P68"/>
    <mergeCell ref="B61:D62"/>
    <mergeCell ref="N63:N64"/>
    <mergeCell ref="P63:P64"/>
    <mergeCell ref="N65:N66"/>
    <mergeCell ref="O65:O66"/>
    <mergeCell ref="P65:P66"/>
    <mergeCell ref="B63:B64"/>
    <mergeCell ref="C63:C64"/>
    <mergeCell ref="E63:E64"/>
    <mergeCell ref="F63:F64"/>
    <mergeCell ref="N61:P62"/>
    <mergeCell ref="H61:M61"/>
    <mergeCell ref="H62:I62"/>
    <mergeCell ref="O63:O64"/>
    <mergeCell ref="E65:E66"/>
    <mergeCell ref="F65:F66"/>
    <mergeCell ref="N67:N68"/>
    <mergeCell ref="O67:O68"/>
    <mergeCell ref="E67:E68"/>
    <mergeCell ref="F67:F68"/>
    <mergeCell ref="H67:H68"/>
    <mergeCell ref="I67:I68"/>
    <mergeCell ref="E61:G62"/>
    <mergeCell ref="I28:I29"/>
    <mergeCell ref="B28:B29"/>
    <mergeCell ref="C28:C29"/>
    <mergeCell ref="D28:D29"/>
    <mergeCell ref="I30:I31"/>
    <mergeCell ref="F28:F29"/>
    <mergeCell ref="J28:K29"/>
    <mergeCell ref="B69:B70"/>
    <mergeCell ref="C69:C70"/>
    <mergeCell ref="B65:B66"/>
    <mergeCell ref="C65:C66"/>
    <mergeCell ref="B67:B68"/>
    <mergeCell ref="C67:C68"/>
    <mergeCell ref="E69:E70"/>
    <mergeCell ref="F69:F70"/>
    <mergeCell ref="H69:H70"/>
    <mergeCell ref="I69:I70"/>
    <mergeCell ref="G28:G29"/>
    <mergeCell ref="H28:H29"/>
    <mergeCell ref="B30:B31"/>
    <mergeCell ref="C30:C31"/>
    <mergeCell ref="D30:D31"/>
    <mergeCell ref="F56:F57"/>
    <mergeCell ref="G56:G57"/>
    <mergeCell ref="B42:B43"/>
    <mergeCell ref="C42:D42"/>
    <mergeCell ref="E42:F42"/>
    <mergeCell ref="G42:H42"/>
    <mergeCell ref="I42:K42"/>
    <mergeCell ref="B44:B45"/>
    <mergeCell ref="B46:B47"/>
    <mergeCell ref="C44:C45"/>
    <mergeCell ref="M22:M23"/>
    <mergeCell ref="J24:J25"/>
    <mergeCell ref="M24:M25"/>
    <mergeCell ref="K24:K25"/>
    <mergeCell ref="L24:L25"/>
    <mergeCell ref="L22:L23"/>
    <mergeCell ref="K22:K23"/>
    <mergeCell ref="J22:J23"/>
    <mergeCell ref="J32:K33"/>
    <mergeCell ref="J34:K35"/>
    <mergeCell ref="B27:K27"/>
    <mergeCell ref="G34:G35"/>
    <mergeCell ref="H34:H35"/>
    <mergeCell ref="I34:I35"/>
    <mergeCell ref="I32:I33"/>
    <mergeCell ref="B34:B35"/>
    <mergeCell ref="B50:B51"/>
    <mergeCell ref="B52:B53"/>
    <mergeCell ref="F50:F51"/>
    <mergeCell ref="G50:G51"/>
    <mergeCell ref="H50:H51"/>
    <mergeCell ref="I50:I51"/>
    <mergeCell ref="J50:J51"/>
    <mergeCell ref="J52:J53"/>
    <mergeCell ref="K54:K55"/>
    <mergeCell ref="G54:G55"/>
    <mergeCell ref="D54:D55"/>
    <mergeCell ref="E54:E55"/>
    <mergeCell ref="F54:F55"/>
    <mergeCell ref="B54:B55"/>
    <mergeCell ref="C54:C55"/>
    <mergeCell ref="B58:B59"/>
    <mergeCell ref="C58:C59"/>
    <mergeCell ref="D58:D59"/>
    <mergeCell ref="E58:E59"/>
    <mergeCell ref="F58:F59"/>
    <mergeCell ref="G58:G59"/>
    <mergeCell ref="B56:B57"/>
    <mergeCell ref="C56:C57"/>
    <mergeCell ref="D56:D57"/>
    <mergeCell ref="E56:E57"/>
    <mergeCell ref="J58:J59"/>
    <mergeCell ref="K50:K51"/>
    <mergeCell ref="C50:C51"/>
    <mergeCell ref="D50:D51"/>
    <mergeCell ref="C52:C53"/>
    <mergeCell ref="D52:D53"/>
    <mergeCell ref="F52:F53"/>
    <mergeCell ref="G52:G53"/>
    <mergeCell ref="E50:E51"/>
    <mergeCell ref="E52:E53"/>
    <mergeCell ref="I52:I53"/>
    <mergeCell ref="K52:K53"/>
    <mergeCell ref="D44:D45"/>
    <mergeCell ref="E44:E45"/>
    <mergeCell ref="B48:B49"/>
    <mergeCell ref="C46:C47"/>
    <mergeCell ref="D46:D47"/>
    <mergeCell ref="C48:C49"/>
    <mergeCell ref="D48:D49"/>
    <mergeCell ref="E46:E47"/>
    <mergeCell ref="E48:E49"/>
    <mergeCell ref="A1:C1"/>
    <mergeCell ref="A2:D2"/>
    <mergeCell ref="A37:C37"/>
    <mergeCell ref="A3:N3"/>
    <mergeCell ref="B7:D7"/>
    <mergeCell ref="B9:D9"/>
    <mergeCell ref="G7:I7"/>
    <mergeCell ref="G9:I9"/>
    <mergeCell ref="L7:N7"/>
    <mergeCell ref="L9:N9"/>
    <mergeCell ref="F25:G25"/>
    <mergeCell ref="B19:B20"/>
    <mergeCell ref="B21:B22"/>
    <mergeCell ref="B23:B24"/>
    <mergeCell ref="C19:C20"/>
    <mergeCell ref="D19:D20"/>
    <mergeCell ref="E19:E20"/>
    <mergeCell ref="K12:M12"/>
    <mergeCell ref="E28:E29"/>
    <mergeCell ref="M18:M19"/>
    <mergeCell ref="K18:K19"/>
    <mergeCell ref="L18:L19"/>
    <mergeCell ref="K20:K21"/>
    <mergeCell ref="L20:L21"/>
    <mergeCell ref="O18:O19"/>
    <mergeCell ref="O20:O21"/>
    <mergeCell ref="O22:O23"/>
    <mergeCell ref="O24:O25"/>
    <mergeCell ref="B12:C12"/>
    <mergeCell ref="F18:G18"/>
    <mergeCell ref="B17:G17"/>
    <mergeCell ref="F12:H12"/>
    <mergeCell ref="C23:C24"/>
    <mergeCell ref="D23:D24"/>
    <mergeCell ref="E23:E24"/>
    <mergeCell ref="C21:C22"/>
    <mergeCell ref="D21:D22"/>
    <mergeCell ref="F19:G20"/>
    <mergeCell ref="F21:G22"/>
    <mergeCell ref="E21:E22"/>
    <mergeCell ref="F23:G24"/>
    <mergeCell ref="J18:J19"/>
    <mergeCell ref="J20:J21"/>
    <mergeCell ref="M20:M21"/>
    <mergeCell ref="J17:O17"/>
    <mergeCell ref="N18:N19"/>
    <mergeCell ref="N20:N21"/>
    <mergeCell ref="N22:N23"/>
  </mergeCells>
  <printOptions horizontalCentered="1" verticalCentered="1"/>
  <pageMargins left="0.27559055118110237" right="0.23622047244094491" top="0.19685039370078741" bottom="0.19685039370078741" header="0.31496062992125984" footer="0.19685039370078741"/>
  <pageSetup paperSize="9" scale="60" orientation="landscape" horizontalDpi="200" verticalDpi="200" r:id="rId1"/>
  <rowBreaks count="1" manualBreakCount="1">
    <brk id="35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70"/>
  <sheetViews>
    <sheetView rightToLeft="1" view="pageBreakPreview" topLeftCell="A40" zoomScale="60" workbookViewId="0">
      <selection activeCell="A17" sqref="A17"/>
    </sheetView>
  </sheetViews>
  <sheetFormatPr defaultColWidth="9" defaultRowHeight="20.25" x14ac:dyDescent="0.3"/>
  <cols>
    <col min="1" max="1" width="14.625" style="9" customWidth="1"/>
    <col min="2" max="2" width="16.75" style="9" customWidth="1"/>
    <col min="3" max="3" width="10.75" style="9" customWidth="1"/>
    <col min="4" max="4" width="11.25" style="9" customWidth="1"/>
    <col min="5" max="6" width="9" style="9"/>
    <col min="7" max="7" width="12.75" style="9" customWidth="1"/>
    <col min="8" max="8" width="13.75" style="9" customWidth="1"/>
    <col min="9" max="9" width="13.375" style="9" customWidth="1"/>
    <col min="10" max="11" width="10.375" style="9" customWidth="1"/>
    <col min="12" max="13" width="9" style="9"/>
    <col min="14" max="14" width="10.875" style="9" customWidth="1"/>
    <col min="15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</row>
    <row r="3" spans="1:15" ht="23.25" x14ac:dyDescent="0.35">
      <c r="A3" s="201" t="s">
        <v>53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</row>
    <row r="4" spans="1:15" ht="23.25" x14ac:dyDescent="0.35">
      <c r="E4" s="43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41</v>
      </c>
      <c r="C6" s="232"/>
      <c r="D6" s="231"/>
      <c r="F6" s="9" t="s">
        <v>2</v>
      </c>
      <c r="G6" s="230" t="s">
        <v>42</v>
      </c>
      <c r="H6" s="232"/>
      <c r="I6" s="231"/>
      <c r="K6" s="9" t="s">
        <v>0</v>
      </c>
      <c r="L6" s="230" t="s">
        <v>49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المسرع'!K27+'التعليم المسرع'!L27</f>
        <v>18</v>
      </c>
      <c r="C8" s="232"/>
      <c r="D8" s="231"/>
      <c r="F8" s="9" t="s">
        <v>3</v>
      </c>
      <c r="G8" s="230">
        <f>'التعليم المسرع'!Q27</f>
        <v>0</v>
      </c>
      <c r="H8" s="232"/>
      <c r="I8" s="231"/>
      <c r="K8" s="9" t="s">
        <v>4</v>
      </c>
      <c r="L8" s="230">
        <f>'التعليم المسرع'!R27</f>
        <v>18</v>
      </c>
      <c r="M8" s="232"/>
      <c r="N8" s="231"/>
    </row>
    <row r="9" spans="1:15" ht="21" thickTop="1" x14ac:dyDescent="0.3"/>
    <row r="10" spans="1:15" ht="21" thickBot="1" x14ac:dyDescent="0.35"/>
    <row r="11" spans="1:15" ht="21.75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21.75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1.75" thickTop="1" thickBot="1" x14ac:dyDescent="0.35">
      <c r="B13" s="16">
        <f>'التعليم المسرع'!K27</f>
        <v>16</v>
      </c>
      <c r="C13" s="17">
        <f>'التعليم المسرع'!L27</f>
        <v>2</v>
      </c>
      <c r="F13" s="18">
        <f>'التعليم المسرع'!H27</f>
        <v>9</v>
      </c>
      <c r="G13" s="19">
        <f>'التعليم المسرع'!I27</f>
        <v>9</v>
      </c>
      <c r="H13" s="20">
        <f>'التعليم المسرع'!J27</f>
        <v>0</v>
      </c>
      <c r="K13" s="16">
        <f>'التعليم المسرع'!FC27</f>
        <v>47</v>
      </c>
      <c r="L13" s="21">
        <f>'التعليم المسرع'!FD27</f>
        <v>49</v>
      </c>
      <c r="M13" s="17">
        <f>SUM(K13:L13)</f>
        <v>96</v>
      </c>
    </row>
    <row r="14" spans="1:15" ht="21" thickTop="1" x14ac:dyDescent="0.3"/>
    <row r="15" spans="1:15" ht="21" thickBot="1" x14ac:dyDescent="0.35"/>
    <row r="16" spans="1:15" ht="30.75" customHeight="1" thickTop="1" thickBot="1" x14ac:dyDescent="0.35">
      <c r="B16" s="186" t="s">
        <v>20</v>
      </c>
      <c r="C16" s="190"/>
      <c r="D16" s="190"/>
      <c r="E16" s="190"/>
      <c r="F16" s="190"/>
      <c r="G16" s="187"/>
      <c r="H16" s="31"/>
      <c r="I16" s="31"/>
      <c r="J16" s="186" t="s">
        <v>30</v>
      </c>
      <c r="K16" s="190"/>
      <c r="L16" s="190"/>
      <c r="M16" s="190"/>
      <c r="N16" s="190"/>
      <c r="O16" s="187"/>
    </row>
    <row r="17" spans="2:15" ht="25.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J17" s="215" t="s">
        <v>31</v>
      </c>
      <c r="K17" s="216" t="s">
        <v>44</v>
      </c>
      <c r="L17" s="216" t="s">
        <v>45</v>
      </c>
      <c r="M17" s="216" t="s">
        <v>46</v>
      </c>
      <c r="N17" s="216" t="s">
        <v>257</v>
      </c>
      <c r="O17" s="217" t="s">
        <v>47</v>
      </c>
    </row>
    <row r="18" spans="2:15" ht="21.75" thickTop="1" thickBot="1" x14ac:dyDescent="0.35">
      <c r="B18" s="191" t="s">
        <v>17</v>
      </c>
      <c r="C18" s="191">
        <f>'التعليم المسرع'!CO27</f>
        <v>17</v>
      </c>
      <c r="D18" s="191">
        <f>'التعليم المسرع'!CP27</f>
        <v>10</v>
      </c>
      <c r="E18" s="191">
        <f>'التعليم المسرع'!CQ27</f>
        <v>0</v>
      </c>
      <c r="F18" s="193">
        <f>C18+D18+E18</f>
        <v>27</v>
      </c>
      <c r="G18" s="194"/>
      <c r="J18" s="211"/>
      <c r="K18" s="210"/>
      <c r="L18" s="210"/>
      <c r="M18" s="210"/>
      <c r="N18" s="210"/>
      <c r="O18" s="213"/>
    </row>
    <row r="19" spans="2:15" ht="21.75" thickTop="1" thickBot="1" x14ac:dyDescent="0.35">
      <c r="B19" s="192"/>
      <c r="C19" s="192"/>
      <c r="D19" s="192"/>
      <c r="E19" s="192"/>
      <c r="F19" s="195"/>
      <c r="G19" s="196"/>
      <c r="J19" s="211" t="s">
        <v>13</v>
      </c>
      <c r="K19" s="210">
        <f>'التعليم المسرع'!EU27</f>
        <v>9</v>
      </c>
      <c r="L19" s="210">
        <f>'التعليم المسرع'!EW27</f>
        <v>3</v>
      </c>
      <c r="M19" s="210">
        <f>'التعليم المسرع'!EY27</f>
        <v>35</v>
      </c>
      <c r="N19" s="210">
        <f>'التعليم المسرع'!FA27</f>
        <v>0</v>
      </c>
      <c r="O19" s="213">
        <f>SUM(K19:N20)</f>
        <v>47</v>
      </c>
    </row>
    <row r="20" spans="2:15" ht="21.75" thickTop="1" thickBot="1" x14ac:dyDescent="0.35">
      <c r="B20" s="191" t="s">
        <v>18</v>
      </c>
      <c r="C20" s="191">
        <f>'التعليم المسرع'!CR27</f>
        <v>14</v>
      </c>
      <c r="D20" s="191">
        <f>'التعليم المسرع'!CS27</f>
        <v>12</v>
      </c>
      <c r="E20" s="191">
        <f>'التعليم المسرع'!CT27</f>
        <v>0</v>
      </c>
      <c r="F20" s="193">
        <f t="shared" ref="F20" si="0">C20+D20+E20</f>
        <v>26</v>
      </c>
      <c r="G20" s="194"/>
      <c r="J20" s="211"/>
      <c r="K20" s="210"/>
      <c r="L20" s="210"/>
      <c r="M20" s="210"/>
      <c r="N20" s="210"/>
      <c r="O20" s="213"/>
    </row>
    <row r="21" spans="2:15" ht="21.75" thickTop="1" thickBot="1" x14ac:dyDescent="0.35">
      <c r="B21" s="192"/>
      <c r="C21" s="192"/>
      <c r="D21" s="192"/>
      <c r="E21" s="192"/>
      <c r="F21" s="195"/>
      <c r="G21" s="196"/>
      <c r="J21" s="211" t="s">
        <v>14</v>
      </c>
      <c r="K21" s="210">
        <f>'التعليم المسرع'!EV27</f>
        <v>9</v>
      </c>
      <c r="L21" s="210">
        <f>'التعليم المسرع'!EX27</f>
        <v>3</v>
      </c>
      <c r="M21" s="210">
        <f>'التعليم المسرع'!EZ27</f>
        <v>36</v>
      </c>
      <c r="N21" s="210">
        <f>'التعليم المسرع'!FB27</f>
        <v>1</v>
      </c>
      <c r="O21" s="213">
        <f>SUM(K21:N22)</f>
        <v>49</v>
      </c>
    </row>
    <row r="22" spans="2:15" ht="21.75" thickTop="1" thickBot="1" x14ac:dyDescent="0.35">
      <c r="B22" s="191" t="s">
        <v>19</v>
      </c>
      <c r="C22" s="191">
        <f>'التعليم المسرع'!CU27</f>
        <v>20</v>
      </c>
      <c r="D22" s="191">
        <f>'التعليم المسرع'!CV27</f>
        <v>11</v>
      </c>
      <c r="E22" s="191">
        <f>'التعليم المسرع'!CW27</f>
        <v>0</v>
      </c>
      <c r="F22" s="193">
        <f t="shared" ref="F22" si="1">C22+D22+E22</f>
        <v>31</v>
      </c>
      <c r="G22" s="194"/>
      <c r="J22" s="211"/>
      <c r="K22" s="210"/>
      <c r="L22" s="210"/>
      <c r="M22" s="210"/>
      <c r="N22" s="210"/>
      <c r="O22" s="213"/>
    </row>
    <row r="23" spans="2:15" ht="21.75" thickTop="1" thickBot="1" x14ac:dyDescent="0.35">
      <c r="B23" s="192"/>
      <c r="C23" s="192"/>
      <c r="D23" s="192"/>
      <c r="E23" s="192"/>
      <c r="F23" s="195"/>
      <c r="G23" s="196"/>
      <c r="J23" s="211" t="s">
        <v>15</v>
      </c>
      <c r="K23" s="210">
        <f>K19+K21</f>
        <v>18</v>
      </c>
      <c r="L23" s="210">
        <f t="shared" ref="L23:O23" si="2">L19+L21</f>
        <v>6</v>
      </c>
      <c r="M23" s="210">
        <f t="shared" si="2"/>
        <v>71</v>
      </c>
      <c r="N23" s="210">
        <f t="shared" ref="N23" si="3">N19+N21</f>
        <v>1</v>
      </c>
      <c r="O23" s="213">
        <f t="shared" si="2"/>
        <v>96</v>
      </c>
    </row>
    <row r="24" spans="2:15" ht="27" customHeight="1" thickTop="1" thickBot="1" x14ac:dyDescent="0.35">
      <c r="B24" s="24" t="s">
        <v>15</v>
      </c>
      <c r="C24" s="25">
        <f>SUM(C18:C23)</f>
        <v>51</v>
      </c>
      <c r="D24" s="25">
        <f>SUM(D18:D23)</f>
        <v>33</v>
      </c>
      <c r="E24" s="25">
        <f>SUM(E18:E23)</f>
        <v>0</v>
      </c>
      <c r="F24" s="206">
        <f>C24+D24+E24</f>
        <v>84</v>
      </c>
      <c r="G24" s="187"/>
      <c r="J24" s="214"/>
      <c r="K24" s="212"/>
      <c r="L24" s="212"/>
      <c r="M24" s="212"/>
      <c r="N24" s="212"/>
      <c r="O24" s="229"/>
    </row>
    <row r="25" spans="2:15" ht="21.75" thickTop="1" thickBot="1" x14ac:dyDescent="0.35"/>
    <row r="26" spans="2:15" ht="30.75" customHeight="1" thickTop="1" thickBot="1" x14ac:dyDescent="0.3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26"/>
      <c r="M26" s="26"/>
    </row>
    <row r="27" spans="2:15" ht="21.75" thickTop="1" thickBot="1" x14ac:dyDescent="0.35">
      <c r="B27" s="233" t="s">
        <v>40</v>
      </c>
      <c r="C27" s="227" t="s">
        <v>32</v>
      </c>
      <c r="D27" s="227" t="s">
        <v>33</v>
      </c>
      <c r="E27" s="227" t="s">
        <v>34</v>
      </c>
      <c r="F27" s="227" t="s">
        <v>35</v>
      </c>
      <c r="G27" s="227" t="s">
        <v>36</v>
      </c>
      <c r="H27" s="227" t="s">
        <v>37</v>
      </c>
      <c r="I27" s="227" t="s">
        <v>38</v>
      </c>
      <c r="J27" s="216" t="s">
        <v>15</v>
      </c>
      <c r="K27" s="217"/>
      <c r="L27" s="26"/>
      <c r="M27" s="26"/>
    </row>
    <row r="28" spans="2:15" ht="40.5" customHeight="1" thickTop="1" thickBot="1" x14ac:dyDescent="0.35">
      <c r="B28" s="234"/>
      <c r="C28" s="228"/>
      <c r="D28" s="228"/>
      <c r="E28" s="228"/>
      <c r="F28" s="228"/>
      <c r="G28" s="228"/>
      <c r="H28" s="228"/>
      <c r="I28" s="228"/>
      <c r="J28" s="210"/>
      <c r="K28" s="213"/>
      <c r="L28" s="26"/>
      <c r="M28" s="26"/>
    </row>
    <row r="29" spans="2:15" ht="21.75" thickTop="1" thickBot="1" x14ac:dyDescent="0.35">
      <c r="B29" s="211" t="s">
        <v>13</v>
      </c>
      <c r="C29" s="210">
        <f>'التعليم المسرع'!FZ27</f>
        <v>0</v>
      </c>
      <c r="D29" s="210">
        <f>'التعليم المسرع'!FX27</f>
        <v>0</v>
      </c>
      <c r="E29" s="210">
        <f>'التعليم المسرع'!GD27</f>
        <v>0</v>
      </c>
      <c r="F29" s="210">
        <f>'التعليم المسرع'!GB27</f>
        <v>26</v>
      </c>
      <c r="G29" s="210">
        <f>'التعليم المسرع'!GH27</f>
        <v>16</v>
      </c>
      <c r="H29" s="210">
        <f>'التعليم المسرع'!GJ27</f>
        <v>4</v>
      </c>
      <c r="I29" s="210">
        <f>'التعليم المسرع'!GL27</f>
        <v>1</v>
      </c>
      <c r="J29" s="210">
        <f>I29+H29+G29+F29+E29+D29+C29</f>
        <v>47</v>
      </c>
      <c r="K29" s="213"/>
      <c r="L29" s="26"/>
      <c r="M29" s="26"/>
    </row>
    <row r="30" spans="2:15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</row>
    <row r="31" spans="2:15" ht="21.75" thickTop="1" thickBot="1" x14ac:dyDescent="0.35">
      <c r="B31" s="211" t="s">
        <v>14</v>
      </c>
      <c r="C31" s="210">
        <f>'التعليم المسرع'!GA27</f>
        <v>0</v>
      </c>
      <c r="D31" s="210">
        <f>'التعليم المسرع'!FY27</f>
        <v>0</v>
      </c>
      <c r="E31" s="210">
        <f>'التعليم المسرع'!GE27</f>
        <v>0</v>
      </c>
      <c r="F31" s="210">
        <f>'التعليم المسرع'!GC27</f>
        <v>15</v>
      </c>
      <c r="G31" s="210">
        <f>'التعليم المسرع'!GI27</f>
        <v>28</v>
      </c>
      <c r="H31" s="210">
        <f>'التعليم المسرع'!GK27</f>
        <v>3</v>
      </c>
      <c r="I31" s="210">
        <f>'التعليم المسرع'!GM27</f>
        <v>1</v>
      </c>
      <c r="J31" s="210">
        <f t="shared" ref="J31" si="4">I31+H31+G31+F31+E31+D31+C31</f>
        <v>47</v>
      </c>
      <c r="K31" s="213"/>
      <c r="L31" s="26"/>
      <c r="M31" s="26"/>
    </row>
    <row r="32" spans="2:15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20" ht="21.75" thickTop="1" thickBot="1" x14ac:dyDescent="0.35">
      <c r="B33" s="211" t="s">
        <v>15</v>
      </c>
      <c r="C33" s="210">
        <f>C29+C31</f>
        <v>0</v>
      </c>
      <c r="D33" s="210">
        <f t="shared" ref="D33:I33" si="5">D29+D31</f>
        <v>0</v>
      </c>
      <c r="E33" s="210">
        <f t="shared" si="5"/>
        <v>0</v>
      </c>
      <c r="F33" s="210">
        <f t="shared" si="5"/>
        <v>41</v>
      </c>
      <c r="G33" s="210">
        <f t="shared" si="5"/>
        <v>44</v>
      </c>
      <c r="H33" s="210">
        <f t="shared" si="5"/>
        <v>7</v>
      </c>
      <c r="I33" s="210">
        <f t="shared" si="5"/>
        <v>2</v>
      </c>
      <c r="J33" s="210">
        <f t="shared" ref="J33" si="6">I33+H33+G33+F33+E33+D33+C33</f>
        <v>94</v>
      </c>
      <c r="K33" s="213"/>
      <c r="L33" s="26"/>
      <c r="M33" s="26"/>
    </row>
    <row r="34" spans="1:20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</row>
    <row r="35" spans="1:20" ht="21" thickTop="1" x14ac:dyDescent="0.3"/>
    <row r="36" spans="1:20" s="43" customFormat="1" ht="23.25" x14ac:dyDescent="0.35">
      <c r="A36" s="201" t="s">
        <v>55</v>
      </c>
      <c r="B36" s="201"/>
      <c r="C36" s="201"/>
    </row>
    <row r="37" spans="1:20" s="43" customFormat="1" ht="23.25" x14ac:dyDescent="0.35">
      <c r="A37" s="201" t="s">
        <v>56</v>
      </c>
      <c r="B37" s="201"/>
      <c r="C37" s="201"/>
      <c r="D37" s="201"/>
      <c r="J37" s="43" t="s">
        <v>187</v>
      </c>
    </row>
    <row r="38" spans="1:20" s="43" customFormat="1" ht="23.25" x14ac:dyDescent="0.35">
      <c r="D38" s="43" t="s">
        <v>53</v>
      </c>
    </row>
    <row r="39" spans="1:20" ht="21" thickBot="1" x14ac:dyDescent="0.35"/>
    <row r="40" spans="1:20" ht="30.75" customHeight="1" thickTop="1" thickBot="1" x14ac:dyDescent="0.35">
      <c r="B40" s="215" t="s">
        <v>28</v>
      </c>
      <c r="C40" s="216" t="s">
        <v>17</v>
      </c>
      <c r="D40" s="216"/>
      <c r="E40" s="216" t="s">
        <v>18</v>
      </c>
      <c r="F40" s="216"/>
      <c r="G40" s="216" t="s">
        <v>19</v>
      </c>
      <c r="H40" s="216"/>
      <c r="I40" s="216" t="s">
        <v>29</v>
      </c>
      <c r="J40" s="216"/>
      <c r="K40" s="217"/>
      <c r="L40" s="26"/>
      <c r="M40" s="26"/>
      <c r="N40" s="26"/>
      <c r="P40" s="26"/>
      <c r="Q40" s="26"/>
      <c r="R40" s="26"/>
      <c r="S40" s="26"/>
      <c r="T40" s="26"/>
    </row>
    <row r="41" spans="1:20" ht="31.5" customHeight="1" thickTop="1" thickBot="1" x14ac:dyDescent="0.35">
      <c r="B41" s="211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  <c r="P41" s="26"/>
      <c r="Q41" s="26"/>
      <c r="R41" s="26"/>
      <c r="S41" s="26"/>
      <c r="T41" s="26"/>
    </row>
    <row r="42" spans="1:20" ht="21.75" thickTop="1" thickBot="1" x14ac:dyDescent="0.35">
      <c r="B42" s="211" t="s">
        <v>21</v>
      </c>
      <c r="C42" s="210">
        <f>'التعليم المسرع'!Y27</f>
        <v>71</v>
      </c>
      <c r="D42" s="210">
        <f>'التعليم المسرع'!Z27</f>
        <v>47</v>
      </c>
      <c r="E42" s="210">
        <f>'التعليم المسرع'!AP27</f>
        <v>9</v>
      </c>
      <c r="F42" s="210">
        <f>'التعليم المسرع'!AQ27</f>
        <v>17</v>
      </c>
      <c r="G42" s="210">
        <f>'التعليم المسرع'!BG27</f>
        <v>7</v>
      </c>
      <c r="H42" s="210">
        <f>'التعليم المسرع'!BH27</f>
        <v>16</v>
      </c>
      <c r="I42" s="210">
        <f>C42+E42+G42</f>
        <v>87</v>
      </c>
      <c r="J42" s="210">
        <f>D42+F42+H42</f>
        <v>80</v>
      </c>
      <c r="K42" s="213">
        <f>SUM(I42:J42)</f>
        <v>167</v>
      </c>
      <c r="L42" s="26"/>
      <c r="M42" s="26"/>
      <c r="N42" s="26"/>
      <c r="P42" s="26"/>
      <c r="Q42" s="26"/>
      <c r="R42" s="26"/>
      <c r="S42" s="26"/>
      <c r="T42" s="26"/>
    </row>
    <row r="43" spans="1:20" ht="21.75" thickTop="1" thickBot="1" x14ac:dyDescent="0.35">
      <c r="B43" s="211"/>
      <c r="C43" s="210"/>
      <c r="D43" s="210"/>
      <c r="E43" s="210"/>
      <c r="F43" s="210"/>
      <c r="G43" s="210"/>
      <c r="H43" s="210"/>
      <c r="I43" s="210"/>
      <c r="J43" s="210"/>
      <c r="K43" s="213"/>
      <c r="L43" s="26"/>
      <c r="M43" s="26"/>
      <c r="N43" s="26"/>
      <c r="P43" s="26"/>
      <c r="Q43" s="26"/>
      <c r="R43" s="26"/>
      <c r="S43" s="26"/>
      <c r="T43" s="26"/>
    </row>
    <row r="44" spans="1:20" ht="21.75" thickTop="1" thickBot="1" x14ac:dyDescent="0.35">
      <c r="B44" s="211" t="s">
        <v>22</v>
      </c>
      <c r="C44" s="210">
        <f>'التعليم المسرع'!AA27</f>
        <v>92</v>
      </c>
      <c r="D44" s="210">
        <f>'التعليم المسرع'!AB27</f>
        <v>31</v>
      </c>
      <c r="E44" s="210">
        <f>'التعليم المسرع'!AR27</f>
        <v>47</v>
      </c>
      <c r="F44" s="210">
        <f>'التعليم المسرع'!AS27</f>
        <v>28</v>
      </c>
      <c r="G44" s="210">
        <f>'التعليم المسرع'!BI27</f>
        <v>35</v>
      </c>
      <c r="H44" s="210">
        <f>'التعليم المسرع'!BJ27</f>
        <v>24</v>
      </c>
      <c r="I44" s="210">
        <f t="shared" ref="I44:J44" si="7">C44+E44+G44</f>
        <v>174</v>
      </c>
      <c r="J44" s="210">
        <f t="shared" si="7"/>
        <v>83</v>
      </c>
      <c r="K44" s="213">
        <f t="shared" ref="K44" si="8">SUM(I44:J44)</f>
        <v>257</v>
      </c>
      <c r="L44" s="26"/>
      <c r="M44" s="26"/>
      <c r="N44" s="26"/>
      <c r="P44" s="26"/>
      <c r="Q44" s="26"/>
      <c r="R44" s="26"/>
      <c r="S44" s="26"/>
      <c r="T44" s="26"/>
    </row>
    <row r="45" spans="1:20" ht="21.75" thickTop="1" thickBot="1" x14ac:dyDescent="0.35">
      <c r="B45" s="211"/>
      <c r="C45" s="210"/>
      <c r="D45" s="210"/>
      <c r="E45" s="210"/>
      <c r="F45" s="210"/>
      <c r="G45" s="210"/>
      <c r="H45" s="210"/>
      <c r="I45" s="210"/>
      <c r="J45" s="210"/>
      <c r="K45" s="213"/>
      <c r="L45" s="26"/>
      <c r="M45" s="26"/>
      <c r="N45" s="26"/>
      <c r="P45" s="26"/>
      <c r="Q45" s="26"/>
      <c r="R45" s="26"/>
      <c r="S45" s="26"/>
      <c r="T45" s="26"/>
    </row>
    <row r="46" spans="1:20" ht="21.75" thickTop="1" thickBot="1" x14ac:dyDescent="0.35">
      <c r="B46" s="211" t="s">
        <v>23</v>
      </c>
      <c r="C46" s="210">
        <f>'التعليم المسرع'!AC27</f>
        <v>100</v>
      </c>
      <c r="D46" s="210">
        <f>'التعليم المسرع'!AD27</f>
        <v>38</v>
      </c>
      <c r="E46" s="210">
        <f>'التعليم المسرع'!AT27</f>
        <v>62</v>
      </c>
      <c r="F46" s="210">
        <f>'التعليم المسرع'!AU27</f>
        <v>47</v>
      </c>
      <c r="G46" s="210">
        <f>'التعليم المسرع'!BK27</f>
        <v>79</v>
      </c>
      <c r="H46" s="210">
        <f>'التعليم المسرع'!BL27</f>
        <v>41</v>
      </c>
      <c r="I46" s="210">
        <f t="shared" ref="I46:J46" si="9">C46+E46+G46</f>
        <v>241</v>
      </c>
      <c r="J46" s="210">
        <f t="shared" si="9"/>
        <v>126</v>
      </c>
      <c r="K46" s="213">
        <f t="shared" ref="K46" si="10">SUM(I46:J46)</f>
        <v>367</v>
      </c>
      <c r="L46" s="26"/>
      <c r="M46" s="26"/>
      <c r="N46" s="26"/>
      <c r="P46" s="26"/>
      <c r="Q46" s="26"/>
      <c r="R46" s="26"/>
      <c r="S46" s="26"/>
      <c r="T46" s="26"/>
    </row>
    <row r="47" spans="1:20" ht="21.75" thickTop="1" thickBot="1" x14ac:dyDescent="0.35">
      <c r="B47" s="211"/>
      <c r="C47" s="210"/>
      <c r="D47" s="210"/>
      <c r="E47" s="210"/>
      <c r="F47" s="210"/>
      <c r="G47" s="210"/>
      <c r="H47" s="210"/>
      <c r="I47" s="210"/>
      <c r="J47" s="210"/>
      <c r="K47" s="213"/>
      <c r="L47" s="26"/>
      <c r="M47" s="26"/>
      <c r="N47" s="26"/>
      <c r="P47" s="26"/>
      <c r="Q47" s="26"/>
      <c r="R47" s="26"/>
      <c r="S47" s="26"/>
      <c r="T47" s="26"/>
    </row>
    <row r="48" spans="1:20" ht="21.75" thickTop="1" thickBot="1" x14ac:dyDescent="0.35">
      <c r="B48" s="211" t="s">
        <v>24</v>
      </c>
      <c r="C48" s="210">
        <f>'التعليم المسرع'!AE27</f>
        <v>74</v>
      </c>
      <c r="D48" s="210">
        <f>'التعليم المسرع'!AF27</f>
        <v>21</v>
      </c>
      <c r="E48" s="210">
        <f>'التعليم المسرع'!AV27</f>
        <v>80</v>
      </c>
      <c r="F48" s="210">
        <f>'التعليم المسرع'!AW27</f>
        <v>39</v>
      </c>
      <c r="G48" s="210">
        <f>'التعليم المسرع'!BM27</f>
        <v>119</v>
      </c>
      <c r="H48" s="210">
        <f>'التعليم المسرع'!BN27</f>
        <v>47</v>
      </c>
      <c r="I48" s="210">
        <f t="shared" ref="I48:J48" si="11">C48+E48+G48</f>
        <v>273</v>
      </c>
      <c r="J48" s="210">
        <f t="shared" si="11"/>
        <v>107</v>
      </c>
      <c r="K48" s="213">
        <f t="shared" ref="K48" si="12">SUM(I48:J48)</f>
        <v>380</v>
      </c>
      <c r="L48" s="26"/>
      <c r="M48" s="26"/>
      <c r="N48" s="26"/>
      <c r="P48" s="26"/>
      <c r="Q48" s="26"/>
      <c r="R48" s="26"/>
      <c r="S48" s="26"/>
      <c r="T48" s="26"/>
    </row>
    <row r="49" spans="1:20" ht="21.75" thickTop="1" thickBot="1" x14ac:dyDescent="0.35">
      <c r="B49" s="211"/>
      <c r="C49" s="210"/>
      <c r="D49" s="210"/>
      <c r="E49" s="210"/>
      <c r="F49" s="210"/>
      <c r="G49" s="210"/>
      <c r="H49" s="210"/>
      <c r="I49" s="210"/>
      <c r="J49" s="210"/>
      <c r="K49" s="213"/>
      <c r="L49" s="26"/>
      <c r="M49" s="26"/>
      <c r="N49" s="26"/>
      <c r="P49" s="26"/>
      <c r="Q49" s="26"/>
      <c r="R49" s="26"/>
      <c r="S49" s="26"/>
      <c r="T49" s="26"/>
    </row>
    <row r="50" spans="1:20" ht="21.75" thickTop="1" thickBot="1" x14ac:dyDescent="0.35">
      <c r="B50" s="211" t="s">
        <v>25</v>
      </c>
      <c r="C50" s="210">
        <f>'التعليم المسرع'!AG27</f>
        <v>39</v>
      </c>
      <c r="D50" s="210">
        <f>'التعليم المسرع'!AH27</f>
        <v>20</v>
      </c>
      <c r="E50" s="210">
        <f>'التعليم المسرع'!AX27</f>
        <v>57</v>
      </c>
      <c r="F50" s="210">
        <f>'التعليم المسرع'!AY27</f>
        <v>47</v>
      </c>
      <c r="G50" s="210">
        <f>'التعليم المسرع'!BO27</f>
        <v>152</v>
      </c>
      <c r="H50" s="210">
        <f>'التعليم المسرع'!BP27</f>
        <v>67</v>
      </c>
      <c r="I50" s="210">
        <f t="shared" ref="I50:J50" si="13">C50+E50+G50</f>
        <v>248</v>
      </c>
      <c r="J50" s="210">
        <f t="shared" si="13"/>
        <v>134</v>
      </c>
      <c r="K50" s="213">
        <f t="shared" ref="K50" si="14">SUM(I50:J50)</f>
        <v>382</v>
      </c>
      <c r="L50" s="26"/>
      <c r="M50" s="26"/>
      <c r="N50" s="26"/>
      <c r="P50" s="26"/>
      <c r="Q50" s="26"/>
      <c r="R50" s="26"/>
      <c r="S50" s="26"/>
      <c r="T50" s="26"/>
    </row>
    <row r="51" spans="1:20" ht="21.75" thickTop="1" thickBot="1" x14ac:dyDescent="0.35">
      <c r="B51" s="211"/>
      <c r="C51" s="210"/>
      <c r="D51" s="210"/>
      <c r="E51" s="210"/>
      <c r="F51" s="210"/>
      <c r="G51" s="210"/>
      <c r="H51" s="210"/>
      <c r="I51" s="210"/>
      <c r="J51" s="210"/>
      <c r="K51" s="213"/>
      <c r="L51" s="26"/>
      <c r="M51" s="26"/>
      <c r="N51" s="26"/>
      <c r="P51" s="26"/>
      <c r="Q51" s="26"/>
      <c r="R51" s="26"/>
      <c r="S51" s="26"/>
      <c r="T51" s="26"/>
    </row>
    <row r="52" spans="1:20" ht="21.75" thickTop="1" thickBot="1" x14ac:dyDescent="0.35">
      <c r="B52" s="211" t="s">
        <v>26</v>
      </c>
      <c r="C52" s="210">
        <f>'التعليم المسرع'!AI27</f>
        <v>20</v>
      </c>
      <c r="D52" s="210">
        <f>'التعليم المسرع'!AJ27</f>
        <v>20</v>
      </c>
      <c r="E52" s="210">
        <f>'التعليم المسرع'!AZ27</f>
        <v>30</v>
      </c>
      <c r="F52" s="210">
        <f>'التعليم المسرع'!BA27</f>
        <v>40</v>
      </c>
      <c r="G52" s="210">
        <f>'التعليم المسرع'!BQ27</f>
        <v>76</v>
      </c>
      <c r="H52" s="210">
        <f>'التعليم المسرع'!BR27</f>
        <v>39</v>
      </c>
      <c r="I52" s="210">
        <f t="shared" ref="I52:J52" si="15">C52+E52+G52</f>
        <v>126</v>
      </c>
      <c r="J52" s="210">
        <f t="shared" si="15"/>
        <v>99</v>
      </c>
      <c r="K52" s="213">
        <f t="shared" ref="K52" si="16">SUM(I52:J52)</f>
        <v>225</v>
      </c>
      <c r="L52" s="26"/>
      <c r="M52" s="26"/>
      <c r="N52" s="26"/>
      <c r="P52" s="26"/>
      <c r="Q52" s="26"/>
      <c r="R52" s="26"/>
      <c r="S52" s="26"/>
      <c r="T52" s="26"/>
    </row>
    <row r="53" spans="1:20" ht="21.75" thickTop="1" thickBot="1" x14ac:dyDescent="0.35">
      <c r="B53" s="211"/>
      <c r="C53" s="210"/>
      <c r="D53" s="210"/>
      <c r="E53" s="210"/>
      <c r="F53" s="210"/>
      <c r="G53" s="210"/>
      <c r="H53" s="210"/>
      <c r="I53" s="210"/>
      <c r="J53" s="210"/>
      <c r="K53" s="213"/>
    </row>
    <row r="54" spans="1:20" ht="21.75" thickTop="1" thickBot="1" x14ac:dyDescent="0.35">
      <c r="B54" s="211" t="s">
        <v>27</v>
      </c>
      <c r="C54" s="210">
        <f>'التعليم المسرع'!AK27</f>
        <v>8</v>
      </c>
      <c r="D54" s="210">
        <f>'التعليم المسرع'!AL27</f>
        <v>16</v>
      </c>
      <c r="E54" s="210">
        <f>'التعليم المسرع'!BB27</f>
        <v>26</v>
      </c>
      <c r="F54" s="210">
        <f>'التعليم المسرع'!BC27</f>
        <v>29</v>
      </c>
      <c r="G54" s="210">
        <f>'التعليم المسرع'!BS27</f>
        <v>75</v>
      </c>
      <c r="H54" s="210">
        <f>'التعليم المسرع'!BT27</f>
        <v>54</v>
      </c>
      <c r="I54" s="210">
        <f t="shared" ref="I54:J54" si="17">C54+E54+G54</f>
        <v>109</v>
      </c>
      <c r="J54" s="210">
        <f t="shared" si="17"/>
        <v>99</v>
      </c>
      <c r="K54" s="213">
        <f t="shared" ref="K54" si="18">SUM(I54:J54)</f>
        <v>208</v>
      </c>
    </row>
    <row r="55" spans="1:20" ht="21.75" thickTop="1" thickBot="1" x14ac:dyDescent="0.35">
      <c r="B55" s="211"/>
      <c r="C55" s="210"/>
      <c r="D55" s="210"/>
      <c r="E55" s="210"/>
      <c r="F55" s="210"/>
      <c r="G55" s="210"/>
      <c r="H55" s="210"/>
      <c r="I55" s="210"/>
      <c r="J55" s="210"/>
      <c r="K55" s="213"/>
    </row>
    <row r="56" spans="1:20" ht="21.75" thickTop="1" thickBot="1" x14ac:dyDescent="0.35">
      <c r="B56" s="211" t="s">
        <v>15</v>
      </c>
      <c r="C56" s="210">
        <f t="shared" ref="C56:H56" si="19">C42+C44+C46+C48+C50+C52+C54</f>
        <v>404</v>
      </c>
      <c r="D56" s="210">
        <f t="shared" si="19"/>
        <v>193</v>
      </c>
      <c r="E56" s="210">
        <f t="shared" si="19"/>
        <v>311</v>
      </c>
      <c r="F56" s="210">
        <f t="shared" si="19"/>
        <v>247</v>
      </c>
      <c r="G56" s="210">
        <f t="shared" si="19"/>
        <v>543</v>
      </c>
      <c r="H56" s="210">
        <f t="shared" si="19"/>
        <v>288</v>
      </c>
      <c r="I56" s="210">
        <f>C56+E56+G56</f>
        <v>1258</v>
      </c>
      <c r="J56" s="210">
        <f t="shared" ref="J56" si="20">D56+F56+H56</f>
        <v>728</v>
      </c>
      <c r="K56" s="213">
        <f t="shared" ref="K56" si="21">SUM(I56:J56)</f>
        <v>1986</v>
      </c>
    </row>
    <row r="57" spans="1:20" ht="21.75" thickTop="1" thickBot="1" x14ac:dyDescent="0.35">
      <c r="B57" s="214"/>
      <c r="C57" s="212"/>
      <c r="D57" s="212"/>
      <c r="E57" s="212"/>
      <c r="F57" s="212"/>
      <c r="G57" s="212"/>
      <c r="H57" s="212"/>
      <c r="I57" s="212"/>
      <c r="J57" s="212"/>
      <c r="K57" s="229"/>
    </row>
    <row r="58" spans="1:20" ht="21" thickTop="1" x14ac:dyDescent="0.3"/>
    <row r="59" spans="1:20" ht="21" thickBot="1" x14ac:dyDescent="0.35">
      <c r="G59" s="26"/>
    </row>
    <row r="60" spans="1:20" ht="37.5" customHeight="1" thickTop="1" thickBot="1" x14ac:dyDescent="0.35">
      <c r="A60" s="224"/>
      <c r="B60" s="227" t="s">
        <v>277</v>
      </c>
      <c r="C60" s="227"/>
      <c r="D60" s="227"/>
      <c r="E60" s="227" t="s">
        <v>282</v>
      </c>
      <c r="F60" s="227"/>
      <c r="G60" s="227"/>
      <c r="H60" s="216" t="s">
        <v>283</v>
      </c>
      <c r="I60" s="216"/>
      <c r="J60" s="216"/>
      <c r="K60" s="216"/>
      <c r="L60" s="216"/>
      <c r="M60" s="216"/>
      <c r="N60" s="235" t="s">
        <v>15</v>
      </c>
      <c r="O60" s="236"/>
      <c r="P60" s="237"/>
    </row>
    <row r="61" spans="1:20" ht="31.5" customHeight="1" thickTop="1" thickBot="1" x14ac:dyDescent="0.35">
      <c r="A61" s="197"/>
      <c r="B61" s="228"/>
      <c r="C61" s="228"/>
      <c r="D61" s="228"/>
      <c r="E61" s="228"/>
      <c r="F61" s="228"/>
      <c r="G61" s="228"/>
      <c r="H61" s="210" t="s">
        <v>193</v>
      </c>
      <c r="I61" s="210"/>
      <c r="J61" s="210" t="s">
        <v>194</v>
      </c>
      <c r="K61" s="210"/>
      <c r="L61" s="210" t="s">
        <v>195</v>
      </c>
      <c r="M61" s="210"/>
      <c r="N61" s="195"/>
      <c r="O61" s="238"/>
      <c r="P61" s="196"/>
    </row>
    <row r="62" spans="1:20" ht="21" thickTop="1" x14ac:dyDescent="0.3">
      <c r="A62" s="197"/>
      <c r="B62" s="198" t="s">
        <v>10</v>
      </c>
      <c r="C62" s="198" t="s">
        <v>11</v>
      </c>
      <c r="D62" s="198" t="s">
        <v>15</v>
      </c>
      <c r="E62" s="198" t="s">
        <v>10</v>
      </c>
      <c r="F62" s="198" t="s">
        <v>11</v>
      </c>
      <c r="G62" s="198" t="s">
        <v>15</v>
      </c>
      <c r="H62" s="198" t="s">
        <v>10</v>
      </c>
      <c r="I62" s="198" t="s">
        <v>11</v>
      </c>
      <c r="J62" s="198" t="s">
        <v>10</v>
      </c>
      <c r="K62" s="198" t="s">
        <v>11</v>
      </c>
      <c r="L62" s="198" t="s">
        <v>10</v>
      </c>
      <c r="M62" s="198" t="s">
        <v>11</v>
      </c>
      <c r="N62" s="198" t="s">
        <v>10</v>
      </c>
      <c r="O62" s="198" t="s">
        <v>11</v>
      </c>
      <c r="P62" s="239" t="s">
        <v>15</v>
      </c>
    </row>
    <row r="63" spans="1:20" ht="21" thickBot="1" x14ac:dyDescent="0.35">
      <c r="A63" s="192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240"/>
    </row>
    <row r="64" spans="1:20" ht="21" thickTop="1" x14ac:dyDescent="0.3">
      <c r="A64" s="241" t="s">
        <v>17</v>
      </c>
      <c r="B64" s="191">
        <f>'التعليم المسرع'!DB27</f>
        <v>40</v>
      </c>
      <c r="C64" s="191">
        <f>'التعليم المسرع'!DC27</f>
        <v>28</v>
      </c>
      <c r="D64" s="198">
        <f>C64+B64</f>
        <v>68</v>
      </c>
      <c r="E64" s="193">
        <f>'التعليم المسرع'!DK27</f>
        <v>152</v>
      </c>
      <c r="F64" s="193">
        <f>'التعليم المسرع'!DL27</f>
        <v>104</v>
      </c>
      <c r="G64" s="198">
        <f t="shared" ref="G64" si="22">F64+E64</f>
        <v>256</v>
      </c>
      <c r="H64" s="198">
        <f>'التعليم المسرع'!DT27</f>
        <v>93</v>
      </c>
      <c r="I64" s="198">
        <f>'التعليم المسرع'!DU27</f>
        <v>88</v>
      </c>
      <c r="J64" s="198">
        <f>'التعليم المسرع'!EC27</f>
        <v>0</v>
      </c>
      <c r="K64" s="198">
        <f>'التعليم المسرع'!ED27</f>
        <v>0</v>
      </c>
      <c r="L64" s="198">
        <f>'التعليم المسرع'!EL27</f>
        <v>0</v>
      </c>
      <c r="M64" s="198">
        <f>'التعليم المسرع'!EM27</f>
        <v>0</v>
      </c>
      <c r="N64" s="191">
        <f>L64+J64+H64</f>
        <v>93</v>
      </c>
      <c r="O64" s="191">
        <f>M64+K64+I64</f>
        <v>88</v>
      </c>
      <c r="P64" s="239">
        <f>O64+N64</f>
        <v>181</v>
      </c>
    </row>
    <row r="65" spans="1:16" ht="21" thickBot="1" x14ac:dyDescent="0.35">
      <c r="A65" s="242"/>
      <c r="B65" s="218"/>
      <c r="C65" s="218"/>
      <c r="D65" s="199"/>
      <c r="E65" s="195"/>
      <c r="F65" s="195"/>
      <c r="G65" s="199"/>
      <c r="H65" s="199"/>
      <c r="I65" s="199"/>
      <c r="J65" s="199"/>
      <c r="K65" s="199"/>
      <c r="L65" s="199"/>
      <c r="M65" s="199"/>
      <c r="N65" s="218"/>
      <c r="O65" s="218"/>
      <c r="P65" s="240"/>
    </row>
    <row r="66" spans="1:16" ht="21" thickTop="1" x14ac:dyDescent="0.3">
      <c r="A66" s="241" t="s">
        <v>18</v>
      </c>
      <c r="B66" s="198">
        <f>'التعليم المسرع'!DD27</f>
        <v>14</v>
      </c>
      <c r="C66" s="198">
        <f>'التعليم المسرع'!DE27</f>
        <v>31</v>
      </c>
      <c r="D66" s="198">
        <f t="shared" ref="D66" si="23">C66+B66</f>
        <v>45</v>
      </c>
      <c r="E66" s="198">
        <f>'التعليم المسرع'!DM27</f>
        <v>160</v>
      </c>
      <c r="F66" s="198">
        <f>'التعليم المسرع'!DN27</f>
        <v>129</v>
      </c>
      <c r="G66" s="198">
        <f t="shared" ref="G66" si="24">F66+E66</f>
        <v>289</v>
      </c>
      <c r="H66" s="198">
        <f>'التعليم المسرع'!DV27</f>
        <v>68</v>
      </c>
      <c r="I66" s="198">
        <f>'التعليم المسرع'!DW27</f>
        <v>92</v>
      </c>
      <c r="J66" s="198">
        <f>'التعليم المسرع'!EE27</f>
        <v>0</v>
      </c>
      <c r="K66" s="198">
        <f>'التعليم المسرع'!EF27</f>
        <v>0</v>
      </c>
      <c r="L66" s="198">
        <f>'التعليم المسرع'!EN27</f>
        <v>0</v>
      </c>
      <c r="M66" s="198">
        <f>'التعليم المسرع'!EO27</f>
        <v>0</v>
      </c>
      <c r="N66" s="191">
        <f t="shared" ref="N66:O66" si="25">L66+J66+H66</f>
        <v>68</v>
      </c>
      <c r="O66" s="191">
        <f t="shared" si="25"/>
        <v>92</v>
      </c>
      <c r="P66" s="239">
        <f t="shared" ref="P66" si="26">O66+N66</f>
        <v>160</v>
      </c>
    </row>
    <row r="67" spans="1:16" ht="21" thickBot="1" x14ac:dyDescent="0.35">
      <c r="A67" s="242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218"/>
      <c r="O67" s="218"/>
      <c r="P67" s="240"/>
    </row>
    <row r="68" spans="1:16" ht="21" thickTop="1" x14ac:dyDescent="0.3">
      <c r="A68" s="241" t="s">
        <v>19</v>
      </c>
      <c r="B68" s="198">
        <f>'التعليم المسرع'!DF27</f>
        <v>49</v>
      </c>
      <c r="C68" s="198">
        <f>'التعليم المسرع'!DG27</f>
        <v>48</v>
      </c>
      <c r="D68" s="198">
        <f t="shared" ref="D68" si="27">C68+B68</f>
        <v>97</v>
      </c>
      <c r="E68" s="198">
        <f>'التعليم المسرع'!DO27</f>
        <v>298</v>
      </c>
      <c r="F68" s="198">
        <f>'التعليم المسرع'!DP27</f>
        <v>287</v>
      </c>
      <c r="G68" s="198">
        <f t="shared" ref="G68" si="28">F68+E68</f>
        <v>585</v>
      </c>
      <c r="H68" s="198">
        <f>'التعليم المسرع'!DX27</f>
        <v>175</v>
      </c>
      <c r="I68" s="198">
        <f>'التعليم المسرع'!DY27</f>
        <v>128</v>
      </c>
      <c r="J68" s="198">
        <f>'التعليم المسرع'!EG27</f>
        <v>0</v>
      </c>
      <c r="K68" s="198">
        <f>'التعليم المسرع'!EH27</f>
        <v>0</v>
      </c>
      <c r="L68" s="198">
        <f>'التعليم المسرع'!EP27</f>
        <v>0</v>
      </c>
      <c r="M68" s="198">
        <f>'التعليم المسرع'!EQ27</f>
        <v>0</v>
      </c>
      <c r="N68" s="191">
        <f t="shared" ref="N68:O68" si="29">L68+J68+H68</f>
        <v>175</v>
      </c>
      <c r="O68" s="191">
        <f t="shared" si="29"/>
        <v>128</v>
      </c>
      <c r="P68" s="239">
        <f t="shared" ref="P68" si="30">O68+N68</f>
        <v>303</v>
      </c>
    </row>
    <row r="69" spans="1:16" ht="21" thickBot="1" x14ac:dyDescent="0.35">
      <c r="A69" s="243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218"/>
      <c r="O69" s="218"/>
      <c r="P69" s="240"/>
    </row>
    <row r="70" spans="1:16" ht="21" thickTop="1" x14ac:dyDescent="0.3"/>
  </sheetData>
  <mergeCells count="250">
    <mergeCell ref="N17:N18"/>
    <mergeCell ref="N19:N20"/>
    <mergeCell ref="N21:N22"/>
    <mergeCell ref="N23:N24"/>
    <mergeCell ref="J16:O16"/>
    <mergeCell ref="A60:A63"/>
    <mergeCell ref="H64:H65"/>
    <mergeCell ref="I64:I65"/>
    <mergeCell ref="H66:H67"/>
    <mergeCell ref="I66:I67"/>
    <mergeCell ref="H60:M60"/>
    <mergeCell ref="H61:I61"/>
    <mergeCell ref="J61:K61"/>
    <mergeCell ref="L61:M61"/>
    <mergeCell ref="M62:M63"/>
    <mergeCell ref="B60:D61"/>
    <mergeCell ref="E60:G61"/>
    <mergeCell ref="D62:D63"/>
    <mergeCell ref="G62:G63"/>
    <mergeCell ref="J62:J63"/>
    <mergeCell ref="K62:K63"/>
    <mergeCell ref="L62:L63"/>
    <mergeCell ref="C50:C51"/>
    <mergeCell ref="D50:D51"/>
    <mergeCell ref="A64:A65"/>
    <mergeCell ref="A66:A67"/>
    <mergeCell ref="A68:A69"/>
    <mergeCell ref="H68:H69"/>
    <mergeCell ref="I68:I69"/>
    <mergeCell ref="D64:D65"/>
    <mergeCell ref="G64:G65"/>
    <mergeCell ref="J64:J65"/>
    <mergeCell ref="K64:K65"/>
    <mergeCell ref="D66:D67"/>
    <mergeCell ref="G66:G67"/>
    <mergeCell ref="J66:J67"/>
    <mergeCell ref="K66:K67"/>
    <mergeCell ref="B68:B69"/>
    <mergeCell ref="B66:B67"/>
    <mergeCell ref="C64:C65"/>
    <mergeCell ref="C66:C67"/>
    <mergeCell ref="C68:C69"/>
    <mergeCell ref="D68:D69"/>
    <mergeCell ref="B64:B65"/>
    <mergeCell ref="E64:E65"/>
    <mergeCell ref="F64:F65"/>
    <mergeCell ref="E66:E67"/>
    <mergeCell ref="F66:F67"/>
    <mergeCell ref="P68:P69"/>
    <mergeCell ref="P62:P63"/>
    <mergeCell ref="P64:P65"/>
    <mergeCell ref="P66:P67"/>
    <mergeCell ref="O68:O69"/>
    <mergeCell ref="N68:N69"/>
    <mergeCell ref="K52:K53"/>
    <mergeCell ref="G56:G57"/>
    <mergeCell ref="H56:H57"/>
    <mergeCell ref="I56:I57"/>
    <mergeCell ref="J56:J57"/>
    <mergeCell ref="K56:K57"/>
    <mergeCell ref="G68:G69"/>
    <mergeCell ref="J68:J69"/>
    <mergeCell ref="K68:K69"/>
    <mergeCell ref="L68:L69"/>
    <mergeCell ref="M68:M69"/>
    <mergeCell ref="L64:L65"/>
    <mergeCell ref="M64:M65"/>
    <mergeCell ref="L66:L67"/>
    <mergeCell ref="M66:M67"/>
    <mergeCell ref="O64:O65"/>
    <mergeCell ref="N64:N65"/>
    <mergeCell ref="E68:E69"/>
    <mergeCell ref="F68:F69"/>
    <mergeCell ref="N66:N67"/>
    <mergeCell ref="O66:O67"/>
    <mergeCell ref="B52:B53"/>
    <mergeCell ref="C52:C53"/>
    <mergeCell ref="D52:D53"/>
    <mergeCell ref="E52:E53"/>
    <mergeCell ref="F52:F53"/>
    <mergeCell ref="G52:G53"/>
    <mergeCell ref="H52:H53"/>
    <mergeCell ref="I52:I53"/>
    <mergeCell ref="O62:O63"/>
    <mergeCell ref="K54:K55"/>
    <mergeCell ref="B56:B57"/>
    <mergeCell ref="C56:C57"/>
    <mergeCell ref="D56:D57"/>
    <mergeCell ref="E56:E57"/>
    <mergeCell ref="F56:F57"/>
    <mergeCell ref="B54:B55"/>
    <mergeCell ref="C54:C55"/>
    <mergeCell ref="D54:D55"/>
    <mergeCell ref="E54:E55"/>
    <mergeCell ref="N60:P61"/>
    <mergeCell ref="F54:F55"/>
    <mergeCell ref="J52:J53"/>
    <mergeCell ref="G54:G55"/>
    <mergeCell ref="H54:H55"/>
    <mergeCell ref="I54:I55"/>
    <mergeCell ref="J54:J55"/>
    <mergeCell ref="L17:L18"/>
    <mergeCell ref="M17:M18"/>
    <mergeCell ref="O17:O18"/>
    <mergeCell ref="I42:I43"/>
    <mergeCell ref="J42:J43"/>
    <mergeCell ref="G29:G30"/>
    <mergeCell ref="H31:H32"/>
    <mergeCell ref="B26:K26"/>
    <mergeCell ref="B27:B28"/>
    <mergeCell ref="C27:C28"/>
    <mergeCell ref="D27:D28"/>
    <mergeCell ref="E27:E28"/>
    <mergeCell ref="F27:F28"/>
    <mergeCell ref="G27:G28"/>
    <mergeCell ref="H27:H28"/>
    <mergeCell ref="I27:I28"/>
    <mergeCell ref="J17:J18"/>
    <mergeCell ref="K17:K18"/>
    <mergeCell ref="B62:B63"/>
    <mergeCell ref="C62:C63"/>
    <mergeCell ref="E62:E63"/>
    <mergeCell ref="F62:F63"/>
    <mergeCell ref="H62:H63"/>
    <mergeCell ref="I62:I63"/>
    <mergeCell ref="N62:N63"/>
    <mergeCell ref="D20:D21"/>
    <mergeCell ref="E20:E21"/>
    <mergeCell ref="H46:H47"/>
    <mergeCell ref="I46:I47"/>
    <mergeCell ref="J46:J47"/>
    <mergeCell ref="K46:K47"/>
    <mergeCell ref="H44:H45"/>
    <mergeCell ref="I44:I45"/>
    <mergeCell ref="J44:J45"/>
    <mergeCell ref="K48:K49"/>
    <mergeCell ref="H50:H51"/>
    <mergeCell ref="A36:C36"/>
    <mergeCell ref="K50:K51"/>
    <mergeCell ref="B50:B51"/>
    <mergeCell ref="C46:C47"/>
    <mergeCell ref="D46:D47"/>
    <mergeCell ref="B44:B45"/>
    <mergeCell ref="G44:G45"/>
    <mergeCell ref="I50:I51"/>
    <mergeCell ref="J50:J51"/>
    <mergeCell ref="E50:E51"/>
    <mergeCell ref="F50:F51"/>
    <mergeCell ref="G50:G51"/>
    <mergeCell ref="G48:G49"/>
    <mergeCell ref="H48:H49"/>
    <mergeCell ref="I48:I49"/>
    <mergeCell ref="J48:J49"/>
    <mergeCell ref="G46:G47"/>
    <mergeCell ref="B48:B49"/>
    <mergeCell ref="F46:F47"/>
    <mergeCell ref="C48:C49"/>
    <mergeCell ref="D48:D49"/>
    <mergeCell ref="E48:E49"/>
    <mergeCell ref="F48:F49"/>
    <mergeCell ref="D29:D30"/>
    <mergeCell ref="E29:E30"/>
    <mergeCell ref="F29:F30"/>
    <mergeCell ref="B46:B47"/>
    <mergeCell ref="C44:C45"/>
    <mergeCell ref="D44:D45"/>
    <mergeCell ref="E44:E45"/>
    <mergeCell ref="F44:F45"/>
    <mergeCell ref="K42:K43"/>
    <mergeCell ref="K44:K45"/>
    <mergeCell ref="B16:G16"/>
    <mergeCell ref="F17:G17"/>
    <mergeCell ref="B20:B21"/>
    <mergeCell ref="C20:C21"/>
    <mergeCell ref="E46:E47"/>
    <mergeCell ref="A37:D37"/>
    <mergeCell ref="F20:G21"/>
    <mergeCell ref="F24:G24"/>
    <mergeCell ref="B40:B41"/>
    <mergeCell ref="C40:D40"/>
    <mergeCell ref="E40:F40"/>
    <mergeCell ref="G40:H40"/>
    <mergeCell ref="I40:K40"/>
    <mergeCell ref="B42:B43"/>
    <mergeCell ref="C42:C43"/>
    <mergeCell ref="D42:D43"/>
    <mergeCell ref="E42:E43"/>
    <mergeCell ref="F42:F43"/>
    <mergeCell ref="G42:G43"/>
    <mergeCell ref="H42:H43"/>
    <mergeCell ref="J27:K28"/>
    <mergeCell ref="H29:H30"/>
    <mergeCell ref="A1:C1"/>
    <mergeCell ref="A2:D2"/>
    <mergeCell ref="B11:C11"/>
    <mergeCell ref="F11:H11"/>
    <mergeCell ref="B22:B23"/>
    <mergeCell ref="C22:C23"/>
    <mergeCell ref="D22:D23"/>
    <mergeCell ref="E22:E23"/>
    <mergeCell ref="F22:G23"/>
    <mergeCell ref="A3:O3"/>
    <mergeCell ref="B18:B19"/>
    <mergeCell ref="C18:C19"/>
    <mergeCell ref="D18:D19"/>
    <mergeCell ref="E18:E19"/>
    <mergeCell ref="F18:G19"/>
    <mergeCell ref="K11:M11"/>
    <mergeCell ref="B6:D6"/>
    <mergeCell ref="G6:I6"/>
    <mergeCell ref="L6:N6"/>
    <mergeCell ref="B8:D8"/>
    <mergeCell ref="G8:I8"/>
    <mergeCell ref="L8:N8"/>
    <mergeCell ref="J19:J20"/>
    <mergeCell ref="M19:M20"/>
    <mergeCell ref="I29:I30"/>
    <mergeCell ref="J29:K30"/>
    <mergeCell ref="B29:B30"/>
    <mergeCell ref="C29:C30"/>
    <mergeCell ref="J33:K34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B31:B32"/>
    <mergeCell ref="C31:C32"/>
    <mergeCell ref="D31:D32"/>
    <mergeCell ref="E31:E32"/>
    <mergeCell ref="F31:F32"/>
    <mergeCell ref="G31:G32"/>
    <mergeCell ref="O19:O20"/>
    <mergeCell ref="J21:J22"/>
    <mergeCell ref="K21:K22"/>
    <mergeCell ref="L21:L22"/>
    <mergeCell ref="M21:M22"/>
    <mergeCell ref="O21:O22"/>
    <mergeCell ref="J23:J24"/>
    <mergeCell ref="K23:K24"/>
    <mergeCell ref="L23:L24"/>
    <mergeCell ref="M23:M24"/>
    <mergeCell ref="O23:O24"/>
    <mergeCell ref="K19:K20"/>
    <mergeCell ref="L19:L20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5" orientation="landscape" horizontalDpi="300" verticalDpi="300" r:id="rId1"/>
  <rowBreaks count="2" manualBreakCount="2">
    <brk id="35" max="15" man="1"/>
    <brk id="69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70"/>
  <sheetViews>
    <sheetView rightToLeft="1" view="pageBreakPreview" topLeftCell="A19" zoomScale="60" workbookViewId="0">
      <selection activeCell="J27" sqref="J27:K28"/>
    </sheetView>
  </sheetViews>
  <sheetFormatPr defaultColWidth="9" defaultRowHeight="20.25" x14ac:dyDescent="0.3"/>
  <cols>
    <col min="1" max="1" width="16.875" style="9" customWidth="1"/>
    <col min="2" max="2" width="17" style="9" customWidth="1"/>
    <col min="3" max="3" width="10.75" style="9" customWidth="1"/>
    <col min="4" max="8" width="9" style="9"/>
    <col min="9" max="9" width="11.625" style="9" customWidth="1"/>
    <col min="10" max="10" width="16" style="9" customWidth="1"/>
    <col min="11" max="11" width="12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  <c r="M2" s="202"/>
      <c r="N2" s="202"/>
      <c r="O2" s="202"/>
    </row>
    <row r="3" spans="1:15" ht="23.25" x14ac:dyDescent="0.35">
      <c r="A3" s="201" t="s">
        <v>169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</row>
    <row r="4" spans="1:15" ht="23.25" x14ac:dyDescent="0.35">
      <c r="E4" s="43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41</v>
      </c>
      <c r="C6" s="232"/>
      <c r="D6" s="231"/>
      <c r="F6" s="9" t="s">
        <v>2</v>
      </c>
      <c r="G6" s="230" t="s">
        <v>42</v>
      </c>
      <c r="H6" s="232"/>
      <c r="I6" s="231"/>
      <c r="K6" s="9" t="s">
        <v>0</v>
      </c>
      <c r="L6" s="230" t="s">
        <v>129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المسرع'!K20+'التعليم المسرع'!L20</f>
        <v>14</v>
      </c>
      <c r="C8" s="232"/>
      <c r="D8" s="231"/>
      <c r="F8" s="9" t="s">
        <v>3</v>
      </c>
      <c r="G8" s="230">
        <f>'التعليم المسرع'!Q20</f>
        <v>0</v>
      </c>
      <c r="H8" s="232"/>
      <c r="I8" s="231"/>
      <c r="K8" s="9" t="s">
        <v>4</v>
      </c>
      <c r="L8" s="230">
        <f>'التعليم المسرع'!R20</f>
        <v>14</v>
      </c>
      <c r="M8" s="232"/>
      <c r="N8" s="231"/>
    </row>
    <row r="9" spans="1:15" ht="21" thickTop="1" x14ac:dyDescent="0.3"/>
    <row r="10" spans="1:15" ht="21" thickBot="1" x14ac:dyDescent="0.35"/>
    <row r="11" spans="1:15" ht="21.75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21.75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1.75" thickTop="1" thickBot="1" x14ac:dyDescent="0.35">
      <c r="B13" s="16">
        <f>'التعليم المسرع'!K20</f>
        <v>13</v>
      </c>
      <c r="C13" s="17">
        <f>'التعليم المسرع'!L20</f>
        <v>1</v>
      </c>
      <c r="F13" s="18">
        <f>'التعليم المسرع'!H20</f>
        <v>6</v>
      </c>
      <c r="G13" s="19">
        <f>'التعليم المسرع'!I20</f>
        <v>8</v>
      </c>
      <c r="H13" s="20">
        <f>'التعليم المسرع'!J20</f>
        <v>0</v>
      </c>
      <c r="K13" s="16">
        <f>'التعليم المسرع'!FC20</f>
        <v>21</v>
      </c>
      <c r="L13" s="21">
        <f>'التعليم المسرع'!FD20</f>
        <v>43</v>
      </c>
      <c r="M13" s="17">
        <f>SUM(K13:L13)</f>
        <v>64</v>
      </c>
    </row>
    <row r="14" spans="1:15" ht="21" thickTop="1" x14ac:dyDescent="0.3"/>
    <row r="15" spans="1:15" ht="21" thickBot="1" x14ac:dyDescent="0.35"/>
    <row r="16" spans="1:15" ht="31.5" customHeight="1" thickTop="1" thickBot="1" x14ac:dyDescent="0.35">
      <c r="B16" s="230" t="s">
        <v>20</v>
      </c>
      <c r="C16" s="232"/>
      <c r="D16" s="232"/>
      <c r="E16" s="232"/>
      <c r="F16" s="232"/>
      <c r="G16" s="231"/>
      <c r="J16" s="230" t="s">
        <v>30</v>
      </c>
      <c r="K16" s="232"/>
      <c r="L16" s="232"/>
      <c r="M16" s="232"/>
      <c r="N16" s="231"/>
    </row>
    <row r="17" spans="2:14" ht="28.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J17" s="215" t="s">
        <v>31</v>
      </c>
      <c r="K17" s="216" t="s">
        <v>44</v>
      </c>
      <c r="L17" s="216" t="s">
        <v>45</v>
      </c>
      <c r="M17" s="216" t="s">
        <v>46</v>
      </c>
      <c r="N17" s="217" t="s">
        <v>47</v>
      </c>
    </row>
    <row r="18" spans="2:14" ht="21.75" thickTop="1" thickBot="1" x14ac:dyDescent="0.35">
      <c r="B18" s="191" t="s">
        <v>17</v>
      </c>
      <c r="C18" s="191">
        <f>'التعليم المسرع'!CO20</f>
        <v>14</v>
      </c>
      <c r="D18" s="191">
        <f>'التعليم المسرع'!CP20</f>
        <v>9</v>
      </c>
      <c r="E18" s="191">
        <f>'التعليم المسرع'!CQ20</f>
        <v>0</v>
      </c>
      <c r="F18" s="193">
        <f>C18+D18+E18</f>
        <v>23</v>
      </c>
      <c r="G18" s="194"/>
      <c r="J18" s="211"/>
      <c r="K18" s="210"/>
      <c r="L18" s="210"/>
      <c r="M18" s="210"/>
      <c r="N18" s="213"/>
    </row>
    <row r="19" spans="2:14" ht="21.75" thickTop="1" thickBot="1" x14ac:dyDescent="0.35">
      <c r="B19" s="192"/>
      <c r="C19" s="192"/>
      <c r="D19" s="192"/>
      <c r="E19" s="192"/>
      <c r="F19" s="195"/>
      <c r="G19" s="196"/>
      <c r="J19" s="211" t="s">
        <v>13</v>
      </c>
      <c r="K19" s="210">
        <f>'التعليم المسرع'!EU20</f>
        <v>6</v>
      </c>
      <c r="L19" s="210">
        <f>'التعليم المسرع'!EW20</f>
        <v>3</v>
      </c>
      <c r="M19" s="210">
        <f>'التعليم المسرع'!EY20</f>
        <v>12</v>
      </c>
      <c r="N19" s="213">
        <f>SUM(K19:M19)</f>
        <v>21</v>
      </c>
    </row>
    <row r="20" spans="2:14" ht="21.75" thickTop="1" thickBot="1" x14ac:dyDescent="0.35">
      <c r="B20" s="191" t="s">
        <v>18</v>
      </c>
      <c r="C20" s="191">
        <f>'التعليم المسرع'!CR20</f>
        <v>11</v>
      </c>
      <c r="D20" s="191">
        <f>'التعليم المسرع'!CS20</f>
        <v>11</v>
      </c>
      <c r="E20" s="191">
        <f>'التعليم المسرع'!CT20</f>
        <v>0</v>
      </c>
      <c r="F20" s="193">
        <f t="shared" ref="F20" si="0">C20+D20+E20</f>
        <v>22</v>
      </c>
      <c r="G20" s="194"/>
      <c r="J20" s="211"/>
      <c r="K20" s="210"/>
      <c r="L20" s="210"/>
      <c r="M20" s="210"/>
      <c r="N20" s="213"/>
    </row>
    <row r="21" spans="2:14" ht="21.75" thickTop="1" thickBot="1" x14ac:dyDescent="0.35">
      <c r="B21" s="192"/>
      <c r="C21" s="192"/>
      <c r="D21" s="192"/>
      <c r="E21" s="192"/>
      <c r="F21" s="195"/>
      <c r="G21" s="196"/>
      <c r="J21" s="211" t="s">
        <v>14</v>
      </c>
      <c r="K21" s="210">
        <f>'التعليم المسرع'!EV20</f>
        <v>8</v>
      </c>
      <c r="L21" s="210">
        <f>'التعليم المسرع'!EX20</f>
        <v>3</v>
      </c>
      <c r="M21" s="210">
        <f>'التعليم المسرع'!EZ20</f>
        <v>31</v>
      </c>
      <c r="N21" s="213">
        <f>SUM(K21:M21)</f>
        <v>42</v>
      </c>
    </row>
    <row r="22" spans="2:14" ht="21.75" thickTop="1" thickBot="1" x14ac:dyDescent="0.35">
      <c r="B22" s="191" t="s">
        <v>19</v>
      </c>
      <c r="C22" s="191">
        <f>'التعليم المسرع'!CU20</f>
        <v>16</v>
      </c>
      <c r="D22" s="191">
        <f>'التعليم المسرع'!CV20</f>
        <v>10</v>
      </c>
      <c r="E22" s="191">
        <f>'التعليم المسرع'!CW20</f>
        <v>0</v>
      </c>
      <c r="F22" s="193">
        <f t="shared" ref="F22" si="1">C22+D22+E22</f>
        <v>26</v>
      </c>
      <c r="G22" s="194"/>
      <c r="J22" s="211"/>
      <c r="K22" s="210"/>
      <c r="L22" s="210"/>
      <c r="M22" s="210"/>
      <c r="N22" s="213"/>
    </row>
    <row r="23" spans="2:14" ht="21.75" thickTop="1" thickBot="1" x14ac:dyDescent="0.35">
      <c r="B23" s="192"/>
      <c r="C23" s="192"/>
      <c r="D23" s="192"/>
      <c r="E23" s="192"/>
      <c r="F23" s="195"/>
      <c r="G23" s="196"/>
      <c r="J23" s="211" t="s">
        <v>15</v>
      </c>
      <c r="K23" s="210">
        <f>K19+K21</f>
        <v>14</v>
      </c>
      <c r="L23" s="210">
        <f t="shared" ref="L23:N23" si="2">L19+L21</f>
        <v>6</v>
      </c>
      <c r="M23" s="210">
        <f t="shared" si="2"/>
        <v>43</v>
      </c>
      <c r="N23" s="213">
        <f t="shared" si="2"/>
        <v>63</v>
      </c>
    </row>
    <row r="24" spans="2:14" ht="32.25" customHeight="1" thickTop="1" thickBot="1" x14ac:dyDescent="0.35">
      <c r="B24" s="24" t="s">
        <v>15</v>
      </c>
      <c r="C24" s="25">
        <f>SUM(C18:C23)</f>
        <v>41</v>
      </c>
      <c r="D24" s="25">
        <f>SUM(D18:D23)</f>
        <v>30</v>
      </c>
      <c r="E24" s="25">
        <f>SUM(E18:E23)</f>
        <v>0</v>
      </c>
      <c r="F24" s="206">
        <f>C24+D24+E24</f>
        <v>71</v>
      </c>
      <c r="G24" s="187"/>
      <c r="J24" s="214"/>
      <c r="K24" s="212"/>
      <c r="L24" s="212"/>
      <c r="M24" s="212"/>
      <c r="N24" s="229"/>
    </row>
    <row r="25" spans="2:14" ht="21.75" thickTop="1" thickBot="1" x14ac:dyDescent="0.35"/>
    <row r="26" spans="2:14" ht="31.5" customHeight="1" thickTop="1" thickBot="1" x14ac:dyDescent="0.3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26"/>
      <c r="M26" s="26"/>
    </row>
    <row r="27" spans="2:14" ht="37.5" customHeight="1" thickTop="1" thickBot="1" x14ac:dyDescent="0.35">
      <c r="B27" s="233" t="s">
        <v>40</v>
      </c>
      <c r="C27" s="227" t="s">
        <v>32</v>
      </c>
      <c r="D27" s="227" t="s">
        <v>33</v>
      </c>
      <c r="E27" s="227" t="s">
        <v>34</v>
      </c>
      <c r="F27" s="244" t="s">
        <v>35</v>
      </c>
      <c r="G27" s="227" t="s">
        <v>36</v>
      </c>
      <c r="H27" s="227" t="s">
        <v>37</v>
      </c>
      <c r="I27" s="227" t="s">
        <v>38</v>
      </c>
      <c r="J27" s="216" t="s">
        <v>15</v>
      </c>
      <c r="K27" s="217"/>
      <c r="L27" s="26"/>
      <c r="M27" s="26"/>
    </row>
    <row r="28" spans="2:14" ht="46.5" customHeight="1" thickTop="1" thickBot="1" x14ac:dyDescent="0.35">
      <c r="B28" s="234"/>
      <c r="C28" s="228"/>
      <c r="D28" s="228"/>
      <c r="E28" s="228"/>
      <c r="F28" s="245"/>
      <c r="G28" s="228"/>
      <c r="H28" s="228"/>
      <c r="I28" s="228"/>
      <c r="J28" s="210"/>
      <c r="K28" s="213"/>
      <c r="L28" s="26"/>
      <c r="M28" s="26"/>
    </row>
    <row r="29" spans="2:14" ht="21.75" thickTop="1" thickBot="1" x14ac:dyDescent="0.35">
      <c r="B29" s="211" t="s">
        <v>13</v>
      </c>
      <c r="C29" s="210">
        <f>'التعليم المسرع'!FZ20</f>
        <v>0</v>
      </c>
      <c r="D29" s="210">
        <f>'التعليم المسرع'!FX20</f>
        <v>0</v>
      </c>
      <c r="E29" s="210">
        <f>'التعليم المسرع'!GD20</f>
        <v>0</v>
      </c>
      <c r="F29" s="210">
        <f>'التعليم المسرع'!GB20</f>
        <v>12</v>
      </c>
      <c r="G29" s="210">
        <f>'التعليم المسرع'!GH20</f>
        <v>7</v>
      </c>
      <c r="H29" s="210">
        <f>'التعليم المسرع'!GJ20</f>
        <v>2</v>
      </c>
      <c r="I29" s="210">
        <f>'التعليم المسرع'!GL20</f>
        <v>0</v>
      </c>
      <c r="J29" s="210">
        <f>I29+H29+G29+F29+E29+D29+C29</f>
        <v>21</v>
      </c>
      <c r="K29" s="213"/>
      <c r="L29" s="26"/>
      <c r="M29" s="26"/>
    </row>
    <row r="30" spans="2:14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</row>
    <row r="31" spans="2:14" ht="21.75" thickTop="1" thickBot="1" x14ac:dyDescent="0.35">
      <c r="B31" s="211" t="s">
        <v>14</v>
      </c>
      <c r="C31" s="210">
        <f>'التعليم المسرع'!GA20</f>
        <v>0</v>
      </c>
      <c r="D31" s="210">
        <f>'التعليم المسرع'!FY20</f>
        <v>0</v>
      </c>
      <c r="E31" s="210">
        <f>'التعليم المسرع'!GE20</f>
        <v>0</v>
      </c>
      <c r="F31" s="210">
        <f>'التعليم المسرع'!GC20</f>
        <v>11</v>
      </c>
      <c r="G31" s="210">
        <f>'التعليم المسرع'!GI20</f>
        <v>27</v>
      </c>
      <c r="H31" s="210">
        <f>'التعليم المسرع'!GK20</f>
        <v>3</v>
      </c>
      <c r="I31" s="210">
        <f>'التعليم المسرع'!GM20</f>
        <v>1</v>
      </c>
      <c r="J31" s="210">
        <f t="shared" ref="J31" si="3">I31+H31+G31+F31+E31+D31+C31</f>
        <v>42</v>
      </c>
      <c r="K31" s="213"/>
      <c r="L31" s="26"/>
      <c r="M31" s="26"/>
    </row>
    <row r="32" spans="2:14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14" ht="21.75" thickTop="1" thickBot="1" x14ac:dyDescent="0.35">
      <c r="B33" s="211" t="s">
        <v>15</v>
      </c>
      <c r="C33" s="210">
        <f>C29+C31</f>
        <v>0</v>
      </c>
      <c r="D33" s="210">
        <f t="shared" ref="D33:I33" si="4">D29+D31</f>
        <v>0</v>
      </c>
      <c r="E33" s="210">
        <f t="shared" si="4"/>
        <v>0</v>
      </c>
      <c r="F33" s="210">
        <f t="shared" si="4"/>
        <v>23</v>
      </c>
      <c r="G33" s="210">
        <f t="shared" si="4"/>
        <v>34</v>
      </c>
      <c r="H33" s="210">
        <f t="shared" si="4"/>
        <v>5</v>
      </c>
      <c r="I33" s="210">
        <f t="shared" si="4"/>
        <v>1</v>
      </c>
      <c r="J33" s="210">
        <f t="shared" ref="J33" si="5">I33+H33+G33+F33+E33+D33+C33</f>
        <v>63</v>
      </c>
      <c r="K33" s="213"/>
      <c r="L33" s="26"/>
      <c r="M33" s="26"/>
    </row>
    <row r="34" spans="1:14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</row>
    <row r="35" spans="1:14" ht="21" thickTop="1" x14ac:dyDescent="0.3"/>
    <row r="36" spans="1:14" x14ac:dyDescent="0.3">
      <c r="A36" s="202" t="s">
        <v>55</v>
      </c>
      <c r="B36" s="202"/>
      <c r="C36" s="202"/>
    </row>
    <row r="37" spans="1:14" x14ac:dyDescent="0.3">
      <c r="A37" s="202" t="s">
        <v>56</v>
      </c>
      <c r="B37" s="202"/>
      <c r="C37" s="202"/>
      <c r="D37" s="202"/>
      <c r="L37" s="202" t="s">
        <v>181</v>
      </c>
      <c r="M37" s="202"/>
      <c r="N37" s="202"/>
    </row>
    <row r="38" spans="1:14" x14ac:dyDescent="0.3">
      <c r="D38" s="9" t="s">
        <v>53</v>
      </c>
    </row>
    <row r="39" spans="1:14" ht="21" thickBot="1" x14ac:dyDescent="0.35"/>
    <row r="40" spans="1:14" ht="30.75" customHeight="1" thickTop="1" thickBot="1" x14ac:dyDescent="0.35">
      <c r="B40" s="215" t="s">
        <v>28</v>
      </c>
      <c r="C40" s="216" t="s">
        <v>17</v>
      </c>
      <c r="D40" s="216"/>
      <c r="E40" s="216" t="s">
        <v>18</v>
      </c>
      <c r="F40" s="216"/>
      <c r="G40" s="216" t="s">
        <v>19</v>
      </c>
      <c r="H40" s="216"/>
      <c r="I40" s="216" t="s">
        <v>29</v>
      </c>
      <c r="J40" s="216"/>
      <c r="K40" s="217"/>
      <c r="L40" s="26"/>
      <c r="M40" s="26"/>
      <c r="N40" s="26"/>
    </row>
    <row r="41" spans="1:14" ht="30.75" customHeight="1" thickTop="1" thickBot="1" x14ac:dyDescent="0.35">
      <c r="B41" s="211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</row>
    <row r="42" spans="1:14" ht="21.75" thickTop="1" thickBot="1" x14ac:dyDescent="0.35">
      <c r="B42" s="211" t="s">
        <v>21</v>
      </c>
      <c r="C42" s="210">
        <f>'التعليم المسرع'!Y20</f>
        <v>61</v>
      </c>
      <c r="D42" s="210">
        <f>'التعليم المسرع'!Z20</f>
        <v>46</v>
      </c>
      <c r="E42" s="210">
        <f>'التعليم المسرع'!AP20</f>
        <v>8</v>
      </c>
      <c r="F42" s="210">
        <f>'التعليم المسرع'!AQ20</f>
        <v>17</v>
      </c>
      <c r="G42" s="210">
        <f>'التعليم المسرع'!BG20</f>
        <v>7</v>
      </c>
      <c r="H42" s="210">
        <f>'التعليم المسرع'!BH20</f>
        <v>16</v>
      </c>
      <c r="I42" s="210">
        <f>C42+E42+G42</f>
        <v>76</v>
      </c>
      <c r="J42" s="210">
        <f>D42+F42+H42</f>
        <v>79</v>
      </c>
      <c r="K42" s="213">
        <f>SUM(I42:J42)</f>
        <v>155</v>
      </c>
      <c r="L42" s="26"/>
      <c r="M42" s="26"/>
      <c r="N42" s="26"/>
    </row>
    <row r="43" spans="1:14" ht="21.75" thickTop="1" thickBot="1" x14ac:dyDescent="0.35">
      <c r="B43" s="211"/>
      <c r="C43" s="210"/>
      <c r="D43" s="210"/>
      <c r="E43" s="210"/>
      <c r="F43" s="210"/>
      <c r="G43" s="210"/>
      <c r="H43" s="210"/>
      <c r="I43" s="210"/>
      <c r="J43" s="210"/>
      <c r="K43" s="213"/>
      <c r="L43" s="26"/>
      <c r="M43" s="26"/>
      <c r="N43" s="26"/>
    </row>
    <row r="44" spans="1:14" ht="21.75" thickTop="1" thickBot="1" x14ac:dyDescent="0.35">
      <c r="B44" s="211" t="s">
        <v>22</v>
      </c>
      <c r="C44" s="210">
        <f>'التعليم المسرع'!AA20</f>
        <v>81</v>
      </c>
      <c r="D44" s="210">
        <f>'التعليم المسرع'!AB20</f>
        <v>30</v>
      </c>
      <c r="E44" s="210">
        <f>'التعليم المسرع'!AR20</f>
        <v>28</v>
      </c>
      <c r="F44" s="210">
        <f>'التعليم المسرع'!AS20</f>
        <v>28</v>
      </c>
      <c r="G44" s="210">
        <f>'التعليم المسرع'!BI20</f>
        <v>33</v>
      </c>
      <c r="H44" s="210">
        <f>'التعليم المسرع'!BJ20</f>
        <v>24</v>
      </c>
      <c r="I44" s="210">
        <f t="shared" ref="I44:J44" si="6">C44+E44+G44</f>
        <v>142</v>
      </c>
      <c r="J44" s="210">
        <f t="shared" si="6"/>
        <v>82</v>
      </c>
      <c r="K44" s="213">
        <f t="shared" ref="K44" si="7">SUM(I44:J44)</f>
        <v>224</v>
      </c>
      <c r="L44" s="26"/>
      <c r="M44" s="26"/>
      <c r="N44" s="26"/>
    </row>
    <row r="45" spans="1:14" ht="21.75" thickTop="1" thickBot="1" x14ac:dyDescent="0.35">
      <c r="B45" s="211"/>
      <c r="C45" s="210"/>
      <c r="D45" s="210"/>
      <c r="E45" s="210"/>
      <c r="F45" s="210"/>
      <c r="G45" s="210"/>
      <c r="H45" s="210"/>
      <c r="I45" s="210"/>
      <c r="J45" s="210"/>
      <c r="K45" s="213"/>
      <c r="L45" s="26"/>
      <c r="M45" s="26"/>
      <c r="N45" s="26"/>
    </row>
    <row r="46" spans="1:14" ht="21.75" thickTop="1" thickBot="1" x14ac:dyDescent="0.35">
      <c r="B46" s="211" t="s">
        <v>23</v>
      </c>
      <c r="C46" s="210">
        <f>'التعليم المسرع'!AC20</f>
        <v>90</v>
      </c>
      <c r="D46" s="210">
        <f>'التعليم المسرع'!AD20</f>
        <v>35</v>
      </c>
      <c r="E46" s="210">
        <f>'التعليم المسرع'!AT20</f>
        <v>46</v>
      </c>
      <c r="F46" s="210">
        <f>'التعليم المسرع'!AU20</f>
        <v>44</v>
      </c>
      <c r="G46" s="210">
        <f>'التعليم المسرع'!BK20</f>
        <v>58</v>
      </c>
      <c r="H46" s="210">
        <f>'التعليم المسرع'!BL20</f>
        <v>39</v>
      </c>
      <c r="I46" s="210">
        <f t="shared" ref="I46:J46" si="8">C46+E46+G46</f>
        <v>194</v>
      </c>
      <c r="J46" s="210">
        <f t="shared" si="8"/>
        <v>118</v>
      </c>
      <c r="K46" s="213">
        <f t="shared" ref="K46" si="9">SUM(I46:J46)</f>
        <v>312</v>
      </c>
      <c r="L46" s="26"/>
      <c r="M46" s="26"/>
      <c r="N46" s="26"/>
    </row>
    <row r="47" spans="1:14" ht="21.75" thickTop="1" thickBot="1" x14ac:dyDescent="0.35">
      <c r="B47" s="211"/>
      <c r="C47" s="210"/>
      <c r="D47" s="210"/>
      <c r="E47" s="210"/>
      <c r="F47" s="210"/>
      <c r="G47" s="210"/>
      <c r="H47" s="210"/>
      <c r="I47" s="210"/>
      <c r="J47" s="210"/>
      <c r="K47" s="213"/>
      <c r="L47" s="26"/>
      <c r="M47" s="26"/>
      <c r="N47" s="26"/>
    </row>
    <row r="48" spans="1:14" ht="21.75" thickTop="1" thickBot="1" x14ac:dyDescent="0.35">
      <c r="B48" s="211" t="s">
        <v>24</v>
      </c>
      <c r="C48" s="210">
        <f>'التعليم المسرع'!AE20</f>
        <v>66</v>
      </c>
      <c r="D48" s="210">
        <f>'التعليم المسرع'!AF20</f>
        <v>18</v>
      </c>
      <c r="E48" s="210">
        <f>'التعليم المسرع'!AV20</f>
        <v>62</v>
      </c>
      <c r="F48" s="210">
        <f>'التعليم المسرع'!AW20</f>
        <v>35</v>
      </c>
      <c r="G48" s="210">
        <f>'التعليم المسرع'!BM20</f>
        <v>98</v>
      </c>
      <c r="H48" s="210">
        <f>'التعليم المسرع'!BN20</f>
        <v>43</v>
      </c>
      <c r="I48" s="210">
        <f t="shared" ref="I48:J48" si="10">C48+E48+G48</f>
        <v>226</v>
      </c>
      <c r="J48" s="210">
        <f t="shared" si="10"/>
        <v>96</v>
      </c>
      <c r="K48" s="213">
        <f t="shared" ref="K48" si="11">SUM(I48:J48)</f>
        <v>322</v>
      </c>
      <c r="L48" s="26"/>
      <c r="M48" s="26"/>
      <c r="N48" s="26"/>
    </row>
    <row r="49" spans="1:16" ht="21.75" thickTop="1" thickBot="1" x14ac:dyDescent="0.35">
      <c r="B49" s="211"/>
      <c r="C49" s="210"/>
      <c r="D49" s="210"/>
      <c r="E49" s="210"/>
      <c r="F49" s="210"/>
      <c r="G49" s="210"/>
      <c r="H49" s="210"/>
      <c r="I49" s="210"/>
      <c r="J49" s="210"/>
      <c r="K49" s="213"/>
      <c r="L49" s="26"/>
      <c r="M49" s="26"/>
      <c r="N49" s="26"/>
    </row>
    <row r="50" spans="1:16" ht="21.75" thickTop="1" thickBot="1" x14ac:dyDescent="0.35">
      <c r="B50" s="211" t="s">
        <v>25</v>
      </c>
      <c r="C50" s="210">
        <f>'التعليم المسرع'!AG20</f>
        <v>36</v>
      </c>
      <c r="D50" s="210">
        <f>'التعليم المسرع'!AH20</f>
        <v>20</v>
      </c>
      <c r="E50" s="210">
        <f>'التعليم المسرع'!AX20</f>
        <v>47</v>
      </c>
      <c r="F50" s="210">
        <f>'التعليم المسرع'!AY20</f>
        <v>44</v>
      </c>
      <c r="G50" s="210">
        <f>'التعليم المسرع'!BO20</f>
        <v>116</v>
      </c>
      <c r="H50" s="210">
        <f>'التعليم المسرع'!BP20</f>
        <v>60</v>
      </c>
      <c r="I50" s="210">
        <f t="shared" ref="I50:J50" si="12">C50+E50+G50</f>
        <v>199</v>
      </c>
      <c r="J50" s="210">
        <f t="shared" si="12"/>
        <v>124</v>
      </c>
      <c r="K50" s="213">
        <f t="shared" ref="K50" si="13">SUM(I50:J50)</f>
        <v>323</v>
      </c>
      <c r="L50" s="26"/>
      <c r="M50" s="26"/>
      <c r="N50" s="26"/>
    </row>
    <row r="51" spans="1:16" ht="21.75" thickTop="1" thickBot="1" x14ac:dyDescent="0.35">
      <c r="B51" s="211"/>
      <c r="C51" s="210"/>
      <c r="D51" s="210"/>
      <c r="E51" s="210"/>
      <c r="F51" s="210"/>
      <c r="G51" s="210"/>
      <c r="H51" s="210"/>
      <c r="I51" s="210"/>
      <c r="J51" s="210"/>
      <c r="K51" s="213"/>
      <c r="L51" s="26"/>
      <c r="M51" s="26"/>
      <c r="N51" s="26"/>
    </row>
    <row r="52" spans="1:16" ht="21.75" thickTop="1" thickBot="1" x14ac:dyDescent="0.35">
      <c r="B52" s="211" t="s">
        <v>26</v>
      </c>
      <c r="C52" s="210">
        <f>'التعليم المسرع'!AI20</f>
        <v>16</v>
      </c>
      <c r="D52" s="210">
        <f>'التعليم المسرع'!AJ20</f>
        <v>18</v>
      </c>
      <c r="E52" s="210">
        <f>'التعليم المسرع'!AZ20</f>
        <v>25</v>
      </c>
      <c r="F52" s="210">
        <f>'التعليم المسرع'!BA20</f>
        <v>37</v>
      </c>
      <c r="G52" s="210">
        <f>'التعليم المسرع'!BQ20</f>
        <v>64</v>
      </c>
      <c r="H52" s="210">
        <f>'التعليم المسرع'!BR20</f>
        <v>35</v>
      </c>
      <c r="I52" s="210">
        <f t="shared" ref="I52:J52" si="14">C52+E52+G52</f>
        <v>105</v>
      </c>
      <c r="J52" s="210">
        <f t="shared" si="14"/>
        <v>90</v>
      </c>
      <c r="K52" s="213">
        <f t="shared" ref="K52" si="15">SUM(I52:J52)</f>
        <v>195</v>
      </c>
      <c r="L52" s="26"/>
      <c r="M52" s="26"/>
      <c r="N52" s="26"/>
    </row>
    <row r="53" spans="1:16" ht="21.75" thickTop="1" thickBot="1" x14ac:dyDescent="0.35">
      <c r="B53" s="211"/>
      <c r="C53" s="210"/>
      <c r="D53" s="210"/>
      <c r="E53" s="210"/>
      <c r="F53" s="210"/>
      <c r="G53" s="210"/>
      <c r="H53" s="210"/>
      <c r="I53" s="210"/>
      <c r="J53" s="210"/>
      <c r="K53" s="213"/>
    </row>
    <row r="54" spans="1:16" ht="21.75" thickTop="1" thickBot="1" x14ac:dyDescent="0.35">
      <c r="B54" s="211" t="s">
        <v>27</v>
      </c>
      <c r="C54" s="210">
        <f>'التعليم المسرع'!AK20</f>
        <v>8</v>
      </c>
      <c r="D54" s="210">
        <f>'التعليم المسرع'!AL20</f>
        <v>14</v>
      </c>
      <c r="E54" s="210">
        <f>'التعليم المسرع'!BB20</f>
        <v>21</v>
      </c>
      <c r="F54" s="210">
        <f>'التعليم المسرع'!BC20</f>
        <v>27</v>
      </c>
      <c r="G54" s="210">
        <f>'التعليم المسرع'!BS20</f>
        <v>50</v>
      </c>
      <c r="H54" s="210">
        <f>'التعليم المسرع'!BT20</f>
        <v>49</v>
      </c>
      <c r="I54" s="210">
        <f t="shared" ref="I54:J54" si="16">C54+E54+G54</f>
        <v>79</v>
      </c>
      <c r="J54" s="210">
        <f t="shared" si="16"/>
        <v>90</v>
      </c>
      <c r="K54" s="213">
        <f t="shared" ref="K54" si="17">SUM(I54:J54)</f>
        <v>169</v>
      </c>
    </row>
    <row r="55" spans="1:16" ht="21.75" thickTop="1" thickBot="1" x14ac:dyDescent="0.35">
      <c r="B55" s="211"/>
      <c r="C55" s="210"/>
      <c r="D55" s="210"/>
      <c r="E55" s="210"/>
      <c r="F55" s="210"/>
      <c r="G55" s="210"/>
      <c r="H55" s="210"/>
      <c r="I55" s="210"/>
      <c r="J55" s="210"/>
      <c r="K55" s="213"/>
    </row>
    <row r="56" spans="1:16" ht="21.75" thickTop="1" thickBot="1" x14ac:dyDescent="0.35">
      <c r="B56" s="211" t="s">
        <v>15</v>
      </c>
      <c r="C56" s="210">
        <f t="shared" ref="C56:H56" si="18">C42+C44+C46+C48+C50+C52+C54</f>
        <v>358</v>
      </c>
      <c r="D56" s="210">
        <f t="shared" si="18"/>
        <v>181</v>
      </c>
      <c r="E56" s="210">
        <f t="shared" si="18"/>
        <v>237</v>
      </c>
      <c r="F56" s="210">
        <f t="shared" si="18"/>
        <v>232</v>
      </c>
      <c r="G56" s="210">
        <f t="shared" si="18"/>
        <v>426</v>
      </c>
      <c r="H56" s="210">
        <f t="shared" si="18"/>
        <v>266</v>
      </c>
      <c r="I56" s="210">
        <f>C56+E56+G56</f>
        <v>1021</v>
      </c>
      <c r="J56" s="210">
        <f t="shared" ref="J56" si="19">D56+F56+H56</f>
        <v>679</v>
      </c>
      <c r="K56" s="213">
        <f t="shared" ref="K56" si="20">SUM(I56:J56)</f>
        <v>1700</v>
      </c>
    </row>
    <row r="57" spans="1:16" ht="21.75" thickTop="1" thickBot="1" x14ac:dyDescent="0.35">
      <c r="B57" s="214"/>
      <c r="C57" s="212"/>
      <c r="D57" s="212"/>
      <c r="E57" s="212"/>
      <c r="F57" s="212"/>
      <c r="G57" s="212"/>
      <c r="H57" s="212"/>
      <c r="I57" s="212"/>
      <c r="J57" s="212"/>
      <c r="K57" s="229"/>
    </row>
    <row r="58" spans="1:16" ht="21" thickTop="1" x14ac:dyDescent="0.3"/>
    <row r="59" spans="1:16" ht="21" thickBot="1" x14ac:dyDescent="0.35">
      <c r="G59" s="26"/>
    </row>
    <row r="60" spans="1:16" ht="32.25" customHeight="1" thickTop="1" thickBot="1" x14ac:dyDescent="0.35">
      <c r="A60" s="215"/>
      <c r="B60" s="227" t="s">
        <v>277</v>
      </c>
      <c r="C60" s="227"/>
      <c r="D60" s="227"/>
      <c r="E60" s="227" t="s">
        <v>282</v>
      </c>
      <c r="F60" s="227"/>
      <c r="G60" s="227"/>
      <c r="H60" s="216" t="s">
        <v>283</v>
      </c>
      <c r="I60" s="216"/>
      <c r="J60" s="216"/>
      <c r="K60" s="216"/>
      <c r="L60" s="216"/>
      <c r="M60" s="216"/>
      <c r="N60" s="216" t="s">
        <v>15</v>
      </c>
      <c r="O60" s="216"/>
      <c r="P60" s="217"/>
    </row>
    <row r="61" spans="1:16" ht="31.5" customHeight="1" thickTop="1" thickBot="1" x14ac:dyDescent="0.35">
      <c r="A61" s="211"/>
      <c r="B61" s="228"/>
      <c r="C61" s="228"/>
      <c r="D61" s="228"/>
      <c r="E61" s="228"/>
      <c r="F61" s="228"/>
      <c r="G61" s="228"/>
      <c r="H61" s="210" t="s">
        <v>193</v>
      </c>
      <c r="I61" s="210"/>
      <c r="J61" s="210" t="s">
        <v>194</v>
      </c>
      <c r="K61" s="210"/>
      <c r="L61" s="210" t="s">
        <v>195</v>
      </c>
      <c r="M61" s="210"/>
      <c r="N61" s="210"/>
      <c r="O61" s="210"/>
      <c r="P61" s="213"/>
    </row>
    <row r="62" spans="1:16" ht="21.75" thickTop="1" thickBot="1" x14ac:dyDescent="0.35">
      <c r="A62" s="211"/>
      <c r="B62" s="210" t="s">
        <v>10</v>
      </c>
      <c r="C62" s="210" t="s">
        <v>11</v>
      </c>
      <c r="D62" s="210" t="s">
        <v>15</v>
      </c>
      <c r="E62" s="210" t="s">
        <v>10</v>
      </c>
      <c r="F62" s="210" t="s">
        <v>11</v>
      </c>
      <c r="G62" s="210" t="s">
        <v>15</v>
      </c>
      <c r="H62" s="210" t="s">
        <v>10</v>
      </c>
      <c r="I62" s="210" t="s">
        <v>11</v>
      </c>
      <c r="J62" s="210" t="s">
        <v>10</v>
      </c>
      <c r="K62" s="210" t="s">
        <v>11</v>
      </c>
      <c r="L62" s="210" t="s">
        <v>10</v>
      </c>
      <c r="M62" s="210" t="s">
        <v>11</v>
      </c>
      <c r="N62" s="210" t="s">
        <v>10</v>
      </c>
      <c r="O62" s="210" t="s">
        <v>11</v>
      </c>
      <c r="P62" s="213" t="s">
        <v>15</v>
      </c>
    </row>
    <row r="63" spans="1:16" ht="21.75" thickTop="1" thickBot="1" x14ac:dyDescent="0.35">
      <c r="A63" s="211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3"/>
    </row>
    <row r="64" spans="1:16" ht="21.75" thickTop="1" thickBot="1" x14ac:dyDescent="0.35">
      <c r="A64" s="211" t="s">
        <v>17</v>
      </c>
      <c r="B64" s="210">
        <f>'التعليم المسرع'!DB20</f>
        <v>40</v>
      </c>
      <c r="C64" s="210">
        <f>'التعليم المسرع'!DC20</f>
        <v>27</v>
      </c>
      <c r="D64" s="210">
        <f>C64+B64</f>
        <v>67</v>
      </c>
      <c r="E64" s="210">
        <f>'التعليم المسرع'!DK20</f>
        <v>97</v>
      </c>
      <c r="F64" s="210">
        <f>'التعليم المسرع'!DL20</f>
        <v>96</v>
      </c>
      <c r="G64" s="210">
        <f>F64+E64</f>
        <v>193</v>
      </c>
      <c r="H64" s="210">
        <f>'التعليم المسرع'!DT20</f>
        <v>70</v>
      </c>
      <c r="I64" s="210">
        <f>'التعليم المسرع'!DU20</f>
        <v>83</v>
      </c>
      <c r="J64" s="210">
        <f>'التعليم المسرع'!EC20</f>
        <v>0</v>
      </c>
      <c r="K64" s="210">
        <f>'التعليم المسرع'!ED20</f>
        <v>0</v>
      </c>
      <c r="L64" s="210">
        <f>'التعليم المسرع'!EL20</f>
        <v>0</v>
      </c>
      <c r="M64" s="210">
        <f>'التعليم المسرع'!EM20</f>
        <v>0</v>
      </c>
      <c r="N64" s="210">
        <f>L64+J64+H64</f>
        <v>70</v>
      </c>
      <c r="O64" s="210">
        <f>M64+K64+I64</f>
        <v>83</v>
      </c>
      <c r="P64" s="213">
        <f>O64+N64</f>
        <v>153</v>
      </c>
    </row>
    <row r="65" spans="1:16" ht="21.75" thickTop="1" thickBot="1" x14ac:dyDescent="0.35">
      <c r="A65" s="211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3"/>
    </row>
    <row r="66" spans="1:16" ht="21.75" thickTop="1" thickBot="1" x14ac:dyDescent="0.35">
      <c r="A66" s="211" t="s">
        <v>18</v>
      </c>
      <c r="B66" s="210">
        <f>'التعليم المسرع'!DD20</f>
        <v>13</v>
      </c>
      <c r="C66" s="210">
        <f>'التعليم المسرع'!DE20</f>
        <v>30</v>
      </c>
      <c r="D66" s="210">
        <f t="shared" ref="D66" si="21">C66+B66</f>
        <v>43</v>
      </c>
      <c r="E66" s="210">
        <f>'التعليم المسرع'!DM20</f>
        <v>125</v>
      </c>
      <c r="F66" s="210">
        <f>'التعليم المسرع'!DN20</f>
        <v>118</v>
      </c>
      <c r="G66" s="210">
        <f t="shared" ref="G66" si="22">F66+E66</f>
        <v>243</v>
      </c>
      <c r="H66" s="210">
        <f>'التعليم المسرع'!DV20</f>
        <v>28</v>
      </c>
      <c r="I66" s="210">
        <f>'التعليم المسرع'!DW20</f>
        <v>88</v>
      </c>
      <c r="J66" s="210">
        <f>'التعليم المسرع'!EE20</f>
        <v>0</v>
      </c>
      <c r="K66" s="210">
        <f>'التعليم المسرع'!EF20</f>
        <v>0</v>
      </c>
      <c r="L66" s="210">
        <f>'التعليم المسرع'!EN20</f>
        <v>0</v>
      </c>
      <c r="M66" s="210">
        <f>'التعليم المسرع'!EO20</f>
        <v>0</v>
      </c>
      <c r="N66" s="210">
        <f t="shared" ref="N66:O66" si="23">L66+J66+H66</f>
        <v>28</v>
      </c>
      <c r="O66" s="210">
        <f t="shared" si="23"/>
        <v>88</v>
      </c>
      <c r="P66" s="213">
        <f t="shared" ref="P66" si="24">O66+N66</f>
        <v>116</v>
      </c>
    </row>
    <row r="67" spans="1:16" ht="21.75" thickTop="1" thickBot="1" x14ac:dyDescent="0.35">
      <c r="A67" s="211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3"/>
    </row>
    <row r="68" spans="1:16" ht="21.75" thickTop="1" thickBot="1" x14ac:dyDescent="0.35">
      <c r="A68" s="211" t="s">
        <v>19</v>
      </c>
      <c r="B68" s="210">
        <f>'التعليم المسرع'!DF20</f>
        <v>42</v>
      </c>
      <c r="C68" s="210">
        <f>'التعليم المسرع'!DG20</f>
        <v>44</v>
      </c>
      <c r="D68" s="210">
        <f t="shared" ref="D68" si="25">C68+B68</f>
        <v>86</v>
      </c>
      <c r="E68" s="210">
        <f>'التعليم المسرع'!DO20</f>
        <v>231</v>
      </c>
      <c r="F68" s="210">
        <f>'التعليم المسرع'!DP20</f>
        <v>264</v>
      </c>
      <c r="G68" s="210">
        <f t="shared" ref="G68" si="26">F68+E68</f>
        <v>495</v>
      </c>
      <c r="H68" s="210">
        <f>'التعليم المسرع'!DX20</f>
        <v>101</v>
      </c>
      <c r="I68" s="210">
        <f>'التعليم المسرع'!DY20</f>
        <v>117</v>
      </c>
      <c r="J68" s="210">
        <f>'التعليم المسرع'!EG20</f>
        <v>0</v>
      </c>
      <c r="K68" s="210">
        <f>'التعليم المسرع'!EH20</f>
        <v>0</v>
      </c>
      <c r="L68" s="210">
        <f>'التعليم المسرع'!EP20</f>
        <v>0</v>
      </c>
      <c r="M68" s="210">
        <f>'التعليم المسرع'!EQ20</f>
        <v>0</v>
      </c>
      <c r="N68" s="210">
        <f t="shared" ref="N68:O68" si="27">L68+J68+H68</f>
        <v>101</v>
      </c>
      <c r="O68" s="210">
        <f t="shared" si="27"/>
        <v>117</v>
      </c>
      <c r="P68" s="213">
        <f t="shared" ref="P68" si="28">O68+N68</f>
        <v>218</v>
      </c>
    </row>
    <row r="69" spans="1:16" ht="21.75" thickTop="1" thickBot="1" x14ac:dyDescent="0.35">
      <c r="A69" s="214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29"/>
    </row>
    <row r="70" spans="1:16" ht="21" thickTop="1" x14ac:dyDescent="0.3"/>
  </sheetData>
  <mergeCells count="248">
    <mergeCell ref="A64:A65"/>
    <mergeCell ref="A66:A67"/>
    <mergeCell ref="A68:A69"/>
    <mergeCell ref="A60:A63"/>
    <mergeCell ref="B60:D61"/>
    <mergeCell ref="E60:G61"/>
    <mergeCell ref="H60:M60"/>
    <mergeCell ref="N60:P61"/>
    <mergeCell ref="H61:I61"/>
    <mergeCell ref="J61:K61"/>
    <mergeCell ref="L61:M61"/>
    <mergeCell ref="D62:D63"/>
    <mergeCell ref="G62:G63"/>
    <mergeCell ref="J62:J63"/>
    <mergeCell ref="K62:K63"/>
    <mergeCell ref="L62:L63"/>
    <mergeCell ref="M62:M63"/>
    <mergeCell ref="D64:D65"/>
    <mergeCell ref="D66:D67"/>
    <mergeCell ref="D68:D69"/>
    <mergeCell ref="G64:G65"/>
    <mergeCell ref="G66:G67"/>
    <mergeCell ref="G68:G69"/>
    <mergeCell ref="J64:J65"/>
    <mergeCell ref="P66:P67"/>
    <mergeCell ref="C64:C65"/>
    <mergeCell ref="C66:C67"/>
    <mergeCell ref="C68:C69"/>
    <mergeCell ref="N68:N69"/>
    <mergeCell ref="O68:O69"/>
    <mergeCell ref="P68:P69"/>
    <mergeCell ref="P62:P63"/>
    <mergeCell ref="N64:N65"/>
    <mergeCell ref="O64:O65"/>
    <mergeCell ref="P64:P65"/>
    <mergeCell ref="E64:E65"/>
    <mergeCell ref="F64:F65"/>
    <mergeCell ref="E66:E67"/>
    <mergeCell ref="F66:F67"/>
    <mergeCell ref="E68:E69"/>
    <mergeCell ref="F68:F69"/>
    <mergeCell ref="N66:N67"/>
    <mergeCell ref="O66:O67"/>
    <mergeCell ref="H64:H65"/>
    <mergeCell ref="I64:I65"/>
    <mergeCell ref="H66:H67"/>
    <mergeCell ref="I66:I67"/>
    <mergeCell ref="H68:H69"/>
    <mergeCell ref="B68:B69"/>
    <mergeCell ref="B62:B63"/>
    <mergeCell ref="C62:C63"/>
    <mergeCell ref="E62:E63"/>
    <mergeCell ref="F62:F63"/>
    <mergeCell ref="H62:H63"/>
    <mergeCell ref="I62:I63"/>
    <mergeCell ref="N62:N63"/>
    <mergeCell ref="O62:O63"/>
    <mergeCell ref="B66:B67"/>
    <mergeCell ref="I68:I69"/>
    <mergeCell ref="K64:K65"/>
    <mergeCell ref="L64:L65"/>
    <mergeCell ref="M64:M65"/>
    <mergeCell ref="J66:J67"/>
    <mergeCell ref="K66:K67"/>
    <mergeCell ref="L66:L67"/>
    <mergeCell ref="M66:M67"/>
    <mergeCell ref="J68:J69"/>
    <mergeCell ref="K68:K69"/>
    <mergeCell ref="L68:L69"/>
    <mergeCell ref="M68:M69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B18:B19"/>
    <mergeCell ref="C18:C19"/>
    <mergeCell ref="D18:D19"/>
    <mergeCell ref="E18:E19"/>
    <mergeCell ref="F18:G19"/>
    <mergeCell ref="B64:B65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24:G24"/>
    <mergeCell ref="A36:C36"/>
    <mergeCell ref="A37:D37"/>
    <mergeCell ref="B40:B41"/>
    <mergeCell ref="C40:D40"/>
    <mergeCell ref="E40:F40"/>
    <mergeCell ref="G40:H40"/>
    <mergeCell ref="I40:K40"/>
    <mergeCell ref="L37:N37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J16:N16"/>
    <mergeCell ref="J17:J18"/>
    <mergeCell ref="K17:K18"/>
    <mergeCell ref="L17:L18"/>
    <mergeCell ref="M17:M18"/>
    <mergeCell ref="N17:N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J19:J20"/>
    <mergeCell ref="K19:K20"/>
    <mergeCell ref="L19:L20"/>
    <mergeCell ref="M19:M20"/>
    <mergeCell ref="N19:N20"/>
    <mergeCell ref="J21:J22"/>
    <mergeCell ref="K21:K22"/>
    <mergeCell ref="L21:L22"/>
    <mergeCell ref="M21:M22"/>
    <mergeCell ref="N21:N22"/>
    <mergeCell ref="F27:F28"/>
    <mergeCell ref="G27:G28"/>
    <mergeCell ref="H27:H28"/>
    <mergeCell ref="J23:J24"/>
    <mergeCell ref="K23:K24"/>
    <mergeCell ref="L23:L24"/>
    <mergeCell ref="M23:M24"/>
    <mergeCell ref="N23:N24"/>
    <mergeCell ref="B26:K26"/>
    <mergeCell ref="I27:I28"/>
    <mergeCell ref="J27:K28"/>
    <mergeCell ref="B27:B28"/>
    <mergeCell ref="C27:C28"/>
    <mergeCell ref="D27:D28"/>
    <mergeCell ref="E27:E28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I29:I30"/>
    <mergeCell ref="J29:K30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B29:B30"/>
    <mergeCell ref="C29:C30"/>
    <mergeCell ref="D29:D30"/>
    <mergeCell ref="E29:E30"/>
    <mergeCell ref="F29:F30"/>
    <mergeCell ref="G29:G30"/>
    <mergeCell ref="H29:H30"/>
  </mergeCells>
  <printOptions horizontalCentered="1" verticalCentered="1"/>
  <pageMargins left="0.19685039370078741" right="0.27559055118110237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9"/>
  <sheetViews>
    <sheetView rightToLeft="1" view="pageBreakPreview" zoomScale="60" workbookViewId="0">
      <selection activeCell="L31" sqref="L31"/>
    </sheetView>
  </sheetViews>
  <sheetFormatPr defaultColWidth="9" defaultRowHeight="20.25" x14ac:dyDescent="0.3"/>
  <cols>
    <col min="1" max="1" width="14.625" style="9" customWidth="1"/>
    <col min="2" max="2" width="15.875" style="9" customWidth="1"/>
    <col min="3" max="3" width="10.75" style="9" customWidth="1"/>
    <col min="4" max="6" width="9" style="9"/>
    <col min="7" max="7" width="9.75" style="9" bestFit="1" customWidth="1"/>
    <col min="8" max="8" width="9" style="9"/>
    <col min="9" max="9" width="10.375" style="9" customWidth="1"/>
    <col min="10" max="10" width="11.37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  <c r="M2" s="202"/>
      <c r="N2" s="202"/>
      <c r="O2" s="202"/>
    </row>
    <row r="3" spans="1:15" x14ac:dyDescent="0.3">
      <c r="A3" s="202" t="s">
        <v>53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41</v>
      </c>
      <c r="C6" s="232"/>
      <c r="D6" s="231"/>
      <c r="F6" s="9" t="s">
        <v>2</v>
      </c>
      <c r="G6" s="230" t="s">
        <v>42</v>
      </c>
      <c r="H6" s="232"/>
      <c r="I6" s="231"/>
      <c r="K6" s="9" t="s">
        <v>0</v>
      </c>
      <c r="L6" s="230" t="s">
        <v>138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المسرع'!K24+'التعليم المسرع'!L24</f>
        <v>3</v>
      </c>
      <c r="C8" s="232"/>
      <c r="D8" s="231"/>
      <c r="F8" s="9" t="s">
        <v>3</v>
      </c>
      <c r="G8" s="230">
        <f>'التعليم المسرع'!Q24</f>
        <v>0</v>
      </c>
      <c r="H8" s="232"/>
      <c r="I8" s="231"/>
      <c r="K8" s="9" t="s">
        <v>4</v>
      </c>
      <c r="L8" s="230">
        <f>'التعليم المسرع'!R24</f>
        <v>3</v>
      </c>
      <c r="M8" s="232"/>
      <c r="N8" s="231"/>
    </row>
    <row r="9" spans="1:15" ht="21" thickTop="1" x14ac:dyDescent="0.3"/>
    <row r="10" spans="1:15" ht="21" thickBot="1" x14ac:dyDescent="0.35"/>
    <row r="11" spans="1:15" ht="21.75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28.5" customHeight="1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0" customHeight="1" thickTop="1" thickBot="1" x14ac:dyDescent="0.35">
      <c r="B13" s="16">
        <f>'التعليم المسرع'!K24</f>
        <v>2</v>
      </c>
      <c r="C13" s="17">
        <f>'التعليم المسرع'!L24</f>
        <v>1</v>
      </c>
      <c r="F13" s="18">
        <f>'التعليم المسرع'!H24</f>
        <v>2</v>
      </c>
      <c r="G13" s="19">
        <f>'التعليم المسرع'!I24</f>
        <v>1</v>
      </c>
      <c r="H13" s="20">
        <f>'التعليم المسرع'!J24</f>
        <v>0</v>
      </c>
      <c r="K13" s="16">
        <f>'التعليم المسرع'!FC24</f>
        <v>16</v>
      </c>
      <c r="L13" s="21">
        <f>'التعليم المسرع'!FD24</f>
        <v>6</v>
      </c>
      <c r="M13" s="17">
        <f>SUM(K13:L13)</f>
        <v>22</v>
      </c>
    </row>
    <row r="14" spans="1:15" ht="21" thickTop="1" x14ac:dyDescent="0.3"/>
    <row r="15" spans="1:15" ht="21" thickBot="1" x14ac:dyDescent="0.35"/>
    <row r="16" spans="1:15" ht="29.25" customHeight="1" thickTop="1" thickBot="1" x14ac:dyDescent="0.35">
      <c r="B16" s="186" t="s">
        <v>20</v>
      </c>
      <c r="C16" s="190"/>
      <c r="D16" s="190"/>
      <c r="E16" s="190"/>
      <c r="F16" s="190"/>
      <c r="G16" s="187"/>
      <c r="J16" s="186" t="s">
        <v>30</v>
      </c>
      <c r="K16" s="190"/>
      <c r="L16" s="190"/>
      <c r="M16" s="190"/>
      <c r="N16" s="187"/>
    </row>
    <row r="17" spans="2:14" ht="21.75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J17" s="215" t="s">
        <v>31</v>
      </c>
      <c r="K17" s="216" t="s">
        <v>44</v>
      </c>
      <c r="L17" s="216" t="s">
        <v>45</v>
      </c>
      <c r="M17" s="216" t="s">
        <v>46</v>
      </c>
      <c r="N17" s="217" t="s">
        <v>47</v>
      </c>
    </row>
    <row r="18" spans="2:14" ht="21.75" thickTop="1" thickBot="1" x14ac:dyDescent="0.35">
      <c r="B18" s="191" t="s">
        <v>17</v>
      </c>
      <c r="C18" s="191">
        <f>'التعليم المسرع'!CO24</f>
        <v>2</v>
      </c>
      <c r="D18" s="191">
        <f>'التعليم المسرع'!CP24</f>
        <v>1</v>
      </c>
      <c r="E18" s="191">
        <f>'التعليم المسرع'!CQ24</f>
        <v>0</v>
      </c>
      <c r="F18" s="193">
        <f>C18+D18+E18</f>
        <v>3</v>
      </c>
      <c r="G18" s="194"/>
      <c r="J18" s="211"/>
      <c r="K18" s="210"/>
      <c r="L18" s="210"/>
      <c r="M18" s="210"/>
      <c r="N18" s="213"/>
    </row>
    <row r="19" spans="2:14" ht="21.75" thickTop="1" thickBot="1" x14ac:dyDescent="0.35">
      <c r="B19" s="192"/>
      <c r="C19" s="192"/>
      <c r="D19" s="192"/>
      <c r="E19" s="192"/>
      <c r="F19" s="195"/>
      <c r="G19" s="196"/>
      <c r="J19" s="211" t="s">
        <v>13</v>
      </c>
      <c r="K19" s="210">
        <f>'التعليم المسرع'!EU24</f>
        <v>2</v>
      </c>
      <c r="L19" s="210">
        <f>'التعليم المسرع'!EW24</f>
        <v>0</v>
      </c>
      <c r="M19" s="210">
        <f>'التعليم المسرع'!EY24</f>
        <v>14</v>
      </c>
      <c r="N19" s="213">
        <f>SUM(K19:M19)</f>
        <v>16</v>
      </c>
    </row>
    <row r="20" spans="2:14" ht="21.75" thickTop="1" thickBot="1" x14ac:dyDescent="0.35">
      <c r="B20" s="191" t="s">
        <v>18</v>
      </c>
      <c r="C20" s="191">
        <f>'التعليم المسرع'!CR24</f>
        <v>2</v>
      </c>
      <c r="D20" s="191">
        <f>'التعليم المسرع'!CS24</f>
        <v>1</v>
      </c>
      <c r="E20" s="191">
        <f>'التعليم المسرع'!CT24</f>
        <v>0</v>
      </c>
      <c r="F20" s="193">
        <f t="shared" ref="F20" si="0">C20+D20+E20</f>
        <v>3</v>
      </c>
      <c r="G20" s="194"/>
      <c r="J20" s="211"/>
      <c r="K20" s="210"/>
      <c r="L20" s="210"/>
      <c r="M20" s="210"/>
      <c r="N20" s="213"/>
    </row>
    <row r="21" spans="2:14" ht="21.75" thickTop="1" thickBot="1" x14ac:dyDescent="0.35">
      <c r="B21" s="192"/>
      <c r="C21" s="192"/>
      <c r="D21" s="192"/>
      <c r="E21" s="192"/>
      <c r="F21" s="195"/>
      <c r="G21" s="196"/>
      <c r="J21" s="211" t="s">
        <v>14</v>
      </c>
      <c r="K21" s="210">
        <f>'التعليم المسرع'!EV24</f>
        <v>1</v>
      </c>
      <c r="L21" s="210">
        <f>'التعليم المسرع'!EX24</f>
        <v>0</v>
      </c>
      <c r="M21" s="210">
        <f>'التعليم المسرع'!EZ24</f>
        <v>5</v>
      </c>
      <c r="N21" s="213">
        <f>SUM(K21:M21)</f>
        <v>6</v>
      </c>
    </row>
    <row r="22" spans="2:14" ht="21.75" thickTop="1" thickBot="1" x14ac:dyDescent="0.35">
      <c r="B22" s="191" t="s">
        <v>19</v>
      </c>
      <c r="C22" s="191">
        <f>'التعليم المسرع'!CU24</f>
        <v>2</v>
      </c>
      <c r="D22" s="191">
        <f>'التعليم المسرع'!CV24</f>
        <v>1</v>
      </c>
      <c r="E22" s="191">
        <f>'التعليم المسرع'!CW24</f>
        <v>0</v>
      </c>
      <c r="F22" s="193">
        <f t="shared" ref="F22" si="1">C22+D22+E22</f>
        <v>3</v>
      </c>
      <c r="G22" s="194"/>
      <c r="J22" s="211"/>
      <c r="K22" s="210"/>
      <c r="L22" s="210"/>
      <c r="M22" s="210"/>
      <c r="N22" s="213"/>
    </row>
    <row r="23" spans="2:14" ht="21.75" thickTop="1" thickBot="1" x14ac:dyDescent="0.35">
      <c r="B23" s="192"/>
      <c r="C23" s="192"/>
      <c r="D23" s="192"/>
      <c r="E23" s="192"/>
      <c r="F23" s="195"/>
      <c r="G23" s="196"/>
      <c r="J23" s="211" t="s">
        <v>15</v>
      </c>
      <c r="K23" s="210">
        <f>K19+K21</f>
        <v>3</v>
      </c>
      <c r="L23" s="210">
        <f>L19+L21</f>
        <v>0</v>
      </c>
      <c r="M23" s="210">
        <f t="shared" ref="M23:N23" si="2">M19+M21</f>
        <v>19</v>
      </c>
      <c r="N23" s="213">
        <f t="shared" si="2"/>
        <v>22</v>
      </c>
    </row>
    <row r="24" spans="2:14" ht="27.75" customHeight="1" thickTop="1" thickBot="1" x14ac:dyDescent="0.35">
      <c r="B24" s="24" t="s">
        <v>15</v>
      </c>
      <c r="C24" s="25">
        <f>SUM(C18:C23)</f>
        <v>6</v>
      </c>
      <c r="D24" s="25">
        <f>SUM(D18:D23)</f>
        <v>3</v>
      </c>
      <c r="E24" s="25">
        <f>SUM(E18:E23)</f>
        <v>0</v>
      </c>
      <c r="F24" s="206">
        <f>C24+D24+E24</f>
        <v>9</v>
      </c>
      <c r="G24" s="187"/>
      <c r="J24" s="214"/>
      <c r="K24" s="212"/>
      <c r="L24" s="212"/>
      <c r="M24" s="212"/>
      <c r="N24" s="229"/>
    </row>
    <row r="25" spans="2:14" ht="21.75" thickTop="1" thickBot="1" x14ac:dyDescent="0.35"/>
    <row r="26" spans="2:14" ht="29.25" customHeight="1" thickTop="1" thickBot="1" x14ac:dyDescent="0.3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26"/>
      <c r="M26" s="26"/>
    </row>
    <row r="27" spans="2:14" ht="33.75" customHeight="1" thickTop="1" x14ac:dyDescent="0.3">
      <c r="B27" s="248" t="s">
        <v>40</v>
      </c>
      <c r="C27" s="248" t="s">
        <v>32</v>
      </c>
      <c r="D27" s="248" t="s">
        <v>33</v>
      </c>
      <c r="E27" s="248" t="s">
        <v>34</v>
      </c>
      <c r="F27" s="246" t="s">
        <v>35</v>
      </c>
      <c r="G27" s="248" t="s">
        <v>36</v>
      </c>
      <c r="H27" s="248" t="s">
        <v>37</v>
      </c>
      <c r="I27" s="248" t="s">
        <v>38</v>
      </c>
      <c r="J27" s="235" t="s">
        <v>15</v>
      </c>
      <c r="K27" s="237"/>
      <c r="L27" s="26"/>
      <c r="M27" s="26"/>
    </row>
    <row r="28" spans="2:14" ht="62.25" customHeight="1" thickBot="1" x14ac:dyDescent="0.35">
      <c r="B28" s="208"/>
      <c r="C28" s="208"/>
      <c r="D28" s="208"/>
      <c r="E28" s="208"/>
      <c r="F28" s="247"/>
      <c r="G28" s="208"/>
      <c r="H28" s="208"/>
      <c r="I28" s="208"/>
      <c r="J28" s="222"/>
      <c r="K28" s="223"/>
      <c r="L28" s="26"/>
      <c r="M28" s="26"/>
    </row>
    <row r="29" spans="2:14" ht="21" thickTop="1" x14ac:dyDescent="0.3">
      <c r="B29" s="191" t="s">
        <v>13</v>
      </c>
      <c r="C29" s="224">
        <f>'التعليم المسرع'!FZ24</f>
        <v>0</v>
      </c>
      <c r="D29" s="224">
        <f>'التعليم المسرع'!FX24</f>
        <v>0</v>
      </c>
      <c r="E29" s="224">
        <f>'التعليم المسرع'!GD24</f>
        <v>0</v>
      </c>
      <c r="F29" s="224">
        <f>'التعليم المسرع'!GB24</f>
        <v>8</v>
      </c>
      <c r="G29" s="224">
        <f>'التعليم المسرع'!GH24</f>
        <v>5</v>
      </c>
      <c r="H29" s="224">
        <f>'التعليم المسرع'!GJ24</f>
        <v>2</v>
      </c>
      <c r="I29" s="224">
        <f>'التعليم المسرع'!GL24+'التعليم المسرع'!GF24</f>
        <v>1</v>
      </c>
      <c r="J29" s="220">
        <f>I29+H29+G29+F29+E29+D29+C29</f>
        <v>16</v>
      </c>
      <c r="K29" s="221"/>
      <c r="L29" s="26"/>
      <c r="M29" s="26"/>
    </row>
    <row r="30" spans="2:14" ht="21" thickBot="1" x14ac:dyDescent="0.35">
      <c r="B30" s="192"/>
      <c r="C30" s="218"/>
      <c r="D30" s="218"/>
      <c r="E30" s="218"/>
      <c r="F30" s="218"/>
      <c r="G30" s="218"/>
      <c r="H30" s="218"/>
      <c r="I30" s="218"/>
      <c r="J30" s="222"/>
      <c r="K30" s="223"/>
      <c r="L30" s="26"/>
      <c r="M30" s="26"/>
    </row>
    <row r="31" spans="2:14" ht="21" thickTop="1" x14ac:dyDescent="0.3">
      <c r="B31" s="191" t="s">
        <v>14</v>
      </c>
      <c r="C31" s="224">
        <f>'التعليم المسرع'!GA24</f>
        <v>0</v>
      </c>
      <c r="D31" s="224">
        <f>'التعليم المسرع'!FY24</f>
        <v>0</v>
      </c>
      <c r="E31" s="224">
        <f>'التعليم المسرع'!GE24</f>
        <v>0</v>
      </c>
      <c r="F31" s="224">
        <f>'التعليم المسرع'!GC24</f>
        <v>4</v>
      </c>
      <c r="G31" s="224">
        <f>'التعليم المسرع'!GI24</f>
        <v>1</v>
      </c>
      <c r="H31" s="224">
        <f>'التعليم المسرع'!GK24</f>
        <v>0</v>
      </c>
      <c r="I31" s="224">
        <f>'التعليم المسرع'!GM24+'التعليم المسرع'!GE24</f>
        <v>0</v>
      </c>
      <c r="J31" s="220">
        <f t="shared" ref="J31" si="3">I31+H31+G31+F31+E31+D31+C31</f>
        <v>5</v>
      </c>
      <c r="K31" s="221"/>
      <c r="L31" s="26"/>
      <c r="M31" s="26"/>
    </row>
    <row r="32" spans="2:14" ht="21" thickBot="1" x14ac:dyDescent="0.35">
      <c r="B32" s="192"/>
      <c r="C32" s="218"/>
      <c r="D32" s="218"/>
      <c r="E32" s="218"/>
      <c r="F32" s="218"/>
      <c r="G32" s="218"/>
      <c r="H32" s="218"/>
      <c r="I32" s="218"/>
      <c r="J32" s="222"/>
      <c r="K32" s="223"/>
      <c r="L32" s="26"/>
      <c r="M32" s="26"/>
    </row>
    <row r="33" spans="1:20" ht="21" thickTop="1" x14ac:dyDescent="0.3">
      <c r="B33" s="191" t="s">
        <v>15</v>
      </c>
      <c r="C33" s="224">
        <f>C29+C31</f>
        <v>0</v>
      </c>
      <c r="D33" s="224">
        <f t="shared" ref="D33:I33" si="4">D29+D31</f>
        <v>0</v>
      </c>
      <c r="E33" s="224">
        <f t="shared" si="4"/>
        <v>0</v>
      </c>
      <c r="F33" s="224">
        <f t="shared" si="4"/>
        <v>12</v>
      </c>
      <c r="G33" s="224">
        <f t="shared" si="4"/>
        <v>6</v>
      </c>
      <c r="H33" s="224">
        <f t="shared" si="4"/>
        <v>2</v>
      </c>
      <c r="I33" s="224">
        <f t="shared" si="4"/>
        <v>1</v>
      </c>
      <c r="J33" s="220">
        <f t="shared" ref="J33" si="5">I33+H33+G33+F33+E33+D33+C33</f>
        <v>21</v>
      </c>
      <c r="K33" s="221"/>
      <c r="L33" s="26"/>
      <c r="M33" s="26"/>
    </row>
    <row r="34" spans="1:20" ht="21" thickBot="1" x14ac:dyDescent="0.35">
      <c r="B34" s="218"/>
      <c r="C34" s="218"/>
      <c r="D34" s="218"/>
      <c r="E34" s="218"/>
      <c r="F34" s="218"/>
      <c r="G34" s="218"/>
      <c r="H34" s="218"/>
      <c r="I34" s="218"/>
      <c r="J34" s="222"/>
      <c r="K34" s="223"/>
      <c r="L34" s="26"/>
      <c r="M34" s="26"/>
    </row>
    <row r="35" spans="1:20" ht="21" thickTop="1" x14ac:dyDescent="0.3"/>
    <row r="36" spans="1:20" x14ac:dyDescent="0.3">
      <c r="A36" s="202" t="s">
        <v>55</v>
      </c>
      <c r="B36" s="202"/>
      <c r="C36" s="202"/>
    </row>
    <row r="37" spans="1:20" x14ac:dyDescent="0.3">
      <c r="A37" s="202" t="s">
        <v>56</v>
      </c>
      <c r="B37" s="202"/>
      <c r="C37" s="202"/>
      <c r="D37" s="202"/>
      <c r="M37" s="202" t="s">
        <v>170</v>
      </c>
      <c r="N37" s="202"/>
      <c r="O37" s="202"/>
    </row>
    <row r="38" spans="1:20" x14ac:dyDescent="0.3">
      <c r="D38" s="9" t="s">
        <v>53</v>
      </c>
    </row>
    <row r="39" spans="1:20" ht="21" thickBot="1" x14ac:dyDescent="0.35"/>
    <row r="40" spans="1:20" ht="29.25" customHeight="1" thickTop="1" thickBot="1" x14ac:dyDescent="0.35">
      <c r="B40" s="215" t="s">
        <v>28</v>
      </c>
      <c r="C40" s="216" t="s">
        <v>17</v>
      </c>
      <c r="D40" s="216"/>
      <c r="E40" s="216" t="s">
        <v>18</v>
      </c>
      <c r="F40" s="216"/>
      <c r="G40" s="216" t="s">
        <v>19</v>
      </c>
      <c r="H40" s="216"/>
      <c r="I40" s="216" t="s">
        <v>29</v>
      </c>
      <c r="J40" s="216"/>
      <c r="K40" s="217"/>
      <c r="L40" s="26"/>
      <c r="M40" s="26"/>
      <c r="N40" s="26"/>
    </row>
    <row r="41" spans="1:20" ht="29.25" customHeight="1" thickTop="1" thickBot="1" x14ac:dyDescent="0.35">
      <c r="B41" s="211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</row>
    <row r="42" spans="1:20" ht="21.75" thickTop="1" thickBot="1" x14ac:dyDescent="0.35">
      <c r="B42" s="211" t="s">
        <v>21</v>
      </c>
      <c r="C42" s="210">
        <f>'التعليم المسرع'!Y24</f>
        <v>5</v>
      </c>
      <c r="D42" s="210">
        <f>'التعليم المسرع'!Z24</f>
        <v>1</v>
      </c>
      <c r="E42" s="210">
        <f>'التعليم المسرع'!AP24</f>
        <v>1</v>
      </c>
      <c r="F42" s="210">
        <f>'التعليم المسرع'!AQ24</f>
        <v>0</v>
      </c>
      <c r="G42" s="210">
        <f>'التعليم المسرع'!BG24</f>
        <v>0</v>
      </c>
      <c r="H42" s="210">
        <f>'التعليم المسرع'!BH24</f>
        <v>0</v>
      </c>
      <c r="I42" s="210">
        <f>C42+E42+G42</f>
        <v>6</v>
      </c>
      <c r="J42" s="210">
        <f>D42+F42+H42</f>
        <v>1</v>
      </c>
      <c r="K42" s="213">
        <f>SUM(I42:J42)</f>
        <v>7</v>
      </c>
      <c r="L42" s="26"/>
      <c r="M42" s="26"/>
      <c r="N42" s="26"/>
    </row>
    <row r="43" spans="1:20" ht="21.75" thickTop="1" thickBot="1" x14ac:dyDescent="0.35">
      <c r="B43" s="211"/>
      <c r="C43" s="210"/>
      <c r="D43" s="210"/>
      <c r="E43" s="210"/>
      <c r="F43" s="210"/>
      <c r="G43" s="210"/>
      <c r="H43" s="210"/>
      <c r="I43" s="210"/>
      <c r="J43" s="210"/>
      <c r="K43" s="213"/>
      <c r="L43" s="26"/>
      <c r="M43" s="26"/>
      <c r="N43" s="26"/>
    </row>
    <row r="44" spans="1:20" ht="21.75" thickTop="1" thickBot="1" x14ac:dyDescent="0.35">
      <c r="B44" s="211" t="s">
        <v>22</v>
      </c>
      <c r="C44" s="210">
        <f>'التعليم المسرع'!AA24</f>
        <v>5</v>
      </c>
      <c r="D44" s="210">
        <f>'التعليم المسرع'!AB24</f>
        <v>1</v>
      </c>
      <c r="E44" s="210">
        <f>'التعليم المسرع'!AR24</f>
        <v>12</v>
      </c>
      <c r="F44" s="210">
        <f>'التعليم المسرع'!AS24</f>
        <v>0</v>
      </c>
      <c r="G44" s="210">
        <f>'التعليم المسرع'!BI24</f>
        <v>1</v>
      </c>
      <c r="H44" s="210">
        <f>'التعليم المسرع'!BJ24</f>
        <v>0</v>
      </c>
      <c r="I44" s="210">
        <f t="shared" ref="I44:J44" si="6">C44+E44+G44</f>
        <v>18</v>
      </c>
      <c r="J44" s="210">
        <f t="shared" si="6"/>
        <v>1</v>
      </c>
      <c r="K44" s="213">
        <f t="shared" ref="K44" si="7">SUM(I44:J44)</f>
        <v>19</v>
      </c>
      <c r="L44" s="26"/>
      <c r="M44" s="26"/>
      <c r="N44" s="26"/>
    </row>
    <row r="45" spans="1:20" ht="21.75" thickTop="1" thickBot="1" x14ac:dyDescent="0.35">
      <c r="B45" s="211"/>
      <c r="C45" s="210"/>
      <c r="D45" s="210"/>
      <c r="E45" s="210"/>
      <c r="F45" s="210"/>
      <c r="G45" s="210"/>
      <c r="H45" s="210"/>
      <c r="I45" s="210"/>
      <c r="J45" s="210"/>
      <c r="K45" s="213"/>
      <c r="L45" s="26"/>
      <c r="M45" s="26"/>
      <c r="N45" s="26"/>
    </row>
    <row r="46" spans="1:20" ht="21.75" thickTop="1" thickBot="1" x14ac:dyDescent="0.35">
      <c r="B46" s="211" t="s">
        <v>23</v>
      </c>
      <c r="C46" s="210">
        <f>'التعليم المسرع'!AC24</f>
        <v>4</v>
      </c>
      <c r="D46" s="210">
        <f>'التعليم المسرع'!AD24</f>
        <v>3</v>
      </c>
      <c r="E46" s="210">
        <f>'التعليم المسرع'!AT24</f>
        <v>11</v>
      </c>
      <c r="F46" s="210">
        <f>'التعليم المسرع'!AU24</f>
        <v>3</v>
      </c>
      <c r="G46" s="210">
        <f>'التعليم المسرع'!BK24</f>
        <v>10</v>
      </c>
      <c r="H46" s="210">
        <f>'التعليم المسرع'!BL24</f>
        <v>2</v>
      </c>
      <c r="I46" s="210">
        <f t="shared" ref="I46:J46" si="8">C46+E46+G46</f>
        <v>25</v>
      </c>
      <c r="J46" s="210">
        <f t="shared" si="8"/>
        <v>8</v>
      </c>
      <c r="K46" s="213">
        <f t="shared" ref="K46" si="9">SUM(I46:J46)</f>
        <v>33</v>
      </c>
      <c r="L46" s="26"/>
      <c r="M46" s="26"/>
      <c r="N46" s="26"/>
    </row>
    <row r="47" spans="1:20" ht="21.75" thickTop="1" thickBot="1" x14ac:dyDescent="0.35">
      <c r="B47" s="211"/>
      <c r="C47" s="210"/>
      <c r="D47" s="210"/>
      <c r="E47" s="210"/>
      <c r="F47" s="210"/>
      <c r="G47" s="210"/>
      <c r="H47" s="210"/>
      <c r="I47" s="210"/>
      <c r="J47" s="210"/>
      <c r="K47" s="213"/>
      <c r="L47" s="26"/>
      <c r="M47" s="26"/>
      <c r="N47" s="26"/>
    </row>
    <row r="48" spans="1:20" ht="21.75" thickTop="1" thickBot="1" x14ac:dyDescent="0.35">
      <c r="B48" s="211" t="s">
        <v>24</v>
      </c>
      <c r="C48" s="210">
        <f>'التعليم المسرع'!AE24</f>
        <v>4</v>
      </c>
      <c r="D48" s="210">
        <f>'التعليم المسرع'!AF24</f>
        <v>3</v>
      </c>
      <c r="E48" s="210">
        <f>'التعليم المسرع'!AV24</f>
        <v>13</v>
      </c>
      <c r="F48" s="210">
        <f>'التعليم المسرع'!AW24</f>
        <v>4</v>
      </c>
      <c r="G48" s="210">
        <f>'التعليم المسرع'!BM24</f>
        <v>9</v>
      </c>
      <c r="H48" s="210">
        <f>'التعليم المسرع'!BN24</f>
        <v>4</v>
      </c>
      <c r="I48" s="210">
        <f t="shared" ref="I48:J48" si="10">C48+E48+G48</f>
        <v>26</v>
      </c>
      <c r="J48" s="210">
        <f t="shared" si="10"/>
        <v>11</v>
      </c>
      <c r="K48" s="213">
        <f t="shared" ref="K48" si="11">SUM(I48:J48)</f>
        <v>37</v>
      </c>
      <c r="L48" s="26"/>
      <c r="M48" s="26"/>
      <c r="N48" s="26"/>
      <c r="P48" s="26"/>
      <c r="Q48" s="26"/>
      <c r="R48" s="26"/>
      <c r="S48" s="26"/>
      <c r="T48" s="26"/>
    </row>
    <row r="49" spans="1:20" ht="21.75" thickTop="1" thickBot="1" x14ac:dyDescent="0.35">
      <c r="B49" s="211"/>
      <c r="C49" s="210"/>
      <c r="D49" s="210"/>
      <c r="E49" s="210"/>
      <c r="F49" s="210"/>
      <c r="G49" s="210"/>
      <c r="H49" s="210"/>
      <c r="I49" s="210"/>
      <c r="J49" s="210"/>
      <c r="K49" s="213"/>
      <c r="L49" s="26"/>
      <c r="M49" s="26"/>
      <c r="N49" s="26"/>
      <c r="P49" s="26"/>
      <c r="Q49" s="26"/>
      <c r="R49" s="26"/>
      <c r="S49" s="26"/>
      <c r="T49" s="26"/>
    </row>
    <row r="50" spans="1:20" ht="21.75" thickTop="1" thickBot="1" x14ac:dyDescent="0.35">
      <c r="B50" s="211" t="s">
        <v>25</v>
      </c>
      <c r="C50" s="210">
        <f>'التعليم المسرع'!AG24</f>
        <v>3</v>
      </c>
      <c r="D50" s="210">
        <f>'التعليم المسرع'!AH24</f>
        <v>0</v>
      </c>
      <c r="E50" s="210">
        <f>'التعليم المسرع'!AX24</f>
        <v>10</v>
      </c>
      <c r="F50" s="210">
        <f>'التعليم المسرع'!AY24</f>
        <v>3</v>
      </c>
      <c r="G50" s="210">
        <f>'التعليم المسرع'!BO24</f>
        <v>13</v>
      </c>
      <c r="H50" s="210">
        <f>'التعليم المسرع'!BP24</f>
        <v>7</v>
      </c>
      <c r="I50" s="210">
        <f t="shared" ref="I50:J50" si="12">C50+E50+G50</f>
        <v>26</v>
      </c>
      <c r="J50" s="210">
        <f t="shared" si="12"/>
        <v>10</v>
      </c>
      <c r="K50" s="213">
        <f t="shared" ref="K50" si="13">SUM(I50:J50)</f>
        <v>36</v>
      </c>
      <c r="L50" s="26"/>
      <c r="M50" s="26"/>
      <c r="N50" s="26"/>
      <c r="P50" s="26"/>
      <c r="Q50" s="26"/>
      <c r="R50" s="26"/>
      <c r="S50" s="26"/>
      <c r="T50" s="26"/>
    </row>
    <row r="51" spans="1:20" ht="21.75" thickTop="1" thickBot="1" x14ac:dyDescent="0.35">
      <c r="B51" s="211"/>
      <c r="C51" s="210"/>
      <c r="D51" s="210"/>
      <c r="E51" s="210"/>
      <c r="F51" s="210"/>
      <c r="G51" s="210"/>
      <c r="H51" s="210"/>
      <c r="I51" s="210"/>
      <c r="J51" s="210"/>
      <c r="K51" s="213"/>
      <c r="L51" s="26"/>
      <c r="M51" s="26"/>
      <c r="N51" s="26"/>
      <c r="P51" s="26"/>
      <c r="Q51" s="26"/>
      <c r="R51" s="26"/>
      <c r="S51" s="26"/>
      <c r="T51" s="26"/>
    </row>
    <row r="52" spans="1:20" ht="21.75" thickTop="1" thickBot="1" x14ac:dyDescent="0.35">
      <c r="B52" s="211" t="s">
        <v>26</v>
      </c>
      <c r="C52" s="210">
        <f>'التعليم المسرع'!AI24</f>
        <v>3</v>
      </c>
      <c r="D52" s="210">
        <f>'التعليم المسرع'!AJ24</f>
        <v>2</v>
      </c>
      <c r="E52" s="210">
        <f>'التعليم المسرع'!AZ24</f>
        <v>4</v>
      </c>
      <c r="F52" s="210">
        <f>'التعليم المسرع'!BA24</f>
        <v>3</v>
      </c>
      <c r="G52" s="210">
        <f>'التعليم المسرع'!BQ24</f>
        <v>6</v>
      </c>
      <c r="H52" s="210">
        <f>'التعليم المسرع'!BR24</f>
        <v>4</v>
      </c>
      <c r="I52" s="210">
        <f t="shared" ref="I52:J52" si="14">C52+E52+G52</f>
        <v>13</v>
      </c>
      <c r="J52" s="210">
        <f t="shared" si="14"/>
        <v>9</v>
      </c>
      <c r="K52" s="213">
        <f t="shared" ref="K52" si="15">SUM(I52:J52)</f>
        <v>22</v>
      </c>
      <c r="L52" s="26"/>
      <c r="M52" s="26"/>
      <c r="N52" s="26"/>
      <c r="P52" s="26"/>
      <c r="Q52" s="26"/>
      <c r="R52" s="26"/>
      <c r="S52" s="26"/>
      <c r="T52" s="26"/>
    </row>
    <row r="53" spans="1:20" ht="21.75" thickTop="1" thickBot="1" x14ac:dyDescent="0.35">
      <c r="B53" s="211"/>
      <c r="C53" s="210"/>
      <c r="D53" s="210"/>
      <c r="E53" s="210"/>
      <c r="F53" s="210"/>
      <c r="G53" s="210"/>
      <c r="H53" s="210"/>
      <c r="I53" s="210"/>
      <c r="J53" s="210"/>
      <c r="K53" s="213"/>
      <c r="P53" s="26"/>
      <c r="Q53" s="26"/>
      <c r="R53" s="26"/>
      <c r="S53" s="26"/>
      <c r="T53" s="26"/>
    </row>
    <row r="54" spans="1:20" ht="21.75" thickTop="1" thickBot="1" x14ac:dyDescent="0.35">
      <c r="B54" s="211" t="s">
        <v>27</v>
      </c>
      <c r="C54" s="210">
        <f>'التعليم المسرع'!AK24</f>
        <v>0</v>
      </c>
      <c r="D54" s="210">
        <f>'التعليم المسرع'!AL24</f>
        <v>2</v>
      </c>
      <c r="E54" s="210">
        <f>'التعليم المسرع'!BB24</f>
        <v>3</v>
      </c>
      <c r="F54" s="210">
        <f>'التعليم المسرع'!BC24</f>
        <v>2</v>
      </c>
      <c r="G54" s="210">
        <f>'التعليم المسرع'!BS24</f>
        <v>24</v>
      </c>
      <c r="H54" s="210">
        <f>'التعليم المسرع'!BT24</f>
        <v>5</v>
      </c>
      <c r="I54" s="210">
        <f t="shared" ref="I54:J54" si="16">C54+E54+G54</f>
        <v>27</v>
      </c>
      <c r="J54" s="210">
        <f t="shared" si="16"/>
        <v>9</v>
      </c>
      <c r="K54" s="213">
        <f t="shared" ref="K54" si="17">SUM(I54:J54)</f>
        <v>36</v>
      </c>
      <c r="P54" s="26"/>
      <c r="Q54" s="26"/>
      <c r="R54" s="26"/>
      <c r="S54" s="26"/>
      <c r="T54" s="26"/>
    </row>
    <row r="55" spans="1:20" ht="21.75" thickTop="1" thickBot="1" x14ac:dyDescent="0.35">
      <c r="B55" s="211"/>
      <c r="C55" s="210"/>
      <c r="D55" s="210"/>
      <c r="E55" s="210"/>
      <c r="F55" s="210"/>
      <c r="G55" s="210"/>
      <c r="H55" s="210"/>
      <c r="I55" s="210"/>
      <c r="J55" s="210"/>
      <c r="K55" s="213"/>
      <c r="P55" s="26"/>
      <c r="Q55" s="26"/>
      <c r="R55" s="26"/>
      <c r="S55" s="26"/>
      <c r="T55" s="26"/>
    </row>
    <row r="56" spans="1:20" ht="21.75" thickTop="1" thickBot="1" x14ac:dyDescent="0.35">
      <c r="B56" s="211" t="s">
        <v>15</v>
      </c>
      <c r="C56" s="210">
        <f t="shared" ref="C56:H56" si="18">C42+C44+C46+C48+C50+C52+C54</f>
        <v>24</v>
      </c>
      <c r="D56" s="210">
        <f t="shared" si="18"/>
        <v>12</v>
      </c>
      <c r="E56" s="210">
        <f t="shared" si="18"/>
        <v>54</v>
      </c>
      <c r="F56" s="210">
        <f t="shared" si="18"/>
        <v>15</v>
      </c>
      <c r="G56" s="210">
        <f t="shared" si="18"/>
        <v>63</v>
      </c>
      <c r="H56" s="210">
        <f t="shared" si="18"/>
        <v>22</v>
      </c>
      <c r="I56" s="210">
        <f>C56+E56+G56</f>
        <v>141</v>
      </c>
      <c r="J56" s="210">
        <f t="shared" ref="J56" si="19">D56+F56+H56</f>
        <v>49</v>
      </c>
      <c r="K56" s="213">
        <f t="shared" ref="K56" si="20">SUM(I56:J56)</f>
        <v>190</v>
      </c>
      <c r="P56" s="26"/>
      <c r="Q56" s="26"/>
      <c r="R56" s="26"/>
      <c r="S56" s="26"/>
      <c r="T56" s="26"/>
    </row>
    <row r="57" spans="1:20" ht="21.75" thickTop="1" thickBot="1" x14ac:dyDescent="0.35">
      <c r="B57" s="214"/>
      <c r="C57" s="212"/>
      <c r="D57" s="212"/>
      <c r="E57" s="212"/>
      <c r="F57" s="212"/>
      <c r="G57" s="212"/>
      <c r="H57" s="212"/>
      <c r="I57" s="212"/>
      <c r="J57" s="212"/>
      <c r="K57" s="229"/>
      <c r="P57" s="26"/>
      <c r="Q57" s="26"/>
      <c r="R57" s="26"/>
      <c r="S57" s="26"/>
      <c r="T57" s="26"/>
    </row>
    <row r="58" spans="1:20" ht="21.75" thickTop="1" thickBot="1" x14ac:dyDescent="0.35">
      <c r="P58" s="26"/>
      <c r="Q58" s="26"/>
      <c r="R58" s="26"/>
      <c r="S58" s="26"/>
      <c r="T58" s="26"/>
    </row>
    <row r="59" spans="1:20" ht="30.75" customHeight="1" thickTop="1" thickBot="1" x14ac:dyDescent="0.35">
      <c r="A59" s="215"/>
      <c r="B59" s="227" t="s">
        <v>277</v>
      </c>
      <c r="C59" s="227"/>
      <c r="D59" s="227"/>
      <c r="E59" s="227" t="s">
        <v>282</v>
      </c>
      <c r="F59" s="227"/>
      <c r="G59" s="227"/>
      <c r="H59" s="216" t="s">
        <v>283</v>
      </c>
      <c r="I59" s="216"/>
      <c r="J59" s="216"/>
      <c r="K59" s="216"/>
      <c r="L59" s="216"/>
      <c r="M59" s="216"/>
      <c r="N59" s="216" t="s">
        <v>15</v>
      </c>
      <c r="O59" s="216"/>
      <c r="P59" s="217"/>
    </row>
    <row r="60" spans="1:20" ht="21.75" thickTop="1" thickBot="1" x14ac:dyDescent="0.35">
      <c r="A60" s="211"/>
      <c r="B60" s="228"/>
      <c r="C60" s="228"/>
      <c r="D60" s="228"/>
      <c r="E60" s="228"/>
      <c r="F60" s="228"/>
      <c r="G60" s="228"/>
      <c r="H60" s="210" t="s">
        <v>193</v>
      </c>
      <c r="I60" s="210"/>
      <c r="J60" s="210" t="s">
        <v>194</v>
      </c>
      <c r="K60" s="210"/>
      <c r="L60" s="210" t="s">
        <v>195</v>
      </c>
      <c r="M60" s="210"/>
      <c r="N60" s="210"/>
      <c r="O60" s="210"/>
      <c r="P60" s="213"/>
    </row>
    <row r="61" spans="1:20" ht="21.75" thickTop="1" thickBot="1" x14ac:dyDescent="0.35">
      <c r="A61" s="211"/>
      <c r="B61" s="210" t="s">
        <v>10</v>
      </c>
      <c r="C61" s="210" t="s">
        <v>11</v>
      </c>
      <c r="D61" s="210" t="s">
        <v>15</v>
      </c>
      <c r="E61" s="210" t="s">
        <v>10</v>
      </c>
      <c r="F61" s="210" t="s">
        <v>11</v>
      </c>
      <c r="G61" s="210" t="s">
        <v>15</v>
      </c>
      <c r="H61" s="210" t="s">
        <v>10</v>
      </c>
      <c r="I61" s="210" t="s">
        <v>11</v>
      </c>
      <c r="J61" s="210" t="s">
        <v>10</v>
      </c>
      <c r="K61" s="210" t="s">
        <v>11</v>
      </c>
      <c r="L61" s="210" t="s">
        <v>10</v>
      </c>
      <c r="M61" s="210" t="s">
        <v>11</v>
      </c>
      <c r="N61" s="210" t="s">
        <v>10</v>
      </c>
      <c r="O61" s="210" t="s">
        <v>11</v>
      </c>
      <c r="P61" s="213" t="s">
        <v>15</v>
      </c>
    </row>
    <row r="62" spans="1:20" ht="21.75" thickTop="1" thickBot="1" x14ac:dyDescent="0.35">
      <c r="A62" s="211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3"/>
    </row>
    <row r="63" spans="1:20" ht="21.75" thickTop="1" thickBot="1" x14ac:dyDescent="0.35">
      <c r="A63" s="211" t="s">
        <v>17</v>
      </c>
      <c r="B63" s="210">
        <f>'التعليم المسرع'!DB24</f>
        <v>0</v>
      </c>
      <c r="C63" s="210">
        <f>'التعليم المسرع'!DC24</f>
        <v>1</v>
      </c>
      <c r="D63" s="210">
        <f>C63+B63</f>
        <v>1</v>
      </c>
      <c r="E63" s="210">
        <f>'التعليم المسرع'!DK24</f>
        <v>38</v>
      </c>
      <c r="F63" s="210">
        <f>'التعليم المسرع'!DL24</f>
        <v>8</v>
      </c>
      <c r="G63" s="210">
        <f>F63+E63</f>
        <v>46</v>
      </c>
      <c r="H63" s="210">
        <f>'التعليم المسرع'!DT24</f>
        <v>13</v>
      </c>
      <c r="I63" s="210">
        <f>'التعليم المسرع'!DU24</f>
        <v>5</v>
      </c>
      <c r="J63" s="210">
        <f>'التعليم المسرع'!EC24</f>
        <v>0</v>
      </c>
      <c r="K63" s="210">
        <f>'التعليم المسرع'!ED24</f>
        <v>0</v>
      </c>
      <c r="L63" s="210">
        <f>'التعليم المسرع'!EL24</f>
        <v>0</v>
      </c>
      <c r="M63" s="210">
        <f>'التعليم المسرع'!EM24</f>
        <v>0</v>
      </c>
      <c r="N63" s="210">
        <f>L63+J63+H63</f>
        <v>13</v>
      </c>
      <c r="O63" s="210">
        <f>M63+K63+I63</f>
        <v>5</v>
      </c>
      <c r="P63" s="213">
        <f>O63+N63</f>
        <v>18</v>
      </c>
    </row>
    <row r="64" spans="1:20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18</v>
      </c>
      <c r="B65" s="210">
        <f>'التعليم المسرع'!DD24</f>
        <v>1</v>
      </c>
      <c r="C65" s="210">
        <f>'التعليم المسرع'!DE24</f>
        <v>1</v>
      </c>
      <c r="D65" s="210">
        <f t="shared" ref="D65" si="21">C65+B65</f>
        <v>2</v>
      </c>
      <c r="E65" s="210">
        <f>'التعليم المسرع'!DM24</f>
        <v>17</v>
      </c>
      <c r="F65" s="210">
        <f>'التعليم المسرع'!DN24</f>
        <v>11</v>
      </c>
      <c r="G65" s="210">
        <f t="shared" ref="G65" si="22">F65+E65</f>
        <v>28</v>
      </c>
      <c r="H65" s="210">
        <f>'التعليم المسرع'!DV24</f>
        <v>32</v>
      </c>
      <c r="I65" s="210">
        <f>'التعليم المسرع'!DW24</f>
        <v>4</v>
      </c>
      <c r="J65" s="210">
        <f>'التعليم المسرع'!EE24</f>
        <v>0</v>
      </c>
      <c r="K65" s="210">
        <f>'التعليم المسرع'!EF24</f>
        <v>0</v>
      </c>
      <c r="L65" s="210">
        <f>'التعليم المسرع'!EN24</f>
        <v>0</v>
      </c>
      <c r="M65" s="210">
        <f>'التعليم المسرع'!EO24</f>
        <v>0</v>
      </c>
      <c r="N65" s="210">
        <f t="shared" ref="N65" si="23">L65+J65+H65</f>
        <v>32</v>
      </c>
      <c r="O65" s="210">
        <f t="shared" ref="O65" si="24">M65+K65+I65</f>
        <v>4</v>
      </c>
      <c r="P65" s="213">
        <f t="shared" ref="P65" si="25">O65+N65</f>
        <v>36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19</v>
      </c>
      <c r="B67" s="210">
        <f>'التعليم المسرع'!DF24</f>
        <v>7</v>
      </c>
      <c r="C67" s="210">
        <f>'التعليم المسرع'!DG24</f>
        <v>4</v>
      </c>
      <c r="D67" s="210">
        <f t="shared" ref="D67" si="26">C67+B67</f>
        <v>11</v>
      </c>
      <c r="E67" s="210">
        <f>'التعليم المسرع'!DO24</f>
        <v>41</v>
      </c>
      <c r="F67" s="210">
        <f>'التعليم المسرع'!DP24</f>
        <v>23</v>
      </c>
      <c r="G67" s="210">
        <f t="shared" ref="G67" si="27">F67+E67</f>
        <v>64</v>
      </c>
      <c r="H67" s="210">
        <f>'التعليم المسرع'!DX24</f>
        <v>41</v>
      </c>
      <c r="I67" s="210">
        <f>'التعليم المسرع'!DY24</f>
        <v>11</v>
      </c>
      <c r="J67" s="210">
        <f>'التعليم المسرع'!EG24</f>
        <v>0</v>
      </c>
      <c r="K67" s="210">
        <f>'التعليم المسرع'!EH24</f>
        <v>0</v>
      </c>
      <c r="L67" s="210">
        <f>'التعليم المسرع'!EP24</f>
        <v>0</v>
      </c>
      <c r="M67" s="210">
        <f>'التعليم المسرع'!EQ24</f>
        <v>0</v>
      </c>
      <c r="N67" s="210">
        <f t="shared" ref="N67" si="28">L67+J67+H67</f>
        <v>41</v>
      </c>
      <c r="O67" s="210">
        <f t="shared" ref="O67" si="29">M67+K67+I67</f>
        <v>11</v>
      </c>
      <c r="P67" s="213">
        <f t="shared" ref="P67" si="30">O67+N67</f>
        <v>52</v>
      </c>
    </row>
    <row r="68" spans="1:16" ht="20.25" customHeight="1" thickTop="1" thickBot="1" x14ac:dyDescent="0.35">
      <c r="A68" s="214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29"/>
    </row>
    <row r="69" spans="1:16" ht="15.75" customHeight="1" thickTop="1" x14ac:dyDescent="0.3">
      <c r="B69" s="27"/>
      <c r="C69" s="27"/>
      <c r="D69" s="27"/>
      <c r="E69" s="27"/>
    </row>
  </sheetData>
  <mergeCells count="248">
    <mergeCell ref="A63:A64"/>
    <mergeCell ref="A65:A66"/>
    <mergeCell ref="A67:A68"/>
    <mergeCell ref="A59:A62"/>
    <mergeCell ref="B59:D60"/>
    <mergeCell ref="E59:G60"/>
    <mergeCell ref="H59:M59"/>
    <mergeCell ref="H60:I60"/>
    <mergeCell ref="J60:K60"/>
    <mergeCell ref="L60:M60"/>
    <mergeCell ref="L63:L64"/>
    <mergeCell ref="M63:M64"/>
    <mergeCell ref="L65:L66"/>
    <mergeCell ref="M65:M66"/>
    <mergeCell ref="L67:L68"/>
    <mergeCell ref="M67:M68"/>
    <mergeCell ref="D63:D64"/>
    <mergeCell ref="D65:D66"/>
    <mergeCell ref="D67:D68"/>
    <mergeCell ref="G61:G62"/>
    <mergeCell ref="G63:G64"/>
    <mergeCell ref="G65:G66"/>
    <mergeCell ref="G67:G68"/>
    <mergeCell ref="H63:H64"/>
    <mergeCell ref="H65:H66"/>
    <mergeCell ref="H67:H68"/>
    <mergeCell ref="P65:P66"/>
    <mergeCell ref="C63:C64"/>
    <mergeCell ref="C65:C66"/>
    <mergeCell ref="C67:C68"/>
    <mergeCell ref="N67:N68"/>
    <mergeCell ref="O67:O68"/>
    <mergeCell ref="P67:P68"/>
    <mergeCell ref="N63:N64"/>
    <mergeCell ref="O63:O64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I63:I64"/>
    <mergeCell ref="K67:K68"/>
    <mergeCell ref="J63:J64"/>
    <mergeCell ref="K63:K64"/>
    <mergeCell ref="N59:P60"/>
    <mergeCell ref="B61:B62"/>
    <mergeCell ref="C61:C62"/>
    <mergeCell ref="E61:E62"/>
    <mergeCell ref="F61:F62"/>
    <mergeCell ref="L61:L62"/>
    <mergeCell ref="M61:M62"/>
    <mergeCell ref="N61:N62"/>
    <mergeCell ref="O61:O62"/>
    <mergeCell ref="D61:D62"/>
    <mergeCell ref="I61:I62"/>
    <mergeCell ref="J61:J62"/>
    <mergeCell ref="K61:K62"/>
    <mergeCell ref="H61:H62"/>
    <mergeCell ref="P61:P62"/>
    <mergeCell ref="I65:I66"/>
    <mergeCell ref="J65:J66"/>
    <mergeCell ref="K65:K66"/>
    <mergeCell ref="I67:I68"/>
    <mergeCell ref="J67:J68"/>
    <mergeCell ref="B8:D8"/>
    <mergeCell ref="G8:I8"/>
    <mergeCell ref="B20:B21"/>
    <mergeCell ref="C20:C21"/>
    <mergeCell ref="D20:D21"/>
    <mergeCell ref="E20:E21"/>
    <mergeCell ref="F20:G21"/>
    <mergeCell ref="B65:B66"/>
    <mergeCell ref="B22:B23"/>
    <mergeCell ref="C22:C23"/>
    <mergeCell ref="D22:D23"/>
    <mergeCell ref="E22:E23"/>
    <mergeCell ref="F22:G23"/>
    <mergeCell ref="F46:F47"/>
    <mergeCell ref="B46:B47"/>
    <mergeCell ref="C46:C47"/>
    <mergeCell ref="D46:D47"/>
    <mergeCell ref="D50:D51"/>
    <mergeCell ref="E50:E51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B18:B19"/>
    <mergeCell ref="C18:C19"/>
    <mergeCell ref="D18:D19"/>
    <mergeCell ref="E18:E19"/>
    <mergeCell ref="F18:G19"/>
    <mergeCell ref="G42:G43"/>
    <mergeCell ref="B29:B30"/>
    <mergeCell ref="C29:C30"/>
    <mergeCell ref="D29:D30"/>
    <mergeCell ref="E29:E30"/>
    <mergeCell ref="F29:F30"/>
    <mergeCell ref="G29:G30"/>
    <mergeCell ref="H29:H30"/>
    <mergeCell ref="B31:B32"/>
    <mergeCell ref="E46:E47"/>
    <mergeCell ref="B67:B68"/>
    <mergeCell ref="F24:G24"/>
    <mergeCell ref="A36:C36"/>
    <mergeCell ref="A37:D37"/>
    <mergeCell ref="B40:B41"/>
    <mergeCell ref="C40:D40"/>
    <mergeCell ref="E40:F40"/>
    <mergeCell ref="G40:H40"/>
    <mergeCell ref="B50:B51"/>
    <mergeCell ref="C50:C51"/>
    <mergeCell ref="B63:B64"/>
    <mergeCell ref="H50:H51"/>
    <mergeCell ref="B56:B57"/>
    <mergeCell ref="C56:C57"/>
    <mergeCell ref="D56:D57"/>
    <mergeCell ref="E56:E57"/>
    <mergeCell ref="F56:F57"/>
    <mergeCell ref="G56:G57"/>
    <mergeCell ref="H56:H57"/>
    <mergeCell ref="H54:H55"/>
    <mergeCell ref="B33:B34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M37:O37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F42:F43"/>
    <mergeCell ref="I42:I43"/>
    <mergeCell ref="J42:J43"/>
    <mergeCell ref="H42:H43"/>
    <mergeCell ref="I40:K40"/>
    <mergeCell ref="K56:K57"/>
    <mergeCell ref="J16:N16"/>
    <mergeCell ref="J17:J18"/>
    <mergeCell ref="K17:K18"/>
    <mergeCell ref="L17:L18"/>
    <mergeCell ref="M17:M18"/>
    <mergeCell ref="N17:N18"/>
    <mergeCell ref="K54:K55"/>
    <mergeCell ref="L19:L20"/>
    <mergeCell ref="M19:M20"/>
    <mergeCell ref="N19:N20"/>
    <mergeCell ref="L21:L22"/>
    <mergeCell ref="M21:M22"/>
    <mergeCell ref="N21:N22"/>
    <mergeCell ref="L23:L24"/>
    <mergeCell ref="M23:M24"/>
    <mergeCell ref="N23:N24"/>
    <mergeCell ref="J46:J47"/>
    <mergeCell ref="J54:J55"/>
    <mergeCell ref="K50:K51"/>
    <mergeCell ref="J52:J53"/>
    <mergeCell ref="K52:K53"/>
    <mergeCell ref="J19:J20"/>
    <mergeCell ref="K19:K20"/>
    <mergeCell ref="I56:I57"/>
    <mergeCell ref="J56:J57"/>
    <mergeCell ref="J21:J22"/>
    <mergeCell ref="K21:K22"/>
    <mergeCell ref="F27:F28"/>
    <mergeCell ref="G27:G28"/>
    <mergeCell ref="H27:H28"/>
    <mergeCell ref="J23:J24"/>
    <mergeCell ref="K23:K24"/>
    <mergeCell ref="B26:K26"/>
    <mergeCell ref="I27:I28"/>
    <mergeCell ref="J27:K28"/>
    <mergeCell ref="B27:B28"/>
    <mergeCell ref="C27:C28"/>
    <mergeCell ref="D27:D28"/>
    <mergeCell ref="E27:E28"/>
    <mergeCell ref="I29:I30"/>
    <mergeCell ref="J29:K30"/>
    <mergeCell ref="B54:B55"/>
    <mergeCell ref="C54:C55"/>
    <mergeCell ref="D54:D55"/>
    <mergeCell ref="E54:E55"/>
    <mergeCell ref="F54:F55"/>
    <mergeCell ref="G54:G55"/>
    <mergeCell ref="I50:I51"/>
    <mergeCell ref="J50:J51"/>
    <mergeCell ref="G46:G47"/>
    <mergeCell ref="H46:H47"/>
    <mergeCell ref="I46:I47"/>
    <mergeCell ref="I54:I55"/>
    <mergeCell ref="B52:B53"/>
    <mergeCell ref="C52:C53"/>
    <mergeCell ref="D52:D53"/>
    <mergeCell ref="E52:E53"/>
    <mergeCell ref="F52:F53"/>
    <mergeCell ref="G52:G53"/>
    <mergeCell ref="H52:H53"/>
    <mergeCell ref="I52:I53"/>
    <mergeCell ref="F50:F51"/>
    <mergeCell ref="G50:G51"/>
    <mergeCell ref="I31:I32"/>
    <mergeCell ref="J31:K32"/>
    <mergeCell ref="C33:C34"/>
    <mergeCell ref="D33:D34"/>
    <mergeCell ref="E33:E34"/>
    <mergeCell ref="F33:F34"/>
    <mergeCell ref="G33:G34"/>
    <mergeCell ref="H33:H34"/>
    <mergeCell ref="I33:I34"/>
    <mergeCell ref="J33:K34"/>
    <mergeCell ref="C31:C32"/>
    <mergeCell ref="D31:D32"/>
    <mergeCell ref="E31:E32"/>
    <mergeCell ref="F31:F32"/>
    <mergeCell ref="G31:G32"/>
    <mergeCell ref="H31:H32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69"/>
  <sheetViews>
    <sheetView rightToLeft="1" view="pageBreakPreview" zoomScale="60" workbookViewId="0">
      <selection activeCell="I27" sqref="I27:I28"/>
    </sheetView>
  </sheetViews>
  <sheetFormatPr defaultColWidth="9" defaultRowHeight="20.25" x14ac:dyDescent="0.3"/>
  <cols>
    <col min="1" max="1" width="14.625" style="9" customWidth="1"/>
    <col min="2" max="2" width="13.375" style="9" customWidth="1"/>
    <col min="3" max="3" width="12.875" style="9" customWidth="1"/>
    <col min="4" max="4" width="10.75" style="9" customWidth="1"/>
    <col min="5" max="8" width="9" style="9"/>
    <col min="9" max="9" width="11.625" style="9" customWidth="1"/>
    <col min="10" max="10" width="13.2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173</v>
      </c>
      <c r="C6" s="232"/>
      <c r="D6" s="231"/>
      <c r="F6" s="9" t="s">
        <v>2</v>
      </c>
      <c r="G6" s="230" t="s">
        <v>42</v>
      </c>
      <c r="H6" s="232"/>
      <c r="I6" s="231"/>
      <c r="K6" s="9" t="s">
        <v>0</v>
      </c>
      <c r="L6" s="230" t="s">
        <v>219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المسرع'!K26+'التعليم المسرع'!L26</f>
        <v>1</v>
      </c>
      <c r="C8" s="232"/>
      <c r="D8" s="231"/>
      <c r="F8" s="9" t="s">
        <v>3</v>
      </c>
      <c r="G8" s="230">
        <f>'التعليم المسرع'!Q26</f>
        <v>0</v>
      </c>
      <c r="H8" s="232"/>
      <c r="I8" s="231"/>
      <c r="K8" s="9" t="s">
        <v>4</v>
      </c>
      <c r="L8" s="230">
        <f>'التعليم المسرع'!R26</f>
        <v>1</v>
      </c>
      <c r="M8" s="232"/>
      <c r="N8" s="231"/>
    </row>
    <row r="9" spans="1:15" ht="21" thickTop="1" x14ac:dyDescent="0.3"/>
    <row r="10" spans="1:15" ht="21" thickBot="1" x14ac:dyDescent="0.35"/>
    <row r="11" spans="1:15" ht="28.5" customHeight="1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30" customHeight="1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0" customHeight="1" thickTop="1" thickBot="1" x14ac:dyDescent="0.35">
      <c r="B13" s="16">
        <f>'التعليم المسرع'!K26</f>
        <v>1</v>
      </c>
      <c r="C13" s="17">
        <f>'التعليم المسرع'!L26</f>
        <v>0</v>
      </c>
      <c r="F13" s="18">
        <f>'التعليم المسرع'!H26</f>
        <v>1</v>
      </c>
      <c r="G13" s="19">
        <f>'التعليم المسرع'!I26</f>
        <v>0</v>
      </c>
      <c r="H13" s="20">
        <f>'التعليم المسرع'!J26</f>
        <v>0</v>
      </c>
      <c r="K13" s="16">
        <f>'التعليم المسرع'!FC26</f>
        <v>10</v>
      </c>
      <c r="L13" s="16">
        <f>'التعليم المسرع'!FD26</f>
        <v>0</v>
      </c>
      <c r="M13" s="17">
        <f>SUM(K13:L13)</f>
        <v>10</v>
      </c>
    </row>
    <row r="14" spans="1:15" ht="21" thickTop="1" x14ac:dyDescent="0.3"/>
    <row r="15" spans="1:15" ht="21" thickBot="1" x14ac:dyDescent="0.35"/>
    <row r="16" spans="1:15" s="32" customFormat="1" ht="33.75" customHeight="1" thickTop="1" thickBot="1" x14ac:dyDescent="0.25">
      <c r="B16" s="186" t="s">
        <v>20</v>
      </c>
      <c r="C16" s="190"/>
      <c r="D16" s="190"/>
      <c r="E16" s="190"/>
      <c r="F16" s="190"/>
      <c r="G16" s="187"/>
      <c r="I16" s="186" t="s">
        <v>30</v>
      </c>
      <c r="J16" s="190"/>
      <c r="K16" s="190"/>
      <c r="L16" s="190"/>
      <c r="M16" s="187"/>
    </row>
    <row r="17" spans="2:13" ht="27.75" customHeight="1" thickTop="1" thickBot="1" x14ac:dyDescent="0.35">
      <c r="B17" s="57" t="s">
        <v>16</v>
      </c>
      <c r="C17" s="58" t="s">
        <v>10</v>
      </c>
      <c r="D17" s="58" t="s">
        <v>11</v>
      </c>
      <c r="E17" s="58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المسرع'!CO26</f>
        <v>1</v>
      </c>
      <c r="D18" s="191">
        <f>'التعليم المسرع'!CP26</f>
        <v>0</v>
      </c>
      <c r="E18" s="191">
        <f>'التعليم المسرع'!CQ26</f>
        <v>0</v>
      </c>
      <c r="F18" s="193">
        <f>C18+D18+E18</f>
        <v>1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المسرع'!EU26</f>
        <v>1</v>
      </c>
      <c r="K19" s="210">
        <f>'التعليم المسرع'!EW26</f>
        <v>0</v>
      </c>
      <c r="L19" s="210">
        <f>'التعليم المسرع'!EY26</f>
        <v>9</v>
      </c>
      <c r="M19" s="213">
        <f>SUM(J19:L19)</f>
        <v>10</v>
      </c>
    </row>
    <row r="20" spans="2:13" ht="21.75" thickTop="1" thickBot="1" x14ac:dyDescent="0.35">
      <c r="B20" s="191" t="s">
        <v>18</v>
      </c>
      <c r="C20" s="191">
        <f>'التعليم المسرع'!CR26</f>
        <v>1</v>
      </c>
      <c r="D20" s="191">
        <f>'التعليم المسرع'!CS26</f>
        <v>0</v>
      </c>
      <c r="E20" s="191">
        <f>'التعليم المسرع'!CT26</f>
        <v>0</v>
      </c>
      <c r="F20" s="193">
        <f t="shared" ref="F20" si="0">C20+D20+E20</f>
        <v>1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المسرع'!EV26</f>
        <v>0</v>
      </c>
      <c r="K21" s="210">
        <f>'التعليم المسرع'!EX26</f>
        <v>0</v>
      </c>
      <c r="L21" s="210">
        <f>'التعليم المسرع'!EZ26</f>
        <v>0</v>
      </c>
      <c r="M21" s="213">
        <f>SUM(J21:L21)</f>
        <v>0</v>
      </c>
    </row>
    <row r="22" spans="2:13" ht="21.75" thickTop="1" thickBot="1" x14ac:dyDescent="0.35">
      <c r="B22" s="191" t="s">
        <v>19</v>
      </c>
      <c r="C22" s="191">
        <f>'التعليم المسرع'!CU26</f>
        <v>2</v>
      </c>
      <c r="D22" s="191">
        <f>'التعليم المسرع'!CV26</f>
        <v>0</v>
      </c>
      <c r="E22" s="191">
        <f>'التعليم المسرع'!CW26</f>
        <v>0</v>
      </c>
      <c r="F22" s="193">
        <f t="shared" ref="F22" si="1">C22+D22+E22</f>
        <v>2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1</v>
      </c>
      <c r="K23" s="210">
        <f t="shared" ref="K23:M23" si="2">K19+K21</f>
        <v>0</v>
      </c>
      <c r="L23" s="210">
        <f t="shared" si="2"/>
        <v>9</v>
      </c>
      <c r="M23" s="213">
        <f t="shared" si="2"/>
        <v>10</v>
      </c>
    </row>
    <row r="24" spans="2:13" ht="33.75" customHeight="1" thickTop="1" thickBot="1" x14ac:dyDescent="0.35">
      <c r="B24" s="55" t="s">
        <v>15</v>
      </c>
      <c r="C24" s="56">
        <f>SUM(C18:C23)</f>
        <v>4</v>
      </c>
      <c r="D24" s="56">
        <f>SUM(D18:D23)</f>
        <v>0</v>
      </c>
      <c r="E24" s="56">
        <f>SUM(E18:E23)</f>
        <v>0</v>
      </c>
      <c r="F24" s="206">
        <f>C24+D24+E24</f>
        <v>4</v>
      </c>
      <c r="G24" s="187"/>
      <c r="I24" s="214"/>
      <c r="J24" s="212"/>
      <c r="K24" s="212"/>
      <c r="L24" s="212"/>
      <c r="M24" s="229"/>
    </row>
    <row r="25" spans="2:13" ht="21.75" thickTop="1" thickBot="1" x14ac:dyDescent="0.35"/>
    <row r="26" spans="2:13" s="31" customFormat="1" ht="32.25" customHeight="1" thickTop="1" thickBot="1" x14ac:dyDescent="0.2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36"/>
      <c r="M26" s="36"/>
    </row>
    <row r="27" spans="2:13" ht="42" customHeight="1" thickTop="1" thickBot="1" x14ac:dyDescent="0.35">
      <c r="B27" s="233" t="s">
        <v>40</v>
      </c>
      <c r="C27" s="227" t="s">
        <v>32</v>
      </c>
      <c r="D27" s="227" t="s">
        <v>33</v>
      </c>
      <c r="E27" s="227" t="s">
        <v>34</v>
      </c>
      <c r="F27" s="244" t="s">
        <v>35</v>
      </c>
      <c r="G27" s="227" t="s">
        <v>36</v>
      </c>
      <c r="H27" s="227" t="s">
        <v>37</v>
      </c>
      <c r="I27" s="227" t="s">
        <v>38</v>
      </c>
      <c r="J27" s="216" t="s">
        <v>15</v>
      </c>
      <c r="K27" s="217"/>
      <c r="L27" s="26"/>
      <c r="M27" s="26"/>
    </row>
    <row r="28" spans="2:13" ht="57" customHeight="1" thickTop="1" thickBot="1" x14ac:dyDescent="0.35">
      <c r="B28" s="234"/>
      <c r="C28" s="228"/>
      <c r="D28" s="228"/>
      <c r="E28" s="228"/>
      <c r="F28" s="245"/>
      <c r="G28" s="228"/>
      <c r="H28" s="228"/>
      <c r="I28" s="228"/>
      <c r="J28" s="210"/>
      <c r="K28" s="213"/>
      <c r="L28" s="26"/>
      <c r="M28" s="26"/>
    </row>
    <row r="29" spans="2:13" ht="21.75" thickTop="1" thickBot="1" x14ac:dyDescent="0.35">
      <c r="B29" s="211" t="s">
        <v>13</v>
      </c>
      <c r="C29" s="210">
        <f>'التعليم المسرع'!FZ26</f>
        <v>0</v>
      </c>
      <c r="D29" s="210">
        <f>'التعليم المسرع'!FX26</f>
        <v>0</v>
      </c>
      <c r="E29" s="210">
        <f>'التعليم المسرع'!GF26</f>
        <v>0</v>
      </c>
      <c r="F29" s="210">
        <f>'التعليم المسرع'!GB26</f>
        <v>6</v>
      </c>
      <c r="G29" s="210">
        <f>'التعليم المسرع'!GH26</f>
        <v>4</v>
      </c>
      <c r="H29" s="210">
        <f>'التعليم المسرع'!GJ26</f>
        <v>0</v>
      </c>
      <c r="I29" s="210">
        <f>'التعليم المسرع'!GL26</f>
        <v>0</v>
      </c>
      <c r="J29" s="210">
        <f>I29+H29+G29+F29+E29+D29+C29</f>
        <v>10</v>
      </c>
      <c r="K29" s="213"/>
      <c r="L29" s="26"/>
      <c r="M29" s="26"/>
    </row>
    <row r="30" spans="2:13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</row>
    <row r="31" spans="2:13" ht="21.75" thickTop="1" thickBot="1" x14ac:dyDescent="0.35">
      <c r="B31" s="211" t="s">
        <v>14</v>
      </c>
      <c r="C31" s="210">
        <f>'التعليم المسرع'!GA26</f>
        <v>0</v>
      </c>
      <c r="D31" s="210">
        <f>'التعليم المسرع'!FY26</f>
        <v>0</v>
      </c>
      <c r="E31" s="210">
        <f>'التعليم المسرع'!GG26</f>
        <v>0</v>
      </c>
      <c r="F31" s="210">
        <f>'التعليم المسرع'!GC26</f>
        <v>0</v>
      </c>
      <c r="G31" s="210">
        <f>'التعليم المسرع'!GI26</f>
        <v>0</v>
      </c>
      <c r="H31" s="210">
        <f>'التعليم المسرع'!GK26</f>
        <v>0</v>
      </c>
      <c r="I31" s="210">
        <f>'التعليم المسرع'!GM26</f>
        <v>0</v>
      </c>
      <c r="J31" s="210">
        <f t="shared" ref="J31" si="3">I31+H31+G31+F31+E31+D31+C31</f>
        <v>0</v>
      </c>
      <c r="K31" s="213"/>
      <c r="L31" s="26"/>
      <c r="M31" s="26"/>
    </row>
    <row r="32" spans="2:13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14" ht="21.75" thickTop="1" thickBot="1" x14ac:dyDescent="0.35">
      <c r="B33" s="211" t="s">
        <v>15</v>
      </c>
      <c r="C33" s="210">
        <f>C29+C31</f>
        <v>0</v>
      </c>
      <c r="D33" s="210">
        <f t="shared" ref="D33:I33" si="4">D29+D31</f>
        <v>0</v>
      </c>
      <c r="E33" s="210">
        <f t="shared" si="4"/>
        <v>0</v>
      </c>
      <c r="F33" s="210">
        <f t="shared" si="4"/>
        <v>6</v>
      </c>
      <c r="G33" s="210">
        <f t="shared" si="4"/>
        <v>4</v>
      </c>
      <c r="H33" s="210">
        <f t="shared" si="4"/>
        <v>0</v>
      </c>
      <c r="I33" s="210">
        <f t="shared" si="4"/>
        <v>0</v>
      </c>
      <c r="J33" s="210">
        <f t="shared" ref="J33" si="5">I33+H33+G33+F33+E33+D33+C33</f>
        <v>10</v>
      </c>
      <c r="K33" s="213"/>
      <c r="L33" s="26"/>
      <c r="M33" s="26"/>
    </row>
    <row r="34" spans="1:14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</row>
    <row r="35" spans="1:14" ht="21" thickTop="1" x14ac:dyDescent="0.3"/>
    <row r="36" spans="1:14" ht="27.75" customHeight="1" x14ac:dyDescent="0.3">
      <c r="A36" s="202" t="s">
        <v>55</v>
      </c>
      <c r="B36" s="202"/>
      <c r="C36" s="202"/>
    </row>
    <row r="37" spans="1:14" ht="26.25" customHeight="1" x14ac:dyDescent="0.3">
      <c r="A37" s="202" t="s">
        <v>56</v>
      </c>
      <c r="B37" s="202"/>
      <c r="C37" s="202"/>
      <c r="D37" s="202"/>
      <c r="K37" s="9" t="s">
        <v>220</v>
      </c>
    </row>
    <row r="38" spans="1:14" ht="30" customHeight="1" x14ac:dyDescent="0.3">
      <c r="D38" s="9" t="s">
        <v>52</v>
      </c>
    </row>
    <row r="39" spans="1:14" ht="21" thickBot="1" x14ac:dyDescent="0.35"/>
    <row r="40" spans="1:14" ht="30.75" customHeight="1" thickTop="1" thickBot="1" x14ac:dyDescent="0.35">
      <c r="B40" s="224" t="s">
        <v>28</v>
      </c>
      <c r="C40" s="206" t="s">
        <v>17</v>
      </c>
      <c r="D40" s="250"/>
      <c r="E40" s="206" t="s">
        <v>18</v>
      </c>
      <c r="F40" s="250"/>
      <c r="G40" s="206" t="s">
        <v>19</v>
      </c>
      <c r="H40" s="250"/>
      <c r="I40" s="206" t="s">
        <v>29</v>
      </c>
      <c r="J40" s="190"/>
      <c r="K40" s="250"/>
      <c r="L40" s="26"/>
      <c r="M40" s="26"/>
      <c r="N40" s="26"/>
    </row>
    <row r="41" spans="1:14" ht="30.75" customHeight="1" thickTop="1" thickBot="1" x14ac:dyDescent="0.35">
      <c r="B41" s="218"/>
      <c r="C41" s="59" t="s">
        <v>10</v>
      </c>
      <c r="D41" s="59" t="s">
        <v>11</v>
      </c>
      <c r="E41" s="59" t="s">
        <v>10</v>
      </c>
      <c r="F41" s="59" t="s">
        <v>11</v>
      </c>
      <c r="G41" s="59" t="s">
        <v>10</v>
      </c>
      <c r="H41" s="59" t="s">
        <v>11</v>
      </c>
      <c r="I41" s="59" t="s">
        <v>10</v>
      </c>
      <c r="J41" s="59" t="s">
        <v>11</v>
      </c>
      <c r="K41" s="59" t="s">
        <v>15</v>
      </c>
      <c r="L41" s="26"/>
      <c r="M41" s="26"/>
      <c r="N41" s="26"/>
    </row>
    <row r="42" spans="1:14" ht="21" thickTop="1" x14ac:dyDescent="0.3">
      <c r="B42" s="224" t="s">
        <v>21</v>
      </c>
      <c r="C42" s="224">
        <f>'التعليم المسرع'!Y26</f>
        <v>5</v>
      </c>
      <c r="D42" s="224">
        <f>'التعليم المسرع'!Z26</f>
        <v>0</v>
      </c>
      <c r="E42" s="224">
        <f>'التعليم المسرع'!AP26</f>
        <v>0</v>
      </c>
      <c r="F42" s="224">
        <f>'التعليم المسرع'!AQ26</f>
        <v>0</v>
      </c>
      <c r="G42" s="224">
        <f>'التعليم المسرع'!BG26</f>
        <v>0</v>
      </c>
      <c r="H42" s="224">
        <f>'التعليم المسرع'!BH26</f>
        <v>0</v>
      </c>
      <c r="I42" s="224">
        <f>C42+E42+G42</f>
        <v>5</v>
      </c>
      <c r="J42" s="224">
        <f>D42+F42+H42</f>
        <v>0</v>
      </c>
      <c r="K42" s="224">
        <f>SUM(I42:J42)</f>
        <v>5</v>
      </c>
      <c r="L42" s="26"/>
      <c r="M42" s="26"/>
      <c r="N42" s="26"/>
    </row>
    <row r="43" spans="1:14" ht="21" thickBot="1" x14ac:dyDescent="0.35"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6"/>
      <c r="M43" s="26"/>
      <c r="N43" s="26"/>
    </row>
    <row r="44" spans="1:14" ht="21" thickTop="1" x14ac:dyDescent="0.3">
      <c r="B44" s="224" t="s">
        <v>22</v>
      </c>
      <c r="C44" s="224">
        <f>'التعليم المسرع'!AA26</f>
        <v>6</v>
      </c>
      <c r="D44" s="224">
        <f>'التعليم المسرع'!AB26</f>
        <v>0</v>
      </c>
      <c r="E44" s="249">
        <f>'التعليم المسرع'!AR26</f>
        <v>7</v>
      </c>
      <c r="F44" s="249">
        <f>'التعليم المسرع'!AS26</f>
        <v>0</v>
      </c>
      <c r="G44" s="224">
        <f>'التعليم المسرع'!BI26</f>
        <v>1</v>
      </c>
      <c r="H44" s="224">
        <f>'التعليم المسرع'!BJ26</f>
        <v>0</v>
      </c>
      <c r="I44" s="224">
        <f t="shared" ref="I44:J44" si="6">C44+E44+G44</f>
        <v>14</v>
      </c>
      <c r="J44" s="224">
        <f t="shared" si="6"/>
        <v>0</v>
      </c>
      <c r="K44" s="224">
        <f t="shared" ref="K44" si="7">SUM(I44:J44)</f>
        <v>14</v>
      </c>
      <c r="L44" s="26"/>
    </row>
    <row r="45" spans="1:14" ht="21" thickBot="1" x14ac:dyDescent="0.35">
      <c r="B45" s="218"/>
      <c r="C45" s="218"/>
      <c r="D45" s="218"/>
      <c r="E45" s="219"/>
      <c r="F45" s="219"/>
      <c r="G45" s="218"/>
      <c r="H45" s="218"/>
      <c r="I45" s="218"/>
      <c r="J45" s="218"/>
      <c r="K45" s="218"/>
      <c r="L45" s="26"/>
    </row>
    <row r="46" spans="1:14" ht="21" thickTop="1" x14ac:dyDescent="0.3">
      <c r="B46" s="224" t="s">
        <v>23</v>
      </c>
      <c r="C46" s="224">
        <f>'التعليم المسرع'!AC26</f>
        <v>6</v>
      </c>
      <c r="D46" s="224">
        <f>'التعليم المسرع'!AD26</f>
        <v>0</v>
      </c>
      <c r="E46" s="249">
        <f>'التعليم المسرع'!AT26</f>
        <v>5</v>
      </c>
      <c r="F46" s="249">
        <f>'التعليم المسرع'!AU26</f>
        <v>0</v>
      </c>
      <c r="G46" s="224">
        <f>'التعليم المسرع'!BK26</f>
        <v>11</v>
      </c>
      <c r="H46" s="224">
        <f>'التعليم المسرع'!BL26</f>
        <v>0</v>
      </c>
      <c r="I46" s="224">
        <f t="shared" ref="I46:J46" si="8">C46+E46+G46</f>
        <v>22</v>
      </c>
      <c r="J46" s="224">
        <f t="shared" si="8"/>
        <v>0</v>
      </c>
      <c r="K46" s="224">
        <f t="shared" ref="K46" si="9">SUM(I46:J46)</f>
        <v>22</v>
      </c>
      <c r="L46" s="26"/>
    </row>
    <row r="47" spans="1:14" ht="21" thickBot="1" x14ac:dyDescent="0.35">
      <c r="B47" s="218"/>
      <c r="C47" s="218"/>
      <c r="D47" s="218"/>
      <c r="E47" s="219"/>
      <c r="F47" s="219"/>
      <c r="G47" s="218"/>
      <c r="H47" s="218"/>
      <c r="I47" s="218"/>
      <c r="J47" s="218"/>
      <c r="K47" s="218"/>
      <c r="L47" s="26"/>
    </row>
    <row r="48" spans="1:14" ht="21" thickTop="1" x14ac:dyDescent="0.3">
      <c r="B48" s="224" t="s">
        <v>24</v>
      </c>
      <c r="C48" s="224">
        <f>'التعليم المسرع'!AE26</f>
        <v>4</v>
      </c>
      <c r="D48" s="224">
        <f>'التعليم المسرع'!AF26</f>
        <v>0</v>
      </c>
      <c r="E48" s="249">
        <f>'التعليم المسرع'!AV26</f>
        <v>5</v>
      </c>
      <c r="F48" s="249">
        <f>'التعليم المسرع'!AW26</f>
        <v>0</v>
      </c>
      <c r="G48" s="224">
        <f>'التعليم المسرع'!BM26</f>
        <v>12</v>
      </c>
      <c r="H48" s="224">
        <f>'التعليم المسرع'!BN26</f>
        <v>0</v>
      </c>
      <c r="I48" s="224">
        <f t="shared" ref="I48:J48" si="10">C48+E48+G48</f>
        <v>21</v>
      </c>
      <c r="J48" s="224">
        <f t="shared" si="10"/>
        <v>0</v>
      </c>
      <c r="K48" s="224">
        <f t="shared" ref="K48" si="11">SUM(I48:J48)</f>
        <v>21</v>
      </c>
      <c r="L48" s="26"/>
    </row>
    <row r="49" spans="1:16" ht="21" thickBot="1" x14ac:dyDescent="0.35">
      <c r="B49" s="218"/>
      <c r="C49" s="218"/>
      <c r="D49" s="218"/>
      <c r="E49" s="219"/>
      <c r="F49" s="219"/>
      <c r="G49" s="218"/>
      <c r="H49" s="218"/>
      <c r="I49" s="218"/>
      <c r="J49" s="218"/>
      <c r="K49" s="218"/>
      <c r="L49" s="26"/>
    </row>
    <row r="50" spans="1:16" ht="21" thickTop="1" x14ac:dyDescent="0.3">
      <c r="B50" s="224" t="s">
        <v>25</v>
      </c>
      <c r="C50" s="224">
        <f>'التعليم المسرع'!AG26</f>
        <v>0</v>
      </c>
      <c r="D50" s="224">
        <f>'التعليم المسرع'!AH26</f>
        <v>0</v>
      </c>
      <c r="E50" s="249">
        <f>'التعليم المسرع'!AX26</f>
        <v>0</v>
      </c>
      <c r="F50" s="249">
        <f>'التعليم المسرع'!AY26</f>
        <v>0</v>
      </c>
      <c r="G50" s="224">
        <f>'التعليم المسرع'!BO26</f>
        <v>23</v>
      </c>
      <c r="H50" s="224">
        <f>'التعليم المسرع'!BP26</f>
        <v>0</v>
      </c>
      <c r="I50" s="224">
        <f t="shared" ref="I50:J50" si="12">C50+E50+G50</f>
        <v>23</v>
      </c>
      <c r="J50" s="224">
        <f t="shared" si="12"/>
        <v>0</v>
      </c>
      <c r="K50" s="224">
        <f t="shared" ref="K50" si="13">SUM(I50:J50)</f>
        <v>23</v>
      </c>
      <c r="L50" s="26"/>
    </row>
    <row r="51" spans="1:16" ht="21" thickBot="1" x14ac:dyDescent="0.35">
      <c r="B51" s="218"/>
      <c r="C51" s="218"/>
      <c r="D51" s="218"/>
      <c r="E51" s="219"/>
      <c r="F51" s="219"/>
      <c r="G51" s="218"/>
      <c r="H51" s="218"/>
      <c r="I51" s="218"/>
      <c r="J51" s="218"/>
      <c r="K51" s="218"/>
      <c r="L51" s="26"/>
    </row>
    <row r="52" spans="1:16" ht="21" thickTop="1" x14ac:dyDescent="0.3">
      <c r="B52" s="224" t="s">
        <v>26</v>
      </c>
      <c r="C52" s="224">
        <f>'التعليم المسرع'!AI26</f>
        <v>1</v>
      </c>
      <c r="D52" s="224">
        <f>'التعليم المسرع'!AJ26</f>
        <v>0</v>
      </c>
      <c r="E52" s="224">
        <f>'التعليم المسرع'!AZ26</f>
        <v>1</v>
      </c>
      <c r="F52" s="224">
        <f>'التعليم المسرع'!BA26</f>
        <v>0</v>
      </c>
      <c r="G52" s="224">
        <f>'التعليم المسرع'!BQ26</f>
        <v>6</v>
      </c>
      <c r="H52" s="224">
        <f>'التعليم المسرع'!BR26</f>
        <v>0</v>
      </c>
      <c r="I52" s="224">
        <f t="shared" ref="I52:J52" si="14">C52+E52+G52</f>
        <v>8</v>
      </c>
      <c r="J52" s="224">
        <f t="shared" si="14"/>
        <v>0</v>
      </c>
      <c r="K52" s="224">
        <f t="shared" ref="K52" si="15">SUM(I52:J52)</f>
        <v>8</v>
      </c>
      <c r="L52" s="26"/>
    </row>
    <row r="53" spans="1:16" ht="21" thickBot="1" x14ac:dyDescent="0.35"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6" ht="21" thickTop="1" x14ac:dyDescent="0.3">
      <c r="B54" s="224" t="s">
        <v>27</v>
      </c>
      <c r="C54" s="224">
        <f>'التعليم المسرع'!AK26</f>
        <v>0</v>
      </c>
      <c r="D54" s="224">
        <f>'التعليم المسرع'!AL26</f>
        <v>0</v>
      </c>
      <c r="E54" s="224">
        <f>'التعليم المسرع'!BB26</f>
        <v>2</v>
      </c>
      <c r="F54" s="224">
        <f>'التعليم المسرع'!BC26</f>
        <v>0</v>
      </c>
      <c r="G54" s="224">
        <f>'التعليم المسرع'!BS26</f>
        <v>1</v>
      </c>
      <c r="H54" s="224">
        <f>'التعليم المسرع'!BT26</f>
        <v>0</v>
      </c>
      <c r="I54" s="224">
        <f t="shared" ref="I54:J54" si="16">C54+E54+G54</f>
        <v>3</v>
      </c>
      <c r="J54" s="224">
        <f t="shared" si="16"/>
        <v>0</v>
      </c>
      <c r="K54" s="224">
        <f t="shared" ref="K54" si="17">SUM(I54:J54)</f>
        <v>3</v>
      </c>
    </row>
    <row r="55" spans="1:16" ht="21" thickBot="1" x14ac:dyDescent="0.35">
      <c r="B55" s="218"/>
      <c r="C55" s="218"/>
      <c r="D55" s="218"/>
      <c r="E55" s="218"/>
      <c r="F55" s="218"/>
      <c r="G55" s="218"/>
      <c r="H55" s="218"/>
      <c r="I55" s="218"/>
      <c r="J55" s="218"/>
      <c r="K55" s="218"/>
    </row>
    <row r="56" spans="1:16" ht="21" thickTop="1" x14ac:dyDescent="0.3">
      <c r="B56" s="224" t="s">
        <v>15</v>
      </c>
      <c r="C56" s="224">
        <f t="shared" ref="C56:H56" si="18">C42+C44+C46+C48+C50+C52+C54</f>
        <v>22</v>
      </c>
      <c r="D56" s="224">
        <f t="shared" si="18"/>
        <v>0</v>
      </c>
      <c r="E56" s="224">
        <f t="shared" si="18"/>
        <v>20</v>
      </c>
      <c r="F56" s="224">
        <f t="shared" si="18"/>
        <v>0</v>
      </c>
      <c r="G56" s="224">
        <f t="shared" si="18"/>
        <v>54</v>
      </c>
      <c r="H56" s="224">
        <f t="shared" si="18"/>
        <v>0</v>
      </c>
      <c r="I56" s="224">
        <f>C56+E56+G56</f>
        <v>96</v>
      </c>
      <c r="J56" s="224">
        <f t="shared" ref="J56" si="19">D56+F56+H56</f>
        <v>0</v>
      </c>
      <c r="K56" s="224">
        <f t="shared" ref="K56" si="20">SUM(I56:J56)</f>
        <v>96</v>
      </c>
    </row>
    <row r="57" spans="1:16" ht="21" thickBot="1" x14ac:dyDescent="0.35">
      <c r="B57" s="218"/>
      <c r="C57" s="218"/>
      <c r="D57" s="218"/>
      <c r="E57" s="218"/>
      <c r="F57" s="218"/>
      <c r="G57" s="218"/>
      <c r="H57" s="218"/>
      <c r="I57" s="218"/>
      <c r="J57" s="218"/>
      <c r="K57" s="218"/>
    </row>
    <row r="58" spans="1:16" ht="21.75" thickTop="1" thickBot="1" x14ac:dyDescent="0.35"/>
    <row r="59" spans="1:16" ht="31.5" customHeight="1" thickTop="1" thickBot="1" x14ac:dyDescent="0.35">
      <c r="A59" s="215"/>
      <c r="B59" s="227" t="s">
        <v>277</v>
      </c>
      <c r="C59" s="227"/>
      <c r="D59" s="227"/>
      <c r="E59" s="227" t="s">
        <v>282</v>
      </c>
      <c r="F59" s="227"/>
      <c r="G59" s="227"/>
      <c r="H59" s="216" t="s">
        <v>283</v>
      </c>
      <c r="I59" s="216"/>
      <c r="J59" s="216"/>
      <c r="K59" s="216"/>
      <c r="L59" s="216"/>
      <c r="M59" s="216"/>
      <c r="N59" s="216" t="s">
        <v>15</v>
      </c>
      <c r="O59" s="216"/>
      <c r="P59" s="217"/>
    </row>
    <row r="60" spans="1:16" ht="34.5" customHeight="1" thickTop="1" thickBot="1" x14ac:dyDescent="0.35">
      <c r="A60" s="211"/>
      <c r="B60" s="228"/>
      <c r="C60" s="228"/>
      <c r="D60" s="228"/>
      <c r="E60" s="228"/>
      <c r="F60" s="228"/>
      <c r="G60" s="228"/>
      <c r="H60" s="210" t="s">
        <v>193</v>
      </c>
      <c r="I60" s="210"/>
      <c r="J60" s="210" t="s">
        <v>194</v>
      </c>
      <c r="K60" s="210"/>
      <c r="L60" s="210" t="s">
        <v>195</v>
      </c>
      <c r="M60" s="210"/>
      <c r="N60" s="210"/>
      <c r="O60" s="210"/>
      <c r="P60" s="213"/>
    </row>
    <row r="61" spans="1:16" ht="21.75" thickTop="1" thickBot="1" x14ac:dyDescent="0.35">
      <c r="A61" s="211"/>
      <c r="B61" s="210" t="s">
        <v>10</v>
      </c>
      <c r="C61" s="210" t="s">
        <v>11</v>
      </c>
      <c r="D61" s="210" t="s">
        <v>15</v>
      </c>
      <c r="E61" s="210" t="s">
        <v>10</v>
      </c>
      <c r="F61" s="210" t="s">
        <v>11</v>
      </c>
      <c r="G61" s="210" t="s">
        <v>15</v>
      </c>
      <c r="H61" s="210" t="s">
        <v>10</v>
      </c>
      <c r="I61" s="210" t="s">
        <v>11</v>
      </c>
      <c r="J61" s="210" t="s">
        <v>10</v>
      </c>
      <c r="K61" s="210" t="s">
        <v>11</v>
      </c>
      <c r="L61" s="210" t="s">
        <v>10</v>
      </c>
      <c r="M61" s="210" t="s">
        <v>11</v>
      </c>
      <c r="N61" s="210" t="s">
        <v>10</v>
      </c>
      <c r="O61" s="210" t="s">
        <v>11</v>
      </c>
      <c r="P61" s="213" t="s">
        <v>15</v>
      </c>
    </row>
    <row r="62" spans="1:16" ht="21.75" thickTop="1" thickBot="1" x14ac:dyDescent="0.35">
      <c r="A62" s="211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3"/>
    </row>
    <row r="63" spans="1:16" ht="21.75" thickTop="1" thickBot="1" x14ac:dyDescent="0.35">
      <c r="A63" s="211" t="s">
        <v>17</v>
      </c>
      <c r="B63" s="210">
        <f>'التعليم المسرع'!DB26</f>
        <v>0</v>
      </c>
      <c r="C63" s="210">
        <f>'التعليم المسرع'!DC26</f>
        <v>0</v>
      </c>
      <c r="D63" s="210">
        <f>C63+B63</f>
        <v>0</v>
      </c>
      <c r="E63" s="210">
        <f>'التعليم المسرع'!DK26</f>
        <v>17</v>
      </c>
      <c r="F63" s="210">
        <f>'التعليم المسرع'!DL26</f>
        <v>0</v>
      </c>
      <c r="G63" s="210">
        <f t="shared" ref="G63" si="21">F63+E63</f>
        <v>17</v>
      </c>
      <c r="H63" s="210">
        <f>'التعليم المسرع'!DT26</f>
        <v>10</v>
      </c>
      <c r="I63" s="210">
        <f>'التعليم المسرع'!DU26</f>
        <v>0</v>
      </c>
      <c r="J63" s="210">
        <f>'التعليم المسرع'!EC26</f>
        <v>0</v>
      </c>
      <c r="K63" s="210">
        <f>'التعليم المسرع'!ED26</f>
        <v>0</v>
      </c>
      <c r="L63" s="210">
        <f>'التعليم المسرع'!EL26</f>
        <v>0</v>
      </c>
      <c r="M63" s="210">
        <f>'التعليم المسرع'!EM26</f>
        <v>0</v>
      </c>
      <c r="N63" s="210">
        <f>L63+J63+H63</f>
        <v>10</v>
      </c>
      <c r="O63" s="210">
        <f>M63+K63+I63</f>
        <v>0</v>
      </c>
      <c r="P63" s="213">
        <f>O63+N63</f>
        <v>10</v>
      </c>
    </row>
    <row r="64" spans="1:16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18</v>
      </c>
      <c r="B65" s="210">
        <f>'التعليم المسرع'!DD26</f>
        <v>0</v>
      </c>
      <c r="C65" s="210">
        <f>'التعليم المسرع'!DE26</f>
        <v>0</v>
      </c>
      <c r="D65" s="210">
        <f t="shared" ref="D65" si="22">C65+B65</f>
        <v>0</v>
      </c>
      <c r="E65" s="210">
        <f>'التعليم المسرع'!DM26</f>
        <v>18</v>
      </c>
      <c r="F65" s="210">
        <f>'التعليم المسرع'!DN26</f>
        <v>0</v>
      </c>
      <c r="G65" s="210">
        <f t="shared" ref="G65" si="23">F65+E65</f>
        <v>18</v>
      </c>
      <c r="H65" s="210">
        <f>'التعليم المسرع'!DV26</f>
        <v>8</v>
      </c>
      <c r="I65" s="210">
        <f>'التعليم المسرع'!DW26</f>
        <v>0</v>
      </c>
      <c r="J65" s="210">
        <f>'التعليم المسرع'!EE26</f>
        <v>0</v>
      </c>
      <c r="K65" s="210">
        <f>'التعليم المسرع'!EF26</f>
        <v>0</v>
      </c>
      <c r="L65" s="210">
        <f>'التعليم المسرع'!EN26</f>
        <v>0</v>
      </c>
      <c r="M65" s="210">
        <f>'التعليم المسرع'!EO26</f>
        <v>0</v>
      </c>
      <c r="N65" s="210">
        <f t="shared" ref="N65:O65" si="24">L65+J65+H65</f>
        <v>8</v>
      </c>
      <c r="O65" s="210">
        <f t="shared" si="24"/>
        <v>0</v>
      </c>
      <c r="P65" s="213">
        <f t="shared" ref="P65" si="25">O65+N65</f>
        <v>8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19</v>
      </c>
      <c r="B67" s="210">
        <f>'التعليم المسرع'!DF26</f>
        <v>0</v>
      </c>
      <c r="C67" s="210">
        <f>'التعليم المسرع'!DG26</f>
        <v>0</v>
      </c>
      <c r="D67" s="210">
        <f t="shared" ref="D67" si="26">C67+B67</f>
        <v>0</v>
      </c>
      <c r="E67" s="210">
        <f>'التعليم المسرع'!DO26</f>
        <v>26</v>
      </c>
      <c r="F67" s="210">
        <f>'التعليم المسرع'!DP26</f>
        <v>0</v>
      </c>
      <c r="G67" s="210">
        <f t="shared" ref="G67" si="27">F67+E67</f>
        <v>26</v>
      </c>
      <c r="H67" s="210">
        <f>'التعليم المسرع'!DX26</f>
        <v>33</v>
      </c>
      <c r="I67" s="210">
        <f>'التعليم المسرع'!DY26</f>
        <v>0</v>
      </c>
      <c r="J67" s="210">
        <f>'التعليم المسرع'!EG26</f>
        <v>0</v>
      </c>
      <c r="K67" s="210">
        <f>'التعليم المسرع'!EH26</f>
        <v>0</v>
      </c>
      <c r="L67" s="210">
        <f>'التعليم المسرع'!EP26</f>
        <v>0</v>
      </c>
      <c r="M67" s="210">
        <f>'التعليم المسرع'!EQ26</f>
        <v>0</v>
      </c>
      <c r="N67" s="210">
        <f t="shared" ref="N67:O67" si="28">L67+J67+H67</f>
        <v>33</v>
      </c>
      <c r="O67" s="210">
        <f t="shared" si="28"/>
        <v>0</v>
      </c>
      <c r="P67" s="213">
        <f t="shared" ref="P67" si="29">O67+N67</f>
        <v>33</v>
      </c>
    </row>
    <row r="68" spans="1:16" ht="13.5" customHeight="1" thickTop="1" thickBot="1" x14ac:dyDescent="0.35">
      <c r="A68" s="214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29"/>
    </row>
    <row r="69" spans="1:16" ht="8.25" customHeight="1" thickTop="1" x14ac:dyDescent="0.3">
      <c r="B69" s="27"/>
      <c r="C69" s="27"/>
      <c r="D69" s="27"/>
      <c r="E69" s="27"/>
    </row>
  </sheetData>
  <mergeCells count="246"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I16:M16"/>
    <mergeCell ref="F17:G17"/>
    <mergeCell ref="I17:I18"/>
    <mergeCell ref="J17:J18"/>
    <mergeCell ref="K17:K18"/>
    <mergeCell ref="L17:L18"/>
    <mergeCell ref="M17:M18"/>
    <mergeCell ref="B18:B19"/>
    <mergeCell ref="C18:C19"/>
    <mergeCell ref="L19:L20"/>
    <mergeCell ref="M19:M20"/>
    <mergeCell ref="B20:B21"/>
    <mergeCell ref="C20:C21"/>
    <mergeCell ref="D20:D21"/>
    <mergeCell ref="E20:E21"/>
    <mergeCell ref="F20:G21"/>
    <mergeCell ref="I21:I22"/>
    <mergeCell ref="J21:J22"/>
    <mergeCell ref="K21:K22"/>
    <mergeCell ref="D18:D19"/>
    <mergeCell ref="E18:E19"/>
    <mergeCell ref="F18:G19"/>
    <mergeCell ref="I19:I20"/>
    <mergeCell ref="J19:J20"/>
    <mergeCell ref="K19:K20"/>
    <mergeCell ref="L21:L22"/>
    <mergeCell ref="M21:M22"/>
    <mergeCell ref="B22:B23"/>
    <mergeCell ref="C22:C23"/>
    <mergeCell ref="D22:D23"/>
    <mergeCell ref="E22:E23"/>
    <mergeCell ref="F22:G23"/>
    <mergeCell ref="I23:I24"/>
    <mergeCell ref="J23:J24"/>
    <mergeCell ref="K23:K24"/>
    <mergeCell ref="L23:L24"/>
    <mergeCell ref="M23:M24"/>
    <mergeCell ref="F24:G24"/>
    <mergeCell ref="J29:K30"/>
    <mergeCell ref="B26:K26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A36:C36"/>
    <mergeCell ref="B29:B30"/>
    <mergeCell ref="C29:C30"/>
    <mergeCell ref="D29:D30"/>
    <mergeCell ref="E29:E30"/>
    <mergeCell ref="F29:F30"/>
    <mergeCell ref="G29:G30"/>
    <mergeCell ref="H29:H30"/>
    <mergeCell ref="I29:I30"/>
    <mergeCell ref="A37:D37"/>
    <mergeCell ref="B40:B41"/>
    <mergeCell ref="C40:D40"/>
    <mergeCell ref="E40:F40"/>
    <mergeCell ref="G40:H40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I40:K40"/>
    <mergeCell ref="B31:B32"/>
    <mergeCell ref="C31:C32"/>
    <mergeCell ref="D31:D32"/>
    <mergeCell ref="E31:E32"/>
    <mergeCell ref="F31:F32"/>
    <mergeCell ref="G31:G32"/>
    <mergeCell ref="H31:H32"/>
    <mergeCell ref="I31:I32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N59:P60"/>
    <mergeCell ref="H60:I60"/>
    <mergeCell ref="J60:K60"/>
    <mergeCell ref="L60:M60"/>
    <mergeCell ref="B61:B62"/>
    <mergeCell ref="O61:O62"/>
    <mergeCell ref="P61:P62"/>
    <mergeCell ref="J61:J62"/>
    <mergeCell ref="K61:K62"/>
    <mergeCell ref="L61:L62"/>
    <mergeCell ref="M61:M62"/>
    <mergeCell ref="N61:N62"/>
    <mergeCell ref="I61:I62"/>
    <mergeCell ref="C61:C62"/>
    <mergeCell ref="D61:D62"/>
    <mergeCell ref="E61:E62"/>
    <mergeCell ref="F61:F62"/>
    <mergeCell ref="G61:G62"/>
    <mergeCell ref="H61:H62"/>
    <mergeCell ref="A59:A62"/>
    <mergeCell ref="B59:D60"/>
    <mergeCell ref="E59:G60"/>
    <mergeCell ref="H59:M59"/>
    <mergeCell ref="O63:O64"/>
    <mergeCell ref="P63:P64"/>
    <mergeCell ref="A65:A66"/>
    <mergeCell ref="B65:B66"/>
    <mergeCell ref="C65:C66"/>
    <mergeCell ref="D65:D66"/>
    <mergeCell ref="E65:E66"/>
    <mergeCell ref="F65:F66"/>
    <mergeCell ref="G65:G66"/>
    <mergeCell ref="H65:H66"/>
    <mergeCell ref="I63:I64"/>
    <mergeCell ref="J63:J64"/>
    <mergeCell ref="K63:K64"/>
    <mergeCell ref="L63:L64"/>
    <mergeCell ref="M63:M64"/>
    <mergeCell ref="N63:N64"/>
    <mergeCell ref="A63:A64"/>
    <mergeCell ref="B63:B64"/>
    <mergeCell ref="C63:C64"/>
    <mergeCell ref="D63:D64"/>
    <mergeCell ref="E63:E64"/>
    <mergeCell ref="F63:F64"/>
    <mergeCell ref="G63:G64"/>
    <mergeCell ref="H63:H64"/>
    <mergeCell ref="A67:A68"/>
    <mergeCell ref="B67:B68"/>
    <mergeCell ref="C67:C68"/>
    <mergeCell ref="D67:D68"/>
    <mergeCell ref="E67:E68"/>
    <mergeCell ref="F67:F68"/>
    <mergeCell ref="G67:G68"/>
    <mergeCell ref="H67:H68"/>
    <mergeCell ref="I65:I66"/>
    <mergeCell ref="O67:O68"/>
    <mergeCell ref="P67:P68"/>
    <mergeCell ref="I67:I68"/>
    <mergeCell ref="J67:J68"/>
    <mergeCell ref="K67:K68"/>
    <mergeCell ref="L67:L68"/>
    <mergeCell ref="M67:M68"/>
    <mergeCell ref="N67:N68"/>
    <mergeCell ref="O65:O66"/>
    <mergeCell ref="P65:P66"/>
    <mergeCell ref="J65:J66"/>
    <mergeCell ref="K65:K66"/>
    <mergeCell ref="L65:L66"/>
    <mergeCell ref="M65:M66"/>
    <mergeCell ref="N65:N66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0" orientation="landscape" horizontalDpi="300" verticalDpi="300" r:id="rId1"/>
  <rowBreaks count="1" manualBreakCount="1">
    <brk id="3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70"/>
  <sheetViews>
    <sheetView rightToLeft="1" view="pageBreakPreview" topLeftCell="A15" zoomScale="60" workbookViewId="0">
      <selection activeCell="O26" sqref="O26"/>
    </sheetView>
  </sheetViews>
  <sheetFormatPr defaultColWidth="9" defaultRowHeight="18" x14ac:dyDescent="0.25"/>
  <cols>
    <col min="1" max="1" width="14.625" style="1" customWidth="1"/>
    <col min="2" max="2" width="14.375" style="1" customWidth="1"/>
    <col min="3" max="3" width="17.75" style="1" customWidth="1"/>
    <col min="4" max="4" width="10.75" style="1" customWidth="1"/>
    <col min="5" max="8" width="9" style="1"/>
    <col min="9" max="10" width="11.625" style="1" customWidth="1"/>
    <col min="11" max="11" width="10.375" style="1" customWidth="1"/>
    <col min="12" max="16384" width="9" style="1"/>
  </cols>
  <sheetData>
    <row r="1" spans="1:16" x14ac:dyDescent="0.25">
      <c r="A1" s="257" t="s">
        <v>55</v>
      </c>
      <c r="B1" s="257"/>
      <c r="C1" s="257"/>
    </row>
    <row r="2" spans="1:16" x14ac:dyDescent="0.25">
      <c r="A2" s="257" t="s">
        <v>56</v>
      </c>
      <c r="B2" s="257"/>
      <c r="C2" s="257"/>
      <c r="D2" s="257"/>
    </row>
    <row r="3" spans="1:16" ht="27.75" customHeight="1" x14ac:dyDescent="0.3">
      <c r="A3" s="202" t="s">
        <v>54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</row>
    <row r="4" spans="1:16" x14ac:dyDescent="0.25">
      <c r="E4" s="1" t="s">
        <v>276</v>
      </c>
    </row>
    <row r="5" spans="1:16" ht="18.75" thickBot="1" x14ac:dyDescent="0.3"/>
    <row r="6" spans="1:16" ht="19.5" thickTop="1" thickBot="1" x14ac:dyDescent="0.3">
      <c r="A6" s="1" t="s">
        <v>1</v>
      </c>
      <c r="B6" s="251" t="s">
        <v>41</v>
      </c>
      <c r="C6" s="260"/>
      <c r="D6" s="252"/>
      <c r="F6" s="1" t="s">
        <v>2</v>
      </c>
      <c r="G6" s="251" t="s">
        <v>48</v>
      </c>
      <c r="H6" s="260"/>
      <c r="I6" s="252"/>
      <c r="K6" s="1" t="s">
        <v>0</v>
      </c>
      <c r="L6" s="251" t="s">
        <v>50</v>
      </c>
      <c r="M6" s="260"/>
      <c r="N6" s="252"/>
    </row>
    <row r="7" spans="1:16" ht="19.5" thickTop="1" thickBot="1" x14ac:dyDescent="0.3"/>
    <row r="8" spans="1:16" ht="19.5" thickTop="1" thickBot="1" x14ac:dyDescent="0.3">
      <c r="A8" s="1" t="s">
        <v>43</v>
      </c>
      <c r="B8" s="251">
        <f>'التعليم المسرع'!H38+'التعليم المسرع'!I38+'التعليم المسرع'!J38</f>
        <v>7</v>
      </c>
      <c r="C8" s="260"/>
      <c r="D8" s="252"/>
      <c r="F8" s="1" t="s">
        <v>3</v>
      </c>
      <c r="G8" s="251">
        <f>'التعليم المسرع'!Q38</f>
        <v>0</v>
      </c>
      <c r="H8" s="260"/>
      <c r="I8" s="252"/>
      <c r="K8" s="1" t="s">
        <v>4</v>
      </c>
      <c r="L8" s="251">
        <f>'التعليم المسرع'!R38</f>
        <v>7</v>
      </c>
      <c r="M8" s="260"/>
      <c r="N8" s="252"/>
    </row>
    <row r="9" spans="1:16" ht="18.75" thickTop="1" x14ac:dyDescent="0.25"/>
    <row r="10" spans="1:16" ht="18.75" thickBot="1" x14ac:dyDescent="0.3"/>
    <row r="11" spans="1:16" ht="19.5" thickTop="1" thickBot="1" x14ac:dyDescent="0.3">
      <c r="B11" s="251" t="s">
        <v>5</v>
      </c>
      <c r="C11" s="252"/>
      <c r="F11" s="251" t="s">
        <v>6</v>
      </c>
      <c r="G11" s="260"/>
      <c r="H11" s="252"/>
      <c r="K11" s="251" t="s">
        <v>7</v>
      </c>
      <c r="L11" s="260"/>
      <c r="M11" s="252"/>
    </row>
    <row r="12" spans="1:16" ht="29.25" customHeight="1" thickTop="1" thickBot="1" x14ac:dyDescent="0.3">
      <c r="B12" s="2" t="s">
        <v>8</v>
      </c>
      <c r="C12" s="3" t="s">
        <v>9</v>
      </c>
      <c r="F12" s="4" t="s">
        <v>10</v>
      </c>
      <c r="G12" s="5" t="s">
        <v>11</v>
      </c>
      <c r="H12" s="6" t="s">
        <v>12</v>
      </c>
      <c r="K12" s="2" t="s">
        <v>13</v>
      </c>
      <c r="L12" s="7" t="s">
        <v>14</v>
      </c>
      <c r="M12" s="3" t="s">
        <v>15</v>
      </c>
    </row>
    <row r="13" spans="1:16" ht="31.5" customHeight="1" thickTop="1" thickBot="1" x14ac:dyDescent="0.35">
      <c r="B13" s="16">
        <f>'التعليم المسرع'!K38</f>
        <v>7</v>
      </c>
      <c r="C13" s="17">
        <f>'التعليم المسرع'!L38</f>
        <v>0</v>
      </c>
      <c r="D13" s="9"/>
      <c r="E13" s="9"/>
      <c r="F13" s="18">
        <f>'التعليم المسرع'!H38</f>
        <v>3</v>
      </c>
      <c r="G13" s="19">
        <f>'التعليم المسرع'!I38</f>
        <v>4</v>
      </c>
      <c r="H13" s="20">
        <f>'التعليم المسرع'!J38</f>
        <v>0</v>
      </c>
      <c r="I13" s="9"/>
      <c r="J13" s="9"/>
      <c r="K13" s="16">
        <f>'التعليم المسرع'!FC38</f>
        <v>17</v>
      </c>
      <c r="L13" s="21">
        <f>'التعليم المسرع'!FD38</f>
        <v>19</v>
      </c>
      <c r="M13" s="17">
        <f>SUM(K13:L13)</f>
        <v>36</v>
      </c>
      <c r="N13" s="9"/>
    </row>
    <row r="14" spans="1:16" ht="21" thickTop="1" x14ac:dyDescent="0.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6" ht="21" thickBot="1" x14ac:dyDescent="0.3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6" ht="40.5" customHeight="1" thickTop="1" thickBot="1" x14ac:dyDescent="0.35">
      <c r="B16" s="186" t="s">
        <v>20</v>
      </c>
      <c r="C16" s="190"/>
      <c r="D16" s="190"/>
      <c r="E16" s="190"/>
      <c r="F16" s="190"/>
      <c r="G16" s="187"/>
      <c r="H16" s="9"/>
      <c r="I16" s="9"/>
      <c r="J16" s="186" t="s">
        <v>30</v>
      </c>
      <c r="K16" s="190"/>
      <c r="L16" s="190"/>
      <c r="M16" s="190"/>
      <c r="N16" s="190"/>
      <c r="O16" s="187"/>
    </row>
    <row r="17" spans="2:15" ht="25.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H17" s="9"/>
      <c r="I17" s="9"/>
      <c r="J17" s="215" t="s">
        <v>31</v>
      </c>
      <c r="K17" s="216" t="s">
        <v>44</v>
      </c>
      <c r="L17" s="216" t="s">
        <v>45</v>
      </c>
      <c r="M17" s="216" t="s">
        <v>46</v>
      </c>
      <c r="N17" s="216" t="s">
        <v>257</v>
      </c>
      <c r="O17" s="217" t="s">
        <v>47</v>
      </c>
    </row>
    <row r="18" spans="2:15" ht="21.75" thickTop="1" thickBot="1" x14ac:dyDescent="0.35">
      <c r="B18" s="191" t="s">
        <v>17</v>
      </c>
      <c r="C18" s="191">
        <f>'التعليم المسرع'!CO38</f>
        <v>4</v>
      </c>
      <c r="D18" s="191">
        <f>'التعليم المسرع'!CP38</f>
        <v>5</v>
      </c>
      <c r="E18" s="191">
        <f>'التعليم المسرع'!CQ38</f>
        <v>0</v>
      </c>
      <c r="F18" s="193">
        <f>C18+D18+E18</f>
        <v>9</v>
      </c>
      <c r="G18" s="194"/>
      <c r="H18" s="9"/>
      <c r="I18" s="9"/>
      <c r="J18" s="211"/>
      <c r="K18" s="210"/>
      <c r="L18" s="210"/>
      <c r="M18" s="210"/>
      <c r="N18" s="210"/>
      <c r="O18" s="213"/>
    </row>
    <row r="19" spans="2:15" ht="21.75" thickTop="1" thickBot="1" x14ac:dyDescent="0.35">
      <c r="B19" s="192"/>
      <c r="C19" s="192"/>
      <c r="D19" s="192"/>
      <c r="E19" s="192"/>
      <c r="F19" s="195"/>
      <c r="G19" s="196"/>
      <c r="H19" s="9"/>
      <c r="I19" s="9"/>
      <c r="J19" s="211" t="s">
        <v>13</v>
      </c>
      <c r="K19" s="210">
        <f>'التعليم المسرع'!EU38</f>
        <v>3</v>
      </c>
      <c r="L19" s="210">
        <f>'التعليم المسرع'!EW38</f>
        <v>1</v>
      </c>
      <c r="M19" s="210">
        <f>'التعليم المسرع'!EY38</f>
        <v>13</v>
      </c>
      <c r="N19" s="210">
        <f>'التعليم المسرع'!FA38</f>
        <v>0</v>
      </c>
      <c r="O19" s="213">
        <f>SUM(K19:N20)</f>
        <v>17</v>
      </c>
    </row>
    <row r="20" spans="2:15" ht="21.75" thickTop="1" thickBot="1" x14ac:dyDescent="0.35">
      <c r="B20" s="191" t="s">
        <v>18</v>
      </c>
      <c r="C20" s="191">
        <f>'التعليم المسرع'!CR38</f>
        <v>4</v>
      </c>
      <c r="D20" s="191">
        <f>'التعليم المسرع'!CS38</f>
        <v>4</v>
      </c>
      <c r="E20" s="191">
        <f>'التعليم المسرع'!CT38</f>
        <v>0</v>
      </c>
      <c r="F20" s="193">
        <f t="shared" ref="F20" si="0">C20+D20+E20</f>
        <v>8</v>
      </c>
      <c r="G20" s="194"/>
      <c r="H20" s="9"/>
      <c r="I20" s="9"/>
      <c r="J20" s="211"/>
      <c r="K20" s="210"/>
      <c r="L20" s="210"/>
      <c r="M20" s="210"/>
      <c r="N20" s="210"/>
      <c r="O20" s="213"/>
    </row>
    <row r="21" spans="2:15" ht="21.75" thickTop="1" thickBot="1" x14ac:dyDescent="0.35">
      <c r="B21" s="192"/>
      <c r="C21" s="192"/>
      <c r="D21" s="192"/>
      <c r="E21" s="192"/>
      <c r="F21" s="195"/>
      <c r="G21" s="196"/>
      <c r="H21" s="9"/>
      <c r="I21" s="9"/>
      <c r="J21" s="211" t="s">
        <v>14</v>
      </c>
      <c r="K21" s="210">
        <f>'التعليم المسرع'!EV38</f>
        <v>4</v>
      </c>
      <c r="L21" s="210">
        <f>'التعليم المسرع'!EX38</f>
        <v>1</v>
      </c>
      <c r="M21" s="210">
        <f>'التعليم المسرع'!EZ38</f>
        <v>14</v>
      </c>
      <c r="N21" s="210">
        <f>'التعليم المسرع'!FB38</f>
        <v>0</v>
      </c>
      <c r="O21" s="213">
        <f>SUM(K21:N22)</f>
        <v>19</v>
      </c>
    </row>
    <row r="22" spans="2:15" ht="21.75" thickTop="1" thickBot="1" x14ac:dyDescent="0.35">
      <c r="B22" s="191" t="s">
        <v>19</v>
      </c>
      <c r="C22" s="191">
        <f>'التعليم المسرع'!CU38</f>
        <v>6</v>
      </c>
      <c r="D22" s="191">
        <f>'التعليم المسرع'!CV38</f>
        <v>6</v>
      </c>
      <c r="E22" s="191">
        <f>'التعليم المسرع'!CW38</f>
        <v>0</v>
      </c>
      <c r="F22" s="193">
        <f t="shared" ref="F22" si="1">C22+D22+E22</f>
        <v>12</v>
      </c>
      <c r="G22" s="194"/>
      <c r="H22" s="9"/>
      <c r="I22" s="9"/>
      <c r="J22" s="211"/>
      <c r="K22" s="210"/>
      <c r="L22" s="210"/>
      <c r="M22" s="210"/>
      <c r="N22" s="210"/>
      <c r="O22" s="213"/>
    </row>
    <row r="23" spans="2:15" ht="21.75" thickTop="1" thickBot="1" x14ac:dyDescent="0.35">
      <c r="B23" s="192"/>
      <c r="C23" s="192"/>
      <c r="D23" s="192"/>
      <c r="E23" s="192"/>
      <c r="F23" s="195"/>
      <c r="G23" s="196"/>
      <c r="H23" s="9"/>
      <c r="I23" s="9"/>
      <c r="J23" s="211" t="s">
        <v>15</v>
      </c>
      <c r="K23" s="210">
        <f>K19+K21</f>
        <v>7</v>
      </c>
      <c r="L23" s="210">
        <f t="shared" ref="L23:M23" si="2">L19+L21</f>
        <v>2</v>
      </c>
      <c r="M23" s="210">
        <f t="shared" si="2"/>
        <v>27</v>
      </c>
      <c r="N23" s="210">
        <f t="shared" ref="N23" si="3">N19+N21</f>
        <v>0</v>
      </c>
      <c r="O23" s="213">
        <f>O19+O21</f>
        <v>36</v>
      </c>
    </row>
    <row r="24" spans="2:15" ht="27" customHeight="1" thickTop="1" thickBot="1" x14ac:dyDescent="0.35">
      <c r="B24" s="24" t="s">
        <v>15</v>
      </c>
      <c r="C24" s="25">
        <f>SUM(C18:C23)</f>
        <v>14</v>
      </c>
      <c r="D24" s="25">
        <f>SUM(D18:D23)</f>
        <v>15</v>
      </c>
      <c r="E24" s="25">
        <f>SUM(E18:E23)</f>
        <v>0</v>
      </c>
      <c r="F24" s="206">
        <f>C24+D24+E24</f>
        <v>29</v>
      </c>
      <c r="G24" s="187"/>
      <c r="H24" s="9"/>
      <c r="I24" s="9"/>
      <c r="J24" s="214"/>
      <c r="K24" s="212"/>
      <c r="L24" s="212"/>
      <c r="M24" s="212"/>
      <c r="N24" s="212"/>
      <c r="O24" s="229"/>
    </row>
    <row r="25" spans="2:15" ht="21.75" thickTop="1" thickBot="1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2:15" ht="34.5" customHeight="1" thickTop="1" thickBot="1" x14ac:dyDescent="0.3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26"/>
      <c r="M26" s="26"/>
      <c r="N26" s="9"/>
    </row>
    <row r="27" spans="2:15" ht="41.25" customHeight="1" thickTop="1" thickBot="1" x14ac:dyDescent="0.35">
      <c r="B27" s="233" t="s">
        <v>40</v>
      </c>
      <c r="C27" s="227" t="s">
        <v>32</v>
      </c>
      <c r="D27" s="227" t="s">
        <v>33</v>
      </c>
      <c r="E27" s="227" t="s">
        <v>34</v>
      </c>
      <c r="F27" s="227" t="s">
        <v>35</v>
      </c>
      <c r="G27" s="227" t="s">
        <v>36</v>
      </c>
      <c r="H27" s="227" t="s">
        <v>37</v>
      </c>
      <c r="I27" s="227" t="s">
        <v>38</v>
      </c>
      <c r="J27" s="216" t="s">
        <v>15</v>
      </c>
      <c r="K27" s="217"/>
      <c r="L27" s="26"/>
      <c r="M27" s="26"/>
      <c r="N27" s="9"/>
    </row>
    <row r="28" spans="2:15" ht="34.5" customHeight="1" thickTop="1" thickBot="1" x14ac:dyDescent="0.35">
      <c r="B28" s="234"/>
      <c r="C28" s="228"/>
      <c r="D28" s="228"/>
      <c r="E28" s="228"/>
      <c r="F28" s="228"/>
      <c r="G28" s="228"/>
      <c r="H28" s="228"/>
      <c r="I28" s="228"/>
      <c r="J28" s="210"/>
      <c r="K28" s="213"/>
      <c r="L28" s="26"/>
      <c r="M28" s="26"/>
      <c r="N28" s="9"/>
    </row>
    <row r="29" spans="2:15" ht="21.75" thickTop="1" thickBot="1" x14ac:dyDescent="0.35">
      <c r="B29" s="211" t="s">
        <v>13</v>
      </c>
      <c r="C29" s="210">
        <f>'التعليم المسرع'!FZ38</f>
        <v>0</v>
      </c>
      <c r="D29" s="210">
        <f>'التعليم المسرع'!FX38</f>
        <v>0</v>
      </c>
      <c r="E29" s="210">
        <f>'التعليم المسرع'!GD38</f>
        <v>0</v>
      </c>
      <c r="F29" s="210">
        <f>'التعليم المسرع'!GB38</f>
        <v>4</v>
      </c>
      <c r="G29" s="210">
        <f>'التعليم المسرع'!GH38</f>
        <v>11</v>
      </c>
      <c r="H29" s="210">
        <f>'التعليم المسرع'!GJ38</f>
        <v>2</v>
      </c>
      <c r="I29" s="210">
        <f>'التعليم المسرع'!GL38+'التعليم المسرع'!GF38</f>
        <v>0</v>
      </c>
      <c r="J29" s="210">
        <f>I29+H29+G29+F29+E29+D29+C29</f>
        <v>17</v>
      </c>
      <c r="K29" s="213"/>
      <c r="L29" s="26"/>
      <c r="M29" s="26"/>
      <c r="N29" s="9"/>
    </row>
    <row r="30" spans="2:15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  <c r="N30" s="9"/>
    </row>
    <row r="31" spans="2:15" ht="21.75" thickTop="1" thickBot="1" x14ac:dyDescent="0.35">
      <c r="B31" s="211" t="s">
        <v>14</v>
      </c>
      <c r="C31" s="210">
        <f>'التعليم المسرع'!GA38</f>
        <v>0</v>
      </c>
      <c r="D31" s="210">
        <f>'التعليم المسرع'!FY38</f>
        <v>1</v>
      </c>
      <c r="E31" s="210">
        <f>'التعليم المسرع'!GE38</f>
        <v>0</v>
      </c>
      <c r="F31" s="210">
        <f>'التعليم المسرع'!GC38</f>
        <v>10</v>
      </c>
      <c r="G31" s="210">
        <f>'التعليم المسرع'!GI38</f>
        <v>5</v>
      </c>
      <c r="H31" s="210">
        <f>'التعليم المسرع'!GK38</f>
        <v>2</v>
      </c>
      <c r="I31" s="210">
        <f>'التعليم المسرع'!GM38+'التعليم المسرع'!GG38</f>
        <v>1</v>
      </c>
      <c r="J31" s="210">
        <f t="shared" ref="J31" si="4">I31+H31+G31+F31+E31+D31+C31</f>
        <v>19</v>
      </c>
      <c r="K31" s="213"/>
      <c r="L31" s="26"/>
      <c r="M31" s="26"/>
      <c r="N31" s="9"/>
    </row>
    <row r="32" spans="2:15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  <c r="N32" s="9"/>
    </row>
    <row r="33" spans="1:19" ht="21.75" thickTop="1" thickBot="1" x14ac:dyDescent="0.35">
      <c r="B33" s="211" t="s">
        <v>15</v>
      </c>
      <c r="C33" s="210">
        <f>C29+C31</f>
        <v>0</v>
      </c>
      <c r="D33" s="210">
        <f t="shared" ref="D33:I33" si="5">D29+D31</f>
        <v>1</v>
      </c>
      <c r="E33" s="210">
        <f t="shared" si="5"/>
        <v>0</v>
      </c>
      <c r="F33" s="210">
        <f t="shared" si="5"/>
        <v>14</v>
      </c>
      <c r="G33" s="210">
        <f t="shared" si="5"/>
        <v>16</v>
      </c>
      <c r="H33" s="210">
        <f t="shared" si="5"/>
        <v>4</v>
      </c>
      <c r="I33" s="210">
        <f t="shared" si="5"/>
        <v>1</v>
      </c>
      <c r="J33" s="210">
        <f t="shared" ref="J33" si="6">I33+H33+G33+F33+E33+D33+C33</f>
        <v>36</v>
      </c>
      <c r="K33" s="213"/>
      <c r="L33" s="26"/>
      <c r="M33" s="26"/>
      <c r="N33" s="9"/>
    </row>
    <row r="34" spans="1:19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  <c r="N34" s="9"/>
    </row>
    <row r="35" spans="1:19" ht="18.75" thickTop="1" x14ac:dyDescent="0.25"/>
    <row r="36" spans="1:19" ht="29.25" customHeight="1" x14ac:dyDescent="0.25">
      <c r="A36" s="257" t="s">
        <v>55</v>
      </c>
      <c r="B36" s="257"/>
      <c r="C36" s="257"/>
    </row>
    <row r="37" spans="1:19" ht="29.25" customHeight="1" x14ac:dyDescent="0.25">
      <c r="A37" s="257" t="s">
        <v>56</v>
      </c>
      <c r="B37" s="257"/>
      <c r="C37" s="257"/>
      <c r="D37" s="257"/>
    </row>
    <row r="39" spans="1:19" ht="20.25" x14ac:dyDescent="0.3">
      <c r="D39" s="9" t="s">
        <v>54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21" thickBot="1" x14ac:dyDescent="0.35"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24.75" customHeight="1" thickTop="1" thickBot="1" x14ac:dyDescent="0.3">
      <c r="B41" s="258" t="s">
        <v>28</v>
      </c>
      <c r="C41" s="259" t="s">
        <v>17</v>
      </c>
      <c r="D41" s="259"/>
      <c r="E41" s="259" t="s">
        <v>18</v>
      </c>
      <c r="F41" s="259"/>
      <c r="G41" s="259" t="s">
        <v>19</v>
      </c>
      <c r="H41" s="259"/>
      <c r="I41" s="259" t="s">
        <v>29</v>
      </c>
      <c r="J41" s="259"/>
      <c r="K41" s="261"/>
      <c r="L41" s="8"/>
      <c r="M41" s="8"/>
      <c r="N41" s="8"/>
    </row>
    <row r="42" spans="1:19" ht="22.5" customHeight="1" thickTop="1" thickBot="1" x14ac:dyDescent="0.3">
      <c r="B42" s="256"/>
      <c r="C42" s="50" t="s">
        <v>10</v>
      </c>
      <c r="D42" s="50" t="s">
        <v>11</v>
      </c>
      <c r="E42" s="50" t="s">
        <v>10</v>
      </c>
      <c r="F42" s="50" t="s">
        <v>11</v>
      </c>
      <c r="G42" s="50" t="s">
        <v>10</v>
      </c>
      <c r="H42" s="50" t="s">
        <v>11</v>
      </c>
      <c r="I42" s="50" t="s">
        <v>10</v>
      </c>
      <c r="J42" s="50" t="s">
        <v>11</v>
      </c>
      <c r="K42" s="51" t="s">
        <v>15</v>
      </c>
      <c r="L42" s="8"/>
      <c r="M42" s="8"/>
      <c r="N42" s="8"/>
    </row>
    <row r="43" spans="1:19" ht="19.5" thickTop="1" thickBot="1" x14ac:dyDescent="0.3">
      <c r="B43" s="256" t="s">
        <v>21</v>
      </c>
      <c r="C43" s="253">
        <f>'التعليم المسرع'!Y38</f>
        <v>13</v>
      </c>
      <c r="D43" s="253">
        <f>'التعليم المسرع'!Z38</f>
        <v>16</v>
      </c>
      <c r="E43" s="253">
        <f>'التعليم المسرع'!AP38</f>
        <v>5</v>
      </c>
      <c r="F43" s="253">
        <f>'التعليم المسرع'!AQ38</f>
        <v>13</v>
      </c>
      <c r="G43" s="253">
        <f>'التعليم المسرع'!BG38</f>
        <v>10</v>
      </c>
      <c r="H43" s="253">
        <f>'التعليم المسرع'!BH38</f>
        <v>3</v>
      </c>
      <c r="I43" s="253">
        <f>C43+E43+G43</f>
        <v>28</v>
      </c>
      <c r="J43" s="253">
        <f>D43+F43+H43</f>
        <v>32</v>
      </c>
      <c r="K43" s="255">
        <f>SUM(I43:J43)</f>
        <v>60</v>
      </c>
      <c r="L43" s="8"/>
      <c r="M43" s="8"/>
      <c r="N43" s="8"/>
    </row>
    <row r="44" spans="1:19" ht="19.5" thickTop="1" thickBot="1" x14ac:dyDescent="0.3">
      <c r="B44" s="256"/>
      <c r="C44" s="253"/>
      <c r="D44" s="253"/>
      <c r="E44" s="253"/>
      <c r="F44" s="253"/>
      <c r="G44" s="253"/>
      <c r="H44" s="253"/>
      <c r="I44" s="253"/>
      <c r="J44" s="253"/>
      <c r="K44" s="255"/>
      <c r="L44" s="8"/>
      <c r="M44" s="8"/>
      <c r="N44" s="8"/>
    </row>
    <row r="45" spans="1:19" ht="19.5" thickTop="1" thickBot="1" x14ac:dyDescent="0.3">
      <c r="B45" s="256" t="s">
        <v>22</v>
      </c>
      <c r="C45" s="253">
        <f>'التعليم المسرع'!AA38</f>
        <v>22</v>
      </c>
      <c r="D45" s="253">
        <f>'التعليم المسرع'!AB38</f>
        <v>11</v>
      </c>
      <c r="E45" s="253">
        <f>'التعليم المسرع'!AR38</f>
        <v>11</v>
      </c>
      <c r="F45" s="253">
        <f>'التعليم المسرع'!AS38</f>
        <v>13</v>
      </c>
      <c r="G45" s="253">
        <f>'التعليم المسرع'!BI38</f>
        <v>7</v>
      </c>
      <c r="H45" s="253">
        <f>'التعليم المسرع'!BJ38</f>
        <v>2</v>
      </c>
      <c r="I45" s="253">
        <f t="shared" ref="I45:J45" si="7">C45+E45+G45</f>
        <v>40</v>
      </c>
      <c r="J45" s="253">
        <f t="shared" si="7"/>
        <v>26</v>
      </c>
      <c r="K45" s="255">
        <f t="shared" ref="K45" si="8">SUM(I45:J45)</f>
        <v>66</v>
      </c>
      <c r="L45" s="8"/>
      <c r="M45" s="8"/>
      <c r="N45" s="8"/>
    </row>
    <row r="46" spans="1:19" ht="19.5" thickTop="1" thickBot="1" x14ac:dyDescent="0.3">
      <c r="B46" s="256"/>
      <c r="C46" s="253"/>
      <c r="D46" s="253"/>
      <c r="E46" s="253"/>
      <c r="F46" s="253"/>
      <c r="G46" s="253"/>
      <c r="H46" s="253"/>
      <c r="I46" s="253"/>
      <c r="J46" s="253"/>
      <c r="K46" s="255"/>
      <c r="L46" s="8"/>
      <c r="M46" s="8"/>
    </row>
    <row r="47" spans="1:19" ht="19.5" thickTop="1" thickBot="1" x14ac:dyDescent="0.3">
      <c r="B47" s="256" t="s">
        <v>23</v>
      </c>
      <c r="C47" s="253">
        <f>'التعليم المسرع'!AC38</f>
        <v>21</v>
      </c>
      <c r="D47" s="253">
        <f>'التعليم المسرع'!AD38</f>
        <v>7</v>
      </c>
      <c r="E47" s="253">
        <f>'التعليم المسرع'!AT38</f>
        <v>19</v>
      </c>
      <c r="F47" s="253">
        <f>'التعليم المسرع'!AU38</f>
        <v>17</v>
      </c>
      <c r="G47" s="253">
        <f>'التعليم المسرع'!BK38</f>
        <v>22</v>
      </c>
      <c r="H47" s="253">
        <f>'التعليم المسرع'!BL38</f>
        <v>17</v>
      </c>
      <c r="I47" s="253">
        <f t="shared" ref="I47:J47" si="9">C47+E47+G47</f>
        <v>62</v>
      </c>
      <c r="J47" s="253">
        <f t="shared" si="9"/>
        <v>41</v>
      </c>
      <c r="K47" s="255">
        <f t="shared" ref="K47" si="10">SUM(I47:J47)</f>
        <v>103</v>
      </c>
      <c r="L47" s="8"/>
      <c r="M47" s="8"/>
    </row>
    <row r="48" spans="1:19" ht="19.5" thickTop="1" thickBot="1" x14ac:dyDescent="0.3">
      <c r="B48" s="256"/>
      <c r="C48" s="253"/>
      <c r="D48" s="253"/>
      <c r="E48" s="253"/>
      <c r="F48" s="253"/>
      <c r="G48" s="253"/>
      <c r="H48" s="253"/>
      <c r="I48" s="253"/>
      <c r="J48" s="253"/>
      <c r="K48" s="255"/>
      <c r="L48" s="8"/>
      <c r="M48" s="8"/>
    </row>
    <row r="49" spans="1:16" ht="19.5" thickTop="1" thickBot="1" x14ac:dyDescent="0.3">
      <c r="B49" s="256" t="s">
        <v>24</v>
      </c>
      <c r="C49" s="253">
        <f>'التعليم المسرع'!AE38</f>
        <v>22</v>
      </c>
      <c r="D49" s="253">
        <f>'التعليم المسرع'!AF38</f>
        <v>11</v>
      </c>
      <c r="E49" s="253">
        <f>'التعليم المسرع'!AV38</f>
        <v>32</v>
      </c>
      <c r="F49" s="253">
        <f>'التعليم المسرع'!AW38</f>
        <v>13</v>
      </c>
      <c r="G49" s="253">
        <f>'التعليم المسرع'!BM38</f>
        <v>25</v>
      </c>
      <c r="H49" s="253">
        <f>'التعليم المسرع'!BN38</f>
        <v>20</v>
      </c>
      <c r="I49" s="253">
        <f t="shared" ref="I49:J49" si="11">C49+E49+G49</f>
        <v>79</v>
      </c>
      <c r="J49" s="253">
        <f t="shared" si="11"/>
        <v>44</v>
      </c>
      <c r="K49" s="255">
        <f t="shared" ref="K49" si="12">SUM(I49:J49)</f>
        <v>123</v>
      </c>
      <c r="L49" s="8"/>
      <c r="M49" s="8"/>
    </row>
    <row r="50" spans="1:16" ht="19.5" thickTop="1" thickBot="1" x14ac:dyDescent="0.3">
      <c r="B50" s="256"/>
      <c r="C50" s="253"/>
      <c r="D50" s="253"/>
      <c r="E50" s="253"/>
      <c r="F50" s="253"/>
      <c r="G50" s="253"/>
      <c r="H50" s="253"/>
      <c r="I50" s="253"/>
      <c r="J50" s="253"/>
      <c r="K50" s="255"/>
      <c r="L50" s="8"/>
      <c r="M50" s="8"/>
    </row>
    <row r="51" spans="1:16" ht="19.5" thickTop="1" thickBot="1" x14ac:dyDescent="0.3">
      <c r="B51" s="256" t="s">
        <v>25</v>
      </c>
      <c r="C51" s="253">
        <f>'التعليم المسرع'!AG38</f>
        <v>12</v>
      </c>
      <c r="D51" s="253">
        <f>'التعليم المسرع'!AH38</f>
        <v>4</v>
      </c>
      <c r="E51" s="253">
        <f>'التعليم المسرع'!AX38</f>
        <v>19</v>
      </c>
      <c r="F51" s="253">
        <f>'التعليم المسرع'!AY38</f>
        <v>18</v>
      </c>
      <c r="G51" s="253">
        <f>'التعليم المسرع'!BO38</f>
        <v>55</v>
      </c>
      <c r="H51" s="253">
        <f>'التعليم المسرع'!BP38</f>
        <v>25</v>
      </c>
      <c r="I51" s="253">
        <f t="shared" ref="I51:J51" si="13">C51+E51+G51</f>
        <v>86</v>
      </c>
      <c r="J51" s="253">
        <f t="shared" si="13"/>
        <v>47</v>
      </c>
      <c r="K51" s="255">
        <f t="shared" ref="K51" si="14">SUM(I51:J51)</f>
        <v>133</v>
      </c>
      <c r="L51" s="8"/>
      <c r="M51" s="8"/>
    </row>
    <row r="52" spans="1:16" ht="19.5" thickTop="1" thickBot="1" x14ac:dyDescent="0.3">
      <c r="B52" s="256"/>
      <c r="C52" s="253"/>
      <c r="D52" s="253"/>
      <c r="E52" s="253"/>
      <c r="F52" s="253"/>
      <c r="G52" s="253"/>
      <c r="H52" s="253"/>
      <c r="I52" s="253"/>
      <c r="J52" s="253"/>
      <c r="K52" s="255"/>
      <c r="L52" s="8"/>
      <c r="M52" s="8"/>
    </row>
    <row r="53" spans="1:16" ht="19.5" thickTop="1" thickBot="1" x14ac:dyDescent="0.3">
      <c r="B53" s="256" t="s">
        <v>26</v>
      </c>
      <c r="C53" s="253">
        <f>'التعليم المسرع'!AI38</f>
        <v>7</v>
      </c>
      <c r="D53" s="253">
        <f>'التعليم المسرع'!AJ38</f>
        <v>6</v>
      </c>
      <c r="E53" s="253">
        <f>'التعليم المسرع'!AZ38</f>
        <v>17</v>
      </c>
      <c r="F53" s="253">
        <f>'التعليم المسرع'!BA38</f>
        <v>8</v>
      </c>
      <c r="G53" s="253">
        <f>'التعليم المسرع'!BQ38</f>
        <v>46</v>
      </c>
      <c r="H53" s="253">
        <f>'التعليم المسرع'!BR38</f>
        <v>21</v>
      </c>
      <c r="I53" s="253">
        <f t="shared" ref="I53:J53" si="15">C53+E53+G53</f>
        <v>70</v>
      </c>
      <c r="J53" s="253">
        <f t="shared" si="15"/>
        <v>35</v>
      </c>
      <c r="K53" s="255">
        <f t="shared" ref="K53" si="16">SUM(I53:J53)</f>
        <v>105</v>
      </c>
      <c r="L53" s="8"/>
      <c r="M53" s="8"/>
    </row>
    <row r="54" spans="1:16" ht="19.5" thickTop="1" thickBot="1" x14ac:dyDescent="0.3">
      <c r="B54" s="256"/>
      <c r="C54" s="253"/>
      <c r="D54" s="253"/>
      <c r="E54" s="253"/>
      <c r="F54" s="253"/>
      <c r="G54" s="253"/>
      <c r="H54" s="253"/>
      <c r="I54" s="253"/>
      <c r="J54" s="253"/>
      <c r="K54" s="255"/>
    </row>
    <row r="55" spans="1:16" ht="19.5" thickTop="1" thickBot="1" x14ac:dyDescent="0.3">
      <c r="B55" s="256" t="s">
        <v>27</v>
      </c>
      <c r="C55" s="253">
        <f>'التعليم المسرع'!AK38</f>
        <v>6</v>
      </c>
      <c r="D55" s="253">
        <f>'التعليم المسرع'!AL38</f>
        <v>6</v>
      </c>
      <c r="E55" s="253">
        <f>'التعليم المسرع'!BB38</f>
        <v>13</v>
      </c>
      <c r="F55" s="253">
        <f>'التعليم المسرع'!BC38</f>
        <v>11</v>
      </c>
      <c r="G55" s="253">
        <f>'التعليم المسرع'!BS38</f>
        <v>20</v>
      </c>
      <c r="H55" s="253">
        <f>'التعليم المسرع'!BT38</f>
        <v>24</v>
      </c>
      <c r="I55" s="253">
        <f t="shared" ref="I55:J55" si="17">C55+E55+G55</f>
        <v>39</v>
      </c>
      <c r="J55" s="253">
        <f t="shared" si="17"/>
        <v>41</v>
      </c>
      <c r="K55" s="255">
        <f t="shared" ref="K55" si="18">SUM(I55:J55)</f>
        <v>80</v>
      </c>
    </row>
    <row r="56" spans="1:16" ht="19.5" thickTop="1" thickBot="1" x14ac:dyDescent="0.3">
      <c r="B56" s="256"/>
      <c r="C56" s="253"/>
      <c r="D56" s="253"/>
      <c r="E56" s="253"/>
      <c r="F56" s="253"/>
      <c r="G56" s="253"/>
      <c r="H56" s="253"/>
      <c r="I56" s="253"/>
      <c r="J56" s="253"/>
      <c r="K56" s="255"/>
    </row>
    <row r="57" spans="1:16" ht="19.5" thickTop="1" thickBot="1" x14ac:dyDescent="0.3">
      <c r="B57" s="256" t="s">
        <v>15</v>
      </c>
      <c r="C57" s="253">
        <f t="shared" ref="C57:H57" si="19">C43+C45+C47+C49+C51+C53+C55</f>
        <v>103</v>
      </c>
      <c r="D57" s="253">
        <f t="shared" si="19"/>
        <v>61</v>
      </c>
      <c r="E57" s="253">
        <f t="shared" si="19"/>
        <v>116</v>
      </c>
      <c r="F57" s="253">
        <f t="shared" si="19"/>
        <v>93</v>
      </c>
      <c r="G57" s="253">
        <f t="shared" si="19"/>
        <v>185</v>
      </c>
      <c r="H57" s="253">
        <f t="shared" si="19"/>
        <v>112</v>
      </c>
      <c r="I57" s="253">
        <f>C57+E57+G57</f>
        <v>404</v>
      </c>
      <c r="J57" s="253">
        <f t="shared" ref="J57" si="20">D57+F57+H57</f>
        <v>266</v>
      </c>
      <c r="K57" s="255">
        <f t="shared" ref="K57" si="21">SUM(I57:J57)</f>
        <v>670</v>
      </c>
    </row>
    <row r="58" spans="1:16" ht="19.5" thickTop="1" thickBot="1" x14ac:dyDescent="0.3">
      <c r="B58" s="263"/>
      <c r="C58" s="254"/>
      <c r="D58" s="254"/>
      <c r="E58" s="254"/>
      <c r="F58" s="254"/>
      <c r="G58" s="254"/>
      <c r="H58" s="254"/>
      <c r="I58" s="254"/>
      <c r="J58" s="254"/>
      <c r="K58" s="262"/>
    </row>
    <row r="59" spans="1:16" ht="19.5" thickTop="1" thickBot="1" x14ac:dyDescent="0.3"/>
    <row r="60" spans="1:16" ht="28.5" customHeight="1" thickTop="1" thickBot="1" x14ac:dyDescent="0.3">
      <c r="A60" s="215"/>
      <c r="B60" s="227" t="s">
        <v>277</v>
      </c>
      <c r="C60" s="227"/>
      <c r="D60" s="227"/>
      <c r="E60" s="227" t="s">
        <v>282</v>
      </c>
      <c r="F60" s="227"/>
      <c r="G60" s="227"/>
      <c r="H60" s="216" t="s">
        <v>283</v>
      </c>
      <c r="I60" s="216"/>
      <c r="J60" s="216"/>
      <c r="K60" s="216"/>
      <c r="L60" s="216"/>
      <c r="M60" s="216"/>
      <c r="N60" s="216" t="s">
        <v>15</v>
      </c>
      <c r="O60" s="216"/>
      <c r="P60" s="217"/>
    </row>
    <row r="61" spans="1:16" ht="27" customHeight="1" thickTop="1" thickBot="1" x14ac:dyDescent="0.3">
      <c r="A61" s="211"/>
      <c r="B61" s="228"/>
      <c r="C61" s="228"/>
      <c r="D61" s="228"/>
      <c r="E61" s="228"/>
      <c r="F61" s="228"/>
      <c r="G61" s="228"/>
      <c r="H61" s="210" t="s">
        <v>193</v>
      </c>
      <c r="I61" s="210"/>
      <c r="J61" s="210" t="s">
        <v>194</v>
      </c>
      <c r="K61" s="210"/>
      <c r="L61" s="210" t="s">
        <v>195</v>
      </c>
      <c r="M61" s="210"/>
      <c r="N61" s="210"/>
      <c r="O61" s="210"/>
      <c r="P61" s="213"/>
    </row>
    <row r="62" spans="1:16" ht="18.75" customHeight="1" thickTop="1" thickBot="1" x14ac:dyDescent="0.3">
      <c r="A62" s="211"/>
      <c r="B62" s="210" t="s">
        <v>10</v>
      </c>
      <c r="C62" s="210" t="s">
        <v>11</v>
      </c>
      <c r="D62" s="210" t="s">
        <v>15</v>
      </c>
      <c r="E62" s="210" t="s">
        <v>10</v>
      </c>
      <c r="F62" s="210" t="s">
        <v>11</v>
      </c>
      <c r="G62" s="210" t="s">
        <v>15</v>
      </c>
      <c r="H62" s="210" t="s">
        <v>10</v>
      </c>
      <c r="I62" s="210" t="s">
        <v>11</v>
      </c>
      <c r="J62" s="210" t="s">
        <v>10</v>
      </c>
      <c r="K62" s="210" t="s">
        <v>11</v>
      </c>
      <c r="L62" s="210" t="s">
        <v>10</v>
      </c>
      <c r="M62" s="210" t="s">
        <v>11</v>
      </c>
      <c r="N62" s="210" t="s">
        <v>10</v>
      </c>
      <c r="O62" s="210" t="s">
        <v>11</v>
      </c>
      <c r="P62" s="213" t="s">
        <v>15</v>
      </c>
    </row>
    <row r="63" spans="1:16" ht="18.75" customHeight="1" thickTop="1" thickBot="1" x14ac:dyDescent="0.3">
      <c r="A63" s="211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3"/>
    </row>
    <row r="64" spans="1:16" ht="18.75" customHeight="1" thickTop="1" thickBot="1" x14ac:dyDescent="0.3">
      <c r="A64" s="211" t="s">
        <v>17</v>
      </c>
      <c r="B64" s="253">
        <f>'التعليم المسرع'!DB38</f>
        <v>0</v>
      </c>
      <c r="C64" s="253">
        <f>'التعليم المسرع'!DC38</f>
        <v>5</v>
      </c>
      <c r="D64" s="253">
        <f>C64+B64</f>
        <v>5</v>
      </c>
      <c r="E64" s="253">
        <f>'التعليم المسرع'!DK38</f>
        <v>61</v>
      </c>
      <c r="F64" s="253">
        <f>'التعليم المسرع'!DL38</f>
        <v>24</v>
      </c>
      <c r="G64" s="253">
        <f>F64+E64</f>
        <v>85</v>
      </c>
      <c r="H64" s="253">
        <f>'التعليم المسرع'!DT38</f>
        <v>30</v>
      </c>
      <c r="I64" s="253">
        <f>'التعليم المسرع'!DU38</f>
        <v>29</v>
      </c>
      <c r="J64" s="253">
        <f>'التعليم المسرع'!EC38</f>
        <v>32</v>
      </c>
      <c r="K64" s="253">
        <f>'التعليم المسرع'!ED38</f>
        <v>1</v>
      </c>
      <c r="L64" s="253">
        <f>'التعليم المسرع'!EL38</f>
        <v>0</v>
      </c>
      <c r="M64" s="253">
        <f>'التعليم المسرع'!EM38</f>
        <v>0</v>
      </c>
      <c r="N64" s="210">
        <f>L64+J64+H64</f>
        <v>62</v>
      </c>
      <c r="O64" s="210">
        <f>M64+K64+I64</f>
        <v>30</v>
      </c>
      <c r="P64" s="213">
        <f>O64+N64</f>
        <v>92</v>
      </c>
    </row>
    <row r="65" spans="1:16" ht="18.75" customHeight="1" thickTop="1" thickBot="1" x14ac:dyDescent="0.3">
      <c r="A65" s="211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10"/>
      <c r="O65" s="210"/>
      <c r="P65" s="213"/>
    </row>
    <row r="66" spans="1:16" ht="18.75" customHeight="1" thickTop="1" thickBot="1" x14ac:dyDescent="0.3">
      <c r="A66" s="211" t="s">
        <v>18</v>
      </c>
      <c r="B66" s="253">
        <f>'التعليم المسرع'!DD38</f>
        <v>0</v>
      </c>
      <c r="C66" s="253">
        <f>'التعليم المسرع'!DE38</f>
        <v>6</v>
      </c>
      <c r="D66" s="253">
        <f t="shared" ref="D66" si="22">C66+B66</f>
        <v>6</v>
      </c>
      <c r="E66" s="253">
        <f>'التعليم المسرع'!DM38</f>
        <v>42</v>
      </c>
      <c r="F66" s="253">
        <f>'التعليم المسرع'!DN38</f>
        <v>51</v>
      </c>
      <c r="G66" s="253">
        <f t="shared" ref="G66" si="23">F66+E66</f>
        <v>93</v>
      </c>
      <c r="H66" s="253">
        <f>'التعليم المسرع'!DV38</f>
        <v>28</v>
      </c>
      <c r="I66" s="253">
        <f>'التعليم المسرع'!DW38</f>
        <v>23</v>
      </c>
      <c r="J66" s="253">
        <f>'التعليم المسرع'!EE38</f>
        <v>9</v>
      </c>
      <c r="K66" s="253">
        <f>'التعليم المسرع'!EF38</f>
        <v>9</v>
      </c>
      <c r="L66" s="253">
        <f>'التعليم المسرع'!EN38</f>
        <v>0</v>
      </c>
      <c r="M66" s="253">
        <f>'التعليم المسرع'!EO38</f>
        <v>0</v>
      </c>
      <c r="N66" s="210">
        <f t="shared" ref="N66" si="24">L66+J66+H66</f>
        <v>37</v>
      </c>
      <c r="O66" s="210">
        <f t="shared" ref="O66" si="25">M66+K66+I66</f>
        <v>32</v>
      </c>
      <c r="P66" s="213">
        <f t="shared" ref="P66" si="26">O66+N66</f>
        <v>69</v>
      </c>
    </row>
    <row r="67" spans="1:16" ht="18.75" customHeight="1" thickTop="1" thickBot="1" x14ac:dyDescent="0.3">
      <c r="A67" s="211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10"/>
      <c r="O67" s="210"/>
      <c r="P67" s="213"/>
    </row>
    <row r="68" spans="1:16" ht="18.75" customHeight="1" thickTop="1" thickBot="1" x14ac:dyDescent="0.3">
      <c r="A68" s="211" t="s">
        <v>19</v>
      </c>
      <c r="B68" s="253">
        <f>'التعليم المسرع'!DF38</f>
        <v>0</v>
      </c>
      <c r="C68" s="253">
        <f>'التعليم المسرع'!DG38</f>
        <v>15</v>
      </c>
      <c r="D68" s="253">
        <f t="shared" ref="D68" si="27">C68+B68</f>
        <v>15</v>
      </c>
      <c r="E68" s="253">
        <f>'التعليم المسرع'!DO38</f>
        <v>54</v>
      </c>
      <c r="F68" s="253">
        <f>'التعليم المسرع'!DP38</f>
        <v>46</v>
      </c>
      <c r="G68" s="253">
        <f t="shared" ref="G68" si="28">F68+E68</f>
        <v>100</v>
      </c>
      <c r="H68" s="253">
        <f>'التعليم المسرع'!DX38</f>
        <v>64</v>
      </c>
      <c r="I68" s="253">
        <f>'التعليم المسرع'!DY38</f>
        <v>70</v>
      </c>
      <c r="J68" s="253">
        <f>'التعليم المسرع'!EG38</f>
        <v>18</v>
      </c>
      <c r="K68" s="253">
        <f>'التعليم المسرع'!EH38</f>
        <v>42</v>
      </c>
      <c r="L68" s="253">
        <f>'التعليم المسرع'!EP38</f>
        <v>0</v>
      </c>
      <c r="M68" s="253">
        <f>'التعليم المسرع'!EQ38</f>
        <v>3</v>
      </c>
      <c r="N68" s="210">
        <f t="shared" ref="N68" si="29">L68+J68+H68</f>
        <v>82</v>
      </c>
      <c r="O68" s="210">
        <f t="shared" ref="O68" si="30">M68+K68+I68</f>
        <v>115</v>
      </c>
      <c r="P68" s="213">
        <f t="shared" ref="P68" si="31">O68+N68</f>
        <v>197</v>
      </c>
    </row>
    <row r="69" spans="1:16" ht="15" customHeight="1" thickTop="1" thickBot="1" x14ac:dyDescent="0.3">
      <c r="A69" s="21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12"/>
      <c r="O69" s="212"/>
      <c r="P69" s="229"/>
    </row>
    <row r="70" spans="1:16" ht="18.75" thickTop="1" x14ac:dyDescent="0.25"/>
  </sheetData>
  <mergeCells count="250">
    <mergeCell ref="A68:A69"/>
    <mergeCell ref="B60:D61"/>
    <mergeCell ref="E60:G61"/>
    <mergeCell ref="H60:M60"/>
    <mergeCell ref="H61:I61"/>
    <mergeCell ref="J61:K61"/>
    <mergeCell ref="L61:M61"/>
    <mergeCell ref="D62:D63"/>
    <mergeCell ref="G62:G63"/>
    <mergeCell ref="H62:H63"/>
    <mergeCell ref="I62:I63"/>
    <mergeCell ref="J62:J63"/>
    <mergeCell ref="K62:K63"/>
    <mergeCell ref="D64:D65"/>
    <mergeCell ref="D66:D67"/>
    <mergeCell ref="D68:D69"/>
    <mergeCell ref="G64:G65"/>
    <mergeCell ref="H64:H65"/>
    <mergeCell ref="H68:H69"/>
    <mergeCell ref="I68:I69"/>
    <mergeCell ref="P66:P67"/>
    <mergeCell ref="P68:P69"/>
    <mergeCell ref="C64:C65"/>
    <mergeCell ref="C66:C67"/>
    <mergeCell ref="C68:C69"/>
    <mergeCell ref="N68:N69"/>
    <mergeCell ref="O68:O69"/>
    <mergeCell ref="E64:E65"/>
    <mergeCell ref="F64:F65"/>
    <mergeCell ref="E66:E67"/>
    <mergeCell ref="F66:F67"/>
    <mergeCell ref="E68:E69"/>
    <mergeCell ref="F68:F69"/>
    <mergeCell ref="N66:N67"/>
    <mergeCell ref="O66:O67"/>
    <mergeCell ref="I66:I67"/>
    <mergeCell ref="J66:J67"/>
    <mergeCell ref="K66:K67"/>
    <mergeCell ref="L66:L67"/>
    <mergeCell ref="M66:M67"/>
    <mergeCell ref="L68:L69"/>
    <mergeCell ref="M68:M69"/>
    <mergeCell ref="J68:J69"/>
    <mergeCell ref="G66:G67"/>
    <mergeCell ref="K47:K48"/>
    <mergeCell ref="B45:B46"/>
    <mergeCell ref="C45:C46"/>
    <mergeCell ref="D45:D46"/>
    <mergeCell ref="E45:E46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B49:B50"/>
    <mergeCell ref="C49:C50"/>
    <mergeCell ref="D49:D50"/>
    <mergeCell ref="E49:E50"/>
    <mergeCell ref="F49:F50"/>
    <mergeCell ref="D47:D48"/>
    <mergeCell ref="E47:E48"/>
    <mergeCell ref="F47:F48"/>
    <mergeCell ref="G47:G48"/>
    <mergeCell ref="H47:H48"/>
    <mergeCell ref="I47:I48"/>
    <mergeCell ref="J47:J48"/>
    <mergeCell ref="G68:G69"/>
    <mergeCell ref="K68:K69"/>
    <mergeCell ref="H66:H67"/>
    <mergeCell ref="A64:A65"/>
    <mergeCell ref="A66:A67"/>
    <mergeCell ref="N64:N65"/>
    <mergeCell ref="A60:A63"/>
    <mergeCell ref="N60:P61"/>
    <mergeCell ref="P62:P63"/>
    <mergeCell ref="P64:P65"/>
    <mergeCell ref="K57:K58"/>
    <mergeCell ref="D53:D54"/>
    <mergeCell ref="E53:E54"/>
    <mergeCell ref="F53:F54"/>
    <mergeCell ref="G53:G54"/>
    <mergeCell ref="H53:H54"/>
    <mergeCell ref="I53:I54"/>
    <mergeCell ref="B57:B58"/>
    <mergeCell ref="C57:C58"/>
    <mergeCell ref="D57:D58"/>
    <mergeCell ref="E57:E58"/>
    <mergeCell ref="O64:O65"/>
    <mergeCell ref="B62:B63"/>
    <mergeCell ref="C62:C63"/>
    <mergeCell ref="E62:E63"/>
    <mergeCell ref="F62:F63"/>
    <mergeCell ref="L62:L63"/>
    <mergeCell ref="M62:M63"/>
    <mergeCell ref="N62:N63"/>
    <mergeCell ref="O62:O63"/>
    <mergeCell ref="I64:I65"/>
    <mergeCell ref="J64:J65"/>
    <mergeCell ref="K64:K65"/>
    <mergeCell ref="B64:B65"/>
    <mergeCell ref="L64:L65"/>
    <mergeCell ref="M64:M65"/>
    <mergeCell ref="I41:K41"/>
    <mergeCell ref="C43:C44"/>
    <mergeCell ref="D43:D44"/>
    <mergeCell ref="E43:E44"/>
    <mergeCell ref="F18:G19"/>
    <mergeCell ref="M17:M18"/>
    <mergeCell ref="O17:O18"/>
    <mergeCell ref="M19:M20"/>
    <mergeCell ref="O19:O20"/>
    <mergeCell ref="M21:M22"/>
    <mergeCell ref="O21:O22"/>
    <mergeCell ref="M23:M24"/>
    <mergeCell ref="O23:O24"/>
    <mergeCell ref="F43:F44"/>
    <mergeCell ref="G43:G44"/>
    <mergeCell ref="H43:H44"/>
    <mergeCell ref="I43:I44"/>
    <mergeCell ref="J43:J44"/>
    <mergeCell ref="K43:K44"/>
    <mergeCell ref="L19:L20"/>
    <mergeCell ref="J21:J22"/>
    <mergeCell ref="K21:K22"/>
    <mergeCell ref="L21:L22"/>
    <mergeCell ref="J23:J24"/>
    <mergeCell ref="K45:K46"/>
    <mergeCell ref="K49:K50"/>
    <mergeCell ref="F11:H11"/>
    <mergeCell ref="K11:M11"/>
    <mergeCell ref="B16:G16"/>
    <mergeCell ref="F17:G17"/>
    <mergeCell ref="B6:D6"/>
    <mergeCell ref="G6:I6"/>
    <mergeCell ref="L6:N6"/>
    <mergeCell ref="B8:D8"/>
    <mergeCell ref="G8:I8"/>
    <mergeCell ref="L8:N8"/>
    <mergeCell ref="L17:L18"/>
    <mergeCell ref="N17:N18"/>
    <mergeCell ref="J17:J18"/>
    <mergeCell ref="K17:K18"/>
    <mergeCell ref="G49:G50"/>
    <mergeCell ref="H49:H50"/>
    <mergeCell ref="I49:I50"/>
    <mergeCell ref="H45:H46"/>
    <mergeCell ref="I45:I46"/>
    <mergeCell ref="J45:J46"/>
    <mergeCell ref="B47:B48"/>
    <mergeCell ref="C47:C48"/>
    <mergeCell ref="A1:C1"/>
    <mergeCell ref="A2:D2"/>
    <mergeCell ref="A36:C36"/>
    <mergeCell ref="B22:B23"/>
    <mergeCell ref="C22:C23"/>
    <mergeCell ref="D22:D23"/>
    <mergeCell ref="E22:E23"/>
    <mergeCell ref="F22:G23"/>
    <mergeCell ref="B68:B69"/>
    <mergeCell ref="F20:G21"/>
    <mergeCell ref="B66:B67"/>
    <mergeCell ref="F24:G24"/>
    <mergeCell ref="B41:B42"/>
    <mergeCell ref="C41:D41"/>
    <mergeCell ref="E41:F41"/>
    <mergeCell ref="G41:H41"/>
    <mergeCell ref="B27:B28"/>
    <mergeCell ref="C27:C28"/>
    <mergeCell ref="D27:D28"/>
    <mergeCell ref="E27:E28"/>
    <mergeCell ref="F27:F28"/>
    <mergeCell ref="G27:G28"/>
    <mergeCell ref="H27:H28"/>
    <mergeCell ref="B43:B44"/>
    <mergeCell ref="F57:F58"/>
    <mergeCell ref="G57:G58"/>
    <mergeCell ref="H57:H58"/>
    <mergeCell ref="I57:I58"/>
    <mergeCell ref="J57:J58"/>
    <mergeCell ref="K19:K20"/>
    <mergeCell ref="J49:J50"/>
    <mergeCell ref="K53:K54"/>
    <mergeCell ref="B55:B56"/>
    <mergeCell ref="C55:C56"/>
    <mergeCell ref="D55:D56"/>
    <mergeCell ref="E55:E56"/>
    <mergeCell ref="F55:F56"/>
    <mergeCell ref="B53:B54"/>
    <mergeCell ref="C53:C54"/>
    <mergeCell ref="J53:J54"/>
    <mergeCell ref="G55:G56"/>
    <mergeCell ref="H55:H56"/>
    <mergeCell ref="I55:I56"/>
    <mergeCell ref="J55:J56"/>
    <mergeCell ref="K55:K56"/>
    <mergeCell ref="A37:D37"/>
    <mergeCell ref="F45:F46"/>
    <mergeCell ref="G45:G46"/>
    <mergeCell ref="A3:P3"/>
    <mergeCell ref="J33:K34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H29:H30"/>
    <mergeCell ref="I29:I30"/>
    <mergeCell ref="J29:K30"/>
    <mergeCell ref="B31:B32"/>
    <mergeCell ref="C31:C32"/>
    <mergeCell ref="K23:K24"/>
    <mergeCell ref="L23:L24"/>
    <mergeCell ref="C29:C30"/>
    <mergeCell ref="D29:D30"/>
    <mergeCell ref="N19:N20"/>
    <mergeCell ref="N21:N22"/>
    <mergeCell ref="N23:N24"/>
    <mergeCell ref="D31:D32"/>
    <mergeCell ref="E31:E32"/>
    <mergeCell ref="F31:F32"/>
    <mergeCell ref="G31:G32"/>
    <mergeCell ref="H31:H32"/>
    <mergeCell ref="B29:B30"/>
    <mergeCell ref="B11:C11"/>
    <mergeCell ref="B18:B19"/>
    <mergeCell ref="C18:C19"/>
    <mergeCell ref="D18:D19"/>
    <mergeCell ref="E18:E19"/>
    <mergeCell ref="E29:E30"/>
    <mergeCell ref="F29:F30"/>
    <mergeCell ref="G29:G30"/>
    <mergeCell ref="B26:K26"/>
    <mergeCell ref="B20:B21"/>
    <mergeCell ref="C20:C21"/>
    <mergeCell ref="D20:D21"/>
    <mergeCell ref="E20:E21"/>
    <mergeCell ref="I27:I28"/>
    <mergeCell ref="J27:K28"/>
    <mergeCell ref="J19:J20"/>
    <mergeCell ref="J16:O16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71" orientation="landscape" horizontalDpi="300" verticalDpi="300" r:id="rId1"/>
  <rowBreaks count="1" manualBreakCount="1">
    <brk id="35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9"/>
  <sheetViews>
    <sheetView rightToLeft="1" view="pageBreakPreview" topLeftCell="A15" zoomScale="60" workbookViewId="0">
      <selection activeCell="A15" sqref="A15"/>
    </sheetView>
  </sheetViews>
  <sheetFormatPr defaultColWidth="9" defaultRowHeight="20.25" x14ac:dyDescent="0.3"/>
  <cols>
    <col min="1" max="1" width="14.625" style="9" customWidth="1"/>
    <col min="2" max="2" width="16.875" style="9" customWidth="1"/>
    <col min="3" max="3" width="10.375" style="9" customWidth="1"/>
    <col min="4" max="8" width="9" style="9"/>
    <col min="9" max="9" width="11.625" style="9" customWidth="1"/>
    <col min="10" max="10" width="13.2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  <c r="M2" s="202"/>
      <c r="N2" s="202"/>
      <c r="O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174</v>
      </c>
      <c r="C6" s="232"/>
      <c r="D6" s="231"/>
      <c r="F6" s="9" t="s">
        <v>2</v>
      </c>
      <c r="G6" s="230" t="s">
        <v>48</v>
      </c>
      <c r="H6" s="232"/>
      <c r="I6" s="231"/>
      <c r="K6" s="9" t="s">
        <v>0</v>
      </c>
      <c r="L6" s="230" t="s">
        <v>129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المسرع'!K32+'التعليم المسرع'!L32</f>
        <v>4</v>
      </c>
      <c r="C8" s="232"/>
      <c r="D8" s="231"/>
      <c r="F8" s="9" t="s">
        <v>3</v>
      </c>
      <c r="G8" s="230">
        <f>'التعليم المسرع'!Q32</f>
        <v>0</v>
      </c>
      <c r="H8" s="232"/>
      <c r="I8" s="231"/>
      <c r="K8" s="9" t="s">
        <v>4</v>
      </c>
      <c r="L8" s="230">
        <f>'التعليم المسرع'!R32</f>
        <v>4</v>
      </c>
      <c r="M8" s="232"/>
      <c r="N8" s="231"/>
    </row>
    <row r="9" spans="1:15" ht="21" thickTop="1" x14ac:dyDescent="0.3"/>
    <row r="10" spans="1:15" ht="21" thickBot="1" x14ac:dyDescent="0.35"/>
    <row r="11" spans="1:15" ht="33.75" customHeight="1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31.5" customHeight="1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1.5" customHeight="1" thickTop="1" thickBot="1" x14ac:dyDescent="0.35">
      <c r="B13" s="16">
        <f>'التعليم المسرع'!K32</f>
        <v>4</v>
      </c>
      <c r="C13" s="17">
        <f>'التعليم المسرع'!L32</f>
        <v>0</v>
      </c>
      <c r="F13" s="18">
        <f>'التعليم المسرع'!H32</f>
        <v>1</v>
      </c>
      <c r="G13" s="19">
        <f>'التعليم المسرع'!I32</f>
        <v>3</v>
      </c>
      <c r="H13" s="20">
        <f>'التعليم المسرع'!J32</f>
        <v>0</v>
      </c>
      <c r="K13" s="16">
        <f>'التعليم المسرع'!FC32</f>
        <v>9</v>
      </c>
      <c r="L13" s="21">
        <f>'التعليم المسرع'!FD32</f>
        <v>11</v>
      </c>
      <c r="M13" s="17">
        <f>SUM(K13:L13)</f>
        <v>20</v>
      </c>
    </row>
    <row r="14" spans="1:15" ht="21" thickTop="1" x14ac:dyDescent="0.3"/>
    <row r="15" spans="1:15" ht="21" thickBot="1" x14ac:dyDescent="0.35"/>
    <row r="16" spans="1:15" ht="33.75" customHeight="1" thickTop="1" thickBot="1" x14ac:dyDescent="0.35">
      <c r="B16" s="186" t="s">
        <v>20</v>
      </c>
      <c r="C16" s="190"/>
      <c r="D16" s="190"/>
      <c r="E16" s="190"/>
      <c r="F16" s="190"/>
      <c r="G16" s="187"/>
      <c r="H16" s="31"/>
      <c r="I16" s="186" t="s">
        <v>30</v>
      </c>
      <c r="J16" s="190"/>
      <c r="K16" s="190"/>
      <c r="L16" s="190"/>
      <c r="M16" s="187"/>
    </row>
    <row r="17" spans="2:13" ht="21.75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المسرع'!CO32</f>
        <v>2</v>
      </c>
      <c r="D18" s="191">
        <f>'التعليم المسرع'!CP32</f>
        <v>4</v>
      </c>
      <c r="E18" s="191">
        <f>'التعليم المسرع'!CQ32</f>
        <v>0</v>
      </c>
      <c r="F18" s="193">
        <f>C18+D18+E18</f>
        <v>6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المسرع'!EU32</f>
        <v>1</v>
      </c>
      <c r="K19" s="210">
        <f>'التعليم المسرع'!EW32</f>
        <v>1</v>
      </c>
      <c r="L19" s="210">
        <f>'التعليم المسرع'!EY32</f>
        <v>7</v>
      </c>
      <c r="M19" s="213">
        <f>SUM(J19:L19)</f>
        <v>9</v>
      </c>
    </row>
    <row r="20" spans="2:13" ht="21.75" thickTop="1" thickBot="1" x14ac:dyDescent="0.35">
      <c r="B20" s="191" t="s">
        <v>18</v>
      </c>
      <c r="C20" s="191">
        <f>'التعليم المسرع'!CR32</f>
        <v>2</v>
      </c>
      <c r="D20" s="191">
        <f>'التعليم المسرع'!CS32</f>
        <v>3</v>
      </c>
      <c r="E20" s="191">
        <f>'التعليم المسرع'!CT32</f>
        <v>0</v>
      </c>
      <c r="F20" s="193">
        <f t="shared" ref="F20" si="0">C20+D20+E20</f>
        <v>5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المسرع'!EV32</f>
        <v>3</v>
      </c>
      <c r="K21" s="210">
        <f>'التعليم المسرع'!EX32</f>
        <v>1</v>
      </c>
      <c r="L21" s="210">
        <f>'التعليم المسرع'!EZ32</f>
        <v>7</v>
      </c>
      <c r="M21" s="213">
        <f>SUM(J21:L21)</f>
        <v>11</v>
      </c>
    </row>
    <row r="22" spans="2:13" ht="21.75" thickTop="1" thickBot="1" x14ac:dyDescent="0.35">
      <c r="B22" s="191" t="s">
        <v>19</v>
      </c>
      <c r="C22" s="191">
        <f>'التعليم المسرع'!CU32</f>
        <v>2</v>
      </c>
      <c r="D22" s="191">
        <f>'التعليم المسرع'!CV32</f>
        <v>4</v>
      </c>
      <c r="E22" s="191">
        <f>'التعليم المسرع'!CW32</f>
        <v>0</v>
      </c>
      <c r="F22" s="193">
        <f t="shared" ref="F22" si="1">C22+D22+E22</f>
        <v>6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4</v>
      </c>
      <c r="K23" s="210">
        <f t="shared" ref="K23:M23" si="2">K19+K21</f>
        <v>2</v>
      </c>
      <c r="L23" s="210">
        <f t="shared" si="2"/>
        <v>14</v>
      </c>
      <c r="M23" s="213">
        <f t="shared" si="2"/>
        <v>20</v>
      </c>
    </row>
    <row r="24" spans="2:13" ht="37.5" customHeight="1" thickTop="1" thickBot="1" x14ac:dyDescent="0.35">
      <c r="B24" s="24" t="s">
        <v>15</v>
      </c>
      <c r="C24" s="25">
        <f>SUM(C18:C23)</f>
        <v>6</v>
      </c>
      <c r="D24" s="25">
        <f>SUM(D18:D23)</f>
        <v>11</v>
      </c>
      <c r="E24" s="25">
        <f>SUM(E18:E23)</f>
        <v>0</v>
      </c>
      <c r="F24" s="206">
        <f>C24+D24+E24</f>
        <v>17</v>
      </c>
      <c r="G24" s="187"/>
      <c r="I24" s="214"/>
      <c r="J24" s="212"/>
      <c r="K24" s="212"/>
      <c r="L24" s="212"/>
      <c r="M24" s="229"/>
    </row>
    <row r="25" spans="2:13" ht="21.75" thickTop="1" thickBot="1" x14ac:dyDescent="0.35"/>
    <row r="26" spans="2:13" ht="31.5" customHeight="1" thickTop="1" thickBot="1" x14ac:dyDescent="0.3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26"/>
      <c r="M26" s="26"/>
    </row>
    <row r="27" spans="2:13" s="1" customFormat="1" ht="19.5" thickTop="1" thickBot="1" x14ac:dyDescent="0.3">
      <c r="B27" s="264" t="s">
        <v>40</v>
      </c>
      <c r="C27" s="244" t="s">
        <v>32</v>
      </c>
      <c r="D27" s="244" t="s">
        <v>33</v>
      </c>
      <c r="E27" s="244" t="s">
        <v>34</v>
      </c>
      <c r="F27" s="244" t="s">
        <v>35</v>
      </c>
      <c r="G27" s="244" t="s">
        <v>36</v>
      </c>
      <c r="H27" s="244" t="s">
        <v>37</v>
      </c>
      <c r="I27" s="244" t="s">
        <v>38</v>
      </c>
      <c r="J27" s="259" t="s">
        <v>15</v>
      </c>
      <c r="K27" s="261"/>
      <c r="L27" s="8"/>
      <c r="M27" s="8"/>
    </row>
    <row r="28" spans="2:13" s="1" customFormat="1" ht="64.5" customHeight="1" thickTop="1" thickBot="1" x14ac:dyDescent="0.3">
      <c r="B28" s="265"/>
      <c r="C28" s="245"/>
      <c r="D28" s="245"/>
      <c r="E28" s="245"/>
      <c r="F28" s="245"/>
      <c r="G28" s="245"/>
      <c r="H28" s="245"/>
      <c r="I28" s="245"/>
      <c r="J28" s="253"/>
      <c r="K28" s="255"/>
      <c r="L28" s="8"/>
      <c r="M28" s="8"/>
    </row>
    <row r="29" spans="2:13" ht="21.75" thickTop="1" thickBot="1" x14ac:dyDescent="0.35">
      <c r="B29" s="211" t="s">
        <v>13</v>
      </c>
      <c r="C29" s="210">
        <f>'التعليم المسرع'!FZ32</f>
        <v>0</v>
      </c>
      <c r="D29" s="210">
        <f>'التعليم المسرع'!FX32</f>
        <v>0</v>
      </c>
      <c r="E29" s="210">
        <f>'التعليم المسرع'!GD32</f>
        <v>0</v>
      </c>
      <c r="F29" s="210">
        <f>'التعليم المسرع'!GB32</f>
        <v>2</v>
      </c>
      <c r="G29" s="210">
        <f>'التعليم المسرع'!GH32</f>
        <v>7</v>
      </c>
      <c r="H29" s="210">
        <f>'التعليم المسرع'!GJ32</f>
        <v>0</v>
      </c>
      <c r="I29" s="210">
        <f>'التعليم المسرع'!GL32+'التعليم المسرع'!GF32</f>
        <v>0</v>
      </c>
      <c r="J29" s="210">
        <f>I29+H29+G29+F29+E29+D29+C29</f>
        <v>9</v>
      </c>
      <c r="K29" s="213"/>
      <c r="L29" s="26"/>
      <c r="M29" s="26"/>
    </row>
    <row r="30" spans="2:13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</row>
    <row r="31" spans="2:13" ht="21.75" thickTop="1" thickBot="1" x14ac:dyDescent="0.35">
      <c r="B31" s="211" t="s">
        <v>14</v>
      </c>
      <c r="C31" s="210">
        <f>'التعليم المسرع'!GA32</f>
        <v>0</v>
      </c>
      <c r="D31" s="210">
        <f>'التعليم المسرع'!FY32</f>
        <v>0</v>
      </c>
      <c r="E31" s="210">
        <f>'التعليم المسرع'!GE32</f>
        <v>0</v>
      </c>
      <c r="F31" s="210">
        <f>'التعليم المسرع'!GC32</f>
        <v>3</v>
      </c>
      <c r="G31" s="210">
        <f>'التعليم المسرع'!GI32</f>
        <v>5</v>
      </c>
      <c r="H31" s="210">
        <f>'التعليم المسرع'!GK32</f>
        <v>2</v>
      </c>
      <c r="I31" s="210">
        <f>'التعليم المسرع'!GM32+'التعليم المسرع'!GG32</f>
        <v>1</v>
      </c>
      <c r="J31" s="210">
        <f t="shared" ref="J31" si="3">I31+H31+G31+F31+E31+D31+C31</f>
        <v>11</v>
      </c>
      <c r="K31" s="213"/>
      <c r="L31" s="26"/>
      <c r="M31" s="26"/>
    </row>
    <row r="32" spans="2:13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14" ht="21.75" thickTop="1" thickBot="1" x14ac:dyDescent="0.35">
      <c r="B33" s="211" t="s">
        <v>15</v>
      </c>
      <c r="C33" s="210">
        <f>C29+C31</f>
        <v>0</v>
      </c>
      <c r="D33" s="210">
        <f t="shared" ref="D33:I33" si="4">D29+D31</f>
        <v>0</v>
      </c>
      <c r="E33" s="210">
        <f t="shared" si="4"/>
        <v>0</v>
      </c>
      <c r="F33" s="210">
        <f t="shared" si="4"/>
        <v>5</v>
      </c>
      <c r="G33" s="210">
        <f t="shared" si="4"/>
        <v>12</v>
      </c>
      <c r="H33" s="210">
        <f t="shared" si="4"/>
        <v>2</v>
      </c>
      <c r="I33" s="210">
        <f t="shared" si="4"/>
        <v>1</v>
      </c>
      <c r="J33" s="210">
        <f t="shared" ref="J33" si="5">I33+H33+G33+F33+E33+D33+C33</f>
        <v>20</v>
      </c>
      <c r="K33" s="213"/>
      <c r="L33" s="26"/>
      <c r="M33" s="26"/>
    </row>
    <row r="34" spans="1:14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</row>
    <row r="35" spans="1:14" ht="21" thickTop="1" x14ac:dyDescent="0.3"/>
    <row r="36" spans="1:14" x14ac:dyDescent="0.3">
      <c r="A36" s="202" t="s">
        <v>55</v>
      </c>
      <c r="B36" s="202"/>
      <c r="C36" s="202"/>
    </row>
    <row r="37" spans="1:14" x14ac:dyDescent="0.3">
      <c r="A37" s="202" t="s">
        <v>56</v>
      </c>
      <c r="B37" s="202"/>
      <c r="C37" s="202"/>
      <c r="D37" s="202"/>
      <c r="L37" s="9" t="s">
        <v>147</v>
      </c>
    </row>
    <row r="38" spans="1:14" x14ac:dyDescent="0.3">
      <c r="D38" s="9" t="s">
        <v>54</v>
      </c>
    </row>
    <row r="39" spans="1:14" ht="21" thickBot="1" x14ac:dyDescent="0.35"/>
    <row r="40" spans="1:14" ht="21.75" thickTop="1" thickBot="1" x14ac:dyDescent="0.35">
      <c r="B40" s="215" t="s">
        <v>28</v>
      </c>
      <c r="C40" s="216" t="s">
        <v>17</v>
      </c>
      <c r="D40" s="216"/>
      <c r="E40" s="216" t="s">
        <v>18</v>
      </c>
      <c r="F40" s="216"/>
      <c r="G40" s="216" t="s">
        <v>19</v>
      </c>
      <c r="H40" s="216"/>
      <c r="I40" s="216" t="s">
        <v>29</v>
      </c>
      <c r="J40" s="216"/>
      <c r="K40" s="217"/>
      <c r="L40" s="26"/>
      <c r="M40" s="26"/>
      <c r="N40" s="26"/>
    </row>
    <row r="41" spans="1:14" ht="21.75" thickTop="1" thickBot="1" x14ac:dyDescent="0.35">
      <c r="B41" s="211"/>
      <c r="C41" s="48" t="s">
        <v>10</v>
      </c>
      <c r="D41" s="48" t="s">
        <v>11</v>
      </c>
      <c r="E41" s="48" t="s">
        <v>10</v>
      </c>
      <c r="F41" s="48" t="s">
        <v>11</v>
      </c>
      <c r="G41" s="48" t="s">
        <v>10</v>
      </c>
      <c r="H41" s="48" t="s">
        <v>11</v>
      </c>
      <c r="I41" s="48" t="s">
        <v>10</v>
      </c>
      <c r="J41" s="48" t="s">
        <v>11</v>
      </c>
      <c r="K41" s="49" t="s">
        <v>15</v>
      </c>
      <c r="L41" s="26"/>
      <c r="M41" s="26"/>
      <c r="N41" s="26"/>
    </row>
    <row r="42" spans="1:14" ht="21.75" thickTop="1" thickBot="1" x14ac:dyDescent="0.35">
      <c r="B42" s="211" t="s">
        <v>21</v>
      </c>
      <c r="C42" s="210">
        <f>'التعليم المسرع'!Y32</f>
        <v>1</v>
      </c>
      <c r="D42" s="210">
        <f>'التعليم المسرع'!Z32</f>
        <v>14</v>
      </c>
      <c r="E42" s="210">
        <f>'التعليم المسرع'!AP32</f>
        <v>0</v>
      </c>
      <c r="F42" s="210">
        <f>'التعليم المسرع'!AQ32</f>
        <v>9</v>
      </c>
      <c r="G42" s="210">
        <f>'التعليم المسرع'!BG32</f>
        <v>0</v>
      </c>
      <c r="H42" s="210">
        <f>'التعليم المسرع'!BH32</f>
        <v>1</v>
      </c>
      <c r="I42" s="210">
        <f>C42+E42+G42</f>
        <v>1</v>
      </c>
      <c r="J42" s="210">
        <f>D42+F42+H42</f>
        <v>24</v>
      </c>
      <c r="K42" s="213">
        <f>SUM(I42:J42)</f>
        <v>25</v>
      </c>
      <c r="L42" s="26"/>
      <c r="M42" s="26"/>
    </row>
    <row r="43" spans="1:14" ht="21.75" thickTop="1" thickBot="1" x14ac:dyDescent="0.35">
      <c r="B43" s="211"/>
      <c r="C43" s="210"/>
      <c r="D43" s="210"/>
      <c r="E43" s="210"/>
      <c r="F43" s="210"/>
      <c r="G43" s="210"/>
      <c r="H43" s="210"/>
      <c r="I43" s="210"/>
      <c r="J43" s="210"/>
      <c r="K43" s="213"/>
      <c r="L43" s="26"/>
      <c r="M43" s="26"/>
    </row>
    <row r="44" spans="1:14" ht="21.75" thickTop="1" thickBot="1" x14ac:dyDescent="0.35">
      <c r="B44" s="211" t="s">
        <v>22</v>
      </c>
      <c r="C44" s="210">
        <f>'التعليم المسرع'!AA32</f>
        <v>9</v>
      </c>
      <c r="D44" s="210">
        <f>'التعليم المسرع'!AB32</f>
        <v>9</v>
      </c>
      <c r="E44" s="210">
        <f>'التعليم المسرع'!AR32</f>
        <v>8</v>
      </c>
      <c r="F44" s="210">
        <f>'التعليم المسرع'!AS32</f>
        <v>11</v>
      </c>
      <c r="G44" s="210">
        <f>'التعليم المسرع'!BI32</f>
        <v>0</v>
      </c>
      <c r="H44" s="210">
        <f>'التعليم المسرع'!BJ32</f>
        <v>1</v>
      </c>
      <c r="I44" s="210">
        <f t="shared" ref="I44:J44" si="6">C44+E44+G44</f>
        <v>17</v>
      </c>
      <c r="J44" s="210">
        <f t="shared" si="6"/>
        <v>21</v>
      </c>
      <c r="K44" s="213">
        <f t="shared" ref="K44" si="7">SUM(I44:J44)</f>
        <v>38</v>
      </c>
      <c r="L44" s="26"/>
      <c r="M44" s="26"/>
    </row>
    <row r="45" spans="1:14" ht="21.75" thickTop="1" thickBot="1" x14ac:dyDescent="0.35">
      <c r="B45" s="211"/>
      <c r="C45" s="210"/>
      <c r="D45" s="210"/>
      <c r="E45" s="210"/>
      <c r="F45" s="210"/>
      <c r="G45" s="210"/>
      <c r="H45" s="210"/>
      <c r="I45" s="210"/>
      <c r="J45" s="210"/>
      <c r="K45" s="213"/>
      <c r="L45" s="26"/>
      <c r="M45" s="26"/>
    </row>
    <row r="46" spans="1:14" ht="21.75" thickTop="1" thickBot="1" x14ac:dyDescent="0.35">
      <c r="B46" s="211" t="s">
        <v>23</v>
      </c>
      <c r="C46" s="210">
        <f>'التعليم المسرع'!AC32</f>
        <v>12</v>
      </c>
      <c r="D46" s="210">
        <f>'التعليم المسرع'!AD32</f>
        <v>6</v>
      </c>
      <c r="E46" s="210">
        <f>'التعليم المسرع'!AT32</f>
        <v>6</v>
      </c>
      <c r="F46" s="210">
        <f>'التعليم المسرع'!AU32</f>
        <v>10</v>
      </c>
      <c r="G46" s="210">
        <f>'التعليم المسرع'!BK32</f>
        <v>4</v>
      </c>
      <c r="H46" s="210">
        <f>'التعليم المسرع'!BL32</f>
        <v>15</v>
      </c>
      <c r="I46" s="210">
        <f t="shared" ref="I46:J46" si="8">C46+E46+G46</f>
        <v>22</v>
      </c>
      <c r="J46" s="210">
        <f t="shared" si="8"/>
        <v>31</v>
      </c>
      <c r="K46" s="213">
        <f t="shared" ref="K46" si="9">SUM(I46:J46)</f>
        <v>53</v>
      </c>
      <c r="L46" s="26"/>
      <c r="M46" s="26"/>
    </row>
    <row r="47" spans="1:14" ht="21.75" thickTop="1" thickBot="1" x14ac:dyDescent="0.35">
      <c r="B47" s="211"/>
      <c r="C47" s="210"/>
      <c r="D47" s="210"/>
      <c r="E47" s="210"/>
      <c r="F47" s="210"/>
      <c r="G47" s="210"/>
      <c r="H47" s="210"/>
      <c r="I47" s="210"/>
      <c r="J47" s="210"/>
      <c r="K47" s="213"/>
      <c r="L47" s="26"/>
      <c r="M47" s="26"/>
    </row>
    <row r="48" spans="1:14" ht="21.75" thickTop="1" thickBot="1" x14ac:dyDescent="0.35">
      <c r="B48" s="211" t="s">
        <v>24</v>
      </c>
      <c r="C48" s="210">
        <f>'التعليم المسرع'!AE32</f>
        <v>13</v>
      </c>
      <c r="D48" s="210">
        <f>'التعليم المسرع'!AF32</f>
        <v>8</v>
      </c>
      <c r="E48" s="210">
        <f>'التعليم المسرع'!AV32</f>
        <v>14</v>
      </c>
      <c r="F48" s="210">
        <f>'التعليم المسرع'!AW32</f>
        <v>11</v>
      </c>
      <c r="G48" s="210">
        <f>'التعليم المسرع'!BM32</f>
        <v>2</v>
      </c>
      <c r="H48" s="210">
        <f>'التعليم المسرع'!BN32</f>
        <v>17</v>
      </c>
      <c r="I48" s="210">
        <f t="shared" ref="I48:J48" si="10">C48+E48+G48</f>
        <v>29</v>
      </c>
      <c r="J48" s="210">
        <f t="shared" si="10"/>
        <v>36</v>
      </c>
      <c r="K48" s="213">
        <f t="shared" ref="K48" si="11">SUM(I48:J48)</f>
        <v>65</v>
      </c>
      <c r="L48" s="26"/>
      <c r="M48" s="26"/>
    </row>
    <row r="49" spans="1:16" ht="21.75" thickTop="1" thickBot="1" x14ac:dyDescent="0.35">
      <c r="B49" s="211"/>
      <c r="C49" s="210"/>
      <c r="D49" s="210"/>
      <c r="E49" s="210"/>
      <c r="F49" s="210"/>
      <c r="G49" s="210"/>
      <c r="H49" s="210"/>
      <c r="I49" s="210"/>
      <c r="J49" s="210"/>
      <c r="K49" s="213"/>
      <c r="L49" s="26"/>
      <c r="M49" s="26"/>
    </row>
    <row r="50" spans="1:16" ht="21.75" thickTop="1" thickBot="1" x14ac:dyDescent="0.35">
      <c r="B50" s="211" t="s">
        <v>25</v>
      </c>
      <c r="C50" s="210">
        <f>'التعليم المسرع'!AG32</f>
        <v>7</v>
      </c>
      <c r="D50" s="210">
        <f>'التعليم المسرع'!AH32</f>
        <v>3</v>
      </c>
      <c r="E50" s="210">
        <f>'التعليم المسرع'!AX32</f>
        <v>12</v>
      </c>
      <c r="F50" s="210">
        <f>'التعليم المسرع'!AY32</f>
        <v>16</v>
      </c>
      <c r="G50" s="210">
        <f>'التعليم المسرع'!BO32</f>
        <v>25</v>
      </c>
      <c r="H50" s="210">
        <f>'التعليم المسرع'!BP32</f>
        <v>17</v>
      </c>
      <c r="I50" s="210">
        <f t="shared" ref="I50:J50" si="12">C50+E50+G50</f>
        <v>44</v>
      </c>
      <c r="J50" s="210">
        <f t="shared" si="12"/>
        <v>36</v>
      </c>
      <c r="K50" s="213">
        <f t="shared" ref="K50" si="13">SUM(I50:J50)</f>
        <v>80</v>
      </c>
      <c r="L50" s="26"/>
      <c r="M50" s="26"/>
    </row>
    <row r="51" spans="1:16" ht="21.75" thickTop="1" thickBot="1" x14ac:dyDescent="0.35">
      <c r="B51" s="211"/>
      <c r="C51" s="210"/>
      <c r="D51" s="210"/>
      <c r="E51" s="210"/>
      <c r="F51" s="210"/>
      <c r="G51" s="210"/>
      <c r="H51" s="210"/>
      <c r="I51" s="210"/>
      <c r="J51" s="210"/>
      <c r="K51" s="213"/>
      <c r="L51" s="26"/>
      <c r="M51" s="26"/>
    </row>
    <row r="52" spans="1:16" ht="21.75" thickTop="1" thickBot="1" x14ac:dyDescent="0.35">
      <c r="B52" s="211" t="s">
        <v>26</v>
      </c>
      <c r="C52" s="210">
        <f>'التعليم المسرع'!AI32</f>
        <v>3</v>
      </c>
      <c r="D52" s="210">
        <f>'التعليم المسرع'!AJ32</f>
        <v>2</v>
      </c>
      <c r="E52" s="210">
        <f>'التعليم المسرع'!AZ32</f>
        <v>10</v>
      </c>
      <c r="F52" s="210">
        <f>'التعليم المسرع'!BA32</f>
        <v>7</v>
      </c>
      <c r="G52" s="210">
        <f>'التعليم المسرع'!BQ32</f>
        <v>15</v>
      </c>
      <c r="H52" s="210">
        <f>'التعليم المسرع'!BR32</f>
        <v>17</v>
      </c>
      <c r="I52" s="210">
        <f t="shared" ref="I52:J52" si="14">C52+E52+G52</f>
        <v>28</v>
      </c>
      <c r="J52" s="210">
        <f t="shared" si="14"/>
        <v>26</v>
      </c>
      <c r="K52" s="213">
        <f t="shared" ref="K52" si="15">SUM(I52:J52)</f>
        <v>54</v>
      </c>
      <c r="L52" s="26"/>
      <c r="M52" s="26"/>
      <c r="N52" s="26"/>
    </row>
    <row r="53" spans="1:16" ht="21.75" thickTop="1" thickBot="1" x14ac:dyDescent="0.35">
      <c r="B53" s="211"/>
      <c r="C53" s="210"/>
      <c r="D53" s="210"/>
      <c r="E53" s="210"/>
      <c r="F53" s="210"/>
      <c r="G53" s="210"/>
      <c r="H53" s="210"/>
      <c r="I53" s="210"/>
      <c r="J53" s="210"/>
      <c r="K53" s="213"/>
    </row>
    <row r="54" spans="1:16" ht="21.75" thickTop="1" thickBot="1" x14ac:dyDescent="0.35">
      <c r="B54" s="211" t="s">
        <v>27</v>
      </c>
      <c r="C54" s="210">
        <f>'التعليم المسرع'!AK32</f>
        <v>4</v>
      </c>
      <c r="D54" s="210">
        <f>'التعليم المسرع'!AL32</f>
        <v>4</v>
      </c>
      <c r="E54" s="210">
        <f>'التعليم المسرع'!BB32</f>
        <v>7</v>
      </c>
      <c r="F54" s="210">
        <f>'التعليم المسرع'!BC32</f>
        <v>11</v>
      </c>
      <c r="G54" s="210">
        <f>'التعليم المسرع'!BS32</f>
        <v>7</v>
      </c>
      <c r="H54" s="210">
        <f>'التعليم المسرع'!BT32</f>
        <v>12</v>
      </c>
      <c r="I54" s="210">
        <f t="shared" ref="I54:J54" si="16">C54+E54+G54</f>
        <v>18</v>
      </c>
      <c r="J54" s="210">
        <f t="shared" si="16"/>
        <v>27</v>
      </c>
      <c r="K54" s="213">
        <f t="shared" ref="K54" si="17">SUM(I54:J54)</f>
        <v>45</v>
      </c>
    </row>
    <row r="55" spans="1:16" ht="21.75" thickTop="1" thickBot="1" x14ac:dyDescent="0.35">
      <c r="B55" s="211"/>
      <c r="C55" s="210"/>
      <c r="D55" s="210"/>
      <c r="E55" s="210"/>
      <c r="F55" s="210"/>
      <c r="G55" s="210"/>
      <c r="H55" s="210"/>
      <c r="I55" s="210"/>
      <c r="J55" s="210"/>
      <c r="K55" s="213"/>
    </row>
    <row r="56" spans="1:16" ht="21.75" thickTop="1" thickBot="1" x14ac:dyDescent="0.35">
      <c r="B56" s="211" t="s">
        <v>15</v>
      </c>
      <c r="C56" s="210">
        <f t="shared" ref="C56:H56" si="18">C42+C44+C46+C48+C50+C52+C54</f>
        <v>49</v>
      </c>
      <c r="D56" s="210">
        <f t="shared" si="18"/>
        <v>46</v>
      </c>
      <c r="E56" s="210">
        <f t="shared" si="18"/>
        <v>57</v>
      </c>
      <c r="F56" s="210">
        <f t="shared" si="18"/>
        <v>75</v>
      </c>
      <c r="G56" s="210">
        <f t="shared" si="18"/>
        <v>53</v>
      </c>
      <c r="H56" s="210">
        <f t="shared" si="18"/>
        <v>80</v>
      </c>
      <c r="I56" s="210">
        <f>C56+E56+G56</f>
        <v>159</v>
      </c>
      <c r="J56" s="210">
        <f t="shared" ref="J56" si="19">D56+F56+H56</f>
        <v>201</v>
      </c>
      <c r="K56" s="213">
        <f t="shared" ref="K56" si="20">SUM(I56:J56)</f>
        <v>360</v>
      </c>
    </row>
    <row r="57" spans="1:16" ht="21.75" thickTop="1" thickBot="1" x14ac:dyDescent="0.35">
      <c r="B57" s="214"/>
      <c r="C57" s="212"/>
      <c r="D57" s="212"/>
      <c r="E57" s="212"/>
      <c r="F57" s="212"/>
      <c r="G57" s="212"/>
      <c r="H57" s="212"/>
      <c r="I57" s="212"/>
      <c r="J57" s="212"/>
      <c r="K57" s="229"/>
    </row>
    <row r="58" spans="1:16" ht="21.75" thickTop="1" thickBot="1" x14ac:dyDescent="0.35"/>
    <row r="59" spans="1:16" ht="39" customHeight="1" thickTop="1" thickBot="1" x14ac:dyDescent="0.35">
      <c r="A59" s="215"/>
      <c r="B59" s="227" t="s">
        <v>277</v>
      </c>
      <c r="C59" s="227"/>
      <c r="D59" s="227"/>
      <c r="E59" s="227" t="s">
        <v>282</v>
      </c>
      <c r="F59" s="227"/>
      <c r="G59" s="227"/>
      <c r="H59" s="216" t="s">
        <v>283</v>
      </c>
      <c r="I59" s="216"/>
      <c r="J59" s="216"/>
      <c r="K59" s="216"/>
      <c r="L59" s="216"/>
      <c r="M59" s="216"/>
      <c r="N59" s="216" t="s">
        <v>15</v>
      </c>
      <c r="O59" s="216"/>
      <c r="P59" s="217"/>
    </row>
    <row r="60" spans="1:16" ht="30" customHeight="1" thickTop="1" thickBot="1" x14ac:dyDescent="0.35">
      <c r="A60" s="211"/>
      <c r="B60" s="228"/>
      <c r="C60" s="228"/>
      <c r="D60" s="228"/>
      <c r="E60" s="228"/>
      <c r="F60" s="228"/>
      <c r="G60" s="228"/>
      <c r="H60" s="210" t="s">
        <v>193</v>
      </c>
      <c r="I60" s="210"/>
      <c r="J60" s="210" t="s">
        <v>194</v>
      </c>
      <c r="K60" s="210"/>
      <c r="L60" s="210" t="s">
        <v>195</v>
      </c>
      <c r="M60" s="210"/>
      <c r="N60" s="210"/>
      <c r="O60" s="210"/>
      <c r="P60" s="213"/>
    </row>
    <row r="61" spans="1:16" ht="21.75" thickTop="1" thickBot="1" x14ac:dyDescent="0.35">
      <c r="A61" s="211"/>
      <c r="B61" s="210" t="s">
        <v>10</v>
      </c>
      <c r="C61" s="210" t="s">
        <v>11</v>
      </c>
      <c r="D61" s="210" t="s">
        <v>15</v>
      </c>
      <c r="E61" s="210" t="s">
        <v>10</v>
      </c>
      <c r="F61" s="210" t="s">
        <v>11</v>
      </c>
      <c r="G61" s="210" t="s">
        <v>15</v>
      </c>
      <c r="H61" s="210" t="s">
        <v>10</v>
      </c>
      <c r="I61" s="210" t="s">
        <v>11</v>
      </c>
      <c r="J61" s="210" t="s">
        <v>10</v>
      </c>
      <c r="K61" s="210" t="s">
        <v>11</v>
      </c>
      <c r="L61" s="210" t="s">
        <v>10</v>
      </c>
      <c r="M61" s="210" t="s">
        <v>11</v>
      </c>
      <c r="N61" s="210" t="s">
        <v>10</v>
      </c>
      <c r="O61" s="210" t="s">
        <v>11</v>
      </c>
      <c r="P61" s="213" t="s">
        <v>15</v>
      </c>
    </row>
    <row r="62" spans="1:16" ht="21.75" thickTop="1" thickBot="1" x14ac:dyDescent="0.35">
      <c r="A62" s="211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3"/>
    </row>
    <row r="63" spans="1:16" ht="21.75" thickTop="1" thickBot="1" x14ac:dyDescent="0.35">
      <c r="A63" s="211" t="s">
        <v>17</v>
      </c>
      <c r="B63" s="210">
        <f>'التعليم المسرع'!DB32</f>
        <v>0</v>
      </c>
      <c r="C63" s="210">
        <f>'التعليم المسرع'!DC32</f>
        <v>5</v>
      </c>
      <c r="D63" s="253">
        <f>C63+B63</f>
        <v>5</v>
      </c>
      <c r="E63" s="210">
        <f>'التعليم المسرع'!DK32</f>
        <v>27</v>
      </c>
      <c r="F63" s="210">
        <f>'التعليم المسرع'!DL32</f>
        <v>14</v>
      </c>
      <c r="G63" s="253">
        <f>F63+E63</f>
        <v>41</v>
      </c>
      <c r="H63" s="210">
        <f>'التعليم المسرع'!DT32</f>
        <v>29</v>
      </c>
      <c r="I63" s="210">
        <f>'التعليم المسرع'!DU32</f>
        <v>29</v>
      </c>
      <c r="J63" s="210">
        <f>'التعليم المسرع'!EC32</f>
        <v>0</v>
      </c>
      <c r="K63" s="210">
        <f>'التعليم المسرع'!ED32</f>
        <v>1</v>
      </c>
      <c r="L63" s="210">
        <f>'التعليم المسرع'!EL32</f>
        <v>0</v>
      </c>
      <c r="M63" s="210">
        <f>'التعليم المسرع'!EM32</f>
        <v>0</v>
      </c>
      <c r="N63" s="210">
        <f>L63+J63+H63</f>
        <v>29</v>
      </c>
      <c r="O63" s="210">
        <f>M63+K63+I63</f>
        <v>30</v>
      </c>
      <c r="P63" s="213">
        <f>O63+N63</f>
        <v>59</v>
      </c>
    </row>
    <row r="64" spans="1:16" ht="21.75" thickTop="1" thickBot="1" x14ac:dyDescent="0.35">
      <c r="A64" s="211"/>
      <c r="B64" s="210"/>
      <c r="C64" s="210"/>
      <c r="D64" s="253"/>
      <c r="E64" s="210"/>
      <c r="F64" s="210"/>
      <c r="G64" s="253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18</v>
      </c>
      <c r="B65" s="210">
        <f>'التعليم المسرع'!DD32</f>
        <v>0</v>
      </c>
      <c r="C65" s="210">
        <f>'التعليم المسرع'!DE32</f>
        <v>4</v>
      </c>
      <c r="D65" s="253">
        <f t="shared" ref="D65" si="21">C65+B65</f>
        <v>4</v>
      </c>
      <c r="E65" s="210">
        <f>'التعليم المسرع'!DM32</f>
        <v>21</v>
      </c>
      <c r="F65" s="210">
        <f>'التعليم المسرع'!DN32</f>
        <v>27</v>
      </c>
      <c r="G65" s="253">
        <f t="shared" ref="G65" si="22">F65+E65</f>
        <v>48</v>
      </c>
      <c r="H65" s="210">
        <f>'التعليم المسرع'!DV32</f>
        <v>27</v>
      </c>
      <c r="I65" s="210">
        <f>'التعليم المسرع'!DW32</f>
        <v>20</v>
      </c>
      <c r="J65" s="210">
        <f>'التعليم المسرع'!EE32</f>
        <v>0</v>
      </c>
      <c r="K65" s="210">
        <f>'التعليم المسرع'!EF32</f>
        <v>2</v>
      </c>
      <c r="L65" s="210">
        <f>'التعليم المسرع'!EN32</f>
        <v>0</v>
      </c>
      <c r="M65" s="210">
        <f>'التعليم المسرع'!EO32</f>
        <v>0</v>
      </c>
      <c r="N65" s="210">
        <f t="shared" ref="N65" si="23">L65+J65+H65</f>
        <v>27</v>
      </c>
      <c r="O65" s="210">
        <f t="shared" ref="O65" si="24">M65+K65+I65</f>
        <v>22</v>
      </c>
      <c r="P65" s="213">
        <f t="shared" ref="P65" si="25">O65+N65</f>
        <v>49</v>
      </c>
    </row>
    <row r="66" spans="1:16" ht="21.75" thickTop="1" thickBot="1" x14ac:dyDescent="0.35">
      <c r="A66" s="211"/>
      <c r="B66" s="210"/>
      <c r="C66" s="210"/>
      <c r="D66" s="253"/>
      <c r="E66" s="210"/>
      <c r="F66" s="210"/>
      <c r="G66" s="253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19</v>
      </c>
      <c r="B67" s="210">
        <f>'التعليم المسرع'!DF32</f>
        <v>0</v>
      </c>
      <c r="C67" s="210">
        <f>'التعليم المسرع'!DG32</f>
        <v>14</v>
      </c>
      <c r="D67" s="253">
        <f t="shared" ref="D67" si="26">C67+B67</f>
        <v>14</v>
      </c>
      <c r="E67" s="210">
        <f>'التعليم المسرع'!DO32</f>
        <v>37</v>
      </c>
      <c r="F67" s="210">
        <f>'التعليم المسرع'!DP32</f>
        <v>29</v>
      </c>
      <c r="G67" s="253">
        <f t="shared" ref="G67" si="27">F67+E67</f>
        <v>66</v>
      </c>
      <c r="H67" s="210">
        <f>'التعليم المسرع'!DX32</f>
        <v>31</v>
      </c>
      <c r="I67" s="210">
        <f>'التعليم المسرع'!DY32</f>
        <v>13</v>
      </c>
      <c r="J67" s="210">
        <f>'التعليم المسرع'!EG32</f>
        <v>0</v>
      </c>
      <c r="K67" s="210">
        <f>'التعليم المسرع'!EH32</f>
        <v>29</v>
      </c>
      <c r="L67" s="210">
        <f>'التعليم المسرع'!EP32</f>
        <v>0</v>
      </c>
      <c r="M67" s="210">
        <f>'التعليم المسرع'!EQ32</f>
        <v>0</v>
      </c>
      <c r="N67" s="210">
        <f t="shared" ref="N67" si="28">L67+J67+H67</f>
        <v>31</v>
      </c>
      <c r="O67" s="210">
        <f t="shared" ref="O67" si="29">M67+K67+I67</f>
        <v>42</v>
      </c>
      <c r="P67" s="213">
        <f t="shared" ref="P67" si="30">O67+N67</f>
        <v>73</v>
      </c>
    </row>
    <row r="68" spans="1:16" ht="21.75" thickTop="1" thickBot="1" x14ac:dyDescent="0.35">
      <c r="A68" s="214"/>
      <c r="B68" s="212"/>
      <c r="C68" s="212"/>
      <c r="D68" s="254"/>
      <c r="E68" s="212"/>
      <c r="F68" s="212"/>
      <c r="G68" s="254"/>
      <c r="H68" s="212"/>
      <c r="I68" s="212"/>
      <c r="J68" s="212"/>
      <c r="K68" s="212"/>
      <c r="L68" s="212"/>
      <c r="M68" s="212"/>
      <c r="N68" s="212"/>
      <c r="O68" s="212"/>
      <c r="P68" s="229"/>
    </row>
    <row r="69" spans="1:16" ht="21" thickTop="1" x14ac:dyDescent="0.3"/>
  </sheetData>
  <mergeCells count="247">
    <mergeCell ref="G63:G64"/>
    <mergeCell ref="H63:H64"/>
    <mergeCell ref="I63:I64"/>
    <mergeCell ref="J63:J64"/>
    <mergeCell ref="K63:K64"/>
    <mergeCell ref="G65:G66"/>
    <mergeCell ref="H65:H66"/>
    <mergeCell ref="I65:I66"/>
    <mergeCell ref="J65:J66"/>
    <mergeCell ref="K65:K66"/>
    <mergeCell ref="N67:N68"/>
    <mergeCell ref="O67:O68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P65:P66"/>
    <mergeCell ref="N63:N64"/>
    <mergeCell ref="O63:O64"/>
    <mergeCell ref="L63:L64"/>
    <mergeCell ref="M63:M64"/>
    <mergeCell ref="L65:L66"/>
    <mergeCell ref="M65:M66"/>
    <mergeCell ref="L67:L68"/>
    <mergeCell ref="G67:G68"/>
    <mergeCell ref="H67:H68"/>
    <mergeCell ref="I67:I68"/>
    <mergeCell ref="J67:J68"/>
    <mergeCell ref="M67:M68"/>
    <mergeCell ref="E61:E62"/>
    <mergeCell ref="F61:F62"/>
    <mergeCell ref="L61:L62"/>
    <mergeCell ref="M61:M62"/>
    <mergeCell ref="N61:N62"/>
    <mergeCell ref="O61:O62"/>
    <mergeCell ref="P61:P62"/>
    <mergeCell ref="B59:D60"/>
    <mergeCell ref="E59:G60"/>
    <mergeCell ref="H59:M59"/>
    <mergeCell ref="H60:I60"/>
    <mergeCell ref="J60:K60"/>
    <mergeCell ref="L60:M60"/>
    <mergeCell ref="D61:D62"/>
    <mergeCell ref="K61:K62"/>
    <mergeCell ref="G61:G62"/>
    <mergeCell ref="H61:H62"/>
    <mergeCell ref="I61:I62"/>
    <mergeCell ref="J61:J62"/>
    <mergeCell ref="K67:K68"/>
    <mergeCell ref="P67:P68"/>
    <mergeCell ref="C63:C64"/>
    <mergeCell ref="C65:C66"/>
    <mergeCell ref="C67:C68"/>
    <mergeCell ref="B8:D8"/>
    <mergeCell ref="G8:I8"/>
    <mergeCell ref="L8:N8"/>
    <mergeCell ref="B11:C11"/>
    <mergeCell ref="F11:H11"/>
    <mergeCell ref="K11:M11"/>
    <mergeCell ref="B18:B19"/>
    <mergeCell ref="C18:C19"/>
    <mergeCell ref="D18:D19"/>
    <mergeCell ref="E18:E19"/>
    <mergeCell ref="F18:G19"/>
    <mergeCell ref="B63:B64"/>
    <mergeCell ref="B20:B21"/>
    <mergeCell ref="C20:C21"/>
    <mergeCell ref="D20:D21"/>
    <mergeCell ref="E20:E21"/>
    <mergeCell ref="F20:G21"/>
    <mergeCell ref="D63:D64"/>
    <mergeCell ref="N59:P60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D65:D66"/>
    <mergeCell ref="B67:B68"/>
    <mergeCell ref="F24:G24"/>
    <mergeCell ref="A36:C36"/>
    <mergeCell ref="A37:D37"/>
    <mergeCell ref="B40:B41"/>
    <mergeCell ref="C40:D40"/>
    <mergeCell ref="E40:F40"/>
    <mergeCell ref="G40:H40"/>
    <mergeCell ref="H27:H28"/>
    <mergeCell ref="H31:H32"/>
    <mergeCell ref="D67:D68"/>
    <mergeCell ref="A63:A64"/>
    <mergeCell ref="A65:A66"/>
    <mergeCell ref="A67:A68"/>
    <mergeCell ref="A59:A62"/>
    <mergeCell ref="F42:F43"/>
    <mergeCell ref="G42:G43"/>
    <mergeCell ref="B31:B32"/>
    <mergeCell ref="C31:C32"/>
    <mergeCell ref="D31:D32"/>
    <mergeCell ref="B65:B66"/>
    <mergeCell ref="B61:B62"/>
    <mergeCell ref="C61:C62"/>
    <mergeCell ref="I40:K40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I16:M16"/>
    <mergeCell ref="I17:I18"/>
    <mergeCell ref="J17:J18"/>
    <mergeCell ref="K17:K18"/>
    <mergeCell ref="L17:L18"/>
    <mergeCell ref="M17:M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23:I24"/>
    <mergeCell ref="J23:J24"/>
    <mergeCell ref="K23:K24"/>
    <mergeCell ref="L23:L24"/>
    <mergeCell ref="M23:M24"/>
    <mergeCell ref="B26:K26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B22:B23"/>
    <mergeCell ref="C22:C23"/>
    <mergeCell ref="D22:D23"/>
    <mergeCell ref="E22:E23"/>
    <mergeCell ref="F22:G23"/>
    <mergeCell ref="I27:I28"/>
    <mergeCell ref="J27:K28"/>
    <mergeCell ref="B29:B30"/>
    <mergeCell ref="C29:C30"/>
    <mergeCell ref="D29:D30"/>
    <mergeCell ref="E29:E30"/>
    <mergeCell ref="F29:F30"/>
    <mergeCell ref="G29:G30"/>
    <mergeCell ref="H29:H30"/>
    <mergeCell ref="B27:B28"/>
    <mergeCell ref="C27:C28"/>
    <mergeCell ref="D27:D28"/>
    <mergeCell ref="E27:E28"/>
    <mergeCell ref="F27:F28"/>
    <mergeCell ref="G27:G28"/>
    <mergeCell ref="I29:I30"/>
    <mergeCell ref="J29:K30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E31:E32"/>
    <mergeCell ref="F31:F32"/>
    <mergeCell ref="G31:G32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71"/>
  <sheetViews>
    <sheetView rightToLeft="1" view="pageBreakPreview" topLeftCell="A15" zoomScale="60" workbookViewId="0">
      <selection activeCell="E59" sqref="E59"/>
    </sheetView>
  </sheetViews>
  <sheetFormatPr defaultColWidth="9" defaultRowHeight="20.25" x14ac:dyDescent="0.3"/>
  <cols>
    <col min="1" max="1" width="14.625" style="9" customWidth="1"/>
    <col min="2" max="2" width="14.25" style="9" customWidth="1"/>
    <col min="3" max="3" width="10.75" style="9" customWidth="1"/>
    <col min="4" max="5" width="9" style="9"/>
    <col min="6" max="6" width="11.375" style="9" customWidth="1"/>
    <col min="7" max="8" width="9" style="9"/>
    <col min="9" max="9" width="11.625" style="9" customWidth="1"/>
    <col min="10" max="10" width="8.87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  <c r="M2" s="202"/>
      <c r="N2" s="202"/>
      <c r="O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173</v>
      </c>
      <c r="C6" s="232"/>
      <c r="D6" s="231"/>
      <c r="F6" s="9" t="s">
        <v>2</v>
      </c>
      <c r="G6" s="230" t="s">
        <v>48</v>
      </c>
      <c r="H6" s="232"/>
      <c r="I6" s="231"/>
      <c r="K6" s="9" t="s">
        <v>0</v>
      </c>
      <c r="L6" s="230" t="s">
        <v>148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المسرع'!K35+'التعليم المسرع'!L35</f>
        <v>2</v>
      </c>
      <c r="C8" s="232"/>
      <c r="D8" s="231"/>
      <c r="F8" s="9" t="s">
        <v>3</v>
      </c>
      <c r="G8" s="230">
        <f>'التعليم المسرع'!Q35</f>
        <v>0</v>
      </c>
      <c r="H8" s="232"/>
      <c r="I8" s="231"/>
      <c r="K8" s="9" t="s">
        <v>4</v>
      </c>
      <c r="L8" s="230">
        <f>'التعليم المسرع'!R35</f>
        <v>2</v>
      </c>
      <c r="M8" s="232"/>
      <c r="N8" s="231"/>
    </row>
    <row r="9" spans="1:15" ht="21" thickTop="1" x14ac:dyDescent="0.3"/>
    <row r="10" spans="1:15" ht="21" thickBot="1" x14ac:dyDescent="0.35"/>
    <row r="11" spans="1:15" ht="21.75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21.75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1.75" thickTop="1" thickBot="1" x14ac:dyDescent="0.35">
      <c r="B13" s="16">
        <f>'التعليم المسرع'!K35</f>
        <v>2</v>
      </c>
      <c r="C13" s="17">
        <f>'التعليم المسرع'!L35</f>
        <v>0</v>
      </c>
      <c r="F13" s="18">
        <f>'التعليم المسرع'!H35</f>
        <v>1</v>
      </c>
      <c r="G13" s="19">
        <f>'التعليم المسرع'!I35</f>
        <v>1</v>
      </c>
      <c r="H13" s="20">
        <f>'التعليم المسرع'!J35</f>
        <v>0</v>
      </c>
      <c r="K13" s="16">
        <f>'التعليم المسرع'!FC35</f>
        <v>3</v>
      </c>
      <c r="L13" s="21">
        <f>'التعليم المسرع'!FD35</f>
        <v>8</v>
      </c>
      <c r="M13" s="17">
        <f>SUM(K13:L13)</f>
        <v>11</v>
      </c>
    </row>
    <row r="14" spans="1:15" ht="21" thickTop="1" x14ac:dyDescent="0.3"/>
    <row r="15" spans="1:15" ht="21" thickBot="1" x14ac:dyDescent="0.35"/>
    <row r="16" spans="1:15" s="31" customFormat="1" ht="33" customHeight="1" thickTop="1" thickBot="1" x14ac:dyDescent="0.25">
      <c r="B16" s="186" t="s">
        <v>20</v>
      </c>
      <c r="C16" s="190"/>
      <c r="D16" s="190"/>
      <c r="E16" s="190"/>
      <c r="F16" s="190"/>
      <c r="G16" s="187"/>
      <c r="J16" s="186" t="s">
        <v>30</v>
      </c>
      <c r="K16" s="190"/>
      <c r="L16" s="190"/>
      <c r="M16" s="190"/>
      <c r="N16" s="187"/>
    </row>
    <row r="17" spans="2:14" ht="21.75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J17" s="215" t="s">
        <v>31</v>
      </c>
      <c r="K17" s="216" t="s">
        <v>44</v>
      </c>
      <c r="L17" s="216" t="s">
        <v>45</v>
      </c>
      <c r="M17" s="216" t="s">
        <v>46</v>
      </c>
      <c r="N17" s="217" t="s">
        <v>47</v>
      </c>
    </row>
    <row r="18" spans="2:14" ht="21.75" thickTop="1" thickBot="1" x14ac:dyDescent="0.35">
      <c r="B18" s="191" t="s">
        <v>17</v>
      </c>
      <c r="C18" s="191">
        <f>'التعليم المسرع'!CO35</f>
        <v>2</v>
      </c>
      <c r="D18" s="191">
        <f>'التعليم المسرع'!CP35</f>
        <v>1</v>
      </c>
      <c r="E18" s="191">
        <f>'التعليم المسرع'!CQ35</f>
        <v>0</v>
      </c>
      <c r="F18" s="193">
        <f>C18+D18+E18</f>
        <v>3</v>
      </c>
      <c r="G18" s="194"/>
      <c r="J18" s="211"/>
      <c r="K18" s="210"/>
      <c r="L18" s="210"/>
      <c r="M18" s="210"/>
      <c r="N18" s="213"/>
    </row>
    <row r="19" spans="2:14" ht="21.75" thickTop="1" thickBot="1" x14ac:dyDescent="0.35">
      <c r="B19" s="192"/>
      <c r="C19" s="192"/>
      <c r="D19" s="192"/>
      <c r="E19" s="192"/>
      <c r="F19" s="195"/>
      <c r="G19" s="196"/>
      <c r="J19" s="211" t="s">
        <v>13</v>
      </c>
      <c r="K19" s="210">
        <f>'التعليم المسرع'!EU35</f>
        <v>1</v>
      </c>
      <c r="L19" s="210">
        <f>'التعليم المسرع'!EW35</f>
        <v>0</v>
      </c>
      <c r="M19" s="210">
        <f>'التعليم المسرع'!EY35</f>
        <v>2</v>
      </c>
      <c r="N19" s="213">
        <f>SUM(K19:M19)</f>
        <v>3</v>
      </c>
    </row>
    <row r="20" spans="2:14" ht="21.75" thickTop="1" thickBot="1" x14ac:dyDescent="0.35">
      <c r="B20" s="191" t="s">
        <v>18</v>
      </c>
      <c r="C20" s="191">
        <f>'التعليم المسرع'!CR35</f>
        <v>1</v>
      </c>
      <c r="D20" s="191">
        <f>'التعليم المسرع'!CS35</f>
        <v>1</v>
      </c>
      <c r="E20" s="191">
        <f>'التعليم المسرع'!CT35</f>
        <v>0</v>
      </c>
      <c r="F20" s="193">
        <f t="shared" ref="F20" si="0">C20+D20+E20</f>
        <v>2</v>
      </c>
      <c r="G20" s="194"/>
      <c r="J20" s="211"/>
      <c r="K20" s="210"/>
      <c r="L20" s="210"/>
      <c r="M20" s="210"/>
      <c r="N20" s="213"/>
    </row>
    <row r="21" spans="2:14" ht="21.75" thickTop="1" thickBot="1" x14ac:dyDescent="0.35">
      <c r="B21" s="192"/>
      <c r="C21" s="192"/>
      <c r="D21" s="192"/>
      <c r="E21" s="192"/>
      <c r="F21" s="195"/>
      <c r="G21" s="196"/>
      <c r="J21" s="211" t="s">
        <v>14</v>
      </c>
      <c r="K21" s="210">
        <f>'التعليم المسرع'!EV35</f>
        <v>1</v>
      </c>
      <c r="L21" s="210">
        <f>'التعليم المسرع'!EX35</f>
        <v>0</v>
      </c>
      <c r="M21" s="210">
        <f>'التعليم المسرع'!EZ35</f>
        <v>7</v>
      </c>
      <c r="N21" s="213">
        <f>SUM(K21:M21)</f>
        <v>8</v>
      </c>
    </row>
    <row r="22" spans="2:14" ht="21.75" thickTop="1" thickBot="1" x14ac:dyDescent="0.35">
      <c r="B22" s="191" t="s">
        <v>19</v>
      </c>
      <c r="C22" s="191">
        <f>'التعليم المسرع'!CU35</f>
        <v>2</v>
      </c>
      <c r="D22" s="191">
        <f>'التعليم المسرع'!CV35</f>
        <v>2</v>
      </c>
      <c r="E22" s="191">
        <f>'التعليم المسرع'!CW35</f>
        <v>0</v>
      </c>
      <c r="F22" s="193">
        <f t="shared" ref="F22" si="1">C22+D22+E22</f>
        <v>4</v>
      </c>
      <c r="G22" s="194"/>
      <c r="J22" s="211"/>
      <c r="K22" s="210"/>
      <c r="L22" s="210"/>
      <c r="M22" s="210"/>
      <c r="N22" s="213"/>
    </row>
    <row r="23" spans="2:14" ht="21.75" thickTop="1" thickBot="1" x14ac:dyDescent="0.35">
      <c r="B23" s="192"/>
      <c r="C23" s="192"/>
      <c r="D23" s="192"/>
      <c r="E23" s="192"/>
      <c r="F23" s="195"/>
      <c r="G23" s="196"/>
      <c r="J23" s="211" t="s">
        <v>15</v>
      </c>
      <c r="K23" s="210">
        <f>K19+K21</f>
        <v>2</v>
      </c>
      <c r="L23" s="210">
        <f>L19+L21</f>
        <v>0</v>
      </c>
      <c r="M23" s="210">
        <f t="shared" ref="M23:N23" si="2">M19+M21</f>
        <v>9</v>
      </c>
      <c r="N23" s="213">
        <f t="shared" si="2"/>
        <v>11</v>
      </c>
    </row>
    <row r="24" spans="2:14" ht="39.75" customHeight="1" thickTop="1" thickBot="1" x14ac:dyDescent="0.35">
      <c r="B24" s="24" t="s">
        <v>15</v>
      </c>
      <c r="C24" s="25">
        <f>SUM(C18:C23)</f>
        <v>5</v>
      </c>
      <c r="D24" s="25">
        <f>SUM(D18:D23)</f>
        <v>4</v>
      </c>
      <c r="E24" s="25">
        <f>SUM(E18:E23)</f>
        <v>0</v>
      </c>
      <c r="F24" s="206">
        <f>C24+D24+E24</f>
        <v>9</v>
      </c>
      <c r="G24" s="187"/>
      <c r="J24" s="214"/>
      <c r="K24" s="212"/>
      <c r="L24" s="212"/>
      <c r="M24" s="212"/>
      <c r="N24" s="229"/>
    </row>
    <row r="25" spans="2:14" ht="21" thickTop="1" x14ac:dyDescent="0.3"/>
    <row r="26" spans="2:14" ht="9" customHeight="1" thickBot="1" x14ac:dyDescent="0.35">
      <c r="B26" s="27"/>
      <c r="C26" s="27"/>
      <c r="D26" s="27"/>
      <c r="E26" s="27"/>
    </row>
    <row r="27" spans="2:14" ht="32.25" customHeight="1" thickTop="1" thickBot="1" x14ac:dyDescent="0.35">
      <c r="B27" s="186" t="s">
        <v>39</v>
      </c>
      <c r="C27" s="190"/>
      <c r="D27" s="190"/>
      <c r="E27" s="190"/>
      <c r="F27" s="190"/>
      <c r="G27" s="190"/>
      <c r="H27" s="190"/>
      <c r="I27" s="190"/>
      <c r="J27" s="190"/>
      <c r="K27" s="187"/>
      <c r="L27" s="26"/>
      <c r="M27" s="26"/>
    </row>
    <row r="28" spans="2:14" ht="51" customHeight="1" thickTop="1" x14ac:dyDescent="0.3">
      <c r="B28" s="207" t="s">
        <v>40</v>
      </c>
      <c r="C28" s="207" t="s">
        <v>32</v>
      </c>
      <c r="D28" s="207" t="s">
        <v>33</v>
      </c>
      <c r="E28" s="207" t="s">
        <v>34</v>
      </c>
      <c r="F28" s="207" t="s">
        <v>35</v>
      </c>
      <c r="G28" s="207" t="s">
        <v>36</v>
      </c>
      <c r="H28" s="207" t="s">
        <v>37</v>
      </c>
      <c r="I28" s="207" t="s">
        <v>38</v>
      </c>
      <c r="J28" s="225" t="s">
        <v>15</v>
      </c>
      <c r="K28" s="268"/>
      <c r="L28" s="26"/>
      <c r="M28" s="26"/>
    </row>
    <row r="29" spans="2:14" ht="46.5" customHeight="1" thickBot="1" x14ac:dyDescent="0.35">
      <c r="B29" s="208"/>
      <c r="C29" s="208"/>
      <c r="D29" s="208"/>
      <c r="E29" s="208"/>
      <c r="F29" s="208"/>
      <c r="G29" s="208"/>
      <c r="H29" s="208"/>
      <c r="I29" s="208"/>
      <c r="J29" s="222"/>
      <c r="K29" s="267"/>
      <c r="L29" s="26"/>
      <c r="M29" s="26"/>
    </row>
    <row r="30" spans="2:14" ht="21" thickTop="1" x14ac:dyDescent="0.3">
      <c r="B30" s="191" t="s">
        <v>13</v>
      </c>
      <c r="C30" s="224">
        <f>'التعليم المسرع'!FZ35</f>
        <v>0</v>
      </c>
      <c r="D30" s="224">
        <f>'التعليم المسرع'!FX35</f>
        <v>0</v>
      </c>
      <c r="E30" s="224">
        <f>'التعليم المسرع'!GD35</f>
        <v>0</v>
      </c>
      <c r="F30" s="224">
        <f>'التعليم المسرع'!GB35</f>
        <v>1</v>
      </c>
      <c r="G30" s="224">
        <f>'التعليم المسرع'!GH35</f>
        <v>0</v>
      </c>
      <c r="H30" s="224">
        <f>'التعليم المسرع'!GJ35</f>
        <v>2</v>
      </c>
      <c r="I30" s="224">
        <f>'التعليم المسرع'!GL35</f>
        <v>0</v>
      </c>
      <c r="J30" s="220">
        <f>I30+H30+G30+F30+E30+D30+C30</f>
        <v>3</v>
      </c>
      <c r="K30" s="266"/>
      <c r="L30" s="26"/>
      <c r="M30" s="26"/>
    </row>
    <row r="31" spans="2:14" ht="21" thickBot="1" x14ac:dyDescent="0.35">
      <c r="B31" s="192"/>
      <c r="C31" s="218"/>
      <c r="D31" s="218"/>
      <c r="E31" s="218"/>
      <c r="F31" s="218"/>
      <c r="G31" s="218"/>
      <c r="H31" s="218"/>
      <c r="I31" s="218"/>
      <c r="J31" s="222"/>
      <c r="K31" s="267"/>
      <c r="L31" s="26"/>
      <c r="M31" s="26"/>
    </row>
    <row r="32" spans="2:14" ht="21" thickTop="1" x14ac:dyDescent="0.3">
      <c r="B32" s="191" t="s">
        <v>14</v>
      </c>
      <c r="C32" s="224">
        <f>'التعليم المسرع'!GA35</f>
        <v>0</v>
      </c>
      <c r="D32" s="224">
        <f>'التعليم المسرع'!FY35</f>
        <v>1</v>
      </c>
      <c r="E32" s="224">
        <f>'التعليم المسرع'!GE35</f>
        <v>0</v>
      </c>
      <c r="F32" s="224">
        <f>'التعليم المسرع'!GC35</f>
        <v>7</v>
      </c>
      <c r="G32" s="224">
        <f>'التعليم المسرع'!GI35</f>
        <v>0</v>
      </c>
      <c r="H32" s="224">
        <f>'التعليم المسرع'!GK35</f>
        <v>0</v>
      </c>
      <c r="I32" s="224">
        <f>'التعليم المسرع'!GM35</f>
        <v>0</v>
      </c>
      <c r="J32" s="220">
        <f t="shared" ref="J32" si="3">I32+H32+G32+F32+E32+D32+C32</f>
        <v>8</v>
      </c>
      <c r="K32" s="266"/>
      <c r="L32" s="26"/>
      <c r="M32" s="26"/>
    </row>
    <row r="33" spans="1:14" ht="21" thickBot="1" x14ac:dyDescent="0.35">
      <c r="B33" s="192"/>
      <c r="C33" s="218"/>
      <c r="D33" s="218"/>
      <c r="E33" s="218"/>
      <c r="F33" s="218"/>
      <c r="G33" s="218"/>
      <c r="H33" s="218"/>
      <c r="I33" s="218"/>
      <c r="J33" s="222"/>
      <c r="K33" s="267"/>
      <c r="L33" s="26"/>
      <c r="M33" s="26"/>
    </row>
    <row r="34" spans="1:14" ht="21" thickTop="1" x14ac:dyDescent="0.3">
      <c r="B34" s="191" t="s">
        <v>15</v>
      </c>
      <c r="C34" s="224">
        <f>C30+C32</f>
        <v>0</v>
      </c>
      <c r="D34" s="224">
        <f t="shared" ref="D34:I34" si="4">D30+D32</f>
        <v>1</v>
      </c>
      <c r="E34" s="224">
        <f t="shared" si="4"/>
        <v>0</v>
      </c>
      <c r="F34" s="224">
        <f t="shared" si="4"/>
        <v>8</v>
      </c>
      <c r="G34" s="224">
        <f t="shared" si="4"/>
        <v>0</v>
      </c>
      <c r="H34" s="224">
        <f t="shared" si="4"/>
        <v>2</v>
      </c>
      <c r="I34" s="224">
        <f t="shared" si="4"/>
        <v>0</v>
      </c>
      <c r="J34" s="220">
        <f t="shared" ref="J34" si="5">I34+H34+G34+F34+E34+D34+C34</f>
        <v>11</v>
      </c>
      <c r="K34" s="266"/>
      <c r="L34" s="26"/>
      <c r="M34" s="26"/>
    </row>
    <row r="35" spans="1:14" ht="21" thickBot="1" x14ac:dyDescent="0.35">
      <c r="B35" s="218"/>
      <c r="C35" s="218"/>
      <c r="D35" s="218"/>
      <c r="E35" s="218"/>
      <c r="F35" s="218"/>
      <c r="G35" s="218"/>
      <c r="H35" s="218"/>
      <c r="I35" s="218"/>
      <c r="J35" s="222"/>
      <c r="K35" s="267"/>
      <c r="L35" s="26"/>
      <c r="M35" s="26"/>
    </row>
    <row r="36" spans="1:14" ht="21" thickTop="1" x14ac:dyDescent="0.3"/>
    <row r="37" spans="1:14" x14ac:dyDescent="0.3">
      <c r="A37" s="202" t="s">
        <v>55</v>
      </c>
      <c r="B37" s="202"/>
      <c r="C37" s="202"/>
      <c r="J37" s="9" t="s">
        <v>171</v>
      </c>
    </row>
    <row r="38" spans="1:14" x14ac:dyDescent="0.3">
      <c r="A38" s="202" t="s">
        <v>56</v>
      </c>
      <c r="B38" s="202"/>
      <c r="C38" s="202"/>
      <c r="D38" s="202"/>
    </row>
    <row r="39" spans="1:14" x14ac:dyDescent="0.3">
      <c r="D39" s="9" t="s">
        <v>54</v>
      </c>
    </row>
    <row r="40" spans="1:14" ht="21" thickBot="1" x14ac:dyDescent="0.35"/>
    <row r="41" spans="1:14" ht="33" customHeight="1" thickTop="1" thickBot="1" x14ac:dyDescent="0.35">
      <c r="B41" s="215" t="s">
        <v>28</v>
      </c>
      <c r="C41" s="216" t="s">
        <v>17</v>
      </c>
      <c r="D41" s="216"/>
      <c r="E41" s="216" t="s">
        <v>18</v>
      </c>
      <c r="F41" s="216"/>
      <c r="G41" s="216" t="s">
        <v>19</v>
      </c>
      <c r="H41" s="216"/>
      <c r="I41" s="216" t="s">
        <v>29</v>
      </c>
      <c r="J41" s="216"/>
      <c r="K41" s="217"/>
      <c r="L41" s="26"/>
      <c r="M41" s="26"/>
      <c r="N41" s="26"/>
    </row>
    <row r="42" spans="1:14" ht="33" customHeight="1" thickTop="1" thickBot="1" x14ac:dyDescent="0.35">
      <c r="B42" s="211"/>
      <c r="C42" s="48" t="s">
        <v>10</v>
      </c>
      <c r="D42" s="48" t="s">
        <v>11</v>
      </c>
      <c r="E42" s="48" t="s">
        <v>10</v>
      </c>
      <c r="F42" s="48" t="s">
        <v>11</v>
      </c>
      <c r="G42" s="48" t="s">
        <v>10</v>
      </c>
      <c r="H42" s="48" t="s">
        <v>11</v>
      </c>
      <c r="I42" s="48" t="s">
        <v>10</v>
      </c>
      <c r="J42" s="48" t="s">
        <v>11</v>
      </c>
      <c r="K42" s="49" t="s">
        <v>15</v>
      </c>
      <c r="L42" s="26"/>
      <c r="M42" s="26"/>
      <c r="N42" s="26"/>
    </row>
    <row r="43" spans="1:14" ht="21.75" thickTop="1" thickBot="1" x14ac:dyDescent="0.35">
      <c r="B43" s="211" t="s">
        <v>21</v>
      </c>
      <c r="C43" s="210">
        <f>'التعليم المسرع'!Y35</f>
        <v>12</v>
      </c>
      <c r="D43" s="210">
        <f>'التعليم المسرع'!Z35</f>
        <v>2</v>
      </c>
      <c r="E43" s="210">
        <f>'التعليم المسرع'!AP35</f>
        <v>4</v>
      </c>
      <c r="F43" s="210">
        <f>'التعليم المسرع'!AQ35</f>
        <v>4</v>
      </c>
      <c r="G43" s="210">
        <f>'التعليم المسرع'!BG35</f>
        <v>10</v>
      </c>
      <c r="H43" s="210">
        <f>'التعليم المسرع'!BH35</f>
        <v>2</v>
      </c>
      <c r="I43" s="210">
        <f>C43+E43+G43</f>
        <v>26</v>
      </c>
      <c r="J43" s="210">
        <f>D43+F43+H43</f>
        <v>8</v>
      </c>
      <c r="K43" s="213">
        <f>SUM(I43:J43)</f>
        <v>34</v>
      </c>
      <c r="L43" s="26"/>
      <c r="M43" s="26"/>
      <c r="N43" s="26"/>
    </row>
    <row r="44" spans="1:14" ht="21.75" thickTop="1" thickBot="1" x14ac:dyDescent="0.35">
      <c r="B44" s="211"/>
      <c r="C44" s="210"/>
      <c r="D44" s="210"/>
      <c r="E44" s="210"/>
      <c r="F44" s="210"/>
      <c r="G44" s="210"/>
      <c r="H44" s="210"/>
      <c r="I44" s="210"/>
      <c r="J44" s="210"/>
      <c r="K44" s="213"/>
      <c r="L44" s="26"/>
      <c r="M44" s="26"/>
      <c r="N44" s="26"/>
    </row>
    <row r="45" spans="1:14" ht="21.75" thickTop="1" thickBot="1" x14ac:dyDescent="0.35">
      <c r="B45" s="211" t="s">
        <v>22</v>
      </c>
      <c r="C45" s="210">
        <f>'التعليم المسرع'!AA35</f>
        <v>13</v>
      </c>
      <c r="D45" s="210">
        <f>'التعليم المسرع'!AB35</f>
        <v>2</v>
      </c>
      <c r="E45" s="210">
        <f>'التعليم المسرع'!AR35</f>
        <v>2</v>
      </c>
      <c r="F45" s="210">
        <f>'التعليم المسرع'!AS35</f>
        <v>2</v>
      </c>
      <c r="G45" s="210">
        <f>'التعليم المسرع'!BI35</f>
        <v>5</v>
      </c>
      <c r="H45" s="210">
        <f>'التعليم المسرع'!BJ35</f>
        <v>1</v>
      </c>
      <c r="I45" s="210">
        <f t="shared" ref="I45:J45" si="6">C45+E45+G45</f>
        <v>20</v>
      </c>
      <c r="J45" s="210">
        <f t="shared" si="6"/>
        <v>5</v>
      </c>
      <c r="K45" s="213">
        <f t="shared" ref="K45" si="7">SUM(I45:J45)</f>
        <v>25</v>
      </c>
      <c r="L45" s="26"/>
      <c r="M45" s="26"/>
      <c r="N45" s="26"/>
    </row>
    <row r="46" spans="1:14" ht="21.75" thickTop="1" thickBot="1" x14ac:dyDescent="0.35">
      <c r="B46" s="211"/>
      <c r="C46" s="210"/>
      <c r="D46" s="210"/>
      <c r="E46" s="210"/>
      <c r="F46" s="210"/>
      <c r="G46" s="210"/>
      <c r="H46" s="210"/>
      <c r="I46" s="210"/>
      <c r="J46" s="210"/>
      <c r="K46" s="213"/>
      <c r="L46" s="26"/>
      <c r="M46" s="26"/>
      <c r="N46" s="26"/>
    </row>
    <row r="47" spans="1:14" ht="21.75" thickTop="1" thickBot="1" x14ac:dyDescent="0.35">
      <c r="B47" s="211" t="s">
        <v>23</v>
      </c>
      <c r="C47" s="210">
        <f>'التعليم المسرع'!AC35</f>
        <v>9</v>
      </c>
      <c r="D47" s="210">
        <f>'التعليم المسرع'!AD35</f>
        <v>1</v>
      </c>
      <c r="E47" s="210">
        <f>'التعليم المسرع'!AT35</f>
        <v>6</v>
      </c>
      <c r="F47" s="210">
        <f>'التعليم المسرع'!AU35</f>
        <v>7</v>
      </c>
      <c r="G47" s="210">
        <f>'التعليم المسرع'!BK35</f>
        <v>4</v>
      </c>
      <c r="H47" s="210">
        <f>'التعليم المسرع'!BL35</f>
        <v>2</v>
      </c>
      <c r="I47" s="210">
        <f t="shared" ref="I47:J47" si="8">C47+E47+G47</f>
        <v>19</v>
      </c>
      <c r="J47" s="210">
        <f t="shared" si="8"/>
        <v>10</v>
      </c>
      <c r="K47" s="213">
        <f t="shared" ref="K47" si="9">SUM(I47:J47)</f>
        <v>29</v>
      </c>
      <c r="L47" s="26"/>
      <c r="M47" s="26"/>
      <c r="N47" s="26"/>
    </row>
    <row r="48" spans="1:14" ht="21.75" thickTop="1" thickBot="1" x14ac:dyDescent="0.35">
      <c r="B48" s="211"/>
      <c r="C48" s="210"/>
      <c r="D48" s="210"/>
      <c r="E48" s="210"/>
      <c r="F48" s="210"/>
      <c r="G48" s="210"/>
      <c r="H48" s="210"/>
      <c r="I48" s="210"/>
      <c r="J48" s="210"/>
      <c r="K48" s="213"/>
      <c r="L48" s="26"/>
      <c r="M48" s="26"/>
      <c r="N48" s="26"/>
    </row>
    <row r="49" spans="1:16" ht="21.75" thickTop="1" thickBot="1" x14ac:dyDescent="0.35">
      <c r="B49" s="211" t="s">
        <v>24</v>
      </c>
      <c r="C49" s="210">
        <f>'التعليم المسرع'!AE35</f>
        <v>9</v>
      </c>
      <c r="D49" s="210">
        <f>'التعليم المسرع'!AF35</f>
        <v>3</v>
      </c>
      <c r="E49" s="210">
        <f>'التعليم المسرع'!AV35</f>
        <v>11</v>
      </c>
      <c r="F49" s="210">
        <f>'التعليم المسرع'!AW35</f>
        <v>2</v>
      </c>
      <c r="G49" s="210">
        <f>'التعليم المسرع'!BM35</f>
        <v>14</v>
      </c>
      <c r="H49" s="210">
        <f>'التعليم المسرع'!BN35</f>
        <v>3</v>
      </c>
      <c r="I49" s="210">
        <f t="shared" ref="I49:J49" si="10">C49+E49+G49</f>
        <v>34</v>
      </c>
      <c r="J49" s="210">
        <f t="shared" si="10"/>
        <v>8</v>
      </c>
      <c r="K49" s="213">
        <f t="shared" ref="K49" si="11">SUM(I49:J49)</f>
        <v>42</v>
      </c>
      <c r="L49" s="26"/>
      <c r="M49" s="26"/>
      <c r="N49" s="26"/>
    </row>
    <row r="50" spans="1:16" ht="21.75" thickTop="1" thickBot="1" x14ac:dyDescent="0.35">
      <c r="B50" s="211"/>
      <c r="C50" s="210"/>
      <c r="D50" s="210"/>
      <c r="E50" s="210"/>
      <c r="F50" s="210"/>
      <c r="G50" s="210"/>
      <c r="H50" s="210"/>
      <c r="I50" s="210"/>
      <c r="J50" s="210"/>
      <c r="K50" s="213"/>
      <c r="L50" s="26"/>
      <c r="M50" s="26"/>
      <c r="N50" s="26"/>
    </row>
    <row r="51" spans="1:16" ht="21.75" thickTop="1" thickBot="1" x14ac:dyDescent="0.35">
      <c r="B51" s="211" t="s">
        <v>25</v>
      </c>
      <c r="C51" s="210">
        <f>'التعليم المسرع'!AG35</f>
        <v>5</v>
      </c>
      <c r="D51" s="210">
        <f>'التعليم المسرع'!AH35</f>
        <v>1</v>
      </c>
      <c r="E51" s="210">
        <f>'التعليم المسرع'!AX35</f>
        <v>5</v>
      </c>
      <c r="F51" s="210">
        <f>'التعليم المسرع'!AY35</f>
        <v>2</v>
      </c>
      <c r="G51" s="210">
        <f>'التعليم المسرع'!BO35</f>
        <v>10</v>
      </c>
      <c r="H51" s="210">
        <f>'التعليم المسرع'!BP35</f>
        <v>8</v>
      </c>
      <c r="I51" s="210">
        <f t="shared" ref="I51:J51" si="12">C51+E51+G51</f>
        <v>20</v>
      </c>
      <c r="J51" s="210">
        <f t="shared" si="12"/>
        <v>11</v>
      </c>
      <c r="K51" s="213">
        <f t="shared" ref="K51" si="13">SUM(I51:J51)</f>
        <v>31</v>
      </c>
      <c r="L51" s="26"/>
      <c r="M51" s="26"/>
      <c r="N51" s="26"/>
    </row>
    <row r="52" spans="1:16" ht="21.75" thickTop="1" thickBot="1" x14ac:dyDescent="0.35">
      <c r="B52" s="211"/>
      <c r="C52" s="210"/>
      <c r="D52" s="210"/>
      <c r="E52" s="210"/>
      <c r="F52" s="210"/>
      <c r="G52" s="210"/>
      <c r="H52" s="210"/>
      <c r="I52" s="210"/>
      <c r="J52" s="210"/>
      <c r="K52" s="213"/>
      <c r="L52" s="26"/>
      <c r="M52" s="26"/>
    </row>
    <row r="53" spans="1:16" ht="21.75" thickTop="1" thickBot="1" x14ac:dyDescent="0.35">
      <c r="B53" s="211" t="s">
        <v>26</v>
      </c>
      <c r="C53" s="210">
        <f>'التعليم المسرع'!AI35</f>
        <v>4</v>
      </c>
      <c r="D53" s="210">
        <f>'التعليم المسرع'!AJ35</f>
        <v>4</v>
      </c>
      <c r="E53" s="210">
        <f>'التعليم المسرع'!AZ35</f>
        <v>7</v>
      </c>
      <c r="F53" s="210">
        <f>'التعليم المسرع'!BA35</f>
        <v>1</v>
      </c>
      <c r="G53" s="210">
        <f>'التعليم المسرع'!BQ35</f>
        <v>23</v>
      </c>
      <c r="H53" s="210">
        <f>'التعليم المسرع'!BR35</f>
        <v>4</v>
      </c>
      <c r="I53" s="210">
        <f t="shared" ref="I53:J53" si="14">C53+E53+G53</f>
        <v>34</v>
      </c>
      <c r="J53" s="210">
        <f t="shared" si="14"/>
        <v>9</v>
      </c>
      <c r="K53" s="213">
        <f t="shared" ref="K53" si="15">SUM(I53:J53)</f>
        <v>43</v>
      </c>
      <c r="L53" s="26"/>
      <c r="M53" s="26"/>
    </row>
    <row r="54" spans="1:16" ht="21.75" thickTop="1" thickBot="1" x14ac:dyDescent="0.35">
      <c r="B54" s="211"/>
      <c r="C54" s="210"/>
      <c r="D54" s="210"/>
      <c r="E54" s="210"/>
      <c r="F54" s="210"/>
      <c r="G54" s="210"/>
      <c r="H54" s="210"/>
      <c r="I54" s="210"/>
      <c r="J54" s="210"/>
      <c r="K54" s="213"/>
    </row>
    <row r="55" spans="1:16" ht="21.75" thickTop="1" thickBot="1" x14ac:dyDescent="0.35">
      <c r="B55" s="211" t="s">
        <v>27</v>
      </c>
      <c r="C55" s="210">
        <f>'التعليم المسرع'!AK35</f>
        <v>2</v>
      </c>
      <c r="D55" s="210">
        <f>'التعليم المسرع'!AL35</f>
        <v>2</v>
      </c>
      <c r="E55" s="210">
        <f>'التعليم المسرع'!BB35</f>
        <v>5</v>
      </c>
      <c r="F55" s="210">
        <f>'التعليم المسرع'!BC35</f>
        <v>0</v>
      </c>
      <c r="G55" s="210">
        <f>'التعليم المسرع'!BS35</f>
        <v>13</v>
      </c>
      <c r="H55" s="210">
        <f>'التعليم المسرع'!BT35</f>
        <v>12</v>
      </c>
      <c r="I55" s="210">
        <f t="shared" ref="I55:J55" si="16">C55+E55+G55</f>
        <v>20</v>
      </c>
      <c r="J55" s="210">
        <f t="shared" si="16"/>
        <v>14</v>
      </c>
      <c r="K55" s="213">
        <f t="shared" ref="K55" si="17">SUM(I55:J55)</f>
        <v>34</v>
      </c>
    </row>
    <row r="56" spans="1:16" ht="21.75" thickTop="1" thickBot="1" x14ac:dyDescent="0.35">
      <c r="B56" s="211"/>
      <c r="C56" s="210"/>
      <c r="D56" s="210"/>
      <c r="E56" s="210"/>
      <c r="F56" s="210"/>
      <c r="G56" s="210"/>
      <c r="H56" s="210"/>
      <c r="I56" s="210"/>
      <c r="J56" s="210"/>
      <c r="K56" s="213"/>
    </row>
    <row r="57" spans="1:16" ht="21.75" thickTop="1" thickBot="1" x14ac:dyDescent="0.35">
      <c r="B57" s="211" t="s">
        <v>15</v>
      </c>
      <c r="C57" s="210">
        <f t="shared" ref="C57:H57" si="18">C43+C45+C47+C49+C51+C53+C55</f>
        <v>54</v>
      </c>
      <c r="D57" s="210">
        <f t="shared" si="18"/>
        <v>15</v>
      </c>
      <c r="E57" s="210">
        <f t="shared" si="18"/>
        <v>40</v>
      </c>
      <c r="F57" s="210">
        <f t="shared" si="18"/>
        <v>18</v>
      </c>
      <c r="G57" s="210">
        <f t="shared" si="18"/>
        <v>79</v>
      </c>
      <c r="H57" s="210">
        <f t="shared" si="18"/>
        <v>32</v>
      </c>
      <c r="I57" s="210">
        <f>C57+E57+G57</f>
        <v>173</v>
      </c>
      <c r="J57" s="210">
        <f t="shared" ref="J57" si="19">D57+F57+H57</f>
        <v>65</v>
      </c>
      <c r="K57" s="213">
        <f t="shared" ref="K57" si="20">SUM(I57:J57)</f>
        <v>238</v>
      </c>
    </row>
    <row r="58" spans="1:16" ht="21.75" thickTop="1" thickBot="1" x14ac:dyDescent="0.35">
      <c r="B58" s="214"/>
      <c r="C58" s="212"/>
      <c r="D58" s="212"/>
      <c r="E58" s="212"/>
      <c r="F58" s="212"/>
      <c r="G58" s="212"/>
      <c r="H58" s="212"/>
      <c r="I58" s="212"/>
      <c r="J58" s="212"/>
      <c r="K58" s="229"/>
    </row>
    <row r="59" spans="1:16" ht="21" thickTop="1" x14ac:dyDescent="0.3"/>
    <row r="60" spans="1:16" ht="21" thickBot="1" x14ac:dyDescent="0.35"/>
    <row r="61" spans="1:16" ht="33.75" customHeight="1" thickTop="1" thickBot="1" x14ac:dyDescent="0.35">
      <c r="A61" s="215"/>
      <c r="B61" s="227" t="s">
        <v>277</v>
      </c>
      <c r="C61" s="227"/>
      <c r="D61" s="227"/>
      <c r="E61" s="227" t="s">
        <v>282</v>
      </c>
      <c r="F61" s="227"/>
      <c r="G61" s="227"/>
      <c r="H61" s="216" t="s">
        <v>283</v>
      </c>
      <c r="I61" s="216"/>
      <c r="J61" s="216"/>
      <c r="K61" s="216"/>
      <c r="L61" s="216"/>
      <c r="M61" s="216"/>
      <c r="N61" s="216" t="s">
        <v>15</v>
      </c>
      <c r="O61" s="216"/>
      <c r="P61" s="217"/>
    </row>
    <row r="62" spans="1:16" ht="32.25" customHeight="1" thickTop="1" thickBot="1" x14ac:dyDescent="0.35">
      <c r="A62" s="211"/>
      <c r="B62" s="228"/>
      <c r="C62" s="228"/>
      <c r="D62" s="228"/>
      <c r="E62" s="228"/>
      <c r="F62" s="228"/>
      <c r="G62" s="228"/>
      <c r="H62" s="210" t="s">
        <v>193</v>
      </c>
      <c r="I62" s="210"/>
      <c r="J62" s="210" t="s">
        <v>194</v>
      </c>
      <c r="K62" s="210"/>
      <c r="L62" s="210" t="s">
        <v>195</v>
      </c>
      <c r="M62" s="210"/>
      <c r="N62" s="210"/>
      <c r="O62" s="210"/>
      <c r="P62" s="213"/>
    </row>
    <row r="63" spans="1:16" ht="21.75" thickTop="1" thickBot="1" x14ac:dyDescent="0.35">
      <c r="A63" s="211"/>
      <c r="B63" s="210" t="s">
        <v>10</v>
      </c>
      <c r="C63" s="210" t="s">
        <v>11</v>
      </c>
      <c r="D63" s="210" t="s">
        <v>15</v>
      </c>
      <c r="E63" s="210" t="s">
        <v>10</v>
      </c>
      <c r="F63" s="210" t="s">
        <v>11</v>
      </c>
      <c r="G63" s="210" t="s">
        <v>15</v>
      </c>
      <c r="H63" s="210" t="s">
        <v>10</v>
      </c>
      <c r="I63" s="210" t="s">
        <v>11</v>
      </c>
      <c r="J63" s="210" t="s">
        <v>10</v>
      </c>
      <c r="K63" s="210" t="s">
        <v>11</v>
      </c>
      <c r="L63" s="210" t="s">
        <v>10</v>
      </c>
      <c r="M63" s="210" t="s">
        <v>11</v>
      </c>
      <c r="N63" s="210" t="s">
        <v>10</v>
      </c>
      <c r="O63" s="210" t="s">
        <v>11</v>
      </c>
      <c r="P63" s="213" t="s">
        <v>15</v>
      </c>
    </row>
    <row r="64" spans="1:16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17</v>
      </c>
      <c r="B65" s="210">
        <f>'التعليم المسرع'!DB35</f>
        <v>0</v>
      </c>
      <c r="C65" s="210">
        <f>'التعليم المسرع'!DC35</f>
        <v>0</v>
      </c>
      <c r="D65" s="210">
        <f>C65+B65</f>
        <v>0</v>
      </c>
      <c r="E65" s="210">
        <f>'التعليم المسرع'!DK35</f>
        <v>34</v>
      </c>
      <c r="F65" s="210">
        <f>'التعليم المسرع'!DL35</f>
        <v>10</v>
      </c>
      <c r="G65" s="210">
        <f t="shared" ref="G65" si="21">F65+E65</f>
        <v>44</v>
      </c>
      <c r="H65" s="210">
        <f>'التعليم المسرع'!DT35</f>
        <v>1</v>
      </c>
      <c r="I65" s="210">
        <f>'التعليم المسرع'!DU35</f>
        <v>0</v>
      </c>
      <c r="J65" s="210">
        <f>'التعليم المسرع'!EC35</f>
        <v>32</v>
      </c>
      <c r="K65" s="210">
        <f>'التعليم المسرع'!ED35</f>
        <v>0</v>
      </c>
      <c r="L65" s="210">
        <f>'التعليم المسرع'!EL35</f>
        <v>0</v>
      </c>
      <c r="M65" s="210">
        <f>'التعليم المسرع'!EM35</f>
        <v>0</v>
      </c>
      <c r="N65" s="210">
        <f>L65+J65+H65</f>
        <v>33</v>
      </c>
      <c r="O65" s="210">
        <f>M65+K65+I65</f>
        <v>0</v>
      </c>
      <c r="P65" s="213">
        <f>O65+N65</f>
        <v>33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18</v>
      </c>
      <c r="B67" s="210">
        <f>'التعليم المسرع'!DD35</f>
        <v>0</v>
      </c>
      <c r="C67" s="210">
        <f>'التعليم المسرع'!DE35</f>
        <v>2</v>
      </c>
      <c r="D67" s="210">
        <f t="shared" ref="D67" si="22">C67+B67</f>
        <v>2</v>
      </c>
      <c r="E67" s="210">
        <f>'التعليم المسرع'!DM35</f>
        <v>21</v>
      </c>
      <c r="F67" s="210">
        <f>'التعليم المسرع'!DN35</f>
        <v>10</v>
      </c>
      <c r="G67" s="210">
        <f t="shared" ref="G67" si="23">F67+E67</f>
        <v>31</v>
      </c>
      <c r="H67" s="210">
        <f>'التعليم المسرع'!DV35</f>
        <v>1</v>
      </c>
      <c r="I67" s="210">
        <f>'التعليم المسرع'!DW35</f>
        <v>0</v>
      </c>
      <c r="J67" s="210">
        <f>'التعليم المسرع'!EE35</f>
        <v>9</v>
      </c>
      <c r="K67" s="210">
        <f>'التعليم المسرع'!EF35</f>
        <v>0</v>
      </c>
      <c r="L67" s="210">
        <f>'التعليم المسرع'!EN35</f>
        <v>0</v>
      </c>
      <c r="M67" s="210">
        <f>'التعليم المسرع'!EO35</f>
        <v>0</v>
      </c>
      <c r="N67" s="210">
        <f t="shared" ref="N67" si="24">L67+J67+H67</f>
        <v>10</v>
      </c>
      <c r="O67" s="210">
        <f t="shared" ref="O67" si="25">M67+K67+I67</f>
        <v>0</v>
      </c>
      <c r="P67" s="213">
        <f t="shared" ref="P67" si="26">O67+N67</f>
        <v>10</v>
      </c>
    </row>
    <row r="68" spans="1:16" ht="21.75" thickTop="1" thickBot="1" x14ac:dyDescent="0.35">
      <c r="A68" s="211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3"/>
    </row>
    <row r="69" spans="1:16" ht="21.75" thickTop="1" thickBot="1" x14ac:dyDescent="0.35">
      <c r="A69" s="211" t="s">
        <v>19</v>
      </c>
      <c r="B69" s="210">
        <f>'التعليم المسرع'!DF35</f>
        <v>0</v>
      </c>
      <c r="C69" s="210">
        <f>'التعليم المسرع'!DG35</f>
        <v>1</v>
      </c>
      <c r="D69" s="210">
        <f t="shared" ref="D69" si="27">C69+B69</f>
        <v>1</v>
      </c>
      <c r="E69" s="210">
        <f>'التعليم المسرع'!DO35</f>
        <v>17</v>
      </c>
      <c r="F69" s="210">
        <f>'التعليم المسرع'!DP35</f>
        <v>13</v>
      </c>
      <c r="G69" s="210">
        <f t="shared" ref="G69" si="28">F69+E69</f>
        <v>30</v>
      </c>
      <c r="H69" s="210">
        <f>'التعليم المسرع'!DX35</f>
        <v>33</v>
      </c>
      <c r="I69" s="210">
        <f>'التعليم المسرع'!DY35</f>
        <v>3</v>
      </c>
      <c r="J69" s="210">
        <f>'التعليم المسرع'!EG35</f>
        <v>18</v>
      </c>
      <c r="K69" s="210">
        <f>'التعليم المسرع'!EH35</f>
        <v>3</v>
      </c>
      <c r="L69" s="210">
        <f>'التعليم المسرع'!EP35</f>
        <v>0</v>
      </c>
      <c r="M69" s="210">
        <f>'التعليم المسرع'!EQ35</f>
        <v>3</v>
      </c>
      <c r="N69" s="210">
        <f t="shared" ref="N69" si="29">L69+J69+H69</f>
        <v>51</v>
      </c>
      <c r="O69" s="210">
        <f t="shared" ref="O69" si="30">M69+K69+I69</f>
        <v>9</v>
      </c>
      <c r="P69" s="213">
        <f t="shared" ref="P69" si="31">O69+N69</f>
        <v>60</v>
      </c>
    </row>
    <row r="70" spans="1:16" ht="21.75" thickTop="1" thickBot="1" x14ac:dyDescent="0.35">
      <c r="A70" s="214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29"/>
    </row>
    <row r="71" spans="1:16" ht="21" thickTop="1" x14ac:dyDescent="0.3"/>
  </sheetData>
  <mergeCells count="247">
    <mergeCell ref="A61:A64"/>
    <mergeCell ref="A65:A66"/>
    <mergeCell ref="A67:A68"/>
    <mergeCell ref="A69:A70"/>
    <mergeCell ref="B61:D62"/>
    <mergeCell ref="E61:G62"/>
    <mergeCell ref="H61:M61"/>
    <mergeCell ref="H62:I62"/>
    <mergeCell ref="J62:K62"/>
    <mergeCell ref="L62:M62"/>
    <mergeCell ref="D63:D64"/>
    <mergeCell ref="G63:G64"/>
    <mergeCell ref="H63:H64"/>
    <mergeCell ref="I63:I64"/>
    <mergeCell ref="J63:J64"/>
    <mergeCell ref="K63:K64"/>
    <mergeCell ref="D65:D66"/>
    <mergeCell ref="G65:G66"/>
    <mergeCell ref="H65:H66"/>
    <mergeCell ref="I65:I66"/>
    <mergeCell ref="J65:J66"/>
    <mergeCell ref="K65:K66"/>
    <mergeCell ref="D67:D68"/>
    <mergeCell ref="G67:G68"/>
    <mergeCell ref="B65:B66"/>
    <mergeCell ref="C65:C66"/>
    <mergeCell ref="B67:B68"/>
    <mergeCell ref="C67:C68"/>
    <mergeCell ref="B69:B70"/>
    <mergeCell ref="C69:C70"/>
    <mergeCell ref="N69:N70"/>
    <mergeCell ref="O69:O70"/>
    <mergeCell ref="D69:D70"/>
    <mergeCell ref="G69:G70"/>
    <mergeCell ref="H69:H70"/>
    <mergeCell ref="I69:I70"/>
    <mergeCell ref="J69:J70"/>
    <mergeCell ref="K69:K70"/>
    <mergeCell ref="L65:L66"/>
    <mergeCell ref="M65:M66"/>
    <mergeCell ref="L67:L68"/>
    <mergeCell ref="M67:M68"/>
    <mergeCell ref="L69:L70"/>
    <mergeCell ref="M69:M70"/>
    <mergeCell ref="E65:E66"/>
    <mergeCell ref="F65:F66"/>
    <mergeCell ref="E67:E68"/>
    <mergeCell ref="F67:F68"/>
    <mergeCell ref="E69:E70"/>
    <mergeCell ref="F69:F70"/>
    <mergeCell ref="N67:N68"/>
    <mergeCell ref="O67:O68"/>
    <mergeCell ref="P67:P68"/>
    <mergeCell ref="N65:N66"/>
    <mergeCell ref="O65:O66"/>
    <mergeCell ref="H67:H68"/>
    <mergeCell ref="I67:I68"/>
    <mergeCell ref="J67:J68"/>
    <mergeCell ref="K67:K68"/>
    <mergeCell ref="P69:P70"/>
    <mergeCell ref="P65:P66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M2:O2"/>
    <mergeCell ref="B16:G16"/>
    <mergeCell ref="F17:G17"/>
    <mergeCell ref="B18:B19"/>
    <mergeCell ref="C18:C19"/>
    <mergeCell ref="D18:D19"/>
    <mergeCell ref="E18:E19"/>
    <mergeCell ref="F18:G19"/>
    <mergeCell ref="B20:B21"/>
    <mergeCell ref="C20:C21"/>
    <mergeCell ref="D20:D21"/>
    <mergeCell ref="E20:E21"/>
    <mergeCell ref="F20:G21"/>
    <mergeCell ref="A37:C37"/>
    <mergeCell ref="A38:D38"/>
    <mergeCell ref="B41:B42"/>
    <mergeCell ref="C41:D41"/>
    <mergeCell ref="E41:F41"/>
    <mergeCell ref="G41:H41"/>
    <mergeCell ref="I41:K41"/>
    <mergeCell ref="K43:K44"/>
    <mergeCell ref="K23:K24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B45:B46"/>
    <mergeCell ref="C45:C46"/>
    <mergeCell ref="D45:D46"/>
    <mergeCell ref="E45:E46"/>
    <mergeCell ref="F45:F46"/>
    <mergeCell ref="G45:G46"/>
    <mergeCell ref="N61:P62"/>
    <mergeCell ref="B63:B64"/>
    <mergeCell ref="C63:C64"/>
    <mergeCell ref="E63:E64"/>
    <mergeCell ref="F63:F64"/>
    <mergeCell ref="L63:L64"/>
    <mergeCell ref="M63:M64"/>
    <mergeCell ref="N63:N64"/>
    <mergeCell ref="O63:O64"/>
    <mergeCell ref="P63:P64"/>
    <mergeCell ref="H45:H46"/>
    <mergeCell ref="I45:I46"/>
    <mergeCell ref="J45:J46"/>
    <mergeCell ref="K45:K46"/>
    <mergeCell ref="K47:K48"/>
    <mergeCell ref="K49:K50"/>
    <mergeCell ref="I55:I56"/>
    <mergeCell ref="J55:J56"/>
    <mergeCell ref="K51:K52"/>
    <mergeCell ref="K53:K54"/>
    <mergeCell ref="K57:K58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J16:N16"/>
    <mergeCell ref="J17:J18"/>
    <mergeCell ref="K17:K18"/>
    <mergeCell ref="L17:L18"/>
    <mergeCell ref="M17:M18"/>
    <mergeCell ref="N17:N18"/>
    <mergeCell ref="K55:K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B55:B56"/>
    <mergeCell ref="C55:C56"/>
    <mergeCell ref="D55:D56"/>
    <mergeCell ref="E55:E56"/>
    <mergeCell ref="F55:F56"/>
    <mergeCell ref="G55:G56"/>
    <mergeCell ref="H55:H56"/>
    <mergeCell ref="J23:J24"/>
    <mergeCell ref="L23:L24"/>
    <mergeCell ref="M23:M24"/>
    <mergeCell ref="N23:N24"/>
    <mergeCell ref="B27:K27"/>
    <mergeCell ref="J19:J20"/>
    <mergeCell ref="K19:K20"/>
    <mergeCell ref="L19:L20"/>
    <mergeCell ref="M19:M20"/>
    <mergeCell ref="N19:N20"/>
    <mergeCell ref="J21:J22"/>
    <mergeCell ref="K21:K22"/>
    <mergeCell ref="L21:L22"/>
    <mergeCell ref="M21:M22"/>
    <mergeCell ref="N21:N22"/>
    <mergeCell ref="B22:B23"/>
    <mergeCell ref="C22:C23"/>
    <mergeCell ref="D22:D23"/>
    <mergeCell ref="E22:E23"/>
    <mergeCell ref="F22:G23"/>
    <mergeCell ref="F24:G24"/>
    <mergeCell ref="G28:G29"/>
    <mergeCell ref="I30:I31"/>
    <mergeCell ref="J30:K31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1"/>
  <sheetViews>
    <sheetView rightToLeft="1" view="pageBreakPreview" topLeftCell="B16" zoomScale="60" workbookViewId="0">
      <selection activeCell="I16" sqref="I16:M16"/>
    </sheetView>
  </sheetViews>
  <sheetFormatPr defaultColWidth="9" defaultRowHeight="20.25" x14ac:dyDescent="0.3"/>
  <cols>
    <col min="1" max="1" width="14.625" style="9" customWidth="1"/>
    <col min="2" max="2" width="16.75" style="9" customWidth="1"/>
    <col min="3" max="3" width="10.75" style="9" customWidth="1"/>
    <col min="4" max="8" width="9" style="9"/>
    <col min="9" max="9" width="11.625" style="9" customWidth="1"/>
    <col min="10" max="10" width="13.2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174</v>
      </c>
      <c r="C6" s="232"/>
      <c r="D6" s="231"/>
      <c r="F6" s="9" t="s">
        <v>2</v>
      </c>
      <c r="G6" s="230" t="s">
        <v>48</v>
      </c>
      <c r="H6" s="232"/>
      <c r="I6" s="231"/>
      <c r="K6" s="9" t="s">
        <v>0</v>
      </c>
      <c r="L6" s="230" t="s">
        <v>150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المسرع'!K37+'التعليم المسرع'!L37</f>
        <v>1</v>
      </c>
      <c r="C8" s="232"/>
      <c r="D8" s="231"/>
      <c r="F8" s="9" t="s">
        <v>3</v>
      </c>
      <c r="G8" s="230">
        <f>'التعليم المسرع'!Q37</f>
        <v>0</v>
      </c>
      <c r="H8" s="232"/>
      <c r="I8" s="231"/>
      <c r="K8" s="9" t="s">
        <v>4</v>
      </c>
      <c r="L8" s="230">
        <f>'التعليم المسرع'!R37</f>
        <v>1</v>
      </c>
      <c r="M8" s="232"/>
      <c r="N8" s="231"/>
    </row>
    <row r="9" spans="1:15" ht="21" thickTop="1" x14ac:dyDescent="0.3"/>
    <row r="10" spans="1:15" ht="21" thickBot="1" x14ac:dyDescent="0.35"/>
    <row r="11" spans="1:15" ht="21.75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21.75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1.75" thickTop="1" thickBot="1" x14ac:dyDescent="0.35">
      <c r="B13" s="16">
        <f>'التعليم المسرع'!K37</f>
        <v>1</v>
      </c>
      <c r="C13" s="17">
        <f>'التعليم المسرع'!L37</f>
        <v>0</v>
      </c>
      <c r="F13" s="18">
        <f>'التعليم المسرع'!H37</f>
        <v>1</v>
      </c>
      <c r="G13" s="19">
        <f>'التعليم المسرع'!I37</f>
        <v>0</v>
      </c>
      <c r="H13" s="20">
        <f>'التعليم المسرع'!J37</f>
        <v>0</v>
      </c>
      <c r="K13" s="16">
        <f>'التعليم المسرع'!FC37</f>
        <v>5</v>
      </c>
      <c r="L13" s="16">
        <f>'التعليم المسرع'!FD37</f>
        <v>0</v>
      </c>
      <c r="M13" s="17">
        <f>SUM(K13:L13)</f>
        <v>5</v>
      </c>
    </row>
    <row r="14" spans="1:15" ht="21" thickTop="1" x14ac:dyDescent="0.3"/>
    <row r="15" spans="1:15" ht="21" thickBot="1" x14ac:dyDescent="0.35"/>
    <row r="16" spans="1:15" ht="28.5" customHeight="1" thickTop="1" thickBot="1" x14ac:dyDescent="0.35">
      <c r="B16" s="230" t="s">
        <v>20</v>
      </c>
      <c r="C16" s="232"/>
      <c r="D16" s="232"/>
      <c r="E16" s="232"/>
      <c r="F16" s="232"/>
      <c r="G16" s="231"/>
      <c r="I16" s="230" t="s">
        <v>30</v>
      </c>
      <c r="J16" s="232"/>
      <c r="K16" s="232"/>
      <c r="L16" s="232"/>
      <c r="M16" s="231"/>
    </row>
    <row r="17" spans="2:13" ht="32.2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المسرع'!CO37</f>
        <v>0</v>
      </c>
      <c r="D18" s="191">
        <f>'التعليم المسرع'!CP37</f>
        <v>0</v>
      </c>
      <c r="E18" s="191">
        <f>'التعليم المسرع'!CQ37</f>
        <v>0</v>
      </c>
      <c r="F18" s="193">
        <f>C18+D18+E18</f>
        <v>0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المسرع'!EU37</f>
        <v>1</v>
      </c>
      <c r="K19" s="210">
        <f>'التعليم المسرع'!EW37</f>
        <v>0</v>
      </c>
      <c r="L19" s="210">
        <f>'التعليم المسرع'!EY37</f>
        <v>4</v>
      </c>
      <c r="M19" s="213">
        <f>SUM(J19:L19)</f>
        <v>5</v>
      </c>
    </row>
    <row r="20" spans="2:13" ht="21.75" thickTop="1" thickBot="1" x14ac:dyDescent="0.35">
      <c r="B20" s="191" t="s">
        <v>18</v>
      </c>
      <c r="C20" s="191">
        <f>'التعليم المسرع'!CR37</f>
        <v>1</v>
      </c>
      <c r="D20" s="191">
        <f>'التعليم المسرع'!CS37</f>
        <v>0</v>
      </c>
      <c r="E20" s="191">
        <f>'التعليم المسرع'!CT37</f>
        <v>0</v>
      </c>
      <c r="F20" s="193">
        <f t="shared" ref="F20" si="0">C20+D20+E20</f>
        <v>1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المسرع'!EV37</f>
        <v>0</v>
      </c>
      <c r="K21" s="210">
        <f>'التعليم المسرع'!EX37</f>
        <v>0</v>
      </c>
      <c r="L21" s="210">
        <f>'التعليم المسرع'!EZ37</f>
        <v>0</v>
      </c>
      <c r="M21" s="213">
        <f>SUM(J21:L21)</f>
        <v>0</v>
      </c>
    </row>
    <row r="22" spans="2:13" ht="21.75" thickTop="1" thickBot="1" x14ac:dyDescent="0.35">
      <c r="B22" s="191" t="s">
        <v>19</v>
      </c>
      <c r="C22" s="191">
        <f>'التعليم المسرع'!CU37</f>
        <v>2</v>
      </c>
      <c r="D22" s="191">
        <f>'التعليم المسرع'!CV37</f>
        <v>0</v>
      </c>
      <c r="E22" s="191">
        <f>'التعليم المسرع'!CW37</f>
        <v>0</v>
      </c>
      <c r="F22" s="193">
        <f t="shared" ref="F22" si="1">C22+D22+E22</f>
        <v>2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1</v>
      </c>
      <c r="K23" s="210">
        <f t="shared" ref="K23:M23" si="2">K19+K21</f>
        <v>0</v>
      </c>
      <c r="L23" s="210">
        <f t="shared" si="2"/>
        <v>4</v>
      </c>
      <c r="M23" s="213">
        <f t="shared" si="2"/>
        <v>5</v>
      </c>
    </row>
    <row r="24" spans="2:13" ht="32.25" customHeight="1" thickTop="1" thickBot="1" x14ac:dyDescent="0.35">
      <c r="B24" s="24" t="s">
        <v>15</v>
      </c>
      <c r="C24" s="25">
        <f>SUM(C18:C23)</f>
        <v>3</v>
      </c>
      <c r="D24" s="25">
        <f>SUM(D18:D23)</f>
        <v>0</v>
      </c>
      <c r="E24" s="25">
        <f>SUM(E18:E23)</f>
        <v>0</v>
      </c>
      <c r="F24" s="206">
        <f>C24+D24+E24</f>
        <v>3</v>
      </c>
      <c r="G24" s="187"/>
      <c r="I24" s="214"/>
      <c r="J24" s="212"/>
      <c r="K24" s="212"/>
      <c r="L24" s="212"/>
      <c r="M24" s="229"/>
    </row>
    <row r="25" spans="2:13" ht="21" thickTop="1" x14ac:dyDescent="0.3"/>
    <row r="26" spans="2:13" ht="21" thickBot="1" x14ac:dyDescent="0.35">
      <c r="B26" s="27"/>
      <c r="C26" s="27"/>
      <c r="D26" s="27"/>
      <c r="E26" s="27"/>
    </row>
    <row r="27" spans="2:13" ht="30" customHeight="1" thickTop="1" thickBot="1" x14ac:dyDescent="0.35">
      <c r="B27" s="230" t="s">
        <v>39</v>
      </c>
      <c r="C27" s="232"/>
      <c r="D27" s="232"/>
      <c r="E27" s="232"/>
      <c r="F27" s="232"/>
      <c r="G27" s="232"/>
      <c r="H27" s="232"/>
      <c r="I27" s="232"/>
      <c r="J27" s="232"/>
      <c r="K27" s="231"/>
      <c r="L27" s="26"/>
      <c r="M27" s="26"/>
    </row>
    <row r="28" spans="2:13" s="1" customFormat="1" ht="36.75" customHeight="1" thickTop="1" thickBot="1" x14ac:dyDescent="0.3">
      <c r="B28" s="264" t="s">
        <v>40</v>
      </c>
      <c r="C28" s="244" t="s">
        <v>32</v>
      </c>
      <c r="D28" s="244" t="s">
        <v>33</v>
      </c>
      <c r="E28" s="244" t="s">
        <v>34</v>
      </c>
      <c r="F28" s="244" t="s">
        <v>35</v>
      </c>
      <c r="G28" s="244" t="s">
        <v>36</v>
      </c>
      <c r="H28" s="244" t="s">
        <v>37</v>
      </c>
      <c r="I28" s="244" t="s">
        <v>38</v>
      </c>
      <c r="J28" s="259" t="s">
        <v>15</v>
      </c>
      <c r="K28" s="261"/>
      <c r="L28" s="8"/>
      <c r="M28" s="8"/>
    </row>
    <row r="29" spans="2:13" s="1" customFormat="1" ht="34.5" customHeight="1" thickTop="1" thickBot="1" x14ac:dyDescent="0.3">
      <c r="B29" s="265"/>
      <c r="C29" s="245"/>
      <c r="D29" s="245"/>
      <c r="E29" s="245"/>
      <c r="F29" s="245"/>
      <c r="G29" s="245"/>
      <c r="H29" s="245"/>
      <c r="I29" s="245"/>
      <c r="J29" s="253"/>
      <c r="K29" s="255"/>
      <c r="L29" s="8"/>
      <c r="M29" s="8"/>
    </row>
    <row r="30" spans="2:13" ht="21.75" thickTop="1" thickBot="1" x14ac:dyDescent="0.35">
      <c r="B30" s="211" t="s">
        <v>13</v>
      </c>
      <c r="C30" s="210">
        <f>'التعليم المسرع'!FZ37</f>
        <v>0</v>
      </c>
      <c r="D30" s="210">
        <f>'التعليم المسرع'!FX37</f>
        <v>0</v>
      </c>
      <c r="E30" s="210">
        <f>'التعليم المسرع'!GD37</f>
        <v>0</v>
      </c>
      <c r="F30" s="210">
        <f>'التعليم المسرع'!GB37</f>
        <v>1</v>
      </c>
      <c r="G30" s="210">
        <f>'التعليم المسرع'!GH37</f>
        <v>4</v>
      </c>
      <c r="H30" s="210">
        <f>'التعليم المسرع'!GJ37</f>
        <v>0</v>
      </c>
      <c r="I30" s="210">
        <f>'التعليم المسرع'!GL37</f>
        <v>0</v>
      </c>
      <c r="J30" s="210">
        <f>I30+H30+G30+F30+E30+D30+C30</f>
        <v>5</v>
      </c>
      <c r="K30" s="213"/>
      <c r="L30" s="26"/>
      <c r="M30" s="26"/>
    </row>
    <row r="31" spans="2:13" ht="21.75" thickTop="1" thickBot="1" x14ac:dyDescent="0.35">
      <c r="B31" s="211"/>
      <c r="C31" s="210"/>
      <c r="D31" s="210"/>
      <c r="E31" s="210"/>
      <c r="F31" s="210"/>
      <c r="G31" s="210"/>
      <c r="H31" s="210"/>
      <c r="I31" s="210"/>
      <c r="J31" s="210"/>
      <c r="K31" s="213"/>
      <c r="L31" s="26"/>
      <c r="M31" s="26"/>
    </row>
    <row r="32" spans="2:13" ht="21.75" thickTop="1" thickBot="1" x14ac:dyDescent="0.35">
      <c r="B32" s="211" t="s">
        <v>14</v>
      </c>
      <c r="C32" s="210">
        <f>'التعليم المسرع'!GA37</f>
        <v>0</v>
      </c>
      <c r="D32" s="210">
        <f>'التعليم المسرع'!FY37</f>
        <v>0</v>
      </c>
      <c r="E32" s="210">
        <f>'التعليم المسرع'!GE37</f>
        <v>0</v>
      </c>
      <c r="F32" s="210">
        <f>'التعليم المسرع'!GC37</f>
        <v>0</v>
      </c>
      <c r="G32" s="210">
        <f>'التعليم المسرع'!GI37</f>
        <v>0</v>
      </c>
      <c r="H32" s="210">
        <f>'التعليم المسرع'!GK37</f>
        <v>0</v>
      </c>
      <c r="I32" s="210">
        <f>'التعليم المسرع'!GM37</f>
        <v>0</v>
      </c>
      <c r="J32" s="210">
        <f t="shared" ref="J32" si="3">I32+H32+G32+F32+E32+D32+C32</f>
        <v>0</v>
      </c>
      <c r="K32" s="213"/>
      <c r="L32" s="26"/>
      <c r="M32" s="26"/>
    </row>
    <row r="33" spans="1:14" ht="21.75" thickTop="1" thickBot="1" x14ac:dyDescent="0.35">
      <c r="B33" s="211"/>
      <c r="C33" s="210"/>
      <c r="D33" s="210"/>
      <c r="E33" s="210"/>
      <c r="F33" s="210"/>
      <c r="G33" s="210"/>
      <c r="H33" s="210"/>
      <c r="I33" s="210"/>
      <c r="J33" s="210"/>
      <c r="K33" s="213"/>
      <c r="L33" s="26"/>
      <c r="M33" s="26"/>
    </row>
    <row r="34" spans="1:14" ht="21.75" thickTop="1" thickBot="1" x14ac:dyDescent="0.35">
      <c r="B34" s="211" t="s">
        <v>15</v>
      </c>
      <c r="C34" s="210">
        <f>C30+C32</f>
        <v>0</v>
      </c>
      <c r="D34" s="210">
        <f t="shared" ref="D34:I34" si="4">D30+D32</f>
        <v>0</v>
      </c>
      <c r="E34" s="210">
        <f t="shared" si="4"/>
        <v>0</v>
      </c>
      <c r="F34" s="210">
        <f t="shared" si="4"/>
        <v>1</v>
      </c>
      <c r="G34" s="210">
        <f t="shared" si="4"/>
        <v>4</v>
      </c>
      <c r="H34" s="210">
        <f t="shared" si="4"/>
        <v>0</v>
      </c>
      <c r="I34" s="210">
        <f t="shared" si="4"/>
        <v>0</v>
      </c>
      <c r="J34" s="210">
        <f t="shared" ref="J34" si="5">I34+H34+G34+F34+E34+D34+C34</f>
        <v>5</v>
      </c>
      <c r="K34" s="213"/>
      <c r="L34" s="26"/>
      <c r="M34" s="26"/>
    </row>
    <row r="35" spans="1:14" ht="21.75" thickTop="1" thickBot="1" x14ac:dyDescent="0.35">
      <c r="B35" s="214"/>
      <c r="C35" s="212"/>
      <c r="D35" s="212"/>
      <c r="E35" s="212"/>
      <c r="F35" s="212"/>
      <c r="G35" s="212"/>
      <c r="H35" s="212"/>
      <c r="I35" s="212"/>
      <c r="J35" s="212"/>
      <c r="K35" s="229"/>
      <c r="L35" s="26"/>
      <c r="M35" s="26"/>
    </row>
    <row r="36" spans="1:14" ht="21" thickTop="1" x14ac:dyDescent="0.3"/>
    <row r="37" spans="1:14" x14ac:dyDescent="0.3">
      <c r="A37" s="202" t="s">
        <v>55</v>
      </c>
      <c r="B37" s="202"/>
      <c r="C37" s="202"/>
    </row>
    <row r="38" spans="1:14" x14ac:dyDescent="0.3">
      <c r="A38" s="202" t="s">
        <v>56</v>
      </c>
      <c r="B38" s="202"/>
      <c r="C38" s="202"/>
      <c r="D38" s="202"/>
      <c r="K38" s="9" t="s">
        <v>176</v>
      </c>
    </row>
    <row r="39" spans="1:14" x14ac:dyDescent="0.3">
      <c r="D39" s="9" t="s">
        <v>54</v>
      </c>
    </row>
    <row r="40" spans="1:14" ht="21" thickBot="1" x14ac:dyDescent="0.35"/>
    <row r="41" spans="1:14" ht="21.75" thickTop="1" thickBot="1" x14ac:dyDescent="0.35">
      <c r="B41" s="224" t="s">
        <v>28</v>
      </c>
      <c r="C41" s="206" t="s">
        <v>17</v>
      </c>
      <c r="D41" s="250"/>
      <c r="E41" s="206" t="s">
        <v>18</v>
      </c>
      <c r="F41" s="250"/>
      <c r="G41" s="206" t="s">
        <v>19</v>
      </c>
      <c r="H41" s="250"/>
      <c r="I41" s="206" t="s">
        <v>29</v>
      </c>
      <c r="J41" s="190"/>
      <c r="K41" s="250"/>
      <c r="L41" s="26"/>
      <c r="M41" s="26"/>
      <c r="N41" s="26"/>
    </row>
    <row r="42" spans="1:14" ht="21.75" thickTop="1" thickBot="1" x14ac:dyDescent="0.35">
      <c r="B42" s="218"/>
      <c r="C42" s="29" t="s">
        <v>10</v>
      </c>
      <c r="D42" s="29" t="s">
        <v>11</v>
      </c>
      <c r="E42" s="29" t="s">
        <v>10</v>
      </c>
      <c r="F42" s="29" t="s">
        <v>11</v>
      </c>
      <c r="G42" s="29" t="s">
        <v>10</v>
      </c>
      <c r="H42" s="29" t="s">
        <v>11</v>
      </c>
      <c r="I42" s="29" t="s">
        <v>10</v>
      </c>
      <c r="J42" s="29" t="s">
        <v>11</v>
      </c>
      <c r="K42" s="29" t="s">
        <v>15</v>
      </c>
      <c r="L42" s="26"/>
      <c r="M42" s="26"/>
      <c r="N42" s="26"/>
    </row>
    <row r="43" spans="1:14" ht="21" thickTop="1" x14ac:dyDescent="0.3">
      <c r="B43" s="224" t="s">
        <v>21</v>
      </c>
      <c r="C43" s="224">
        <f>'التعليم المسرع'!Y37</f>
        <v>0</v>
      </c>
      <c r="D43" s="224">
        <f>'التعليم المسرع'!Z37</f>
        <v>0</v>
      </c>
      <c r="E43" s="224">
        <f>'التعليم المسرع'!AP37</f>
        <v>1</v>
      </c>
      <c r="F43" s="224">
        <f>'التعليم المسرع'!AQ37</f>
        <v>0</v>
      </c>
      <c r="G43" s="224">
        <f>'التعليم المسرع'!BG37</f>
        <v>0</v>
      </c>
      <c r="H43" s="224">
        <f>'التعليم المسرع'!BH37</f>
        <v>0</v>
      </c>
      <c r="I43" s="224">
        <f>C43+E43+G43</f>
        <v>1</v>
      </c>
      <c r="J43" s="224">
        <f>D43+F43+H43</f>
        <v>0</v>
      </c>
      <c r="K43" s="224">
        <f>SUM(I43:J43)</f>
        <v>1</v>
      </c>
      <c r="L43" s="26"/>
      <c r="M43" s="26"/>
      <c r="N43" s="26"/>
    </row>
    <row r="44" spans="1:14" ht="21" thickBot="1" x14ac:dyDescent="0.35"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6"/>
      <c r="M44" s="26"/>
      <c r="N44" s="26"/>
    </row>
    <row r="45" spans="1:14" ht="21" thickTop="1" x14ac:dyDescent="0.3">
      <c r="B45" s="224" t="s">
        <v>22</v>
      </c>
      <c r="C45" s="224">
        <f>'التعليم المسرع'!AA37</f>
        <v>0</v>
      </c>
      <c r="D45" s="224">
        <f>'التعليم المسرع'!AB37</f>
        <v>0</v>
      </c>
      <c r="E45" s="249">
        <f>'التعليم المسرع'!AR37</f>
        <v>1</v>
      </c>
      <c r="F45" s="249">
        <f>'التعليم المسرع'!AS37</f>
        <v>0</v>
      </c>
      <c r="G45" s="224">
        <f>'التعليم المسرع'!BI37</f>
        <v>2</v>
      </c>
      <c r="H45" s="224">
        <f>'التعليم المسرع'!BJ37</f>
        <v>0</v>
      </c>
      <c r="I45" s="224">
        <f t="shared" ref="I45:J45" si="6">C45+E45+G45</f>
        <v>3</v>
      </c>
      <c r="J45" s="224">
        <f t="shared" si="6"/>
        <v>0</v>
      </c>
      <c r="K45" s="224">
        <f t="shared" ref="K45" si="7">SUM(I45:J45)</f>
        <v>3</v>
      </c>
      <c r="L45" s="26"/>
      <c r="M45" s="26"/>
      <c r="N45" s="26"/>
    </row>
    <row r="46" spans="1:14" ht="21" thickBot="1" x14ac:dyDescent="0.35">
      <c r="B46" s="218"/>
      <c r="C46" s="218"/>
      <c r="D46" s="218"/>
      <c r="E46" s="219"/>
      <c r="F46" s="219"/>
      <c r="G46" s="218"/>
      <c r="H46" s="218"/>
      <c r="I46" s="218"/>
      <c r="J46" s="218"/>
      <c r="K46" s="218"/>
      <c r="L46" s="26"/>
      <c r="M46" s="26"/>
      <c r="N46" s="26"/>
    </row>
    <row r="47" spans="1:14" ht="21" thickTop="1" x14ac:dyDescent="0.3">
      <c r="B47" s="224" t="s">
        <v>23</v>
      </c>
      <c r="C47" s="224">
        <f>'التعليم المسرع'!AC37</f>
        <v>0</v>
      </c>
      <c r="D47" s="224">
        <f>'التعليم المسرع'!AD37</f>
        <v>0</v>
      </c>
      <c r="E47" s="249">
        <f>'التعليم المسرع'!AT37</f>
        <v>7</v>
      </c>
      <c r="F47" s="249">
        <f>'التعليم المسرع'!AU37</f>
        <v>0</v>
      </c>
      <c r="G47" s="224">
        <f>'التعليم المسرع'!BK37</f>
        <v>14</v>
      </c>
      <c r="H47" s="224">
        <f>'التعليم المسرع'!BL37</f>
        <v>0</v>
      </c>
      <c r="I47" s="224">
        <f t="shared" ref="I47:J47" si="8">C47+E47+G47</f>
        <v>21</v>
      </c>
      <c r="J47" s="224">
        <f t="shared" si="8"/>
        <v>0</v>
      </c>
      <c r="K47" s="224">
        <f t="shared" ref="K47" si="9">SUM(I47:J47)</f>
        <v>21</v>
      </c>
      <c r="L47" s="26"/>
      <c r="M47" s="26"/>
      <c r="N47" s="26"/>
    </row>
    <row r="48" spans="1:14" ht="21" thickBot="1" x14ac:dyDescent="0.35">
      <c r="B48" s="218"/>
      <c r="C48" s="218"/>
      <c r="D48" s="218"/>
      <c r="E48" s="219"/>
      <c r="F48" s="219"/>
      <c r="G48" s="218"/>
      <c r="H48" s="218"/>
      <c r="I48" s="218"/>
      <c r="J48" s="218"/>
      <c r="K48" s="218"/>
      <c r="L48" s="26"/>
      <c r="M48" s="26"/>
      <c r="N48" s="26"/>
    </row>
    <row r="49" spans="1:18" ht="21" thickTop="1" x14ac:dyDescent="0.3">
      <c r="B49" s="224" t="s">
        <v>24</v>
      </c>
      <c r="C49" s="224">
        <f>'التعليم المسرع'!AE37</f>
        <v>0</v>
      </c>
      <c r="D49" s="224">
        <f>'التعليم المسرع'!AF37</f>
        <v>0</v>
      </c>
      <c r="E49" s="249">
        <f>'التعليم المسرع'!AV37</f>
        <v>7</v>
      </c>
      <c r="F49" s="249">
        <f>'التعليم المسرع'!AW37</f>
        <v>0</v>
      </c>
      <c r="G49" s="224">
        <f>'التعليم المسرع'!BM37</f>
        <v>9</v>
      </c>
      <c r="H49" s="224">
        <f>'التعليم المسرع'!BN37</f>
        <v>0</v>
      </c>
      <c r="I49" s="224">
        <f t="shared" ref="I49:J49" si="10">C49+E49+G49</f>
        <v>16</v>
      </c>
      <c r="J49" s="224">
        <f t="shared" si="10"/>
        <v>0</v>
      </c>
      <c r="K49" s="224">
        <f t="shared" ref="K49" si="11">SUM(I49:J49)</f>
        <v>16</v>
      </c>
      <c r="L49" s="26"/>
      <c r="M49" s="26"/>
      <c r="N49" s="26"/>
    </row>
    <row r="50" spans="1:18" ht="21" thickBot="1" x14ac:dyDescent="0.35">
      <c r="B50" s="218"/>
      <c r="C50" s="218"/>
      <c r="D50" s="218"/>
      <c r="E50" s="219"/>
      <c r="F50" s="219"/>
      <c r="G50" s="218"/>
      <c r="H50" s="218"/>
      <c r="I50" s="218"/>
      <c r="J50" s="218"/>
      <c r="K50" s="218"/>
      <c r="L50" s="26"/>
      <c r="M50" s="26"/>
      <c r="N50" s="26"/>
    </row>
    <row r="51" spans="1:18" ht="21" thickTop="1" x14ac:dyDescent="0.3">
      <c r="B51" s="224" t="s">
        <v>25</v>
      </c>
      <c r="C51" s="224">
        <f>'التعليم المسرع'!AG37</f>
        <v>0</v>
      </c>
      <c r="D51" s="224">
        <f>'التعليم المسرع'!AH37</f>
        <v>0</v>
      </c>
      <c r="E51" s="249">
        <f>'التعليم المسرع'!AX37</f>
        <v>2</v>
      </c>
      <c r="F51" s="249">
        <f>'التعليم المسرع'!AY37</f>
        <v>0</v>
      </c>
      <c r="G51" s="224">
        <f>'التعليم المسرع'!BO37</f>
        <v>20</v>
      </c>
      <c r="H51" s="224">
        <f>'التعليم المسرع'!BP37</f>
        <v>0</v>
      </c>
      <c r="I51" s="224">
        <f t="shared" ref="I51:J51" si="12">C51+E51+G51</f>
        <v>22</v>
      </c>
      <c r="J51" s="224">
        <f t="shared" si="12"/>
        <v>0</v>
      </c>
      <c r="K51" s="224">
        <f t="shared" ref="K51" si="13">SUM(I51:J51)</f>
        <v>22</v>
      </c>
      <c r="L51" s="26"/>
      <c r="M51" s="26"/>
      <c r="N51" s="26"/>
      <c r="O51" s="26"/>
      <c r="P51" s="26"/>
      <c r="Q51" s="26"/>
      <c r="R51" s="26"/>
    </row>
    <row r="52" spans="1:18" ht="21" thickBot="1" x14ac:dyDescent="0.35">
      <c r="B52" s="218"/>
      <c r="C52" s="218"/>
      <c r="D52" s="218"/>
      <c r="E52" s="219"/>
      <c r="F52" s="219"/>
      <c r="G52" s="218"/>
      <c r="H52" s="218"/>
      <c r="I52" s="218"/>
      <c r="J52" s="218"/>
      <c r="K52" s="218"/>
      <c r="L52" s="26"/>
      <c r="M52" s="26"/>
      <c r="N52" s="26"/>
      <c r="O52" s="26"/>
      <c r="P52" s="26"/>
      <c r="Q52" s="26"/>
      <c r="R52" s="26"/>
    </row>
    <row r="53" spans="1:18" ht="21" thickTop="1" x14ac:dyDescent="0.3">
      <c r="B53" s="224" t="s">
        <v>26</v>
      </c>
      <c r="C53" s="224">
        <f>'التعليم المسرع'!AI37</f>
        <v>0</v>
      </c>
      <c r="D53" s="224">
        <f>'التعليم المسرع'!AJ37</f>
        <v>0</v>
      </c>
      <c r="E53" s="224">
        <f>'التعليم المسرع'!AZ37</f>
        <v>0</v>
      </c>
      <c r="F53" s="224">
        <f>'التعليم المسرع'!BA37</f>
        <v>0</v>
      </c>
      <c r="G53" s="224">
        <f>'التعليم المسرع'!BQ37</f>
        <v>8</v>
      </c>
      <c r="H53" s="224">
        <f>'التعليم المسرع'!BR37</f>
        <v>0</v>
      </c>
      <c r="I53" s="224">
        <f t="shared" ref="I53:J53" si="14">C53+E53+G53</f>
        <v>8</v>
      </c>
      <c r="J53" s="224">
        <f t="shared" si="14"/>
        <v>0</v>
      </c>
      <c r="K53" s="224">
        <f t="shared" ref="K53" si="15">SUM(I53:J53)</f>
        <v>8</v>
      </c>
      <c r="L53" s="26"/>
      <c r="M53" s="26"/>
      <c r="N53" s="26"/>
      <c r="O53" s="26"/>
      <c r="P53" s="26"/>
      <c r="Q53" s="26"/>
      <c r="R53" s="26"/>
    </row>
    <row r="54" spans="1:18" ht="21" thickBot="1" x14ac:dyDescent="0.35"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N54" s="26"/>
      <c r="O54" s="26"/>
      <c r="P54" s="26"/>
      <c r="Q54" s="26"/>
      <c r="R54" s="26"/>
    </row>
    <row r="55" spans="1:18" ht="21" thickTop="1" x14ac:dyDescent="0.3">
      <c r="B55" s="224" t="s">
        <v>27</v>
      </c>
      <c r="C55" s="224">
        <f>'التعليم المسرع'!AK37</f>
        <v>0</v>
      </c>
      <c r="D55" s="224">
        <f>'التعليم المسرع'!AL37</f>
        <v>0</v>
      </c>
      <c r="E55" s="224">
        <f>'التعليم المسرع'!BB37</f>
        <v>1</v>
      </c>
      <c r="F55" s="224">
        <f>'التعليم المسرع'!BC37</f>
        <v>0</v>
      </c>
      <c r="G55" s="224">
        <f>'التعليم المسرع'!BS37</f>
        <v>0</v>
      </c>
      <c r="H55" s="224">
        <f>'التعليم المسرع'!BT37</f>
        <v>0</v>
      </c>
      <c r="I55" s="224">
        <f t="shared" ref="I55:J55" si="16">C55+E55+G55</f>
        <v>1</v>
      </c>
      <c r="J55" s="224">
        <f t="shared" si="16"/>
        <v>0</v>
      </c>
      <c r="K55" s="224">
        <f t="shared" ref="K55" si="17">SUM(I55:J55)</f>
        <v>1</v>
      </c>
      <c r="N55" s="26"/>
      <c r="O55" s="26"/>
      <c r="P55" s="26"/>
      <c r="Q55" s="26"/>
      <c r="R55" s="26"/>
    </row>
    <row r="56" spans="1:18" ht="21" thickBot="1" x14ac:dyDescent="0.35"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N56" s="26"/>
      <c r="O56" s="26"/>
      <c r="P56" s="26"/>
      <c r="Q56" s="26"/>
      <c r="R56" s="26"/>
    </row>
    <row r="57" spans="1:18" ht="21" thickTop="1" x14ac:dyDescent="0.3">
      <c r="B57" s="224" t="s">
        <v>15</v>
      </c>
      <c r="C57" s="224">
        <f t="shared" ref="C57:H57" si="18">C43+C45+C47+C49+C51+C53+C55</f>
        <v>0</v>
      </c>
      <c r="D57" s="224">
        <f t="shared" si="18"/>
        <v>0</v>
      </c>
      <c r="E57" s="224">
        <f t="shared" si="18"/>
        <v>19</v>
      </c>
      <c r="F57" s="224">
        <f t="shared" si="18"/>
        <v>0</v>
      </c>
      <c r="G57" s="224">
        <f t="shared" si="18"/>
        <v>53</v>
      </c>
      <c r="H57" s="224">
        <f t="shared" si="18"/>
        <v>0</v>
      </c>
      <c r="I57" s="224">
        <f>C57+E57+G57</f>
        <v>72</v>
      </c>
      <c r="J57" s="224">
        <f t="shared" ref="J57" si="19">D57+F57+H57</f>
        <v>0</v>
      </c>
      <c r="K57" s="224">
        <f t="shared" ref="K57" si="20">SUM(I57:J57)</f>
        <v>72</v>
      </c>
      <c r="N57" s="26"/>
      <c r="O57" s="26"/>
      <c r="P57" s="26"/>
      <c r="Q57" s="26"/>
      <c r="R57" s="26"/>
    </row>
    <row r="58" spans="1:18" ht="21" thickBot="1" x14ac:dyDescent="0.35"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N58" s="26"/>
      <c r="O58" s="26"/>
      <c r="P58" s="26"/>
      <c r="Q58" s="26"/>
      <c r="R58" s="26"/>
    </row>
    <row r="59" spans="1:18" ht="21" thickTop="1" x14ac:dyDescent="0.3">
      <c r="N59" s="26"/>
      <c r="O59" s="26"/>
      <c r="P59" s="26"/>
      <c r="Q59" s="26"/>
      <c r="R59" s="26"/>
    </row>
    <row r="60" spans="1:18" ht="21" thickBot="1" x14ac:dyDescent="0.35"/>
    <row r="61" spans="1:18" ht="35.25" customHeight="1" thickTop="1" thickBot="1" x14ac:dyDescent="0.35">
      <c r="A61" s="215"/>
      <c r="B61" s="227" t="s">
        <v>277</v>
      </c>
      <c r="C61" s="227"/>
      <c r="D61" s="227"/>
      <c r="E61" s="227" t="s">
        <v>282</v>
      </c>
      <c r="F61" s="227"/>
      <c r="G61" s="227"/>
      <c r="H61" s="216" t="s">
        <v>283</v>
      </c>
      <c r="I61" s="216"/>
      <c r="J61" s="216"/>
      <c r="K61" s="216"/>
      <c r="L61" s="216"/>
      <c r="M61" s="216"/>
      <c r="N61" s="216" t="s">
        <v>15</v>
      </c>
      <c r="O61" s="216"/>
      <c r="P61" s="217"/>
    </row>
    <row r="62" spans="1:18" ht="33.75" customHeight="1" thickTop="1" thickBot="1" x14ac:dyDescent="0.35">
      <c r="A62" s="211"/>
      <c r="B62" s="228"/>
      <c r="C62" s="228"/>
      <c r="D62" s="228"/>
      <c r="E62" s="228"/>
      <c r="F62" s="228"/>
      <c r="G62" s="228"/>
      <c r="H62" s="210" t="s">
        <v>193</v>
      </c>
      <c r="I62" s="210"/>
      <c r="J62" s="210" t="s">
        <v>194</v>
      </c>
      <c r="K62" s="210"/>
      <c r="L62" s="210" t="s">
        <v>195</v>
      </c>
      <c r="M62" s="210"/>
      <c r="N62" s="210"/>
      <c r="O62" s="210"/>
      <c r="P62" s="213"/>
    </row>
    <row r="63" spans="1:18" ht="21.75" thickTop="1" thickBot="1" x14ac:dyDescent="0.35">
      <c r="A63" s="211"/>
      <c r="B63" s="210" t="s">
        <v>10</v>
      </c>
      <c r="C63" s="210" t="s">
        <v>11</v>
      </c>
      <c r="D63" s="210" t="s">
        <v>15</v>
      </c>
      <c r="E63" s="210" t="s">
        <v>10</v>
      </c>
      <c r="F63" s="210" t="s">
        <v>11</v>
      </c>
      <c r="G63" s="210" t="s">
        <v>15</v>
      </c>
      <c r="H63" s="210" t="s">
        <v>10</v>
      </c>
      <c r="I63" s="210" t="s">
        <v>11</v>
      </c>
      <c r="J63" s="210" t="s">
        <v>10</v>
      </c>
      <c r="K63" s="210" t="s">
        <v>11</v>
      </c>
      <c r="L63" s="210" t="s">
        <v>10</v>
      </c>
      <c r="M63" s="210" t="s">
        <v>11</v>
      </c>
      <c r="N63" s="210" t="s">
        <v>10</v>
      </c>
      <c r="O63" s="210" t="s">
        <v>11</v>
      </c>
      <c r="P63" s="213" t="s">
        <v>15</v>
      </c>
    </row>
    <row r="64" spans="1:18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17</v>
      </c>
      <c r="B65" s="210">
        <f>'التعليم المسرع'!DB37</f>
        <v>0</v>
      </c>
      <c r="C65" s="210">
        <f>'التعليم المسرع'!DC37</f>
        <v>0</v>
      </c>
      <c r="D65" s="210">
        <f>C65+B65</f>
        <v>0</v>
      </c>
      <c r="E65" s="210">
        <f>'التعليم المسرع'!DK37</f>
        <v>0</v>
      </c>
      <c r="F65" s="210">
        <f>'التعليم المسرع'!DL37</f>
        <v>0</v>
      </c>
      <c r="G65" s="210">
        <f t="shared" ref="G65" si="21">F65+E65</f>
        <v>0</v>
      </c>
      <c r="H65" s="210">
        <f>'التعليم المسرع'!DT37</f>
        <v>0</v>
      </c>
      <c r="I65" s="210">
        <f>'التعليم المسرع'!DU37</f>
        <v>0</v>
      </c>
      <c r="J65" s="210">
        <f>'التعليم المسرع'!EC37</f>
        <v>0</v>
      </c>
      <c r="K65" s="210">
        <f>'التعليم المسرع'!ED37</f>
        <v>0</v>
      </c>
      <c r="L65" s="210">
        <f>'التعليم المسرع'!EL37</f>
        <v>0</v>
      </c>
      <c r="M65" s="210">
        <f>'التعليم المسرع'!EM37</f>
        <v>0</v>
      </c>
      <c r="N65" s="210">
        <f>L65+J65+H65</f>
        <v>0</v>
      </c>
      <c r="O65" s="210">
        <f>M65+K65+I65</f>
        <v>0</v>
      </c>
      <c r="P65" s="213">
        <f>O65+N65</f>
        <v>0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18</v>
      </c>
      <c r="B67" s="210">
        <f>'التعليم المسرع'!DD37</f>
        <v>0</v>
      </c>
      <c r="C67" s="210">
        <f>'التعليم المسرع'!DE37</f>
        <v>0</v>
      </c>
      <c r="D67" s="210">
        <f t="shared" ref="D67" si="22">C67+B67</f>
        <v>0</v>
      </c>
      <c r="E67" s="210">
        <f>'التعليم المسرع'!DM37</f>
        <v>0</v>
      </c>
      <c r="F67" s="210">
        <f>'التعليم المسرع'!DN37</f>
        <v>14</v>
      </c>
      <c r="G67" s="210">
        <f t="shared" ref="G67" si="23">F67+E67</f>
        <v>14</v>
      </c>
      <c r="H67" s="210">
        <f>'التعليم المسرع'!DV37</f>
        <v>0</v>
      </c>
      <c r="I67" s="210">
        <f>'التعليم المسرع'!DW37</f>
        <v>3</v>
      </c>
      <c r="J67" s="210">
        <f>'التعليم المسرع'!EE37</f>
        <v>0</v>
      </c>
      <c r="K67" s="210">
        <f>'التعليم المسرع'!EF37</f>
        <v>7</v>
      </c>
      <c r="L67" s="210">
        <f>'التعليم المسرع'!EN37</f>
        <v>0</v>
      </c>
      <c r="M67" s="210">
        <f>'التعليم المسرع'!EO37</f>
        <v>0</v>
      </c>
      <c r="N67" s="210">
        <f t="shared" ref="N67" si="24">L67+J67+H67</f>
        <v>0</v>
      </c>
      <c r="O67" s="210">
        <f t="shared" ref="O67" si="25">M67+K67+I67</f>
        <v>10</v>
      </c>
      <c r="P67" s="213">
        <f t="shared" ref="P67" si="26">O67+N67</f>
        <v>10</v>
      </c>
    </row>
    <row r="68" spans="1:16" ht="21.75" thickTop="1" thickBot="1" x14ac:dyDescent="0.35">
      <c r="A68" s="211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3"/>
    </row>
    <row r="69" spans="1:16" ht="21.75" thickTop="1" thickBot="1" x14ac:dyDescent="0.35">
      <c r="A69" s="211" t="s">
        <v>19</v>
      </c>
      <c r="B69" s="210">
        <f>'التعليم المسرع'!DF37</f>
        <v>0</v>
      </c>
      <c r="C69" s="210">
        <f>'التعليم المسرع'!DG37</f>
        <v>0</v>
      </c>
      <c r="D69" s="210">
        <f t="shared" ref="D69" si="27">C69+B69</f>
        <v>0</v>
      </c>
      <c r="E69" s="210">
        <f>'التعليم المسرع'!DO37</f>
        <v>0</v>
      </c>
      <c r="F69" s="210">
        <f>'التعليم المسرع'!DP37</f>
        <v>4</v>
      </c>
      <c r="G69" s="210">
        <f t="shared" ref="G69" si="28">F69+E69</f>
        <v>4</v>
      </c>
      <c r="H69" s="210">
        <f>'التعليم المسرع'!DX37</f>
        <v>0</v>
      </c>
      <c r="I69" s="210">
        <f>'التعليم المسرع'!DY37</f>
        <v>54</v>
      </c>
      <c r="J69" s="210">
        <f>'التعليم المسرع'!EG37</f>
        <v>0</v>
      </c>
      <c r="K69" s="210">
        <f>'التعليم المسرع'!EH37</f>
        <v>10</v>
      </c>
      <c r="L69" s="210">
        <f>'التعليم المسرع'!EP37</f>
        <v>0</v>
      </c>
      <c r="M69" s="210">
        <f>'التعليم المسرع'!EQ37</f>
        <v>0</v>
      </c>
      <c r="N69" s="210">
        <f t="shared" ref="N69" si="29">L69+J69+H69</f>
        <v>0</v>
      </c>
      <c r="O69" s="210">
        <f t="shared" ref="O69" si="30">M69+K69+I69</f>
        <v>64</v>
      </c>
      <c r="P69" s="213">
        <f t="shared" ref="P69" si="31">O69+N69</f>
        <v>64</v>
      </c>
    </row>
    <row r="70" spans="1:16" ht="21.75" thickTop="1" thickBot="1" x14ac:dyDescent="0.35">
      <c r="A70" s="214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29"/>
    </row>
    <row r="71" spans="1:16" ht="21" thickTop="1" x14ac:dyDescent="0.3"/>
  </sheetData>
  <mergeCells count="246">
    <mergeCell ref="L67:L68"/>
    <mergeCell ref="M67:M68"/>
    <mergeCell ref="G69:G70"/>
    <mergeCell ref="H69:H70"/>
    <mergeCell ref="I69:I70"/>
    <mergeCell ref="J69:J70"/>
    <mergeCell ref="K69:K70"/>
    <mergeCell ref="L69:L70"/>
    <mergeCell ref="M69:M70"/>
    <mergeCell ref="K67:K68"/>
    <mergeCell ref="A61:A64"/>
    <mergeCell ref="A65:A66"/>
    <mergeCell ref="A67:A68"/>
    <mergeCell ref="A69:A70"/>
    <mergeCell ref="B61:D62"/>
    <mergeCell ref="E61:G62"/>
    <mergeCell ref="H61:M61"/>
    <mergeCell ref="H62:I62"/>
    <mergeCell ref="J62:K62"/>
    <mergeCell ref="L62:M62"/>
    <mergeCell ref="D63:D64"/>
    <mergeCell ref="G63:G64"/>
    <mergeCell ref="H63:H64"/>
    <mergeCell ref="I63:I64"/>
    <mergeCell ref="J63:J64"/>
    <mergeCell ref="K63:K64"/>
    <mergeCell ref="D65:D66"/>
    <mergeCell ref="D67:D68"/>
    <mergeCell ref="D69:D70"/>
    <mergeCell ref="G65:G66"/>
    <mergeCell ref="H65:H66"/>
    <mergeCell ref="I65:I66"/>
    <mergeCell ref="J65:J66"/>
    <mergeCell ref="K65:K66"/>
    <mergeCell ref="P69:P70"/>
    <mergeCell ref="C65:C66"/>
    <mergeCell ref="C67:C68"/>
    <mergeCell ref="C69:C70"/>
    <mergeCell ref="N69:N70"/>
    <mergeCell ref="O69:O70"/>
    <mergeCell ref="P65:P66"/>
    <mergeCell ref="E65:E66"/>
    <mergeCell ref="F65:F66"/>
    <mergeCell ref="E67:E68"/>
    <mergeCell ref="F67:F68"/>
    <mergeCell ref="E69:E70"/>
    <mergeCell ref="F69:F70"/>
    <mergeCell ref="N67:N68"/>
    <mergeCell ref="O67:O68"/>
    <mergeCell ref="P67:P68"/>
    <mergeCell ref="N65:N66"/>
    <mergeCell ref="O65:O66"/>
    <mergeCell ref="L65:L66"/>
    <mergeCell ref="M65:M66"/>
    <mergeCell ref="G67:G68"/>
    <mergeCell ref="H67:H68"/>
    <mergeCell ref="I67:I68"/>
    <mergeCell ref="J67:J68"/>
    <mergeCell ref="N61:P62"/>
    <mergeCell ref="B63:B64"/>
    <mergeCell ref="C63:C64"/>
    <mergeCell ref="E63:E64"/>
    <mergeCell ref="F63:F64"/>
    <mergeCell ref="L63:L64"/>
    <mergeCell ref="M63:M64"/>
    <mergeCell ref="N63:N64"/>
    <mergeCell ref="O63:O64"/>
    <mergeCell ref="P63:P64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F17:G17"/>
    <mergeCell ref="B18:B19"/>
    <mergeCell ref="C18:C19"/>
    <mergeCell ref="D18:D19"/>
    <mergeCell ref="E18:E19"/>
    <mergeCell ref="F18:G19"/>
    <mergeCell ref="B65:B66"/>
    <mergeCell ref="B20:B21"/>
    <mergeCell ref="C20:C21"/>
    <mergeCell ref="D20:D21"/>
    <mergeCell ref="E20:E21"/>
    <mergeCell ref="F20:G21"/>
    <mergeCell ref="B67:B68"/>
    <mergeCell ref="B22:B23"/>
    <mergeCell ref="C22:C23"/>
    <mergeCell ref="D22:D23"/>
    <mergeCell ref="E22:E23"/>
    <mergeCell ref="F22:G23"/>
    <mergeCell ref="F43:F44"/>
    <mergeCell ref="G43:G44"/>
    <mergeCell ref="B32:B33"/>
    <mergeCell ref="C32:C33"/>
    <mergeCell ref="D32:D33"/>
    <mergeCell ref="E32:E33"/>
    <mergeCell ref="F32:F33"/>
    <mergeCell ref="G32:G33"/>
    <mergeCell ref="B69:B70"/>
    <mergeCell ref="F24:G24"/>
    <mergeCell ref="A37:C37"/>
    <mergeCell ref="A38:D38"/>
    <mergeCell ref="B41:B42"/>
    <mergeCell ref="C41:D41"/>
    <mergeCell ref="E41:F41"/>
    <mergeCell ref="G41:H41"/>
    <mergeCell ref="I41:K41"/>
    <mergeCell ref="K43:K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B43:B44"/>
    <mergeCell ref="C43:C44"/>
    <mergeCell ref="D43:D44"/>
    <mergeCell ref="E43:E44"/>
    <mergeCell ref="H43:H44"/>
    <mergeCell ref="I43:I44"/>
    <mergeCell ref="J43:J44"/>
    <mergeCell ref="K47:K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I55:I56"/>
    <mergeCell ref="J55:J56"/>
    <mergeCell ref="K51:K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7:K58"/>
    <mergeCell ref="I16:M16"/>
    <mergeCell ref="I17:I18"/>
    <mergeCell ref="J17:J18"/>
    <mergeCell ref="K17:K18"/>
    <mergeCell ref="L17:L18"/>
    <mergeCell ref="M17:M18"/>
    <mergeCell ref="K55:K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B55:B56"/>
    <mergeCell ref="C55:C56"/>
    <mergeCell ref="D55:D56"/>
    <mergeCell ref="E55:E56"/>
    <mergeCell ref="F55:F56"/>
    <mergeCell ref="G55:G56"/>
    <mergeCell ref="H55:H56"/>
    <mergeCell ref="I23:I24"/>
    <mergeCell ref="J23:J24"/>
    <mergeCell ref="K23:K24"/>
    <mergeCell ref="L23:L24"/>
    <mergeCell ref="M23:M24"/>
    <mergeCell ref="B27:K27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G28:G29"/>
    <mergeCell ref="I30:I31"/>
    <mergeCell ref="J30:K31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72"/>
  <sheetViews>
    <sheetView rightToLeft="1" view="pageBreakPreview" topLeftCell="A6" zoomScale="60" workbookViewId="0">
      <selection activeCell="N27" sqref="N27"/>
    </sheetView>
  </sheetViews>
  <sheetFormatPr defaultColWidth="9" defaultRowHeight="20.25" x14ac:dyDescent="0.3"/>
  <cols>
    <col min="1" max="1" width="14.625" style="9" customWidth="1"/>
    <col min="2" max="2" width="16.375" style="9" customWidth="1"/>
    <col min="3" max="3" width="10.75" style="9" customWidth="1"/>
    <col min="4" max="5" width="9" style="9"/>
    <col min="6" max="6" width="11.375" style="9" customWidth="1"/>
    <col min="7" max="7" width="9" style="9"/>
    <col min="8" max="8" width="10.25" style="9" customWidth="1"/>
    <col min="9" max="9" width="10.375" style="9" customWidth="1"/>
    <col min="10" max="10" width="10.25" style="9" customWidth="1"/>
    <col min="11" max="11" width="10.375" style="9" customWidth="1"/>
    <col min="12" max="12" width="9.875" style="9" customWidth="1"/>
    <col min="13" max="13" width="10.25" style="9" customWidth="1"/>
    <col min="14" max="14" width="11.25" style="9" customWidth="1"/>
    <col min="15" max="16384" width="9" style="9"/>
  </cols>
  <sheetData>
    <row r="1" spans="1:14" x14ac:dyDescent="0.3">
      <c r="A1" s="202" t="s">
        <v>55</v>
      </c>
      <c r="B1" s="202"/>
      <c r="C1" s="202"/>
    </row>
    <row r="2" spans="1:14" x14ac:dyDescent="0.3">
      <c r="A2" s="202" t="s">
        <v>56</v>
      </c>
      <c r="B2" s="202"/>
      <c r="C2" s="202"/>
      <c r="D2" s="202"/>
    </row>
    <row r="3" spans="1:14" x14ac:dyDescent="0.3">
      <c r="C3" s="202" t="s">
        <v>52</v>
      </c>
      <c r="D3" s="202"/>
      <c r="E3" s="202"/>
      <c r="F3" s="202"/>
      <c r="G3" s="202"/>
      <c r="H3" s="202"/>
      <c r="I3" s="202"/>
      <c r="J3" s="202"/>
      <c r="K3" s="202"/>
      <c r="L3" s="202"/>
    </row>
    <row r="5" spans="1:14" x14ac:dyDescent="0.3">
      <c r="E5" s="9" t="s">
        <v>276</v>
      </c>
    </row>
    <row r="6" spans="1:14" ht="21" thickBot="1" x14ac:dyDescent="0.35"/>
    <row r="7" spans="1:14" ht="31.5" customHeight="1" thickTop="1" thickBot="1" x14ac:dyDescent="0.35">
      <c r="A7" s="9" t="s">
        <v>1</v>
      </c>
      <c r="B7" s="186" t="s">
        <v>41</v>
      </c>
      <c r="C7" s="190"/>
      <c r="D7" s="187"/>
      <c r="F7" s="9" t="s">
        <v>2</v>
      </c>
      <c r="G7" s="186" t="s">
        <v>51</v>
      </c>
      <c r="H7" s="190"/>
      <c r="I7" s="187"/>
      <c r="K7" s="9" t="s">
        <v>0</v>
      </c>
      <c r="L7" s="186" t="s">
        <v>188</v>
      </c>
      <c r="M7" s="190"/>
      <c r="N7" s="187"/>
    </row>
    <row r="8" spans="1:14" ht="21.75" thickTop="1" thickBot="1" x14ac:dyDescent="0.35"/>
    <row r="9" spans="1:14" ht="21.75" thickTop="1" thickBot="1" x14ac:dyDescent="0.35">
      <c r="A9" s="9" t="s">
        <v>43</v>
      </c>
      <c r="B9" s="230">
        <f>'التعليم المسرع'!K44+'التعليم المسرع'!L44</f>
        <v>2</v>
      </c>
      <c r="C9" s="232"/>
      <c r="D9" s="231"/>
      <c r="F9" s="9" t="s">
        <v>3</v>
      </c>
      <c r="G9" s="230">
        <f>'التعليم المسرع'!Q44</f>
        <v>0</v>
      </c>
      <c r="H9" s="232"/>
      <c r="I9" s="231"/>
      <c r="K9" s="9" t="s">
        <v>4</v>
      </c>
      <c r="L9" s="230">
        <f>'التعليم المسرع'!R44</f>
        <v>2</v>
      </c>
      <c r="M9" s="232"/>
      <c r="N9" s="231"/>
    </row>
    <row r="10" spans="1:14" ht="21" thickTop="1" x14ac:dyDescent="0.3"/>
    <row r="11" spans="1:14" ht="21" thickBot="1" x14ac:dyDescent="0.35"/>
    <row r="12" spans="1:14" ht="21.75" thickTop="1" thickBot="1" x14ac:dyDescent="0.35">
      <c r="B12" s="230" t="s">
        <v>5</v>
      </c>
      <c r="C12" s="231"/>
      <c r="F12" s="230" t="s">
        <v>6</v>
      </c>
      <c r="G12" s="232"/>
      <c r="H12" s="231"/>
      <c r="K12" s="230" t="s">
        <v>7</v>
      </c>
      <c r="L12" s="232"/>
      <c r="M12" s="231"/>
    </row>
    <row r="13" spans="1:14" ht="21.75" thickTop="1" thickBot="1" x14ac:dyDescent="0.35">
      <c r="B13" s="10" t="s">
        <v>8</v>
      </c>
      <c r="C13" s="11" t="s">
        <v>9</v>
      </c>
      <c r="F13" s="12" t="s">
        <v>10</v>
      </c>
      <c r="G13" s="13" t="s">
        <v>11</v>
      </c>
      <c r="H13" s="14" t="s">
        <v>12</v>
      </c>
      <c r="K13" s="10" t="s">
        <v>13</v>
      </c>
      <c r="L13" s="15" t="s">
        <v>14</v>
      </c>
      <c r="M13" s="11" t="s">
        <v>15</v>
      </c>
    </row>
    <row r="14" spans="1:14" ht="21.75" thickTop="1" thickBot="1" x14ac:dyDescent="0.35">
      <c r="B14" s="16">
        <f>'التعليم المسرع'!K44</f>
        <v>2</v>
      </c>
      <c r="C14" s="17">
        <f>'التعليم المسرع'!L44</f>
        <v>0</v>
      </c>
      <c r="F14" s="18">
        <f>'التعليم المسرع'!H44</f>
        <v>1</v>
      </c>
      <c r="G14" s="19">
        <f>'التعليم المسرع'!I44</f>
        <v>1</v>
      </c>
      <c r="H14" s="20">
        <f>'التعليم المسرع'!J44</f>
        <v>0</v>
      </c>
      <c r="K14" s="16">
        <f>'التعليم المسرع'!FC44</f>
        <v>8</v>
      </c>
      <c r="L14" s="21">
        <f>'التعليم المسرع'!FD44</f>
        <v>1</v>
      </c>
      <c r="M14" s="17">
        <f>SUM(K14:L14)</f>
        <v>9</v>
      </c>
    </row>
    <row r="15" spans="1:14" ht="21" thickTop="1" x14ac:dyDescent="0.3"/>
    <row r="16" spans="1:14" ht="21" thickBot="1" x14ac:dyDescent="0.35"/>
    <row r="17" spans="2:14" ht="38.25" customHeight="1" thickTop="1" thickBot="1" x14ac:dyDescent="0.35">
      <c r="B17" s="186" t="s">
        <v>20</v>
      </c>
      <c r="C17" s="190"/>
      <c r="D17" s="190"/>
      <c r="E17" s="190"/>
      <c r="F17" s="190"/>
      <c r="G17" s="187"/>
      <c r="I17" s="243" t="s">
        <v>30</v>
      </c>
      <c r="J17" s="269"/>
      <c r="K17" s="269"/>
      <c r="L17" s="269"/>
      <c r="M17" s="269"/>
      <c r="N17" s="269"/>
    </row>
    <row r="18" spans="2:14" ht="25.5" customHeight="1" thickTop="1" thickBot="1" x14ac:dyDescent="0.35">
      <c r="B18" s="22" t="s">
        <v>16</v>
      </c>
      <c r="C18" s="23" t="s">
        <v>10</v>
      </c>
      <c r="D18" s="23" t="s">
        <v>11</v>
      </c>
      <c r="E18" s="23" t="s">
        <v>12</v>
      </c>
      <c r="F18" s="188" t="s">
        <v>15</v>
      </c>
      <c r="G18" s="189"/>
      <c r="I18" s="215" t="s">
        <v>31</v>
      </c>
      <c r="J18" s="216" t="s">
        <v>44</v>
      </c>
      <c r="K18" s="216" t="s">
        <v>45</v>
      </c>
      <c r="L18" s="216" t="s">
        <v>46</v>
      </c>
      <c r="M18" s="216" t="s">
        <v>257</v>
      </c>
      <c r="N18" s="217" t="s">
        <v>47</v>
      </c>
    </row>
    <row r="19" spans="2:14" ht="21.75" thickTop="1" thickBot="1" x14ac:dyDescent="0.35">
      <c r="B19" s="191" t="s">
        <v>17</v>
      </c>
      <c r="C19" s="191">
        <f>'التعليم المسرع'!CO44</f>
        <v>1</v>
      </c>
      <c r="D19" s="191">
        <f>'التعليم المسرع'!CP44</f>
        <v>1</v>
      </c>
      <c r="E19" s="191">
        <f>'التعليم المسرع'!CQ44</f>
        <v>0</v>
      </c>
      <c r="F19" s="193">
        <f>C19+D19+E19</f>
        <v>2</v>
      </c>
      <c r="G19" s="194"/>
      <c r="I19" s="211"/>
      <c r="J19" s="210"/>
      <c r="K19" s="210"/>
      <c r="L19" s="210"/>
      <c r="M19" s="210"/>
      <c r="N19" s="213"/>
    </row>
    <row r="20" spans="2:14" ht="21.75" thickTop="1" thickBot="1" x14ac:dyDescent="0.35">
      <c r="B20" s="192"/>
      <c r="C20" s="192"/>
      <c r="D20" s="192"/>
      <c r="E20" s="192"/>
      <c r="F20" s="195"/>
      <c r="G20" s="196"/>
      <c r="I20" s="211" t="s">
        <v>13</v>
      </c>
      <c r="J20" s="210">
        <f>'التعليم المسرع'!EU44</f>
        <v>1</v>
      </c>
      <c r="K20" s="210">
        <f>'التعليم المسرع'!EW44</f>
        <v>1</v>
      </c>
      <c r="L20" s="210">
        <f>'التعليم المسرع'!EY44</f>
        <v>6</v>
      </c>
      <c r="M20" s="210">
        <f>'التعليم المسرع'!FA44</f>
        <v>0</v>
      </c>
      <c r="N20" s="183">
        <f>SUM(J20:M21)</f>
        <v>8</v>
      </c>
    </row>
    <row r="21" spans="2:14" ht="21.75" thickTop="1" thickBot="1" x14ac:dyDescent="0.35">
      <c r="B21" s="191" t="s">
        <v>18</v>
      </c>
      <c r="C21" s="191">
        <f>'التعليم المسرع'!CR44</f>
        <v>2</v>
      </c>
      <c r="D21" s="191">
        <f>'التعليم المسرع'!CS44</f>
        <v>1</v>
      </c>
      <c r="E21" s="191">
        <f>'التعليم المسرع'!CT44</f>
        <v>0</v>
      </c>
      <c r="F21" s="193">
        <f t="shared" ref="F21" si="0">C21+D21+E21</f>
        <v>3</v>
      </c>
      <c r="G21" s="194"/>
      <c r="I21" s="211"/>
      <c r="J21" s="210"/>
      <c r="K21" s="210"/>
      <c r="L21" s="210"/>
      <c r="M21" s="210"/>
      <c r="N21" s="184"/>
    </row>
    <row r="22" spans="2:14" ht="21.75" thickTop="1" thickBot="1" x14ac:dyDescent="0.35">
      <c r="B22" s="192"/>
      <c r="C22" s="192"/>
      <c r="D22" s="192"/>
      <c r="E22" s="192"/>
      <c r="F22" s="195"/>
      <c r="G22" s="196"/>
      <c r="I22" s="211" t="s">
        <v>14</v>
      </c>
      <c r="J22" s="210">
        <f>'التعليم المسرع'!EV44</f>
        <v>1</v>
      </c>
      <c r="K22" s="210">
        <f>'التعليم المسرع'!EX44</f>
        <v>0</v>
      </c>
      <c r="L22" s="210">
        <f>'التعليم المسرع'!EZ44</f>
        <v>0</v>
      </c>
      <c r="M22" s="210">
        <f>'التعليم المسرع'!FB44</f>
        <v>0</v>
      </c>
      <c r="N22" s="183">
        <f>SUM(J22:M23)</f>
        <v>1</v>
      </c>
    </row>
    <row r="23" spans="2:14" ht="21.75" thickTop="1" thickBot="1" x14ac:dyDescent="0.35">
      <c r="B23" s="191" t="s">
        <v>19</v>
      </c>
      <c r="C23" s="191">
        <f>'التعليم المسرع'!CU44</f>
        <v>1</v>
      </c>
      <c r="D23" s="191">
        <f>'التعليم المسرع'!CV44</f>
        <v>2</v>
      </c>
      <c r="E23" s="191">
        <f>'التعليم المسرع'!CW44</f>
        <v>0</v>
      </c>
      <c r="F23" s="193">
        <f t="shared" ref="F23" si="1">C23+D23+E23</f>
        <v>3</v>
      </c>
      <c r="G23" s="194"/>
      <c r="I23" s="211"/>
      <c r="J23" s="210"/>
      <c r="K23" s="210"/>
      <c r="L23" s="210"/>
      <c r="M23" s="210"/>
      <c r="N23" s="184"/>
    </row>
    <row r="24" spans="2:14" ht="21.75" thickTop="1" thickBot="1" x14ac:dyDescent="0.35">
      <c r="B24" s="192"/>
      <c r="C24" s="192"/>
      <c r="D24" s="192"/>
      <c r="E24" s="192"/>
      <c r="F24" s="195"/>
      <c r="G24" s="196"/>
      <c r="I24" s="211" t="s">
        <v>15</v>
      </c>
      <c r="J24" s="210">
        <f>J20+J22</f>
        <v>2</v>
      </c>
      <c r="K24" s="210"/>
      <c r="L24" s="210">
        <f t="shared" ref="L24:N24" si="2">L20+L22</f>
        <v>6</v>
      </c>
      <c r="M24" s="210">
        <f t="shared" ref="M24" si="3">M20+M22</f>
        <v>0</v>
      </c>
      <c r="N24" s="213">
        <f t="shared" si="2"/>
        <v>9</v>
      </c>
    </row>
    <row r="25" spans="2:14" ht="27" customHeight="1" thickTop="1" thickBot="1" x14ac:dyDescent="0.35">
      <c r="B25" s="24" t="s">
        <v>15</v>
      </c>
      <c r="C25" s="25">
        <f>SUM(C19:C24)</f>
        <v>4</v>
      </c>
      <c r="D25" s="25">
        <f t="shared" ref="D25:E25" si="4">SUM(D19:D24)</f>
        <v>4</v>
      </c>
      <c r="E25" s="25">
        <f t="shared" si="4"/>
        <v>0</v>
      </c>
      <c r="F25" s="206">
        <f>C25+D25+E25</f>
        <v>8</v>
      </c>
      <c r="G25" s="187"/>
      <c r="I25" s="214"/>
      <c r="J25" s="212"/>
      <c r="K25" s="212"/>
      <c r="L25" s="212"/>
      <c r="M25" s="212"/>
      <c r="N25" s="229"/>
    </row>
    <row r="26" spans="2:14" ht="21" thickTop="1" x14ac:dyDescent="0.3"/>
    <row r="27" spans="2:14" ht="21" thickBot="1" x14ac:dyDescent="0.35">
      <c r="B27" s="27"/>
      <c r="C27" s="27"/>
      <c r="D27" s="27"/>
      <c r="E27" s="27"/>
    </row>
    <row r="28" spans="2:14" ht="29.25" customHeight="1" thickTop="1" thickBot="1" x14ac:dyDescent="0.35">
      <c r="B28" s="186" t="s">
        <v>39</v>
      </c>
      <c r="C28" s="190"/>
      <c r="D28" s="190"/>
      <c r="E28" s="190"/>
      <c r="F28" s="190"/>
      <c r="G28" s="190"/>
      <c r="H28" s="190"/>
      <c r="I28" s="190"/>
      <c r="J28" s="190"/>
      <c r="K28" s="187"/>
      <c r="L28" s="26"/>
      <c r="M28" s="26"/>
    </row>
    <row r="29" spans="2:14" ht="30" customHeight="1" thickTop="1" thickBot="1" x14ac:dyDescent="0.35">
      <c r="B29" s="233" t="s">
        <v>40</v>
      </c>
      <c r="C29" s="227" t="s">
        <v>32</v>
      </c>
      <c r="D29" s="227" t="s">
        <v>33</v>
      </c>
      <c r="E29" s="227" t="s">
        <v>34</v>
      </c>
      <c r="F29" s="227" t="s">
        <v>35</v>
      </c>
      <c r="G29" s="227" t="s">
        <v>36</v>
      </c>
      <c r="H29" s="227" t="s">
        <v>37</v>
      </c>
      <c r="I29" s="227" t="s">
        <v>38</v>
      </c>
      <c r="J29" s="216" t="s">
        <v>15</v>
      </c>
      <c r="K29" s="217"/>
      <c r="L29" s="26"/>
      <c r="M29" s="26"/>
    </row>
    <row r="30" spans="2:14" ht="53.25" customHeight="1" thickTop="1" thickBot="1" x14ac:dyDescent="0.35">
      <c r="B30" s="234"/>
      <c r="C30" s="228"/>
      <c r="D30" s="228"/>
      <c r="E30" s="228"/>
      <c r="F30" s="228"/>
      <c r="G30" s="228"/>
      <c r="H30" s="228"/>
      <c r="I30" s="228"/>
      <c r="J30" s="210"/>
      <c r="K30" s="213"/>
      <c r="L30" s="26"/>
      <c r="M30" s="26"/>
    </row>
    <row r="31" spans="2:14" ht="21.75" thickTop="1" thickBot="1" x14ac:dyDescent="0.35">
      <c r="B31" s="211" t="s">
        <v>13</v>
      </c>
      <c r="C31" s="210">
        <f>'التعليم المسرع'!FZ44</f>
        <v>0</v>
      </c>
      <c r="D31" s="210">
        <f>'التعليم المسرع'!FX44</f>
        <v>0</v>
      </c>
      <c r="E31" s="210">
        <f>'التعليم المسرع'!GD44</f>
        <v>0</v>
      </c>
      <c r="F31" s="210">
        <f>'التعليم المسرع'!GB44</f>
        <v>2</v>
      </c>
      <c r="G31" s="210">
        <f>'التعليم المسرع'!GH44</f>
        <v>6</v>
      </c>
      <c r="H31" s="210">
        <f>'التعليم المسرع'!GJ44</f>
        <v>0</v>
      </c>
      <c r="I31" s="210">
        <f>'التعليم المسرع'!GL44</f>
        <v>0</v>
      </c>
      <c r="J31" s="210">
        <f>I31+H31+G31+F31+E31+D31+C31</f>
        <v>8</v>
      </c>
      <c r="K31" s="213"/>
      <c r="L31" s="26"/>
      <c r="M31" s="26"/>
    </row>
    <row r="32" spans="2:14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16" ht="21.75" thickTop="1" thickBot="1" x14ac:dyDescent="0.35">
      <c r="B33" s="211" t="s">
        <v>14</v>
      </c>
      <c r="C33" s="210">
        <f>'التعليم المسرع'!GA44</f>
        <v>0</v>
      </c>
      <c r="D33" s="210">
        <f>'التعليم المسرع'!FY44</f>
        <v>0</v>
      </c>
      <c r="E33" s="210">
        <f>'التعليم المسرع'!GE44</f>
        <v>0</v>
      </c>
      <c r="F33" s="210">
        <f>'التعليم المسرع'!GC44</f>
        <v>1</v>
      </c>
      <c r="G33" s="210">
        <f>'التعليم المسرع'!GI44</f>
        <v>0</v>
      </c>
      <c r="H33" s="210">
        <f>'التعليم المسرع'!GK44</f>
        <v>0</v>
      </c>
      <c r="I33" s="210">
        <f>'التعليم المسرع'!GM44</f>
        <v>0</v>
      </c>
      <c r="J33" s="210">
        <f t="shared" ref="J33" si="5">I33+H33+G33+F33+E33+D33+C33</f>
        <v>1</v>
      </c>
      <c r="K33" s="213"/>
      <c r="L33" s="26"/>
      <c r="M33" s="26"/>
    </row>
    <row r="34" spans="1:16" ht="21.75" thickTop="1" thickBot="1" x14ac:dyDescent="0.35">
      <c r="B34" s="211"/>
      <c r="C34" s="210"/>
      <c r="D34" s="210"/>
      <c r="E34" s="210"/>
      <c r="F34" s="210"/>
      <c r="G34" s="210"/>
      <c r="H34" s="210"/>
      <c r="I34" s="210"/>
      <c r="J34" s="210"/>
      <c r="K34" s="213"/>
      <c r="L34" s="26"/>
      <c r="M34" s="26"/>
    </row>
    <row r="35" spans="1:16" ht="21.75" thickTop="1" thickBot="1" x14ac:dyDescent="0.35">
      <c r="B35" s="211" t="s">
        <v>15</v>
      </c>
      <c r="C35" s="210">
        <f>C31+C33</f>
        <v>0</v>
      </c>
      <c r="D35" s="210">
        <f t="shared" ref="D35:I35" si="6">D31+D33</f>
        <v>0</v>
      </c>
      <c r="E35" s="210">
        <f t="shared" si="6"/>
        <v>0</v>
      </c>
      <c r="F35" s="210">
        <f t="shared" si="6"/>
        <v>3</v>
      </c>
      <c r="G35" s="210">
        <f t="shared" si="6"/>
        <v>6</v>
      </c>
      <c r="H35" s="210">
        <f t="shared" si="6"/>
        <v>0</v>
      </c>
      <c r="I35" s="210">
        <f t="shared" si="6"/>
        <v>0</v>
      </c>
      <c r="J35" s="210">
        <f t="shared" ref="J35" si="7">I35+H35+G35+F35+E35+D35+C35</f>
        <v>9</v>
      </c>
      <c r="K35" s="213"/>
      <c r="L35" s="26"/>
      <c r="M35" s="26"/>
    </row>
    <row r="36" spans="1:16" ht="21.75" thickTop="1" thickBot="1" x14ac:dyDescent="0.35">
      <c r="B36" s="214"/>
      <c r="C36" s="212"/>
      <c r="D36" s="212"/>
      <c r="E36" s="212"/>
      <c r="F36" s="212"/>
      <c r="G36" s="212"/>
      <c r="H36" s="212"/>
      <c r="I36" s="212"/>
      <c r="J36" s="212"/>
      <c r="K36" s="229"/>
      <c r="L36" s="26"/>
      <c r="M36" s="26"/>
    </row>
    <row r="37" spans="1:16" ht="21" thickTop="1" x14ac:dyDescent="0.3"/>
    <row r="38" spans="1:16" x14ac:dyDescent="0.3">
      <c r="A38" s="202" t="s">
        <v>55</v>
      </c>
      <c r="B38" s="202"/>
      <c r="C38" s="202"/>
    </row>
    <row r="39" spans="1:16" x14ac:dyDescent="0.3">
      <c r="A39" s="202" t="s">
        <v>56</v>
      </c>
      <c r="B39" s="202"/>
      <c r="C39" s="202"/>
      <c r="D39" s="202"/>
    </row>
    <row r="40" spans="1:16" ht="33.75" customHeight="1" x14ac:dyDescent="0.3"/>
    <row r="41" spans="1:16" ht="22.5" customHeight="1" x14ac:dyDescent="0.3">
      <c r="A41" s="28"/>
      <c r="B41" s="28"/>
      <c r="C41" s="28"/>
      <c r="D41" s="28"/>
      <c r="E41" s="9" t="s">
        <v>52</v>
      </c>
      <c r="O41" s="28"/>
      <c r="P41" s="28"/>
    </row>
    <row r="42" spans="1:16" ht="23.25" customHeight="1" thickBot="1" x14ac:dyDescent="0.35"/>
    <row r="43" spans="1:16" ht="24.75" customHeight="1" thickTop="1" thickBot="1" x14ac:dyDescent="0.35">
      <c r="B43" s="224" t="s">
        <v>28</v>
      </c>
      <c r="C43" s="206" t="s">
        <v>17</v>
      </c>
      <c r="D43" s="250"/>
      <c r="E43" s="206" t="s">
        <v>18</v>
      </c>
      <c r="F43" s="250"/>
      <c r="G43" s="206" t="s">
        <v>19</v>
      </c>
      <c r="H43" s="250"/>
      <c r="I43" s="206" t="s">
        <v>29</v>
      </c>
      <c r="J43" s="190"/>
      <c r="K43" s="250"/>
      <c r="L43" s="26"/>
      <c r="M43" s="26"/>
      <c r="N43" s="26"/>
    </row>
    <row r="44" spans="1:16" ht="22.5" customHeight="1" thickTop="1" thickBot="1" x14ac:dyDescent="0.35">
      <c r="B44" s="218"/>
      <c r="C44" s="29" t="s">
        <v>10</v>
      </c>
      <c r="D44" s="29" t="s">
        <v>11</v>
      </c>
      <c r="E44" s="29" t="s">
        <v>10</v>
      </c>
      <c r="F44" s="29" t="s">
        <v>11</v>
      </c>
      <c r="G44" s="29" t="s">
        <v>10</v>
      </c>
      <c r="H44" s="29" t="s">
        <v>11</v>
      </c>
      <c r="I44" s="29" t="s">
        <v>10</v>
      </c>
      <c r="J44" s="29" t="s">
        <v>11</v>
      </c>
      <c r="K44" s="29" t="s">
        <v>15</v>
      </c>
      <c r="L44" s="26"/>
      <c r="M44" s="26"/>
      <c r="N44" s="26"/>
    </row>
    <row r="45" spans="1:16" ht="21" thickTop="1" x14ac:dyDescent="0.3">
      <c r="B45" s="224" t="s">
        <v>21</v>
      </c>
      <c r="C45" s="224">
        <f>'التعليم المسرع'!Y44</f>
        <v>6</v>
      </c>
      <c r="D45" s="224">
        <f>'التعليم المسرع'!Z44</f>
        <v>7</v>
      </c>
      <c r="E45" s="224">
        <f>'التعليم المسرع'!AP44</f>
        <v>2</v>
      </c>
      <c r="F45" s="224">
        <f>'التعليم المسرع'!AQ44</f>
        <v>5</v>
      </c>
      <c r="G45" s="224">
        <f>'التعليم المسرع'!BG44</f>
        <v>1</v>
      </c>
      <c r="H45" s="224">
        <f>'التعليم المسرع'!BH44</f>
        <v>2</v>
      </c>
      <c r="I45" s="224">
        <f>C45+E45+G45</f>
        <v>9</v>
      </c>
      <c r="J45" s="224">
        <f>D45+F45+H45</f>
        <v>14</v>
      </c>
      <c r="K45" s="224">
        <f>SUM(I45:J45)</f>
        <v>23</v>
      </c>
      <c r="L45" s="26"/>
      <c r="M45" s="26"/>
      <c r="N45" s="26"/>
    </row>
    <row r="46" spans="1:16" ht="21" thickBot="1" x14ac:dyDescent="0.35"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6"/>
      <c r="M46" s="26"/>
      <c r="N46" s="26"/>
    </row>
    <row r="47" spans="1:16" ht="21" thickTop="1" x14ac:dyDescent="0.3">
      <c r="B47" s="224" t="s">
        <v>22</v>
      </c>
      <c r="C47" s="224">
        <f>'التعليم المسرع'!AA44</f>
        <v>12</v>
      </c>
      <c r="D47" s="224">
        <f>'التعليم المسرع'!AB44</f>
        <v>1</v>
      </c>
      <c r="E47" s="249">
        <f>'التعليم المسرع'!AR44</f>
        <v>4</v>
      </c>
      <c r="F47" s="249">
        <f>'التعليم المسرع'!AS44</f>
        <v>4</v>
      </c>
      <c r="G47" s="224">
        <f>'التعليم المسرع'!BI44</f>
        <v>2</v>
      </c>
      <c r="H47" s="224">
        <f>'التعليم المسرع'!BJ44</f>
        <v>0</v>
      </c>
      <c r="I47" s="224">
        <f t="shared" ref="I47:J47" si="8">C47+E47+G47</f>
        <v>18</v>
      </c>
      <c r="J47" s="224">
        <f t="shared" si="8"/>
        <v>5</v>
      </c>
      <c r="K47" s="224">
        <f t="shared" ref="K47" si="9">SUM(I47:J47)</f>
        <v>23</v>
      </c>
      <c r="L47" s="26"/>
      <c r="M47" s="26"/>
      <c r="N47" s="26"/>
    </row>
    <row r="48" spans="1:16" ht="21" thickBot="1" x14ac:dyDescent="0.35">
      <c r="B48" s="218"/>
      <c r="C48" s="218"/>
      <c r="D48" s="218"/>
      <c r="E48" s="219"/>
      <c r="F48" s="219"/>
      <c r="G48" s="218"/>
      <c r="H48" s="218"/>
      <c r="I48" s="218"/>
      <c r="J48" s="218"/>
      <c r="K48" s="218"/>
      <c r="L48" s="26"/>
      <c r="M48" s="26"/>
      <c r="N48" s="26"/>
    </row>
    <row r="49" spans="1:17" ht="21" thickTop="1" x14ac:dyDescent="0.3">
      <c r="B49" s="224" t="s">
        <v>23</v>
      </c>
      <c r="C49" s="224">
        <f>'التعليم المسرع'!AC44</f>
        <v>6</v>
      </c>
      <c r="D49" s="224">
        <f>'التعليم المسرع'!AD44</f>
        <v>8</v>
      </c>
      <c r="E49" s="249">
        <f>'التعليم المسرع'!AT44</f>
        <v>11</v>
      </c>
      <c r="F49" s="249">
        <f>'التعليم المسرع'!AU44</f>
        <v>3</v>
      </c>
      <c r="G49" s="224">
        <f>'التعليم المسرع'!BK44</f>
        <v>1</v>
      </c>
      <c r="H49" s="224">
        <f>'التعليم المسرع'!BL44</f>
        <v>5</v>
      </c>
      <c r="I49" s="224">
        <f t="shared" ref="I49:J49" si="10">C49+E49+G49</f>
        <v>18</v>
      </c>
      <c r="J49" s="224">
        <f t="shared" si="10"/>
        <v>16</v>
      </c>
      <c r="K49" s="224">
        <f t="shared" ref="K49" si="11">SUM(I49:J49)</f>
        <v>34</v>
      </c>
      <c r="L49" s="26"/>
      <c r="M49" s="26"/>
      <c r="N49" s="26"/>
    </row>
    <row r="50" spans="1:17" ht="21" thickBot="1" x14ac:dyDescent="0.35">
      <c r="B50" s="218"/>
      <c r="C50" s="218"/>
      <c r="D50" s="218"/>
      <c r="E50" s="219"/>
      <c r="F50" s="219"/>
      <c r="G50" s="218"/>
      <c r="H50" s="218"/>
      <c r="I50" s="218"/>
      <c r="J50" s="218"/>
      <c r="K50" s="218"/>
      <c r="L50" s="26"/>
      <c r="M50" s="26"/>
      <c r="N50" s="26"/>
      <c r="O50" s="26"/>
      <c r="P50" s="26"/>
      <c r="Q50" s="26"/>
    </row>
    <row r="51" spans="1:17" ht="21" thickTop="1" x14ac:dyDescent="0.3">
      <c r="B51" s="224" t="s">
        <v>24</v>
      </c>
      <c r="C51" s="224">
        <f>'التعليم المسرع'!AE44</f>
        <v>4</v>
      </c>
      <c r="D51" s="224">
        <f>'التعليم المسرع'!AF44</f>
        <v>3</v>
      </c>
      <c r="E51" s="249">
        <f>'التعليم المسرع'!AV44</f>
        <v>18</v>
      </c>
      <c r="F51" s="249">
        <f>'التعليم المسرع'!AW44</f>
        <v>6</v>
      </c>
      <c r="G51" s="224">
        <f>'التعليم المسرع'!BM44</f>
        <v>6</v>
      </c>
      <c r="H51" s="224">
        <f>'التعليم المسرع'!BN44</f>
        <v>7</v>
      </c>
      <c r="I51" s="224">
        <f t="shared" ref="I51:J51" si="12">C51+E51+G51</f>
        <v>28</v>
      </c>
      <c r="J51" s="224">
        <f t="shared" si="12"/>
        <v>16</v>
      </c>
      <c r="K51" s="224">
        <f t="shared" ref="K51" si="13">SUM(I51:J51)</f>
        <v>44</v>
      </c>
      <c r="L51" s="26"/>
      <c r="M51" s="26"/>
      <c r="N51" s="26"/>
      <c r="O51" s="26"/>
      <c r="P51" s="26"/>
      <c r="Q51" s="26"/>
    </row>
    <row r="52" spans="1:17" ht="21" thickBot="1" x14ac:dyDescent="0.35">
      <c r="B52" s="218"/>
      <c r="C52" s="218"/>
      <c r="D52" s="218"/>
      <c r="E52" s="219"/>
      <c r="F52" s="219"/>
      <c r="G52" s="218"/>
      <c r="H52" s="218"/>
      <c r="I52" s="218"/>
      <c r="J52" s="218"/>
      <c r="K52" s="218"/>
      <c r="L52" s="26"/>
      <c r="M52" s="26"/>
      <c r="N52" s="26"/>
      <c r="O52" s="26"/>
      <c r="P52" s="26"/>
      <c r="Q52" s="26"/>
    </row>
    <row r="53" spans="1:17" ht="21" thickTop="1" x14ac:dyDescent="0.3">
      <c r="B53" s="224" t="s">
        <v>25</v>
      </c>
      <c r="C53" s="224">
        <f>'التعليم المسرع'!AG44</f>
        <v>6</v>
      </c>
      <c r="D53" s="224">
        <f>'التعليم المسرع'!AH44</f>
        <v>0</v>
      </c>
      <c r="E53" s="249">
        <f>'التعليم المسرع'!AX44</f>
        <v>10</v>
      </c>
      <c r="F53" s="249">
        <f>'التعليم المسرع'!AY44</f>
        <v>5</v>
      </c>
      <c r="G53" s="224">
        <f>'التعليم المسرع'!BO44</f>
        <v>9</v>
      </c>
      <c r="H53" s="224">
        <f>'التعليم المسرع'!BP44</f>
        <v>9</v>
      </c>
      <c r="I53" s="224">
        <f t="shared" ref="I53:J53" si="14">C53+E53+G53</f>
        <v>25</v>
      </c>
      <c r="J53" s="224">
        <f t="shared" si="14"/>
        <v>14</v>
      </c>
      <c r="K53" s="224">
        <f t="shared" ref="K53" si="15">SUM(I53:J53)</f>
        <v>39</v>
      </c>
      <c r="L53" s="26"/>
      <c r="M53" s="26"/>
      <c r="N53" s="26"/>
      <c r="O53" s="26"/>
      <c r="P53" s="26"/>
      <c r="Q53" s="26"/>
    </row>
    <row r="54" spans="1:17" ht="21" thickBot="1" x14ac:dyDescent="0.35">
      <c r="B54" s="218"/>
      <c r="C54" s="218"/>
      <c r="D54" s="218"/>
      <c r="E54" s="219"/>
      <c r="F54" s="219"/>
      <c r="G54" s="218"/>
      <c r="H54" s="218"/>
      <c r="I54" s="218"/>
      <c r="J54" s="218"/>
      <c r="K54" s="218"/>
      <c r="L54" s="26"/>
      <c r="M54" s="26"/>
      <c r="N54" s="26"/>
      <c r="O54" s="26"/>
      <c r="P54" s="26"/>
      <c r="Q54" s="26"/>
    </row>
    <row r="55" spans="1:17" ht="21" thickTop="1" x14ac:dyDescent="0.3">
      <c r="B55" s="224" t="s">
        <v>26</v>
      </c>
      <c r="C55" s="224">
        <f>'التعليم المسرع'!AI44</f>
        <v>1</v>
      </c>
      <c r="D55" s="224">
        <f>'التعليم المسرع'!AJ44</f>
        <v>4</v>
      </c>
      <c r="E55" s="224">
        <f>'التعليم المسرع'!AZ44</f>
        <v>6</v>
      </c>
      <c r="F55" s="224">
        <f>'التعليم المسرع'!BA44</f>
        <v>2</v>
      </c>
      <c r="G55" s="224">
        <f>'التعليم المسرع'!BQ44</f>
        <v>7</v>
      </c>
      <c r="H55" s="224">
        <f>'التعليم المسرع'!BR44</f>
        <v>8</v>
      </c>
      <c r="I55" s="224">
        <f t="shared" ref="I55:J55" si="16">C55+E55+G55</f>
        <v>14</v>
      </c>
      <c r="J55" s="224">
        <f t="shared" si="16"/>
        <v>14</v>
      </c>
      <c r="K55" s="224">
        <f t="shared" ref="K55" si="17">SUM(I55:J55)</f>
        <v>28</v>
      </c>
      <c r="L55" s="26"/>
      <c r="M55" s="26"/>
      <c r="N55" s="26"/>
      <c r="O55" s="26"/>
      <c r="P55" s="26"/>
      <c r="Q55" s="26"/>
    </row>
    <row r="56" spans="1:17" ht="21" thickBot="1" x14ac:dyDescent="0.35"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M56" s="26"/>
      <c r="N56" s="26"/>
      <c r="O56" s="26"/>
      <c r="P56" s="26"/>
      <c r="Q56" s="26"/>
    </row>
    <row r="57" spans="1:17" ht="21" thickTop="1" x14ac:dyDescent="0.3">
      <c r="B57" s="224" t="s">
        <v>27</v>
      </c>
      <c r="C57" s="224">
        <f>'التعليم المسرع'!AK44</f>
        <v>0</v>
      </c>
      <c r="D57" s="224">
        <f>'التعليم المسرع'!AL44</f>
        <v>1</v>
      </c>
      <c r="E57" s="224">
        <f>'التعليم المسرع'!BB44</f>
        <v>6</v>
      </c>
      <c r="F57" s="224">
        <f>'التعليم المسرع'!BC44</f>
        <v>0</v>
      </c>
      <c r="G57" s="224">
        <f>'التعليم المسرع'!BS44</f>
        <v>12</v>
      </c>
      <c r="H57" s="224">
        <f>'التعليم المسرع'!BT44</f>
        <v>7</v>
      </c>
      <c r="I57" s="224">
        <f t="shared" ref="I57:J57" si="18">C57+E57+G57</f>
        <v>18</v>
      </c>
      <c r="J57" s="224">
        <f t="shared" si="18"/>
        <v>8</v>
      </c>
      <c r="K57" s="224">
        <f t="shared" ref="K57" si="19">SUM(I57:J57)</f>
        <v>26</v>
      </c>
      <c r="M57" s="26"/>
      <c r="N57" s="26"/>
      <c r="O57" s="26"/>
      <c r="P57" s="26"/>
      <c r="Q57" s="26"/>
    </row>
    <row r="58" spans="1:17" ht="21" thickBot="1" x14ac:dyDescent="0.35"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M58" s="26"/>
      <c r="N58" s="26"/>
      <c r="O58" s="26"/>
      <c r="P58" s="26"/>
      <c r="Q58" s="26"/>
    </row>
    <row r="59" spans="1:17" ht="21" thickTop="1" x14ac:dyDescent="0.3">
      <c r="B59" s="224" t="s">
        <v>15</v>
      </c>
      <c r="C59" s="224">
        <f t="shared" ref="C59:H59" si="20">C45+C47+C49+C51+C53+C55+C57</f>
        <v>35</v>
      </c>
      <c r="D59" s="224">
        <f t="shared" si="20"/>
        <v>24</v>
      </c>
      <c r="E59" s="224">
        <f t="shared" si="20"/>
        <v>57</v>
      </c>
      <c r="F59" s="224">
        <f t="shared" si="20"/>
        <v>25</v>
      </c>
      <c r="G59" s="224">
        <f t="shared" si="20"/>
        <v>38</v>
      </c>
      <c r="H59" s="224">
        <f t="shared" si="20"/>
        <v>38</v>
      </c>
      <c r="I59" s="224">
        <f>C59+E59+G59</f>
        <v>130</v>
      </c>
      <c r="J59" s="224">
        <f t="shared" ref="J59" si="21">D59+F59+H59</f>
        <v>87</v>
      </c>
      <c r="K59" s="224">
        <f t="shared" ref="K59" si="22">SUM(I59:J59)</f>
        <v>217</v>
      </c>
      <c r="M59" s="26"/>
      <c r="N59" s="26"/>
      <c r="O59" s="26"/>
      <c r="P59" s="26"/>
      <c r="Q59" s="26"/>
    </row>
    <row r="60" spans="1:17" ht="21" thickBot="1" x14ac:dyDescent="0.35">
      <c r="B60" s="218"/>
      <c r="C60" s="218"/>
      <c r="D60" s="218"/>
      <c r="E60" s="218"/>
      <c r="F60" s="218"/>
      <c r="G60" s="218"/>
      <c r="H60" s="218"/>
      <c r="I60" s="218"/>
      <c r="J60" s="218"/>
      <c r="K60" s="218"/>
    </row>
    <row r="61" spans="1:17" ht="21.75" thickTop="1" thickBot="1" x14ac:dyDescent="0.35"/>
    <row r="62" spans="1:17" ht="33.75" customHeight="1" thickTop="1" thickBot="1" x14ac:dyDescent="0.35">
      <c r="A62" s="215"/>
      <c r="B62" s="227" t="s">
        <v>277</v>
      </c>
      <c r="C62" s="227"/>
      <c r="D62" s="227"/>
      <c r="E62" s="227" t="s">
        <v>282</v>
      </c>
      <c r="F62" s="227"/>
      <c r="G62" s="227"/>
      <c r="H62" s="216" t="s">
        <v>283</v>
      </c>
      <c r="I62" s="216"/>
      <c r="J62" s="216"/>
      <c r="K62" s="216"/>
      <c r="L62" s="216"/>
      <c r="M62" s="216"/>
      <c r="N62" s="216" t="s">
        <v>15</v>
      </c>
      <c r="O62" s="216"/>
      <c r="P62" s="217"/>
    </row>
    <row r="63" spans="1:17" ht="35.25" customHeight="1" thickTop="1" thickBot="1" x14ac:dyDescent="0.35">
      <c r="A63" s="211"/>
      <c r="B63" s="228"/>
      <c r="C63" s="228"/>
      <c r="D63" s="228"/>
      <c r="E63" s="228"/>
      <c r="F63" s="228"/>
      <c r="G63" s="228"/>
      <c r="H63" s="210" t="s">
        <v>193</v>
      </c>
      <c r="I63" s="210"/>
      <c r="J63" s="210" t="s">
        <v>194</v>
      </c>
      <c r="K63" s="210"/>
      <c r="L63" s="210" t="s">
        <v>195</v>
      </c>
      <c r="M63" s="210"/>
      <c r="N63" s="210"/>
      <c r="O63" s="210"/>
      <c r="P63" s="213"/>
    </row>
    <row r="64" spans="1:17" ht="21.75" thickTop="1" thickBot="1" x14ac:dyDescent="0.35">
      <c r="A64" s="211"/>
      <c r="B64" s="210" t="s">
        <v>10</v>
      </c>
      <c r="C64" s="210" t="s">
        <v>11</v>
      </c>
      <c r="D64" s="210" t="s">
        <v>15</v>
      </c>
      <c r="E64" s="210" t="s">
        <v>10</v>
      </c>
      <c r="F64" s="210" t="s">
        <v>11</v>
      </c>
      <c r="G64" s="210" t="s">
        <v>15</v>
      </c>
      <c r="H64" s="210" t="s">
        <v>10</v>
      </c>
      <c r="I64" s="210" t="s">
        <v>11</v>
      </c>
      <c r="J64" s="210" t="s">
        <v>10</v>
      </c>
      <c r="K64" s="210" t="s">
        <v>11</v>
      </c>
      <c r="L64" s="210" t="s">
        <v>10</v>
      </c>
      <c r="M64" s="210" t="s">
        <v>11</v>
      </c>
      <c r="N64" s="210" t="s">
        <v>10</v>
      </c>
      <c r="O64" s="210" t="s">
        <v>11</v>
      </c>
      <c r="P64" s="213" t="s">
        <v>15</v>
      </c>
    </row>
    <row r="65" spans="1:16" ht="21.75" thickTop="1" thickBot="1" x14ac:dyDescent="0.35">
      <c r="A65" s="211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3"/>
    </row>
    <row r="66" spans="1:16" ht="21.75" thickTop="1" thickBot="1" x14ac:dyDescent="0.35">
      <c r="A66" s="211" t="s">
        <v>17</v>
      </c>
      <c r="B66" s="210">
        <f>'التعليم المسرع'!DB44</f>
        <v>1</v>
      </c>
      <c r="C66" s="210">
        <f>'التعليم المسرع'!DC44</f>
        <v>2</v>
      </c>
      <c r="D66" s="210">
        <f>C66+B66</f>
        <v>3</v>
      </c>
      <c r="E66" s="210">
        <f>'التعليم المسرع'!DK44</f>
        <v>33</v>
      </c>
      <c r="F66" s="210">
        <f>'التعليم المسرع'!DL44</f>
        <v>11</v>
      </c>
      <c r="G66" s="210">
        <f t="shared" ref="G66" si="23">F66+E66</f>
        <v>44</v>
      </c>
      <c r="H66" s="210">
        <f>'التعليم المسرع'!DT44</f>
        <v>8</v>
      </c>
      <c r="I66" s="210">
        <f>'التعليم المسرع'!DU44</f>
        <v>19</v>
      </c>
      <c r="J66" s="210">
        <f>'التعليم المسرع'!EC44</f>
        <v>0</v>
      </c>
      <c r="K66" s="210">
        <f>'التعليم المسرع'!ED44</f>
        <v>0</v>
      </c>
      <c r="L66" s="210">
        <f>'التعليم المسرع'!EL44</f>
        <v>0</v>
      </c>
      <c r="M66" s="210">
        <f>'التعليم المسرع'!EM44</f>
        <v>0</v>
      </c>
      <c r="N66" s="210">
        <f>L66+J66+H66</f>
        <v>8</v>
      </c>
      <c r="O66" s="210">
        <f>M66+K66+I66</f>
        <v>19</v>
      </c>
      <c r="P66" s="213">
        <f>O66+N66</f>
        <v>27</v>
      </c>
    </row>
    <row r="67" spans="1:16" ht="21.75" thickTop="1" thickBot="1" x14ac:dyDescent="0.35">
      <c r="A67" s="211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3"/>
    </row>
    <row r="68" spans="1:16" ht="21.75" thickTop="1" thickBot="1" x14ac:dyDescent="0.35">
      <c r="A68" s="211" t="s">
        <v>18</v>
      </c>
      <c r="B68" s="210">
        <f>'التعليم المسرع'!DD44</f>
        <v>13</v>
      </c>
      <c r="C68" s="210">
        <f>'التعليم المسرع'!DE44</f>
        <v>2</v>
      </c>
      <c r="D68" s="210">
        <f t="shared" ref="D68" si="24">C68+B68</f>
        <v>15</v>
      </c>
      <c r="E68" s="210">
        <f>'التعليم المسرع'!DM44</f>
        <v>24</v>
      </c>
      <c r="F68" s="210">
        <f>'التعليم المسرع'!DN44</f>
        <v>19</v>
      </c>
      <c r="G68" s="210">
        <f t="shared" ref="G68" si="25">F68+E68</f>
        <v>43</v>
      </c>
      <c r="H68" s="210">
        <f>'التعليم المسرع'!DV44</f>
        <v>12</v>
      </c>
      <c r="I68" s="210">
        <f>'التعليم المسرع'!DW44</f>
        <v>17</v>
      </c>
      <c r="J68" s="210">
        <f>'التعليم المسرع'!EE44</f>
        <v>0</v>
      </c>
      <c r="K68" s="210">
        <f>'التعليم المسرع'!EF44</f>
        <v>0</v>
      </c>
      <c r="L68" s="210">
        <f>'التعليم المسرع'!EN44</f>
        <v>0</v>
      </c>
      <c r="M68" s="210">
        <f>'التعليم المسرع'!EO44</f>
        <v>0</v>
      </c>
      <c r="N68" s="210">
        <f t="shared" ref="N68" si="26">L68+J68+H68</f>
        <v>12</v>
      </c>
      <c r="O68" s="210">
        <f t="shared" ref="O68" si="27">M68+K68+I68</f>
        <v>17</v>
      </c>
      <c r="P68" s="213">
        <f t="shared" ref="P68" si="28">O68+N68</f>
        <v>29</v>
      </c>
    </row>
    <row r="69" spans="1:16" ht="21.75" thickTop="1" thickBot="1" x14ac:dyDescent="0.35">
      <c r="A69" s="211"/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3"/>
    </row>
    <row r="70" spans="1:16" ht="21.75" thickTop="1" thickBot="1" x14ac:dyDescent="0.35">
      <c r="A70" s="211" t="s">
        <v>19</v>
      </c>
      <c r="B70" s="210">
        <f>'التعليم المسرع'!DF44</f>
        <v>4</v>
      </c>
      <c r="C70" s="210">
        <f>'التعليم المسرع'!DG44</f>
        <v>1</v>
      </c>
      <c r="D70" s="210">
        <f t="shared" ref="D70" si="29">C70+B70</f>
        <v>5</v>
      </c>
      <c r="E70" s="210">
        <f>'التعليم المسرع'!DO44</f>
        <v>23</v>
      </c>
      <c r="F70" s="210">
        <f>'التعليم المسرع'!DP44</f>
        <v>23</v>
      </c>
      <c r="G70" s="210">
        <f t="shared" ref="G70" si="30">F70+E70</f>
        <v>46</v>
      </c>
      <c r="H70" s="210">
        <f>'التعليم المسرع'!DX44</f>
        <v>7</v>
      </c>
      <c r="I70" s="210">
        <f>'التعليم المسرع'!DY44</f>
        <v>12</v>
      </c>
      <c r="J70" s="210">
        <f>'التعليم المسرع'!EG44</f>
        <v>0</v>
      </c>
      <c r="K70" s="210">
        <f>'التعليم المسرع'!EH44</f>
        <v>0</v>
      </c>
      <c r="L70" s="210">
        <f>'التعليم المسرع'!EP44</f>
        <v>0</v>
      </c>
      <c r="M70" s="210">
        <f>'التعليم المسرع'!EQ44</f>
        <v>0</v>
      </c>
      <c r="N70" s="210">
        <f t="shared" ref="N70" si="31">L70+J70+H70</f>
        <v>7</v>
      </c>
      <c r="O70" s="210">
        <f t="shared" ref="O70" si="32">M70+K70+I70</f>
        <v>12</v>
      </c>
      <c r="P70" s="213">
        <f t="shared" ref="P70" si="33">O70+N70</f>
        <v>19</v>
      </c>
    </row>
    <row r="71" spans="1:16" ht="21.75" thickTop="1" thickBot="1" x14ac:dyDescent="0.35">
      <c r="A71" s="214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29"/>
    </row>
    <row r="72" spans="1:16" ht="21" thickTop="1" x14ac:dyDescent="0.3"/>
  </sheetData>
  <mergeCells count="250">
    <mergeCell ref="N62:P63"/>
    <mergeCell ref="N64:N65"/>
    <mergeCell ref="O64:O65"/>
    <mergeCell ref="P64:P65"/>
    <mergeCell ref="M24:M25"/>
    <mergeCell ref="K68:K69"/>
    <mergeCell ref="L68:L69"/>
    <mergeCell ref="M68:M69"/>
    <mergeCell ref="K51:K52"/>
    <mergeCell ref="K53:K54"/>
    <mergeCell ref="K55:K56"/>
    <mergeCell ref="K59:K60"/>
    <mergeCell ref="K57:K58"/>
    <mergeCell ref="K47:K48"/>
    <mergeCell ref="K49:K50"/>
    <mergeCell ref="K45:K46"/>
    <mergeCell ref="B28:K28"/>
    <mergeCell ref="B23:B24"/>
    <mergeCell ref="C23:C24"/>
    <mergeCell ref="D23:D24"/>
    <mergeCell ref="C43:D43"/>
    <mergeCell ref="E43:F43"/>
    <mergeCell ref="G43:H43"/>
    <mergeCell ref="E23:E24"/>
    <mergeCell ref="J18:J19"/>
    <mergeCell ref="K18:K19"/>
    <mergeCell ref="L18:L19"/>
    <mergeCell ref="N18:N19"/>
    <mergeCell ref="N20:N21"/>
    <mergeCell ref="F18:G18"/>
    <mergeCell ref="M18:M19"/>
    <mergeCell ref="M20:M21"/>
    <mergeCell ref="M22:M23"/>
    <mergeCell ref="I70:I71"/>
    <mergeCell ref="J70:J71"/>
    <mergeCell ref="K70:K71"/>
    <mergeCell ref="L70:L71"/>
    <mergeCell ref="M70:M71"/>
    <mergeCell ref="P66:P67"/>
    <mergeCell ref="P68:P69"/>
    <mergeCell ref="N66:N67"/>
    <mergeCell ref="J68:J69"/>
    <mergeCell ref="C68:C69"/>
    <mergeCell ref="C70:C71"/>
    <mergeCell ref="N70:N71"/>
    <mergeCell ref="O70:O71"/>
    <mergeCell ref="P70:P71"/>
    <mergeCell ref="E66:E67"/>
    <mergeCell ref="F66:F67"/>
    <mergeCell ref="E68:E69"/>
    <mergeCell ref="F68:F69"/>
    <mergeCell ref="E70:E71"/>
    <mergeCell ref="F70:F71"/>
    <mergeCell ref="N68:N69"/>
    <mergeCell ref="O68:O69"/>
    <mergeCell ref="O66:O67"/>
    <mergeCell ref="D66:D67"/>
    <mergeCell ref="G66:G67"/>
    <mergeCell ref="H66:H67"/>
    <mergeCell ref="I66:I67"/>
    <mergeCell ref="J66:J67"/>
    <mergeCell ref="K66:K67"/>
    <mergeCell ref="L66:L67"/>
    <mergeCell ref="D70:D71"/>
    <mergeCell ref="G70:G71"/>
    <mergeCell ref="H70:H71"/>
    <mergeCell ref="A62:A65"/>
    <mergeCell ref="A66:A67"/>
    <mergeCell ref="B62:D63"/>
    <mergeCell ref="E62:G63"/>
    <mergeCell ref="H62:M62"/>
    <mergeCell ref="H63:I63"/>
    <mergeCell ref="J63:K63"/>
    <mergeCell ref="L63:M63"/>
    <mergeCell ref="D64:D65"/>
    <mergeCell ref="G64:G65"/>
    <mergeCell ref="H64:H65"/>
    <mergeCell ref="J64:J65"/>
    <mergeCell ref="K64:K65"/>
    <mergeCell ref="M66:M67"/>
    <mergeCell ref="B64:B65"/>
    <mergeCell ref="C64:C65"/>
    <mergeCell ref="E64:E65"/>
    <mergeCell ref="F64:F65"/>
    <mergeCell ref="L64:L65"/>
    <mergeCell ref="M64:M65"/>
    <mergeCell ref="C66:C67"/>
    <mergeCell ref="A1:C1"/>
    <mergeCell ref="A2:D2"/>
    <mergeCell ref="B12:C12"/>
    <mergeCell ref="F12:H12"/>
    <mergeCell ref="B66:B67"/>
    <mergeCell ref="B70:B71"/>
    <mergeCell ref="B68:B69"/>
    <mergeCell ref="B7:D7"/>
    <mergeCell ref="G7:I7"/>
    <mergeCell ref="B9:D9"/>
    <mergeCell ref="G9:I9"/>
    <mergeCell ref="I18:I19"/>
    <mergeCell ref="A68:A69"/>
    <mergeCell ref="A70:A71"/>
    <mergeCell ref="I64:I65"/>
    <mergeCell ref="D68:D69"/>
    <mergeCell ref="G68:G69"/>
    <mergeCell ref="H68:H69"/>
    <mergeCell ref="I68:I69"/>
    <mergeCell ref="B19:B20"/>
    <mergeCell ref="C19:C20"/>
    <mergeCell ref="D19:D20"/>
    <mergeCell ref="E19:E20"/>
    <mergeCell ref="F19:G20"/>
    <mergeCell ref="C3:L3"/>
    <mergeCell ref="I20:I21"/>
    <mergeCell ref="J20:J21"/>
    <mergeCell ref="K20:K21"/>
    <mergeCell ref="L20:L21"/>
    <mergeCell ref="I22:I23"/>
    <mergeCell ref="J22:J23"/>
    <mergeCell ref="K22:K23"/>
    <mergeCell ref="L22:L23"/>
    <mergeCell ref="K12:M12"/>
    <mergeCell ref="B17:G17"/>
    <mergeCell ref="L7:N7"/>
    <mergeCell ref="L9:N9"/>
    <mergeCell ref="N22:N23"/>
    <mergeCell ref="B21:B22"/>
    <mergeCell ref="C21:C22"/>
    <mergeCell ref="D21:D22"/>
    <mergeCell ref="E21:E22"/>
    <mergeCell ref="F23:G24"/>
    <mergeCell ref="F21:G22"/>
    <mergeCell ref="I24:I25"/>
    <mergeCell ref="J24:J25"/>
    <mergeCell ref="K24:K25"/>
    <mergeCell ref="I17:N17"/>
    <mergeCell ref="J29:K30"/>
    <mergeCell ref="H35:H36"/>
    <mergeCell ref="D31:D32"/>
    <mergeCell ref="E31:E32"/>
    <mergeCell ref="F31:F32"/>
    <mergeCell ref="C31:C32"/>
    <mergeCell ref="D35:D36"/>
    <mergeCell ref="E35:E36"/>
    <mergeCell ref="F35:F36"/>
    <mergeCell ref="I35:I36"/>
    <mergeCell ref="H31:H32"/>
    <mergeCell ref="I31:I32"/>
    <mergeCell ref="J31:K32"/>
    <mergeCell ref="B29:B30"/>
    <mergeCell ref="L24:L25"/>
    <mergeCell ref="N24:N25"/>
    <mergeCell ref="F25:G25"/>
    <mergeCell ref="J35:K36"/>
    <mergeCell ref="I33:I34"/>
    <mergeCell ref="J33:K34"/>
    <mergeCell ref="F33:F34"/>
    <mergeCell ref="G33:G34"/>
    <mergeCell ref="H33:H34"/>
    <mergeCell ref="G31:G32"/>
    <mergeCell ref="B35:B36"/>
    <mergeCell ref="C35:C36"/>
    <mergeCell ref="C33:C34"/>
    <mergeCell ref="B31:B32"/>
    <mergeCell ref="D33:D34"/>
    <mergeCell ref="E33:E34"/>
    <mergeCell ref="C29:C30"/>
    <mergeCell ref="D29:D30"/>
    <mergeCell ref="E29:E30"/>
    <mergeCell ref="F29:F30"/>
    <mergeCell ref="G29:G30"/>
    <mergeCell ref="H29:H30"/>
    <mergeCell ref="I29:I30"/>
    <mergeCell ref="H45:H46"/>
    <mergeCell ref="I45:I46"/>
    <mergeCell ref="J45:J46"/>
    <mergeCell ref="B33:B34"/>
    <mergeCell ref="A38:C38"/>
    <mergeCell ref="A39:D39"/>
    <mergeCell ref="B43:B44"/>
    <mergeCell ref="G35:G36"/>
    <mergeCell ref="I43:K43"/>
    <mergeCell ref="H47:H48"/>
    <mergeCell ref="I47:I48"/>
    <mergeCell ref="J47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H53:H54"/>
    <mergeCell ref="I53:I54"/>
    <mergeCell ref="J53:J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B53:B54"/>
    <mergeCell ref="C53:C54"/>
    <mergeCell ref="D53:D54"/>
    <mergeCell ref="E53:E54"/>
    <mergeCell ref="F53:F54"/>
    <mergeCell ref="G53:G54"/>
    <mergeCell ref="H55:H56"/>
    <mergeCell ref="I55:I56"/>
    <mergeCell ref="J55:J56"/>
    <mergeCell ref="B57:B58"/>
    <mergeCell ref="C57:C58"/>
    <mergeCell ref="D57:D58"/>
    <mergeCell ref="E57:E58"/>
    <mergeCell ref="F57:F58"/>
    <mergeCell ref="G59:G60"/>
    <mergeCell ref="H59:H60"/>
    <mergeCell ref="I59:I60"/>
    <mergeCell ref="J59:J60"/>
    <mergeCell ref="G57:G58"/>
    <mergeCell ref="H57:H58"/>
    <mergeCell ref="I57:I58"/>
    <mergeCell ref="J57:J58"/>
    <mergeCell ref="B59:B60"/>
    <mergeCell ref="C59:C60"/>
    <mergeCell ref="D59:D60"/>
    <mergeCell ref="E59:E60"/>
    <mergeCell ref="F59:F60"/>
    <mergeCell ref="B55:B56"/>
    <mergeCell ref="C55:C56"/>
    <mergeCell ref="D55:D56"/>
    <mergeCell ref="E55:E56"/>
    <mergeCell ref="F55:F56"/>
    <mergeCell ref="G55:G56"/>
    <mergeCell ref="B45:B46"/>
    <mergeCell ref="C45:C46"/>
    <mergeCell ref="D45:D46"/>
    <mergeCell ref="B47:B48"/>
    <mergeCell ref="C47:C48"/>
    <mergeCell ref="D47:D48"/>
    <mergeCell ref="E47:E48"/>
    <mergeCell ref="F47:F48"/>
    <mergeCell ref="G47:G48"/>
    <mergeCell ref="E45:E46"/>
    <mergeCell ref="F45:F46"/>
    <mergeCell ref="G45:G46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P70"/>
  <sheetViews>
    <sheetView rightToLeft="1" view="pageBreakPreview" topLeftCell="C50" zoomScale="70" zoomScaleSheetLayoutView="70" workbookViewId="0">
      <selection activeCell="L70" sqref="L70"/>
    </sheetView>
  </sheetViews>
  <sheetFormatPr defaultColWidth="9" defaultRowHeight="20.25" x14ac:dyDescent="0.3"/>
  <cols>
    <col min="1" max="1" width="14.625" style="9" customWidth="1"/>
    <col min="2" max="2" width="16.75" style="9" customWidth="1"/>
    <col min="3" max="3" width="12" style="9" customWidth="1"/>
    <col min="4" max="5" width="9" style="9"/>
    <col min="6" max="6" width="12.375" style="9" customWidth="1"/>
    <col min="7" max="8" width="9" style="9"/>
    <col min="9" max="9" width="9.25" style="9" customWidth="1"/>
    <col min="10" max="10" width="10.75" style="9" customWidth="1"/>
    <col min="11" max="11" width="10.375" style="9" customWidth="1"/>
    <col min="12" max="12" width="11.75" style="9" customWidth="1"/>
    <col min="13" max="13" width="8.75" style="9" customWidth="1"/>
    <col min="14" max="14" width="12" style="9" customWidth="1"/>
    <col min="15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173</v>
      </c>
      <c r="C6" s="232"/>
      <c r="D6" s="231"/>
      <c r="F6" s="9" t="s">
        <v>2</v>
      </c>
      <c r="G6" s="230" t="s">
        <v>172</v>
      </c>
      <c r="H6" s="232"/>
      <c r="I6" s="231"/>
      <c r="K6" s="9" t="s">
        <v>0</v>
      </c>
      <c r="L6" s="230" t="s">
        <v>129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المسرع'!K41+'التعليم المسرع'!L41</f>
        <v>2</v>
      </c>
      <c r="C8" s="232"/>
      <c r="D8" s="231"/>
      <c r="F8" s="9" t="s">
        <v>3</v>
      </c>
      <c r="G8" s="230">
        <f>'التعليم المسرع'!Q41</f>
        <v>0</v>
      </c>
      <c r="H8" s="232"/>
      <c r="I8" s="231"/>
      <c r="K8" s="9" t="s">
        <v>4</v>
      </c>
      <c r="L8" s="230">
        <f>'التعليم المسرع'!R41</f>
        <v>2</v>
      </c>
      <c r="M8" s="232"/>
      <c r="N8" s="231"/>
    </row>
    <row r="9" spans="1:15" ht="21" thickTop="1" x14ac:dyDescent="0.3"/>
    <row r="10" spans="1:15" ht="21" thickBot="1" x14ac:dyDescent="0.35"/>
    <row r="11" spans="1:15" ht="21.75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21.75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1.75" thickTop="1" thickBot="1" x14ac:dyDescent="0.35">
      <c r="B13" s="16">
        <f>'التعليم المسرع'!K41</f>
        <v>2</v>
      </c>
      <c r="C13" s="17">
        <f>'التعليم المسرع'!L41</f>
        <v>0</v>
      </c>
      <c r="F13" s="18">
        <f>'التعليم المسرع'!H41</f>
        <v>1</v>
      </c>
      <c r="G13" s="19">
        <f>'التعليم المسرع'!I41</f>
        <v>1</v>
      </c>
      <c r="H13" s="20">
        <f>'التعليم المسرع'!J41</f>
        <v>0</v>
      </c>
      <c r="K13" s="16">
        <f>'التعليم المسرع'!FC41</f>
        <v>8</v>
      </c>
      <c r="L13" s="21">
        <f>'التعليم المسرع'!FD41</f>
        <v>1</v>
      </c>
      <c r="M13" s="17">
        <f>SUM(K13:L13)</f>
        <v>9</v>
      </c>
    </row>
    <row r="14" spans="1:15" ht="21" thickTop="1" x14ac:dyDescent="0.3"/>
    <row r="15" spans="1:15" ht="21" thickBot="1" x14ac:dyDescent="0.35"/>
    <row r="16" spans="1:15" s="35" customFormat="1" ht="27.75" customHeight="1" thickTop="1" thickBot="1" x14ac:dyDescent="0.25">
      <c r="B16" s="270" t="s">
        <v>20</v>
      </c>
      <c r="C16" s="271"/>
      <c r="D16" s="271"/>
      <c r="E16" s="271"/>
      <c r="F16" s="271"/>
      <c r="G16" s="272"/>
      <c r="I16" s="186" t="s">
        <v>30</v>
      </c>
      <c r="J16" s="190"/>
      <c r="K16" s="190"/>
      <c r="L16" s="190"/>
      <c r="M16" s="187"/>
    </row>
    <row r="17" spans="2:13" ht="21.75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المسرع'!CO41</f>
        <v>1</v>
      </c>
      <c r="D18" s="191">
        <f>'التعليم المسرع'!CP41</f>
        <v>1</v>
      </c>
      <c r="E18" s="191">
        <f>'التعليم المسرع'!CQ41</f>
        <v>0</v>
      </c>
      <c r="F18" s="193">
        <f>C18+D18+E18</f>
        <v>2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المسرع'!EU41</f>
        <v>1</v>
      </c>
      <c r="K19" s="210">
        <f>'التعليم المسرع'!EW41</f>
        <v>1</v>
      </c>
      <c r="L19" s="210">
        <f>'التعليم المسرع'!EY41</f>
        <v>6</v>
      </c>
      <c r="M19" s="213">
        <f>SUM(J19:L19)</f>
        <v>8</v>
      </c>
    </row>
    <row r="20" spans="2:13" ht="21.75" thickTop="1" thickBot="1" x14ac:dyDescent="0.35">
      <c r="B20" s="191" t="s">
        <v>18</v>
      </c>
      <c r="C20" s="191">
        <f>'التعليم المسرع'!CR41</f>
        <v>2</v>
      </c>
      <c r="D20" s="191">
        <f>'التعليم المسرع'!CS41</f>
        <v>1</v>
      </c>
      <c r="E20" s="191">
        <f>'التعليم المسرع'!CT41</f>
        <v>0</v>
      </c>
      <c r="F20" s="193">
        <f t="shared" ref="F20" si="0">C20+D20+E20</f>
        <v>3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المسرع'!EV41</f>
        <v>1</v>
      </c>
      <c r="K21" s="210">
        <f>'التعليم المسرع'!EX41</f>
        <v>0</v>
      </c>
      <c r="L21" s="210">
        <f>'التعليم المسرع'!EZ41</f>
        <v>0</v>
      </c>
      <c r="M21" s="213">
        <f>SUM(J21:L21)</f>
        <v>1</v>
      </c>
    </row>
    <row r="22" spans="2:13" ht="21.75" thickTop="1" thickBot="1" x14ac:dyDescent="0.35">
      <c r="B22" s="191" t="s">
        <v>19</v>
      </c>
      <c r="C22" s="191">
        <f>'التعليم المسرع'!CU41</f>
        <v>1</v>
      </c>
      <c r="D22" s="191">
        <f>'التعليم المسرع'!CV41</f>
        <v>2</v>
      </c>
      <c r="E22" s="191">
        <f>'التعليم المسرع'!CW41</f>
        <v>0</v>
      </c>
      <c r="F22" s="193">
        <f t="shared" ref="F22" si="1">C22+D22+E22</f>
        <v>3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2</v>
      </c>
      <c r="K23" s="210">
        <f t="shared" ref="K23:M23" si="2">K19+K21</f>
        <v>1</v>
      </c>
      <c r="L23" s="210">
        <f t="shared" si="2"/>
        <v>6</v>
      </c>
      <c r="M23" s="213">
        <f t="shared" si="2"/>
        <v>9</v>
      </c>
    </row>
    <row r="24" spans="2:13" ht="42.75" customHeight="1" thickTop="1" thickBot="1" x14ac:dyDescent="0.35">
      <c r="B24" s="24" t="s">
        <v>15</v>
      </c>
      <c r="C24" s="25">
        <f>SUM(C18:C23)</f>
        <v>4</v>
      </c>
      <c r="D24" s="25">
        <f>SUM(D18:D23)</f>
        <v>4</v>
      </c>
      <c r="E24" s="25">
        <f>SUM(E18:E23)</f>
        <v>0</v>
      </c>
      <c r="F24" s="206">
        <f>C24+D24+E24</f>
        <v>8</v>
      </c>
      <c r="G24" s="187"/>
      <c r="I24" s="214"/>
      <c r="J24" s="212"/>
      <c r="K24" s="212"/>
      <c r="L24" s="212"/>
      <c r="M24" s="229"/>
    </row>
    <row r="25" spans="2:13" ht="21" thickTop="1" x14ac:dyDescent="0.3"/>
    <row r="26" spans="2:13" ht="21" thickBot="1" x14ac:dyDescent="0.35">
      <c r="B26" s="27"/>
      <c r="C26" s="27"/>
      <c r="D26" s="27"/>
      <c r="E26" s="27"/>
    </row>
    <row r="27" spans="2:13" ht="32.25" customHeight="1" thickTop="1" thickBot="1" x14ac:dyDescent="0.35">
      <c r="B27" s="186" t="s">
        <v>39</v>
      </c>
      <c r="C27" s="190"/>
      <c r="D27" s="190"/>
      <c r="E27" s="190"/>
      <c r="F27" s="190"/>
      <c r="G27" s="190"/>
      <c r="H27" s="190"/>
      <c r="I27" s="190"/>
      <c r="J27" s="190"/>
      <c r="K27" s="187"/>
      <c r="L27" s="26"/>
      <c r="M27" s="26"/>
    </row>
    <row r="28" spans="2:13" ht="46.5" customHeight="1" thickTop="1" thickBot="1" x14ac:dyDescent="0.35">
      <c r="B28" s="233" t="s">
        <v>40</v>
      </c>
      <c r="C28" s="227" t="s">
        <v>32</v>
      </c>
      <c r="D28" s="227" t="s">
        <v>33</v>
      </c>
      <c r="E28" s="227" t="s">
        <v>34</v>
      </c>
      <c r="F28" s="227" t="s">
        <v>35</v>
      </c>
      <c r="G28" s="227" t="s">
        <v>36</v>
      </c>
      <c r="H28" s="227" t="s">
        <v>37</v>
      </c>
      <c r="I28" s="227" t="s">
        <v>38</v>
      </c>
      <c r="J28" s="216" t="s">
        <v>15</v>
      </c>
      <c r="K28" s="217"/>
      <c r="L28" s="26"/>
      <c r="M28" s="26"/>
    </row>
    <row r="29" spans="2:13" ht="40.5" customHeight="1" thickTop="1" thickBot="1" x14ac:dyDescent="0.35">
      <c r="B29" s="234"/>
      <c r="C29" s="228"/>
      <c r="D29" s="228"/>
      <c r="E29" s="228"/>
      <c r="F29" s="228"/>
      <c r="G29" s="228"/>
      <c r="H29" s="228"/>
      <c r="I29" s="228"/>
      <c r="J29" s="210"/>
      <c r="K29" s="213"/>
      <c r="L29" s="26"/>
      <c r="M29" s="26"/>
    </row>
    <row r="30" spans="2:13" ht="21.75" thickTop="1" thickBot="1" x14ac:dyDescent="0.35">
      <c r="B30" s="211" t="s">
        <v>13</v>
      </c>
      <c r="C30" s="210">
        <f>'التعليم المسرع'!FZ41</f>
        <v>0</v>
      </c>
      <c r="D30" s="210">
        <f>'التعليم المسرع'!FX41</f>
        <v>0</v>
      </c>
      <c r="E30" s="210">
        <f>'التعليم المسرع'!GD41</f>
        <v>0</v>
      </c>
      <c r="F30" s="210">
        <f>'التعليم المسرع'!GB41</f>
        <v>2</v>
      </c>
      <c r="G30" s="210">
        <f>'التعليم المسرع'!GH41</f>
        <v>6</v>
      </c>
      <c r="H30" s="210">
        <f>'التعليم المسرع'!GJ41</f>
        <v>0</v>
      </c>
      <c r="I30" s="210">
        <f>'التعليم المسرع'!GL41</f>
        <v>0</v>
      </c>
      <c r="J30" s="210">
        <f>I30+H30+G30+F30+E30+D30+C30</f>
        <v>8</v>
      </c>
      <c r="K30" s="213"/>
      <c r="L30" s="26"/>
      <c r="M30" s="26"/>
    </row>
    <row r="31" spans="2:13" ht="21.75" thickTop="1" thickBot="1" x14ac:dyDescent="0.35">
      <c r="B31" s="211"/>
      <c r="C31" s="210"/>
      <c r="D31" s="210"/>
      <c r="E31" s="210"/>
      <c r="F31" s="210"/>
      <c r="G31" s="210"/>
      <c r="H31" s="210"/>
      <c r="I31" s="210"/>
      <c r="J31" s="210"/>
      <c r="K31" s="213"/>
      <c r="L31" s="26"/>
      <c r="M31" s="26"/>
    </row>
    <row r="32" spans="2:13" ht="21.75" thickTop="1" thickBot="1" x14ac:dyDescent="0.35">
      <c r="B32" s="211" t="s">
        <v>14</v>
      </c>
      <c r="C32" s="210">
        <f>'التعليم المسرع'!GA41</f>
        <v>0</v>
      </c>
      <c r="D32" s="210">
        <f>'التعليم المسرع'!FY41</f>
        <v>0</v>
      </c>
      <c r="E32" s="210">
        <f>'التعليم المسرع'!GE41</f>
        <v>0</v>
      </c>
      <c r="F32" s="210">
        <f>'التعليم المسرع'!GC41</f>
        <v>1</v>
      </c>
      <c r="G32" s="210">
        <f>'التعليم المسرع'!GI41</f>
        <v>0</v>
      </c>
      <c r="H32" s="210">
        <f>'التعليم المسرع'!GK41</f>
        <v>0</v>
      </c>
      <c r="I32" s="210">
        <f>'التعليم المسرع'!GM41</f>
        <v>0</v>
      </c>
      <c r="J32" s="210">
        <f t="shared" ref="J32" si="3">I32+H32+G32+F32+E32+D32+C32</f>
        <v>1</v>
      </c>
      <c r="K32" s="213"/>
      <c r="L32" s="26"/>
      <c r="M32" s="26"/>
    </row>
    <row r="33" spans="1:14" ht="21.75" thickTop="1" thickBot="1" x14ac:dyDescent="0.35">
      <c r="B33" s="211"/>
      <c r="C33" s="210"/>
      <c r="D33" s="210"/>
      <c r="E33" s="210"/>
      <c r="F33" s="210"/>
      <c r="G33" s="210"/>
      <c r="H33" s="210"/>
      <c r="I33" s="210"/>
      <c r="J33" s="210"/>
      <c r="K33" s="213"/>
      <c r="L33" s="26"/>
      <c r="M33" s="26"/>
    </row>
    <row r="34" spans="1:14" ht="21.75" thickTop="1" thickBot="1" x14ac:dyDescent="0.35">
      <c r="B34" s="211" t="s">
        <v>15</v>
      </c>
      <c r="C34" s="210">
        <f>C30+C32</f>
        <v>0</v>
      </c>
      <c r="D34" s="210">
        <f t="shared" ref="D34:I34" si="4">D30+D32</f>
        <v>0</v>
      </c>
      <c r="E34" s="210">
        <f t="shared" si="4"/>
        <v>0</v>
      </c>
      <c r="F34" s="210">
        <f t="shared" si="4"/>
        <v>3</v>
      </c>
      <c r="G34" s="210">
        <f t="shared" si="4"/>
        <v>6</v>
      </c>
      <c r="H34" s="210">
        <f t="shared" si="4"/>
        <v>0</v>
      </c>
      <c r="I34" s="210">
        <f t="shared" si="4"/>
        <v>0</v>
      </c>
      <c r="J34" s="210">
        <f t="shared" ref="J34" si="5">I34+H34+G34+F34+E34+D34+C34</f>
        <v>9</v>
      </c>
      <c r="K34" s="213"/>
      <c r="L34" s="26"/>
      <c r="M34" s="26"/>
    </row>
    <row r="35" spans="1:14" ht="21.75" thickTop="1" thickBot="1" x14ac:dyDescent="0.35">
      <c r="B35" s="214"/>
      <c r="C35" s="212"/>
      <c r="D35" s="212"/>
      <c r="E35" s="212"/>
      <c r="F35" s="212"/>
      <c r="G35" s="212"/>
      <c r="H35" s="212"/>
      <c r="I35" s="212"/>
      <c r="J35" s="212"/>
      <c r="K35" s="229"/>
      <c r="L35" s="26"/>
      <c r="M35" s="26"/>
    </row>
    <row r="36" spans="1:14" ht="21" thickTop="1" x14ac:dyDescent="0.3"/>
    <row r="37" spans="1:14" x14ac:dyDescent="0.3">
      <c r="A37" s="202" t="s">
        <v>55</v>
      </c>
      <c r="B37" s="202"/>
      <c r="C37" s="202"/>
    </row>
    <row r="38" spans="1:14" ht="26.25" customHeight="1" x14ac:dyDescent="0.3">
      <c r="A38" s="202" t="s">
        <v>56</v>
      </c>
      <c r="B38" s="202"/>
      <c r="C38" s="202"/>
      <c r="D38" s="202"/>
      <c r="K38" s="9" t="s">
        <v>177</v>
      </c>
    </row>
    <row r="39" spans="1:14" ht="27.75" customHeight="1" x14ac:dyDescent="0.3">
      <c r="D39" s="9" t="s">
        <v>52</v>
      </c>
    </row>
    <row r="40" spans="1:14" ht="21" thickBot="1" x14ac:dyDescent="0.35"/>
    <row r="41" spans="1:14" ht="32.25" customHeight="1" thickTop="1" thickBot="1" x14ac:dyDescent="0.35">
      <c r="B41" s="224" t="s">
        <v>28</v>
      </c>
      <c r="C41" s="206" t="s">
        <v>17</v>
      </c>
      <c r="D41" s="250"/>
      <c r="E41" s="206" t="s">
        <v>18</v>
      </c>
      <c r="F41" s="250"/>
      <c r="G41" s="206" t="s">
        <v>19</v>
      </c>
      <c r="H41" s="250"/>
      <c r="I41" s="206" t="s">
        <v>29</v>
      </c>
      <c r="J41" s="190"/>
      <c r="K41" s="250"/>
      <c r="L41" s="26"/>
      <c r="M41" s="26"/>
      <c r="N41" s="26"/>
    </row>
    <row r="42" spans="1:14" ht="30.75" customHeight="1" thickTop="1" thickBot="1" x14ac:dyDescent="0.35">
      <c r="B42" s="218"/>
      <c r="C42" s="29" t="s">
        <v>10</v>
      </c>
      <c r="D42" s="29" t="s">
        <v>11</v>
      </c>
      <c r="E42" s="29" t="s">
        <v>10</v>
      </c>
      <c r="F42" s="29" t="s">
        <v>11</v>
      </c>
      <c r="G42" s="29" t="s">
        <v>10</v>
      </c>
      <c r="H42" s="29" t="s">
        <v>11</v>
      </c>
      <c r="I42" s="29" t="s">
        <v>10</v>
      </c>
      <c r="J42" s="29" t="s">
        <v>11</v>
      </c>
      <c r="K42" s="29" t="s">
        <v>15</v>
      </c>
      <c r="L42" s="26"/>
      <c r="M42" s="26"/>
      <c r="N42" s="26"/>
    </row>
    <row r="43" spans="1:14" ht="21" thickTop="1" x14ac:dyDescent="0.3">
      <c r="B43" s="224" t="s">
        <v>21</v>
      </c>
      <c r="C43" s="224">
        <f>'التعليم المسرع'!Y41</f>
        <v>6</v>
      </c>
      <c r="D43" s="224">
        <f>'التعليم المسرع'!Z41</f>
        <v>7</v>
      </c>
      <c r="E43" s="224">
        <f>'التعليم المسرع'!AP41</f>
        <v>2</v>
      </c>
      <c r="F43" s="224">
        <f>'التعليم المسرع'!AQ41</f>
        <v>5</v>
      </c>
      <c r="G43" s="224">
        <f>'التعليم المسرع'!BG41</f>
        <v>1</v>
      </c>
      <c r="H43" s="224">
        <f>'التعليم المسرع'!BH41</f>
        <v>2</v>
      </c>
      <c r="I43" s="224">
        <f>C43+E43+G43</f>
        <v>9</v>
      </c>
      <c r="J43" s="224">
        <f>D43+F43+H43</f>
        <v>14</v>
      </c>
      <c r="K43" s="224">
        <f>SUM(I43:J43)</f>
        <v>23</v>
      </c>
      <c r="L43" s="26"/>
    </row>
    <row r="44" spans="1:14" ht="21" thickBot="1" x14ac:dyDescent="0.35"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6"/>
    </row>
    <row r="45" spans="1:14" ht="21" thickTop="1" x14ac:dyDescent="0.3">
      <c r="B45" s="224" t="s">
        <v>22</v>
      </c>
      <c r="C45" s="224">
        <f>'التعليم المسرع'!AA41</f>
        <v>12</v>
      </c>
      <c r="D45" s="224">
        <f>'التعليم المسرع'!AB41</f>
        <v>1</v>
      </c>
      <c r="E45" s="249">
        <f>'التعليم المسرع'!AR41</f>
        <v>4</v>
      </c>
      <c r="F45" s="249">
        <f>'التعليم المسرع'!AS41</f>
        <v>4</v>
      </c>
      <c r="G45" s="224">
        <f>'التعليم المسرع'!BI41</f>
        <v>2</v>
      </c>
      <c r="H45" s="224">
        <f>'التعليم المسرع'!BJ41</f>
        <v>0</v>
      </c>
      <c r="I45" s="224">
        <f t="shared" ref="I45:J45" si="6">C45+E45+G45</f>
        <v>18</v>
      </c>
      <c r="J45" s="224">
        <f t="shared" si="6"/>
        <v>5</v>
      </c>
      <c r="K45" s="224">
        <f t="shared" ref="K45" si="7">SUM(I45:J45)</f>
        <v>23</v>
      </c>
      <c r="L45" s="26"/>
    </row>
    <row r="46" spans="1:14" ht="21" thickBot="1" x14ac:dyDescent="0.35">
      <c r="B46" s="218"/>
      <c r="C46" s="218"/>
      <c r="D46" s="218"/>
      <c r="E46" s="219"/>
      <c r="F46" s="219"/>
      <c r="G46" s="218"/>
      <c r="H46" s="218"/>
      <c r="I46" s="218"/>
      <c r="J46" s="218"/>
      <c r="K46" s="218"/>
      <c r="L46" s="26"/>
    </row>
    <row r="47" spans="1:14" ht="21" thickTop="1" x14ac:dyDescent="0.3">
      <c r="B47" s="224" t="s">
        <v>23</v>
      </c>
      <c r="C47" s="224">
        <f>'التعليم المسرع'!AC41</f>
        <v>6</v>
      </c>
      <c r="D47" s="224">
        <f>'التعليم المسرع'!AD41</f>
        <v>8</v>
      </c>
      <c r="E47" s="249">
        <f>'التعليم المسرع'!AT41</f>
        <v>11</v>
      </c>
      <c r="F47" s="249">
        <f>'التعليم المسرع'!AU41</f>
        <v>3</v>
      </c>
      <c r="G47" s="224">
        <f>'التعليم المسرع'!BK41</f>
        <v>1</v>
      </c>
      <c r="H47" s="224">
        <f>'التعليم المسرع'!BL41</f>
        <v>5</v>
      </c>
      <c r="I47" s="224">
        <f t="shared" ref="I47:J47" si="8">C47+E47+G47</f>
        <v>18</v>
      </c>
      <c r="J47" s="224">
        <f t="shared" si="8"/>
        <v>16</v>
      </c>
      <c r="K47" s="224">
        <f t="shared" ref="K47" si="9">SUM(I47:J47)</f>
        <v>34</v>
      </c>
      <c r="L47" s="26"/>
    </row>
    <row r="48" spans="1:14" ht="21" thickBot="1" x14ac:dyDescent="0.35">
      <c r="B48" s="218"/>
      <c r="C48" s="218"/>
      <c r="D48" s="218"/>
      <c r="E48" s="219"/>
      <c r="F48" s="219"/>
      <c r="G48" s="218"/>
      <c r="H48" s="218"/>
      <c r="I48" s="218"/>
      <c r="J48" s="218"/>
      <c r="K48" s="218"/>
      <c r="L48" s="26"/>
    </row>
    <row r="49" spans="1:16" ht="21" thickTop="1" x14ac:dyDescent="0.3">
      <c r="B49" s="224" t="s">
        <v>24</v>
      </c>
      <c r="C49" s="224">
        <f>'التعليم المسرع'!AE41</f>
        <v>4</v>
      </c>
      <c r="D49" s="224">
        <f>'التعليم المسرع'!AF41</f>
        <v>3</v>
      </c>
      <c r="E49" s="249">
        <f>'التعليم المسرع'!AV41</f>
        <v>18</v>
      </c>
      <c r="F49" s="249">
        <f>'التعليم المسرع'!AW41</f>
        <v>6</v>
      </c>
      <c r="G49" s="224">
        <f>'التعليم المسرع'!BM41</f>
        <v>6</v>
      </c>
      <c r="H49" s="224">
        <f>'التعليم المسرع'!BN41</f>
        <v>7</v>
      </c>
      <c r="I49" s="224">
        <f t="shared" ref="I49:J49" si="10">C49+E49+G49</f>
        <v>28</v>
      </c>
      <c r="J49" s="224">
        <f t="shared" si="10"/>
        <v>16</v>
      </c>
      <c r="K49" s="224">
        <f t="shared" ref="K49" si="11">SUM(I49:J49)</f>
        <v>44</v>
      </c>
      <c r="L49" s="26"/>
    </row>
    <row r="50" spans="1:16" ht="21" thickBot="1" x14ac:dyDescent="0.35">
      <c r="B50" s="218"/>
      <c r="C50" s="218"/>
      <c r="D50" s="218"/>
      <c r="E50" s="219"/>
      <c r="F50" s="219"/>
      <c r="G50" s="218"/>
      <c r="H50" s="218"/>
      <c r="I50" s="218"/>
      <c r="J50" s="218"/>
      <c r="K50" s="218"/>
      <c r="L50" s="26"/>
    </row>
    <row r="51" spans="1:16" ht="21" thickTop="1" x14ac:dyDescent="0.3">
      <c r="B51" s="224" t="s">
        <v>25</v>
      </c>
      <c r="C51" s="224">
        <f>'التعليم المسرع'!AG41</f>
        <v>6</v>
      </c>
      <c r="D51" s="224">
        <f>'التعليم المسرع'!AH41</f>
        <v>0</v>
      </c>
      <c r="E51" s="249">
        <f>'التعليم المسرع'!AX41</f>
        <v>10</v>
      </c>
      <c r="F51" s="249">
        <f>'التعليم المسرع'!AY41</f>
        <v>5</v>
      </c>
      <c r="G51" s="224">
        <f>'التعليم المسرع'!BO41</f>
        <v>9</v>
      </c>
      <c r="H51" s="224">
        <f>'التعليم المسرع'!BP41</f>
        <v>9</v>
      </c>
      <c r="I51" s="224">
        <f t="shared" ref="I51:J51" si="12">C51+E51+G51</f>
        <v>25</v>
      </c>
      <c r="J51" s="224">
        <f t="shared" si="12"/>
        <v>14</v>
      </c>
      <c r="K51" s="224">
        <f t="shared" ref="K51" si="13">SUM(I51:J51)</f>
        <v>39</v>
      </c>
      <c r="L51" s="26"/>
    </row>
    <row r="52" spans="1:16" ht="21" thickBot="1" x14ac:dyDescent="0.35">
      <c r="B52" s="218"/>
      <c r="C52" s="218"/>
      <c r="D52" s="218"/>
      <c r="E52" s="219"/>
      <c r="F52" s="219"/>
      <c r="G52" s="218"/>
      <c r="H52" s="218"/>
      <c r="I52" s="218"/>
      <c r="J52" s="218"/>
      <c r="K52" s="218"/>
      <c r="L52" s="26"/>
    </row>
    <row r="53" spans="1:16" ht="21" thickTop="1" x14ac:dyDescent="0.3">
      <c r="B53" s="224" t="s">
        <v>26</v>
      </c>
      <c r="C53" s="224">
        <f>'التعليم المسرع'!AI41</f>
        <v>1</v>
      </c>
      <c r="D53" s="224">
        <f>'التعليم المسرع'!AJ41</f>
        <v>4</v>
      </c>
      <c r="E53" s="224">
        <f>'التعليم المسرع'!AZ41</f>
        <v>6</v>
      </c>
      <c r="F53" s="224">
        <f>'التعليم المسرع'!BA41</f>
        <v>2</v>
      </c>
      <c r="G53" s="224">
        <f>'التعليم المسرع'!BQ41</f>
        <v>7</v>
      </c>
      <c r="H53" s="224">
        <f>'التعليم المسرع'!BR41</f>
        <v>8</v>
      </c>
      <c r="I53" s="224">
        <f t="shared" ref="I53:J53" si="14">C53+E53+G53</f>
        <v>14</v>
      </c>
      <c r="J53" s="224">
        <f t="shared" si="14"/>
        <v>14</v>
      </c>
      <c r="K53" s="224">
        <f t="shared" ref="K53" si="15">SUM(I53:J53)</f>
        <v>28</v>
      </c>
      <c r="L53" s="26"/>
    </row>
    <row r="54" spans="1:16" ht="21" thickBot="1" x14ac:dyDescent="0.35">
      <c r="B54" s="218"/>
      <c r="C54" s="218"/>
      <c r="D54" s="218"/>
      <c r="E54" s="218"/>
      <c r="F54" s="218"/>
      <c r="G54" s="218"/>
      <c r="H54" s="218"/>
      <c r="I54" s="218"/>
      <c r="J54" s="218"/>
      <c r="K54" s="218"/>
    </row>
    <row r="55" spans="1:16" ht="21" thickTop="1" x14ac:dyDescent="0.3">
      <c r="B55" s="224" t="s">
        <v>27</v>
      </c>
      <c r="C55" s="224">
        <f>'التعليم المسرع'!AK41</f>
        <v>0</v>
      </c>
      <c r="D55" s="224">
        <f>'التعليم المسرع'!AL41</f>
        <v>1</v>
      </c>
      <c r="E55" s="224">
        <f>'التعليم المسرع'!BB41</f>
        <v>6</v>
      </c>
      <c r="F55" s="224">
        <f>'التعليم المسرع'!BC41</f>
        <v>0</v>
      </c>
      <c r="G55" s="224">
        <f>'التعليم المسرع'!BS41</f>
        <v>12</v>
      </c>
      <c r="H55" s="224">
        <f>'التعليم المسرع'!BT41</f>
        <v>7</v>
      </c>
      <c r="I55" s="224">
        <f t="shared" ref="I55:J55" si="16">C55+E55+G55</f>
        <v>18</v>
      </c>
      <c r="J55" s="224">
        <f t="shared" si="16"/>
        <v>8</v>
      </c>
      <c r="K55" s="224">
        <f t="shared" ref="K55" si="17">SUM(I55:J55)</f>
        <v>26</v>
      </c>
    </row>
    <row r="56" spans="1:16" ht="21" thickBot="1" x14ac:dyDescent="0.35">
      <c r="B56" s="218"/>
      <c r="C56" s="218"/>
      <c r="D56" s="218"/>
      <c r="E56" s="218"/>
      <c r="F56" s="218"/>
      <c r="G56" s="218"/>
      <c r="H56" s="218"/>
      <c r="I56" s="218"/>
      <c r="J56" s="218"/>
      <c r="K56" s="218"/>
    </row>
    <row r="57" spans="1:16" ht="21" thickTop="1" x14ac:dyDescent="0.3">
      <c r="B57" s="224" t="s">
        <v>15</v>
      </c>
      <c r="C57" s="224">
        <f t="shared" ref="C57:H57" si="18">C43+C45+C47+C49+C51+C53+C55</f>
        <v>35</v>
      </c>
      <c r="D57" s="224">
        <f t="shared" si="18"/>
        <v>24</v>
      </c>
      <c r="E57" s="224">
        <f t="shared" si="18"/>
        <v>57</v>
      </c>
      <c r="F57" s="224">
        <f t="shared" si="18"/>
        <v>25</v>
      </c>
      <c r="G57" s="224">
        <f t="shared" si="18"/>
        <v>38</v>
      </c>
      <c r="H57" s="224">
        <f t="shared" si="18"/>
        <v>38</v>
      </c>
      <c r="I57" s="224">
        <f>C57+E57+G57</f>
        <v>130</v>
      </c>
      <c r="J57" s="224">
        <f t="shared" ref="J57" si="19">D57+F57+H57</f>
        <v>87</v>
      </c>
      <c r="K57" s="224">
        <f t="shared" ref="K57" si="20">SUM(I57:J57)</f>
        <v>217</v>
      </c>
    </row>
    <row r="58" spans="1:16" ht="21" thickBot="1" x14ac:dyDescent="0.35">
      <c r="B58" s="218"/>
      <c r="C58" s="218"/>
      <c r="D58" s="218"/>
      <c r="E58" s="218"/>
      <c r="F58" s="218"/>
      <c r="G58" s="218"/>
      <c r="H58" s="218"/>
      <c r="I58" s="218"/>
      <c r="J58" s="218"/>
      <c r="K58" s="218"/>
    </row>
    <row r="59" spans="1:16" ht="21.75" thickTop="1" thickBot="1" x14ac:dyDescent="0.35"/>
    <row r="60" spans="1:16" ht="29.25" customHeight="1" thickTop="1" thickBot="1" x14ac:dyDescent="0.35">
      <c r="A60" s="215"/>
      <c r="B60" s="227" t="s">
        <v>277</v>
      </c>
      <c r="C60" s="227"/>
      <c r="D60" s="227"/>
      <c r="E60" s="227" t="s">
        <v>282</v>
      </c>
      <c r="F60" s="227"/>
      <c r="G60" s="227"/>
      <c r="H60" s="216" t="s">
        <v>283</v>
      </c>
      <c r="I60" s="216"/>
      <c r="J60" s="216"/>
      <c r="K60" s="216"/>
      <c r="L60" s="216"/>
      <c r="M60" s="216"/>
      <c r="N60" s="216" t="s">
        <v>15</v>
      </c>
      <c r="O60" s="216"/>
      <c r="P60" s="217"/>
    </row>
    <row r="61" spans="1:16" ht="27" customHeight="1" thickTop="1" thickBot="1" x14ac:dyDescent="0.35">
      <c r="A61" s="211"/>
      <c r="B61" s="228"/>
      <c r="C61" s="228"/>
      <c r="D61" s="228"/>
      <c r="E61" s="228"/>
      <c r="F61" s="228"/>
      <c r="G61" s="228"/>
      <c r="H61" s="210" t="s">
        <v>193</v>
      </c>
      <c r="I61" s="210"/>
      <c r="J61" s="210" t="s">
        <v>194</v>
      </c>
      <c r="K61" s="210"/>
      <c r="L61" s="210" t="s">
        <v>195</v>
      </c>
      <c r="M61" s="210"/>
      <c r="N61" s="210"/>
      <c r="O61" s="210"/>
      <c r="P61" s="213"/>
    </row>
    <row r="62" spans="1:16" ht="21.75" thickTop="1" thickBot="1" x14ac:dyDescent="0.35">
      <c r="A62" s="211"/>
      <c r="B62" s="210" t="s">
        <v>10</v>
      </c>
      <c r="C62" s="210" t="s">
        <v>11</v>
      </c>
      <c r="D62" s="210" t="s">
        <v>15</v>
      </c>
      <c r="E62" s="210" t="s">
        <v>10</v>
      </c>
      <c r="F62" s="210" t="s">
        <v>11</v>
      </c>
      <c r="G62" s="210" t="s">
        <v>15</v>
      </c>
      <c r="H62" s="210" t="s">
        <v>10</v>
      </c>
      <c r="I62" s="210" t="s">
        <v>11</v>
      </c>
      <c r="J62" s="210" t="s">
        <v>10</v>
      </c>
      <c r="K62" s="210" t="s">
        <v>11</v>
      </c>
      <c r="L62" s="210" t="s">
        <v>10</v>
      </c>
      <c r="M62" s="210" t="s">
        <v>11</v>
      </c>
      <c r="N62" s="210" t="s">
        <v>10</v>
      </c>
      <c r="O62" s="210" t="s">
        <v>11</v>
      </c>
      <c r="P62" s="213" t="s">
        <v>15</v>
      </c>
    </row>
    <row r="63" spans="1:16" ht="21.75" thickTop="1" thickBot="1" x14ac:dyDescent="0.35">
      <c r="A63" s="211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3"/>
    </row>
    <row r="64" spans="1:16" ht="21.75" thickTop="1" thickBot="1" x14ac:dyDescent="0.35">
      <c r="A64" s="211" t="s">
        <v>17</v>
      </c>
      <c r="B64" s="210">
        <f>'التعليم المسرع'!DB41</f>
        <v>1</v>
      </c>
      <c r="C64" s="210">
        <f>'التعليم المسرع'!DC41</f>
        <v>2</v>
      </c>
      <c r="D64" s="210">
        <f>C64+B64</f>
        <v>3</v>
      </c>
      <c r="E64" s="210">
        <f>'التعليم المسرع'!DK41</f>
        <v>33</v>
      </c>
      <c r="F64" s="210">
        <f>'التعليم المسرع'!DL41</f>
        <v>11</v>
      </c>
      <c r="G64" s="210">
        <f t="shared" ref="G64" si="21">F64+E64</f>
        <v>44</v>
      </c>
      <c r="H64" s="210">
        <f>'التعليم المسرع'!DT41</f>
        <v>8</v>
      </c>
      <c r="I64" s="210">
        <f>'التعليم المسرع'!DU41</f>
        <v>19</v>
      </c>
      <c r="J64" s="210">
        <f>'التعليم المسرع'!EC41</f>
        <v>0</v>
      </c>
      <c r="K64" s="210">
        <f>'التعليم المسرع'!ED41</f>
        <v>0</v>
      </c>
      <c r="L64" s="210">
        <f>'التعليم المسرع'!EL41</f>
        <v>0</v>
      </c>
      <c r="M64" s="210">
        <f>'التعليم المسرع'!EM41</f>
        <v>0</v>
      </c>
      <c r="N64" s="210">
        <f>L64+J64+H64</f>
        <v>8</v>
      </c>
      <c r="O64" s="210">
        <f>M64+K64+I64</f>
        <v>19</v>
      </c>
      <c r="P64" s="213">
        <f>O64+N64</f>
        <v>27</v>
      </c>
    </row>
    <row r="65" spans="1:16" ht="21.75" thickTop="1" thickBot="1" x14ac:dyDescent="0.35">
      <c r="A65" s="211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3"/>
    </row>
    <row r="66" spans="1:16" ht="21.75" thickTop="1" thickBot="1" x14ac:dyDescent="0.35">
      <c r="A66" s="211" t="s">
        <v>18</v>
      </c>
      <c r="B66" s="210">
        <f>'التعليم المسرع'!DD41</f>
        <v>13</v>
      </c>
      <c r="C66" s="210">
        <f>'التعليم المسرع'!DE41</f>
        <v>2</v>
      </c>
      <c r="D66" s="210">
        <f t="shared" ref="D66" si="22">C66+B66</f>
        <v>15</v>
      </c>
      <c r="E66" s="210">
        <f>'التعليم المسرع'!DM41</f>
        <v>24</v>
      </c>
      <c r="F66" s="210">
        <f>'التعليم المسرع'!DN41</f>
        <v>19</v>
      </c>
      <c r="G66" s="210">
        <f t="shared" ref="G66" si="23">F66+E66</f>
        <v>43</v>
      </c>
      <c r="H66" s="210">
        <f>'التعليم المسرع'!DV41</f>
        <v>12</v>
      </c>
      <c r="I66" s="210">
        <f>'التعليم المسرع'!DW41</f>
        <v>17</v>
      </c>
      <c r="J66" s="210">
        <f>'التعليم المسرع'!EE41</f>
        <v>0</v>
      </c>
      <c r="K66" s="210">
        <f>'التعليم المسرع'!EF41</f>
        <v>0</v>
      </c>
      <c r="L66" s="210">
        <f>'التعليم المسرع'!EN41</f>
        <v>0</v>
      </c>
      <c r="M66" s="210">
        <f>'التعليم المسرع'!EO41</f>
        <v>0</v>
      </c>
      <c r="N66" s="210">
        <f t="shared" ref="N66" si="24">L66+J66+H66</f>
        <v>12</v>
      </c>
      <c r="O66" s="210">
        <f t="shared" ref="O66" si="25">M66+K66+I66</f>
        <v>17</v>
      </c>
      <c r="P66" s="213">
        <f t="shared" ref="P66" si="26">O66+N66</f>
        <v>29</v>
      </c>
    </row>
    <row r="67" spans="1:16" ht="21.75" thickTop="1" thickBot="1" x14ac:dyDescent="0.35">
      <c r="A67" s="211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3"/>
    </row>
    <row r="68" spans="1:16" ht="21.75" thickTop="1" thickBot="1" x14ac:dyDescent="0.35">
      <c r="A68" s="211" t="s">
        <v>19</v>
      </c>
      <c r="B68" s="210">
        <f>'التعليم المسرع'!DF41</f>
        <v>4</v>
      </c>
      <c r="C68" s="210">
        <f>'التعليم المسرع'!DG41</f>
        <v>1</v>
      </c>
      <c r="D68" s="210">
        <f t="shared" ref="D68" si="27">C68+B68</f>
        <v>5</v>
      </c>
      <c r="E68" s="210">
        <f>'التعليم المسرع'!DO41</f>
        <v>23</v>
      </c>
      <c r="F68" s="210">
        <f>'التعليم المسرع'!DP41</f>
        <v>23</v>
      </c>
      <c r="G68" s="210">
        <f t="shared" ref="G68" si="28">F68+E68</f>
        <v>46</v>
      </c>
      <c r="H68" s="210">
        <f>'التعليم المسرع'!DX41</f>
        <v>7</v>
      </c>
      <c r="I68" s="210">
        <f>'التعليم المسرع'!DY41</f>
        <v>12</v>
      </c>
      <c r="J68" s="210">
        <f>'التعليم المسرع'!EG41</f>
        <v>0</v>
      </c>
      <c r="K68" s="210">
        <f>'التعليم المسرع'!EH41</f>
        <v>0</v>
      </c>
      <c r="L68" s="210">
        <f>'التعليم المسرع'!EP41</f>
        <v>0</v>
      </c>
      <c r="M68" s="210">
        <f>'التعليم المسرع'!EQ41</f>
        <v>0</v>
      </c>
      <c r="N68" s="210">
        <f t="shared" ref="N68" si="29">L68+J68+H68</f>
        <v>7</v>
      </c>
      <c r="O68" s="210">
        <f t="shared" ref="O68" si="30">M68+K68+I68</f>
        <v>12</v>
      </c>
      <c r="P68" s="213">
        <f t="shared" ref="P68" si="31">O68+N68</f>
        <v>19</v>
      </c>
    </row>
    <row r="69" spans="1:16" ht="21.75" thickTop="1" thickBot="1" x14ac:dyDescent="0.35">
      <c r="A69" s="214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29"/>
    </row>
    <row r="70" spans="1:16" ht="21" thickTop="1" x14ac:dyDescent="0.3"/>
  </sheetData>
  <mergeCells count="246">
    <mergeCell ref="L66:L67"/>
    <mergeCell ref="M66:M67"/>
    <mergeCell ref="L68:L69"/>
    <mergeCell ref="M68:M69"/>
    <mergeCell ref="P68:P69"/>
    <mergeCell ref="C64:C65"/>
    <mergeCell ref="C66:C67"/>
    <mergeCell ref="C68:C69"/>
    <mergeCell ref="N68:N69"/>
    <mergeCell ref="O68:O69"/>
    <mergeCell ref="P64:P65"/>
    <mergeCell ref="E64:E65"/>
    <mergeCell ref="F64:F65"/>
    <mergeCell ref="E66:E67"/>
    <mergeCell ref="F66:F67"/>
    <mergeCell ref="E68:E69"/>
    <mergeCell ref="F68:F69"/>
    <mergeCell ref="N66:N67"/>
    <mergeCell ref="O66:O67"/>
    <mergeCell ref="P66:P67"/>
    <mergeCell ref="N64:N65"/>
    <mergeCell ref="O64:O65"/>
    <mergeCell ref="L64:L65"/>
    <mergeCell ref="M64:M65"/>
    <mergeCell ref="N60:P61"/>
    <mergeCell ref="B62:B63"/>
    <mergeCell ref="C62:C63"/>
    <mergeCell ref="E62:E63"/>
    <mergeCell ref="F62:F63"/>
    <mergeCell ref="L62:L63"/>
    <mergeCell ref="M62:M63"/>
    <mergeCell ref="N62:N63"/>
    <mergeCell ref="O62:O63"/>
    <mergeCell ref="P62:P63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66:B67"/>
    <mergeCell ref="B22:B23"/>
    <mergeCell ref="C22:C23"/>
    <mergeCell ref="D22:D23"/>
    <mergeCell ref="E22:E23"/>
    <mergeCell ref="F22:G23"/>
    <mergeCell ref="F43:F44"/>
    <mergeCell ref="G43:G44"/>
    <mergeCell ref="B32:B33"/>
    <mergeCell ref="C32:C33"/>
    <mergeCell ref="D32:D33"/>
    <mergeCell ref="B16:G16"/>
    <mergeCell ref="F17:G17"/>
    <mergeCell ref="B18:B19"/>
    <mergeCell ref="C18:C19"/>
    <mergeCell ref="D18:D19"/>
    <mergeCell ref="E18:E19"/>
    <mergeCell ref="F18:G19"/>
    <mergeCell ref="B64:B65"/>
    <mergeCell ref="B20:B21"/>
    <mergeCell ref="C20:C21"/>
    <mergeCell ref="D20:D21"/>
    <mergeCell ref="E20:E21"/>
    <mergeCell ref="F20:G21"/>
    <mergeCell ref="E32:E33"/>
    <mergeCell ref="F32:F33"/>
    <mergeCell ref="G32:G33"/>
    <mergeCell ref="B68:B69"/>
    <mergeCell ref="F24:G24"/>
    <mergeCell ref="A37:C37"/>
    <mergeCell ref="A38:D38"/>
    <mergeCell ref="B41:B42"/>
    <mergeCell ref="C41:D41"/>
    <mergeCell ref="E41:F41"/>
    <mergeCell ref="G41:H41"/>
    <mergeCell ref="I41:K41"/>
    <mergeCell ref="K43:K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B43:B44"/>
    <mergeCell ref="C43:C44"/>
    <mergeCell ref="D43:D44"/>
    <mergeCell ref="E43:E44"/>
    <mergeCell ref="H43:H44"/>
    <mergeCell ref="I43:I44"/>
    <mergeCell ref="J43:J44"/>
    <mergeCell ref="K47:K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I55:I56"/>
    <mergeCell ref="J55:J56"/>
    <mergeCell ref="K51:K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7:K58"/>
    <mergeCell ref="I16:M16"/>
    <mergeCell ref="I17:I18"/>
    <mergeCell ref="J17:J18"/>
    <mergeCell ref="K17:K18"/>
    <mergeCell ref="L17:L18"/>
    <mergeCell ref="M17:M18"/>
    <mergeCell ref="K55:K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B55:B56"/>
    <mergeCell ref="C55:C56"/>
    <mergeCell ref="D55:D56"/>
    <mergeCell ref="E55:E56"/>
    <mergeCell ref="F55:F56"/>
    <mergeCell ref="G55:G56"/>
    <mergeCell ref="H55:H56"/>
    <mergeCell ref="I23:I24"/>
    <mergeCell ref="J23:J24"/>
    <mergeCell ref="K23:K24"/>
    <mergeCell ref="L23:L24"/>
    <mergeCell ref="M23:M24"/>
    <mergeCell ref="B27:K27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G28:G29"/>
    <mergeCell ref="I30:I31"/>
    <mergeCell ref="J30:K31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A60:A63"/>
    <mergeCell ref="A64:A65"/>
    <mergeCell ref="A66:A67"/>
    <mergeCell ref="A68:A69"/>
    <mergeCell ref="B60:D61"/>
    <mergeCell ref="E60:G61"/>
    <mergeCell ref="H60:M60"/>
    <mergeCell ref="H61:I61"/>
    <mergeCell ref="J61:K61"/>
    <mergeCell ref="L61:M61"/>
    <mergeCell ref="D62:D63"/>
    <mergeCell ref="G62:G63"/>
    <mergeCell ref="H62:H63"/>
    <mergeCell ref="I62:I63"/>
    <mergeCell ref="J62:J63"/>
    <mergeCell ref="K62:K63"/>
    <mergeCell ref="D64:D65"/>
    <mergeCell ref="G64:G65"/>
    <mergeCell ref="H64:H65"/>
    <mergeCell ref="I64:I65"/>
    <mergeCell ref="J64:J65"/>
    <mergeCell ref="K64:K65"/>
    <mergeCell ref="D66:D67"/>
    <mergeCell ref="G66:G67"/>
    <mergeCell ref="H66:H67"/>
    <mergeCell ref="I66:I67"/>
    <mergeCell ref="J66:J67"/>
    <mergeCell ref="K66:K67"/>
    <mergeCell ref="D68:D69"/>
    <mergeCell ref="G68:G69"/>
    <mergeCell ref="H68:H69"/>
    <mergeCell ref="I68:I69"/>
    <mergeCell ref="J68:J69"/>
    <mergeCell ref="K68:K69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P69"/>
  <sheetViews>
    <sheetView rightToLeft="1" view="pageBreakPreview" topLeftCell="A40" zoomScale="60" workbookViewId="0">
      <selection sqref="A1:C1"/>
    </sheetView>
  </sheetViews>
  <sheetFormatPr defaultColWidth="9" defaultRowHeight="20.25" x14ac:dyDescent="0.3"/>
  <cols>
    <col min="1" max="1" width="14.625" style="9" customWidth="1"/>
    <col min="2" max="2" width="11.375" style="9" customWidth="1"/>
    <col min="3" max="4" width="10.75" style="9" customWidth="1"/>
    <col min="5" max="8" width="9" style="9"/>
    <col min="9" max="9" width="11.625" style="9" customWidth="1"/>
    <col min="10" max="10" width="13.2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173</v>
      </c>
      <c r="C6" s="232"/>
      <c r="D6" s="231"/>
      <c r="F6" s="9" t="s">
        <v>2</v>
      </c>
      <c r="G6" s="230" t="s">
        <v>51</v>
      </c>
      <c r="H6" s="232"/>
      <c r="I6" s="231"/>
      <c r="K6" s="9" t="s">
        <v>0</v>
      </c>
      <c r="L6" s="230" t="s">
        <v>154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المسرع'!K43+'التعليم المسرع'!L43</f>
        <v>0</v>
      </c>
      <c r="C8" s="232"/>
      <c r="D8" s="231"/>
      <c r="F8" s="9" t="s">
        <v>3</v>
      </c>
      <c r="G8" s="230">
        <f>'التعليم المسرع'!Q43</f>
        <v>0</v>
      </c>
      <c r="H8" s="232"/>
      <c r="I8" s="231"/>
      <c r="K8" s="9" t="s">
        <v>4</v>
      </c>
      <c r="L8" s="230">
        <f>'التعليم المسرع'!R43</f>
        <v>0</v>
      </c>
      <c r="M8" s="232"/>
      <c r="N8" s="231"/>
    </row>
    <row r="9" spans="1:15" ht="21" thickTop="1" x14ac:dyDescent="0.3"/>
    <row r="10" spans="1:15" ht="21" thickBot="1" x14ac:dyDescent="0.35"/>
    <row r="11" spans="1:15" ht="28.5" customHeight="1" thickTop="1" thickBot="1" x14ac:dyDescent="0.35">
      <c r="B11" s="230" t="s">
        <v>5</v>
      </c>
      <c r="C11" s="231"/>
      <c r="F11" s="230" t="s">
        <v>6</v>
      </c>
      <c r="G11" s="232"/>
      <c r="H11" s="231"/>
      <c r="K11" s="230" t="s">
        <v>7</v>
      </c>
      <c r="L11" s="232"/>
      <c r="M11" s="231"/>
    </row>
    <row r="12" spans="1:15" ht="30" customHeight="1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30" customHeight="1" thickTop="1" thickBot="1" x14ac:dyDescent="0.35">
      <c r="B13" s="16">
        <f>'التعليم المسرع'!K43</f>
        <v>0</v>
      </c>
      <c r="C13" s="17">
        <f>'التعليم المسرع'!L43</f>
        <v>0</v>
      </c>
      <c r="F13" s="18">
        <f>'التعليم المسرع'!H43</f>
        <v>0</v>
      </c>
      <c r="G13" s="19">
        <f>'التعليم المسرع'!I43</f>
        <v>0</v>
      </c>
      <c r="H13" s="20">
        <f>'التعليم المسرع'!J43</f>
        <v>0</v>
      </c>
      <c r="K13" s="16">
        <f>'التعليم المسرع'!FC43</f>
        <v>0</v>
      </c>
      <c r="L13" s="16">
        <f>'التعليم المسرع'!FD43</f>
        <v>0</v>
      </c>
      <c r="M13" s="17">
        <f>SUM(K13:L13)</f>
        <v>0</v>
      </c>
    </row>
    <row r="14" spans="1:15" ht="21" thickTop="1" x14ac:dyDescent="0.3"/>
    <row r="15" spans="1:15" ht="21" thickBot="1" x14ac:dyDescent="0.35"/>
    <row r="16" spans="1:15" s="32" customFormat="1" ht="33.75" customHeight="1" thickTop="1" thickBot="1" x14ac:dyDescent="0.25">
      <c r="B16" s="186" t="s">
        <v>20</v>
      </c>
      <c r="C16" s="190"/>
      <c r="D16" s="190"/>
      <c r="E16" s="190"/>
      <c r="F16" s="190"/>
      <c r="G16" s="187"/>
      <c r="I16" s="186" t="s">
        <v>30</v>
      </c>
      <c r="J16" s="190"/>
      <c r="K16" s="190"/>
      <c r="L16" s="190"/>
      <c r="M16" s="187"/>
    </row>
    <row r="17" spans="2:13" ht="27.7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المسرع'!CO43</f>
        <v>0</v>
      </c>
      <c r="D18" s="191">
        <f>'التعليم المسرع'!CP43</f>
        <v>0</v>
      </c>
      <c r="E18" s="191">
        <f>'التعليم المسرع'!CQ43</f>
        <v>0</v>
      </c>
      <c r="F18" s="193">
        <f>C18+D18+E18</f>
        <v>0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المسرع'!EU43</f>
        <v>0</v>
      </c>
      <c r="K19" s="210">
        <f>'التعليم المسرع'!EW43</f>
        <v>0</v>
      </c>
      <c r="L19" s="210">
        <f>'التعليم المسرع'!EY43</f>
        <v>0</v>
      </c>
      <c r="M19" s="213">
        <f>SUM(J19:L19)</f>
        <v>0</v>
      </c>
    </row>
    <row r="20" spans="2:13" ht="21.75" thickTop="1" thickBot="1" x14ac:dyDescent="0.35">
      <c r="B20" s="191" t="s">
        <v>18</v>
      </c>
      <c r="C20" s="191">
        <f>'التعليم المسرع'!CR43</f>
        <v>0</v>
      </c>
      <c r="D20" s="191">
        <f>'التعليم المسرع'!CS43</f>
        <v>0</v>
      </c>
      <c r="E20" s="191">
        <f>'التعليم المسرع'!CT43</f>
        <v>0</v>
      </c>
      <c r="F20" s="193">
        <f t="shared" ref="F20" si="0">C20+D20+E20</f>
        <v>0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المسرع'!EV43</f>
        <v>0</v>
      </c>
      <c r="K21" s="210">
        <f>'التعليم المسرع'!EX43</f>
        <v>0</v>
      </c>
      <c r="L21" s="210">
        <f>'التعليم المسرع'!EZ43</f>
        <v>0</v>
      </c>
      <c r="M21" s="213">
        <f>SUM(J21:L21)</f>
        <v>0</v>
      </c>
    </row>
    <row r="22" spans="2:13" ht="21.75" thickTop="1" thickBot="1" x14ac:dyDescent="0.35">
      <c r="B22" s="191" t="s">
        <v>19</v>
      </c>
      <c r="C22" s="191">
        <f>'التعليم المسرع'!CU43</f>
        <v>0</v>
      </c>
      <c r="D22" s="191">
        <f>'التعليم المسرع'!CV43</f>
        <v>0</v>
      </c>
      <c r="E22" s="191">
        <f>'التعليم المسرع'!CW43</f>
        <v>0</v>
      </c>
      <c r="F22" s="193">
        <f t="shared" ref="F22" si="1">C22+D22+E22</f>
        <v>0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0</v>
      </c>
      <c r="K23" s="210">
        <f t="shared" ref="K23:M23" si="2">K19+K21</f>
        <v>0</v>
      </c>
      <c r="L23" s="210">
        <f t="shared" si="2"/>
        <v>0</v>
      </c>
      <c r="M23" s="213">
        <f t="shared" si="2"/>
        <v>0</v>
      </c>
    </row>
    <row r="24" spans="2:13" ht="33.75" customHeight="1" thickTop="1" thickBot="1" x14ac:dyDescent="0.35">
      <c r="B24" s="24" t="s">
        <v>15</v>
      </c>
      <c r="C24" s="25">
        <f>SUM(C18:C23)</f>
        <v>0</v>
      </c>
      <c r="D24" s="25">
        <f>SUM(D18:D23)</f>
        <v>0</v>
      </c>
      <c r="E24" s="25">
        <f>SUM(E18:E23)</f>
        <v>0</v>
      </c>
      <c r="F24" s="206">
        <f>C24+D24+E24</f>
        <v>0</v>
      </c>
      <c r="G24" s="187"/>
      <c r="I24" s="214"/>
      <c r="J24" s="212"/>
      <c r="K24" s="212"/>
      <c r="L24" s="212"/>
      <c r="M24" s="229"/>
    </row>
    <row r="25" spans="2:13" ht="21.75" thickTop="1" thickBot="1" x14ac:dyDescent="0.35"/>
    <row r="26" spans="2:13" s="31" customFormat="1" ht="32.25" customHeight="1" thickTop="1" thickBot="1" x14ac:dyDescent="0.2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36"/>
      <c r="M26" s="36"/>
    </row>
    <row r="27" spans="2:13" ht="42" customHeight="1" thickTop="1" thickBot="1" x14ac:dyDescent="0.35">
      <c r="B27" s="233" t="s">
        <v>40</v>
      </c>
      <c r="C27" s="227" t="s">
        <v>32</v>
      </c>
      <c r="D27" s="227" t="s">
        <v>33</v>
      </c>
      <c r="E27" s="227" t="s">
        <v>34</v>
      </c>
      <c r="F27" s="244" t="s">
        <v>35</v>
      </c>
      <c r="G27" s="227" t="s">
        <v>36</v>
      </c>
      <c r="H27" s="227" t="s">
        <v>37</v>
      </c>
      <c r="I27" s="227" t="s">
        <v>38</v>
      </c>
      <c r="J27" s="216" t="s">
        <v>15</v>
      </c>
      <c r="K27" s="217"/>
      <c r="L27" s="26"/>
      <c r="M27" s="26"/>
    </row>
    <row r="28" spans="2:13" ht="57" customHeight="1" thickTop="1" thickBot="1" x14ac:dyDescent="0.35">
      <c r="B28" s="234"/>
      <c r="C28" s="228"/>
      <c r="D28" s="228"/>
      <c r="E28" s="228"/>
      <c r="F28" s="245"/>
      <c r="G28" s="228"/>
      <c r="H28" s="228"/>
      <c r="I28" s="228"/>
      <c r="J28" s="210"/>
      <c r="K28" s="213"/>
      <c r="L28" s="26"/>
      <c r="M28" s="26"/>
    </row>
    <row r="29" spans="2:13" ht="21.75" thickTop="1" thickBot="1" x14ac:dyDescent="0.35">
      <c r="B29" s="211" t="s">
        <v>13</v>
      </c>
      <c r="C29" s="210">
        <f>'التعليم المسرع'!FZ43</f>
        <v>0</v>
      </c>
      <c r="D29" s="210">
        <f>'التعليم المسرع'!FX43</f>
        <v>0</v>
      </c>
      <c r="E29" s="210">
        <f>'التعليم المسرع'!GF43</f>
        <v>0</v>
      </c>
      <c r="F29" s="210">
        <f>'التعليم المسرع'!GB43</f>
        <v>0</v>
      </c>
      <c r="G29" s="210">
        <f>'التعليم المسرع'!GH43</f>
        <v>0</v>
      </c>
      <c r="H29" s="210">
        <f>'التعليم المسرع'!GJ43</f>
        <v>0</v>
      </c>
      <c r="I29" s="210">
        <f>'التعليم المسرع'!GL43</f>
        <v>0</v>
      </c>
      <c r="J29" s="210">
        <f>I29+H29+G29+F29+E29+D29+C29</f>
        <v>0</v>
      </c>
      <c r="K29" s="213"/>
      <c r="L29" s="26"/>
      <c r="M29" s="26"/>
    </row>
    <row r="30" spans="2:13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</row>
    <row r="31" spans="2:13" ht="21.75" thickTop="1" thickBot="1" x14ac:dyDescent="0.35">
      <c r="B31" s="211" t="s">
        <v>14</v>
      </c>
      <c r="C31" s="210">
        <f>'التعليم المسرع'!GA43</f>
        <v>0</v>
      </c>
      <c r="D31" s="210">
        <f>'التعليم المسرع'!FY43</f>
        <v>0</v>
      </c>
      <c r="E31" s="210">
        <f>'التعليم المسرع'!GG43</f>
        <v>0</v>
      </c>
      <c r="F31" s="210">
        <f>'التعليم المسرع'!GC43</f>
        <v>0</v>
      </c>
      <c r="G31" s="210">
        <f>'التعليم المسرع'!GI43</f>
        <v>0</v>
      </c>
      <c r="H31" s="210">
        <f>'التعليم المسرع'!GK43</f>
        <v>0</v>
      </c>
      <c r="I31" s="210">
        <f>'التعليم المسرع'!GM43</f>
        <v>0</v>
      </c>
      <c r="J31" s="210">
        <f t="shared" ref="J31" si="3">I31+H31+G31+F31+E31+D31+C31</f>
        <v>0</v>
      </c>
      <c r="K31" s="213"/>
      <c r="L31" s="26"/>
      <c r="M31" s="26"/>
    </row>
    <row r="32" spans="2:13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14" ht="21.75" thickTop="1" thickBot="1" x14ac:dyDescent="0.35">
      <c r="B33" s="211" t="s">
        <v>15</v>
      </c>
      <c r="C33" s="210">
        <f>C29+C31</f>
        <v>0</v>
      </c>
      <c r="D33" s="210">
        <f t="shared" ref="D33:I33" si="4">D29+D31</f>
        <v>0</v>
      </c>
      <c r="E33" s="210">
        <f t="shared" si="4"/>
        <v>0</v>
      </c>
      <c r="F33" s="210">
        <f t="shared" si="4"/>
        <v>0</v>
      </c>
      <c r="G33" s="210">
        <f t="shared" si="4"/>
        <v>0</v>
      </c>
      <c r="H33" s="210">
        <f t="shared" si="4"/>
        <v>0</v>
      </c>
      <c r="I33" s="210">
        <f t="shared" si="4"/>
        <v>0</v>
      </c>
      <c r="J33" s="210">
        <f t="shared" ref="J33" si="5">I33+H33+G33+F33+E33+D33+C33</f>
        <v>0</v>
      </c>
      <c r="K33" s="213"/>
      <c r="L33" s="26"/>
      <c r="M33" s="26"/>
    </row>
    <row r="34" spans="1:14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</row>
    <row r="35" spans="1:14" ht="21" thickTop="1" x14ac:dyDescent="0.3"/>
    <row r="36" spans="1:14" ht="27.75" customHeight="1" x14ac:dyDescent="0.3">
      <c r="A36" s="202" t="s">
        <v>55</v>
      </c>
      <c r="B36" s="202"/>
      <c r="C36" s="202"/>
    </row>
    <row r="37" spans="1:14" ht="26.25" customHeight="1" x14ac:dyDescent="0.3">
      <c r="A37" s="202" t="s">
        <v>56</v>
      </c>
      <c r="B37" s="202"/>
      <c r="C37" s="202"/>
      <c r="D37" s="202"/>
      <c r="K37" s="9" t="s">
        <v>178</v>
      </c>
    </row>
    <row r="38" spans="1:14" ht="30" customHeight="1" x14ac:dyDescent="0.3">
      <c r="D38" s="9" t="s">
        <v>52</v>
      </c>
    </row>
    <row r="39" spans="1:14" ht="21" thickBot="1" x14ac:dyDescent="0.35"/>
    <row r="40" spans="1:14" ht="30.75" customHeight="1" thickTop="1" thickBot="1" x14ac:dyDescent="0.35">
      <c r="B40" s="224" t="s">
        <v>28</v>
      </c>
      <c r="C40" s="206" t="s">
        <v>17</v>
      </c>
      <c r="D40" s="250"/>
      <c r="E40" s="206" t="s">
        <v>18</v>
      </c>
      <c r="F40" s="250"/>
      <c r="G40" s="206" t="s">
        <v>19</v>
      </c>
      <c r="H40" s="250"/>
      <c r="I40" s="206" t="s">
        <v>29</v>
      </c>
      <c r="J40" s="190"/>
      <c r="K40" s="250"/>
      <c r="L40" s="26"/>
      <c r="M40" s="26"/>
      <c r="N40" s="26"/>
    </row>
    <row r="41" spans="1:14" ht="30.75" customHeight="1" thickTop="1" thickBot="1" x14ac:dyDescent="0.35">
      <c r="B41" s="218"/>
      <c r="C41" s="29" t="s">
        <v>10</v>
      </c>
      <c r="D41" s="29" t="s">
        <v>11</v>
      </c>
      <c r="E41" s="29" t="s">
        <v>10</v>
      </c>
      <c r="F41" s="29" t="s">
        <v>11</v>
      </c>
      <c r="G41" s="29" t="s">
        <v>10</v>
      </c>
      <c r="H41" s="29" t="s">
        <v>11</v>
      </c>
      <c r="I41" s="29" t="s">
        <v>10</v>
      </c>
      <c r="J41" s="29" t="s">
        <v>11</v>
      </c>
      <c r="K41" s="29" t="s">
        <v>15</v>
      </c>
      <c r="L41" s="26"/>
      <c r="M41" s="26"/>
      <c r="N41" s="26"/>
    </row>
    <row r="42" spans="1:14" ht="21" thickTop="1" x14ac:dyDescent="0.3">
      <c r="B42" s="224" t="s">
        <v>21</v>
      </c>
      <c r="C42" s="224">
        <f>'التعليم المسرع'!Y43</f>
        <v>0</v>
      </c>
      <c r="D42" s="224">
        <f>'التعليم المسرع'!Z43</f>
        <v>0</v>
      </c>
      <c r="E42" s="224">
        <f>'التعليم المسرع'!AP43</f>
        <v>0</v>
      </c>
      <c r="F42" s="224">
        <f>'التعليم المسرع'!AQ43</f>
        <v>0</v>
      </c>
      <c r="G42" s="224">
        <f>'التعليم المسرع'!BG43</f>
        <v>0</v>
      </c>
      <c r="H42" s="224">
        <f>'التعليم المسرع'!BH43</f>
        <v>0</v>
      </c>
      <c r="I42" s="224">
        <f>C42+E42+G42</f>
        <v>0</v>
      </c>
      <c r="J42" s="224">
        <f>D42+F42+H42</f>
        <v>0</v>
      </c>
      <c r="K42" s="224">
        <f>SUM(I42:J42)</f>
        <v>0</v>
      </c>
      <c r="L42" s="26"/>
      <c r="M42" s="26"/>
      <c r="N42" s="26"/>
    </row>
    <row r="43" spans="1:14" ht="21" thickBot="1" x14ac:dyDescent="0.35"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6"/>
      <c r="M43" s="26"/>
      <c r="N43" s="26"/>
    </row>
    <row r="44" spans="1:14" ht="21" thickTop="1" x14ac:dyDescent="0.3">
      <c r="B44" s="224" t="s">
        <v>22</v>
      </c>
      <c r="C44" s="224">
        <f>'التعليم المسرع'!AA43</f>
        <v>0</v>
      </c>
      <c r="D44" s="224">
        <f>'التعليم المسرع'!AB43</f>
        <v>0</v>
      </c>
      <c r="E44" s="249">
        <f>'التعليم المسرع'!AR43</f>
        <v>0</v>
      </c>
      <c r="F44" s="249">
        <f>'التعليم المسرع'!AS43</f>
        <v>0</v>
      </c>
      <c r="G44" s="224">
        <f>'التعليم المسرع'!BI43</f>
        <v>0</v>
      </c>
      <c r="H44" s="224">
        <f>'التعليم المسرع'!BJ43</f>
        <v>0</v>
      </c>
      <c r="I44" s="224">
        <f t="shared" ref="I44:J44" si="6">C44+E44+G44</f>
        <v>0</v>
      </c>
      <c r="J44" s="224">
        <f t="shared" si="6"/>
        <v>0</v>
      </c>
      <c r="K44" s="224">
        <f t="shared" ref="K44" si="7">SUM(I44:J44)</f>
        <v>0</v>
      </c>
      <c r="L44" s="26"/>
    </row>
    <row r="45" spans="1:14" ht="21" thickBot="1" x14ac:dyDescent="0.35">
      <c r="B45" s="218"/>
      <c r="C45" s="218"/>
      <c r="D45" s="218"/>
      <c r="E45" s="219"/>
      <c r="F45" s="219"/>
      <c r="G45" s="218"/>
      <c r="H45" s="218"/>
      <c r="I45" s="218"/>
      <c r="J45" s="218"/>
      <c r="K45" s="218"/>
      <c r="L45" s="26"/>
    </row>
    <row r="46" spans="1:14" ht="21" thickTop="1" x14ac:dyDescent="0.3">
      <c r="B46" s="224" t="s">
        <v>23</v>
      </c>
      <c r="C46" s="224">
        <f>'التعليم المسرع'!AC43</f>
        <v>0</v>
      </c>
      <c r="D46" s="224">
        <f>'التعليم المسرع'!AD43</f>
        <v>0</v>
      </c>
      <c r="E46" s="249">
        <f>'التعليم المسرع'!AT43</f>
        <v>0</v>
      </c>
      <c r="F46" s="249">
        <f>'التعليم المسرع'!AU43</f>
        <v>0</v>
      </c>
      <c r="G46" s="224">
        <f>'التعليم المسرع'!BK43</f>
        <v>0</v>
      </c>
      <c r="H46" s="224">
        <f>'التعليم المسرع'!BL43</f>
        <v>0</v>
      </c>
      <c r="I46" s="224">
        <f t="shared" ref="I46:J46" si="8">C46+E46+G46</f>
        <v>0</v>
      </c>
      <c r="J46" s="224">
        <f t="shared" si="8"/>
        <v>0</v>
      </c>
      <c r="K46" s="224">
        <f t="shared" ref="K46" si="9">SUM(I46:J46)</f>
        <v>0</v>
      </c>
      <c r="L46" s="26"/>
    </row>
    <row r="47" spans="1:14" ht="21" thickBot="1" x14ac:dyDescent="0.35">
      <c r="B47" s="218"/>
      <c r="C47" s="218"/>
      <c r="D47" s="218"/>
      <c r="E47" s="219"/>
      <c r="F47" s="219"/>
      <c r="G47" s="218"/>
      <c r="H47" s="218"/>
      <c r="I47" s="218"/>
      <c r="J47" s="218"/>
      <c r="K47" s="218"/>
      <c r="L47" s="26"/>
    </row>
    <row r="48" spans="1:14" ht="21" thickTop="1" x14ac:dyDescent="0.3">
      <c r="B48" s="224" t="s">
        <v>24</v>
      </c>
      <c r="C48" s="224">
        <f>'التعليم المسرع'!AE43</f>
        <v>0</v>
      </c>
      <c r="D48" s="224">
        <f>'التعليم المسرع'!AF43</f>
        <v>0</v>
      </c>
      <c r="E48" s="249">
        <f>'التعليم المسرع'!AV43</f>
        <v>0</v>
      </c>
      <c r="F48" s="249">
        <f>'التعليم المسرع'!AW43</f>
        <v>0</v>
      </c>
      <c r="G48" s="224">
        <f>'التعليم المسرع'!BM43</f>
        <v>0</v>
      </c>
      <c r="H48" s="224">
        <f>'التعليم المسرع'!BN43</f>
        <v>0</v>
      </c>
      <c r="I48" s="224">
        <f t="shared" ref="I48:J48" si="10">C48+E48+G48</f>
        <v>0</v>
      </c>
      <c r="J48" s="224">
        <f t="shared" si="10"/>
        <v>0</v>
      </c>
      <c r="K48" s="224">
        <f t="shared" ref="K48" si="11">SUM(I48:J48)</f>
        <v>0</v>
      </c>
      <c r="L48" s="26"/>
    </row>
    <row r="49" spans="1:16" ht="21" thickBot="1" x14ac:dyDescent="0.35">
      <c r="B49" s="218"/>
      <c r="C49" s="218"/>
      <c r="D49" s="218"/>
      <c r="E49" s="219"/>
      <c r="F49" s="219"/>
      <c r="G49" s="218"/>
      <c r="H49" s="218"/>
      <c r="I49" s="218"/>
      <c r="J49" s="218"/>
      <c r="K49" s="218"/>
      <c r="L49" s="26"/>
    </row>
    <row r="50" spans="1:16" ht="21" thickTop="1" x14ac:dyDescent="0.3">
      <c r="B50" s="224" t="s">
        <v>25</v>
      </c>
      <c r="C50" s="224">
        <f>'التعليم المسرع'!AG43</f>
        <v>0</v>
      </c>
      <c r="D50" s="224">
        <f>'التعليم المسرع'!AH43</f>
        <v>0</v>
      </c>
      <c r="E50" s="249">
        <f>'التعليم المسرع'!AX43</f>
        <v>0</v>
      </c>
      <c r="F50" s="249">
        <f>'التعليم المسرع'!AY43</f>
        <v>0</v>
      </c>
      <c r="G50" s="224">
        <f>'التعليم المسرع'!BO43</f>
        <v>0</v>
      </c>
      <c r="H50" s="224">
        <f>'التعليم المسرع'!BP43</f>
        <v>0</v>
      </c>
      <c r="I50" s="224">
        <f t="shared" ref="I50:J50" si="12">C50+E50+G50</f>
        <v>0</v>
      </c>
      <c r="J50" s="224">
        <f t="shared" si="12"/>
        <v>0</v>
      </c>
      <c r="K50" s="224">
        <f t="shared" ref="K50" si="13">SUM(I50:J50)</f>
        <v>0</v>
      </c>
      <c r="L50" s="26"/>
    </row>
    <row r="51" spans="1:16" ht="21" thickBot="1" x14ac:dyDescent="0.35">
      <c r="B51" s="218"/>
      <c r="C51" s="218"/>
      <c r="D51" s="218"/>
      <c r="E51" s="219"/>
      <c r="F51" s="219"/>
      <c r="G51" s="218"/>
      <c r="H51" s="218"/>
      <c r="I51" s="218"/>
      <c r="J51" s="218"/>
      <c r="K51" s="218"/>
      <c r="L51" s="26"/>
    </row>
    <row r="52" spans="1:16" ht="21" thickTop="1" x14ac:dyDescent="0.3">
      <c r="B52" s="224" t="s">
        <v>26</v>
      </c>
      <c r="C52" s="224">
        <f>'التعليم المسرع'!AI43</f>
        <v>0</v>
      </c>
      <c r="D52" s="224">
        <f>'التعليم المسرع'!AJ43</f>
        <v>0</v>
      </c>
      <c r="E52" s="224">
        <f>'التعليم المسرع'!AZ43</f>
        <v>0</v>
      </c>
      <c r="F52" s="224">
        <f>'التعليم المسرع'!BA43</f>
        <v>0</v>
      </c>
      <c r="G52" s="224">
        <f>'التعليم المسرع'!BQ43</f>
        <v>0</v>
      </c>
      <c r="H52" s="224">
        <f>'التعليم المسرع'!BR43</f>
        <v>0</v>
      </c>
      <c r="I52" s="224">
        <f t="shared" ref="I52:J52" si="14">C52+E52+G52</f>
        <v>0</v>
      </c>
      <c r="J52" s="224">
        <f t="shared" si="14"/>
        <v>0</v>
      </c>
      <c r="K52" s="224">
        <f t="shared" ref="K52" si="15">SUM(I52:J52)</f>
        <v>0</v>
      </c>
      <c r="L52" s="26"/>
    </row>
    <row r="53" spans="1:16" ht="21" thickBot="1" x14ac:dyDescent="0.35">
      <c r="B53" s="218"/>
      <c r="C53" s="218"/>
      <c r="D53" s="218"/>
      <c r="E53" s="218"/>
      <c r="F53" s="218"/>
      <c r="G53" s="218"/>
      <c r="H53" s="218"/>
      <c r="I53" s="218"/>
      <c r="J53" s="218"/>
      <c r="K53" s="218"/>
    </row>
    <row r="54" spans="1:16" ht="21" thickTop="1" x14ac:dyDescent="0.3">
      <c r="B54" s="224" t="s">
        <v>27</v>
      </c>
      <c r="C54" s="224">
        <f>'التعليم المسرع'!AK43</f>
        <v>0</v>
      </c>
      <c r="D54" s="224">
        <f>'التعليم المسرع'!AL43</f>
        <v>0</v>
      </c>
      <c r="E54" s="224">
        <f>'التعليم المسرع'!BB43</f>
        <v>0</v>
      </c>
      <c r="F54" s="224">
        <f>'التعليم المسرع'!BC43</f>
        <v>0</v>
      </c>
      <c r="G54" s="224">
        <f>'التعليم المسرع'!BS43</f>
        <v>0</v>
      </c>
      <c r="H54" s="224">
        <f>'التعليم المسرع'!BT43</f>
        <v>0</v>
      </c>
      <c r="I54" s="224">
        <f t="shared" ref="I54:J54" si="16">C54+E54+G54</f>
        <v>0</v>
      </c>
      <c r="J54" s="224">
        <f t="shared" si="16"/>
        <v>0</v>
      </c>
      <c r="K54" s="224">
        <f t="shared" ref="K54" si="17">SUM(I54:J54)</f>
        <v>0</v>
      </c>
    </row>
    <row r="55" spans="1:16" ht="21" thickBot="1" x14ac:dyDescent="0.35">
      <c r="B55" s="218"/>
      <c r="C55" s="218"/>
      <c r="D55" s="218"/>
      <c r="E55" s="218"/>
      <c r="F55" s="218"/>
      <c r="G55" s="218"/>
      <c r="H55" s="218"/>
      <c r="I55" s="218"/>
      <c r="J55" s="218"/>
      <c r="K55" s="218"/>
    </row>
    <row r="56" spans="1:16" ht="21" thickTop="1" x14ac:dyDescent="0.3">
      <c r="B56" s="224" t="s">
        <v>15</v>
      </c>
      <c r="C56" s="224">
        <f t="shared" ref="C56:H56" si="18">C42+C44+C46+C48+C50+C52+C54</f>
        <v>0</v>
      </c>
      <c r="D56" s="224">
        <f t="shared" si="18"/>
        <v>0</v>
      </c>
      <c r="E56" s="224">
        <f t="shared" si="18"/>
        <v>0</v>
      </c>
      <c r="F56" s="224">
        <f t="shared" si="18"/>
        <v>0</v>
      </c>
      <c r="G56" s="224">
        <f t="shared" si="18"/>
        <v>0</v>
      </c>
      <c r="H56" s="224">
        <f t="shared" si="18"/>
        <v>0</v>
      </c>
      <c r="I56" s="224">
        <f>C56+E56+G56</f>
        <v>0</v>
      </c>
      <c r="J56" s="224">
        <f t="shared" ref="J56" si="19">D56+F56+H56</f>
        <v>0</v>
      </c>
      <c r="K56" s="224">
        <f t="shared" ref="K56" si="20">SUM(I56:J56)</f>
        <v>0</v>
      </c>
    </row>
    <row r="57" spans="1:16" ht="21" thickBot="1" x14ac:dyDescent="0.35">
      <c r="B57" s="218"/>
      <c r="C57" s="218"/>
      <c r="D57" s="218"/>
      <c r="E57" s="218"/>
      <c r="F57" s="218"/>
      <c r="G57" s="218"/>
      <c r="H57" s="218"/>
      <c r="I57" s="218"/>
      <c r="J57" s="218"/>
      <c r="K57" s="218"/>
    </row>
    <row r="58" spans="1:16" ht="21.75" thickTop="1" thickBot="1" x14ac:dyDescent="0.35"/>
    <row r="59" spans="1:16" ht="31.5" customHeight="1" thickTop="1" thickBot="1" x14ac:dyDescent="0.35">
      <c r="A59" s="215"/>
      <c r="B59" s="227" t="s">
        <v>277</v>
      </c>
      <c r="C59" s="227"/>
      <c r="D59" s="227"/>
      <c r="E59" s="227" t="s">
        <v>282</v>
      </c>
      <c r="F59" s="227"/>
      <c r="G59" s="227"/>
      <c r="H59" s="216" t="s">
        <v>283</v>
      </c>
      <c r="I59" s="216"/>
      <c r="J59" s="216"/>
      <c r="K59" s="216"/>
      <c r="L59" s="216"/>
      <c r="M59" s="216"/>
      <c r="N59" s="216" t="s">
        <v>15</v>
      </c>
      <c r="O59" s="216"/>
      <c r="P59" s="217"/>
    </row>
    <row r="60" spans="1:16" ht="34.5" customHeight="1" thickTop="1" thickBot="1" x14ac:dyDescent="0.35">
      <c r="A60" s="211"/>
      <c r="B60" s="228"/>
      <c r="C60" s="228"/>
      <c r="D60" s="228"/>
      <c r="E60" s="228"/>
      <c r="F60" s="228"/>
      <c r="G60" s="228"/>
      <c r="H60" s="210" t="s">
        <v>193</v>
      </c>
      <c r="I60" s="210"/>
      <c r="J60" s="210" t="s">
        <v>194</v>
      </c>
      <c r="K60" s="210"/>
      <c r="L60" s="210" t="s">
        <v>195</v>
      </c>
      <c r="M60" s="210"/>
      <c r="N60" s="210"/>
      <c r="O60" s="210"/>
      <c r="P60" s="213"/>
    </row>
    <row r="61" spans="1:16" ht="21.75" thickTop="1" thickBot="1" x14ac:dyDescent="0.35">
      <c r="A61" s="211"/>
      <c r="B61" s="210" t="s">
        <v>10</v>
      </c>
      <c r="C61" s="210" t="s">
        <v>11</v>
      </c>
      <c r="D61" s="210" t="s">
        <v>15</v>
      </c>
      <c r="E61" s="210" t="s">
        <v>10</v>
      </c>
      <c r="F61" s="210" t="s">
        <v>11</v>
      </c>
      <c r="G61" s="210" t="s">
        <v>15</v>
      </c>
      <c r="H61" s="210" t="s">
        <v>10</v>
      </c>
      <c r="I61" s="210" t="s">
        <v>11</v>
      </c>
      <c r="J61" s="210" t="s">
        <v>10</v>
      </c>
      <c r="K61" s="210" t="s">
        <v>11</v>
      </c>
      <c r="L61" s="210" t="s">
        <v>10</v>
      </c>
      <c r="M61" s="210" t="s">
        <v>11</v>
      </c>
      <c r="N61" s="210" t="s">
        <v>10</v>
      </c>
      <c r="O61" s="210" t="s">
        <v>11</v>
      </c>
      <c r="P61" s="213" t="s">
        <v>15</v>
      </c>
    </row>
    <row r="62" spans="1:16" ht="21.75" thickTop="1" thickBot="1" x14ac:dyDescent="0.35">
      <c r="A62" s="211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3"/>
    </row>
    <row r="63" spans="1:16" ht="21.75" thickTop="1" thickBot="1" x14ac:dyDescent="0.35">
      <c r="A63" s="211" t="s">
        <v>17</v>
      </c>
      <c r="B63" s="210">
        <f>'التعليم المسرع'!DB43</f>
        <v>0</v>
      </c>
      <c r="C63" s="210">
        <f>'التعليم المسرع'!DC43</f>
        <v>0</v>
      </c>
      <c r="D63" s="210">
        <f>C63+B63</f>
        <v>0</v>
      </c>
      <c r="E63" s="210">
        <f>'التعليم المسرع'!DK43</f>
        <v>0</v>
      </c>
      <c r="F63" s="210">
        <f>'التعليم المسرع'!DL43</f>
        <v>0</v>
      </c>
      <c r="G63" s="210">
        <f t="shared" ref="G63" si="21">F63+E63</f>
        <v>0</v>
      </c>
      <c r="H63" s="210">
        <f>'التعليم المسرع'!DT43</f>
        <v>0</v>
      </c>
      <c r="I63" s="210">
        <f>'التعليم المسرع'!DU43</f>
        <v>0</v>
      </c>
      <c r="J63" s="210">
        <f>'التعليم المسرع'!EC43</f>
        <v>0</v>
      </c>
      <c r="K63" s="210">
        <f>'التعليم المسرع'!ED43</f>
        <v>0</v>
      </c>
      <c r="L63" s="210">
        <f>'التعليم المسرع'!EL43</f>
        <v>0</v>
      </c>
      <c r="M63" s="210">
        <f>'التعليم المسرع'!EM43</f>
        <v>0</v>
      </c>
      <c r="N63" s="210">
        <f>L63+J63+H63</f>
        <v>0</v>
      </c>
      <c r="O63" s="210">
        <f>M63+K63+I63</f>
        <v>0</v>
      </c>
      <c r="P63" s="213">
        <f>O63+N63</f>
        <v>0</v>
      </c>
    </row>
    <row r="64" spans="1:16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18</v>
      </c>
      <c r="B65" s="210">
        <f>'التعليم المسرع'!DD43</f>
        <v>0</v>
      </c>
      <c r="C65" s="210">
        <f>'التعليم المسرع'!DE43</f>
        <v>0</v>
      </c>
      <c r="D65" s="210">
        <f t="shared" ref="D65" si="22">C65+B65</f>
        <v>0</v>
      </c>
      <c r="E65" s="210">
        <f>'التعليم المسرع'!DM43</f>
        <v>0</v>
      </c>
      <c r="F65" s="210">
        <f>'التعليم المسرع'!DN43</f>
        <v>0</v>
      </c>
      <c r="G65" s="210">
        <f t="shared" ref="G65" si="23">F65+E65</f>
        <v>0</v>
      </c>
      <c r="H65" s="210">
        <f>'التعليم المسرع'!DV43</f>
        <v>0</v>
      </c>
      <c r="I65" s="210">
        <f>'التعليم المسرع'!DW43</f>
        <v>0</v>
      </c>
      <c r="J65" s="210">
        <f>'التعليم المسرع'!EE43</f>
        <v>0</v>
      </c>
      <c r="K65" s="210">
        <f>'التعليم المسرع'!EF43</f>
        <v>0</v>
      </c>
      <c r="L65" s="210">
        <f>'التعليم المسرع'!EN43</f>
        <v>0</v>
      </c>
      <c r="M65" s="210">
        <f>'التعليم المسرع'!EO43</f>
        <v>0</v>
      </c>
      <c r="N65" s="210">
        <f t="shared" ref="N65" si="24">L65+J65+H65</f>
        <v>0</v>
      </c>
      <c r="O65" s="210">
        <f t="shared" ref="O65" si="25">M65+K65+I65</f>
        <v>0</v>
      </c>
      <c r="P65" s="213">
        <f t="shared" ref="P65" si="26">O65+N65</f>
        <v>0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19</v>
      </c>
      <c r="B67" s="210">
        <f>'التعليم المسرع'!DF43</f>
        <v>0</v>
      </c>
      <c r="C67" s="210">
        <f>'التعليم المسرع'!DG43</f>
        <v>0</v>
      </c>
      <c r="D67" s="210">
        <f t="shared" ref="D67" si="27">C67+B67</f>
        <v>0</v>
      </c>
      <c r="E67" s="210">
        <f>'التعليم المسرع'!DO43</f>
        <v>0</v>
      </c>
      <c r="F67" s="210">
        <f>'التعليم المسرع'!DP43</f>
        <v>0</v>
      </c>
      <c r="G67" s="210">
        <f t="shared" ref="G67" si="28">F67+E67</f>
        <v>0</v>
      </c>
      <c r="H67" s="210">
        <f>'التعليم المسرع'!DX43</f>
        <v>0</v>
      </c>
      <c r="I67" s="210">
        <f>'التعليم المسرع'!DY43</f>
        <v>0</v>
      </c>
      <c r="J67" s="210">
        <f>'التعليم المسرع'!EG43</f>
        <v>0</v>
      </c>
      <c r="K67" s="210">
        <f>'التعليم المسرع'!EH43</f>
        <v>0</v>
      </c>
      <c r="L67" s="210">
        <f>'التعليم المسرع'!EP43</f>
        <v>0</v>
      </c>
      <c r="M67" s="210">
        <f>'التعليم المسرع'!EQ43</f>
        <v>0</v>
      </c>
      <c r="N67" s="210">
        <f t="shared" ref="N67" si="29">L67+J67+H67</f>
        <v>0</v>
      </c>
      <c r="O67" s="210">
        <f t="shared" ref="O67" si="30">M67+K67+I67</f>
        <v>0</v>
      </c>
      <c r="P67" s="213">
        <f t="shared" ref="P67" si="31">O67+N67</f>
        <v>0</v>
      </c>
    </row>
    <row r="68" spans="1:16" ht="13.5" customHeight="1" thickTop="1" thickBot="1" x14ac:dyDescent="0.35">
      <c r="A68" s="214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29"/>
    </row>
    <row r="69" spans="1:16" ht="8.25" customHeight="1" thickTop="1" x14ac:dyDescent="0.3">
      <c r="B69" s="27"/>
      <c r="C69" s="27"/>
      <c r="D69" s="27"/>
      <c r="E69" s="27"/>
    </row>
  </sheetData>
  <mergeCells count="246">
    <mergeCell ref="L61:L62"/>
    <mergeCell ref="M61:M62"/>
    <mergeCell ref="N61:N62"/>
    <mergeCell ref="O61:O62"/>
    <mergeCell ref="P61:P62"/>
    <mergeCell ref="P67:P68"/>
    <mergeCell ref="C63:C64"/>
    <mergeCell ref="C65:C66"/>
    <mergeCell ref="C67:C68"/>
    <mergeCell ref="N67:N68"/>
    <mergeCell ref="O67:O68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P65:P66"/>
    <mergeCell ref="L63:L64"/>
    <mergeCell ref="N63:N64"/>
    <mergeCell ref="O63:O64"/>
    <mergeCell ref="B8:D8"/>
    <mergeCell ref="G8:I8"/>
    <mergeCell ref="L8:N8"/>
    <mergeCell ref="B11:C11"/>
    <mergeCell ref="F11:H11"/>
    <mergeCell ref="K11:M11"/>
    <mergeCell ref="B18:B19"/>
    <mergeCell ref="C18:C19"/>
    <mergeCell ref="D18:D19"/>
    <mergeCell ref="E18:E19"/>
    <mergeCell ref="F18:G19"/>
    <mergeCell ref="K46:K47"/>
    <mergeCell ref="H48:H49"/>
    <mergeCell ref="I48:I49"/>
    <mergeCell ref="J48:J49"/>
    <mergeCell ref="K48:K49"/>
    <mergeCell ref="F46:F47"/>
    <mergeCell ref="G46:G47"/>
    <mergeCell ref="H46:H47"/>
    <mergeCell ref="I46:I47"/>
    <mergeCell ref="J46:J47"/>
    <mergeCell ref="N59:P60"/>
    <mergeCell ref="A1:C1"/>
    <mergeCell ref="A2:D2"/>
    <mergeCell ref="A3:O3"/>
    <mergeCell ref="B6:D6"/>
    <mergeCell ref="G6:I6"/>
    <mergeCell ref="L6:N6"/>
    <mergeCell ref="B16:G16"/>
    <mergeCell ref="F17:G17"/>
    <mergeCell ref="H31:H32"/>
    <mergeCell ref="I31:I32"/>
    <mergeCell ref="J31:K32"/>
    <mergeCell ref="E46:E47"/>
    <mergeCell ref="F44:F45"/>
    <mergeCell ref="G44:G45"/>
    <mergeCell ref="H44:H45"/>
    <mergeCell ref="I44:I45"/>
    <mergeCell ref="J44:J45"/>
    <mergeCell ref="F24:G24"/>
    <mergeCell ref="A36:C36"/>
    <mergeCell ref="A37:D37"/>
    <mergeCell ref="B40:B41"/>
    <mergeCell ref="C40:D40"/>
    <mergeCell ref="E40:F40"/>
    <mergeCell ref="B63:B64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42:F43"/>
    <mergeCell ref="G42:G43"/>
    <mergeCell ref="B48:B49"/>
    <mergeCell ref="C48:C49"/>
    <mergeCell ref="G31:G32"/>
    <mergeCell ref="B33:B34"/>
    <mergeCell ref="D48:D49"/>
    <mergeCell ref="E48:E49"/>
    <mergeCell ref="F48:F49"/>
    <mergeCell ref="G48:G49"/>
    <mergeCell ref="B46:B47"/>
    <mergeCell ref="C46:C47"/>
    <mergeCell ref="D46:D47"/>
    <mergeCell ref="M63:M64"/>
    <mergeCell ref="B67:B68"/>
    <mergeCell ref="E50:E51"/>
    <mergeCell ref="F50:F51"/>
    <mergeCell ref="G50:G51"/>
    <mergeCell ref="H50:H51"/>
    <mergeCell ref="B56:B57"/>
    <mergeCell ref="C56:C57"/>
    <mergeCell ref="D56:D57"/>
    <mergeCell ref="E56:E57"/>
    <mergeCell ref="F56:F57"/>
    <mergeCell ref="G56:G57"/>
    <mergeCell ref="H56:H57"/>
    <mergeCell ref="B65:B66"/>
    <mergeCell ref="B61:B62"/>
    <mergeCell ref="C61:C62"/>
    <mergeCell ref="E61:E62"/>
    <mergeCell ref="F61:F62"/>
    <mergeCell ref="I54:I55"/>
    <mergeCell ref="J54:J55"/>
    <mergeCell ref="K50:K51"/>
    <mergeCell ref="B52:B53"/>
    <mergeCell ref="C52:C53"/>
    <mergeCell ref="D52:D53"/>
    <mergeCell ref="G40:H40"/>
    <mergeCell ref="I40:K40"/>
    <mergeCell ref="K42:K43"/>
    <mergeCell ref="E27:E28"/>
    <mergeCell ref="F27:F28"/>
    <mergeCell ref="G27:G28"/>
    <mergeCell ref="I29:I30"/>
    <mergeCell ref="J29:K30"/>
    <mergeCell ref="B31:B32"/>
    <mergeCell ref="C31:C32"/>
    <mergeCell ref="D31:D32"/>
    <mergeCell ref="E31:E32"/>
    <mergeCell ref="F31:F32"/>
    <mergeCell ref="E42:E43"/>
    <mergeCell ref="J33:K34"/>
    <mergeCell ref="H42:H43"/>
    <mergeCell ref="I42:I43"/>
    <mergeCell ref="J42:J4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I50:I51"/>
    <mergeCell ref="J50:J51"/>
    <mergeCell ref="B44:B45"/>
    <mergeCell ref="C44:C45"/>
    <mergeCell ref="D44:D45"/>
    <mergeCell ref="E44:E45"/>
    <mergeCell ref="I16:M16"/>
    <mergeCell ref="I17:I18"/>
    <mergeCell ref="J17:J18"/>
    <mergeCell ref="K17:K18"/>
    <mergeCell ref="L17:L18"/>
    <mergeCell ref="M17:M18"/>
    <mergeCell ref="E29:E30"/>
    <mergeCell ref="F29:F30"/>
    <mergeCell ref="G29:G30"/>
    <mergeCell ref="H29:H30"/>
    <mergeCell ref="B27:B28"/>
    <mergeCell ref="C27:C28"/>
    <mergeCell ref="D27:D28"/>
    <mergeCell ref="C33:C34"/>
    <mergeCell ref="D33:D34"/>
    <mergeCell ref="E33:E34"/>
    <mergeCell ref="F33:F34"/>
    <mergeCell ref="G33:G34"/>
    <mergeCell ref="H33:H34"/>
    <mergeCell ref="I33:I34"/>
    <mergeCell ref="K54:K55"/>
    <mergeCell ref="K23:K24"/>
    <mergeCell ref="L23:L24"/>
    <mergeCell ref="M23:M24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K44:K45"/>
    <mergeCell ref="I23:I24"/>
    <mergeCell ref="J23:J24"/>
    <mergeCell ref="B26:K26"/>
    <mergeCell ref="H27:H28"/>
    <mergeCell ref="I27:I28"/>
    <mergeCell ref="J27:K28"/>
    <mergeCell ref="B29:B30"/>
    <mergeCell ref="C29:C30"/>
    <mergeCell ref="D29:D30"/>
    <mergeCell ref="A59:A62"/>
    <mergeCell ref="J56:J57"/>
    <mergeCell ref="B54:B55"/>
    <mergeCell ref="C54:C55"/>
    <mergeCell ref="D54:D55"/>
    <mergeCell ref="E54:E55"/>
    <mergeCell ref="F54:F55"/>
    <mergeCell ref="G54:G55"/>
    <mergeCell ref="H54:H55"/>
    <mergeCell ref="K56:K57"/>
    <mergeCell ref="I56:I57"/>
    <mergeCell ref="B42:B43"/>
    <mergeCell ref="C42:C43"/>
    <mergeCell ref="D42:D43"/>
    <mergeCell ref="A63:A64"/>
    <mergeCell ref="A65:A66"/>
    <mergeCell ref="A67:A68"/>
    <mergeCell ref="B59:D60"/>
    <mergeCell ref="E59:G60"/>
    <mergeCell ref="H59:M59"/>
    <mergeCell ref="H60:I60"/>
    <mergeCell ref="J60:K60"/>
    <mergeCell ref="L60:M60"/>
    <mergeCell ref="D61:D62"/>
    <mergeCell ref="G61:G62"/>
    <mergeCell ref="H61:H62"/>
    <mergeCell ref="I61:I62"/>
    <mergeCell ref="J61:J62"/>
    <mergeCell ref="K61:K62"/>
    <mergeCell ref="D63:D64"/>
    <mergeCell ref="G63:G64"/>
    <mergeCell ref="H63:H64"/>
    <mergeCell ref="I63:I64"/>
    <mergeCell ref="J63:J64"/>
    <mergeCell ref="K63:K64"/>
    <mergeCell ref="D65:D66"/>
    <mergeCell ref="G65:G66"/>
    <mergeCell ref="H65:H66"/>
    <mergeCell ref="I65:I66"/>
    <mergeCell ref="J65:J66"/>
    <mergeCell ref="K65:K66"/>
    <mergeCell ref="L65:L66"/>
    <mergeCell ref="M65:M66"/>
    <mergeCell ref="D67:D68"/>
    <mergeCell ref="G67:G68"/>
    <mergeCell ref="H67:H68"/>
    <mergeCell ref="I67:I68"/>
    <mergeCell ref="J67:J68"/>
    <mergeCell ref="K67:K68"/>
    <mergeCell ref="L67:L68"/>
    <mergeCell ref="M67:M68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0" orientation="landscape" horizontalDpi="300" verticalDpi="300" r:id="rId1"/>
  <rowBreaks count="1" manualBreakCount="1">
    <brk id="3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Q70"/>
  <sheetViews>
    <sheetView rightToLeft="1" view="pageBreakPreview" topLeftCell="H10" zoomScale="70" zoomScaleSheetLayoutView="70" workbookViewId="0">
      <selection activeCell="L21" sqref="L21:L22"/>
    </sheetView>
  </sheetViews>
  <sheetFormatPr defaultColWidth="9" defaultRowHeight="20.25" x14ac:dyDescent="0.3"/>
  <cols>
    <col min="1" max="1" width="17.375" style="9" customWidth="1"/>
    <col min="2" max="2" width="12.375" style="9" customWidth="1"/>
    <col min="3" max="3" width="10.75" style="9" customWidth="1"/>
    <col min="4" max="5" width="9" style="9"/>
    <col min="6" max="6" width="11.375" style="9" customWidth="1"/>
    <col min="7" max="7" width="11.25" style="9" customWidth="1"/>
    <col min="8" max="8" width="9" style="9"/>
    <col min="9" max="9" width="13.375" style="9" customWidth="1"/>
    <col min="10" max="10" width="16.25" style="9" customWidth="1"/>
    <col min="11" max="11" width="10.375" style="9" customWidth="1"/>
    <col min="12" max="12" width="11" style="9" customWidth="1"/>
    <col min="13" max="13" width="9" style="9"/>
    <col min="14" max="14" width="11.25" style="9" customWidth="1"/>
    <col min="15" max="16384" width="9" style="9"/>
  </cols>
  <sheetData>
    <row r="1" spans="1:15" ht="25.5" customHeight="1" x14ac:dyDescent="0.3">
      <c r="A1" s="202" t="s">
        <v>55</v>
      </c>
      <c r="B1" s="202"/>
      <c r="C1" s="202"/>
    </row>
    <row r="2" spans="1:15" ht="26.25" customHeight="1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s="31" customFormat="1" ht="29.25" customHeight="1" thickTop="1" thickBot="1" x14ac:dyDescent="0.25">
      <c r="A6" s="31" t="s">
        <v>1</v>
      </c>
      <c r="B6" s="186" t="s">
        <v>173</v>
      </c>
      <c r="C6" s="190"/>
      <c r="D6" s="187"/>
      <c r="F6" s="31" t="s">
        <v>2</v>
      </c>
      <c r="G6" s="186" t="s">
        <v>156</v>
      </c>
      <c r="H6" s="190"/>
      <c r="I6" s="187"/>
      <c r="K6" s="31" t="s">
        <v>0</v>
      </c>
      <c r="L6" s="186" t="s">
        <v>189</v>
      </c>
      <c r="M6" s="190"/>
      <c r="N6" s="187"/>
    </row>
    <row r="7" spans="1:15" ht="21.75" thickTop="1" thickBot="1" x14ac:dyDescent="0.35"/>
    <row r="8" spans="1:15" s="31" customFormat="1" ht="27" customHeight="1" thickTop="1" thickBot="1" x14ac:dyDescent="0.25">
      <c r="A8" s="31" t="s">
        <v>43</v>
      </c>
      <c r="B8" s="186">
        <f>'التعليم المسرع'!K50+'التعليم المسرع'!L50</f>
        <v>3</v>
      </c>
      <c r="C8" s="190"/>
      <c r="D8" s="187"/>
      <c r="F8" s="31" t="s">
        <v>3</v>
      </c>
      <c r="G8" s="186">
        <f>'التعليم المسرع'!Q50</f>
        <v>0</v>
      </c>
      <c r="H8" s="190"/>
      <c r="I8" s="187"/>
      <c r="K8" s="31" t="s">
        <v>4</v>
      </c>
      <c r="L8" s="186">
        <f>'التعليم المسرع'!R50</f>
        <v>3</v>
      </c>
      <c r="M8" s="190"/>
      <c r="N8" s="187"/>
    </row>
    <row r="9" spans="1:15" ht="21" thickTop="1" x14ac:dyDescent="0.3"/>
    <row r="10" spans="1:15" ht="21" thickBot="1" x14ac:dyDescent="0.35"/>
    <row r="11" spans="1:15" s="31" customFormat="1" ht="27" customHeight="1" thickTop="1" thickBot="1" x14ac:dyDescent="0.25">
      <c r="B11" s="186" t="s">
        <v>5</v>
      </c>
      <c r="C11" s="187"/>
      <c r="F11" s="186" t="s">
        <v>6</v>
      </c>
      <c r="G11" s="190"/>
      <c r="H11" s="187"/>
      <c r="K11" s="186" t="s">
        <v>7</v>
      </c>
      <c r="L11" s="190"/>
      <c r="M11" s="187"/>
    </row>
    <row r="12" spans="1:15" ht="21.75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ht="21.75" thickTop="1" thickBot="1" x14ac:dyDescent="0.35">
      <c r="B13" s="16">
        <f>'التعليم المسرع'!K50</f>
        <v>3</v>
      </c>
      <c r="C13" s="17">
        <f>'التعليم المسرع'!L50</f>
        <v>0</v>
      </c>
      <c r="F13" s="18">
        <f>'التعليم المسرع'!H50</f>
        <v>2</v>
      </c>
      <c r="G13" s="19">
        <f>'التعليم المسرع'!I50</f>
        <v>1</v>
      </c>
      <c r="H13" s="20">
        <f>'التعليم المسرع'!J50</f>
        <v>0</v>
      </c>
      <c r="K13" s="16">
        <f>'التعليم المسرع'!FC50</f>
        <v>13</v>
      </c>
      <c r="L13" s="21">
        <f>'التعليم المسرع'!FD50</f>
        <v>6</v>
      </c>
      <c r="M13" s="17">
        <f>SUM(K13:L13)</f>
        <v>19</v>
      </c>
    </row>
    <row r="14" spans="1:15" ht="21" thickTop="1" x14ac:dyDescent="0.3"/>
    <row r="15" spans="1:15" ht="21" thickBot="1" x14ac:dyDescent="0.35"/>
    <row r="16" spans="1:15" s="31" customFormat="1" ht="33.75" customHeight="1" thickTop="1" thickBot="1" x14ac:dyDescent="0.25">
      <c r="B16" s="186" t="s">
        <v>20</v>
      </c>
      <c r="C16" s="190"/>
      <c r="D16" s="190"/>
      <c r="E16" s="190"/>
      <c r="F16" s="190"/>
      <c r="G16" s="187"/>
      <c r="I16" s="273" t="s">
        <v>30</v>
      </c>
      <c r="J16" s="274"/>
      <c r="K16" s="274"/>
      <c r="L16" s="274"/>
      <c r="M16" s="274"/>
      <c r="N16" s="189"/>
    </row>
    <row r="17" spans="2:14" ht="29.2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1" t="s">
        <v>31</v>
      </c>
      <c r="J17" s="210" t="s">
        <v>44</v>
      </c>
      <c r="K17" s="210" t="s">
        <v>45</v>
      </c>
      <c r="L17" s="210" t="s">
        <v>46</v>
      </c>
      <c r="M17" s="210" t="s">
        <v>257</v>
      </c>
      <c r="N17" s="213" t="s">
        <v>47</v>
      </c>
    </row>
    <row r="18" spans="2:14" ht="21.75" thickTop="1" thickBot="1" x14ac:dyDescent="0.35">
      <c r="B18" s="191" t="s">
        <v>17</v>
      </c>
      <c r="C18" s="191">
        <f>'التعليم المسرع'!CO50</f>
        <v>2</v>
      </c>
      <c r="D18" s="191">
        <f>'التعليم المسرع'!CP50</f>
        <v>1</v>
      </c>
      <c r="E18" s="191">
        <f>'التعليم المسرع'!CQ50</f>
        <v>0</v>
      </c>
      <c r="F18" s="193">
        <f>C18+D18+E18</f>
        <v>3</v>
      </c>
      <c r="G18" s="194"/>
      <c r="I18" s="211"/>
      <c r="J18" s="210"/>
      <c r="K18" s="210"/>
      <c r="L18" s="210"/>
      <c r="M18" s="210"/>
      <c r="N18" s="213"/>
    </row>
    <row r="19" spans="2:14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المسرع'!EU50</f>
        <v>2</v>
      </c>
      <c r="K19" s="210">
        <f>'التعليم المسرع'!EW50</f>
        <v>1</v>
      </c>
      <c r="L19" s="210">
        <f>'التعليم المسرع'!EY50</f>
        <v>10</v>
      </c>
      <c r="M19" s="210">
        <f>'التعليم المسرع'!FA50</f>
        <v>0</v>
      </c>
      <c r="N19" s="213">
        <f>SUM(J19:M20)</f>
        <v>13</v>
      </c>
    </row>
    <row r="20" spans="2:14" ht="21.75" thickTop="1" thickBot="1" x14ac:dyDescent="0.35">
      <c r="B20" s="191" t="s">
        <v>18</v>
      </c>
      <c r="C20" s="191">
        <f>'التعليم المسرع'!CR50</f>
        <v>3</v>
      </c>
      <c r="D20" s="191">
        <f>'التعليم المسرع'!CS50</f>
        <v>1</v>
      </c>
      <c r="E20" s="191">
        <f>'التعليم المسرع'!CT50</f>
        <v>0</v>
      </c>
      <c r="F20" s="193">
        <f t="shared" ref="F20" si="0">C20+D20+E20</f>
        <v>4</v>
      </c>
      <c r="G20" s="194"/>
      <c r="I20" s="211"/>
      <c r="J20" s="210"/>
      <c r="K20" s="210"/>
      <c r="L20" s="210"/>
      <c r="M20" s="210"/>
      <c r="N20" s="213"/>
    </row>
    <row r="21" spans="2:14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المسرع'!EV50</f>
        <v>1</v>
      </c>
      <c r="K21" s="210">
        <f>'التعليم المسرع'!EX50</f>
        <v>0</v>
      </c>
      <c r="L21" s="210">
        <f>'التعليم المسرع'!EZ50</f>
        <v>5</v>
      </c>
      <c r="M21" s="210">
        <f>'التعليم المسرع'!FB50</f>
        <v>0</v>
      </c>
      <c r="N21" s="213">
        <f>SUM(J21:M22)</f>
        <v>6</v>
      </c>
    </row>
    <row r="22" spans="2:14" ht="21.75" thickTop="1" thickBot="1" x14ac:dyDescent="0.35">
      <c r="B22" s="191" t="s">
        <v>19</v>
      </c>
      <c r="C22" s="191">
        <f>'التعليم المسرع'!CU50</f>
        <v>4</v>
      </c>
      <c r="D22" s="191">
        <f>'التعليم المسرع'!CV50</f>
        <v>1</v>
      </c>
      <c r="E22" s="191">
        <f>'التعليم المسرع'!CW50</f>
        <v>0</v>
      </c>
      <c r="F22" s="193">
        <f t="shared" ref="F22" si="1">C22+D22+E22</f>
        <v>5</v>
      </c>
      <c r="G22" s="194"/>
      <c r="I22" s="211"/>
      <c r="J22" s="210"/>
      <c r="K22" s="210"/>
      <c r="L22" s="210"/>
      <c r="M22" s="210"/>
      <c r="N22" s="213"/>
    </row>
    <row r="23" spans="2:14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3</v>
      </c>
      <c r="K23" s="210">
        <f t="shared" ref="K23:N23" si="2">K19+K21</f>
        <v>1</v>
      </c>
      <c r="L23" s="210">
        <f t="shared" si="2"/>
        <v>15</v>
      </c>
      <c r="M23" s="210">
        <f t="shared" ref="M23" si="3">M19+M21</f>
        <v>0</v>
      </c>
      <c r="N23" s="213">
        <f t="shared" si="2"/>
        <v>19</v>
      </c>
    </row>
    <row r="24" spans="2:14" ht="36.75" customHeight="1" thickTop="1" thickBot="1" x14ac:dyDescent="0.35">
      <c r="B24" s="24" t="s">
        <v>15</v>
      </c>
      <c r="C24" s="25">
        <f>SUM(C18:C23)</f>
        <v>9</v>
      </c>
      <c r="D24" s="25">
        <f>SUM(D18:D23)</f>
        <v>3</v>
      </c>
      <c r="E24" s="25">
        <f>SUM(E18:E23)</f>
        <v>0</v>
      </c>
      <c r="F24" s="206">
        <f>C24+D24+E24</f>
        <v>12</v>
      </c>
      <c r="G24" s="187"/>
      <c r="I24" s="214"/>
      <c r="J24" s="212"/>
      <c r="K24" s="212"/>
      <c r="L24" s="212"/>
      <c r="M24" s="212"/>
      <c r="N24" s="229"/>
    </row>
    <row r="25" spans="2:14" ht="23.25" customHeight="1" thickTop="1" x14ac:dyDescent="0.3"/>
    <row r="26" spans="2:14" ht="20.25" customHeight="1" thickBot="1" x14ac:dyDescent="0.35">
      <c r="B26" s="27"/>
      <c r="C26" s="27"/>
      <c r="D26" s="27"/>
      <c r="E26" s="27"/>
    </row>
    <row r="27" spans="2:14" ht="35.25" customHeight="1" thickTop="1" thickBot="1" x14ac:dyDescent="0.35">
      <c r="B27" s="215" t="s">
        <v>39</v>
      </c>
      <c r="C27" s="216"/>
      <c r="D27" s="216"/>
      <c r="E27" s="216"/>
      <c r="F27" s="216"/>
      <c r="G27" s="216"/>
      <c r="H27" s="216"/>
      <c r="I27" s="216"/>
      <c r="J27" s="216"/>
      <c r="K27" s="217"/>
      <c r="L27" s="26"/>
      <c r="M27" s="26"/>
    </row>
    <row r="28" spans="2:14" ht="45" customHeight="1" thickTop="1" thickBot="1" x14ac:dyDescent="0.35">
      <c r="B28" s="234" t="s">
        <v>40</v>
      </c>
      <c r="C28" s="228" t="s">
        <v>32</v>
      </c>
      <c r="D28" s="228" t="s">
        <v>33</v>
      </c>
      <c r="E28" s="228" t="s">
        <v>34</v>
      </c>
      <c r="F28" s="228" t="s">
        <v>35</v>
      </c>
      <c r="G28" s="228" t="s">
        <v>36</v>
      </c>
      <c r="H28" s="228" t="s">
        <v>37</v>
      </c>
      <c r="I28" s="228" t="s">
        <v>38</v>
      </c>
      <c r="J28" s="210" t="s">
        <v>15</v>
      </c>
      <c r="K28" s="213"/>
      <c r="L28" s="26"/>
      <c r="M28" s="26"/>
    </row>
    <row r="29" spans="2:14" ht="54" customHeight="1" thickTop="1" thickBot="1" x14ac:dyDescent="0.35">
      <c r="B29" s="234"/>
      <c r="C29" s="228"/>
      <c r="D29" s="228"/>
      <c r="E29" s="228"/>
      <c r="F29" s="228"/>
      <c r="G29" s="228"/>
      <c r="H29" s="228"/>
      <c r="I29" s="228"/>
      <c r="J29" s="210"/>
      <c r="K29" s="213"/>
      <c r="L29" s="26"/>
      <c r="M29" s="26"/>
    </row>
    <row r="30" spans="2:14" ht="21.75" thickTop="1" thickBot="1" x14ac:dyDescent="0.35">
      <c r="B30" s="211" t="s">
        <v>13</v>
      </c>
      <c r="C30" s="210">
        <f>'التعليم المسرع'!FZ50</f>
        <v>0</v>
      </c>
      <c r="D30" s="210">
        <f>'التعليم المسرع'!FX50</f>
        <v>0</v>
      </c>
      <c r="E30" s="210">
        <f>'التعليم المسرع'!GD50</f>
        <v>0</v>
      </c>
      <c r="F30" s="210">
        <f>'التعليم المسرع'!GB50</f>
        <v>6</v>
      </c>
      <c r="G30" s="210">
        <f>'التعليم المسرع'!GH50</f>
        <v>7</v>
      </c>
      <c r="H30" s="210">
        <f>'التعليم المسرع'!GJ50</f>
        <v>0</v>
      </c>
      <c r="I30" s="210">
        <f>'التعليم المسرع'!GL50</f>
        <v>0</v>
      </c>
      <c r="J30" s="210">
        <f>I30+H30+G30+F30+E30+D30+C30</f>
        <v>13</v>
      </c>
      <c r="K30" s="213"/>
      <c r="L30" s="26"/>
      <c r="M30" s="26"/>
    </row>
    <row r="31" spans="2:14" ht="21.75" thickTop="1" thickBot="1" x14ac:dyDescent="0.35">
      <c r="B31" s="211"/>
      <c r="C31" s="210"/>
      <c r="D31" s="210"/>
      <c r="E31" s="210"/>
      <c r="F31" s="210"/>
      <c r="G31" s="210"/>
      <c r="H31" s="210"/>
      <c r="I31" s="210"/>
      <c r="J31" s="210"/>
      <c r="K31" s="213"/>
      <c r="L31" s="26"/>
      <c r="M31" s="26"/>
    </row>
    <row r="32" spans="2:14" ht="21.75" thickTop="1" thickBot="1" x14ac:dyDescent="0.35">
      <c r="B32" s="211" t="s">
        <v>14</v>
      </c>
      <c r="C32" s="210">
        <f>'التعليم المسرع'!GA50</f>
        <v>0</v>
      </c>
      <c r="D32" s="210">
        <f>'التعليم المسرع'!FY50</f>
        <v>0</v>
      </c>
      <c r="E32" s="210">
        <f>'التعليم المسرع'!GE50</f>
        <v>0</v>
      </c>
      <c r="F32" s="210">
        <f>'التعليم المسرع'!GC50</f>
        <v>2</v>
      </c>
      <c r="G32" s="210">
        <f>'التعليم المسرع'!GI50</f>
        <v>4</v>
      </c>
      <c r="H32" s="210">
        <f>'التعليم المسرع'!GK50</f>
        <v>0</v>
      </c>
      <c r="I32" s="210">
        <f>'التعليم المسرع'!GM50</f>
        <v>0</v>
      </c>
      <c r="J32" s="210">
        <f t="shared" ref="J32" si="4">I32+H32+G32+F32+E32+D32+C32</f>
        <v>6</v>
      </c>
      <c r="K32" s="213"/>
      <c r="L32" s="26"/>
      <c r="M32" s="26"/>
    </row>
    <row r="33" spans="1:17" ht="21.75" thickTop="1" thickBot="1" x14ac:dyDescent="0.35">
      <c r="B33" s="211"/>
      <c r="C33" s="210"/>
      <c r="D33" s="210"/>
      <c r="E33" s="210"/>
      <c r="F33" s="210"/>
      <c r="G33" s="210"/>
      <c r="H33" s="210"/>
      <c r="I33" s="210"/>
      <c r="J33" s="210"/>
      <c r="K33" s="213"/>
      <c r="L33" s="26"/>
      <c r="M33" s="26"/>
    </row>
    <row r="34" spans="1:17" ht="21.75" thickTop="1" thickBot="1" x14ac:dyDescent="0.35">
      <c r="B34" s="211" t="s">
        <v>15</v>
      </c>
      <c r="C34" s="210">
        <f>C30+C32</f>
        <v>0</v>
      </c>
      <c r="D34" s="210">
        <f t="shared" ref="D34:I34" si="5">D30+D32</f>
        <v>0</v>
      </c>
      <c r="E34" s="210">
        <f t="shared" si="5"/>
        <v>0</v>
      </c>
      <c r="F34" s="210">
        <f t="shared" si="5"/>
        <v>8</v>
      </c>
      <c r="G34" s="210">
        <f t="shared" si="5"/>
        <v>11</v>
      </c>
      <c r="H34" s="210">
        <f t="shared" si="5"/>
        <v>0</v>
      </c>
      <c r="I34" s="210">
        <f t="shared" si="5"/>
        <v>0</v>
      </c>
      <c r="J34" s="210">
        <f t="shared" ref="J34" si="6">I34+H34+G34+F34+E34+D34+C34</f>
        <v>19</v>
      </c>
      <c r="K34" s="213"/>
      <c r="L34" s="26"/>
      <c r="M34" s="26"/>
    </row>
    <row r="35" spans="1:17" ht="21.75" thickTop="1" thickBot="1" x14ac:dyDescent="0.35">
      <c r="B35" s="214"/>
      <c r="C35" s="212"/>
      <c r="D35" s="212"/>
      <c r="E35" s="212"/>
      <c r="F35" s="212"/>
      <c r="G35" s="212"/>
      <c r="H35" s="212"/>
      <c r="I35" s="212"/>
      <c r="J35" s="212"/>
      <c r="K35" s="229"/>
      <c r="L35" s="26"/>
      <c r="M35" s="26"/>
    </row>
    <row r="36" spans="1:17" ht="28.5" customHeight="1" thickTop="1" x14ac:dyDescent="0.3">
      <c r="A36" s="202" t="s">
        <v>55</v>
      </c>
      <c r="B36" s="202"/>
      <c r="C36" s="202"/>
    </row>
    <row r="37" spans="1:17" ht="26.25" customHeight="1" x14ac:dyDescent="0.3">
      <c r="A37" s="202" t="s">
        <v>56</v>
      </c>
      <c r="B37" s="202"/>
      <c r="C37" s="202"/>
      <c r="D37" s="202"/>
      <c r="K37" s="9" t="s">
        <v>179</v>
      </c>
    </row>
    <row r="38" spans="1:17" x14ac:dyDescent="0.3">
      <c r="D38" s="9" t="s">
        <v>52</v>
      </c>
    </row>
    <row r="39" spans="1:17" ht="21" thickBot="1" x14ac:dyDescent="0.35"/>
    <row r="40" spans="1:17" ht="35.25" customHeight="1" thickTop="1" thickBot="1" x14ac:dyDescent="0.35">
      <c r="B40" s="224" t="s">
        <v>28</v>
      </c>
      <c r="C40" s="206" t="s">
        <v>17</v>
      </c>
      <c r="D40" s="250"/>
      <c r="E40" s="206" t="s">
        <v>18</v>
      </c>
      <c r="F40" s="250"/>
      <c r="G40" s="206" t="s">
        <v>19</v>
      </c>
      <c r="H40" s="250"/>
      <c r="I40" s="206" t="s">
        <v>29</v>
      </c>
      <c r="J40" s="190"/>
      <c r="K40" s="250"/>
      <c r="L40" s="26"/>
      <c r="M40" s="26"/>
      <c r="N40" s="26"/>
    </row>
    <row r="41" spans="1:17" ht="33.75" customHeight="1" thickTop="1" thickBot="1" x14ac:dyDescent="0.35">
      <c r="B41" s="218"/>
      <c r="C41" s="44" t="s">
        <v>10</v>
      </c>
      <c r="D41" s="44" t="s">
        <v>11</v>
      </c>
      <c r="E41" s="44" t="s">
        <v>10</v>
      </c>
      <c r="F41" s="44" t="s">
        <v>11</v>
      </c>
      <c r="G41" s="44" t="s">
        <v>10</v>
      </c>
      <c r="H41" s="44" t="s">
        <v>11</v>
      </c>
      <c r="I41" s="44" t="s">
        <v>10</v>
      </c>
      <c r="J41" s="44" t="s">
        <v>11</v>
      </c>
      <c r="K41" s="44" t="s">
        <v>15</v>
      </c>
      <c r="L41" s="26"/>
      <c r="M41" s="26"/>
      <c r="N41" s="26"/>
    </row>
    <row r="42" spans="1:17" ht="21" thickTop="1" x14ac:dyDescent="0.3">
      <c r="B42" s="224" t="s">
        <v>21</v>
      </c>
      <c r="C42" s="224">
        <f>'التعليم المسرع'!Y50</f>
        <v>4</v>
      </c>
      <c r="D42" s="224">
        <f>'التعليم المسرع'!Z50</f>
        <v>3</v>
      </c>
      <c r="E42" s="224">
        <f>'التعليم المسرع'!AP50</f>
        <v>3</v>
      </c>
      <c r="F42" s="224">
        <f>'التعليم المسرع'!AQ50</f>
        <v>1</v>
      </c>
      <c r="G42" s="224">
        <f>'التعليم المسرع'!BG50</f>
        <v>6</v>
      </c>
      <c r="H42" s="224">
        <f>'التعليم المسرع'!BH50</f>
        <v>1</v>
      </c>
      <c r="I42" s="224">
        <f>C42+E42+G42</f>
        <v>13</v>
      </c>
      <c r="J42" s="224">
        <f>D42+F42+H42</f>
        <v>5</v>
      </c>
      <c r="K42" s="224">
        <f>SUM(I42:J42)</f>
        <v>18</v>
      </c>
      <c r="L42" s="26"/>
      <c r="M42" s="26"/>
      <c r="N42" s="26"/>
    </row>
    <row r="43" spans="1:17" ht="21" thickBot="1" x14ac:dyDescent="0.35"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6"/>
      <c r="M43" s="26"/>
      <c r="N43" s="26"/>
    </row>
    <row r="44" spans="1:17" ht="21" thickTop="1" x14ac:dyDescent="0.3">
      <c r="B44" s="224" t="s">
        <v>22</v>
      </c>
      <c r="C44" s="224">
        <f>'التعليم المسرع'!AA50</f>
        <v>3</v>
      </c>
      <c r="D44" s="224">
        <f>'التعليم المسرع'!AB50</f>
        <v>2</v>
      </c>
      <c r="E44" s="249">
        <f>'التعليم المسرع'!AR50</f>
        <v>9</v>
      </c>
      <c r="F44" s="249">
        <f>'التعليم المسرع'!AS50</f>
        <v>1</v>
      </c>
      <c r="G44" s="224">
        <f>'التعليم المسرع'!BI50</f>
        <v>9</v>
      </c>
      <c r="H44" s="224">
        <f>'التعليم المسرع'!BJ50</f>
        <v>1</v>
      </c>
      <c r="I44" s="224">
        <f t="shared" ref="I44:J44" si="7">C44+E44+G44</f>
        <v>21</v>
      </c>
      <c r="J44" s="224">
        <f t="shared" si="7"/>
        <v>4</v>
      </c>
      <c r="K44" s="224">
        <f t="shared" ref="K44" si="8">SUM(I44:J44)</f>
        <v>25</v>
      </c>
      <c r="L44" s="26"/>
      <c r="M44" s="26"/>
      <c r="N44" s="26"/>
    </row>
    <row r="45" spans="1:17" ht="21" thickBot="1" x14ac:dyDescent="0.35">
      <c r="B45" s="218"/>
      <c r="C45" s="218"/>
      <c r="D45" s="218"/>
      <c r="E45" s="219"/>
      <c r="F45" s="219"/>
      <c r="G45" s="218"/>
      <c r="H45" s="218"/>
      <c r="I45" s="218"/>
      <c r="J45" s="218"/>
      <c r="K45" s="218"/>
      <c r="L45" s="26"/>
      <c r="M45" s="26"/>
      <c r="N45" s="26"/>
    </row>
    <row r="46" spans="1:17" ht="21" thickTop="1" x14ac:dyDescent="0.3">
      <c r="B46" s="224" t="s">
        <v>23</v>
      </c>
      <c r="C46" s="224">
        <f>'التعليم المسرع'!AC50</f>
        <v>8</v>
      </c>
      <c r="D46" s="224">
        <f>'التعليم المسرع'!AD50</f>
        <v>1</v>
      </c>
      <c r="E46" s="249">
        <f>'التعليم المسرع'!AT50</f>
        <v>15</v>
      </c>
      <c r="F46" s="249">
        <f>'التعليم المسرع'!AU50</f>
        <v>0</v>
      </c>
      <c r="G46" s="224">
        <f>'التعليم المسرع'!BK50</f>
        <v>12</v>
      </c>
      <c r="H46" s="224">
        <f>'التعليم المسرع'!BL50</f>
        <v>7</v>
      </c>
      <c r="I46" s="224">
        <f t="shared" ref="I46:J46" si="9">C46+E46+G46</f>
        <v>35</v>
      </c>
      <c r="J46" s="224">
        <f t="shared" si="9"/>
        <v>8</v>
      </c>
      <c r="K46" s="224">
        <f t="shared" ref="K46" si="10">SUM(I46:J46)</f>
        <v>43</v>
      </c>
      <c r="L46" s="26"/>
      <c r="M46" s="26"/>
      <c r="N46" s="26"/>
    </row>
    <row r="47" spans="1:17" ht="21" thickBot="1" x14ac:dyDescent="0.35">
      <c r="B47" s="218"/>
      <c r="C47" s="218"/>
      <c r="D47" s="218"/>
      <c r="E47" s="219"/>
      <c r="F47" s="219"/>
      <c r="G47" s="218"/>
      <c r="H47" s="218"/>
      <c r="I47" s="218"/>
      <c r="J47" s="218"/>
      <c r="K47" s="218"/>
      <c r="L47" s="26"/>
      <c r="M47" s="26"/>
      <c r="N47" s="26"/>
    </row>
    <row r="48" spans="1:17" ht="21" thickTop="1" x14ac:dyDescent="0.3">
      <c r="B48" s="224" t="s">
        <v>24</v>
      </c>
      <c r="C48" s="224">
        <f>'التعليم المسرع'!AE50</f>
        <v>7</v>
      </c>
      <c r="D48" s="224">
        <f>'التعليم المسرع'!AF50</f>
        <v>1</v>
      </c>
      <c r="E48" s="249">
        <f>'التعليم المسرع'!AV50</f>
        <v>18</v>
      </c>
      <c r="F48" s="249">
        <f>'التعليم المسرع'!AW50</f>
        <v>1</v>
      </c>
      <c r="G48" s="224">
        <f>'التعليم المسرع'!BM50</f>
        <v>17</v>
      </c>
      <c r="H48" s="224">
        <f>'التعليم المسرع'!BN50</f>
        <v>3</v>
      </c>
      <c r="I48" s="224">
        <f t="shared" ref="I48:J48" si="11">C48+E48+G48</f>
        <v>42</v>
      </c>
      <c r="J48" s="224">
        <f t="shared" si="11"/>
        <v>5</v>
      </c>
      <c r="K48" s="224">
        <f t="shared" ref="K48" si="12">SUM(I48:J48)</f>
        <v>47</v>
      </c>
      <c r="L48" s="26"/>
      <c r="M48" s="26"/>
      <c r="N48" s="26"/>
      <c r="O48" s="26"/>
      <c r="P48" s="26"/>
      <c r="Q48" s="26"/>
    </row>
    <row r="49" spans="1:17" ht="21" thickBot="1" x14ac:dyDescent="0.35">
      <c r="B49" s="218"/>
      <c r="C49" s="218"/>
      <c r="D49" s="218"/>
      <c r="E49" s="219"/>
      <c r="F49" s="219"/>
      <c r="G49" s="218"/>
      <c r="H49" s="218"/>
      <c r="I49" s="218"/>
      <c r="J49" s="218"/>
      <c r="K49" s="218"/>
      <c r="L49" s="26"/>
      <c r="M49" s="26"/>
      <c r="N49" s="26"/>
      <c r="O49" s="26"/>
      <c r="P49" s="26"/>
      <c r="Q49" s="26"/>
    </row>
    <row r="50" spans="1:17" ht="21" thickTop="1" x14ac:dyDescent="0.3">
      <c r="B50" s="224" t="s">
        <v>25</v>
      </c>
      <c r="C50" s="224">
        <f>'التعليم المسرع'!AG50</f>
        <v>0</v>
      </c>
      <c r="D50" s="224">
        <f>'التعليم المسرع'!AH50</f>
        <v>0</v>
      </c>
      <c r="E50" s="249">
        <f>'التعليم المسرع'!AX50</f>
        <v>13</v>
      </c>
      <c r="F50" s="249">
        <f>'التعليم المسرع'!AY50</f>
        <v>0</v>
      </c>
      <c r="G50" s="224">
        <f>'التعليم المسرع'!BO50</f>
        <v>23</v>
      </c>
      <c r="H50" s="224">
        <f>'التعليم المسرع'!BP50</f>
        <v>2</v>
      </c>
      <c r="I50" s="224">
        <f t="shared" ref="I50:J50" si="13">C50+E50+G50</f>
        <v>36</v>
      </c>
      <c r="J50" s="224">
        <f t="shared" si="13"/>
        <v>2</v>
      </c>
      <c r="K50" s="224">
        <f t="shared" ref="K50" si="14">SUM(I50:J50)</f>
        <v>38</v>
      </c>
      <c r="L50" s="26"/>
      <c r="M50" s="26"/>
      <c r="N50" s="26"/>
      <c r="O50" s="26"/>
      <c r="P50" s="26"/>
      <c r="Q50" s="26"/>
    </row>
    <row r="51" spans="1:17" ht="21" thickBot="1" x14ac:dyDescent="0.35">
      <c r="B51" s="218"/>
      <c r="C51" s="218"/>
      <c r="D51" s="218"/>
      <c r="E51" s="219"/>
      <c r="F51" s="219"/>
      <c r="G51" s="218"/>
      <c r="H51" s="218"/>
      <c r="I51" s="218"/>
      <c r="J51" s="218"/>
      <c r="K51" s="218"/>
      <c r="L51" s="26"/>
      <c r="M51" s="26"/>
      <c r="N51" s="26"/>
      <c r="O51" s="26"/>
      <c r="P51" s="26"/>
      <c r="Q51" s="26"/>
    </row>
    <row r="52" spans="1:17" ht="21" thickTop="1" x14ac:dyDescent="0.3">
      <c r="B52" s="224" t="s">
        <v>26</v>
      </c>
      <c r="C52" s="224">
        <f>'التعليم المسرع'!AI50</f>
        <v>2</v>
      </c>
      <c r="D52" s="224">
        <f>'التعليم المسرع'!AJ50</f>
        <v>0</v>
      </c>
      <c r="E52" s="224">
        <f>'التعليم المسرع'!AZ50</f>
        <v>11</v>
      </c>
      <c r="F52" s="224">
        <f>'التعليم المسرع'!BA50</f>
        <v>1</v>
      </c>
      <c r="G52" s="224">
        <f>'التعليم المسرع'!BQ50</f>
        <v>15</v>
      </c>
      <c r="H52" s="224">
        <f>'التعليم المسرع'!BR50</f>
        <v>4</v>
      </c>
      <c r="I52" s="224">
        <f t="shared" ref="I52:J52" si="15">C52+E52+G52</f>
        <v>28</v>
      </c>
      <c r="J52" s="224">
        <f t="shared" si="15"/>
        <v>5</v>
      </c>
      <c r="K52" s="224">
        <f t="shared" ref="K52" si="16">SUM(I52:J52)</f>
        <v>33</v>
      </c>
      <c r="L52" s="26"/>
      <c r="M52" s="26"/>
      <c r="N52" s="26"/>
      <c r="O52" s="26"/>
      <c r="P52" s="26"/>
      <c r="Q52" s="26"/>
    </row>
    <row r="53" spans="1:17" ht="21" thickBot="1" x14ac:dyDescent="0.35"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M53" s="26"/>
      <c r="N53" s="26"/>
      <c r="O53" s="26"/>
      <c r="P53" s="26"/>
      <c r="Q53" s="26"/>
    </row>
    <row r="54" spans="1:17" ht="21" thickTop="1" x14ac:dyDescent="0.3">
      <c r="B54" s="224" t="s">
        <v>27</v>
      </c>
      <c r="C54" s="224">
        <f>'التعليم المسرع'!AK50</f>
        <v>0</v>
      </c>
      <c r="D54" s="224">
        <f>'التعليم المسرع'!AL50</f>
        <v>0</v>
      </c>
      <c r="E54" s="224">
        <f>'التعليم المسرع'!BB50</f>
        <v>8</v>
      </c>
      <c r="F54" s="224">
        <f>'التعليم المسرع'!BC50</f>
        <v>2</v>
      </c>
      <c r="G54" s="224">
        <f>'التعليم المسرع'!BS50</f>
        <v>19</v>
      </c>
      <c r="H54" s="224">
        <f>'التعليم المسرع'!BT50</f>
        <v>4</v>
      </c>
      <c r="I54" s="224">
        <f t="shared" ref="I54:J54" si="17">C54+E54+G54</f>
        <v>27</v>
      </c>
      <c r="J54" s="224">
        <f t="shared" si="17"/>
        <v>6</v>
      </c>
      <c r="K54" s="224">
        <f t="shared" ref="K54" si="18">SUM(I54:J54)</f>
        <v>33</v>
      </c>
      <c r="M54" s="26"/>
      <c r="N54" s="26"/>
      <c r="O54" s="26"/>
      <c r="P54" s="26"/>
      <c r="Q54" s="26"/>
    </row>
    <row r="55" spans="1:17" ht="21" thickBot="1" x14ac:dyDescent="0.35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M55" s="26"/>
      <c r="N55" s="26"/>
      <c r="O55" s="26"/>
      <c r="P55" s="26"/>
      <c r="Q55" s="26"/>
    </row>
    <row r="56" spans="1:17" ht="21" thickTop="1" x14ac:dyDescent="0.3">
      <c r="B56" s="224" t="s">
        <v>15</v>
      </c>
      <c r="C56" s="224">
        <f t="shared" ref="C56:H56" si="19">C42+C44+C46+C48+C50+C52+C54</f>
        <v>24</v>
      </c>
      <c r="D56" s="224">
        <f t="shared" si="19"/>
        <v>7</v>
      </c>
      <c r="E56" s="224">
        <f t="shared" si="19"/>
        <v>77</v>
      </c>
      <c r="F56" s="224">
        <f t="shared" si="19"/>
        <v>6</v>
      </c>
      <c r="G56" s="224">
        <f t="shared" si="19"/>
        <v>101</v>
      </c>
      <c r="H56" s="224">
        <f t="shared" si="19"/>
        <v>22</v>
      </c>
      <c r="I56" s="224">
        <f>C56+E56+G56</f>
        <v>202</v>
      </c>
      <c r="J56" s="224">
        <f t="shared" ref="J56" si="20">D56+F56+H56</f>
        <v>35</v>
      </c>
      <c r="K56" s="224">
        <f t="shared" ref="K56" si="21">SUM(I56:J56)</f>
        <v>237</v>
      </c>
      <c r="M56" s="26"/>
      <c r="N56" s="26"/>
      <c r="O56" s="26"/>
      <c r="P56" s="26"/>
      <c r="Q56" s="26"/>
    </row>
    <row r="57" spans="1:17" ht="21" thickBot="1" x14ac:dyDescent="0.35">
      <c r="B57" s="218"/>
      <c r="C57" s="218"/>
      <c r="D57" s="218"/>
      <c r="E57" s="218"/>
      <c r="F57" s="218"/>
      <c r="G57" s="218"/>
      <c r="H57" s="218"/>
      <c r="I57" s="218"/>
      <c r="J57" s="218"/>
      <c r="K57" s="218"/>
    </row>
    <row r="58" spans="1:17" ht="21" thickTop="1" x14ac:dyDescent="0.3"/>
    <row r="59" spans="1:17" ht="21" thickBot="1" x14ac:dyDescent="0.35"/>
    <row r="60" spans="1:17" ht="31.5" customHeight="1" thickTop="1" thickBot="1" x14ac:dyDescent="0.35">
      <c r="A60" s="215"/>
      <c r="B60" s="227" t="s">
        <v>277</v>
      </c>
      <c r="C60" s="227"/>
      <c r="D60" s="227"/>
      <c r="E60" s="227" t="s">
        <v>282</v>
      </c>
      <c r="F60" s="227"/>
      <c r="G60" s="227"/>
      <c r="H60" s="216" t="s">
        <v>283</v>
      </c>
      <c r="I60" s="216"/>
      <c r="J60" s="216"/>
      <c r="K60" s="216"/>
      <c r="L60" s="216"/>
      <c r="M60" s="216"/>
      <c r="N60" s="216" t="s">
        <v>15</v>
      </c>
      <c r="O60" s="216"/>
      <c r="P60" s="217"/>
    </row>
    <row r="61" spans="1:17" ht="31.5" customHeight="1" thickTop="1" thickBot="1" x14ac:dyDescent="0.35">
      <c r="A61" s="211"/>
      <c r="B61" s="228"/>
      <c r="C61" s="228"/>
      <c r="D61" s="228"/>
      <c r="E61" s="228"/>
      <c r="F61" s="228"/>
      <c r="G61" s="228"/>
      <c r="H61" s="210" t="s">
        <v>193</v>
      </c>
      <c r="I61" s="210"/>
      <c r="J61" s="210" t="s">
        <v>194</v>
      </c>
      <c r="K61" s="210"/>
      <c r="L61" s="210" t="s">
        <v>195</v>
      </c>
      <c r="M61" s="210"/>
      <c r="N61" s="210"/>
      <c r="O61" s="210"/>
      <c r="P61" s="213"/>
    </row>
    <row r="62" spans="1:17" ht="21.75" thickTop="1" thickBot="1" x14ac:dyDescent="0.35">
      <c r="A62" s="211"/>
      <c r="B62" s="210" t="s">
        <v>10</v>
      </c>
      <c r="C62" s="210" t="s">
        <v>11</v>
      </c>
      <c r="D62" s="210" t="s">
        <v>15</v>
      </c>
      <c r="E62" s="210" t="s">
        <v>10</v>
      </c>
      <c r="F62" s="210" t="s">
        <v>11</v>
      </c>
      <c r="G62" s="210" t="s">
        <v>15</v>
      </c>
      <c r="H62" s="210" t="s">
        <v>10</v>
      </c>
      <c r="I62" s="210" t="s">
        <v>11</v>
      </c>
      <c r="J62" s="210" t="s">
        <v>10</v>
      </c>
      <c r="K62" s="210" t="s">
        <v>11</v>
      </c>
      <c r="L62" s="210" t="s">
        <v>10</v>
      </c>
      <c r="M62" s="210" t="s">
        <v>11</v>
      </c>
      <c r="N62" s="210" t="s">
        <v>10</v>
      </c>
      <c r="O62" s="210" t="s">
        <v>11</v>
      </c>
      <c r="P62" s="213" t="s">
        <v>15</v>
      </c>
    </row>
    <row r="63" spans="1:17" ht="21.75" thickTop="1" thickBot="1" x14ac:dyDescent="0.35">
      <c r="A63" s="211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3"/>
    </row>
    <row r="64" spans="1:17" ht="21.75" thickTop="1" thickBot="1" x14ac:dyDescent="0.35">
      <c r="A64" s="211" t="s">
        <v>17</v>
      </c>
      <c r="B64" s="210">
        <f>'التعليم المسرع'!DB50</f>
        <v>0</v>
      </c>
      <c r="C64" s="210">
        <f>'التعليم المسرع'!DC50</f>
        <v>0</v>
      </c>
      <c r="D64" s="210">
        <f>C64+B64</f>
        <v>0</v>
      </c>
      <c r="E64" s="210">
        <f>'التعليم المسرع'!DK50</f>
        <v>50</v>
      </c>
      <c r="F64" s="210">
        <f>'التعليم المسرع'!DL50</f>
        <v>0</v>
      </c>
      <c r="G64" s="210">
        <f t="shared" ref="G64" si="22">F64+E64</f>
        <v>50</v>
      </c>
      <c r="H64" s="210">
        <f>'التعليم المسرع'!DT50</f>
        <v>16</v>
      </c>
      <c r="I64" s="210">
        <f>'التعليم المسرع'!DU50</f>
        <v>0</v>
      </c>
      <c r="J64" s="210">
        <f>'التعليم المسرع'!EC50</f>
        <v>0</v>
      </c>
      <c r="K64" s="210">
        <f>'التعليم المسرع'!ED50</f>
        <v>0</v>
      </c>
      <c r="L64" s="210">
        <f>'التعليم المسرع'!EL50</f>
        <v>0</v>
      </c>
      <c r="M64" s="210">
        <f>'التعليم المسرع'!EM50</f>
        <v>0</v>
      </c>
      <c r="N64" s="210">
        <f>L64+J64+H64</f>
        <v>16</v>
      </c>
      <c r="O64" s="210">
        <f>M64+K64+I64</f>
        <v>0</v>
      </c>
      <c r="P64" s="213">
        <f>O64+N64</f>
        <v>16</v>
      </c>
    </row>
    <row r="65" spans="1:16" ht="21.75" thickTop="1" thickBot="1" x14ac:dyDescent="0.35">
      <c r="A65" s="211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3"/>
    </row>
    <row r="66" spans="1:16" ht="21.75" thickTop="1" thickBot="1" x14ac:dyDescent="0.35">
      <c r="A66" s="211" t="s">
        <v>18</v>
      </c>
      <c r="B66" s="210">
        <f>'التعليم المسرع'!DD50</f>
        <v>0</v>
      </c>
      <c r="C66" s="210">
        <f>'التعليم المسرع'!DE50</f>
        <v>0</v>
      </c>
      <c r="D66" s="210">
        <f t="shared" ref="D66" si="23">C66+B66</f>
        <v>0</v>
      </c>
      <c r="E66" s="210">
        <f>'التعليم المسرع'!DM50</f>
        <v>70</v>
      </c>
      <c r="F66" s="210">
        <f>'التعليم المسرع'!DN50</f>
        <v>0</v>
      </c>
      <c r="G66" s="210">
        <f t="shared" ref="G66" si="24">F66+E66</f>
        <v>70</v>
      </c>
      <c r="H66" s="210">
        <f>'التعليم المسرع'!DV50</f>
        <v>48</v>
      </c>
      <c r="I66" s="210">
        <f>'التعليم المسرع'!DW50</f>
        <v>0</v>
      </c>
      <c r="J66" s="210">
        <f>'التعليم المسرع'!EE50</f>
        <v>0</v>
      </c>
      <c r="K66" s="210">
        <f>'التعليم المسرع'!EF50</f>
        <v>0</v>
      </c>
      <c r="L66" s="210">
        <f>'التعليم المسرع'!EN50</f>
        <v>0</v>
      </c>
      <c r="M66" s="210">
        <f>'التعليم المسرع'!EO50</f>
        <v>0</v>
      </c>
      <c r="N66" s="210">
        <f t="shared" ref="N66" si="25">L66+J66+H66</f>
        <v>48</v>
      </c>
      <c r="O66" s="210">
        <f t="shared" ref="O66" si="26">M66+K66+I66</f>
        <v>0</v>
      </c>
      <c r="P66" s="213">
        <f t="shared" ref="P66" si="27">O66+N66</f>
        <v>48</v>
      </c>
    </row>
    <row r="67" spans="1:16" ht="21.75" thickTop="1" thickBot="1" x14ac:dyDescent="0.35">
      <c r="A67" s="211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3"/>
    </row>
    <row r="68" spans="1:16" ht="21.75" thickTop="1" thickBot="1" x14ac:dyDescent="0.35">
      <c r="A68" s="211" t="s">
        <v>19</v>
      </c>
      <c r="B68" s="210">
        <f>'التعليم المسرع'!DF50</f>
        <v>0</v>
      </c>
      <c r="C68" s="210">
        <f>'التعليم المسرع'!DG50</f>
        <v>0</v>
      </c>
      <c r="D68" s="210">
        <f t="shared" ref="D68" si="28">C68+B68</f>
        <v>0</v>
      </c>
      <c r="E68" s="210">
        <f>'التعليم المسرع'!DO50</f>
        <v>42</v>
      </c>
      <c r="F68" s="210">
        <f>'التعليم المسرع'!DP50</f>
        <v>0</v>
      </c>
      <c r="G68" s="210">
        <f t="shared" ref="G68" si="29">F68+E68</f>
        <v>42</v>
      </c>
      <c r="H68" s="210">
        <f>'التعليم المسرع'!DX50</f>
        <v>41</v>
      </c>
      <c r="I68" s="210">
        <f>'التعليم المسرع'!DY50</f>
        <v>0</v>
      </c>
      <c r="J68" s="210">
        <f>'التعليم المسرع'!EG50</f>
        <v>0</v>
      </c>
      <c r="K68" s="210">
        <f>'التعليم المسرع'!EH50</f>
        <v>0</v>
      </c>
      <c r="L68" s="210">
        <f>'التعليم المسرع'!EP50</f>
        <v>0</v>
      </c>
      <c r="M68" s="210">
        <f>'التعليم المسرع'!EQ50</f>
        <v>0</v>
      </c>
      <c r="N68" s="210">
        <f t="shared" ref="N68" si="30">L68+J68+H68</f>
        <v>41</v>
      </c>
      <c r="O68" s="210">
        <f t="shared" ref="O68" si="31">M68+K68+I68</f>
        <v>0</v>
      </c>
      <c r="P68" s="213">
        <f t="shared" ref="P68" si="32">O68+N68</f>
        <v>41</v>
      </c>
    </row>
    <row r="69" spans="1:16" ht="21.75" thickTop="1" thickBot="1" x14ac:dyDescent="0.35">
      <c r="A69" s="214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29"/>
    </row>
    <row r="70" spans="1:16" ht="21" thickTop="1" x14ac:dyDescent="0.3"/>
  </sheetData>
  <mergeCells count="250">
    <mergeCell ref="N64:N65"/>
    <mergeCell ref="O64:O65"/>
    <mergeCell ref="L62:L63"/>
    <mergeCell ref="M62:M63"/>
    <mergeCell ref="N62:N63"/>
    <mergeCell ref="O62:O63"/>
    <mergeCell ref="K54:K55"/>
    <mergeCell ref="K56:K57"/>
    <mergeCell ref="K50:K51"/>
    <mergeCell ref="K52:K53"/>
    <mergeCell ref="B68:B69"/>
    <mergeCell ref="C68:C69"/>
    <mergeCell ref="N68:N69"/>
    <mergeCell ref="O68:O69"/>
    <mergeCell ref="P64:P65"/>
    <mergeCell ref="P68:P69"/>
    <mergeCell ref="E68:E69"/>
    <mergeCell ref="F68:F69"/>
    <mergeCell ref="N66:N67"/>
    <mergeCell ref="O66:O67"/>
    <mergeCell ref="P66:P67"/>
    <mergeCell ref="B64:B65"/>
    <mergeCell ref="C64:C65"/>
    <mergeCell ref="B66:B67"/>
    <mergeCell ref="C66:C67"/>
    <mergeCell ref="E64:E65"/>
    <mergeCell ref="F64:F65"/>
    <mergeCell ref="E66:E67"/>
    <mergeCell ref="F66:F67"/>
    <mergeCell ref="H64:H65"/>
    <mergeCell ref="I66:I67"/>
    <mergeCell ref="J66:J67"/>
    <mergeCell ref="K66:K67"/>
    <mergeCell ref="G68:G69"/>
    <mergeCell ref="P62:P63"/>
    <mergeCell ref="N60:P61"/>
    <mergeCell ref="B62:B63"/>
    <mergeCell ref="C62:C63"/>
    <mergeCell ref="E62:E63"/>
    <mergeCell ref="F62:F63"/>
    <mergeCell ref="G62:G63"/>
    <mergeCell ref="H62:H63"/>
    <mergeCell ref="I62:I63"/>
    <mergeCell ref="J62:J63"/>
    <mergeCell ref="K62:K63"/>
    <mergeCell ref="B60:D61"/>
    <mergeCell ref="E60:G61"/>
    <mergeCell ref="H60:M60"/>
    <mergeCell ref="H61:I61"/>
    <mergeCell ref="J61:K61"/>
    <mergeCell ref="L61:M61"/>
    <mergeCell ref="D62:D63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B40:B41"/>
    <mergeCell ref="C40:D40"/>
    <mergeCell ref="E40:F40"/>
    <mergeCell ref="G40:H40"/>
    <mergeCell ref="I40:K40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B32:B33"/>
    <mergeCell ref="C32:C33"/>
    <mergeCell ref="D32:D33"/>
    <mergeCell ref="E32:E33"/>
    <mergeCell ref="F32:F33"/>
    <mergeCell ref="G32:G33"/>
    <mergeCell ref="H32:H33"/>
    <mergeCell ref="I32:I33"/>
    <mergeCell ref="L8:N8"/>
    <mergeCell ref="C30:C31"/>
    <mergeCell ref="D30:D31"/>
    <mergeCell ref="E30:E31"/>
    <mergeCell ref="F30:F31"/>
    <mergeCell ref="G30:G31"/>
    <mergeCell ref="H30:H31"/>
    <mergeCell ref="I30:I31"/>
    <mergeCell ref="A37:D37"/>
    <mergeCell ref="I16:N16"/>
    <mergeCell ref="M17:M18"/>
    <mergeCell ref="M19:M20"/>
    <mergeCell ref="M21:M22"/>
    <mergeCell ref="M23:M24"/>
    <mergeCell ref="N21:N22"/>
    <mergeCell ref="N23:N24"/>
    <mergeCell ref="L23:L24"/>
    <mergeCell ref="A36:C36"/>
    <mergeCell ref="B30:B31"/>
    <mergeCell ref="G8:I8"/>
    <mergeCell ref="B27:K27"/>
    <mergeCell ref="B28:B29"/>
    <mergeCell ref="C28:C29"/>
    <mergeCell ref="D28:D29"/>
    <mergeCell ref="A1:C1"/>
    <mergeCell ref="A2:D2"/>
    <mergeCell ref="A3:O3"/>
    <mergeCell ref="B6:D6"/>
    <mergeCell ref="G6:I6"/>
    <mergeCell ref="L6:N6"/>
    <mergeCell ref="B16:G16"/>
    <mergeCell ref="F17:G17"/>
    <mergeCell ref="I17:I18"/>
    <mergeCell ref="J17:J18"/>
    <mergeCell ref="K17:K18"/>
    <mergeCell ref="L17:L18"/>
    <mergeCell ref="N17:N18"/>
    <mergeCell ref="B18:B19"/>
    <mergeCell ref="C18:C19"/>
    <mergeCell ref="L19:L20"/>
    <mergeCell ref="N19:N20"/>
    <mergeCell ref="B20:B21"/>
    <mergeCell ref="C20:C21"/>
    <mergeCell ref="D20:D21"/>
    <mergeCell ref="E20:E21"/>
    <mergeCell ref="F20:G21"/>
    <mergeCell ref="I21:I22"/>
    <mergeCell ref="B8:D8"/>
    <mergeCell ref="A60:A63"/>
    <mergeCell ref="A64:A65"/>
    <mergeCell ref="A66:A67"/>
    <mergeCell ref="A68:A69"/>
    <mergeCell ref="B11:C11"/>
    <mergeCell ref="F11:H11"/>
    <mergeCell ref="K11:M11"/>
    <mergeCell ref="J21:J22"/>
    <mergeCell ref="K21:K22"/>
    <mergeCell ref="D18:D19"/>
    <mergeCell ref="E18:E19"/>
    <mergeCell ref="F18:G19"/>
    <mergeCell ref="I19:I20"/>
    <mergeCell ref="J19:J20"/>
    <mergeCell ref="K19:K20"/>
    <mergeCell ref="L21:L22"/>
    <mergeCell ref="B22:B23"/>
    <mergeCell ref="C22:C23"/>
    <mergeCell ref="D22:D23"/>
    <mergeCell ref="E22:E23"/>
    <mergeCell ref="F22:G23"/>
    <mergeCell ref="I23:I24"/>
    <mergeCell ref="F24:G24"/>
    <mergeCell ref="J30:K31"/>
    <mergeCell ref="E28:E29"/>
    <mergeCell ref="F28:F29"/>
    <mergeCell ref="G28:G29"/>
    <mergeCell ref="H28:H29"/>
    <mergeCell ref="I28:I29"/>
    <mergeCell ref="J28:K29"/>
    <mergeCell ref="J23:J24"/>
    <mergeCell ref="K23:K24"/>
    <mergeCell ref="D64:D65"/>
    <mergeCell ref="K42:K43"/>
    <mergeCell ref="K44:K45"/>
    <mergeCell ref="K46:K47"/>
    <mergeCell ref="K48:K49"/>
    <mergeCell ref="D66:D67"/>
    <mergeCell ref="L66:L67"/>
    <mergeCell ref="M66:M67"/>
    <mergeCell ref="D68:D69"/>
    <mergeCell ref="L68:L69"/>
    <mergeCell ref="M68:M69"/>
    <mergeCell ref="G64:G65"/>
    <mergeCell ref="I64:I65"/>
    <mergeCell ref="J64:J65"/>
    <mergeCell ref="K64:K65"/>
    <mergeCell ref="G66:G67"/>
    <mergeCell ref="H66:H67"/>
    <mergeCell ref="H68:H69"/>
    <mergeCell ref="I68:I69"/>
    <mergeCell ref="J68:J69"/>
    <mergeCell ref="K68:K69"/>
    <mergeCell ref="L64:L65"/>
    <mergeCell ref="M64:M65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3" orientation="landscape" horizontalDpi="300" verticalDpi="300" r:id="rId1"/>
  <rowBreaks count="1" manualBreakCount="1">
    <brk id="35" max="1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Q70"/>
  <sheetViews>
    <sheetView rightToLeft="1" view="pageBreakPreview" topLeftCell="B16" zoomScale="60" workbookViewId="0">
      <selection activeCell="I16" sqref="I16:M16"/>
    </sheetView>
  </sheetViews>
  <sheetFormatPr defaultColWidth="9" defaultRowHeight="20.25" x14ac:dyDescent="0.3"/>
  <cols>
    <col min="1" max="1" width="14.25" style="9" customWidth="1"/>
    <col min="2" max="2" width="10.125" style="9" customWidth="1"/>
    <col min="3" max="3" width="10.75" style="9" customWidth="1"/>
    <col min="4" max="5" width="9" style="9"/>
    <col min="6" max="6" width="11.375" style="9" customWidth="1"/>
    <col min="7" max="7" width="11.25" style="9" customWidth="1"/>
    <col min="8" max="8" width="9" style="9"/>
    <col min="9" max="9" width="10.625" style="9" customWidth="1"/>
    <col min="10" max="10" width="8.75" style="9" customWidth="1"/>
    <col min="11" max="11" width="10.375" style="9" customWidth="1"/>
    <col min="12" max="12" width="11" style="9" customWidth="1"/>
    <col min="13" max="13" width="9" style="9"/>
    <col min="14" max="14" width="11.25" style="9" customWidth="1"/>
    <col min="15" max="16384" width="9" style="9"/>
  </cols>
  <sheetData>
    <row r="1" spans="1:15" ht="25.5" customHeight="1" x14ac:dyDescent="0.3">
      <c r="A1" s="202" t="s">
        <v>55</v>
      </c>
      <c r="B1" s="202"/>
      <c r="C1" s="202"/>
    </row>
    <row r="2" spans="1:15" ht="26.25" customHeight="1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s="31" customFormat="1" ht="29.25" customHeight="1" thickTop="1" thickBot="1" x14ac:dyDescent="0.25">
      <c r="A6" s="31" t="s">
        <v>1</v>
      </c>
      <c r="B6" s="186" t="s">
        <v>173</v>
      </c>
      <c r="C6" s="190"/>
      <c r="D6" s="187"/>
      <c r="F6" s="31" t="s">
        <v>2</v>
      </c>
      <c r="G6" s="186" t="s">
        <v>156</v>
      </c>
      <c r="H6" s="190"/>
      <c r="I6" s="187"/>
      <c r="K6" s="31" t="s">
        <v>0</v>
      </c>
      <c r="L6" s="186" t="s">
        <v>197</v>
      </c>
      <c r="M6" s="190"/>
      <c r="N6" s="187"/>
    </row>
    <row r="7" spans="1:15" ht="21.75" thickTop="1" thickBot="1" x14ac:dyDescent="0.35"/>
    <row r="8" spans="1:15" s="31" customFormat="1" ht="27" customHeight="1" thickTop="1" thickBot="1" x14ac:dyDescent="0.25">
      <c r="A8" s="31" t="s">
        <v>43</v>
      </c>
      <c r="B8" s="186">
        <f>'التعليم المسرع'!K47+'التعليم المسرع'!L47</f>
        <v>2</v>
      </c>
      <c r="C8" s="190"/>
      <c r="D8" s="187"/>
      <c r="F8" s="31" t="s">
        <v>3</v>
      </c>
      <c r="G8" s="186">
        <f>'التعليم المسرع'!Q47</f>
        <v>0</v>
      </c>
      <c r="H8" s="190"/>
      <c r="I8" s="187"/>
      <c r="K8" s="31" t="s">
        <v>4</v>
      </c>
      <c r="L8" s="186">
        <f>'التعليم المسرع'!R47</f>
        <v>2</v>
      </c>
      <c r="M8" s="190"/>
      <c r="N8" s="187"/>
    </row>
    <row r="9" spans="1:15" ht="21" thickTop="1" x14ac:dyDescent="0.3"/>
    <row r="10" spans="1:15" ht="21" thickBot="1" x14ac:dyDescent="0.35"/>
    <row r="11" spans="1:15" s="31" customFormat="1" ht="27" customHeight="1" thickTop="1" thickBot="1" x14ac:dyDescent="0.25">
      <c r="B11" s="186" t="s">
        <v>5</v>
      </c>
      <c r="C11" s="187"/>
      <c r="F11" s="186" t="s">
        <v>6</v>
      </c>
      <c r="G11" s="190"/>
      <c r="H11" s="187"/>
      <c r="K11" s="186" t="s">
        <v>7</v>
      </c>
      <c r="L11" s="190"/>
      <c r="M11" s="187"/>
    </row>
    <row r="12" spans="1:15" ht="33.75" customHeight="1" thickTop="1" thickBot="1" x14ac:dyDescent="0.35">
      <c r="B12" s="10" t="s">
        <v>8</v>
      </c>
      <c r="C12" s="11" t="s">
        <v>9</v>
      </c>
      <c r="F12" s="12" t="s">
        <v>10</v>
      </c>
      <c r="G12" s="13" t="s">
        <v>11</v>
      </c>
      <c r="H12" s="14" t="s">
        <v>12</v>
      </c>
      <c r="K12" s="10" t="s">
        <v>13</v>
      </c>
      <c r="L12" s="15" t="s">
        <v>14</v>
      </c>
      <c r="M12" s="11" t="s">
        <v>15</v>
      </c>
    </row>
    <row r="13" spans="1:15" s="32" customFormat="1" ht="35.25" customHeight="1" thickTop="1" thickBot="1" x14ac:dyDescent="0.25">
      <c r="B13" s="24">
        <f>'التعليم المسرع'!K47</f>
        <v>2</v>
      </c>
      <c r="C13" s="33">
        <f>'التعليم المسرع'!L47</f>
        <v>0</v>
      </c>
      <c r="F13" s="46">
        <f>'التعليم المسرع'!H47</f>
        <v>1</v>
      </c>
      <c r="G13" s="47">
        <f>'التعليم المسرع'!I47</f>
        <v>1</v>
      </c>
      <c r="H13" s="45">
        <f>'التعليم المسرع'!J47</f>
        <v>0</v>
      </c>
      <c r="K13" s="24">
        <f>'التعليم المسرع'!FC47</f>
        <v>5</v>
      </c>
      <c r="L13" s="25">
        <f>'التعليم المسرع'!FD47</f>
        <v>6</v>
      </c>
      <c r="M13" s="33">
        <f>SUM(K13:L13)</f>
        <v>11</v>
      </c>
    </row>
    <row r="14" spans="1:15" ht="21" thickTop="1" x14ac:dyDescent="0.3"/>
    <row r="15" spans="1:15" ht="21" thickBot="1" x14ac:dyDescent="0.35"/>
    <row r="16" spans="1:15" s="31" customFormat="1" ht="33.75" customHeight="1" thickTop="1" thickBot="1" x14ac:dyDescent="0.25">
      <c r="B16" s="186" t="s">
        <v>20</v>
      </c>
      <c r="C16" s="190"/>
      <c r="D16" s="190"/>
      <c r="E16" s="190"/>
      <c r="F16" s="190"/>
      <c r="G16" s="187"/>
      <c r="I16" s="186" t="s">
        <v>30</v>
      </c>
      <c r="J16" s="190"/>
      <c r="K16" s="190"/>
      <c r="L16" s="190"/>
      <c r="M16" s="187"/>
    </row>
    <row r="17" spans="2:13" ht="29.2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المسرع'!CO47</f>
        <v>1</v>
      </c>
      <c r="D18" s="191">
        <f>'التعليم المسرع'!CP47</f>
        <v>1</v>
      </c>
      <c r="E18" s="191">
        <f>'التعليم المسرع'!CQ47</f>
        <v>0</v>
      </c>
      <c r="F18" s="193">
        <f>C18+D18+E18</f>
        <v>2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المسرع'!EU47</f>
        <v>1</v>
      </c>
      <c r="K19" s="210">
        <f>'التعليم المسرع'!EW47</f>
        <v>1</v>
      </c>
      <c r="L19" s="210">
        <f>'التعليم المسرع'!EY47</f>
        <v>3</v>
      </c>
      <c r="M19" s="213">
        <f>SUM(J19:L19)</f>
        <v>5</v>
      </c>
    </row>
    <row r="20" spans="2:13" ht="21.75" thickTop="1" thickBot="1" x14ac:dyDescent="0.35">
      <c r="B20" s="191" t="s">
        <v>18</v>
      </c>
      <c r="C20" s="191">
        <f>'التعليم المسرع'!CR47</f>
        <v>2</v>
      </c>
      <c r="D20" s="191">
        <f>'التعليم المسرع'!CS47</f>
        <v>1</v>
      </c>
      <c r="E20" s="191">
        <f>'التعليم المسرع'!CT47</f>
        <v>0</v>
      </c>
      <c r="F20" s="193">
        <f t="shared" ref="F20" si="0">C20+D20+E20</f>
        <v>3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المسرع'!EV47</f>
        <v>1</v>
      </c>
      <c r="K21" s="210">
        <f>'التعليم المسرع'!EX47</f>
        <v>0</v>
      </c>
      <c r="L21" s="210">
        <f>'التعليم المسرع'!EZ47</f>
        <v>5</v>
      </c>
      <c r="M21" s="213">
        <f>SUM(J21:L21)</f>
        <v>6</v>
      </c>
    </row>
    <row r="22" spans="2:13" ht="21.75" thickTop="1" thickBot="1" x14ac:dyDescent="0.35">
      <c r="B22" s="191" t="s">
        <v>19</v>
      </c>
      <c r="C22" s="191">
        <f>'التعليم المسرع'!CU47</f>
        <v>2</v>
      </c>
      <c r="D22" s="191">
        <f>'التعليم المسرع'!CV47</f>
        <v>1</v>
      </c>
      <c r="E22" s="191">
        <f>'التعليم المسرع'!CW47</f>
        <v>0</v>
      </c>
      <c r="F22" s="193">
        <f t="shared" ref="F22" si="1">C22+D22+E22</f>
        <v>3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2</v>
      </c>
      <c r="K23" s="210">
        <f t="shared" ref="K23:M23" si="2">K19+K21</f>
        <v>1</v>
      </c>
      <c r="L23" s="210">
        <f t="shared" si="2"/>
        <v>8</v>
      </c>
      <c r="M23" s="213">
        <f t="shared" si="2"/>
        <v>11</v>
      </c>
    </row>
    <row r="24" spans="2:13" ht="36.75" customHeight="1" thickTop="1" thickBot="1" x14ac:dyDescent="0.35">
      <c r="B24" s="24" t="s">
        <v>15</v>
      </c>
      <c r="C24" s="25">
        <f>SUM(C18:C23)</f>
        <v>5</v>
      </c>
      <c r="D24" s="25">
        <f>SUM(D18:D23)</f>
        <v>3</v>
      </c>
      <c r="E24" s="25">
        <f>SUM(E18:E23)</f>
        <v>0</v>
      </c>
      <c r="F24" s="206">
        <f>C24+D24+E24</f>
        <v>8</v>
      </c>
      <c r="G24" s="187"/>
      <c r="I24" s="214"/>
      <c r="J24" s="212"/>
      <c r="K24" s="212"/>
      <c r="L24" s="212"/>
      <c r="M24" s="229"/>
    </row>
    <row r="25" spans="2:13" ht="23.25" customHeight="1" thickTop="1" x14ac:dyDescent="0.3"/>
    <row r="26" spans="2:13" ht="20.25" customHeight="1" thickBot="1" x14ac:dyDescent="0.35">
      <c r="B26" s="27"/>
      <c r="C26" s="27"/>
      <c r="D26" s="27"/>
      <c r="E26" s="27"/>
    </row>
    <row r="27" spans="2:13" ht="35.25" customHeight="1" thickTop="1" thickBot="1" x14ac:dyDescent="0.35">
      <c r="B27" s="186" t="s">
        <v>39</v>
      </c>
      <c r="C27" s="190"/>
      <c r="D27" s="190"/>
      <c r="E27" s="190"/>
      <c r="F27" s="190"/>
      <c r="G27" s="190"/>
      <c r="H27" s="190"/>
      <c r="I27" s="190"/>
      <c r="J27" s="190"/>
      <c r="K27" s="187"/>
      <c r="L27" s="26"/>
      <c r="M27" s="26"/>
    </row>
    <row r="28" spans="2:13" ht="45" customHeight="1" thickTop="1" thickBot="1" x14ac:dyDescent="0.35">
      <c r="B28" s="233" t="s">
        <v>40</v>
      </c>
      <c r="C28" s="227" t="s">
        <v>32</v>
      </c>
      <c r="D28" s="227" t="s">
        <v>33</v>
      </c>
      <c r="E28" s="227" t="s">
        <v>34</v>
      </c>
      <c r="F28" s="227" t="s">
        <v>35</v>
      </c>
      <c r="G28" s="227" t="s">
        <v>36</v>
      </c>
      <c r="H28" s="227" t="s">
        <v>37</v>
      </c>
      <c r="I28" s="227" t="s">
        <v>38</v>
      </c>
      <c r="J28" s="216" t="s">
        <v>15</v>
      </c>
      <c r="K28" s="217"/>
      <c r="L28" s="26"/>
      <c r="M28" s="26"/>
    </row>
    <row r="29" spans="2:13" ht="54" customHeight="1" thickTop="1" thickBot="1" x14ac:dyDescent="0.35">
      <c r="B29" s="234"/>
      <c r="C29" s="228"/>
      <c r="D29" s="228"/>
      <c r="E29" s="228"/>
      <c r="F29" s="228"/>
      <c r="G29" s="228"/>
      <c r="H29" s="228"/>
      <c r="I29" s="228"/>
      <c r="J29" s="210"/>
      <c r="K29" s="213"/>
      <c r="L29" s="26"/>
      <c r="M29" s="26"/>
    </row>
    <row r="30" spans="2:13" ht="21.75" thickTop="1" thickBot="1" x14ac:dyDescent="0.35">
      <c r="B30" s="211" t="s">
        <v>13</v>
      </c>
      <c r="C30" s="210">
        <f>'التعليم المسرع'!FZ47</f>
        <v>0</v>
      </c>
      <c r="D30" s="210">
        <f>'التعليم المسرع'!FX47</f>
        <v>0</v>
      </c>
      <c r="E30" s="210">
        <f>'التعليم المسرع'!GD47</f>
        <v>0</v>
      </c>
      <c r="F30" s="210">
        <f>'التعليم المسرع'!GB47</f>
        <v>1</v>
      </c>
      <c r="G30" s="210">
        <f>'التعليم المسرع'!GH47</f>
        <v>4</v>
      </c>
      <c r="H30" s="210">
        <f>'التعليم المسرع'!GJ47</f>
        <v>0</v>
      </c>
      <c r="I30" s="210">
        <f>'التعليم المسرع'!GL47</f>
        <v>0</v>
      </c>
      <c r="J30" s="210">
        <f>I30+H30+G30+F30+E30+D30+C30</f>
        <v>5</v>
      </c>
      <c r="K30" s="213"/>
      <c r="L30" s="26"/>
      <c r="M30" s="26"/>
    </row>
    <row r="31" spans="2:13" ht="21.75" thickTop="1" thickBot="1" x14ac:dyDescent="0.35">
      <c r="B31" s="211"/>
      <c r="C31" s="210"/>
      <c r="D31" s="210"/>
      <c r="E31" s="210"/>
      <c r="F31" s="210"/>
      <c r="G31" s="210"/>
      <c r="H31" s="210"/>
      <c r="I31" s="210"/>
      <c r="J31" s="210"/>
      <c r="K31" s="213"/>
      <c r="L31" s="26"/>
      <c r="M31" s="26"/>
    </row>
    <row r="32" spans="2:13" ht="21.75" thickTop="1" thickBot="1" x14ac:dyDescent="0.35">
      <c r="B32" s="211" t="s">
        <v>14</v>
      </c>
      <c r="C32" s="210">
        <f>'التعليم المسرع'!GA47</f>
        <v>0</v>
      </c>
      <c r="D32" s="210">
        <f>'التعليم المسرع'!FY47</f>
        <v>0</v>
      </c>
      <c r="E32" s="210">
        <f>'التعليم المسرع'!GE47</f>
        <v>0</v>
      </c>
      <c r="F32" s="210">
        <f>'التعليم المسرع'!GC47</f>
        <v>2</v>
      </c>
      <c r="G32" s="210">
        <f>'التعليم المسرع'!GI47</f>
        <v>4</v>
      </c>
      <c r="H32" s="210">
        <f>'التعليم المسرع'!GK47</f>
        <v>0</v>
      </c>
      <c r="I32" s="210">
        <f>'التعليم المسرع'!GM47</f>
        <v>0</v>
      </c>
      <c r="J32" s="210">
        <f t="shared" ref="J32" si="3">I32+H32+G32+F32+E32+D32+C32</f>
        <v>6</v>
      </c>
      <c r="K32" s="213"/>
      <c r="L32" s="26"/>
      <c r="M32" s="26"/>
    </row>
    <row r="33" spans="1:17" ht="21.75" thickTop="1" thickBot="1" x14ac:dyDescent="0.35">
      <c r="B33" s="211"/>
      <c r="C33" s="210"/>
      <c r="D33" s="210"/>
      <c r="E33" s="210"/>
      <c r="F33" s="210"/>
      <c r="G33" s="210"/>
      <c r="H33" s="210"/>
      <c r="I33" s="210"/>
      <c r="J33" s="210"/>
      <c r="K33" s="213"/>
      <c r="L33" s="26"/>
      <c r="M33" s="26"/>
    </row>
    <row r="34" spans="1:17" ht="21.75" thickTop="1" thickBot="1" x14ac:dyDescent="0.35">
      <c r="B34" s="211" t="s">
        <v>15</v>
      </c>
      <c r="C34" s="210">
        <f>C30+C32</f>
        <v>0</v>
      </c>
      <c r="D34" s="210">
        <f t="shared" ref="D34:I34" si="4">D30+D32</f>
        <v>0</v>
      </c>
      <c r="E34" s="210">
        <f t="shared" si="4"/>
        <v>0</v>
      </c>
      <c r="F34" s="210">
        <f t="shared" si="4"/>
        <v>3</v>
      </c>
      <c r="G34" s="210">
        <f t="shared" si="4"/>
        <v>8</v>
      </c>
      <c r="H34" s="210">
        <f t="shared" si="4"/>
        <v>0</v>
      </c>
      <c r="I34" s="210">
        <f t="shared" si="4"/>
        <v>0</v>
      </c>
      <c r="J34" s="210">
        <f t="shared" ref="J34" si="5">I34+H34+G34+F34+E34+D34+C34</f>
        <v>11</v>
      </c>
      <c r="K34" s="213"/>
      <c r="L34" s="26"/>
      <c r="M34" s="26"/>
    </row>
    <row r="35" spans="1:17" ht="21.75" thickTop="1" thickBot="1" x14ac:dyDescent="0.35">
      <c r="B35" s="214"/>
      <c r="C35" s="212"/>
      <c r="D35" s="212"/>
      <c r="E35" s="212"/>
      <c r="F35" s="212"/>
      <c r="G35" s="212"/>
      <c r="H35" s="212"/>
      <c r="I35" s="212"/>
      <c r="J35" s="212"/>
      <c r="K35" s="229"/>
      <c r="L35" s="26"/>
      <c r="M35" s="26"/>
    </row>
    <row r="36" spans="1:17" ht="28.5" customHeight="1" thickTop="1" x14ac:dyDescent="0.3">
      <c r="A36" s="202" t="s">
        <v>55</v>
      </c>
      <c r="B36" s="202"/>
      <c r="C36" s="202"/>
    </row>
    <row r="37" spans="1:17" ht="26.25" customHeight="1" x14ac:dyDescent="0.3">
      <c r="A37" s="9" t="s">
        <v>56</v>
      </c>
      <c r="K37" s="9" t="s">
        <v>196</v>
      </c>
    </row>
    <row r="38" spans="1:17" x14ac:dyDescent="0.3">
      <c r="D38" s="9" t="s">
        <v>52</v>
      </c>
    </row>
    <row r="39" spans="1:17" ht="21" thickBot="1" x14ac:dyDescent="0.35"/>
    <row r="40" spans="1:17" ht="35.25" customHeight="1" thickTop="1" thickBot="1" x14ac:dyDescent="0.35">
      <c r="B40" s="224" t="s">
        <v>28</v>
      </c>
      <c r="C40" s="206" t="s">
        <v>17</v>
      </c>
      <c r="D40" s="250"/>
      <c r="E40" s="206" t="s">
        <v>18</v>
      </c>
      <c r="F40" s="250"/>
      <c r="G40" s="206" t="s">
        <v>19</v>
      </c>
      <c r="H40" s="250"/>
      <c r="I40" s="206" t="s">
        <v>29</v>
      </c>
      <c r="J40" s="190"/>
      <c r="K40" s="250"/>
      <c r="L40" s="26"/>
      <c r="M40" s="26"/>
      <c r="N40" s="26"/>
    </row>
    <row r="41" spans="1:17" ht="33.75" customHeight="1" thickTop="1" thickBot="1" x14ac:dyDescent="0.35">
      <c r="B41" s="218"/>
      <c r="C41" s="29" t="s">
        <v>10</v>
      </c>
      <c r="D41" s="29" t="s">
        <v>11</v>
      </c>
      <c r="E41" s="29" t="s">
        <v>10</v>
      </c>
      <c r="F41" s="29" t="s">
        <v>11</v>
      </c>
      <c r="G41" s="29" t="s">
        <v>10</v>
      </c>
      <c r="H41" s="29" t="s">
        <v>11</v>
      </c>
      <c r="I41" s="29" t="s">
        <v>10</v>
      </c>
      <c r="J41" s="29" t="s">
        <v>11</v>
      </c>
      <c r="K41" s="29" t="s">
        <v>15</v>
      </c>
      <c r="L41" s="26"/>
      <c r="M41" s="26"/>
      <c r="N41" s="26"/>
    </row>
    <row r="42" spans="1:17" ht="21" thickTop="1" x14ac:dyDescent="0.3">
      <c r="B42" s="224" t="s">
        <v>21</v>
      </c>
      <c r="C42" s="224">
        <f>'التعليم المسرع'!Y47</f>
        <v>1</v>
      </c>
      <c r="D42" s="224">
        <f>'التعليم المسرع'!Z47</f>
        <v>3</v>
      </c>
      <c r="E42" s="224">
        <f>'التعليم المسرع'!AP47</f>
        <v>1</v>
      </c>
      <c r="F42" s="224">
        <f>'التعليم المسرع'!AQ47</f>
        <v>1</v>
      </c>
      <c r="G42" s="224">
        <f>'التعليم المسرع'!BG47</f>
        <v>3</v>
      </c>
      <c r="H42" s="224">
        <f>'التعليم المسرع'!BH47</f>
        <v>1</v>
      </c>
      <c r="I42" s="224">
        <f>C42+E42+G42</f>
        <v>5</v>
      </c>
      <c r="J42" s="224">
        <f>D42+F42+H42</f>
        <v>5</v>
      </c>
      <c r="K42" s="224">
        <f>SUM(I42:J42)</f>
        <v>10</v>
      </c>
      <c r="L42" s="26"/>
      <c r="M42" s="26"/>
      <c r="N42" s="26"/>
    </row>
    <row r="43" spans="1:17" ht="21" thickBot="1" x14ac:dyDescent="0.35"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6"/>
      <c r="M43" s="26"/>
      <c r="N43" s="26"/>
    </row>
    <row r="44" spans="1:17" ht="21" thickTop="1" x14ac:dyDescent="0.3">
      <c r="B44" s="224" t="s">
        <v>22</v>
      </c>
      <c r="C44" s="224">
        <f>'التعليم المسرع'!AA47</f>
        <v>2</v>
      </c>
      <c r="D44" s="224">
        <f>'التعليم المسرع'!AB47</f>
        <v>2</v>
      </c>
      <c r="E44" s="249">
        <f>'التعليم المسرع'!AR47</f>
        <v>6</v>
      </c>
      <c r="F44" s="249">
        <f>'التعليم المسرع'!AS47</f>
        <v>1</v>
      </c>
      <c r="G44" s="224">
        <f>'التعليم المسرع'!BI47</f>
        <v>6</v>
      </c>
      <c r="H44" s="224">
        <f>'التعليم المسرع'!BJ47</f>
        <v>1</v>
      </c>
      <c r="I44" s="224">
        <f t="shared" ref="I44:J44" si="6">C44+E44+G44</f>
        <v>14</v>
      </c>
      <c r="J44" s="224">
        <f t="shared" si="6"/>
        <v>4</v>
      </c>
      <c r="K44" s="224">
        <f t="shared" ref="K44" si="7">SUM(I44:J44)</f>
        <v>18</v>
      </c>
      <c r="L44" s="26"/>
      <c r="M44" s="26"/>
      <c r="N44" s="26"/>
    </row>
    <row r="45" spans="1:17" ht="21" thickBot="1" x14ac:dyDescent="0.35">
      <c r="B45" s="218"/>
      <c r="C45" s="218"/>
      <c r="D45" s="218"/>
      <c r="E45" s="219"/>
      <c r="F45" s="219"/>
      <c r="G45" s="218"/>
      <c r="H45" s="218"/>
      <c r="I45" s="218"/>
      <c r="J45" s="218"/>
      <c r="K45" s="218"/>
      <c r="L45" s="26"/>
      <c r="M45" s="26"/>
      <c r="N45" s="26"/>
    </row>
    <row r="46" spans="1:17" ht="21" thickTop="1" x14ac:dyDescent="0.3">
      <c r="B46" s="224" t="s">
        <v>23</v>
      </c>
      <c r="C46" s="224">
        <f>'التعليم المسرع'!AC47</f>
        <v>5</v>
      </c>
      <c r="D46" s="224">
        <f>'التعليم المسرع'!AD47</f>
        <v>1</v>
      </c>
      <c r="E46" s="249">
        <f>'التعليم المسرع'!AT47</f>
        <v>9</v>
      </c>
      <c r="F46" s="249">
        <f>'التعليم المسرع'!AU47</f>
        <v>0</v>
      </c>
      <c r="G46" s="224">
        <f>'التعليم المسرع'!BK47</f>
        <v>8</v>
      </c>
      <c r="H46" s="224">
        <f>'التعليم المسرع'!BL47</f>
        <v>7</v>
      </c>
      <c r="I46" s="224">
        <f t="shared" ref="I46:J46" si="8">C46+E46+G46</f>
        <v>22</v>
      </c>
      <c r="J46" s="224">
        <f t="shared" si="8"/>
        <v>8</v>
      </c>
      <c r="K46" s="224">
        <f t="shared" ref="K46" si="9">SUM(I46:J46)</f>
        <v>30</v>
      </c>
      <c r="L46" s="26"/>
      <c r="M46" s="26"/>
      <c r="N46" s="26"/>
    </row>
    <row r="47" spans="1:17" ht="21" thickBot="1" x14ac:dyDescent="0.35">
      <c r="B47" s="218"/>
      <c r="C47" s="218"/>
      <c r="D47" s="218"/>
      <c r="E47" s="219"/>
      <c r="F47" s="219"/>
      <c r="G47" s="218"/>
      <c r="H47" s="218"/>
      <c r="I47" s="218"/>
      <c r="J47" s="218"/>
      <c r="K47" s="218"/>
      <c r="L47" s="26"/>
      <c r="M47" s="26"/>
      <c r="N47" s="26"/>
    </row>
    <row r="48" spans="1:17" ht="21" thickTop="1" x14ac:dyDescent="0.3">
      <c r="B48" s="224" t="s">
        <v>24</v>
      </c>
      <c r="C48" s="224">
        <f>'التعليم المسرع'!AE47</f>
        <v>5</v>
      </c>
      <c r="D48" s="224">
        <f>'التعليم المسرع'!AF47</f>
        <v>1</v>
      </c>
      <c r="E48" s="249">
        <f>'التعليم المسرع'!AV47</f>
        <v>9</v>
      </c>
      <c r="F48" s="249">
        <f>'التعليم المسرع'!AW47</f>
        <v>1</v>
      </c>
      <c r="G48" s="224">
        <f>'التعليم المسرع'!BM47</f>
        <v>10</v>
      </c>
      <c r="H48" s="224">
        <f>'التعليم المسرع'!BN47</f>
        <v>3</v>
      </c>
      <c r="I48" s="224">
        <f t="shared" ref="I48:J48" si="10">C48+E48+G48</f>
        <v>24</v>
      </c>
      <c r="J48" s="224">
        <f t="shared" si="10"/>
        <v>5</v>
      </c>
      <c r="K48" s="224">
        <f t="shared" ref="K48" si="11">SUM(I48:J48)</f>
        <v>29</v>
      </c>
      <c r="L48" s="26"/>
      <c r="M48" s="26"/>
      <c r="N48" s="26"/>
      <c r="O48" s="26"/>
      <c r="P48" s="26"/>
      <c r="Q48" s="26"/>
    </row>
    <row r="49" spans="1:17" ht="21" thickBot="1" x14ac:dyDescent="0.35">
      <c r="B49" s="218"/>
      <c r="C49" s="218"/>
      <c r="D49" s="218"/>
      <c r="E49" s="219"/>
      <c r="F49" s="219"/>
      <c r="G49" s="218"/>
      <c r="H49" s="218"/>
      <c r="I49" s="218"/>
      <c r="J49" s="218"/>
      <c r="K49" s="218"/>
      <c r="L49" s="26"/>
      <c r="M49" s="26"/>
      <c r="N49" s="26"/>
      <c r="O49" s="26"/>
      <c r="P49" s="26"/>
      <c r="Q49" s="26"/>
    </row>
    <row r="50" spans="1:17" ht="21" thickTop="1" x14ac:dyDescent="0.3">
      <c r="B50" s="224" t="s">
        <v>25</v>
      </c>
      <c r="C50" s="224">
        <f>'التعليم المسرع'!AG47</f>
        <v>0</v>
      </c>
      <c r="D50" s="224">
        <f>'التعليم المسرع'!AH47</f>
        <v>0</v>
      </c>
      <c r="E50" s="249">
        <f>'التعليم المسرع'!AX47</f>
        <v>8</v>
      </c>
      <c r="F50" s="249">
        <f>'التعليم المسرع'!AY47</f>
        <v>0</v>
      </c>
      <c r="G50" s="224">
        <f>'التعليم المسرع'!BO47</f>
        <v>10</v>
      </c>
      <c r="H50" s="224">
        <f>'التعليم المسرع'!BP47</f>
        <v>2</v>
      </c>
      <c r="I50" s="224">
        <f t="shared" ref="I50:J50" si="12">C50+E50+G50</f>
        <v>18</v>
      </c>
      <c r="J50" s="224">
        <f t="shared" si="12"/>
        <v>2</v>
      </c>
      <c r="K50" s="224">
        <f t="shared" ref="K50" si="13">SUM(I50:J50)</f>
        <v>20</v>
      </c>
      <c r="L50" s="26"/>
      <c r="M50" s="26"/>
      <c r="N50" s="26"/>
      <c r="O50" s="26"/>
      <c r="P50" s="26"/>
      <c r="Q50" s="26"/>
    </row>
    <row r="51" spans="1:17" ht="21" thickBot="1" x14ac:dyDescent="0.35">
      <c r="B51" s="218"/>
      <c r="C51" s="218"/>
      <c r="D51" s="218"/>
      <c r="E51" s="219"/>
      <c r="F51" s="219"/>
      <c r="G51" s="218"/>
      <c r="H51" s="218"/>
      <c r="I51" s="218"/>
      <c r="J51" s="218"/>
      <c r="K51" s="218"/>
      <c r="L51" s="26"/>
      <c r="M51" s="26"/>
      <c r="N51" s="26"/>
      <c r="O51" s="26"/>
      <c r="P51" s="26"/>
      <c r="Q51" s="26"/>
    </row>
    <row r="52" spans="1:17" ht="21" thickTop="1" x14ac:dyDescent="0.3">
      <c r="B52" s="224" t="s">
        <v>26</v>
      </c>
      <c r="C52" s="224">
        <f>'التعليم المسرع'!AI47</f>
        <v>0</v>
      </c>
      <c r="D52" s="224">
        <f>'التعليم المسرع'!AJ47</f>
        <v>0</v>
      </c>
      <c r="E52" s="224">
        <f>'التعليم المسرع'!AZ47</f>
        <v>7</v>
      </c>
      <c r="F52" s="224">
        <f>'التعليم المسرع'!BA47</f>
        <v>1</v>
      </c>
      <c r="G52" s="224">
        <f>'التعليم المسرع'!BQ47</f>
        <v>9</v>
      </c>
      <c r="H52" s="224">
        <f>'التعليم المسرع'!BR47</f>
        <v>4</v>
      </c>
      <c r="I52" s="224">
        <f t="shared" ref="I52:J52" si="14">C52+E52+G52</f>
        <v>16</v>
      </c>
      <c r="J52" s="224">
        <f t="shared" si="14"/>
        <v>5</v>
      </c>
      <c r="K52" s="224">
        <f t="shared" ref="K52" si="15">SUM(I52:J52)</f>
        <v>21</v>
      </c>
      <c r="L52" s="26"/>
      <c r="M52" s="26"/>
      <c r="N52" s="26"/>
      <c r="O52" s="26"/>
      <c r="P52" s="26"/>
      <c r="Q52" s="26"/>
    </row>
    <row r="53" spans="1:17" ht="21" thickBot="1" x14ac:dyDescent="0.35"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M53" s="26"/>
      <c r="N53" s="26"/>
      <c r="O53" s="26"/>
      <c r="P53" s="26"/>
      <c r="Q53" s="26"/>
    </row>
    <row r="54" spans="1:17" ht="21" thickTop="1" x14ac:dyDescent="0.3">
      <c r="B54" s="224" t="s">
        <v>27</v>
      </c>
      <c r="C54" s="224">
        <f>'التعليم المسرع'!AK47</f>
        <v>0</v>
      </c>
      <c r="D54" s="224">
        <f>'التعليم المسرع'!AL47</f>
        <v>0</v>
      </c>
      <c r="E54" s="224">
        <f>'التعليم المسرع'!BB47</f>
        <v>2</v>
      </c>
      <c r="F54" s="224">
        <f>'التعليم المسرع'!BC47</f>
        <v>2</v>
      </c>
      <c r="G54" s="224">
        <f>'التعليم المسرع'!BS47</f>
        <v>13</v>
      </c>
      <c r="H54" s="224">
        <f>'التعليم المسرع'!BT47</f>
        <v>4</v>
      </c>
      <c r="I54" s="224">
        <f t="shared" ref="I54:J54" si="16">C54+E54+G54</f>
        <v>15</v>
      </c>
      <c r="J54" s="224">
        <f t="shared" si="16"/>
        <v>6</v>
      </c>
      <c r="K54" s="224">
        <f t="shared" ref="K54" si="17">SUM(I54:J54)</f>
        <v>21</v>
      </c>
      <c r="M54" s="26"/>
      <c r="N54" s="26"/>
      <c r="O54" s="26"/>
      <c r="P54" s="26"/>
      <c r="Q54" s="26"/>
    </row>
    <row r="55" spans="1:17" ht="21" thickBot="1" x14ac:dyDescent="0.35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M55" s="26"/>
      <c r="N55" s="26"/>
      <c r="O55" s="26"/>
      <c r="P55" s="26"/>
      <c r="Q55" s="26"/>
    </row>
    <row r="56" spans="1:17" ht="21" thickTop="1" x14ac:dyDescent="0.3">
      <c r="B56" s="224" t="s">
        <v>15</v>
      </c>
      <c r="C56" s="224">
        <f t="shared" ref="C56:H56" si="18">C42+C44+C46+C48+C50+C52+C54</f>
        <v>13</v>
      </c>
      <c r="D56" s="224">
        <f t="shared" si="18"/>
        <v>7</v>
      </c>
      <c r="E56" s="224">
        <f t="shared" si="18"/>
        <v>42</v>
      </c>
      <c r="F56" s="224">
        <f t="shared" si="18"/>
        <v>6</v>
      </c>
      <c r="G56" s="224">
        <f t="shared" si="18"/>
        <v>59</v>
      </c>
      <c r="H56" s="224">
        <f t="shared" si="18"/>
        <v>22</v>
      </c>
      <c r="I56" s="224">
        <f>C56+E56+G56</f>
        <v>114</v>
      </c>
      <c r="J56" s="224">
        <f t="shared" ref="J56" si="19">D56+F56+H56</f>
        <v>35</v>
      </c>
      <c r="K56" s="224">
        <f t="shared" ref="K56" si="20">SUM(I56:J56)</f>
        <v>149</v>
      </c>
      <c r="M56" s="26"/>
      <c r="N56" s="26"/>
      <c r="O56" s="26"/>
      <c r="P56" s="26"/>
      <c r="Q56" s="26"/>
    </row>
    <row r="57" spans="1:17" ht="21" thickBot="1" x14ac:dyDescent="0.35">
      <c r="B57" s="218"/>
      <c r="C57" s="218"/>
      <c r="D57" s="218"/>
      <c r="E57" s="218"/>
      <c r="F57" s="218"/>
      <c r="G57" s="218"/>
      <c r="H57" s="218"/>
      <c r="I57" s="218"/>
      <c r="J57" s="218"/>
      <c r="K57" s="218"/>
    </row>
    <row r="58" spans="1:17" ht="21" thickTop="1" x14ac:dyDescent="0.3"/>
    <row r="59" spans="1:17" ht="21" thickBot="1" x14ac:dyDescent="0.35"/>
    <row r="60" spans="1:17" ht="31.5" customHeight="1" thickTop="1" thickBot="1" x14ac:dyDescent="0.35">
      <c r="A60" s="215"/>
      <c r="B60" s="227" t="s">
        <v>277</v>
      </c>
      <c r="C60" s="227"/>
      <c r="D60" s="227"/>
      <c r="E60" s="227" t="s">
        <v>282</v>
      </c>
      <c r="F60" s="227"/>
      <c r="G60" s="227"/>
      <c r="H60" s="216" t="s">
        <v>283</v>
      </c>
      <c r="I60" s="216"/>
      <c r="J60" s="216"/>
      <c r="K60" s="216"/>
      <c r="L60" s="216"/>
      <c r="M60" s="216"/>
      <c r="N60" s="216" t="s">
        <v>15</v>
      </c>
      <c r="O60" s="216"/>
      <c r="P60" s="217"/>
    </row>
    <row r="61" spans="1:17" ht="30" customHeight="1" thickTop="1" thickBot="1" x14ac:dyDescent="0.35">
      <c r="A61" s="211"/>
      <c r="B61" s="228"/>
      <c r="C61" s="228"/>
      <c r="D61" s="228"/>
      <c r="E61" s="228"/>
      <c r="F61" s="228"/>
      <c r="G61" s="228"/>
      <c r="H61" s="210" t="s">
        <v>193</v>
      </c>
      <c r="I61" s="210"/>
      <c r="J61" s="210" t="s">
        <v>194</v>
      </c>
      <c r="K61" s="210"/>
      <c r="L61" s="210" t="s">
        <v>195</v>
      </c>
      <c r="M61" s="210"/>
      <c r="N61" s="210"/>
      <c r="O61" s="210"/>
      <c r="P61" s="213"/>
    </row>
    <row r="62" spans="1:17" ht="21.75" thickTop="1" thickBot="1" x14ac:dyDescent="0.35">
      <c r="A62" s="211"/>
      <c r="B62" s="210" t="s">
        <v>10</v>
      </c>
      <c r="C62" s="210" t="s">
        <v>11</v>
      </c>
      <c r="D62" s="210" t="s">
        <v>15</v>
      </c>
      <c r="E62" s="210" t="s">
        <v>10</v>
      </c>
      <c r="F62" s="210" t="s">
        <v>11</v>
      </c>
      <c r="G62" s="210" t="s">
        <v>15</v>
      </c>
      <c r="H62" s="210" t="s">
        <v>10</v>
      </c>
      <c r="I62" s="210" t="s">
        <v>11</v>
      </c>
      <c r="J62" s="210" t="s">
        <v>10</v>
      </c>
      <c r="K62" s="210" t="s">
        <v>11</v>
      </c>
      <c r="L62" s="210" t="s">
        <v>10</v>
      </c>
      <c r="M62" s="210" t="s">
        <v>11</v>
      </c>
      <c r="N62" s="210" t="s">
        <v>10</v>
      </c>
      <c r="O62" s="210" t="s">
        <v>11</v>
      </c>
      <c r="P62" s="213" t="s">
        <v>15</v>
      </c>
    </row>
    <row r="63" spans="1:17" ht="21.75" thickTop="1" thickBot="1" x14ac:dyDescent="0.35">
      <c r="A63" s="211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3"/>
    </row>
    <row r="64" spans="1:17" ht="21.75" thickTop="1" thickBot="1" x14ac:dyDescent="0.35">
      <c r="A64" s="211" t="s">
        <v>17</v>
      </c>
      <c r="B64" s="210">
        <f>'التعليم المسرع'!DB47</f>
        <v>0</v>
      </c>
      <c r="C64" s="210">
        <f>'التعليم المسرع'!DC47</f>
        <v>0</v>
      </c>
      <c r="D64" s="210">
        <f t="shared" ref="D64" si="21">C64+B64</f>
        <v>0</v>
      </c>
      <c r="E64" s="210">
        <f>'التعليم المسرع'!DK47</f>
        <v>37</v>
      </c>
      <c r="F64" s="210">
        <f>'التعليم المسرع'!DL47</f>
        <v>0</v>
      </c>
      <c r="G64" s="210">
        <f t="shared" ref="G64" si="22">F64+E64</f>
        <v>37</v>
      </c>
      <c r="H64" s="210">
        <f>'التعليم المسرع'!DT47</f>
        <v>10</v>
      </c>
      <c r="I64" s="210">
        <f>'التعليم المسرع'!DU47</f>
        <v>0</v>
      </c>
      <c r="J64" s="210">
        <f>'التعليم المسرع'!EC47</f>
        <v>0</v>
      </c>
      <c r="K64" s="210">
        <f>'التعليم المسرع'!ED47</f>
        <v>0</v>
      </c>
      <c r="L64" s="210">
        <f>'التعليم المسرع'!EL47</f>
        <v>0</v>
      </c>
      <c r="M64" s="210">
        <f>'التعليم المسرع'!EM47</f>
        <v>0</v>
      </c>
      <c r="N64" s="210">
        <f>L64+J64+H64</f>
        <v>10</v>
      </c>
      <c r="O64" s="210">
        <f>M64+K64+I64</f>
        <v>0</v>
      </c>
      <c r="P64" s="213">
        <f>O64+N64</f>
        <v>10</v>
      </c>
    </row>
    <row r="65" spans="1:16" ht="21.75" thickTop="1" thickBot="1" x14ac:dyDescent="0.35">
      <c r="A65" s="211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3"/>
    </row>
    <row r="66" spans="1:16" ht="21.75" thickTop="1" thickBot="1" x14ac:dyDescent="0.35">
      <c r="A66" s="211" t="s">
        <v>18</v>
      </c>
      <c r="B66" s="210">
        <f>'التعليم المسرع'!DD47</f>
        <v>0</v>
      </c>
      <c r="C66" s="210">
        <f>'التعليم المسرع'!DE47</f>
        <v>0</v>
      </c>
      <c r="D66" s="210">
        <f t="shared" ref="D66" si="23">C66+B66</f>
        <v>0</v>
      </c>
      <c r="E66" s="210">
        <f>'التعليم المسرع'!DM47</f>
        <v>47</v>
      </c>
      <c r="F66" s="210">
        <f>'التعليم المسرع'!DN47</f>
        <v>0</v>
      </c>
      <c r="G66" s="210">
        <f t="shared" ref="G66" si="24">F66+E66</f>
        <v>47</v>
      </c>
      <c r="H66" s="210">
        <f>'التعليم المسرع'!DV47</f>
        <v>42</v>
      </c>
      <c r="I66" s="210">
        <f>'التعليم المسرع'!DW47</f>
        <v>0</v>
      </c>
      <c r="J66" s="210">
        <f>'التعليم المسرع'!EE47</f>
        <v>0</v>
      </c>
      <c r="K66" s="210">
        <f>'التعليم المسرع'!EF47</f>
        <v>0</v>
      </c>
      <c r="L66" s="210">
        <f>'التعليم المسرع'!EN47</f>
        <v>0</v>
      </c>
      <c r="M66" s="210">
        <f>'التعليم المسرع'!EO47</f>
        <v>0</v>
      </c>
      <c r="N66" s="210">
        <f t="shared" ref="N66" si="25">L66+J66+H66</f>
        <v>42</v>
      </c>
      <c r="O66" s="210">
        <f t="shared" ref="O66" si="26">M66+K66+I66</f>
        <v>0</v>
      </c>
      <c r="P66" s="213">
        <f t="shared" ref="P66" si="27">O66+N66</f>
        <v>42</v>
      </c>
    </row>
    <row r="67" spans="1:16" ht="21.75" thickTop="1" thickBot="1" x14ac:dyDescent="0.35">
      <c r="A67" s="211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3"/>
    </row>
    <row r="68" spans="1:16" ht="21.75" thickTop="1" thickBot="1" x14ac:dyDescent="0.35">
      <c r="A68" s="211" t="s">
        <v>19</v>
      </c>
      <c r="B68" s="210">
        <f>'التعليم المسرع'!DF47</f>
        <v>0</v>
      </c>
      <c r="C68" s="210">
        <f>'التعليم المسرع'!DG47</f>
        <v>0</v>
      </c>
      <c r="D68" s="210">
        <f t="shared" ref="D68" si="28">C68+B68</f>
        <v>0</v>
      </c>
      <c r="E68" s="210">
        <f>'التعليم المسرع'!DO47</f>
        <v>28</v>
      </c>
      <c r="F68" s="210">
        <f>'التعليم المسرع'!DP47</f>
        <v>0</v>
      </c>
      <c r="G68" s="210">
        <f t="shared" ref="G68" si="29">F68+E68</f>
        <v>28</v>
      </c>
      <c r="H68" s="210">
        <f>'التعليم المسرع'!DX47</f>
        <v>17</v>
      </c>
      <c r="I68" s="210">
        <f>'التعليم المسرع'!DY47</f>
        <v>0</v>
      </c>
      <c r="J68" s="210">
        <f>'التعليم المسرع'!EG47</f>
        <v>0</v>
      </c>
      <c r="K68" s="210">
        <f>'التعليم المسرع'!EH47</f>
        <v>0</v>
      </c>
      <c r="L68" s="210">
        <f>'التعليم المسرع'!EP47</f>
        <v>0</v>
      </c>
      <c r="M68" s="210">
        <f>'التعليم المسرع'!EQ47</f>
        <v>0</v>
      </c>
      <c r="N68" s="210">
        <f t="shared" ref="N68" si="30">L68+J68+H68</f>
        <v>17</v>
      </c>
      <c r="O68" s="210">
        <f t="shared" ref="O68" si="31">M68+K68+I68</f>
        <v>0</v>
      </c>
      <c r="P68" s="213">
        <f t="shared" ref="P68" si="32">O68+N68</f>
        <v>17</v>
      </c>
    </row>
    <row r="69" spans="1:16" ht="21.75" thickTop="1" thickBot="1" x14ac:dyDescent="0.35">
      <c r="A69" s="214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29"/>
    </row>
    <row r="70" spans="1:16" ht="21" thickTop="1" x14ac:dyDescent="0.3"/>
  </sheetData>
  <mergeCells count="245">
    <mergeCell ref="P68:P69"/>
    <mergeCell ref="C64:C65"/>
    <mergeCell ref="C66:C67"/>
    <mergeCell ref="C68:C69"/>
    <mergeCell ref="N68:N69"/>
    <mergeCell ref="O68:O69"/>
    <mergeCell ref="P64:P65"/>
    <mergeCell ref="E64:E65"/>
    <mergeCell ref="F64:F65"/>
    <mergeCell ref="E66:E67"/>
    <mergeCell ref="F66:F67"/>
    <mergeCell ref="E68:E69"/>
    <mergeCell ref="F68:F69"/>
    <mergeCell ref="N66:N67"/>
    <mergeCell ref="O66:O67"/>
    <mergeCell ref="P66:P67"/>
    <mergeCell ref="L64:L65"/>
    <mergeCell ref="M64:M65"/>
    <mergeCell ref="N64:N65"/>
    <mergeCell ref="O64:O65"/>
    <mergeCell ref="J64:J65"/>
    <mergeCell ref="K64:K65"/>
    <mergeCell ref="H66:H67"/>
    <mergeCell ref="I66:I67"/>
    <mergeCell ref="N60:P61"/>
    <mergeCell ref="B62:B63"/>
    <mergeCell ref="C62:C63"/>
    <mergeCell ref="E62:E63"/>
    <mergeCell ref="F62:F63"/>
    <mergeCell ref="L62:L63"/>
    <mergeCell ref="M62:M63"/>
    <mergeCell ref="N62:N63"/>
    <mergeCell ref="O62:O63"/>
    <mergeCell ref="P62:P63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F17:G17"/>
    <mergeCell ref="B18:B19"/>
    <mergeCell ref="C18:C19"/>
    <mergeCell ref="D18:D19"/>
    <mergeCell ref="E18:E19"/>
    <mergeCell ref="F18:G19"/>
    <mergeCell ref="B64:B65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42:F43"/>
    <mergeCell ref="G42:G43"/>
    <mergeCell ref="B32:B33"/>
    <mergeCell ref="C32:C33"/>
    <mergeCell ref="D32:D33"/>
    <mergeCell ref="E32:E33"/>
    <mergeCell ref="B68:B69"/>
    <mergeCell ref="F24:G24"/>
    <mergeCell ref="A36:C36"/>
    <mergeCell ref="B40:B41"/>
    <mergeCell ref="C40:D40"/>
    <mergeCell ref="E40:F40"/>
    <mergeCell ref="G40:H40"/>
    <mergeCell ref="I40:K40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B66:B67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I16:M16"/>
    <mergeCell ref="I17:I18"/>
    <mergeCell ref="J17:J18"/>
    <mergeCell ref="K17:K18"/>
    <mergeCell ref="L17:L18"/>
    <mergeCell ref="M17:M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23:I24"/>
    <mergeCell ref="J23:J24"/>
    <mergeCell ref="K23:K24"/>
    <mergeCell ref="L23:L24"/>
    <mergeCell ref="M23:M24"/>
    <mergeCell ref="B27:K27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H28:H29"/>
    <mergeCell ref="I28:I29"/>
    <mergeCell ref="J28:K29"/>
    <mergeCell ref="B30:B31"/>
    <mergeCell ref="C30:C31"/>
    <mergeCell ref="D30:D31"/>
    <mergeCell ref="E30:E31"/>
    <mergeCell ref="F30:F31"/>
    <mergeCell ref="G30:G31"/>
    <mergeCell ref="H30:H31"/>
    <mergeCell ref="B28:B29"/>
    <mergeCell ref="C28:C29"/>
    <mergeCell ref="D28:D29"/>
    <mergeCell ref="E28:E29"/>
    <mergeCell ref="F28:F29"/>
    <mergeCell ref="G28:G29"/>
    <mergeCell ref="I30:I31"/>
    <mergeCell ref="J30:K31"/>
    <mergeCell ref="F32:F33"/>
    <mergeCell ref="G32:G33"/>
    <mergeCell ref="H32:H33"/>
    <mergeCell ref="I32:I33"/>
    <mergeCell ref="J32:K33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A60:A63"/>
    <mergeCell ref="A64:A65"/>
    <mergeCell ref="A66:A67"/>
    <mergeCell ref="A68:A69"/>
    <mergeCell ref="B60:D61"/>
    <mergeCell ref="E60:G61"/>
    <mergeCell ref="H60:M60"/>
    <mergeCell ref="H61:I61"/>
    <mergeCell ref="J61:K61"/>
    <mergeCell ref="L61:M61"/>
    <mergeCell ref="D62:D63"/>
    <mergeCell ref="G62:G63"/>
    <mergeCell ref="H62:H63"/>
    <mergeCell ref="I62:I63"/>
    <mergeCell ref="J62:J63"/>
    <mergeCell ref="K62:K63"/>
    <mergeCell ref="D64:D65"/>
    <mergeCell ref="D66:D67"/>
    <mergeCell ref="D68:D69"/>
    <mergeCell ref="G64:G65"/>
    <mergeCell ref="G66:G67"/>
    <mergeCell ref="G68:G69"/>
    <mergeCell ref="H64:H65"/>
    <mergeCell ref="I64:I65"/>
    <mergeCell ref="J66:J67"/>
    <mergeCell ref="K66:K67"/>
    <mergeCell ref="L66:L67"/>
    <mergeCell ref="M66:M67"/>
    <mergeCell ref="H68:H69"/>
    <mergeCell ref="I68:I69"/>
    <mergeCell ref="J68:J69"/>
    <mergeCell ref="K68:K69"/>
    <mergeCell ref="L68:L69"/>
    <mergeCell ref="M68:M69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3" orientation="landscape" horizontalDpi="300" verticalDpi="300" r:id="rId1"/>
  <rowBreaks count="1" manualBreakCount="1">
    <brk id="35" max="1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U69"/>
  <sheetViews>
    <sheetView rightToLeft="1" view="pageBreakPreview" topLeftCell="B43" zoomScale="70" zoomScaleSheetLayoutView="70" workbookViewId="0">
      <selection activeCell="B67" sqref="B67:B68"/>
    </sheetView>
  </sheetViews>
  <sheetFormatPr defaultColWidth="9" defaultRowHeight="20.25" x14ac:dyDescent="0.3"/>
  <cols>
    <col min="1" max="1" width="16.75" style="9" customWidth="1"/>
    <col min="2" max="2" width="16.125" style="9" customWidth="1"/>
    <col min="3" max="3" width="10.75" style="9" customWidth="1"/>
    <col min="4" max="8" width="9" style="9"/>
    <col min="9" max="9" width="13.25" style="9" customWidth="1"/>
    <col min="10" max="10" width="14.75" style="9" customWidth="1"/>
    <col min="11" max="11" width="10.375" style="9" customWidth="1"/>
    <col min="12" max="16384" width="9" style="9"/>
  </cols>
  <sheetData>
    <row r="1" spans="1:15" x14ac:dyDescent="0.3">
      <c r="A1" s="202" t="s">
        <v>55</v>
      </c>
      <c r="B1" s="202"/>
      <c r="C1" s="202"/>
    </row>
    <row r="2" spans="1:15" x14ac:dyDescent="0.3">
      <c r="A2" s="202" t="s">
        <v>56</v>
      </c>
      <c r="B2" s="202"/>
      <c r="C2" s="202"/>
      <c r="D2" s="202"/>
    </row>
    <row r="3" spans="1:15" x14ac:dyDescent="0.3">
      <c r="A3" s="202" t="s">
        <v>169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</row>
    <row r="4" spans="1:15" x14ac:dyDescent="0.3">
      <c r="E4" s="9" t="s">
        <v>276</v>
      </c>
    </row>
    <row r="5" spans="1:15" ht="21" thickBot="1" x14ac:dyDescent="0.35"/>
    <row r="6" spans="1:15" ht="21.75" thickTop="1" thickBot="1" x14ac:dyDescent="0.35">
      <c r="A6" s="9" t="s">
        <v>1</v>
      </c>
      <c r="B6" s="230" t="s">
        <v>173</v>
      </c>
      <c r="C6" s="232"/>
      <c r="D6" s="231"/>
      <c r="F6" s="9" t="s">
        <v>2</v>
      </c>
      <c r="G6" s="230" t="s">
        <v>156</v>
      </c>
      <c r="H6" s="232"/>
      <c r="I6" s="231"/>
      <c r="K6" s="9" t="s">
        <v>0</v>
      </c>
      <c r="L6" s="230" t="s">
        <v>157</v>
      </c>
      <c r="M6" s="232"/>
      <c r="N6" s="231"/>
    </row>
    <row r="7" spans="1:15" ht="21.75" thickTop="1" thickBot="1" x14ac:dyDescent="0.35"/>
    <row r="8" spans="1:15" ht="21.75" thickTop="1" thickBot="1" x14ac:dyDescent="0.35">
      <c r="A8" s="9" t="s">
        <v>43</v>
      </c>
      <c r="B8" s="230">
        <f>'التعليم المسرع'!K49+'التعليم المسرع'!L49</f>
        <v>1</v>
      </c>
      <c r="C8" s="232"/>
      <c r="D8" s="231"/>
      <c r="F8" s="9" t="s">
        <v>3</v>
      </c>
      <c r="G8" s="230">
        <f>'التعليم المسرع'!Q49</f>
        <v>0</v>
      </c>
      <c r="H8" s="232"/>
      <c r="I8" s="231"/>
      <c r="K8" s="9" t="s">
        <v>4</v>
      </c>
      <c r="L8" s="230">
        <f>'التعليم المسرع'!R49</f>
        <v>1</v>
      </c>
      <c r="M8" s="232"/>
      <c r="N8" s="231"/>
    </row>
    <row r="9" spans="1:15" ht="21" thickTop="1" x14ac:dyDescent="0.3"/>
    <row r="10" spans="1:15" ht="21" thickBot="1" x14ac:dyDescent="0.35"/>
    <row r="11" spans="1:15" s="31" customFormat="1" ht="27.75" customHeight="1" thickTop="1" thickBot="1" x14ac:dyDescent="0.25">
      <c r="B11" s="186" t="s">
        <v>5</v>
      </c>
      <c r="C11" s="187"/>
      <c r="F11" s="186" t="s">
        <v>6</v>
      </c>
      <c r="G11" s="190"/>
      <c r="H11" s="187"/>
      <c r="K11" s="186" t="s">
        <v>7</v>
      </c>
      <c r="L11" s="190"/>
      <c r="M11" s="187"/>
    </row>
    <row r="12" spans="1:15" s="31" customFormat="1" ht="27.75" customHeight="1" thickTop="1" thickBot="1" x14ac:dyDescent="0.25">
      <c r="B12" s="22" t="s">
        <v>8</v>
      </c>
      <c r="C12" s="37" t="s">
        <v>9</v>
      </c>
      <c r="F12" s="38" t="s">
        <v>10</v>
      </c>
      <c r="G12" s="39" t="s">
        <v>11</v>
      </c>
      <c r="H12" s="40" t="s">
        <v>12</v>
      </c>
      <c r="K12" s="22" t="s">
        <v>13</v>
      </c>
      <c r="L12" s="23" t="s">
        <v>14</v>
      </c>
      <c r="M12" s="37" t="s">
        <v>15</v>
      </c>
    </row>
    <row r="13" spans="1:15" ht="27.75" customHeight="1" thickTop="1" thickBot="1" x14ac:dyDescent="0.35">
      <c r="B13" s="16">
        <f>'التعليم المسرع'!K49</f>
        <v>1</v>
      </c>
      <c r="C13" s="17">
        <f>'التعليم المسرع'!L49</f>
        <v>0</v>
      </c>
      <c r="F13" s="18">
        <f>'التعليم المسرع'!H49</f>
        <v>1</v>
      </c>
      <c r="G13" s="19">
        <f>'التعليم المسرع'!I49</f>
        <v>0</v>
      </c>
      <c r="H13" s="20">
        <f>'التعليم المسرع'!J49</f>
        <v>0</v>
      </c>
      <c r="K13" s="16">
        <f>'التعليم المسرع'!GW49</f>
        <v>8</v>
      </c>
      <c r="L13" s="21">
        <f>'التعليم المسرع'!GO49</f>
        <v>0</v>
      </c>
      <c r="M13" s="17">
        <f>SUM(K13:L13)</f>
        <v>8</v>
      </c>
    </row>
    <row r="14" spans="1:15" ht="21" thickTop="1" x14ac:dyDescent="0.3"/>
    <row r="15" spans="1:15" ht="21" thickBot="1" x14ac:dyDescent="0.35"/>
    <row r="16" spans="1:15" s="31" customFormat="1" ht="33.75" customHeight="1" thickTop="1" thickBot="1" x14ac:dyDescent="0.25">
      <c r="B16" s="186" t="s">
        <v>20</v>
      </c>
      <c r="C16" s="190"/>
      <c r="D16" s="190"/>
      <c r="E16" s="190"/>
      <c r="F16" s="190"/>
      <c r="G16" s="187"/>
      <c r="I16" s="186" t="s">
        <v>30</v>
      </c>
      <c r="J16" s="190"/>
      <c r="K16" s="190"/>
      <c r="L16" s="190"/>
      <c r="M16" s="187"/>
    </row>
    <row r="17" spans="2:13" ht="30.75" customHeight="1" thickTop="1" thickBot="1" x14ac:dyDescent="0.35">
      <c r="B17" s="22" t="s">
        <v>16</v>
      </c>
      <c r="C17" s="23" t="s">
        <v>10</v>
      </c>
      <c r="D17" s="23" t="s">
        <v>11</v>
      </c>
      <c r="E17" s="23" t="s">
        <v>12</v>
      </c>
      <c r="F17" s="188" t="s">
        <v>15</v>
      </c>
      <c r="G17" s="189"/>
      <c r="I17" s="215" t="s">
        <v>31</v>
      </c>
      <c r="J17" s="216" t="s">
        <v>44</v>
      </c>
      <c r="K17" s="216" t="s">
        <v>45</v>
      </c>
      <c r="L17" s="216" t="s">
        <v>46</v>
      </c>
      <c r="M17" s="217" t="s">
        <v>47</v>
      </c>
    </row>
    <row r="18" spans="2:13" ht="21.75" thickTop="1" thickBot="1" x14ac:dyDescent="0.35">
      <c r="B18" s="191" t="s">
        <v>17</v>
      </c>
      <c r="C18" s="191">
        <f>'التعليم المسرع'!CO49</f>
        <v>1</v>
      </c>
      <c r="D18" s="191">
        <f>'التعليم المسرع'!CP49</f>
        <v>0</v>
      </c>
      <c r="E18" s="191">
        <f>'التعليم المسرع'!CQ49</f>
        <v>0</v>
      </c>
      <c r="F18" s="193">
        <f>C18+D18+E18</f>
        <v>1</v>
      </c>
      <c r="G18" s="194"/>
      <c r="I18" s="211"/>
      <c r="J18" s="210"/>
      <c r="K18" s="210"/>
      <c r="L18" s="210"/>
      <c r="M18" s="213"/>
    </row>
    <row r="19" spans="2:13" ht="21.75" thickTop="1" thickBot="1" x14ac:dyDescent="0.35">
      <c r="B19" s="192"/>
      <c r="C19" s="192"/>
      <c r="D19" s="192"/>
      <c r="E19" s="192"/>
      <c r="F19" s="195"/>
      <c r="G19" s="196"/>
      <c r="I19" s="211" t="s">
        <v>13</v>
      </c>
      <c r="J19" s="210">
        <f>'التعليم المسرع'!EU49</f>
        <v>1</v>
      </c>
      <c r="K19" s="210">
        <f>'التعليم المسرع'!EW49</f>
        <v>0</v>
      </c>
      <c r="L19" s="210">
        <f>'التعليم المسرع'!EY49</f>
        <v>7</v>
      </c>
      <c r="M19" s="213">
        <f>SUM(J19:L19)</f>
        <v>8</v>
      </c>
    </row>
    <row r="20" spans="2:13" ht="21.75" thickTop="1" thickBot="1" x14ac:dyDescent="0.35">
      <c r="B20" s="191" t="s">
        <v>18</v>
      </c>
      <c r="C20" s="191">
        <f>'التعليم المسرع'!CR49</f>
        <v>1</v>
      </c>
      <c r="D20" s="191">
        <f>'التعليم المسرع'!CS49</f>
        <v>0</v>
      </c>
      <c r="E20" s="191">
        <f>'التعليم المسرع'!CT49</f>
        <v>0</v>
      </c>
      <c r="F20" s="193">
        <f t="shared" ref="F20" si="0">C20+D20+E20</f>
        <v>1</v>
      </c>
      <c r="G20" s="194"/>
      <c r="I20" s="211"/>
      <c r="J20" s="210"/>
      <c r="K20" s="210"/>
      <c r="L20" s="210"/>
      <c r="M20" s="213"/>
    </row>
    <row r="21" spans="2:13" ht="21.75" thickTop="1" thickBot="1" x14ac:dyDescent="0.35">
      <c r="B21" s="192"/>
      <c r="C21" s="192"/>
      <c r="D21" s="192"/>
      <c r="E21" s="192"/>
      <c r="F21" s="195"/>
      <c r="G21" s="196"/>
      <c r="I21" s="211" t="s">
        <v>14</v>
      </c>
      <c r="J21" s="210">
        <f>'التعليم المسرع'!EV49</f>
        <v>0</v>
      </c>
      <c r="K21" s="210">
        <f>'التعليم المسرع'!EX49</f>
        <v>0</v>
      </c>
      <c r="L21" s="210">
        <f>'التعليم المسرع'!EZ49</f>
        <v>0</v>
      </c>
      <c r="M21" s="213">
        <f>SUM(J21:L21)</f>
        <v>0</v>
      </c>
    </row>
    <row r="22" spans="2:13" ht="21.75" thickTop="1" thickBot="1" x14ac:dyDescent="0.35">
      <c r="B22" s="191" t="s">
        <v>19</v>
      </c>
      <c r="C22" s="191">
        <f>'التعليم المسرع'!CU49</f>
        <v>2</v>
      </c>
      <c r="D22" s="191">
        <f>'التعليم المسرع'!CV49</f>
        <v>0</v>
      </c>
      <c r="E22" s="191">
        <f>'التعليم المسرع'!CW49</f>
        <v>0</v>
      </c>
      <c r="F22" s="193">
        <f t="shared" ref="F22" si="1">C22+D22+E22</f>
        <v>2</v>
      </c>
      <c r="G22" s="194"/>
      <c r="I22" s="211"/>
      <c r="J22" s="210"/>
      <c r="K22" s="210"/>
      <c r="L22" s="210"/>
      <c r="M22" s="213"/>
    </row>
    <row r="23" spans="2:13" ht="21.75" thickTop="1" thickBot="1" x14ac:dyDescent="0.35">
      <c r="B23" s="192"/>
      <c r="C23" s="192"/>
      <c r="D23" s="192"/>
      <c r="E23" s="192"/>
      <c r="F23" s="195"/>
      <c r="G23" s="196"/>
      <c r="I23" s="211" t="s">
        <v>15</v>
      </c>
      <c r="J23" s="210">
        <f>J19+J21</f>
        <v>1</v>
      </c>
      <c r="K23" s="210">
        <f t="shared" ref="K23:M23" si="2">K19+K21</f>
        <v>0</v>
      </c>
      <c r="L23" s="210">
        <f t="shared" si="2"/>
        <v>7</v>
      </c>
      <c r="M23" s="213">
        <f t="shared" si="2"/>
        <v>8</v>
      </c>
    </row>
    <row r="24" spans="2:13" ht="35.25" customHeight="1" thickTop="1" thickBot="1" x14ac:dyDescent="0.35">
      <c r="B24" s="24" t="s">
        <v>15</v>
      </c>
      <c r="C24" s="25">
        <f>SUM(C18:C23)</f>
        <v>4</v>
      </c>
      <c r="D24" s="25">
        <f>SUM(D18:D23)</f>
        <v>0</v>
      </c>
      <c r="E24" s="25">
        <f>SUM(E18:E23)</f>
        <v>0</v>
      </c>
      <c r="F24" s="206">
        <f>C24+D24+E24</f>
        <v>4</v>
      </c>
      <c r="G24" s="187"/>
      <c r="I24" s="214"/>
      <c r="J24" s="212"/>
      <c r="K24" s="212"/>
      <c r="L24" s="212"/>
      <c r="M24" s="229"/>
    </row>
    <row r="25" spans="2:13" ht="21.75" thickTop="1" thickBot="1" x14ac:dyDescent="0.35"/>
    <row r="26" spans="2:13" s="31" customFormat="1" ht="29.25" customHeight="1" thickTop="1" thickBot="1" x14ac:dyDescent="0.25">
      <c r="B26" s="186" t="s">
        <v>39</v>
      </c>
      <c r="C26" s="190"/>
      <c r="D26" s="190"/>
      <c r="E26" s="190"/>
      <c r="F26" s="190"/>
      <c r="G26" s="190"/>
      <c r="H26" s="190"/>
      <c r="I26" s="190"/>
      <c r="J26" s="190"/>
      <c r="K26" s="187"/>
      <c r="L26" s="36"/>
      <c r="M26" s="36"/>
    </row>
    <row r="27" spans="2:13" ht="33" customHeight="1" thickTop="1" thickBot="1" x14ac:dyDescent="0.35">
      <c r="B27" s="233" t="s">
        <v>40</v>
      </c>
      <c r="C27" s="227" t="s">
        <v>32</v>
      </c>
      <c r="D27" s="227" t="s">
        <v>33</v>
      </c>
      <c r="E27" s="227" t="s">
        <v>34</v>
      </c>
      <c r="F27" s="244" t="s">
        <v>35</v>
      </c>
      <c r="G27" s="227" t="s">
        <v>36</v>
      </c>
      <c r="H27" s="227" t="s">
        <v>37</v>
      </c>
      <c r="I27" s="227" t="s">
        <v>38</v>
      </c>
      <c r="J27" s="216" t="s">
        <v>15</v>
      </c>
      <c r="K27" s="217"/>
      <c r="L27" s="26"/>
      <c r="M27" s="26"/>
    </row>
    <row r="28" spans="2:13" ht="49.5" customHeight="1" thickTop="1" thickBot="1" x14ac:dyDescent="0.35">
      <c r="B28" s="234"/>
      <c r="C28" s="228"/>
      <c r="D28" s="228"/>
      <c r="E28" s="228"/>
      <c r="F28" s="245"/>
      <c r="G28" s="228"/>
      <c r="H28" s="228"/>
      <c r="I28" s="228"/>
      <c r="J28" s="210"/>
      <c r="K28" s="213"/>
      <c r="L28" s="26"/>
      <c r="M28" s="26"/>
    </row>
    <row r="29" spans="2:13" ht="21.75" thickTop="1" thickBot="1" x14ac:dyDescent="0.35">
      <c r="B29" s="211" t="s">
        <v>13</v>
      </c>
      <c r="C29" s="210">
        <f>'التعليم المسرع'!FZ49</f>
        <v>0</v>
      </c>
      <c r="D29" s="210">
        <f>'التعليم المسرع'!FX49</f>
        <v>0</v>
      </c>
      <c r="E29" s="210">
        <f>'التعليم المسرع'!GD49</f>
        <v>0</v>
      </c>
      <c r="F29" s="210">
        <f>'التعليم المسرع'!GB49</f>
        <v>5</v>
      </c>
      <c r="G29" s="210">
        <f>'التعليم المسرع'!GH49</f>
        <v>3</v>
      </c>
      <c r="H29" s="210">
        <f>'التعليم المسرع'!GJ49</f>
        <v>0</v>
      </c>
      <c r="I29" s="210">
        <f>'التعليم المسرع'!GL49</f>
        <v>0</v>
      </c>
      <c r="J29" s="210">
        <f>I29+H29+G29+F29+E29+D29+C29</f>
        <v>8</v>
      </c>
      <c r="K29" s="213"/>
      <c r="L29" s="26"/>
      <c r="M29" s="26"/>
    </row>
    <row r="30" spans="2:13" ht="21.75" thickTop="1" thickBot="1" x14ac:dyDescent="0.35">
      <c r="B30" s="211"/>
      <c r="C30" s="210"/>
      <c r="D30" s="210"/>
      <c r="E30" s="210"/>
      <c r="F30" s="210"/>
      <c r="G30" s="210"/>
      <c r="H30" s="210"/>
      <c r="I30" s="210"/>
      <c r="J30" s="210"/>
      <c r="K30" s="213"/>
      <c r="L30" s="26"/>
      <c r="M30" s="26"/>
    </row>
    <row r="31" spans="2:13" ht="21.75" thickTop="1" thickBot="1" x14ac:dyDescent="0.35">
      <c r="B31" s="211" t="s">
        <v>14</v>
      </c>
      <c r="C31" s="210">
        <f>'التعليم المسرع'!GA49</f>
        <v>0</v>
      </c>
      <c r="D31" s="210">
        <f>'التعليم المسرع'!FY49</f>
        <v>0</v>
      </c>
      <c r="E31" s="210">
        <f>'التعليم المسرع'!GE49</f>
        <v>0</v>
      </c>
      <c r="F31" s="210">
        <f>'التعليم المسرع'!GC49</f>
        <v>0</v>
      </c>
      <c r="G31" s="210">
        <f>'التعليم المسرع'!GI49</f>
        <v>0</v>
      </c>
      <c r="H31" s="210">
        <f>'التعليم المسرع'!GK49</f>
        <v>0</v>
      </c>
      <c r="I31" s="210">
        <f>'التعليم المسرع'!GM49</f>
        <v>0</v>
      </c>
      <c r="J31" s="210">
        <f t="shared" ref="J31" si="3">I31+H31+G31+F31+E31+D31+C31</f>
        <v>0</v>
      </c>
      <c r="K31" s="213"/>
      <c r="L31" s="26"/>
      <c r="M31" s="26"/>
    </row>
    <row r="32" spans="2:13" ht="21.75" thickTop="1" thickBot="1" x14ac:dyDescent="0.35">
      <c r="B32" s="211"/>
      <c r="C32" s="210"/>
      <c r="D32" s="210"/>
      <c r="E32" s="210"/>
      <c r="F32" s="210"/>
      <c r="G32" s="210"/>
      <c r="H32" s="210"/>
      <c r="I32" s="210"/>
      <c r="J32" s="210"/>
      <c r="K32" s="213"/>
      <c r="L32" s="26"/>
      <c r="M32" s="26"/>
    </row>
    <row r="33" spans="1:14" ht="21.75" thickTop="1" thickBot="1" x14ac:dyDescent="0.35">
      <c r="B33" s="211" t="s">
        <v>15</v>
      </c>
      <c r="C33" s="210">
        <f>C29+C31</f>
        <v>0</v>
      </c>
      <c r="D33" s="210">
        <f t="shared" ref="D33:I33" si="4">D29+D31</f>
        <v>0</v>
      </c>
      <c r="E33" s="210">
        <f t="shared" si="4"/>
        <v>0</v>
      </c>
      <c r="F33" s="210">
        <f t="shared" si="4"/>
        <v>5</v>
      </c>
      <c r="G33" s="210">
        <f t="shared" si="4"/>
        <v>3</v>
      </c>
      <c r="H33" s="210">
        <f t="shared" si="4"/>
        <v>0</v>
      </c>
      <c r="I33" s="210">
        <f t="shared" si="4"/>
        <v>0</v>
      </c>
      <c r="J33" s="210">
        <f t="shared" ref="J33" si="5">I33+H33+G33+F33+E33+D33+C33</f>
        <v>8</v>
      </c>
      <c r="K33" s="213"/>
      <c r="L33" s="26"/>
      <c r="M33" s="26"/>
    </row>
    <row r="34" spans="1:14" ht="21.75" thickTop="1" thickBot="1" x14ac:dyDescent="0.35">
      <c r="B34" s="214"/>
      <c r="C34" s="212"/>
      <c r="D34" s="212"/>
      <c r="E34" s="212"/>
      <c r="F34" s="212"/>
      <c r="G34" s="212"/>
      <c r="H34" s="212"/>
      <c r="I34" s="212"/>
      <c r="J34" s="212"/>
      <c r="K34" s="229"/>
      <c r="L34" s="26"/>
      <c r="M34" s="26"/>
    </row>
    <row r="35" spans="1:14" ht="21" thickTop="1" x14ac:dyDescent="0.3"/>
    <row r="36" spans="1:14" ht="28.5" customHeight="1" x14ac:dyDescent="0.3">
      <c r="A36" s="202" t="s">
        <v>55</v>
      </c>
      <c r="B36" s="202"/>
      <c r="C36" s="202"/>
    </row>
    <row r="37" spans="1:14" x14ac:dyDescent="0.3">
      <c r="A37" s="202" t="s">
        <v>56</v>
      </c>
      <c r="B37" s="202"/>
      <c r="C37" s="202"/>
      <c r="D37" s="202"/>
      <c r="K37" s="9" t="s">
        <v>180</v>
      </c>
    </row>
    <row r="38" spans="1:14" x14ac:dyDescent="0.3">
      <c r="D38" s="9" t="s">
        <v>52</v>
      </c>
    </row>
    <row r="39" spans="1:14" ht="21" thickBot="1" x14ac:dyDescent="0.35"/>
    <row r="40" spans="1:14" ht="30.75" customHeight="1" thickTop="1" thickBot="1" x14ac:dyDescent="0.35">
      <c r="B40" s="224" t="s">
        <v>28</v>
      </c>
      <c r="C40" s="206" t="s">
        <v>17</v>
      </c>
      <c r="D40" s="250"/>
      <c r="E40" s="206" t="s">
        <v>18</v>
      </c>
      <c r="F40" s="250"/>
      <c r="G40" s="206" t="s">
        <v>19</v>
      </c>
      <c r="H40" s="250"/>
      <c r="I40" s="206" t="s">
        <v>29</v>
      </c>
      <c r="J40" s="190"/>
      <c r="K40" s="250"/>
      <c r="L40" s="26"/>
      <c r="M40" s="26"/>
      <c r="N40" s="26"/>
    </row>
    <row r="41" spans="1:14" ht="33.75" customHeight="1" thickTop="1" thickBot="1" x14ac:dyDescent="0.35">
      <c r="B41" s="218"/>
      <c r="C41" s="29" t="s">
        <v>10</v>
      </c>
      <c r="D41" s="29" t="s">
        <v>11</v>
      </c>
      <c r="E41" s="29" t="s">
        <v>10</v>
      </c>
      <c r="F41" s="29" t="s">
        <v>11</v>
      </c>
      <c r="G41" s="29" t="s">
        <v>10</v>
      </c>
      <c r="H41" s="29" t="s">
        <v>11</v>
      </c>
      <c r="I41" s="29" t="s">
        <v>10</v>
      </c>
      <c r="J41" s="29" t="s">
        <v>11</v>
      </c>
      <c r="K41" s="29" t="s">
        <v>15</v>
      </c>
      <c r="L41" s="26"/>
      <c r="M41" s="26"/>
      <c r="N41" s="26"/>
    </row>
    <row r="42" spans="1:14" ht="21" thickTop="1" x14ac:dyDescent="0.3">
      <c r="B42" s="224" t="s">
        <v>21</v>
      </c>
      <c r="C42" s="224">
        <f>'التعليم المسرع'!Y49</f>
        <v>3</v>
      </c>
      <c r="D42" s="224">
        <f>'التعليم المسرع'!Z49</f>
        <v>0</v>
      </c>
      <c r="E42" s="224">
        <f>'التعليم المسرع'!AP49</f>
        <v>2</v>
      </c>
      <c r="F42" s="224">
        <f>'التعليم المسرع'!AQ49</f>
        <v>0</v>
      </c>
      <c r="G42" s="224">
        <f>'التعليم المسرع'!BG49</f>
        <v>3</v>
      </c>
      <c r="H42" s="224">
        <f>'التعليم المسرع'!BH49</f>
        <v>0</v>
      </c>
      <c r="I42" s="224">
        <f>C42+E42+G42</f>
        <v>8</v>
      </c>
      <c r="J42" s="224">
        <f>D42+F42+H42</f>
        <v>0</v>
      </c>
      <c r="K42" s="224">
        <f>SUM(I42:J42)</f>
        <v>8</v>
      </c>
      <c r="L42" s="26"/>
      <c r="M42" s="26"/>
      <c r="N42" s="26"/>
    </row>
    <row r="43" spans="1:14" ht="21" thickBot="1" x14ac:dyDescent="0.35"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6"/>
      <c r="M43" s="26"/>
      <c r="N43" s="26"/>
    </row>
    <row r="44" spans="1:14" ht="21" thickTop="1" x14ac:dyDescent="0.3">
      <c r="B44" s="224" t="s">
        <v>22</v>
      </c>
      <c r="C44" s="224">
        <f>'التعليم المسرع'!AA49</f>
        <v>1</v>
      </c>
      <c r="D44" s="224">
        <f>'التعليم المسرع'!AB49</f>
        <v>0</v>
      </c>
      <c r="E44" s="249">
        <f>'التعليم المسرع'!AR49</f>
        <v>3</v>
      </c>
      <c r="F44" s="249">
        <f>'التعليم المسرع'!AS49</f>
        <v>0</v>
      </c>
      <c r="G44" s="224">
        <f>'التعليم المسرع'!BI49</f>
        <v>3</v>
      </c>
      <c r="H44" s="224">
        <f>'التعليم المسرع'!BJ49</f>
        <v>0</v>
      </c>
      <c r="I44" s="224">
        <f t="shared" ref="I44:J44" si="6">C44+E44+G44</f>
        <v>7</v>
      </c>
      <c r="J44" s="224">
        <f t="shared" si="6"/>
        <v>0</v>
      </c>
      <c r="K44" s="224">
        <f t="shared" ref="K44" si="7">SUM(I44:J44)</f>
        <v>7</v>
      </c>
      <c r="L44" s="26"/>
      <c r="M44" s="26"/>
      <c r="N44" s="26"/>
    </row>
    <row r="45" spans="1:14" ht="21" thickBot="1" x14ac:dyDescent="0.35">
      <c r="B45" s="218"/>
      <c r="C45" s="218"/>
      <c r="D45" s="218"/>
      <c r="E45" s="219"/>
      <c r="F45" s="219"/>
      <c r="G45" s="218"/>
      <c r="H45" s="218"/>
      <c r="I45" s="218"/>
      <c r="J45" s="218"/>
      <c r="K45" s="218"/>
      <c r="L45" s="26"/>
      <c r="M45" s="26"/>
      <c r="N45" s="26"/>
    </row>
    <row r="46" spans="1:14" ht="21" thickTop="1" x14ac:dyDescent="0.3">
      <c r="B46" s="224" t="s">
        <v>23</v>
      </c>
      <c r="C46" s="224">
        <f>'التعليم المسرع'!AC49</f>
        <v>3</v>
      </c>
      <c r="D46" s="224">
        <f>'التعليم المسرع'!AD49</f>
        <v>0</v>
      </c>
      <c r="E46" s="249">
        <f>'التعليم المسرع'!AT49</f>
        <v>6</v>
      </c>
      <c r="F46" s="249">
        <f>'التعليم المسرع'!AU49</f>
        <v>0</v>
      </c>
      <c r="G46" s="224">
        <f>'التعليم المسرع'!BK49</f>
        <v>4</v>
      </c>
      <c r="H46" s="224">
        <f>'التعليم المسرع'!BL49</f>
        <v>0</v>
      </c>
      <c r="I46" s="224">
        <f t="shared" ref="I46:J46" si="8">C46+E46+G46</f>
        <v>13</v>
      </c>
      <c r="J46" s="224">
        <f t="shared" si="8"/>
        <v>0</v>
      </c>
      <c r="K46" s="224">
        <f t="shared" ref="K46" si="9">SUM(I46:J46)</f>
        <v>13</v>
      </c>
      <c r="L46" s="26"/>
      <c r="M46" s="26"/>
      <c r="N46" s="26"/>
    </row>
    <row r="47" spans="1:14" ht="21" thickBot="1" x14ac:dyDescent="0.35">
      <c r="B47" s="218"/>
      <c r="C47" s="218"/>
      <c r="D47" s="218"/>
      <c r="E47" s="219"/>
      <c r="F47" s="219"/>
      <c r="G47" s="218"/>
      <c r="H47" s="218"/>
      <c r="I47" s="218"/>
      <c r="J47" s="218"/>
      <c r="K47" s="218"/>
      <c r="L47" s="26"/>
      <c r="M47" s="26"/>
      <c r="N47" s="26"/>
    </row>
    <row r="48" spans="1:14" ht="21" thickTop="1" x14ac:dyDescent="0.3">
      <c r="B48" s="224" t="s">
        <v>24</v>
      </c>
      <c r="C48" s="224">
        <f>'التعليم المسرع'!AE49</f>
        <v>2</v>
      </c>
      <c r="D48" s="224">
        <f>'التعليم المسرع'!AF49</f>
        <v>0</v>
      </c>
      <c r="E48" s="249">
        <f>'التعليم المسرع'!AV49</f>
        <v>9</v>
      </c>
      <c r="F48" s="249">
        <f>'التعليم المسرع'!AW49</f>
        <v>0</v>
      </c>
      <c r="G48" s="224">
        <f>'التعليم المسرع'!BM49</f>
        <v>7</v>
      </c>
      <c r="H48" s="224">
        <f>'التعليم المسرع'!BN49</f>
        <v>0</v>
      </c>
      <c r="I48" s="224">
        <f t="shared" ref="I48:J48" si="10">C48+E48+G48</f>
        <v>18</v>
      </c>
      <c r="J48" s="224">
        <f t="shared" si="10"/>
        <v>0</v>
      </c>
      <c r="K48" s="224">
        <f t="shared" ref="K48" si="11">SUM(I48:J48)</f>
        <v>18</v>
      </c>
      <c r="L48" s="26"/>
      <c r="M48" s="26"/>
      <c r="N48" s="26"/>
    </row>
    <row r="49" spans="1:21" ht="21" thickBot="1" x14ac:dyDescent="0.35">
      <c r="B49" s="218"/>
      <c r="C49" s="218"/>
      <c r="D49" s="218"/>
      <c r="E49" s="219"/>
      <c r="F49" s="219"/>
      <c r="G49" s="218"/>
      <c r="H49" s="218"/>
      <c r="I49" s="218"/>
      <c r="J49" s="218"/>
      <c r="K49" s="218"/>
      <c r="L49" s="26"/>
      <c r="M49" s="26"/>
      <c r="N49" s="26"/>
    </row>
    <row r="50" spans="1:21" ht="21" thickTop="1" x14ac:dyDescent="0.3">
      <c r="B50" s="224" t="s">
        <v>25</v>
      </c>
      <c r="C50" s="224">
        <f>'التعليم المسرع'!AG49</f>
        <v>0</v>
      </c>
      <c r="D50" s="224">
        <f>'التعليم المسرع'!AH49</f>
        <v>0</v>
      </c>
      <c r="E50" s="249">
        <f>'التعليم المسرع'!AX49</f>
        <v>5</v>
      </c>
      <c r="F50" s="249">
        <f>'التعليم المسرع'!AY49</f>
        <v>0</v>
      </c>
      <c r="G50" s="224">
        <f>'التعليم المسرع'!BO49</f>
        <v>13</v>
      </c>
      <c r="H50" s="224">
        <f>'التعليم المسرع'!BP49</f>
        <v>0</v>
      </c>
      <c r="I50" s="224">
        <f t="shared" ref="I50:J50" si="12">C50+E50+G50</f>
        <v>18</v>
      </c>
      <c r="J50" s="224">
        <f t="shared" si="12"/>
        <v>0</v>
      </c>
      <c r="K50" s="224">
        <f t="shared" ref="K50" si="13">SUM(I50:J50)</f>
        <v>18</v>
      </c>
      <c r="L50" s="26"/>
      <c r="M50" s="26"/>
      <c r="N50" s="26"/>
    </row>
    <row r="51" spans="1:21" ht="21" thickBot="1" x14ac:dyDescent="0.35">
      <c r="B51" s="218"/>
      <c r="C51" s="218"/>
      <c r="D51" s="218"/>
      <c r="E51" s="219"/>
      <c r="F51" s="219"/>
      <c r="G51" s="218"/>
      <c r="H51" s="218"/>
      <c r="I51" s="218"/>
      <c r="J51" s="218"/>
      <c r="K51" s="218"/>
      <c r="L51" s="26"/>
      <c r="M51" s="26"/>
      <c r="N51" s="26"/>
    </row>
    <row r="52" spans="1:21" ht="21" thickTop="1" x14ac:dyDescent="0.3">
      <c r="B52" s="224" t="s">
        <v>26</v>
      </c>
      <c r="C52" s="224">
        <f>'التعليم المسرع'!AI49</f>
        <v>2</v>
      </c>
      <c r="D52" s="224">
        <f>'التعليم المسرع'!AJ49</f>
        <v>0</v>
      </c>
      <c r="E52" s="224">
        <f>'التعليم المسرع'!AZ49</f>
        <v>4</v>
      </c>
      <c r="F52" s="224">
        <f>'التعليم المسرع'!BA49</f>
        <v>0</v>
      </c>
      <c r="G52" s="224">
        <f>'التعليم المسرع'!BQ49</f>
        <v>6</v>
      </c>
      <c r="H52" s="224">
        <f>'التعليم المسرع'!BR49</f>
        <v>0</v>
      </c>
      <c r="I52" s="224">
        <f t="shared" ref="I52:J52" si="14">C52+E52+G52</f>
        <v>12</v>
      </c>
      <c r="J52" s="224">
        <f t="shared" si="14"/>
        <v>0</v>
      </c>
      <c r="K52" s="224">
        <f t="shared" ref="K52" si="15">SUM(I52:J52)</f>
        <v>12</v>
      </c>
      <c r="L52" s="26"/>
      <c r="M52" s="26"/>
      <c r="N52" s="26"/>
    </row>
    <row r="53" spans="1:21" ht="21" thickBot="1" x14ac:dyDescent="0.35"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M53" s="26"/>
      <c r="N53" s="26"/>
      <c r="O53" s="26"/>
      <c r="P53" s="26"/>
      <c r="Q53" s="26"/>
    </row>
    <row r="54" spans="1:21" ht="21" thickTop="1" x14ac:dyDescent="0.3">
      <c r="B54" s="224" t="s">
        <v>27</v>
      </c>
      <c r="C54" s="224">
        <f>'التعليم المسرع'!AK49</f>
        <v>0</v>
      </c>
      <c r="D54" s="224">
        <f>'التعليم المسرع'!AL49</f>
        <v>0</v>
      </c>
      <c r="E54" s="224">
        <f>'التعليم المسرع'!BB49</f>
        <v>6</v>
      </c>
      <c r="F54" s="224">
        <f>'التعليم المسرع'!BC49</f>
        <v>0</v>
      </c>
      <c r="G54" s="224">
        <f>'التعليم المسرع'!BS49</f>
        <v>6</v>
      </c>
      <c r="H54" s="224">
        <f>'التعليم المسرع'!BT49</f>
        <v>0</v>
      </c>
      <c r="I54" s="224">
        <f t="shared" ref="I54:J54" si="16">C54+E54+G54</f>
        <v>12</v>
      </c>
      <c r="J54" s="224">
        <f t="shared" si="16"/>
        <v>0</v>
      </c>
      <c r="K54" s="224">
        <f t="shared" ref="K54" si="17">SUM(I54:J54)</f>
        <v>12</v>
      </c>
      <c r="M54" s="26"/>
      <c r="N54" s="26"/>
      <c r="O54" s="26"/>
      <c r="P54" s="26"/>
      <c r="Q54" s="26"/>
    </row>
    <row r="55" spans="1:21" ht="21" thickBot="1" x14ac:dyDescent="0.35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M55" s="26"/>
      <c r="N55" s="26"/>
      <c r="O55" s="26"/>
      <c r="P55" s="26"/>
      <c r="Q55" s="26"/>
    </row>
    <row r="56" spans="1:21" ht="21" thickTop="1" x14ac:dyDescent="0.3">
      <c r="B56" s="224" t="s">
        <v>15</v>
      </c>
      <c r="C56" s="224">
        <f t="shared" ref="C56:H56" si="18">C42+C44+C46+C48+C50+C52+C54</f>
        <v>11</v>
      </c>
      <c r="D56" s="224">
        <f t="shared" si="18"/>
        <v>0</v>
      </c>
      <c r="E56" s="224">
        <f t="shared" si="18"/>
        <v>35</v>
      </c>
      <c r="F56" s="224">
        <f t="shared" si="18"/>
        <v>0</v>
      </c>
      <c r="G56" s="224">
        <f t="shared" si="18"/>
        <v>42</v>
      </c>
      <c r="H56" s="224">
        <f t="shared" si="18"/>
        <v>0</v>
      </c>
      <c r="I56" s="224">
        <f>C56+E56+G56</f>
        <v>88</v>
      </c>
      <c r="J56" s="224">
        <f t="shared" ref="J56" si="19">D56+F56+H56</f>
        <v>0</v>
      </c>
      <c r="K56" s="224">
        <f t="shared" ref="K56" si="20">SUM(I56:J56)</f>
        <v>88</v>
      </c>
      <c r="M56" s="26"/>
      <c r="N56" s="26"/>
      <c r="O56" s="26"/>
      <c r="P56" s="26"/>
      <c r="Q56" s="26"/>
    </row>
    <row r="57" spans="1:21" ht="21" thickBot="1" x14ac:dyDescent="0.35"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M57" s="26"/>
      <c r="N57" s="26"/>
      <c r="O57" s="26"/>
      <c r="P57" s="26"/>
      <c r="Q57" s="26"/>
    </row>
    <row r="58" spans="1:21" ht="21.75" thickTop="1" thickBot="1" x14ac:dyDescent="0.35">
      <c r="M58" s="26"/>
      <c r="N58" s="26"/>
      <c r="O58" s="26"/>
      <c r="P58" s="26"/>
      <c r="Q58" s="26"/>
    </row>
    <row r="59" spans="1:21" ht="34.5" customHeight="1" thickTop="1" thickBot="1" x14ac:dyDescent="0.35">
      <c r="A59" s="215"/>
      <c r="B59" s="227" t="s">
        <v>277</v>
      </c>
      <c r="C59" s="227"/>
      <c r="D59" s="227"/>
      <c r="E59" s="227" t="s">
        <v>282</v>
      </c>
      <c r="F59" s="227"/>
      <c r="G59" s="227"/>
      <c r="H59" s="216" t="s">
        <v>283</v>
      </c>
      <c r="I59" s="216"/>
      <c r="J59" s="216"/>
      <c r="K59" s="216"/>
      <c r="L59" s="216"/>
      <c r="M59" s="216"/>
      <c r="N59" s="216" t="s">
        <v>15</v>
      </c>
      <c r="O59" s="216"/>
      <c r="P59" s="217"/>
      <c r="Q59" s="26"/>
      <c r="R59" s="26"/>
      <c r="S59" s="26"/>
      <c r="T59" s="26"/>
      <c r="U59" s="26"/>
    </row>
    <row r="60" spans="1:21" ht="34.5" customHeight="1" thickTop="1" thickBot="1" x14ac:dyDescent="0.35">
      <c r="A60" s="211"/>
      <c r="B60" s="228"/>
      <c r="C60" s="228"/>
      <c r="D60" s="228"/>
      <c r="E60" s="228"/>
      <c r="F60" s="228"/>
      <c r="G60" s="228"/>
      <c r="H60" s="210" t="s">
        <v>193</v>
      </c>
      <c r="I60" s="210"/>
      <c r="J60" s="210" t="s">
        <v>194</v>
      </c>
      <c r="K60" s="210"/>
      <c r="L60" s="210" t="s">
        <v>195</v>
      </c>
      <c r="M60" s="210"/>
      <c r="N60" s="210"/>
      <c r="O60" s="210"/>
      <c r="P60" s="213"/>
      <c r="Q60" s="26"/>
      <c r="R60" s="26"/>
      <c r="S60" s="26"/>
      <c r="T60" s="26"/>
      <c r="U60" s="26"/>
    </row>
    <row r="61" spans="1:21" ht="21.75" thickTop="1" thickBot="1" x14ac:dyDescent="0.35">
      <c r="A61" s="211"/>
      <c r="B61" s="210" t="s">
        <v>10</v>
      </c>
      <c r="C61" s="210" t="s">
        <v>11</v>
      </c>
      <c r="D61" s="210" t="s">
        <v>15</v>
      </c>
      <c r="E61" s="210" t="s">
        <v>10</v>
      </c>
      <c r="F61" s="210" t="s">
        <v>11</v>
      </c>
      <c r="G61" s="210" t="s">
        <v>15</v>
      </c>
      <c r="H61" s="210" t="s">
        <v>10</v>
      </c>
      <c r="I61" s="210" t="s">
        <v>11</v>
      </c>
      <c r="J61" s="210" t="s">
        <v>10</v>
      </c>
      <c r="K61" s="210" t="s">
        <v>11</v>
      </c>
      <c r="L61" s="210" t="s">
        <v>10</v>
      </c>
      <c r="M61" s="210" t="s">
        <v>11</v>
      </c>
      <c r="N61" s="210" t="s">
        <v>10</v>
      </c>
      <c r="O61" s="210" t="s">
        <v>11</v>
      </c>
      <c r="P61" s="213" t="s">
        <v>15</v>
      </c>
      <c r="Q61" s="26"/>
      <c r="R61" s="26"/>
      <c r="S61" s="26"/>
      <c r="T61" s="26"/>
      <c r="U61" s="26"/>
    </row>
    <row r="62" spans="1:21" ht="21.75" thickTop="1" thickBot="1" x14ac:dyDescent="0.35">
      <c r="A62" s="211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3"/>
    </row>
    <row r="63" spans="1:21" ht="21.75" thickTop="1" thickBot="1" x14ac:dyDescent="0.35">
      <c r="A63" s="211" t="s">
        <v>17</v>
      </c>
      <c r="B63" s="210">
        <f>'التعليم المسرع'!DB49</f>
        <v>0</v>
      </c>
      <c r="C63" s="210">
        <f>'التعليم المسرع'!DC49</f>
        <v>0</v>
      </c>
      <c r="D63" s="210">
        <f>C63+B63</f>
        <v>0</v>
      </c>
      <c r="E63" s="210">
        <f>'التعليم المسرع'!DK49</f>
        <v>13</v>
      </c>
      <c r="F63" s="210">
        <f>'التعليم المسرع'!DL49</f>
        <v>0</v>
      </c>
      <c r="G63" s="210">
        <f t="shared" ref="G63" si="21">F63+E63</f>
        <v>13</v>
      </c>
      <c r="H63" s="210">
        <f>'التعليم المسرع'!DT49</f>
        <v>6</v>
      </c>
      <c r="I63" s="210">
        <f>'التعليم المسرع'!DU49</f>
        <v>0</v>
      </c>
      <c r="J63" s="210">
        <f>'التعليم المسرع'!EC49</f>
        <v>0</v>
      </c>
      <c r="K63" s="210">
        <f>'التعليم المسرع'!ED49</f>
        <v>0</v>
      </c>
      <c r="L63" s="210">
        <f>'التعليم المسرع'!EL49</f>
        <v>0</v>
      </c>
      <c r="M63" s="210">
        <f>'التعليم المسرع'!EM49</f>
        <v>0</v>
      </c>
      <c r="N63" s="210">
        <f>L63+J63+H63</f>
        <v>6</v>
      </c>
      <c r="O63" s="210">
        <f>M63+K63+I63</f>
        <v>0</v>
      </c>
      <c r="P63" s="213">
        <f>O63+N63</f>
        <v>6</v>
      </c>
    </row>
    <row r="64" spans="1:21" ht="21.75" thickTop="1" thickBot="1" x14ac:dyDescent="0.35">
      <c r="A64" s="211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3"/>
    </row>
    <row r="65" spans="1:16" ht="21.75" thickTop="1" thickBot="1" x14ac:dyDescent="0.35">
      <c r="A65" s="211" t="s">
        <v>18</v>
      </c>
      <c r="B65" s="210">
        <f>'التعليم المسرع'!DD49</f>
        <v>0</v>
      </c>
      <c r="C65" s="210">
        <f>'التعليم المسرع'!DE49</f>
        <v>0</v>
      </c>
      <c r="D65" s="210">
        <f t="shared" ref="D65" si="22">C65+B65</f>
        <v>0</v>
      </c>
      <c r="E65" s="210">
        <f>'التعليم المسرع'!DM49</f>
        <v>23</v>
      </c>
      <c r="F65" s="210">
        <f>'التعليم المسرع'!DN49</f>
        <v>0</v>
      </c>
      <c r="G65" s="210">
        <f t="shared" ref="G65" si="23">F65+E65</f>
        <v>23</v>
      </c>
      <c r="H65" s="210">
        <f>'التعليم المسرع'!DV49</f>
        <v>6</v>
      </c>
      <c r="I65" s="210">
        <f>'التعليم المسرع'!DW49</f>
        <v>0</v>
      </c>
      <c r="J65" s="210">
        <f>'التعليم المسرع'!EE49</f>
        <v>0</v>
      </c>
      <c r="K65" s="210">
        <f>'التعليم المسرع'!EF49</f>
        <v>0</v>
      </c>
      <c r="L65" s="210">
        <f>'التعليم المسرع'!EN49</f>
        <v>0</v>
      </c>
      <c r="M65" s="210">
        <f>'التعليم المسرع'!EO49</f>
        <v>0</v>
      </c>
      <c r="N65" s="210">
        <f t="shared" ref="N65" si="24">L65+J65+H65</f>
        <v>6</v>
      </c>
      <c r="O65" s="210">
        <f t="shared" ref="O65" si="25">M65+K65+I65</f>
        <v>0</v>
      </c>
      <c r="P65" s="213">
        <f t="shared" ref="P65" si="26">O65+N65</f>
        <v>6</v>
      </c>
    </row>
    <row r="66" spans="1:16" ht="21.75" thickTop="1" thickBot="1" x14ac:dyDescent="0.35">
      <c r="A66" s="211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3"/>
    </row>
    <row r="67" spans="1:16" ht="21.75" thickTop="1" thickBot="1" x14ac:dyDescent="0.35">
      <c r="A67" s="211" t="s">
        <v>19</v>
      </c>
      <c r="B67" s="210">
        <f>'التعليم المسرع'!DF49</f>
        <v>0</v>
      </c>
      <c r="C67" s="210">
        <f>'التعليم المسرع'!DG49</f>
        <v>0</v>
      </c>
      <c r="D67" s="210">
        <f t="shared" ref="D67" si="27">C67+B67</f>
        <v>0</v>
      </c>
      <c r="E67" s="210">
        <f>'التعليم المسرع'!DO49</f>
        <v>14</v>
      </c>
      <c r="F67" s="210">
        <f>'التعليم المسرع'!DP49</f>
        <v>0</v>
      </c>
      <c r="G67" s="210">
        <f t="shared" ref="G67" si="28">F67+E67</f>
        <v>14</v>
      </c>
      <c r="H67" s="210">
        <f>'التعليم المسرع'!DX49</f>
        <v>24</v>
      </c>
      <c r="I67" s="210">
        <f>'التعليم المسرع'!DY49</f>
        <v>0</v>
      </c>
      <c r="J67" s="210">
        <f>'التعليم المسرع'!EG49</f>
        <v>0</v>
      </c>
      <c r="K67" s="210">
        <f>'التعليم المسرع'!EH49</f>
        <v>0</v>
      </c>
      <c r="L67" s="210">
        <f>'التعليم المسرع'!EP49</f>
        <v>0</v>
      </c>
      <c r="M67" s="210">
        <f>'التعليم المسرع'!EQ49</f>
        <v>0</v>
      </c>
      <c r="N67" s="210">
        <f t="shared" ref="N67" si="29">L67+J67+H67</f>
        <v>24</v>
      </c>
      <c r="O67" s="210">
        <f t="shared" ref="O67" si="30">M67+K67+I67</f>
        <v>0</v>
      </c>
      <c r="P67" s="213">
        <f t="shared" ref="P67" si="31">O67+N67</f>
        <v>24</v>
      </c>
    </row>
    <row r="68" spans="1:16" ht="21.75" thickTop="1" thickBot="1" x14ac:dyDescent="0.35">
      <c r="A68" s="214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29"/>
    </row>
    <row r="69" spans="1:16" ht="21" thickTop="1" x14ac:dyDescent="0.3"/>
  </sheetData>
  <mergeCells count="246">
    <mergeCell ref="P67:P68"/>
    <mergeCell ref="C63:C64"/>
    <mergeCell ref="C65:C66"/>
    <mergeCell ref="C67:C68"/>
    <mergeCell ref="N67:N68"/>
    <mergeCell ref="O67:O68"/>
    <mergeCell ref="P63:P64"/>
    <mergeCell ref="E63:E64"/>
    <mergeCell ref="F63:F64"/>
    <mergeCell ref="E65:E66"/>
    <mergeCell ref="F65:F66"/>
    <mergeCell ref="E67:E68"/>
    <mergeCell ref="F67:F68"/>
    <mergeCell ref="N65:N66"/>
    <mergeCell ref="O65:O66"/>
    <mergeCell ref="P65:P66"/>
    <mergeCell ref="L63:L64"/>
    <mergeCell ref="N63:N64"/>
    <mergeCell ref="O63:O64"/>
    <mergeCell ref="K67:K68"/>
    <mergeCell ref="H67:H68"/>
    <mergeCell ref="I67:I68"/>
    <mergeCell ref="J67:J68"/>
    <mergeCell ref="N59:P60"/>
    <mergeCell ref="B61:B62"/>
    <mergeCell ref="C61:C62"/>
    <mergeCell ref="E61:E62"/>
    <mergeCell ref="F61:F62"/>
    <mergeCell ref="L61:L62"/>
    <mergeCell ref="M61:M62"/>
    <mergeCell ref="N61:N62"/>
    <mergeCell ref="O61:O62"/>
    <mergeCell ref="P61:P62"/>
    <mergeCell ref="B8:D8"/>
    <mergeCell ref="G8:I8"/>
    <mergeCell ref="L8:N8"/>
    <mergeCell ref="B11:C11"/>
    <mergeCell ref="F11:H11"/>
    <mergeCell ref="K11:M11"/>
    <mergeCell ref="A1:C1"/>
    <mergeCell ref="A2:D2"/>
    <mergeCell ref="A3:O3"/>
    <mergeCell ref="B6:D6"/>
    <mergeCell ref="G6:I6"/>
    <mergeCell ref="L6:N6"/>
    <mergeCell ref="B16:G16"/>
    <mergeCell ref="F17:G17"/>
    <mergeCell ref="B18:B19"/>
    <mergeCell ref="C18:C19"/>
    <mergeCell ref="D18:D19"/>
    <mergeCell ref="E18:E19"/>
    <mergeCell ref="F18:G19"/>
    <mergeCell ref="B63:B64"/>
    <mergeCell ref="B20:B21"/>
    <mergeCell ref="C20:C21"/>
    <mergeCell ref="D20:D21"/>
    <mergeCell ref="E20:E21"/>
    <mergeCell ref="F20:G21"/>
    <mergeCell ref="B22:B23"/>
    <mergeCell ref="C22:C23"/>
    <mergeCell ref="D22:D23"/>
    <mergeCell ref="E22:E23"/>
    <mergeCell ref="F22:G23"/>
    <mergeCell ref="F42:F43"/>
    <mergeCell ref="G42:G43"/>
    <mergeCell ref="B31:B32"/>
    <mergeCell ref="C31:C32"/>
    <mergeCell ref="D31:D32"/>
    <mergeCell ref="A36:C36"/>
    <mergeCell ref="A37:D37"/>
    <mergeCell ref="B40:B41"/>
    <mergeCell ref="C40:D40"/>
    <mergeCell ref="E40:F40"/>
    <mergeCell ref="G40:H40"/>
    <mergeCell ref="I40:K40"/>
    <mergeCell ref="K42:K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B42:B43"/>
    <mergeCell ref="C42:C43"/>
    <mergeCell ref="D42:D43"/>
    <mergeCell ref="E42:E43"/>
    <mergeCell ref="H42:H43"/>
    <mergeCell ref="I42:I43"/>
    <mergeCell ref="J42:J43"/>
    <mergeCell ref="K46: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I54:I55"/>
    <mergeCell ref="J54:J55"/>
    <mergeCell ref="K50:K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6:K57"/>
    <mergeCell ref="I16:M16"/>
    <mergeCell ref="I17:I18"/>
    <mergeCell ref="J17:J18"/>
    <mergeCell ref="K17:K18"/>
    <mergeCell ref="L17:L18"/>
    <mergeCell ref="M17:M18"/>
    <mergeCell ref="K54:K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4:B55"/>
    <mergeCell ref="C54:C55"/>
    <mergeCell ref="D54:D55"/>
    <mergeCell ref="E54:E55"/>
    <mergeCell ref="F54:F55"/>
    <mergeCell ref="G54:G55"/>
    <mergeCell ref="H54:H55"/>
    <mergeCell ref="I23:I24"/>
    <mergeCell ref="J23:J24"/>
    <mergeCell ref="K23:K24"/>
    <mergeCell ref="L23:L24"/>
    <mergeCell ref="M23:M24"/>
    <mergeCell ref="B26:K26"/>
    <mergeCell ref="I19:I20"/>
    <mergeCell ref="J19:J20"/>
    <mergeCell ref="K19:K20"/>
    <mergeCell ref="L19:L20"/>
    <mergeCell ref="M19:M20"/>
    <mergeCell ref="I21:I22"/>
    <mergeCell ref="J21:J22"/>
    <mergeCell ref="K21:K22"/>
    <mergeCell ref="L21:L22"/>
    <mergeCell ref="M21:M22"/>
    <mergeCell ref="F24:G24"/>
    <mergeCell ref="H27:H28"/>
    <mergeCell ref="I27:I28"/>
    <mergeCell ref="J27:K28"/>
    <mergeCell ref="B29:B30"/>
    <mergeCell ref="C29:C30"/>
    <mergeCell ref="D29:D30"/>
    <mergeCell ref="E29:E30"/>
    <mergeCell ref="F29:F30"/>
    <mergeCell ref="G29:G30"/>
    <mergeCell ref="H29:H30"/>
    <mergeCell ref="B27:B28"/>
    <mergeCell ref="C27:C28"/>
    <mergeCell ref="D27:D28"/>
    <mergeCell ref="E27:E28"/>
    <mergeCell ref="F27:F28"/>
    <mergeCell ref="G27:G28"/>
    <mergeCell ref="I29:I30"/>
    <mergeCell ref="J29:K30"/>
    <mergeCell ref="E31:E32"/>
    <mergeCell ref="F31:F32"/>
    <mergeCell ref="G31:G32"/>
    <mergeCell ref="H31:H32"/>
    <mergeCell ref="I31:I32"/>
    <mergeCell ref="J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A59:A62"/>
    <mergeCell ref="B59:D60"/>
    <mergeCell ref="E59:G60"/>
    <mergeCell ref="H59:M59"/>
    <mergeCell ref="H60:I60"/>
    <mergeCell ref="J60:K60"/>
    <mergeCell ref="L60:M60"/>
    <mergeCell ref="D61:D62"/>
    <mergeCell ref="G61:G62"/>
    <mergeCell ref="H61:H62"/>
    <mergeCell ref="I61:I62"/>
    <mergeCell ref="J61:J62"/>
    <mergeCell ref="K61:K62"/>
    <mergeCell ref="B67:B68"/>
    <mergeCell ref="B65:B66"/>
    <mergeCell ref="M63:M64"/>
    <mergeCell ref="L65:L66"/>
    <mergeCell ref="M65:M66"/>
    <mergeCell ref="L67:L68"/>
    <mergeCell ref="M67:M68"/>
    <mergeCell ref="A63:A64"/>
    <mergeCell ref="A65:A66"/>
    <mergeCell ref="A67:A68"/>
    <mergeCell ref="D63:D64"/>
    <mergeCell ref="G63:G64"/>
    <mergeCell ref="H63:H64"/>
    <mergeCell ref="I63:I64"/>
    <mergeCell ref="J63:J64"/>
    <mergeCell ref="K63:K64"/>
    <mergeCell ref="D65:D66"/>
    <mergeCell ref="G65:G66"/>
    <mergeCell ref="H65:H66"/>
    <mergeCell ref="I65:I66"/>
    <mergeCell ref="J65:J66"/>
    <mergeCell ref="K65:K66"/>
    <mergeCell ref="D67:D68"/>
    <mergeCell ref="G67:G68"/>
  </mergeCells>
  <printOptions horizontalCentered="1" verticalCentered="1"/>
  <pageMargins left="0.23622047244094491" right="0.23622047244094491" top="0.19685039370078741" bottom="0.19685039370078741" header="0.19685039370078741" footer="0.19685039370078741"/>
  <pageSetup paperSize="9" scale="65" orientation="landscape" horizontalDpi="300" verticalDpi="300" r:id="rId1"/>
  <rowBreaks count="1" manualBreakCount="1">
    <brk id="3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16</vt:i4>
      </vt:variant>
      <vt:variant>
        <vt:lpstr>نطاقات تمت تسميتها</vt:lpstr>
      </vt:variant>
      <vt:variant>
        <vt:i4>13</vt:i4>
      </vt:variant>
    </vt:vector>
  </HeadingPairs>
  <TitlesOfParts>
    <vt:vector size="29" baseType="lpstr">
      <vt:lpstr>التعليم المسرع</vt:lpstr>
      <vt:lpstr>المحافظة</vt:lpstr>
      <vt:lpstr>قضاء النجف</vt:lpstr>
      <vt:lpstr>مركزالنجف</vt:lpstr>
      <vt:lpstr>الحيدرية</vt:lpstr>
      <vt:lpstr>الرضوية</vt:lpstr>
      <vt:lpstr>قضاء الكوفة</vt:lpstr>
      <vt:lpstr>مركزالكوفة</vt:lpstr>
      <vt:lpstr>العباسية</vt:lpstr>
      <vt:lpstr>الحرية</vt:lpstr>
      <vt:lpstr>قضاء المناذرة</vt:lpstr>
      <vt:lpstr>مركزالمناذرة</vt:lpstr>
      <vt:lpstr>الحيرة</vt:lpstr>
      <vt:lpstr>قضاءالمشخاب</vt:lpstr>
      <vt:lpstr>المشخاب</vt:lpstr>
      <vt:lpstr>القادسية</vt:lpstr>
      <vt:lpstr>الحرية!Print_Area</vt:lpstr>
      <vt:lpstr>الحيدرية!Print_Area</vt:lpstr>
      <vt:lpstr>العباسية!Print_Area</vt:lpstr>
      <vt:lpstr>القادسية!Print_Area</vt:lpstr>
      <vt:lpstr>المحافظة!Print_Area</vt:lpstr>
      <vt:lpstr>المشخاب!Print_Area</vt:lpstr>
      <vt:lpstr>'قضاء الكوفة'!Print_Area</vt:lpstr>
      <vt:lpstr>'قضاء المناذرة'!Print_Area</vt:lpstr>
      <vt:lpstr>'قضاء النجف'!Print_Area</vt:lpstr>
      <vt:lpstr>قضاءالمشخاب!Print_Area</vt:lpstr>
      <vt:lpstr>مركزالكوفة!Print_Area</vt:lpstr>
      <vt:lpstr>مركزالمناذرة!Print_Area</vt:lpstr>
      <vt:lpstr>مركزالنجف!Print_Area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2026-02-01T11:12:06Z</dcterms:modified>
</cp:coreProperties>
</file>