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-15" windowWidth="10200" windowHeight="8145" tabRatio="637"/>
  </bookViews>
  <sheets>
    <sheet name="الفنون الصناعية" sheetId="17" r:id="rId1"/>
    <sheet name="محافظة النجف" sheetId="18" r:id="rId2"/>
    <sheet name="قضاء النجف" sheetId="19" r:id="rId3"/>
    <sheet name="قضاء الكوفة" sheetId="20" r:id="rId4"/>
  </sheets>
  <definedNames>
    <definedName name="_xlnm.Print_Area" localSheetId="3">'قضاء الكوفة'!$A$1:$P$35</definedName>
    <definedName name="_xlnm.Print_Area" localSheetId="2">'قضاء النجف'!$A$1:$P$36</definedName>
    <definedName name="_xlnm.Print_Area" localSheetId="1">'محافظة النجف'!$A$1:$P$35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11" i="17" l="1"/>
  <c r="W11" i="17"/>
  <c r="CH8" i="17" l="1"/>
  <c r="CT13" i="17" l="1"/>
  <c r="CH6" i="17" l="1"/>
  <c r="CI6" i="17"/>
  <c r="CJ6" i="17"/>
  <c r="CK6" i="17"/>
  <c r="CL6" i="17"/>
  <c r="CM6" i="17"/>
  <c r="CN6" i="17"/>
  <c r="CO6" i="17"/>
  <c r="CP6" i="17"/>
  <c r="CQ6" i="17"/>
  <c r="CR6" i="17"/>
  <c r="CS6" i="17"/>
  <c r="CH7" i="17"/>
  <c r="CI7" i="17"/>
  <c r="CJ7" i="17"/>
  <c r="CK7" i="17"/>
  <c r="CL7" i="17"/>
  <c r="CM7" i="17"/>
  <c r="CN7" i="17"/>
  <c r="CO7" i="17"/>
  <c r="CP7" i="17"/>
  <c r="CQ7" i="17"/>
  <c r="CR7" i="17"/>
  <c r="CS7" i="17"/>
  <c r="CI8" i="17"/>
  <c r="CJ8" i="17"/>
  <c r="CK8" i="17"/>
  <c r="CL8" i="17"/>
  <c r="CM8" i="17"/>
  <c r="CN8" i="17"/>
  <c r="CO8" i="17"/>
  <c r="CP8" i="17"/>
  <c r="CQ8" i="17"/>
  <c r="CR8" i="17"/>
  <c r="CS8" i="17"/>
  <c r="CH9" i="17"/>
  <c r="CI9" i="17"/>
  <c r="CJ9" i="17"/>
  <c r="CK9" i="17"/>
  <c r="CL9" i="17"/>
  <c r="CM9" i="17"/>
  <c r="CN9" i="17"/>
  <c r="CO9" i="17"/>
  <c r="CP9" i="17"/>
  <c r="CQ9" i="17"/>
  <c r="CR9" i="17"/>
  <c r="CS9" i="17"/>
  <c r="CH11" i="17"/>
  <c r="CH12" i="17" s="1"/>
  <c r="CI11" i="17"/>
  <c r="CJ11" i="17"/>
  <c r="CJ12" i="17" s="1"/>
  <c r="CK11" i="17"/>
  <c r="CK12" i="17" s="1"/>
  <c r="CL11" i="17"/>
  <c r="CL12" i="17" s="1"/>
  <c r="CM11" i="17"/>
  <c r="CM12" i="17" s="1"/>
  <c r="CN11" i="17"/>
  <c r="CN12" i="17" s="1"/>
  <c r="CO11" i="17"/>
  <c r="CO12" i="17" s="1"/>
  <c r="CP11" i="17"/>
  <c r="CP12" i="17" s="1"/>
  <c r="CQ11" i="17"/>
  <c r="CQ12" i="17" s="1"/>
  <c r="CR11" i="17"/>
  <c r="CR12" i="17" s="1"/>
  <c r="CS11" i="17"/>
  <c r="CS12" i="17" s="1"/>
  <c r="AG10" i="17"/>
  <c r="G26" i="19" s="1"/>
  <c r="AH6" i="17"/>
  <c r="AI6" i="17"/>
  <c r="AJ6" i="17"/>
  <c r="AH7" i="17"/>
  <c r="AI7" i="17"/>
  <c r="AJ7" i="17"/>
  <c r="AH8" i="17"/>
  <c r="AI8" i="17"/>
  <c r="AJ8" i="17"/>
  <c r="AH9" i="17"/>
  <c r="AI9" i="17"/>
  <c r="AJ9" i="17"/>
  <c r="AH11" i="17"/>
  <c r="AH12" i="17" s="1"/>
  <c r="AI11" i="17"/>
  <c r="AI12" i="17" s="1"/>
  <c r="AJ11" i="17"/>
  <c r="AJ12" i="17" s="1"/>
  <c r="V10" i="17"/>
  <c r="I21" i="19" s="1"/>
  <c r="W6" i="17"/>
  <c r="X6" i="17"/>
  <c r="W7" i="17"/>
  <c r="X7" i="17"/>
  <c r="W8" i="17"/>
  <c r="X8" i="17"/>
  <c r="W9" i="17"/>
  <c r="X9" i="17"/>
  <c r="W12" i="17"/>
  <c r="X12" i="17"/>
  <c r="X5" i="17"/>
  <c r="W5" i="17"/>
  <c r="G12" i="17"/>
  <c r="D12" i="20" s="1"/>
  <c r="H12" i="17"/>
  <c r="E12" i="20" s="1"/>
  <c r="I12" i="17"/>
  <c r="F12" i="20" s="1"/>
  <c r="J12" i="17"/>
  <c r="G12" i="20" s="1"/>
  <c r="K12" i="17"/>
  <c r="H12" i="20" s="1"/>
  <c r="L12" i="17"/>
  <c r="I12" i="20" s="1"/>
  <c r="M12" i="17"/>
  <c r="C16" i="20" s="1"/>
  <c r="N12" i="17"/>
  <c r="E16" i="20" s="1"/>
  <c r="O12" i="17"/>
  <c r="F16" i="20" s="1"/>
  <c r="P12" i="17"/>
  <c r="H16" i="20" s="1"/>
  <c r="Q12" i="17"/>
  <c r="D21" i="20" s="1"/>
  <c r="R12" i="17"/>
  <c r="E21" i="20" s="1"/>
  <c r="S12" i="17"/>
  <c r="F21" i="20" s="1"/>
  <c r="T12" i="17"/>
  <c r="G21" i="20" s="1"/>
  <c r="U12" i="17"/>
  <c r="H21" i="20" s="1"/>
  <c r="V12" i="17"/>
  <c r="I21" i="20" s="1"/>
  <c r="Y12" i="17"/>
  <c r="E24" i="20" s="1"/>
  <c r="Z12" i="17"/>
  <c r="E25" i="20" s="1"/>
  <c r="AA12" i="17"/>
  <c r="E26" i="20" s="1"/>
  <c r="AB12" i="17"/>
  <c r="F24" i="20" s="1"/>
  <c r="AC12" i="17"/>
  <c r="F25" i="20" s="1"/>
  <c r="AD12" i="17"/>
  <c r="F26" i="20" s="1"/>
  <c r="AE12" i="17"/>
  <c r="G24" i="20" s="1"/>
  <c r="AF12" i="17"/>
  <c r="G25" i="20" s="1"/>
  <c r="AG12" i="17"/>
  <c r="G26" i="20" s="1"/>
  <c r="AL12" i="17"/>
  <c r="B31" i="20" s="1"/>
  <c r="AM12" i="17"/>
  <c r="C31" i="20" s="1"/>
  <c r="AN12" i="17"/>
  <c r="D31" i="20" s="1"/>
  <c r="AO12" i="17"/>
  <c r="E31" i="20" s="1"/>
  <c r="AP12" i="17"/>
  <c r="F31" i="20" s="1"/>
  <c r="AQ12" i="17"/>
  <c r="G31" i="20" s="1"/>
  <c r="AR12" i="17"/>
  <c r="H31" i="20" s="1"/>
  <c r="AS12" i="17"/>
  <c r="I31" i="20" s="1"/>
  <c r="AT12" i="17"/>
  <c r="J31" i="20" s="1"/>
  <c r="AU12" i="17"/>
  <c r="K31" i="20" s="1"/>
  <c r="AV12" i="17"/>
  <c r="L31" i="20" s="1"/>
  <c r="AW12" i="17"/>
  <c r="M31" i="20" s="1"/>
  <c r="AX12" i="17"/>
  <c r="B32" i="20" s="1"/>
  <c r="AY12" i="17"/>
  <c r="C32" i="20" s="1"/>
  <c r="AZ12" i="17"/>
  <c r="D32" i="20" s="1"/>
  <c r="BA12" i="17"/>
  <c r="E32" i="20" s="1"/>
  <c r="BB12" i="17"/>
  <c r="F32" i="20" s="1"/>
  <c r="BC12" i="17"/>
  <c r="G32" i="20" s="1"/>
  <c r="BD12" i="17"/>
  <c r="H32" i="20" s="1"/>
  <c r="BE12" i="17"/>
  <c r="I32" i="20" s="1"/>
  <c r="BF12" i="17"/>
  <c r="J32" i="20" s="1"/>
  <c r="BG12" i="17"/>
  <c r="K32" i="20" s="1"/>
  <c r="BH12" i="17"/>
  <c r="L32" i="20" s="1"/>
  <c r="BI12" i="17"/>
  <c r="M32" i="20" s="1"/>
  <c r="BJ12" i="17"/>
  <c r="B33" i="20" s="1"/>
  <c r="BK12" i="17"/>
  <c r="C33" i="20" s="1"/>
  <c r="BL12" i="17"/>
  <c r="D33" i="20" s="1"/>
  <c r="BM12" i="17"/>
  <c r="E33" i="20" s="1"/>
  <c r="BN12" i="17"/>
  <c r="F33" i="20" s="1"/>
  <c r="BO12" i="17"/>
  <c r="G33" i="20" s="1"/>
  <c r="BP12" i="17"/>
  <c r="H33" i="20" s="1"/>
  <c r="BQ12" i="17"/>
  <c r="I33" i="20" s="1"/>
  <c r="BR12" i="17"/>
  <c r="J33" i="20" s="1"/>
  <c r="BS12" i="17"/>
  <c r="K33" i="20" s="1"/>
  <c r="BT12" i="17"/>
  <c r="L33" i="20" s="1"/>
  <c r="BU12" i="17"/>
  <c r="M33" i="20" s="1"/>
  <c r="BV12" i="17"/>
  <c r="B34" i="20" s="1"/>
  <c r="BW12" i="17"/>
  <c r="C34" i="20" s="1"/>
  <c r="BX12" i="17"/>
  <c r="D34" i="20" s="1"/>
  <c r="BY12" i="17"/>
  <c r="E34" i="20" s="1"/>
  <c r="BZ12" i="17"/>
  <c r="F34" i="20" s="1"/>
  <c r="CA12" i="17"/>
  <c r="G34" i="20" s="1"/>
  <c r="CB12" i="17"/>
  <c r="H34" i="20" s="1"/>
  <c r="CC12" i="17"/>
  <c r="I34" i="20" s="1"/>
  <c r="CD12" i="17"/>
  <c r="J34" i="20" s="1"/>
  <c r="CE12" i="17"/>
  <c r="K34" i="20" s="1"/>
  <c r="CF12" i="17"/>
  <c r="L34" i="20" s="1"/>
  <c r="CG12" i="17"/>
  <c r="M34" i="20" s="1"/>
  <c r="CI12" i="17"/>
  <c r="G10" i="17"/>
  <c r="D12" i="19" s="1"/>
  <c r="H10" i="17"/>
  <c r="E12" i="19" s="1"/>
  <c r="I10" i="17"/>
  <c r="F12" i="19" s="1"/>
  <c r="J10" i="17"/>
  <c r="G12" i="19" s="1"/>
  <c r="K10" i="17"/>
  <c r="H12" i="19" s="1"/>
  <c r="L10" i="17"/>
  <c r="I12" i="19" s="1"/>
  <c r="M10" i="17"/>
  <c r="C16" i="19" s="1"/>
  <c r="N10" i="17"/>
  <c r="E16" i="19" s="1"/>
  <c r="O10" i="17"/>
  <c r="F16" i="19" s="1"/>
  <c r="P10" i="17"/>
  <c r="H16" i="19" s="1"/>
  <c r="Q10" i="17"/>
  <c r="D21" i="19" s="1"/>
  <c r="R10" i="17"/>
  <c r="E21" i="19" s="1"/>
  <c r="S10" i="17"/>
  <c r="F21" i="19" s="1"/>
  <c r="T10" i="17"/>
  <c r="G21" i="19" s="1"/>
  <c r="U10" i="17"/>
  <c r="H21" i="19" s="1"/>
  <c r="Y10" i="17"/>
  <c r="E24" i="19" s="1"/>
  <c r="Z10" i="17"/>
  <c r="E25" i="19" s="1"/>
  <c r="AA10" i="17"/>
  <c r="E26" i="19" s="1"/>
  <c r="AB10" i="17"/>
  <c r="F24" i="19" s="1"/>
  <c r="AC10" i="17"/>
  <c r="F25" i="19" s="1"/>
  <c r="AD10" i="17"/>
  <c r="F26" i="19" s="1"/>
  <c r="AE10" i="17"/>
  <c r="G24" i="19" s="1"/>
  <c r="AF10" i="17"/>
  <c r="G25" i="19" s="1"/>
  <c r="AL10" i="17"/>
  <c r="B32" i="19" s="1"/>
  <c r="AM10" i="17"/>
  <c r="C32" i="19" s="1"/>
  <c r="AN10" i="17"/>
  <c r="D32" i="19" s="1"/>
  <c r="AO10" i="17"/>
  <c r="E32" i="19" s="1"/>
  <c r="AP10" i="17"/>
  <c r="F32" i="19" s="1"/>
  <c r="AQ10" i="17"/>
  <c r="G32" i="19" s="1"/>
  <c r="AR10" i="17"/>
  <c r="H32" i="19" s="1"/>
  <c r="AS10" i="17"/>
  <c r="I32" i="19" s="1"/>
  <c r="AT10" i="17"/>
  <c r="J32" i="19" s="1"/>
  <c r="AU10" i="17"/>
  <c r="K32" i="19" s="1"/>
  <c r="AV10" i="17"/>
  <c r="L32" i="19" s="1"/>
  <c r="AW10" i="17"/>
  <c r="M32" i="19" s="1"/>
  <c r="AX10" i="17"/>
  <c r="B33" i="19" s="1"/>
  <c r="AY10" i="17"/>
  <c r="C33" i="19" s="1"/>
  <c r="AZ10" i="17"/>
  <c r="D33" i="19" s="1"/>
  <c r="BA10" i="17"/>
  <c r="E33" i="19" s="1"/>
  <c r="BB10" i="17"/>
  <c r="F33" i="19" s="1"/>
  <c r="BC10" i="17"/>
  <c r="G33" i="19" s="1"/>
  <c r="BD10" i="17"/>
  <c r="H33" i="19" s="1"/>
  <c r="BE10" i="17"/>
  <c r="I33" i="19" s="1"/>
  <c r="BF10" i="17"/>
  <c r="J33" i="19" s="1"/>
  <c r="BG10" i="17"/>
  <c r="K33" i="19" s="1"/>
  <c r="BH10" i="17"/>
  <c r="L33" i="19" s="1"/>
  <c r="BI10" i="17"/>
  <c r="M33" i="19" s="1"/>
  <c r="BJ10" i="17"/>
  <c r="B34" i="19" s="1"/>
  <c r="BK10" i="17"/>
  <c r="C34" i="19" s="1"/>
  <c r="BL10" i="17"/>
  <c r="D34" i="19" s="1"/>
  <c r="BM10" i="17"/>
  <c r="E34" i="19" s="1"/>
  <c r="BN10" i="17"/>
  <c r="F34" i="19" s="1"/>
  <c r="BO10" i="17"/>
  <c r="G34" i="19" s="1"/>
  <c r="BP10" i="17"/>
  <c r="H34" i="19" s="1"/>
  <c r="BQ10" i="17"/>
  <c r="I34" i="19" s="1"/>
  <c r="BR10" i="17"/>
  <c r="J34" i="19" s="1"/>
  <c r="BS10" i="17"/>
  <c r="K34" i="19" s="1"/>
  <c r="BT10" i="17"/>
  <c r="L34" i="19" s="1"/>
  <c r="BU10" i="17"/>
  <c r="M34" i="19" s="1"/>
  <c r="BV10" i="17"/>
  <c r="B35" i="19" s="1"/>
  <c r="BW10" i="17"/>
  <c r="C35" i="19" s="1"/>
  <c r="BX10" i="17"/>
  <c r="D35" i="19" s="1"/>
  <c r="BY10" i="17"/>
  <c r="E35" i="19" s="1"/>
  <c r="BZ10" i="17"/>
  <c r="F35" i="19" s="1"/>
  <c r="CA10" i="17"/>
  <c r="G35" i="19" s="1"/>
  <c r="CB10" i="17"/>
  <c r="H35" i="19" s="1"/>
  <c r="CC10" i="17"/>
  <c r="I35" i="19" s="1"/>
  <c r="CD10" i="17"/>
  <c r="J35" i="19" s="1"/>
  <c r="CE10" i="17"/>
  <c r="K35" i="19" s="1"/>
  <c r="CF10" i="17"/>
  <c r="L35" i="19" s="1"/>
  <c r="CG10" i="17"/>
  <c r="M35" i="19" s="1"/>
  <c r="F10" i="17"/>
  <c r="C12" i="19" s="1"/>
  <c r="F12" i="17"/>
  <c r="C12" i="20" s="1"/>
  <c r="CI5" i="17"/>
  <c r="CJ5" i="17"/>
  <c r="CK5" i="17"/>
  <c r="CL5" i="17"/>
  <c r="CM5" i="17"/>
  <c r="CN5" i="17"/>
  <c r="CO5" i="17"/>
  <c r="CP5" i="17"/>
  <c r="CQ5" i="17"/>
  <c r="CR5" i="17"/>
  <c r="CS5" i="17"/>
  <c r="CH5" i="17"/>
  <c r="AJ5" i="17"/>
  <c r="AI5" i="17"/>
  <c r="AH5" i="17"/>
  <c r="N33" i="20" l="1"/>
  <c r="N31" i="20"/>
  <c r="O32" i="19"/>
  <c r="O35" i="19"/>
  <c r="N34" i="20"/>
  <c r="N32" i="20"/>
  <c r="O33" i="19"/>
  <c r="O34" i="19"/>
  <c r="CT7" i="17"/>
  <c r="AK7" i="17"/>
  <c r="N35" i="19"/>
  <c r="N33" i="19"/>
  <c r="N32" i="19"/>
  <c r="P32" i="19" s="1"/>
  <c r="CT5" i="17"/>
  <c r="O34" i="20"/>
  <c r="O33" i="20"/>
  <c r="O32" i="20"/>
  <c r="O31" i="20"/>
  <c r="P31" i="20" s="1"/>
  <c r="P34" i="20"/>
  <c r="AK8" i="17"/>
  <c r="N34" i="19"/>
  <c r="CT9" i="17"/>
  <c r="CT12" i="17"/>
  <c r="CT11" i="17"/>
  <c r="CT8" i="17"/>
  <c r="CT6" i="17"/>
  <c r="H25" i="19"/>
  <c r="AK11" i="17"/>
  <c r="AK12" i="17" s="1"/>
  <c r="AK6" i="17"/>
  <c r="AH10" i="17"/>
  <c r="AH14" i="17" s="1"/>
  <c r="AK9" i="17"/>
  <c r="M35" i="20"/>
  <c r="L35" i="20"/>
  <c r="K35" i="20"/>
  <c r="J35" i="20"/>
  <c r="I35" i="20"/>
  <c r="H35" i="20"/>
  <c r="G35" i="20"/>
  <c r="F35" i="20"/>
  <c r="E35" i="20"/>
  <c r="D35" i="20"/>
  <c r="C35" i="20"/>
  <c r="B35" i="20"/>
  <c r="AG14" i="17"/>
  <c r="I25" i="18" s="1"/>
  <c r="V14" i="17"/>
  <c r="J20" i="18" s="1"/>
  <c r="X10" i="17"/>
  <c r="X14" i="17" s="1"/>
  <c r="W10" i="17"/>
  <c r="W14" i="17" s="1"/>
  <c r="AI10" i="17"/>
  <c r="AI14" i="17" s="1"/>
  <c r="CS10" i="17"/>
  <c r="CS14" i="17" s="1"/>
  <c r="CR10" i="17"/>
  <c r="CR14" i="17" s="1"/>
  <c r="CQ10" i="17"/>
  <c r="CQ14" i="17" s="1"/>
  <c r="CP10" i="17"/>
  <c r="CP14" i="17" s="1"/>
  <c r="CO10" i="17"/>
  <c r="CO14" i="17" s="1"/>
  <c r="CN10" i="17"/>
  <c r="CN14" i="17" s="1"/>
  <c r="CM10" i="17"/>
  <c r="CM14" i="17" s="1"/>
  <c r="CL10" i="17"/>
  <c r="CL14" i="17" s="1"/>
  <c r="CK10" i="17"/>
  <c r="CK14" i="17" s="1"/>
  <c r="CJ10" i="17"/>
  <c r="CJ14" i="17" s="1"/>
  <c r="CI10" i="17"/>
  <c r="CI14" i="17" s="1"/>
  <c r="CH10" i="17"/>
  <c r="CH14" i="17" s="1"/>
  <c r="M36" i="19"/>
  <c r="K36" i="19"/>
  <c r="J36" i="19"/>
  <c r="H36" i="19"/>
  <c r="G36" i="19"/>
  <c r="F36" i="19"/>
  <c r="E36" i="19"/>
  <c r="D36" i="19"/>
  <c r="L36" i="19"/>
  <c r="I36" i="19"/>
  <c r="C36" i="19"/>
  <c r="B36" i="19"/>
  <c r="G27" i="19"/>
  <c r="F27" i="19"/>
  <c r="CG14" i="17"/>
  <c r="M33" i="18" s="1"/>
  <c r="CF14" i="17"/>
  <c r="L33" i="18" s="1"/>
  <c r="CE14" i="17"/>
  <c r="K33" i="18" s="1"/>
  <c r="CD14" i="17"/>
  <c r="J33" i="18" s="1"/>
  <c r="CC14" i="17"/>
  <c r="I33" i="18" s="1"/>
  <c r="CB14" i="17"/>
  <c r="H33" i="18" s="1"/>
  <c r="CA14" i="17"/>
  <c r="G33" i="18" s="1"/>
  <c r="BZ14" i="17"/>
  <c r="F33" i="18" s="1"/>
  <c r="BY14" i="17"/>
  <c r="E33" i="18" s="1"/>
  <c r="BX14" i="17"/>
  <c r="D33" i="18" s="1"/>
  <c r="BW14" i="17"/>
  <c r="C33" i="18" s="1"/>
  <c r="BV14" i="17"/>
  <c r="B33" i="18" s="1"/>
  <c r="BU14" i="17"/>
  <c r="M32" i="18" s="1"/>
  <c r="BS14" i="17"/>
  <c r="K32" i="18" s="1"/>
  <c r="BR14" i="17"/>
  <c r="J32" i="18" s="1"/>
  <c r="BQ14" i="17"/>
  <c r="I32" i="18" s="1"/>
  <c r="BP14" i="17"/>
  <c r="H32" i="18" s="1"/>
  <c r="BO14" i="17"/>
  <c r="G32" i="18" s="1"/>
  <c r="BN14" i="17"/>
  <c r="F32" i="18" s="1"/>
  <c r="BM14" i="17"/>
  <c r="E32" i="18" s="1"/>
  <c r="BL14" i="17"/>
  <c r="D32" i="18" s="1"/>
  <c r="BK14" i="17"/>
  <c r="C32" i="18" s="1"/>
  <c r="BJ14" i="17"/>
  <c r="B32" i="18" s="1"/>
  <c r="BI14" i="17"/>
  <c r="M31" i="18" s="1"/>
  <c r="BH14" i="17"/>
  <c r="L31" i="18" s="1"/>
  <c r="BG14" i="17"/>
  <c r="K31" i="18" s="1"/>
  <c r="BF14" i="17"/>
  <c r="J31" i="18" s="1"/>
  <c r="BD14" i="17"/>
  <c r="H31" i="18" s="1"/>
  <c r="BC14" i="17"/>
  <c r="G31" i="18" s="1"/>
  <c r="BB14" i="17"/>
  <c r="F31" i="18" s="1"/>
  <c r="BA14" i="17"/>
  <c r="E31" i="18" s="1"/>
  <c r="AZ14" i="17"/>
  <c r="D31" i="18" s="1"/>
  <c r="AW14" i="17"/>
  <c r="M30" i="18" s="1"/>
  <c r="AV14" i="17"/>
  <c r="L30" i="18" s="1"/>
  <c r="AU14" i="17"/>
  <c r="K30" i="18" s="1"/>
  <c r="AT14" i="17"/>
  <c r="J30" i="18" s="1"/>
  <c r="AS14" i="17"/>
  <c r="I30" i="18" s="1"/>
  <c r="AR14" i="17"/>
  <c r="H30" i="18" s="1"/>
  <c r="AQ14" i="17"/>
  <c r="G30" i="18" s="1"/>
  <c r="AP14" i="17"/>
  <c r="F30" i="18" s="1"/>
  <c r="AO14" i="17"/>
  <c r="E30" i="18" s="1"/>
  <c r="AN14" i="17"/>
  <c r="D30" i="18" s="1"/>
  <c r="AM14" i="17"/>
  <c r="C30" i="18" s="1"/>
  <c r="AL14" i="17"/>
  <c r="B30" i="18" s="1"/>
  <c r="AF14" i="17"/>
  <c r="I24" i="18" s="1"/>
  <c r="AD14" i="17"/>
  <c r="H25" i="18" s="1"/>
  <c r="AC14" i="17"/>
  <c r="H24" i="18" s="1"/>
  <c r="AA14" i="17"/>
  <c r="G25" i="18" s="1"/>
  <c r="Z14" i="17"/>
  <c r="G24" i="18" s="1"/>
  <c r="T14" i="17"/>
  <c r="H20" i="18" s="1"/>
  <c r="R14" i="17"/>
  <c r="F20" i="18" s="1"/>
  <c r="P14" i="17"/>
  <c r="I15" i="18" s="1"/>
  <c r="M14" i="17"/>
  <c r="D15" i="18" s="1"/>
  <c r="L14" i="17"/>
  <c r="J11" i="18" s="1"/>
  <c r="J14" i="17"/>
  <c r="H11" i="18" s="1"/>
  <c r="H14" i="17"/>
  <c r="F11" i="18" s="1"/>
  <c r="G14" i="17"/>
  <c r="E11" i="18" s="1"/>
  <c r="K21" i="19"/>
  <c r="AJ10" i="17"/>
  <c r="AJ14" i="17" s="1"/>
  <c r="BT14" i="17"/>
  <c r="L32" i="18" s="1"/>
  <c r="BE14" i="17"/>
  <c r="I31" i="18" s="1"/>
  <c r="AY14" i="17"/>
  <c r="C31" i="18" s="1"/>
  <c r="AX14" i="17"/>
  <c r="B31" i="18" s="1"/>
  <c r="AE14" i="17"/>
  <c r="I23" i="18" s="1"/>
  <c r="AB14" i="17"/>
  <c r="H23" i="18" s="1"/>
  <c r="E27" i="19"/>
  <c r="H24" i="19"/>
  <c r="AK5" i="17"/>
  <c r="Y14" i="17"/>
  <c r="G23" i="18" s="1"/>
  <c r="U14" i="17"/>
  <c r="I20" i="18" s="1"/>
  <c r="J21" i="19"/>
  <c r="S14" i="17"/>
  <c r="G20" i="18" s="1"/>
  <c r="Q14" i="17"/>
  <c r="E20" i="18" s="1"/>
  <c r="O14" i="17"/>
  <c r="G15" i="18" s="1"/>
  <c r="N14" i="17"/>
  <c r="F15" i="18" s="1"/>
  <c r="K14" i="17"/>
  <c r="I11" i="18" s="1"/>
  <c r="I14" i="17"/>
  <c r="G11" i="18" s="1"/>
  <c r="F14" i="17"/>
  <c r="D11" i="18" s="1"/>
  <c r="J21" i="20"/>
  <c r="K21" i="20"/>
  <c r="H24" i="20"/>
  <c r="H25" i="20"/>
  <c r="E27" i="20"/>
  <c r="F27" i="20"/>
  <c r="G27" i="20"/>
  <c r="H26" i="20"/>
  <c r="H26" i="19"/>
  <c r="P33" i="20" l="1"/>
  <c r="P34" i="19"/>
  <c r="P35" i="19"/>
  <c r="J34" i="18"/>
  <c r="L21" i="20"/>
  <c r="L21" i="19"/>
  <c r="P32" i="20"/>
  <c r="P33" i="19"/>
  <c r="N36" i="19"/>
  <c r="O36" i="19"/>
  <c r="N35" i="20"/>
  <c r="O35" i="20"/>
  <c r="I34" i="18"/>
  <c r="E34" i="18"/>
  <c r="J25" i="18"/>
  <c r="N32" i="18"/>
  <c r="O31" i="18"/>
  <c r="N30" i="18"/>
  <c r="N33" i="18"/>
  <c r="M34" i="18"/>
  <c r="O30" i="18"/>
  <c r="N31" i="18"/>
  <c r="O32" i="18"/>
  <c r="O33" i="18"/>
  <c r="H34" i="18"/>
  <c r="D34" i="18"/>
  <c r="CT14" i="17"/>
  <c r="CT10" i="17"/>
  <c r="C34" i="18"/>
  <c r="B34" i="18"/>
  <c r="AK10" i="17"/>
  <c r="AK14" i="17" s="1"/>
  <c r="I26" i="18"/>
  <c r="H27" i="19"/>
  <c r="H27" i="20"/>
  <c r="H26" i="18"/>
  <c r="K20" i="18"/>
  <c r="G34" i="18"/>
  <c r="K34" i="18"/>
  <c r="L34" i="18"/>
  <c r="F34" i="18"/>
  <c r="L20" i="18"/>
  <c r="J24" i="18"/>
  <c r="J23" i="18"/>
  <c r="G26" i="18"/>
  <c r="P32" i="18" l="1"/>
  <c r="M20" i="18"/>
  <c r="P35" i="20"/>
  <c r="P36" i="19"/>
  <c r="O34" i="18"/>
  <c r="N34" i="18"/>
  <c r="P33" i="18"/>
  <c r="P31" i="18"/>
  <c r="P30" i="18"/>
  <c r="J26" i="18"/>
  <c r="P34" i="18" l="1"/>
</calcChain>
</file>

<file path=xl/sharedStrings.xml><?xml version="1.0" encoding="utf-8"?>
<sst xmlns="http://schemas.openxmlformats.org/spreadsheetml/2006/main" count="422" uniqueCount="76">
  <si>
    <t>ت</t>
  </si>
  <si>
    <t>بنون</t>
  </si>
  <si>
    <t>بنات</t>
  </si>
  <si>
    <t>مختلط</t>
  </si>
  <si>
    <t>المجموع</t>
  </si>
  <si>
    <t>اناث</t>
  </si>
  <si>
    <t>ذكور</t>
  </si>
  <si>
    <t>نعم</t>
  </si>
  <si>
    <t>مجموع</t>
  </si>
  <si>
    <t>عدد الشعب</t>
  </si>
  <si>
    <t>صالحة</t>
  </si>
  <si>
    <t>غير صالحة</t>
  </si>
  <si>
    <t>بحاجة الى ترميم</t>
  </si>
  <si>
    <t>النجف</t>
  </si>
  <si>
    <t>المركز</t>
  </si>
  <si>
    <t>المديرية العامة للتربية في محافظة النجف الاشرف</t>
  </si>
  <si>
    <t>الصف الثاني</t>
  </si>
  <si>
    <t xml:space="preserve">وزارة التربية </t>
  </si>
  <si>
    <t>المديرية العامة للتخطيط التربوي</t>
  </si>
  <si>
    <t>مديرية الاحصاء</t>
  </si>
  <si>
    <t>المحافظة : النجف الاشرف</t>
  </si>
  <si>
    <t>القضاء : النجف</t>
  </si>
  <si>
    <t>بناية الاقسام</t>
  </si>
  <si>
    <t>نظام الاقسام</t>
  </si>
  <si>
    <t>هل البناية صممت لتكون ورشة</t>
  </si>
  <si>
    <t>الورش الخمس</t>
  </si>
  <si>
    <t>متعدد الاغراض</t>
  </si>
  <si>
    <t>لا</t>
  </si>
  <si>
    <t>هل يمكن باضافة ورش جديدة اخرى</t>
  </si>
  <si>
    <t xml:space="preserve">عدد اعضاء الهيئة التدريسية المشاركين بالدورات </t>
  </si>
  <si>
    <t>تأهيلية</t>
  </si>
  <si>
    <t>تطويرية</t>
  </si>
  <si>
    <t xml:space="preserve">عدد الطلبة المسجلين حسب الصف والجنس </t>
  </si>
  <si>
    <t xml:space="preserve">    الصف</t>
  </si>
  <si>
    <t>الصف الاول</t>
  </si>
  <si>
    <t>الصف الثالث</t>
  </si>
  <si>
    <t>الطلبة</t>
  </si>
  <si>
    <t xml:space="preserve">ملاك الاقسام حسب الاختصاص والشهادة </t>
  </si>
  <si>
    <t>الاختصاص الشهادة</t>
  </si>
  <si>
    <t>كهرباء</t>
  </si>
  <si>
    <t>ميكانيك</t>
  </si>
  <si>
    <t>معادن</t>
  </si>
  <si>
    <t>رسم هندسي</t>
  </si>
  <si>
    <t>سيراميك</t>
  </si>
  <si>
    <t>نجارة</t>
  </si>
  <si>
    <t>بكلوريوس</t>
  </si>
  <si>
    <t>دبلوم</t>
  </si>
  <si>
    <t>اعدادية صناعة</t>
  </si>
  <si>
    <t>دورات</t>
  </si>
  <si>
    <t xml:space="preserve">القضاء : </t>
  </si>
  <si>
    <t>الناحية :</t>
  </si>
  <si>
    <t>قسم التخطيط التربوي</t>
  </si>
  <si>
    <t>شعبة الاحصاء</t>
  </si>
  <si>
    <t>الاول</t>
  </si>
  <si>
    <t>الثاني</t>
  </si>
  <si>
    <t>الثالث</t>
  </si>
  <si>
    <t>بكالوريوس</t>
  </si>
  <si>
    <t>المجموع الكلي</t>
  </si>
  <si>
    <t>الناحية</t>
  </si>
  <si>
    <t>القضاء</t>
  </si>
  <si>
    <t>المحافظة</t>
  </si>
  <si>
    <t>اسم المدرسة</t>
  </si>
  <si>
    <t>قضاء الكوفة</t>
  </si>
  <si>
    <t>الكوفة</t>
  </si>
  <si>
    <t>متوسطة المصطفى للتعليم الاساسي</t>
  </si>
  <si>
    <t>متوسطة السدير للتعليم الاساسي</t>
  </si>
  <si>
    <t>متوسطة بغداد للتعليم الاساسي</t>
  </si>
  <si>
    <t>متوسطة دمشق للتعليم الاساسي</t>
  </si>
  <si>
    <t>متوسطة الامام الهادي للتعليم الاساسي</t>
  </si>
  <si>
    <t>متوسطة بلقيس للتعليم الاساسي</t>
  </si>
  <si>
    <t>القضاء : الكوفة</t>
  </si>
  <si>
    <t>الفنون الصناعية</t>
  </si>
  <si>
    <t xml:space="preserve">قضاء النجف </t>
  </si>
  <si>
    <t xml:space="preserve">المجموع الكلي لمحافظة النجف الاشرف ( الفنون الصناعية ) </t>
  </si>
  <si>
    <t>الاستمارة الاحصائية  للمدارس المشمولة باقسام الفنون الصناعية 2024 /2025</t>
  </si>
  <si>
    <t xml:space="preserve">الاستمارة الاحصائية  للمدارس المشمولة باقسام الفنون الصناعية 2024 /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</si>
</sst>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b/>
      <sz val="14"/>
      <color theme="1"/>
      <name val="Arial"/>
      <family val="2"/>
      <scheme val="minor"/>
    </font>
    <font>
      <b/>
      <sz val="14"/>
      <color theme="1"/>
      <name val="Arial"/>
      <family val="2"/>
      <charset val="178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6"/>
      <color theme="1"/>
      <name val="Arial"/>
      <family val="2"/>
      <charset val="178"/>
      <scheme val="minor"/>
    </font>
    <font>
      <b/>
      <sz val="16"/>
      <color theme="1"/>
      <name val="Arial"/>
      <family val="2"/>
      <charset val="178"/>
      <scheme val="minor"/>
    </font>
    <font>
      <sz val="14"/>
      <color theme="1"/>
      <name val="Arial"/>
      <family val="2"/>
      <scheme val="minor"/>
    </font>
    <font>
      <b/>
      <sz val="18"/>
      <color theme="1"/>
      <name val="Arial"/>
      <family val="2"/>
      <charset val="178"/>
      <scheme val="minor"/>
    </font>
    <font>
      <sz val="18"/>
      <color theme="1"/>
      <name val="Arial"/>
      <family val="2"/>
      <charset val="178"/>
      <scheme val="minor"/>
    </font>
    <font>
      <b/>
      <sz val="20"/>
      <color theme="1"/>
      <name val="Arial"/>
      <family val="2"/>
      <scheme val="minor"/>
    </font>
    <font>
      <sz val="20"/>
      <color theme="1"/>
      <name val="Arial"/>
      <family val="2"/>
      <charset val="178"/>
      <scheme val="minor"/>
    </font>
    <font>
      <b/>
      <sz val="20"/>
      <color theme="1"/>
      <name val="Arial"/>
      <family val="2"/>
      <charset val="178"/>
      <scheme val="minor"/>
    </font>
    <font>
      <b/>
      <sz val="11"/>
      <name val="Arial"/>
      <family val="2"/>
      <charset val="178"/>
      <scheme val="minor"/>
    </font>
    <font>
      <sz val="11"/>
      <name val="Arial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/>
      <top style="thick">
        <color auto="1"/>
      </top>
      <bottom style="double">
        <color auto="1"/>
      </bottom>
      <diagonal/>
    </border>
    <border>
      <left/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/>
      <right/>
      <top style="thick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/>
      <bottom style="double">
        <color auto="1"/>
      </bottom>
      <diagonal/>
    </border>
    <border>
      <left style="thick">
        <color auto="1"/>
      </left>
      <right/>
      <top style="thick">
        <color auto="1"/>
      </top>
      <bottom style="double">
        <color auto="1"/>
      </bottom>
      <diagonal/>
    </border>
    <border>
      <left style="thick">
        <color auto="1"/>
      </left>
      <right/>
      <top style="double">
        <color auto="1"/>
      </top>
      <bottom style="double">
        <color auto="1"/>
      </bottom>
      <diagonal/>
    </border>
    <border>
      <left style="thick">
        <color auto="1"/>
      </left>
      <right/>
      <top style="double">
        <color auto="1"/>
      </top>
      <bottom style="thick">
        <color auto="1"/>
      </bottom>
      <diagonal/>
    </border>
    <border>
      <left/>
      <right style="double">
        <color auto="1"/>
      </right>
      <top style="double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/>
      <top style="thick">
        <color auto="1"/>
      </top>
      <bottom style="thick">
        <color auto="1"/>
      </bottom>
      <diagonal/>
    </border>
    <border>
      <left/>
      <right style="double">
        <color auto="1"/>
      </right>
      <top style="thick">
        <color auto="1"/>
      </top>
      <bottom style="thick">
        <color auto="1"/>
      </bottom>
      <diagonal/>
    </border>
    <border diagonalUp="1"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 style="thin">
        <color auto="1"/>
      </diagonal>
    </border>
    <border>
      <left style="thick">
        <color auto="1"/>
      </left>
      <right style="double">
        <color auto="1"/>
      </right>
      <top style="double">
        <color auto="1"/>
      </top>
      <bottom/>
      <diagonal/>
    </border>
    <border>
      <left style="thick">
        <color auto="1"/>
      </left>
      <right style="double">
        <color auto="1"/>
      </right>
      <top/>
      <bottom style="thick">
        <color auto="1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/>
      <diagonal/>
    </border>
    <border>
      <left style="thick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/>
      <diagonal/>
    </border>
    <border>
      <left style="double">
        <color auto="1"/>
      </left>
      <right style="thick">
        <color auto="1"/>
      </right>
      <top/>
      <bottom/>
      <diagonal/>
    </border>
    <border>
      <left style="double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</borders>
  <cellStyleXfs count="1">
    <xf numFmtId="0" fontId="0" fillId="0" borderId="0"/>
  </cellStyleXfs>
  <cellXfs count="182">
    <xf numFmtId="0" fontId="0" fillId="0" borderId="0" xfId="0"/>
    <xf numFmtId="0" fontId="0" fillId="0" borderId="0" xfId="0" applyFont="1"/>
    <xf numFmtId="0" fontId="1" fillId="0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Alignment="1"/>
    <xf numFmtId="0" fontId="7" fillId="0" borderId="0" xfId="0" applyFont="1"/>
    <xf numFmtId="0" fontId="8" fillId="0" borderId="0" xfId="0" applyFont="1"/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/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0" fillId="0" borderId="0" xfId="0" applyFont="1" applyAlignment="1"/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2" fillId="0" borderId="0" xfId="0" applyFont="1" applyAlignment="1"/>
    <xf numFmtId="0" fontId="13" fillId="0" borderId="0" xfId="0" applyFont="1"/>
    <xf numFmtId="0" fontId="14" fillId="0" borderId="0" xfId="0" applyFont="1" applyAlignment="1"/>
    <xf numFmtId="0" fontId="15" fillId="3" borderId="1" xfId="0" applyFont="1" applyFill="1" applyBorder="1" applyAlignment="1">
      <alignment horizontal="center" vertical="center"/>
    </xf>
    <xf numFmtId="0" fontId="16" fillId="3" borderId="0" xfId="0" applyFont="1" applyFill="1"/>
    <xf numFmtId="0" fontId="5" fillId="0" borderId="0" xfId="0" applyFont="1" applyAlignment="1">
      <alignment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textRotation="90"/>
    </xf>
    <xf numFmtId="0" fontId="5" fillId="0" borderId="41" xfId="0" applyFont="1" applyBorder="1" applyAlignment="1">
      <alignment horizontal="center" vertical="center" textRotation="90"/>
    </xf>
    <xf numFmtId="0" fontId="5" fillId="0" borderId="42" xfId="0" applyFont="1" applyBorder="1" applyAlignment="1">
      <alignment horizontal="center" vertical="center" textRotation="90"/>
    </xf>
    <xf numFmtId="0" fontId="4" fillId="0" borderId="2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8" fillId="0" borderId="1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 textRotation="90"/>
    </xf>
    <xf numFmtId="0" fontId="8" fillId="0" borderId="41" xfId="0" applyFont="1" applyBorder="1" applyAlignment="1">
      <alignment horizontal="center" vertical="center" textRotation="90"/>
    </xf>
    <xf numFmtId="0" fontId="8" fillId="0" borderId="42" xfId="0" applyFont="1" applyBorder="1" applyAlignment="1">
      <alignment horizontal="center" vertical="center" textRotation="90"/>
    </xf>
    <xf numFmtId="0" fontId="8" fillId="0" borderId="19" xfId="0" applyFont="1" applyBorder="1" applyAlignment="1">
      <alignment horizontal="center"/>
    </xf>
    <xf numFmtId="0" fontId="8" fillId="0" borderId="25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/>
    </xf>
    <xf numFmtId="0" fontId="2" fillId="0" borderId="2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/>
    </xf>
    <xf numFmtId="0" fontId="0" fillId="4" borderId="0" xfId="0" applyFont="1" applyFill="1"/>
    <xf numFmtId="0" fontId="1" fillId="4" borderId="35" xfId="0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0" fillId="4" borderId="44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4" borderId="2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CT15"/>
  <sheetViews>
    <sheetView rightToLeft="1" tabSelected="1" zoomScaleNormal="10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B3" sqref="B3:B4"/>
    </sheetView>
  </sheetViews>
  <sheetFormatPr defaultColWidth="5.375" defaultRowHeight="14.25" x14ac:dyDescent="0.2"/>
  <cols>
    <col min="1" max="1" width="4.125" style="1" customWidth="1"/>
    <col min="2" max="2" width="24.75" style="1" bestFit="1" customWidth="1"/>
    <col min="3" max="3" width="6.75" style="1" customWidth="1"/>
    <col min="4" max="4" width="6.125" style="1" customWidth="1"/>
    <col min="5" max="5" width="5.375" style="1"/>
    <col min="6" max="6" width="6.125" style="1" customWidth="1"/>
    <col min="7" max="7" width="6.625" style="1" customWidth="1"/>
    <col min="8" max="8" width="6.75" style="1" customWidth="1"/>
    <col min="9" max="9" width="7.375" style="1" customWidth="1"/>
    <col min="10" max="10" width="6.875" style="1" customWidth="1"/>
    <col min="11" max="97" width="5.375" style="1"/>
    <col min="98" max="98" width="11.125" style="1" customWidth="1"/>
    <col min="99" max="16384" width="5.375" style="1"/>
  </cols>
  <sheetData>
    <row r="1" spans="1:98" s="165" customFormat="1" ht="25.5" customHeight="1" thickTop="1" thickBot="1" x14ac:dyDescent="0.25">
      <c r="A1" s="158" t="s">
        <v>15</v>
      </c>
      <c r="B1" s="159"/>
      <c r="C1" s="159"/>
      <c r="D1" s="159"/>
      <c r="E1" s="160"/>
      <c r="F1" s="158" t="s">
        <v>22</v>
      </c>
      <c r="G1" s="159"/>
      <c r="H1" s="160"/>
      <c r="I1" s="158" t="s">
        <v>23</v>
      </c>
      <c r="J1" s="160"/>
      <c r="K1" s="161" t="s">
        <v>24</v>
      </c>
      <c r="L1" s="162"/>
      <c r="M1" s="161" t="s">
        <v>28</v>
      </c>
      <c r="N1" s="162"/>
      <c r="O1" s="161" t="s">
        <v>29</v>
      </c>
      <c r="P1" s="162"/>
      <c r="Q1" s="158" t="s">
        <v>32</v>
      </c>
      <c r="R1" s="159"/>
      <c r="S1" s="159"/>
      <c r="T1" s="159"/>
      <c r="U1" s="159"/>
      <c r="V1" s="159"/>
      <c r="W1" s="159"/>
      <c r="X1" s="160"/>
      <c r="Y1" s="158" t="s">
        <v>9</v>
      </c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60"/>
      <c r="AL1" s="163" t="s">
        <v>37</v>
      </c>
      <c r="AM1" s="163"/>
      <c r="AN1" s="163"/>
      <c r="AO1" s="163"/>
      <c r="AP1" s="163"/>
      <c r="AQ1" s="163"/>
      <c r="AR1" s="163"/>
      <c r="AS1" s="163"/>
      <c r="AT1" s="163"/>
      <c r="AU1" s="163"/>
      <c r="AV1" s="163"/>
      <c r="AW1" s="163"/>
      <c r="AX1" s="163" t="s">
        <v>37</v>
      </c>
      <c r="AY1" s="163"/>
      <c r="AZ1" s="163"/>
      <c r="BA1" s="163"/>
      <c r="BB1" s="163"/>
      <c r="BC1" s="163"/>
      <c r="BD1" s="163"/>
      <c r="BE1" s="163"/>
      <c r="BF1" s="163"/>
      <c r="BG1" s="163"/>
      <c r="BH1" s="163"/>
      <c r="BI1" s="163"/>
      <c r="BJ1" s="163" t="s">
        <v>37</v>
      </c>
      <c r="BK1" s="163"/>
      <c r="BL1" s="163"/>
      <c r="BM1" s="163"/>
      <c r="BN1" s="163"/>
      <c r="BO1" s="163"/>
      <c r="BP1" s="163"/>
      <c r="BQ1" s="163"/>
      <c r="BR1" s="163"/>
      <c r="BS1" s="163"/>
      <c r="BT1" s="163"/>
      <c r="BU1" s="163"/>
      <c r="BV1" s="163" t="s">
        <v>37</v>
      </c>
      <c r="BW1" s="163"/>
      <c r="BX1" s="163"/>
      <c r="BY1" s="163"/>
      <c r="BZ1" s="163"/>
      <c r="CA1" s="163"/>
      <c r="CB1" s="163"/>
      <c r="CC1" s="163"/>
      <c r="CD1" s="163"/>
      <c r="CE1" s="163"/>
      <c r="CF1" s="163"/>
      <c r="CG1" s="163"/>
      <c r="CH1" s="163" t="s">
        <v>37</v>
      </c>
      <c r="CI1" s="163"/>
      <c r="CJ1" s="163"/>
      <c r="CK1" s="163"/>
      <c r="CL1" s="163"/>
      <c r="CM1" s="163"/>
      <c r="CN1" s="163"/>
      <c r="CO1" s="163"/>
      <c r="CP1" s="163"/>
      <c r="CQ1" s="163"/>
      <c r="CR1" s="163"/>
      <c r="CS1" s="163"/>
      <c r="CT1" s="164" t="s">
        <v>57</v>
      </c>
    </row>
    <row r="2" spans="1:98" s="165" customFormat="1" ht="24" customHeight="1" thickTop="1" thickBot="1" x14ac:dyDescent="0.25">
      <c r="A2" s="166" t="s">
        <v>71</v>
      </c>
      <c r="B2" s="167"/>
      <c r="C2" s="167"/>
      <c r="D2" s="167"/>
      <c r="E2" s="168"/>
      <c r="F2" s="169"/>
      <c r="G2" s="170"/>
      <c r="H2" s="171"/>
      <c r="I2" s="169"/>
      <c r="J2" s="171"/>
      <c r="K2" s="172"/>
      <c r="L2" s="173"/>
      <c r="M2" s="172"/>
      <c r="N2" s="173"/>
      <c r="O2" s="172"/>
      <c r="P2" s="173"/>
      <c r="Q2" s="166"/>
      <c r="R2" s="167"/>
      <c r="S2" s="167"/>
      <c r="T2" s="167"/>
      <c r="U2" s="167"/>
      <c r="V2" s="167"/>
      <c r="W2" s="167"/>
      <c r="X2" s="168"/>
      <c r="Y2" s="166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8"/>
      <c r="AL2" s="163" t="s">
        <v>56</v>
      </c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3"/>
      <c r="AX2" s="163" t="s">
        <v>46</v>
      </c>
      <c r="AY2" s="163"/>
      <c r="AZ2" s="163"/>
      <c r="BA2" s="163"/>
      <c r="BB2" s="163"/>
      <c r="BC2" s="163"/>
      <c r="BD2" s="163"/>
      <c r="BE2" s="163"/>
      <c r="BF2" s="163"/>
      <c r="BG2" s="163"/>
      <c r="BH2" s="163"/>
      <c r="BI2" s="163"/>
      <c r="BJ2" s="163" t="s">
        <v>47</v>
      </c>
      <c r="BK2" s="163"/>
      <c r="BL2" s="163"/>
      <c r="BM2" s="163"/>
      <c r="BN2" s="163"/>
      <c r="BO2" s="163"/>
      <c r="BP2" s="163"/>
      <c r="BQ2" s="163"/>
      <c r="BR2" s="163"/>
      <c r="BS2" s="163"/>
      <c r="BT2" s="163"/>
      <c r="BU2" s="163"/>
      <c r="BV2" s="163" t="s">
        <v>48</v>
      </c>
      <c r="BW2" s="163"/>
      <c r="BX2" s="163"/>
      <c r="BY2" s="163"/>
      <c r="BZ2" s="163"/>
      <c r="CA2" s="163"/>
      <c r="CB2" s="163"/>
      <c r="CC2" s="163"/>
      <c r="CD2" s="163"/>
      <c r="CE2" s="163"/>
      <c r="CF2" s="163"/>
      <c r="CG2" s="163"/>
      <c r="CH2" s="163" t="s">
        <v>57</v>
      </c>
      <c r="CI2" s="163"/>
      <c r="CJ2" s="163"/>
      <c r="CK2" s="163"/>
      <c r="CL2" s="163"/>
      <c r="CM2" s="163"/>
      <c r="CN2" s="163"/>
      <c r="CO2" s="163"/>
      <c r="CP2" s="163"/>
      <c r="CQ2" s="163"/>
      <c r="CR2" s="163"/>
      <c r="CS2" s="163"/>
      <c r="CT2" s="174"/>
    </row>
    <row r="3" spans="1:98" s="165" customFormat="1" ht="27" customHeight="1" thickTop="1" thickBot="1" x14ac:dyDescent="0.25">
      <c r="A3" s="175" t="s">
        <v>0</v>
      </c>
      <c r="B3" s="175" t="s">
        <v>61</v>
      </c>
      <c r="C3" s="175" t="s">
        <v>60</v>
      </c>
      <c r="D3" s="175" t="s">
        <v>59</v>
      </c>
      <c r="E3" s="175" t="s">
        <v>58</v>
      </c>
      <c r="F3" s="166"/>
      <c r="G3" s="167"/>
      <c r="H3" s="168"/>
      <c r="I3" s="166"/>
      <c r="J3" s="168"/>
      <c r="K3" s="176"/>
      <c r="L3" s="177"/>
      <c r="M3" s="176"/>
      <c r="N3" s="177"/>
      <c r="O3" s="176"/>
      <c r="P3" s="177"/>
      <c r="Q3" s="163" t="s">
        <v>34</v>
      </c>
      <c r="R3" s="163"/>
      <c r="S3" s="163" t="s">
        <v>16</v>
      </c>
      <c r="T3" s="163"/>
      <c r="U3" s="163" t="s">
        <v>35</v>
      </c>
      <c r="V3" s="163"/>
      <c r="W3" s="163" t="s">
        <v>4</v>
      </c>
      <c r="X3" s="163"/>
      <c r="Y3" s="163" t="s">
        <v>53</v>
      </c>
      <c r="Z3" s="163"/>
      <c r="AA3" s="163"/>
      <c r="AB3" s="163" t="s">
        <v>54</v>
      </c>
      <c r="AC3" s="163"/>
      <c r="AD3" s="163"/>
      <c r="AE3" s="163" t="s">
        <v>55</v>
      </c>
      <c r="AF3" s="163"/>
      <c r="AG3" s="163"/>
      <c r="AH3" s="163" t="s">
        <v>4</v>
      </c>
      <c r="AI3" s="163"/>
      <c r="AJ3" s="163"/>
      <c r="AK3" s="163"/>
      <c r="AL3" s="163" t="s">
        <v>39</v>
      </c>
      <c r="AM3" s="163"/>
      <c r="AN3" s="163" t="s">
        <v>40</v>
      </c>
      <c r="AO3" s="163"/>
      <c r="AP3" s="163" t="s">
        <v>41</v>
      </c>
      <c r="AQ3" s="163"/>
      <c r="AR3" s="163" t="s">
        <v>42</v>
      </c>
      <c r="AS3" s="163"/>
      <c r="AT3" s="163" t="s">
        <v>43</v>
      </c>
      <c r="AU3" s="163"/>
      <c r="AV3" s="163" t="s">
        <v>44</v>
      </c>
      <c r="AW3" s="163"/>
      <c r="AX3" s="163" t="s">
        <v>39</v>
      </c>
      <c r="AY3" s="163"/>
      <c r="AZ3" s="163" t="s">
        <v>40</v>
      </c>
      <c r="BA3" s="163"/>
      <c r="BB3" s="163" t="s">
        <v>41</v>
      </c>
      <c r="BC3" s="163"/>
      <c r="BD3" s="163" t="s">
        <v>42</v>
      </c>
      <c r="BE3" s="163"/>
      <c r="BF3" s="163" t="s">
        <v>43</v>
      </c>
      <c r="BG3" s="163"/>
      <c r="BH3" s="163" t="s">
        <v>44</v>
      </c>
      <c r="BI3" s="163"/>
      <c r="BJ3" s="163" t="s">
        <v>39</v>
      </c>
      <c r="BK3" s="163"/>
      <c r="BL3" s="163" t="s">
        <v>40</v>
      </c>
      <c r="BM3" s="163"/>
      <c r="BN3" s="163" t="s">
        <v>41</v>
      </c>
      <c r="BO3" s="163"/>
      <c r="BP3" s="163" t="s">
        <v>42</v>
      </c>
      <c r="BQ3" s="163"/>
      <c r="BR3" s="163" t="s">
        <v>43</v>
      </c>
      <c r="BS3" s="163"/>
      <c r="BT3" s="163" t="s">
        <v>44</v>
      </c>
      <c r="BU3" s="163"/>
      <c r="BV3" s="163" t="s">
        <v>39</v>
      </c>
      <c r="BW3" s="163"/>
      <c r="BX3" s="163" t="s">
        <v>40</v>
      </c>
      <c r="BY3" s="163"/>
      <c r="BZ3" s="163" t="s">
        <v>41</v>
      </c>
      <c r="CA3" s="163"/>
      <c r="CB3" s="163" t="s">
        <v>42</v>
      </c>
      <c r="CC3" s="163"/>
      <c r="CD3" s="163" t="s">
        <v>43</v>
      </c>
      <c r="CE3" s="163"/>
      <c r="CF3" s="163" t="s">
        <v>44</v>
      </c>
      <c r="CG3" s="163"/>
      <c r="CH3" s="163" t="s">
        <v>39</v>
      </c>
      <c r="CI3" s="163"/>
      <c r="CJ3" s="163" t="s">
        <v>40</v>
      </c>
      <c r="CK3" s="163"/>
      <c r="CL3" s="163" t="s">
        <v>41</v>
      </c>
      <c r="CM3" s="163"/>
      <c r="CN3" s="163" t="s">
        <v>42</v>
      </c>
      <c r="CO3" s="163"/>
      <c r="CP3" s="163" t="s">
        <v>43</v>
      </c>
      <c r="CQ3" s="163"/>
      <c r="CR3" s="163" t="s">
        <v>44</v>
      </c>
      <c r="CS3" s="163"/>
      <c r="CT3" s="174"/>
    </row>
    <row r="4" spans="1:98" s="165" customFormat="1" ht="32.25" customHeight="1" thickTop="1" thickBot="1" x14ac:dyDescent="0.25">
      <c r="A4" s="178"/>
      <c r="B4" s="178"/>
      <c r="C4" s="178"/>
      <c r="D4" s="178"/>
      <c r="E4" s="178"/>
      <c r="F4" s="179" t="s">
        <v>10</v>
      </c>
      <c r="G4" s="180" t="s">
        <v>11</v>
      </c>
      <c r="H4" s="180" t="s">
        <v>12</v>
      </c>
      <c r="I4" s="180" t="s">
        <v>25</v>
      </c>
      <c r="J4" s="180" t="s">
        <v>26</v>
      </c>
      <c r="K4" s="179" t="s">
        <v>7</v>
      </c>
      <c r="L4" s="179" t="s">
        <v>27</v>
      </c>
      <c r="M4" s="179" t="s">
        <v>7</v>
      </c>
      <c r="N4" s="179" t="s">
        <v>27</v>
      </c>
      <c r="O4" s="179" t="s">
        <v>30</v>
      </c>
      <c r="P4" s="179" t="s">
        <v>31</v>
      </c>
      <c r="Q4" s="179" t="s">
        <v>1</v>
      </c>
      <c r="R4" s="179" t="s">
        <v>2</v>
      </c>
      <c r="S4" s="179" t="s">
        <v>1</v>
      </c>
      <c r="T4" s="179" t="s">
        <v>2</v>
      </c>
      <c r="U4" s="179" t="s">
        <v>1</v>
      </c>
      <c r="V4" s="179" t="s">
        <v>2</v>
      </c>
      <c r="W4" s="179" t="s">
        <v>1</v>
      </c>
      <c r="X4" s="179" t="s">
        <v>2</v>
      </c>
      <c r="Y4" s="179" t="s">
        <v>1</v>
      </c>
      <c r="Z4" s="179" t="s">
        <v>2</v>
      </c>
      <c r="AA4" s="179" t="s">
        <v>3</v>
      </c>
      <c r="AB4" s="179" t="s">
        <v>1</v>
      </c>
      <c r="AC4" s="179" t="s">
        <v>2</v>
      </c>
      <c r="AD4" s="179" t="s">
        <v>3</v>
      </c>
      <c r="AE4" s="179" t="s">
        <v>1</v>
      </c>
      <c r="AF4" s="179" t="s">
        <v>2</v>
      </c>
      <c r="AG4" s="179" t="s">
        <v>3</v>
      </c>
      <c r="AH4" s="179" t="s">
        <v>1</v>
      </c>
      <c r="AI4" s="179" t="s">
        <v>2</v>
      </c>
      <c r="AJ4" s="179" t="s">
        <v>3</v>
      </c>
      <c r="AK4" s="179" t="s">
        <v>4</v>
      </c>
      <c r="AL4" s="179" t="s">
        <v>6</v>
      </c>
      <c r="AM4" s="179" t="s">
        <v>5</v>
      </c>
      <c r="AN4" s="179" t="s">
        <v>6</v>
      </c>
      <c r="AO4" s="179" t="s">
        <v>5</v>
      </c>
      <c r="AP4" s="179" t="s">
        <v>6</v>
      </c>
      <c r="AQ4" s="179" t="s">
        <v>5</v>
      </c>
      <c r="AR4" s="179" t="s">
        <v>6</v>
      </c>
      <c r="AS4" s="179" t="s">
        <v>5</v>
      </c>
      <c r="AT4" s="179" t="s">
        <v>6</v>
      </c>
      <c r="AU4" s="179" t="s">
        <v>5</v>
      </c>
      <c r="AV4" s="179" t="s">
        <v>6</v>
      </c>
      <c r="AW4" s="179" t="s">
        <v>5</v>
      </c>
      <c r="AX4" s="179" t="s">
        <v>6</v>
      </c>
      <c r="AY4" s="179" t="s">
        <v>5</v>
      </c>
      <c r="AZ4" s="179" t="s">
        <v>6</v>
      </c>
      <c r="BA4" s="179" t="s">
        <v>5</v>
      </c>
      <c r="BB4" s="179" t="s">
        <v>6</v>
      </c>
      <c r="BC4" s="179" t="s">
        <v>5</v>
      </c>
      <c r="BD4" s="179" t="s">
        <v>6</v>
      </c>
      <c r="BE4" s="179" t="s">
        <v>5</v>
      </c>
      <c r="BF4" s="179" t="s">
        <v>6</v>
      </c>
      <c r="BG4" s="179" t="s">
        <v>5</v>
      </c>
      <c r="BH4" s="179" t="s">
        <v>6</v>
      </c>
      <c r="BI4" s="179" t="s">
        <v>5</v>
      </c>
      <c r="BJ4" s="179" t="s">
        <v>6</v>
      </c>
      <c r="BK4" s="179" t="s">
        <v>5</v>
      </c>
      <c r="BL4" s="179" t="s">
        <v>6</v>
      </c>
      <c r="BM4" s="179" t="s">
        <v>5</v>
      </c>
      <c r="BN4" s="179" t="s">
        <v>6</v>
      </c>
      <c r="BO4" s="179" t="s">
        <v>5</v>
      </c>
      <c r="BP4" s="179" t="s">
        <v>6</v>
      </c>
      <c r="BQ4" s="179" t="s">
        <v>5</v>
      </c>
      <c r="BR4" s="179" t="s">
        <v>6</v>
      </c>
      <c r="BS4" s="179" t="s">
        <v>5</v>
      </c>
      <c r="BT4" s="179" t="s">
        <v>6</v>
      </c>
      <c r="BU4" s="179" t="s">
        <v>5</v>
      </c>
      <c r="BV4" s="179" t="s">
        <v>6</v>
      </c>
      <c r="BW4" s="179" t="s">
        <v>5</v>
      </c>
      <c r="BX4" s="179" t="s">
        <v>6</v>
      </c>
      <c r="BY4" s="179" t="s">
        <v>5</v>
      </c>
      <c r="BZ4" s="179" t="s">
        <v>6</v>
      </c>
      <c r="CA4" s="179" t="s">
        <v>5</v>
      </c>
      <c r="CB4" s="179" t="s">
        <v>6</v>
      </c>
      <c r="CC4" s="179" t="s">
        <v>5</v>
      </c>
      <c r="CD4" s="179" t="s">
        <v>6</v>
      </c>
      <c r="CE4" s="179" t="s">
        <v>5</v>
      </c>
      <c r="CF4" s="179" t="s">
        <v>6</v>
      </c>
      <c r="CG4" s="179" t="s">
        <v>5</v>
      </c>
      <c r="CH4" s="179" t="s">
        <v>6</v>
      </c>
      <c r="CI4" s="179" t="s">
        <v>5</v>
      </c>
      <c r="CJ4" s="179" t="s">
        <v>6</v>
      </c>
      <c r="CK4" s="179" t="s">
        <v>5</v>
      </c>
      <c r="CL4" s="179" t="s">
        <v>6</v>
      </c>
      <c r="CM4" s="179" t="s">
        <v>5</v>
      </c>
      <c r="CN4" s="179" t="s">
        <v>6</v>
      </c>
      <c r="CO4" s="179" t="s">
        <v>5</v>
      </c>
      <c r="CP4" s="179" t="s">
        <v>6</v>
      </c>
      <c r="CQ4" s="179" t="s">
        <v>5</v>
      </c>
      <c r="CR4" s="179" t="s">
        <v>6</v>
      </c>
      <c r="CS4" s="179" t="s">
        <v>5</v>
      </c>
      <c r="CT4" s="181"/>
    </row>
    <row r="5" spans="1:98" s="68" customFormat="1" ht="27.75" customHeight="1" thickTop="1" thickBot="1" x14ac:dyDescent="0.25">
      <c r="A5" s="67">
        <v>1</v>
      </c>
      <c r="B5" s="67" t="s">
        <v>65</v>
      </c>
      <c r="C5" s="67" t="s">
        <v>13</v>
      </c>
      <c r="D5" s="67" t="s">
        <v>13</v>
      </c>
      <c r="E5" s="67" t="s">
        <v>14</v>
      </c>
      <c r="F5" s="67">
        <v>1</v>
      </c>
      <c r="G5" s="67"/>
      <c r="H5" s="67"/>
      <c r="I5" s="67"/>
      <c r="J5" s="67">
        <v>1</v>
      </c>
      <c r="K5" s="67">
        <v>1</v>
      </c>
      <c r="L5" s="67"/>
      <c r="M5" s="67"/>
      <c r="N5" s="67">
        <v>1</v>
      </c>
      <c r="O5" s="67"/>
      <c r="P5" s="67"/>
      <c r="Q5" s="67"/>
      <c r="R5" s="67"/>
      <c r="S5" s="67"/>
      <c r="T5" s="67"/>
      <c r="U5" s="67"/>
      <c r="V5" s="67"/>
      <c r="W5" s="67">
        <f>U5+S5+Q5</f>
        <v>0</v>
      </c>
      <c r="X5" s="67">
        <f>V5+T5+R5</f>
        <v>0</v>
      </c>
      <c r="Y5" s="67"/>
      <c r="Z5" s="67"/>
      <c r="AA5" s="67"/>
      <c r="AB5" s="67"/>
      <c r="AC5" s="67"/>
      <c r="AD5" s="67"/>
      <c r="AE5" s="67"/>
      <c r="AF5" s="67"/>
      <c r="AG5" s="67"/>
      <c r="AH5" s="67">
        <f>AE5+AB5+Y5</f>
        <v>0</v>
      </c>
      <c r="AI5" s="67">
        <f>AF5+AC5+Z5</f>
        <v>0</v>
      </c>
      <c r="AJ5" s="67">
        <f>AG5+AD5+AA5</f>
        <v>0</v>
      </c>
      <c r="AK5" s="67">
        <f>AJ5+AI5+AH5</f>
        <v>0</v>
      </c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>
        <f>BV5+BJ5+AX5+AL5</f>
        <v>0</v>
      </c>
      <c r="CI5" s="67">
        <f t="shared" ref="CI5:CS5" si="0">BW5+BK5+AY5+AM5</f>
        <v>0</v>
      </c>
      <c r="CJ5" s="67">
        <f t="shared" si="0"/>
        <v>0</v>
      </c>
      <c r="CK5" s="67">
        <f t="shared" si="0"/>
        <v>0</v>
      </c>
      <c r="CL5" s="67">
        <f t="shared" si="0"/>
        <v>0</v>
      </c>
      <c r="CM5" s="67">
        <f t="shared" si="0"/>
        <v>0</v>
      </c>
      <c r="CN5" s="67">
        <f t="shared" si="0"/>
        <v>0</v>
      </c>
      <c r="CO5" s="67">
        <f t="shared" si="0"/>
        <v>0</v>
      </c>
      <c r="CP5" s="67">
        <f t="shared" si="0"/>
        <v>0</v>
      </c>
      <c r="CQ5" s="67">
        <f t="shared" si="0"/>
        <v>0</v>
      </c>
      <c r="CR5" s="67">
        <f t="shared" si="0"/>
        <v>0</v>
      </c>
      <c r="CS5" s="67">
        <f t="shared" si="0"/>
        <v>0</v>
      </c>
      <c r="CT5" s="67">
        <f>SUM(CH5:CS5)</f>
        <v>0</v>
      </c>
    </row>
    <row r="6" spans="1:98" s="68" customFormat="1" ht="27.75" customHeight="1" thickTop="1" thickBot="1" x14ac:dyDescent="0.25">
      <c r="A6" s="67">
        <v>2</v>
      </c>
      <c r="B6" s="67" t="s">
        <v>67</v>
      </c>
      <c r="C6" s="67" t="s">
        <v>13</v>
      </c>
      <c r="D6" s="67" t="s">
        <v>13</v>
      </c>
      <c r="E6" s="67" t="s">
        <v>14</v>
      </c>
      <c r="F6" s="67"/>
      <c r="G6" s="67">
        <v>1</v>
      </c>
      <c r="H6" s="67"/>
      <c r="I6" s="67">
        <v>1</v>
      </c>
      <c r="J6" s="67"/>
      <c r="K6" s="67"/>
      <c r="L6" s="67">
        <v>1</v>
      </c>
      <c r="M6" s="67"/>
      <c r="N6" s="67">
        <v>1</v>
      </c>
      <c r="O6" s="67"/>
      <c r="P6" s="67"/>
      <c r="Q6" s="67"/>
      <c r="R6" s="67"/>
      <c r="S6" s="67"/>
      <c r="T6" s="67"/>
      <c r="U6" s="67"/>
      <c r="V6" s="67"/>
      <c r="W6" s="67">
        <f t="shared" ref="W6:W9" si="1">U6+S6+Q6</f>
        <v>0</v>
      </c>
      <c r="X6" s="67">
        <f t="shared" ref="X6:X9" si="2">V6+T6+R6</f>
        <v>0</v>
      </c>
      <c r="Y6" s="67"/>
      <c r="Z6" s="67"/>
      <c r="AA6" s="67"/>
      <c r="AB6" s="67"/>
      <c r="AC6" s="67"/>
      <c r="AD6" s="67"/>
      <c r="AE6" s="67"/>
      <c r="AF6" s="67"/>
      <c r="AG6" s="67"/>
      <c r="AH6" s="67">
        <f t="shared" ref="AH6:AH11" si="3">AE6+AB6+Y6</f>
        <v>0</v>
      </c>
      <c r="AI6" s="67">
        <f t="shared" ref="AI6:AI11" si="4">AF6+AC6+Z6</f>
        <v>0</v>
      </c>
      <c r="AJ6" s="67">
        <f t="shared" ref="AJ6:AJ11" si="5">AG6+AD6+AA6</f>
        <v>0</v>
      </c>
      <c r="AK6" s="67">
        <f t="shared" ref="AK6:AK11" si="6">AJ6+AI6+AH6</f>
        <v>0</v>
      </c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>
        <f t="shared" ref="CH6:CH11" si="7">BV6+BJ6+AX6+AL6</f>
        <v>0</v>
      </c>
      <c r="CI6" s="67">
        <f t="shared" ref="CI6:CI11" si="8">BW6+BK6+AY6+AM6</f>
        <v>0</v>
      </c>
      <c r="CJ6" s="67">
        <f t="shared" ref="CJ6:CJ11" si="9">BX6+BL6+AZ6+AN6</f>
        <v>0</v>
      </c>
      <c r="CK6" s="67">
        <f t="shared" ref="CK6:CK11" si="10">BY6+BM6+BA6+AO6</f>
        <v>0</v>
      </c>
      <c r="CL6" s="67">
        <f t="shared" ref="CL6:CL11" si="11">BZ6+BN6+BB6+AP6</f>
        <v>0</v>
      </c>
      <c r="CM6" s="67">
        <f t="shared" ref="CM6:CM11" si="12">CA6+BO6+BC6+AQ6</f>
        <v>0</v>
      </c>
      <c r="CN6" s="67">
        <f t="shared" ref="CN6:CN11" si="13">CB6+BP6+BD6+AR6</f>
        <v>0</v>
      </c>
      <c r="CO6" s="67">
        <f t="shared" ref="CO6:CO11" si="14">CC6+BQ6+BE6+AS6</f>
        <v>0</v>
      </c>
      <c r="CP6" s="67">
        <f t="shared" ref="CP6:CP11" si="15">CD6+BR6+BF6+AT6</f>
        <v>0</v>
      </c>
      <c r="CQ6" s="67">
        <f t="shared" ref="CQ6:CQ11" si="16">CE6+BS6+BG6+AU6</f>
        <v>0</v>
      </c>
      <c r="CR6" s="67">
        <f t="shared" ref="CR6:CR11" si="17">CF6+BT6+BH6+AV6</f>
        <v>0</v>
      </c>
      <c r="CS6" s="67">
        <f t="shared" ref="CS6:CS11" si="18">CG6+BU6+BI6+AW6</f>
        <v>0</v>
      </c>
      <c r="CT6" s="67">
        <f t="shared" ref="CT6:CT14" si="19">SUM(CH6:CS6)</f>
        <v>0</v>
      </c>
    </row>
    <row r="7" spans="1:98" s="68" customFormat="1" ht="27.75" customHeight="1" thickTop="1" thickBot="1" x14ac:dyDescent="0.25">
      <c r="A7" s="67">
        <v>3</v>
      </c>
      <c r="B7" s="67" t="s">
        <v>66</v>
      </c>
      <c r="C7" s="67" t="s">
        <v>13</v>
      </c>
      <c r="D7" s="67" t="s">
        <v>13</v>
      </c>
      <c r="E7" s="67" t="s">
        <v>14</v>
      </c>
      <c r="F7" s="67">
        <v>1</v>
      </c>
      <c r="G7" s="67"/>
      <c r="H7" s="67"/>
      <c r="I7" s="67"/>
      <c r="J7" s="67">
        <v>1</v>
      </c>
      <c r="K7" s="67">
        <v>1</v>
      </c>
      <c r="L7" s="67"/>
      <c r="M7" s="67"/>
      <c r="N7" s="67">
        <v>1</v>
      </c>
      <c r="O7" s="67"/>
      <c r="P7" s="67"/>
      <c r="Q7" s="67"/>
      <c r="R7" s="67"/>
      <c r="S7" s="67"/>
      <c r="T7" s="67"/>
      <c r="U7" s="67"/>
      <c r="V7" s="67"/>
      <c r="W7" s="67">
        <f t="shared" si="1"/>
        <v>0</v>
      </c>
      <c r="X7" s="67">
        <f t="shared" si="2"/>
        <v>0</v>
      </c>
      <c r="Y7" s="67"/>
      <c r="Z7" s="67"/>
      <c r="AA7" s="67"/>
      <c r="AB7" s="67"/>
      <c r="AC7" s="67"/>
      <c r="AD7" s="67"/>
      <c r="AE7" s="67"/>
      <c r="AF7" s="67"/>
      <c r="AG7" s="67"/>
      <c r="AH7" s="67">
        <f t="shared" si="3"/>
        <v>0</v>
      </c>
      <c r="AI7" s="67">
        <f t="shared" si="4"/>
        <v>0</v>
      </c>
      <c r="AJ7" s="67">
        <f t="shared" si="5"/>
        <v>0</v>
      </c>
      <c r="AK7" s="67">
        <f t="shared" si="6"/>
        <v>0</v>
      </c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>
        <f t="shared" si="7"/>
        <v>0</v>
      </c>
      <c r="CI7" s="67">
        <f t="shared" si="8"/>
        <v>0</v>
      </c>
      <c r="CJ7" s="67">
        <f t="shared" si="9"/>
        <v>0</v>
      </c>
      <c r="CK7" s="67">
        <f t="shared" si="10"/>
        <v>0</v>
      </c>
      <c r="CL7" s="67">
        <f t="shared" si="11"/>
        <v>0</v>
      </c>
      <c r="CM7" s="67">
        <f t="shared" si="12"/>
        <v>0</v>
      </c>
      <c r="CN7" s="67">
        <f t="shared" si="13"/>
        <v>0</v>
      </c>
      <c r="CO7" s="67">
        <f t="shared" si="14"/>
        <v>0</v>
      </c>
      <c r="CP7" s="67">
        <f t="shared" si="15"/>
        <v>0</v>
      </c>
      <c r="CQ7" s="67">
        <f t="shared" si="16"/>
        <v>0</v>
      </c>
      <c r="CR7" s="67">
        <f t="shared" si="17"/>
        <v>0</v>
      </c>
      <c r="CS7" s="67">
        <f t="shared" si="18"/>
        <v>0</v>
      </c>
      <c r="CT7" s="67">
        <f t="shared" si="19"/>
        <v>0</v>
      </c>
    </row>
    <row r="8" spans="1:98" s="68" customFormat="1" ht="27.75" customHeight="1" thickTop="1" thickBot="1" x14ac:dyDescent="0.25">
      <c r="A8" s="67">
        <v>4</v>
      </c>
      <c r="B8" s="67" t="s">
        <v>68</v>
      </c>
      <c r="C8" s="67" t="s">
        <v>13</v>
      </c>
      <c r="D8" s="67" t="s">
        <v>13</v>
      </c>
      <c r="E8" s="67" t="s">
        <v>14</v>
      </c>
      <c r="F8" s="67">
        <v>1</v>
      </c>
      <c r="G8" s="67"/>
      <c r="H8" s="67"/>
      <c r="I8" s="67"/>
      <c r="J8" s="67">
        <v>1</v>
      </c>
      <c r="K8" s="67"/>
      <c r="L8" s="67">
        <v>1</v>
      </c>
      <c r="M8" s="67">
        <v>1</v>
      </c>
      <c r="N8" s="67"/>
      <c r="O8" s="67"/>
      <c r="P8" s="67"/>
      <c r="Q8" s="67"/>
      <c r="R8" s="67"/>
      <c r="S8" s="67"/>
      <c r="T8" s="67"/>
      <c r="U8" s="67"/>
      <c r="V8" s="67"/>
      <c r="W8" s="67">
        <f t="shared" si="1"/>
        <v>0</v>
      </c>
      <c r="X8" s="67">
        <f t="shared" si="2"/>
        <v>0</v>
      </c>
      <c r="Y8" s="67"/>
      <c r="Z8" s="67"/>
      <c r="AA8" s="67"/>
      <c r="AB8" s="67"/>
      <c r="AC8" s="67"/>
      <c r="AD8" s="67"/>
      <c r="AE8" s="67"/>
      <c r="AF8" s="67"/>
      <c r="AG8" s="67"/>
      <c r="AH8" s="67">
        <f t="shared" si="3"/>
        <v>0</v>
      </c>
      <c r="AI8" s="67">
        <f t="shared" si="4"/>
        <v>0</v>
      </c>
      <c r="AJ8" s="67">
        <f t="shared" si="5"/>
        <v>0</v>
      </c>
      <c r="AK8" s="67">
        <f t="shared" si="6"/>
        <v>0</v>
      </c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67"/>
      <c r="BP8" s="67"/>
      <c r="BQ8" s="67"/>
      <c r="BR8" s="67"/>
      <c r="BS8" s="67"/>
      <c r="BT8" s="67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7"/>
      <c r="CF8" s="67"/>
      <c r="CG8" s="67"/>
      <c r="CH8" s="67">
        <f>BV8+BJ8+AX8+AL8</f>
        <v>0</v>
      </c>
      <c r="CI8" s="67">
        <f t="shared" si="8"/>
        <v>0</v>
      </c>
      <c r="CJ8" s="67">
        <f t="shared" si="9"/>
        <v>0</v>
      </c>
      <c r="CK8" s="67">
        <f t="shared" si="10"/>
        <v>0</v>
      </c>
      <c r="CL8" s="67">
        <f t="shared" si="11"/>
        <v>0</v>
      </c>
      <c r="CM8" s="67">
        <f t="shared" si="12"/>
        <v>0</v>
      </c>
      <c r="CN8" s="67">
        <f t="shared" si="13"/>
        <v>0</v>
      </c>
      <c r="CO8" s="67">
        <f t="shared" si="14"/>
        <v>0</v>
      </c>
      <c r="CP8" s="67">
        <f t="shared" si="15"/>
        <v>0</v>
      </c>
      <c r="CQ8" s="67">
        <f t="shared" si="16"/>
        <v>0</v>
      </c>
      <c r="CR8" s="67">
        <f t="shared" si="17"/>
        <v>0</v>
      </c>
      <c r="CS8" s="67">
        <f t="shared" si="18"/>
        <v>0</v>
      </c>
      <c r="CT8" s="67">
        <f t="shared" si="19"/>
        <v>0</v>
      </c>
    </row>
    <row r="9" spans="1:98" s="68" customFormat="1" ht="27.75" customHeight="1" thickTop="1" thickBot="1" x14ac:dyDescent="0.25">
      <c r="A9" s="67">
        <v>5</v>
      </c>
      <c r="B9" s="67" t="s">
        <v>69</v>
      </c>
      <c r="C9" s="67" t="s">
        <v>13</v>
      </c>
      <c r="D9" s="67" t="s">
        <v>13</v>
      </c>
      <c r="E9" s="67" t="s">
        <v>14</v>
      </c>
      <c r="F9" s="67"/>
      <c r="G9" s="67">
        <v>1</v>
      </c>
      <c r="H9" s="67"/>
      <c r="I9" s="67"/>
      <c r="J9" s="67">
        <v>1</v>
      </c>
      <c r="K9" s="67"/>
      <c r="L9" s="67">
        <v>1</v>
      </c>
      <c r="M9" s="67"/>
      <c r="N9" s="67">
        <v>1</v>
      </c>
      <c r="O9" s="67"/>
      <c r="P9" s="67"/>
      <c r="Q9" s="67"/>
      <c r="R9" s="67"/>
      <c r="S9" s="67"/>
      <c r="T9" s="67"/>
      <c r="U9" s="67"/>
      <c r="V9" s="67"/>
      <c r="W9" s="67">
        <f t="shared" si="1"/>
        <v>0</v>
      </c>
      <c r="X9" s="67">
        <f t="shared" si="2"/>
        <v>0</v>
      </c>
      <c r="Y9" s="67"/>
      <c r="Z9" s="67"/>
      <c r="AA9" s="67"/>
      <c r="AB9" s="67"/>
      <c r="AC9" s="67"/>
      <c r="AD9" s="67"/>
      <c r="AE9" s="67"/>
      <c r="AF9" s="67"/>
      <c r="AG9" s="67"/>
      <c r="AH9" s="67">
        <f t="shared" si="3"/>
        <v>0</v>
      </c>
      <c r="AI9" s="67">
        <f t="shared" si="4"/>
        <v>0</v>
      </c>
      <c r="AJ9" s="67">
        <f t="shared" si="5"/>
        <v>0</v>
      </c>
      <c r="AK9" s="67">
        <f t="shared" si="6"/>
        <v>0</v>
      </c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>
        <f t="shared" si="7"/>
        <v>0</v>
      </c>
      <c r="CI9" s="67">
        <f t="shared" si="8"/>
        <v>0</v>
      </c>
      <c r="CJ9" s="67">
        <f t="shared" si="9"/>
        <v>0</v>
      </c>
      <c r="CK9" s="67">
        <f t="shared" si="10"/>
        <v>0</v>
      </c>
      <c r="CL9" s="67">
        <f t="shared" si="11"/>
        <v>0</v>
      </c>
      <c r="CM9" s="67">
        <f t="shared" si="12"/>
        <v>0</v>
      </c>
      <c r="CN9" s="67">
        <f t="shared" si="13"/>
        <v>0</v>
      </c>
      <c r="CO9" s="67">
        <f t="shared" si="14"/>
        <v>0</v>
      </c>
      <c r="CP9" s="67">
        <f t="shared" si="15"/>
        <v>0</v>
      </c>
      <c r="CQ9" s="67">
        <f t="shared" si="16"/>
        <v>0</v>
      </c>
      <c r="CR9" s="67">
        <f t="shared" si="17"/>
        <v>0</v>
      </c>
      <c r="CS9" s="67">
        <f t="shared" si="18"/>
        <v>0</v>
      </c>
      <c r="CT9" s="67">
        <f t="shared" si="19"/>
        <v>0</v>
      </c>
    </row>
    <row r="10" spans="1:98" s="60" customFormat="1" ht="27.75" customHeight="1" thickTop="1" thickBot="1" x14ac:dyDescent="0.25">
      <c r="A10" s="70" t="s">
        <v>72</v>
      </c>
      <c r="B10" s="71"/>
      <c r="C10" s="71"/>
      <c r="D10" s="71"/>
      <c r="E10" s="72"/>
      <c r="F10" s="61">
        <f>F9+F8+F7+F6+F5</f>
        <v>3</v>
      </c>
      <c r="G10" s="61">
        <f t="shared" ref="G10:BR10" si="20">G9+G8+G7+G6+G5</f>
        <v>2</v>
      </c>
      <c r="H10" s="61">
        <f t="shared" si="20"/>
        <v>0</v>
      </c>
      <c r="I10" s="61">
        <f t="shared" si="20"/>
        <v>1</v>
      </c>
      <c r="J10" s="61">
        <f t="shared" si="20"/>
        <v>4</v>
      </c>
      <c r="K10" s="61">
        <f t="shared" si="20"/>
        <v>2</v>
      </c>
      <c r="L10" s="61">
        <f t="shared" si="20"/>
        <v>3</v>
      </c>
      <c r="M10" s="61">
        <f t="shared" si="20"/>
        <v>1</v>
      </c>
      <c r="N10" s="61">
        <f t="shared" si="20"/>
        <v>4</v>
      </c>
      <c r="O10" s="61">
        <f t="shared" si="20"/>
        <v>0</v>
      </c>
      <c r="P10" s="61">
        <f t="shared" si="20"/>
        <v>0</v>
      </c>
      <c r="Q10" s="61">
        <f t="shared" si="20"/>
        <v>0</v>
      </c>
      <c r="R10" s="61">
        <f t="shared" si="20"/>
        <v>0</v>
      </c>
      <c r="S10" s="61">
        <f t="shared" si="20"/>
        <v>0</v>
      </c>
      <c r="T10" s="61">
        <f t="shared" si="20"/>
        <v>0</v>
      </c>
      <c r="U10" s="61">
        <f t="shared" si="20"/>
        <v>0</v>
      </c>
      <c r="V10" s="61">
        <f t="shared" si="20"/>
        <v>0</v>
      </c>
      <c r="W10" s="61">
        <f t="shared" si="20"/>
        <v>0</v>
      </c>
      <c r="X10" s="61">
        <f t="shared" si="20"/>
        <v>0</v>
      </c>
      <c r="Y10" s="61">
        <f t="shared" si="20"/>
        <v>0</v>
      </c>
      <c r="Z10" s="61">
        <f t="shared" si="20"/>
        <v>0</v>
      </c>
      <c r="AA10" s="61">
        <f t="shared" si="20"/>
        <v>0</v>
      </c>
      <c r="AB10" s="61">
        <f t="shared" si="20"/>
        <v>0</v>
      </c>
      <c r="AC10" s="61">
        <f t="shared" si="20"/>
        <v>0</v>
      </c>
      <c r="AD10" s="61">
        <f t="shared" si="20"/>
        <v>0</v>
      </c>
      <c r="AE10" s="61">
        <f t="shared" si="20"/>
        <v>0</v>
      </c>
      <c r="AF10" s="61">
        <f t="shared" si="20"/>
        <v>0</v>
      </c>
      <c r="AG10" s="61">
        <f t="shared" si="20"/>
        <v>0</v>
      </c>
      <c r="AH10" s="61">
        <f t="shared" si="20"/>
        <v>0</v>
      </c>
      <c r="AI10" s="61">
        <f t="shared" si="20"/>
        <v>0</v>
      </c>
      <c r="AJ10" s="61">
        <f t="shared" si="20"/>
        <v>0</v>
      </c>
      <c r="AK10" s="61">
        <f t="shared" si="20"/>
        <v>0</v>
      </c>
      <c r="AL10" s="61">
        <f t="shared" si="20"/>
        <v>0</v>
      </c>
      <c r="AM10" s="61">
        <f t="shared" si="20"/>
        <v>0</v>
      </c>
      <c r="AN10" s="61">
        <f t="shared" si="20"/>
        <v>0</v>
      </c>
      <c r="AO10" s="61">
        <f t="shared" si="20"/>
        <v>0</v>
      </c>
      <c r="AP10" s="61">
        <f t="shared" si="20"/>
        <v>0</v>
      </c>
      <c r="AQ10" s="61">
        <f t="shared" si="20"/>
        <v>0</v>
      </c>
      <c r="AR10" s="61">
        <f t="shared" si="20"/>
        <v>0</v>
      </c>
      <c r="AS10" s="61">
        <f t="shared" si="20"/>
        <v>0</v>
      </c>
      <c r="AT10" s="61">
        <f t="shared" si="20"/>
        <v>0</v>
      </c>
      <c r="AU10" s="61">
        <f t="shared" si="20"/>
        <v>0</v>
      </c>
      <c r="AV10" s="61">
        <f t="shared" si="20"/>
        <v>0</v>
      </c>
      <c r="AW10" s="61">
        <f t="shared" si="20"/>
        <v>0</v>
      </c>
      <c r="AX10" s="61">
        <f t="shared" si="20"/>
        <v>0</v>
      </c>
      <c r="AY10" s="61">
        <f t="shared" si="20"/>
        <v>0</v>
      </c>
      <c r="AZ10" s="61">
        <f t="shared" si="20"/>
        <v>0</v>
      </c>
      <c r="BA10" s="61">
        <f t="shared" si="20"/>
        <v>0</v>
      </c>
      <c r="BB10" s="61">
        <f t="shared" si="20"/>
        <v>0</v>
      </c>
      <c r="BC10" s="61">
        <f t="shared" si="20"/>
        <v>0</v>
      </c>
      <c r="BD10" s="61">
        <f t="shared" si="20"/>
        <v>0</v>
      </c>
      <c r="BE10" s="61">
        <f t="shared" si="20"/>
        <v>0</v>
      </c>
      <c r="BF10" s="61">
        <f t="shared" si="20"/>
        <v>0</v>
      </c>
      <c r="BG10" s="61">
        <f t="shared" si="20"/>
        <v>0</v>
      </c>
      <c r="BH10" s="61">
        <f t="shared" si="20"/>
        <v>0</v>
      </c>
      <c r="BI10" s="61">
        <f t="shared" si="20"/>
        <v>0</v>
      </c>
      <c r="BJ10" s="61">
        <f t="shared" si="20"/>
        <v>0</v>
      </c>
      <c r="BK10" s="61">
        <f t="shared" si="20"/>
        <v>0</v>
      </c>
      <c r="BL10" s="61">
        <f t="shared" si="20"/>
        <v>0</v>
      </c>
      <c r="BM10" s="61">
        <f t="shared" si="20"/>
        <v>0</v>
      </c>
      <c r="BN10" s="61">
        <f t="shared" si="20"/>
        <v>0</v>
      </c>
      <c r="BO10" s="61">
        <f t="shared" si="20"/>
        <v>0</v>
      </c>
      <c r="BP10" s="61">
        <f t="shared" si="20"/>
        <v>0</v>
      </c>
      <c r="BQ10" s="61">
        <f t="shared" si="20"/>
        <v>0</v>
      </c>
      <c r="BR10" s="61">
        <f t="shared" si="20"/>
        <v>0</v>
      </c>
      <c r="BS10" s="61">
        <f t="shared" ref="BS10:CS10" si="21">BS9+BS8+BS7+BS6+BS5</f>
        <v>0</v>
      </c>
      <c r="BT10" s="61">
        <f t="shared" si="21"/>
        <v>0</v>
      </c>
      <c r="BU10" s="61">
        <f t="shared" si="21"/>
        <v>0</v>
      </c>
      <c r="BV10" s="61">
        <f t="shared" si="21"/>
        <v>0</v>
      </c>
      <c r="BW10" s="61">
        <f t="shared" si="21"/>
        <v>0</v>
      </c>
      <c r="BX10" s="61">
        <f t="shared" si="21"/>
        <v>0</v>
      </c>
      <c r="BY10" s="61">
        <f t="shared" si="21"/>
        <v>0</v>
      </c>
      <c r="BZ10" s="61">
        <f t="shared" si="21"/>
        <v>0</v>
      </c>
      <c r="CA10" s="61">
        <f t="shared" si="21"/>
        <v>0</v>
      </c>
      <c r="CB10" s="61">
        <f t="shared" si="21"/>
        <v>0</v>
      </c>
      <c r="CC10" s="61">
        <f t="shared" si="21"/>
        <v>0</v>
      </c>
      <c r="CD10" s="61">
        <f t="shared" si="21"/>
        <v>0</v>
      </c>
      <c r="CE10" s="61">
        <f t="shared" si="21"/>
        <v>0</v>
      </c>
      <c r="CF10" s="61">
        <f t="shared" si="21"/>
        <v>0</v>
      </c>
      <c r="CG10" s="61">
        <f t="shared" si="21"/>
        <v>0</v>
      </c>
      <c r="CH10" s="61">
        <f t="shared" si="21"/>
        <v>0</v>
      </c>
      <c r="CI10" s="61">
        <f t="shared" si="21"/>
        <v>0</v>
      </c>
      <c r="CJ10" s="61">
        <f t="shared" si="21"/>
        <v>0</v>
      </c>
      <c r="CK10" s="61">
        <f t="shared" si="21"/>
        <v>0</v>
      </c>
      <c r="CL10" s="61">
        <f t="shared" si="21"/>
        <v>0</v>
      </c>
      <c r="CM10" s="61">
        <f t="shared" si="21"/>
        <v>0</v>
      </c>
      <c r="CN10" s="61">
        <f t="shared" si="21"/>
        <v>0</v>
      </c>
      <c r="CO10" s="61">
        <f t="shared" si="21"/>
        <v>0</v>
      </c>
      <c r="CP10" s="61">
        <f t="shared" si="21"/>
        <v>0</v>
      </c>
      <c r="CQ10" s="61">
        <f t="shared" si="21"/>
        <v>0</v>
      </c>
      <c r="CR10" s="61">
        <f t="shared" si="21"/>
        <v>0</v>
      </c>
      <c r="CS10" s="61">
        <f t="shared" si="21"/>
        <v>0</v>
      </c>
      <c r="CT10" s="61">
        <f t="shared" si="19"/>
        <v>0</v>
      </c>
    </row>
    <row r="11" spans="1:98" s="68" customFormat="1" ht="27.75" customHeight="1" thickTop="1" thickBot="1" x14ac:dyDescent="0.25">
      <c r="A11" s="67">
        <v>1</v>
      </c>
      <c r="B11" s="67" t="s">
        <v>64</v>
      </c>
      <c r="C11" s="67" t="s">
        <v>13</v>
      </c>
      <c r="D11" s="67" t="s">
        <v>63</v>
      </c>
      <c r="E11" s="67" t="s">
        <v>14</v>
      </c>
      <c r="F11" s="67"/>
      <c r="G11" s="67"/>
      <c r="H11" s="67">
        <v>1</v>
      </c>
      <c r="I11" s="67">
        <v>1</v>
      </c>
      <c r="J11" s="67"/>
      <c r="K11" s="67">
        <v>1</v>
      </c>
      <c r="L11" s="67"/>
      <c r="M11" s="67">
        <v>1</v>
      </c>
      <c r="N11" s="67"/>
      <c r="O11" s="67"/>
      <c r="P11" s="67"/>
      <c r="Q11" s="67"/>
      <c r="R11" s="67"/>
      <c r="S11" s="67"/>
      <c r="T11" s="67"/>
      <c r="U11" s="67"/>
      <c r="V11" s="67"/>
      <c r="W11" s="67">
        <f t="shared" ref="W11" si="22">U11+S11+Q11</f>
        <v>0</v>
      </c>
      <c r="X11" s="67">
        <f t="shared" ref="X11" si="23">V11+T11+R11</f>
        <v>0</v>
      </c>
      <c r="Y11" s="67"/>
      <c r="Z11" s="67"/>
      <c r="AA11" s="67"/>
      <c r="AB11" s="67"/>
      <c r="AC11" s="67"/>
      <c r="AD11" s="67"/>
      <c r="AE11" s="67"/>
      <c r="AF11" s="67"/>
      <c r="AG11" s="67"/>
      <c r="AH11" s="67">
        <f t="shared" si="3"/>
        <v>0</v>
      </c>
      <c r="AI11" s="67">
        <f t="shared" si="4"/>
        <v>0</v>
      </c>
      <c r="AJ11" s="67">
        <f t="shared" si="5"/>
        <v>0</v>
      </c>
      <c r="AK11" s="67">
        <f t="shared" si="6"/>
        <v>0</v>
      </c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7"/>
      <c r="CG11" s="67"/>
      <c r="CH11" s="67">
        <f t="shared" si="7"/>
        <v>0</v>
      </c>
      <c r="CI11" s="67">
        <f t="shared" si="8"/>
        <v>0</v>
      </c>
      <c r="CJ11" s="67">
        <f t="shared" si="9"/>
        <v>0</v>
      </c>
      <c r="CK11" s="67">
        <f t="shared" si="10"/>
        <v>0</v>
      </c>
      <c r="CL11" s="67">
        <f t="shared" si="11"/>
        <v>0</v>
      </c>
      <c r="CM11" s="67">
        <f t="shared" si="12"/>
        <v>0</v>
      </c>
      <c r="CN11" s="67">
        <f t="shared" si="13"/>
        <v>0</v>
      </c>
      <c r="CO11" s="67">
        <f t="shared" si="14"/>
        <v>0</v>
      </c>
      <c r="CP11" s="67">
        <f t="shared" si="15"/>
        <v>0</v>
      </c>
      <c r="CQ11" s="67">
        <f t="shared" si="16"/>
        <v>0</v>
      </c>
      <c r="CR11" s="67">
        <f t="shared" si="17"/>
        <v>0</v>
      </c>
      <c r="CS11" s="67">
        <f t="shared" si="18"/>
        <v>0</v>
      </c>
      <c r="CT11" s="67">
        <f t="shared" si="19"/>
        <v>0</v>
      </c>
    </row>
    <row r="12" spans="1:98" s="60" customFormat="1" ht="27.75" customHeight="1" thickTop="1" thickBot="1" x14ac:dyDescent="0.25">
      <c r="A12" s="70" t="s">
        <v>62</v>
      </c>
      <c r="B12" s="71"/>
      <c r="C12" s="71"/>
      <c r="D12" s="71"/>
      <c r="E12" s="72"/>
      <c r="F12" s="61">
        <f>F11</f>
        <v>0</v>
      </c>
      <c r="G12" s="61">
        <f t="shared" ref="G12:BR12" si="24">G11</f>
        <v>0</v>
      </c>
      <c r="H12" s="61">
        <f t="shared" si="24"/>
        <v>1</v>
      </c>
      <c r="I12" s="61">
        <f t="shared" si="24"/>
        <v>1</v>
      </c>
      <c r="J12" s="61">
        <f t="shared" si="24"/>
        <v>0</v>
      </c>
      <c r="K12" s="61">
        <f t="shared" si="24"/>
        <v>1</v>
      </c>
      <c r="L12" s="61">
        <f t="shared" si="24"/>
        <v>0</v>
      </c>
      <c r="M12" s="61">
        <f t="shared" si="24"/>
        <v>1</v>
      </c>
      <c r="N12" s="61">
        <f t="shared" si="24"/>
        <v>0</v>
      </c>
      <c r="O12" s="61">
        <f t="shared" si="24"/>
        <v>0</v>
      </c>
      <c r="P12" s="61">
        <f t="shared" si="24"/>
        <v>0</v>
      </c>
      <c r="Q12" s="61">
        <f t="shared" si="24"/>
        <v>0</v>
      </c>
      <c r="R12" s="61">
        <f t="shared" si="24"/>
        <v>0</v>
      </c>
      <c r="S12" s="61">
        <f t="shared" si="24"/>
        <v>0</v>
      </c>
      <c r="T12" s="61">
        <f t="shared" si="24"/>
        <v>0</v>
      </c>
      <c r="U12" s="61">
        <f t="shared" si="24"/>
        <v>0</v>
      </c>
      <c r="V12" s="61">
        <f t="shared" si="24"/>
        <v>0</v>
      </c>
      <c r="W12" s="61">
        <f t="shared" si="24"/>
        <v>0</v>
      </c>
      <c r="X12" s="61">
        <f t="shared" si="24"/>
        <v>0</v>
      </c>
      <c r="Y12" s="61">
        <f t="shared" si="24"/>
        <v>0</v>
      </c>
      <c r="Z12" s="61">
        <f t="shared" si="24"/>
        <v>0</v>
      </c>
      <c r="AA12" s="61">
        <f t="shared" si="24"/>
        <v>0</v>
      </c>
      <c r="AB12" s="61">
        <f t="shared" si="24"/>
        <v>0</v>
      </c>
      <c r="AC12" s="61">
        <f t="shared" si="24"/>
        <v>0</v>
      </c>
      <c r="AD12" s="61">
        <f t="shared" si="24"/>
        <v>0</v>
      </c>
      <c r="AE12" s="61">
        <f t="shared" si="24"/>
        <v>0</v>
      </c>
      <c r="AF12" s="61">
        <f t="shared" si="24"/>
        <v>0</v>
      </c>
      <c r="AG12" s="61">
        <f t="shared" si="24"/>
        <v>0</v>
      </c>
      <c r="AH12" s="61">
        <f t="shared" si="24"/>
        <v>0</v>
      </c>
      <c r="AI12" s="61">
        <f t="shared" si="24"/>
        <v>0</v>
      </c>
      <c r="AJ12" s="61">
        <f t="shared" si="24"/>
        <v>0</v>
      </c>
      <c r="AK12" s="61">
        <f t="shared" si="24"/>
        <v>0</v>
      </c>
      <c r="AL12" s="61">
        <f t="shared" si="24"/>
        <v>0</v>
      </c>
      <c r="AM12" s="61">
        <f t="shared" si="24"/>
        <v>0</v>
      </c>
      <c r="AN12" s="61">
        <f t="shared" si="24"/>
        <v>0</v>
      </c>
      <c r="AO12" s="61">
        <f t="shared" si="24"/>
        <v>0</v>
      </c>
      <c r="AP12" s="61">
        <f t="shared" si="24"/>
        <v>0</v>
      </c>
      <c r="AQ12" s="61">
        <f t="shared" si="24"/>
        <v>0</v>
      </c>
      <c r="AR12" s="61">
        <f t="shared" si="24"/>
        <v>0</v>
      </c>
      <c r="AS12" s="61">
        <f t="shared" si="24"/>
        <v>0</v>
      </c>
      <c r="AT12" s="61">
        <f t="shared" si="24"/>
        <v>0</v>
      </c>
      <c r="AU12" s="61">
        <f t="shared" si="24"/>
        <v>0</v>
      </c>
      <c r="AV12" s="61">
        <f t="shared" si="24"/>
        <v>0</v>
      </c>
      <c r="AW12" s="61">
        <f t="shared" si="24"/>
        <v>0</v>
      </c>
      <c r="AX12" s="61">
        <f t="shared" si="24"/>
        <v>0</v>
      </c>
      <c r="AY12" s="61">
        <f t="shared" si="24"/>
        <v>0</v>
      </c>
      <c r="AZ12" s="61">
        <f t="shared" si="24"/>
        <v>0</v>
      </c>
      <c r="BA12" s="61">
        <f t="shared" si="24"/>
        <v>0</v>
      </c>
      <c r="BB12" s="61">
        <f t="shared" si="24"/>
        <v>0</v>
      </c>
      <c r="BC12" s="61">
        <f t="shared" si="24"/>
        <v>0</v>
      </c>
      <c r="BD12" s="61">
        <f t="shared" si="24"/>
        <v>0</v>
      </c>
      <c r="BE12" s="61">
        <f t="shared" si="24"/>
        <v>0</v>
      </c>
      <c r="BF12" s="61">
        <f t="shared" si="24"/>
        <v>0</v>
      </c>
      <c r="BG12" s="61">
        <f t="shared" si="24"/>
        <v>0</v>
      </c>
      <c r="BH12" s="61">
        <f t="shared" si="24"/>
        <v>0</v>
      </c>
      <c r="BI12" s="61">
        <f t="shared" si="24"/>
        <v>0</v>
      </c>
      <c r="BJ12" s="61">
        <f t="shared" si="24"/>
        <v>0</v>
      </c>
      <c r="BK12" s="61">
        <f t="shared" si="24"/>
        <v>0</v>
      </c>
      <c r="BL12" s="61">
        <f t="shared" si="24"/>
        <v>0</v>
      </c>
      <c r="BM12" s="61">
        <f t="shared" si="24"/>
        <v>0</v>
      </c>
      <c r="BN12" s="61">
        <f t="shared" si="24"/>
        <v>0</v>
      </c>
      <c r="BO12" s="61">
        <f t="shared" si="24"/>
        <v>0</v>
      </c>
      <c r="BP12" s="61">
        <f t="shared" si="24"/>
        <v>0</v>
      </c>
      <c r="BQ12" s="61">
        <f t="shared" si="24"/>
        <v>0</v>
      </c>
      <c r="BR12" s="61">
        <f t="shared" si="24"/>
        <v>0</v>
      </c>
      <c r="BS12" s="61">
        <f t="shared" ref="BS12:CS12" si="25">BS11</f>
        <v>0</v>
      </c>
      <c r="BT12" s="61">
        <f t="shared" si="25"/>
        <v>0</v>
      </c>
      <c r="BU12" s="61">
        <f t="shared" si="25"/>
        <v>0</v>
      </c>
      <c r="BV12" s="61">
        <f t="shared" si="25"/>
        <v>0</v>
      </c>
      <c r="BW12" s="61">
        <f t="shared" si="25"/>
        <v>0</v>
      </c>
      <c r="BX12" s="61">
        <f t="shared" si="25"/>
        <v>0</v>
      </c>
      <c r="BY12" s="61">
        <f t="shared" si="25"/>
        <v>0</v>
      </c>
      <c r="BZ12" s="61">
        <f t="shared" si="25"/>
        <v>0</v>
      </c>
      <c r="CA12" s="61">
        <f t="shared" si="25"/>
        <v>0</v>
      </c>
      <c r="CB12" s="61">
        <f t="shared" si="25"/>
        <v>0</v>
      </c>
      <c r="CC12" s="61">
        <f t="shared" si="25"/>
        <v>0</v>
      </c>
      <c r="CD12" s="61">
        <f t="shared" si="25"/>
        <v>0</v>
      </c>
      <c r="CE12" s="61">
        <f t="shared" si="25"/>
        <v>0</v>
      </c>
      <c r="CF12" s="61">
        <f t="shared" si="25"/>
        <v>0</v>
      </c>
      <c r="CG12" s="61">
        <f t="shared" si="25"/>
        <v>0</v>
      </c>
      <c r="CH12" s="61">
        <f t="shared" si="25"/>
        <v>0</v>
      </c>
      <c r="CI12" s="61">
        <f t="shared" si="25"/>
        <v>0</v>
      </c>
      <c r="CJ12" s="61">
        <f t="shared" si="25"/>
        <v>0</v>
      </c>
      <c r="CK12" s="61">
        <f t="shared" si="25"/>
        <v>0</v>
      </c>
      <c r="CL12" s="61">
        <f t="shared" si="25"/>
        <v>0</v>
      </c>
      <c r="CM12" s="61">
        <f t="shared" si="25"/>
        <v>0</v>
      </c>
      <c r="CN12" s="61">
        <f t="shared" si="25"/>
        <v>0</v>
      </c>
      <c r="CO12" s="61">
        <f t="shared" si="25"/>
        <v>0</v>
      </c>
      <c r="CP12" s="61">
        <f t="shared" si="25"/>
        <v>0</v>
      </c>
      <c r="CQ12" s="61">
        <f t="shared" si="25"/>
        <v>0</v>
      </c>
      <c r="CR12" s="61">
        <f t="shared" si="25"/>
        <v>0</v>
      </c>
      <c r="CS12" s="61">
        <f t="shared" si="25"/>
        <v>0</v>
      </c>
      <c r="CT12" s="61">
        <f t="shared" si="19"/>
        <v>0</v>
      </c>
    </row>
    <row r="13" spans="1:98" ht="16.5" customHeight="1" thickTop="1" thickBot="1" x14ac:dyDescent="0.25">
      <c r="CT13" s="2">
        <f t="shared" si="19"/>
        <v>0</v>
      </c>
    </row>
    <row r="14" spans="1:98" s="60" customFormat="1" ht="27.75" customHeight="1" thickTop="1" thickBot="1" x14ac:dyDescent="0.25">
      <c r="A14" s="70" t="s">
        <v>73</v>
      </c>
      <c r="B14" s="71"/>
      <c r="C14" s="71"/>
      <c r="D14" s="71"/>
      <c r="E14" s="72"/>
      <c r="F14" s="61">
        <f>F12+F10</f>
        <v>3</v>
      </c>
      <c r="G14" s="61">
        <f t="shared" ref="G14:BR14" si="26">G12+G10</f>
        <v>2</v>
      </c>
      <c r="H14" s="61">
        <f t="shared" si="26"/>
        <v>1</v>
      </c>
      <c r="I14" s="61">
        <f t="shared" si="26"/>
        <v>2</v>
      </c>
      <c r="J14" s="61">
        <f t="shared" si="26"/>
        <v>4</v>
      </c>
      <c r="K14" s="61">
        <f t="shared" si="26"/>
        <v>3</v>
      </c>
      <c r="L14" s="61">
        <f t="shared" si="26"/>
        <v>3</v>
      </c>
      <c r="M14" s="61">
        <f t="shared" si="26"/>
        <v>2</v>
      </c>
      <c r="N14" s="61">
        <f t="shared" si="26"/>
        <v>4</v>
      </c>
      <c r="O14" s="61">
        <f t="shared" si="26"/>
        <v>0</v>
      </c>
      <c r="P14" s="61">
        <f t="shared" si="26"/>
        <v>0</v>
      </c>
      <c r="Q14" s="61">
        <f t="shared" si="26"/>
        <v>0</v>
      </c>
      <c r="R14" s="61">
        <f t="shared" si="26"/>
        <v>0</v>
      </c>
      <c r="S14" s="61">
        <f t="shared" si="26"/>
        <v>0</v>
      </c>
      <c r="T14" s="61">
        <f t="shared" si="26"/>
        <v>0</v>
      </c>
      <c r="U14" s="61">
        <f t="shared" si="26"/>
        <v>0</v>
      </c>
      <c r="V14" s="61">
        <f t="shared" si="26"/>
        <v>0</v>
      </c>
      <c r="W14" s="61">
        <f>W12+W10</f>
        <v>0</v>
      </c>
      <c r="X14" s="61">
        <f t="shared" si="26"/>
        <v>0</v>
      </c>
      <c r="Y14" s="61">
        <f t="shared" si="26"/>
        <v>0</v>
      </c>
      <c r="Z14" s="61">
        <f t="shared" si="26"/>
        <v>0</v>
      </c>
      <c r="AA14" s="61">
        <f t="shared" si="26"/>
        <v>0</v>
      </c>
      <c r="AB14" s="61">
        <f t="shared" si="26"/>
        <v>0</v>
      </c>
      <c r="AC14" s="61">
        <f t="shared" si="26"/>
        <v>0</v>
      </c>
      <c r="AD14" s="61">
        <f t="shared" si="26"/>
        <v>0</v>
      </c>
      <c r="AE14" s="61">
        <f t="shared" si="26"/>
        <v>0</v>
      </c>
      <c r="AF14" s="61">
        <f t="shared" si="26"/>
        <v>0</v>
      </c>
      <c r="AG14" s="61">
        <f t="shared" si="26"/>
        <v>0</v>
      </c>
      <c r="AH14" s="61">
        <f t="shared" si="26"/>
        <v>0</v>
      </c>
      <c r="AI14" s="61">
        <f t="shared" si="26"/>
        <v>0</v>
      </c>
      <c r="AJ14" s="61">
        <f t="shared" si="26"/>
        <v>0</v>
      </c>
      <c r="AK14" s="61">
        <f t="shared" si="26"/>
        <v>0</v>
      </c>
      <c r="AL14" s="61">
        <f t="shared" si="26"/>
        <v>0</v>
      </c>
      <c r="AM14" s="61">
        <f t="shared" si="26"/>
        <v>0</v>
      </c>
      <c r="AN14" s="61">
        <f t="shared" si="26"/>
        <v>0</v>
      </c>
      <c r="AO14" s="61">
        <f t="shared" si="26"/>
        <v>0</v>
      </c>
      <c r="AP14" s="61">
        <f t="shared" si="26"/>
        <v>0</v>
      </c>
      <c r="AQ14" s="61">
        <f t="shared" si="26"/>
        <v>0</v>
      </c>
      <c r="AR14" s="61">
        <f t="shared" si="26"/>
        <v>0</v>
      </c>
      <c r="AS14" s="61">
        <f t="shared" si="26"/>
        <v>0</v>
      </c>
      <c r="AT14" s="61">
        <f t="shared" si="26"/>
        <v>0</v>
      </c>
      <c r="AU14" s="61">
        <f t="shared" si="26"/>
        <v>0</v>
      </c>
      <c r="AV14" s="61">
        <f t="shared" si="26"/>
        <v>0</v>
      </c>
      <c r="AW14" s="61">
        <f t="shared" si="26"/>
        <v>0</v>
      </c>
      <c r="AX14" s="61">
        <f t="shared" si="26"/>
        <v>0</v>
      </c>
      <c r="AY14" s="61">
        <f t="shared" si="26"/>
        <v>0</v>
      </c>
      <c r="AZ14" s="61">
        <f t="shared" si="26"/>
        <v>0</v>
      </c>
      <c r="BA14" s="61">
        <f t="shared" si="26"/>
        <v>0</v>
      </c>
      <c r="BB14" s="61">
        <f t="shared" si="26"/>
        <v>0</v>
      </c>
      <c r="BC14" s="61">
        <f t="shared" si="26"/>
        <v>0</v>
      </c>
      <c r="BD14" s="61">
        <f t="shared" si="26"/>
        <v>0</v>
      </c>
      <c r="BE14" s="61">
        <f t="shared" si="26"/>
        <v>0</v>
      </c>
      <c r="BF14" s="61">
        <f t="shared" si="26"/>
        <v>0</v>
      </c>
      <c r="BG14" s="61">
        <f t="shared" si="26"/>
        <v>0</v>
      </c>
      <c r="BH14" s="61">
        <f t="shared" si="26"/>
        <v>0</v>
      </c>
      <c r="BI14" s="61">
        <f t="shared" si="26"/>
        <v>0</v>
      </c>
      <c r="BJ14" s="61">
        <f t="shared" si="26"/>
        <v>0</v>
      </c>
      <c r="BK14" s="61">
        <f t="shared" si="26"/>
        <v>0</v>
      </c>
      <c r="BL14" s="61">
        <f t="shared" si="26"/>
        <v>0</v>
      </c>
      <c r="BM14" s="61">
        <f t="shared" si="26"/>
        <v>0</v>
      </c>
      <c r="BN14" s="61">
        <f t="shared" si="26"/>
        <v>0</v>
      </c>
      <c r="BO14" s="61">
        <f t="shared" si="26"/>
        <v>0</v>
      </c>
      <c r="BP14" s="61">
        <f t="shared" si="26"/>
        <v>0</v>
      </c>
      <c r="BQ14" s="61">
        <f t="shared" si="26"/>
        <v>0</v>
      </c>
      <c r="BR14" s="61">
        <f t="shared" si="26"/>
        <v>0</v>
      </c>
      <c r="BS14" s="61">
        <f t="shared" ref="BS14:CS14" si="27">BS12+BS10</f>
        <v>0</v>
      </c>
      <c r="BT14" s="61">
        <f t="shared" si="27"/>
        <v>0</v>
      </c>
      <c r="BU14" s="61">
        <f t="shared" si="27"/>
        <v>0</v>
      </c>
      <c r="BV14" s="61">
        <f t="shared" si="27"/>
        <v>0</v>
      </c>
      <c r="BW14" s="61">
        <f t="shared" si="27"/>
        <v>0</v>
      </c>
      <c r="BX14" s="61">
        <f t="shared" si="27"/>
        <v>0</v>
      </c>
      <c r="BY14" s="61">
        <f t="shared" si="27"/>
        <v>0</v>
      </c>
      <c r="BZ14" s="61">
        <f t="shared" si="27"/>
        <v>0</v>
      </c>
      <c r="CA14" s="61">
        <f t="shared" si="27"/>
        <v>0</v>
      </c>
      <c r="CB14" s="61">
        <f t="shared" si="27"/>
        <v>0</v>
      </c>
      <c r="CC14" s="61">
        <f t="shared" si="27"/>
        <v>0</v>
      </c>
      <c r="CD14" s="61">
        <f t="shared" si="27"/>
        <v>0</v>
      </c>
      <c r="CE14" s="61">
        <f t="shared" si="27"/>
        <v>0</v>
      </c>
      <c r="CF14" s="61">
        <f t="shared" si="27"/>
        <v>0</v>
      </c>
      <c r="CG14" s="61">
        <f t="shared" si="27"/>
        <v>0</v>
      </c>
      <c r="CH14" s="61">
        <f t="shared" si="27"/>
        <v>0</v>
      </c>
      <c r="CI14" s="61">
        <f t="shared" si="27"/>
        <v>0</v>
      </c>
      <c r="CJ14" s="61">
        <f t="shared" si="27"/>
        <v>0</v>
      </c>
      <c r="CK14" s="61">
        <f t="shared" si="27"/>
        <v>0</v>
      </c>
      <c r="CL14" s="61">
        <f t="shared" si="27"/>
        <v>0</v>
      </c>
      <c r="CM14" s="61">
        <f t="shared" si="27"/>
        <v>0</v>
      </c>
      <c r="CN14" s="61">
        <f t="shared" si="27"/>
        <v>0</v>
      </c>
      <c r="CO14" s="61">
        <f t="shared" si="27"/>
        <v>0</v>
      </c>
      <c r="CP14" s="61">
        <f t="shared" si="27"/>
        <v>0</v>
      </c>
      <c r="CQ14" s="61">
        <f t="shared" si="27"/>
        <v>0</v>
      </c>
      <c r="CR14" s="61">
        <f t="shared" si="27"/>
        <v>0</v>
      </c>
      <c r="CS14" s="61">
        <f t="shared" si="27"/>
        <v>0</v>
      </c>
      <c r="CT14" s="61">
        <f t="shared" si="19"/>
        <v>0</v>
      </c>
    </row>
    <row r="15" spans="1:98" ht="15" thickTop="1" x14ac:dyDescent="0.2"/>
  </sheetData>
  <mergeCells count="66">
    <mergeCell ref="A14:E14"/>
    <mergeCell ref="A1:E1"/>
    <mergeCell ref="A2:E2"/>
    <mergeCell ref="A3:A4"/>
    <mergeCell ref="B3:B4"/>
    <mergeCell ref="C3:C4"/>
    <mergeCell ref="D3:D4"/>
    <mergeCell ref="E3:E4"/>
    <mergeCell ref="A12:E12"/>
    <mergeCell ref="A10:E10"/>
    <mergeCell ref="CH1:CS1"/>
    <mergeCell ref="CH2:CS2"/>
    <mergeCell ref="CH3:CI3"/>
    <mergeCell ref="CJ3:CK3"/>
    <mergeCell ref="CL3:CM3"/>
    <mergeCell ref="CN3:CO3"/>
    <mergeCell ref="CP3:CQ3"/>
    <mergeCell ref="CR3:CS3"/>
    <mergeCell ref="BV1:CG1"/>
    <mergeCell ref="BV2:CG2"/>
    <mergeCell ref="BV3:BW3"/>
    <mergeCell ref="BX3:BY3"/>
    <mergeCell ref="BZ3:CA3"/>
    <mergeCell ref="CB3:CC3"/>
    <mergeCell ref="CD3:CE3"/>
    <mergeCell ref="CF3:CG3"/>
    <mergeCell ref="BJ1:BU1"/>
    <mergeCell ref="BJ2:BU2"/>
    <mergeCell ref="BJ3:BK3"/>
    <mergeCell ref="BL3:BM3"/>
    <mergeCell ref="BN3:BO3"/>
    <mergeCell ref="BP3:BQ3"/>
    <mergeCell ref="BR3:BS3"/>
    <mergeCell ref="BT3:BU3"/>
    <mergeCell ref="AV3:AW3"/>
    <mergeCell ref="AL1:AW1"/>
    <mergeCell ref="AL2:AW2"/>
    <mergeCell ref="AX1:BI1"/>
    <mergeCell ref="AX2:BI2"/>
    <mergeCell ref="AX3:AY3"/>
    <mergeCell ref="AZ3:BA3"/>
    <mergeCell ref="BB3:BC3"/>
    <mergeCell ref="BD3:BE3"/>
    <mergeCell ref="BF3:BG3"/>
    <mergeCell ref="AL3:AM3"/>
    <mergeCell ref="AN3:AO3"/>
    <mergeCell ref="AP3:AQ3"/>
    <mergeCell ref="AR3:AS3"/>
    <mergeCell ref="AT3:AU3"/>
    <mergeCell ref="BH3:BI3"/>
    <mergeCell ref="CT1:CT4"/>
    <mergeCell ref="AH3:AK3"/>
    <mergeCell ref="F1:H3"/>
    <mergeCell ref="I1:J3"/>
    <mergeCell ref="K1:L3"/>
    <mergeCell ref="M1:N3"/>
    <mergeCell ref="O1:P3"/>
    <mergeCell ref="Q1:X2"/>
    <mergeCell ref="Y1:AK2"/>
    <mergeCell ref="W3:X3"/>
    <mergeCell ref="Y3:AA3"/>
    <mergeCell ref="AB3:AD3"/>
    <mergeCell ref="AE3:AG3"/>
    <mergeCell ref="Q3:R3"/>
    <mergeCell ref="S3:T3"/>
    <mergeCell ref="U3:V3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39"/>
  <sheetViews>
    <sheetView rightToLeft="1" view="pageBreakPreview" zoomScale="70" zoomScaleNormal="100" zoomScaleSheetLayoutView="70" workbookViewId="0">
      <selection activeCell="C25" sqref="C25"/>
    </sheetView>
  </sheetViews>
  <sheetFormatPr defaultColWidth="9" defaultRowHeight="23.25" x14ac:dyDescent="0.35"/>
  <cols>
    <col min="1" max="1" width="17" style="8" customWidth="1"/>
    <col min="2" max="2" width="9" style="8"/>
    <col min="3" max="3" width="10.125" style="8" customWidth="1"/>
    <col min="4" max="4" width="12.125" style="8" customWidth="1"/>
    <col min="5" max="5" width="10.125" style="8" customWidth="1"/>
    <col min="6" max="6" width="11.75" style="8" customWidth="1"/>
    <col min="7" max="7" width="14.25" style="8" customWidth="1"/>
    <col min="8" max="9" width="13.375" style="8" customWidth="1"/>
    <col min="10" max="10" width="11.125" style="8" customWidth="1"/>
    <col min="11" max="12" width="9" style="8"/>
    <col min="13" max="13" width="9.375" style="8" customWidth="1"/>
    <col min="14" max="14" width="7.125" style="8" customWidth="1"/>
    <col min="15" max="15" width="7.625" style="8" customWidth="1"/>
    <col min="16" max="16" width="11.125" style="8" customWidth="1"/>
    <col min="17" max="16384" width="9" style="8"/>
  </cols>
  <sheetData>
    <row r="1" spans="1:13" s="6" customFormat="1" ht="23.25" customHeight="1" x14ac:dyDescent="0.35"/>
    <row r="2" spans="1:13" s="6" customFormat="1" ht="23.25" customHeight="1" x14ac:dyDescent="0.35">
      <c r="B2" s="7" t="s">
        <v>17</v>
      </c>
      <c r="C2" s="7"/>
      <c r="I2" s="81" t="s">
        <v>15</v>
      </c>
      <c r="J2" s="81"/>
      <c r="K2" s="81"/>
      <c r="L2" s="81"/>
      <c r="M2" s="81"/>
    </row>
    <row r="3" spans="1:13" s="6" customFormat="1" ht="23.25" customHeight="1" x14ac:dyDescent="0.35">
      <c r="A3" s="81" t="s">
        <v>18</v>
      </c>
      <c r="B3" s="81"/>
      <c r="C3" s="81"/>
      <c r="I3" s="81" t="s">
        <v>51</v>
      </c>
      <c r="J3" s="81"/>
      <c r="K3" s="81"/>
      <c r="L3" s="81"/>
      <c r="M3" s="81"/>
    </row>
    <row r="4" spans="1:13" s="6" customFormat="1" ht="23.25" customHeight="1" x14ac:dyDescent="0.35">
      <c r="A4" s="81" t="s">
        <v>19</v>
      </c>
      <c r="B4" s="81"/>
      <c r="C4" s="81"/>
      <c r="I4" s="81" t="s">
        <v>52</v>
      </c>
      <c r="J4" s="81"/>
      <c r="K4" s="81"/>
      <c r="L4" s="81"/>
      <c r="M4" s="81"/>
    </row>
    <row r="5" spans="1:13" s="6" customFormat="1" ht="35.25" customHeight="1" x14ac:dyDescent="0.4">
      <c r="D5" s="64" t="s">
        <v>74</v>
      </c>
      <c r="E5" s="20"/>
      <c r="F5" s="20"/>
      <c r="G5" s="20"/>
      <c r="H5" s="20"/>
      <c r="I5" s="20"/>
      <c r="J5" s="20"/>
    </row>
    <row r="6" spans="1:13" s="6" customFormat="1" ht="15" customHeight="1" x14ac:dyDescent="0.35">
      <c r="D6" s="7"/>
      <c r="E6" s="7"/>
      <c r="F6" s="7"/>
      <c r="G6" s="7"/>
      <c r="H6" s="7"/>
      <c r="I6" s="7"/>
      <c r="J6" s="7"/>
    </row>
    <row r="7" spans="1:13" s="6" customFormat="1" ht="23.25" customHeight="1" x14ac:dyDescent="0.35">
      <c r="B7" s="7"/>
      <c r="C7" s="7"/>
      <c r="D7" s="81" t="s">
        <v>20</v>
      </c>
      <c r="E7" s="81"/>
      <c r="F7" s="81"/>
      <c r="G7" s="81" t="s">
        <v>49</v>
      </c>
      <c r="H7" s="81"/>
      <c r="I7" s="81" t="s">
        <v>50</v>
      </c>
      <c r="J7" s="81"/>
    </row>
    <row r="8" spans="1:13" ht="24.75" customHeight="1" thickBot="1" x14ac:dyDescent="0.4"/>
    <row r="9" spans="1:13" ht="56.25" customHeight="1" thickTop="1" thickBot="1" x14ac:dyDescent="0.4">
      <c r="D9" s="88" t="s">
        <v>22</v>
      </c>
      <c r="E9" s="89"/>
      <c r="F9" s="89"/>
      <c r="G9" s="89" t="s">
        <v>23</v>
      </c>
      <c r="H9" s="89"/>
      <c r="I9" s="73" t="s">
        <v>24</v>
      </c>
      <c r="J9" s="75"/>
    </row>
    <row r="10" spans="1:13" ht="51" customHeight="1" thickTop="1" thickBot="1" x14ac:dyDescent="0.4">
      <c r="D10" s="9" t="s">
        <v>10</v>
      </c>
      <c r="E10" s="5" t="s">
        <v>11</v>
      </c>
      <c r="F10" s="5" t="s">
        <v>12</v>
      </c>
      <c r="G10" s="11" t="s">
        <v>25</v>
      </c>
      <c r="H10" s="11" t="s">
        <v>26</v>
      </c>
      <c r="I10" s="10" t="s">
        <v>7</v>
      </c>
      <c r="J10" s="12" t="s">
        <v>27</v>
      </c>
    </row>
    <row r="11" spans="1:13" ht="35.25" customHeight="1" thickTop="1" thickBot="1" x14ac:dyDescent="0.4">
      <c r="D11" s="13">
        <f>'الفنون الصناعية'!F14</f>
        <v>3</v>
      </c>
      <c r="E11" s="14">
        <f>'الفنون الصناعية'!G14</f>
        <v>2</v>
      </c>
      <c r="F11" s="14">
        <f>'الفنون الصناعية'!H14</f>
        <v>1</v>
      </c>
      <c r="G11" s="14">
        <f>'الفنون الصناعية'!I14</f>
        <v>2</v>
      </c>
      <c r="H11" s="14">
        <f>'الفنون الصناعية'!J14</f>
        <v>4</v>
      </c>
      <c r="I11" s="14">
        <f>'الفنون الصناعية'!K14</f>
        <v>3</v>
      </c>
      <c r="J11" s="15">
        <f>'الفنون الصناعية'!L14</f>
        <v>3</v>
      </c>
    </row>
    <row r="12" spans="1:13" ht="35.25" customHeight="1" thickTop="1" thickBot="1" x14ac:dyDescent="0.4"/>
    <row r="13" spans="1:13" ht="50.25" customHeight="1" thickTop="1" thickBot="1" x14ac:dyDescent="0.4">
      <c r="D13" s="90" t="s">
        <v>28</v>
      </c>
      <c r="E13" s="74"/>
      <c r="F13" s="91"/>
      <c r="G13" s="73" t="s">
        <v>29</v>
      </c>
      <c r="H13" s="74"/>
      <c r="I13" s="74"/>
      <c r="J13" s="75"/>
    </row>
    <row r="14" spans="1:13" ht="35.25" customHeight="1" thickTop="1" thickBot="1" x14ac:dyDescent="0.4">
      <c r="D14" s="85" t="s">
        <v>7</v>
      </c>
      <c r="E14" s="86"/>
      <c r="F14" s="10" t="s">
        <v>27</v>
      </c>
      <c r="G14" s="82" t="s">
        <v>30</v>
      </c>
      <c r="H14" s="87"/>
      <c r="I14" s="82" t="s">
        <v>31</v>
      </c>
      <c r="J14" s="84"/>
    </row>
    <row r="15" spans="1:13" ht="35.25" customHeight="1" thickTop="1" thickBot="1" x14ac:dyDescent="0.4">
      <c r="D15" s="76">
        <f>'الفنون الصناعية'!M14</f>
        <v>2</v>
      </c>
      <c r="E15" s="77"/>
      <c r="F15" s="14">
        <f>'الفنون الصناعية'!N14</f>
        <v>4</v>
      </c>
      <c r="G15" s="78">
        <f>'الفنون الصناعية'!O14</f>
        <v>0</v>
      </c>
      <c r="H15" s="79"/>
      <c r="I15" s="78">
        <f>'الفنون الصناعية'!P14</f>
        <v>0</v>
      </c>
      <c r="J15" s="80"/>
    </row>
    <row r="16" spans="1:13" ht="35.25" customHeight="1" thickTop="1" x14ac:dyDescent="0.35"/>
    <row r="17" spans="1:16" ht="35.25" customHeight="1" thickBot="1" x14ac:dyDescent="0.4">
      <c r="D17" s="69" t="s">
        <v>32</v>
      </c>
    </row>
    <row r="18" spans="1:16" ht="35.25" customHeight="1" thickTop="1" thickBot="1" x14ac:dyDescent="0.4">
      <c r="D18" s="16" t="s">
        <v>33</v>
      </c>
      <c r="E18" s="92" t="s">
        <v>34</v>
      </c>
      <c r="F18" s="93"/>
      <c r="G18" s="92" t="s">
        <v>16</v>
      </c>
      <c r="H18" s="93"/>
      <c r="I18" s="92" t="s">
        <v>35</v>
      </c>
      <c r="J18" s="93"/>
      <c r="K18" s="92" t="s">
        <v>4</v>
      </c>
      <c r="L18" s="94"/>
      <c r="M18" s="95"/>
    </row>
    <row r="19" spans="1:16" ht="35.25" customHeight="1" thickTop="1" thickBot="1" x14ac:dyDescent="0.4">
      <c r="D19" s="96" t="s">
        <v>36</v>
      </c>
      <c r="E19" s="10" t="s">
        <v>1</v>
      </c>
      <c r="F19" s="10" t="s">
        <v>2</v>
      </c>
      <c r="G19" s="10" t="s">
        <v>1</v>
      </c>
      <c r="H19" s="10" t="s">
        <v>2</v>
      </c>
      <c r="I19" s="10" t="s">
        <v>1</v>
      </c>
      <c r="J19" s="10" t="s">
        <v>2</v>
      </c>
      <c r="K19" s="10" t="s">
        <v>1</v>
      </c>
      <c r="L19" s="12" t="s">
        <v>2</v>
      </c>
      <c r="M19" s="15" t="s">
        <v>4</v>
      </c>
    </row>
    <row r="20" spans="1:16" ht="35.25" customHeight="1" thickTop="1" thickBot="1" x14ac:dyDescent="0.4">
      <c r="D20" s="97"/>
      <c r="E20" s="14">
        <f>'الفنون الصناعية'!Q14</f>
        <v>0</v>
      </c>
      <c r="F20" s="14">
        <f>'الفنون الصناعية'!R14</f>
        <v>0</v>
      </c>
      <c r="G20" s="14">
        <f>'الفنون الصناعية'!S14</f>
        <v>0</v>
      </c>
      <c r="H20" s="14">
        <f>'الفنون الصناعية'!T14</f>
        <v>0</v>
      </c>
      <c r="I20" s="14">
        <f>'الفنون الصناعية'!U14</f>
        <v>0</v>
      </c>
      <c r="J20" s="15">
        <f>'الفنون الصناعية'!V14</f>
        <v>0</v>
      </c>
      <c r="K20" s="15">
        <f>I20+G20+E20</f>
        <v>0</v>
      </c>
      <c r="L20" s="15">
        <f>J20+H20+F20</f>
        <v>0</v>
      </c>
      <c r="M20" s="15">
        <f>L20+K20</f>
        <v>0</v>
      </c>
    </row>
    <row r="21" spans="1:16" ht="35.25" customHeight="1" thickTop="1" thickBot="1" x14ac:dyDescent="0.4"/>
    <row r="22" spans="1:16" ht="35.25" customHeight="1" thickTop="1" thickBot="1" x14ac:dyDescent="0.4">
      <c r="E22" s="98" t="s">
        <v>9</v>
      </c>
      <c r="F22" s="17"/>
      <c r="G22" s="17" t="s">
        <v>34</v>
      </c>
      <c r="H22" s="17" t="s">
        <v>16</v>
      </c>
      <c r="I22" s="17" t="s">
        <v>35</v>
      </c>
      <c r="J22" s="18" t="s">
        <v>4</v>
      </c>
    </row>
    <row r="23" spans="1:16" ht="35.25" customHeight="1" thickTop="1" thickBot="1" x14ac:dyDescent="0.4">
      <c r="E23" s="99"/>
      <c r="F23" s="10" t="s">
        <v>1</v>
      </c>
      <c r="G23" s="10">
        <f>'الفنون الصناعية'!Y14</f>
        <v>0</v>
      </c>
      <c r="H23" s="10">
        <f>'الفنون الصناعية'!AB14</f>
        <v>0</v>
      </c>
      <c r="I23" s="10">
        <f>'الفنون الصناعية'!AE14</f>
        <v>0</v>
      </c>
      <c r="J23" s="12">
        <f>I23+H23+G23</f>
        <v>0</v>
      </c>
    </row>
    <row r="24" spans="1:16" ht="35.25" customHeight="1" thickTop="1" thickBot="1" x14ac:dyDescent="0.4">
      <c r="E24" s="99"/>
      <c r="F24" s="10" t="s">
        <v>2</v>
      </c>
      <c r="G24" s="10">
        <f>'الفنون الصناعية'!Z14</f>
        <v>0</v>
      </c>
      <c r="H24" s="10">
        <f>'الفنون الصناعية'!AC14</f>
        <v>0</v>
      </c>
      <c r="I24" s="10">
        <f>'الفنون الصناعية'!AF14</f>
        <v>0</v>
      </c>
      <c r="J24" s="12">
        <f t="shared" ref="J24:J26" si="0">I24+H24+G24</f>
        <v>0</v>
      </c>
    </row>
    <row r="25" spans="1:16" ht="35.25" customHeight="1" thickTop="1" thickBot="1" x14ac:dyDescent="0.4">
      <c r="E25" s="99"/>
      <c r="F25" s="10" t="s">
        <v>3</v>
      </c>
      <c r="G25" s="10">
        <f>'الفنون الصناعية'!AA14</f>
        <v>0</v>
      </c>
      <c r="H25" s="10">
        <f>'الفنون الصناعية'!AD14</f>
        <v>0</v>
      </c>
      <c r="I25" s="10">
        <f>'الفنون الصناعية'!AG14</f>
        <v>0</v>
      </c>
      <c r="J25" s="12">
        <f t="shared" si="0"/>
        <v>0</v>
      </c>
    </row>
    <row r="26" spans="1:16" ht="35.25" customHeight="1" thickTop="1" thickBot="1" x14ac:dyDescent="0.4">
      <c r="E26" s="100"/>
      <c r="F26" s="14" t="s">
        <v>8</v>
      </c>
      <c r="G26" s="14">
        <f>G25+G24+G23</f>
        <v>0</v>
      </c>
      <c r="H26" s="14">
        <f t="shared" ref="H26:I26" si="1">H25+H24+H23</f>
        <v>0</v>
      </c>
      <c r="I26" s="14">
        <f t="shared" si="1"/>
        <v>0</v>
      </c>
      <c r="J26" s="15">
        <f t="shared" si="0"/>
        <v>0</v>
      </c>
    </row>
    <row r="27" spans="1:16" ht="35.25" customHeight="1" thickTop="1" thickBot="1" x14ac:dyDescent="0.4">
      <c r="G27" s="19" t="s">
        <v>37</v>
      </c>
    </row>
    <row r="28" spans="1:16" ht="35.25" customHeight="1" thickTop="1" thickBot="1" x14ac:dyDescent="0.4">
      <c r="A28" s="101" t="s">
        <v>38</v>
      </c>
      <c r="B28" s="82" t="s">
        <v>39</v>
      </c>
      <c r="C28" s="87"/>
      <c r="D28" s="82" t="s">
        <v>40</v>
      </c>
      <c r="E28" s="87"/>
      <c r="F28" s="82" t="s">
        <v>41</v>
      </c>
      <c r="G28" s="87"/>
      <c r="H28" s="82" t="s">
        <v>42</v>
      </c>
      <c r="I28" s="87"/>
      <c r="J28" s="82" t="s">
        <v>43</v>
      </c>
      <c r="K28" s="87"/>
      <c r="L28" s="82" t="s">
        <v>44</v>
      </c>
      <c r="M28" s="84"/>
      <c r="N28" s="82" t="s">
        <v>57</v>
      </c>
      <c r="O28" s="83"/>
      <c r="P28" s="84"/>
    </row>
    <row r="29" spans="1:16" ht="35.25" customHeight="1" thickTop="1" thickBot="1" x14ac:dyDescent="0.4">
      <c r="A29" s="102"/>
      <c r="B29" s="10" t="s">
        <v>6</v>
      </c>
      <c r="C29" s="10" t="s">
        <v>5</v>
      </c>
      <c r="D29" s="10" t="s">
        <v>6</v>
      </c>
      <c r="E29" s="10" t="s">
        <v>5</v>
      </c>
      <c r="F29" s="10" t="s">
        <v>6</v>
      </c>
      <c r="G29" s="10" t="s">
        <v>5</v>
      </c>
      <c r="H29" s="10" t="s">
        <v>6</v>
      </c>
      <c r="I29" s="10" t="s">
        <v>5</v>
      </c>
      <c r="J29" s="10" t="s">
        <v>6</v>
      </c>
      <c r="K29" s="10" t="s">
        <v>5</v>
      </c>
      <c r="L29" s="10" t="s">
        <v>6</v>
      </c>
      <c r="M29" s="12" t="s">
        <v>5</v>
      </c>
      <c r="N29" s="10" t="s">
        <v>6</v>
      </c>
      <c r="O29" s="12" t="s">
        <v>5</v>
      </c>
      <c r="P29" s="12" t="s">
        <v>4</v>
      </c>
    </row>
    <row r="30" spans="1:16" ht="35.25" customHeight="1" thickTop="1" thickBot="1" x14ac:dyDescent="0.4">
      <c r="A30" s="9" t="s">
        <v>45</v>
      </c>
      <c r="B30" s="10">
        <f>'الفنون الصناعية'!AL14</f>
        <v>0</v>
      </c>
      <c r="C30" s="10">
        <f>'الفنون الصناعية'!AM14</f>
        <v>0</v>
      </c>
      <c r="D30" s="10">
        <f>'الفنون الصناعية'!AN14</f>
        <v>0</v>
      </c>
      <c r="E30" s="10">
        <f>'الفنون الصناعية'!AO14</f>
        <v>0</v>
      </c>
      <c r="F30" s="10">
        <f>'الفنون الصناعية'!AP14</f>
        <v>0</v>
      </c>
      <c r="G30" s="10">
        <f>'الفنون الصناعية'!AQ14</f>
        <v>0</v>
      </c>
      <c r="H30" s="10">
        <f>'الفنون الصناعية'!AR14</f>
        <v>0</v>
      </c>
      <c r="I30" s="10">
        <f>'الفنون الصناعية'!AS14</f>
        <v>0</v>
      </c>
      <c r="J30" s="10">
        <f>'الفنون الصناعية'!AT14</f>
        <v>0</v>
      </c>
      <c r="K30" s="10">
        <f>'الفنون الصناعية'!AU14</f>
        <v>0</v>
      </c>
      <c r="L30" s="10">
        <f>'الفنون الصناعية'!AV14</f>
        <v>0</v>
      </c>
      <c r="M30" s="12">
        <f>'الفنون الصناعية'!AW14</f>
        <v>0</v>
      </c>
      <c r="N30" s="12">
        <f>L30+J30+H30+F30+D30+B30</f>
        <v>0</v>
      </c>
      <c r="O30" s="12">
        <f>M30+K30+I30+G30+E30+C30</f>
        <v>0</v>
      </c>
      <c r="P30" s="12">
        <f>SUM(N30:O30)</f>
        <v>0</v>
      </c>
    </row>
    <row r="31" spans="1:16" ht="35.25" customHeight="1" thickTop="1" thickBot="1" x14ac:dyDescent="0.4">
      <c r="A31" s="9" t="s">
        <v>46</v>
      </c>
      <c r="B31" s="10">
        <f>'الفنون الصناعية'!AX14</f>
        <v>0</v>
      </c>
      <c r="C31" s="10">
        <f>'الفنون الصناعية'!AY14</f>
        <v>0</v>
      </c>
      <c r="D31" s="10">
        <f>'الفنون الصناعية'!AZ14</f>
        <v>0</v>
      </c>
      <c r="E31" s="10">
        <f>'الفنون الصناعية'!BA14</f>
        <v>0</v>
      </c>
      <c r="F31" s="10">
        <f>'الفنون الصناعية'!BB14</f>
        <v>0</v>
      </c>
      <c r="G31" s="10">
        <f>'الفنون الصناعية'!BC14</f>
        <v>0</v>
      </c>
      <c r="H31" s="10">
        <f>'الفنون الصناعية'!BD14</f>
        <v>0</v>
      </c>
      <c r="I31" s="10">
        <f>'الفنون الصناعية'!BE14</f>
        <v>0</v>
      </c>
      <c r="J31" s="10">
        <f>'الفنون الصناعية'!BF14</f>
        <v>0</v>
      </c>
      <c r="K31" s="10">
        <f>'الفنون الصناعية'!BG14</f>
        <v>0</v>
      </c>
      <c r="L31" s="10">
        <f>'الفنون الصناعية'!BH14</f>
        <v>0</v>
      </c>
      <c r="M31" s="12">
        <f>'الفنون الصناعية'!BI14</f>
        <v>0</v>
      </c>
      <c r="N31" s="12">
        <f t="shared" ref="N31:O34" si="2">L31+J31+H31+F31+D31+B31</f>
        <v>0</v>
      </c>
      <c r="O31" s="12">
        <f t="shared" si="2"/>
        <v>0</v>
      </c>
      <c r="P31" s="12">
        <f>SUM(N31:O31)</f>
        <v>0</v>
      </c>
    </row>
    <row r="32" spans="1:16" ht="35.25" customHeight="1" thickTop="1" thickBot="1" x14ac:dyDescent="0.4">
      <c r="A32" s="9" t="s">
        <v>47</v>
      </c>
      <c r="B32" s="10">
        <f>'الفنون الصناعية'!BJ14</f>
        <v>0</v>
      </c>
      <c r="C32" s="10">
        <f>'الفنون الصناعية'!BK14</f>
        <v>0</v>
      </c>
      <c r="D32" s="10">
        <f>'الفنون الصناعية'!BL14</f>
        <v>0</v>
      </c>
      <c r="E32" s="10">
        <f>'الفنون الصناعية'!BM14</f>
        <v>0</v>
      </c>
      <c r="F32" s="10">
        <f>'الفنون الصناعية'!BN14</f>
        <v>0</v>
      </c>
      <c r="G32" s="10">
        <f>'الفنون الصناعية'!BO14</f>
        <v>0</v>
      </c>
      <c r="H32" s="10">
        <f>'الفنون الصناعية'!BP14</f>
        <v>0</v>
      </c>
      <c r="I32" s="10">
        <f>'الفنون الصناعية'!BQ14</f>
        <v>0</v>
      </c>
      <c r="J32" s="10">
        <f>'الفنون الصناعية'!BR14</f>
        <v>0</v>
      </c>
      <c r="K32" s="10">
        <f>'الفنون الصناعية'!BS14</f>
        <v>0</v>
      </c>
      <c r="L32" s="10">
        <f>'الفنون الصناعية'!BT14</f>
        <v>0</v>
      </c>
      <c r="M32" s="12">
        <f>'الفنون الصناعية'!BU14</f>
        <v>0</v>
      </c>
      <c r="N32" s="12">
        <f t="shared" si="2"/>
        <v>0</v>
      </c>
      <c r="O32" s="12">
        <f t="shared" si="2"/>
        <v>0</v>
      </c>
      <c r="P32" s="12">
        <f t="shared" ref="P32:P34" si="3">SUM(N32:O32)</f>
        <v>0</v>
      </c>
    </row>
    <row r="33" spans="1:16" ht="35.25" customHeight="1" thickTop="1" thickBot="1" x14ac:dyDescent="0.4">
      <c r="A33" s="9" t="s">
        <v>48</v>
      </c>
      <c r="B33" s="10">
        <f>'الفنون الصناعية'!BV14</f>
        <v>0</v>
      </c>
      <c r="C33" s="10">
        <f>'الفنون الصناعية'!BW14</f>
        <v>0</v>
      </c>
      <c r="D33" s="10">
        <f>'الفنون الصناعية'!BX14</f>
        <v>0</v>
      </c>
      <c r="E33" s="10">
        <f>'الفنون الصناعية'!BY14</f>
        <v>0</v>
      </c>
      <c r="F33" s="10">
        <f>'الفنون الصناعية'!BZ14</f>
        <v>0</v>
      </c>
      <c r="G33" s="10">
        <f>'الفنون الصناعية'!CA14</f>
        <v>0</v>
      </c>
      <c r="H33" s="10">
        <f>'الفنون الصناعية'!CB14</f>
        <v>0</v>
      </c>
      <c r="I33" s="10">
        <f>'الفنون الصناعية'!CC14</f>
        <v>0</v>
      </c>
      <c r="J33" s="10">
        <f>'الفنون الصناعية'!CD14</f>
        <v>0</v>
      </c>
      <c r="K33" s="10">
        <f>'الفنون الصناعية'!CE14</f>
        <v>0</v>
      </c>
      <c r="L33" s="10">
        <f>'الفنون الصناعية'!CF14</f>
        <v>0</v>
      </c>
      <c r="M33" s="12">
        <f>'الفنون الصناعية'!CG14</f>
        <v>0</v>
      </c>
      <c r="N33" s="12">
        <f t="shared" si="2"/>
        <v>0</v>
      </c>
      <c r="O33" s="12">
        <f t="shared" si="2"/>
        <v>0</v>
      </c>
      <c r="P33" s="12">
        <f t="shared" si="3"/>
        <v>0</v>
      </c>
    </row>
    <row r="34" spans="1:16" ht="35.25" customHeight="1" thickTop="1" thickBot="1" x14ac:dyDescent="0.4">
      <c r="A34" s="13" t="s">
        <v>4</v>
      </c>
      <c r="B34" s="14">
        <f>SUM(B30:B33)</f>
        <v>0</v>
      </c>
      <c r="C34" s="14">
        <f t="shared" ref="C34:M34" si="4">SUM(C30:C33)</f>
        <v>0</v>
      </c>
      <c r="D34" s="14">
        <f t="shared" si="4"/>
        <v>0</v>
      </c>
      <c r="E34" s="14">
        <f t="shared" si="4"/>
        <v>0</v>
      </c>
      <c r="F34" s="14">
        <f t="shared" si="4"/>
        <v>0</v>
      </c>
      <c r="G34" s="14">
        <f t="shared" si="4"/>
        <v>0</v>
      </c>
      <c r="H34" s="14">
        <f t="shared" si="4"/>
        <v>0</v>
      </c>
      <c r="I34" s="14">
        <f t="shared" si="4"/>
        <v>0</v>
      </c>
      <c r="J34" s="14">
        <f t="shared" si="4"/>
        <v>0</v>
      </c>
      <c r="K34" s="14">
        <f t="shared" si="4"/>
        <v>0</v>
      </c>
      <c r="L34" s="14">
        <f t="shared" si="4"/>
        <v>0</v>
      </c>
      <c r="M34" s="14">
        <f t="shared" si="4"/>
        <v>0</v>
      </c>
      <c r="N34" s="15">
        <f t="shared" si="2"/>
        <v>0</v>
      </c>
      <c r="O34" s="15">
        <f t="shared" si="2"/>
        <v>0</v>
      </c>
      <c r="P34" s="15">
        <f t="shared" si="3"/>
        <v>0</v>
      </c>
    </row>
    <row r="35" spans="1:16" ht="24.75" customHeight="1" thickTop="1" x14ac:dyDescent="0.35"/>
    <row r="36" spans="1:16" ht="24.75" customHeight="1" x14ac:dyDescent="0.35"/>
    <row r="37" spans="1:16" ht="24.75" customHeight="1" x14ac:dyDescent="0.35"/>
    <row r="38" spans="1:16" ht="24" customHeight="1" x14ac:dyDescent="0.35"/>
    <row r="39" spans="1:16" ht="25.5" customHeight="1" x14ac:dyDescent="0.35"/>
  </sheetData>
  <mergeCells count="33">
    <mergeCell ref="D19:D20"/>
    <mergeCell ref="E22:E26"/>
    <mergeCell ref="A28:A29"/>
    <mergeCell ref="B28:C28"/>
    <mergeCell ref="D28:E28"/>
    <mergeCell ref="G18:H18"/>
    <mergeCell ref="I18:J18"/>
    <mergeCell ref="L28:M28"/>
    <mergeCell ref="F28:G28"/>
    <mergeCell ref="H28:I28"/>
    <mergeCell ref="J28:K28"/>
    <mergeCell ref="K18:M18"/>
    <mergeCell ref="A3:C3"/>
    <mergeCell ref="I3:M3"/>
    <mergeCell ref="I4:M4"/>
    <mergeCell ref="N28:P28"/>
    <mergeCell ref="D7:F7"/>
    <mergeCell ref="A4:C4"/>
    <mergeCell ref="D14:E14"/>
    <mergeCell ref="G14:H14"/>
    <mergeCell ref="I14:J14"/>
    <mergeCell ref="G7:H7"/>
    <mergeCell ref="I7:J7"/>
    <mergeCell ref="D9:F9"/>
    <mergeCell ref="G9:H9"/>
    <mergeCell ref="I9:J9"/>
    <mergeCell ref="D13:F13"/>
    <mergeCell ref="E18:F18"/>
    <mergeCell ref="G13:J13"/>
    <mergeCell ref="D15:E15"/>
    <mergeCell ref="G15:H15"/>
    <mergeCell ref="I15:J15"/>
    <mergeCell ref="I2:M2"/>
  </mergeCells>
  <printOptions horizontalCentered="1" verticalCentered="1"/>
  <pageMargins left="0.15748031496062992" right="0.19685039370078741" top="0.23622047244094491" bottom="0.19685039370078741" header="0.15748031496062992" footer="0.11811023622047245"/>
  <pageSetup paperSize="9" scale="54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38"/>
  <sheetViews>
    <sheetView rightToLeft="1" view="pageBreakPreview" zoomScale="70" zoomScaleNormal="100" zoomScaleSheetLayoutView="70" workbookViewId="0">
      <selection activeCell="D7" sqref="D7"/>
    </sheetView>
  </sheetViews>
  <sheetFormatPr defaultColWidth="11.125" defaultRowHeight="20.25" x14ac:dyDescent="0.3"/>
  <cols>
    <col min="1" max="1" width="14.125" style="21" bestFit="1" customWidth="1"/>
    <col min="2" max="2" width="13.375" style="21" bestFit="1" customWidth="1"/>
    <col min="3" max="3" width="9.375" style="21" bestFit="1" customWidth="1"/>
    <col min="4" max="4" width="11.125" style="21"/>
    <col min="5" max="5" width="14.125" style="21" customWidth="1"/>
    <col min="6" max="6" width="12.875" style="21" customWidth="1"/>
    <col min="7" max="7" width="15.25" style="21" customWidth="1"/>
    <col min="8" max="8" width="15.125" style="21" customWidth="1"/>
    <col min="9" max="9" width="12.875" style="21" customWidth="1"/>
    <col min="10" max="10" width="8.625" style="21" customWidth="1"/>
    <col min="11" max="11" width="8.25" style="21" customWidth="1"/>
    <col min="12" max="12" width="10.375" style="21" customWidth="1"/>
    <col min="13" max="13" width="7.375" style="21" customWidth="1"/>
    <col min="14" max="16" width="8.375" style="21" customWidth="1"/>
    <col min="17" max="16384" width="11.125" style="21"/>
  </cols>
  <sheetData>
    <row r="1" spans="1:13" ht="24" customHeight="1" x14ac:dyDescent="0.3"/>
    <row r="2" spans="1:13" s="46" customFormat="1" ht="24" customHeight="1" x14ac:dyDescent="0.35">
      <c r="A2" s="43"/>
      <c r="B2" s="44" t="s">
        <v>17</v>
      </c>
      <c r="C2" s="45"/>
      <c r="I2" s="47" t="s">
        <v>15</v>
      </c>
      <c r="J2" s="47"/>
      <c r="K2" s="47"/>
      <c r="L2" s="47"/>
      <c r="M2" s="47"/>
    </row>
    <row r="3" spans="1:13" s="46" customFormat="1" ht="24" customHeight="1" x14ac:dyDescent="0.35">
      <c r="A3" s="106" t="s">
        <v>18</v>
      </c>
      <c r="B3" s="106"/>
      <c r="C3" s="106"/>
      <c r="I3" s="106" t="s">
        <v>51</v>
      </c>
      <c r="J3" s="106"/>
      <c r="K3" s="106"/>
      <c r="L3" s="106"/>
      <c r="M3" s="106"/>
    </row>
    <row r="4" spans="1:13" s="46" customFormat="1" ht="24" customHeight="1" x14ac:dyDescent="0.35">
      <c r="A4" s="106" t="s">
        <v>19</v>
      </c>
      <c r="B4" s="106"/>
      <c r="C4" s="106"/>
      <c r="I4" s="106" t="s">
        <v>52</v>
      </c>
      <c r="J4" s="106"/>
      <c r="K4" s="106"/>
      <c r="L4" s="106"/>
      <c r="M4" s="106"/>
    </row>
    <row r="5" spans="1:13" s="46" customFormat="1" ht="24" customHeight="1" x14ac:dyDescent="0.35"/>
    <row r="6" spans="1:13" s="65" customFormat="1" ht="24" customHeight="1" x14ac:dyDescent="0.4">
      <c r="D6" s="66" t="s">
        <v>75</v>
      </c>
      <c r="E6" s="66"/>
      <c r="F6" s="66"/>
      <c r="G6" s="66"/>
      <c r="H6" s="66"/>
      <c r="I6" s="66"/>
      <c r="J6" s="66"/>
    </row>
    <row r="7" spans="1:13" s="46" customFormat="1" ht="24" customHeight="1" x14ac:dyDescent="0.35">
      <c r="D7" s="44"/>
      <c r="E7" s="44"/>
      <c r="F7" s="44"/>
      <c r="G7" s="44"/>
      <c r="H7" s="44"/>
      <c r="I7" s="44"/>
      <c r="J7" s="44"/>
    </row>
    <row r="8" spans="1:13" s="46" customFormat="1" ht="24" customHeight="1" x14ac:dyDescent="0.35">
      <c r="B8" s="44"/>
      <c r="C8" s="44"/>
      <c r="D8" s="106" t="s">
        <v>20</v>
      </c>
      <c r="E8" s="106"/>
      <c r="F8" s="106"/>
      <c r="G8" s="106" t="s">
        <v>21</v>
      </c>
      <c r="H8" s="106"/>
      <c r="I8" s="106" t="s">
        <v>50</v>
      </c>
      <c r="J8" s="106"/>
    </row>
    <row r="9" spans="1:13" ht="24.75" customHeight="1" thickBot="1" x14ac:dyDescent="0.35"/>
    <row r="10" spans="1:13" ht="31.5" customHeight="1" thickTop="1" thickBot="1" x14ac:dyDescent="0.35">
      <c r="C10" s="110" t="s">
        <v>22</v>
      </c>
      <c r="D10" s="111"/>
      <c r="E10" s="111"/>
      <c r="F10" s="111" t="s">
        <v>23</v>
      </c>
      <c r="G10" s="111"/>
      <c r="H10" s="111" t="s">
        <v>24</v>
      </c>
      <c r="I10" s="112"/>
    </row>
    <row r="11" spans="1:13" ht="42" thickTop="1" thickBot="1" x14ac:dyDescent="0.35">
      <c r="C11" s="23" t="s">
        <v>10</v>
      </c>
      <c r="D11" s="24" t="s">
        <v>11</v>
      </c>
      <c r="E11" s="4" t="s">
        <v>12</v>
      </c>
      <c r="F11" s="25" t="s">
        <v>25</v>
      </c>
      <c r="G11" s="25" t="s">
        <v>26</v>
      </c>
      <c r="H11" s="24" t="s">
        <v>7</v>
      </c>
      <c r="I11" s="26" t="s">
        <v>27</v>
      </c>
    </row>
    <row r="12" spans="1:13" ht="31.5" customHeight="1" thickTop="1" thickBot="1" x14ac:dyDescent="0.35">
      <c r="C12" s="48">
        <f>'الفنون الصناعية'!F10</f>
        <v>3</v>
      </c>
      <c r="D12" s="49">
        <f>'الفنون الصناعية'!G10</f>
        <v>2</v>
      </c>
      <c r="E12" s="49">
        <f>'الفنون الصناعية'!H10</f>
        <v>0</v>
      </c>
      <c r="F12" s="49">
        <f>'الفنون الصناعية'!I10</f>
        <v>1</v>
      </c>
      <c r="G12" s="49">
        <f>'الفنون الصناعية'!J10</f>
        <v>4</v>
      </c>
      <c r="H12" s="49">
        <f>'الفنون الصناعية'!K10</f>
        <v>2</v>
      </c>
      <c r="I12" s="50">
        <f>'الفنون الصناعية'!L10</f>
        <v>3</v>
      </c>
    </row>
    <row r="13" spans="1:13" ht="31.5" customHeight="1" thickTop="1" thickBot="1" x14ac:dyDescent="0.35"/>
    <row r="14" spans="1:13" ht="31.5" customHeight="1" thickTop="1" thickBot="1" x14ac:dyDescent="0.35">
      <c r="C14" s="113" t="s">
        <v>28</v>
      </c>
      <c r="D14" s="104"/>
      <c r="E14" s="109"/>
      <c r="F14" s="103" t="s">
        <v>29</v>
      </c>
      <c r="G14" s="104"/>
      <c r="H14" s="104"/>
      <c r="I14" s="105"/>
    </row>
    <row r="15" spans="1:13" ht="31.5" customHeight="1" thickTop="1" thickBot="1" x14ac:dyDescent="0.35">
      <c r="C15" s="107" t="s">
        <v>7</v>
      </c>
      <c r="D15" s="108"/>
      <c r="E15" s="24" t="s">
        <v>27</v>
      </c>
      <c r="F15" s="103" t="s">
        <v>30</v>
      </c>
      <c r="G15" s="109"/>
      <c r="H15" s="103" t="s">
        <v>31</v>
      </c>
      <c r="I15" s="105"/>
    </row>
    <row r="16" spans="1:13" ht="31.5" customHeight="1" thickTop="1" thickBot="1" x14ac:dyDescent="0.35">
      <c r="C16" s="114">
        <f>'الفنون الصناعية'!M10</f>
        <v>1</v>
      </c>
      <c r="D16" s="115"/>
      <c r="E16" s="49">
        <f>'الفنون الصناعية'!N10</f>
        <v>4</v>
      </c>
      <c r="F16" s="116">
        <f>'الفنون الصناعية'!O10</f>
        <v>0</v>
      </c>
      <c r="G16" s="117"/>
      <c r="H16" s="116">
        <f>'الفنون الصناعية'!P10</f>
        <v>0</v>
      </c>
      <c r="I16" s="118"/>
    </row>
    <row r="17" spans="1:16" ht="31.5" customHeight="1" thickTop="1" x14ac:dyDescent="0.3"/>
    <row r="18" spans="1:16" ht="31.5" customHeight="1" thickBot="1" x14ac:dyDescent="0.35">
      <c r="D18" s="22" t="s">
        <v>32</v>
      </c>
    </row>
    <row r="19" spans="1:16" ht="31.5" customHeight="1" thickTop="1" thickBot="1" x14ac:dyDescent="0.35">
      <c r="C19" s="29" t="s">
        <v>33</v>
      </c>
      <c r="D19" s="119" t="s">
        <v>34</v>
      </c>
      <c r="E19" s="120"/>
      <c r="F19" s="119" t="s">
        <v>16</v>
      </c>
      <c r="G19" s="120"/>
      <c r="H19" s="121" t="s">
        <v>35</v>
      </c>
      <c r="I19" s="121"/>
      <c r="J19" s="121" t="s">
        <v>4</v>
      </c>
      <c r="K19" s="121"/>
      <c r="L19" s="127"/>
    </row>
    <row r="20" spans="1:16" ht="31.5" customHeight="1" thickTop="1" thickBot="1" x14ac:dyDescent="0.35">
      <c r="C20" s="122" t="s">
        <v>36</v>
      </c>
      <c r="D20" s="24" t="s">
        <v>1</v>
      </c>
      <c r="E20" s="24" t="s">
        <v>2</v>
      </c>
      <c r="F20" s="24" t="s">
        <v>1</v>
      </c>
      <c r="G20" s="24" t="s">
        <v>2</v>
      </c>
      <c r="H20" s="24" t="s">
        <v>1</v>
      </c>
      <c r="I20" s="24" t="s">
        <v>2</v>
      </c>
      <c r="J20" s="24" t="s">
        <v>1</v>
      </c>
      <c r="K20" s="24" t="s">
        <v>2</v>
      </c>
      <c r="L20" s="26" t="s">
        <v>4</v>
      </c>
    </row>
    <row r="21" spans="1:16" ht="31.5" customHeight="1" thickTop="1" thickBot="1" x14ac:dyDescent="0.35">
      <c r="C21" s="123"/>
      <c r="D21" s="49">
        <f>'الفنون الصناعية'!Q10</f>
        <v>0</v>
      </c>
      <c r="E21" s="49">
        <f>'الفنون الصناعية'!R10</f>
        <v>0</v>
      </c>
      <c r="F21" s="49">
        <f>'الفنون الصناعية'!S10</f>
        <v>0</v>
      </c>
      <c r="G21" s="49">
        <f>'الفنون الصناعية'!T10</f>
        <v>0</v>
      </c>
      <c r="H21" s="49">
        <f>'الفنون الصناعية'!U10</f>
        <v>0</v>
      </c>
      <c r="I21" s="49">
        <f>'الفنون الصناعية'!V10</f>
        <v>0</v>
      </c>
      <c r="J21" s="49">
        <f>H21+F21+D21</f>
        <v>0</v>
      </c>
      <c r="K21" s="49">
        <f>I21+G21+E21</f>
        <v>0</v>
      </c>
      <c r="L21" s="62">
        <f>K21+J21</f>
        <v>0</v>
      </c>
    </row>
    <row r="22" spans="1:16" ht="31.5" customHeight="1" thickTop="1" thickBot="1" x14ac:dyDescent="0.35"/>
    <row r="23" spans="1:16" ht="31.5" customHeight="1" thickTop="1" thickBot="1" x14ac:dyDescent="0.35">
      <c r="C23" s="124" t="s">
        <v>9</v>
      </c>
      <c r="D23" s="30"/>
      <c r="E23" s="30" t="s">
        <v>34</v>
      </c>
      <c r="F23" s="30" t="s">
        <v>16</v>
      </c>
      <c r="G23" s="30" t="s">
        <v>35</v>
      </c>
      <c r="H23" s="31" t="s">
        <v>4</v>
      </c>
    </row>
    <row r="24" spans="1:16" ht="31.5" customHeight="1" thickTop="1" thickBot="1" x14ac:dyDescent="0.35">
      <c r="C24" s="125"/>
      <c r="D24" s="24" t="s">
        <v>1</v>
      </c>
      <c r="E24" s="51">
        <f>'الفنون الصناعية'!Y10</f>
        <v>0</v>
      </c>
      <c r="F24" s="51">
        <f>'الفنون الصناعية'!AB10</f>
        <v>0</v>
      </c>
      <c r="G24" s="51">
        <f>'الفنون الصناعية'!AE10</f>
        <v>0</v>
      </c>
      <c r="H24" s="52">
        <f>G24+F24+E24</f>
        <v>0</v>
      </c>
    </row>
    <row r="25" spans="1:16" ht="31.5" customHeight="1" thickTop="1" thickBot="1" x14ac:dyDescent="0.35">
      <c r="C25" s="125"/>
      <c r="D25" s="24" t="s">
        <v>2</v>
      </c>
      <c r="E25" s="51">
        <f>'الفنون الصناعية'!Z10</f>
        <v>0</v>
      </c>
      <c r="F25" s="51">
        <f>'الفنون الصناعية'!AC10</f>
        <v>0</v>
      </c>
      <c r="G25" s="51">
        <f>'الفنون الصناعية'!AF10</f>
        <v>0</v>
      </c>
      <c r="H25" s="52">
        <f t="shared" ref="H25:H27" si="0">G25+F25+E25</f>
        <v>0</v>
      </c>
    </row>
    <row r="26" spans="1:16" ht="31.5" customHeight="1" thickTop="1" thickBot="1" x14ac:dyDescent="0.35">
      <c r="C26" s="125"/>
      <c r="D26" s="24" t="s">
        <v>3</v>
      </c>
      <c r="E26" s="51">
        <f>'الفنون الصناعية'!AA10</f>
        <v>0</v>
      </c>
      <c r="F26" s="51">
        <f>'الفنون الصناعية'!AD10</f>
        <v>0</v>
      </c>
      <c r="G26" s="51">
        <f>'الفنون الصناعية'!AG10</f>
        <v>0</v>
      </c>
      <c r="H26" s="52">
        <f t="shared" si="0"/>
        <v>0</v>
      </c>
    </row>
    <row r="27" spans="1:16" ht="31.5" customHeight="1" thickTop="1" thickBot="1" x14ac:dyDescent="0.35">
      <c r="C27" s="126"/>
      <c r="D27" s="28" t="s">
        <v>8</v>
      </c>
      <c r="E27" s="49">
        <f>E26+E25+E24</f>
        <v>0</v>
      </c>
      <c r="F27" s="49">
        <f t="shared" ref="F27:G27" si="1">F26+F25+F24</f>
        <v>0</v>
      </c>
      <c r="G27" s="49">
        <f t="shared" si="1"/>
        <v>0</v>
      </c>
      <c r="H27" s="50">
        <f t="shared" si="0"/>
        <v>0</v>
      </c>
    </row>
    <row r="28" spans="1:16" ht="31.5" customHeight="1" thickTop="1" x14ac:dyDescent="0.3"/>
    <row r="29" spans="1:16" ht="31.5" customHeight="1" thickBot="1" x14ac:dyDescent="0.35">
      <c r="G29" s="32" t="s">
        <v>37</v>
      </c>
    </row>
    <row r="30" spans="1:16" ht="31.5" customHeight="1" thickTop="1" thickBot="1" x14ac:dyDescent="0.35">
      <c r="A30" s="128" t="s">
        <v>38</v>
      </c>
      <c r="B30" s="103" t="s">
        <v>39</v>
      </c>
      <c r="C30" s="109"/>
      <c r="D30" s="103" t="s">
        <v>40</v>
      </c>
      <c r="E30" s="109"/>
      <c r="F30" s="103" t="s">
        <v>41</v>
      </c>
      <c r="G30" s="109"/>
      <c r="H30" s="103" t="s">
        <v>42</v>
      </c>
      <c r="I30" s="109"/>
      <c r="J30" s="103" t="s">
        <v>43</v>
      </c>
      <c r="K30" s="109"/>
      <c r="L30" s="103" t="s">
        <v>44</v>
      </c>
      <c r="M30" s="105"/>
      <c r="N30" s="103" t="s">
        <v>57</v>
      </c>
      <c r="O30" s="104"/>
      <c r="P30" s="105"/>
    </row>
    <row r="31" spans="1:16" ht="31.5" customHeight="1" thickTop="1" thickBot="1" x14ac:dyDescent="0.35">
      <c r="A31" s="129"/>
      <c r="B31" s="24" t="s">
        <v>6</v>
      </c>
      <c r="C31" s="24" t="s">
        <v>5</v>
      </c>
      <c r="D31" s="24" t="s">
        <v>6</v>
      </c>
      <c r="E31" s="24" t="s">
        <v>5</v>
      </c>
      <c r="F31" s="24" t="s">
        <v>6</v>
      </c>
      <c r="G31" s="24" t="s">
        <v>5</v>
      </c>
      <c r="H31" s="24" t="s">
        <v>6</v>
      </c>
      <c r="I31" s="24" t="s">
        <v>5</v>
      </c>
      <c r="J31" s="24" t="s">
        <v>6</v>
      </c>
      <c r="K31" s="24" t="s">
        <v>5</v>
      </c>
      <c r="L31" s="24" t="s">
        <v>6</v>
      </c>
      <c r="M31" s="26" t="s">
        <v>5</v>
      </c>
      <c r="N31" s="24" t="s">
        <v>6</v>
      </c>
      <c r="O31" s="26" t="s">
        <v>5</v>
      </c>
      <c r="P31" s="26" t="s">
        <v>4</v>
      </c>
    </row>
    <row r="32" spans="1:16" ht="25.5" customHeight="1" thickTop="1" thickBot="1" x14ac:dyDescent="0.35">
      <c r="A32" s="23" t="s">
        <v>45</v>
      </c>
      <c r="B32" s="51">
        <f>'الفنون الصناعية'!AL10</f>
        <v>0</v>
      </c>
      <c r="C32" s="51">
        <f>'الفنون الصناعية'!AM10</f>
        <v>0</v>
      </c>
      <c r="D32" s="51">
        <f>'الفنون الصناعية'!AN10</f>
        <v>0</v>
      </c>
      <c r="E32" s="51">
        <f>'الفنون الصناعية'!AO10</f>
        <v>0</v>
      </c>
      <c r="F32" s="51">
        <f>'الفنون الصناعية'!AP10</f>
        <v>0</v>
      </c>
      <c r="G32" s="51">
        <f>'الفنون الصناعية'!AQ10</f>
        <v>0</v>
      </c>
      <c r="H32" s="51">
        <f>'الفنون الصناعية'!AR10</f>
        <v>0</v>
      </c>
      <c r="I32" s="51">
        <f>'الفنون الصناعية'!AS10</f>
        <v>0</v>
      </c>
      <c r="J32" s="51">
        <f>'الفنون الصناعية'!AT10</f>
        <v>0</v>
      </c>
      <c r="K32" s="51">
        <f>'الفنون الصناعية'!AU10</f>
        <v>0</v>
      </c>
      <c r="L32" s="51">
        <f>'الفنون الصناعية'!AV10</f>
        <v>0</v>
      </c>
      <c r="M32" s="52">
        <f>'الفنون الصناعية'!AW10</f>
        <v>0</v>
      </c>
      <c r="N32" s="52">
        <f>L32+J32+H32+F32+D32+B32</f>
        <v>0</v>
      </c>
      <c r="O32" s="52">
        <f>M32+K32+I32+G32+E32+C32</f>
        <v>0</v>
      </c>
      <c r="P32" s="52">
        <f>SUM(N32:O32)</f>
        <v>0</v>
      </c>
    </row>
    <row r="33" spans="1:16" ht="25.5" customHeight="1" thickTop="1" thickBot="1" x14ac:dyDescent="0.35">
      <c r="A33" s="23" t="s">
        <v>46</v>
      </c>
      <c r="B33" s="51">
        <f>'الفنون الصناعية'!AX10</f>
        <v>0</v>
      </c>
      <c r="C33" s="51">
        <f>'الفنون الصناعية'!AY10</f>
        <v>0</v>
      </c>
      <c r="D33" s="51">
        <f>'الفنون الصناعية'!AZ10</f>
        <v>0</v>
      </c>
      <c r="E33" s="51">
        <f>'الفنون الصناعية'!BA10</f>
        <v>0</v>
      </c>
      <c r="F33" s="51">
        <f>'الفنون الصناعية'!BB10</f>
        <v>0</v>
      </c>
      <c r="G33" s="51">
        <f>'الفنون الصناعية'!BC10</f>
        <v>0</v>
      </c>
      <c r="H33" s="51">
        <f>'الفنون الصناعية'!BD10</f>
        <v>0</v>
      </c>
      <c r="I33" s="51">
        <f>'الفنون الصناعية'!BE10</f>
        <v>0</v>
      </c>
      <c r="J33" s="51">
        <f>'الفنون الصناعية'!BF10</f>
        <v>0</v>
      </c>
      <c r="K33" s="51">
        <f>'الفنون الصناعية'!BG10</f>
        <v>0</v>
      </c>
      <c r="L33" s="51">
        <f>'الفنون الصناعية'!BH10</f>
        <v>0</v>
      </c>
      <c r="M33" s="52">
        <f>'الفنون الصناعية'!BI10</f>
        <v>0</v>
      </c>
      <c r="N33" s="52">
        <f t="shared" ref="N33:O36" si="2">L33+J33+H33+F33+D33+B33</f>
        <v>0</v>
      </c>
      <c r="O33" s="52">
        <f t="shared" si="2"/>
        <v>0</v>
      </c>
      <c r="P33" s="52">
        <f>SUM(N33:O33)</f>
        <v>0</v>
      </c>
    </row>
    <row r="34" spans="1:16" ht="25.5" customHeight="1" thickTop="1" thickBot="1" x14ac:dyDescent="0.35">
      <c r="A34" s="23" t="s">
        <v>47</v>
      </c>
      <c r="B34" s="51">
        <f>'الفنون الصناعية'!BJ10</f>
        <v>0</v>
      </c>
      <c r="C34" s="51">
        <f>'الفنون الصناعية'!BK10</f>
        <v>0</v>
      </c>
      <c r="D34" s="51">
        <f>'الفنون الصناعية'!BL10</f>
        <v>0</v>
      </c>
      <c r="E34" s="51">
        <f>'الفنون الصناعية'!BM10</f>
        <v>0</v>
      </c>
      <c r="F34" s="51">
        <f>'الفنون الصناعية'!BN10</f>
        <v>0</v>
      </c>
      <c r="G34" s="51">
        <f>'الفنون الصناعية'!BO10</f>
        <v>0</v>
      </c>
      <c r="H34" s="51">
        <f>'الفنون الصناعية'!BP10</f>
        <v>0</v>
      </c>
      <c r="I34" s="51">
        <f>'الفنون الصناعية'!BQ10</f>
        <v>0</v>
      </c>
      <c r="J34" s="51">
        <f>'الفنون الصناعية'!BR10</f>
        <v>0</v>
      </c>
      <c r="K34" s="51">
        <f>'الفنون الصناعية'!BS10</f>
        <v>0</v>
      </c>
      <c r="L34" s="51">
        <f>'الفنون الصناعية'!BT10</f>
        <v>0</v>
      </c>
      <c r="M34" s="52">
        <f>'الفنون الصناعية'!BU10</f>
        <v>0</v>
      </c>
      <c r="N34" s="52">
        <f t="shared" si="2"/>
        <v>0</v>
      </c>
      <c r="O34" s="52">
        <f t="shared" si="2"/>
        <v>0</v>
      </c>
      <c r="P34" s="52">
        <f t="shared" ref="P34:P36" si="3">SUM(N34:O34)</f>
        <v>0</v>
      </c>
    </row>
    <row r="35" spans="1:16" ht="25.5" customHeight="1" thickTop="1" thickBot="1" x14ac:dyDescent="0.35">
      <c r="A35" s="23" t="s">
        <v>48</v>
      </c>
      <c r="B35" s="51">
        <f>'الفنون الصناعية'!BV10</f>
        <v>0</v>
      </c>
      <c r="C35" s="51">
        <f>'الفنون الصناعية'!BW10</f>
        <v>0</v>
      </c>
      <c r="D35" s="51">
        <f>'الفنون الصناعية'!BX10</f>
        <v>0</v>
      </c>
      <c r="E35" s="51">
        <f>'الفنون الصناعية'!BY10</f>
        <v>0</v>
      </c>
      <c r="F35" s="51">
        <f>'الفنون الصناعية'!BZ10</f>
        <v>0</v>
      </c>
      <c r="G35" s="51">
        <f>'الفنون الصناعية'!CA10</f>
        <v>0</v>
      </c>
      <c r="H35" s="51">
        <f>'الفنون الصناعية'!CB10</f>
        <v>0</v>
      </c>
      <c r="I35" s="51">
        <f>'الفنون الصناعية'!CC10</f>
        <v>0</v>
      </c>
      <c r="J35" s="51">
        <f>'الفنون الصناعية'!CD10</f>
        <v>0</v>
      </c>
      <c r="K35" s="51">
        <f>'الفنون الصناعية'!CE10</f>
        <v>0</v>
      </c>
      <c r="L35" s="51">
        <f>'الفنون الصناعية'!CF10</f>
        <v>0</v>
      </c>
      <c r="M35" s="52">
        <f>'الفنون الصناعية'!CG10</f>
        <v>0</v>
      </c>
      <c r="N35" s="52">
        <f t="shared" si="2"/>
        <v>0</v>
      </c>
      <c r="O35" s="52">
        <f t="shared" si="2"/>
        <v>0</v>
      </c>
      <c r="P35" s="52">
        <f t="shared" si="3"/>
        <v>0</v>
      </c>
    </row>
    <row r="36" spans="1:16" ht="25.5" customHeight="1" thickTop="1" thickBot="1" x14ac:dyDescent="0.35">
      <c r="A36" s="27" t="s">
        <v>4</v>
      </c>
      <c r="B36" s="49">
        <f>SUM(B32:B35)</f>
        <v>0</v>
      </c>
      <c r="C36" s="49">
        <f t="shared" ref="C36:M36" si="4">SUM(C32:C35)</f>
        <v>0</v>
      </c>
      <c r="D36" s="49">
        <f t="shared" si="4"/>
        <v>0</v>
      </c>
      <c r="E36" s="49">
        <f t="shared" si="4"/>
        <v>0</v>
      </c>
      <c r="F36" s="49">
        <f t="shared" si="4"/>
        <v>0</v>
      </c>
      <c r="G36" s="49">
        <f t="shared" si="4"/>
        <v>0</v>
      </c>
      <c r="H36" s="49">
        <f t="shared" si="4"/>
        <v>0</v>
      </c>
      <c r="I36" s="49">
        <f t="shared" si="4"/>
        <v>0</v>
      </c>
      <c r="J36" s="49">
        <f t="shared" si="4"/>
        <v>0</v>
      </c>
      <c r="K36" s="49">
        <f t="shared" si="4"/>
        <v>0</v>
      </c>
      <c r="L36" s="49">
        <f t="shared" si="4"/>
        <v>0</v>
      </c>
      <c r="M36" s="49">
        <f t="shared" si="4"/>
        <v>0</v>
      </c>
      <c r="N36" s="50">
        <f t="shared" si="2"/>
        <v>0</v>
      </c>
      <c r="O36" s="50">
        <f t="shared" si="2"/>
        <v>0</v>
      </c>
      <c r="P36" s="50">
        <f t="shared" si="3"/>
        <v>0</v>
      </c>
    </row>
    <row r="37" spans="1:16" ht="24.75" customHeight="1" thickTop="1" x14ac:dyDescent="0.3"/>
    <row r="38" spans="1:16" ht="24.75" customHeight="1" x14ac:dyDescent="0.3"/>
  </sheetData>
  <mergeCells count="32">
    <mergeCell ref="A30:A31"/>
    <mergeCell ref="B30:C30"/>
    <mergeCell ref="D30:E30"/>
    <mergeCell ref="F30:G30"/>
    <mergeCell ref="H30:I30"/>
    <mergeCell ref="L30:M30"/>
    <mergeCell ref="C20:C21"/>
    <mergeCell ref="C23:C27"/>
    <mergeCell ref="J30:K30"/>
    <mergeCell ref="J19:L19"/>
    <mergeCell ref="A3:C3"/>
    <mergeCell ref="I3:M3"/>
    <mergeCell ref="I4:M4"/>
    <mergeCell ref="A4:C4"/>
    <mergeCell ref="F19:G19"/>
    <mergeCell ref="H19:I19"/>
    <mergeCell ref="N30:P30"/>
    <mergeCell ref="D8:F8"/>
    <mergeCell ref="C15:D15"/>
    <mergeCell ref="F15:G15"/>
    <mergeCell ref="H15:I15"/>
    <mergeCell ref="G8:H8"/>
    <mergeCell ref="I8:J8"/>
    <mergeCell ref="C10:E10"/>
    <mergeCell ref="F10:G10"/>
    <mergeCell ref="H10:I10"/>
    <mergeCell ref="C14:E14"/>
    <mergeCell ref="F14:I14"/>
    <mergeCell ref="C16:D16"/>
    <mergeCell ref="F16:G16"/>
    <mergeCell ref="H16:I16"/>
    <mergeCell ref="D19:E19"/>
  </mergeCells>
  <printOptions horizontalCentered="1" verticalCentered="1"/>
  <pageMargins left="0.11811023622047245" right="0.19685039370078741" top="0.23622047244094491" bottom="0.27559055118110237" header="0.15748031496062992" footer="0.15748031496062992"/>
  <pageSetup paperSize="9" scale="52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39"/>
  <sheetViews>
    <sheetView rightToLeft="1" view="pageBreakPreview" zoomScale="70" zoomScaleNormal="100" zoomScaleSheetLayoutView="70" workbookViewId="0">
      <selection activeCell="D7" sqref="D7"/>
    </sheetView>
  </sheetViews>
  <sheetFormatPr defaultColWidth="9" defaultRowHeight="18" x14ac:dyDescent="0.25"/>
  <cols>
    <col min="1" max="1" width="13" style="33" customWidth="1"/>
    <col min="2" max="2" width="9" style="33"/>
    <col min="3" max="3" width="10.125" style="33" customWidth="1"/>
    <col min="4" max="4" width="11.375" style="33" customWidth="1"/>
    <col min="5" max="5" width="12.375" style="33" customWidth="1"/>
    <col min="6" max="6" width="10" style="33" customWidth="1"/>
    <col min="7" max="7" width="11.25" style="33" bestFit="1" customWidth="1"/>
    <col min="8" max="8" width="9" style="33" customWidth="1"/>
    <col min="9" max="9" width="7.625" style="33" customWidth="1"/>
    <col min="10" max="10" width="7.25" style="33" customWidth="1"/>
    <col min="11" max="11" width="6.875" style="33" customWidth="1"/>
    <col min="12" max="12" width="10.75" style="33" customWidth="1"/>
    <col min="13" max="13" width="7.75" style="33" customWidth="1"/>
    <col min="14" max="16" width="8.125" style="33" customWidth="1"/>
    <col min="17" max="16384" width="9" style="33"/>
  </cols>
  <sheetData>
    <row r="1" spans="1:13" s="3" customFormat="1" ht="24.75" customHeight="1" x14ac:dyDescent="0.25"/>
    <row r="2" spans="1:13" s="55" customFormat="1" ht="24.75" customHeight="1" x14ac:dyDescent="0.3">
      <c r="B2" s="56" t="s">
        <v>17</v>
      </c>
      <c r="C2" s="56"/>
      <c r="H2" s="57" t="s">
        <v>15</v>
      </c>
      <c r="J2" s="57"/>
      <c r="K2" s="57"/>
      <c r="L2" s="57"/>
      <c r="M2" s="57"/>
    </row>
    <row r="3" spans="1:13" s="55" customFormat="1" ht="24.75" customHeight="1" x14ac:dyDescent="0.3">
      <c r="A3" s="137" t="s">
        <v>18</v>
      </c>
      <c r="B3" s="137"/>
      <c r="C3" s="137"/>
      <c r="I3" s="137" t="s">
        <v>51</v>
      </c>
      <c r="J3" s="137"/>
      <c r="K3" s="137"/>
      <c r="L3" s="137"/>
      <c r="M3" s="137"/>
    </row>
    <row r="4" spans="1:13" s="55" customFormat="1" ht="24.75" customHeight="1" x14ac:dyDescent="0.3">
      <c r="B4" s="55" t="s">
        <v>19</v>
      </c>
      <c r="I4" s="137" t="s">
        <v>52</v>
      </c>
      <c r="J4" s="137"/>
      <c r="K4" s="137"/>
      <c r="L4" s="137"/>
      <c r="M4" s="137"/>
    </row>
    <row r="5" spans="1:13" s="55" customFormat="1" ht="24.75" customHeight="1" x14ac:dyDescent="0.3"/>
    <row r="6" spans="1:13" s="55" customFormat="1" ht="24.75" customHeight="1" x14ac:dyDescent="0.4">
      <c r="D6" s="64" t="s">
        <v>75</v>
      </c>
      <c r="E6" s="57"/>
      <c r="F6" s="57"/>
      <c r="G6" s="57"/>
      <c r="H6" s="57"/>
      <c r="I6" s="57"/>
      <c r="J6" s="57"/>
    </row>
    <row r="7" spans="1:13" s="55" customFormat="1" ht="24.75" customHeight="1" x14ac:dyDescent="0.3">
      <c r="D7" s="56"/>
      <c r="E7" s="56"/>
      <c r="F7" s="56"/>
      <c r="G7" s="56"/>
      <c r="H7" s="56"/>
      <c r="I7" s="56"/>
      <c r="J7" s="56"/>
    </row>
    <row r="8" spans="1:13" s="55" customFormat="1" ht="24.75" customHeight="1" x14ac:dyDescent="0.3">
      <c r="B8" s="56"/>
      <c r="C8" s="56"/>
      <c r="D8" s="137" t="s">
        <v>20</v>
      </c>
      <c r="E8" s="137"/>
      <c r="F8" s="137"/>
      <c r="G8" s="137" t="s">
        <v>70</v>
      </c>
      <c r="H8" s="137"/>
      <c r="I8" s="137" t="s">
        <v>50</v>
      </c>
      <c r="J8" s="137"/>
    </row>
    <row r="9" spans="1:13" ht="24.75" customHeight="1" thickBot="1" x14ac:dyDescent="0.3"/>
    <row r="10" spans="1:13" ht="54" customHeight="1" thickTop="1" thickBot="1" x14ac:dyDescent="0.3">
      <c r="C10" s="145" t="s">
        <v>22</v>
      </c>
      <c r="D10" s="146"/>
      <c r="E10" s="146"/>
      <c r="F10" s="146" t="s">
        <v>23</v>
      </c>
      <c r="G10" s="146"/>
      <c r="H10" s="147" t="s">
        <v>24</v>
      </c>
      <c r="I10" s="148"/>
    </row>
    <row r="11" spans="1:13" ht="50.25" customHeight="1" thickTop="1" thickBot="1" x14ac:dyDescent="0.3">
      <c r="C11" s="34" t="s">
        <v>10</v>
      </c>
      <c r="D11" s="35" t="s">
        <v>11</v>
      </c>
      <c r="E11" s="36" t="s">
        <v>12</v>
      </c>
      <c r="F11" s="36" t="s">
        <v>25</v>
      </c>
      <c r="G11" s="36" t="s">
        <v>26</v>
      </c>
      <c r="H11" s="35" t="s">
        <v>7</v>
      </c>
      <c r="I11" s="37" t="s">
        <v>27</v>
      </c>
    </row>
    <row r="12" spans="1:13" ht="30" customHeight="1" thickTop="1" thickBot="1" x14ac:dyDescent="0.4">
      <c r="C12" s="13">
        <f>'الفنون الصناعية'!F12</f>
        <v>0</v>
      </c>
      <c r="D12" s="14">
        <f>'الفنون الصناعية'!G12</f>
        <v>0</v>
      </c>
      <c r="E12" s="14">
        <f>'الفنون الصناعية'!H12</f>
        <v>1</v>
      </c>
      <c r="F12" s="14">
        <f>'الفنون الصناعية'!I12</f>
        <v>1</v>
      </c>
      <c r="G12" s="14">
        <f>'الفنون الصناعية'!J12</f>
        <v>0</v>
      </c>
      <c r="H12" s="14">
        <f>'الفنون الصناعية'!K12</f>
        <v>1</v>
      </c>
      <c r="I12" s="15">
        <f>'الفنون الصناعية'!L12</f>
        <v>0</v>
      </c>
      <c r="J12" s="8"/>
    </row>
    <row r="13" spans="1:13" ht="30" customHeight="1" thickTop="1" thickBot="1" x14ac:dyDescent="0.3"/>
    <row r="14" spans="1:13" ht="44.25" customHeight="1" thickTop="1" thickBot="1" x14ac:dyDescent="0.3">
      <c r="C14" s="149" t="s">
        <v>28</v>
      </c>
      <c r="D14" s="140"/>
      <c r="E14" s="144"/>
      <c r="F14" s="147" t="s">
        <v>29</v>
      </c>
      <c r="G14" s="150"/>
      <c r="H14" s="150"/>
      <c r="I14" s="148"/>
    </row>
    <row r="15" spans="1:13" ht="30" customHeight="1" thickTop="1" thickBot="1" x14ac:dyDescent="0.3">
      <c r="C15" s="142" t="s">
        <v>7</v>
      </c>
      <c r="D15" s="143"/>
      <c r="E15" s="35" t="s">
        <v>27</v>
      </c>
      <c r="F15" s="139" t="s">
        <v>30</v>
      </c>
      <c r="G15" s="144"/>
      <c r="H15" s="139" t="s">
        <v>31</v>
      </c>
      <c r="I15" s="141"/>
    </row>
    <row r="16" spans="1:13" ht="30" customHeight="1" thickTop="1" thickBot="1" x14ac:dyDescent="0.3">
      <c r="C16" s="130">
        <f>'الفنون الصناعية'!M12</f>
        <v>1</v>
      </c>
      <c r="D16" s="131"/>
      <c r="E16" s="53">
        <f>'الفنون الصناعية'!N12</f>
        <v>0</v>
      </c>
      <c r="F16" s="132">
        <f>'الفنون الصناعية'!O12</f>
        <v>0</v>
      </c>
      <c r="G16" s="133"/>
      <c r="H16" s="132">
        <f>'الفنون الصناعية'!P12</f>
        <v>0</v>
      </c>
      <c r="I16" s="134"/>
    </row>
    <row r="17" spans="1:16" ht="30" customHeight="1" thickTop="1" x14ac:dyDescent="0.25">
      <c r="D17" s="151" t="s">
        <v>32</v>
      </c>
      <c r="E17" s="151"/>
      <c r="F17" s="151"/>
    </row>
    <row r="18" spans="1:16" ht="30" customHeight="1" thickBot="1" x14ac:dyDescent="0.3"/>
    <row r="19" spans="1:16" ht="30" customHeight="1" thickTop="1" thickBot="1" x14ac:dyDescent="0.3">
      <c r="C19" s="40" t="s">
        <v>33</v>
      </c>
      <c r="D19" s="135" t="s">
        <v>34</v>
      </c>
      <c r="E19" s="136"/>
      <c r="F19" s="135" t="s">
        <v>16</v>
      </c>
      <c r="G19" s="136"/>
      <c r="H19" s="135" t="s">
        <v>35</v>
      </c>
      <c r="I19" s="136"/>
      <c r="J19" s="135" t="s">
        <v>4</v>
      </c>
      <c r="K19" s="138"/>
      <c r="L19" s="54"/>
    </row>
    <row r="20" spans="1:16" ht="30" customHeight="1" thickTop="1" thickBot="1" x14ac:dyDescent="0.3">
      <c r="C20" s="154" t="s">
        <v>36</v>
      </c>
      <c r="D20" s="35" t="s">
        <v>1</v>
      </c>
      <c r="E20" s="35" t="s">
        <v>2</v>
      </c>
      <c r="F20" s="35" t="s">
        <v>1</v>
      </c>
      <c r="G20" s="35" t="s">
        <v>2</v>
      </c>
      <c r="H20" s="35" t="s">
        <v>1</v>
      </c>
      <c r="I20" s="35" t="s">
        <v>2</v>
      </c>
      <c r="J20" s="35" t="s">
        <v>1</v>
      </c>
      <c r="K20" s="35" t="s">
        <v>2</v>
      </c>
      <c r="L20" s="54" t="s">
        <v>4</v>
      </c>
    </row>
    <row r="21" spans="1:16" ht="30" customHeight="1" thickTop="1" thickBot="1" x14ac:dyDescent="0.3">
      <c r="C21" s="155"/>
      <c r="D21" s="53">
        <f>'الفنون الصناعية'!Q12</f>
        <v>0</v>
      </c>
      <c r="E21" s="53">
        <f>'الفنون الصناعية'!R12</f>
        <v>0</v>
      </c>
      <c r="F21" s="53">
        <f>'الفنون الصناعية'!S12</f>
        <v>0</v>
      </c>
      <c r="G21" s="53">
        <f>'الفنون الصناعية'!T12</f>
        <v>0</v>
      </c>
      <c r="H21" s="53">
        <f>'الفنون الصناعية'!U12</f>
        <v>0</v>
      </c>
      <c r="I21" s="54">
        <f>'الفنون الصناعية'!V12</f>
        <v>0</v>
      </c>
      <c r="J21" s="54">
        <f>H21+F21+D21</f>
        <v>0</v>
      </c>
      <c r="K21" s="54">
        <f>I21+G21+E21</f>
        <v>0</v>
      </c>
      <c r="L21" s="54">
        <f>K21+J21</f>
        <v>0</v>
      </c>
    </row>
    <row r="22" spans="1:16" ht="30" customHeight="1" thickTop="1" thickBot="1" x14ac:dyDescent="0.3"/>
    <row r="23" spans="1:16" ht="30" customHeight="1" thickTop="1" thickBot="1" x14ac:dyDescent="0.3">
      <c r="C23" s="156" t="s">
        <v>9</v>
      </c>
      <c r="D23" s="41"/>
      <c r="E23" s="41" t="s">
        <v>34</v>
      </c>
      <c r="F23" s="41" t="s">
        <v>16</v>
      </c>
      <c r="G23" s="41" t="s">
        <v>35</v>
      </c>
      <c r="H23" s="42" t="s">
        <v>4</v>
      </c>
    </row>
    <row r="24" spans="1:16" ht="30" customHeight="1" thickTop="1" thickBot="1" x14ac:dyDescent="0.3">
      <c r="C24" s="157"/>
      <c r="D24" s="35" t="s">
        <v>1</v>
      </c>
      <c r="E24" s="58">
        <f>'الفنون الصناعية'!Y12</f>
        <v>0</v>
      </c>
      <c r="F24" s="58">
        <f>'الفنون الصناعية'!AB12</f>
        <v>0</v>
      </c>
      <c r="G24" s="58">
        <f>'الفنون الصناعية'!AE12</f>
        <v>0</v>
      </c>
      <c r="H24" s="59">
        <f>G24+F24+E24</f>
        <v>0</v>
      </c>
    </row>
    <row r="25" spans="1:16" ht="30" customHeight="1" thickTop="1" thickBot="1" x14ac:dyDescent="0.3">
      <c r="C25" s="157"/>
      <c r="D25" s="35" t="s">
        <v>2</v>
      </c>
      <c r="E25" s="58">
        <f>'الفنون الصناعية'!Z12</f>
        <v>0</v>
      </c>
      <c r="F25" s="58">
        <f>'الفنون الصناعية'!AC12</f>
        <v>0</v>
      </c>
      <c r="G25" s="58">
        <f>'الفنون الصناعية'!AF12</f>
        <v>0</v>
      </c>
      <c r="H25" s="59">
        <f t="shared" ref="H25:H27" si="0">G25+F25+E25</f>
        <v>0</v>
      </c>
    </row>
    <row r="26" spans="1:16" ht="30" customHeight="1" thickTop="1" thickBot="1" x14ac:dyDescent="0.3">
      <c r="C26" s="157"/>
      <c r="D26" s="35" t="s">
        <v>3</v>
      </c>
      <c r="E26" s="58">
        <f>'الفنون الصناعية'!AA12</f>
        <v>0</v>
      </c>
      <c r="F26" s="58">
        <f>'الفنون الصناعية'!AD12</f>
        <v>0</v>
      </c>
      <c r="G26" s="58">
        <f>'الفنون الصناعية'!AG12</f>
        <v>0</v>
      </c>
      <c r="H26" s="59">
        <f t="shared" si="0"/>
        <v>0</v>
      </c>
    </row>
    <row r="27" spans="1:16" ht="30" customHeight="1" thickTop="1" thickBot="1" x14ac:dyDescent="0.3">
      <c r="C27" s="155"/>
      <c r="D27" s="39" t="s">
        <v>8</v>
      </c>
      <c r="E27" s="53">
        <f>E26+E25+E24</f>
        <v>0</v>
      </c>
      <c r="F27" s="53">
        <f t="shared" ref="F27:G27" si="1">F26+F25+F24</f>
        <v>0</v>
      </c>
      <c r="G27" s="53">
        <f t="shared" si="1"/>
        <v>0</v>
      </c>
      <c r="H27" s="54">
        <f t="shared" si="0"/>
        <v>0</v>
      </c>
    </row>
    <row r="28" spans="1:16" ht="30" customHeight="1" thickTop="1" thickBot="1" x14ac:dyDescent="0.3">
      <c r="G28" s="63" t="s">
        <v>37</v>
      </c>
      <c r="H28" s="63"/>
      <c r="I28" s="63"/>
      <c r="J28" s="63"/>
    </row>
    <row r="29" spans="1:16" ht="39.75" customHeight="1" thickTop="1" thickBot="1" x14ac:dyDescent="0.3">
      <c r="A29" s="152" t="s">
        <v>38</v>
      </c>
      <c r="B29" s="139" t="s">
        <v>39</v>
      </c>
      <c r="C29" s="144"/>
      <c r="D29" s="139" t="s">
        <v>40</v>
      </c>
      <c r="E29" s="144"/>
      <c r="F29" s="139" t="s">
        <v>41</v>
      </c>
      <c r="G29" s="144"/>
      <c r="H29" s="139" t="s">
        <v>42</v>
      </c>
      <c r="I29" s="144"/>
      <c r="J29" s="139" t="s">
        <v>43</v>
      </c>
      <c r="K29" s="144"/>
      <c r="L29" s="139" t="s">
        <v>44</v>
      </c>
      <c r="M29" s="141"/>
      <c r="N29" s="139" t="s">
        <v>57</v>
      </c>
      <c r="O29" s="140"/>
      <c r="P29" s="141"/>
    </row>
    <row r="30" spans="1:16" ht="39.75" customHeight="1" thickTop="1" thickBot="1" x14ac:dyDescent="0.3">
      <c r="A30" s="153"/>
      <c r="B30" s="35" t="s">
        <v>6</v>
      </c>
      <c r="C30" s="35" t="s">
        <v>5</v>
      </c>
      <c r="D30" s="35" t="s">
        <v>6</v>
      </c>
      <c r="E30" s="35" t="s">
        <v>5</v>
      </c>
      <c r="F30" s="35" t="s">
        <v>6</v>
      </c>
      <c r="G30" s="35" t="s">
        <v>5</v>
      </c>
      <c r="H30" s="35" t="s">
        <v>6</v>
      </c>
      <c r="I30" s="35" t="s">
        <v>5</v>
      </c>
      <c r="J30" s="35" t="s">
        <v>6</v>
      </c>
      <c r="K30" s="35" t="s">
        <v>5</v>
      </c>
      <c r="L30" s="35" t="s">
        <v>6</v>
      </c>
      <c r="M30" s="37" t="s">
        <v>5</v>
      </c>
      <c r="N30" s="35" t="s">
        <v>6</v>
      </c>
      <c r="O30" s="37" t="s">
        <v>5</v>
      </c>
      <c r="P30" s="37" t="s">
        <v>4</v>
      </c>
    </row>
    <row r="31" spans="1:16" ht="27.75" customHeight="1" thickTop="1" thickBot="1" x14ac:dyDescent="0.3">
      <c r="A31" s="34" t="s">
        <v>45</v>
      </c>
      <c r="B31" s="58">
        <f>'الفنون الصناعية'!AL12</f>
        <v>0</v>
      </c>
      <c r="C31" s="58">
        <f>'الفنون الصناعية'!AM12</f>
        <v>0</v>
      </c>
      <c r="D31" s="58">
        <f>'الفنون الصناعية'!AN12</f>
        <v>0</v>
      </c>
      <c r="E31" s="58">
        <f>'الفنون الصناعية'!AO12</f>
        <v>0</v>
      </c>
      <c r="F31" s="58">
        <f>'الفنون الصناعية'!AP12</f>
        <v>0</v>
      </c>
      <c r="G31" s="58">
        <f>'الفنون الصناعية'!AQ12</f>
        <v>0</v>
      </c>
      <c r="H31" s="58">
        <f>'الفنون الصناعية'!AR12</f>
        <v>0</v>
      </c>
      <c r="I31" s="58">
        <f>'الفنون الصناعية'!AS12</f>
        <v>0</v>
      </c>
      <c r="J31" s="58">
        <f>'الفنون الصناعية'!AT12</f>
        <v>0</v>
      </c>
      <c r="K31" s="58">
        <f>'الفنون الصناعية'!AU12</f>
        <v>0</v>
      </c>
      <c r="L31" s="58">
        <f>'الفنون الصناعية'!AV12</f>
        <v>0</v>
      </c>
      <c r="M31" s="59">
        <f>'الفنون الصناعية'!AW12</f>
        <v>0</v>
      </c>
      <c r="N31" s="59">
        <f>L31+J31+H31+F31+D31+B31</f>
        <v>0</v>
      </c>
      <c r="O31" s="59">
        <f>M31+K31+I31+G31+E31+C31</f>
        <v>0</v>
      </c>
      <c r="P31" s="59">
        <f>SUM(N31:O31)</f>
        <v>0</v>
      </c>
    </row>
    <row r="32" spans="1:16" ht="27.75" customHeight="1" thickTop="1" thickBot="1" x14ac:dyDescent="0.3">
      <c r="A32" s="34" t="s">
        <v>46</v>
      </c>
      <c r="B32" s="58">
        <f>'الفنون الصناعية'!AX12</f>
        <v>0</v>
      </c>
      <c r="C32" s="58">
        <f>'الفنون الصناعية'!AY12</f>
        <v>0</v>
      </c>
      <c r="D32" s="58">
        <f>'الفنون الصناعية'!AZ12</f>
        <v>0</v>
      </c>
      <c r="E32" s="58">
        <f>'الفنون الصناعية'!BA12</f>
        <v>0</v>
      </c>
      <c r="F32" s="58">
        <f>'الفنون الصناعية'!BB12</f>
        <v>0</v>
      </c>
      <c r="G32" s="58">
        <f>'الفنون الصناعية'!BC12</f>
        <v>0</v>
      </c>
      <c r="H32" s="58">
        <f>'الفنون الصناعية'!BD12</f>
        <v>0</v>
      </c>
      <c r="I32" s="58">
        <f>'الفنون الصناعية'!BE12</f>
        <v>0</v>
      </c>
      <c r="J32" s="58">
        <f>'الفنون الصناعية'!BF12</f>
        <v>0</v>
      </c>
      <c r="K32" s="58">
        <f>'الفنون الصناعية'!BG12</f>
        <v>0</v>
      </c>
      <c r="L32" s="58">
        <f>'الفنون الصناعية'!BH12</f>
        <v>0</v>
      </c>
      <c r="M32" s="59">
        <f>'الفنون الصناعية'!BI12</f>
        <v>0</v>
      </c>
      <c r="N32" s="59">
        <f t="shared" ref="N32:O35" si="2">L32+J32+H32+F32+D32+B32</f>
        <v>0</v>
      </c>
      <c r="O32" s="59">
        <f t="shared" si="2"/>
        <v>0</v>
      </c>
      <c r="P32" s="59">
        <f>SUM(N32:O32)</f>
        <v>0</v>
      </c>
    </row>
    <row r="33" spans="1:16" ht="27.75" customHeight="1" thickTop="1" thickBot="1" x14ac:dyDescent="0.3">
      <c r="A33" s="34" t="s">
        <v>47</v>
      </c>
      <c r="B33" s="58">
        <f>'الفنون الصناعية'!BJ12</f>
        <v>0</v>
      </c>
      <c r="C33" s="58">
        <f>'الفنون الصناعية'!BK12</f>
        <v>0</v>
      </c>
      <c r="D33" s="58">
        <f>'الفنون الصناعية'!BL12</f>
        <v>0</v>
      </c>
      <c r="E33" s="58">
        <f>'الفنون الصناعية'!BM12</f>
        <v>0</v>
      </c>
      <c r="F33" s="58">
        <f>'الفنون الصناعية'!BN12</f>
        <v>0</v>
      </c>
      <c r="G33" s="58">
        <f>'الفنون الصناعية'!BO12</f>
        <v>0</v>
      </c>
      <c r="H33" s="58">
        <f>'الفنون الصناعية'!BP12</f>
        <v>0</v>
      </c>
      <c r="I33" s="58">
        <f>'الفنون الصناعية'!BQ12</f>
        <v>0</v>
      </c>
      <c r="J33" s="58">
        <f>'الفنون الصناعية'!BR12</f>
        <v>0</v>
      </c>
      <c r="K33" s="58">
        <f>'الفنون الصناعية'!BS12</f>
        <v>0</v>
      </c>
      <c r="L33" s="58">
        <f>'الفنون الصناعية'!BT12</f>
        <v>0</v>
      </c>
      <c r="M33" s="59">
        <f>'الفنون الصناعية'!BU12</f>
        <v>0</v>
      </c>
      <c r="N33" s="59">
        <f t="shared" si="2"/>
        <v>0</v>
      </c>
      <c r="O33" s="59">
        <f t="shared" si="2"/>
        <v>0</v>
      </c>
      <c r="P33" s="59">
        <f t="shared" ref="P33:P35" si="3">SUM(N33:O33)</f>
        <v>0</v>
      </c>
    </row>
    <row r="34" spans="1:16" ht="27.75" customHeight="1" thickTop="1" thickBot="1" x14ac:dyDescent="0.3">
      <c r="A34" s="34" t="s">
        <v>48</v>
      </c>
      <c r="B34" s="58">
        <f>'الفنون الصناعية'!BV12</f>
        <v>0</v>
      </c>
      <c r="C34" s="58">
        <f>'الفنون الصناعية'!BW12</f>
        <v>0</v>
      </c>
      <c r="D34" s="58">
        <f>'الفنون الصناعية'!BX12</f>
        <v>0</v>
      </c>
      <c r="E34" s="58">
        <f>'الفنون الصناعية'!BY12</f>
        <v>0</v>
      </c>
      <c r="F34" s="58">
        <f>'الفنون الصناعية'!BZ12</f>
        <v>0</v>
      </c>
      <c r="G34" s="58">
        <f>'الفنون الصناعية'!CA12</f>
        <v>0</v>
      </c>
      <c r="H34" s="58">
        <f>'الفنون الصناعية'!CB12</f>
        <v>0</v>
      </c>
      <c r="I34" s="58">
        <f>'الفنون الصناعية'!CC12</f>
        <v>0</v>
      </c>
      <c r="J34" s="58">
        <f>'الفنون الصناعية'!CD12</f>
        <v>0</v>
      </c>
      <c r="K34" s="58">
        <f>'الفنون الصناعية'!CE12</f>
        <v>0</v>
      </c>
      <c r="L34" s="58">
        <f>'الفنون الصناعية'!CF12</f>
        <v>0</v>
      </c>
      <c r="M34" s="59">
        <f>'الفنون الصناعية'!CG12</f>
        <v>0</v>
      </c>
      <c r="N34" s="59">
        <f t="shared" si="2"/>
        <v>0</v>
      </c>
      <c r="O34" s="59">
        <f t="shared" si="2"/>
        <v>0</v>
      </c>
      <c r="P34" s="59">
        <f t="shared" si="3"/>
        <v>0</v>
      </c>
    </row>
    <row r="35" spans="1:16" ht="27.75" customHeight="1" thickTop="1" thickBot="1" x14ac:dyDescent="0.3">
      <c r="A35" s="38" t="s">
        <v>4</v>
      </c>
      <c r="B35" s="53">
        <f>SUM(B31:B34)</f>
        <v>0</v>
      </c>
      <c r="C35" s="53">
        <f t="shared" ref="C35:M35" si="4">SUM(C31:C34)</f>
        <v>0</v>
      </c>
      <c r="D35" s="53">
        <f t="shared" si="4"/>
        <v>0</v>
      </c>
      <c r="E35" s="53">
        <f t="shared" si="4"/>
        <v>0</v>
      </c>
      <c r="F35" s="53">
        <f t="shared" si="4"/>
        <v>0</v>
      </c>
      <c r="G35" s="53">
        <f t="shared" si="4"/>
        <v>0</v>
      </c>
      <c r="H35" s="53">
        <f t="shared" si="4"/>
        <v>0</v>
      </c>
      <c r="I35" s="53">
        <f t="shared" si="4"/>
        <v>0</v>
      </c>
      <c r="J35" s="53">
        <f t="shared" si="4"/>
        <v>0</v>
      </c>
      <c r="K35" s="53">
        <f t="shared" si="4"/>
        <v>0</v>
      </c>
      <c r="L35" s="53">
        <f t="shared" si="4"/>
        <v>0</v>
      </c>
      <c r="M35" s="53">
        <f t="shared" si="4"/>
        <v>0</v>
      </c>
      <c r="N35" s="54">
        <f t="shared" si="2"/>
        <v>0</v>
      </c>
      <c r="O35" s="54">
        <f t="shared" si="2"/>
        <v>0</v>
      </c>
      <c r="P35" s="54">
        <f t="shared" si="3"/>
        <v>0</v>
      </c>
    </row>
    <row r="36" spans="1:16" ht="24.75" customHeight="1" thickTop="1" x14ac:dyDescent="0.25"/>
    <row r="37" spans="1:16" ht="24.75" customHeight="1" x14ac:dyDescent="0.25"/>
    <row r="38" spans="1:16" ht="24.75" customHeight="1" x14ac:dyDescent="0.25"/>
    <row r="39" spans="1:16" ht="24" customHeight="1" x14ac:dyDescent="0.25"/>
  </sheetData>
  <mergeCells count="32">
    <mergeCell ref="J29:K29"/>
    <mergeCell ref="D17:F17"/>
    <mergeCell ref="A29:A30"/>
    <mergeCell ref="B29:C29"/>
    <mergeCell ref="D29:E29"/>
    <mergeCell ref="F29:G29"/>
    <mergeCell ref="C20:C21"/>
    <mergeCell ref="C23:C27"/>
    <mergeCell ref="N29:P29"/>
    <mergeCell ref="D8:F8"/>
    <mergeCell ref="C15:D15"/>
    <mergeCell ref="F15:G15"/>
    <mergeCell ref="H15:I15"/>
    <mergeCell ref="G8:H8"/>
    <mergeCell ref="I8:J8"/>
    <mergeCell ref="C10:E10"/>
    <mergeCell ref="F10:G10"/>
    <mergeCell ref="H10:I10"/>
    <mergeCell ref="C14:E14"/>
    <mergeCell ref="F14:I14"/>
    <mergeCell ref="H29:I29"/>
    <mergeCell ref="F19:G19"/>
    <mergeCell ref="H19:I19"/>
    <mergeCell ref="L29:M29"/>
    <mergeCell ref="C16:D16"/>
    <mergeCell ref="F16:G16"/>
    <mergeCell ref="H16:I16"/>
    <mergeCell ref="D19:E19"/>
    <mergeCell ref="A3:C3"/>
    <mergeCell ref="I3:M3"/>
    <mergeCell ref="I4:M4"/>
    <mergeCell ref="J19:K19"/>
  </mergeCells>
  <printOptions horizontalCentered="1" verticalCentered="1"/>
  <pageMargins left="0.15748031496062992" right="0.19685039370078741" top="0.19685039370078741" bottom="0.15748031496062992" header="0.15748031496062992" footer="0.11811023622047245"/>
  <pageSetup paperSize="9" scale="61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4</vt:i4>
      </vt:variant>
      <vt:variant>
        <vt:lpstr>نطاقات تمت تسميتها</vt:lpstr>
      </vt:variant>
      <vt:variant>
        <vt:i4>3</vt:i4>
      </vt:variant>
    </vt:vector>
  </HeadingPairs>
  <TitlesOfParts>
    <vt:vector size="7" baseType="lpstr">
      <vt:lpstr>الفنون الصناعية</vt:lpstr>
      <vt:lpstr>محافظة النجف</vt:lpstr>
      <vt:lpstr>قضاء النجف</vt:lpstr>
      <vt:lpstr>قضاء الكوفة</vt:lpstr>
      <vt:lpstr>'قضاء الكوفة'!Print_Area</vt:lpstr>
      <vt:lpstr>'قضاء النجف'!Print_Area</vt:lpstr>
      <vt:lpstr>'محافظة النجف'!Print_Area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</dc:creator>
  <cp:lastModifiedBy>Maher</cp:lastModifiedBy>
  <cp:lastPrinted>2025-03-11T09:26:14Z</cp:lastPrinted>
  <dcterms:created xsi:type="dcterms:W3CDTF">2010-01-18T05:54:12Z</dcterms:created>
  <dcterms:modified xsi:type="dcterms:W3CDTF">2025-12-30T10:32:28Z</dcterms:modified>
</cp:coreProperties>
</file>