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0185" yWindow="4065" windowWidth="10320" windowHeight="4080" tabRatio="889"/>
  </bookViews>
  <sheets>
    <sheet name="مدارس التعليم الاساسية" sheetId="1" r:id="rId1"/>
    <sheet name="حضر" sheetId="9" r:id="rId2"/>
    <sheet name="ريف" sheetId="11" r:id="rId3"/>
    <sheet name="المحافظة الاساسي" sheetId="2" r:id="rId4"/>
    <sheet name="قضاء النجف" sheetId="3" r:id="rId5"/>
    <sheet name="قضاء الكوفة" sheetId="4" r:id="rId6"/>
    <sheet name="قضاء المناذرة" sheetId="5" state="hidden" r:id="rId7"/>
  </sheets>
  <definedNames>
    <definedName name="_xlnm._FilterDatabase" localSheetId="0" hidden="1">'مدارس التعليم الاساسية'!$A$5:$MO$31</definedName>
    <definedName name="_xlnm.Print_Area" localSheetId="3">'المحافظة الاساسي'!$A$1:$Z$51</definedName>
    <definedName name="_xlnm.Print_Area" localSheetId="5">'قضاء الكوفة'!$A$1:$AA$49</definedName>
    <definedName name="_xlnm.Print_Area" localSheetId="6">'قضاء المناذرة'!$A$1:$AD$134</definedName>
    <definedName name="_xlnm.Print_Area" localSheetId="4">'قضاء النجف'!$A$1:$AA$48</definedName>
  </definedNames>
  <calcPr calcId="145621"/>
</workbook>
</file>

<file path=xl/calcChain.xml><?xml version="1.0" encoding="utf-8"?>
<calcChain xmlns="http://schemas.openxmlformats.org/spreadsheetml/2006/main">
  <c r="G14" i="11" l="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A14" i="11"/>
  <c r="BB14" i="11"/>
  <c r="BC14" i="11"/>
  <c r="BD14" i="11"/>
  <c r="BE14" i="11"/>
  <c r="BF14" i="11"/>
  <c r="BG14" i="11"/>
  <c r="BH14" i="11"/>
  <c r="BI14" i="11"/>
  <c r="BJ14" i="11"/>
  <c r="BK14" i="11"/>
  <c r="BL14" i="11"/>
  <c r="BM14" i="11"/>
  <c r="BN14" i="11"/>
  <c r="BO14" i="11"/>
  <c r="BP14" i="11"/>
  <c r="BQ14" i="11"/>
  <c r="BR14" i="11"/>
  <c r="BS14" i="11"/>
  <c r="BT14" i="11"/>
  <c r="BU14" i="11"/>
  <c r="BV14" i="11"/>
  <c r="BW14" i="11"/>
  <c r="BX14" i="11"/>
  <c r="BY14" i="11"/>
  <c r="BZ14" i="11"/>
  <c r="CA14" i="11"/>
  <c r="CB14" i="11"/>
  <c r="CC14" i="11"/>
  <c r="CD14" i="11"/>
  <c r="CE14" i="11"/>
  <c r="CF14" i="11"/>
  <c r="CG14" i="11"/>
  <c r="CH14" i="11"/>
  <c r="CI14" i="11"/>
  <c r="CJ14" i="11"/>
  <c r="CK14" i="11"/>
  <c r="CL14" i="11"/>
  <c r="CM14" i="11"/>
  <c r="CN14" i="11"/>
  <c r="CO14" i="11"/>
  <c r="CP14" i="11"/>
  <c r="CQ14" i="11"/>
  <c r="CR14" i="11"/>
  <c r="CS14" i="11"/>
  <c r="CT14" i="11"/>
  <c r="CU14" i="11"/>
  <c r="CV14" i="11"/>
  <c r="CW14" i="11"/>
  <c r="CX14" i="11"/>
  <c r="CY14" i="11"/>
  <c r="CZ14" i="11"/>
  <c r="DA14" i="11"/>
  <c r="DB14" i="11"/>
  <c r="DC14" i="11"/>
  <c r="DD14" i="11"/>
  <c r="DE14" i="11"/>
  <c r="DF14" i="11"/>
  <c r="DG14" i="11"/>
  <c r="DH14" i="11"/>
  <c r="DI14" i="11"/>
  <c r="DJ14" i="11"/>
  <c r="DK14" i="11"/>
  <c r="DL14" i="11"/>
  <c r="DM14" i="11"/>
  <c r="DN14" i="11"/>
  <c r="DO14" i="11"/>
  <c r="DP14" i="11"/>
  <c r="DQ14" i="11"/>
  <c r="DR14" i="11"/>
  <c r="DS14" i="11"/>
  <c r="DT14" i="11"/>
  <c r="DU14" i="11"/>
  <c r="DV14" i="11"/>
  <c r="DW14" i="11"/>
  <c r="DX14" i="11"/>
  <c r="DY14" i="11"/>
  <c r="DZ14" i="11"/>
  <c r="EA14" i="11"/>
  <c r="EB14" i="11"/>
  <c r="EC14" i="11"/>
  <c r="ED14" i="11"/>
  <c r="EE14" i="11"/>
  <c r="EF14" i="11"/>
  <c r="EG14" i="11"/>
  <c r="EH14" i="11"/>
  <c r="EI14" i="11"/>
  <c r="EJ14" i="11"/>
  <c r="EK14" i="11"/>
  <c r="EL14" i="11"/>
  <c r="EM14" i="11"/>
  <c r="EN14" i="11"/>
  <c r="EO14" i="11"/>
  <c r="EP14" i="11"/>
  <c r="EQ14" i="11"/>
  <c r="ER14" i="11"/>
  <c r="ES14" i="11"/>
  <c r="ET14" i="11"/>
  <c r="EU14" i="11"/>
  <c r="EV14" i="11"/>
  <c r="EW14" i="11"/>
  <c r="EX14" i="11"/>
  <c r="EY14" i="11"/>
  <c r="EZ14" i="11"/>
  <c r="FA14" i="11"/>
  <c r="FB14" i="11"/>
  <c r="FC14" i="11"/>
  <c r="FD14" i="11"/>
  <c r="FE14" i="11"/>
  <c r="FF14" i="11"/>
  <c r="FG14" i="11"/>
  <c r="FH14" i="11"/>
  <c r="FI14" i="11"/>
  <c r="FJ14" i="11"/>
  <c r="FK14" i="11"/>
  <c r="FL14" i="11"/>
  <c r="FM14" i="11"/>
  <c r="FN14" i="11"/>
  <c r="FO14" i="11"/>
  <c r="FP14" i="11"/>
  <c r="FQ14" i="11"/>
  <c r="FR14" i="11"/>
  <c r="FS14" i="11"/>
  <c r="FT14" i="11"/>
  <c r="FU14" i="11"/>
  <c r="FV14" i="11"/>
  <c r="FW14" i="11"/>
  <c r="FX14" i="11"/>
  <c r="FY14" i="11"/>
  <c r="FZ14" i="11"/>
  <c r="GA14" i="11"/>
  <c r="GB14" i="11"/>
  <c r="GC14" i="11"/>
  <c r="GD14" i="11"/>
  <c r="GE14" i="11"/>
  <c r="GF14" i="11"/>
  <c r="GG14" i="11"/>
  <c r="GH14" i="11"/>
  <c r="GI14" i="11"/>
  <c r="GJ14" i="11"/>
  <c r="GK14" i="11"/>
  <c r="GL14" i="11"/>
  <c r="GM14" i="11"/>
  <c r="GN14" i="11"/>
  <c r="GO14" i="11"/>
  <c r="GP14" i="11"/>
  <c r="GQ14" i="11"/>
  <c r="GR14" i="11"/>
  <c r="GS14" i="11"/>
  <c r="GT14" i="11"/>
  <c r="GU14" i="11"/>
  <c r="GV14" i="11"/>
  <c r="GW14" i="11"/>
  <c r="GX14" i="11"/>
  <c r="GY14" i="11"/>
  <c r="GZ14" i="11"/>
  <c r="HA14" i="11"/>
  <c r="HB14" i="11"/>
  <c r="HC14" i="11"/>
  <c r="HD14" i="11"/>
  <c r="HE14" i="11"/>
  <c r="HF14" i="11"/>
  <c r="HG14" i="11"/>
  <c r="HH14" i="11"/>
  <c r="HI14" i="11"/>
  <c r="HJ14" i="11"/>
  <c r="HK14" i="11"/>
  <c r="HL14" i="11"/>
  <c r="HM14" i="11"/>
  <c r="HN14" i="11"/>
  <c r="HO14" i="11"/>
  <c r="HP14" i="11"/>
  <c r="HQ14" i="11"/>
  <c r="HR14" i="11"/>
  <c r="HS14" i="11"/>
  <c r="HT14" i="11"/>
  <c r="HU14" i="11"/>
  <c r="HV14" i="11"/>
  <c r="HW14" i="11"/>
  <c r="HX14" i="11"/>
  <c r="HY14" i="11"/>
  <c r="HZ14" i="11"/>
  <c r="IA14" i="11"/>
  <c r="IB14" i="11"/>
  <c r="IC14" i="11"/>
  <c r="ID14" i="11"/>
  <c r="IE14" i="11"/>
  <c r="IF14" i="11"/>
  <c r="IG14" i="11"/>
  <c r="IH14" i="11"/>
  <c r="II14" i="11"/>
  <c r="IJ14" i="11"/>
  <c r="IK14" i="11"/>
  <c r="IL14" i="11"/>
  <c r="IM14" i="11"/>
  <c r="IN14" i="11"/>
  <c r="IO14" i="11"/>
  <c r="IP14" i="11"/>
  <c r="IQ14" i="11"/>
  <c r="IR14" i="11"/>
  <c r="IS14" i="11"/>
  <c r="IT14" i="11"/>
  <c r="IU14" i="11"/>
  <c r="IV14" i="11"/>
  <c r="IW14" i="11"/>
  <c r="IX14" i="11"/>
  <c r="IY14" i="11"/>
  <c r="IZ14" i="11"/>
  <c r="JA14" i="11"/>
  <c r="JB14" i="11"/>
  <c r="JC14" i="11"/>
  <c r="JD14" i="11"/>
  <c r="JE14" i="11"/>
  <c r="JF14" i="11"/>
  <c r="JG14" i="11"/>
  <c r="JH14" i="11"/>
  <c r="JI14" i="11"/>
  <c r="JJ14" i="11"/>
  <c r="JK14" i="11"/>
  <c r="JL14" i="11"/>
  <c r="JM14" i="11"/>
  <c r="JN14" i="11"/>
  <c r="JO14" i="11"/>
  <c r="JP14" i="11"/>
  <c r="JQ14" i="11"/>
  <c r="JR14" i="11"/>
  <c r="JS14" i="11"/>
  <c r="JT14" i="11"/>
  <c r="JU14" i="11"/>
  <c r="JV14" i="11"/>
  <c r="JW14" i="11"/>
  <c r="JX14" i="11"/>
  <c r="JY14" i="11"/>
  <c r="JZ14" i="11"/>
  <c r="KA14" i="11"/>
  <c r="KB14" i="11"/>
  <c r="KC14" i="11"/>
  <c r="KD14" i="11"/>
  <c r="KE14" i="11"/>
  <c r="KF14" i="11"/>
  <c r="KG14" i="11"/>
  <c r="KH14" i="11"/>
  <c r="KI14" i="11"/>
  <c r="KJ14" i="11"/>
  <c r="KK14" i="11"/>
  <c r="KL14" i="11"/>
  <c r="KM14" i="11"/>
  <c r="KN14" i="11"/>
  <c r="KO14" i="11"/>
  <c r="KP14" i="11"/>
  <c r="KQ14" i="11"/>
  <c r="KR14" i="11"/>
  <c r="KS14" i="11"/>
  <c r="KT14" i="11"/>
  <c r="KU14" i="11"/>
  <c r="KV14" i="11"/>
  <c r="KW14" i="11"/>
  <c r="KX14" i="11"/>
  <c r="KY14" i="11"/>
  <c r="KZ14" i="11"/>
  <c r="LA14" i="11"/>
  <c r="LB14" i="11"/>
  <c r="LC14" i="11"/>
  <c r="LD14" i="11"/>
  <c r="LE14" i="11"/>
  <c r="LF14" i="11"/>
  <c r="LG14" i="11"/>
  <c r="LH14" i="11"/>
  <c r="LI14" i="11"/>
  <c r="LJ14" i="11"/>
  <c r="LK14" i="11"/>
  <c r="LL14" i="11"/>
  <c r="LM14" i="11"/>
  <c r="LN14" i="11"/>
  <c r="LO14" i="11"/>
  <c r="LP14" i="11"/>
  <c r="LQ14" i="11"/>
  <c r="LR14" i="11"/>
  <c r="LS14" i="11"/>
  <c r="LT14" i="11"/>
  <c r="LU14" i="11"/>
  <c r="LV14" i="11"/>
  <c r="LW14" i="11"/>
  <c r="LX14" i="11"/>
  <c r="LY14" i="11"/>
  <c r="LZ14" i="11"/>
  <c r="MA14" i="11"/>
  <c r="MB14" i="11"/>
  <c r="MC14" i="11"/>
  <c r="MD14" i="11"/>
  <c r="ME14" i="11"/>
  <c r="MF14" i="11"/>
  <c r="MG14" i="11"/>
  <c r="MH14" i="11"/>
  <c r="MI14" i="11"/>
  <c r="MJ14" i="11"/>
  <c r="MK14" i="11"/>
  <c r="ML14" i="11"/>
  <c r="MM14" i="11"/>
  <c r="MN14" i="11"/>
  <c r="MO14" i="11"/>
  <c r="MP14" i="11"/>
  <c r="MQ14" i="11"/>
  <c r="MR14" i="11"/>
  <c r="MS14" i="11"/>
  <c r="MT14" i="11"/>
  <c r="MU14" i="11"/>
  <c r="MV14" i="11"/>
  <c r="MW14" i="11"/>
  <c r="MX14" i="11"/>
  <c r="MY14" i="11"/>
  <c r="MZ14" i="11"/>
  <c r="NA14" i="11"/>
  <c r="NB14" i="11"/>
  <c r="NC14" i="11"/>
  <c r="ND14" i="11"/>
  <c r="F14" i="11"/>
  <c r="LY27" i="1"/>
  <c r="LY28" i="1"/>
  <c r="LY29" i="1"/>
  <c r="LY30" i="1"/>
  <c r="KO27" i="1"/>
  <c r="KO28" i="1"/>
  <c r="KO29" i="1"/>
  <c r="KO30" i="1"/>
  <c r="JM29" i="1"/>
  <c r="JN29" i="1"/>
  <c r="JO29" i="1" s="1"/>
  <c r="JP29" i="1"/>
  <c r="JQ29" i="1"/>
  <c r="JR29" i="1"/>
  <c r="JS29" i="1"/>
  <c r="JT29" i="1"/>
  <c r="JU29" i="1"/>
  <c r="JV29" i="1"/>
  <c r="JW29" i="1"/>
  <c r="KA29" i="1" s="1"/>
  <c r="JX29" i="1"/>
  <c r="JY29" i="1"/>
  <c r="JZ29" i="1"/>
  <c r="JM30" i="1"/>
  <c r="JN30" i="1"/>
  <c r="JP30" i="1"/>
  <c r="JQ30" i="1"/>
  <c r="JR30" i="1"/>
  <c r="JS30" i="1"/>
  <c r="JT30" i="1"/>
  <c r="JU30" i="1"/>
  <c r="JV30" i="1"/>
  <c r="JW30" i="1"/>
  <c r="JX30" i="1"/>
  <c r="JZ30" i="1" s="1"/>
  <c r="JY30" i="1"/>
  <c r="IJ29" i="1"/>
  <c r="IK29" i="1"/>
  <c r="IL29" i="1"/>
  <c r="IJ30" i="1"/>
  <c r="IK30" i="1"/>
  <c r="IL30" i="1"/>
  <c r="IZ29" i="1"/>
  <c r="JA29" i="1"/>
  <c r="IZ30" i="1"/>
  <c r="JA30" i="1"/>
  <c r="HW29" i="1"/>
  <c r="HX29" i="1"/>
  <c r="IO29" i="1" s="1"/>
  <c r="HY29" i="1"/>
  <c r="HW30" i="1"/>
  <c r="HX30" i="1"/>
  <c r="IO30" i="1" s="1"/>
  <c r="HY30" i="1"/>
  <c r="GK29" i="1"/>
  <c r="GL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GZ29" i="1"/>
  <c r="HA29" i="1"/>
  <c r="GK30" i="1"/>
  <c r="GL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GZ30" i="1"/>
  <c r="HA30" i="1"/>
  <c r="FX29" i="1"/>
  <c r="FY29" i="1"/>
  <c r="FX30" i="1"/>
  <c r="FY30" i="1"/>
  <c r="BL29" i="1"/>
  <c r="BM29" i="1"/>
  <c r="BL30" i="1"/>
  <c r="BM30" i="1"/>
  <c r="BY29" i="1"/>
  <c r="BZ29" i="1"/>
  <c r="BY30" i="1"/>
  <c r="BZ30" i="1"/>
  <c r="CL29" i="1"/>
  <c r="CM29" i="1"/>
  <c r="CL30" i="1"/>
  <c r="CM30" i="1"/>
  <c r="CY29" i="1"/>
  <c r="CZ29" i="1"/>
  <c r="CY30" i="1"/>
  <c r="CZ30" i="1"/>
  <c r="DL29" i="1"/>
  <c r="DM29" i="1"/>
  <c r="DL30" i="1"/>
  <c r="DM30" i="1"/>
  <c r="FK29" i="1"/>
  <c r="FL29" i="1"/>
  <c r="FK30" i="1"/>
  <c r="FL30" i="1"/>
  <c r="DY29" i="1"/>
  <c r="DZ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DY30" i="1"/>
  <c r="DZ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AW29" i="1"/>
  <c r="AX29" i="1"/>
  <c r="AW30" i="1"/>
  <c r="AX30" i="1"/>
  <c r="AJ29" i="1"/>
  <c r="AK29" i="1"/>
  <c r="AJ30" i="1"/>
  <c r="AK30" i="1"/>
  <c r="JO30" i="1" l="1"/>
  <c r="JB29" i="1"/>
  <c r="HZ29" i="1"/>
  <c r="GM29" i="1"/>
  <c r="HB30" i="1"/>
  <c r="HB29" i="1"/>
  <c r="EA29" i="1"/>
  <c r="DN29" i="1"/>
  <c r="EY29" i="1"/>
  <c r="CN29" i="1"/>
  <c r="AY29" i="1"/>
  <c r="AL29" i="1"/>
  <c r="FZ29" i="1"/>
  <c r="BN30" i="1"/>
  <c r="FM30" i="1"/>
  <c r="DN30" i="1"/>
  <c r="CN30" i="1"/>
  <c r="CA29" i="1"/>
  <c r="BN29" i="1"/>
  <c r="IP30" i="1"/>
  <c r="IP29" i="1"/>
  <c r="EX30" i="1"/>
  <c r="EX29" i="1"/>
  <c r="DA29" i="1"/>
  <c r="HC29" i="1"/>
  <c r="HD29" i="1" s="1"/>
  <c r="HC30" i="1"/>
  <c r="IM30" i="1"/>
  <c r="AY30" i="1"/>
  <c r="FM29" i="1"/>
  <c r="CA30" i="1"/>
  <c r="IN30" i="1"/>
  <c r="KB29" i="1"/>
  <c r="IM29" i="1"/>
  <c r="DA30" i="1"/>
  <c r="FZ30" i="1"/>
  <c r="GM30" i="1"/>
  <c r="JB30" i="1"/>
  <c r="IN29" i="1"/>
  <c r="KA30" i="1"/>
  <c r="KB30" i="1" s="1"/>
  <c r="HZ30" i="1"/>
  <c r="EA30" i="1"/>
  <c r="EY30" i="1"/>
  <c r="AL30" i="1"/>
  <c r="DY27" i="1"/>
  <c r="DZ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DY28" i="1"/>
  <c r="DZ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DL27" i="1"/>
  <c r="DM27" i="1"/>
  <c r="DL28" i="1"/>
  <c r="DM28" i="1"/>
  <c r="CY27" i="1"/>
  <c r="CZ27" i="1"/>
  <c r="CY28" i="1"/>
  <c r="CZ28" i="1"/>
  <c r="CL27" i="1"/>
  <c r="CM27" i="1"/>
  <c r="CL28" i="1"/>
  <c r="CM28" i="1"/>
  <c r="BY27" i="1"/>
  <c r="BZ27" i="1"/>
  <c r="BY28" i="1"/>
  <c r="BZ28" i="1"/>
  <c r="BL27" i="1"/>
  <c r="BM27" i="1"/>
  <c r="BL28" i="1"/>
  <c r="BM28" i="1"/>
  <c r="AJ27" i="1"/>
  <c r="AK27" i="1"/>
  <c r="AJ28" i="1"/>
  <c r="AK28" i="1"/>
  <c r="IQ29" i="1" l="1"/>
  <c r="HD30" i="1"/>
  <c r="EZ29" i="1"/>
  <c r="IQ30" i="1"/>
  <c r="EY27" i="1"/>
  <c r="DA27" i="1"/>
  <c r="BN28" i="1"/>
  <c r="CN28" i="1"/>
  <c r="EZ30" i="1"/>
  <c r="BN27" i="1"/>
  <c r="EA27" i="1"/>
  <c r="CA27" i="1"/>
  <c r="CN27" i="1"/>
  <c r="AL27" i="1"/>
  <c r="EX27" i="1"/>
  <c r="CA28" i="1"/>
  <c r="DN27" i="1"/>
  <c r="EX28" i="1"/>
  <c r="DA28" i="1"/>
  <c r="EA28" i="1"/>
  <c r="AL28" i="1"/>
  <c r="DN28" i="1"/>
  <c r="EY28" i="1"/>
  <c r="EZ28" i="1" s="1"/>
  <c r="HW27" i="1"/>
  <c r="HX27" i="1"/>
  <c r="HY27" i="1"/>
  <c r="HW28" i="1"/>
  <c r="HX28" i="1"/>
  <c r="HY28" i="1"/>
  <c r="JM27" i="1"/>
  <c r="JN27" i="1"/>
  <c r="JP27" i="1"/>
  <c r="JQ27" i="1"/>
  <c r="JR27" i="1"/>
  <c r="JS27" i="1"/>
  <c r="JT27" i="1"/>
  <c r="JU27" i="1"/>
  <c r="JV27" i="1"/>
  <c r="JW27" i="1"/>
  <c r="JX27" i="1"/>
  <c r="JY27" i="1"/>
  <c r="JM28" i="1"/>
  <c r="JN28" i="1"/>
  <c r="JP28" i="1"/>
  <c r="JQ28" i="1"/>
  <c r="JR28" i="1"/>
  <c r="JS28" i="1"/>
  <c r="JT28" i="1"/>
  <c r="JU28" i="1"/>
  <c r="JV28" i="1"/>
  <c r="JW28" i="1"/>
  <c r="JX28" i="1"/>
  <c r="JY28" i="1"/>
  <c r="IZ27" i="1"/>
  <c r="JA27" i="1"/>
  <c r="IZ28" i="1"/>
  <c r="JA28" i="1"/>
  <c r="IJ27" i="1"/>
  <c r="IK27" i="1"/>
  <c r="IL27" i="1"/>
  <c r="IJ28" i="1"/>
  <c r="IK28" i="1"/>
  <c r="IL28" i="1"/>
  <c r="GK27" i="1"/>
  <c r="GL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HC27" i="1" s="1"/>
  <c r="GZ27" i="1"/>
  <c r="HA27" i="1"/>
  <c r="GK28" i="1"/>
  <c r="GL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GZ28" i="1"/>
  <c r="HA28" i="1"/>
  <c r="FX27" i="1"/>
  <c r="FY27" i="1"/>
  <c r="FX28" i="1"/>
  <c r="FY28" i="1"/>
  <c r="FK27" i="1"/>
  <c r="FL27" i="1"/>
  <c r="FK28" i="1"/>
  <c r="FL28" i="1"/>
  <c r="AW27" i="1"/>
  <c r="AY27" i="1" s="1"/>
  <c r="AX27" i="1"/>
  <c r="AW28" i="1"/>
  <c r="AX28" i="1"/>
  <c r="JM11" i="1"/>
  <c r="JO11" i="1" s="1"/>
  <c r="JN11" i="1"/>
  <c r="GK11" i="1"/>
  <c r="GL11" i="1"/>
  <c r="IP27" i="1" l="1"/>
  <c r="GM28" i="1"/>
  <c r="FZ27" i="1"/>
  <c r="FM27" i="1"/>
  <c r="EZ27" i="1"/>
  <c r="GM11" i="1"/>
  <c r="HC28" i="1"/>
  <c r="HD28" i="1" s="1"/>
  <c r="IP28" i="1"/>
  <c r="JZ27" i="1"/>
  <c r="HB28" i="1"/>
  <c r="HB27" i="1"/>
  <c r="HD27" i="1" s="1"/>
  <c r="IM28" i="1"/>
  <c r="IN28" i="1"/>
  <c r="GM27" i="1"/>
  <c r="IM27" i="1"/>
  <c r="JO28" i="1"/>
  <c r="JB28" i="1"/>
  <c r="AY28" i="1"/>
  <c r="FZ28" i="1"/>
  <c r="FM28" i="1"/>
  <c r="JO27" i="1"/>
  <c r="JZ28" i="1"/>
  <c r="IO27" i="1"/>
  <c r="JB27" i="1"/>
  <c r="HZ28" i="1"/>
  <c r="IQ28" i="1" s="1"/>
  <c r="IN27" i="1"/>
  <c r="KA28" i="1"/>
  <c r="IO28" i="1"/>
  <c r="KA27" i="1"/>
  <c r="HZ27" i="1"/>
  <c r="IQ27" i="1" l="1"/>
  <c r="KB27" i="1"/>
  <c r="KB28" i="1"/>
  <c r="LY11" i="1"/>
  <c r="KO23" i="1" l="1"/>
  <c r="KO22" i="1"/>
  <c r="LY23" i="1" l="1"/>
  <c r="LY22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M24" i="1"/>
  <c r="AN24" i="1"/>
  <c r="AO24" i="1"/>
  <c r="AP24" i="1"/>
  <c r="AQ24" i="1"/>
  <c r="AR24" i="1"/>
  <c r="AS24" i="1"/>
  <c r="AT24" i="1"/>
  <c r="AU24" i="1"/>
  <c r="AV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O24" i="1"/>
  <c r="BP24" i="1"/>
  <c r="BQ24" i="1"/>
  <c r="BR24" i="1"/>
  <c r="BS24" i="1"/>
  <c r="BT24" i="1"/>
  <c r="BU24" i="1"/>
  <c r="BV24" i="1"/>
  <c r="BW24" i="1"/>
  <c r="BX24" i="1"/>
  <c r="CB24" i="1"/>
  <c r="CC24" i="1"/>
  <c r="CD24" i="1"/>
  <c r="CE24" i="1"/>
  <c r="CF24" i="1"/>
  <c r="CG24" i="1"/>
  <c r="CH24" i="1"/>
  <c r="CI24" i="1"/>
  <c r="CJ24" i="1"/>
  <c r="CK24" i="1"/>
  <c r="CO24" i="1"/>
  <c r="CP24" i="1"/>
  <c r="CQ24" i="1"/>
  <c r="CR24" i="1"/>
  <c r="CS24" i="1"/>
  <c r="CT24" i="1"/>
  <c r="CU24" i="1"/>
  <c r="CV24" i="1"/>
  <c r="CW24" i="1"/>
  <c r="CX24" i="1"/>
  <c r="DB24" i="1"/>
  <c r="DC24" i="1"/>
  <c r="DD24" i="1"/>
  <c r="DE24" i="1"/>
  <c r="DF24" i="1"/>
  <c r="DG24" i="1"/>
  <c r="DH24" i="1"/>
  <c r="DI24" i="1"/>
  <c r="DJ24" i="1"/>
  <c r="DK24" i="1"/>
  <c r="DO24" i="1"/>
  <c r="DP24" i="1"/>
  <c r="DQ24" i="1"/>
  <c r="DR24" i="1"/>
  <c r="DS24" i="1"/>
  <c r="DT24" i="1"/>
  <c r="DU24" i="1"/>
  <c r="DV24" i="1"/>
  <c r="DW24" i="1"/>
  <c r="DX24" i="1"/>
  <c r="FA24" i="1"/>
  <c r="FB24" i="1"/>
  <c r="FC24" i="1"/>
  <c r="FD24" i="1"/>
  <c r="FE24" i="1"/>
  <c r="FF24" i="1"/>
  <c r="FG24" i="1"/>
  <c r="FH24" i="1"/>
  <c r="FI24" i="1"/>
  <c r="FJ24" i="1"/>
  <c r="FN24" i="1"/>
  <c r="FO24" i="1"/>
  <c r="FP24" i="1"/>
  <c r="FQ24" i="1"/>
  <c r="FR24" i="1"/>
  <c r="FS24" i="1"/>
  <c r="FT24" i="1"/>
  <c r="FU24" i="1"/>
  <c r="FV24" i="1"/>
  <c r="FW24" i="1"/>
  <c r="GA24" i="1"/>
  <c r="GB24" i="1"/>
  <c r="GC24" i="1"/>
  <c r="GD24" i="1"/>
  <c r="GE24" i="1"/>
  <c r="GF24" i="1"/>
  <c r="GG24" i="1"/>
  <c r="GH24" i="1"/>
  <c r="GI24" i="1"/>
  <c r="GJ24" i="1"/>
  <c r="HE24" i="1"/>
  <c r="HF24" i="1"/>
  <c r="HG24" i="1"/>
  <c r="HH24" i="1"/>
  <c r="HI24" i="1"/>
  <c r="HJ24" i="1"/>
  <c r="HK24" i="1"/>
  <c r="HL24" i="1"/>
  <c r="HM24" i="1"/>
  <c r="HN24" i="1"/>
  <c r="HO24" i="1"/>
  <c r="HP24" i="1"/>
  <c r="HQ24" i="1"/>
  <c r="HR24" i="1"/>
  <c r="HS24" i="1"/>
  <c r="HT24" i="1"/>
  <c r="HU24" i="1"/>
  <c r="HV24" i="1"/>
  <c r="IA24" i="1"/>
  <c r="IB24" i="1"/>
  <c r="IC24" i="1"/>
  <c r="ID24" i="1"/>
  <c r="IE24" i="1"/>
  <c r="IF24" i="1"/>
  <c r="IG24" i="1"/>
  <c r="IH24" i="1"/>
  <c r="II24" i="1"/>
  <c r="IR24" i="1"/>
  <c r="IS24" i="1"/>
  <c r="IT24" i="1"/>
  <c r="IU24" i="1"/>
  <c r="IV24" i="1"/>
  <c r="IW24" i="1"/>
  <c r="IX24" i="1"/>
  <c r="IY24" i="1"/>
  <c r="JC24" i="1"/>
  <c r="JD24" i="1"/>
  <c r="JE24" i="1"/>
  <c r="JF24" i="1"/>
  <c r="JG24" i="1"/>
  <c r="JH24" i="1"/>
  <c r="JI24" i="1"/>
  <c r="JJ24" i="1"/>
  <c r="JK24" i="1"/>
  <c r="JL24" i="1"/>
  <c r="KC24" i="1"/>
  <c r="KD24" i="1"/>
  <c r="KE24" i="1"/>
  <c r="KF24" i="1"/>
  <c r="KG24" i="1"/>
  <c r="KH24" i="1"/>
  <c r="KI24" i="1"/>
  <c r="KJ24" i="1"/>
  <c r="KK24" i="1"/>
  <c r="KL24" i="1"/>
  <c r="KM24" i="1"/>
  <c r="KN24" i="1"/>
  <c r="KO24" i="1"/>
  <c r="KP24" i="1"/>
  <c r="KQ24" i="1"/>
  <c r="KR24" i="1"/>
  <c r="KS24" i="1"/>
  <c r="KT24" i="1"/>
  <c r="KU24" i="1"/>
  <c r="KV24" i="1"/>
  <c r="KW24" i="1"/>
  <c r="KX24" i="1"/>
  <c r="KY24" i="1"/>
  <c r="KZ24" i="1"/>
  <c r="LA24" i="1"/>
  <c r="LB24" i="1"/>
  <c r="LC24" i="1"/>
  <c r="LD24" i="1"/>
  <c r="LE24" i="1"/>
  <c r="LF24" i="1"/>
  <c r="LG24" i="1"/>
  <c r="LH24" i="1"/>
  <c r="LI24" i="1"/>
  <c r="LJ24" i="1"/>
  <c r="LK24" i="1"/>
  <c r="LL24" i="1"/>
  <c r="LM24" i="1"/>
  <c r="LN24" i="1"/>
  <c r="LO24" i="1"/>
  <c r="LP24" i="1"/>
  <c r="LQ24" i="1"/>
  <c r="LR24" i="1"/>
  <c r="LS24" i="1"/>
  <c r="LT24" i="1"/>
  <c r="LU24" i="1"/>
  <c r="LV24" i="1"/>
  <c r="LW24" i="1"/>
  <c r="LX24" i="1"/>
  <c r="LZ24" i="1"/>
  <c r="MA24" i="1"/>
  <c r="MB24" i="1"/>
  <c r="MC24" i="1"/>
  <c r="MD24" i="1"/>
  <c r="ME24" i="1"/>
  <c r="MF24" i="1"/>
  <c r="MG24" i="1"/>
  <c r="MH24" i="1"/>
  <c r="MI24" i="1"/>
  <c r="MJ24" i="1"/>
  <c r="MK24" i="1"/>
  <c r="ML24" i="1"/>
  <c r="MM24" i="1"/>
  <c r="MN24" i="1"/>
  <c r="MO24" i="1"/>
  <c r="F24" i="1"/>
  <c r="DZ23" i="1"/>
  <c r="DY23" i="1"/>
  <c r="DZ22" i="1"/>
  <c r="DY22" i="1"/>
  <c r="DM23" i="1"/>
  <c r="DL23" i="1"/>
  <c r="DM22" i="1"/>
  <c r="DL22" i="1"/>
  <c r="CZ22" i="1"/>
  <c r="CZ24" i="1" s="1"/>
  <c r="CY22" i="1"/>
  <c r="CZ23" i="1"/>
  <c r="CY23" i="1"/>
  <c r="CM23" i="1"/>
  <c r="CL23" i="1"/>
  <c r="CM22" i="1"/>
  <c r="CL22" i="1"/>
  <c r="BZ23" i="1"/>
  <c r="BY23" i="1"/>
  <c r="BZ22" i="1"/>
  <c r="BY22" i="1"/>
  <c r="BY20" i="1"/>
  <c r="JY23" i="1"/>
  <c r="JX23" i="1"/>
  <c r="JW23" i="1"/>
  <c r="JV23" i="1"/>
  <c r="JU23" i="1"/>
  <c r="JT23" i="1"/>
  <c r="JS23" i="1"/>
  <c r="JR23" i="1"/>
  <c r="JQ23" i="1"/>
  <c r="JP23" i="1"/>
  <c r="JN23" i="1"/>
  <c r="JM23" i="1"/>
  <c r="JY22" i="1"/>
  <c r="JY24" i="1" s="1"/>
  <c r="JX22" i="1"/>
  <c r="JX24" i="1" s="1"/>
  <c r="JW22" i="1"/>
  <c r="JV22" i="1"/>
  <c r="JU22" i="1"/>
  <c r="JU24" i="1" s="1"/>
  <c r="JT22" i="1"/>
  <c r="JT24" i="1" s="1"/>
  <c r="JS22" i="1"/>
  <c r="JS24" i="1" s="1"/>
  <c r="JR22" i="1"/>
  <c r="JQ22" i="1"/>
  <c r="JQ24" i="1" s="1"/>
  <c r="JP22" i="1"/>
  <c r="JN22" i="1"/>
  <c r="JM22" i="1"/>
  <c r="JA23" i="1"/>
  <c r="IZ23" i="1"/>
  <c r="JA22" i="1"/>
  <c r="IZ22" i="1"/>
  <c r="IL23" i="1"/>
  <c r="IK23" i="1"/>
  <c r="IJ23" i="1"/>
  <c r="IL22" i="1"/>
  <c r="IK22" i="1"/>
  <c r="IJ22" i="1"/>
  <c r="HY23" i="1"/>
  <c r="HX23" i="1"/>
  <c r="HW23" i="1"/>
  <c r="HY22" i="1"/>
  <c r="HX22" i="1"/>
  <c r="HW22" i="1"/>
  <c r="HA23" i="1"/>
  <c r="GZ23" i="1"/>
  <c r="GY23" i="1"/>
  <c r="GX23" i="1"/>
  <c r="GW23" i="1"/>
  <c r="GV23" i="1"/>
  <c r="GU23" i="1"/>
  <c r="GT23" i="1"/>
  <c r="GS23" i="1"/>
  <c r="GR23" i="1"/>
  <c r="GQ23" i="1"/>
  <c r="GP23" i="1"/>
  <c r="GO23" i="1"/>
  <c r="GN23" i="1"/>
  <c r="GL23" i="1"/>
  <c r="GK23" i="1"/>
  <c r="HA22" i="1"/>
  <c r="HA24" i="1" s="1"/>
  <c r="GZ22" i="1"/>
  <c r="GZ24" i="1" s="1"/>
  <c r="GY22" i="1"/>
  <c r="GY24" i="1" s="1"/>
  <c r="GX22" i="1"/>
  <c r="GX24" i="1" s="1"/>
  <c r="GW22" i="1"/>
  <c r="GW24" i="1" s="1"/>
  <c r="GV22" i="1"/>
  <c r="GV24" i="1" s="1"/>
  <c r="GU22" i="1"/>
  <c r="GU24" i="1" s="1"/>
  <c r="GT22" i="1"/>
  <c r="GT24" i="1" s="1"/>
  <c r="GS22" i="1"/>
  <c r="GS24" i="1" s="1"/>
  <c r="GR22" i="1"/>
  <c r="GR24" i="1" s="1"/>
  <c r="GQ22" i="1"/>
  <c r="GQ24" i="1" s="1"/>
  <c r="GP22" i="1"/>
  <c r="GP24" i="1" s="1"/>
  <c r="GO22" i="1"/>
  <c r="GO24" i="1" s="1"/>
  <c r="GN22" i="1"/>
  <c r="GN24" i="1" s="1"/>
  <c r="GL22" i="1"/>
  <c r="GK22" i="1"/>
  <c r="GK24" i="1" s="1"/>
  <c r="FY23" i="1"/>
  <c r="FX23" i="1"/>
  <c r="FY22" i="1"/>
  <c r="FX22" i="1"/>
  <c r="FL23" i="1"/>
  <c r="FK23" i="1"/>
  <c r="FL22" i="1"/>
  <c r="FK22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W22" i="1"/>
  <c r="EV22" i="1"/>
  <c r="EU22" i="1"/>
  <c r="ET22" i="1"/>
  <c r="ES22" i="1"/>
  <c r="ER22" i="1"/>
  <c r="EQ22" i="1"/>
  <c r="EP22" i="1"/>
  <c r="EO22" i="1"/>
  <c r="EN22" i="1"/>
  <c r="EM22" i="1"/>
  <c r="EL22" i="1"/>
  <c r="EK22" i="1"/>
  <c r="EJ22" i="1"/>
  <c r="EI22" i="1"/>
  <c r="EH22" i="1"/>
  <c r="EG22" i="1"/>
  <c r="EF22" i="1"/>
  <c r="EE22" i="1"/>
  <c r="ED22" i="1"/>
  <c r="EC22" i="1"/>
  <c r="EB22" i="1"/>
  <c r="BM23" i="1"/>
  <c r="BL23" i="1"/>
  <c r="BM22" i="1"/>
  <c r="BL22" i="1"/>
  <c r="BL24" i="1" s="1"/>
  <c r="AX23" i="1"/>
  <c r="AW23" i="1"/>
  <c r="AX22" i="1"/>
  <c r="AW22" i="1"/>
  <c r="AW24" i="1" s="1"/>
  <c r="AK23" i="1"/>
  <c r="AJ23" i="1"/>
  <c r="AK22" i="1"/>
  <c r="AJ22" i="1"/>
  <c r="FX11" i="1"/>
  <c r="FY11" i="1"/>
  <c r="FX24" i="1" l="1"/>
  <c r="ER24" i="1"/>
  <c r="EV24" i="1"/>
  <c r="EB24" i="1"/>
  <c r="EF24" i="1"/>
  <c r="AX24" i="1"/>
  <c r="IK24" i="1"/>
  <c r="FY24" i="1"/>
  <c r="GM22" i="1"/>
  <c r="JO22" i="1"/>
  <c r="EW24" i="1"/>
  <c r="DM24" i="1"/>
  <c r="CM24" i="1"/>
  <c r="CN23" i="1"/>
  <c r="BZ24" i="1"/>
  <c r="CA23" i="1"/>
  <c r="EI24" i="1"/>
  <c r="EG24" i="1"/>
  <c r="EE24" i="1"/>
  <c r="BM24" i="1"/>
  <c r="EC24" i="1"/>
  <c r="AK24" i="1"/>
  <c r="AJ24" i="1"/>
  <c r="GM23" i="1"/>
  <c r="IL24" i="1"/>
  <c r="IN22" i="1"/>
  <c r="JN24" i="1"/>
  <c r="JM24" i="1"/>
  <c r="GL24" i="1"/>
  <c r="FZ11" i="1"/>
  <c r="FL24" i="1"/>
  <c r="HW24" i="1"/>
  <c r="HZ22" i="1"/>
  <c r="HX24" i="1"/>
  <c r="FK24" i="1"/>
  <c r="EM24" i="1"/>
  <c r="EK24" i="1"/>
  <c r="EO24" i="1"/>
  <c r="ES24" i="1"/>
  <c r="EJ24" i="1"/>
  <c r="EN24" i="1"/>
  <c r="CL24" i="1"/>
  <c r="EL24" i="1"/>
  <c r="ED24" i="1"/>
  <c r="EH24" i="1"/>
  <c r="EP24" i="1"/>
  <c r="ET24" i="1"/>
  <c r="DZ24" i="1"/>
  <c r="EQ24" i="1"/>
  <c r="EU24" i="1"/>
  <c r="LY24" i="1"/>
  <c r="JA24" i="1"/>
  <c r="JW24" i="1"/>
  <c r="JV24" i="1"/>
  <c r="IZ24" i="1"/>
  <c r="JR24" i="1"/>
  <c r="JP24" i="1"/>
  <c r="IJ24" i="1"/>
  <c r="IP22" i="1"/>
  <c r="HY24" i="1"/>
  <c r="EA22" i="1"/>
  <c r="DY24" i="1"/>
  <c r="DN22" i="1"/>
  <c r="DL24" i="1"/>
  <c r="DA22" i="1"/>
  <c r="CY24" i="1"/>
  <c r="CN22" i="1"/>
  <c r="CA22" i="1"/>
  <c r="CA24" i="1" s="1"/>
  <c r="BY24" i="1"/>
  <c r="EY22" i="1"/>
  <c r="EX22" i="1"/>
  <c r="JO23" i="1"/>
  <c r="JO24" i="1" s="1"/>
  <c r="EA23" i="1"/>
  <c r="DN23" i="1"/>
  <c r="DA23" i="1"/>
  <c r="EY23" i="1"/>
  <c r="EX23" i="1"/>
  <c r="HC22" i="1"/>
  <c r="KA23" i="1"/>
  <c r="AY23" i="1"/>
  <c r="BN23" i="1"/>
  <c r="FZ23" i="1"/>
  <c r="HB22" i="1"/>
  <c r="IM22" i="1"/>
  <c r="JB22" i="1"/>
  <c r="JZ22" i="1"/>
  <c r="AL22" i="1"/>
  <c r="AY22" i="1"/>
  <c r="AY24" i="1" s="1"/>
  <c r="BN22" i="1"/>
  <c r="FM22" i="1"/>
  <c r="FZ22" i="1"/>
  <c r="HZ23" i="1"/>
  <c r="IO22" i="1"/>
  <c r="JB23" i="1"/>
  <c r="AL23" i="1"/>
  <c r="JZ23" i="1"/>
  <c r="FM23" i="1"/>
  <c r="HC23" i="1"/>
  <c r="HB23" i="1"/>
  <c r="IP23" i="1"/>
  <c r="IN23" i="1"/>
  <c r="IN24" i="1" s="1"/>
  <c r="IO23" i="1"/>
  <c r="IM23" i="1"/>
  <c r="KA22" i="1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BD14" i="9"/>
  <c r="BE14" i="9"/>
  <c r="BF14" i="9"/>
  <c r="BG14" i="9"/>
  <c r="BH14" i="9"/>
  <c r="BI14" i="9"/>
  <c r="BJ14" i="9"/>
  <c r="BK14" i="9"/>
  <c r="BL14" i="9"/>
  <c r="BM14" i="9"/>
  <c r="BN14" i="9"/>
  <c r="BO14" i="9"/>
  <c r="BP14" i="9"/>
  <c r="BQ14" i="9"/>
  <c r="BR14" i="9"/>
  <c r="BS14" i="9"/>
  <c r="BT14" i="9"/>
  <c r="BU14" i="9"/>
  <c r="BV14" i="9"/>
  <c r="BW14" i="9"/>
  <c r="BX14" i="9"/>
  <c r="BY14" i="9"/>
  <c r="BZ14" i="9"/>
  <c r="CA14" i="9"/>
  <c r="CB14" i="9"/>
  <c r="CC14" i="9"/>
  <c r="CD14" i="9"/>
  <c r="CE14" i="9"/>
  <c r="CF14" i="9"/>
  <c r="CG14" i="9"/>
  <c r="CH14" i="9"/>
  <c r="CI14" i="9"/>
  <c r="CJ14" i="9"/>
  <c r="CK14" i="9"/>
  <c r="CL14" i="9"/>
  <c r="CM14" i="9"/>
  <c r="CN14" i="9"/>
  <c r="CO14" i="9"/>
  <c r="CP14" i="9"/>
  <c r="CQ14" i="9"/>
  <c r="CR14" i="9"/>
  <c r="CS14" i="9"/>
  <c r="CT14" i="9"/>
  <c r="CU14" i="9"/>
  <c r="CV14" i="9"/>
  <c r="CW14" i="9"/>
  <c r="CX14" i="9"/>
  <c r="CY14" i="9"/>
  <c r="CZ14" i="9"/>
  <c r="DA14" i="9"/>
  <c r="DB14" i="9"/>
  <c r="DC14" i="9"/>
  <c r="DD14" i="9"/>
  <c r="DE14" i="9"/>
  <c r="DF14" i="9"/>
  <c r="DG14" i="9"/>
  <c r="DH14" i="9"/>
  <c r="DI14" i="9"/>
  <c r="DJ14" i="9"/>
  <c r="DK14" i="9"/>
  <c r="DL14" i="9"/>
  <c r="DM14" i="9"/>
  <c r="DN14" i="9"/>
  <c r="DO14" i="9"/>
  <c r="DP14" i="9"/>
  <c r="DQ14" i="9"/>
  <c r="DR14" i="9"/>
  <c r="DS14" i="9"/>
  <c r="DT14" i="9"/>
  <c r="DU14" i="9"/>
  <c r="DV14" i="9"/>
  <c r="DW14" i="9"/>
  <c r="DX14" i="9"/>
  <c r="DY14" i="9"/>
  <c r="DZ14" i="9"/>
  <c r="EA14" i="9"/>
  <c r="EB14" i="9"/>
  <c r="EC14" i="9"/>
  <c r="ED14" i="9"/>
  <c r="EE14" i="9"/>
  <c r="EF14" i="9"/>
  <c r="EG14" i="9"/>
  <c r="EH14" i="9"/>
  <c r="EI14" i="9"/>
  <c r="EJ14" i="9"/>
  <c r="EK14" i="9"/>
  <c r="EL14" i="9"/>
  <c r="EM14" i="9"/>
  <c r="EN14" i="9"/>
  <c r="EO14" i="9"/>
  <c r="EP14" i="9"/>
  <c r="EQ14" i="9"/>
  <c r="ER14" i="9"/>
  <c r="ES14" i="9"/>
  <c r="ET14" i="9"/>
  <c r="EU14" i="9"/>
  <c r="EV14" i="9"/>
  <c r="EW14" i="9"/>
  <c r="EX14" i="9"/>
  <c r="EY14" i="9"/>
  <c r="EZ14" i="9"/>
  <c r="FA14" i="9"/>
  <c r="FB14" i="9"/>
  <c r="FC14" i="9"/>
  <c r="FD14" i="9"/>
  <c r="FE14" i="9"/>
  <c r="FF14" i="9"/>
  <c r="FG14" i="9"/>
  <c r="FH14" i="9"/>
  <c r="FI14" i="9"/>
  <c r="FJ14" i="9"/>
  <c r="FK14" i="9"/>
  <c r="FL14" i="9"/>
  <c r="FM14" i="9"/>
  <c r="FN14" i="9"/>
  <c r="FO14" i="9"/>
  <c r="FP14" i="9"/>
  <c r="FQ14" i="9"/>
  <c r="FR14" i="9"/>
  <c r="FS14" i="9"/>
  <c r="FT14" i="9"/>
  <c r="FU14" i="9"/>
  <c r="FV14" i="9"/>
  <c r="FW14" i="9"/>
  <c r="FX14" i="9"/>
  <c r="FY14" i="9"/>
  <c r="FZ14" i="9"/>
  <c r="GA14" i="9"/>
  <c r="GB14" i="9"/>
  <c r="GC14" i="9"/>
  <c r="GD14" i="9"/>
  <c r="GE14" i="9"/>
  <c r="GF14" i="9"/>
  <c r="GG14" i="9"/>
  <c r="GH14" i="9"/>
  <c r="GI14" i="9"/>
  <c r="GJ14" i="9"/>
  <c r="GK14" i="9"/>
  <c r="GL14" i="9"/>
  <c r="GM14" i="9"/>
  <c r="GN14" i="9"/>
  <c r="GO14" i="9"/>
  <c r="GP14" i="9"/>
  <c r="GQ14" i="9"/>
  <c r="GR14" i="9"/>
  <c r="GS14" i="9"/>
  <c r="GT14" i="9"/>
  <c r="GU14" i="9"/>
  <c r="GV14" i="9"/>
  <c r="GW14" i="9"/>
  <c r="GX14" i="9"/>
  <c r="GY14" i="9"/>
  <c r="GZ14" i="9"/>
  <c r="HA14" i="9"/>
  <c r="HB14" i="9"/>
  <c r="HC14" i="9"/>
  <c r="HD14" i="9"/>
  <c r="HE14" i="9"/>
  <c r="HF14" i="9"/>
  <c r="HG14" i="9"/>
  <c r="HH14" i="9"/>
  <c r="HI14" i="9"/>
  <c r="HJ14" i="9"/>
  <c r="HK14" i="9"/>
  <c r="HL14" i="9"/>
  <c r="HM14" i="9"/>
  <c r="HN14" i="9"/>
  <c r="HO14" i="9"/>
  <c r="HP14" i="9"/>
  <c r="HQ14" i="9"/>
  <c r="HR14" i="9"/>
  <c r="HS14" i="9"/>
  <c r="HT14" i="9"/>
  <c r="HU14" i="9"/>
  <c r="HV14" i="9"/>
  <c r="HW14" i="9"/>
  <c r="HX14" i="9"/>
  <c r="HY14" i="9"/>
  <c r="HZ14" i="9"/>
  <c r="IA14" i="9"/>
  <c r="IB14" i="9"/>
  <c r="IC14" i="9"/>
  <c r="ID14" i="9"/>
  <c r="IE14" i="9"/>
  <c r="IF14" i="9"/>
  <c r="IG14" i="9"/>
  <c r="IH14" i="9"/>
  <c r="II14" i="9"/>
  <c r="IJ14" i="9"/>
  <c r="IK14" i="9"/>
  <c r="IL14" i="9"/>
  <c r="IM14" i="9"/>
  <c r="IN14" i="9"/>
  <c r="IO14" i="9"/>
  <c r="IP14" i="9"/>
  <c r="IQ14" i="9"/>
  <c r="IR14" i="9"/>
  <c r="IS14" i="9"/>
  <c r="IT14" i="9"/>
  <c r="IU14" i="9"/>
  <c r="IV14" i="9"/>
  <c r="IW14" i="9"/>
  <c r="IX14" i="9"/>
  <c r="IY14" i="9"/>
  <c r="IZ14" i="9"/>
  <c r="JA14" i="9"/>
  <c r="JB14" i="9"/>
  <c r="JC14" i="9"/>
  <c r="JD14" i="9"/>
  <c r="JE14" i="9"/>
  <c r="JF14" i="9"/>
  <c r="JG14" i="9"/>
  <c r="JH14" i="9"/>
  <c r="JI14" i="9"/>
  <c r="JJ14" i="9"/>
  <c r="JK14" i="9"/>
  <c r="JL14" i="9"/>
  <c r="JM14" i="9"/>
  <c r="JN14" i="9"/>
  <c r="JO14" i="9"/>
  <c r="JP14" i="9"/>
  <c r="JQ14" i="9"/>
  <c r="JR14" i="9"/>
  <c r="JS14" i="9"/>
  <c r="JT14" i="9"/>
  <c r="JU14" i="9"/>
  <c r="JV14" i="9"/>
  <c r="JW14" i="9"/>
  <c r="JX14" i="9"/>
  <c r="JY14" i="9"/>
  <c r="JZ14" i="9"/>
  <c r="KA14" i="9"/>
  <c r="KB14" i="9"/>
  <c r="KC14" i="9"/>
  <c r="KD14" i="9"/>
  <c r="KE14" i="9"/>
  <c r="KF14" i="9"/>
  <c r="KG14" i="9"/>
  <c r="KH14" i="9"/>
  <c r="KI14" i="9"/>
  <c r="KJ14" i="9"/>
  <c r="KK14" i="9"/>
  <c r="KL14" i="9"/>
  <c r="KM14" i="9"/>
  <c r="KN14" i="9"/>
  <c r="KO14" i="9"/>
  <c r="KP14" i="9"/>
  <c r="KQ14" i="9"/>
  <c r="KR14" i="9"/>
  <c r="KS14" i="9"/>
  <c r="KT14" i="9"/>
  <c r="KU14" i="9"/>
  <c r="KV14" i="9"/>
  <c r="KW14" i="9"/>
  <c r="KX14" i="9"/>
  <c r="KY14" i="9"/>
  <c r="KZ14" i="9"/>
  <c r="LA14" i="9"/>
  <c r="LB14" i="9"/>
  <c r="LC14" i="9"/>
  <c r="LD14" i="9"/>
  <c r="LE14" i="9"/>
  <c r="LF14" i="9"/>
  <c r="LG14" i="9"/>
  <c r="LH14" i="9"/>
  <c r="LI14" i="9"/>
  <c r="LJ14" i="9"/>
  <c r="LK14" i="9"/>
  <c r="LL14" i="9"/>
  <c r="LM14" i="9"/>
  <c r="LN14" i="9"/>
  <c r="LO14" i="9"/>
  <c r="LP14" i="9"/>
  <c r="LQ14" i="9"/>
  <c r="LR14" i="9"/>
  <c r="LS14" i="9"/>
  <c r="LT14" i="9"/>
  <c r="LU14" i="9"/>
  <c r="LV14" i="9"/>
  <c r="LW14" i="9"/>
  <c r="LX14" i="9"/>
  <c r="LY14" i="9"/>
  <c r="LZ14" i="9"/>
  <c r="MA14" i="9"/>
  <c r="MB14" i="9"/>
  <c r="MC14" i="9"/>
  <c r="MD14" i="9"/>
  <c r="ME14" i="9"/>
  <c r="MF14" i="9"/>
  <c r="MG14" i="9"/>
  <c r="MH14" i="9"/>
  <c r="MI14" i="9"/>
  <c r="MJ14" i="9"/>
  <c r="MK14" i="9"/>
  <c r="ML14" i="9"/>
  <c r="MM14" i="9"/>
  <c r="MN14" i="9"/>
  <c r="MO14" i="9"/>
  <c r="MP14" i="9"/>
  <c r="MQ14" i="9"/>
  <c r="MR14" i="9"/>
  <c r="MS14" i="9"/>
  <c r="MT14" i="9"/>
  <c r="MU14" i="9"/>
  <c r="MV14" i="9"/>
  <c r="MW14" i="9"/>
  <c r="MX14" i="9"/>
  <c r="MY14" i="9"/>
  <c r="MZ14" i="9"/>
  <c r="NA14" i="9"/>
  <c r="NB14" i="9"/>
  <c r="NC14" i="9"/>
  <c r="ND14" i="9"/>
  <c r="F14" i="9"/>
  <c r="F21" i="9" s="1"/>
  <c r="IJ11" i="1"/>
  <c r="IK11" i="1"/>
  <c r="IL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FK11" i="1"/>
  <c r="FL11" i="1"/>
  <c r="FM11" i="1" l="1"/>
  <c r="GM24" i="1"/>
  <c r="DA24" i="1"/>
  <c r="CN24" i="1"/>
  <c r="BN24" i="1"/>
  <c r="HZ24" i="1"/>
  <c r="FM24" i="1"/>
  <c r="IO24" i="1"/>
  <c r="FZ24" i="1"/>
  <c r="IM11" i="1"/>
  <c r="HC24" i="1"/>
  <c r="DN24" i="1"/>
  <c r="EY24" i="1"/>
  <c r="AL24" i="1"/>
  <c r="EA24" i="1"/>
  <c r="KA24" i="1"/>
  <c r="JB24" i="1"/>
  <c r="KB22" i="1"/>
  <c r="JZ24" i="1"/>
  <c r="IQ22" i="1"/>
  <c r="IM24" i="1"/>
  <c r="IP24" i="1"/>
  <c r="HD22" i="1"/>
  <c r="HB24" i="1"/>
  <c r="EZ22" i="1"/>
  <c r="EX24" i="1"/>
  <c r="KB23" i="1"/>
  <c r="IQ23" i="1"/>
  <c r="EZ23" i="1"/>
  <c r="HD23" i="1"/>
  <c r="HC11" i="1"/>
  <c r="HB11" i="1"/>
  <c r="HD24" i="1" l="1"/>
  <c r="HD11" i="1"/>
  <c r="EZ24" i="1"/>
  <c r="KB24" i="1"/>
  <c r="IQ24" i="1"/>
  <c r="KO11" i="1"/>
  <c r="JP11" i="1"/>
  <c r="JQ11" i="1"/>
  <c r="JR11" i="1"/>
  <c r="JS11" i="1"/>
  <c r="JT11" i="1"/>
  <c r="JU11" i="1"/>
  <c r="JV11" i="1"/>
  <c r="JW11" i="1"/>
  <c r="JX11" i="1"/>
  <c r="JY11" i="1"/>
  <c r="IZ11" i="1"/>
  <c r="JA11" i="1"/>
  <c r="HW11" i="1"/>
  <c r="IN11" i="1" s="1"/>
  <c r="HX11" i="1"/>
  <c r="IO11" i="1" s="1"/>
  <c r="HY11" i="1"/>
  <c r="IP11" i="1" s="1"/>
  <c r="KA11" i="1" l="1"/>
  <c r="HZ11" i="1"/>
  <c r="IQ11" i="1" s="1"/>
  <c r="JB11" i="1"/>
  <c r="JZ11" i="1"/>
  <c r="DY11" i="1"/>
  <c r="DZ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DL11" i="1"/>
  <c r="DM11" i="1"/>
  <c r="CY11" i="1"/>
  <c r="CZ11" i="1"/>
  <c r="CL11" i="1"/>
  <c r="CM11" i="1"/>
  <c r="BY11" i="1"/>
  <c r="BZ11" i="1"/>
  <c r="BL11" i="1"/>
  <c r="BM11" i="1"/>
  <c r="AW11" i="1"/>
  <c r="AX11" i="1"/>
  <c r="AJ11" i="1"/>
  <c r="AK11" i="1"/>
  <c r="KB11" i="1" l="1"/>
  <c r="BN11" i="1"/>
  <c r="EA11" i="1"/>
  <c r="DN11" i="1"/>
  <c r="DA11" i="1"/>
  <c r="EY11" i="1"/>
  <c r="EX11" i="1"/>
  <c r="AL11" i="1"/>
  <c r="CN11" i="1"/>
  <c r="CA11" i="1"/>
  <c r="AY11" i="1"/>
  <c r="EH6" i="1"/>
  <c r="EZ11" i="1" l="1"/>
  <c r="FK16" i="1"/>
  <c r="FL16" i="1"/>
  <c r="FK17" i="1"/>
  <c r="FL17" i="1"/>
  <c r="FK18" i="1"/>
  <c r="FL18" i="1"/>
  <c r="FK19" i="1"/>
  <c r="FL19" i="1"/>
  <c r="FK20" i="1"/>
  <c r="FL20" i="1"/>
  <c r="GK16" i="1"/>
  <c r="GL16" i="1"/>
  <c r="GN16" i="1"/>
  <c r="GK17" i="1"/>
  <c r="GL17" i="1"/>
  <c r="GN17" i="1"/>
  <c r="GK18" i="1"/>
  <c r="GL18" i="1"/>
  <c r="GN18" i="1"/>
  <c r="GK19" i="1"/>
  <c r="GL19" i="1"/>
  <c r="GN19" i="1"/>
  <c r="GK20" i="1"/>
  <c r="GL20" i="1"/>
  <c r="GN20" i="1"/>
  <c r="GM16" i="1" l="1"/>
  <c r="FM20" i="1"/>
  <c r="GM19" i="1"/>
  <c r="GM17" i="1"/>
  <c r="FM16" i="1"/>
  <c r="FM19" i="1"/>
  <c r="FM18" i="1"/>
  <c r="GM18" i="1"/>
  <c r="GM20" i="1"/>
  <c r="FM17" i="1"/>
  <c r="V123" i="5" l="1"/>
  <c r="U123" i="5"/>
  <c r="T123" i="5"/>
  <c r="S123" i="5"/>
  <c r="R123" i="5"/>
  <c r="Q123" i="5"/>
  <c r="N123" i="5"/>
  <c r="M123" i="5"/>
  <c r="K123" i="5"/>
  <c r="J123" i="5"/>
  <c r="G123" i="5"/>
  <c r="X122" i="5"/>
  <c r="W122" i="5"/>
  <c r="P122" i="5"/>
  <c r="O122" i="5"/>
  <c r="L122" i="5"/>
  <c r="I122" i="5"/>
  <c r="H122" i="5"/>
  <c r="F122" i="5"/>
  <c r="E122" i="5"/>
  <c r="D122" i="5"/>
  <c r="Y122" i="5" s="1"/>
  <c r="X121" i="5"/>
  <c r="X123" i="5" s="1"/>
  <c r="W121" i="5"/>
  <c r="W123" i="5" s="1"/>
  <c r="P121" i="5"/>
  <c r="P123" i="5" s="1"/>
  <c r="O121" i="5"/>
  <c r="O123" i="5" s="1"/>
  <c r="L121" i="5"/>
  <c r="L123" i="5" s="1"/>
  <c r="I121" i="5"/>
  <c r="I123" i="5" s="1"/>
  <c r="H121" i="5"/>
  <c r="H123" i="5" s="1"/>
  <c r="F121" i="5"/>
  <c r="F123" i="5" s="1"/>
  <c r="E121" i="5"/>
  <c r="E123" i="5" s="1"/>
  <c r="D121" i="5"/>
  <c r="D123" i="5" s="1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Y115" i="5"/>
  <c r="Y114" i="5"/>
  <c r="O109" i="5"/>
  <c r="N109" i="5"/>
  <c r="M109" i="5"/>
  <c r="L109" i="5"/>
  <c r="K108" i="5"/>
  <c r="J108" i="5"/>
  <c r="I108" i="5"/>
  <c r="H108" i="5"/>
  <c r="G108" i="5"/>
  <c r="F108" i="5"/>
  <c r="P108" i="5" s="1"/>
  <c r="K107" i="5"/>
  <c r="K109" i="5" s="1"/>
  <c r="J107" i="5"/>
  <c r="J109" i="5" s="1"/>
  <c r="I107" i="5"/>
  <c r="I109" i="5" s="1"/>
  <c r="H107" i="5"/>
  <c r="H109" i="5" s="1"/>
  <c r="G107" i="5"/>
  <c r="G109" i="5" s="1"/>
  <c r="F107" i="5"/>
  <c r="P107" i="5" s="1"/>
  <c r="P109" i="5" s="1"/>
  <c r="V86" i="5"/>
  <c r="U86" i="5"/>
  <c r="T86" i="5"/>
  <c r="S86" i="5"/>
  <c r="R86" i="5"/>
  <c r="Q86" i="5"/>
  <c r="O86" i="5"/>
  <c r="V85" i="5"/>
  <c r="U85" i="5"/>
  <c r="T85" i="5"/>
  <c r="S85" i="5"/>
  <c r="R85" i="5"/>
  <c r="Q85" i="5"/>
  <c r="M85" i="5"/>
  <c r="K85" i="5"/>
  <c r="V84" i="5"/>
  <c r="U84" i="5"/>
  <c r="U87" i="5" s="1"/>
  <c r="T84" i="5"/>
  <c r="T87" i="5" s="1"/>
  <c r="S84" i="5"/>
  <c r="S87" i="5" s="1"/>
  <c r="R84" i="5"/>
  <c r="R87" i="5" s="1"/>
  <c r="Q84" i="5"/>
  <c r="Q87" i="5" s="1"/>
  <c r="M84" i="5"/>
  <c r="M87" i="5" s="1"/>
  <c r="K84" i="5"/>
  <c r="V82" i="5"/>
  <c r="U82" i="5"/>
  <c r="T82" i="5"/>
  <c r="S82" i="5"/>
  <c r="R82" i="5"/>
  <c r="Q82" i="5"/>
  <c r="M82" i="5"/>
  <c r="K82" i="5"/>
  <c r="V81" i="5"/>
  <c r="U81" i="5"/>
  <c r="T81" i="5"/>
  <c r="S81" i="5"/>
  <c r="R81" i="5"/>
  <c r="Q81" i="5"/>
  <c r="M81" i="5"/>
  <c r="K81" i="5"/>
  <c r="V80" i="5"/>
  <c r="U80" i="5"/>
  <c r="T80" i="5"/>
  <c r="S80" i="5"/>
  <c r="R80" i="5"/>
  <c r="Q80" i="5"/>
  <c r="M80" i="5"/>
  <c r="K80" i="5"/>
  <c r="V79" i="5"/>
  <c r="U79" i="5"/>
  <c r="T79" i="5"/>
  <c r="S79" i="5"/>
  <c r="R79" i="5"/>
  <c r="Q79" i="5"/>
  <c r="M79" i="5"/>
  <c r="K79" i="5"/>
  <c r="V78" i="5"/>
  <c r="U78" i="5"/>
  <c r="T78" i="5"/>
  <c r="S78" i="5"/>
  <c r="R78" i="5"/>
  <c r="Q78" i="5"/>
  <c r="M78" i="5"/>
  <c r="K78" i="5"/>
  <c r="V77" i="5"/>
  <c r="V83" i="5" s="1"/>
  <c r="U77" i="5"/>
  <c r="U83" i="5" s="1"/>
  <c r="T77" i="5"/>
  <c r="T83" i="5" s="1"/>
  <c r="S77" i="5"/>
  <c r="S83" i="5" s="1"/>
  <c r="R77" i="5"/>
  <c r="R83" i="5" s="1"/>
  <c r="Q77" i="5"/>
  <c r="Q83" i="5" s="1"/>
  <c r="M77" i="5"/>
  <c r="M83" i="5" s="1"/>
  <c r="K77" i="5"/>
  <c r="K83" i="5" s="1"/>
  <c r="S66" i="5"/>
  <c r="Q66" i="5"/>
  <c r="S65" i="5"/>
  <c r="Q65" i="5"/>
  <c r="S64" i="5"/>
  <c r="S67" i="5" s="1"/>
  <c r="Q64" i="5"/>
  <c r="Q67" i="5" s="1"/>
  <c r="S62" i="5"/>
  <c r="Q62" i="5"/>
  <c r="S61" i="5"/>
  <c r="Q61" i="5"/>
  <c r="S60" i="5"/>
  <c r="Q60" i="5"/>
  <c r="S59" i="5"/>
  <c r="Q59" i="5"/>
  <c r="S58" i="5"/>
  <c r="Q58" i="5"/>
  <c r="S57" i="5"/>
  <c r="Q57" i="5"/>
  <c r="Q63" i="5" s="1"/>
  <c r="X48" i="5"/>
  <c r="W48" i="5"/>
  <c r="AA47" i="5"/>
  <c r="Z47" i="5"/>
  <c r="Y47" i="5"/>
  <c r="AD10" i="5"/>
  <c r="AC10" i="5"/>
  <c r="AB10" i="5"/>
  <c r="AA10" i="5"/>
  <c r="X8" i="5"/>
  <c r="U8" i="5"/>
  <c r="R8" i="5"/>
  <c r="O8" i="5"/>
  <c r="L8" i="5"/>
  <c r="F8" i="5"/>
  <c r="P28" i="4"/>
  <c r="P24" i="4"/>
  <c r="W9" i="4"/>
  <c r="V9" i="4"/>
  <c r="X9" i="4" s="1"/>
  <c r="T9" i="4"/>
  <c r="S9" i="4"/>
  <c r="U9" i="4" s="1"/>
  <c r="Q9" i="4"/>
  <c r="P9" i="4"/>
  <c r="N9" i="4"/>
  <c r="M9" i="4"/>
  <c r="K9" i="4"/>
  <c r="J9" i="4"/>
  <c r="H9" i="4"/>
  <c r="G9" i="4"/>
  <c r="I9" i="4" s="1"/>
  <c r="E9" i="4"/>
  <c r="D9" i="4"/>
  <c r="C9" i="4"/>
  <c r="ND17" i="11"/>
  <c r="NC17" i="11"/>
  <c r="NB17" i="11"/>
  <c r="NA17" i="11"/>
  <c r="MZ17" i="11"/>
  <c r="MY17" i="11"/>
  <c r="MX17" i="11"/>
  <c r="MW17" i="11"/>
  <c r="MV17" i="11"/>
  <c r="MU17" i="11"/>
  <c r="MT17" i="11"/>
  <c r="MS17" i="11"/>
  <c r="MR17" i="11"/>
  <c r="MQ17" i="11"/>
  <c r="MP17" i="11"/>
  <c r="MO17" i="11"/>
  <c r="MN17" i="11"/>
  <c r="MM17" i="11"/>
  <c r="ML17" i="11"/>
  <c r="MK17" i="11"/>
  <c r="MJ17" i="11"/>
  <c r="MI17" i="11"/>
  <c r="MH17" i="11"/>
  <c r="MG17" i="11"/>
  <c r="MF17" i="11"/>
  <c r="ME17" i="11"/>
  <c r="MD17" i="11"/>
  <c r="MC17" i="11"/>
  <c r="MB17" i="11"/>
  <c r="MA17" i="11"/>
  <c r="LZ17" i="11"/>
  <c r="LY17" i="11"/>
  <c r="LX17" i="11"/>
  <c r="LW17" i="11"/>
  <c r="LV17" i="11"/>
  <c r="LU17" i="11"/>
  <c r="LT17" i="11"/>
  <c r="LS17" i="11"/>
  <c r="LR17" i="11"/>
  <c r="LQ17" i="11"/>
  <c r="LP17" i="11"/>
  <c r="LO17" i="11"/>
  <c r="LN17" i="11"/>
  <c r="LM17" i="11"/>
  <c r="LL17" i="11"/>
  <c r="LK17" i="11"/>
  <c r="LJ17" i="11"/>
  <c r="LI17" i="11"/>
  <c r="LH17" i="11"/>
  <c r="LG17" i="11"/>
  <c r="LF17" i="11"/>
  <c r="LE17" i="11"/>
  <c r="LD17" i="11"/>
  <c r="LC17" i="11"/>
  <c r="LB17" i="11"/>
  <c r="LA17" i="11"/>
  <c r="KZ17" i="11"/>
  <c r="KY17" i="11"/>
  <c r="KX17" i="11"/>
  <c r="KW17" i="11"/>
  <c r="KV17" i="11"/>
  <c r="KU17" i="11"/>
  <c r="KT17" i="11"/>
  <c r="KS17" i="11"/>
  <c r="KR17" i="11"/>
  <c r="KQ17" i="11"/>
  <c r="KP17" i="11"/>
  <c r="KO17" i="11"/>
  <c r="KN17" i="11"/>
  <c r="KM17" i="11"/>
  <c r="KL17" i="11"/>
  <c r="KK17" i="11"/>
  <c r="KJ17" i="11"/>
  <c r="KI17" i="11"/>
  <c r="KH17" i="11"/>
  <c r="KG17" i="11"/>
  <c r="KF17" i="11"/>
  <c r="KE17" i="11"/>
  <c r="KD17" i="11"/>
  <c r="KC17" i="11"/>
  <c r="KB17" i="11"/>
  <c r="KA17" i="11"/>
  <c r="JZ17" i="11"/>
  <c r="JY17" i="11"/>
  <c r="JX17" i="11"/>
  <c r="JW17" i="11"/>
  <c r="JV17" i="11"/>
  <c r="JU17" i="11"/>
  <c r="JT17" i="11"/>
  <c r="JS17" i="11"/>
  <c r="JR17" i="11"/>
  <c r="JQ17" i="11"/>
  <c r="JP17" i="11"/>
  <c r="JO17" i="11"/>
  <c r="JN17" i="11"/>
  <c r="JM17" i="11"/>
  <c r="JL17" i="11"/>
  <c r="JK17" i="11"/>
  <c r="JJ17" i="11"/>
  <c r="JI17" i="11"/>
  <c r="JH17" i="11"/>
  <c r="JG17" i="11"/>
  <c r="JF17" i="11"/>
  <c r="JE17" i="11"/>
  <c r="JD17" i="11"/>
  <c r="JC17" i="11"/>
  <c r="JB17" i="11"/>
  <c r="JA17" i="11"/>
  <c r="IZ17" i="11"/>
  <c r="IY17" i="11"/>
  <c r="IX17" i="11"/>
  <c r="IW17" i="11"/>
  <c r="IV17" i="11"/>
  <c r="IU17" i="11"/>
  <c r="IT17" i="11"/>
  <c r="IS17" i="11"/>
  <c r="IR17" i="11"/>
  <c r="IQ17" i="11"/>
  <c r="IP17" i="11"/>
  <c r="IO17" i="11"/>
  <c r="IN17" i="11"/>
  <c r="IM17" i="11"/>
  <c r="IL17" i="11"/>
  <c r="IK17" i="11"/>
  <c r="IJ17" i="11"/>
  <c r="II17" i="11"/>
  <c r="IH17" i="11"/>
  <c r="IG17" i="11"/>
  <c r="IF17" i="11"/>
  <c r="IE17" i="11"/>
  <c r="ID17" i="11"/>
  <c r="IC17" i="11"/>
  <c r="IB17" i="11"/>
  <c r="IA17" i="11"/>
  <c r="HZ17" i="11"/>
  <c r="HY17" i="11"/>
  <c r="HX17" i="11"/>
  <c r="HW17" i="11"/>
  <c r="HV17" i="11"/>
  <c r="HU17" i="11"/>
  <c r="HT17" i="11"/>
  <c r="HS17" i="11"/>
  <c r="HR17" i="11"/>
  <c r="HQ17" i="11"/>
  <c r="HP17" i="11"/>
  <c r="HO17" i="11"/>
  <c r="HN17" i="11"/>
  <c r="HM17" i="11"/>
  <c r="HL17" i="11"/>
  <c r="HK17" i="11"/>
  <c r="HJ17" i="11"/>
  <c r="HI17" i="11"/>
  <c r="HH17" i="11"/>
  <c r="HG17" i="11"/>
  <c r="HF17" i="11"/>
  <c r="HE17" i="11"/>
  <c r="HD17" i="11"/>
  <c r="HC17" i="11"/>
  <c r="HB17" i="11"/>
  <c r="HA17" i="11"/>
  <c r="GZ17" i="11"/>
  <c r="GY17" i="11"/>
  <c r="GX17" i="11"/>
  <c r="GW17" i="11"/>
  <c r="GV17" i="11"/>
  <c r="GU17" i="11"/>
  <c r="GT17" i="11"/>
  <c r="GS17" i="11"/>
  <c r="GR17" i="11"/>
  <c r="GQ17" i="11"/>
  <c r="GP17" i="11"/>
  <c r="GO17" i="11"/>
  <c r="GN17" i="11"/>
  <c r="GM17" i="11"/>
  <c r="GL17" i="11"/>
  <c r="GK17" i="11"/>
  <c r="GJ17" i="11"/>
  <c r="GI17" i="11"/>
  <c r="GH17" i="11"/>
  <c r="GG17" i="11"/>
  <c r="GF17" i="11"/>
  <c r="GE17" i="11"/>
  <c r="GD17" i="11"/>
  <c r="GC17" i="11"/>
  <c r="GB17" i="11"/>
  <c r="GA17" i="11"/>
  <c r="FZ17" i="11"/>
  <c r="FY17" i="11"/>
  <c r="FX17" i="11"/>
  <c r="FW17" i="11"/>
  <c r="FV17" i="11"/>
  <c r="FU17" i="11"/>
  <c r="FT17" i="11"/>
  <c r="FS17" i="11"/>
  <c r="FR17" i="11"/>
  <c r="FQ17" i="11"/>
  <c r="FP17" i="11"/>
  <c r="FO17" i="11"/>
  <c r="FN17" i="11"/>
  <c r="FM17" i="11"/>
  <c r="FL17" i="11"/>
  <c r="FK17" i="11"/>
  <c r="FJ17" i="11"/>
  <c r="FI17" i="11"/>
  <c r="FH17" i="11"/>
  <c r="FG17" i="11"/>
  <c r="FF17" i="11"/>
  <c r="FE17" i="11"/>
  <c r="FD17" i="11"/>
  <c r="FC17" i="11"/>
  <c r="FB17" i="11"/>
  <c r="FA17" i="11"/>
  <c r="EZ17" i="11"/>
  <c r="EY17" i="11"/>
  <c r="EX17" i="11"/>
  <c r="EW17" i="11"/>
  <c r="EV17" i="11"/>
  <c r="EU17" i="11"/>
  <c r="ET17" i="11"/>
  <c r="ES17" i="11"/>
  <c r="ER17" i="11"/>
  <c r="EQ17" i="11"/>
  <c r="EP17" i="11"/>
  <c r="EO17" i="11"/>
  <c r="EN17" i="11"/>
  <c r="EM17" i="11"/>
  <c r="EL17" i="11"/>
  <c r="EK17" i="11"/>
  <c r="EJ17" i="11"/>
  <c r="EI17" i="11"/>
  <c r="EH17" i="11"/>
  <c r="EG17" i="11"/>
  <c r="EF17" i="11"/>
  <c r="EE17" i="11"/>
  <c r="ED17" i="11"/>
  <c r="EC17" i="11"/>
  <c r="EB17" i="11"/>
  <c r="EA17" i="11"/>
  <c r="DZ17" i="11"/>
  <c r="DY17" i="11"/>
  <c r="DX17" i="11"/>
  <c r="DW17" i="11"/>
  <c r="DV17" i="11"/>
  <c r="DU17" i="11"/>
  <c r="DT17" i="11"/>
  <c r="DS17" i="11"/>
  <c r="DR17" i="11"/>
  <c r="DQ17" i="11"/>
  <c r="DP17" i="11"/>
  <c r="DO17" i="11"/>
  <c r="DN17" i="11"/>
  <c r="DM17" i="11"/>
  <c r="DL17" i="11"/>
  <c r="DK17" i="11"/>
  <c r="DJ17" i="11"/>
  <c r="DI17" i="11"/>
  <c r="DH17" i="11"/>
  <c r="DG17" i="11"/>
  <c r="DF17" i="11"/>
  <c r="DE17" i="11"/>
  <c r="DD17" i="11"/>
  <c r="DC17" i="11"/>
  <c r="DB17" i="11"/>
  <c r="DA17" i="11"/>
  <c r="CZ17" i="11"/>
  <c r="CY17" i="11"/>
  <c r="CX17" i="11"/>
  <c r="CW17" i="11"/>
  <c r="CV17" i="11"/>
  <c r="CU17" i="11"/>
  <c r="CT17" i="11"/>
  <c r="CS17" i="11"/>
  <c r="CR17" i="11"/>
  <c r="CQ17" i="11"/>
  <c r="CP17" i="11"/>
  <c r="CO17" i="11"/>
  <c r="CN17" i="11"/>
  <c r="CM17" i="11"/>
  <c r="CL17" i="11"/>
  <c r="CK17" i="11"/>
  <c r="CJ17" i="11"/>
  <c r="CI17" i="11"/>
  <c r="CH17" i="11"/>
  <c r="CG17" i="11"/>
  <c r="CF17" i="11"/>
  <c r="CE17" i="11"/>
  <c r="CD17" i="11"/>
  <c r="CC17" i="11"/>
  <c r="CB17" i="11"/>
  <c r="CA17" i="11"/>
  <c r="BZ17" i="11"/>
  <c r="BY17" i="11"/>
  <c r="BX17" i="11"/>
  <c r="BW17" i="11"/>
  <c r="BV17" i="11"/>
  <c r="BU17" i="11"/>
  <c r="BT17" i="11"/>
  <c r="BS17" i="11"/>
  <c r="BR17" i="11"/>
  <c r="BQ17" i="11"/>
  <c r="BP17" i="11"/>
  <c r="BO17" i="11"/>
  <c r="BN17" i="11"/>
  <c r="BM17" i="11"/>
  <c r="BL17" i="11"/>
  <c r="BK17" i="11"/>
  <c r="BJ17" i="11"/>
  <c r="BI17" i="11"/>
  <c r="BH17" i="11"/>
  <c r="BG17" i="11"/>
  <c r="BF17" i="11"/>
  <c r="BE17" i="11"/>
  <c r="BD17" i="11"/>
  <c r="BC17" i="11"/>
  <c r="BB17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ND9" i="11"/>
  <c r="ND18" i="11" s="1"/>
  <c r="NC9" i="11"/>
  <c r="NC18" i="11" s="1"/>
  <c r="NB9" i="11"/>
  <c r="NB18" i="11" s="1"/>
  <c r="NA9" i="11"/>
  <c r="NA18" i="11" s="1"/>
  <c r="MZ9" i="11"/>
  <c r="MZ18" i="11" s="1"/>
  <c r="MY9" i="11"/>
  <c r="MY18" i="11" s="1"/>
  <c r="MX9" i="11"/>
  <c r="MX18" i="11" s="1"/>
  <c r="MW9" i="11"/>
  <c r="MW18" i="11" s="1"/>
  <c r="MV9" i="11"/>
  <c r="MV18" i="11" s="1"/>
  <c r="MU9" i="11"/>
  <c r="MU18" i="11" s="1"/>
  <c r="MT9" i="11"/>
  <c r="MT18" i="11" s="1"/>
  <c r="MS9" i="11"/>
  <c r="MS18" i="11" s="1"/>
  <c r="MR9" i="11"/>
  <c r="MR18" i="11" s="1"/>
  <c r="MQ9" i="11"/>
  <c r="MQ18" i="11" s="1"/>
  <c r="MP9" i="11"/>
  <c r="MP18" i="11" s="1"/>
  <c r="MO9" i="11"/>
  <c r="MO18" i="11" s="1"/>
  <c r="MN9" i="11"/>
  <c r="MN18" i="11" s="1"/>
  <c r="MM9" i="11"/>
  <c r="MM18" i="11" s="1"/>
  <c r="ML9" i="11"/>
  <c r="ML18" i="11" s="1"/>
  <c r="MK9" i="11"/>
  <c r="MK18" i="11" s="1"/>
  <c r="MJ9" i="11"/>
  <c r="MJ18" i="11" s="1"/>
  <c r="MI9" i="11"/>
  <c r="MI18" i="11" s="1"/>
  <c r="MH9" i="11"/>
  <c r="MH18" i="11" s="1"/>
  <c r="MG9" i="11"/>
  <c r="MG18" i="11" s="1"/>
  <c r="MF9" i="11"/>
  <c r="MF18" i="11" s="1"/>
  <c r="ME9" i="11"/>
  <c r="ME18" i="11" s="1"/>
  <c r="MD9" i="11"/>
  <c r="MD18" i="11" s="1"/>
  <c r="MC9" i="11"/>
  <c r="MC18" i="11" s="1"/>
  <c r="MB9" i="11"/>
  <c r="MB18" i="11" s="1"/>
  <c r="MA9" i="11"/>
  <c r="MA18" i="11" s="1"/>
  <c r="LZ9" i="11"/>
  <c r="LZ18" i="11" s="1"/>
  <c r="LY9" i="11"/>
  <c r="LY18" i="11" s="1"/>
  <c r="LX9" i="11"/>
  <c r="LX18" i="11" s="1"/>
  <c r="LW9" i="11"/>
  <c r="LW18" i="11" s="1"/>
  <c r="LV9" i="11"/>
  <c r="LV18" i="11" s="1"/>
  <c r="LU9" i="11"/>
  <c r="LU18" i="11" s="1"/>
  <c r="LT9" i="11"/>
  <c r="LT18" i="11" s="1"/>
  <c r="LS9" i="11"/>
  <c r="LS18" i="11" s="1"/>
  <c r="LR9" i="11"/>
  <c r="LR18" i="11" s="1"/>
  <c r="LQ9" i="11"/>
  <c r="LQ18" i="11" s="1"/>
  <c r="LP9" i="11"/>
  <c r="LP18" i="11" s="1"/>
  <c r="LO9" i="11"/>
  <c r="LO18" i="11" s="1"/>
  <c r="LN9" i="11"/>
  <c r="LN18" i="11" s="1"/>
  <c r="LM9" i="11"/>
  <c r="LM18" i="11" s="1"/>
  <c r="LL9" i="11"/>
  <c r="LL18" i="11" s="1"/>
  <c r="LK9" i="11"/>
  <c r="LK18" i="11" s="1"/>
  <c r="LJ9" i="11"/>
  <c r="LJ18" i="11" s="1"/>
  <c r="LI9" i="11"/>
  <c r="LI18" i="11" s="1"/>
  <c r="LH9" i="11"/>
  <c r="LH18" i="11" s="1"/>
  <c r="LG9" i="11"/>
  <c r="LG18" i="11" s="1"/>
  <c r="LF9" i="11"/>
  <c r="LF18" i="11" s="1"/>
  <c r="LE9" i="11"/>
  <c r="LE18" i="11" s="1"/>
  <c r="LD9" i="11"/>
  <c r="LD18" i="11" s="1"/>
  <c r="LC9" i="11"/>
  <c r="LC18" i="11" s="1"/>
  <c r="LB9" i="11"/>
  <c r="LB18" i="11" s="1"/>
  <c r="LA9" i="11"/>
  <c r="LA18" i="11" s="1"/>
  <c r="KZ9" i="11"/>
  <c r="KZ18" i="11" s="1"/>
  <c r="KY9" i="11"/>
  <c r="KY18" i="11" s="1"/>
  <c r="KX9" i="11"/>
  <c r="KX18" i="11" s="1"/>
  <c r="KW9" i="11"/>
  <c r="KW18" i="11" s="1"/>
  <c r="KV9" i="11"/>
  <c r="KV18" i="11" s="1"/>
  <c r="KU9" i="11"/>
  <c r="KU18" i="11" s="1"/>
  <c r="KT9" i="11"/>
  <c r="KT18" i="11" s="1"/>
  <c r="KS9" i="11"/>
  <c r="KS18" i="11" s="1"/>
  <c r="KR9" i="11"/>
  <c r="KR18" i="11" s="1"/>
  <c r="KQ9" i="11"/>
  <c r="KQ18" i="11" s="1"/>
  <c r="KP9" i="11"/>
  <c r="KP18" i="11" s="1"/>
  <c r="KO9" i="11"/>
  <c r="KO18" i="11" s="1"/>
  <c r="KN9" i="11"/>
  <c r="KN18" i="11" s="1"/>
  <c r="KM9" i="11"/>
  <c r="KM18" i="11" s="1"/>
  <c r="KL9" i="11"/>
  <c r="KL18" i="11" s="1"/>
  <c r="KK9" i="11"/>
  <c r="KK18" i="11" s="1"/>
  <c r="KJ9" i="11"/>
  <c r="KJ18" i="11" s="1"/>
  <c r="KI9" i="11"/>
  <c r="KI18" i="11" s="1"/>
  <c r="KH9" i="11"/>
  <c r="KH18" i="11" s="1"/>
  <c r="KG9" i="11"/>
  <c r="KG18" i="11" s="1"/>
  <c r="KF9" i="11"/>
  <c r="KF18" i="11" s="1"/>
  <c r="KE9" i="11"/>
  <c r="KE18" i="11" s="1"/>
  <c r="KD9" i="11"/>
  <c r="KD18" i="11" s="1"/>
  <c r="KC9" i="11"/>
  <c r="KC18" i="11" s="1"/>
  <c r="KB9" i="11"/>
  <c r="KB18" i="11" s="1"/>
  <c r="KA9" i="11"/>
  <c r="KA18" i="11" s="1"/>
  <c r="JZ9" i="11"/>
  <c r="JZ18" i="11" s="1"/>
  <c r="JY9" i="11"/>
  <c r="JY18" i="11" s="1"/>
  <c r="JX9" i="11"/>
  <c r="JX18" i="11" s="1"/>
  <c r="JW9" i="11"/>
  <c r="JW18" i="11" s="1"/>
  <c r="JV9" i="11"/>
  <c r="JV18" i="11" s="1"/>
  <c r="JU9" i="11"/>
  <c r="JU18" i="11" s="1"/>
  <c r="JT9" i="11"/>
  <c r="JT18" i="11" s="1"/>
  <c r="JS9" i="11"/>
  <c r="JS18" i="11" s="1"/>
  <c r="JR9" i="11"/>
  <c r="JR18" i="11" s="1"/>
  <c r="JQ9" i="11"/>
  <c r="JQ18" i="11" s="1"/>
  <c r="JP9" i="11"/>
  <c r="JP18" i="11" s="1"/>
  <c r="JO9" i="11"/>
  <c r="JO18" i="11" s="1"/>
  <c r="JN9" i="11"/>
  <c r="W9" i="3" s="1"/>
  <c r="JM9" i="11"/>
  <c r="V9" i="3" s="1"/>
  <c r="JL9" i="11"/>
  <c r="JL18" i="11" s="1"/>
  <c r="JK9" i="11"/>
  <c r="JK18" i="11" s="1"/>
  <c r="JJ9" i="11"/>
  <c r="JJ18" i="11" s="1"/>
  <c r="JI9" i="11"/>
  <c r="JI18" i="11" s="1"/>
  <c r="JH9" i="11"/>
  <c r="JH18" i="11" s="1"/>
  <c r="JG9" i="11"/>
  <c r="JG18" i="11" s="1"/>
  <c r="JF9" i="11"/>
  <c r="JF18" i="11" s="1"/>
  <c r="JE9" i="11"/>
  <c r="JE18" i="11" s="1"/>
  <c r="JD9" i="11"/>
  <c r="JD18" i="11" s="1"/>
  <c r="JC9" i="11"/>
  <c r="JC18" i="11" s="1"/>
  <c r="JB9" i="11"/>
  <c r="JB18" i="11" s="1"/>
  <c r="JA9" i="11"/>
  <c r="JA18" i="11" s="1"/>
  <c r="T9" i="2" s="1"/>
  <c r="IZ9" i="11"/>
  <c r="IZ18" i="11" s="1"/>
  <c r="S9" i="2" s="1"/>
  <c r="IY9" i="11"/>
  <c r="IY18" i="11" s="1"/>
  <c r="IX9" i="11"/>
  <c r="IX18" i="11" s="1"/>
  <c r="IW9" i="11"/>
  <c r="IW18" i="11" s="1"/>
  <c r="IV9" i="11"/>
  <c r="IV18" i="11" s="1"/>
  <c r="IU9" i="11"/>
  <c r="IU18" i="11" s="1"/>
  <c r="IT9" i="11"/>
  <c r="IT18" i="11" s="1"/>
  <c r="IS9" i="11"/>
  <c r="IS18" i="11" s="1"/>
  <c r="IR9" i="11"/>
  <c r="IR18" i="11" s="1"/>
  <c r="IQ9" i="11"/>
  <c r="IQ18" i="11" s="1"/>
  <c r="IP9" i="11"/>
  <c r="IP18" i="11" s="1"/>
  <c r="IO9" i="11"/>
  <c r="IO18" i="11" s="1"/>
  <c r="IN9" i="11"/>
  <c r="IN18" i="11" s="1"/>
  <c r="IM9" i="11"/>
  <c r="IM18" i="11" s="1"/>
  <c r="IL9" i="11"/>
  <c r="IL18" i="11" s="1"/>
  <c r="IK9" i="11"/>
  <c r="IK18" i="11" s="1"/>
  <c r="IJ9" i="11"/>
  <c r="IJ18" i="11" s="1"/>
  <c r="II9" i="11"/>
  <c r="II18" i="11" s="1"/>
  <c r="IH9" i="11"/>
  <c r="IH18" i="11" s="1"/>
  <c r="IG9" i="11"/>
  <c r="IG18" i="11" s="1"/>
  <c r="IF9" i="11"/>
  <c r="IF18" i="11" s="1"/>
  <c r="IE9" i="11"/>
  <c r="IE18" i="11" s="1"/>
  <c r="ID9" i="11"/>
  <c r="ID18" i="11" s="1"/>
  <c r="IC9" i="11"/>
  <c r="IC18" i="11" s="1"/>
  <c r="IB9" i="11"/>
  <c r="IB18" i="11" s="1"/>
  <c r="IA9" i="11"/>
  <c r="IA18" i="11" s="1"/>
  <c r="HZ9" i="11"/>
  <c r="HZ18" i="11" s="1"/>
  <c r="HY9" i="11"/>
  <c r="HY18" i="11" s="1"/>
  <c r="HX9" i="11"/>
  <c r="HX18" i="11" s="1"/>
  <c r="HW9" i="11"/>
  <c r="HW18" i="11" s="1"/>
  <c r="HV9" i="11"/>
  <c r="HV18" i="11" s="1"/>
  <c r="HU9" i="11"/>
  <c r="HU18" i="11" s="1"/>
  <c r="HT9" i="11"/>
  <c r="HT18" i="11" s="1"/>
  <c r="HS9" i="11"/>
  <c r="HS18" i="11" s="1"/>
  <c r="HR9" i="11"/>
  <c r="HR18" i="11" s="1"/>
  <c r="HQ9" i="11"/>
  <c r="HQ18" i="11" s="1"/>
  <c r="HP9" i="11"/>
  <c r="HP18" i="11" s="1"/>
  <c r="HO9" i="11"/>
  <c r="HO18" i="11" s="1"/>
  <c r="HN9" i="11"/>
  <c r="HN18" i="11" s="1"/>
  <c r="HM9" i="11"/>
  <c r="HM18" i="11" s="1"/>
  <c r="HL9" i="11"/>
  <c r="HL18" i="11" s="1"/>
  <c r="HK9" i="11"/>
  <c r="HK18" i="11" s="1"/>
  <c r="HJ9" i="11"/>
  <c r="HJ18" i="11" s="1"/>
  <c r="HI9" i="11"/>
  <c r="HI18" i="11" s="1"/>
  <c r="HH9" i="11"/>
  <c r="HH18" i="11" s="1"/>
  <c r="HG9" i="11"/>
  <c r="HG18" i="11" s="1"/>
  <c r="HF9" i="11"/>
  <c r="HF18" i="11" s="1"/>
  <c r="HE9" i="11"/>
  <c r="HE18" i="11" s="1"/>
  <c r="HD9" i="11"/>
  <c r="HD18" i="11" s="1"/>
  <c r="HC9" i="11"/>
  <c r="HC18" i="11" s="1"/>
  <c r="Q9" i="2" s="1"/>
  <c r="HB9" i="11"/>
  <c r="HB18" i="11" s="1"/>
  <c r="P9" i="2" s="1"/>
  <c r="R9" i="2" s="1"/>
  <c r="HA9" i="11"/>
  <c r="HA18" i="11" s="1"/>
  <c r="GZ9" i="11"/>
  <c r="GZ18" i="11" s="1"/>
  <c r="GY9" i="11"/>
  <c r="GY18" i="11" s="1"/>
  <c r="GX9" i="11"/>
  <c r="GX18" i="11" s="1"/>
  <c r="GW9" i="11"/>
  <c r="GW18" i="11" s="1"/>
  <c r="GV9" i="11"/>
  <c r="GV18" i="11" s="1"/>
  <c r="GU9" i="11"/>
  <c r="GU18" i="11" s="1"/>
  <c r="GT9" i="11"/>
  <c r="GT18" i="11" s="1"/>
  <c r="GS9" i="11"/>
  <c r="GS18" i="11" s="1"/>
  <c r="GR9" i="11"/>
  <c r="GR18" i="11" s="1"/>
  <c r="GQ9" i="11"/>
  <c r="GQ18" i="11" s="1"/>
  <c r="GP9" i="11"/>
  <c r="GP18" i="11" s="1"/>
  <c r="GO9" i="11"/>
  <c r="GO18" i="11" s="1"/>
  <c r="GN9" i="11"/>
  <c r="GN18" i="11" s="1"/>
  <c r="GM9" i="11"/>
  <c r="GM18" i="11" s="1"/>
  <c r="GL9" i="11"/>
  <c r="GL18" i="11" s="1"/>
  <c r="GK9" i="11"/>
  <c r="GK18" i="11" s="1"/>
  <c r="GJ9" i="11"/>
  <c r="GJ18" i="11" s="1"/>
  <c r="GI9" i="11"/>
  <c r="GI18" i="11" s="1"/>
  <c r="GH9" i="11"/>
  <c r="GH18" i="11" s="1"/>
  <c r="GG9" i="11"/>
  <c r="GG18" i="11" s="1"/>
  <c r="GF9" i="11"/>
  <c r="GF18" i="11" s="1"/>
  <c r="GE9" i="11"/>
  <c r="GE18" i="11" s="1"/>
  <c r="GD9" i="11"/>
  <c r="GD18" i="11" s="1"/>
  <c r="GC9" i="11"/>
  <c r="GC18" i="11" s="1"/>
  <c r="GB9" i="11"/>
  <c r="GB18" i="11" s="1"/>
  <c r="GA9" i="11"/>
  <c r="GA18" i="11" s="1"/>
  <c r="FZ9" i="11"/>
  <c r="FZ18" i="11" s="1"/>
  <c r="FY9" i="11"/>
  <c r="FY18" i="11" s="1"/>
  <c r="FX9" i="11"/>
  <c r="FX18" i="11" s="1"/>
  <c r="FW9" i="11"/>
  <c r="FW18" i="11" s="1"/>
  <c r="FV9" i="11"/>
  <c r="FV18" i="11" s="1"/>
  <c r="FU9" i="11"/>
  <c r="FU18" i="11" s="1"/>
  <c r="FT9" i="11"/>
  <c r="FT18" i="11" s="1"/>
  <c r="FS9" i="11"/>
  <c r="FS18" i="11" s="1"/>
  <c r="FR9" i="11"/>
  <c r="FR18" i="11" s="1"/>
  <c r="FQ9" i="11"/>
  <c r="FQ18" i="11" s="1"/>
  <c r="FP9" i="11"/>
  <c r="FP18" i="11" s="1"/>
  <c r="FO9" i="11"/>
  <c r="FO18" i="11" s="1"/>
  <c r="FN9" i="11"/>
  <c r="FN18" i="11" s="1"/>
  <c r="FM9" i="11"/>
  <c r="FM18" i="11" s="1"/>
  <c r="FL9" i="11"/>
  <c r="FL18" i="11" s="1"/>
  <c r="FK9" i="11"/>
  <c r="FK18" i="11" s="1"/>
  <c r="FJ9" i="11"/>
  <c r="FJ18" i="11" s="1"/>
  <c r="FI9" i="11"/>
  <c r="FI18" i="11" s="1"/>
  <c r="FH9" i="11"/>
  <c r="FH18" i="11" s="1"/>
  <c r="FG9" i="11"/>
  <c r="FG18" i="11" s="1"/>
  <c r="FF9" i="11"/>
  <c r="FF18" i="11" s="1"/>
  <c r="FE9" i="11"/>
  <c r="FE18" i="11" s="1"/>
  <c r="FD9" i="11"/>
  <c r="FD18" i="11" s="1"/>
  <c r="FC9" i="11"/>
  <c r="FC18" i="11" s="1"/>
  <c r="FB9" i="11"/>
  <c r="FB18" i="11" s="1"/>
  <c r="FA9" i="11"/>
  <c r="FA18" i="11" s="1"/>
  <c r="EZ9" i="11"/>
  <c r="EZ18" i="11" s="1"/>
  <c r="EY9" i="11"/>
  <c r="N9" i="3" s="1"/>
  <c r="EX9" i="11"/>
  <c r="M9" i="3" s="1"/>
  <c r="O9" i="3" s="1"/>
  <c r="EW9" i="11"/>
  <c r="EW18" i="11" s="1"/>
  <c r="EV9" i="11"/>
  <c r="EV18" i="11" s="1"/>
  <c r="EU9" i="11"/>
  <c r="EU18" i="11" s="1"/>
  <c r="ET9" i="11"/>
  <c r="ET18" i="11" s="1"/>
  <c r="ES9" i="11"/>
  <c r="ES18" i="11" s="1"/>
  <c r="ER9" i="11"/>
  <c r="ER18" i="11" s="1"/>
  <c r="EQ9" i="11"/>
  <c r="EQ18" i="11" s="1"/>
  <c r="EP9" i="11"/>
  <c r="EP18" i="11" s="1"/>
  <c r="EO9" i="11"/>
  <c r="EO18" i="11" s="1"/>
  <c r="EN9" i="11"/>
  <c r="EN18" i="11" s="1"/>
  <c r="EM9" i="11"/>
  <c r="EM18" i="11" s="1"/>
  <c r="EL9" i="11"/>
  <c r="EL18" i="11" s="1"/>
  <c r="EK9" i="11"/>
  <c r="EK18" i="11" s="1"/>
  <c r="EJ9" i="11"/>
  <c r="EJ18" i="11" s="1"/>
  <c r="EI9" i="11"/>
  <c r="EI18" i="11" s="1"/>
  <c r="EH9" i="11"/>
  <c r="EH18" i="11" s="1"/>
  <c r="EG9" i="11"/>
  <c r="EG18" i="11" s="1"/>
  <c r="EF9" i="11"/>
  <c r="EF18" i="11" s="1"/>
  <c r="EE9" i="11"/>
  <c r="EE18" i="11" s="1"/>
  <c r="ED9" i="11"/>
  <c r="ED18" i="11" s="1"/>
  <c r="EC9" i="11"/>
  <c r="EC18" i="11" s="1"/>
  <c r="EB9" i="11"/>
  <c r="EB18" i="11" s="1"/>
  <c r="EA9" i="11"/>
  <c r="EA18" i="11" s="1"/>
  <c r="DZ9" i="11"/>
  <c r="DZ18" i="11" s="1"/>
  <c r="DY9" i="11"/>
  <c r="DY18" i="11" s="1"/>
  <c r="DX9" i="11"/>
  <c r="DX18" i="11" s="1"/>
  <c r="DW9" i="11"/>
  <c r="DW18" i="11" s="1"/>
  <c r="DV9" i="11"/>
  <c r="DV18" i="11" s="1"/>
  <c r="DU9" i="11"/>
  <c r="DU18" i="11" s="1"/>
  <c r="DT9" i="11"/>
  <c r="DT18" i="11" s="1"/>
  <c r="DS9" i="11"/>
  <c r="DS18" i="11" s="1"/>
  <c r="DR9" i="11"/>
  <c r="DR18" i="11" s="1"/>
  <c r="DQ9" i="11"/>
  <c r="DQ18" i="11" s="1"/>
  <c r="DP9" i="11"/>
  <c r="DP18" i="11" s="1"/>
  <c r="DO9" i="11"/>
  <c r="DO18" i="11" s="1"/>
  <c r="DN9" i="11"/>
  <c r="DN18" i="11" s="1"/>
  <c r="DM9" i="11"/>
  <c r="DM18" i="11" s="1"/>
  <c r="DL9" i="11"/>
  <c r="DL18" i="11" s="1"/>
  <c r="DK9" i="11"/>
  <c r="DK18" i="11" s="1"/>
  <c r="DJ9" i="11"/>
  <c r="DJ18" i="11" s="1"/>
  <c r="DI9" i="11"/>
  <c r="DI18" i="11" s="1"/>
  <c r="DH9" i="11"/>
  <c r="DH18" i="11" s="1"/>
  <c r="DG9" i="11"/>
  <c r="DG18" i="11" s="1"/>
  <c r="DF9" i="11"/>
  <c r="DF18" i="11" s="1"/>
  <c r="DE9" i="11"/>
  <c r="DE18" i="11" s="1"/>
  <c r="DD9" i="11"/>
  <c r="DD18" i="11" s="1"/>
  <c r="DC9" i="11"/>
  <c r="DC18" i="11" s="1"/>
  <c r="DB9" i="11"/>
  <c r="DB18" i="11" s="1"/>
  <c r="DA9" i="11"/>
  <c r="DA18" i="11" s="1"/>
  <c r="CZ9" i="11"/>
  <c r="CZ18" i="11" s="1"/>
  <c r="CY9" i="11"/>
  <c r="CY18" i="11" s="1"/>
  <c r="CX9" i="11"/>
  <c r="CX18" i="11" s="1"/>
  <c r="CW9" i="11"/>
  <c r="CW18" i="11" s="1"/>
  <c r="CV9" i="11"/>
  <c r="CV18" i="11" s="1"/>
  <c r="CU9" i="11"/>
  <c r="CU18" i="11" s="1"/>
  <c r="CT9" i="11"/>
  <c r="CT18" i="11" s="1"/>
  <c r="CS9" i="11"/>
  <c r="CS18" i="11" s="1"/>
  <c r="CR9" i="11"/>
  <c r="CR18" i="11" s="1"/>
  <c r="CQ9" i="11"/>
  <c r="CQ18" i="11" s="1"/>
  <c r="CP9" i="11"/>
  <c r="CP18" i="11" s="1"/>
  <c r="CO9" i="11"/>
  <c r="CO18" i="11" s="1"/>
  <c r="CN9" i="11"/>
  <c r="CN18" i="11" s="1"/>
  <c r="CM9" i="11"/>
  <c r="CM18" i="11" s="1"/>
  <c r="CL9" i="11"/>
  <c r="CL18" i="11" s="1"/>
  <c r="CK9" i="11"/>
  <c r="CK18" i="11" s="1"/>
  <c r="CJ9" i="11"/>
  <c r="CJ18" i="11" s="1"/>
  <c r="CI9" i="11"/>
  <c r="CI18" i="11" s="1"/>
  <c r="CH9" i="11"/>
  <c r="CH18" i="11" s="1"/>
  <c r="CG9" i="11"/>
  <c r="CG18" i="11" s="1"/>
  <c r="CF9" i="11"/>
  <c r="CF18" i="11" s="1"/>
  <c r="CE9" i="11"/>
  <c r="CE18" i="11" s="1"/>
  <c r="CD9" i="11"/>
  <c r="CD18" i="11" s="1"/>
  <c r="CC9" i="11"/>
  <c r="CC18" i="11" s="1"/>
  <c r="CB9" i="11"/>
  <c r="CB18" i="11" s="1"/>
  <c r="CA9" i="11"/>
  <c r="CA18" i="11" s="1"/>
  <c r="BZ9" i="11"/>
  <c r="BZ18" i="11" s="1"/>
  <c r="BY9" i="11"/>
  <c r="BY18" i="11" s="1"/>
  <c r="BX9" i="11"/>
  <c r="BX18" i="11" s="1"/>
  <c r="BW9" i="11"/>
  <c r="BW18" i="11" s="1"/>
  <c r="BV9" i="11"/>
  <c r="BV18" i="11" s="1"/>
  <c r="BU9" i="11"/>
  <c r="BU18" i="11" s="1"/>
  <c r="BT9" i="11"/>
  <c r="BT18" i="11" s="1"/>
  <c r="BS9" i="11"/>
  <c r="BS18" i="11" s="1"/>
  <c r="BR9" i="11"/>
  <c r="BR18" i="11" s="1"/>
  <c r="BQ9" i="11"/>
  <c r="BQ18" i="11" s="1"/>
  <c r="BP9" i="11"/>
  <c r="BP18" i="11" s="1"/>
  <c r="BO9" i="11"/>
  <c r="BO18" i="11" s="1"/>
  <c r="BN9" i="11"/>
  <c r="BN18" i="11" s="1"/>
  <c r="BM9" i="11"/>
  <c r="BM18" i="11" s="1"/>
  <c r="BL9" i="11"/>
  <c r="BL18" i="11" s="1"/>
  <c r="BK9" i="11"/>
  <c r="BK18" i="11" s="1"/>
  <c r="BJ9" i="11"/>
  <c r="BJ18" i="11" s="1"/>
  <c r="BI9" i="11"/>
  <c r="BI18" i="11" s="1"/>
  <c r="BH9" i="11"/>
  <c r="BH18" i="11" s="1"/>
  <c r="BG9" i="11"/>
  <c r="BG18" i="11" s="1"/>
  <c r="BF9" i="11"/>
  <c r="BF18" i="11" s="1"/>
  <c r="BE9" i="11"/>
  <c r="BE18" i="11" s="1"/>
  <c r="BD9" i="11"/>
  <c r="BD18" i="11" s="1"/>
  <c r="BC9" i="11"/>
  <c r="BC18" i="11" s="1"/>
  <c r="BB9" i="11"/>
  <c r="BB18" i="11" s="1"/>
  <c r="BA9" i="11"/>
  <c r="BA18" i="11" s="1"/>
  <c r="AZ9" i="11"/>
  <c r="AZ18" i="11" s="1"/>
  <c r="AY9" i="11"/>
  <c r="AY18" i="11" s="1"/>
  <c r="AX9" i="11"/>
  <c r="K9" i="3" s="1"/>
  <c r="AW9" i="11"/>
  <c r="J9" i="3" s="1"/>
  <c r="AV9" i="11"/>
  <c r="AV18" i="11" s="1"/>
  <c r="AU9" i="11"/>
  <c r="AU18" i="11" s="1"/>
  <c r="AT9" i="11"/>
  <c r="AT18" i="11" s="1"/>
  <c r="AS9" i="11"/>
  <c r="AS18" i="11" s="1"/>
  <c r="AR9" i="11"/>
  <c r="AR18" i="11" s="1"/>
  <c r="AQ9" i="11"/>
  <c r="AQ18" i="11" s="1"/>
  <c r="AP9" i="11"/>
  <c r="AP18" i="11" s="1"/>
  <c r="AO9" i="11"/>
  <c r="AO18" i="11" s="1"/>
  <c r="AN9" i="11"/>
  <c r="AN18" i="11" s="1"/>
  <c r="AM9" i="11"/>
  <c r="AM18" i="11" s="1"/>
  <c r="AL9" i="11"/>
  <c r="AL18" i="11" s="1"/>
  <c r="AK9" i="11"/>
  <c r="AK18" i="11" s="1"/>
  <c r="H9" i="2" s="1"/>
  <c r="AJ9" i="11"/>
  <c r="G9" i="3" s="1"/>
  <c r="AI9" i="11"/>
  <c r="AI18" i="11" s="1"/>
  <c r="AH9" i="11"/>
  <c r="AH18" i="11" s="1"/>
  <c r="AG9" i="11"/>
  <c r="AG18" i="11" s="1"/>
  <c r="AF9" i="11"/>
  <c r="AF18" i="11" s="1"/>
  <c r="AE9" i="11"/>
  <c r="AE18" i="11" s="1"/>
  <c r="AD9" i="11"/>
  <c r="AD18" i="11" s="1"/>
  <c r="AC9" i="11"/>
  <c r="AC18" i="11" s="1"/>
  <c r="AB9" i="11"/>
  <c r="AB18" i="11" s="1"/>
  <c r="AA9" i="11"/>
  <c r="AA18" i="11" s="1"/>
  <c r="Z9" i="11"/>
  <c r="Z18" i="11" s="1"/>
  <c r="Y9" i="11"/>
  <c r="Y18" i="11" s="1"/>
  <c r="X9" i="11"/>
  <c r="X18" i="11" s="1"/>
  <c r="W9" i="11"/>
  <c r="W18" i="11" s="1"/>
  <c r="V9" i="11"/>
  <c r="V18" i="11" s="1"/>
  <c r="U9" i="11"/>
  <c r="U18" i="11" s="1"/>
  <c r="T9" i="11"/>
  <c r="T18" i="11" s="1"/>
  <c r="S9" i="11"/>
  <c r="S18" i="11" s="1"/>
  <c r="R9" i="11"/>
  <c r="R18" i="11" s="1"/>
  <c r="Q9" i="11"/>
  <c r="Z9" i="3" s="1"/>
  <c r="P9" i="11"/>
  <c r="Y9" i="3" s="1"/>
  <c r="O9" i="11"/>
  <c r="O18" i="11" s="1"/>
  <c r="N9" i="11"/>
  <c r="N18" i="11" s="1"/>
  <c r="M9" i="11"/>
  <c r="M18" i="11" s="1"/>
  <c r="L9" i="11"/>
  <c r="L18" i="11" s="1"/>
  <c r="K9" i="11"/>
  <c r="K18" i="11" s="1"/>
  <c r="J9" i="11"/>
  <c r="E9" i="3" s="1"/>
  <c r="I9" i="11"/>
  <c r="D9" i="3" s="1"/>
  <c r="H9" i="11"/>
  <c r="C9" i="3" s="1"/>
  <c r="G9" i="11"/>
  <c r="G18" i="11" s="1"/>
  <c r="F9" i="11"/>
  <c r="F18" i="11" s="1"/>
  <c r="ND29" i="9"/>
  <c r="NC29" i="9"/>
  <c r="NB29" i="9"/>
  <c r="NA29" i="9"/>
  <c r="MZ29" i="9"/>
  <c r="MY29" i="9"/>
  <c r="MX29" i="9"/>
  <c r="MW29" i="9"/>
  <c r="MV29" i="9"/>
  <c r="MU29" i="9"/>
  <c r="MT29" i="9"/>
  <c r="MS29" i="9"/>
  <c r="MR29" i="9"/>
  <c r="MQ29" i="9"/>
  <c r="MP29" i="9"/>
  <c r="MO29" i="9"/>
  <c r="MN29" i="9"/>
  <c r="MM29" i="9"/>
  <c r="ML29" i="9"/>
  <c r="MK29" i="9"/>
  <c r="MJ29" i="9"/>
  <c r="MI29" i="9"/>
  <c r="MH29" i="9"/>
  <c r="MG29" i="9"/>
  <c r="MF29" i="9"/>
  <c r="ME29" i="9"/>
  <c r="MD29" i="9"/>
  <c r="MC29" i="9"/>
  <c r="MB29" i="9"/>
  <c r="MA29" i="9"/>
  <c r="LZ29" i="9"/>
  <c r="LY29" i="9"/>
  <c r="LX29" i="9"/>
  <c r="LW29" i="9"/>
  <c r="LV29" i="9"/>
  <c r="LU29" i="9"/>
  <c r="LT29" i="9"/>
  <c r="LS29" i="9"/>
  <c r="LR29" i="9"/>
  <c r="LQ29" i="9"/>
  <c r="LP29" i="9"/>
  <c r="LO29" i="9"/>
  <c r="LN29" i="9"/>
  <c r="LM29" i="9"/>
  <c r="LL29" i="9"/>
  <c r="LK29" i="9"/>
  <c r="LJ29" i="9"/>
  <c r="LI29" i="9"/>
  <c r="LH29" i="9"/>
  <c r="LG29" i="9"/>
  <c r="LF29" i="9"/>
  <c r="LE29" i="9"/>
  <c r="LD29" i="9"/>
  <c r="LC29" i="9"/>
  <c r="LB29" i="9"/>
  <c r="LA29" i="9"/>
  <c r="KZ29" i="9"/>
  <c r="KY29" i="9"/>
  <c r="KX29" i="9"/>
  <c r="KW29" i="9"/>
  <c r="KV29" i="9"/>
  <c r="KU29" i="9"/>
  <c r="KT29" i="9"/>
  <c r="KS29" i="9"/>
  <c r="KR29" i="9"/>
  <c r="KQ29" i="9"/>
  <c r="KP29" i="9"/>
  <c r="KO29" i="9"/>
  <c r="KN29" i="9"/>
  <c r="KM29" i="9"/>
  <c r="KL29" i="9"/>
  <c r="KK29" i="9"/>
  <c r="KJ29" i="9"/>
  <c r="KI29" i="9"/>
  <c r="KH29" i="9"/>
  <c r="KG29" i="9"/>
  <c r="KF29" i="9"/>
  <c r="KE29" i="9"/>
  <c r="KD29" i="9"/>
  <c r="KC29" i="9"/>
  <c r="KB29" i="9"/>
  <c r="KA29" i="9"/>
  <c r="JZ29" i="9"/>
  <c r="JY29" i="9"/>
  <c r="JX29" i="9"/>
  <c r="JW29" i="9"/>
  <c r="JV29" i="9"/>
  <c r="JU29" i="9"/>
  <c r="JT29" i="9"/>
  <c r="JS29" i="9"/>
  <c r="JR29" i="9"/>
  <c r="JQ29" i="9"/>
  <c r="JP29" i="9"/>
  <c r="JO29" i="9"/>
  <c r="JN29" i="9"/>
  <c r="JM29" i="9"/>
  <c r="JL29" i="9"/>
  <c r="JK29" i="9"/>
  <c r="JJ29" i="9"/>
  <c r="JI29" i="9"/>
  <c r="JH29" i="9"/>
  <c r="JG29" i="9"/>
  <c r="JF29" i="9"/>
  <c r="JE29" i="9"/>
  <c r="JD29" i="9"/>
  <c r="JC29" i="9"/>
  <c r="JB29" i="9"/>
  <c r="JA29" i="9"/>
  <c r="IZ29" i="9"/>
  <c r="IY29" i="9"/>
  <c r="IX29" i="9"/>
  <c r="IW29" i="9"/>
  <c r="IV29" i="9"/>
  <c r="IU29" i="9"/>
  <c r="IT29" i="9"/>
  <c r="IS29" i="9"/>
  <c r="IR29" i="9"/>
  <c r="IQ29" i="9"/>
  <c r="IP29" i="9"/>
  <c r="IO29" i="9"/>
  <c r="IN29" i="9"/>
  <c r="IM29" i="9"/>
  <c r="IL29" i="9"/>
  <c r="IK29" i="9"/>
  <c r="IJ29" i="9"/>
  <c r="II29" i="9"/>
  <c r="IH29" i="9"/>
  <c r="IG29" i="9"/>
  <c r="IF29" i="9"/>
  <c r="IE29" i="9"/>
  <c r="ID29" i="9"/>
  <c r="IC29" i="9"/>
  <c r="IB29" i="9"/>
  <c r="IA29" i="9"/>
  <c r="HZ29" i="9"/>
  <c r="HY29" i="9"/>
  <c r="HX29" i="9"/>
  <c r="HW29" i="9"/>
  <c r="HV29" i="9"/>
  <c r="HU29" i="9"/>
  <c r="HT29" i="9"/>
  <c r="HS29" i="9"/>
  <c r="HR29" i="9"/>
  <c r="HQ29" i="9"/>
  <c r="HP29" i="9"/>
  <c r="HO29" i="9"/>
  <c r="HN29" i="9"/>
  <c r="HM29" i="9"/>
  <c r="HL29" i="9"/>
  <c r="HK29" i="9"/>
  <c r="HJ29" i="9"/>
  <c r="HI29" i="9"/>
  <c r="HH29" i="9"/>
  <c r="HG29" i="9"/>
  <c r="HF29" i="9"/>
  <c r="HE29" i="9"/>
  <c r="HD29" i="9"/>
  <c r="HC29" i="9"/>
  <c r="HB29" i="9"/>
  <c r="HA29" i="9"/>
  <c r="GZ29" i="9"/>
  <c r="GY29" i="9"/>
  <c r="GX29" i="9"/>
  <c r="GW29" i="9"/>
  <c r="GV29" i="9"/>
  <c r="GU29" i="9"/>
  <c r="GT29" i="9"/>
  <c r="GS29" i="9"/>
  <c r="GR29" i="9"/>
  <c r="GQ29" i="9"/>
  <c r="GP29" i="9"/>
  <c r="GO29" i="9"/>
  <c r="GN29" i="9"/>
  <c r="GM29" i="9"/>
  <c r="GL29" i="9"/>
  <c r="GK29" i="9"/>
  <c r="GJ29" i="9"/>
  <c r="GI29" i="9"/>
  <c r="GH29" i="9"/>
  <c r="GG29" i="9"/>
  <c r="GF29" i="9"/>
  <c r="GE29" i="9"/>
  <c r="GD29" i="9"/>
  <c r="GC29" i="9"/>
  <c r="GB29" i="9"/>
  <c r="GA29" i="9"/>
  <c r="FZ29" i="9"/>
  <c r="FY29" i="9"/>
  <c r="FX29" i="9"/>
  <c r="FW29" i="9"/>
  <c r="FV29" i="9"/>
  <c r="FU29" i="9"/>
  <c r="FT29" i="9"/>
  <c r="FS29" i="9"/>
  <c r="FR29" i="9"/>
  <c r="FQ29" i="9"/>
  <c r="FP29" i="9"/>
  <c r="FO29" i="9"/>
  <c r="FN29" i="9"/>
  <c r="FM29" i="9"/>
  <c r="FL29" i="9"/>
  <c r="FK29" i="9"/>
  <c r="FJ29" i="9"/>
  <c r="FI29" i="9"/>
  <c r="FH29" i="9"/>
  <c r="FG29" i="9"/>
  <c r="FF29" i="9"/>
  <c r="FE29" i="9"/>
  <c r="FD29" i="9"/>
  <c r="FC29" i="9"/>
  <c r="FB29" i="9"/>
  <c r="FA29" i="9"/>
  <c r="EZ29" i="9"/>
  <c r="EY29" i="9"/>
  <c r="EX29" i="9"/>
  <c r="EW29" i="9"/>
  <c r="EV29" i="9"/>
  <c r="EU29" i="9"/>
  <c r="ET29" i="9"/>
  <c r="ES29" i="9"/>
  <c r="ER29" i="9"/>
  <c r="EQ29" i="9"/>
  <c r="EP29" i="9"/>
  <c r="EO29" i="9"/>
  <c r="EN29" i="9"/>
  <c r="EM29" i="9"/>
  <c r="EL29" i="9"/>
  <c r="EK29" i="9"/>
  <c r="EJ29" i="9"/>
  <c r="EI29" i="9"/>
  <c r="EH29" i="9"/>
  <c r="EG29" i="9"/>
  <c r="EF29" i="9"/>
  <c r="EE29" i="9"/>
  <c r="ED29" i="9"/>
  <c r="EC29" i="9"/>
  <c r="EB29" i="9"/>
  <c r="EA29" i="9"/>
  <c r="DZ29" i="9"/>
  <c r="DY29" i="9"/>
  <c r="DX29" i="9"/>
  <c r="DW29" i="9"/>
  <c r="DV29" i="9"/>
  <c r="DU29" i="9"/>
  <c r="DT29" i="9"/>
  <c r="DS29" i="9"/>
  <c r="DR29" i="9"/>
  <c r="DQ29" i="9"/>
  <c r="DP29" i="9"/>
  <c r="DO29" i="9"/>
  <c r="DN29" i="9"/>
  <c r="DM29" i="9"/>
  <c r="DL29" i="9"/>
  <c r="DK29" i="9"/>
  <c r="DJ29" i="9"/>
  <c r="DI29" i="9"/>
  <c r="DH29" i="9"/>
  <c r="DG29" i="9"/>
  <c r="DF29" i="9"/>
  <c r="DE29" i="9"/>
  <c r="DD29" i="9"/>
  <c r="DC29" i="9"/>
  <c r="DB29" i="9"/>
  <c r="DA29" i="9"/>
  <c r="CZ29" i="9"/>
  <c r="CY29" i="9"/>
  <c r="CX29" i="9"/>
  <c r="CW29" i="9"/>
  <c r="CV29" i="9"/>
  <c r="CU29" i="9"/>
  <c r="CT29" i="9"/>
  <c r="CS29" i="9"/>
  <c r="CR29" i="9"/>
  <c r="CQ29" i="9"/>
  <c r="CP29" i="9"/>
  <c r="CO29" i="9"/>
  <c r="CN29" i="9"/>
  <c r="CM29" i="9"/>
  <c r="CL29" i="9"/>
  <c r="CK29" i="9"/>
  <c r="CJ29" i="9"/>
  <c r="CI29" i="9"/>
  <c r="CH29" i="9"/>
  <c r="CG29" i="9"/>
  <c r="CF29" i="9"/>
  <c r="CE29" i="9"/>
  <c r="CD29" i="9"/>
  <c r="CC29" i="9"/>
  <c r="CB29" i="9"/>
  <c r="CA29" i="9"/>
  <c r="BZ29" i="9"/>
  <c r="BY29" i="9"/>
  <c r="BX29" i="9"/>
  <c r="BW29" i="9"/>
  <c r="BV29" i="9"/>
  <c r="BU29" i="9"/>
  <c r="BT29" i="9"/>
  <c r="BS29" i="9"/>
  <c r="BR29" i="9"/>
  <c r="BQ29" i="9"/>
  <c r="BP29" i="9"/>
  <c r="BO29" i="9"/>
  <c r="BN29" i="9"/>
  <c r="BM29" i="9"/>
  <c r="BL29" i="9"/>
  <c r="BK29" i="9"/>
  <c r="BJ29" i="9"/>
  <c r="BI29" i="9"/>
  <c r="BH29" i="9"/>
  <c r="BG29" i="9"/>
  <c r="BF29" i="9"/>
  <c r="BE29" i="9"/>
  <c r="BD29" i="9"/>
  <c r="BC29" i="9"/>
  <c r="BB29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ND25" i="9"/>
  <c r="NC25" i="9"/>
  <c r="NB25" i="9"/>
  <c r="NA25" i="9"/>
  <c r="MZ25" i="9"/>
  <c r="MY25" i="9"/>
  <c r="MX25" i="9"/>
  <c r="MW25" i="9"/>
  <c r="MV25" i="9"/>
  <c r="MU25" i="9"/>
  <c r="MT25" i="9"/>
  <c r="MS25" i="9"/>
  <c r="MR25" i="9"/>
  <c r="MQ25" i="9"/>
  <c r="MP25" i="9"/>
  <c r="MO25" i="9"/>
  <c r="MN25" i="9"/>
  <c r="MM25" i="9"/>
  <c r="ML25" i="9"/>
  <c r="MK25" i="9"/>
  <c r="MJ25" i="9"/>
  <c r="MI25" i="9"/>
  <c r="MH25" i="9"/>
  <c r="MG25" i="9"/>
  <c r="MF25" i="9"/>
  <c r="ME25" i="9"/>
  <c r="MD25" i="9"/>
  <c r="MC25" i="9"/>
  <c r="MB25" i="9"/>
  <c r="MA25" i="9"/>
  <c r="LZ25" i="9"/>
  <c r="LY25" i="9"/>
  <c r="LX25" i="9"/>
  <c r="LW25" i="9"/>
  <c r="LV25" i="9"/>
  <c r="LU25" i="9"/>
  <c r="LT25" i="9"/>
  <c r="LS25" i="9"/>
  <c r="LR25" i="9"/>
  <c r="LQ25" i="9"/>
  <c r="LP25" i="9"/>
  <c r="LO25" i="9"/>
  <c r="LN25" i="9"/>
  <c r="LM25" i="9"/>
  <c r="LL25" i="9"/>
  <c r="LK25" i="9"/>
  <c r="LJ25" i="9"/>
  <c r="LI25" i="9"/>
  <c r="LH25" i="9"/>
  <c r="LG25" i="9"/>
  <c r="LF25" i="9"/>
  <c r="LE25" i="9"/>
  <c r="LD25" i="9"/>
  <c r="LC25" i="9"/>
  <c r="LB25" i="9"/>
  <c r="LA25" i="9"/>
  <c r="KZ25" i="9"/>
  <c r="KY25" i="9"/>
  <c r="KX25" i="9"/>
  <c r="KW25" i="9"/>
  <c r="KV25" i="9"/>
  <c r="KU25" i="9"/>
  <c r="KT25" i="9"/>
  <c r="KS25" i="9"/>
  <c r="KR25" i="9"/>
  <c r="KQ25" i="9"/>
  <c r="KP25" i="9"/>
  <c r="KO25" i="9"/>
  <c r="KN25" i="9"/>
  <c r="KM25" i="9"/>
  <c r="KL25" i="9"/>
  <c r="KK25" i="9"/>
  <c r="KJ25" i="9"/>
  <c r="KI25" i="9"/>
  <c r="KH25" i="9"/>
  <c r="KG25" i="9"/>
  <c r="KF25" i="9"/>
  <c r="KE25" i="9"/>
  <c r="KD25" i="9"/>
  <c r="KC25" i="9"/>
  <c r="KB25" i="9"/>
  <c r="KA25" i="9"/>
  <c r="JZ25" i="9"/>
  <c r="JY25" i="9"/>
  <c r="JX25" i="9"/>
  <c r="JW25" i="9"/>
  <c r="JV25" i="9"/>
  <c r="JU25" i="9"/>
  <c r="JT25" i="9"/>
  <c r="JS25" i="9"/>
  <c r="JR25" i="9"/>
  <c r="JQ25" i="9"/>
  <c r="JP25" i="9"/>
  <c r="JO25" i="9"/>
  <c r="JN25" i="9"/>
  <c r="W8" i="4" s="1"/>
  <c r="W10" i="4" s="1"/>
  <c r="JM25" i="9"/>
  <c r="V8" i="4" s="1"/>
  <c r="JL25" i="9"/>
  <c r="JK25" i="9"/>
  <c r="JJ25" i="9"/>
  <c r="JI25" i="9"/>
  <c r="JH25" i="9"/>
  <c r="JG25" i="9"/>
  <c r="JF25" i="9"/>
  <c r="JE25" i="9"/>
  <c r="JD25" i="9"/>
  <c r="JC25" i="9"/>
  <c r="JB25" i="9"/>
  <c r="JA25" i="9"/>
  <c r="T8" i="4" s="1"/>
  <c r="T10" i="4" s="1"/>
  <c r="IZ25" i="9"/>
  <c r="S8" i="4" s="1"/>
  <c r="IY25" i="9"/>
  <c r="IX25" i="9"/>
  <c r="IW25" i="9"/>
  <c r="IV25" i="9"/>
  <c r="IU25" i="9"/>
  <c r="IT25" i="9"/>
  <c r="IS25" i="9"/>
  <c r="IR25" i="9"/>
  <c r="IQ25" i="9"/>
  <c r="IP25" i="9"/>
  <c r="IO25" i="9"/>
  <c r="IN25" i="9"/>
  <c r="IM25" i="9"/>
  <c r="IL25" i="9"/>
  <c r="IK25" i="9"/>
  <c r="IJ25" i="9"/>
  <c r="II25" i="9"/>
  <c r="IH25" i="9"/>
  <c r="IG25" i="9"/>
  <c r="IF25" i="9"/>
  <c r="IE25" i="9"/>
  <c r="ID25" i="9"/>
  <c r="IC25" i="9"/>
  <c r="IB25" i="9"/>
  <c r="IA25" i="9"/>
  <c r="HZ25" i="9"/>
  <c r="HY25" i="9"/>
  <c r="HX25" i="9"/>
  <c r="HW25" i="9"/>
  <c r="HV25" i="9"/>
  <c r="HU25" i="9"/>
  <c r="HT25" i="9"/>
  <c r="HS25" i="9"/>
  <c r="HR25" i="9"/>
  <c r="HQ25" i="9"/>
  <c r="HP25" i="9"/>
  <c r="HO25" i="9"/>
  <c r="HN25" i="9"/>
  <c r="HM25" i="9"/>
  <c r="HL25" i="9"/>
  <c r="HK25" i="9"/>
  <c r="HJ25" i="9"/>
  <c r="HI25" i="9"/>
  <c r="HH25" i="9"/>
  <c r="HG25" i="9"/>
  <c r="HF25" i="9"/>
  <c r="HE25" i="9"/>
  <c r="HD25" i="9"/>
  <c r="HC25" i="9"/>
  <c r="Q8" i="4" s="1"/>
  <c r="Q10" i="4" s="1"/>
  <c r="HB25" i="9"/>
  <c r="P8" i="4" s="1"/>
  <c r="HA25" i="9"/>
  <c r="GZ25" i="9"/>
  <c r="GY25" i="9"/>
  <c r="GX25" i="9"/>
  <c r="GW25" i="9"/>
  <c r="GV25" i="9"/>
  <c r="GU25" i="9"/>
  <c r="GT25" i="9"/>
  <c r="GS25" i="9"/>
  <c r="GR25" i="9"/>
  <c r="GQ25" i="9"/>
  <c r="GP25" i="9"/>
  <c r="GO25" i="9"/>
  <c r="GN25" i="9"/>
  <c r="GM25" i="9"/>
  <c r="GL25" i="9"/>
  <c r="GK25" i="9"/>
  <c r="GJ25" i="9"/>
  <c r="GI25" i="9"/>
  <c r="GH25" i="9"/>
  <c r="GG25" i="9"/>
  <c r="GF25" i="9"/>
  <c r="GE25" i="9"/>
  <c r="GD25" i="9"/>
  <c r="GC25" i="9"/>
  <c r="GB25" i="9"/>
  <c r="GA25" i="9"/>
  <c r="FZ25" i="9"/>
  <c r="FY25" i="9"/>
  <c r="FX25" i="9"/>
  <c r="FW25" i="9"/>
  <c r="FV25" i="9"/>
  <c r="FU25" i="9"/>
  <c r="FT25" i="9"/>
  <c r="FS25" i="9"/>
  <c r="FR25" i="9"/>
  <c r="FQ25" i="9"/>
  <c r="FP25" i="9"/>
  <c r="FO25" i="9"/>
  <c r="FN25" i="9"/>
  <c r="FM25" i="9"/>
  <c r="FL25" i="9"/>
  <c r="FK25" i="9"/>
  <c r="FJ25" i="9"/>
  <c r="FI25" i="9"/>
  <c r="FH25" i="9"/>
  <c r="FG25" i="9"/>
  <c r="FF25" i="9"/>
  <c r="FE25" i="9"/>
  <c r="FD25" i="9"/>
  <c r="FC25" i="9"/>
  <c r="FB25" i="9"/>
  <c r="FA25" i="9"/>
  <c r="EZ25" i="9"/>
  <c r="EY25" i="9"/>
  <c r="N8" i="4" s="1"/>
  <c r="EX25" i="9"/>
  <c r="M8" i="4" s="1"/>
  <c r="EW25" i="9"/>
  <c r="EV25" i="9"/>
  <c r="EU25" i="9"/>
  <c r="ET25" i="9"/>
  <c r="ES25" i="9"/>
  <c r="ER25" i="9"/>
  <c r="EQ25" i="9"/>
  <c r="EP25" i="9"/>
  <c r="EO25" i="9"/>
  <c r="EN25" i="9"/>
  <c r="EM25" i="9"/>
  <c r="EL25" i="9"/>
  <c r="EK25" i="9"/>
  <c r="EJ25" i="9"/>
  <c r="EI25" i="9"/>
  <c r="EH25" i="9"/>
  <c r="EG25" i="9"/>
  <c r="EF25" i="9"/>
  <c r="EE25" i="9"/>
  <c r="ED25" i="9"/>
  <c r="EC25" i="9"/>
  <c r="EB25" i="9"/>
  <c r="EA25" i="9"/>
  <c r="DZ25" i="9"/>
  <c r="DY25" i="9"/>
  <c r="DX25" i="9"/>
  <c r="DW25" i="9"/>
  <c r="DV25" i="9"/>
  <c r="DU25" i="9"/>
  <c r="DT25" i="9"/>
  <c r="DS25" i="9"/>
  <c r="DR25" i="9"/>
  <c r="DQ25" i="9"/>
  <c r="DP25" i="9"/>
  <c r="DO25" i="9"/>
  <c r="DN25" i="9"/>
  <c r="DM25" i="9"/>
  <c r="DL25" i="9"/>
  <c r="DK25" i="9"/>
  <c r="DJ25" i="9"/>
  <c r="DI25" i="9"/>
  <c r="DH25" i="9"/>
  <c r="DG25" i="9"/>
  <c r="DF25" i="9"/>
  <c r="DE25" i="9"/>
  <c r="DD25" i="9"/>
  <c r="DC25" i="9"/>
  <c r="DB25" i="9"/>
  <c r="DA25" i="9"/>
  <c r="CZ25" i="9"/>
  <c r="CY25" i="9"/>
  <c r="CX25" i="9"/>
  <c r="CW25" i="9"/>
  <c r="CV25" i="9"/>
  <c r="CU25" i="9"/>
  <c r="CT25" i="9"/>
  <c r="CS25" i="9"/>
  <c r="CR25" i="9"/>
  <c r="CQ25" i="9"/>
  <c r="CP25" i="9"/>
  <c r="CO25" i="9"/>
  <c r="CN25" i="9"/>
  <c r="CM25" i="9"/>
  <c r="CL25" i="9"/>
  <c r="CK25" i="9"/>
  <c r="CJ25" i="9"/>
  <c r="CI25" i="9"/>
  <c r="CH25" i="9"/>
  <c r="CG25" i="9"/>
  <c r="CF25" i="9"/>
  <c r="CE25" i="9"/>
  <c r="CD25" i="9"/>
  <c r="CC25" i="9"/>
  <c r="CB25" i="9"/>
  <c r="CA25" i="9"/>
  <c r="BZ25" i="9"/>
  <c r="BY25" i="9"/>
  <c r="BX25" i="9"/>
  <c r="BW25" i="9"/>
  <c r="BV25" i="9"/>
  <c r="BU25" i="9"/>
  <c r="BT25" i="9"/>
  <c r="BS25" i="9"/>
  <c r="BR25" i="9"/>
  <c r="BQ25" i="9"/>
  <c r="BP25" i="9"/>
  <c r="BO25" i="9"/>
  <c r="BN25" i="9"/>
  <c r="BM25" i="9"/>
  <c r="BL25" i="9"/>
  <c r="BK25" i="9"/>
  <c r="BJ25" i="9"/>
  <c r="BI25" i="9"/>
  <c r="BH25" i="9"/>
  <c r="BG25" i="9"/>
  <c r="BF25" i="9"/>
  <c r="BE25" i="9"/>
  <c r="BD25" i="9"/>
  <c r="BC25" i="9"/>
  <c r="BB25" i="9"/>
  <c r="BA25" i="9"/>
  <c r="AZ25" i="9"/>
  <c r="AY25" i="9"/>
  <c r="AX25" i="9"/>
  <c r="K8" i="4" s="1"/>
  <c r="K10" i="4" s="1"/>
  <c r="AW25" i="9"/>
  <c r="J8" i="4" s="1"/>
  <c r="AV25" i="9"/>
  <c r="AU25" i="9"/>
  <c r="AT25" i="9"/>
  <c r="AS25" i="9"/>
  <c r="AR25" i="9"/>
  <c r="AQ25" i="9"/>
  <c r="AP25" i="9"/>
  <c r="AO25" i="9"/>
  <c r="AN25" i="9"/>
  <c r="AM25" i="9"/>
  <c r="AL25" i="9"/>
  <c r="AK25" i="9"/>
  <c r="H8" i="4" s="1"/>
  <c r="H10" i="4" s="1"/>
  <c r="AJ25" i="9"/>
  <c r="G8" i="4" s="1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Z8" i="4" s="1"/>
  <c r="Z10" i="4" s="1"/>
  <c r="P25" i="9"/>
  <c r="Y8" i="4" s="1"/>
  <c r="Y10" i="4" s="1"/>
  <c r="O25" i="9"/>
  <c r="N25" i="9"/>
  <c r="M25" i="9"/>
  <c r="L25" i="9"/>
  <c r="K25" i="9"/>
  <c r="J25" i="9"/>
  <c r="E8" i="4" s="1"/>
  <c r="E10" i="4" s="1"/>
  <c r="I25" i="9"/>
  <c r="D8" i="4" s="1"/>
  <c r="D10" i="4" s="1"/>
  <c r="H25" i="9"/>
  <c r="C8" i="4" s="1"/>
  <c r="G25" i="9"/>
  <c r="F25" i="9"/>
  <c r="ND21" i="9"/>
  <c r="NC21" i="9"/>
  <c r="NB21" i="9"/>
  <c r="NB30" i="9" s="1"/>
  <c r="NA21" i="9"/>
  <c r="MZ21" i="9"/>
  <c r="MY21" i="9"/>
  <c r="MX21" i="9"/>
  <c r="MX30" i="9" s="1"/>
  <c r="MW21" i="9"/>
  <c r="MV21" i="9"/>
  <c r="MU21" i="9"/>
  <c r="MT21" i="9"/>
  <c r="MT30" i="9" s="1"/>
  <c r="MS21" i="9"/>
  <c r="MR21" i="9"/>
  <c r="MQ21" i="9"/>
  <c r="MP21" i="9"/>
  <c r="MP30" i="9" s="1"/>
  <c r="MO21" i="9"/>
  <c r="MN21" i="9"/>
  <c r="MM21" i="9"/>
  <c r="ML21" i="9"/>
  <c r="ML30" i="9" s="1"/>
  <c r="MK21" i="9"/>
  <c r="MJ21" i="9"/>
  <c r="MI21" i="9"/>
  <c r="MH21" i="9"/>
  <c r="MH30" i="9" s="1"/>
  <c r="MG21" i="9"/>
  <c r="MF21" i="9"/>
  <c r="ME21" i="9"/>
  <c r="MD21" i="9"/>
  <c r="MD30" i="9" s="1"/>
  <c r="MC21" i="9"/>
  <c r="MB21" i="9"/>
  <c r="MA21" i="9"/>
  <c r="LZ21" i="9"/>
  <c r="LZ30" i="9" s="1"/>
  <c r="LY21" i="9"/>
  <c r="LX21" i="9"/>
  <c r="LW21" i="9"/>
  <c r="LV21" i="9"/>
  <c r="LV30" i="9" s="1"/>
  <c r="LU21" i="9"/>
  <c r="LT21" i="9"/>
  <c r="LS21" i="9"/>
  <c r="LR21" i="9"/>
  <c r="LR30" i="9" s="1"/>
  <c r="LQ21" i="9"/>
  <c r="LP21" i="9"/>
  <c r="LO21" i="9"/>
  <c r="LN21" i="9"/>
  <c r="LN30" i="9" s="1"/>
  <c r="LM21" i="9"/>
  <c r="LL21" i="9"/>
  <c r="LK21" i="9"/>
  <c r="LJ21" i="9"/>
  <c r="LJ30" i="9" s="1"/>
  <c r="LI21" i="9"/>
  <c r="LH21" i="9"/>
  <c r="LG21" i="9"/>
  <c r="LF21" i="9"/>
  <c r="LF30" i="9" s="1"/>
  <c r="LE21" i="9"/>
  <c r="LD21" i="9"/>
  <c r="LC21" i="9"/>
  <c r="LB21" i="9"/>
  <c r="LB30" i="9" s="1"/>
  <c r="LA21" i="9"/>
  <c r="KZ21" i="9"/>
  <c r="KY21" i="9"/>
  <c r="KX21" i="9"/>
  <c r="KX30" i="9" s="1"/>
  <c r="KW21" i="9"/>
  <c r="KV21" i="9"/>
  <c r="KU21" i="9"/>
  <c r="KT21" i="9"/>
  <c r="KT30" i="9" s="1"/>
  <c r="KS21" i="9"/>
  <c r="KR21" i="9"/>
  <c r="KQ21" i="9"/>
  <c r="KP21" i="9"/>
  <c r="KP30" i="9" s="1"/>
  <c r="KO21" i="9"/>
  <c r="KN21" i="9"/>
  <c r="KM21" i="9"/>
  <c r="KL21" i="9"/>
  <c r="KL30" i="9" s="1"/>
  <c r="KK21" i="9"/>
  <c r="KJ21" i="9"/>
  <c r="KI21" i="9"/>
  <c r="KH21" i="9"/>
  <c r="KH30" i="9" s="1"/>
  <c r="KG21" i="9"/>
  <c r="KF21" i="9"/>
  <c r="KE21" i="9"/>
  <c r="KD21" i="9"/>
  <c r="KD30" i="9" s="1"/>
  <c r="KC21" i="9"/>
  <c r="KB21" i="9"/>
  <c r="KA21" i="9"/>
  <c r="JZ21" i="9"/>
  <c r="JZ30" i="9" s="1"/>
  <c r="JY21" i="9"/>
  <c r="JX21" i="9"/>
  <c r="JW21" i="9"/>
  <c r="JV21" i="9"/>
  <c r="JV30" i="9" s="1"/>
  <c r="JU21" i="9"/>
  <c r="JT21" i="9"/>
  <c r="JS21" i="9"/>
  <c r="JR21" i="9"/>
  <c r="JR30" i="9" s="1"/>
  <c r="JQ21" i="9"/>
  <c r="JP21" i="9"/>
  <c r="JO21" i="9"/>
  <c r="JN21" i="9"/>
  <c r="JM21" i="9"/>
  <c r="JL21" i="9"/>
  <c r="JK21" i="9"/>
  <c r="JJ21" i="9"/>
  <c r="JJ30" i="9" s="1"/>
  <c r="JI21" i="9"/>
  <c r="JH21" i="9"/>
  <c r="JG21" i="9"/>
  <c r="JF21" i="9"/>
  <c r="JF30" i="9" s="1"/>
  <c r="JE21" i="9"/>
  <c r="JD21" i="9"/>
  <c r="JC21" i="9"/>
  <c r="JB21" i="9"/>
  <c r="JB30" i="9" s="1"/>
  <c r="JA21" i="9"/>
  <c r="IZ21" i="9"/>
  <c r="IY21" i="9"/>
  <c r="IX21" i="9"/>
  <c r="IX30" i="9" s="1"/>
  <c r="IW21" i="9"/>
  <c r="IV21" i="9"/>
  <c r="IU21" i="9"/>
  <c r="IT21" i="9"/>
  <c r="IT30" i="9" s="1"/>
  <c r="IS21" i="9"/>
  <c r="IR21" i="9"/>
  <c r="IQ21" i="9"/>
  <c r="IP21" i="9"/>
  <c r="IP30" i="9" s="1"/>
  <c r="IO21" i="9"/>
  <c r="IN21" i="9"/>
  <c r="IM21" i="9"/>
  <c r="IL21" i="9"/>
  <c r="IL30" i="9" s="1"/>
  <c r="IK21" i="9"/>
  <c r="IJ21" i="9"/>
  <c r="II21" i="9"/>
  <c r="IH21" i="9"/>
  <c r="IH30" i="9" s="1"/>
  <c r="IG21" i="9"/>
  <c r="IF21" i="9"/>
  <c r="IE21" i="9"/>
  <c r="ID21" i="9"/>
  <c r="ID30" i="9" s="1"/>
  <c r="IC21" i="9"/>
  <c r="IB21" i="9"/>
  <c r="IA21" i="9"/>
  <c r="HZ21" i="9"/>
  <c r="HZ30" i="9" s="1"/>
  <c r="HY21" i="9"/>
  <c r="HX21" i="9"/>
  <c r="HW21" i="9"/>
  <c r="HV21" i="9"/>
  <c r="HV30" i="9" s="1"/>
  <c r="HU21" i="9"/>
  <c r="HT21" i="9"/>
  <c r="HS21" i="9"/>
  <c r="HR21" i="9"/>
  <c r="HR30" i="9" s="1"/>
  <c r="HQ21" i="9"/>
  <c r="HP21" i="9"/>
  <c r="HO21" i="9"/>
  <c r="HN21" i="9"/>
  <c r="HN30" i="9" s="1"/>
  <c r="HM21" i="9"/>
  <c r="HL21" i="9"/>
  <c r="HK21" i="9"/>
  <c r="HJ21" i="9"/>
  <c r="HJ30" i="9" s="1"/>
  <c r="HI21" i="9"/>
  <c r="HH21" i="9"/>
  <c r="HG21" i="9"/>
  <c r="HF21" i="9"/>
  <c r="HF30" i="9" s="1"/>
  <c r="HE21" i="9"/>
  <c r="HD21" i="9"/>
  <c r="HC21" i="9"/>
  <c r="HB21" i="9"/>
  <c r="HA21" i="9"/>
  <c r="GZ21" i="9"/>
  <c r="GY21" i="9"/>
  <c r="GX21" i="9"/>
  <c r="GX30" i="9" s="1"/>
  <c r="GW21" i="9"/>
  <c r="GV21" i="9"/>
  <c r="GU21" i="9"/>
  <c r="GT21" i="9"/>
  <c r="GT30" i="9" s="1"/>
  <c r="GS21" i="9"/>
  <c r="GR21" i="9"/>
  <c r="GQ21" i="9"/>
  <c r="GP21" i="9"/>
  <c r="GP30" i="9" s="1"/>
  <c r="GO21" i="9"/>
  <c r="GN21" i="9"/>
  <c r="GM21" i="9"/>
  <c r="GL21" i="9"/>
  <c r="GL30" i="9" s="1"/>
  <c r="GK21" i="9"/>
  <c r="GJ21" i="9"/>
  <c r="GI21" i="9"/>
  <c r="GH21" i="9"/>
  <c r="GH30" i="9" s="1"/>
  <c r="GG21" i="9"/>
  <c r="GF21" i="9"/>
  <c r="GE21" i="9"/>
  <c r="GD21" i="9"/>
  <c r="GD30" i="9" s="1"/>
  <c r="GC21" i="9"/>
  <c r="GB21" i="9"/>
  <c r="GA21" i="9"/>
  <c r="FZ21" i="9"/>
  <c r="FZ30" i="9" s="1"/>
  <c r="FY21" i="9"/>
  <c r="FX21" i="9"/>
  <c r="FW21" i="9"/>
  <c r="FV21" i="9"/>
  <c r="FV30" i="9" s="1"/>
  <c r="FU21" i="9"/>
  <c r="FT21" i="9"/>
  <c r="FS21" i="9"/>
  <c r="FR21" i="9"/>
  <c r="FR30" i="9" s="1"/>
  <c r="FQ21" i="9"/>
  <c r="FP21" i="9"/>
  <c r="FO21" i="9"/>
  <c r="FN21" i="9"/>
  <c r="FN30" i="9" s="1"/>
  <c r="FM21" i="9"/>
  <c r="FL21" i="9"/>
  <c r="FK21" i="9"/>
  <c r="FJ21" i="9"/>
  <c r="FJ30" i="9" s="1"/>
  <c r="FI21" i="9"/>
  <c r="FH21" i="9"/>
  <c r="FG21" i="9"/>
  <c r="FF21" i="9"/>
  <c r="FF30" i="9" s="1"/>
  <c r="FE21" i="9"/>
  <c r="FD21" i="9"/>
  <c r="FC21" i="9"/>
  <c r="FB21" i="9"/>
  <c r="FB30" i="9" s="1"/>
  <c r="FA21" i="9"/>
  <c r="EZ21" i="9"/>
  <c r="EY21" i="9"/>
  <c r="EX21" i="9"/>
  <c r="EW21" i="9"/>
  <c r="EV21" i="9"/>
  <c r="EU21" i="9"/>
  <c r="ET21" i="9"/>
  <c r="ET30" i="9" s="1"/>
  <c r="ES21" i="9"/>
  <c r="ER21" i="9"/>
  <c r="EQ21" i="9"/>
  <c r="EP21" i="9"/>
  <c r="EP30" i="9" s="1"/>
  <c r="EO21" i="9"/>
  <c r="EN21" i="9"/>
  <c r="EM21" i="9"/>
  <c r="EL21" i="9"/>
  <c r="EL30" i="9" s="1"/>
  <c r="EK21" i="9"/>
  <c r="EJ21" i="9"/>
  <c r="EI21" i="9"/>
  <c r="EH21" i="9"/>
  <c r="EH30" i="9" s="1"/>
  <c r="EG21" i="9"/>
  <c r="EF21" i="9"/>
  <c r="EE21" i="9"/>
  <c r="ED21" i="9"/>
  <c r="ED30" i="9" s="1"/>
  <c r="EC21" i="9"/>
  <c r="EB21" i="9"/>
  <c r="EA21" i="9"/>
  <c r="DZ21" i="9"/>
  <c r="DZ30" i="9" s="1"/>
  <c r="DY21" i="9"/>
  <c r="DX21" i="9"/>
  <c r="DW21" i="9"/>
  <c r="DV21" i="9"/>
  <c r="DV30" i="9" s="1"/>
  <c r="DU21" i="9"/>
  <c r="DT21" i="9"/>
  <c r="DS21" i="9"/>
  <c r="DR21" i="9"/>
  <c r="DR30" i="9" s="1"/>
  <c r="DQ21" i="9"/>
  <c r="DP21" i="9"/>
  <c r="DO21" i="9"/>
  <c r="DN21" i="9"/>
  <c r="DN30" i="9" s="1"/>
  <c r="DM21" i="9"/>
  <c r="DL21" i="9"/>
  <c r="DK21" i="9"/>
  <c r="DJ21" i="9"/>
  <c r="DJ30" i="9" s="1"/>
  <c r="DI21" i="9"/>
  <c r="DH21" i="9"/>
  <c r="DG21" i="9"/>
  <c r="DF21" i="9"/>
  <c r="DF30" i="9" s="1"/>
  <c r="DE21" i="9"/>
  <c r="DD21" i="9"/>
  <c r="DC21" i="9"/>
  <c r="DB21" i="9"/>
  <c r="DB30" i="9" s="1"/>
  <c r="DA21" i="9"/>
  <c r="CZ21" i="9"/>
  <c r="CY21" i="9"/>
  <c r="CX21" i="9"/>
  <c r="CX30" i="9" s="1"/>
  <c r="CW21" i="9"/>
  <c r="CV21" i="9"/>
  <c r="CU21" i="9"/>
  <c r="CT21" i="9"/>
  <c r="CT30" i="9" s="1"/>
  <c r="CS21" i="9"/>
  <c r="CR21" i="9"/>
  <c r="CQ21" i="9"/>
  <c r="CP21" i="9"/>
  <c r="CP30" i="9" s="1"/>
  <c r="CO21" i="9"/>
  <c r="CN21" i="9"/>
  <c r="CM21" i="9"/>
  <c r="CL21" i="9"/>
  <c r="CL30" i="9" s="1"/>
  <c r="CK21" i="9"/>
  <c r="CJ21" i="9"/>
  <c r="CI21" i="9"/>
  <c r="CH21" i="9"/>
  <c r="CH30" i="9" s="1"/>
  <c r="CG21" i="9"/>
  <c r="CF21" i="9"/>
  <c r="CE21" i="9"/>
  <c r="CD21" i="9"/>
  <c r="CD30" i="9" s="1"/>
  <c r="CC21" i="9"/>
  <c r="CB21" i="9"/>
  <c r="CA21" i="9"/>
  <c r="BZ21" i="9"/>
  <c r="BZ30" i="9" s="1"/>
  <c r="BY21" i="9"/>
  <c r="BX21" i="9"/>
  <c r="BW21" i="9"/>
  <c r="BV21" i="9"/>
  <c r="BV30" i="9" s="1"/>
  <c r="BU21" i="9"/>
  <c r="BT21" i="9"/>
  <c r="BS21" i="9"/>
  <c r="BR21" i="9"/>
  <c r="BR30" i="9" s="1"/>
  <c r="BQ21" i="9"/>
  <c r="BP21" i="9"/>
  <c r="BO21" i="9"/>
  <c r="BN21" i="9"/>
  <c r="BN30" i="9" s="1"/>
  <c r="BM21" i="9"/>
  <c r="BL21" i="9"/>
  <c r="BK21" i="9"/>
  <c r="BJ21" i="9"/>
  <c r="BJ30" i="9" s="1"/>
  <c r="BI21" i="9"/>
  <c r="BH21" i="9"/>
  <c r="BG21" i="9"/>
  <c r="BF21" i="9"/>
  <c r="BF30" i="9" s="1"/>
  <c r="BE21" i="9"/>
  <c r="BD21" i="9"/>
  <c r="BC21" i="9"/>
  <c r="BB21" i="9"/>
  <c r="BB30" i="9" s="1"/>
  <c r="BA21" i="9"/>
  <c r="AZ21" i="9"/>
  <c r="AY21" i="9"/>
  <c r="AX21" i="9"/>
  <c r="AW21" i="9"/>
  <c r="AV21" i="9"/>
  <c r="AU21" i="9"/>
  <c r="AT21" i="9"/>
  <c r="AT30" i="9" s="1"/>
  <c r="AS21" i="9"/>
  <c r="AR21" i="9"/>
  <c r="AQ21" i="9"/>
  <c r="AP21" i="9"/>
  <c r="AP30" i="9" s="1"/>
  <c r="AO21" i="9"/>
  <c r="AN21" i="9"/>
  <c r="AM21" i="9"/>
  <c r="AL21" i="9"/>
  <c r="AL30" i="9" s="1"/>
  <c r="AK21" i="9"/>
  <c r="AJ21" i="9"/>
  <c r="AI21" i="9"/>
  <c r="AH21" i="9"/>
  <c r="AH30" i="9" s="1"/>
  <c r="AG21" i="9"/>
  <c r="AF21" i="9"/>
  <c r="AE21" i="9"/>
  <c r="AD21" i="9"/>
  <c r="AD30" i="9" s="1"/>
  <c r="AC21" i="9"/>
  <c r="AB21" i="9"/>
  <c r="AA21" i="9"/>
  <c r="Z21" i="9"/>
  <c r="Z30" i="9" s="1"/>
  <c r="Y21" i="9"/>
  <c r="X21" i="9"/>
  <c r="W21" i="9"/>
  <c r="V21" i="9"/>
  <c r="V30" i="9" s="1"/>
  <c r="U21" i="9"/>
  <c r="T21" i="9"/>
  <c r="S21" i="9"/>
  <c r="R21" i="9"/>
  <c r="R30" i="9" s="1"/>
  <c r="Q21" i="9"/>
  <c r="P21" i="9"/>
  <c r="O21" i="9"/>
  <c r="N21" i="9"/>
  <c r="N30" i="9" s="1"/>
  <c r="M21" i="9"/>
  <c r="L21" i="9"/>
  <c r="K21" i="9"/>
  <c r="J21" i="9"/>
  <c r="I21" i="9"/>
  <c r="H21" i="9"/>
  <c r="G21" i="9"/>
  <c r="F30" i="9"/>
  <c r="MO40" i="1"/>
  <c r="MN40" i="1"/>
  <c r="MM40" i="1"/>
  <c r="ML40" i="1"/>
  <c r="MK40" i="1"/>
  <c r="MJ40" i="1"/>
  <c r="MI40" i="1"/>
  <c r="MH40" i="1"/>
  <c r="MG40" i="1"/>
  <c r="MF40" i="1"/>
  <c r="ME40" i="1"/>
  <c r="MD40" i="1"/>
  <c r="MC40" i="1"/>
  <c r="MB40" i="1"/>
  <c r="MA40" i="1"/>
  <c r="LZ40" i="1"/>
  <c r="LX40" i="1"/>
  <c r="LW40" i="1"/>
  <c r="LV40" i="1"/>
  <c r="LU40" i="1"/>
  <c r="LT40" i="1"/>
  <c r="LS40" i="1"/>
  <c r="LR40" i="1"/>
  <c r="LQ40" i="1"/>
  <c r="LP40" i="1"/>
  <c r="LO40" i="1"/>
  <c r="LN40" i="1"/>
  <c r="LM40" i="1"/>
  <c r="LL40" i="1"/>
  <c r="LK40" i="1"/>
  <c r="LJ40" i="1"/>
  <c r="LI40" i="1"/>
  <c r="LH40" i="1"/>
  <c r="LG40" i="1"/>
  <c r="LF40" i="1"/>
  <c r="LE40" i="1"/>
  <c r="LD40" i="1"/>
  <c r="LC40" i="1"/>
  <c r="LB40" i="1"/>
  <c r="LA40" i="1"/>
  <c r="KZ40" i="1"/>
  <c r="KY40" i="1"/>
  <c r="KX40" i="1"/>
  <c r="KW40" i="1"/>
  <c r="KV40" i="1"/>
  <c r="KU40" i="1"/>
  <c r="KT40" i="1"/>
  <c r="KS40" i="1"/>
  <c r="KR40" i="1"/>
  <c r="KQ40" i="1"/>
  <c r="KP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JL40" i="1"/>
  <c r="JK40" i="1"/>
  <c r="JJ40" i="1"/>
  <c r="JI40" i="1"/>
  <c r="JH40" i="1"/>
  <c r="JG40" i="1"/>
  <c r="JF40" i="1"/>
  <c r="JE40" i="1"/>
  <c r="JD40" i="1"/>
  <c r="JC40" i="1"/>
  <c r="IY40" i="1"/>
  <c r="IX40" i="1"/>
  <c r="IW40" i="1"/>
  <c r="IV40" i="1"/>
  <c r="IU40" i="1"/>
  <c r="IT40" i="1"/>
  <c r="IS40" i="1"/>
  <c r="IR40" i="1"/>
  <c r="II40" i="1"/>
  <c r="IH40" i="1"/>
  <c r="IG40" i="1"/>
  <c r="IF40" i="1"/>
  <c r="IE40" i="1"/>
  <c r="ID40" i="1"/>
  <c r="IC40" i="1"/>
  <c r="IB40" i="1"/>
  <c r="IA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GJ40" i="1"/>
  <c r="GI40" i="1"/>
  <c r="GH40" i="1"/>
  <c r="GG40" i="1"/>
  <c r="GF40" i="1"/>
  <c r="GE40" i="1"/>
  <c r="GD40" i="1"/>
  <c r="GC40" i="1"/>
  <c r="GB40" i="1"/>
  <c r="GA40" i="1"/>
  <c r="FW40" i="1"/>
  <c r="FV40" i="1"/>
  <c r="FU40" i="1"/>
  <c r="FT40" i="1"/>
  <c r="FS40" i="1"/>
  <c r="FR40" i="1"/>
  <c r="FQ40" i="1"/>
  <c r="FP40" i="1"/>
  <c r="FO40" i="1"/>
  <c r="FN40" i="1"/>
  <c r="FJ40" i="1"/>
  <c r="FI40" i="1"/>
  <c r="FH40" i="1"/>
  <c r="FG40" i="1"/>
  <c r="FF40" i="1"/>
  <c r="FE40" i="1"/>
  <c r="FD40" i="1"/>
  <c r="FC40" i="1"/>
  <c r="FB40" i="1"/>
  <c r="FA40" i="1"/>
  <c r="DX40" i="1"/>
  <c r="DW40" i="1"/>
  <c r="DV40" i="1"/>
  <c r="DU40" i="1"/>
  <c r="DT40" i="1"/>
  <c r="DS40" i="1"/>
  <c r="DR40" i="1"/>
  <c r="DQ40" i="1"/>
  <c r="DP40" i="1"/>
  <c r="DO40" i="1"/>
  <c r="DK40" i="1"/>
  <c r="DJ40" i="1"/>
  <c r="DI40" i="1"/>
  <c r="DH40" i="1"/>
  <c r="DG40" i="1"/>
  <c r="DF40" i="1"/>
  <c r="DE40" i="1"/>
  <c r="DD40" i="1"/>
  <c r="DC40" i="1"/>
  <c r="DB40" i="1"/>
  <c r="CX40" i="1"/>
  <c r="CW40" i="1"/>
  <c r="CV40" i="1"/>
  <c r="CU40" i="1"/>
  <c r="CT40" i="1"/>
  <c r="CS40" i="1"/>
  <c r="CR40" i="1"/>
  <c r="CQ40" i="1"/>
  <c r="CP40" i="1"/>
  <c r="CO40" i="1"/>
  <c r="CK40" i="1"/>
  <c r="CJ40" i="1"/>
  <c r="CI40" i="1"/>
  <c r="CH40" i="1"/>
  <c r="CG40" i="1"/>
  <c r="CF40" i="1"/>
  <c r="CE40" i="1"/>
  <c r="CD40" i="1"/>
  <c r="CC40" i="1"/>
  <c r="CB40" i="1"/>
  <c r="BX40" i="1"/>
  <c r="BW40" i="1"/>
  <c r="BV40" i="1"/>
  <c r="BU40" i="1"/>
  <c r="BT40" i="1"/>
  <c r="BS40" i="1"/>
  <c r="BR40" i="1"/>
  <c r="BQ40" i="1"/>
  <c r="BP40" i="1"/>
  <c r="BO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V40" i="1"/>
  <c r="AU40" i="1"/>
  <c r="AT40" i="1"/>
  <c r="AS40" i="1"/>
  <c r="AR40" i="1"/>
  <c r="AQ40" i="1"/>
  <c r="AP40" i="1"/>
  <c r="AO40" i="1"/>
  <c r="AN40" i="1"/>
  <c r="AM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MO36" i="1"/>
  <c r="MN36" i="1"/>
  <c r="MM36" i="1"/>
  <c r="ML36" i="1"/>
  <c r="MK36" i="1"/>
  <c r="MJ36" i="1"/>
  <c r="MI36" i="1"/>
  <c r="MH36" i="1"/>
  <c r="MG36" i="1"/>
  <c r="MF36" i="1"/>
  <c r="ME36" i="1"/>
  <c r="MD36" i="1"/>
  <c r="MC36" i="1"/>
  <c r="MB36" i="1"/>
  <c r="MA36" i="1"/>
  <c r="LZ36" i="1"/>
  <c r="LY36" i="1"/>
  <c r="V134" i="5" s="1"/>
  <c r="LX36" i="1"/>
  <c r="LW36" i="1"/>
  <c r="LV36" i="1"/>
  <c r="LU36" i="1"/>
  <c r="LT36" i="1"/>
  <c r="LS36" i="1"/>
  <c r="LR36" i="1"/>
  <c r="LQ36" i="1"/>
  <c r="LP36" i="1"/>
  <c r="LO36" i="1"/>
  <c r="LN36" i="1"/>
  <c r="LM36" i="1"/>
  <c r="U134" i="5" s="1"/>
  <c r="LL36" i="1"/>
  <c r="LK36" i="1"/>
  <c r="LJ36" i="1"/>
  <c r="LI36" i="1"/>
  <c r="LH36" i="1"/>
  <c r="LG36" i="1"/>
  <c r="LF36" i="1"/>
  <c r="LE36" i="1"/>
  <c r="LD36" i="1"/>
  <c r="S134" i="5" s="1"/>
  <c r="LC36" i="1"/>
  <c r="R134" i="5" s="1"/>
  <c r="LB36" i="1"/>
  <c r="Q134" i="5" s="1"/>
  <c r="LA36" i="1"/>
  <c r="P134" i="5" s="1"/>
  <c r="KZ36" i="1"/>
  <c r="O134" i="5" s="1"/>
  <c r="KY36" i="1"/>
  <c r="N134" i="5" s="1"/>
  <c r="KX36" i="1"/>
  <c r="K134" i="5" s="1"/>
  <c r="KW36" i="1"/>
  <c r="I134" i="5" s="1"/>
  <c r="KV36" i="1"/>
  <c r="H134" i="5" s="1"/>
  <c r="KU36" i="1"/>
  <c r="G134" i="5" s="1"/>
  <c r="KT36" i="1"/>
  <c r="F134" i="5" s="1"/>
  <c r="KS36" i="1"/>
  <c r="E134" i="5" s="1"/>
  <c r="KR36" i="1"/>
  <c r="D134" i="5" s="1"/>
  <c r="KQ36" i="1"/>
  <c r="C134" i="5" s="1"/>
  <c r="KP36" i="1"/>
  <c r="B134" i="5" s="1"/>
  <c r="KO36" i="1"/>
  <c r="KN36" i="1"/>
  <c r="KM36" i="1"/>
  <c r="KL36" i="1"/>
  <c r="KK36" i="1"/>
  <c r="KJ36" i="1"/>
  <c r="KI36" i="1"/>
  <c r="KH36" i="1"/>
  <c r="KG36" i="1"/>
  <c r="KF36" i="1"/>
  <c r="KE36" i="1"/>
  <c r="KD36" i="1"/>
  <c r="M134" i="5" s="1"/>
  <c r="KC36" i="1"/>
  <c r="L134" i="5" s="1"/>
  <c r="KB36" i="1"/>
  <c r="KA36" i="1"/>
  <c r="JZ36" i="1"/>
  <c r="JY36" i="1"/>
  <c r="Q100" i="5" s="1"/>
  <c r="JX36" i="1"/>
  <c r="Q99" i="5" s="1"/>
  <c r="JW36" i="1"/>
  <c r="M100" i="5" s="1"/>
  <c r="JV36" i="1"/>
  <c r="M99" i="5" s="1"/>
  <c r="JU36" i="1"/>
  <c r="O100" i="5" s="1"/>
  <c r="JT36" i="1"/>
  <c r="O99" i="5" s="1"/>
  <c r="JS36" i="1"/>
  <c r="K100" i="5" s="1"/>
  <c r="JR36" i="1"/>
  <c r="K99" i="5" s="1"/>
  <c r="JQ36" i="1"/>
  <c r="I100" i="5" s="1"/>
  <c r="JP36" i="1"/>
  <c r="I99" i="5" s="1"/>
  <c r="JO36" i="1"/>
  <c r="JN36" i="1"/>
  <c r="W9" i="5" s="1"/>
  <c r="W10" i="5" s="1"/>
  <c r="JM36" i="1"/>
  <c r="V9" i="5" s="1"/>
  <c r="JL36" i="1"/>
  <c r="JK36" i="1"/>
  <c r="JJ36" i="1"/>
  <c r="JI36" i="1"/>
  <c r="JH36" i="1"/>
  <c r="JG36" i="1"/>
  <c r="JF36" i="1"/>
  <c r="JE36" i="1"/>
  <c r="JD36" i="1"/>
  <c r="JC36" i="1"/>
  <c r="JB36" i="1"/>
  <c r="JA36" i="1"/>
  <c r="T9" i="5" s="1"/>
  <c r="T10" i="5" s="1"/>
  <c r="IZ36" i="1"/>
  <c r="S9" i="5" s="1"/>
  <c r="IY36" i="1"/>
  <c r="IX36" i="1"/>
  <c r="IW36" i="1"/>
  <c r="IV36" i="1"/>
  <c r="IU36" i="1"/>
  <c r="IT36" i="1"/>
  <c r="IS36" i="1"/>
  <c r="IR36" i="1"/>
  <c r="IQ36" i="1"/>
  <c r="IP36" i="1"/>
  <c r="IO36" i="1"/>
  <c r="IN36" i="1"/>
  <c r="IM36" i="1"/>
  <c r="IL36" i="1"/>
  <c r="IK36" i="1"/>
  <c r="IJ36" i="1"/>
  <c r="II36" i="1"/>
  <c r="M66" i="5" s="1"/>
  <c r="IH36" i="1"/>
  <c r="K66" i="5" s="1"/>
  <c r="IG36" i="1"/>
  <c r="I66" i="5" s="1"/>
  <c r="IF36" i="1"/>
  <c r="M65" i="5" s="1"/>
  <c r="IE36" i="1"/>
  <c r="K65" i="5" s="1"/>
  <c r="ID36" i="1"/>
  <c r="I65" i="5" s="1"/>
  <c r="IC36" i="1"/>
  <c r="M64" i="5" s="1"/>
  <c r="IB36" i="1"/>
  <c r="K64" i="5" s="1"/>
  <c r="IA36" i="1"/>
  <c r="I64" i="5" s="1"/>
  <c r="HZ36" i="1"/>
  <c r="HY36" i="1"/>
  <c r="HX36" i="1"/>
  <c r="HW36" i="1"/>
  <c r="HV36" i="1"/>
  <c r="M62" i="5" s="1"/>
  <c r="HU36" i="1"/>
  <c r="K62" i="5" s="1"/>
  <c r="HT36" i="1"/>
  <c r="I62" i="5" s="1"/>
  <c r="HS36" i="1"/>
  <c r="M61" i="5" s="1"/>
  <c r="HR36" i="1"/>
  <c r="K61" i="5" s="1"/>
  <c r="HQ36" i="1"/>
  <c r="I61" i="5" s="1"/>
  <c r="HP36" i="1"/>
  <c r="M60" i="5" s="1"/>
  <c r="HO36" i="1"/>
  <c r="K60" i="5" s="1"/>
  <c r="HN36" i="1"/>
  <c r="I60" i="5" s="1"/>
  <c r="HM36" i="1"/>
  <c r="M59" i="5" s="1"/>
  <c r="HL36" i="1"/>
  <c r="K59" i="5" s="1"/>
  <c r="HK36" i="1"/>
  <c r="I59" i="5" s="1"/>
  <c r="HJ36" i="1"/>
  <c r="M58" i="5" s="1"/>
  <c r="HI36" i="1"/>
  <c r="K58" i="5" s="1"/>
  <c r="HH36" i="1"/>
  <c r="I58" i="5" s="1"/>
  <c r="HG36" i="1"/>
  <c r="M57" i="5" s="1"/>
  <c r="HF36" i="1"/>
  <c r="K57" i="5" s="1"/>
  <c r="HE36" i="1"/>
  <c r="I57" i="5" s="1"/>
  <c r="HD36" i="1"/>
  <c r="HC36" i="1"/>
  <c r="Q9" i="5" s="1"/>
  <c r="Q10" i="5" s="1"/>
  <c r="HB36" i="1"/>
  <c r="P9" i="5" s="1"/>
  <c r="HA36" i="1"/>
  <c r="GZ36" i="1"/>
  <c r="GY36" i="1"/>
  <c r="GX36" i="1"/>
  <c r="GW36" i="1"/>
  <c r="GV36" i="1"/>
  <c r="GU36" i="1"/>
  <c r="GT36" i="1"/>
  <c r="GS36" i="1"/>
  <c r="GR36" i="1"/>
  <c r="GQ36" i="1"/>
  <c r="GP36" i="1"/>
  <c r="GO36" i="1"/>
  <c r="GN36" i="1"/>
  <c r="GM36" i="1"/>
  <c r="GL36" i="1"/>
  <c r="GK36" i="1"/>
  <c r="GJ36" i="1"/>
  <c r="GI36" i="1"/>
  <c r="GH36" i="1"/>
  <c r="GG36" i="1"/>
  <c r="GF36" i="1"/>
  <c r="GE36" i="1"/>
  <c r="GD36" i="1"/>
  <c r="GC36" i="1"/>
  <c r="GB36" i="1"/>
  <c r="GA36" i="1"/>
  <c r="FZ36" i="1"/>
  <c r="FY36" i="1"/>
  <c r="FX36" i="1"/>
  <c r="FW36" i="1"/>
  <c r="V46" i="5" s="1"/>
  <c r="Z46" i="5" s="1"/>
  <c r="FV36" i="1"/>
  <c r="U46" i="5" s="1"/>
  <c r="Y46" i="5" s="1"/>
  <c r="FU36" i="1"/>
  <c r="V45" i="5" s="1"/>
  <c r="FT36" i="1"/>
  <c r="U45" i="5" s="1"/>
  <c r="FS36" i="1"/>
  <c r="V44" i="5" s="1"/>
  <c r="FR36" i="1"/>
  <c r="U44" i="5" s="1"/>
  <c r="FQ36" i="1"/>
  <c r="V43" i="5" s="1"/>
  <c r="FP36" i="1"/>
  <c r="U43" i="5" s="1"/>
  <c r="FO36" i="1"/>
  <c r="V42" i="5" s="1"/>
  <c r="FN36" i="1"/>
  <c r="U42" i="5" s="1"/>
  <c r="FM36" i="1"/>
  <c r="FL36" i="1"/>
  <c r="FK36" i="1"/>
  <c r="FJ36" i="1"/>
  <c r="T45" i="5" s="1"/>
  <c r="FI36" i="1"/>
  <c r="S45" i="5" s="1"/>
  <c r="FH36" i="1"/>
  <c r="T44" i="5" s="1"/>
  <c r="FG36" i="1"/>
  <c r="S44" i="5" s="1"/>
  <c r="FF36" i="1"/>
  <c r="T43" i="5" s="1"/>
  <c r="FE36" i="1"/>
  <c r="S43" i="5" s="1"/>
  <c r="FD36" i="1"/>
  <c r="T42" i="5" s="1"/>
  <c r="FC36" i="1"/>
  <c r="S42" i="5" s="1"/>
  <c r="FB36" i="1"/>
  <c r="T41" i="5" s="1"/>
  <c r="FA36" i="1"/>
  <c r="S41" i="5" s="1"/>
  <c r="EZ36" i="1"/>
  <c r="EY36" i="1"/>
  <c r="N9" i="5" s="1"/>
  <c r="N10" i="5" s="1"/>
  <c r="EX36" i="1"/>
  <c r="M9" i="5" s="1"/>
  <c r="EW36" i="1"/>
  <c r="EV36" i="1"/>
  <c r="EU36" i="1"/>
  <c r="ET36" i="1"/>
  <c r="ES36" i="1"/>
  <c r="ER36" i="1"/>
  <c r="EQ36" i="1"/>
  <c r="EP36" i="1"/>
  <c r="EO36" i="1"/>
  <c r="EN36" i="1"/>
  <c r="EM36" i="1"/>
  <c r="EL36" i="1"/>
  <c r="EK36" i="1"/>
  <c r="EJ36" i="1"/>
  <c r="EI36" i="1"/>
  <c r="EH36" i="1"/>
  <c r="EG36" i="1"/>
  <c r="EF36" i="1"/>
  <c r="EE36" i="1"/>
  <c r="ED36" i="1"/>
  <c r="EC36" i="1"/>
  <c r="EB36" i="1"/>
  <c r="EA36" i="1"/>
  <c r="DZ36" i="1"/>
  <c r="DY36" i="1"/>
  <c r="DX36" i="1"/>
  <c r="O44" i="5" s="1"/>
  <c r="Q44" i="5" s="1"/>
  <c r="DW36" i="1"/>
  <c r="N44" i="5" s="1"/>
  <c r="P44" i="5" s="1"/>
  <c r="DV36" i="1"/>
  <c r="O43" i="5" s="1"/>
  <c r="DU36" i="1"/>
  <c r="N43" i="5" s="1"/>
  <c r="DT36" i="1"/>
  <c r="O42" i="5" s="1"/>
  <c r="DS36" i="1"/>
  <c r="N42" i="5" s="1"/>
  <c r="DR36" i="1"/>
  <c r="O41" i="5" s="1"/>
  <c r="DQ36" i="1"/>
  <c r="N41" i="5" s="1"/>
  <c r="DP36" i="1"/>
  <c r="O40" i="5" s="1"/>
  <c r="DO36" i="1"/>
  <c r="N40" i="5" s="1"/>
  <c r="DN36" i="1"/>
  <c r="DM36" i="1"/>
  <c r="DL36" i="1"/>
  <c r="DK36" i="1"/>
  <c r="M43" i="5" s="1"/>
  <c r="DJ36" i="1"/>
  <c r="L43" i="5" s="1"/>
  <c r="DI36" i="1"/>
  <c r="M42" i="5" s="1"/>
  <c r="DH36" i="1"/>
  <c r="L42" i="5" s="1"/>
  <c r="DG36" i="1"/>
  <c r="M41" i="5" s="1"/>
  <c r="DF36" i="1"/>
  <c r="L41" i="5" s="1"/>
  <c r="DE36" i="1"/>
  <c r="M40" i="5" s="1"/>
  <c r="DD36" i="1"/>
  <c r="L40" i="5" s="1"/>
  <c r="DC36" i="1"/>
  <c r="M39" i="5" s="1"/>
  <c r="DB36" i="1"/>
  <c r="L39" i="5" s="1"/>
  <c r="DA36" i="1"/>
  <c r="CZ36" i="1"/>
  <c r="CY36" i="1"/>
  <c r="CX36" i="1"/>
  <c r="K42" i="5" s="1"/>
  <c r="CW36" i="1"/>
  <c r="J42" i="5" s="1"/>
  <c r="CV36" i="1"/>
  <c r="K41" i="5" s="1"/>
  <c r="CU36" i="1"/>
  <c r="J41" i="5" s="1"/>
  <c r="CT36" i="1"/>
  <c r="K40" i="5" s="1"/>
  <c r="CS36" i="1"/>
  <c r="J40" i="5" s="1"/>
  <c r="CR36" i="1"/>
  <c r="K39" i="5" s="1"/>
  <c r="CQ36" i="1"/>
  <c r="J39" i="5" s="1"/>
  <c r="CP36" i="1"/>
  <c r="K38" i="5" s="1"/>
  <c r="CO36" i="1"/>
  <c r="J38" i="5" s="1"/>
  <c r="CN36" i="1"/>
  <c r="CM36" i="1"/>
  <c r="CL36" i="1"/>
  <c r="CK36" i="1"/>
  <c r="I41" i="5" s="1"/>
  <c r="CJ36" i="1"/>
  <c r="H41" i="5" s="1"/>
  <c r="CI36" i="1"/>
  <c r="I40" i="5" s="1"/>
  <c r="CH36" i="1"/>
  <c r="H40" i="5" s="1"/>
  <c r="CG36" i="1"/>
  <c r="I39" i="5" s="1"/>
  <c r="CF36" i="1"/>
  <c r="H39" i="5" s="1"/>
  <c r="CE36" i="1"/>
  <c r="I38" i="5" s="1"/>
  <c r="CD36" i="1"/>
  <c r="H38" i="5" s="1"/>
  <c r="CC36" i="1"/>
  <c r="I37" i="5" s="1"/>
  <c r="CB36" i="1"/>
  <c r="H37" i="5" s="1"/>
  <c r="CA36" i="1"/>
  <c r="BZ36" i="1"/>
  <c r="BY36" i="1"/>
  <c r="BX36" i="1"/>
  <c r="G40" i="5" s="1"/>
  <c r="BW36" i="1"/>
  <c r="F40" i="5" s="1"/>
  <c r="BV36" i="1"/>
  <c r="G39" i="5" s="1"/>
  <c r="BU36" i="1"/>
  <c r="F39" i="5" s="1"/>
  <c r="BT36" i="1"/>
  <c r="G38" i="5" s="1"/>
  <c r="BS36" i="1"/>
  <c r="F38" i="5" s="1"/>
  <c r="BR36" i="1"/>
  <c r="G37" i="5" s="1"/>
  <c r="BQ36" i="1"/>
  <c r="F37" i="5" s="1"/>
  <c r="BP36" i="1"/>
  <c r="G36" i="5" s="1"/>
  <c r="BO36" i="1"/>
  <c r="F36" i="5" s="1"/>
  <c r="BN36" i="1"/>
  <c r="BM36" i="1"/>
  <c r="BL36" i="1"/>
  <c r="BK36" i="1"/>
  <c r="E39" i="5" s="1"/>
  <c r="BJ36" i="1"/>
  <c r="D39" i="5" s="1"/>
  <c r="BI36" i="1"/>
  <c r="E38" i="5" s="1"/>
  <c r="BH36" i="1"/>
  <c r="D38" i="5" s="1"/>
  <c r="BG36" i="1"/>
  <c r="E37" i="5" s="1"/>
  <c r="BF36" i="1"/>
  <c r="D37" i="5" s="1"/>
  <c r="BE36" i="1"/>
  <c r="E36" i="5" s="1"/>
  <c r="BD36" i="1"/>
  <c r="D36" i="5" s="1"/>
  <c r="BC36" i="1"/>
  <c r="E35" i="5" s="1"/>
  <c r="Q35" i="5" s="1"/>
  <c r="BB36" i="1"/>
  <c r="D35" i="5" s="1"/>
  <c r="P35" i="5" s="1"/>
  <c r="BA36" i="1"/>
  <c r="E34" i="5" s="1"/>
  <c r="AZ36" i="1"/>
  <c r="D34" i="5" s="1"/>
  <c r="AY36" i="1"/>
  <c r="AX36" i="1"/>
  <c r="K9" i="5" s="1"/>
  <c r="K10" i="5" s="1"/>
  <c r="AW36" i="1"/>
  <c r="J9" i="5" s="1"/>
  <c r="AV36" i="1"/>
  <c r="V19" i="5" s="1"/>
  <c r="AU36" i="1"/>
  <c r="V17" i="5" s="1"/>
  <c r="AT36" i="1"/>
  <c r="U19" i="5" s="1"/>
  <c r="AS36" i="1"/>
  <c r="U17" i="5" s="1"/>
  <c r="AR36" i="1"/>
  <c r="T19" i="5" s="1"/>
  <c r="AQ36" i="1"/>
  <c r="T17" i="5" s="1"/>
  <c r="AP36" i="1"/>
  <c r="S19" i="5" s="1"/>
  <c r="AO36" i="1"/>
  <c r="S17" i="5" s="1"/>
  <c r="AN36" i="1"/>
  <c r="R19" i="5" s="1"/>
  <c r="AM36" i="1"/>
  <c r="R17" i="5" s="1"/>
  <c r="AL36" i="1"/>
  <c r="AK36" i="1"/>
  <c r="H9" i="5" s="1"/>
  <c r="H10" i="5" s="1"/>
  <c r="AJ36" i="1"/>
  <c r="G9" i="5" s="1"/>
  <c r="AI36" i="1"/>
  <c r="J19" i="5" s="1"/>
  <c r="AH36" i="1"/>
  <c r="J17" i="5" s="1"/>
  <c r="AG36" i="1"/>
  <c r="I19" i="5" s="1"/>
  <c r="AF36" i="1"/>
  <c r="I17" i="5" s="1"/>
  <c r="AE36" i="1"/>
  <c r="H19" i="5" s="1"/>
  <c r="AD36" i="1"/>
  <c r="H17" i="5" s="1"/>
  <c r="AC36" i="1"/>
  <c r="G19" i="5" s="1"/>
  <c r="AB36" i="1"/>
  <c r="G17" i="5" s="1"/>
  <c r="AA36" i="1"/>
  <c r="F19" i="5" s="1"/>
  <c r="Z36" i="1"/>
  <c r="F17" i="5" s="1"/>
  <c r="Y36" i="1"/>
  <c r="E19" i="5" s="1"/>
  <c r="X36" i="1"/>
  <c r="E17" i="5" s="1"/>
  <c r="W36" i="1"/>
  <c r="V36" i="1"/>
  <c r="U36" i="1"/>
  <c r="T36" i="1"/>
  <c r="S36" i="1"/>
  <c r="R36" i="1"/>
  <c r="Q36" i="1"/>
  <c r="Z9" i="5" s="1"/>
  <c r="Z10" i="5" s="1"/>
  <c r="P36" i="1"/>
  <c r="Y9" i="5" s="1"/>
  <c r="Y10" i="5" s="1"/>
  <c r="O36" i="1"/>
  <c r="N36" i="1"/>
  <c r="M36" i="1"/>
  <c r="L36" i="1"/>
  <c r="K36" i="1"/>
  <c r="J36" i="1"/>
  <c r="E9" i="5" s="1"/>
  <c r="E10" i="5" s="1"/>
  <c r="I36" i="1"/>
  <c r="D9" i="5" s="1"/>
  <c r="D10" i="5" s="1"/>
  <c r="H36" i="1"/>
  <c r="C9" i="5" s="1"/>
  <c r="G36" i="1"/>
  <c r="F36" i="1"/>
  <c r="MO33" i="1"/>
  <c r="MN33" i="1"/>
  <c r="R49" i="4" s="1"/>
  <c r="MM33" i="1"/>
  <c r="ML33" i="1"/>
  <c r="P49" i="4" s="1"/>
  <c r="MK33" i="1"/>
  <c r="MJ33" i="1"/>
  <c r="N49" i="4" s="1"/>
  <c r="MI33" i="1"/>
  <c r="MH33" i="1"/>
  <c r="L49" i="4" s="1"/>
  <c r="MG33" i="1"/>
  <c r="MF33" i="1"/>
  <c r="J49" i="4" s="1"/>
  <c r="ME33" i="1"/>
  <c r="MD33" i="1"/>
  <c r="H49" i="4" s="1"/>
  <c r="MC33" i="1"/>
  <c r="MB33" i="1"/>
  <c r="F49" i="4" s="1"/>
  <c r="MA33" i="1"/>
  <c r="LZ33" i="1"/>
  <c r="D49" i="4" s="1"/>
  <c r="LX33" i="1"/>
  <c r="LW33" i="1"/>
  <c r="LV33" i="1"/>
  <c r="LU33" i="1"/>
  <c r="LT33" i="1"/>
  <c r="LS33" i="1"/>
  <c r="LR33" i="1"/>
  <c r="LQ33" i="1"/>
  <c r="LP33" i="1"/>
  <c r="LO33" i="1"/>
  <c r="LN33" i="1"/>
  <c r="LM33" i="1"/>
  <c r="V39" i="4" s="1"/>
  <c r="LL33" i="1"/>
  <c r="LK33" i="1"/>
  <c r="LJ33" i="1"/>
  <c r="LI33" i="1"/>
  <c r="LH33" i="1"/>
  <c r="LG33" i="1"/>
  <c r="LF33" i="1"/>
  <c r="LE33" i="1"/>
  <c r="LD33" i="1"/>
  <c r="LC33" i="1"/>
  <c r="LB33" i="1"/>
  <c r="LA33" i="1"/>
  <c r="KZ33" i="1"/>
  <c r="KY33" i="1"/>
  <c r="O39" i="4" s="1"/>
  <c r="KX33" i="1"/>
  <c r="L39" i="4" s="1"/>
  <c r="KW33" i="1"/>
  <c r="J39" i="4" s="1"/>
  <c r="KV33" i="1"/>
  <c r="I39" i="4" s="1"/>
  <c r="KU33" i="1"/>
  <c r="H39" i="4" s="1"/>
  <c r="KT33" i="1"/>
  <c r="G39" i="4" s="1"/>
  <c r="KS33" i="1"/>
  <c r="F39" i="4" s="1"/>
  <c r="KR33" i="1"/>
  <c r="E39" i="4" s="1"/>
  <c r="KQ33" i="1"/>
  <c r="D39" i="4" s="1"/>
  <c r="KP33" i="1"/>
  <c r="C39" i="4" s="1"/>
  <c r="KN33" i="1"/>
  <c r="KM33" i="1"/>
  <c r="KL33" i="1"/>
  <c r="S44" i="4" s="1"/>
  <c r="KK33" i="1"/>
  <c r="Q44" i="4" s="1"/>
  <c r="KJ33" i="1"/>
  <c r="O44" i="4" s="1"/>
  <c r="KI33" i="1"/>
  <c r="M44" i="4" s="1"/>
  <c r="KH33" i="1"/>
  <c r="K44" i="4" s="1"/>
  <c r="KG33" i="1"/>
  <c r="G44" i="4" s="1"/>
  <c r="KF33" i="1"/>
  <c r="E44" i="4" s="1"/>
  <c r="KE33" i="1"/>
  <c r="C44" i="4" s="1"/>
  <c r="KD33" i="1"/>
  <c r="N39" i="4" s="1"/>
  <c r="KC33" i="1"/>
  <c r="M39" i="4" s="1"/>
  <c r="JL33" i="1"/>
  <c r="JK33" i="1"/>
  <c r="JJ33" i="1"/>
  <c r="JI33" i="1"/>
  <c r="JH33" i="1"/>
  <c r="JG33" i="1"/>
  <c r="JF33" i="1"/>
  <c r="JE33" i="1"/>
  <c r="JD33" i="1"/>
  <c r="JC33" i="1"/>
  <c r="IY33" i="1"/>
  <c r="IX33" i="1"/>
  <c r="IW33" i="1"/>
  <c r="IV33" i="1"/>
  <c r="IU33" i="1"/>
  <c r="IT33" i="1"/>
  <c r="IS33" i="1"/>
  <c r="IR33" i="1"/>
  <c r="II33" i="1"/>
  <c r="IH33" i="1"/>
  <c r="N27" i="4" s="1"/>
  <c r="IG33" i="1"/>
  <c r="L27" i="4" s="1"/>
  <c r="IF33" i="1"/>
  <c r="IE33" i="1"/>
  <c r="N26" i="4" s="1"/>
  <c r="ID33" i="1"/>
  <c r="L26" i="4" s="1"/>
  <c r="R26" i="4" s="1"/>
  <c r="IC33" i="1"/>
  <c r="IB33" i="1"/>
  <c r="N25" i="4" s="1"/>
  <c r="IA33" i="1"/>
  <c r="L25" i="4" s="1"/>
  <c r="HV33" i="1"/>
  <c r="HU33" i="1"/>
  <c r="N23" i="4" s="1"/>
  <c r="HT33" i="1"/>
  <c r="L23" i="4" s="1"/>
  <c r="HS33" i="1"/>
  <c r="HR33" i="1"/>
  <c r="N22" i="4" s="1"/>
  <c r="HQ33" i="1"/>
  <c r="L22" i="4" s="1"/>
  <c r="HP33" i="1"/>
  <c r="HO33" i="1"/>
  <c r="N21" i="4" s="1"/>
  <c r="HN33" i="1"/>
  <c r="L21" i="4" s="1"/>
  <c r="HM33" i="1"/>
  <c r="HL33" i="1"/>
  <c r="N20" i="4" s="1"/>
  <c r="HK33" i="1"/>
  <c r="L20" i="4" s="1"/>
  <c r="HJ33" i="1"/>
  <c r="HI33" i="1"/>
  <c r="N19" i="4" s="1"/>
  <c r="HH33" i="1"/>
  <c r="L19" i="4" s="1"/>
  <c r="HG33" i="1"/>
  <c r="HF33" i="1"/>
  <c r="N18" i="4" s="1"/>
  <c r="HE33" i="1"/>
  <c r="GJ33" i="1"/>
  <c r="GI33" i="1"/>
  <c r="GH33" i="1"/>
  <c r="GG33" i="1"/>
  <c r="GF33" i="1"/>
  <c r="GE33" i="1"/>
  <c r="GD33" i="1"/>
  <c r="GC33" i="1"/>
  <c r="GB33" i="1"/>
  <c r="GA33" i="1"/>
  <c r="FW33" i="1"/>
  <c r="FV33" i="1"/>
  <c r="FU33" i="1"/>
  <c r="FT33" i="1"/>
  <c r="FS33" i="1"/>
  <c r="FR33" i="1"/>
  <c r="FQ33" i="1"/>
  <c r="FP33" i="1"/>
  <c r="FO33" i="1"/>
  <c r="FN33" i="1"/>
  <c r="FJ33" i="1"/>
  <c r="FI33" i="1"/>
  <c r="FH33" i="1"/>
  <c r="FG33" i="1"/>
  <c r="FF33" i="1"/>
  <c r="FE33" i="1"/>
  <c r="FD33" i="1"/>
  <c r="FC33" i="1"/>
  <c r="FB33" i="1"/>
  <c r="FA33" i="1"/>
  <c r="DX33" i="1"/>
  <c r="DW33" i="1"/>
  <c r="DV33" i="1"/>
  <c r="DU33" i="1"/>
  <c r="DT33" i="1"/>
  <c r="DS33" i="1"/>
  <c r="DR33" i="1"/>
  <c r="DQ33" i="1"/>
  <c r="DP33" i="1"/>
  <c r="DO33" i="1"/>
  <c r="DK33" i="1"/>
  <c r="DJ33" i="1"/>
  <c r="DI33" i="1"/>
  <c r="DH33" i="1"/>
  <c r="DG33" i="1"/>
  <c r="DF33" i="1"/>
  <c r="DE33" i="1"/>
  <c r="DD33" i="1"/>
  <c r="DC33" i="1"/>
  <c r="DB33" i="1"/>
  <c r="CX33" i="1"/>
  <c r="CW33" i="1"/>
  <c r="CV33" i="1"/>
  <c r="CU33" i="1"/>
  <c r="CT33" i="1"/>
  <c r="CS33" i="1"/>
  <c r="CR33" i="1"/>
  <c r="CQ33" i="1"/>
  <c r="CP33" i="1"/>
  <c r="CO33" i="1"/>
  <c r="CK33" i="1"/>
  <c r="CJ33" i="1"/>
  <c r="CI33" i="1"/>
  <c r="CH33" i="1"/>
  <c r="CG33" i="1"/>
  <c r="CF33" i="1"/>
  <c r="CE33" i="1"/>
  <c r="CD33" i="1"/>
  <c r="CC33" i="1"/>
  <c r="CB33" i="1"/>
  <c r="BX33" i="1"/>
  <c r="BW33" i="1"/>
  <c r="BV33" i="1"/>
  <c r="BU33" i="1"/>
  <c r="BT33" i="1"/>
  <c r="BS33" i="1"/>
  <c r="BR33" i="1"/>
  <c r="BQ33" i="1"/>
  <c r="BP33" i="1"/>
  <c r="BO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V33" i="1"/>
  <c r="AU33" i="1"/>
  <c r="AT33" i="1"/>
  <c r="AS33" i="1"/>
  <c r="AR33" i="1"/>
  <c r="AQ33" i="1"/>
  <c r="AP33" i="1"/>
  <c r="AO33" i="1"/>
  <c r="AN33" i="1"/>
  <c r="AM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U39" i="4" s="1"/>
  <c r="O33" i="1"/>
  <c r="N33" i="1"/>
  <c r="M33" i="1"/>
  <c r="L33" i="1"/>
  <c r="K33" i="1"/>
  <c r="J33" i="1"/>
  <c r="I33" i="1"/>
  <c r="H33" i="1"/>
  <c r="G33" i="1"/>
  <c r="F33" i="1"/>
  <c r="LY31" i="1"/>
  <c r="KO31" i="1"/>
  <c r="JY31" i="1"/>
  <c r="JX31" i="1"/>
  <c r="JW31" i="1"/>
  <c r="JV31" i="1"/>
  <c r="JU31" i="1"/>
  <c r="JT31" i="1"/>
  <c r="JS31" i="1"/>
  <c r="JR31" i="1"/>
  <c r="JQ31" i="1"/>
  <c r="JP31" i="1"/>
  <c r="JN31" i="1"/>
  <c r="JM31" i="1"/>
  <c r="JA31" i="1"/>
  <c r="IZ31" i="1"/>
  <c r="IL31" i="1"/>
  <c r="IK31" i="1"/>
  <c r="IJ31" i="1"/>
  <c r="HY31" i="1"/>
  <c r="HX31" i="1"/>
  <c r="HW31" i="1"/>
  <c r="HA31" i="1"/>
  <c r="GZ31" i="1"/>
  <c r="GY31" i="1"/>
  <c r="GX31" i="1"/>
  <c r="GW31" i="1"/>
  <c r="GV31" i="1"/>
  <c r="GU31" i="1"/>
  <c r="GT31" i="1"/>
  <c r="GS31" i="1"/>
  <c r="GR31" i="1"/>
  <c r="GQ31" i="1"/>
  <c r="GP31" i="1"/>
  <c r="GO31" i="1"/>
  <c r="GN31" i="1"/>
  <c r="GL31" i="1"/>
  <c r="GK31" i="1"/>
  <c r="FY31" i="1"/>
  <c r="FX31" i="1"/>
  <c r="FL31" i="1"/>
  <c r="FL40" i="1" s="1"/>
  <c r="FK31" i="1"/>
  <c r="EW31" i="1"/>
  <c r="EV31" i="1"/>
  <c r="EU31" i="1"/>
  <c r="ET31" i="1"/>
  <c r="ES31" i="1"/>
  <c r="ER31" i="1"/>
  <c r="EQ31" i="1"/>
  <c r="EP31" i="1"/>
  <c r="EO31" i="1"/>
  <c r="EN31" i="1"/>
  <c r="EM31" i="1"/>
  <c r="EL31" i="1"/>
  <c r="EK31" i="1"/>
  <c r="EJ31" i="1"/>
  <c r="EI31" i="1"/>
  <c r="EH31" i="1"/>
  <c r="EG31" i="1"/>
  <c r="EF31" i="1"/>
  <c r="EE31" i="1"/>
  <c r="ED31" i="1"/>
  <c r="EC31" i="1"/>
  <c r="EB31" i="1"/>
  <c r="DZ31" i="1"/>
  <c r="EA31" i="1" s="1"/>
  <c r="DY31" i="1"/>
  <c r="DM31" i="1"/>
  <c r="DL31" i="1"/>
  <c r="CZ31" i="1"/>
  <c r="CY31" i="1"/>
  <c r="CM31" i="1"/>
  <c r="CL31" i="1"/>
  <c r="CN31" i="1" s="1"/>
  <c r="BZ31" i="1"/>
  <c r="BY31" i="1"/>
  <c r="BM31" i="1"/>
  <c r="BL31" i="1"/>
  <c r="AX31" i="1"/>
  <c r="AW31" i="1"/>
  <c r="AK31" i="1"/>
  <c r="AJ31" i="1"/>
  <c r="LY26" i="1"/>
  <c r="KO26" i="1"/>
  <c r="KO33" i="1" s="1"/>
  <c r="JY26" i="1"/>
  <c r="JX26" i="1"/>
  <c r="JW26" i="1"/>
  <c r="JV26" i="1"/>
  <c r="JV33" i="1" s="1"/>
  <c r="JU26" i="1"/>
  <c r="JT26" i="1"/>
  <c r="JS26" i="1"/>
  <c r="JR26" i="1"/>
  <c r="JR33" i="1" s="1"/>
  <c r="JQ26" i="1"/>
  <c r="JP26" i="1"/>
  <c r="JN26" i="1"/>
  <c r="JM26" i="1"/>
  <c r="JO26" i="1" s="1"/>
  <c r="JA26" i="1"/>
  <c r="IZ26" i="1"/>
  <c r="IL26" i="1"/>
  <c r="IK26" i="1"/>
  <c r="IJ26" i="1"/>
  <c r="HY26" i="1"/>
  <c r="HX26" i="1"/>
  <c r="HW26" i="1"/>
  <c r="HA26" i="1"/>
  <c r="GZ26" i="1"/>
  <c r="GY26" i="1"/>
  <c r="GX26" i="1"/>
  <c r="GW26" i="1"/>
  <c r="GV26" i="1"/>
  <c r="GU26" i="1"/>
  <c r="GT26" i="1"/>
  <c r="GS26" i="1"/>
  <c r="GR26" i="1"/>
  <c r="GQ26" i="1"/>
  <c r="GP26" i="1"/>
  <c r="GO26" i="1"/>
  <c r="GN26" i="1"/>
  <c r="GL26" i="1"/>
  <c r="GK26" i="1"/>
  <c r="FY26" i="1"/>
  <c r="FX26" i="1"/>
  <c r="FL26" i="1"/>
  <c r="FK26" i="1"/>
  <c r="EW26" i="1"/>
  <c r="EV26" i="1"/>
  <c r="EU26" i="1"/>
  <c r="ET26" i="1"/>
  <c r="ES26" i="1"/>
  <c r="ER26" i="1"/>
  <c r="EQ26" i="1"/>
  <c r="EP26" i="1"/>
  <c r="EO26" i="1"/>
  <c r="EN26" i="1"/>
  <c r="EM26" i="1"/>
  <c r="EL26" i="1"/>
  <c r="EK26" i="1"/>
  <c r="EJ26" i="1"/>
  <c r="EI26" i="1"/>
  <c r="EH26" i="1"/>
  <c r="EH33" i="1" s="1"/>
  <c r="EG26" i="1"/>
  <c r="EF26" i="1"/>
  <c r="EE26" i="1"/>
  <c r="ED26" i="1"/>
  <c r="ED33" i="1" s="1"/>
  <c r="EC26" i="1"/>
  <c r="EB26" i="1"/>
  <c r="DZ26" i="1"/>
  <c r="DY26" i="1"/>
  <c r="DM26" i="1"/>
  <c r="DL26" i="1"/>
  <c r="CZ26" i="1"/>
  <c r="CY26" i="1"/>
  <c r="CM26" i="1"/>
  <c r="CM33" i="1" s="1"/>
  <c r="CL26" i="1"/>
  <c r="BZ26" i="1"/>
  <c r="BY26" i="1"/>
  <c r="BM26" i="1"/>
  <c r="BM33" i="1" s="1"/>
  <c r="BL26" i="1"/>
  <c r="BL33" i="1" s="1"/>
  <c r="AX26" i="1"/>
  <c r="AW26" i="1"/>
  <c r="AK26" i="1"/>
  <c r="AJ26" i="1"/>
  <c r="MO21" i="1"/>
  <c r="MN21" i="1"/>
  <c r="MM21" i="1"/>
  <c r="ML21" i="1"/>
  <c r="MK21" i="1"/>
  <c r="MJ21" i="1"/>
  <c r="MI21" i="1"/>
  <c r="MH21" i="1"/>
  <c r="MG21" i="1"/>
  <c r="MF21" i="1"/>
  <c r="ME21" i="1"/>
  <c r="MD21" i="1"/>
  <c r="MC21" i="1"/>
  <c r="MB21" i="1"/>
  <c r="MA21" i="1"/>
  <c r="LZ21" i="1"/>
  <c r="LX21" i="1"/>
  <c r="LW21" i="1"/>
  <c r="LV21" i="1"/>
  <c r="LU21" i="1"/>
  <c r="LT21" i="1"/>
  <c r="LS21" i="1"/>
  <c r="LR21" i="1"/>
  <c r="LQ21" i="1"/>
  <c r="LP21" i="1"/>
  <c r="LO21" i="1"/>
  <c r="LN21" i="1"/>
  <c r="LM21" i="1"/>
  <c r="LL21" i="1"/>
  <c r="LK21" i="1"/>
  <c r="LJ21" i="1"/>
  <c r="LI21" i="1"/>
  <c r="LH21" i="1"/>
  <c r="LG21" i="1"/>
  <c r="LF21" i="1"/>
  <c r="LE21" i="1"/>
  <c r="LD21" i="1"/>
  <c r="LC21" i="1"/>
  <c r="LB21" i="1"/>
  <c r="LA21" i="1"/>
  <c r="KZ21" i="1"/>
  <c r="KY21" i="1"/>
  <c r="KX21" i="1"/>
  <c r="KW21" i="1"/>
  <c r="KV21" i="1"/>
  <c r="KU21" i="1"/>
  <c r="KT21" i="1"/>
  <c r="KS21" i="1"/>
  <c r="KR21" i="1"/>
  <c r="KQ21" i="1"/>
  <c r="KP21" i="1"/>
  <c r="KN21" i="1"/>
  <c r="KM21" i="1"/>
  <c r="KL21" i="1"/>
  <c r="KK21" i="1"/>
  <c r="KJ21" i="1"/>
  <c r="KI21" i="1"/>
  <c r="KH21" i="1"/>
  <c r="KG21" i="1"/>
  <c r="KF21" i="1"/>
  <c r="KE21" i="1"/>
  <c r="KD21" i="1"/>
  <c r="KC21" i="1"/>
  <c r="JL21" i="1"/>
  <c r="JK21" i="1"/>
  <c r="JJ21" i="1"/>
  <c r="JI21" i="1"/>
  <c r="JH21" i="1"/>
  <c r="JG21" i="1"/>
  <c r="JF21" i="1"/>
  <c r="JE21" i="1"/>
  <c r="JD21" i="1"/>
  <c r="JC21" i="1"/>
  <c r="IY21" i="1"/>
  <c r="IX21" i="1"/>
  <c r="IW21" i="1"/>
  <c r="IV21" i="1"/>
  <c r="IU21" i="1"/>
  <c r="IT21" i="1"/>
  <c r="IS21" i="1"/>
  <c r="IR21" i="1"/>
  <c r="II21" i="1"/>
  <c r="IH21" i="1"/>
  <c r="IG21" i="1"/>
  <c r="IF21" i="1"/>
  <c r="IE21" i="1"/>
  <c r="ID21" i="1"/>
  <c r="IC21" i="1"/>
  <c r="IB21" i="1"/>
  <c r="IA21" i="1"/>
  <c r="HV21" i="1"/>
  <c r="HU21" i="1"/>
  <c r="HT21" i="1"/>
  <c r="HS21" i="1"/>
  <c r="HR21" i="1"/>
  <c r="HQ21" i="1"/>
  <c r="HP21" i="1"/>
  <c r="HO21" i="1"/>
  <c r="HN21" i="1"/>
  <c r="HM21" i="1"/>
  <c r="HL21" i="1"/>
  <c r="HK21" i="1"/>
  <c r="HJ21" i="1"/>
  <c r="HI21" i="1"/>
  <c r="HH21" i="1"/>
  <c r="HG21" i="1"/>
  <c r="HF21" i="1"/>
  <c r="HE21" i="1"/>
  <c r="GJ21" i="1"/>
  <c r="GI21" i="1"/>
  <c r="GH21" i="1"/>
  <c r="GG21" i="1"/>
  <c r="GF21" i="1"/>
  <c r="GE21" i="1"/>
  <c r="GD21" i="1"/>
  <c r="GC21" i="1"/>
  <c r="GB21" i="1"/>
  <c r="GA21" i="1"/>
  <c r="FW21" i="1"/>
  <c r="FV21" i="1"/>
  <c r="FU21" i="1"/>
  <c r="FT21" i="1"/>
  <c r="FS21" i="1"/>
  <c r="FR21" i="1"/>
  <c r="FQ21" i="1"/>
  <c r="FP21" i="1"/>
  <c r="FO21" i="1"/>
  <c r="FN21" i="1"/>
  <c r="FJ21" i="1"/>
  <c r="FI21" i="1"/>
  <c r="FH21" i="1"/>
  <c r="FG21" i="1"/>
  <c r="FF21" i="1"/>
  <c r="FE21" i="1"/>
  <c r="FD21" i="1"/>
  <c r="FC21" i="1"/>
  <c r="FB21" i="1"/>
  <c r="FA21" i="1"/>
  <c r="DX21" i="1"/>
  <c r="DW21" i="1"/>
  <c r="DV21" i="1"/>
  <c r="DU21" i="1"/>
  <c r="DT21" i="1"/>
  <c r="DS21" i="1"/>
  <c r="DR21" i="1"/>
  <c r="DQ21" i="1"/>
  <c r="DP21" i="1"/>
  <c r="DO21" i="1"/>
  <c r="DK21" i="1"/>
  <c r="DJ21" i="1"/>
  <c r="DI21" i="1"/>
  <c r="DH21" i="1"/>
  <c r="DG21" i="1"/>
  <c r="DF21" i="1"/>
  <c r="DE21" i="1"/>
  <c r="DD21" i="1"/>
  <c r="DC21" i="1"/>
  <c r="DB21" i="1"/>
  <c r="CX21" i="1"/>
  <c r="CW21" i="1"/>
  <c r="CV21" i="1"/>
  <c r="CU21" i="1"/>
  <c r="CT21" i="1"/>
  <c r="CS21" i="1"/>
  <c r="CR21" i="1"/>
  <c r="CQ21" i="1"/>
  <c r="CP21" i="1"/>
  <c r="CO21" i="1"/>
  <c r="CK21" i="1"/>
  <c r="CJ21" i="1"/>
  <c r="CI21" i="1"/>
  <c r="CH21" i="1"/>
  <c r="CG21" i="1"/>
  <c r="CF21" i="1"/>
  <c r="CE21" i="1"/>
  <c r="CD21" i="1"/>
  <c r="CC21" i="1"/>
  <c r="CB21" i="1"/>
  <c r="BX21" i="1"/>
  <c r="BW21" i="1"/>
  <c r="BV21" i="1"/>
  <c r="BU21" i="1"/>
  <c r="BT21" i="1"/>
  <c r="BS21" i="1"/>
  <c r="BR21" i="1"/>
  <c r="BQ21" i="1"/>
  <c r="BP21" i="1"/>
  <c r="BO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V21" i="1"/>
  <c r="AU21" i="1"/>
  <c r="AT21" i="1"/>
  <c r="AS21" i="1"/>
  <c r="AR21" i="1"/>
  <c r="AQ21" i="1"/>
  <c r="AP21" i="1"/>
  <c r="AO21" i="1"/>
  <c r="AN21" i="1"/>
  <c r="AM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LY20" i="1"/>
  <c r="KO20" i="1"/>
  <c r="JY20" i="1"/>
  <c r="JX20" i="1"/>
  <c r="JW20" i="1"/>
  <c r="JV20" i="1"/>
  <c r="JU20" i="1"/>
  <c r="JT20" i="1"/>
  <c r="JS20" i="1"/>
  <c r="JR20" i="1"/>
  <c r="JQ20" i="1"/>
  <c r="JP20" i="1"/>
  <c r="JN20" i="1"/>
  <c r="JM20" i="1"/>
  <c r="JA20" i="1"/>
  <c r="IZ20" i="1"/>
  <c r="IL20" i="1"/>
  <c r="IK20" i="1"/>
  <c r="IJ20" i="1"/>
  <c r="HY20" i="1"/>
  <c r="HX20" i="1"/>
  <c r="HW20" i="1"/>
  <c r="HA20" i="1"/>
  <c r="GZ20" i="1"/>
  <c r="GY20" i="1"/>
  <c r="GX20" i="1"/>
  <c r="GW20" i="1"/>
  <c r="GV20" i="1"/>
  <c r="GU20" i="1"/>
  <c r="GT20" i="1"/>
  <c r="GS20" i="1"/>
  <c r="GR20" i="1"/>
  <c r="GQ20" i="1"/>
  <c r="GP20" i="1"/>
  <c r="GO20" i="1"/>
  <c r="FY20" i="1"/>
  <c r="FX20" i="1"/>
  <c r="EW20" i="1"/>
  <c r="EV20" i="1"/>
  <c r="EU20" i="1"/>
  <c r="ET20" i="1"/>
  <c r="ES20" i="1"/>
  <c r="ER20" i="1"/>
  <c r="EQ20" i="1"/>
  <c r="EP20" i="1"/>
  <c r="EO20" i="1"/>
  <c r="EN20" i="1"/>
  <c r="EM20" i="1"/>
  <c r="EL20" i="1"/>
  <c r="EK20" i="1"/>
  <c r="EJ20" i="1"/>
  <c r="EI20" i="1"/>
  <c r="EH20" i="1"/>
  <c r="EG20" i="1"/>
  <c r="EF20" i="1"/>
  <c r="EE20" i="1"/>
  <c r="ED20" i="1"/>
  <c r="EC20" i="1"/>
  <c r="EB20" i="1"/>
  <c r="DZ20" i="1"/>
  <c r="DY20" i="1"/>
  <c r="DM20" i="1"/>
  <c r="DL20" i="1"/>
  <c r="CZ20" i="1"/>
  <c r="CY20" i="1"/>
  <c r="CM20" i="1"/>
  <c r="CL20" i="1"/>
  <c r="BZ20" i="1"/>
  <c r="BM20" i="1"/>
  <c r="BL20" i="1"/>
  <c r="AX20" i="1"/>
  <c r="AW20" i="1"/>
  <c r="AK20" i="1"/>
  <c r="AJ20" i="1"/>
  <c r="LY19" i="1"/>
  <c r="KO19" i="1"/>
  <c r="JY19" i="1"/>
  <c r="JX19" i="1"/>
  <c r="JW19" i="1"/>
  <c r="JV19" i="1"/>
  <c r="JU19" i="1"/>
  <c r="JT19" i="1"/>
  <c r="JS19" i="1"/>
  <c r="JR19" i="1"/>
  <c r="JQ19" i="1"/>
  <c r="JP19" i="1"/>
  <c r="JN19" i="1"/>
  <c r="JM19" i="1"/>
  <c r="JA19" i="1"/>
  <c r="IZ19" i="1"/>
  <c r="IL19" i="1"/>
  <c r="IK19" i="1"/>
  <c r="IJ19" i="1"/>
  <c r="HY19" i="1"/>
  <c r="HX19" i="1"/>
  <c r="HW19" i="1"/>
  <c r="HA19" i="1"/>
  <c r="GZ19" i="1"/>
  <c r="GY19" i="1"/>
  <c r="GX19" i="1"/>
  <c r="GW19" i="1"/>
  <c r="GV19" i="1"/>
  <c r="GU19" i="1"/>
  <c r="GT19" i="1"/>
  <c r="GS19" i="1"/>
  <c r="GR19" i="1"/>
  <c r="GQ19" i="1"/>
  <c r="GP19" i="1"/>
  <c r="GO19" i="1"/>
  <c r="FY19" i="1"/>
  <c r="FX19" i="1"/>
  <c r="EW19" i="1"/>
  <c r="EV19" i="1"/>
  <c r="EU19" i="1"/>
  <c r="ET19" i="1"/>
  <c r="ES19" i="1"/>
  <c r="ER19" i="1"/>
  <c r="EQ19" i="1"/>
  <c r="EP19" i="1"/>
  <c r="EO19" i="1"/>
  <c r="EN19" i="1"/>
  <c r="EM19" i="1"/>
  <c r="EL19" i="1"/>
  <c r="EK19" i="1"/>
  <c r="EJ19" i="1"/>
  <c r="EI19" i="1"/>
  <c r="EH19" i="1"/>
  <c r="EG19" i="1"/>
  <c r="EF19" i="1"/>
  <c r="EE19" i="1"/>
  <c r="ED19" i="1"/>
  <c r="EC19" i="1"/>
  <c r="EB19" i="1"/>
  <c r="DZ19" i="1"/>
  <c r="DY19" i="1"/>
  <c r="DM19" i="1"/>
  <c r="DL19" i="1"/>
  <c r="CZ19" i="1"/>
  <c r="CY19" i="1"/>
  <c r="CM19" i="1"/>
  <c r="CL19" i="1"/>
  <c r="BZ19" i="1"/>
  <c r="BY19" i="1"/>
  <c r="BM19" i="1"/>
  <c r="BL19" i="1"/>
  <c r="AX19" i="1"/>
  <c r="AW19" i="1"/>
  <c r="AK19" i="1"/>
  <c r="AJ19" i="1"/>
  <c r="LY18" i="1"/>
  <c r="KO18" i="1"/>
  <c r="JY18" i="1"/>
  <c r="JX18" i="1"/>
  <c r="JW18" i="1"/>
  <c r="JV18" i="1"/>
  <c r="JU18" i="1"/>
  <c r="JT18" i="1"/>
  <c r="JS18" i="1"/>
  <c r="JR18" i="1"/>
  <c r="JQ18" i="1"/>
  <c r="JP18" i="1"/>
  <c r="JN18" i="1"/>
  <c r="JM18" i="1"/>
  <c r="JA18" i="1"/>
  <c r="IZ18" i="1"/>
  <c r="IL18" i="1"/>
  <c r="IK18" i="1"/>
  <c r="IJ18" i="1"/>
  <c r="HY18" i="1"/>
  <c r="HX18" i="1"/>
  <c r="HW18" i="1"/>
  <c r="HA18" i="1"/>
  <c r="GZ18" i="1"/>
  <c r="GY18" i="1"/>
  <c r="GX18" i="1"/>
  <c r="GW18" i="1"/>
  <c r="GV18" i="1"/>
  <c r="GU18" i="1"/>
  <c r="GT18" i="1"/>
  <c r="GS18" i="1"/>
  <c r="GR18" i="1"/>
  <c r="GQ18" i="1"/>
  <c r="GP18" i="1"/>
  <c r="GO18" i="1"/>
  <c r="FY18" i="1"/>
  <c r="F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DZ18" i="1"/>
  <c r="DY18" i="1"/>
  <c r="DM18" i="1"/>
  <c r="DL18" i="1"/>
  <c r="CZ18" i="1"/>
  <c r="CY18" i="1"/>
  <c r="CM18" i="1"/>
  <c r="CL18" i="1"/>
  <c r="BZ18" i="1"/>
  <c r="BY18" i="1"/>
  <c r="BM18" i="1"/>
  <c r="BL18" i="1"/>
  <c r="AX18" i="1"/>
  <c r="AW18" i="1"/>
  <c r="AK18" i="1"/>
  <c r="AJ18" i="1"/>
  <c r="LY17" i="1"/>
  <c r="KO17" i="1"/>
  <c r="JY17" i="1"/>
  <c r="JX17" i="1"/>
  <c r="JW17" i="1"/>
  <c r="JV17" i="1"/>
  <c r="JU17" i="1"/>
  <c r="JT17" i="1"/>
  <c r="JS17" i="1"/>
  <c r="JR17" i="1"/>
  <c r="JQ17" i="1"/>
  <c r="JP17" i="1"/>
  <c r="JN17" i="1"/>
  <c r="JM17" i="1"/>
  <c r="JA17" i="1"/>
  <c r="IZ17" i="1"/>
  <c r="IL17" i="1"/>
  <c r="IK17" i="1"/>
  <c r="IJ17" i="1"/>
  <c r="HY17" i="1"/>
  <c r="HX17" i="1"/>
  <c r="HW17" i="1"/>
  <c r="HA17" i="1"/>
  <c r="GZ17" i="1"/>
  <c r="GY17" i="1"/>
  <c r="GX17" i="1"/>
  <c r="GW17" i="1"/>
  <c r="GV17" i="1"/>
  <c r="GU17" i="1"/>
  <c r="GT17" i="1"/>
  <c r="GS17" i="1"/>
  <c r="GR17" i="1"/>
  <c r="GQ17" i="1"/>
  <c r="GP17" i="1"/>
  <c r="GO17" i="1"/>
  <c r="FY17" i="1"/>
  <c r="FX17" i="1"/>
  <c r="EW17" i="1"/>
  <c r="EV17" i="1"/>
  <c r="EU17" i="1"/>
  <c r="ET17" i="1"/>
  <c r="ES17" i="1"/>
  <c r="ER17" i="1"/>
  <c r="EQ17" i="1"/>
  <c r="EP17" i="1"/>
  <c r="EO17" i="1"/>
  <c r="EN17" i="1"/>
  <c r="EM17" i="1"/>
  <c r="EL17" i="1"/>
  <c r="EK17" i="1"/>
  <c r="EJ17" i="1"/>
  <c r="EI17" i="1"/>
  <c r="EH17" i="1"/>
  <c r="EG17" i="1"/>
  <c r="EF17" i="1"/>
  <c r="EE17" i="1"/>
  <c r="ED17" i="1"/>
  <c r="EC17" i="1"/>
  <c r="EB17" i="1"/>
  <c r="DZ17" i="1"/>
  <c r="DY17" i="1"/>
  <c r="DM17" i="1"/>
  <c r="DL17" i="1"/>
  <c r="CZ17" i="1"/>
  <c r="CY17" i="1"/>
  <c r="CM17" i="1"/>
  <c r="CL17" i="1"/>
  <c r="BZ17" i="1"/>
  <c r="BY17" i="1"/>
  <c r="BM17" i="1"/>
  <c r="BL17" i="1"/>
  <c r="AX17" i="1"/>
  <c r="AW17" i="1"/>
  <c r="AK17" i="1"/>
  <c r="AJ17" i="1"/>
  <c r="LY16" i="1"/>
  <c r="KO16" i="1"/>
  <c r="JY16" i="1"/>
  <c r="JX16" i="1"/>
  <c r="JW16" i="1"/>
  <c r="JV16" i="1"/>
  <c r="JU16" i="1"/>
  <c r="JT16" i="1"/>
  <c r="JS16" i="1"/>
  <c r="JR16" i="1"/>
  <c r="JQ16" i="1"/>
  <c r="JP16" i="1"/>
  <c r="JN16" i="1"/>
  <c r="JM16" i="1"/>
  <c r="JA16" i="1"/>
  <c r="IZ16" i="1"/>
  <c r="IL16" i="1"/>
  <c r="IK16" i="1"/>
  <c r="IJ16" i="1"/>
  <c r="HY16" i="1"/>
  <c r="HX16" i="1"/>
  <c r="HW16" i="1"/>
  <c r="HA16" i="1"/>
  <c r="GZ16" i="1"/>
  <c r="GY16" i="1"/>
  <c r="GX16" i="1"/>
  <c r="GW16" i="1"/>
  <c r="GV16" i="1"/>
  <c r="GU16" i="1"/>
  <c r="GT16" i="1"/>
  <c r="GS16" i="1"/>
  <c r="GR16" i="1"/>
  <c r="GQ16" i="1"/>
  <c r="GP16" i="1"/>
  <c r="GO16" i="1"/>
  <c r="GN21" i="1"/>
  <c r="GK21" i="1"/>
  <c r="FY16" i="1"/>
  <c r="F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DZ16" i="1"/>
  <c r="DY16" i="1"/>
  <c r="DM16" i="1"/>
  <c r="DL16" i="1"/>
  <c r="CZ16" i="1"/>
  <c r="CY16" i="1"/>
  <c r="CM16" i="1"/>
  <c r="CL16" i="1"/>
  <c r="BZ16" i="1"/>
  <c r="BY16" i="1"/>
  <c r="BM16" i="1"/>
  <c r="BL16" i="1"/>
  <c r="AX16" i="1"/>
  <c r="AW16" i="1"/>
  <c r="AK16" i="1"/>
  <c r="AJ16" i="1"/>
  <c r="MO15" i="1"/>
  <c r="MN15" i="1"/>
  <c r="MM15" i="1"/>
  <c r="ML15" i="1"/>
  <c r="MK15" i="1"/>
  <c r="MJ15" i="1"/>
  <c r="MI15" i="1"/>
  <c r="MH15" i="1"/>
  <c r="MG15" i="1"/>
  <c r="MF15" i="1"/>
  <c r="ME15" i="1"/>
  <c r="MD15" i="1"/>
  <c r="MC15" i="1"/>
  <c r="MB15" i="1"/>
  <c r="MA15" i="1"/>
  <c r="LZ15" i="1"/>
  <c r="LX15" i="1"/>
  <c r="LW15" i="1"/>
  <c r="LV15" i="1"/>
  <c r="LU15" i="1"/>
  <c r="LT15" i="1"/>
  <c r="LS15" i="1"/>
  <c r="LR15" i="1"/>
  <c r="LQ15" i="1"/>
  <c r="LP15" i="1"/>
  <c r="LO15" i="1"/>
  <c r="LN15" i="1"/>
  <c r="LM15" i="1"/>
  <c r="LL15" i="1"/>
  <c r="LK15" i="1"/>
  <c r="LJ15" i="1"/>
  <c r="LI15" i="1"/>
  <c r="LH15" i="1"/>
  <c r="LG15" i="1"/>
  <c r="LF15" i="1"/>
  <c r="LE15" i="1"/>
  <c r="LD15" i="1"/>
  <c r="LC15" i="1"/>
  <c r="LB15" i="1"/>
  <c r="LA15" i="1"/>
  <c r="KZ15" i="1"/>
  <c r="KY15" i="1"/>
  <c r="KX15" i="1"/>
  <c r="KW15" i="1"/>
  <c r="KV15" i="1"/>
  <c r="KU15" i="1"/>
  <c r="KT15" i="1"/>
  <c r="KS15" i="1"/>
  <c r="KR15" i="1"/>
  <c r="KQ15" i="1"/>
  <c r="KP15" i="1"/>
  <c r="KN15" i="1"/>
  <c r="KM15" i="1"/>
  <c r="KL15" i="1"/>
  <c r="KK15" i="1"/>
  <c r="KJ15" i="1"/>
  <c r="KI15" i="1"/>
  <c r="KH15" i="1"/>
  <c r="KG15" i="1"/>
  <c r="KF15" i="1"/>
  <c r="KE15" i="1"/>
  <c r="KD15" i="1"/>
  <c r="KC15" i="1"/>
  <c r="JL15" i="1"/>
  <c r="JK15" i="1"/>
  <c r="JJ15" i="1"/>
  <c r="JI15" i="1"/>
  <c r="JH15" i="1"/>
  <c r="JG15" i="1"/>
  <c r="JF15" i="1"/>
  <c r="JE15" i="1"/>
  <c r="JD15" i="1"/>
  <c r="JC15" i="1"/>
  <c r="IY15" i="1"/>
  <c r="IX15" i="1"/>
  <c r="IW15" i="1"/>
  <c r="IV15" i="1"/>
  <c r="IU15" i="1"/>
  <c r="IT15" i="1"/>
  <c r="IS15" i="1"/>
  <c r="IR15" i="1"/>
  <c r="II15" i="1"/>
  <c r="IH15" i="1"/>
  <c r="IG15" i="1"/>
  <c r="IF15" i="1"/>
  <c r="IE15" i="1"/>
  <c r="ID15" i="1"/>
  <c r="IC15" i="1"/>
  <c r="IB15" i="1"/>
  <c r="IA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H15" i="1"/>
  <c r="HG15" i="1"/>
  <c r="HF15" i="1"/>
  <c r="HE15" i="1"/>
  <c r="GJ15" i="1"/>
  <c r="GI15" i="1"/>
  <c r="GH15" i="1"/>
  <c r="GG15" i="1"/>
  <c r="GF15" i="1"/>
  <c r="GE15" i="1"/>
  <c r="GD15" i="1"/>
  <c r="GC15" i="1"/>
  <c r="GB15" i="1"/>
  <c r="GA15" i="1"/>
  <c r="FW15" i="1"/>
  <c r="FV15" i="1"/>
  <c r="FU15" i="1"/>
  <c r="FT15" i="1"/>
  <c r="FS15" i="1"/>
  <c r="FR15" i="1"/>
  <c r="FQ15" i="1"/>
  <c r="FP15" i="1"/>
  <c r="FO15" i="1"/>
  <c r="FN15" i="1"/>
  <c r="FJ15" i="1"/>
  <c r="FI15" i="1"/>
  <c r="FH15" i="1"/>
  <c r="FG15" i="1"/>
  <c r="FF15" i="1"/>
  <c r="FE15" i="1"/>
  <c r="FD15" i="1"/>
  <c r="FC15" i="1"/>
  <c r="FB15" i="1"/>
  <c r="FA15" i="1"/>
  <c r="DX15" i="1"/>
  <c r="DW15" i="1"/>
  <c r="DV15" i="1"/>
  <c r="DU15" i="1"/>
  <c r="DT15" i="1"/>
  <c r="DS15" i="1"/>
  <c r="DR15" i="1"/>
  <c r="DQ15" i="1"/>
  <c r="DP15" i="1"/>
  <c r="DO15" i="1"/>
  <c r="DK15" i="1"/>
  <c r="DJ15" i="1"/>
  <c r="DI15" i="1"/>
  <c r="DH15" i="1"/>
  <c r="DG15" i="1"/>
  <c r="DF15" i="1"/>
  <c r="DE15" i="1"/>
  <c r="DD15" i="1"/>
  <c r="DC15" i="1"/>
  <c r="DB15" i="1"/>
  <c r="CX15" i="1"/>
  <c r="CW15" i="1"/>
  <c r="CV15" i="1"/>
  <c r="CU15" i="1"/>
  <c r="CT15" i="1"/>
  <c r="CS15" i="1"/>
  <c r="CR15" i="1"/>
  <c r="CQ15" i="1"/>
  <c r="CP15" i="1"/>
  <c r="CO15" i="1"/>
  <c r="CK15" i="1"/>
  <c r="CJ15" i="1"/>
  <c r="CI15" i="1"/>
  <c r="CH15" i="1"/>
  <c r="CG15" i="1"/>
  <c r="CF15" i="1"/>
  <c r="CE15" i="1"/>
  <c r="CD15" i="1"/>
  <c r="CC15" i="1"/>
  <c r="CB15" i="1"/>
  <c r="BX15" i="1"/>
  <c r="BW15" i="1"/>
  <c r="BV15" i="1"/>
  <c r="BU15" i="1"/>
  <c r="BT15" i="1"/>
  <c r="BS15" i="1"/>
  <c r="BR15" i="1"/>
  <c r="BQ15" i="1"/>
  <c r="BP15" i="1"/>
  <c r="BO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V15" i="1"/>
  <c r="AU15" i="1"/>
  <c r="AT15" i="1"/>
  <c r="AS15" i="1"/>
  <c r="AR15" i="1"/>
  <c r="AQ15" i="1"/>
  <c r="AP15" i="1"/>
  <c r="AO15" i="1"/>
  <c r="AN15" i="1"/>
  <c r="AM15" i="1"/>
  <c r="AM39" i="1" s="1"/>
  <c r="AI15" i="1"/>
  <c r="AI39" i="1" s="1"/>
  <c r="AH15" i="1"/>
  <c r="AH39" i="1" s="1"/>
  <c r="AG15" i="1"/>
  <c r="AG39" i="1" s="1"/>
  <c r="AF15" i="1"/>
  <c r="AF39" i="1" s="1"/>
  <c r="AE15" i="1"/>
  <c r="AE39" i="1" s="1"/>
  <c r="AD15" i="1"/>
  <c r="AD39" i="1" s="1"/>
  <c r="AC15" i="1"/>
  <c r="AC39" i="1" s="1"/>
  <c r="AB15" i="1"/>
  <c r="AB39" i="1" s="1"/>
  <c r="AA15" i="1"/>
  <c r="AA39" i="1" s="1"/>
  <c r="Z15" i="1"/>
  <c r="Z39" i="1" s="1"/>
  <c r="Y15" i="1"/>
  <c r="Y39" i="1" s="1"/>
  <c r="X15" i="1"/>
  <c r="X39" i="1" s="1"/>
  <c r="W15" i="1"/>
  <c r="W39" i="1" s="1"/>
  <c r="V15" i="1"/>
  <c r="V39" i="1" s="1"/>
  <c r="U15" i="1"/>
  <c r="U39" i="1" s="1"/>
  <c r="T15" i="1"/>
  <c r="T39" i="1" s="1"/>
  <c r="S15" i="1"/>
  <c r="S39" i="1" s="1"/>
  <c r="R15" i="1"/>
  <c r="R39" i="1" s="1"/>
  <c r="Q15" i="1"/>
  <c r="Q39" i="1" s="1"/>
  <c r="P15" i="1"/>
  <c r="P39" i="1" s="1"/>
  <c r="O15" i="1"/>
  <c r="N15" i="1"/>
  <c r="M15" i="1"/>
  <c r="L15" i="1"/>
  <c r="K15" i="1"/>
  <c r="J15" i="1"/>
  <c r="I15" i="1"/>
  <c r="H15" i="1"/>
  <c r="G15" i="1"/>
  <c r="F15" i="1"/>
  <c r="F39" i="1" s="1"/>
  <c r="LY10" i="1"/>
  <c r="KO10" i="1"/>
  <c r="JY10" i="1"/>
  <c r="JX10" i="1"/>
  <c r="JW10" i="1"/>
  <c r="JV10" i="1"/>
  <c r="JU10" i="1"/>
  <c r="JT10" i="1"/>
  <c r="JS10" i="1"/>
  <c r="JR10" i="1"/>
  <c r="JQ10" i="1"/>
  <c r="JP10" i="1"/>
  <c r="JN10" i="1"/>
  <c r="JM10" i="1"/>
  <c r="JA10" i="1"/>
  <c r="IZ10" i="1"/>
  <c r="IL10" i="1"/>
  <c r="IK10" i="1"/>
  <c r="IJ10" i="1"/>
  <c r="HY10" i="1"/>
  <c r="HX10" i="1"/>
  <c r="HW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L10" i="1"/>
  <c r="GK10" i="1"/>
  <c r="FY10" i="1"/>
  <c r="FX10" i="1"/>
  <c r="FL10" i="1"/>
  <c r="FK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DZ10" i="1"/>
  <c r="DY10" i="1"/>
  <c r="DM10" i="1"/>
  <c r="DL10" i="1"/>
  <c r="CZ10" i="1"/>
  <c r="CY10" i="1"/>
  <c r="CM10" i="1"/>
  <c r="CL10" i="1"/>
  <c r="BZ10" i="1"/>
  <c r="BY10" i="1"/>
  <c r="BM10" i="1"/>
  <c r="BL10" i="1"/>
  <c r="AX10" i="1"/>
  <c r="AW10" i="1"/>
  <c r="AK10" i="1"/>
  <c r="AJ10" i="1"/>
  <c r="LY9" i="1"/>
  <c r="KO9" i="1"/>
  <c r="JY9" i="1"/>
  <c r="JX9" i="1"/>
  <c r="JW9" i="1"/>
  <c r="JV9" i="1"/>
  <c r="JU9" i="1"/>
  <c r="JT9" i="1"/>
  <c r="JS9" i="1"/>
  <c r="JR9" i="1"/>
  <c r="JQ9" i="1"/>
  <c r="JP9" i="1"/>
  <c r="JN9" i="1"/>
  <c r="JM9" i="1"/>
  <c r="JA9" i="1"/>
  <c r="IZ9" i="1"/>
  <c r="IL9" i="1"/>
  <c r="IK9" i="1"/>
  <c r="IJ9" i="1"/>
  <c r="HY9" i="1"/>
  <c r="HX9" i="1"/>
  <c r="HW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L9" i="1"/>
  <c r="GK9" i="1"/>
  <c r="FY9" i="1"/>
  <c r="FX9" i="1"/>
  <c r="FL9" i="1"/>
  <c r="FK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DZ9" i="1"/>
  <c r="DY9" i="1"/>
  <c r="DM9" i="1"/>
  <c r="DL9" i="1"/>
  <c r="CZ9" i="1"/>
  <c r="CY9" i="1"/>
  <c r="CM9" i="1"/>
  <c r="CL9" i="1"/>
  <c r="BZ9" i="1"/>
  <c r="BY9" i="1"/>
  <c r="BM9" i="1"/>
  <c r="BL9" i="1"/>
  <c r="AX9" i="1"/>
  <c r="AW9" i="1"/>
  <c r="AK9" i="1"/>
  <c r="AJ9" i="1"/>
  <c r="LY8" i="1"/>
  <c r="KO8" i="1"/>
  <c r="JY8" i="1"/>
  <c r="JX8" i="1"/>
  <c r="JW8" i="1"/>
  <c r="JV8" i="1"/>
  <c r="JU8" i="1"/>
  <c r="JT8" i="1"/>
  <c r="JS8" i="1"/>
  <c r="JR8" i="1"/>
  <c r="JQ8" i="1"/>
  <c r="JP8" i="1"/>
  <c r="JN8" i="1"/>
  <c r="JM8" i="1"/>
  <c r="JA8" i="1"/>
  <c r="IZ8" i="1"/>
  <c r="IL8" i="1"/>
  <c r="IK8" i="1"/>
  <c r="IJ8" i="1"/>
  <c r="HY8" i="1"/>
  <c r="HX8" i="1"/>
  <c r="HW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L8" i="1"/>
  <c r="GK8" i="1"/>
  <c r="FY8" i="1"/>
  <c r="FX8" i="1"/>
  <c r="FL8" i="1"/>
  <c r="FK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DZ8" i="1"/>
  <c r="DY8" i="1"/>
  <c r="DM8" i="1"/>
  <c r="DL8" i="1"/>
  <c r="CZ8" i="1"/>
  <c r="CY8" i="1"/>
  <c r="CM8" i="1"/>
  <c r="CL8" i="1"/>
  <c r="BZ8" i="1"/>
  <c r="BY8" i="1"/>
  <c r="BM8" i="1"/>
  <c r="BL8" i="1"/>
  <c r="AX8" i="1"/>
  <c r="AW8" i="1"/>
  <c r="AK8" i="1"/>
  <c r="AJ8" i="1"/>
  <c r="LY7" i="1"/>
  <c r="KO7" i="1"/>
  <c r="JY7" i="1"/>
  <c r="JX7" i="1"/>
  <c r="JW7" i="1"/>
  <c r="JV7" i="1"/>
  <c r="JU7" i="1"/>
  <c r="JT7" i="1"/>
  <c r="JS7" i="1"/>
  <c r="JR7" i="1"/>
  <c r="JQ7" i="1"/>
  <c r="JP7" i="1"/>
  <c r="JN7" i="1"/>
  <c r="JM7" i="1"/>
  <c r="JA7" i="1"/>
  <c r="IZ7" i="1"/>
  <c r="IL7" i="1"/>
  <c r="IK7" i="1"/>
  <c r="IJ7" i="1"/>
  <c r="HY7" i="1"/>
  <c r="HX7" i="1"/>
  <c r="HW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L7" i="1"/>
  <c r="GK7" i="1"/>
  <c r="FY7" i="1"/>
  <c r="FX7" i="1"/>
  <c r="FL7" i="1"/>
  <c r="FK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DZ7" i="1"/>
  <c r="DY7" i="1"/>
  <c r="DM7" i="1"/>
  <c r="DL7" i="1"/>
  <c r="CZ7" i="1"/>
  <c r="CY7" i="1"/>
  <c r="CM7" i="1"/>
  <c r="CL7" i="1"/>
  <c r="BZ7" i="1"/>
  <c r="BY7" i="1"/>
  <c r="BM7" i="1"/>
  <c r="BL7" i="1"/>
  <c r="AX7" i="1"/>
  <c r="AW7" i="1"/>
  <c r="AK7" i="1"/>
  <c r="AJ7" i="1"/>
  <c r="LY6" i="1"/>
  <c r="KO6" i="1"/>
  <c r="JY6" i="1"/>
  <c r="JY15" i="1" s="1"/>
  <c r="JX6" i="1"/>
  <c r="JW6" i="1"/>
  <c r="JV6" i="1"/>
  <c r="JU6" i="1"/>
  <c r="JU15" i="1" s="1"/>
  <c r="JT6" i="1"/>
  <c r="JS6" i="1"/>
  <c r="JR6" i="1"/>
  <c r="JQ6" i="1"/>
  <c r="JQ15" i="1" s="1"/>
  <c r="JP6" i="1"/>
  <c r="JN6" i="1"/>
  <c r="JM6" i="1"/>
  <c r="JA6" i="1"/>
  <c r="IZ6" i="1"/>
  <c r="IL6" i="1"/>
  <c r="IK6" i="1"/>
  <c r="IJ6" i="1"/>
  <c r="HY6" i="1"/>
  <c r="HX6" i="1"/>
  <c r="HW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L6" i="1"/>
  <c r="GK6" i="1"/>
  <c r="FY6" i="1"/>
  <c r="FY15" i="1" s="1"/>
  <c r="FX6" i="1"/>
  <c r="FL6" i="1"/>
  <c r="FK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G6" i="1"/>
  <c r="EF6" i="1"/>
  <c r="EE6" i="1"/>
  <c r="ED6" i="1"/>
  <c r="EC6" i="1"/>
  <c r="EB6" i="1"/>
  <c r="DZ6" i="1"/>
  <c r="DY6" i="1"/>
  <c r="DM6" i="1"/>
  <c r="DL6" i="1"/>
  <c r="CZ6" i="1"/>
  <c r="CY6" i="1"/>
  <c r="CM6" i="1"/>
  <c r="CL6" i="1"/>
  <c r="BZ6" i="1"/>
  <c r="BY6" i="1"/>
  <c r="BM6" i="1"/>
  <c r="BL6" i="1"/>
  <c r="AX6" i="1"/>
  <c r="AW6" i="1"/>
  <c r="AK6" i="1"/>
  <c r="AJ6" i="1"/>
  <c r="O81" i="5" l="1"/>
  <c r="JA15" i="1"/>
  <c r="JA39" i="1" s="1"/>
  <c r="F9" i="4"/>
  <c r="R9" i="4"/>
  <c r="CA31" i="1"/>
  <c r="EE33" i="1"/>
  <c r="EI33" i="1"/>
  <c r="EQ33" i="1"/>
  <c r="EU33" i="1"/>
  <c r="JS33" i="1"/>
  <c r="L9" i="4"/>
  <c r="O9" i="4"/>
  <c r="N10" i="4"/>
  <c r="DL33" i="1"/>
  <c r="EB33" i="1"/>
  <c r="EF33" i="1"/>
  <c r="EJ33" i="1"/>
  <c r="ER33" i="1"/>
  <c r="JP33" i="1"/>
  <c r="AL31" i="1"/>
  <c r="DM33" i="1"/>
  <c r="EG33" i="1"/>
  <c r="EW33" i="1"/>
  <c r="JA33" i="1"/>
  <c r="AK33" i="1"/>
  <c r="AY26" i="1"/>
  <c r="FM26" i="1"/>
  <c r="GM26" i="1"/>
  <c r="JQ33" i="1"/>
  <c r="JY33" i="1"/>
  <c r="BN31" i="1"/>
  <c r="N28" i="4"/>
  <c r="AJ33" i="1"/>
  <c r="CL33" i="1"/>
  <c r="FZ26" i="1"/>
  <c r="DN31" i="1"/>
  <c r="JB31" i="1"/>
  <c r="R27" i="4"/>
  <c r="U65" i="5"/>
  <c r="IO7" i="1"/>
  <c r="IM8" i="1"/>
  <c r="DA18" i="1"/>
  <c r="EA18" i="1"/>
  <c r="G21" i="5"/>
  <c r="I21" i="5"/>
  <c r="DA20" i="1"/>
  <c r="R20" i="4"/>
  <c r="T49" i="4"/>
  <c r="FZ10" i="1"/>
  <c r="IO26" i="1"/>
  <c r="CN20" i="1"/>
  <c r="JB20" i="1"/>
  <c r="DA17" i="1"/>
  <c r="JB18" i="1"/>
  <c r="IM26" i="1"/>
  <c r="IP26" i="1"/>
  <c r="HC26" i="1"/>
  <c r="HB26" i="1"/>
  <c r="DZ33" i="1"/>
  <c r="EK33" i="1"/>
  <c r="ES33" i="1"/>
  <c r="FZ20" i="1"/>
  <c r="AL9" i="1"/>
  <c r="X9" i="3"/>
  <c r="L30" i="9"/>
  <c r="T30" i="9"/>
  <c r="X30" i="9"/>
  <c r="AB30" i="9"/>
  <c r="AF30" i="9"/>
  <c r="AN30" i="9"/>
  <c r="AR30" i="9"/>
  <c r="AV30" i="9"/>
  <c r="AZ30" i="9"/>
  <c r="BD30" i="9"/>
  <c r="BH30" i="9"/>
  <c r="BL30" i="9"/>
  <c r="BP30" i="9"/>
  <c r="BT30" i="9"/>
  <c r="BX30" i="9"/>
  <c r="CB30" i="9"/>
  <c r="CF30" i="9"/>
  <c r="CJ30" i="9"/>
  <c r="CN30" i="9"/>
  <c r="CR30" i="9"/>
  <c r="CV30" i="9"/>
  <c r="CZ30" i="9"/>
  <c r="DD30" i="9"/>
  <c r="DH30" i="9"/>
  <c r="DL30" i="9"/>
  <c r="DP30" i="9"/>
  <c r="DT30" i="9"/>
  <c r="DX30" i="9"/>
  <c r="EB30" i="9"/>
  <c r="EF30" i="9"/>
  <c r="EJ30" i="9"/>
  <c r="EN30" i="9"/>
  <c r="ER30" i="9"/>
  <c r="EV30" i="9"/>
  <c r="EZ30" i="9"/>
  <c r="FD30" i="9"/>
  <c r="FH30" i="9"/>
  <c r="FL30" i="9"/>
  <c r="FP30" i="9"/>
  <c r="FT30" i="9"/>
  <c r="FX30" i="9"/>
  <c r="GB30" i="9"/>
  <c r="GF30" i="9"/>
  <c r="GJ30" i="9"/>
  <c r="GN30" i="9"/>
  <c r="GR30" i="9"/>
  <c r="GV30" i="9"/>
  <c r="GZ30" i="9"/>
  <c r="HD30" i="9"/>
  <c r="HH30" i="9"/>
  <c r="HL30" i="9"/>
  <c r="HP30" i="9"/>
  <c r="HT30" i="9"/>
  <c r="HX30" i="9"/>
  <c r="IB30" i="9"/>
  <c r="IF30" i="9"/>
  <c r="IJ30" i="9"/>
  <c r="IN30" i="9"/>
  <c r="IR30" i="9"/>
  <c r="IV30" i="9"/>
  <c r="JD30" i="9"/>
  <c r="JH30" i="9"/>
  <c r="JL30" i="9"/>
  <c r="JP30" i="9"/>
  <c r="JT30" i="9"/>
  <c r="JX30" i="9"/>
  <c r="KB30" i="9"/>
  <c r="KF30" i="9"/>
  <c r="KJ30" i="9"/>
  <c r="KN30" i="9"/>
  <c r="KR30" i="9"/>
  <c r="KV30" i="9"/>
  <c r="KZ30" i="9"/>
  <c r="LD30" i="9"/>
  <c r="LH30" i="9"/>
  <c r="LL30" i="9"/>
  <c r="LP30" i="9"/>
  <c r="LT30" i="9"/>
  <c r="LX30" i="9"/>
  <c r="MB30" i="9"/>
  <c r="MF30" i="9"/>
  <c r="MJ30" i="9"/>
  <c r="MN30" i="9"/>
  <c r="MR30" i="9"/>
  <c r="MV30" i="9"/>
  <c r="MZ30" i="9"/>
  <c r="ND30" i="9"/>
  <c r="JU39" i="1"/>
  <c r="JY39" i="1"/>
  <c r="G25" i="1"/>
  <c r="G37" i="1" s="1"/>
  <c r="G39" i="1"/>
  <c r="K25" i="1"/>
  <c r="K37" i="1" s="1"/>
  <c r="K39" i="1"/>
  <c r="O25" i="1"/>
  <c r="O37" i="1" s="1"/>
  <c r="O39" i="1"/>
  <c r="S25" i="1"/>
  <c r="W25" i="1"/>
  <c r="W37" i="1" s="1"/>
  <c r="AA25" i="1"/>
  <c r="AA37" i="1" s="1"/>
  <c r="AE25" i="1"/>
  <c r="AE37" i="1" s="1"/>
  <c r="AI25" i="1"/>
  <c r="AP39" i="1"/>
  <c r="AP25" i="1"/>
  <c r="AP37" i="1" s="1"/>
  <c r="AT39" i="1"/>
  <c r="AT25" i="1"/>
  <c r="AT37" i="1" s="1"/>
  <c r="BP25" i="1"/>
  <c r="BP37" i="1" s="1"/>
  <c r="BP39" i="1"/>
  <c r="BT39" i="1"/>
  <c r="BT25" i="1"/>
  <c r="BT37" i="1" s="1"/>
  <c r="BX39" i="1"/>
  <c r="BX25" i="1"/>
  <c r="CE39" i="1"/>
  <c r="CE25" i="1"/>
  <c r="CE37" i="1" s="1"/>
  <c r="CI25" i="1"/>
  <c r="CI37" i="1" s="1"/>
  <c r="CI39" i="1"/>
  <c r="CP25" i="1"/>
  <c r="CP37" i="1" s="1"/>
  <c r="CP39" i="1"/>
  <c r="CT25" i="1"/>
  <c r="CT37" i="1" s="1"/>
  <c r="CT39" i="1"/>
  <c r="CX39" i="1"/>
  <c r="CX25" i="1"/>
  <c r="CX37" i="1" s="1"/>
  <c r="DE39" i="1"/>
  <c r="DE25" i="1"/>
  <c r="DE37" i="1" s="1"/>
  <c r="DI39" i="1"/>
  <c r="DI25" i="1"/>
  <c r="DI37" i="1" s="1"/>
  <c r="DP25" i="1"/>
  <c r="DP37" i="1" s="1"/>
  <c r="DP39" i="1"/>
  <c r="DT25" i="1"/>
  <c r="DT37" i="1" s="1"/>
  <c r="DT39" i="1"/>
  <c r="DX25" i="1"/>
  <c r="DX37" i="1" s="1"/>
  <c r="DX39" i="1"/>
  <c r="FD25" i="1"/>
  <c r="FD39" i="1"/>
  <c r="FH39" i="1"/>
  <c r="FH25" i="1"/>
  <c r="FH37" i="1" s="1"/>
  <c r="FO25" i="1"/>
  <c r="FO39" i="1"/>
  <c r="FS25" i="1"/>
  <c r="FS37" i="1" s="1"/>
  <c r="FS39" i="1"/>
  <c r="FW25" i="1"/>
  <c r="FW39" i="1"/>
  <c r="GD39" i="1"/>
  <c r="GD25" i="1"/>
  <c r="GH39" i="1"/>
  <c r="GH25" i="1"/>
  <c r="HF25" i="1"/>
  <c r="HF39" i="1"/>
  <c r="HJ25" i="1"/>
  <c r="HJ37" i="1" s="1"/>
  <c r="O19" i="2" s="1"/>
  <c r="HJ39" i="1"/>
  <c r="HN39" i="1"/>
  <c r="HN25" i="1"/>
  <c r="HR39" i="1"/>
  <c r="HR25" i="1"/>
  <c r="M22" i="3" s="1"/>
  <c r="HV39" i="1"/>
  <c r="HV25" i="1"/>
  <c r="ID25" i="1"/>
  <c r="ID37" i="1" s="1"/>
  <c r="K26" i="2" s="1"/>
  <c r="ID39" i="1"/>
  <c r="IH25" i="1"/>
  <c r="M27" i="3" s="1"/>
  <c r="IH39" i="1"/>
  <c r="IT39" i="1"/>
  <c r="IT25" i="1"/>
  <c r="IT37" i="1" s="1"/>
  <c r="IX39" i="1"/>
  <c r="IX25" i="1"/>
  <c r="IX37" i="1" s="1"/>
  <c r="JE25" i="1"/>
  <c r="JE37" i="1" s="1"/>
  <c r="JE39" i="1"/>
  <c r="JI25" i="1"/>
  <c r="JI37" i="1" s="1"/>
  <c r="JI39" i="1"/>
  <c r="KC25" i="1"/>
  <c r="KC39" i="1"/>
  <c r="KG39" i="1"/>
  <c r="KG25" i="1"/>
  <c r="G43" i="3" s="1"/>
  <c r="KK39" i="1"/>
  <c r="KK25" i="1"/>
  <c r="KP25" i="1"/>
  <c r="C38" i="3" s="1"/>
  <c r="KP39" i="1"/>
  <c r="KT39" i="1"/>
  <c r="KT25" i="1"/>
  <c r="KX25" i="1"/>
  <c r="L38" i="3" s="1"/>
  <c r="KX39" i="1"/>
  <c r="LB25" i="1"/>
  <c r="LB37" i="1" s="1"/>
  <c r="S39" i="2" s="1"/>
  <c r="LB39" i="1"/>
  <c r="LF39" i="1"/>
  <c r="LF25" i="1"/>
  <c r="LF37" i="1" s="1"/>
  <c r="LJ25" i="1"/>
  <c r="LJ37" i="1" s="1"/>
  <c r="LJ39" i="1"/>
  <c r="LN39" i="1"/>
  <c r="LN25" i="1"/>
  <c r="LN37" i="1" s="1"/>
  <c r="LR39" i="1"/>
  <c r="LR25" i="1"/>
  <c r="LV25" i="1"/>
  <c r="LV37" i="1" s="1"/>
  <c r="LV39" i="1"/>
  <c r="MA25" i="1"/>
  <c r="MA39" i="1"/>
  <c r="ME39" i="1"/>
  <c r="ME25" i="1"/>
  <c r="ME37" i="1" s="1"/>
  <c r="MI39" i="1"/>
  <c r="MI25" i="1"/>
  <c r="MI37" i="1" s="1"/>
  <c r="MM39" i="1"/>
  <c r="MM25" i="1"/>
  <c r="MM37" i="1" s="1"/>
  <c r="JQ39" i="1"/>
  <c r="H39" i="1"/>
  <c r="H25" i="1"/>
  <c r="H37" i="1" s="1"/>
  <c r="L39" i="1"/>
  <c r="L25" i="1"/>
  <c r="P25" i="1"/>
  <c r="P37" i="1" s="1"/>
  <c r="T25" i="1"/>
  <c r="T37" i="1" s="1"/>
  <c r="AF25" i="1"/>
  <c r="AF37" i="1" s="1"/>
  <c r="AM25" i="1"/>
  <c r="AQ25" i="1"/>
  <c r="AQ37" i="1" s="1"/>
  <c r="AQ39" i="1"/>
  <c r="AU25" i="1"/>
  <c r="AU37" i="1" s="1"/>
  <c r="AU39" i="1"/>
  <c r="CJ39" i="1"/>
  <c r="CJ25" i="1"/>
  <c r="CU25" i="1"/>
  <c r="CU37" i="1" s="1"/>
  <c r="CU39" i="1"/>
  <c r="FA25" i="1"/>
  <c r="FA37" i="1" s="1"/>
  <c r="FA39" i="1"/>
  <c r="FE39" i="1"/>
  <c r="FE25" i="1"/>
  <c r="FI25" i="1"/>
  <c r="FI39" i="1"/>
  <c r="FP25" i="1"/>
  <c r="FP39" i="1"/>
  <c r="FT25" i="1"/>
  <c r="FT37" i="1" s="1"/>
  <c r="FT39" i="1"/>
  <c r="GA25" i="1"/>
  <c r="GA39" i="1"/>
  <c r="GE25" i="1"/>
  <c r="GE37" i="1" s="1"/>
  <c r="GE39" i="1"/>
  <c r="GI25" i="1"/>
  <c r="GI37" i="1" s="1"/>
  <c r="GI39" i="1"/>
  <c r="HG39" i="1"/>
  <c r="HG25" i="1"/>
  <c r="HG37" i="1" s="1"/>
  <c r="O18" i="2" s="1"/>
  <c r="HK39" i="1"/>
  <c r="HK25" i="1"/>
  <c r="HO39" i="1"/>
  <c r="HO25" i="1"/>
  <c r="HS25" i="1"/>
  <c r="HS39" i="1"/>
  <c r="IA39" i="1"/>
  <c r="IA25" i="1"/>
  <c r="K25" i="3" s="1"/>
  <c r="IE39" i="1"/>
  <c r="IE25" i="1"/>
  <c r="M26" i="3" s="1"/>
  <c r="II39" i="1"/>
  <c r="II25" i="1"/>
  <c r="II37" i="1" s="1"/>
  <c r="O27" i="2" s="1"/>
  <c r="IU25" i="1"/>
  <c r="IU37" i="1" s="1"/>
  <c r="IU39" i="1"/>
  <c r="IY25" i="1"/>
  <c r="IY37" i="1" s="1"/>
  <c r="IY39" i="1"/>
  <c r="JF25" i="1"/>
  <c r="JF37" i="1" s="1"/>
  <c r="JF39" i="1"/>
  <c r="JJ25" i="1"/>
  <c r="JJ37" i="1" s="1"/>
  <c r="JJ39" i="1"/>
  <c r="KD39" i="1"/>
  <c r="KD25" i="1"/>
  <c r="N38" i="3" s="1"/>
  <c r="KH25" i="1"/>
  <c r="K43" i="3" s="1"/>
  <c r="KH39" i="1"/>
  <c r="KL39" i="1"/>
  <c r="KL25" i="1"/>
  <c r="S43" i="3" s="1"/>
  <c r="KQ25" i="1"/>
  <c r="KQ37" i="1" s="1"/>
  <c r="E39" i="2" s="1"/>
  <c r="KQ39" i="1"/>
  <c r="KU39" i="1"/>
  <c r="KU25" i="1"/>
  <c r="H38" i="3" s="1"/>
  <c r="KY39" i="1"/>
  <c r="KY25" i="1"/>
  <c r="LC25" i="1"/>
  <c r="S38" i="3" s="1"/>
  <c r="LC39" i="1"/>
  <c r="LG39" i="1"/>
  <c r="LG25" i="1"/>
  <c r="LG37" i="1" s="1"/>
  <c r="LK25" i="1"/>
  <c r="LK37" i="1" s="1"/>
  <c r="LK39" i="1"/>
  <c r="LO25" i="1"/>
  <c r="LO37" i="1" s="1"/>
  <c r="LO39" i="1"/>
  <c r="LS39" i="1"/>
  <c r="LS25" i="1"/>
  <c r="LS37" i="1" s="1"/>
  <c r="LW25" i="1"/>
  <c r="LW37" i="1" s="1"/>
  <c r="LW39" i="1"/>
  <c r="MB39" i="1"/>
  <c r="MB25" i="1"/>
  <c r="I48" i="3" s="1"/>
  <c r="MF39" i="1"/>
  <c r="MF25" i="1"/>
  <c r="MJ39" i="1"/>
  <c r="MJ25" i="1"/>
  <c r="MN39" i="1"/>
  <c r="MN25" i="1"/>
  <c r="FY39" i="1"/>
  <c r="I25" i="1"/>
  <c r="I37" i="1" s="1"/>
  <c r="I39" i="1"/>
  <c r="M25" i="1"/>
  <c r="M39" i="1"/>
  <c r="Q25" i="1"/>
  <c r="Q37" i="1" s="1"/>
  <c r="U25" i="1"/>
  <c r="U37" i="1" s="1"/>
  <c r="Y25" i="1"/>
  <c r="Y37" i="1" s="1"/>
  <c r="AC25" i="1"/>
  <c r="AC37" i="1" s="1"/>
  <c r="AG25" i="1"/>
  <c r="AG37" i="1" s="1"/>
  <c r="AN39" i="1"/>
  <c r="AN25" i="1"/>
  <c r="AR39" i="1"/>
  <c r="AR25" i="1"/>
  <c r="AV39" i="1"/>
  <c r="AV25" i="1"/>
  <c r="BK39" i="1"/>
  <c r="BK25" i="1"/>
  <c r="BR39" i="1"/>
  <c r="BR25" i="1"/>
  <c r="BV25" i="1"/>
  <c r="BV37" i="1" s="1"/>
  <c r="BV39" i="1"/>
  <c r="CC39" i="1"/>
  <c r="CC25" i="1"/>
  <c r="CC37" i="1" s="1"/>
  <c r="CG39" i="1"/>
  <c r="CG25" i="1"/>
  <c r="CG37" i="1" s="1"/>
  <c r="CK25" i="1"/>
  <c r="CK37" i="1" s="1"/>
  <c r="CK39" i="1"/>
  <c r="CR39" i="1"/>
  <c r="CR25" i="1"/>
  <c r="CR37" i="1" s="1"/>
  <c r="CV25" i="1"/>
  <c r="CV37" i="1" s="1"/>
  <c r="CV39" i="1"/>
  <c r="DC25" i="1"/>
  <c r="DC37" i="1" s="1"/>
  <c r="DC39" i="1"/>
  <c r="DG39" i="1"/>
  <c r="DG25" i="1"/>
  <c r="DG37" i="1" s="1"/>
  <c r="DK39" i="1"/>
  <c r="DK25" i="1"/>
  <c r="DK37" i="1" s="1"/>
  <c r="DR25" i="1"/>
  <c r="DR37" i="1" s="1"/>
  <c r="DR39" i="1"/>
  <c r="DV25" i="1"/>
  <c r="DV37" i="1" s="1"/>
  <c r="DV39" i="1"/>
  <c r="FB25" i="1"/>
  <c r="FB37" i="1" s="1"/>
  <c r="FB39" i="1"/>
  <c r="FF39" i="1"/>
  <c r="FF25" i="1"/>
  <c r="FF37" i="1" s="1"/>
  <c r="FJ25" i="1"/>
  <c r="FJ37" i="1" s="1"/>
  <c r="FJ39" i="1"/>
  <c r="FQ39" i="1"/>
  <c r="FQ25" i="1"/>
  <c r="FU25" i="1"/>
  <c r="FU37" i="1" s="1"/>
  <c r="FU39" i="1"/>
  <c r="GB25" i="1"/>
  <c r="GB37" i="1" s="1"/>
  <c r="GB39" i="1"/>
  <c r="GF25" i="1"/>
  <c r="GF37" i="1" s="1"/>
  <c r="GF39" i="1"/>
  <c r="GJ25" i="1"/>
  <c r="GJ37" i="1" s="1"/>
  <c r="GJ39" i="1"/>
  <c r="HL25" i="1"/>
  <c r="HL37" i="1" s="1"/>
  <c r="M20" i="2" s="1"/>
  <c r="HL39" i="1"/>
  <c r="HP39" i="1"/>
  <c r="HP25" i="1"/>
  <c r="O21" i="3" s="1"/>
  <c r="IB25" i="1"/>
  <c r="IB37" i="1" s="1"/>
  <c r="M25" i="2" s="1"/>
  <c r="IB39" i="1"/>
  <c r="IF25" i="1"/>
  <c r="IF37" i="1" s="1"/>
  <c r="O26" i="2" s="1"/>
  <c r="IF39" i="1"/>
  <c r="IR39" i="1"/>
  <c r="IR25" i="1"/>
  <c r="JC25" i="1"/>
  <c r="JC39" i="1"/>
  <c r="JG25" i="1"/>
  <c r="JG37" i="1" s="1"/>
  <c r="JG39" i="1"/>
  <c r="JK39" i="1"/>
  <c r="JK25" i="1"/>
  <c r="KE39" i="1"/>
  <c r="KE25" i="1"/>
  <c r="KI25" i="1"/>
  <c r="M43" i="3" s="1"/>
  <c r="KI39" i="1"/>
  <c r="KM39" i="1"/>
  <c r="KM25" i="1"/>
  <c r="KM37" i="1" s="1"/>
  <c r="KR25" i="1"/>
  <c r="KR37" i="1" s="1"/>
  <c r="KR39" i="1"/>
  <c r="KV39" i="1"/>
  <c r="KV25" i="1"/>
  <c r="KZ39" i="1"/>
  <c r="KZ25" i="1"/>
  <c r="LD39" i="1"/>
  <c r="LD25" i="1"/>
  <c r="T38" i="3" s="1"/>
  <c r="LH25" i="1"/>
  <c r="LH37" i="1" s="1"/>
  <c r="LH39" i="1"/>
  <c r="LL39" i="1"/>
  <c r="LL25" i="1"/>
  <c r="LL37" i="1" s="1"/>
  <c r="LP25" i="1"/>
  <c r="LP37" i="1" s="1"/>
  <c r="LP39" i="1"/>
  <c r="LT39" i="1"/>
  <c r="LT25" i="1"/>
  <c r="LT37" i="1" s="1"/>
  <c r="LX25" i="1"/>
  <c r="LX37" i="1" s="1"/>
  <c r="LX39" i="1"/>
  <c r="MC39" i="1"/>
  <c r="MC25" i="1"/>
  <c r="MG39" i="1"/>
  <c r="MG25" i="1"/>
  <c r="MK39" i="1"/>
  <c r="MK25" i="1"/>
  <c r="MK37" i="1" s="1"/>
  <c r="MO39" i="1"/>
  <c r="MO25" i="1"/>
  <c r="F25" i="1"/>
  <c r="F37" i="1" s="1"/>
  <c r="J39" i="1"/>
  <c r="J25" i="1"/>
  <c r="J37" i="1" s="1"/>
  <c r="N39" i="1"/>
  <c r="N25" i="1"/>
  <c r="N37" i="1" s="1"/>
  <c r="R25" i="1"/>
  <c r="R37" i="1" s="1"/>
  <c r="V37" i="1"/>
  <c r="V25" i="1"/>
  <c r="AH25" i="1"/>
  <c r="AH37" i="1" s="1"/>
  <c r="AO39" i="1"/>
  <c r="AO25" i="1"/>
  <c r="AS25" i="1"/>
  <c r="AS39" i="1"/>
  <c r="BW25" i="1"/>
  <c r="BW37" i="1" s="1"/>
  <c r="BW39" i="1"/>
  <c r="CH25" i="1"/>
  <c r="CH37" i="1" s="1"/>
  <c r="CH39" i="1"/>
  <c r="CW25" i="1"/>
  <c r="CW37" i="1" s="1"/>
  <c r="CW39" i="1"/>
  <c r="DW25" i="1"/>
  <c r="DW37" i="1" s="1"/>
  <c r="DW39" i="1"/>
  <c r="FC25" i="1"/>
  <c r="FC37" i="1" s="1"/>
  <c r="FC39" i="1"/>
  <c r="FG25" i="1"/>
  <c r="FG39" i="1"/>
  <c r="FN39" i="1"/>
  <c r="FN25" i="1"/>
  <c r="FN37" i="1" s="1"/>
  <c r="FR39" i="1"/>
  <c r="FR25" i="1"/>
  <c r="FR37" i="1" s="1"/>
  <c r="FV39" i="1"/>
  <c r="FV25" i="1"/>
  <c r="FV37" i="1" s="1"/>
  <c r="GC25" i="1"/>
  <c r="GC37" i="1" s="1"/>
  <c r="GC39" i="1"/>
  <c r="GG39" i="1"/>
  <c r="GG25" i="1"/>
  <c r="GG37" i="1" s="1"/>
  <c r="HE39" i="1"/>
  <c r="HE25" i="1"/>
  <c r="HE37" i="1" s="1"/>
  <c r="K18" i="2" s="1"/>
  <c r="HI25" i="1"/>
  <c r="M19" i="3" s="1"/>
  <c r="HI39" i="1"/>
  <c r="HM25" i="1"/>
  <c r="HM39" i="1"/>
  <c r="HQ25" i="1"/>
  <c r="K22" i="3" s="1"/>
  <c r="HQ39" i="1"/>
  <c r="HU39" i="1"/>
  <c r="HU25" i="1"/>
  <c r="HU37" i="1" s="1"/>
  <c r="M23" i="2" s="1"/>
  <c r="IC39" i="1"/>
  <c r="IC25" i="1"/>
  <c r="O25" i="3" s="1"/>
  <c r="IG39" i="1"/>
  <c r="IG25" i="1"/>
  <c r="K27" i="3" s="1"/>
  <c r="IS25" i="1"/>
  <c r="IS37" i="1" s="1"/>
  <c r="IS39" i="1"/>
  <c r="JD39" i="1"/>
  <c r="JD25" i="1"/>
  <c r="JD37" i="1" s="1"/>
  <c r="JH39" i="1"/>
  <c r="JH25" i="1"/>
  <c r="JL39" i="1"/>
  <c r="JL25" i="1"/>
  <c r="JL37" i="1" s="1"/>
  <c r="KF39" i="1"/>
  <c r="KF25" i="1"/>
  <c r="E43" i="3" s="1"/>
  <c r="KJ39" i="1"/>
  <c r="KJ25" i="1"/>
  <c r="KJ37" i="1" s="1"/>
  <c r="P44" i="2" s="1"/>
  <c r="KS25" i="1"/>
  <c r="KS39" i="1"/>
  <c r="KW25" i="1"/>
  <c r="J38" i="3" s="1"/>
  <c r="KW39" i="1"/>
  <c r="LA39" i="1"/>
  <c r="LA25" i="1"/>
  <c r="LA37" i="1" s="1"/>
  <c r="R39" i="2" s="1"/>
  <c r="LE25" i="1"/>
  <c r="LE39" i="1"/>
  <c r="LI25" i="1"/>
  <c r="LI39" i="1"/>
  <c r="LM25" i="1"/>
  <c r="LM39" i="1"/>
  <c r="LQ25" i="1"/>
  <c r="LQ37" i="1" s="1"/>
  <c r="LQ39" i="1"/>
  <c r="LU39" i="1"/>
  <c r="LU25" i="1"/>
  <c r="LU37" i="1" s="1"/>
  <c r="LZ39" i="1"/>
  <c r="LZ25" i="1"/>
  <c r="MD39" i="1"/>
  <c r="MD25" i="1"/>
  <c r="MH25" i="1"/>
  <c r="MH39" i="1"/>
  <c r="ML39" i="1"/>
  <c r="ML25" i="1"/>
  <c r="HT39" i="1"/>
  <c r="HT25" i="1"/>
  <c r="HH25" i="1"/>
  <c r="HH39" i="1"/>
  <c r="DU39" i="1"/>
  <c r="DU25" i="1"/>
  <c r="DJ39" i="1"/>
  <c r="DJ25" i="1"/>
  <c r="DJ37" i="1" s="1"/>
  <c r="DH25" i="1"/>
  <c r="DH37" i="1" s="1"/>
  <c r="DH39" i="1"/>
  <c r="BU39" i="1"/>
  <c r="BU25" i="1"/>
  <c r="BU37" i="1" s="1"/>
  <c r="AZ39" i="1"/>
  <c r="AZ25" i="1"/>
  <c r="AZ37" i="1" s="1"/>
  <c r="BH39" i="1"/>
  <c r="BH25" i="1"/>
  <c r="BH37" i="1" s="1"/>
  <c r="BA39" i="1"/>
  <c r="BA25" i="1"/>
  <c r="BA37" i="1" s="1"/>
  <c r="BE25" i="1"/>
  <c r="BE37" i="1" s="1"/>
  <c r="BE39" i="1"/>
  <c r="BI25" i="1"/>
  <c r="BI37" i="1" s="1"/>
  <c r="BI39" i="1"/>
  <c r="BF39" i="1"/>
  <c r="BF25" i="1"/>
  <c r="BF37" i="1" s="1"/>
  <c r="BJ39" i="1"/>
  <c r="BJ25" i="1"/>
  <c r="BJ37" i="1" s="1"/>
  <c r="BC39" i="1"/>
  <c r="BC25" i="1"/>
  <c r="BC37" i="1" s="1"/>
  <c r="BG39" i="1"/>
  <c r="BG25" i="1"/>
  <c r="BG37" i="1" s="1"/>
  <c r="AD25" i="1"/>
  <c r="AD37" i="1" s="1"/>
  <c r="X25" i="1"/>
  <c r="X37" i="1" s="1"/>
  <c r="KN25" i="1"/>
  <c r="KN37" i="1" s="1"/>
  <c r="KN39" i="1"/>
  <c r="IW25" i="1"/>
  <c r="IW37" i="1" s="1"/>
  <c r="IW39" i="1"/>
  <c r="IV25" i="1"/>
  <c r="IV37" i="1" s="1"/>
  <c r="IV39" i="1"/>
  <c r="DS39" i="1"/>
  <c r="DS25" i="1"/>
  <c r="DS37" i="1" s="1"/>
  <c r="DQ25" i="1"/>
  <c r="DQ37" i="1" s="1"/>
  <c r="DQ39" i="1"/>
  <c r="DO39" i="1"/>
  <c r="DO25" i="1"/>
  <c r="DO37" i="1" s="1"/>
  <c r="DF39" i="1"/>
  <c r="DF25" i="1"/>
  <c r="DF37" i="1" s="1"/>
  <c r="DD25" i="1"/>
  <c r="DD37" i="1" s="1"/>
  <c r="DD39" i="1"/>
  <c r="DB39" i="1"/>
  <c r="DB25" i="1"/>
  <c r="DB37" i="1" s="1"/>
  <c r="CS39" i="1"/>
  <c r="CS25" i="1"/>
  <c r="CS37" i="1" s="1"/>
  <c r="CQ39" i="1"/>
  <c r="CQ25" i="1"/>
  <c r="CQ37" i="1" s="1"/>
  <c r="CO25" i="1"/>
  <c r="CO37" i="1" s="1"/>
  <c r="CO39" i="1"/>
  <c r="CF39" i="1"/>
  <c r="CF25" i="1"/>
  <c r="CF37" i="1" s="1"/>
  <c r="CD25" i="1"/>
  <c r="CD37" i="1" s="1"/>
  <c r="CD39" i="1"/>
  <c r="CB39" i="1"/>
  <c r="CB25" i="1"/>
  <c r="CB37" i="1" s="1"/>
  <c r="BS25" i="1"/>
  <c r="BS37" i="1" s="1"/>
  <c r="BS39" i="1"/>
  <c r="BQ39" i="1"/>
  <c r="BQ25" i="1"/>
  <c r="BQ37" i="1" s="1"/>
  <c r="BO25" i="1"/>
  <c r="BO37" i="1" s="1"/>
  <c r="BO39" i="1"/>
  <c r="BD39" i="1"/>
  <c r="BD25" i="1"/>
  <c r="BD37" i="1" s="1"/>
  <c r="BB39" i="1"/>
  <c r="BB25" i="1"/>
  <c r="BB37" i="1" s="1"/>
  <c r="AB25" i="1"/>
  <c r="AB37" i="1" s="1"/>
  <c r="Z25" i="1"/>
  <c r="Z37" i="1" s="1"/>
  <c r="X82" i="5"/>
  <c r="FZ7" i="1"/>
  <c r="FZ8" i="1"/>
  <c r="JB10" i="1"/>
  <c r="JB19" i="1"/>
  <c r="DN20" i="1"/>
  <c r="U58" i="5"/>
  <c r="U60" i="5"/>
  <c r="O79" i="5"/>
  <c r="O84" i="5"/>
  <c r="O87" i="5" s="1"/>
  <c r="O85" i="5"/>
  <c r="IL40" i="1"/>
  <c r="DN18" i="1"/>
  <c r="CA20" i="1"/>
  <c r="AK15" i="1"/>
  <c r="AK39" i="1" s="1"/>
  <c r="DM15" i="1"/>
  <c r="IN9" i="1"/>
  <c r="JO9" i="1"/>
  <c r="AY10" i="1"/>
  <c r="DA10" i="1"/>
  <c r="FM10" i="1"/>
  <c r="GM10" i="1"/>
  <c r="JO10" i="1"/>
  <c r="AW40" i="1"/>
  <c r="BY21" i="1"/>
  <c r="CY21" i="1"/>
  <c r="ED21" i="1"/>
  <c r="EH21" i="1"/>
  <c r="EL21" i="1"/>
  <c r="EP21" i="1"/>
  <c r="ET21" i="1"/>
  <c r="JX21" i="1"/>
  <c r="BN17" i="1"/>
  <c r="DN17" i="1"/>
  <c r="CA19" i="1"/>
  <c r="IP8" i="1"/>
  <c r="IO9" i="1"/>
  <c r="BZ21" i="1"/>
  <c r="DN19" i="1"/>
  <c r="IN19" i="1"/>
  <c r="U61" i="5"/>
  <c r="O77" i="5"/>
  <c r="O83" i="5" s="1"/>
  <c r="IM7" i="1"/>
  <c r="IP10" i="1"/>
  <c r="AJ40" i="1"/>
  <c r="BL21" i="1"/>
  <c r="CL21" i="1"/>
  <c r="EB21" i="1"/>
  <c r="EF21" i="1"/>
  <c r="EJ21" i="1"/>
  <c r="EN21" i="1"/>
  <c r="ER21" i="1"/>
  <c r="EV21" i="1"/>
  <c r="IN16" i="1"/>
  <c r="IK40" i="1"/>
  <c r="IO18" i="1"/>
  <c r="EA19" i="1"/>
  <c r="O58" i="5"/>
  <c r="O62" i="5"/>
  <c r="U64" i="5"/>
  <c r="U67" i="5" s="1"/>
  <c r="FM6" i="1"/>
  <c r="GK15" i="1"/>
  <c r="IK15" i="1"/>
  <c r="JM15" i="1"/>
  <c r="JR15" i="1"/>
  <c r="KO15" i="1"/>
  <c r="AY7" i="1"/>
  <c r="FM7" i="1"/>
  <c r="GM7" i="1"/>
  <c r="JO7" i="1"/>
  <c r="AY8" i="1"/>
  <c r="DA8" i="1"/>
  <c r="EA8" i="1"/>
  <c r="FM8" i="1"/>
  <c r="IM9" i="1"/>
  <c r="CM21" i="1"/>
  <c r="DM21" i="1"/>
  <c r="EA17" i="1"/>
  <c r="IO17" i="1"/>
  <c r="BN19" i="1"/>
  <c r="I44" i="4"/>
  <c r="T21" i="5"/>
  <c r="V21" i="5"/>
  <c r="T134" i="5"/>
  <c r="U62" i="5"/>
  <c r="X78" i="5"/>
  <c r="X80" i="5"/>
  <c r="HC9" i="1"/>
  <c r="X79" i="5"/>
  <c r="X85" i="5"/>
  <c r="F109" i="5"/>
  <c r="AY6" i="1"/>
  <c r="CA6" i="1"/>
  <c r="FL15" i="1"/>
  <c r="GL15" i="1"/>
  <c r="HC6" i="1"/>
  <c r="IO6" i="1"/>
  <c r="JN15" i="1"/>
  <c r="JS15" i="1"/>
  <c r="HB7" i="1"/>
  <c r="IN7" i="1"/>
  <c r="CN9" i="1"/>
  <c r="FZ9" i="1"/>
  <c r="IP9" i="1"/>
  <c r="IO10" i="1"/>
  <c r="DY21" i="1"/>
  <c r="EC21" i="1"/>
  <c r="EG21" i="1"/>
  <c r="EK21" i="1"/>
  <c r="EO21" i="1"/>
  <c r="ES21" i="1"/>
  <c r="EW21" i="1"/>
  <c r="CA17" i="1"/>
  <c r="CA18" i="1"/>
  <c r="EY18" i="1"/>
  <c r="JO18" i="1"/>
  <c r="CN19" i="1"/>
  <c r="K67" i="5"/>
  <c r="I101" i="5"/>
  <c r="U57" i="5"/>
  <c r="U63" i="5" s="1"/>
  <c r="U59" i="5"/>
  <c r="W78" i="5"/>
  <c r="Y78" i="5" s="1"/>
  <c r="O80" i="5"/>
  <c r="W81" i="5"/>
  <c r="Y81" i="5" s="1"/>
  <c r="W82" i="5"/>
  <c r="Y82" i="5" s="1"/>
  <c r="EX18" i="1"/>
  <c r="DZ15" i="1"/>
  <c r="FX15" i="1"/>
  <c r="JP15" i="1"/>
  <c r="HC7" i="1"/>
  <c r="HD7" i="1" s="1"/>
  <c r="HB8" i="1"/>
  <c r="HB10" i="1"/>
  <c r="CA16" i="1"/>
  <c r="CZ21" i="1"/>
  <c r="DZ21" i="1"/>
  <c r="IZ40" i="1"/>
  <c r="EY19" i="1"/>
  <c r="EY20" i="1"/>
  <c r="HZ20" i="1"/>
  <c r="I63" i="5"/>
  <c r="X81" i="5"/>
  <c r="W86" i="5"/>
  <c r="Y86" i="5" s="1"/>
  <c r="HB6" i="1"/>
  <c r="EX17" i="1"/>
  <c r="CZ15" i="1"/>
  <c r="EV15" i="1"/>
  <c r="JT15" i="1"/>
  <c r="DN6" i="1"/>
  <c r="GO15" i="1"/>
  <c r="HA15" i="1"/>
  <c r="IM6" i="1"/>
  <c r="IP7" i="1"/>
  <c r="GM8" i="1"/>
  <c r="HC8" i="1"/>
  <c r="IO8" i="1"/>
  <c r="JO8" i="1"/>
  <c r="AY9" i="1"/>
  <c r="EA9" i="1"/>
  <c r="FM9" i="1"/>
  <c r="GM9" i="1"/>
  <c r="HB9" i="1"/>
  <c r="HD9" i="1" s="1"/>
  <c r="HC10" i="1"/>
  <c r="IM10" i="1"/>
  <c r="AK21" i="1"/>
  <c r="BM21" i="1"/>
  <c r="DL21" i="1"/>
  <c r="EA16" i="1"/>
  <c r="EE21" i="1"/>
  <c r="EI21" i="1"/>
  <c r="EM21" i="1"/>
  <c r="EQ21" i="1"/>
  <c r="EU21" i="1"/>
  <c r="HA21" i="1"/>
  <c r="JA21" i="1"/>
  <c r="CN17" i="1"/>
  <c r="JB17" i="1"/>
  <c r="BN18" i="1"/>
  <c r="CN18" i="1"/>
  <c r="DA19" i="1"/>
  <c r="EX19" i="1"/>
  <c r="AL20" i="1"/>
  <c r="BN20" i="1"/>
  <c r="EA20" i="1"/>
  <c r="EX20" i="1"/>
  <c r="R22" i="4"/>
  <c r="F21" i="5"/>
  <c r="H21" i="5"/>
  <c r="J21" i="5"/>
  <c r="R35" i="5"/>
  <c r="Y44" i="5"/>
  <c r="AA46" i="5"/>
  <c r="K63" i="5"/>
  <c r="K101" i="5"/>
  <c r="M101" i="5"/>
  <c r="U66" i="5"/>
  <c r="O78" i="5"/>
  <c r="W79" i="5"/>
  <c r="Y79" i="5" s="1"/>
  <c r="W80" i="5"/>
  <c r="Y80" i="5" s="1"/>
  <c r="O82" i="5"/>
  <c r="X84" i="5"/>
  <c r="W85" i="5"/>
  <c r="Y85" i="5" s="1"/>
  <c r="X86" i="5"/>
  <c r="JM40" i="1"/>
  <c r="JV40" i="1"/>
  <c r="JP21" i="1"/>
  <c r="JT40" i="1"/>
  <c r="JN40" i="1"/>
  <c r="JS40" i="1"/>
  <c r="JW40" i="1"/>
  <c r="KA17" i="1"/>
  <c r="JQ21" i="1"/>
  <c r="JU40" i="1"/>
  <c r="JO20" i="1"/>
  <c r="IP19" i="1"/>
  <c r="IJ40" i="1"/>
  <c r="GO40" i="1"/>
  <c r="GZ40" i="1"/>
  <c r="AY31" i="1"/>
  <c r="AY33" i="1" s="1"/>
  <c r="AX40" i="1"/>
  <c r="AY19" i="1"/>
  <c r="G30" i="9"/>
  <c r="K30" i="9"/>
  <c r="O30" i="9"/>
  <c r="S30" i="9"/>
  <c r="W30" i="9"/>
  <c r="AA30" i="9"/>
  <c r="AE30" i="9"/>
  <c r="AI30" i="9"/>
  <c r="AM30" i="9"/>
  <c r="AQ30" i="9"/>
  <c r="AU30" i="9"/>
  <c r="AY30" i="9"/>
  <c r="BC30" i="9"/>
  <c r="BG30" i="9"/>
  <c r="BK30" i="9"/>
  <c r="BO30" i="9"/>
  <c r="BS30" i="9"/>
  <c r="BW30" i="9"/>
  <c r="CA30" i="9"/>
  <c r="CE30" i="9"/>
  <c r="CI30" i="9"/>
  <c r="CM30" i="9"/>
  <c r="CQ30" i="9"/>
  <c r="CU30" i="9"/>
  <c r="CY30" i="9"/>
  <c r="DC30" i="9"/>
  <c r="DG30" i="9"/>
  <c r="DK30" i="9"/>
  <c r="DO30" i="9"/>
  <c r="DS30" i="9"/>
  <c r="DW30" i="9"/>
  <c r="EA30" i="9"/>
  <c r="EE30" i="9"/>
  <c r="EI30" i="9"/>
  <c r="EM30" i="9"/>
  <c r="EQ30" i="9"/>
  <c r="EU30" i="9"/>
  <c r="FC30" i="9"/>
  <c r="FG30" i="9"/>
  <c r="FK30" i="9"/>
  <c r="FO30" i="9"/>
  <c r="FS30" i="9"/>
  <c r="FW30" i="9"/>
  <c r="GA30" i="9"/>
  <c r="GE30" i="9"/>
  <c r="GI30" i="9"/>
  <c r="GM30" i="9"/>
  <c r="GQ30" i="9"/>
  <c r="GU30" i="9"/>
  <c r="GY30" i="9"/>
  <c r="HG30" i="9"/>
  <c r="HK30" i="9"/>
  <c r="HO30" i="9"/>
  <c r="HS30" i="9"/>
  <c r="HW30" i="9"/>
  <c r="IA30" i="9"/>
  <c r="IE30" i="9"/>
  <c r="II30" i="9"/>
  <c r="IM30" i="9"/>
  <c r="IQ30" i="9"/>
  <c r="IU30" i="9"/>
  <c r="IY30" i="9"/>
  <c r="JC30" i="9"/>
  <c r="JG30" i="9"/>
  <c r="JK30" i="9"/>
  <c r="JO30" i="9"/>
  <c r="JS30" i="9"/>
  <c r="JW30" i="9"/>
  <c r="KA30" i="9"/>
  <c r="KE30" i="9"/>
  <c r="KI30" i="9"/>
  <c r="KM30" i="9"/>
  <c r="KQ30" i="9"/>
  <c r="KU30" i="9"/>
  <c r="KY30" i="9"/>
  <c r="LC30" i="9"/>
  <c r="LG30" i="9"/>
  <c r="LK30" i="9"/>
  <c r="LO30" i="9"/>
  <c r="LS30" i="9"/>
  <c r="LW30" i="9"/>
  <c r="MA30" i="9"/>
  <c r="ME30" i="9"/>
  <c r="MI30" i="9"/>
  <c r="MM30" i="9"/>
  <c r="MQ30" i="9"/>
  <c r="MU30" i="9"/>
  <c r="MY30" i="9"/>
  <c r="NC30" i="9"/>
  <c r="M30" i="9"/>
  <c r="U30" i="9"/>
  <c r="AC30" i="9"/>
  <c r="AS30" i="9"/>
  <c r="BA30" i="9"/>
  <c r="BI30" i="9"/>
  <c r="BQ30" i="9"/>
  <c r="BY30" i="9"/>
  <c r="CG30" i="9"/>
  <c r="CO30" i="9"/>
  <c r="CW30" i="9"/>
  <c r="DE30" i="9"/>
  <c r="DM30" i="9"/>
  <c r="DU30" i="9"/>
  <c r="EC30" i="9"/>
  <c r="EK30" i="9"/>
  <c r="ES30" i="9"/>
  <c r="FA30" i="9"/>
  <c r="FI30" i="9"/>
  <c r="FQ30" i="9"/>
  <c r="FY30" i="9"/>
  <c r="GG30" i="9"/>
  <c r="GO30" i="9"/>
  <c r="GW30" i="9"/>
  <c r="HE30" i="9"/>
  <c r="HM30" i="9"/>
  <c r="HU30" i="9"/>
  <c r="IC30" i="9"/>
  <c r="IK30" i="9"/>
  <c r="IS30" i="9"/>
  <c r="JI30" i="9"/>
  <c r="JQ30" i="9"/>
  <c r="JY30" i="9"/>
  <c r="KG30" i="9"/>
  <c r="KO30" i="9"/>
  <c r="KW30" i="9"/>
  <c r="LE30" i="9"/>
  <c r="LM30" i="9"/>
  <c r="LU30" i="9"/>
  <c r="MC30" i="9"/>
  <c r="MK30" i="9"/>
  <c r="MS30" i="9"/>
  <c r="NA30" i="9"/>
  <c r="FZ6" i="1"/>
  <c r="EA10" i="1"/>
  <c r="FK15" i="1"/>
  <c r="BN16" i="1"/>
  <c r="DN16" i="1"/>
  <c r="EY17" i="1"/>
  <c r="P38" i="3"/>
  <c r="CY40" i="1"/>
  <c r="DY40" i="1"/>
  <c r="EC40" i="1"/>
  <c r="EG40" i="1"/>
  <c r="EK40" i="1"/>
  <c r="EO40" i="1"/>
  <c r="ES40" i="1"/>
  <c r="EW40" i="1"/>
  <c r="JK37" i="1"/>
  <c r="JO6" i="1"/>
  <c r="CA7" i="1"/>
  <c r="JB7" i="1"/>
  <c r="CA8" i="1"/>
  <c r="CA9" i="1"/>
  <c r="GY15" i="1"/>
  <c r="DA16" i="1"/>
  <c r="IP16" i="1"/>
  <c r="AL17" i="1"/>
  <c r="BM40" i="1"/>
  <c r="CL40" i="1"/>
  <c r="CZ40" i="1"/>
  <c r="DZ40" i="1"/>
  <c r="ED40" i="1"/>
  <c r="EH40" i="1"/>
  <c r="EL40" i="1"/>
  <c r="EP40" i="1"/>
  <c r="BN8" i="1"/>
  <c r="HZ8" i="1"/>
  <c r="IN10" i="1"/>
  <c r="JZ10" i="1"/>
  <c r="Q38" i="3"/>
  <c r="CN16" i="1"/>
  <c r="EX16" i="1"/>
  <c r="Q43" i="3"/>
  <c r="R38" i="3"/>
  <c r="BY40" i="1"/>
  <c r="CM40" i="1"/>
  <c r="EE40" i="1"/>
  <c r="EI40" i="1"/>
  <c r="EM40" i="1"/>
  <c r="EQ40" i="1"/>
  <c r="EU40" i="1"/>
  <c r="KG37" i="1"/>
  <c r="H44" i="2" s="1"/>
  <c r="KK37" i="1"/>
  <c r="R44" i="2" s="1"/>
  <c r="GM6" i="1"/>
  <c r="IP6" i="1"/>
  <c r="EY16" i="1"/>
  <c r="BZ40" i="1"/>
  <c r="DM40" i="1"/>
  <c r="EB40" i="1"/>
  <c r="EF40" i="1"/>
  <c r="EJ40" i="1"/>
  <c r="EN40" i="1"/>
  <c r="KL37" i="1"/>
  <c r="T44" i="2" s="1"/>
  <c r="LR37" i="1"/>
  <c r="IM18" i="1"/>
  <c r="AL19" i="1"/>
  <c r="IM20" i="1"/>
  <c r="JH37" i="1"/>
  <c r="AL26" i="1"/>
  <c r="DA31" i="1"/>
  <c r="FK33" i="1"/>
  <c r="GK33" i="1"/>
  <c r="GP33" i="1"/>
  <c r="GX33" i="1"/>
  <c r="IK33" i="1"/>
  <c r="JX40" i="1"/>
  <c r="C10" i="5"/>
  <c r="F9" i="5"/>
  <c r="F10" i="5" s="1"/>
  <c r="E21" i="5"/>
  <c r="K17" i="5"/>
  <c r="G10" i="5"/>
  <c r="I9" i="5"/>
  <c r="I10" i="5" s="1"/>
  <c r="W19" i="5"/>
  <c r="D48" i="5"/>
  <c r="P34" i="5"/>
  <c r="Q36" i="5"/>
  <c r="G48" i="5"/>
  <c r="H48" i="5"/>
  <c r="P37" i="5"/>
  <c r="O48" i="5"/>
  <c r="Q40" i="5"/>
  <c r="Q42" i="5"/>
  <c r="Y43" i="5"/>
  <c r="Y45" i="5"/>
  <c r="O60" i="5"/>
  <c r="O65" i="5"/>
  <c r="S10" i="5"/>
  <c r="U9" i="5"/>
  <c r="U10" i="5" s="1"/>
  <c r="O101" i="5"/>
  <c r="S99" i="5"/>
  <c r="Q101" i="5"/>
  <c r="AY18" i="1"/>
  <c r="IM19" i="1"/>
  <c r="JY21" i="1"/>
  <c r="JY25" i="1" s="1"/>
  <c r="HZ26" i="1"/>
  <c r="ET40" i="1"/>
  <c r="EX31" i="1"/>
  <c r="FL33" i="1"/>
  <c r="GL33" i="1"/>
  <c r="GQ33" i="1"/>
  <c r="GU33" i="1"/>
  <c r="GY33" i="1"/>
  <c r="IL33" i="1"/>
  <c r="JM33" i="1"/>
  <c r="N24" i="4"/>
  <c r="R21" i="4"/>
  <c r="K19" i="5"/>
  <c r="S21" i="5"/>
  <c r="U21" i="5"/>
  <c r="L9" i="5"/>
  <c r="L10" i="5" s="1"/>
  <c r="J10" i="5"/>
  <c r="E48" i="5"/>
  <c r="Q34" i="5"/>
  <c r="Q37" i="5"/>
  <c r="I48" i="5"/>
  <c r="J48" i="5"/>
  <c r="P38" i="5"/>
  <c r="P41" i="5"/>
  <c r="P43" i="5"/>
  <c r="Y41" i="5"/>
  <c r="S48" i="5"/>
  <c r="Z43" i="5"/>
  <c r="Z45" i="5"/>
  <c r="O59" i="5"/>
  <c r="M67" i="5"/>
  <c r="O64" i="5"/>
  <c r="X9" i="5"/>
  <c r="X10" i="5" s="1"/>
  <c r="V10" i="5"/>
  <c r="S100" i="5"/>
  <c r="JZ20" i="1"/>
  <c r="AW33" i="1"/>
  <c r="EY31" i="1"/>
  <c r="FX33" i="1"/>
  <c r="GN33" i="1"/>
  <c r="GR33" i="1"/>
  <c r="GV33" i="1"/>
  <c r="GZ33" i="1"/>
  <c r="HY33" i="1"/>
  <c r="JN33" i="1"/>
  <c r="Q38" i="5"/>
  <c r="K48" i="5"/>
  <c r="L48" i="5"/>
  <c r="P39" i="5"/>
  <c r="Q41" i="5"/>
  <c r="Q43" i="5"/>
  <c r="O9" i="5"/>
  <c r="O10" i="5" s="1"/>
  <c r="M10" i="5"/>
  <c r="T48" i="5"/>
  <c r="Z41" i="5"/>
  <c r="Y42" i="5"/>
  <c r="U48" i="5"/>
  <c r="P10" i="5"/>
  <c r="R9" i="5"/>
  <c r="R10" i="5" s="1"/>
  <c r="KZ37" i="1"/>
  <c r="Q39" i="2" s="1"/>
  <c r="LD37" i="1"/>
  <c r="U39" i="2" s="1"/>
  <c r="BL40" i="1"/>
  <c r="DL40" i="1"/>
  <c r="IM17" i="1"/>
  <c r="AL18" i="1"/>
  <c r="LY21" i="1"/>
  <c r="HZ19" i="1"/>
  <c r="JO19" i="1"/>
  <c r="JC37" i="1"/>
  <c r="ER40" i="1"/>
  <c r="EV40" i="1"/>
  <c r="FY33" i="1"/>
  <c r="GO33" i="1"/>
  <c r="GS33" i="1"/>
  <c r="GW33" i="1"/>
  <c r="HA33" i="1"/>
  <c r="IM31" i="1"/>
  <c r="JA40" i="1"/>
  <c r="JO31" i="1"/>
  <c r="JO33" i="1" s="1"/>
  <c r="R19" i="4"/>
  <c r="R23" i="4"/>
  <c r="U44" i="4"/>
  <c r="R21" i="5"/>
  <c r="W17" i="5"/>
  <c r="F48" i="5"/>
  <c r="P36" i="5"/>
  <c r="Q39" i="5"/>
  <c r="M48" i="5"/>
  <c r="P40" i="5"/>
  <c r="N48" i="5"/>
  <c r="P42" i="5"/>
  <c r="R44" i="5"/>
  <c r="V48" i="5"/>
  <c r="Z42" i="5"/>
  <c r="Z44" i="5"/>
  <c r="M63" i="5"/>
  <c r="O57" i="5"/>
  <c r="O61" i="5"/>
  <c r="I67" i="5"/>
  <c r="O66" i="5"/>
  <c r="KD37" i="1"/>
  <c r="O39" i="2" s="1"/>
  <c r="X77" i="5"/>
  <c r="X83" i="5" s="1"/>
  <c r="W87" i="5"/>
  <c r="Y87" i="5" s="1"/>
  <c r="S63" i="5"/>
  <c r="K87" i="5"/>
  <c r="V87" i="5"/>
  <c r="X87" i="5" s="1"/>
  <c r="W77" i="5"/>
  <c r="W84" i="5"/>
  <c r="Y84" i="5" s="1"/>
  <c r="Y121" i="5"/>
  <c r="Y123" i="5" s="1"/>
  <c r="L37" i="1"/>
  <c r="S37" i="1"/>
  <c r="AJ15" i="1"/>
  <c r="AJ39" i="1" s="1"/>
  <c r="L9" i="3"/>
  <c r="KO21" i="1"/>
  <c r="KA20" i="1"/>
  <c r="JY40" i="1"/>
  <c r="JO17" i="1"/>
  <c r="JZ19" i="1"/>
  <c r="KA19" i="1"/>
  <c r="JZ18" i="1"/>
  <c r="KA18" i="1"/>
  <c r="JR40" i="1"/>
  <c r="JZ17" i="1"/>
  <c r="KA31" i="1"/>
  <c r="JZ31" i="1"/>
  <c r="JB16" i="1"/>
  <c r="IZ21" i="1"/>
  <c r="IL15" i="1"/>
  <c r="GT15" i="1"/>
  <c r="AY17" i="1"/>
  <c r="AY20" i="1"/>
  <c r="AK40" i="1"/>
  <c r="AJ21" i="1"/>
  <c r="AL16" i="1"/>
  <c r="LY15" i="1"/>
  <c r="MC37" i="1"/>
  <c r="MO37" i="1"/>
  <c r="MG37" i="1"/>
  <c r="MB37" i="1"/>
  <c r="H50" i="2" s="1"/>
  <c r="MA37" i="1"/>
  <c r="G50" i="2" s="1"/>
  <c r="LI37" i="1"/>
  <c r="LE37" i="1"/>
  <c r="O38" i="3"/>
  <c r="KY37" i="1"/>
  <c r="P39" i="2" s="1"/>
  <c r="M38" i="3"/>
  <c r="KC37" i="1"/>
  <c r="N39" i="2" s="1"/>
  <c r="JB26" i="1"/>
  <c r="KA10" i="1"/>
  <c r="JB9" i="1"/>
  <c r="KA9" i="1"/>
  <c r="JZ9" i="1"/>
  <c r="JB8" i="1"/>
  <c r="KA8" i="1"/>
  <c r="JZ8" i="1"/>
  <c r="JW15" i="1"/>
  <c r="KA7" i="1"/>
  <c r="JV15" i="1"/>
  <c r="JZ7" i="1"/>
  <c r="IZ15" i="1"/>
  <c r="JZ6" i="1"/>
  <c r="HZ9" i="1"/>
  <c r="AI37" i="1"/>
  <c r="M37" i="1"/>
  <c r="BK37" i="1"/>
  <c r="CA10" i="1"/>
  <c r="DA26" i="1"/>
  <c r="FZ31" i="1"/>
  <c r="FZ33" i="1" s="1"/>
  <c r="FZ16" i="1"/>
  <c r="GZ15" i="1"/>
  <c r="GW15" i="1"/>
  <c r="GP15" i="1"/>
  <c r="GX15" i="1"/>
  <c r="GS15" i="1"/>
  <c r="GU15" i="1"/>
  <c r="GN15" i="1"/>
  <c r="GV15" i="1"/>
  <c r="GQ15" i="1"/>
  <c r="GR15" i="1"/>
  <c r="ET15" i="1"/>
  <c r="EW15" i="1"/>
  <c r="EA7" i="1"/>
  <c r="EU15" i="1"/>
  <c r="DN8" i="1"/>
  <c r="DN9" i="1"/>
  <c r="DA9" i="1"/>
  <c r="CM15" i="1"/>
  <c r="BZ15" i="1"/>
  <c r="BN10" i="1"/>
  <c r="AX15" i="1"/>
  <c r="AL7" i="1"/>
  <c r="AL8" i="1"/>
  <c r="AL10" i="1"/>
  <c r="F9" i="3"/>
  <c r="U9" i="2"/>
  <c r="H9" i="3"/>
  <c r="I9" i="3" s="1"/>
  <c r="P9" i="3"/>
  <c r="H18" i="11"/>
  <c r="C9" i="2" s="1"/>
  <c r="P18" i="11"/>
  <c r="Y9" i="2" s="1"/>
  <c r="Q9" i="3"/>
  <c r="I18" i="11"/>
  <c r="D9" i="2" s="1"/>
  <c r="Q18" i="11"/>
  <c r="Z9" i="2" s="1"/>
  <c r="AW18" i="11"/>
  <c r="J9" i="2" s="1"/>
  <c r="JM18" i="11"/>
  <c r="V9" i="2" s="1"/>
  <c r="J18" i="11"/>
  <c r="E9" i="2" s="1"/>
  <c r="AX18" i="11"/>
  <c r="K9" i="2" s="1"/>
  <c r="EX18" i="11"/>
  <c r="M9" i="2" s="1"/>
  <c r="JN18" i="11"/>
  <c r="W9" i="2" s="1"/>
  <c r="S9" i="3"/>
  <c r="EY18" i="11"/>
  <c r="N9" i="2" s="1"/>
  <c r="T9" i="3"/>
  <c r="AJ18" i="11"/>
  <c r="G9" i="2" s="1"/>
  <c r="I9" i="2" s="1"/>
  <c r="G10" i="4"/>
  <c r="I8" i="4"/>
  <c r="I10" i="4" s="1"/>
  <c r="U8" i="4"/>
  <c r="U10" i="4" s="1"/>
  <c r="S10" i="4"/>
  <c r="P10" i="4"/>
  <c r="R8" i="4"/>
  <c r="R10" i="4" s="1"/>
  <c r="C10" i="4"/>
  <c r="F8" i="4"/>
  <c r="F10" i="4" s="1"/>
  <c r="M10" i="4"/>
  <c r="O8" i="4"/>
  <c r="O10" i="4" s="1"/>
  <c r="L8" i="4"/>
  <c r="L10" i="4" s="1"/>
  <c r="J10" i="4"/>
  <c r="V10" i="4"/>
  <c r="X8" i="4"/>
  <c r="X10" i="4" s="1"/>
  <c r="Y30" i="9"/>
  <c r="AG30" i="9"/>
  <c r="AO30" i="9"/>
  <c r="BE30" i="9"/>
  <c r="BM30" i="9"/>
  <c r="BU30" i="9"/>
  <c r="CC30" i="9"/>
  <c r="CK30" i="9"/>
  <c r="CS30" i="9"/>
  <c r="DA30" i="9"/>
  <c r="DI30" i="9"/>
  <c r="DQ30" i="9"/>
  <c r="DY30" i="9"/>
  <c r="EG30" i="9"/>
  <c r="EO30" i="9"/>
  <c r="EW30" i="9"/>
  <c r="FE30" i="9"/>
  <c r="FM30" i="9"/>
  <c r="FU30" i="9"/>
  <c r="GC30" i="9"/>
  <c r="GK30" i="9"/>
  <c r="GS30" i="9"/>
  <c r="HA30" i="9"/>
  <c r="HI30" i="9"/>
  <c r="HQ30" i="9"/>
  <c r="HY30" i="9"/>
  <c r="IG30" i="9"/>
  <c r="IO30" i="9"/>
  <c r="IW30" i="9"/>
  <c r="JE30" i="9"/>
  <c r="JU30" i="9"/>
  <c r="KC30" i="9"/>
  <c r="KK30" i="9"/>
  <c r="KS30" i="9"/>
  <c r="LA30" i="9"/>
  <c r="LI30" i="9"/>
  <c r="LQ30" i="9"/>
  <c r="LY30" i="9"/>
  <c r="MG30" i="9"/>
  <c r="MO30" i="9"/>
  <c r="MW30" i="9"/>
  <c r="C8" i="3"/>
  <c r="H30" i="9"/>
  <c r="C8" i="2" s="1"/>
  <c r="Y8" i="3"/>
  <c r="Y10" i="3" s="1"/>
  <c r="P30" i="9"/>
  <c r="Y8" i="2" s="1"/>
  <c r="Y10" i="2" s="1"/>
  <c r="D8" i="3"/>
  <c r="D10" i="3" s="1"/>
  <c r="I30" i="9"/>
  <c r="D8" i="2" s="1"/>
  <c r="Z8" i="3"/>
  <c r="Z10" i="3" s="1"/>
  <c r="Q30" i="9"/>
  <c r="Z8" i="2" s="1"/>
  <c r="J8" i="3"/>
  <c r="AW30" i="9"/>
  <c r="J8" i="2" s="1"/>
  <c r="E8" i="3"/>
  <c r="E10" i="3" s="1"/>
  <c r="J30" i="9"/>
  <c r="E8" i="2" s="1"/>
  <c r="K8" i="3"/>
  <c r="K10" i="3" s="1"/>
  <c r="AX30" i="9"/>
  <c r="K8" i="2" s="1"/>
  <c r="M8" i="3"/>
  <c r="EX30" i="9"/>
  <c r="M8" i="2" s="1"/>
  <c r="N8" i="3"/>
  <c r="N10" i="3" s="1"/>
  <c r="EY30" i="9"/>
  <c r="N8" i="2" s="1"/>
  <c r="AJ30" i="9"/>
  <c r="G8" i="2" s="1"/>
  <c r="G8" i="3"/>
  <c r="AK30" i="9"/>
  <c r="H8" i="2" s="1"/>
  <c r="H10" i="2" s="1"/>
  <c r="H8" i="3"/>
  <c r="V8" i="3"/>
  <c r="JM30" i="9"/>
  <c r="V8" i="2" s="1"/>
  <c r="HB30" i="9"/>
  <c r="P8" i="2" s="1"/>
  <c r="P8" i="3"/>
  <c r="JN30" i="9"/>
  <c r="W8" i="2" s="1"/>
  <c r="W8" i="3"/>
  <c r="W10" i="3" s="1"/>
  <c r="HC30" i="9"/>
  <c r="Q8" i="2" s="1"/>
  <c r="Q10" i="2" s="1"/>
  <c r="Q8" i="3"/>
  <c r="IZ30" i="9"/>
  <c r="S8" i="2" s="1"/>
  <c r="S8" i="3"/>
  <c r="JA30" i="9"/>
  <c r="T8" i="2" s="1"/>
  <c r="T10" i="2" s="1"/>
  <c r="T8" i="3"/>
  <c r="IJ15" i="1"/>
  <c r="GH37" i="1"/>
  <c r="GA37" i="1"/>
  <c r="FO37" i="1"/>
  <c r="FW37" i="1"/>
  <c r="FP37" i="1"/>
  <c r="FQ37" i="1"/>
  <c r="FG37" i="1"/>
  <c r="FI37" i="1"/>
  <c r="FD37" i="1"/>
  <c r="FE37" i="1"/>
  <c r="R25" i="4"/>
  <c r="L28" i="4"/>
  <c r="IO31" i="1"/>
  <c r="IJ33" i="1"/>
  <c r="IN31" i="1"/>
  <c r="IP31" i="1"/>
  <c r="HZ31" i="1"/>
  <c r="HX33" i="1"/>
  <c r="HB31" i="1"/>
  <c r="LY40" i="1"/>
  <c r="KV37" i="1"/>
  <c r="J39" i="2" s="1"/>
  <c r="I38" i="3"/>
  <c r="KO40" i="1"/>
  <c r="JO16" i="1"/>
  <c r="JR21" i="1"/>
  <c r="JP40" i="1"/>
  <c r="JS21" i="1"/>
  <c r="JT33" i="1"/>
  <c r="JQ40" i="1"/>
  <c r="JT21" i="1"/>
  <c r="JU33" i="1"/>
  <c r="JZ16" i="1"/>
  <c r="JM21" i="1"/>
  <c r="JU21" i="1"/>
  <c r="JU25" i="1" s="1"/>
  <c r="KA16" i="1"/>
  <c r="JN21" i="1"/>
  <c r="JV21" i="1"/>
  <c r="JW21" i="1"/>
  <c r="JZ26" i="1"/>
  <c r="HZ18" i="1"/>
  <c r="K26" i="3"/>
  <c r="IE37" i="1"/>
  <c r="M26" i="2" s="1"/>
  <c r="IA37" i="1"/>
  <c r="K25" i="2" s="1"/>
  <c r="O27" i="3"/>
  <c r="IP17" i="1"/>
  <c r="IM16" i="1"/>
  <c r="IN18" i="1"/>
  <c r="IN20" i="1"/>
  <c r="IO20" i="1"/>
  <c r="IP18" i="1"/>
  <c r="IP20" i="1"/>
  <c r="IJ21" i="1"/>
  <c r="IO16" i="1"/>
  <c r="IK21" i="1"/>
  <c r="IL21" i="1"/>
  <c r="IN17" i="1"/>
  <c r="IO19" i="1"/>
  <c r="HZ16" i="1"/>
  <c r="HZ17" i="1"/>
  <c r="IQ17" i="1" s="1"/>
  <c r="HW21" i="1"/>
  <c r="HX21" i="1"/>
  <c r="HW40" i="1"/>
  <c r="HY21" i="1"/>
  <c r="HX40" i="1"/>
  <c r="HY40" i="1"/>
  <c r="FZ17" i="1"/>
  <c r="FZ18" i="1"/>
  <c r="FY40" i="1"/>
  <c r="FZ19" i="1"/>
  <c r="GZ21" i="1"/>
  <c r="HC17" i="1"/>
  <c r="GX40" i="1"/>
  <c r="HC16" i="1"/>
  <c r="JX33" i="1"/>
  <c r="IZ33" i="1"/>
  <c r="O19" i="3"/>
  <c r="G38" i="3"/>
  <c r="KT37" i="1"/>
  <c r="H39" i="2" s="1"/>
  <c r="KA6" i="1"/>
  <c r="IR37" i="1"/>
  <c r="JB6" i="1"/>
  <c r="JX15" i="1"/>
  <c r="HI37" i="1"/>
  <c r="M19" i="2" s="1"/>
  <c r="M23" i="3"/>
  <c r="O18" i="3"/>
  <c r="HY15" i="1"/>
  <c r="HZ10" i="1"/>
  <c r="HR37" i="1"/>
  <c r="M22" i="2" s="1"/>
  <c r="HX15" i="1"/>
  <c r="HW15" i="1"/>
  <c r="IN8" i="1"/>
  <c r="HZ7" i="1"/>
  <c r="DA7" i="1"/>
  <c r="CN7" i="1"/>
  <c r="CN8" i="1"/>
  <c r="EC15" i="1"/>
  <c r="BN7" i="1"/>
  <c r="BN9" i="1"/>
  <c r="DN10" i="1"/>
  <c r="DN7" i="1"/>
  <c r="CN10" i="1"/>
  <c r="BR37" i="1"/>
  <c r="EE15" i="1"/>
  <c r="BM15" i="1"/>
  <c r="AR37" i="1"/>
  <c r="AW15" i="1"/>
  <c r="AS37" i="1"/>
  <c r="AN37" i="1"/>
  <c r="AV37" i="1"/>
  <c r="AO37" i="1"/>
  <c r="GL40" i="1"/>
  <c r="GM31" i="1"/>
  <c r="GM33" i="1" s="1"/>
  <c r="GD37" i="1"/>
  <c r="GR40" i="1"/>
  <c r="GL21" i="1"/>
  <c r="HA40" i="1"/>
  <c r="GV21" i="1"/>
  <c r="GK40" i="1"/>
  <c r="HB20" i="1"/>
  <c r="GY40" i="1"/>
  <c r="HC31" i="1"/>
  <c r="GQ40" i="1"/>
  <c r="FX21" i="1"/>
  <c r="GX21" i="1"/>
  <c r="GS40" i="1"/>
  <c r="HB18" i="1"/>
  <c r="FY21" i="1"/>
  <c r="GY21" i="1"/>
  <c r="GT40" i="1"/>
  <c r="HC18" i="1"/>
  <c r="HB19" i="1"/>
  <c r="HC20" i="1"/>
  <c r="GU40" i="1"/>
  <c r="HC19" i="1"/>
  <c r="HB17" i="1"/>
  <c r="FX40" i="1"/>
  <c r="GP40" i="1"/>
  <c r="GT33" i="1"/>
  <c r="FM31" i="1"/>
  <c r="FM21" i="1"/>
  <c r="GO21" i="1"/>
  <c r="GW21" i="1"/>
  <c r="GN40" i="1"/>
  <c r="GV40" i="1"/>
  <c r="GP21" i="1"/>
  <c r="GW40" i="1"/>
  <c r="FK21" i="1"/>
  <c r="GQ21" i="1"/>
  <c r="FL21" i="1"/>
  <c r="GR21" i="1"/>
  <c r="FK40" i="1"/>
  <c r="HB16" i="1"/>
  <c r="GS21" i="1"/>
  <c r="GT21" i="1"/>
  <c r="GU21" i="1"/>
  <c r="AM37" i="1"/>
  <c r="AX33" i="1"/>
  <c r="AY16" i="1"/>
  <c r="AW21" i="1"/>
  <c r="AX21" i="1"/>
  <c r="DY15" i="1"/>
  <c r="ES15" i="1"/>
  <c r="CY15" i="1"/>
  <c r="EL15" i="1"/>
  <c r="EQ15" i="1"/>
  <c r="EM15" i="1"/>
  <c r="ER15" i="1"/>
  <c r="EP15" i="1"/>
  <c r="EO15" i="1"/>
  <c r="EX10" i="1"/>
  <c r="CN6" i="1"/>
  <c r="EY7" i="1"/>
  <c r="EK15" i="1"/>
  <c r="EX7" i="1"/>
  <c r="CJ37" i="1"/>
  <c r="EN15" i="1"/>
  <c r="EG15" i="1"/>
  <c r="EY9" i="1"/>
  <c r="BX37" i="1"/>
  <c r="EI15" i="1"/>
  <c r="EX8" i="1"/>
  <c r="EY8" i="1"/>
  <c r="EX9" i="1"/>
  <c r="EY10" i="1"/>
  <c r="EH15" i="1"/>
  <c r="EY6" i="1"/>
  <c r="EB15" i="1"/>
  <c r="EJ15" i="1"/>
  <c r="ED15" i="1"/>
  <c r="BL15" i="1"/>
  <c r="EF15" i="1"/>
  <c r="HZ6" i="1"/>
  <c r="IN6" i="1"/>
  <c r="EA6" i="1"/>
  <c r="DU37" i="1"/>
  <c r="DL15" i="1"/>
  <c r="DA6" i="1"/>
  <c r="CL15" i="1"/>
  <c r="BY15" i="1"/>
  <c r="EX6" i="1"/>
  <c r="BN6" i="1"/>
  <c r="AL6" i="1"/>
  <c r="LY33" i="1"/>
  <c r="JW33" i="1"/>
  <c r="KA26" i="1"/>
  <c r="IN26" i="1"/>
  <c r="L18" i="4"/>
  <c r="HW33" i="1"/>
  <c r="EV33" i="1"/>
  <c r="ET33" i="1"/>
  <c r="EA26" i="1"/>
  <c r="DY33" i="1"/>
  <c r="DN26" i="1"/>
  <c r="CY33" i="1"/>
  <c r="CZ33" i="1"/>
  <c r="CN26" i="1"/>
  <c r="EP33" i="1"/>
  <c r="BY33" i="1"/>
  <c r="EM33" i="1"/>
  <c r="BZ33" i="1"/>
  <c r="EN33" i="1"/>
  <c r="CA26" i="1"/>
  <c r="EO33" i="1"/>
  <c r="EL33" i="1"/>
  <c r="EX26" i="1"/>
  <c r="EY26" i="1"/>
  <c r="EC33" i="1"/>
  <c r="BN26" i="1"/>
  <c r="R28" i="4" l="1"/>
  <c r="R40" i="5"/>
  <c r="HQ37" i="1"/>
  <c r="K22" i="2" s="1"/>
  <c r="HP37" i="1"/>
  <c r="O21" i="2" s="1"/>
  <c r="KI37" i="1"/>
  <c r="N44" i="2" s="1"/>
  <c r="LC37" i="1"/>
  <c r="T39" i="2" s="1"/>
  <c r="V39" i="2" s="1"/>
  <c r="KF37" i="1"/>
  <c r="F44" i="2" s="1"/>
  <c r="D10" i="2"/>
  <c r="E10" i="2"/>
  <c r="D38" i="3"/>
  <c r="KH37" i="1"/>
  <c r="L44" i="2" s="1"/>
  <c r="KX37" i="1"/>
  <c r="M39" i="2" s="1"/>
  <c r="M25" i="3"/>
  <c r="Q25" i="3" s="1"/>
  <c r="IG37" i="1"/>
  <c r="K27" i="2" s="1"/>
  <c r="O43" i="3"/>
  <c r="IQ8" i="1"/>
  <c r="U38" i="3"/>
  <c r="JB33" i="1"/>
  <c r="IO33" i="1"/>
  <c r="KU37" i="1"/>
  <c r="I39" i="2" s="1"/>
  <c r="KP37" i="1"/>
  <c r="D39" i="2" s="1"/>
  <c r="AL33" i="1"/>
  <c r="FM33" i="1"/>
  <c r="JZ33" i="1"/>
  <c r="HB33" i="1"/>
  <c r="IQ9" i="1"/>
  <c r="KB10" i="1"/>
  <c r="IM15" i="1"/>
  <c r="IM39" i="1" s="1"/>
  <c r="CA21" i="1"/>
  <c r="IQ26" i="1"/>
  <c r="CA40" i="1"/>
  <c r="DN21" i="1"/>
  <c r="IM33" i="1"/>
  <c r="FZ15" i="1"/>
  <c r="FZ39" i="1" s="1"/>
  <c r="M20" i="3"/>
  <c r="K18" i="3"/>
  <c r="KB7" i="1"/>
  <c r="EA21" i="1"/>
  <c r="GM15" i="1"/>
  <c r="JA25" i="1"/>
  <c r="JA37" i="1" s="1"/>
  <c r="JQ25" i="1"/>
  <c r="JQ37" i="1" s="1"/>
  <c r="HZ33" i="1"/>
  <c r="IQ31" i="1"/>
  <c r="IP33" i="1"/>
  <c r="HC33" i="1"/>
  <c r="HD26" i="1"/>
  <c r="DA33" i="1"/>
  <c r="JB15" i="1"/>
  <c r="JB39" i="1" s="1"/>
  <c r="JY37" i="1"/>
  <c r="IC37" i="1"/>
  <c r="O25" i="2" s="1"/>
  <c r="Q25" i="2" s="1"/>
  <c r="O26" i="3"/>
  <c r="Q26" i="3" s="1"/>
  <c r="FY25" i="1"/>
  <c r="FY37" i="1" s="1"/>
  <c r="Z10" i="2"/>
  <c r="W10" i="2"/>
  <c r="H10" i="3"/>
  <c r="KW37" i="1"/>
  <c r="K39" i="2" s="1"/>
  <c r="EO39" i="1"/>
  <c r="EO25" i="1"/>
  <c r="EO37" i="1" s="1"/>
  <c r="ES25" i="1"/>
  <c r="ES37" i="1" s="1"/>
  <c r="ES39" i="1"/>
  <c r="IJ39" i="1"/>
  <c r="IJ25" i="1"/>
  <c r="CM25" i="1"/>
  <c r="CM37" i="1" s="1"/>
  <c r="CM39" i="1"/>
  <c r="EU39" i="1"/>
  <c r="EU25" i="1"/>
  <c r="EU37" i="1" s="1"/>
  <c r="GR25" i="1"/>
  <c r="GR37" i="1" s="1"/>
  <c r="GR39" i="1"/>
  <c r="GU25" i="1"/>
  <c r="GU37" i="1" s="1"/>
  <c r="GU39" i="1"/>
  <c r="GW25" i="1"/>
  <c r="GW37" i="1" s="1"/>
  <c r="GW39" i="1"/>
  <c r="GO25" i="1"/>
  <c r="GO39" i="1"/>
  <c r="CZ39" i="1"/>
  <c r="CZ25" i="1"/>
  <c r="CZ37" i="1" s="1"/>
  <c r="JP25" i="1"/>
  <c r="JP37" i="1" s="1"/>
  <c r="JP39" i="1"/>
  <c r="JR39" i="1"/>
  <c r="JR25" i="1"/>
  <c r="JR37" i="1" s="1"/>
  <c r="EQ39" i="1"/>
  <c r="EQ25" i="1"/>
  <c r="EQ37" i="1" s="1"/>
  <c r="AX39" i="1"/>
  <c r="AX25" i="1"/>
  <c r="AX37" i="1" s="1"/>
  <c r="GQ39" i="1"/>
  <c r="GQ25" i="1"/>
  <c r="GQ37" i="1" s="1"/>
  <c r="GS39" i="1"/>
  <c r="GS25" i="1"/>
  <c r="GS37" i="1" s="1"/>
  <c r="GZ25" i="1"/>
  <c r="GZ37" i="1" s="1"/>
  <c r="GZ39" i="1"/>
  <c r="LY39" i="1"/>
  <c r="LY25" i="1"/>
  <c r="W38" i="3" s="1"/>
  <c r="IL39" i="1"/>
  <c r="IL25" i="1"/>
  <c r="IL37" i="1" s="1"/>
  <c r="FX25" i="1"/>
  <c r="FX37" i="1" s="1"/>
  <c r="FX39" i="1"/>
  <c r="JM39" i="1"/>
  <c r="JM25" i="1"/>
  <c r="JM37" i="1" s="1"/>
  <c r="DM25" i="1"/>
  <c r="DM37" i="1" s="1"/>
  <c r="DM39" i="1"/>
  <c r="EM39" i="1"/>
  <c r="EM25" i="1"/>
  <c r="EM37" i="1" s="1"/>
  <c r="AW39" i="1"/>
  <c r="AW25" i="1"/>
  <c r="AW37" i="1" s="1"/>
  <c r="EW39" i="1"/>
  <c r="EW25" i="1"/>
  <c r="EW37" i="1" s="1"/>
  <c r="GV25" i="1"/>
  <c r="GV37" i="1" s="1"/>
  <c r="GV39" i="1"/>
  <c r="GX39" i="1"/>
  <c r="GX25" i="1"/>
  <c r="GX37" i="1" s="1"/>
  <c r="FK25" i="1"/>
  <c r="FK37" i="1" s="1"/>
  <c r="FK39" i="1"/>
  <c r="JT25" i="1"/>
  <c r="JT39" i="1"/>
  <c r="DZ39" i="1"/>
  <c r="DZ25" i="1"/>
  <c r="DZ37" i="1" s="1"/>
  <c r="JS39" i="1"/>
  <c r="JS25" i="1"/>
  <c r="JS37" i="1" s="1"/>
  <c r="GL39" i="1"/>
  <c r="GL25" i="1"/>
  <c r="IK25" i="1"/>
  <c r="IK37" i="1" s="1"/>
  <c r="IK39" i="1"/>
  <c r="AK25" i="1"/>
  <c r="AK37" i="1" s="1"/>
  <c r="GO37" i="1"/>
  <c r="HX25" i="1"/>
  <c r="HX37" i="1" s="1"/>
  <c r="HX39" i="1"/>
  <c r="HY39" i="1"/>
  <c r="HY25" i="1"/>
  <c r="HY37" i="1" s="1"/>
  <c r="JX25" i="1"/>
  <c r="JX39" i="1"/>
  <c r="BZ39" i="1"/>
  <c r="BZ25" i="1"/>
  <c r="BZ37" i="1" s="1"/>
  <c r="GN25" i="1"/>
  <c r="GN37" i="1" s="1"/>
  <c r="GN39" i="1"/>
  <c r="GP39" i="1"/>
  <c r="GP25" i="1"/>
  <c r="GP37" i="1" s="1"/>
  <c r="GT39" i="1"/>
  <c r="GT25" i="1"/>
  <c r="GT37" i="1" s="1"/>
  <c r="GY25" i="1"/>
  <c r="GY37" i="1" s="1"/>
  <c r="GY39" i="1"/>
  <c r="HA39" i="1"/>
  <c r="HA25" i="1"/>
  <c r="HA37" i="1" s="1"/>
  <c r="EV25" i="1"/>
  <c r="EV37" i="1" s="1"/>
  <c r="EV39" i="1"/>
  <c r="JN25" i="1"/>
  <c r="JN37" i="1" s="1"/>
  <c r="JN39" i="1"/>
  <c r="FL25" i="1"/>
  <c r="FL37" i="1" s="1"/>
  <c r="FL39" i="1"/>
  <c r="GK25" i="1"/>
  <c r="GK37" i="1" s="1"/>
  <c r="GK39" i="1"/>
  <c r="GM39" i="1"/>
  <c r="HW25" i="1"/>
  <c r="HW37" i="1" s="1"/>
  <c r="HW39" i="1"/>
  <c r="ET25" i="1"/>
  <c r="ET37" i="1" s="1"/>
  <c r="ET39" i="1"/>
  <c r="EI25" i="1"/>
  <c r="EI37" i="1" s="1"/>
  <c r="EI39" i="1"/>
  <c r="EG39" i="1"/>
  <c r="EG25" i="1"/>
  <c r="EG37" i="1" s="1"/>
  <c r="BM39" i="1"/>
  <c r="BM25" i="1"/>
  <c r="BM37" i="1" s="1"/>
  <c r="EC39" i="1"/>
  <c r="EC25" i="1"/>
  <c r="EC37" i="1" s="1"/>
  <c r="EK39" i="1"/>
  <c r="EK25" i="1"/>
  <c r="EK37" i="1" s="1"/>
  <c r="EE39" i="1"/>
  <c r="EE25" i="1"/>
  <c r="EE37" i="1" s="1"/>
  <c r="EB25" i="1"/>
  <c r="EB37" i="1" s="1"/>
  <c r="EB39" i="1"/>
  <c r="KO39" i="1"/>
  <c r="KO25" i="1"/>
  <c r="KO37" i="1" s="1"/>
  <c r="JW25" i="1"/>
  <c r="JW37" i="1" s="1"/>
  <c r="JW39" i="1"/>
  <c r="IZ39" i="1"/>
  <c r="IZ25" i="1"/>
  <c r="IZ37" i="1" s="1"/>
  <c r="JV25" i="1"/>
  <c r="JV37" i="1" s="1"/>
  <c r="JV39" i="1"/>
  <c r="ER39" i="1"/>
  <c r="ER25" i="1"/>
  <c r="ER37" i="1" s="1"/>
  <c r="DY25" i="1"/>
  <c r="DY37" i="1" s="1"/>
  <c r="DY39" i="1"/>
  <c r="EP39" i="1"/>
  <c r="EP25" i="1"/>
  <c r="EP37" i="1" s="1"/>
  <c r="DL39" i="1"/>
  <c r="DL25" i="1"/>
  <c r="DL37" i="1" s="1"/>
  <c r="EN39" i="1"/>
  <c r="EN25" i="1"/>
  <c r="EN37" i="1" s="1"/>
  <c r="CY39" i="1"/>
  <c r="CY25" i="1"/>
  <c r="CY37" i="1" s="1"/>
  <c r="EL39" i="1"/>
  <c r="EL25" i="1"/>
  <c r="EL37" i="1" s="1"/>
  <c r="CL39" i="1"/>
  <c r="CL25" i="1"/>
  <c r="CL37" i="1" s="1"/>
  <c r="EJ25" i="1"/>
  <c r="EJ37" i="1" s="1"/>
  <c r="EJ39" i="1"/>
  <c r="EH39" i="1"/>
  <c r="EH25" i="1"/>
  <c r="EH37" i="1" s="1"/>
  <c r="BY25" i="1"/>
  <c r="BY37" i="1" s="1"/>
  <c r="BY39" i="1"/>
  <c r="EF39" i="1"/>
  <c r="EF25" i="1"/>
  <c r="EF37" i="1" s="1"/>
  <c r="ED39" i="1"/>
  <c r="ED25" i="1"/>
  <c r="ED37" i="1" s="1"/>
  <c r="BL25" i="1"/>
  <c r="BL37" i="1" s="1"/>
  <c r="BL39" i="1"/>
  <c r="AJ25" i="1"/>
  <c r="AJ37" i="1" s="1"/>
  <c r="IQ18" i="1"/>
  <c r="CN21" i="1"/>
  <c r="JO15" i="1"/>
  <c r="EZ19" i="1"/>
  <c r="KB6" i="1"/>
  <c r="CN40" i="1"/>
  <c r="IP15" i="1"/>
  <c r="EZ17" i="1"/>
  <c r="EA40" i="1"/>
  <c r="FM15" i="1"/>
  <c r="IO15" i="1"/>
  <c r="HD6" i="1"/>
  <c r="IQ20" i="1"/>
  <c r="HD8" i="1"/>
  <c r="AY15" i="1"/>
  <c r="JZ15" i="1"/>
  <c r="DA40" i="1"/>
  <c r="DA21" i="1"/>
  <c r="DA15" i="1"/>
  <c r="IQ10" i="1"/>
  <c r="JT37" i="1"/>
  <c r="BN40" i="1"/>
  <c r="IQ7" i="1"/>
  <c r="GL37" i="1"/>
  <c r="CA15" i="1"/>
  <c r="KB9" i="1"/>
  <c r="U43" i="3"/>
  <c r="R36" i="5"/>
  <c r="R41" i="5"/>
  <c r="EY21" i="1"/>
  <c r="DN40" i="1"/>
  <c r="V44" i="2"/>
  <c r="O63" i="5"/>
  <c r="IP40" i="1"/>
  <c r="EZ18" i="1"/>
  <c r="IN15" i="1"/>
  <c r="W21" i="5"/>
  <c r="EY40" i="1"/>
  <c r="EZ20" i="1"/>
  <c r="KA15" i="1"/>
  <c r="AA44" i="5"/>
  <c r="R42" i="5"/>
  <c r="IQ19" i="1"/>
  <c r="BN21" i="1"/>
  <c r="HD10" i="1"/>
  <c r="KB31" i="1"/>
  <c r="KB18" i="1"/>
  <c r="KB20" i="1"/>
  <c r="KB17" i="1"/>
  <c r="IP21" i="1"/>
  <c r="IH37" i="1"/>
  <c r="M27" i="2" s="1"/>
  <c r="FZ40" i="1"/>
  <c r="FZ21" i="1"/>
  <c r="AA41" i="5"/>
  <c r="Y48" i="5"/>
  <c r="AA45" i="5"/>
  <c r="FM40" i="1"/>
  <c r="R39" i="5"/>
  <c r="R43" i="5"/>
  <c r="AA43" i="5"/>
  <c r="R37" i="5"/>
  <c r="P48" i="5"/>
  <c r="R34" i="5"/>
  <c r="Y77" i="5"/>
  <c r="Y83" i="5" s="1"/>
  <c r="W83" i="5"/>
  <c r="AA42" i="5"/>
  <c r="O67" i="5"/>
  <c r="S101" i="5"/>
  <c r="K21" i="5"/>
  <c r="Z48" i="5"/>
  <c r="R38" i="5"/>
  <c r="Q48" i="5"/>
  <c r="EX40" i="1"/>
  <c r="EZ31" i="1"/>
  <c r="EX21" i="1"/>
  <c r="EZ16" i="1"/>
  <c r="O9" i="2"/>
  <c r="F9" i="2"/>
  <c r="T10" i="3"/>
  <c r="N10" i="2"/>
  <c r="KB19" i="1"/>
  <c r="JB21" i="1"/>
  <c r="JB40" i="1"/>
  <c r="Q27" i="3"/>
  <c r="IJ37" i="1"/>
  <c r="O28" i="3"/>
  <c r="AL21" i="1"/>
  <c r="AL40" i="1"/>
  <c r="M48" i="3"/>
  <c r="MF37" i="1"/>
  <c r="L50" i="2" s="1"/>
  <c r="K48" i="3"/>
  <c r="MD37" i="1"/>
  <c r="J50" i="2" s="1"/>
  <c r="MN37" i="1"/>
  <c r="T50" i="2" s="1"/>
  <c r="U48" i="3"/>
  <c r="ML37" i="1"/>
  <c r="R50" i="2" s="1"/>
  <c r="S48" i="3"/>
  <c r="Q48" i="3"/>
  <c r="MJ37" i="1"/>
  <c r="P50" i="2" s="1"/>
  <c r="O48" i="3"/>
  <c r="MH37" i="1"/>
  <c r="N50" i="2" s="1"/>
  <c r="LZ37" i="1"/>
  <c r="F50" i="2" s="1"/>
  <c r="G48" i="3"/>
  <c r="V38" i="3"/>
  <c r="LM37" i="1"/>
  <c r="W39" i="2" s="1"/>
  <c r="C43" i="3"/>
  <c r="I43" i="3" s="1"/>
  <c r="KE37" i="1"/>
  <c r="D44" i="2" s="1"/>
  <c r="J44" i="2" s="1"/>
  <c r="KB8" i="1"/>
  <c r="HN37" i="1"/>
  <c r="K21" i="2" s="1"/>
  <c r="K21" i="3"/>
  <c r="HD17" i="1"/>
  <c r="HD20" i="1"/>
  <c r="EA15" i="1"/>
  <c r="DN15" i="1"/>
  <c r="CN15" i="1"/>
  <c r="BN15" i="1"/>
  <c r="AL15" i="1"/>
  <c r="AL39" i="1" s="1"/>
  <c r="R9" i="3"/>
  <c r="X9" i="2"/>
  <c r="L9" i="2"/>
  <c r="Q10" i="3"/>
  <c r="K10" i="2"/>
  <c r="U9" i="3"/>
  <c r="U8" i="3"/>
  <c r="S10" i="3"/>
  <c r="V10" i="2"/>
  <c r="X8" i="2"/>
  <c r="X10" i="2" s="1"/>
  <c r="O8" i="2"/>
  <c r="M10" i="2"/>
  <c r="U8" i="2"/>
  <c r="U10" i="2" s="1"/>
  <c r="S10" i="2"/>
  <c r="V10" i="3"/>
  <c r="X8" i="3"/>
  <c r="X10" i="3" s="1"/>
  <c r="M10" i="3"/>
  <c r="O8" i="3"/>
  <c r="O10" i="3" s="1"/>
  <c r="I8" i="3"/>
  <c r="I10" i="3" s="1"/>
  <c r="G10" i="3"/>
  <c r="G10" i="2"/>
  <c r="I8" i="2"/>
  <c r="I10" i="2" s="1"/>
  <c r="R8" i="3"/>
  <c r="P10" i="3"/>
  <c r="L8" i="2"/>
  <c r="J10" i="2"/>
  <c r="F8" i="2"/>
  <c r="F10" i="2" s="1"/>
  <c r="C10" i="2"/>
  <c r="R8" i="2"/>
  <c r="R10" i="2" s="1"/>
  <c r="P10" i="2"/>
  <c r="L8" i="3"/>
  <c r="L10" i="3" s="1"/>
  <c r="J10" i="3"/>
  <c r="F8" i="3"/>
  <c r="F10" i="3" s="1"/>
  <c r="C10" i="3"/>
  <c r="HC15" i="1"/>
  <c r="HB15" i="1"/>
  <c r="IN40" i="1"/>
  <c r="HD31" i="1"/>
  <c r="HD33" i="1" s="1"/>
  <c r="KA40" i="1"/>
  <c r="KA21" i="1"/>
  <c r="KB16" i="1"/>
  <c r="JZ40" i="1"/>
  <c r="JZ21" i="1"/>
  <c r="JO40" i="1"/>
  <c r="JO21" i="1"/>
  <c r="JU37" i="1"/>
  <c r="IN21" i="1"/>
  <c r="IO40" i="1"/>
  <c r="IO21" i="1"/>
  <c r="IM40" i="1"/>
  <c r="IM21" i="1"/>
  <c r="K28" i="3"/>
  <c r="K28" i="2"/>
  <c r="Q26" i="2"/>
  <c r="HZ40" i="1"/>
  <c r="HZ21" i="1"/>
  <c r="IQ16" i="1"/>
  <c r="HC21" i="1"/>
  <c r="F38" i="3"/>
  <c r="KS37" i="1"/>
  <c r="G39" i="2" s="1"/>
  <c r="JX37" i="1"/>
  <c r="K20" i="3"/>
  <c r="HK37" i="1"/>
  <c r="K20" i="2" s="1"/>
  <c r="O22" i="3"/>
  <c r="Q22" i="3" s="1"/>
  <c r="HS37" i="1"/>
  <c r="O22" i="2" s="1"/>
  <c r="Q22" i="2" s="1"/>
  <c r="HV37" i="1"/>
  <c r="O23" i="2" s="1"/>
  <c r="O23" i="3"/>
  <c r="M21" i="3"/>
  <c r="HO37" i="1"/>
  <c r="M21" i="2" s="1"/>
  <c r="O20" i="3"/>
  <c r="HM37" i="1"/>
  <c r="O20" i="2" s="1"/>
  <c r="M18" i="3"/>
  <c r="HF37" i="1"/>
  <c r="M18" i="2" s="1"/>
  <c r="EZ7" i="1"/>
  <c r="HD19" i="1"/>
  <c r="GM40" i="1"/>
  <c r="GM21" i="1"/>
  <c r="HC40" i="1"/>
  <c r="HD18" i="1"/>
  <c r="HB40" i="1"/>
  <c r="HD16" i="1"/>
  <c r="HB21" i="1"/>
  <c r="AY40" i="1"/>
  <c r="AY21" i="1"/>
  <c r="EZ10" i="1"/>
  <c r="EZ9" i="1"/>
  <c r="EZ8" i="1"/>
  <c r="EX15" i="1"/>
  <c r="EY15" i="1"/>
  <c r="K23" i="3"/>
  <c r="HT37" i="1"/>
  <c r="K23" i="2" s="1"/>
  <c r="IQ6" i="1"/>
  <c r="HZ15" i="1"/>
  <c r="HH37" i="1"/>
  <c r="K19" i="2" s="1"/>
  <c r="K19" i="3"/>
  <c r="EZ6" i="1"/>
  <c r="W39" i="4"/>
  <c r="KA33" i="1"/>
  <c r="KB26" i="1"/>
  <c r="L24" i="4"/>
  <c r="R24" i="4" s="1"/>
  <c r="R18" i="4"/>
  <c r="IN33" i="1"/>
  <c r="EA33" i="1"/>
  <c r="DN33" i="1"/>
  <c r="CN33" i="1"/>
  <c r="CA33" i="1"/>
  <c r="BN33" i="1"/>
  <c r="EY33" i="1"/>
  <c r="EX33" i="1"/>
  <c r="EZ26" i="1"/>
  <c r="O28" i="2" l="1"/>
  <c r="Q27" i="2"/>
  <c r="O10" i="2"/>
  <c r="U10" i="3"/>
  <c r="M28" i="3"/>
  <c r="Q28" i="3" s="1"/>
  <c r="LY37" i="1"/>
  <c r="X39" i="2" s="1"/>
  <c r="IQ33" i="1"/>
  <c r="EZ21" i="1"/>
  <c r="IQ15" i="1"/>
  <c r="IQ39" i="1" s="1"/>
  <c r="JB25" i="1"/>
  <c r="JB37" i="1" s="1"/>
  <c r="IM25" i="1"/>
  <c r="IM37" i="1" s="1"/>
  <c r="GM25" i="1"/>
  <c r="GM37" i="1" s="1"/>
  <c r="FZ25" i="1"/>
  <c r="FZ37" i="1" s="1"/>
  <c r="AY39" i="1"/>
  <c r="AY25" i="1"/>
  <c r="AY37" i="1" s="1"/>
  <c r="IO39" i="1"/>
  <c r="IO25" i="1"/>
  <c r="IO37" i="1" s="1"/>
  <c r="IP25" i="1"/>
  <c r="IP37" i="1" s="1"/>
  <c r="IP39" i="1"/>
  <c r="JO39" i="1"/>
  <c r="JO25" i="1"/>
  <c r="JO37" i="1" s="1"/>
  <c r="HB39" i="1"/>
  <c r="HB25" i="1"/>
  <c r="HB37" i="1" s="1"/>
  <c r="FM25" i="1"/>
  <c r="FM37" i="1" s="1"/>
  <c r="FM39" i="1"/>
  <c r="HC39" i="1"/>
  <c r="HC25" i="1"/>
  <c r="HC37" i="1" s="1"/>
  <c r="HZ39" i="1"/>
  <c r="HZ25" i="1"/>
  <c r="HZ37" i="1" s="1"/>
  <c r="IN25" i="1"/>
  <c r="IN37" i="1" s="1"/>
  <c r="IN39" i="1"/>
  <c r="EY39" i="1"/>
  <c r="EY25" i="1"/>
  <c r="EY37" i="1" s="1"/>
  <c r="KA25" i="1"/>
  <c r="KA37" i="1" s="1"/>
  <c r="KA39" i="1"/>
  <c r="JZ39" i="1"/>
  <c r="JZ25" i="1"/>
  <c r="JZ37" i="1" s="1"/>
  <c r="EA39" i="1"/>
  <c r="EA25" i="1"/>
  <c r="EA37" i="1" s="1"/>
  <c r="DN39" i="1"/>
  <c r="DN25" i="1"/>
  <c r="DN37" i="1" s="1"/>
  <c r="DA25" i="1"/>
  <c r="DA37" i="1" s="1"/>
  <c r="DA39" i="1"/>
  <c r="CN39" i="1"/>
  <c r="CN25" i="1"/>
  <c r="CN37" i="1" s="1"/>
  <c r="CA25" i="1"/>
  <c r="CA37" i="1" s="1"/>
  <c r="CA39" i="1"/>
  <c r="BN39" i="1"/>
  <c r="BN25" i="1"/>
  <c r="BN37" i="1" s="1"/>
  <c r="EX39" i="1"/>
  <c r="EX25" i="1"/>
  <c r="EX37" i="1" s="1"/>
  <c r="AL25" i="1"/>
  <c r="AL37" i="1" s="1"/>
  <c r="KB15" i="1"/>
  <c r="Q21" i="3"/>
  <c r="Q21" i="2"/>
  <c r="M28" i="2"/>
  <c r="V50" i="2"/>
  <c r="R48" i="5"/>
  <c r="W48" i="3"/>
  <c r="EZ40" i="1"/>
  <c r="AA48" i="5"/>
  <c r="R10" i="3"/>
  <c r="Q28" i="2"/>
  <c r="Q23" i="2"/>
  <c r="HD15" i="1"/>
  <c r="L10" i="2"/>
  <c r="KB40" i="1"/>
  <c r="KB21" i="1"/>
  <c r="IQ40" i="1"/>
  <c r="IQ21" i="1"/>
  <c r="O24" i="2"/>
  <c r="O24" i="3"/>
  <c r="Q20" i="2"/>
  <c r="Q20" i="3"/>
  <c r="M24" i="2"/>
  <c r="Q18" i="2"/>
  <c r="Q23" i="3"/>
  <c r="M24" i="3"/>
  <c r="Q18" i="3"/>
  <c r="HD21" i="1"/>
  <c r="HD40" i="1"/>
  <c r="EZ15" i="1"/>
  <c r="Q19" i="3"/>
  <c r="K24" i="3"/>
  <c r="Q19" i="2"/>
  <c r="K24" i="2"/>
  <c r="KB33" i="1"/>
  <c r="EZ33" i="1"/>
  <c r="IQ25" i="1" l="1"/>
  <c r="IQ37" i="1" s="1"/>
  <c r="HD39" i="1"/>
  <c r="HD25" i="1"/>
  <c r="HD37" i="1" s="1"/>
  <c r="KB39" i="1"/>
  <c r="KB25" i="1"/>
  <c r="KB37" i="1" s="1"/>
  <c r="EZ25" i="1"/>
  <c r="EZ37" i="1" s="1"/>
  <c r="EZ39" i="1"/>
  <c r="Q24" i="3"/>
  <c r="Q24" i="2"/>
</calcChain>
</file>

<file path=xl/sharedStrings.xml><?xml version="1.0" encoding="utf-8"?>
<sst xmlns="http://schemas.openxmlformats.org/spreadsheetml/2006/main" count="2377" uniqueCount="371">
  <si>
    <t>المديرية العامة للتربية في محافظة النجف الاشرف</t>
  </si>
  <si>
    <t>هل المدرسة فتح جديد</t>
  </si>
  <si>
    <t>نوع المدرسة</t>
  </si>
  <si>
    <t>جنس المدرسة</t>
  </si>
  <si>
    <t>بيئة المدرسة</t>
  </si>
  <si>
    <t xml:space="preserve">دوام المدرسة </t>
  </si>
  <si>
    <t xml:space="preserve">استقلالية المدرسة </t>
  </si>
  <si>
    <t>نوع الازدواج</t>
  </si>
  <si>
    <t>عدد الشعب حسب الصف والجنس</t>
  </si>
  <si>
    <t xml:space="preserve">الأبنية المدرسية </t>
  </si>
  <si>
    <t>المكتبات المدرسية  :-</t>
  </si>
  <si>
    <t>المختبرات المدرسية  :-</t>
  </si>
  <si>
    <t>مجموع المرحلة المتوسطة</t>
  </si>
  <si>
    <t>التربية الاسلامية</t>
  </si>
  <si>
    <t>اللغة العربية</t>
  </si>
  <si>
    <t>اللغة الانكليزية</t>
  </si>
  <si>
    <t>اللغة الكردية</t>
  </si>
  <si>
    <t>علوم الحياة</t>
  </si>
  <si>
    <t>اقتصاد منزلي</t>
  </si>
  <si>
    <t>اخرى</t>
  </si>
  <si>
    <t>المجموع</t>
  </si>
  <si>
    <t>الحاسوب</t>
  </si>
  <si>
    <t>عدد الابنية المدرسية حسب :-</t>
  </si>
  <si>
    <t>هل البناية مزودة بخدمة المجاري</t>
  </si>
  <si>
    <t>هل ترتبط البناية بشبكة الماء الصالح للشرب</t>
  </si>
  <si>
    <t>هل هناك سياج حول البناية</t>
  </si>
  <si>
    <t>هل تتوفر في البناية مرافق صحية</t>
  </si>
  <si>
    <t>هل توجد مكتبة</t>
  </si>
  <si>
    <t>من المسؤول عن المكتبة</t>
  </si>
  <si>
    <t>نوعية المكتبة</t>
  </si>
  <si>
    <t>عدد الكتب في المكتبة</t>
  </si>
  <si>
    <t>عدد الكتب الكلي</t>
  </si>
  <si>
    <t>هل يوجد مختبر :-</t>
  </si>
  <si>
    <t>12سنة</t>
  </si>
  <si>
    <t>13سنة</t>
  </si>
  <si>
    <t>16سنة</t>
  </si>
  <si>
    <t>15سنة</t>
  </si>
  <si>
    <t>17سنة</t>
  </si>
  <si>
    <t>18سنة</t>
  </si>
  <si>
    <t>14سنة</t>
  </si>
  <si>
    <t>مدير</t>
  </si>
  <si>
    <t>معاون</t>
  </si>
  <si>
    <t>مدرس</t>
  </si>
  <si>
    <t>مرشد تربوي</t>
  </si>
  <si>
    <t>امين مكتبة</t>
  </si>
  <si>
    <t>دبلوم عالي</t>
  </si>
  <si>
    <t>ماجستير</t>
  </si>
  <si>
    <t>دكتوراه</t>
  </si>
  <si>
    <t>نوع البناء</t>
  </si>
  <si>
    <t>عدد الطوابق</t>
  </si>
  <si>
    <t>عدد الغرف في البناية</t>
  </si>
  <si>
    <t xml:space="preserve"> العائدية</t>
  </si>
  <si>
    <t>عدد المدارس التي تشغلها</t>
  </si>
  <si>
    <t>الحالة العمرانية</t>
  </si>
  <si>
    <t>مادة البناء</t>
  </si>
  <si>
    <t>هل يوجد مختبر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</si>
  <si>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</si>
  <si>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</si>
  <si>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</si>
  <si>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</si>
  <si>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</si>
  <si>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مختبرلغة</t>
  </si>
  <si>
    <t>مختبر حاسوب</t>
  </si>
  <si>
    <t xml:space="preserve">القضاء </t>
  </si>
  <si>
    <t xml:space="preserve">الناحية </t>
  </si>
  <si>
    <t>ت</t>
  </si>
  <si>
    <t xml:space="preserve">الرقم الاحصائي </t>
  </si>
  <si>
    <t xml:space="preserve">اسم المدرسة </t>
  </si>
  <si>
    <t>بنون</t>
  </si>
  <si>
    <t>بنات</t>
  </si>
  <si>
    <t>مختلط</t>
  </si>
  <si>
    <t xml:space="preserve">حضر </t>
  </si>
  <si>
    <t xml:space="preserve">ريف </t>
  </si>
  <si>
    <t xml:space="preserve">صباحا </t>
  </si>
  <si>
    <t>ظهرا</t>
  </si>
  <si>
    <t>صباحا وظهرا</t>
  </si>
  <si>
    <t xml:space="preserve">اصلية </t>
  </si>
  <si>
    <t>ضيف</t>
  </si>
  <si>
    <t>غير مزدوجة</t>
  </si>
  <si>
    <t>مع نفسها</t>
  </si>
  <si>
    <t>مع اخرى</t>
  </si>
  <si>
    <t>مع نفسها ومع اخرى</t>
  </si>
  <si>
    <t>نعم</t>
  </si>
  <si>
    <t>كلا</t>
  </si>
  <si>
    <t>ذكور</t>
  </si>
  <si>
    <t>اناث</t>
  </si>
  <si>
    <t>مدرسي</t>
  </si>
  <si>
    <t>غير مدرسي</t>
  </si>
  <si>
    <t>طابق واحد</t>
  </si>
  <si>
    <t>طابقين</t>
  </si>
  <si>
    <t>ثلاث طوابق</t>
  </si>
  <si>
    <t>عدد الصفوف</t>
  </si>
  <si>
    <t>عدد الغرف الاخرى</t>
  </si>
  <si>
    <t>حكومية تابعة لوزارة التربية</t>
  </si>
  <si>
    <t>حكومية تابعة لجهات اخرى</t>
  </si>
  <si>
    <t>مستأجرة</t>
  </si>
  <si>
    <t>مدرسة واحدة</t>
  </si>
  <si>
    <t>مدرستان</t>
  </si>
  <si>
    <t>ثلاث مدارس</t>
  </si>
  <si>
    <t>صالحة</t>
  </si>
  <si>
    <t>بحاجة الى ترميم</t>
  </si>
  <si>
    <t>غير صالحة</t>
  </si>
  <si>
    <t>طابوق او حجر او بلوك</t>
  </si>
  <si>
    <t>بناء جاهز</t>
  </si>
  <si>
    <t xml:space="preserve">نعم </t>
  </si>
  <si>
    <t>معلم او مدرس</t>
  </si>
  <si>
    <t>موظف ادارة</t>
  </si>
  <si>
    <t>غرفة مستقلة</t>
  </si>
  <si>
    <t>خزانة</t>
  </si>
  <si>
    <t>رفوف</t>
  </si>
  <si>
    <t>عدد الكتب</t>
  </si>
  <si>
    <t>عدد القصص والمجلات</t>
  </si>
  <si>
    <t>النجف</t>
  </si>
  <si>
    <t>المركز</t>
  </si>
  <si>
    <t>مجموع مركز النجف</t>
  </si>
  <si>
    <t>الكوفة</t>
  </si>
  <si>
    <t xml:space="preserve">مجموع مركز الكوفة </t>
  </si>
  <si>
    <t xml:space="preserve">مجموع مركز المناذرة </t>
  </si>
  <si>
    <t>المجموع الكلي للمحافظة</t>
  </si>
  <si>
    <t>التعليم الاساسي والتكميلي</t>
  </si>
  <si>
    <t>اساسي</t>
  </si>
  <si>
    <t>تكميلي</t>
  </si>
  <si>
    <t>عدد التلامذة الجدد في الصف الاول الابتدائي</t>
  </si>
  <si>
    <t>عمر 5</t>
  </si>
  <si>
    <t>عمر 6</t>
  </si>
  <si>
    <t>عمر 7</t>
  </si>
  <si>
    <t>عمر 8</t>
  </si>
  <si>
    <t>عمر 9</t>
  </si>
  <si>
    <t>عمر 10</t>
  </si>
  <si>
    <t xml:space="preserve">عدد الطلبة الجدد في الصف الاول متوسط ( السابع ) </t>
  </si>
  <si>
    <t>عمر 12</t>
  </si>
  <si>
    <t>عمر 13</t>
  </si>
  <si>
    <t>عمر 14</t>
  </si>
  <si>
    <t>عمر 15</t>
  </si>
  <si>
    <t>عمر 16</t>
  </si>
  <si>
    <t xml:space="preserve">عدد التلامذة المسجلين في الاول الابتدائي </t>
  </si>
  <si>
    <t xml:space="preserve">عدد التلامذة المسجلين في الثاني الابتدائي </t>
  </si>
  <si>
    <t>عمر 11</t>
  </si>
  <si>
    <t>عدد التلامذة المسجلين في الثالث الابتدائي</t>
  </si>
  <si>
    <t>عدد التلامذة المسجلين في الصف الرابع الابتدائي</t>
  </si>
  <si>
    <t>عدد التلامذة المسجلين في الصف الخامس الابتدائي</t>
  </si>
  <si>
    <t>عدد التلامذة المسجلين في الصف السادس الابتدائي</t>
  </si>
  <si>
    <t>مجموع المرحلة الابتدائية</t>
  </si>
  <si>
    <t xml:space="preserve">عدد الطلبة المسجلين للصف الاول متوسط ( السابع ) </t>
  </si>
  <si>
    <t xml:space="preserve">عدد الطلبة المسجلين للصف الثاني متوسط ( الثامن ) </t>
  </si>
  <si>
    <t xml:space="preserve">عدد الطلبة المسجلين للصف الثالث متوسط ( التاسع ) </t>
  </si>
  <si>
    <t xml:space="preserve">مجموع عدد الطلبة للتعليم المتوسط </t>
  </si>
  <si>
    <t xml:space="preserve">   18سنة فأكثر </t>
  </si>
  <si>
    <t>الاول الابتدائي</t>
  </si>
  <si>
    <t>الثاني الابتدائي</t>
  </si>
  <si>
    <t>الثالث الابتدائي</t>
  </si>
  <si>
    <t>الرابع الابتدائي</t>
  </si>
  <si>
    <t>الخامس الابتدائي</t>
  </si>
  <si>
    <t>السادس الابتدائي</t>
  </si>
  <si>
    <t>مجموع شعب الابتدائي</t>
  </si>
  <si>
    <t xml:space="preserve">شعبــــــــــــــــــــــــــــ المرحلة الابتدائية </t>
  </si>
  <si>
    <t>الاول متوسط ( السابع )</t>
  </si>
  <si>
    <t xml:space="preserve">الثاني متوسط ( الثامن ) </t>
  </si>
  <si>
    <t xml:space="preserve">الثالث متوسط ( التاسع ) </t>
  </si>
  <si>
    <t xml:space="preserve">المجموع الكلي </t>
  </si>
  <si>
    <t xml:space="preserve">شعب المرحلة المتوسطة </t>
  </si>
  <si>
    <t xml:space="preserve">الثالث </t>
  </si>
  <si>
    <t>الرابع</t>
  </si>
  <si>
    <t>الخامس</t>
  </si>
  <si>
    <t>السادس</t>
  </si>
  <si>
    <t xml:space="preserve">المجموع </t>
  </si>
  <si>
    <t>معلم</t>
  </si>
  <si>
    <t>عدد اعضاء الهيئة التعليمية والتدريسية حسب العنوان الوظيفي والجنس</t>
  </si>
  <si>
    <t>دبلوم تعليمي</t>
  </si>
  <si>
    <t>دبلوم عام</t>
  </si>
  <si>
    <t>قسم التخطيط التربوي</t>
  </si>
  <si>
    <t>جدول رقم ((1))</t>
  </si>
  <si>
    <t xml:space="preserve">درجة </t>
  </si>
  <si>
    <t>عدد المدارس</t>
  </si>
  <si>
    <t>استقلالية المدرسة</t>
  </si>
  <si>
    <t>عدد المدارس الفتح الجديد</t>
  </si>
  <si>
    <t>المدرسة</t>
  </si>
  <si>
    <t>مختلطة</t>
  </si>
  <si>
    <t>مجموع</t>
  </si>
  <si>
    <t>اصلية</t>
  </si>
  <si>
    <t>جدول رقم ((2))</t>
  </si>
  <si>
    <t>عدد اعضاء الهيئة التدريسية</t>
  </si>
  <si>
    <t>حضر</t>
  </si>
  <si>
    <t>ريف</t>
  </si>
  <si>
    <t xml:space="preserve">عدد التلاميذ المقبولين الجدد في الصف الاول الابتدائي </t>
  </si>
  <si>
    <t>عدد الطلبة الجدد المقبولين في الصف الاول المتوسط</t>
  </si>
  <si>
    <t>بنين</t>
  </si>
  <si>
    <t>عدد التلامذة الموجودين في المرحلة الابتدائية</t>
  </si>
  <si>
    <t>عدد التلامذة الموجودين في المرحلة المتوسطة</t>
  </si>
  <si>
    <t>عدد اعضاء الهيئة التعليمية</t>
  </si>
  <si>
    <t xml:space="preserve"> الأول </t>
  </si>
  <si>
    <t xml:space="preserve"> الثاني </t>
  </si>
  <si>
    <t xml:space="preserve">الرابع </t>
  </si>
  <si>
    <t xml:space="preserve">الخامس </t>
  </si>
  <si>
    <t xml:space="preserve">السادس </t>
  </si>
  <si>
    <t xml:space="preserve"> المجموع </t>
  </si>
  <si>
    <t xml:space="preserve">بنون </t>
  </si>
  <si>
    <t xml:space="preserve">بنات </t>
  </si>
  <si>
    <t>عمر6</t>
  </si>
  <si>
    <t>عمر 17</t>
  </si>
  <si>
    <t>عمر 18</t>
  </si>
  <si>
    <t>الصف الاول متوسط (السابع)</t>
  </si>
  <si>
    <t>الصف الثاني متوسط (الثامن)</t>
  </si>
  <si>
    <t>الصف الثالث متوسط (التاسع)</t>
  </si>
  <si>
    <t>مجموع المتوسط</t>
  </si>
  <si>
    <t>جدول رقم (3)</t>
  </si>
  <si>
    <t xml:space="preserve">  الجنس</t>
  </si>
  <si>
    <t>الصف</t>
  </si>
  <si>
    <t>الاول</t>
  </si>
  <si>
    <t>الثاني</t>
  </si>
  <si>
    <t>الثالث</t>
  </si>
  <si>
    <t>السابع</t>
  </si>
  <si>
    <t>الثامن</t>
  </si>
  <si>
    <t>التاسع</t>
  </si>
  <si>
    <t>الجنس</t>
  </si>
  <si>
    <t>جدول رقم (4)</t>
  </si>
  <si>
    <t>جدول رقم (5)</t>
  </si>
  <si>
    <t>الفشل في الامتحان</t>
  </si>
  <si>
    <t>تجاوز ايام الغياب</t>
  </si>
  <si>
    <t>اسباب اخرى</t>
  </si>
  <si>
    <t>عدد التلاميذ والطلبة الناجحين حسب الصف والجنس</t>
  </si>
  <si>
    <t>مختبر علوم</t>
  </si>
  <si>
    <t>مختبر لغة</t>
  </si>
  <si>
    <t>جدول رقم (6)</t>
  </si>
  <si>
    <t>مختبر الأحياء</t>
  </si>
  <si>
    <t>جدول رقم (7)</t>
  </si>
  <si>
    <t>الهيئة التعليمية والتدريسية حسب العنوان الوظيفي</t>
  </si>
  <si>
    <t>مرشد</t>
  </si>
  <si>
    <t xml:space="preserve">معاهد الفنون </t>
  </si>
  <si>
    <t xml:space="preserve">جامعية </t>
  </si>
  <si>
    <t>دراسات عليا</t>
  </si>
  <si>
    <t>اخــرى</t>
  </si>
  <si>
    <t xml:space="preserve">تربوية </t>
  </si>
  <si>
    <t xml:space="preserve">غير تربوية </t>
  </si>
  <si>
    <t>ذكــــــور</t>
  </si>
  <si>
    <t>انــــــــاث</t>
  </si>
  <si>
    <t>دورات تربوية</t>
  </si>
  <si>
    <t>تعليمي</t>
  </si>
  <si>
    <t>عام</t>
  </si>
  <si>
    <t>بكالوريوس</t>
  </si>
  <si>
    <t xml:space="preserve">شهادة عليا </t>
  </si>
  <si>
    <t>الهيئة التعليمية حسب الشهادة</t>
  </si>
  <si>
    <t>الهيئة التدريسية حسب الشهادة</t>
  </si>
  <si>
    <t>الريـــاضيات</t>
  </si>
  <si>
    <t>الفيزيـــــــــاء</t>
  </si>
  <si>
    <t>الكيميــــــــاء</t>
  </si>
  <si>
    <t>التاريــــــخ</t>
  </si>
  <si>
    <t>الجغرافيــــــة</t>
  </si>
  <si>
    <t>الاجتمـــــاع</t>
  </si>
  <si>
    <t>العلوم الدينية</t>
  </si>
  <si>
    <t>الاقتصــــــاد</t>
  </si>
  <si>
    <t>الادارة</t>
  </si>
  <si>
    <t>الاقتصاد المنزلي</t>
  </si>
  <si>
    <t>التربية الفنيـــة</t>
  </si>
  <si>
    <t>التربية الرياضية</t>
  </si>
  <si>
    <t>اخـــــــــــــــرى</t>
  </si>
  <si>
    <t>المجمـــــوع</t>
  </si>
  <si>
    <t>علم النفس</t>
  </si>
  <si>
    <t>جدول رقم (8)</t>
  </si>
  <si>
    <t>جدول رقم (9)</t>
  </si>
  <si>
    <t>الاجتمـــــاعيات</t>
  </si>
  <si>
    <t>التربية الفنية</t>
  </si>
  <si>
    <t>تابع جدول رقم (9)</t>
  </si>
  <si>
    <t>السدير الأساسية</t>
  </si>
  <si>
    <t>دمشق الأساسية</t>
  </si>
  <si>
    <t>بغداد الأساسية</t>
  </si>
  <si>
    <t>الامام الهادي الأساسية</t>
  </si>
  <si>
    <t>بلقيس الأساسية</t>
  </si>
  <si>
    <t>م . السدير الأساسية</t>
  </si>
  <si>
    <t>م . دمشق الأساسية</t>
  </si>
  <si>
    <t>م . بغداد الأساسية</t>
  </si>
  <si>
    <t>م . الامام الهادي الأساسية</t>
  </si>
  <si>
    <t>م . بلقيس الأساسية</t>
  </si>
  <si>
    <t>م . المصطفى الأساسية</t>
  </si>
  <si>
    <t>المصطفى الأساسية</t>
  </si>
  <si>
    <t>جدول رقم (10)</t>
  </si>
  <si>
    <t>عدد الابنية حسب العائدية</t>
  </si>
  <si>
    <t>عدد الابنية التي تشغلها</t>
  </si>
  <si>
    <t>عدد الابنية حسب الحالة العمرانية</t>
  </si>
  <si>
    <t>عدد الابنية حسب</t>
  </si>
  <si>
    <t>عدد الابنية حسب مادة البناء</t>
  </si>
  <si>
    <t>المجموع الكلي للأبنية</t>
  </si>
  <si>
    <t>حكومية</t>
  </si>
  <si>
    <t>مدرسة</t>
  </si>
  <si>
    <t xml:space="preserve">طابوق او </t>
  </si>
  <si>
    <t xml:space="preserve">بناء </t>
  </si>
  <si>
    <t>آخرى</t>
  </si>
  <si>
    <t>جاهز</t>
  </si>
  <si>
    <t>المكتبات المدرسية</t>
  </si>
  <si>
    <t xml:space="preserve">عدد المكتبات </t>
  </si>
  <si>
    <t xml:space="preserve">ثلاث مدارس </t>
  </si>
  <si>
    <t xml:space="preserve">حجر </t>
  </si>
  <si>
    <t xml:space="preserve">جداول التعليم الاساسي والتكميلي </t>
  </si>
  <si>
    <t>محافظة النجف الاشرف</t>
  </si>
  <si>
    <t xml:space="preserve">قضاء الكوفة </t>
  </si>
  <si>
    <t xml:space="preserve">قضاء المناذرة </t>
  </si>
  <si>
    <t xml:space="preserve">ذكور </t>
  </si>
  <si>
    <t>المرحلة الابتدائية</t>
  </si>
  <si>
    <t>اعضاء الهيئة التعليمية والتدريسية حسب العنوان الوظيفي</t>
  </si>
  <si>
    <t>المرحلة المتوسطة</t>
  </si>
  <si>
    <t>تربية خاصة</t>
  </si>
  <si>
    <t>حجم المدرسة</t>
  </si>
  <si>
    <t>6صف</t>
  </si>
  <si>
    <t>12صف</t>
  </si>
  <si>
    <t>18صف</t>
  </si>
  <si>
    <t>24صف</t>
  </si>
  <si>
    <t>9صف</t>
  </si>
  <si>
    <t>حاسوب</t>
  </si>
  <si>
    <t>اللغة السريانية</t>
  </si>
  <si>
    <t>اللغة التركمانية</t>
  </si>
  <si>
    <t>مجموع الابتدائي</t>
  </si>
  <si>
    <t>علوم/علوم الحياة</t>
  </si>
  <si>
    <t>فيزياء</t>
  </si>
  <si>
    <t>كيمياء</t>
  </si>
  <si>
    <t>تربية علم النفس</t>
  </si>
  <si>
    <t>هياكل حديدية</t>
  </si>
  <si>
    <t>طين اوصريفة</t>
  </si>
  <si>
    <t xml:space="preserve"> للتربية</t>
  </si>
  <si>
    <t>لجهات اخرى</t>
  </si>
  <si>
    <t>طين او صريفة</t>
  </si>
  <si>
    <t>كرفان</t>
  </si>
  <si>
    <t xml:space="preserve">قضاء النجف </t>
  </si>
  <si>
    <t>مجموع الابتدائي مركزالنجف</t>
  </si>
  <si>
    <t xml:space="preserve">مجموع قضاء المناذرة </t>
  </si>
  <si>
    <t>مجموع قضاء النجف</t>
  </si>
  <si>
    <t xml:space="preserve">مجموع قضاء الكوفة </t>
  </si>
  <si>
    <t>المتوسط الاساسي فقط</t>
  </si>
  <si>
    <t>عدد المدارس والتلاميذ والطلبة الموجودين وعدد اعضاء الهيئة التعليمية والتدريسية واستقلالية المدرسة ومدارس الفتح الجديد للعام الدراسي 2016/2015</t>
  </si>
  <si>
    <t>عدد التلاميذ الجدد في الصف الاول الابتدائي حسب العمر والجنس للعام 2016/2015</t>
  </si>
  <si>
    <t>عدد التلاميذ الجدد في الصف الاول المتوسط حسب العمر والجنس للعام 2016/2015</t>
  </si>
  <si>
    <t>عددالتلامذة والطلبة المسجلون حسب الصف والجنس للعام الدراسي 2016/2015</t>
  </si>
  <si>
    <t xml:space="preserve">عدد التلامذة المسجلين حسب الصف والجنس والعمر للتعليم الابتدائي للسنة الدراسية 2016/2015 </t>
  </si>
  <si>
    <t>عدد المسجلين حسب الصف والجنس والعمر للتعليم المتوسط للسنة 2016/2015</t>
  </si>
  <si>
    <t>عدد الشعب والتاركين للعام الدراسي 2016/2015 حسب الجنس والصف</t>
  </si>
  <si>
    <t>عدد الشعب حسب الصف والجنس للعام الدراسي 2016/2015</t>
  </si>
  <si>
    <t>عدد الطلبة التاركين حسب الصف والجنس للعام الدراسي 2016/2015</t>
  </si>
  <si>
    <t>التعليم الاساسي ( عدد المختبرات المدرسية في مرحلة المتوسطة ) للعام الدراسي 2016/2015</t>
  </si>
  <si>
    <t>عدد اعضاء الهيئة التعليمية والتدريسية للتعليم الاساسي للعام الدراسي 2016/2015 حسب الجنس والعنوان الوظيفي</t>
  </si>
  <si>
    <t>عدد اعضاء الهيئة التدريسية حسب الاختصاص والجنس / التعليم الاساسي للعام الدراسي 2016/2015</t>
  </si>
  <si>
    <t>عدد اعضاء الهيئة التعليمية حسب الاختصاص والجنس / التعليم الاساسي للعام الدراسي 2016/2015</t>
  </si>
  <si>
    <t xml:space="preserve">عدد الابنية المدرسية وعدد المكتبات المدرسية للعام الدراسي 2016/2015 </t>
  </si>
  <si>
    <t>عدد الطلبة الناجحين والراسبين  للعام الدراسي 2015/2014حسب الجنس والصف</t>
  </si>
  <si>
    <t>عدد التلاميذ والطلبة الراسبون حسب اسباب الرسوب للسنة الدراسية 2015/2014حسب الصف والجنس</t>
  </si>
  <si>
    <t>للعام الدراسي 2015/2014</t>
  </si>
  <si>
    <t xml:space="preserve">جداول التعليم الاساسي </t>
  </si>
  <si>
    <t xml:space="preserve"> الابتدائي الاساسي فقط</t>
  </si>
  <si>
    <t>عدد الابنية حسب عدد الطوابق</t>
  </si>
  <si>
    <t>عدد الابنية حسب عدد الصفوف</t>
  </si>
  <si>
    <t>طابق</t>
  </si>
  <si>
    <t>ثلاثة</t>
  </si>
  <si>
    <t>المجموع الكلي للمحافظة الاساسي</t>
  </si>
  <si>
    <t>مجموع الثانوي مركزالنجف</t>
  </si>
  <si>
    <t>جدول رقم (2)</t>
  </si>
  <si>
    <t>الشبكة</t>
  </si>
  <si>
    <t>الحيدرية</t>
  </si>
  <si>
    <t>مجموع الحيدرية</t>
  </si>
  <si>
    <t>الفجر الجديد التكميلي</t>
  </si>
  <si>
    <t>البوادي التكميلي</t>
  </si>
  <si>
    <t>الرؤية الاساسية</t>
  </si>
  <si>
    <t>غافر الاساسية</t>
  </si>
  <si>
    <t>الشبكة الاساسية</t>
  </si>
  <si>
    <t xml:space="preserve">الوارقة الاساسية </t>
  </si>
  <si>
    <t>راعي الاصلاح الاساسية</t>
  </si>
  <si>
    <t>عدد المدارس والتلاميذ والطلبة الموجودين وعدد اعضاء الهيئة التعليمية والتدريسية واستقلالية المدرسة ومدارس الفتح الجديد للعام الدراسي 2026/2025</t>
  </si>
  <si>
    <t xml:space="preserve">عدد الشعب للعام الدراسي 2026/2025 حسب الصف والجنس ( الصباحي والمسائي ) </t>
  </si>
  <si>
    <t>عدد الشعب حسب الصف والجنس للعام الدراسي 2026/2025</t>
  </si>
  <si>
    <t xml:space="preserve">عدد الابنية المدرسية وعدد المكتبات المدرسية للعام الدراسي 2026/2025 </t>
  </si>
  <si>
    <t>عدد الابنية المدرسية حسب عدد الطوابق وعدد الصفوف للعام الدراسي 2026/2025</t>
  </si>
  <si>
    <t>التعليم الاساسي ( عدد المختبرات المدرسية في مرحلة المتوسطة ) للعام الدراسي 2026/2025</t>
  </si>
  <si>
    <t xml:space="preserve">عدد الشعب للعام الدراسي 2026/2025 حسب الصف والجنس </t>
  </si>
  <si>
    <t>عدد الشعب للعام الدراسي 2025/2020 حسب الجنس والصف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</si>
</sst>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 x14ac:knownFonts="1">
    <font>
      <sz val="11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4"/>
      <name val="Calibri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4"/>
      <name val="Calibri"/>
      <family val="2"/>
      <charset val="178"/>
    </font>
    <font>
      <b/>
      <sz val="12"/>
      <name val="Arial"/>
      <family val="2"/>
      <scheme val="minor"/>
    </font>
    <font>
      <b/>
      <sz val="11"/>
      <name val="Arial"/>
      <family val="2"/>
      <scheme val="minor"/>
    </font>
    <font>
      <b/>
      <sz val="12"/>
      <name val="Calibri"/>
      <family val="2"/>
    </font>
    <font>
      <b/>
      <sz val="12"/>
      <name val="Calibri"/>
      <family val="2"/>
      <charset val="178"/>
    </font>
    <font>
      <b/>
      <sz val="11"/>
      <name val="Arial"/>
      <family val="2"/>
    </font>
    <font>
      <b/>
      <sz val="12"/>
      <color theme="1"/>
      <name val="Arial"/>
      <family val="2"/>
      <scheme val="minor"/>
    </font>
    <font>
      <b/>
      <sz val="16"/>
      <name val="Arial"/>
      <family val="2"/>
      <scheme val="minor"/>
    </font>
    <font>
      <sz val="10"/>
      <name val="Arial"/>
      <family val="2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8"/>
      <color theme="1"/>
      <name val="Arabic Transparent"/>
      <charset val="178"/>
    </font>
    <font>
      <sz val="14"/>
      <color indexed="8"/>
      <name val="Arial"/>
      <family val="2"/>
    </font>
    <font>
      <b/>
      <sz val="18"/>
      <name val="Arabic Transparent"/>
      <charset val="178"/>
    </font>
    <font>
      <sz val="18"/>
      <color theme="1"/>
      <name val="Arial"/>
      <family val="2"/>
      <scheme val="minor"/>
    </font>
    <font>
      <b/>
      <sz val="18"/>
      <name val="Arial"/>
      <family val="2"/>
    </font>
    <font>
      <sz val="18"/>
      <color theme="1"/>
      <name val="Arabic Transparent"/>
      <charset val="178"/>
    </font>
    <font>
      <b/>
      <sz val="18"/>
      <color theme="1"/>
      <name val="Arial"/>
      <family val="2"/>
      <scheme val="minor"/>
    </font>
    <font>
      <sz val="18"/>
      <name val="Arial"/>
      <family val="2"/>
    </font>
    <font>
      <b/>
      <sz val="18"/>
      <name val="Arial"/>
      <family val="2"/>
      <charset val="178"/>
    </font>
    <font>
      <sz val="18"/>
      <color theme="1"/>
      <name val="Arial"/>
      <family val="2"/>
      <charset val="178"/>
      <scheme val="minor"/>
    </font>
    <font>
      <sz val="18"/>
      <color theme="1"/>
      <name val="Arial"/>
      <family val="2"/>
    </font>
    <font>
      <b/>
      <sz val="14"/>
      <color rgb="FFFF0000"/>
      <name val="Arial"/>
      <family val="2"/>
      <scheme val="minor"/>
    </font>
    <font>
      <b/>
      <sz val="14"/>
      <color rgb="FFFF0000"/>
      <name val="Arial"/>
      <family val="2"/>
    </font>
    <font>
      <b/>
      <sz val="14"/>
      <color rgb="FFFF0000"/>
      <name val="Calibri"/>
      <family val="2"/>
    </font>
    <font>
      <b/>
      <sz val="14"/>
      <color rgb="FFFF0000"/>
      <name val="Calibri"/>
      <family val="2"/>
      <charset val="178"/>
    </font>
    <font>
      <b/>
      <sz val="20"/>
      <color theme="1"/>
      <name val="Arial"/>
      <family val="2"/>
      <scheme val="minor"/>
    </font>
    <font>
      <sz val="14"/>
      <name val="Arial"/>
      <family val="2"/>
    </font>
    <font>
      <b/>
      <sz val="14"/>
      <color theme="1"/>
      <name val="Arabic Transparent"/>
      <charset val="178"/>
    </font>
    <font>
      <b/>
      <sz val="16"/>
      <name val="Arial"/>
      <family val="2"/>
    </font>
    <font>
      <sz val="16"/>
      <name val="Arial"/>
      <family val="2"/>
    </font>
    <font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6"/>
      <name val="Arial"/>
      <family val="2"/>
      <charset val="178"/>
    </font>
    <font>
      <b/>
      <sz val="16"/>
      <color theme="1"/>
      <name val="Arabic Transparent"/>
      <charset val="178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indexed="25"/>
      </left>
      <right style="medium">
        <color indexed="25"/>
      </right>
      <top style="medium">
        <color indexed="25"/>
      </top>
      <bottom style="medium">
        <color indexed="25"/>
      </bottom>
      <diagonal/>
    </border>
    <border>
      <left style="medium">
        <color indexed="16"/>
      </left>
      <right/>
      <top style="medium">
        <color indexed="25"/>
      </top>
      <bottom style="medium">
        <color indexed="25"/>
      </bottom>
      <diagonal/>
    </border>
    <border>
      <left/>
      <right/>
      <top style="medium">
        <color indexed="25"/>
      </top>
      <bottom style="medium">
        <color indexed="25"/>
      </bottom>
      <diagonal/>
    </border>
    <border>
      <left/>
      <right style="thin">
        <color auto="1"/>
      </right>
      <top style="medium">
        <color indexed="25"/>
      </top>
      <bottom style="medium">
        <color indexed="25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25"/>
      </left>
      <right/>
      <top style="medium">
        <color indexed="25"/>
      </top>
      <bottom/>
      <diagonal/>
    </border>
    <border>
      <left/>
      <right/>
      <top style="medium">
        <color indexed="2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25"/>
      </left>
      <right/>
      <top style="medium">
        <color indexed="25"/>
      </top>
      <bottom style="medium">
        <color indexed="25"/>
      </bottom>
      <diagonal/>
    </border>
    <border>
      <left/>
      <right style="medium">
        <color indexed="25"/>
      </right>
      <top style="medium">
        <color indexed="25"/>
      </top>
      <bottom style="medium">
        <color indexed="25"/>
      </bottom>
      <diagonal/>
    </border>
    <border>
      <left style="medium">
        <color indexed="25"/>
      </left>
      <right/>
      <top/>
      <bottom style="medium">
        <color indexed="25"/>
      </bottom>
      <diagonal/>
    </border>
    <border>
      <left/>
      <right/>
      <top/>
      <bottom style="medium">
        <color indexed="2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16"/>
      </left>
      <right style="medium">
        <color indexed="16"/>
      </right>
      <top/>
      <bottom/>
      <diagonal/>
    </border>
    <border>
      <left style="medium">
        <color indexed="16"/>
      </left>
      <right style="medium">
        <color indexed="16"/>
      </right>
      <top style="medium">
        <color indexed="16"/>
      </top>
      <bottom/>
      <diagonal/>
    </border>
    <border>
      <left style="medium">
        <color indexed="16"/>
      </left>
      <right style="medium">
        <color indexed="25"/>
      </right>
      <top style="medium">
        <color indexed="16"/>
      </top>
      <bottom/>
      <diagonal/>
    </border>
    <border>
      <left style="medium">
        <color indexed="25"/>
      </left>
      <right style="medium">
        <color indexed="25"/>
      </right>
      <top style="medium">
        <color indexed="25"/>
      </top>
      <bottom/>
      <diagonal/>
    </border>
    <border>
      <left style="medium">
        <color indexed="25"/>
      </left>
      <right style="medium">
        <color indexed="16"/>
      </right>
      <top style="medium">
        <color indexed="16"/>
      </top>
      <bottom/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/>
      <right style="medium">
        <color indexed="25"/>
      </right>
      <top style="medium">
        <color indexed="25"/>
      </top>
      <bottom/>
      <diagonal/>
    </border>
    <border>
      <left/>
      <right style="medium">
        <color indexed="25"/>
      </right>
      <top/>
      <bottom style="medium">
        <color indexed="25"/>
      </bottom>
      <diagonal/>
    </border>
    <border>
      <left style="medium">
        <color indexed="25"/>
      </left>
      <right/>
      <top style="medium">
        <color indexed="16"/>
      </top>
      <bottom/>
      <diagonal/>
    </border>
    <border>
      <left/>
      <right/>
      <top style="medium">
        <color indexed="16"/>
      </top>
      <bottom/>
      <diagonal/>
    </border>
    <border>
      <left/>
      <right style="medium">
        <color indexed="25"/>
      </right>
      <top style="medium">
        <color indexed="16"/>
      </top>
      <bottom/>
      <diagonal/>
    </border>
    <border>
      <left/>
      <right style="medium">
        <color indexed="16"/>
      </right>
      <top style="medium">
        <color indexed="16"/>
      </top>
      <bottom/>
      <diagonal/>
    </border>
    <border>
      <left style="medium">
        <color indexed="25"/>
      </left>
      <right/>
      <top/>
      <bottom style="medium">
        <color indexed="16"/>
      </bottom>
      <diagonal/>
    </border>
    <border>
      <left/>
      <right/>
      <top/>
      <bottom style="medium">
        <color indexed="16"/>
      </bottom>
      <diagonal/>
    </border>
    <border>
      <left/>
      <right style="medium">
        <color indexed="16"/>
      </right>
      <top/>
      <bottom style="medium">
        <color indexed="16"/>
      </bottom>
      <diagonal/>
    </border>
    <border>
      <left style="medium">
        <color indexed="16"/>
      </left>
      <right/>
      <top style="medium">
        <color indexed="16"/>
      </top>
      <bottom/>
      <diagonal/>
    </border>
    <border>
      <left style="medium">
        <color indexed="16"/>
      </left>
      <right/>
      <top/>
      <bottom style="medium">
        <color indexed="16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 diagonalUp="1">
      <left style="thick">
        <color auto="1"/>
      </left>
      <right style="double">
        <color auto="1"/>
      </right>
      <top style="thick">
        <color auto="1"/>
      </top>
      <bottom style="double">
        <color auto="1"/>
      </bottom>
      <diagonal style="double">
        <color indexed="57"/>
      </diagonal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 diagonalUp="1"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 style="double">
        <color indexed="57"/>
      </diagonal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auto="1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theme="3"/>
      </left>
      <right/>
      <top style="medium">
        <color indexed="25"/>
      </top>
      <bottom/>
      <diagonal/>
    </border>
    <border>
      <left style="thick">
        <color theme="3"/>
      </left>
      <right/>
      <top/>
      <bottom style="medium">
        <color indexed="25"/>
      </bottom>
      <diagonal/>
    </border>
    <border>
      <left style="thick">
        <color theme="3"/>
      </left>
      <right style="medium">
        <color indexed="25"/>
      </right>
      <top style="medium">
        <color indexed="25"/>
      </top>
      <bottom style="medium">
        <color indexed="25"/>
      </bottom>
      <diagonal/>
    </border>
    <border>
      <left style="thick">
        <color theme="3"/>
      </left>
      <right style="medium">
        <color indexed="25"/>
      </right>
      <top style="medium">
        <color indexed="25"/>
      </top>
      <bottom/>
      <diagonal/>
    </border>
    <border>
      <left style="medium">
        <color indexed="16"/>
      </left>
      <right/>
      <top style="medium">
        <color indexed="16"/>
      </top>
      <bottom style="medium">
        <color indexed="16"/>
      </bottom>
      <diagonal/>
    </border>
    <border>
      <left/>
      <right style="thick">
        <color theme="3"/>
      </right>
      <top style="medium">
        <color indexed="25"/>
      </top>
      <bottom/>
      <diagonal/>
    </border>
    <border>
      <left/>
      <right style="thick">
        <color theme="3"/>
      </right>
      <top/>
      <bottom style="medium">
        <color indexed="25"/>
      </bottom>
      <diagonal/>
    </border>
    <border>
      <left style="medium">
        <color indexed="25"/>
      </left>
      <right style="thick">
        <color theme="3"/>
      </right>
      <top style="medium">
        <color indexed="25"/>
      </top>
      <bottom style="medium">
        <color indexed="25"/>
      </bottom>
      <diagonal/>
    </border>
    <border>
      <left style="medium">
        <color indexed="25"/>
      </left>
      <right style="thick">
        <color theme="3"/>
      </right>
      <top style="medium">
        <color indexed="25"/>
      </top>
      <bottom/>
      <diagonal/>
    </border>
    <border>
      <left style="thick">
        <color indexed="16"/>
      </left>
      <right/>
      <top style="medium">
        <color indexed="16"/>
      </top>
      <bottom/>
      <diagonal/>
    </border>
    <border>
      <left style="thick">
        <color indexed="16"/>
      </left>
      <right/>
      <top/>
      <bottom style="medium">
        <color indexed="16"/>
      </bottom>
      <diagonal/>
    </border>
    <border>
      <left style="thick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 style="thick">
        <color indexed="16"/>
      </left>
      <right style="medium">
        <color indexed="16"/>
      </right>
      <top style="medium">
        <color indexed="16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16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16"/>
      </bottom>
      <diagonal/>
    </border>
    <border>
      <left/>
      <right/>
      <top style="thin">
        <color auto="1"/>
      </top>
      <bottom style="medium">
        <color indexed="16"/>
      </bottom>
      <diagonal/>
    </border>
    <border>
      <left/>
      <right style="thin">
        <color auto="1"/>
      </right>
      <top style="thin">
        <color auto="1"/>
      </top>
      <bottom style="medium">
        <color indexed="16"/>
      </bottom>
      <diagonal/>
    </border>
  </borders>
  <cellStyleXfs count="2">
    <xf numFmtId="0" fontId="0" fillId="0" borderId="0"/>
    <xf numFmtId="0" fontId="13" fillId="0" borderId="0"/>
  </cellStyleXfs>
  <cellXfs count="666">
    <xf numFmtId="0" fontId="0" fillId="0" borderId="0" xfId="0"/>
    <xf numFmtId="0" fontId="1" fillId="2" borderId="7" xfId="0" applyFont="1" applyFill="1" applyBorder="1" applyAlignment="1">
      <alignment horizontal="center" vertical="center" shrinkToFit="1"/>
    </xf>
    <xf numFmtId="0" fontId="6" fillId="3" borderId="25" xfId="0" applyFont="1" applyFill="1" applyBorder="1" applyAlignment="1">
      <alignment horizontal="center" vertical="center" shrinkToFit="1"/>
    </xf>
    <xf numFmtId="0" fontId="6" fillId="3" borderId="25" xfId="0" applyFont="1" applyFill="1" applyBorder="1" applyAlignment="1">
      <alignment horizontal="center" vertical="center" textRotation="90" shrinkToFit="1"/>
    </xf>
    <xf numFmtId="0" fontId="6" fillId="3" borderId="25" xfId="0" applyFont="1" applyFill="1" applyBorder="1" applyAlignment="1">
      <alignment horizontal="center" vertical="center" wrapText="1" shrinkToFit="1"/>
    </xf>
    <xf numFmtId="0" fontId="7" fillId="3" borderId="25" xfId="0" applyFont="1" applyFill="1" applyBorder="1" applyAlignment="1">
      <alignment horizontal="center" vertical="center" wrapText="1" shrinkToFit="1"/>
    </xf>
    <xf numFmtId="0" fontId="4" fillId="3" borderId="34" xfId="0" applyFont="1" applyFill="1" applyBorder="1" applyAlignment="1">
      <alignment horizontal="center" vertical="center" shrinkToFit="1"/>
    </xf>
    <xf numFmtId="0" fontId="4" fillId="3" borderId="35" xfId="0" applyFont="1" applyFill="1" applyBorder="1" applyAlignment="1">
      <alignment horizontal="center" vertical="center" shrinkToFit="1"/>
    </xf>
    <xf numFmtId="0" fontId="8" fillId="3" borderId="36" xfId="0" applyFont="1" applyFill="1" applyBorder="1" applyAlignment="1">
      <alignment horizontal="center" vertical="center" shrinkToFit="1"/>
    </xf>
    <xf numFmtId="0" fontId="8" fillId="3" borderId="37" xfId="0" applyFont="1" applyFill="1" applyBorder="1" applyAlignment="1">
      <alignment horizontal="center" vertical="center" shrinkToFit="1"/>
    </xf>
    <xf numFmtId="0" fontId="8" fillId="3" borderId="34" xfId="0" applyFont="1" applyFill="1" applyBorder="1" applyAlignment="1">
      <alignment horizontal="center" vertical="center" shrinkToFit="1"/>
    </xf>
    <xf numFmtId="0" fontId="8" fillId="3" borderId="23" xfId="0" applyFont="1" applyFill="1" applyBorder="1" applyAlignment="1">
      <alignment horizontal="center" vertical="center" shrinkToFit="1"/>
    </xf>
    <xf numFmtId="0" fontId="9" fillId="3" borderId="25" xfId="0" applyFont="1" applyFill="1" applyBorder="1" applyAlignment="1">
      <alignment horizontal="center" vertical="center" shrinkToFit="1"/>
    </xf>
    <xf numFmtId="0" fontId="4" fillId="3" borderId="25" xfId="0" applyFont="1" applyFill="1" applyBorder="1" applyAlignment="1">
      <alignment horizontal="center" vertical="center" shrinkToFit="1"/>
    </xf>
    <xf numFmtId="0" fontId="4" fillId="3" borderId="25" xfId="0" applyFont="1" applyFill="1" applyBorder="1" applyAlignment="1">
      <alignment horizontal="center" vertical="center" wrapText="1" shrinkToFit="1"/>
    </xf>
    <xf numFmtId="0" fontId="10" fillId="3" borderId="25" xfId="0" applyFont="1" applyFill="1" applyBorder="1" applyAlignment="1">
      <alignment horizontal="center" vertical="center" wrapText="1" shrinkToFit="1"/>
    </xf>
    <xf numFmtId="0" fontId="6" fillId="3" borderId="0" xfId="0" applyFont="1" applyFill="1" applyBorder="1" applyAlignment="1">
      <alignment horizontal="center" vertical="center" shrinkToFit="1"/>
    </xf>
    <xf numFmtId="0" fontId="6" fillId="4" borderId="25" xfId="0" applyFont="1" applyFill="1" applyBorder="1" applyAlignment="1">
      <alignment horizontal="center" vertical="center" shrinkToFit="1"/>
    </xf>
    <xf numFmtId="0" fontId="6" fillId="4" borderId="0" xfId="0" applyFont="1" applyFill="1" applyBorder="1" applyAlignment="1">
      <alignment horizontal="center" vertical="center" shrinkToFit="1"/>
    </xf>
    <xf numFmtId="0" fontId="6" fillId="5" borderId="25" xfId="0" applyFont="1" applyFill="1" applyBorder="1" applyAlignment="1">
      <alignment horizontal="center" vertical="center" shrinkToFit="1"/>
    </xf>
    <xf numFmtId="0" fontId="6" fillId="5" borderId="0" xfId="0" applyFont="1" applyFill="1" applyBorder="1" applyAlignment="1">
      <alignment horizontal="center" vertical="center" shrinkToFit="1"/>
    </xf>
    <xf numFmtId="0" fontId="14" fillId="0" borderId="0" xfId="0" applyFont="1"/>
    <xf numFmtId="49" fontId="17" fillId="8" borderId="56" xfId="0" applyNumberFormat="1" applyFont="1" applyFill="1" applyBorder="1" applyAlignment="1" applyProtection="1">
      <alignment horizontal="center" vertical="center"/>
      <protection locked="0"/>
    </xf>
    <xf numFmtId="0" fontId="11" fillId="0" borderId="7" xfId="0" applyFont="1" applyBorder="1" applyAlignment="1">
      <alignment horizontal="center" vertical="center" shrinkToFit="1"/>
    </xf>
    <xf numFmtId="0" fontId="11" fillId="0" borderId="0" xfId="0" applyFont="1" applyBorder="1" applyAlignment="1">
      <alignment horizontal="center" vertical="center" shrinkToFit="1"/>
    </xf>
    <xf numFmtId="0" fontId="19" fillId="0" borderId="0" xfId="0" applyFont="1"/>
    <xf numFmtId="0" fontId="20" fillId="0" borderId="84" xfId="0" applyFont="1" applyFill="1" applyBorder="1" applyAlignment="1">
      <alignment horizontal="center" vertical="center"/>
    </xf>
    <xf numFmtId="0" fontId="20" fillId="0" borderId="86" xfId="0" applyFont="1" applyFill="1" applyBorder="1" applyAlignment="1">
      <alignment horizontal="center" vertical="center"/>
    </xf>
    <xf numFmtId="0" fontId="21" fillId="0" borderId="0" xfId="0" applyFont="1"/>
    <xf numFmtId="0" fontId="18" fillId="8" borderId="81" xfId="0" applyFont="1" applyFill="1" applyBorder="1" applyAlignment="1">
      <alignment horizontal="center" vertical="center"/>
    </xf>
    <xf numFmtId="0" fontId="12" fillId="5" borderId="25" xfId="0" applyFont="1" applyFill="1" applyBorder="1" applyAlignment="1">
      <alignment horizontal="center" vertical="center" shrinkToFit="1"/>
    </xf>
    <xf numFmtId="0" fontId="12" fillId="5" borderId="0" xfId="0" applyFont="1" applyFill="1" applyBorder="1" applyAlignment="1">
      <alignment horizontal="center" vertical="center" shrinkToFit="1"/>
    </xf>
    <xf numFmtId="0" fontId="20" fillId="8" borderId="59" xfId="0" applyFont="1" applyFill="1" applyBorder="1" applyAlignment="1">
      <alignment horizontal="center" vertical="center"/>
    </xf>
    <xf numFmtId="0" fontId="20" fillId="8" borderId="60" xfId="0" applyFont="1" applyFill="1" applyBorder="1" applyAlignment="1">
      <alignment horizontal="center" vertical="center"/>
    </xf>
    <xf numFmtId="0" fontId="20" fillId="8" borderId="61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 shrinkToFit="1"/>
    </xf>
    <xf numFmtId="0" fontId="3" fillId="3" borderId="34" xfId="0" applyFont="1" applyFill="1" applyBorder="1" applyAlignment="1">
      <alignment horizontal="center" vertical="center" shrinkToFit="1"/>
    </xf>
    <xf numFmtId="0" fontId="3" fillId="3" borderId="48" xfId="0" applyFont="1" applyFill="1" applyBorder="1" applyAlignment="1">
      <alignment horizontal="center" vertical="center" shrinkToFit="1"/>
    </xf>
    <xf numFmtId="0" fontId="2" fillId="3" borderId="106" xfId="0" applyFont="1" applyFill="1" applyBorder="1" applyAlignment="1">
      <alignment horizontal="center" vertical="center" shrinkToFit="1"/>
    </xf>
    <xf numFmtId="0" fontId="2" fillId="3" borderId="36" xfId="0" applyFont="1" applyFill="1" applyBorder="1" applyAlignment="1">
      <alignment horizontal="center" vertical="center" shrinkToFit="1"/>
    </xf>
    <xf numFmtId="0" fontId="2" fillId="3" borderId="111" xfId="0" applyFont="1" applyFill="1" applyBorder="1" applyAlignment="1">
      <alignment horizontal="center" vertical="center" shrinkToFit="1"/>
    </xf>
    <xf numFmtId="0" fontId="2" fillId="3" borderId="37" xfId="0" applyFont="1" applyFill="1" applyBorder="1" applyAlignment="1">
      <alignment horizontal="center" vertical="center" shrinkToFit="1"/>
    </xf>
    <xf numFmtId="0" fontId="2" fillId="3" borderId="34" xfId="0" applyFont="1" applyFill="1" applyBorder="1" applyAlignment="1">
      <alignment horizontal="center" vertical="center" shrinkToFit="1"/>
    </xf>
    <xf numFmtId="0" fontId="2" fillId="3" borderId="48" xfId="0" applyFont="1" applyFill="1" applyBorder="1" applyAlignment="1">
      <alignment horizontal="center" vertical="center" shrinkToFit="1"/>
    </xf>
    <xf numFmtId="0" fontId="2" fillId="3" borderId="115" xfId="0" applyFont="1" applyFill="1" applyBorder="1" applyAlignment="1">
      <alignment horizontal="center" vertical="center" shrinkToFit="1"/>
    </xf>
    <xf numFmtId="0" fontId="2" fillId="3" borderId="23" xfId="0" applyFont="1" applyFill="1" applyBorder="1" applyAlignment="1">
      <alignment horizontal="center"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15" fillId="3" borderId="7" xfId="0" applyFont="1" applyFill="1" applyBorder="1" applyAlignment="1">
      <alignment horizontal="center" vertical="center" shrinkToFit="1"/>
    </xf>
    <xf numFmtId="0" fontId="3" fillId="3" borderId="25" xfId="0" applyFont="1" applyFill="1" applyBorder="1" applyAlignment="1">
      <alignment horizontal="center" vertical="center" shrinkToFit="1"/>
    </xf>
    <xf numFmtId="0" fontId="1" fillId="3" borderId="0" xfId="0" applyFont="1" applyFill="1" applyBorder="1" applyAlignment="1">
      <alignment horizontal="center" vertical="center" shrinkToFit="1"/>
    </xf>
    <xf numFmtId="0" fontId="1" fillId="4" borderId="25" xfId="0" applyFont="1" applyFill="1" applyBorder="1" applyAlignment="1">
      <alignment horizontal="center" vertical="center" shrinkToFit="1"/>
    </xf>
    <xf numFmtId="0" fontId="1" fillId="4" borderId="0" xfId="0" applyFont="1" applyFill="1" applyBorder="1" applyAlignment="1">
      <alignment horizontal="center" vertical="center" shrinkToFit="1"/>
    </xf>
    <xf numFmtId="0" fontId="1" fillId="2" borderId="25" xfId="0" applyFont="1" applyFill="1" applyBorder="1" applyAlignment="1">
      <alignment horizontal="center" vertical="center" wrapText="1" shrinkToFit="1"/>
    </xf>
    <xf numFmtId="0" fontId="18" fillId="0" borderId="101" xfId="0" applyFont="1" applyBorder="1" applyAlignment="1">
      <alignment horizontal="right"/>
    </xf>
    <xf numFmtId="0" fontId="18" fillId="8" borderId="101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0" xfId="0" applyFont="1" applyFill="1" applyBorder="1" applyAlignment="1">
      <alignment horizontal="center" vertical="center" shrinkToFit="1"/>
    </xf>
    <xf numFmtId="0" fontId="2" fillId="2" borderId="48" xfId="0" applyFont="1" applyFill="1" applyBorder="1" applyAlignment="1">
      <alignment horizontal="center" vertical="center" shrinkToFit="1"/>
    </xf>
    <xf numFmtId="0" fontId="2" fillId="2" borderId="23" xfId="0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15" fillId="2" borderId="7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textRotation="90" wrapText="1" shrinkToFit="1"/>
    </xf>
    <xf numFmtId="0" fontId="3" fillId="2" borderId="25" xfId="0" applyFont="1" applyFill="1" applyBorder="1" applyAlignment="1">
      <alignment horizontal="center" vertical="center" textRotation="90" shrinkToFit="1"/>
    </xf>
    <xf numFmtId="0" fontId="3" fillId="2" borderId="25" xfId="0" applyFont="1" applyFill="1" applyBorder="1" applyAlignment="1">
      <alignment horizontal="center" vertical="center" wrapText="1" shrinkToFit="1"/>
    </xf>
    <xf numFmtId="0" fontId="1" fillId="3" borderId="25" xfId="0" applyFont="1" applyFill="1" applyBorder="1" applyAlignment="1">
      <alignment horizontal="center" vertical="center" wrapText="1" shrinkToFit="1"/>
    </xf>
    <xf numFmtId="0" fontId="15" fillId="0" borderId="7" xfId="0" applyFont="1" applyBorder="1" applyAlignment="1">
      <alignment horizontal="center" vertical="center" shrinkToFit="1"/>
    </xf>
    <xf numFmtId="0" fontId="20" fillId="0" borderId="0" xfId="1" applyFont="1" applyAlignment="1"/>
    <xf numFmtId="0" fontId="23" fillId="0" borderId="0" xfId="1" applyFont="1"/>
    <xf numFmtId="0" fontId="20" fillId="8" borderId="50" xfId="1" applyFont="1" applyFill="1" applyBorder="1" applyAlignment="1">
      <alignment horizontal="center" vertical="center"/>
    </xf>
    <xf numFmtId="0" fontId="20" fillId="0" borderId="55" xfId="1" applyFont="1" applyBorder="1" applyAlignment="1">
      <alignment horizontal="center" vertical="center"/>
    </xf>
    <xf numFmtId="0" fontId="20" fillId="8" borderId="56" xfId="1" applyFont="1" applyFill="1" applyBorder="1" applyAlignment="1">
      <alignment horizontal="center" vertical="center"/>
    </xf>
    <xf numFmtId="0" fontId="20" fillId="8" borderId="57" xfId="1" applyFont="1" applyFill="1" applyBorder="1" applyAlignment="1">
      <alignment horizontal="center" vertical="center"/>
    </xf>
    <xf numFmtId="0" fontId="20" fillId="8" borderId="58" xfId="1" applyFont="1" applyFill="1" applyBorder="1" applyAlignment="1">
      <alignment horizontal="center" vertical="center"/>
    </xf>
    <xf numFmtId="0" fontId="20" fillId="8" borderId="59" xfId="1" applyFont="1" applyFill="1" applyBorder="1" applyAlignment="1">
      <alignment horizontal="center" vertical="center"/>
    </xf>
    <xf numFmtId="0" fontId="20" fillId="8" borderId="60" xfId="1" applyFont="1" applyFill="1" applyBorder="1" applyAlignment="1">
      <alignment horizontal="center" vertical="center"/>
    </xf>
    <xf numFmtId="0" fontId="22" fillId="0" borderId="0" xfId="0" applyFont="1"/>
    <xf numFmtId="0" fontId="20" fillId="8" borderId="57" xfId="0" applyFont="1" applyFill="1" applyBorder="1" applyAlignment="1">
      <alignment horizontal="center" vertical="center"/>
    </xf>
    <xf numFmtId="0" fontId="20" fillId="8" borderId="58" xfId="0" applyFont="1" applyFill="1" applyBorder="1" applyAlignment="1">
      <alignment horizontal="center" vertical="center"/>
    </xf>
    <xf numFmtId="0" fontId="19" fillId="0" borderId="78" xfId="0" applyFont="1" applyBorder="1"/>
    <xf numFmtId="0" fontId="19" fillId="0" borderId="0" xfId="0" applyFont="1" applyBorder="1"/>
    <xf numFmtId="0" fontId="19" fillId="0" borderId="12" xfId="0" applyFont="1" applyBorder="1"/>
    <xf numFmtId="0" fontId="24" fillId="8" borderId="5" xfId="0" applyFont="1" applyFill="1" applyBorder="1" applyAlignment="1">
      <alignment vertical="center"/>
    </xf>
    <xf numFmtId="0" fontId="24" fillId="8" borderId="6" xfId="0" applyFont="1" applyFill="1" applyBorder="1" applyAlignment="1">
      <alignment horizontal="center"/>
    </xf>
    <xf numFmtId="0" fontId="24" fillId="8" borderId="26" xfId="0" applyFont="1" applyFill="1" applyBorder="1" applyAlignment="1">
      <alignment horizontal="center" vertical="center"/>
    </xf>
    <xf numFmtId="0" fontId="24" fillId="8" borderId="27" xfId="0" applyFont="1" applyFill="1" applyBorder="1" applyAlignment="1">
      <alignment vertical="center"/>
    </xf>
    <xf numFmtId="0" fontId="25" fillId="0" borderId="0" xfId="0" applyFont="1"/>
    <xf numFmtId="0" fontId="24" fillId="0" borderId="0" xfId="0" applyFont="1"/>
    <xf numFmtId="0" fontId="24" fillId="8" borderId="57" xfId="0" applyFont="1" applyFill="1" applyBorder="1" applyAlignment="1">
      <alignment horizontal="center" vertical="center"/>
    </xf>
    <xf numFmtId="0" fontId="24" fillId="8" borderId="75" xfId="0" applyFont="1" applyFill="1" applyBorder="1" applyAlignment="1">
      <alignment horizontal="center" vertical="center"/>
    </xf>
    <xf numFmtId="0" fontId="24" fillId="8" borderId="0" xfId="0" applyFont="1" applyFill="1" applyBorder="1" applyAlignment="1">
      <alignment horizontal="center" vertical="center"/>
    </xf>
    <xf numFmtId="0" fontId="24" fillId="8" borderId="101" xfId="0" applyFont="1" applyFill="1" applyBorder="1" applyAlignment="1">
      <alignment horizontal="center" vertical="center" textRotation="90"/>
    </xf>
    <xf numFmtId="0" fontId="26" fillId="0" borderId="0" xfId="0" applyFont="1"/>
    <xf numFmtId="0" fontId="20" fillId="0" borderId="81" xfId="0" applyFont="1" applyBorder="1" applyAlignment="1">
      <alignment horizontal="right"/>
    </xf>
    <xf numFmtId="0" fontId="20" fillId="8" borderId="81" xfId="0" applyFont="1" applyFill="1" applyBorder="1" applyAlignment="1">
      <alignment horizontal="center" vertical="center" textRotation="90"/>
    </xf>
    <xf numFmtId="0" fontId="22" fillId="0" borderId="0" xfId="0" applyFont="1" applyAlignment="1">
      <alignment horizontal="center" vertical="center"/>
    </xf>
    <xf numFmtId="0" fontId="20" fillId="8" borderId="98" xfId="0" applyFont="1" applyFill="1" applyBorder="1" applyAlignment="1">
      <alignment horizontal="center"/>
    </xf>
    <xf numFmtId="0" fontId="20" fillId="8" borderId="96" xfId="0" applyFont="1" applyFill="1" applyBorder="1" applyAlignment="1">
      <alignment horizontal="center" vertical="justify"/>
    </xf>
    <xf numFmtId="0" fontId="20" fillId="8" borderId="56" xfId="0" applyFont="1" applyFill="1" applyBorder="1" applyAlignment="1">
      <alignment horizontal="center" vertical="center" wrapText="1"/>
    </xf>
    <xf numFmtId="0" fontId="20" fillId="8" borderId="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0" fontId="3" fillId="2" borderId="34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2" fillId="2" borderId="106" xfId="0" applyFont="1" applyFill="1" applyBorder="1" applyAlignment="1">
      <alignment horizontal="center" vertical="center" shrinkToFit="1"/>
    </xf>
    <xf numFmtId="0" fontId="2" fillId="2" borderId="36" xfId="0" applyFont="1" applyFill="1" applyBorder="1" applyAlignment="1">
      <alignment horizontal="center" vertical="center" shrinkToFit="1"/>
    </xf>
    <xf numFmtId="0" fontId="2" fillId="2" borderId="111" xfId="0" applyFont="1" applyFill="1" applyBorder="1" applyAlignment="1">
      <alignment horizontal="center" vertical="center" shrinkToFit="1"/>
    </xf>
    <xf numFmtId="0" fontId="2" fillId="2" borderId="37" xfId="0" applyFont="1" applyFill="1" applyBorder="1" applyAlignment="1">
      <alignment horizontal="center" vertical="center" shrinkToFit="1"/>
    </xf>
    <xf numFmtId="0" fontId="2" fillId="2" borderId="34" xfId="0" applyFont="1" applyFill="1" applyBorder="1" applyAlignment="1">
      <alignment horizontal="center" vertical="center" shrinkToFit="1"/>
    </xf>
    <xf numFmtId="0" fontId="2" fillId="2" borderId="115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textRotation="90" shrinkToFit="1"/>
    </xf>
    <xf numFmtId="0" fontId="3" fillId="3" borderId="25" xfId="0" applyFont="1" applyFill="1" applyBorder="1" applyAlignment="1">
      <alignment horizontal="center" vertical="center" wrapText="1" shrinkToFit="1"/>
    </xf>
    <xf numFmtId="0" fontId="1" fillId="6" borderId="25" xfId="0" applyFont="1" applyFill="1" applyBorder="1" applyAlignment="1">
      <alignment horizontal="center" vertical="center" shrinkToFit="1"/>
    </xf>
    <xf numFmtId="0" fontId="3" fillId="6" borderId="34" xfId="0" applyFont="1" applyFill="1" applyBorder="1" applyAlignment="1">
      <alignment horizontal="center" vertical="center" shrinkToFit="1"/>
    </xf>
    <xf numFmtId="0" fontId="1" fillId="6" borderId="0" xfId="0" applyFont="1" applyFill="1" applyBorder="1" applyAlignment="1">
      <alignment horizontal="center" vertical="center" shrinkToFit="1"/>
    </xf>
    <xf numFmtId="0" fontId="1" fillId="5" borderId="25" xfId="0" applyFont="1" applyFill="1" applyBorder="1" applyAlignment="1">
      <alignment horizontal="center" vertical="center" shrinkToFit="1"/>
    </xf>
    <xf numFmtId="0" fontId="1" fillId="5" borderId="0" xfId="0" applyFont="1" applyFill="1" applyBorder="1" applyAlignment="1">
      <alignment horizontal="center" vertical="center" shrinkToFit="1"/>
    </xf>
    <xf numFmtId="0" fontId="15" fillId="0" borderId="0" xfId="0" applyFont="1" applyBorder="1" applyAlignment="1">
      <alignment horizontal="center" vertical="center" shrinkToFit="1"/>
    </xf>
    <xf numFmtId="0" fontId="1" fillId="9" borderId="25" xfId="0" applyFont="1" applyFill="1" applyBorder="1" applyAlignment="1">
      <alignment horizontal="center" vertical="center" shrinkToFit="1"/>
    </xf>
    <xf numFmtId="0" fontId="1" fillId="9" borderId="0" xfId="0" applyFont="1" applyFill="1" applyBorder="1" applyAlignment="1">
      <alignment horizontal="center" vertical="center" shrinkToFit="1"/>
    </xf>
    <xf numFmtId="0" fontId="1" fillId="10" borderId="25" xfId="0" applyFont="1" applyFill="1" applyBorder="1" applyAlignment="1">
      <alignment horizontal="center" vertical="center" shrinkToFit="1"/>
    </xf>
    <xf numFmtId="0" fontId="1" fillId="10" borderId="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textRotation="90" wrapText="1" shrinkToFit="1"/>
    </xf>
    <xf numFmtId="0" fontId="1" fillId="11" borderId="25" xfId="0" applyFont="1" applyFill="1" applyBorder="1" applyAlignment="1">
      <alignment horizontal="center" vertical="center" shrinkToFit="1"/>
    </xf>
    <xf numFmtId="0" fontId="1" fillId="11" borderId="0" xfId="0" applyFont="1" applyFill="1" applyBorder="1" applyAlignment="1">
      <alignment horizontal="center" vertical="center" shrinkToFit="1"/>
    </xf>
    <xf numFmtId="0" fontId="20" fillId="0" borderId="58" xfId="0" applyFont="1" applyBorder="1" applyAlignment="1">
      <alignment horizontal="center" vertical="center" wrapText="1"/>
    </xf>
    <xf numFmtId="0" fontId="20" fillId="8" borderId="81" xfId="0" applyFont="1" applyFill="1" applyBorder="1" applyAlignment="1">
      <alignment horizontal="center" vertical="center"/>
    </xf>
    <xf numFmtId="0" fontId="20" fillId="0" borderId="81" xfId="0" applyFont="1" applyFill="1" applyBorder="1" applyAlignment="1">
      <alignment horizontal="center" vertical="center"/>
    </xf>
    <xf numFmtId="0" fontId="24" fillId="8" borderId="81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4" fillId="8" borderId="56" xfId="0" applyFont="1" applyFill="1" applyBorder="1" applyAlignment="1">
      <alignment horizontal="center" vertical="center"/>
    </xf>
    <xf numFmtId="0" fontId="24" fillId="8" borderId="60" xfId="0" applyFont="1" applyFill="1" applyBorder="1" applyAlignment="1">
      <alignment horizontal="center" vertical="center"/>
    </xf>
    <xf numFmtId="0" fontId="24" fillId="8" borderId="74" xfId="0" applyFont="1" applyFill="1" applyBorder="1" applyAlignment="1">
      <alignment horizontal="center" vertical="center"/>
    </xf>
    <xf numFmtId="0" fontId="24" fillId="8" borderId="98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8" borderId="56" xfId="0" applyFont="1" applyFill="1" applyBorder="1" applyAlignment="1">
      <alignment horizontal="center" vertical="center"/>
    </xf>
    <xf numFmtId="0" fontId="20" fillId="8" borderId="68" xfId="0" applyFont="1" applyFill="1" applyBorder="1" applyAlignment="1">
      <alignment horizontal="center" vertical="center"/>
    </xf>
    <xf numFmtId="0" fontId="1" fillId="12" borderId="25" xfId="0" applyFont="1" applyFill="1" applyBorder="1" applyAlignment="1">
      <alignment horizontal="center" vertical="center" shrinkToFit="1"/>
    </xf>
    <xf numFmtId="0" fontId="1" fillId="12" borderId="0" xfId="0" applyFont="1" applyFill="1" applyBorder="1" applyAlignment="1">
      <alignment horizontal="center" vertical="center" shrinkToFit="1"/>
    </xf>
    <xf numFmtId="0" fontId="20" fillId="0" borderId="56" xfId="0" applyFont="1" applyBorder="1" applyAlignment="1">
      <alignment horizontal="center" vertical="center" wrapText="1"/>
    </xf>
    <xf numFmtId="0" fontId="24" fillId="8" borderId="61" xfId="0" applyFont="1" applyFill="1" applyBorder="1" applyAlignment="1">
      <alignment horizontal="center" vertical="center"/>
    </xf>
    <xf numFmtId="0" fontId="20" fillId="8" borderId="81" xfId="0" applyFont="1" applyFill="1" applyBorder="1" applyAlignment="1">
      <alignment horizontal="center" vertical="center"/>
    </xf>
    <xf numFmtId="0" fontId="27" fillId="3" borderId="25" xfId="0" applyFont="1" applyFill="1" applyBorder="1" applyAlignment="1">
      <alignment horizontal="center" vertical="center" shrinkToFit="1"/>
    </xf>
    <xf numFmtId="0" fontId="28" fillId="3" borderId="34" xfId="0" applyFont="1" applyFill="1" applyBorder="1" applyAlignment="1">
      <alignment horizontal="center" vertical="center" shrinkToFit="1"/>
    </xf>
    <xf numFmtId="0" fontId="28" fillId="3" borderId="48" xfId="0" applyFont="1" applyFill="1" applyBorder="1" applyAlignment="1">
      <alignment horizontal="center" vertical="center" shrinkToFit="1"/>
    </xf>
    <xf numFmtId="0" fontId="29" fillId="3" borderId="106" xfId="0" applyFont="1" applyFill="1" applyBorder="1" applyAlignment="1">
      <alignment horizontal="center" vertical="center" shrinkToFit="1"/>
    </xf>
    <xf numFmtId="0" fontId="29" fillId="3" borderId="36" xfId="0" applyFont="1" applyFill="1" applyBorder="1" applyAlignment="1">
      <alignment horizontal="center" vertical="center" shrinkToFit="1"/>
    </xf>
    <xf numFmtId="0" fontId="29" fillId="3" borderId="111" xfId="0" applyFont="1" applyFill="1" applyBorder="1" applyAlignment="1">
      <alignment horizontal="center" vertical="center" shrinkToFit="1"/>
    </xf>
    <xf numFmtId="0" fontId="29" fillId="3" borderId="37" xfId="0" applyFont="1" applyFill="1" applyBorder="1" applyAlignment="1">
      <alignment horizontal="center" vertical="center" shrinkToFit="1"/>
    </xf>
    <xf numFmtId="0" fontId="29" fillId="3" borderId="34" xfId="0" applyFont="1" applyFill="1" applyBorder="1" applyAlignment="1">
      <alignment horizontal="center" vertical="center" shrinkToFit="1"/>
    </xf>
    <xf numFmtId="0" fontId="29" fillId="3" borderId="48" xfId="0" applyFont="1" applyFill="1" applyBorder="1" applyAlignment="1">
      <alignment horizontal="center" vertical="center" shrinkToFit="1"/>
    </xf>
    <xf numFmtId="0" fontId="29" fillId="3" borderId="115" xfId="0" applyFont="1" applyFill="1" applyBorder="1" applyAlignment="1">
      <alignment horizontal="center" vertical="center" shrinkToFit="1"/>
    </xf>
    <xf numFmtId="0" fontId="29" fillId="3" borderId="23" xfId="0" applyFont="1" applyFill="1" applyBorder="1" applyAlignment="1">
      <alignment horizontal="center" vertical="center" shrinkToFit="1"/>
    </xf>
    <xf numFmtId="0" fontId="30" fillId="3" borderId="25" xfId="0" applyFont="1" applyFill="1" applyBorder="1" applyAlignment="1">
      <alignment horizontal="center" vertical="center" shrinkToFit="1"/>
    </xf>
    <xf numFmtId="0" fontId="28" fillId="3" borderId="25" xfId="0" applyFont="1" applyFill="1" applyBorder="1" applyAlignment="1">
      <alignment horizontal="center" vertical="center" shrinkToFit="1"/>
    </xf>
    <xf numFmtId="0" fontId="27" fillId="3" borderId="0" xfId="0" applyFont="1" applyFill="1" applyBorder="1" applyAlignment="1">
      <alignment horizontal="center" vertical="center" shrinkToFit="1"/>
    </xf>
    <xf numFmtId="0" fontId="27" fillId="3" borderId="25" xfId="0" applyFont="1" applyFill="1" applyBorder="1" applyAlignment="1">
      <alignment horizontal="center" vertical="center" wrapText="1" shrinkToFit="1"/>
    </xf>
    <xf numFmtId="0" fontId="27" fillId="0" borderId="7" xfId="0" applyFont="1" applyBorder="1" applyAlignment="1">
      <alignment horizontal="center" vertical="center" shrinkToFit="1"/>
    </xf>
    <xf numFmtId="0" fontId="1" fillId="7" borderId="25" xfId="0" applyFont="1" applyFill="1" applyBorder="1" applyAlignment="1">
      <alignment horizontal="center" vertical="center" shrinkToFit="1"/>
    </xf>
    <xf numFmtId="0" fontId="1" fillId="7" borderId="0" xfId="0" applyFont="1" applyFill="1" applyBorder="1" applyAlignment="1">
      <alignment horizontal="center" vertical="center" shrinkToFit="1"/>
    </xf>
    <xf numFmtId="0" fontId="1" fillId="3" borderId="7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textRotation="90" wrapText="1" shrinkToFit="1"/>
    </xf>
    <xf numFmtId="0" fontId="3" fillId="0" borderId="0" xfId="1" applyFont="1" applyAlignment="1"/>
    <xf numFmtId="0" fontId="32" fillId="0" borderId="0" xfId="1" applyFont="1"/>
    <xf numFmtId="0" fontId="3" fillId="8" borderId="50" xfId="1" applyFont="1" applyFill="1" applyBorder="1" applyAlignment="1">
      <alignment horizontal="center" vertical="center"/>
    </xf>
    <xf numFmtId="0" fontId="3" fillId="0" borderId="55" xfId="1" applyFont="1" applyBorder="1" applyAlignment="1">
      <alignment horizontal="center" vertical="center"/>
    </xf>
    <xf numFmtId="0" fontId="3" fillId="8" borderId="56" xfId="1" applyFont="1" applyFill="1" applyBorder="1" applyAlignment="1">
      <alignment horizontal="center" vertical="center"/>
    </xf>
    <xf numFmtId="0" fontId="3" fillId="8" borderId="57" xfId="1" applyFont="1" applyFill="1" applyBorder="1" applyAlignment="1">
      <alignment horizontal="center" vertical="center"/>
    </xf>
    <xf numFmtId="0" fontId="3" fillId="8" borderId="58" xfId="1" applyFont="1" applyFill="1" applyBorder="1" applyAlignment="1">
      <alignment horizontal="center" vertical="center"/>
    </xf>
    <xf numFmtId="0" fontId="3" fillId="8" borderId="59" xfId="1" applyFont="1" applyFill="1" applyBorder="1" applyAlignment="1">
      <alignment horizontal="center" vertical="center"/>
    </xf>
    <xf numFmtId="0" fontId="3" fillId="8" borderId="60" xfId="1" applyFont="1" applyFill="1" applyBorder="1" applyAlignment="1">
      <alignment horizontal="center" vertical="center"/>
    </xf>
    <xf numFmtId="0" fontId="15" fillId="0" borderId="0" xfId="0" applyFont="1"/>
    <xf numFmtId="0" fontId="3" fillId="8" borderId="59" xfId="0" applyFont="1" applyFill="1" applyBorder="1" applyAlignment="1">
      <alignment horizontal="center" vertical="center"/>
    </xf>
    <xf numFmtId="0" fontId="3" fillId="8" borderId="60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vertical="center"/>
    </xf>
    <xf numFmtId="0" fontId="3" fillId="8" borderId="63" xfId="0" applyFont="1" applyFill="1" applyBorder="1" applyAlignment="1">
      <alignment horizontal="center"/>
    </xf>
    <xf numFmtId="0" fontId="3" fillId="8" borderId="83" xfId="0" applyFont="1" applyFill="1" applyBorder="1" applyAlignment="1">
      <alignment horizontal="center" vertical="center"/>
    </xf>
    <xf numFmtId="0" fontId="3" fillId="8" borderId="66" xfId="0" applyFont="1" applyFill="1" applyBorder="1" applyAlignment="1">
      <alignment vertical="center"/>
    </xf>
    <xf numFmtId="0" fontId="3" fillId="8" borderId="61" xfId="0" applyFont="1" applyFill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3" fillId="8" borderId="98" xfId="0" applyFont="1" applyFill="1" applyBorder="1" applyAlignment="1">
      <alignment horizontal="center"/>
    </xf>
    <xf numFmtId="0" fontId="3" fillId="8" borderId="60" xfId="0" applyFont="1" applyFill="1" applyBorder="1" applyAlignment="1">
      <alignment horizontal="center" vertical="center" wrapText="1"/>
    </xf>
    <xf numFmtId="0" fontId="3" fillId="8" borderId="56" xfId="0" applyFont="1" applyFill="1" applyBorder="1" applyAlignment="1">
      <alignment horizontal="center" vertical="center" textRotation="90"/>
    </xf>
    <xf numFmtId="0" fontId="3" fillId="8" borderId="96" xfId="0" applyFont="1" applyFill="1" applyBorder="1" applyAlignment="1">
      <alignment horizontal="center" vertical="justify"/>
    </xf>
    <xf numFmtId="0" fontId="15" fillId="0" borderId="0" xfId="0" applyFont="1" applyAlignment="1">
      <alignment vertical="top"/>
    </xf>
    <xf numFmtId="0" fontId="1" fillId="2" borderId="7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8" borderId="61" xfId="1" applyFont="1" applyFill="1" applyBorder="1" applyAlignment="1">
      <alignment horizontal="center" vertical="center"/>
    </xf>
    <xf numFmtId="0" fontId="31" fillId="0" borderId="0" xfId="0" applyFont="1"/>
    <xf numFmtId="0" fontId="34" fillId="0" borderId="0" xfId="1" applyFont="1" applyAlignment="1"/>
    <xf numFmtId="0" fontId="35" fillId="0" borderId="0" xfId="1" applyFont="1"/>
    <xf numFmtId="0" fontId="36" fillId="0" borderId="0" xfId="0" applyFont="1"/>
    <xf numFmtId="0" fontId="34" fillId="8" borderId="50" xfId="1" applyFont="1" applyFill="1" applyBorder="1" applyAlignment="1">
      <alignment horizontal="center" vertical="center"/>
    </xf>
    <xf numFmtId="0" fontId="34" fillId="0" borderId="55" xfId="1" applyFont="1" applyBorder="1" applyAlignment="1">
      <alignment horizontal="center" vertical="center"/>
    </xf>
    <xf numFmtId="0" fontId="34" fillId="8" borderId="56" xfId="1" applyFont="1" applyFill="1" applyBorder="1" applyAlignment="1">
      <alignment horizontal="center" vertical="center"/>
    </xf>
    <xf numFmtId="0" fontId="34" fillId="8" borderId="57" xfId="1" applyFont="1" applyFill="1" applyBorder="1" applyAlignment="1">
      <alignment horizontal="center" vertical="center"/>
    </xf>
    <xf numFmtId="0" fontId="34" fillId="8" borderId="58" xfId="1" applyFont="1" applyFill="1" applyBorder="1" applyAlignment="1">
      <alignment horizontal="center" vertical="center"/>
    </xf>
    <xf numFmtId="0" fontId="34" fillId="8" borderId="59" xfId="1" applyFont="1" applyFill="1" applyBorder="1" applyAlignment="1">
      <alignment horizontal="center" vertical="center"/>
    </xf>
    <xf numFmtId="0" fontId="34" fillId="8" borderId="60" xfId="1" applyFont="1" applyFill="1" applyBorder="1" applyAlignment="1">
      <alignment horizontal="center" vertical="center"/>
    </xf>
    <xf numFmtId="0" fontId="34" fillId="8" borderId="61" xfId="1" applyFont="1" applyFill="1" applyBorder="1" applyAlignment="1">
      <alignment horizontal="center" vertical="center"/>
    </xf>
    <xf numFmtId="0" fontId="37" fillId="0" borderId="0" xfId="0" applyFont="1"/>
    <xf numFmtId="0" fontId="38" fillId="8" borderId="5" xfId="0" applyFont="1" applyFill="1" applyBorder="1" applyAlignment="1">
      <alignment vertical="center"/>
    </xf>
    <xf numFmtId="0" fontId="38" fillId="8" borderId="63" xfId="0" applyFont="1" applyFill="1" applyBorder="1" applyAlignment="1">
      <alignment horizontal="center"/>
    </xf>
    <xf numFmtId="0" fontId="38" fillId="8" borderId="83" xfId="0" applyFont="1" applyFill="1" applyBorder="1" applyAlignment="1">
      <alignment horizontal="center" vertical="center"/>
    </xf>
    <xf numFmtId="0" fontId="38" fillId="8" borderId="66" xfId="0" applyFont="1" applyFill="1" applyBorder="1" applyAlignment="1">
      <alignment vertical="center"/>
    </xf>
    <xf numFmtId="0" fontId="38" fillId="8" borderId="0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6" fillId="0" borderId="11" xfId="0" applyFont="1" applyBorder="1"/>
    <xf numFmtId="0" fontId="34" fillId="8" borderId="98" xfId="0" applyFont="1" applyFill="1" applyBorder="1" applyAlignment="1">
      <alignment horizontal="center"/>
    </xf>
    <xf numFmtId="0" fontId="34" fillId="0" borderId="58" xfId="0" applyFont="1" applyBorder="1" applyAlignment="1">
      <alignment horizontal="center" vertical="center" wrapText="1"/>
    </xf>
    <xf numFmtId="0" fontId="34" fillId="0" borderId="56" xfId="0" applyFont="1" applyBorder="1" applyAlignment="1">
      <alignment horizontal="center" vertical="center" wrapText="1"/>
    </xf>
    <xf numFmtId="0" fontId="34" fillId="8" borderId="56" xfId="0" applyFont="1" applyFill="1" applyBorder="1" applyAlignment="1">
      <alignment horizontal="center" vertical="center" textRotation="90"/>
    </xf>
    <xf numFmtId="0" fontId="34" fillId="8" borderId="96" xfId="0" applyFont="1" applyFill="1" applyBorder="1" applyAlignment="1">
      <alignment horizontal="center" vertical="justify"/>
    </xf>
    <xf numFmtId="0" fontId="34" fillId="8" borderId="59" xfId="0" applyFont="1" applyFill="1" applyBorder="1" applyAlignment="1">
      <alignment horizontal="center" vertical="center"/>
    </xf>
    <xf numFmtId="0" fontId="34" fillId="8" borderId="60" xfId="0" applyFont="1" applyFill="1" applyBorder="1" applyAlignment="1">
      <alignment horizontal="center" vertical="center"/>
    </xf>
    <xf numFmtId="0" fontId="34" fillId="8" borderId="61" xfId="0" applyFont="1" applyFill="1" applyBorder="1" applyAlignment="1">
      <alignment horizontal="center" vertical="center"/>
    </xf>
    <xf numFmtId="0" fontId="37" fillId="0" borderId="0" xfId="0" applyFont="1" applyAlignment="1">
      <alignment vertical="top"/>
    </xf>
    <xf numFmtId="0" fontId="37" fillId="0" borderId="0" xfId="0" applyFont="1" applyAlignment="1">
      <alignment horizontal="right" vertical="center"/>
    </xf>
    <xf numFmtId="0" fontId="36" fillId="0" borderId="0" xfId="0" applyFont="1" applyBorder="1"/>
    <xf numFmtId="0" fontId="34" fillId="0" borderId="0" xfId="1" applyFont="1" applyAlignment="1">
      <alignment horizontal="center" vertical="center"/>
    </xf>
    <xf numFmtId="0" fontId="34" fillId="8" borderId="56" xfId="0" applyFont="1" applyFill="1" applyBorder="1" applyAlignment="1">
      <alignment horizontal="center" vertical="center"/>
    </xf>
    <xf numFmtId="0" fontId="10" fillId="8" borderId="98" xfId="0" applyFont="1" applyFill="1" applyBorder="1" applyAlignment="1">
      <alignment horizontal="center"/>
    </xf>
    <xf numFmtId="0" fontId="10" fillId="8" borderId="96" xfId="0" applyFont="1" applyFill="1" applyBorder="1" applyAlignment="1">
      <alignment horizontal="center" vertical="justify"/>
    </xf>
    <xf numFmtId="0" fontId="27" fillId="3" borderId="7" xfId="0" applyFont="1" applyFill="1" applyBorder="1" applyAlignment="1">
      <alignment horizontal="center" vertical="center" shrinkToFit="1"/>
    </xf>
    <xf numFmtId="0" fontId="28" fillId="3" borderId="25" xfId="0" applyFont="1" applyFill="1" applyBorder="1" applyAlignment="1">
      <alignment horizontal="center" vertical="center" wrapText="1" shrinkToFit="1"/>
    </xf>
    <xf numFmtId="0" fontId="34" fillId="0" borderId="7" xfId="0" applyFont="1" applyFill="1" applyBorder="1" applyAlignment="1">
      <alignment horizontal="center" vertical="center" shrinkToFit="1"/>
    </xf>
    <xf numFmtId="0" fontId="2" fillId="2" borderId="17" xfId="0" applyFont="1" applyFill="1" applyBorder="1" applyAlignment="1">
      <alignment horizontal="center" vertical="center" shrinkToFit="1"/>
    </xf>
    <xf numFmtId="0" fontId="1" fillId="2" borderId="0" xfId="0" applyFont="1" applyFill="1" applyBorder="1" applyAlignment="1">
      <alignment horizontal="center" vertical="center" shrinkToFit="1"/>
    </xf>
    <xf numFmtId="0" fontId="2" fillId="2" borderId="48" xfId="0" applyFont="1" applyFill="1" applyBorder="1" applyAlignment="1">
      <alignment horizontal="center" vertical="center" shrinkToFit="1"/>
    </xf>
    <xf numFmtId="0" fontId="2" fillId="2" borderId="17" xfId="0" applyFont="1" applyFill="1" applyBorder="1" applyAlignment="1">
      <alignment horizontal="center" vertical="center" shrinkToFit="1"/>
    </xf>
    <xf numFmtId="0" fontId="15" fillId="2" borderId="7" xfId="0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0" xfId="0" applyFont="1" applyFill="1" applyBorder="1" applyAlignment="1">
      <alignment horizontal="center" vertical="center" shrinkToFit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wrapText="1" shrinkToFit="1"/>
    </xf>
    <xf numFmtId="0" fontId="2" fillId="2" borderId="2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textRotation="90" shrinkToFit="1"/>
    </xf>
    <xf numFmtId="0" fontId="2" fillId="2" borderId="48" xfId="0" applyFont="1" applyFill="1" applyBorder="1" applyAlignment="1">
      <alignment horizontal="center" vertical="center" shrinkToFit="1"/>
    </xf>
    <xf numFmtId="0" fontId="2" fillId="2" borderId="42" xfId="0" applyFont="1" applyFill="1" applyBorder="1" applyAlignment="1">
      <alignment horizontal="center" vertical="center" shrinkToFit="1"/>
    </xf>
    <xf numFmtId="0" fontId="2" fillId="2" borderId="44" xfId="0" applyFont="1" applyFill="1" applyBorder="1" applyAlignment="1">
      <alignment horizontal="center" vertical="center" shrinkToFit="1"/>
    </xf>
    <xf numFmtId="0" fontId="2" fillId="2" borderId="49" xfId="0" applyFont="1" applyFill="1" applyBorder="1" applyAlignment="1">
      <alignment horizontal="center" vertical="center" shrinkToFit="1"/>
    </xf>
    <xf numFmtId="0" fontId="2" fillId="2" borderId="46" xfId="0" applyFont="1" applyFill="1" applyBorder="1" applyAlignment="1">
      <alignment horizontal="center" vertical="center" shrinkToFit="1"/>
    </xf>
    <xf numFmtId="0" fontId="2" fillId="2" borderId="47" xfId="0" applyFont="1" applyFill="1" applyBorder="1" applyAlignment="1">
      <alignment horizontal="center" vertical="center" shrinkToFit="1"/>
    </xf>
    <xf numFmtId="0" fontId="3" fillId="2" borderId="16" xfId="0" applyFont="1" applyFill="1" applyBorder="1" applyAlignment="1">
      <alignment horizontal="right" shrinkToFit="1"/>
    </xf>
    <xf numFmtId="0" fontId="3" fillId="2" borderId="17" xfId="0" applyFont="1" applyFill="1" applyBorder="1" applyAlignment="1">
      <alignment horizontal="right" shrinkToFit="1"/>
    </xf>
    <xf numFmtId="0" fontId="3" fillId="2" borderId="18" xfId="0" applyFont="1" applyFill="1" applyBorder="1" applyAlignment="1">
      <alignment horizontal="right" shrinkToFit="1"/>
    </xf>
    <xf numFmtId="0" fontId="2" fillId="2" borderId="14" xfId="0" applyFont="1" applyFill="1" applyBorder="1" applyAlignment="1">
      <alignment horizontal="center" vertical="center" shrinkToFit="1"/>
    </xf>
    <xf numFmtId="0" fontId="2" fillId="2" borderId="28" xfId="0" applyFont="1" applyFill="1" applyBorder="1" applyAlignment="1">
      <alignment horizontal="center" vertical="center" shrinkToFit="1"/>
    </xf>
    <xf numFmtId="0" fontId="2" fillId="2" borderId="17" xfId="0" applyFont="1" applyFill="1" applyBorder="1" applyAlignment="1">
      <alignment horizontal="center" vertical="center" shrinkToFit="1"/>
    </xf>
    <xf numFmtId="0" fontId="2" fillId="2" borderId="29" xfId="0" applyFont="1" applyFill="1" applyBorder="1" applyAlignment="1">
      <alignment horizontal="center" vertical="center" shrinkToFit="1"/>
    </xf>
    <xf numFmtId="0" fontId="2" fillId="2" borderId="112" xfId="0" applyFont="1" applyFill="1" applyBorder="1" applyAlignment="1">
      <alignment horizontal="center" vertical="center" shrinkToFit="1"/>
    </xf>
    <xf numFmtId="0" fontId="2" fillId="2" borderId="113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9" xfId="0" applyFont="1" applyFill="1" applyBorder="1" applyAlignment="1">
      <alignment horizontal="center" vertical="center" shrinkToFit="1"/>
    </xf>
    <xf numFmtId="0" fontId="3" fillId="2" borderId="0" xfId="0" applyFont="1" applyFill="1" applyBorder="1" applyAlignment="1">
      <alignment horizontal="center" vertical="center" shrinkToFit="1"/>
    </xf>
    <xf numFmtId="0" fontId="3" fillId="2" borderId="10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2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center" vertical="center" shrinkToFit="1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19" xfId="0" applyFont="1" applyFill="1" applyBorder="1" applyAlignment="1">
      <alignment horizontal="center" vertical="center" shrinkToFit="1"/>
    </xf>
    <xf numFmtId="0" fontId="15" fillId="2" borderId="7" xfId="0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2" borderId="14" xfId="0" applyFont="1" applyFill="1" applyBorder="1" applyAlignment="1">
      <alignment horizontal="center" vertical="center" shrinkToFit="1" readingOrder="2"/>
    </xf>
    <xf numFmtId="0" fontId="15" fillId="2" borderId="1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5" fillId="2" borderId="21" xfId="0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2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07" xfId="0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12" fillId="2" borderId="2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12" fillId="2" borderId="9" xfId="0" applyFont="1" applyFill="1" applyBorder="1" applyAlignment="1">
      <alignment horizontal="center" vertical="center" shrinkToFit="1"/>
    </xf>
    <xf numFmtId="0" fontId="12" fillId="2" borderId="0" xfId="0" applyFont="1" applyFill="1" applyBorder="1" applyAlignment="1">
      <alignment horizontal="center" vertical="center" shrinkToFit="1"/>
    </xf>
    <xf numFmtId="0" fontId="12" fillId="2" borderId="10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wrapText="1" shrinkToFit="1" readingOrder="2"/>
    </xf>
    <xf numFmtId="0" fontId="2" fillId="2" borderId="3" xfId="0" applyFont="1" applyFill="1" applyBorder="1" applyAlignment="1">
      <alignment horizontal="center" vertical="center" wrapText="1" shrinkToFit="1" readingOrder="2"/>
    </xf>
    <xf numFmtId="0" fontId="2" fillId="2" borderId="9" xfId="0" applyFont="1" applyFill="1" applyBorder="1" applyAlignment="1">
      <alignment horizontal="center" vertical="center" wrapText="1" shrinkToFit="1" readingOrder="2"/>
    </xf>
    <xf numFmtId="0" fontId="2" fillId="2" borderId="10" xfId="0" applyFont="1" applyFill="1" applyBorder="1" applyAlignment="1">
      <alignment horizontal="center" vertical="center" wrapText="1" shrinkToFit="1" readingOrder="2"/>
    </xf>
    <xf numFmtId="0" fontId="2" fillId="2" borderId="21" xfId="0" applyFont="1" applyFill="1" applyBorder="1" applyAlignment="1">
      <alignment horizontal="center" vertical="center" wrapText="1" shrinkToFit="1" readingOrder="2"/>
    </xf>
    <xf numFmtId="0" fontId="2" fillId="2" borderId="22" xfId="0" applyFont="1" applyFill="1" applyBorder="1" applyAlignment="1">
      <alignment horizontal="center" vertical="center" wrapText="1" shrinkToFit="1" readingOrder="2"/>
    </xf>
    <xf numFmtId="0" fontId="1" fillId="2" borderId="1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horizontal="center" vertical="center" shrinkToFit="1"/>
    </xf>
    <xf numFmtId="0" fontId="1" fillId="2" borderId="10" xfId="0" applyFont="1" applyFill="1" applyBorder="1" applyAlignment="1">
      <alignment horizontal="center" vertical="center" shrinkToFit="1"/>
    </xf>
    <xf numFmtId="0" fontId="1" fillId="2" borderId="21" xfId="0" applyFont="1" applyFill="1" applyBorder="1" applyAlignment="1">
      <alignment horizontal="center" vertical="center" shrinkToFit="1"/>
    </xf>
    <xf numFmtId="0" fontId="1" fillId="2" borderId="22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0" xfId="0" applyFont="1" applyFill="1" applyBorder="1" applyAlignment="1">
      <alignment horizontal="center" vertical="center" shrinkToFit="1"/>
    </xf>
    <xf numFmtId="0" fontId="12" fillId="7" borderId="9" xfId="0" applyFont="1" applyFill="1" applyBorder="1" applyAlignment="1">
      <alignment horizontal="center" vertical="center" shrinkToFit="1"/>
    </xf>
    <xf numFmtId="0" fontId="12" fillId="7" borderId="0" xfId="0" applyFont="1" applyFill="1" applyBorder="1" applyAlignment="1">
      <alignment horizontal="center" vertical="center" shrinkToFit="1"/>
    </xf>
    <xf numFmtId="0" fontId="12" fillId="7" borderId="10" xfId="0" applyFont="1" applyFill="1" applyBorder="1" applyAlignment="1">
      <alignment horizontal="center" vertical="center" shrinkToFit="1"/>
    </xf>
    <xf numFmtId="0" fontId="12" fillId="7" borderId="21" xfId="0" applyFont="1" applyFill="1" applyBorder="1" applyAlignment="1">
      <alignment horizontal="center" vertical="center" shrinkToFit="1"/>
    </xf>
    <xf numFmtId="0" fontId="12" fillId="7" borderId="4" xfId="0" applyFont="1" applyFill="1" applyBorder="1" applyAlignment="1">
      <alignment horizontal="center" vertical="center" shrinkToFit="1"/>
    </xf>
    <xf numFmtId="0" fontId="12" fillId="7" borderId="22" xfId="0" applyFont="1" applyFill="1" applyBorder="1" applyAlignment="1">
      <alignment horizontal="center" vertical="center" shrinkToFit="1"/>
    </xf>
    <xf numFmtId="0" fontId="2" fillId="2" borderId="103" xfId="0" applyFont="1" applyFill="1" applyBorder="1" applyAlignment="1">
      <alignment horizontal="center" vertical="center" shrinkToFit="1"/>
    </xf>
    <xf numFmtId="0" fontId="2" fillId="2" borderId="24" xfId="0" applyFont="1" applyFill="1" applyBorder="1" applyAlignment="1">
      <alignment horizontal="center" vertical="center" shrinkToFit="1"/>
    </xf>
    <xf numFmtId="0" fontId="2" fillId="2" borderId="108" xfId="0" applyFont="1" applyFill="1" applyBorder="1" applyAlignment="1">
      <alignment horizontal="center" vertical="center" shrinkToFit="1"/>
    </xf>
    <xf numFmtId="0" fontId="2" fillId="2" borderId="104" xfId="0" applyFont="1" applyFill="1" applyBorder="1" applyAlignment="1">
      <alignment horizontal="center" vertical="center" shrinkToFit="1"/>
    </xf>
    <xf numFmtId="0" fontId="2" fillId="2" borderId="31" xfId="0" applyFont="1" applyFill="1" applyBorder="1" applyAlignment="1">
      <alignment horizontal="center" vertical="center" shrinkToFit="1"/>
    </xf>
    <xf numFmtId="0" fontId="2" fillId="2" borderId="109" xfId="0" applyFont="1" applyFill="1" applyBorder="1" applyAlignment="1">
      <alignment horizontal="center" vertical="center" shrinkToFit="1"/>
    </xf>
    <xf numFmtId="0" fontId="2" fillId="2" borderId="105" xfId="0" applyFont="1" applyFill="1" applyBorder="1" applyAlignment="1">
      <alignment horizontal="center" vertical="center" shrinkToFit="1"/>
    </xf>
    <xf numFmtId="0" fontId="2" fillId="2" borderId="110" xfId="0" applyFont="1" applyFill="1" applyBorder="1" applyAlignment="1">
      <alignment horizontal="center" vertical="center" shrinkToFit="1"/>
    </xf>
    <xf numFmtId="0" fontId="2" fillId="2" borderId="107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right" shrinkToFit="1"/>
    </xf>
    <xf numFmtId="0" fontId="3" fillId="2" borderId="19" xfId="0" applyFont="1" applyFill="1" applyBorder="1" applyAlignment="1">
      <alignment horizontal="right" shrinkToFit="1"/>
    </xf>
    <xf numFmtId="0" fontId="3" fillId="2" borderId="20" xfId="0" applyFont="1" applyFill="1" applyBorder="1" applyAlignment="1">
      <alignment horizontal="right" shrinkToFit="1"/>
    </xf>
    <xf numFmtId="0" fontId="3" fillId="2" borderId="1" xfId="0" applyFont="1" applyFill="1" applyBorder="1" applyAlignment="1">
      <alignment horizontal="center" shrinkToFit="1"/>
    </xf>
    <xf numFmtId="0" fontId="3" fillId="2" borderId="2" xfId="0" applyFont="1" applyFill="1" applyBorder="1" applyAlignment="1">
      <alignment horizontal="center" shrinkToFit="1"/>
    </xf>
    <xf numFmtId="0" fontId="3" fillId="2" borderId="3" xfId="0" applyFont="1" applyFill="1" applyBorder="1" applyAlignment="1">
      <alignment horizontal="center" shrinkToFit="1"/>
    </xf>
    <xf numFmtId="0" fontId="3" fillId="2" borderId="7" xfId="0" applyFont="1" applyFill="1" applyBorder="1" applyAlignment="1">
      <alignment horizontal="center" vertical="center" shrinkToFit="1" readingOrder="1"/>
    </xf>
    <xf numFmtId="0" fontId="3" fillId="2" borderId="8" xfId="0" applyFont="1" applyFill="1" applyBorder="1" applyAlignment="1">
      <alignment horizontal="center" vertical="center" shrinkToFit="1" readingOrder="1"/>
    </xf>
    <xf numFmtId="0" fontId="3" fillId="2" borderId="19" xfId="0" applyFont="1" applyFill="1" applyBorder="1" applyAlignment="1">
      <alignment horizontal="center" vertical="center" shrinkToFit="1" readingOrder="1"/>
    </xf>
    <xf numFmtId="0" fontId="3" fillId="2" borderId="20" xfId="0" applyFont="1" applyFill="1" applyBorder="1" applyAlignment="1">
      <alignment horizontal="center" vertical="center" shrinkToFit="1" readingOrder="1"/>
    </xf>
    <xf numFmtId="0" fontId="3" fillId="2" borderId="7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wrapText="1" shrinkToFit="1"/>
    </xf>
    <xf numFmtId="0" fontId="3" fillId="2" borderId="32" xfId="0" applyFont="1" applyFill="1" applyBorder="1" applyAlignment="1">
      <alignment horizontal="center" vertical="center" wrapText="1" shrinkToFit="1"/>
    </xf>
    <xf numFmtId="0" fontId="3" fillId="2" borderId="38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3" xfId="0" applyFont="1" applyFill="1" applyBorder="1" applyAlignment="1">
      <alignment horizontal="center" vertical="center" wrapText="1" shrinkToFit="1"/>
    </xf>
    <xf numFmtId="0" fontId="3" fillId="2" borderId="21" xfId="0" applyFont="1" applyFill="1" applyBorder="1" applyAlignment="1">
      <alignment horizontal="center" vertical="center" wrapText="1" shrinkToFit="1"/>
    </xf>
    <xf numFmtId="0" fontId="3" fillId="2" borderId="22" xfId="0" applyFont="1" applyFill="1" applyBorder="1" applyAlignment="1">
      <alignment horizontal="center" vertical="center" wrapText="1" shrinkToFit="1"/>
    </xf>
    <xf numFmtId="0" fontId="3" fillId="2" borderId="7" xfId="0" applyFont="1" applyFill="1" applyBorder="1" applyAlignment="1">
      <alignment horizontal="center" shrinkToFit="1"/>
    </xf>
    <xf numFmtId="0" fontId="2" fillId="2" borderId="23" xfId="0" applyFont="1" applyFill="1" applyBorder="1" applyAlignment="1">
      <alignment horizontal="center" vertical="center" shrinkToFit="1"/>
    </xf>
    <xf numFmtId="0" fontId="2" fillId="2" borderId="30" xfId="0" applyFont="1" applyFill="1" applyBorder="1" applyAlignment="1">
      <alignment horizontal="center" vertical="center" shrinkToFit="1"/>
    </xf>
    <xf numFmtId="0" fontId="3" fillId="2" borderId="8" xfId="0" applyFont="1" applyFill="1" applyBorder="1" applyAlignment="1">
      <alignment horizontal="right" vertical="center" shrinkToFit="1"/>
    </xf>
    <xf numFmtId="0" fontId="3" fillId="2" borderId="19" xfId="0" applyFont="1" applyFill="1" applyBorder="1" applyAlignment="1">
      <alignment horizontal="right" vertical="center" shrinkToFit="1"/>
    </xf>
    <xf numFmtId="0" fontId="3" fillId="2" borderId="20" xfId="0" applyFont="1" applyFill="1" applyBorder="1" applyAlignment="1">
      <alignment horizontal="right" vertical="center" shrinkToFit="1"/>
    </xf>
    <xf numFmtId="0" fontId="15" fillId="2" borderId="8" xfId="0" applyFont="1" applyFill="1" applyBorder="1" applyAlignment="1">
      <alignment horizontal="center" vertical="center" shrinkToFit="1"/>
    </xf>
    <xf numFmtId="0" fontId="15" fillId="2" borderId="19" xfId="0" applyFont="1" applyFill="1" applyBorder="1" applyAlignment="1">
      <alignment horizontal="center" vertical="center" shrinkToFit="1"/>
    </xf>
    <xf numFmtId="0" fontId="15" fillId="2" borderId="20" xfId="0" applyFont="1" applyFill="1" applyBorder="1" applyAlignment="1">
      <alignment horizontal="center" vertical="center" shrinkToFit="1"/>
    </xf>
    <xf numFmtId="0" fontId="2" fillId="2" borderId="114" xfId="0" applyFont="1" applyFill="1" applyBorder="1" applyAlignment="1">
      <alignment horizontal="center" vertical="center" shrinkToFit="1" readingOrder="2"/>
    </xf>
    <xf numFmtId="0" fontId="3" fillId="2" borderId="7" xfId="0" applyFont="1" applyFill="1" applyBorder="1" applyAlignment="1">
      <alignment horizontal="center" vertical="center" wrapText="1" shrinkToFit="1"/>
    </xf>
    <xf numFmtId="0" fontId="2" fillId="2" borderId="39" xfId="0" applyFont="1" applyFill="1" applyBorder="1" applyAlignment="1">
      <alignment horizontal="center" vertical="center" shrinkToFit="1"/>
    </xf>
    <xf numFmtId="0" fontId="2" fillId="2" borderId="40" xfId="0" applyFont="1" applyFill="1" applyBorder="1" applyAlignment="1">
      <alignment horizontal="center" vertical="center" shrinkToFit="1"/>
    </xf>
    <xf numFmtId="0" fontId="2" fillId="2" borderId="41" xfId="0" applyFont="1" applyFill="1" applyBorder="1" applyAlignment="1">
      <alignment horizontal="center" vertical="center" shrinkToFit="1"/>
    </xf>
    <xf numFmtId="0" fontId="2" fillId="2" borderId="43" xfId="0" applyFont="1" applyFill="1" applyBorder="1" applyAlignment="1">
      <alignment horizontal="center" vertical="center" shrinkToFit="1"/>
    </xf>
    <xf numFmtId="0" fontId="2" fillId="2" borderId="45" xfId="0" applyFont="1" applyFill="1" applyBorder="1" applyAlignment="1">
      <alignment horizontal="center" vertical="center" shrinkToFit="1"/>
    </xf>
    <xf numFmtId="0" fontId="1" fillId="10" borderId="8" xfId="0" applyFont="1" applyFill="1" applyBorder="1" applyAlignment="1">
      <alignment horizontal="center" vertical="center" shrinkToFit="1"/>
    </xf>
    <xf numFmtId="0" fontId="1" fillId="10" borderId="19" xfId="0" applyFont="1" applyFill="1" applyBorder="1" applyAlignment="1">
      <alignment horizontal="center" vertical="center" shrinkToFit="1"/>
    </xf>
    <xf numFmtId="0" fontId="1" fillId="10" borderId="20" xfId="0" applyFont="1" applyFill="1" applyBorder="1" applyAlignment="1">
      <alignment horizontal="center" vertical="center" shrinkToFit="1"/>
    </xf>
    <xf numFmtId="0" fontId="1" fillId="11" borderId="8" xfId="0" applyFont="1" applyFill="1" applyBorder="1" applyAlignment="1">
      <alignment horizontal="center" vertical="center" shrinkToFit="1"/>
    </xf>
    <xf numFmtId="0" fontId="1" fillId="11" borderId="19" xfId="0" applyFont="1" applyFill="1" applyBorder="1" applyAlignment="1">
      <alignment horizontal="center" vertical="center" shrinkToFit="1"/>
    </xf>
    <xf numFmtId="0" fontId="1" fillId="11" borderId="20" xfId="0" applyFont="1" applyFill="1" applyBorder="1" applyAlignment="1">
      <alignment horizontal="center" vertical="center" shrinkToFit="1"/>
    </xf>
    <xf numFmtId="0" fontId="1" fillId="7" borderId="8" xfId="0" applyFont="1" applyFill="1" applyBorder="1" applyAlignment="1">
      <alignment horizontal="center" vertical="center" shrinkToFit="1"/>
    </xf>
    <xf numFmtId="0" fontId="1" fillId="7" borderId="19" xfId="0" applyFont="1" applyFill="1" applyBorder="1" applyAlignment="1">
      <alignment horizontal="center" vertical="center" shrinkToFit="1"/>
    </xf>
    <xf numFmtId="0" fontId="1" fillId="7" borderId="20" xfId="0" applyFont="1" applyFill="1" applyBorder="1" applyAlignment="1">
      <alignment horizontal="center" vertical="center" shrinkToFit="1"/>
    </xf>
    <xf numFmtId="0" fontId="1" fillId="4" borderId="123" xfId="0" applyFont="1" applyFill="1" applyBorder="1" applyAlignment="1">
      <alignment horizontal="center" vertical="center" shrinkToFit="1"/>
    </xf>
    <xf numFmtId="0" fontId="1" fillId="4" borderId="124" xfId="0" applyFont="1" applyFill="1" applyBorder="1" applyAlignment="1">
      <alignment horizontal="center" vertical="center" shrinkToFit="1"/>
    </xf>
    <xf numFmtId="0" fontId="1" fillId="4" borderId="125" xfId="0" applyFont="1" applyFill="1" applyBorder="1" applyAlignment="1">
      <alignment horizontal="center" vertical="center" shrinkToFit="1"/>
    </xf>
    <xf numFmtId="0" fontId="1" fillId="4" borderId="8" xfId="0" applyFont="1" applyFill="1" applyBorder="1" applyAlignment="1">
      <alignment horizontal="center" vertical="center" shrinkToFit="1"/>
    </xf>
    <xf numFmtId="0" fontId="1" fillId="4" borderId="19" xfId="0" applyFont="1" applyFill="1" applyBorder="1" applyAlignment="1">
      <alignment horizontal="center" vertical="center" shrinkToFit="1"/>
    </xf>
    <xf numFmtId="0" fontId="1" fillId="4" borderId="20" xfId="0" applyFont="1" applyFill="1" applyBorder="1" applyAlignment="1">
      <alignment horizontal="center" vertical="center" shrinkToFit="1"/>
    </xf>
    <xf numFmtId="0" fontId="2" fillId="2" borderId="13" xfId="0" applyFont="1" applyFill="1" applyBorder="1" applyAlignment="1">
      <alignment horizontal="center" vertical="center" shrinkToFit="1" readingOrder="2"/>
    </xf>
    <xf numFmtId="0" fontId="1" fillId="6" borderId="8" xfId="0" applyFont="1" applyFill="1" applyBorder="1" applyAlignment="1">
      <alignment horizontal="center" vertical="center" shrinkToFit="1"/>
    </xf>
    <xf numFmtId="0" fontId="1" fillId="6" borderId="19" xfId="0" applyFont="1" applyFill="1" applyBorder="1" applyAlignment="1">
      <alignment horizontal="center" vertical="center" shrinkToFit="1"/>
    </xf>
    <xf numFmtId="0" fontId="1" fillId="6" borderId="119" xfId="0" applyFont="1" applyFill="1" applyBorder="1" applyAlignment="1">
      <alignment horizontal="center" vertical="center" shrinkToFit="1"/>
    </xf>
    <xf numFmtId="0" fontId="1" fillId="9" borderId="8" xfId="0" applyFont="1" applyFill="1" applyBorder="1" applyAlignment="1">
      <alignment horizontal="center" vertical="center" shrinkToFit="1"/>
    </xf>
    <xf numFmtId="0" fontId="1" fillId="9" borderId="19" xfId="0" applyFont="1" applyFill="1" applyBorder="1" applyAlignment="1">
      <alignment horizontal="center" vertical="center" shrinkToFit="1"/>
    </xf>
    <xf numFmtId="0" fontId="1" fillId="9" borderId="20" xfId="0" applyFont="1" applyFill="1" applyBorder="1" applyAlignment="1">
      <alignment horizontal="center" vertical="center" shrinkToFit="1"/>
    </xf>
    <xf numFmtId="0" fontId="1" fillId="12" borderId="8" xfId="0" applyFont="1" applyFill="1" applyBorder="1" applyAlignment="1">
      <alignment horizontal="center" vertical="center" shrinkToFit="1"/>
    </xf>
    <xf numFmtId="0" fontId="1" fillId="12" borderId="19" xfId="0" applyFont="1" applyFill="1" applyBorder="1" applyAlignment="1">
      <alignment horizontal="center" vertical="center" shrinkToFit="1"/>
    </xf>
    <xf numFmtId="0" fontId="1" fillId="12" borderId="20" xfId="0" applyFont="1" applyFill="1" applyBorder="1" applyAlignment="1">
      <alignment horizontal="center" vertical="center" shrinkToFit="1"/>
    </xf>
    <xf numFmtId="0" fontId="1" fillId="5" borderId="8" xfId="0" applyFont="1" applyFill="1" applyBorder="1" applyAlignment="1">
      <alignment horizontal="center" vertical="center" shrinkToFit="1"/>
    </xf>
    <xf numFmtId="0" fontId="1" fillId="5" borderId="19" xfId="0" applyFont="1" applyFill="1" applyBorder="1" applyAlignment="1">
      <alignment horizontal="center" vertical="center" shrinkToFit="1"/>
    </xf>
    <xf numFmtId="0" fontId="1" fillId="5" borderId="20" xfId="0" applyFont="1" applyFill="1" applyBorder="1" applyAlignment="1">
      <alignment horizontal="center" vertical="center" shrinkToFit="1"/>
    </xf>
    <xf numFmtId="0" fontId="12" fillId="2" borderId="21" xfId="0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22" xfId="0" applyFont="1" applyFill="1" applyBorder="1" applyAlignment="1">
      <alignment horizontal="center" vertical="center" shrinkToFit="1"/>
    </xf>
    <xf numFmtId="0" fontId="6" fillId="5" borderId="8" xfId="0" applyFont="1" applyFill="1" applyBorder="1" applyAlignment="1">
      <alignment horizontal="center" vertical="center" shrinkToFit="1"/>
    </xf>
    <xf numFmtId="0" fontId="6" fillId="5" borderId="19" xfId="0" applyFont="1" applyFill="1" applyBorder="1" applyAlignment="1">
      <alignment horizontal="center" vertical="center" shrinkToFit="1"/>
    </xf>
    <xf numFmtId="0" fontId="6" fillId="5" borderId="20" xfId="0" applyFont="1" applyFill="1" applyBorder="1" applyAlignment="1">
      <alignment horizontal="center" vertical="center" shrinkToFit="1"/>
    </xf>
    <xf numFmtId="0" fontId="6" fillId="4" borderId="8" xfId="0" applyFont="1" applyFill="1" applyBorder="1" applyAlignment="1">
      <alignment horizontal="center" vertical="center" shrinkToFit="1"/>
    </xf>
    <xf numFmtId="0" fontId="6" fillId="4" borderId="19" xfId="0" applyFont="1" applyFill="1" applyBorder="1" applyAlignment="1">
      <alignment horizontal="center" vertical="center" shrinkToFit="1"/>
    </xf>
    <xf numFmtId="0" fontId="6" fillId="4" borderId="20" xfId="0" applyFont="1" applyFill="1" applyBorder="1" applyAlignment="1">
      <alignment horizontal="center" vertical="center" shrinkToFit="1"/>
    </xf>
    <xf numFmtId="0" fontId="12" fillId="5" borderId="8" xfId="0" applyFont="1" applyFill="1" applyBorder="1" applyAlignment="1">
      <alignment horizontal="center" vertical="center" shrinkToFit="1"/>
    </xf>
    <xf numFmtId="0" fontId="12" fillId="5" borderId="19" xfId="0" applyFont="1" applyFill="1" applyBorder="1" applyAlignment="1">
      <alignment horizontal="center" vertical="center" shrinkToFit="1"/>
    </xf>
    <xf numFmtId="0" fontId="12" fillId="5" borderId="20" xfId="0" applyFont="1" applyFill="1" applyBorder="1" applyAlignment="1">
      <alignment horizontal="center" vertical="center" shrinkToFit="1"/>
    </xf>
    <xf numFmtId="0" fontId="3" fillId="8" borderId="62" xfId="0" applyFont="1" applyFill="1" applyBorder="1" applyAlignment="1">
      <alignment horizontal="center" vertical="center"/>
    </xf>
    <xf numFmtId="0" fontId="3" fillId="8" borderId="64" xfId="0" applyFont="1" applyFill="1" applyBorder="1" applyAlignment="1">
      <alignment horizontal="center" vertical="center"/>
    </xf>
    <xf numFmtId="0" fontId="3" fillId="8" borderId="65" xfId="0" applyFont="1" applyFill="1" applyBorder="1" applyAlignment="1">
      <alignment horizontal="center" vertical="center"/>
    </xf>
    <xf numFmtId="0" fontId="3" fillId="8" borderId="67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71" xfId="0" applyFont="1" applyFill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8" borderId="94" xfId="0" applyFont="1" applyFill="1" applyBorder="1" applyAlignment="1">
      <alignment horizontal="center" vertical="center"/>
    </xf>
    <xf numFmtId="0" fontId="3" fillId="8" borderId="53" xfId="0" applyFont="1" applyFill="1" applyBorder="1" applyAlignment="1">
      <alignment horizontal="center" vertical="center"/>
    </xf>
    <xf numFmtId="0" fontId="3" fillId="8" borderId="66" xfId="0" applyFont="1" applyFill="1" applyBorder="1" applyAlignment="1">
      <alignment horizontal="center" vertical="center"/>
    </xf>
    <xf numFmtId="0" fontId="3" fillId="8" borderId="83" xfId="0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8" borderId="51" xfId="1" applyFont="1" applyFill="1" applyBorder="1" applyAlignment="1">
      <alignment horizontal="center" vertical="center"/>
    </xf>
    <xf numFmtId="0" fontId="3" fillId="8" borderId="52" xfId="1" applyFont="1" applyFill="1" applyBorder="1" applyAlignment="1">
      <alignment horizontal="center" vertical="center"/>
    </xf>
    <xf numFmtId="0" fontId="3" fillId="8" borderId="53" xfId="1" applyFont="1" applyFill="1" applyBorder="1" applyAlignment="1">
      <alignment horizontal="center" vertical="center"/>
    </xf>
    <xf numFmtId="0" fontId="3" fillId="8" borderId="51" xfId="1" applyFont="1" applyFill="1" applyBorder="1" applyAlignment="1">
      <alignment horizontal="center" vertical="center" wrapText="1"/>
    </xf>
    <xf numFmtId="0" fontId="3" fillId="8" borderId="52" xfId="1" applyFont="1" applyFill="1" applyBorder="1" applyAlignment="1">
      <alignment horizontal="center" vertical="center" wrapText="1"/>
    </xf>
    <xf numFmtId="0" fontId="3" fillId="8" borderId="53" xfId="1" applyFont="1" applyFill="1" applyBorder="1" applyAlignment="1">
      <alignment horizontal="center" vertical="center" wrapText="1"/>
    </xf>
    <xf numFmtId="0" fontId="3" fillId="8" borderId="54" xfId="1" applyFont="1" applyFill="1" applyBorder="1" applyAlignment="1">
      <alignment horizontal="center" vertical="center" wrapText="1"/>
    </xf>
    <xf numFmtId="0" fontId="3" fillId="13" borderId="94" xfId="0" applyFont="1" applyFill="1" applyBorder="1" applyAlignment="1">
      <alignment horizontal="center" vertical="center"/>
    </xf>
    <xf numFmtId="0" fontId="3" fillId="13" borderId="53" xfId="0" applyFont="1" applyFill="1" applyBorder="1" applyAlignment="1">
      <alignment horizontal="center" vertical="center"/>
    </xf>
    <xf numFmtId="0" fontId="3" fillId="13" borderId="66" xfId="0" applyFont="1" applyFill="1" applyBorder="1" applyAlignment="1">
      <alignment horizontal="center" vertical="center"/>
    </xf>
    <xf numFmtId="0" fontId="3" fillId="13" borderId="67" xfId="0" applyFont="1" applyFill="1" applyBorder="1" applyAlignment="1">
      <alignment horizontal="center" vertical="center"/>
    </xf>
    <xf numFmtId="0" fontId="3" fillId="13" borderId="71" xfId="0" applyFont="1" applyFill="1" applyBorder="1" applyAlignment="1">
      <alignment horizontal="center" vertical="center"/>
    </xf>
    <xf numFmtId="0" fontId="3" fillId="8" borderId="99" xfId="0" applyFont="1" applyFill="1" applyBorder="1" applyAlignment="1">
      <alignment horizontal="center" vertical="center" textRotation="90"/>
    </xf>
    <xf numFmtId="0" fontId="3" fillId="8" borderId="102" xfId="0" applyFont="1" applyFill="1" applyBorder="1" applyAlignment="1">
      <alignment horizontal="center" vertical="center" textRotation="90"/>
    </xf>
    <xf numFmtId="0" fontId="3" fillId="13" borderId="86" xfId="0" applyFont="1" applyFill="1" applyBorder="1" applyAlignment="1">
      <alignment horizontal="center" vertical="center"/>
    </xf>
    <xf numFmtId="0" fontId="3" fillId="13" borderId="87" xfId="0" applyFont="1" applyFill="1" applyBorder="1" applyAlignment="1">
      <alignment horizontal="center" vertical="center"/>
    </xf>
    <xf numFmtId="0" fontId="3" fillId="13" borderId="88" xfId="0" applyFont="1" applyFill="1" applyBorder="1" applyAlignment="1">
      <alignment horizontal="center" vertical="center"/>
    </xf>
    <xf numFmtId="0" fontId="3" fillId="13" borderId="89" xfId="0" applyFont="1" applyFill="1" applyBorder="1" applyAlignment="1">
      <alignment horizontal="center" vertical="center"/>
    </xf>
    <xf numFmtId="0" fontId="3" fillId="8" borderId="88" xfId="0" applyFont="1" applyFill="1" applyBorder="1" applyAlignment="1">
      <alignment horizontal="center" vertical="center"/>
    </xf>
    <xf numFmtId="0" fontId="3" fillId="8" borderId="87" xfId="0" applyFont="1" applyFill="1" applyBorder="1" applyAlignment="1">
      <alignment horizontal="center" vertical="center"/>
    </xf>
    <xf numFmtId="0" fontId="3" fillId="8" borderId="51" xfId="0" applyFont="1" applyFill="1" applyBorder="1" applyAlignment="1">
      <alignment horizontal="center" vertical="center"/>
    </xf>
    <xf numFmtId="0" fontId="3" fillId="8" borderId="54" xfId="0" applyFont="1" applyFill="1" applyBorder="1" applyAlignment="1">
      <alignment horizontal="center" vertical="center"/>
    </xf>
    <xf numFmtId="0" fontId="3" fillId="8" borderId="98" xfId="0" applyFont="1" applyFill="1" applyBorder="1" applyAlignment="1">
      <alignment horizontal="center" vertical="center" textRotation="90"/>
    </xf>
    <xf numFmtId="0" fontId="3" fillId="8" borderId="96" xfId="0" applyFont="1" applyFill="1" applyBorder="1" applyAlignment="1">
      <alignment horizontal="center" vertical="center" textRotation="90"/>
    </xf>
    <xf numFmtId="0" fontId="3" fillId="8" borderId="77" xfId="0" applyFont="1" applyFill="1" applyBorder="1" applyAlignment="1">
      <alignment horizontal="center" vertical="center" textRotation="90"/>
    </xf>
    <xf numFmtId="0" fontId="3" fillId="8" borderId="79" xfId="0" applyFont="1" applyFill="1" applyBorder="1" applyAlignment="1">
      <alignment horizontal="center" vertical="center" textRotation="90"/>
    </xf>
    <xf numFmtId="0" fontId="3" fillId="8" borderId="65" xfId="0" applyFont="1" applyFill="1" applyBorder="1" applyAlignment="1">
      <alignment horizontal="center" vertical="center" textRotation="90"/>
    </xf>
    <xf numFmtId="0" fontId="3" fillId="8" borderId="67" xfId="0" applyFont="1" applyFill="1" applyBorder="1" applyAlignment="1">
      <alignment horizontal="center" vertical="center" textRotation="90"/>
    </xf>
    <xf numFmtId="0" fontId="3" fillId="8" borderId="98" xfId="0" applyFont="1" applyFill="1" applyBorder="1" applyAlignment="1">
      <alignment horizontal="center" vertical="center" wrapText="1"/>
    </xf>
    <xf numFmtId="0" fontId="3" fillId="8" borderId="96" xfId="0" applyFont="1" applyFill="1" applyBorder="1" applyAlignment="1">
      <alignment horizontal="center" vertical="center" wrapText="1"/>
    </xf>
    <xf numFmtId="0" fontId="3" fillId="8" borderId="98" xfId="0" applyFont="1" applyFill="1" applyBorder="1" applyAlignment="1">
      <alignment horizontal="center" vertical="center"/>
    </xf>
    <xf numFmtId="0" fontId="3" fillId="8" borderId="96" xfId="0" applyFont="1" applyFill="1" applyBorder="1" applyAlignment="1">
      <alignment horizontal="center" vertical="center"/>
    </xf>
    <xf numFmtId="0" fontId="3" fillId="8" borderId="62" xfId="0" applyFont="1" applyFill="1" applyBorder="1" applyAlignment="1">
      <alignment horizontal="center" vertical="center" wrapText="1"/>
    </xf>
    <xf numFmtId="0" fontId="3" fillId="8" borderId="64" xfId="0" applyFont="1" applyFill="1" applyBorder="1" applyAlignment="1">
      <alignment horizontal="center" vertical="center" wrapText="1"/>
    </xf>
    <xf numFmtId="0" fontId="3" fillId="8" borderId="95" xfId="0" applyFont="1" applyFill="1" applyBorder="1" applyAlignment="1">
      <alignment horizontal="center" vertical="center" textRotation="90"/>
    </xf>
    <xf numFmtId="0" fontId="3" fillId="8" borderId="100" xfId="0" applyFont="1" applyFill="1" applyBorder="1" applyAlignment="1">
      <alignment horizontal="center" vertical="center" textRotation="90"/>
    </xf>
    <xf numFmtId="0" fontId="3" fillId="8" borderId="52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" fillId="8" borderId="89" xfId="0" applyFont="1" applyFill="1" applyBorder="1" applyAlignment="1">
      <alignment horizontal="center" vertical="center"/>
    </xf>
    <xf numFmtId="0" fontId="3" fillId="8" borderId="84" xfId="0" applyFont="1" applyFill="1" applyBorder="1" applyAlignment="1">
      <alignment horizontal="center" vertical="center"/>
    </xf>
    <xf numFmtId="0" fontId="3" fillId="8" borderId="70" xfId="0" applyFont="1" applyFill="1" applyBorder="1" applyAlignment="1">
      <alignment horizontal="center" vertical="center"/>
    </xf>
    <xf numFmtId="0" fontId="3" fillId="8" borderId="85" xfId="0" applyFont="1" applyFill="1" applyBorder="1" applyAlignment="1">
      <alignment horizontal="center" vertical="center"/>
    </xf>
    <xf numFmtId="0" fontId="3" fillId="8" borderId="86" xfId="0" applyFont="1" applyFill="1" applyBorder="1" applyAlignment="1">
      <alignment horizontal="center" vertical="center"/>
    </xf>
    <xf numFmtId="0" fontId="3" fillId="8" borderId="121" xfId="0" applyFont="1" applyFill="1" applyBorder="1" applyAlignment="1">
      <alignment horizontal="center" vertical="center"/>
    </xf>
    <xf numFmtId="0" fontId="3" fillId="0" borderId="91" xfId="0" applyFont="1" applyBorder="1" applyAlignment="1">
      <alignment horizontal="center" vertical="center"/>
    </xf>
    <xf numFmtId="0" fontId="3" fillId="0" borderId="92" xfId="0" applyFont="1" applyBorder="1" applyAlignment="1">
      <alignment horizontal="center" vertical="center"/>
    </xf>
    <xf numFmtId="0" fontId="3" fillId="0" borderId="93" xfId="0" applyFont="1" applyBorder="1" applyAlignment="1">
      <alignment horizontal="center" vertical="center"/>
    </xf>
    <xf numFmtId="0" fontId="3" fillId="8" borderId="90" xfId="0" applyFont="1" applyFill="1" applyBorder="1" applyAlignment="1">
      <alignment horizontal="center" vertical="center"/>
    </xf>
    <xf numFmtId="0" fontId="3" fillId="8" borderId="101" xfId="0" applyFont="1" applyFill="1" applyBorder="1" applyAlignment="1">
      <alignment horizontal="center" vertical="center"/>
    </xf>
    <xf numFmtId="0" fontId="3" fillId="8" borderId="68" xfId="0" applyFont="1" applyFill="1" applyBorder="1" applyAlignment="1">
      <alignment horizontal="center" vertical="center"/>
    </xf>
    <xf numFmtId="0" fontId="3" fillId="8" borderId="69" xfId="0" applyFont="1" applyFill="1" applyBorder="1" applyAlignment="1">
      <alignment horizontal="center" vertical="center"/>
    </xf>
    <xf numFmtId="0" fontId="3" fillId="0" borderId="97" xfId="0" applyFont="1" applyBorder="1" applyAlignment="1">
      <alignment horizontal="center" vertical="center"/>
    </xf>
    <xf numFmtId="0" fontId="3" fillId="0" borderId="79" xfId="0" applyFont="1" applyBorder="1" applyAlignment="1">
      <alignment horizontal="center" vertical="center"/>
    </xf>
    <xf numFmtId="0" fontId="3" fillId="0" borderId="98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4" fillId="0" borderId="0" xfId="1" applyFont="1" applyAlignment="1">
      <alignment horizontal="center"/>
    </xf>
    <xf numFmtId="0" fontId="34" fillId="0" borderId="0" xfId="1" applyFont="1" applyAlignment="1">
      <alignment horizontal="center" vertical="center"/>
    </xf>
    <xf numFmtId="0" fontId="34" fillId="8" borderId="51" xfId="1" applyFont="1" applyFill="1" applyBorder="1" applyAlignment="1">
      <alignment horizontal="center" vertical="center" wrapText="1"/>
    </xf>
    <xf numFmtId="0" fontId="34" fillId="8" borderId="52" xfId="1" applyFont="1" applyFill="1" applyBorder="1" applyAlignment="1">
      <alignment horizontal="center" vertical="center" wrapText="1"/>
    </xf>
    <xf numFmtId="0" fontId="34" fillId="8" borderId="54" xfId="1" applyFont="1" applyFill="1" applyBorder="1" applyAlignment="1">
      <alignment horizontal="center" vertical="center" wrapText="1"/>
    </xf>
    <xf numFmtId="0" fontId="34" fillId="8" borderId="51" xfId="1" applyFont="1" applyFill="1" applyBorder="1" applyAlignment="1">
      <alignment horizontal="center" vertical="center"/>
    </xf>
    <xf numFmtId="0" fontId="34" fillId="8" borderId="52" xfId="1" applyFont="1" applyFill="1" applyBorder="1" applyAlignment="1">
      <alignment horizontal="center" vertical="center"/>
    </xf>
    <xf numFmtId="0" fontId="34" fillId="8" borderId="53" xfId="1" applyFont="1" applyFill="1" applyBorder="1" applyAlignment="1">
      <alignment horizontal="center" vertical="center"/>
    </xf>
    <xf numFmtId="0" fontId="34" fillId="8" borderId="53" xfId="1" applyFont="1" applyFill="1" applyBorder="1" applyAlignment="1">
      <alignment horizontal="center" vertical="center" wrapText="1"/>
    </xf>
    <xf numFmtId="0" fontId="38" fillId="0" borderId="91" xfId="0" applyFont="1" applyBorder="1" applyAlignment="1">
      <alignment horizontal="center" vertical="center"/>
    </xf>
    <xf numFmtId="0" fontId="38" fillId="0" borderId="92" xfId="0" applyFont="1" applyBorder="1" applyAlignment="1">
      <alignment horizontal="center" vertical="center"/>
    </xf>
    <xf numFmtId="0" fontId="38" fillId="0" borderId="93" xfId="0" applyFont="1" applyBorder="1" applyAlignment="1">
      <alignment horizontal="center" vertical="center"/>
    </xf>
    <xf numFmtId="0" fontId="38" fillId="8" borderId="83" xfId="0" applyFont="1" applyFill="1" applyBorder="1" applyAlignment="1">
      <alignment horizontal="center" vertical="center"/>
    </xf>
    <xf numFmtId="0" fontId="38" fillId="8" borderId="67" xfId="0" applyFont="1" applyFill="1" applyBorder="1" applyAlignment="1">
      <alignment horizontal="center" vertical="center"/>
    </xf>
    <xf numFmtId="0" fontId="38" fillId="8" borderId="95" xfId="0" applyFont="1" applyFill="1" applyBorder="1" applyAlignment="1">
      <alignment horizontal="center" vertical="center"/>
    </xf>
    <xf numFmtId="0" fontId="38" fillId="8" borderId="96" xfId="0" applyFont="1" applyFill="1" applyBorder="1" applyAlignment="1">
      <alignment horizontal="center" vertical="center"/>
    </xf>
    <xf numFmtId="0" fontId="38" fillId="8" borderId="120" xfId="0" applyFont="1" applyFill="1" applyBorder="1" applyAlignment="1">
      <alignment horizontal="center" vertical="center"/>
    </xf>
    <xf numFmtId="0" fontId="38" fillId="8" borderId="102" xfId="0" applyFont="1" applyFill="1" applyBorder="1" applyAlignment="1">
      <alignment horizontal="center" vertical="center"/>
    </xf>
    <xf numFmtId="0" fontId="38" fillId="8" borderId="94" xfId="0" applyFont="1" applyFill="1" applyBorder="1" applyAlignment="1">
      <alignment horizontal="center" vertical="center"/>
    </xf>
    <xf numFmtId="0" fontId="38" fillId="8" borderId="53" xfId="0" applyFont="1" applyFill="1" applyBorder="1" applyAlignment="1">
      <alignment horizontal="center" vertical="center"/>
    </xf>
    <xf numFmtId="0" fontId="38" fillId="8" borderId="65" xfId="0" applyFont="1" applyFill="1" applyBorder="1" applyAlignment="1">
      <alignment horizontal="center" vertical="center"/>
    </xf>
    <xf numFmtId="0" fontId="38" fillId="8" borderId="68" xfId="0" applyFont="1" applyFill="1" applyBorder="1" applyAlignment="1">
      <alignment horizontal="center" vertical="center"/>
    </xf>
    <xf numFmtId="0" fontId="38" fillId="8" borderId="70" xfId="0" applyFont="1" applyFill="1" applyBorder="1" applyAlignment="1">
      <alignment horizontal="center" vertical="center"/>
    </xf>
    <xf numFmtId="0" fontId="38" fillId="8" borderId="71" xfId="0" applyFont="1" applyFill="1" applyBorder="1" applyAlignment="1">
      <alignment horizontal="center" vertical="center"/>
    </xf>
    <xf numFmtId="0" fontId="38" fillId="8" borderId="85" xfId="0" applyFont="1" applyFill="1" applyBorder="1" applyAlignment="1">
      <alignment horizontal="center" vertical="center"/>
    </xf>
    <xf numFmtId="0" fontId="38" fillId="13" borderId="94" xfId="0" applyFont="1" applyFill="1" applyBorder="1" applyAlignment="1">
      <alignment horizontal="center" vertical="center"/>
    </xf>
    <xf numFmtId="0" fontId="38" fillId="13" borderId="53" xfId="0" applyFont="1" applyFill="1" applyBorder="1" applyAlignment="1">
      <alignment horizontal="center" vertical="center"/>
    </xf>
    <xf numFmtId="0" fontId="38" fillId="13" borderId="68" xfId="0" applyFont="1" applyFill="1" applyBorder="1" applyAlignment="1">
      <alignment horizontal="center" vertical="center"/>
    </xf>
    <xf numFmtId="0" fontId="38" fillId="13" borderId="70" xfId="0" applyFont="1" applyFill="1" applyBorder="1" applyAlignment="1">
      <alignment horizontal="center" vertical="center"/>
    </xf>
    <xf numFmtId="0" fontId="38" fillId="13" borderId="85" xfId="0" applyFont="1" applyFill="1" applyBorder="1" applyAlignment="1">
      <alignment horizontal="center" vertical="center"/>
    </xf>
    <xf numFmtId="0" fontId="38" fillId="13" borderId="86" xfId="0" applyFont="1" applyFill="1" applyBorder="1" applyAlignment="1">
      <alignment horizontal="center" vertical="center"/>
    </xf>
    <xf numFmtId="0" fontId="38" fillId="13" borderId="87" xfId="0" applyFont="1" applyFill="1" applyBorder="1" applyAlignment="1">
      <alignment horizontal="center" vertical="center"/>
    </xf>
    <xf numFmtId="0" fontId="38" fillId="13" borderId="88" xfId="0" applyFont="1" applyFill="1" applyBorder="1" applyAlignment="1">
      <alignment horizontal="center" vertical="center"/>
    </xf>
    <xf numFmtId="0" fontId="38" fillId="13" borderId="89" xfId="0" applyFont="1" applyFill="1" applyBorder="1" applyAlignment="1">
      <alignment horizontal="center" vertical="center"/>
    </xf>
    <xf numFmtId="0" fontId="38" fillId="8" borderId="88" xfId="0" applyFont="1" applyFill="1" applyBorder="1" applyAlignment="1">
      <alignment horizontal="center" vertical="center"/>
    </xf>
    <xf numFmtId="0" fontId="38" fillId="8" borderId="89" xfId="0" applyFont="1" applyFill="1" applyBorder="1" applyAlignment="1">
      <alignment horizontal="center" vertical="center"/>
    </xf>
    <xf numFmtId="0" fontId="38" fillId="8" borderId="51" xfId="0" applyFont="1" applyFill="1" applyBorder="1" applyAlignment="1">
      <alignment horizontal="center" vertical="center"/>
    </xf>
    <xf numFmtId="0" fontId="38" fillId="8" borderId="54" xfId="0" applyFont="1" applyFill="1" applyBorder="1" applyAlignment="1">
      <alignment horizontal="center" vertical="center"/>
    </xf>
    <xf numFmtId="0" fontId="38" fillId="8" borderId="87" xfId="0" applyFont="1" applyFill="1" applyBorder="1" applyAlignment="1">
      <alignment horizontal="center" vertical="center"/>
    </xf>
    <xf numFmtId="0" fontId="34" fillId="8" borderId="88" xfId="0" applyFont="1" applyFill="1" applyBorder="1" applyAlignment="1">
      <alignment horizontal="center" vertical="center"/>
    </xf>
    <xf numFmtId="0" fontId="34" fillId="8" borderId="87" xfId="0" applyFont="1" applyFill="1" applyBorder="1" applyAlignment="1">
      <alignment horizontal="center" vertical="center"/>
    </xf>
    <xf numFmtId="0" fontId="34" fillId="8" borderId="98" xfId="0" applyFont="1" applyFill="1" applyBorder="1" applyAlignment="1">
      <alignment horizontal="center" vertical="center" textRotation="90"/>
    </xf>
    <xf numFmtId="0" fontId="34" fillId="8" borderId="96" xfId="0" applyFont="1" applyFill="1" applyBorder="1" applyAlignment="1">
      <alignment horizontal="center" vertical="center" textRotation="90"/>
    </xf>
    <xf numFmtId="0" fontId="34" fillId="8" borderId="99" xfId="0" applyFont="1" applyFill="1" applyBorder="1" applyAlignment="1">
      <alignment horizontal="center" vertical="center" textRotation="90"/>
    </xf>
    <xf numFmtId="0" fontId="34" fillId="8" borderId="102" xfId="0" applyFont="1" applyFill="1" applyBorder="1" applyAlignment="1">
      <alignment horizontal="center" vertical="center" textRotation="90"/>
    </xf>
    <xf numFmtId="0" fontId="34" fillId="8" borderId="95" xfId="0" applyFont="1" applyFill="1" applyBorder="1" applyAlignment="1">
      <alignment horizontal="center" vertical="center" textRotation="90"/>
    </xf>
    <xf numFmtId="0" fontId="34" fillId="8" borderId="100" xfId="0" applyFont="1" applyFill="1" applyBorder="1" applyAlignment="1">
      <alignment horizontal="center" vertical="center" textRotation="90"/>
    </xf>
    <xf numFmtId="0" fontId="34" fillId="8" borderId="51" xfId="0" applyFont="1" applyFill="1" applyBorder="1" applyAlignment="1">
      <alignment horizontal="center" vertical="center"/>
    </xf>
    <xf numFmtId="0" fontId="34" fillId="8" borderId="54" xfId="0" applyFont="1" applyFill="1" applyBorder="1" applyAlignment="1">
      <alignment horizontal="center" vertical="center"/>
    </xf>
    <xf numFmtId="0" fontId="34" fillId="8" borderId="94" xfId="0" applyFont="1" applyFill="1" applyBorder="1" applyAlignment="1">
      <alignment horizontal="center" vertical="center"/>
    </xf>
    <xf numFmtId="0" fontId="34" fillId="8" borderId="52" xfId="0" applyFont="1" applyFill="1" applyBorder="1" applyAlignment="1">
      <alignment horizontal="center" vertical="center"/>
    </xf>
    <xf numFmtId="0" fontId="34" fillId="8" borderId="84" xfId="0" applyFont="1" applyFill="1" applyBorder="1" applyAlignment="1">
      <alignment horizontal="center" vertical="center"/>
    </xf>
    <xf numFmtId="0" fontId="34" fillId="8" borderId="70" xfId="0" applyFont="1" applyFill="1" applyBorder="1" applyAlignment="1">
      <alignment horizontal="center" vertical="center"/>
    </xf>
    <xf numFmtId="0" fontId="34" fillId="8" borderId="68" xfId="0" applyFont="1" applyFill="1" applyBorder="1" applyAlignment="1">
      <alignment horizontal="center" vertical="center"/>
    </xf>
    <xf numFmtId="0" fontId="34" fillId="8" borderId="69" xfId="0" applyFont="1" applyFill="1" applyBorder="1" applyAlignment="1">
      <alignment horizontal="center" vertical="center"/>
    </xf>
    <xf numFmtId="0" fontId="38" fillId="8" borderId="86" xfId="0" applyFont="1" applyFill="1" applyBorder="1" applyAlignment="1">
      <alignment horizontal="center" vertical="center"/>
    </xf>
    <xf numFmtId="0" fontId="34" fillId="0" borderId="98" xfId="0" applyFont="1" applyBorder="1" applyAlignment="1">
      <alignment horizontal="center" vertical="center"/>
    </xf>
    <xf numFmtId="0" fontId="34" fillId="0" borderId="67" xfId="0" applyFont="1" applyBorder="1" applyAlignment="1">
      <alignment horizontal="center" vertical="center"/>
    </xf>
    <xf numFmtId="0" fontId="34" fillId="0" borderId="99" xfId="0" applyFont="1" applyBorder="1" applyAlignment="1">
      <alignment horizontal="center" vertical="center" textRotation="90"/>
    </xf>
    <xf numFmtId="0" fontId="34" fillId="0" borderId="102" xfId="0" applyFont="1" applyBorder="1" applyAlignment="1">
      <alignment horizontal="center" vertical="center" textRotation="90"/>
    </xf>
    <xf numFmtId="0" fontId="34" fillId="0" borderId="77" xfId="0" applyFont="1" applyBorder="1" applyAlignment="1">
      <alignment horizontal="center" vertical="center" textRotation="90" wrapText="1"/>
    </xf>
    <xf numFmtId="0" fontId="34" fillId="0" borderId="79" xfId="0" applyFont="1" applyBorder="1" applyAlignment="1">
      <alignment horizontal="center" vertical="center" textRotation="90" wrapText="1"/>
    </xf>
    <xf numFmtId="0" fontId="34" fillId="0" borderId="65" xfId="0" applyFont="1" applyBorder="1" applyAlignment="1">
      <alignment horizontal="center" vertical="center" textRotation="90" wrapText="1"/>
    </xf>
    <xf numFmtId="0" fontId="34" fillId="0" borderId="67" xfId="0" applyFont="1" applyBorder="1" applyAlignment="1">
      <alignment horizontal="center" vertical="center" textRotation="90" wrapText="1"/>
    </xf>
    <xf numFmtId="0" fontId="39" fillId="0" borderId="0" xfId="0" applyFont="1" applyAlignment="1">
      <alignment horizontal="center" vertical="center"/>
    </xf>
    <xf numFmtId="0" fontId="34" fillId="8" borderId="53" xfId="0" applyFont="1" applyFill="1" applyBorder="1" applyAlignment="1">
      <alignment horizontal="center" vertical="center"/>
    </xf>
    <xf numFmtId="0" fontId="34" fillId="8" borderId="62" xfId="0" applyFont="1" applyFill="1" applyBorder="1" applyAlignment="1">
      <alignment horizontal="center" vertical="center"/>
    </xf>
    <xf numFmtId="0" fontId="34" fillId="8" borderId="64" xfId="0" applyFont="1" applyFill="1" applyBorder="1" applyAlignment="1">
      <alignment horizontal="center" vertical="center"/>
    </xf>
    <xf numFmtId="0" fontId="34" fillId="8" borderId="98" xfId="0" applyFont="1" applyFill="1" applyBorder="1" applyAlignment="1">
      <alignment horizontal="center" vertical="center" wrapText="1"/>
    </xf>
    <xf numFmtId="0" fontId="34" fillId="8" borderId="96" xfId="0" applyFont="1" applyFill="1" applyBorder="1" applyAlignment="1">
      <alignment horizontal="center" vertical="center" wrapText="1"/>
    </xf>
    <xf numFmtId="0" fontId="34" fillId="0" borderId="97" xfId="0" applyFont="1" applyBorder="1" applyAlignment="1">
      <alignment horizontal="center" vertical="center"/>
    </xf>
    <xf numFmtId="0" fontId="34" fillId="0" borderId="79" xfId="0" applyFont="1" applyBorder="1" applyAlignment="1">
      <alignment horizontal="center" vertical="center"/>
    </xf>
    <xf numFmtId="0" fontId="34" fillId="8" borderId="65" xfId="0" applyFont="1" applyFill="1" applyBorder="1" applyAlignment="1">
      <alignment horizontal="center" vertical="center"/>
    </xf>
    <xf numFmtId="0" fontId="34" fillId="8" borderId="67" xfId="0" applyFont="1" applyFill="1" applyBorder="1" applyAlignment="1">
      <alignment horizontal="center" vertical="center"/>
    </xf>
    <xf numFmtId="0" fontId="34" fillId="8" borderId="98" xfId="0" applyFont="1" applyFill="1" applyBorder="1" applyAlignment="1">
      <alignment horizontal="center" vertical="center"/>
    </xf>
    <xf numFmtId="0" fontId="34" fillId="8" borderId="96" xfId="0" applyFont="1" applyFill="1" applyBorder="1" applyAlignment="1">
      <alignment horizontal="center" vertical="center"/>
    </xf>
    <xf numFmtId="0" fontId="34" fillId="8" borderId="85" xfId="0" applyFont="1" applyFill="1" applyBorder="1" applyAlignment="1">
      <alignment horizontal="center" vertical="center"/>
    </xf>
    <xf numFmtId="0" fontId="34" fillId="8" borderId="89" xfId="0" applyFont="1" applyFill="1" applyBorder="1" applyAlignment="1">
      <alignment horizontal="center" vertical="center"/>
    </xf>
    <xf numFmtId="0" fontId="34" fillId="8" borderId="86" xfId="0" applyFont="1" applyFill="1" applyBorder="1" applyAlignment="1">
      <alignment horizontal="center" vertical="center"/>
    </xf>
    <xf numFmtId="0" fontId="38" fillId="8" borderId="91" xfId="0" applyFont="1" applyFill="1" applyBorder="1" applyAlignment="1">
      <alignment horizontal="center" vertical="center"/>
    </xf>
    <xf numFmtId="0" fontId="38" fillId="8" borderId="92" xfId="0" applyFont="1" applyFill="1" applyBorder="1" applyAlignment="1">
      <alignment horizontal="center" vertical="center"/>
    </xf>
    <xf numFmtId="0" fontId="38" fillId="8" borderId="93" xfId="0" applyFont="1" applyFill="1" applyBorder="1" applyAlignment="1">
      <alignment horizontal="center" vertical="center"/>
    </xf>
    <xf numFmtId="0" fontId="38" fillId="13" borderId="5" xfId="0" applyFont="1" applyFill="1" applyBorder="1" applyAlignment="1">
      <alignment horizontal="center" vertical="center"/>
    </xf>
    <xf numFmtId="0" fontId="38" fillId="13" borderId="64" xfId="0" applyFont="1" applyFill="1" applyBorder="1" applyAlignment="1">
      <alignment horizontal="center" vertical="center"/>
    </xf>
    <xf numFmtId="0" fontId="38" fillId="13" borderId="77" xfId="0" applyFont="1" applyFill="1" applyBorder="1" applyAlignment="1">
      <alignment horizontal="center" vertical="center"/>
    </xf>
    <xf numFmtId="0" fontId="38" fillId="13" borderId="79" xfId="0" applyFont="1" applyFill="1" applyBorder="1" applyAlignment="1">
      <alignment horizontal="center" vertical="center"/>
    </xf>
    <xf numFmtId="0" fontId="38" fillId="13" borderId="122" xfId="0" applyFont="1" applyFill="1" applyBorder="1" applyAlignment="1">
      <alignment horizontal="center" vertical="center"/>
    </xf>
    <xf numFmtId="0" fontId="38" fillId="8" borderId="63" xfId="0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center" vertical="center"/>
    </xf>
    <xf numFmtId="0" fontId="38" fillId="8" borderId="5" xfId="0" applyFont="1" applyFill="1" applyBorder="1" applyAlignment="1">
      <alignment horizontal="center" vertical="center"/>
    </xf>
    <xf numFmtId="0" fontId="34" fillId="8" borderId="77" xfId="0" applyFont="1" applyFill="1" applyBorder="1" applyAlignment="1">
      <alignment horizontal="center" vertical="center" textRotation="90" wrapText="1"/>
    </xf>
    <xf numFmtId="0" fontId="34" fillId="8" borderId="79" xfId="0" applyFont="1" applyFill="1" applyBorder="1" applyAlignment="1">
      <alignment horizontal="center" vertical="center" textRotation="90" wrapText="1"/>
    </xf>
    <xf numFmtId="0" fontId="34" fillId="8" borderId="65" xfId="0" applyFont="1" applyFill="1" applyBorder="1" applyAlignment="1">
      <alignment horizontal="center" vertical="center" textRotation="90" wrapText="1"/>
    </xf>
    <xf numFmtId="0" fontId="34" fillId="8" borderId="67" xfId="0" applyFont="1" applyFill="1" applyBorder="1" applyAlignment="1">
      <alignment horizontal="center" vertical="center" textRotation="90" wrapText="1"/>
    </xf>
    <xf numFmtId="0" fontId="16" fillId="0" borderId="91" xfId="0" applyFont="1" applyBorder="1" applyAlignment="1">
      <alignment horizontal="center" vertical="center"/>
    </xf>
    <xf numFmtId="0" fontId="16" fillId="0" borderId="92" xfId="0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/>
    </xf>
    <xf numFmtId="0" fontId="20" fillId="8" borderId="72" xfId="1" applyFont="1" applyFill="1" applyBorder="1" applyAlignment="1">
      <alignment horizontal="center" vertical="center"/>
    </xf>
    <xf numFmtId="0" fontId="20" fillId="8" borderId="55" xfId="1" applyFont="1" applyFill="1" applyBorder="1" applyAlignment="1">
      <alignment horizontal="center" vertical="center"/>
    </xf>
    <xf numFmtId="0" fontId="24" fillId="8" borderId="68" xfId="0" applyFont="1" applyFill="1" applyBorder="1" applyAlignment="1">
      <alignment horizontal="center" vertical="center"/>
    </xf>
    <xf numFmtId="0" fontId="24" fillId="8" borderId="70" xfId="0" applyFont="1" applyFill="1" applyBorder="1" applyAlignment="1">
      <alignment horizontal="center" vertical="center"/>
    </xf>
    <xf numFmtId="0" fontId="24" fillId="8" borderId="85" xfId="0" applyFont="1" applyFill="1" applyBorder="1" applyAlignment="1">
      <alignment horizontal="center" vertical="center"/>
    </xf>
    <xf numFmtId="0" fontId="20" fillId="0" borderId="0" xfId="1" applyFont="1" applyAlignment="1">
      <alignment horizontal="center"/>
    </xf>
    <xf numFmtId="0" fontId="20" fillId="0" borderId="0" xfId="1" applyFont="1" applyAlignment="1">
      <alignment horizontal="center" vertical="center"/>
    </xf>
    <xf numFmtId="0" fontId="20" fillId="8" borderId="51" xfId="1" applyFont="1" applyFill="1" applyBorder="1" applyAlignment="1">
      <alignment horizontal="center" vertical="center" wrapText="1"/>
    </xf>
    <xf numFmtId="0" fontId="20" fillId="8" borderId="52" xfId="1" applyFont="1" applyFill="1" applyBorder="1" applyAlignment="1">
      <alignment horizontal="center" vertical="center" wrapText="1"/>
    </xf>
    <xf numFmtId="0" fontId="20" fillId="8" borderId="51" xfId="1" applyFont="1" applyFill="1" applyBorder="1" applyAlignment="1">
      <alignment horizontal="center" vertical="center"/>
    </xf>
    <xf numFmtId="0" fontId="20" fillId="8" borderId="52" xfId="1" applyFont="1" applyFill="1" applyBorder="1" applyAlignment="1">
      <alignment horizontal="center" vertical="center"/>
    </xf>
    <xf numFmtId="0" fontId="20" fillId="8" borderId="54" xfId="1" applyFont="1" applyFill="1" applyBorder="1" applyAlignment="1">
      <alignment horizontal="center" vertical="center"/>
    </xf>
    <xf numFmtId="0" fontId="20" fillId="8" borderId="53" xfId="1" applyFont="1" applyFill="1" applyBorder="1" applyAlignment="1">
      <alignment horizontal="center" vertical="center"/>
    </xf>
    <xf numFmtId="0" fontId="20" fillId="8" borderId="53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0" borderId="5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20" fillId="8" borderId="73" xfId="0" applyFont="1" applyFill="1" applyBorder="1" applyAlignment="1">
      <alignment horizontal="center" vertical="center" wrapText="1"/>
    </xf>
    <xf numFmtId="0" fontId="20" fillId="8" borderId="76" xfId="0" applyFont="1" applyFill="1" applyBorder="1" applyAlignment="1">
      <alignment horizontal="center" vertical="center" wrapText="1"/>
    </xf>
    <xf numFmtId="0" fontId="20" fillId="8" borderId="74" xfId="0" applyFont="1" applyFill="1" applyBorder="1" applyAlignment="1">
      <alignment horizontal="center" vertical="center"/>
    </xf>
    <xf numFmtId="0" fontId="20" fillId="8" borderId="51" xfId="0" applyFont="1" applyFill="1" applyBorder="1" applyAlignment="1">
      <alignment horizontal="center" vertical="center"/>
    </xf>
    <xf numFmtId="0" fontId="20" fillId="8" borderId="51" xfId="0" applyFont="1" applyFill="1" applyBorder="1" applyAlignment="1">
      <alignment horizontal="center" vertical="center" wrapText="1"/>
    </xf>
    <xf numFmtId="0" fontId="20" fillId="8" borderId="53" xfId="0" applyFont="1" applyFill="1" applyBorder="1" applyAlignment="1">
      <alignment horizontal="center" vertical="center" wrapText="1"/>
    </xf>
    <xf numFmtId="0" fontId="20" fillId="8" borderId="52" xfId="0" applyFont="1" applyFill="1" applyBorder="1" applyAlignment="1">
      <alignment horizontal="center" vertical="center"/>
    </xf>
    <xf numFmtId="0" fontId="20" fillId="8" borderId="54" xfId="0" applyFont="1" applyFill="1" applyBorder="1" applyAlignment="1">
      <alignment horizontal="center" vertical="center"/>
    </xf>
    <xf numFmtId="0" fontId="20" fillId="8" borderId="56" xfId="0" applyFont="1" applyFill="1" applyBorder="1" applyAlignment="1">
      <alignment horizontal="center" vertical="center"/>
    </xf>
    <xf numFmtId="0" fontId="20" fillId="8" borderId="68" xfId="0" applyFont="1" applyFill="1" applyBorder="1" applyAlignment="1">
      <alignment horizontal="center" vertical="center"/>
    </xf>
    <xf numFmtId="0" fontId="20" fillId="8" borderId="70" xfId="0" applyFont="1" applyFill="1" applyBorder="1" applyAlignment="1">
      <alignment horizontal="center" vertical="center"/>
    </xf>
    <xf numFmtId="0" fontId="20" fillId="0" borderId="0" xfId="1" applyFont="1" applyBorder="1" applyAlignment="1">
      <alignment horizontal="center"/>
    </xf>
    <xf numFmtId="0" fontId="24" fillId="8" borderId="5" xfId="0" applyFont="1" applyFill="1" applyBorder="1" applyAlignment="1">
      <alignment horizontal="center" vertical="center"/>
    </xf>
    <xf numFmtId="0" fontId="24" fillId="8" borderId="63" xfId="0" applyFont="1" applyFill="1" applyBorder="1" applyAlignment="1">
      <alignment horizontal="center" vertical="center"/>
    </xf>
    <xf numFmtId="0" fontId="24" fillId="8" borderId="6" xfId="0" applyFont="1" applyFill="1" applyBorder="1" applyAlignment="1">
      <alignment horizontal="center" vertical="center"/>
    </xf>
    <xf numFmtId="0" fontId="24" fillId="0" borderId="92" xfId="0" applyFont="1" applyBorder="1" applyAlignment="1">
      <alignment horizontal="center" vertical="center"/>
    </xf>
    <xf numFmtId="0" fontId="24" fillId="0" borderId="93" xfId="0" applyFont="1" applyBorder="1" applyAlignment="1">
      <alignment horizontal="center" vertical="center"/>
    </xf>
    <xf numFmtId="0" fontId="24" fillId="8" borderId="91" xfId="0" applyFont="1" applyFill="1" applyBorder="1" applyAlignment="1">
      <alignment horizontal="center" vertical="center" wrapText="1"/>
    </xf>
    <xf numFmtId="0" fontId="24" fillId="8" borderId="92" xfId="0" applyFont="1" applyFill="1" applyBorder="1" applyAlignment="1">
      <alignment horizontal="center" vertical="center" wrapText="1"/>
    </xf>
    <xf numFmtId="0" fontId="24" fillId="8" borderId="93" xfId="0" applyFont="1" applyFill="1" applyBorder="1" applyAlignment="1">
      <alignment horizontal="center" vertical="center" wrapText="1"/>
    </xf>
    <xf numFmtId="0" fontId="24" fillId="8" borderId="66" xfId="0" applyFont="1" applyFill="1" applyBorder="1" applyAlignment="1">
      <alignment horizontal="center" vertical="center"/>
    </xf>
    <xf numFmtId="0" fontId="24" fillId="8" borderId="67" xfId="0" applyFont="1" applyFill="1" applyBorder="1" applyAlignment="1">
      <alignment horizontal="center" vertical="center"/>
    </xf>
    <xf numFmtId="0" fontId="24" fillId="8" borderId="65" xfId="0" applyFont="1" applyFill="1" applyBorder="1" applyAlignment="1">
      <alignment horizontal="center" vertical="center"/>
    </xf>
    <xf numFmtId="0" fontId="24" fillId="8" borderId="71" xfId="0" applyFont="1" applyFill="1" applyBorder="1" applyAlignment="1">
      <alignment horizontal="center" vertical="center"/>
    </xf>
    <xf numFmtId="0" fontId="24" fillId="8" borderId="94" xfId="0" applyFont="1" applyFill="1" applyBorder="1" applyAlignment="1">
      <alignment horizontal="center" vertical="center"/>
    </xf>
    <xf numFmtId="0" fontId="24" fillId="8" borderId="53" xfId="0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25" fillId="0" borderId="80" xfId="0" applyFont="1" applyBorder="1" applyAlignment="1">
      <alignment horizontal="center"/>
    </xf>
    <xf numFmtId="0" fontId="24" fillId="0" borderId="96" xfId="0" applyFont="1" applyBorder="1" applyAlignment="1">
      <alignment horizontal="center" vertical="center"/>
    </xf>
    <xf numFmtId="0" fontId="24" fillId="8" borderId="69" xfId="0" applyFont="1" applyFill="1" applyBorder="1" applyAlignment="1">
      <alignment horizontal="center" vertical="center"/>
    </xf>
    <xf numFmtId="0" fontId="24" fillId="8" borderId="88" xfId="0" applyFont="1" applyFill="1" applyBorder="1" applyAlignment="1">
      <alignment horizontal="center" vertical="center"/>
    </xf>
    <xf numFmtId="0" fontId="24" fillId="8" borderId="87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8" borderId="64" xfId="0" applyFont="1" applyFill="1" applyBorder="1" applyAlignment="1">
      <alignment horizontal="center" vertical="center"/>
    </xf>
    <xf numFmtId="0" fontId="24" fillId="8" borderId="95" xfId="0" applyFont="1" applyFill="1" applyBorder="1" applyAlignment="1">
      <alignment horizontal="center" vertical="center"/>
    </xf>
    <xf numFmtId="0" fontId="24" fillId="8" borderId="51" xfId="0" applyFont="1" applyFill="1" applyBorder="1" applyAlignment="1">
      <alignment horizontal="center" vertical="center" wrapText="1"/>
    </xf>
    <xf numFmtId="0" fontId="24" fillId="8" borderId="52" xfId="0" applyFont="1" applyFill="1" applyBorder="1" applyAlignment="1">
      <alignment horizontal="center" vertical="center" wrapText="1"/>
    </xf>
    <xf numFmtId="0" fontId="24" fillId="8" borderId="54" xfId="0" applyFont="1" applyFill="1" applyBorder="1" applyAlignment="1">
      <alignment horizontal="center" vertical="center" wrapText="1"/>
    </xf>
    <xf numFmtId="0" fontId="24" fillId="8" borderId="86" xfId="0" applyFont="1" applyFill="1" applyBorder="1" applyAlignment="1">
      <alignment horizontal="center" vertical="center"/>
    </xf>
    <xf numFmtId="0" fontId="24" fillId="8" borderId="84" xfId="0" applyFont="1" applyFill="1" applyBorder="1" applyAlignment="1">
      <alignment horizontal="center" vertical="center"/>
    </xf>
    <xf numFmtId="0" fontId="24" fillId="8" borderId="56" xfId="0" applyFont="1" applyFill="1" applyBorder="1" applyAlignment="1">
      <alignment horizontal="center" vertical="center"/>
    </xf>
    <xf numFmtId="0" fontId="24" fillId="8" borderId="83" xfId="0" applyFont="1" applyFill="1" applyBorder="1" applyAlignment="1">
      <alignment horizontal="center" vertical="center"/>
    </xf>
    <xf numFmtId="0" fontId="24" fillId="8" borderId="97" xfId="0" applyFont="1" applyFill="1" applyBorder="1" applyAlignment="1">
      <alignment horizontal="center" vertical="center"/>
    </xf>
    <xf numFmtId="0" fontId="24" fillId="8" borderId="79" xfId="0" applyFont="1" applyFill="1" applyBorder="1" applyAlignment="1">
      <alignment horizontal="center" vertical="center"/>
    </xf>
    <xf numFmtId="0" fontId="24" fillId="8" borderId="98" xfId="0" applyFont="1" applyFill="1" applyBorder="1" applyAlignment="1">
      <alignment horizontal="center" vertical="center"/>
    </xf>
    <xf numFmtId="0" fontId="24" fillId="8" borderId="60" xfId="0" applyFont="1" applyFill="1" applyBorder="1" applyAlignment="1">
      <alignment horizontal="center" vertical="center"/>
    </xf>
    <xf numFmtId="0" fontId="24" fillId="8" borderId="74" xfId="0" applyFont="1" applyFill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4" fillId="8" borderId="81" xfId="0" applyFont="1" applyFill="1" applyBorder="1" applyAlignment="1">
      <alignment horizontal="center" vertical="center"/>
    </xf>
    <xf numFmtId="0" fontId="16" fillId="0" borderId="116" xfId="0" applyFont="1" applyBorder="1" applyAlignment="1">
      <alignment horizontal="center" vertical="center"/>
    </xf>
    <xf numFmtId="0" fontId="16" fillId="0" borderId="117" xfId="0" applyFont="1" applyBorder="1" applyAlignment="1">
      <alignment horizontal="center" vertical="center"/>
    </xf>
    <xf numFmtId="0" fontId="16" fillId="0" borderId="118" xfId="0" applyFont="1" applyBorder="1" applyAlignment="1">
      <alignment horizontal="center" vertical="center"/>
    </xf>
    <xf numFmtId="0" fontId="20" fillId="0" borderId="81" xfId="0" applyFont="1" applyFill="1" applyBorder="1" applyAlignment="1">
      <alignment horizontal="center" vertical="center" wrapText="1"/>
    </xf>
    <xf numFmtId="0" fontId="20" fillId="0" borderId="90" xfId="0" applyFont="1" applyFill="1" applyBorder="1" applyAlignment="1">
      <alignment horizontal="center" vertical="center" wrapText="1"/>
    </xf>
    <xf numFmtId="0" fontId="20" fillId="0" borderId="101" xfId="0" applyFont="1" applyFill="1" applyBorder="1" applyAlignment="1">
      <alignment horizontal="center" vertical="center" wrapText="1"/>
    </xf>
    <xf numFmtId="0" fontId="20" fillId="0" borderId="94" xfId="0" applyFont="1" applyFill="1" applyBorder="1" applyAlignment="1">
      <alignment horizontal="center" vertical="center" wrapText="1"/>
    </xf>
    <xf numFmtId="0" fontId="20" fillId="0" borderId="84" xfId="0" applyFont="1" applyFill="1" applyBorder="1" applyAlignment="1">
      <alignment horizontal="center" vertical="center" wrapText="1"/>
    </xf>
    <xf numFmtId="0" fontId="20" fillId="0" borderId="81" xfId="0" applyFont="1" applyFill="1" applyBorder="1" applyAlignment="1">
      <alignment horizontal="center" vertical="center"/>
    </xf>
    <xf numFmtId="0" fontId="20" fillId="0" borderId="91" xfId="0" applyFont="1" applyFill="1" applyBorder="1" applyAlignment="1">
      <alignment horizontal="center" vertical="center"/>
    </xf>
    <xf numFmtId="0" fontId="20" fillId="0" borderId="92" xfId="0" applyFont="1" applyFill="1" applyBorder="1" applyAlignment="1">
      <alignment horizontal="center" vertical="center"/>
    </xf>
    <xf numFmtId="0" fontId="20" fillId="0" borderId="93" xfId="0" applyFont="1" applyFill="1" applyBorder="1" applyAlignment="1">
      <alignment horizontal="center" vertical="center"/>
    </xf>
    <xf numFmtId="0" fontId="20" fillId="0" borderId="98" xfId="0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0" fontId="20" fillId="8" borderId="98" xfId="0" applyFont="1" applyFill="1" applyBorder="1" applyAlignment="1">
      <alignment horizontal="center" vertical="center"/>
    </xf>
    <xf numFmtId="0" fontId="20" fillId="8" borderId="96" xfId="0" applyFont="1" applyFill="1" applyBorder="1" applyAlignment="1">
      <alignment horizontal="center" vertical="center"/>
    </xf>
    <xf numFmtId="0" fontId="20" fillId="8" borderId="98" xfId="0" applyFont="1" applyFill="1" applyBorder="1" applyAlignment="1">
      <alignment horizontal="center" vertical="center" wrapText="1"/>
    </xf>
    <xf numFmtId="0" fontId="20" fillId="8" borderId="96" xfId="0" applyFont="1" applyFill="1" applyBorder="1" applyAlignment="1">
      <alignment horizontal="center" vertical="center" wrapText="1"/>
    </xf>
    <xf numFmtId="0" fontId="20" fillId="8" borderId="77" xfId="0" applyFont="1" applyFill="1" applyBorder="1" applyAlignment="1">
      <alignment horizontal="center" vertical="center" wrapText="1"/>
    </xf>
    <xf numFmtId="0" fontId="20" fillId="8" borderId="79" xfId="0" applyFont="1" applyFill="1" applyBorder="1" applyAlignment="1">
      <alignment horizontal="center" vertical="center" wrapText="1"/>
    </xf>
    <xf numFmtId="0" fontId="20" fillId="8" borderId="65" xfId="0" applyFont="1" applyFill="1" applyBorder="1" applyAlignment="1">
      <alignment horizontal="center" vertical="center" wrapText="1"/>
    </xf>
    <xf numFmtId="0" fontId="20" fillId="8" borderId="6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0" fillId="8" borderId="94" xfId="0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20" fillId="8" borderId="62" xfId="0" applyFont="1" applyFill="1" applyBorder="1" applyAlignment="1">
      <alignment horizontal="center" vertical="center"/>
    </xf>
    <xf numFmtId="0" fontId="20" fillId="8" borderId="64" xfId="0" applyFont="1" applyFill="1" applyBorder="1" applyAlignment="1">
      <alignment horizontal="center" vertical="center"/>
    </xf>
    <xf numFmtId="0" fontId="20" fillId="0" borderId="97" xfId="0" applyFont="1" applyBorder="1" applyAlignment="1">
      <alignment horizontal="center" vertical="center"/>
    </xf>
    <xf numFmtId="0" fontId="20" fillId="0" borderId="79" xfId="0" applyFont="1" applyBorder="1" applyAlignment="1">
      <alignment horizontal="center" vertical="center"/>
    </xf>
    <xf numFmtId="0" fontId="20" fillId="8" borderId="88" xfId="0" applyFont="1" applyFill="1" applyBorder="1" applyAlignment="1">
      <alignment horizontal="center" vertical="center"/>
    </xf>
    <xf numFmtId="0" fontId="20" fillId="8" borderId="87" xfId="0" applyFont="1" applyFill="1" applyBorder="1" applyAlignment="1">
      <alignment horizontal="center" vertical="center"/>
    </xf>
    <xf numFmtId="0" fontId="20" fillId="8" borderId="65" xfId="0" applyFont="1" applyFill="1" applyBorder="1" applyAlignment="1">
      <alignment horizontal="center" vertical="center"/>
    </xf>
    <xf numFmtId="0" fontId="20" fillId="8" borderId="67" xfId="0" applyFont="1" applyFill="1" applyBorder="1" applyAlignment="1">
      <alignment horizontal="center" vertical="center"/>
    </xf>
    <xf numFmtId="0" fontId="20" fillId="8" borderId="98" xfId="0" applyFont="1" applyFill="1" applyBorder="1" applyAlignment="1">
      <alignment horizontal="center" vertical="center" textRotation="90"/>
    </xf>
    <xf numFmtId="0" fontId="20" fillId="8" borderId="96" xfId="0" applyFont="1" applyFill="1" applyBorder="1" applyAlignment="1">
      <alignment horizontal="center" vertical="center" textRotation="90"/>
    </xf>
    <xf numFmtId="0" fontId="20" fillId="8" borderId="99" xfId="0" applyFont="1" applyFill="1" applyBorder="1" applyAlignment="1">
      <alignment horizontal="center" vertical="center" textRotation="90"/>
    </xf>
    <xf numFmtId="0" fontId="20" fillId="8" borderId="102" xfId="0" applyFont="1" applyFill="1" applyBorder="1" applyAlignment="1">
      <alignment horizontal="center" vertical="center" textRotation="90"/>
    </xf>
    <xf numFmtId="0" fontId="20" fillId="8" borderId="95" xfId="0" applyFont="1" applyFill="1" applyBorder="1" applyAlignment="1">
      <alignment horizontal="center" vertical="center" textRotation="90"/>
    </xf>
    <xf numFmtId="0" fontId="20" fillId="8" borderId="100" xfId="0" applyFont="1" applyFill="1" applyBorder="1" applyAlignment="1">
      <alignment horizontal="center" vertical="center" textRotation="90"/>
    </xf>
    <xf numFmtId="0" fontId="20" fillId="8" borderId="81" xfId="0" applyFont="1" applyFill="1" applyBorder="1" applyAlignment="1">
      <alignment horizontal="center" vertical="center"/>
    </xf>
  </cellXfs>
  <cellStyles count="2">
    <cellStyle name="Normal" xfId="0" builtinId="0"/>
    <cellStyle name="Normal_ورقة1" xfId="1"/>
  </cellStyles>
  <dxfs count="100"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11907</xdr:colOff>
      <xdr:row>15</xdr:row>
      <xdr:rowOff>23813</xdr:rowOff>
    </xdr:from>
    <xdr:to>
      <xdr:col>9</xdr:col>
      <xdr:colOff>520365</xdr:colOff>
      <xdr:row>17</xdr:row>
      <xdr:rowOff>0</xdr:rowOff>
    </xdr:to>
    <xdr:cxnSp macro="">
      <xdr:nvCxnSpPr>
        <xdr:cNvPr id="10" name="رابط مستقيم 9"/>
        <xdr:cNvCxnSpPr/>
      </xdr:nvCxnSpPr>
      <xdr:spPr>
        <a:xfrm flipH="1">
          <a:off x="9357339698" y="4738688"/>
          <a:ext cx="1032333" cy="4524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15</xdr:row>
      <xdr:rowOff>73025</xdr:rowOff>
    </xdr:from>
    <xdr:to>
      <xdr:col>10</xdr:col>
      <xdr:colOff>15875</xdr:colOff>
      <xdr:row>16</xdr:row>
      <xdr:rowOff>523875</xdr:rowOff>
    </xdr:to>
    <xdr:cxnSp macro="">
      <xdr:nvCxnSpPr>
        <xdr:cNvPr id="6" name="رابط مستقيم 5"/>
        <xdr:cNvCxnSpPr/>
      </xdr:nvCxnSpPr>
      <xdr:spPr>
        <a:xfrm flipH="1">
          <a:off x="9621186625" y="29521150"/>
          <a:ext cx="1365250" cy="10064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142875</xdr:colOff>
      <xdr:row>15</xdr:row>
      <xdr:rowOff>73025</xdr:rowOff>
    </xdr:from>
    <xdr:to>
      <xdr:col>11</xdr:col>
      <xdr:colOff>15875</xdr:colOff>
      <xdr:row>17</xdr:row>
      <xdr:rowOff>15875</xdr:rowOff>
    </xdr:to>
    <xdr:cxnSp macro="">
      <xdr:nvCxnSpPr>
        <xdr:cNvPr id="6" name="رابط مستقيم 5"/>
        <xdr:cNvCxnSpPr/>
      </xdr:nvCxnSpPr>
      <xdr:spPr>
        <a:xfrm flipH="1">
          <a:off x="9623139250" y="28790900"/>
          <a:ext cx="1365250" cy="12446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13</xdr:row>
      <xdr:rowOff>0</xdr:rowOff>
    </xdr:from>
    <xdr:to>
      <xdr:col>2</xdr:col>
      <xdr:colOff>0</xdr:colOff>
      <xdr:row>13</xdr:row>
      <xdr:rowOff>0</xdr:rowOff>
    </xdr:to>
    <xdr:sp macro="" textlink="">
      <xdr:nvSpPr>
        <xdr:cNvPr id="2" name="Rectangle 5"/>
        <xdr:cNvSpPr>
          <a:spLocks noChangeArrowheads="1"/>
        </xdr:cNvSpPr>
      </xdr:nvSpPr>
      <xdr:spPr bwMode="auto">
        <a:xfrm>
          <a:off x="9677895300" y="5715000"/>
          <a:ext cx="114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ar-IQ" sz="1400" b="0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1</xdr:col>
      <xdr:colOff>38100</xdr:colOff>
      <xdr:row>13</xdr:row>
      <xdr:rowOff>0</xdr:rowOff>
    </xdr:from>
    <xdr:to>
      <xdr:col>1</xdr:col>
      <xdr:colOff>771525</xdr:colOff>
      <xdr:row>13</xdr:row>
      <xdr:rowOff>0</xdr:rowOff>
    </xdr:to>
    <xdr:sp macro="" textlink="">
      <xdr:nvSpPr>
        <xdr:cNvPr id="3" name="Rectangle 6"/>
        <xdr:cNvSpPr>
          <a:spLocks noChangeArrowheads="1"/>
        </xdr:cNvSpPr>
      </xdr:nvSpPr>
      <xdr:spPr bwMode="auto">
        <a:xfrm>
          <a:off x="9677895300" y="5715000"/>
          <a:ext cx="55245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7432" rIns="36576" bIns="0" anchor="t" upright="1"/>
        <a:lstStyle/>
        <a:p>
          <a:pPr algn="r" rtl="0">
            <a:defRPr sz="1000"/>
          </a:pPr>
          <a:r>
            <a:rPr lang="ar-IQ" sz="1400" b="0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2</xdr:col>
      <xdr:colOff>279320</xdr:colOff>
      <xdr:row>31</xdr:row>
      <xdr:rowOff>17319</xdr:rowOff>
    </xdr:from>
    <xdr:to>
      <xdr:col>2</xdr:col>
      <xdr:colOff>900546</xdr:colOff>
      <xdr:row>31</xdr:row>
      <xdr:rowOff>658089</xdr:rowOff>
    </xdr:to>
    <xdr:sp macro="" textlink="">
      <xdr:nvSpPr>
        <xdr:cNvPr id="4" name="Rectangle 10"/>
        <xdr:cNvSpPr>
          <a:spLocks noChangeArrowheads="1"/>
        </xdr:cNvSpPr>
      </xdr:nvSpPr>
      <xdr:spPr bwMode="auto">
        <a:xfrm>
          <a:off x="9676994754" y="13276119"/>
          <a:ext cx="621226" cy="640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ctr" upright="1"/>
        <a:lstStyle/>
        <a:p>
          <a:pPr algn="ctr" rtl="0">
            <a:defRPr sz="1000"/>
          </a:pPr>
          <a:r>
            <a:rPr lang="ar-IQ" sz="1600" b="1" i="0" strike="noStrike">
              <a:solidFill>
                <a:srgbClr val="000000"/>
              </a:solidFill>
              <a:latin typeface="Arial"/>
              <a:cs typeface="Arial"/>
            </a:rPr>
            <a:t>الصف</a:t>
          </a:r>
        </a:p>
      </xdr:txBody>
    </xdr:sp>
    <xdr:clientData/>
  </xdr:twoCellAnchor>
  <xdr:twoCellAnchor>
    <xdr:from>
      <xdr:col>2</xdr:col>
      <xdr:colOff>69273</xdr:colOff>
      <xdr:row>32</xdr:row>
      <xdr:rowOff>45889</xdr:rowOff>
    </xdr:from>
    <xdr:to>
      <xdr:col>2</xdr:col>
      <xdr:colOff>802697</xdr:colOff>
      <xdr:row>33</xdr:row>
      <xdr:rowOff>34633</xdr:rowOff>
    </xdr:to>
    <xdr:sp macro="" textlink="">
      <xdr:nvSpPr>
        <xdr:cNvPr id="5" name="Rectangle 11"/>
        <xdr:cNvSpPr>
          <a:spLocks noChangeArrowheads="1"/>
        </xdr:cNvSpPr>
      </xdr:nvSpPr>
      <xdr:spPr bwMode="auto">
        <a:xfrm>
          <a:off x="9677092603" y="13961914"/>
          <a:ext cx="733424" cy="4078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32004" rIns="36576" bIns="0" anchor="ctr" upright="1"/>
        <a:lstStyle/>
        <a:p>
          <a:pPr algn="ctr" rtl="0">
            <a:defRPr sz="1000"/>
          </a:pPr>
          <a:r>
            <a:rPr lang="ar-IQ" sz="1400" b="1" i="0" strike="noStrike">
              <a:solidFill>
                <a:srgbClr val="000000"/>
              </a:solidFill>
              <a:latin typeface="Arial"/>
              <a:cs typeface="Arial"/>
            </a:rPr>
            <a:t>الجنس</a:t>
          </a:r>
        </a:p>
      </xdr:txBody>
    </xdr:sp>
    <xdr:clientData/>
  </xdr:twoCellAnchor>
  <xdr:twoCellAnchor>
    <xdr:from>
      <xdr:col>6</xdr:col>
      <xdr:colOff>38100</xdr:colOff>
      <xdr:row>54</xdr:row>
      <xdr:rowOff>19050</xdr:rowOff>
    </xdr:from>
    <xdr:to>
      <xdr:col>8</xdr:col>
      <xdr:colOff>0</xdr:colOff>
      <xdr:row>56</xdr:row>
      <xdr:rowOff>0</xdr:rowOff>
    </xdr:to>
    <xdr:cxnSp macro="">
      <xdr:nvCxnSpPr>
        <xdr:cNvPr id="6" name="رابط مستقيم 5"/>
        <xdr:cNvCxnSpPr/>
      </xdr:nvCxnSpPr>
      <xdr:spPr>
        <a:xfrm flipH="1">
          <a:off x="9673304250" y="26365200"/>
          <a:ext cx="1485900" cy="971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79376</xdr:colOff>
      <xdr:row>73</xdr:row>
      <xdr:rowOff>63500</xdr:rowOff>
    </xdr:from>
    <xdr:to>
      <xdr:col>9</xdr:col>
      <xdr:colOff>968376</xdr:colOff>
      <xdr:row>75</xdr:row>
      <xdr:rowOff>523875</xdr:rowOff>
    </xdr:to>
    <xdr:sp macro="" textlink="">
      <xdr:nvSpPr>
        <xdr:cNvPr id="7" name="Line 6"/>
        <xdr:cNvSpPr>
          <a:spLocks noChangeShapeType="1"/>
        </xdr:cNvSpPr>
      </xdr:nvSpPr>
      <xdr:spPr bwMode="auto">
        <a:xfrm flipH="1">
          <a:off x="9671735799" y="30743525"/>
          <a:ext cx="1384300" cy="1193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19050</xdr:colOff>
      <xdr:row>112</xdr:row>
      <xdr:rowOff>28575</xdr:rowOff>
    </xdr:from>
    <xdr:to>
      <xdr:col>3</xdr:col>
      <xdr:colOff>9525</xdr:colOff>
      <xdr:row>113</xdr:row>
      <xdr:rowOff>9525</xdr:rowOff>
    </xdr:to>
    <xdr:sp macro="" textlink="">
      <xdr:nvSpPr>
        <xdr:cNvPr id="14" name="Line 1"/>
        <xdr:cNvSpPr>
          <a:spLocks noChangeShapeType="1"/>
        </xdr:cNvSpPr>
      </xdr:nvSpPr>
      <xdr:spPr bwMode="auto">
        <a:xfrm flipH="1">
          <a:off x="9676799925" y="58912125"/>
          <a:ext cx="895350" cy="1343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29292</xdr:colOff>
      <xdr:row>112</xdr:row>
      <xdr:rowOff>28575</xdr:rowOff>
    </xdr:from>
    <xdr:to>
      <xdr:col>3</xdr:col>
      <xdr:colOff>19767</xdr:colOff>
      <xdr:row>113</xdr:row>
      <xdr:rowOff>9525</xdr:rowOff>
    </xdr:to>
    <xdr:sp macro="" textlink="">
      <xdr:nvSpPr>
        <xdr:cNvPr id="15" name="Line 3"/>
        <xdr:cNvSpPr>
          <a:spLocks noChangeShapeType="1"/>
        </xdr:cNvSpPr>
      </xdr:nvSpPr>
      <xdr:spPr bwMode="auto">
        <a:xfrm flipH="1">
          <a:off x="9676789683" y="58912125"/>
          <a:ext cx="895350" cy="13430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841375</xdr:colOff>
      <xdr:row>111</xdr:row>
      <xdr:rowOff>225139</xdr:rowOff>
    </xdr:from>
    <xdr:to>
      <xdr:col>3</xdr:col>
      <xdr:colOff>190500</xdr:colOff>
      <xdr:row>112</xdr:row>
      <xdr:rowOff>588821</xdr:rowOff>
    </xdr:to>
    <xdr:sp macro="" textlink="">
      <xdr:nvSpPr>
        <xdr:cNvPr id="16" name="مربع نص 15"/>
        <xdr:cNvSpPr txBox="1"/>
      </xdr:nvSpPr>
      <xdr:spPr>
        <a:xfrm>
          <a:off x="9676618950" y="58584814"/>
          <a:ext cx="1177925" cy="8875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IQ" sz="1200" b="1"/>
            <a:t>الاختصاص</a:t>
          </a:r>
        </a:p>
      </xdr:txBody>
    </xdr:sp>
    <xdr:clientData/>
  </xdr:twoCellAnchor>
  <xdr:twoCellAnchor>
    <xdr:from>
      <xdr:col>2</xdr:col>
      <xdr:colOff>19050</xdr:colOff>
      <xdr:row>119</xdr:row>
      <xdr:rowOff>28575</xdr:rowOff>
    </xdr:from>
    <xdr:to>
      <xdr:col>3</xdr:col>
      <xdr:colOff>9525</xdr:colOff>
      <xdr:row>120</xdr:row>
      <xdr:rowOff>9525</xdr:rowOff>
    </xdr:to>
    <xdr:sp macro="" textlink="">
      <xdr:nvSpPr>
        <xdr:cNvPr id="17" name="Line 1"/>
        <xdr:cNvSpPr>
          <a:spLocks noChangeShapeType="1"/>
        </xdr:cNvSpPr>
      </xdr:nvSpPr>
      <xdr:spPr bwMode="auto">
        <a:xfrm flipH="1">
          <a:off x="9675294975" y="63417450"/>
          <a:ext cx="742950" cy="1333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29292</xdr:colOff>
      <xdr:row>119</xdr:row>
      <xdr:rowOff>28575</xdr:rowOff>
    </xdr:from>
    <xdr:to>
      <xdr:col>3</xdr:col>
      <xdr:colOff>19767</xdr:colOff>
      <xdr:row>120</xdr:row>
      <xdr:rowOff>9525</xdr:rowOff>
    </xdr:to>
    <xdr:sp macro="" textlink="">
      <xdr:nvSpPr>
        <xdr:cNvPr id="18" name="Line 3"/>
        <xdr:cNvSpPr>
          <a:spLocks noChangeShapeType="1"/>
        </xdr:cNvSpPr>
      </xdr:nvSpPr>
      <xdr:spPr bwMode="auto">
        <a:xfrm flipH="1">
          <a:off x="9675284733" y="63417450"/>
          <a:ext cx="742950" cy="1333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</xdr:col>
      <xdr:colOff>104671</xdr:colOff>
      <xdr:row>119</xdr:row>
      <xdr:rowOff>62801</xdr:rowOff>
    </xdr:from>
    <xdr:to>
      <xdr:col>3</xdr:col>
      <xdr:colOff>136072</xdr:colOff>
      <xdr:row>119</xdr:row>
      <xdr:rowOff>588820</xdr:rowOff>
    </xdr:to>
    <xdr:sp macro="" textlink="">
      <xdr:nvSpPr>
        <xdr:cNvPr id="19" name="مربع نص 18"/>
        <xdr:cNvSpPr txBox="1"/>
      </xdr:nvSpPr>
      <xdr:spPr>
        <a:xfrm>
          <a:off x="9675168428" y="63451676"/>
          <a:ext cx="783876" cy="5260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 rtl="1"/>
          <a:r>
            <a:rPr lang="ar-IQ" sz="1100" b="1"/>
            <a:t>الاختصاص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O47"/>
  <sheetViews>
    <sheetView rightToLeft="1" tabSelected="1" zoomScale="85" zoomScaleNormal="85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D12" sqref="D12"/>
    </sheetView>
  </sheetViews>
  <sheetFormatPr defaultColWidth="7.125" defaultRowHeight="21" customHeight="1" x14ac:dyDescent="0.25"/>
  <cols>
    <col min="1" max="1" width="7.125" style="21" customWidth="1"/>
    <col min="2" max="2" width="7.875" style="21" bestFit="1" customWidth="1"/>
    <col min="3" max="3" width="5.125" style="21" customWidth="1"/>
    <col min="4" max="4" width="13.375" style="21" bestFit="1" customWidth="1"/>
    <col min="5" max="5" width="25.75" style="21" customWidth="1"/>
    <col min="6" max="17" width="7.125" style="21"/>
    <col min="18" max="18" width="7" style="21" customWidth="1"/>
    <col min="19" max="19" width="6.375" style="21" customWidth="1"/>
    <col min="20" max="20" width="6.5" style="21" customWidth="1"/>
    <col min="21" max="21" width="10.25" style="21" customWidth="1"/>
    <col min="22" max="251" width="7.125" style="21"/>
    <col min="252" max="275" width="7.125" style="119"/>
    <col min="276" max="301" width="7.125" style="21"/>
    <col min="302" max="302" width="9.375" style="21" customWidth="1"/>
    <col min="303" max="303" width="9" style="21" customWidth="1"/>
    <col min="304" max="327" width="7.125" style="21"/>
    <col min="328" max="328" width="5.125" style="21" customWidth="1"/>
    <col min="329" max="329" width="6.875" style="21" customWidth="1"/>
    <col min="330" max="330" width="7.125" style="21"/>
    <col min="331" max="331" width="7" style="21" customWidth="1"/>
    <col min="332" max="332" width="7.5" style="21" customWidth="1"/>
    <col min="333" max="334" width="7.125" style="21"/>
    <col min="335" max="335" width="8.375" style="21" customWidth="1"/>
    <col min="336" max="336" width="10.375" style="21" bestFit="1" customWidth="1"/>
    <col min="337" max="337" width="9.375" style="21" customWidth="1"/>
    <col min="338" max="16384" width="7.125" style="21"/>
  </cols>
  <sheetData>
    <row r="1" spans="1:353" s="58" customFormat="1" ht="18.75" thickBot="1" x14ac:dyDescent="0.25">
      <c r="A1" s="282" t="s">
        <v>0</v>
      </c>
      <c r="B1" s="283"/>
      <c r="C1" s="283"/>
      <c r="D1" s="283"/>
      <c r="E1" s="284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9" t="s">
        <v>1</v>
      </c>
      <c r="W1" s="290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7"/>
      <c r="AO1" s="55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7"/>
      <c r="BD1" s="55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7"/>
      <c r="BS1" s="55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7"/>
      <c r="CF1" s="55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7"/>
      <c r="CS1" s="55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7"/>
      <c r="DF1" s="55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7"/>
      <c r="DS1" s="55"/>
      <c r="DT1" s="56"/>
      <c r="DU1" s="57"/>
      <c r="DV1" s="55"/>
      <c r="DW1" s="56"/>
      <c r="DX1" s="56"/>
      <c r="DY1" s="56"/>
      <c r="DZ1" s="56"/>
      <c r="EA1" s="56"/>
      <c r="EB1" s="56"/>
      <c r="EC1" s="56"/>
      <c r="ED1" s="56"/>
      <c r="EE1" s="56"/>
      <c r="EF1" s="56"/>
      <c r="EG1" s="56"/>
      <c r="EH1" s="56"/>
      <c r="EI1" s="56"/>
      <c r="EJ1" s="56"/>
      <c r="EK1" s="56"/>
      <c r="EL1" s="56"/>
      <c r="EM1" s="56"/>
      <c r="EN1" s="56"/>
      <c r="EO1" s="56"/>
      <c r="EP1" s="56"/>
      <c r="EQ1" s="56"/>
      <c r="ER1" s="56"/>
      <c r="ES1" s="56"/>
      <c r="ET1" s="56"/>
      <c r="EU1" s="56"/>
      <c r="EV1" s="56"/>
      <c r="EW1" s="56"/>
      <c r="EX1" s="56"/>
      <c r="EY1" s="57"/>
      <c r="EZ1" s="55"/>
      <c r="FA1" s="56"/>
      <c r="FB1" s="56"/>
      <c r="FC1" s="56"/>
      <c r="FD1" s="56"/>
      <c r="FE1" s="56"/>
      <c r="FF1" s="56"/>
      <c r="FG1" s="56"/>
      <c r="FH1" s="56"/>
      <c r="FI1" s="56"/>
      <c r="FJ1" s="56"/>
      <c r="FK1" s="56"/>
      <c r="FL1" s="56"/>
      <c r="FM1" s="56"/>
      <c r="FN1" s="57"/>
      <c r="FO1" s="55"/>
      <c r="FP1" s="56"/>
      <c r="FQ1" s="56"/>
      <c r="FR1" s="56"/>
      <c r="FS1" s="56"/>
      <c r="FT1" s="56"/>
      <c r="FU1" s="56"/>
      <c r="FV1" s="56"/>
      <c r="FW1" s="56"/>
      <c r="FX1" s="56"/>
      <c r="FY1" s="56"/>
      <c r="FZ1" s="56"/>
      <c r="GA1" s="56"/>
      <c r="GB1" s="56"/>
      <c r="GC1" s="57"/>
      <c r="GD1" s="55"/>
      <c r="GE1" s="56"/>
      <c r="GF1" s="56"/>
      <c r="GG1" s="56"/>
      <c r="GH1" s="56"/>
      <c r="GI1" s="56"/>
      <c r="GJ1" s="56"/>
      <c r="GK1" s="56"/>
      <c r="GL1" s="56"/>
      <c r="GM1" s="56"/>
      <c r="GN1" s="56"/>
      <c r="GO1" s="56"/>
      <c r="GP1" s="56"/>
      <c r="GQ1" s="56"/>
      <c r="GR1" s="56"/>
      <c r="GS1" s="56"/>
      <c r="GT1" s="56"/>
      <c r="GU1" s="56"/>
      <c r="GV1" s="56"/>
      <c r="GW1" s="56"/>
      <c r="GX1" s="56"/>
      <c r="GY1" s="57"/>
      <c r="GZ1" s="55"/>
      <c r="HA1" s="56"/>
      <c r="HB1" s="56"/>
      <c r="HC1" s="56"/>
      <c r="HD1" s="56"/>
      <c r="HE1" s="56"/>
      <c r="HF1" s="56"/>
      <c r="HG1" s="56"/>
      <c r="HH1" s="56"/>
      <c r="HI1" s="56"/>
      <c r="HJ1" s="57"/>
      <c r="HK1" s="57"/>
      <c r="HL1" s="57"/>
      <c r="HM1" s="57"/>
      <c r="HN1" s="56"/>
      <c r="HO1" s="56"/>
      <c r="HP1" s="56"/>
      <c r="HQ1" s="56"/>
      <c r="HR1" s="56"/>
      <c r="HS1" s="56"/>
      <c r="HT1" s="56"/>
      <c r="HU1" s="56"/>
      <c r="HV1" s="56"/>
      <c r="HW1" s="56"/>
      <c r="HX1" s="56"/>
      <c r="HY1" s="56"/>
      <c r="HZ1" s="56"/>
      <c r="IA1" s="56"/>
      <c r="IB1" s="56"/>
      <c r="IC1" s="56"/>
      <c r="ID1" s="56"/>
      <c r="IE1" s="56"/>
      <c r="IF1" s="56"/>
      <c r="IG1" s="57"/>
      <c r="IH1" s="55"/>
      <c r="II1" s="56"/>
      <c r="IJ1" s="55"/>
      <c r="IK1" s="56"/>
      <c r="IL1" s="56"/>
      <c r="IM1" s="56"/>
      <c r="IN1" s="56"/>
      <c r="IO1" s="56"/>
      <c r="IP1" s="56"/>
      <c r="IQ1" s="56"/>
      <c r="IR1" s="273" t="s">
        <v>298</v>
      </c>
      <c r="IS1" s="274"/>
      <c r="IT1" s="274"/>
      <c r="IU1" s="274"/>
      <c r="IV1" s="274"/>
      <c r="IW1" s="274"/>
      <c r="IX1" s="274"/>
      <c r="IY1" s="274"/>
      <c r="IZ1" s="274"/>
      <c r="JA1" s="274"/>
      <c r="JB1" s="274"/>
      <c r="JC1" s="274"/>
      <c r="JD1" s="274"/>
      <c r="JE1" s="274"/>
      <c r="JF1" s="274"/>
      <c r="JG1" s="274"/>
      <c r="JH1" s="274"/>
      <c r="JI1" s="274"/>
      <c r="JJ1" s="274"/>
      <c r="JK1" s="274"/>
      <c r="JL1" s="274"/>
      <c r="JM1" s="274"/>
      <c r="JN1" s="274"/>
      <c r="JO1" s="275"/>
      <c r="JP1" s="258" t="s">
        <v>167</v>
      </c>
      <c r="JQ1" s="259"/>
      <c r="JR1" s="259"/>
      <c r="JS1" s="259"/>
      <c r="JT1" s="259"/>
      <c r="JU1" s="259"/>
      <c r="JV1" s="259"/>
      <c r="JW1" s="259"/>
      <c r="JX1" s="259"/>
      <c r="JY1" s="259"/>
      <c r="JZ1" s="259"/>
      <c r="KA1" s="259"/>
      <c r="KB1" s="260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88"/>
      <c r="MA1" s="188"/>
      <c r="MB1" s="188"/>
      <c r="MC1" s="188"/>
      <c r="MD1" s="188"/>
      <c r="ME1" s="188"/>
      <c r="MF1" s="188"/>
      <c r="MG1" s="188"/>
      <c r="MH1" s="188"/>
      <c r="MI1" s="188"/>
      <c r="MJ1" s="188"/>
      <c r="MK1" s="188"/>
      <c r="ML1" s="188"/>
      <c r="MM1" s="188"/>
      <c r="MN1" s="188"/>
      <c r="MO1" s="188"/>
    </row>
    <row r="2" spans="1:353" s="58" customFormat="1" ht="18.75" thickBot="1" x14ac:dyDescent="0.3">
      <c r="A2" s="285"/>
      <c r="B2" s="286"/>
      <c r="C2" s="286"/>
      <c r="D2" s="286"/>
      <c r="E2" s="287"/>
      <c r="F2" s="295" t="s">
        <v>2</v>
      </c>
      <c r="G2" s="296"/>
      <c r="H2" s="301" t="s">
        <v>3</v>
      </c>
      <c r="I2" s="301"/>
      <c r="J2" s="296"/>
      <c r="K2" s="295" t="s">
        <v>4</v>
      </c>
      <c r="L2" s="296"/>
      <c r="M2" s="295" t="s">
        <v>5</v>
      </c>
      <c r="N2" s="301"/>
      <c r="O2" s="301"/>
      <c r="P2" s="295" t="s">
        <v>6</v>
      </c>
      <c r="Q2" s="296"/>
      <c r="R2" s="295" t="s">
        <v>7</v>
      </c>
      <c r="S2" s="301"/>
      <c r="T2" s="301"/>
      <c r="U2" s="301"/>
      <c r="V2" s="291"/>
      <c r="W2" s="292"/>
      <c r="X2" s="279" t="s">
        <v>122</v>
      </c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1"/>
      <c r="AM2" s="309" t="s">
        <v>129</v>
      </c>
      <c r="AN2" s="310"/>
      <c r="AO2" s="310"/>
      <c r="AP2" s="310"/>
      <c r="AQ2" s="310"/>
      <c r="AR2" s="310"/>
      <c r="AS2" s="310"/>
      <c r="AT2" s="310"/>
      <c r="AU2" s="310"/>
      <c r="AV2" s="310"/>
      <c r="AW2" s="310"/>
      <c r="AX2" s="310"/>
      <c r="AY2" s="311"/>
      <c r="AZ2" s="309" t="s">
        <v>135</v>
      </c>
      <c r="BA2" s="310"/>
      <c r="BB2" s="310"/>
      <c r="BC2" s="310"/>
      <c r="BD2" s="310"/>
      <c r="BE2" s="310"/>
      <c r="BF2" s="310"/>
      <c r="BG2" s="310"/>
      <c r="BH2" s="310"/>
      <c r="BI2" s="310"/>
      <c r="BJ2" s="310"/>
      <c r="BK2" s="310"/>
      <c r="BL2" s="310"/>
      <c r="BM2" s="310"/>
      <c r="BN2" s="347"/>
      <c r="BO2" s="337" t="s">
        <v>136</v>
      </c>
      <c r="BP2" s="310"/>
      <c r="BQ2" s="310"/>
      <c r="BR2" s="310"/>
      <c r="BS2" s="310"/>
      <c r="BT2" s="310"/>
      <c r="BU2" s="310"/>
      <c r="BV2" s="310"/>
      <c r="BW2" s="310"/>
      <c r="BX2" s="310"/>
      <c r="BY2" s="310"/>
      <c r="BZ2" s="310"/>
      <c r="CA2" s="347"/>
      <c r="CB2" s="337" t="s">
        <v>138</v>
      </c>
      <c r="CC2" s="310"/>
      <c r="CD2" s="310"/>
      <c r="CE2" s="310"/>
      <c r="CF2" s="310"/>
      <c r="CG2" s="310"/>
      <c r="CH2" s="310"/>
      <c r="CI2" s="310"/>
      <c r="CJ2" s="310"/>
      <c r="CK2" s="310"/>
      <c r="CL2" s="310"/>
      <c r="CM2" s="310"/>
      <c r="CN2" s="347"/>
      <c r="CO2" s="349" t="s">
        <v>139</v>
      </c>
      <c r="CP2" s="244"/>
      <c r="CQ2" s="244"/>
      <c r="CR2" s="244"/>
      <c r="CS2" s="244"/>
      <c r="CT2" s="244"/>
      <c r="CU2" s="244"/>
      <c r="CV2" s="244"/>
      <c r="CW2" s="244"/>
      <c r="CX2" s="244"/>
      <c r="CY2" s="244"/>
      <c r="CZ2" s="244"/>
      <c r="DA2" s="350"/>
      <c r="DB2" s="349" t="s">
        <v>140</v>
      </c>
      <c r="DC2" s="244"/>
      <c r="DD2" s="244"/>
      <c r="DE2" s="244"/>
      <c r="DF2" s="244"/>
      <c r="DG2" s="244"/>
      <c r="DH2" s="244"/>
      <c r="DI2" s="244"/>
      <c r="DJ2" s="244"/>
      <c r="DK2" s="244"/>
      <c r="DL2" s="244"/>
      <c r="DM2" s="244"/>
      <c r="DN2" s="245"/>
      <c r="DO2" s="243" t="s">
        <v>141</v>
      </c>
      <c r="DP2" s="244"/>
      <c r="DQ2" s="244"/>
      <c r="DR2" s="244"/>
      <c r="DS2" s="244"/>
      <c r="DT2" s="244"/>
      <c r="DU2" s="244"/>
      <c r="DV2" s="244"/>
      <c r="DW2" s="244"/>
      <c r="DX2" s="244"/>
      <c r="DY2" s="244"/>
      <c r="DZ2" s="244"/>
      <c r="EA2" s="245"/>
      <c r="EB2" s="243" t="s">
        <v>142</v>
      </c>
      <c r="EC2" s="244"/>
      <c r="ED2" s="244"/>
      <c r="EE2" s="244"/>
      <c r="EF2" s="244"/>
      <c r="EG2" s="244"/>
      <c r="EH2" s="244"/>
      <c r="EI2" s="244"/>
      <c r="EJ2" s="244"/>
      <c r="EK2" s="244"/>
      <c r="EL2" s="244"/>
      <c r="EM2" s="244"/>
      <c r="EN2" s="244"/>
      <c r="EO2" s="244"/>
      <c r="EP2" s="244"/>
      <c r="EQ2" s="244"/>
      <c r="ER2" s="244"/>
      <c r="ES2" s="244"/>
      <c r="ET2" s="244"/>
      <c r="EU2" s="244"/>
      <c r="EV2" s="244"/>
      <c r="EW2" s="244"/>
      <c r="EX2" s="244"/>
      <c r="EY2" s="244"/>
      <c r="EZ2" s="244"/>
      <c r="FA2" s="256" t="s">
        <v>143</v>
      </c>
      <c r="FB2" s="244"/>
      <c r="FC2" s="244"/>
      <c r="FD2" s="244"/>
      <c r="FE2" s="244"/>
      <c r="FF2" s="244"/>
      <c r="FG2" s="244"/>
      <c r="FH2" s="244"/>
      <c r="FI2" s="244"/>
      <c r="FJ2" s="244"/>
      <c r="FK2" s="244"/>
      <c r="FL2" s="244"/>
      <c r="FM2" s="245"/>
      <c r="FN2" s="243" t="s">
        <v>144</v>
      </c>
      <c r="FO2" s="244"/>
      <c r="FP2" s="244"/>
      <c r="FQ2" s="244"/>
      <c r="FR2" s="244"/>
      <c r="FS2" s="244"/>
      <c r="FT2" s="244"/>
      <c r="FU2" s="244"/>
      <c r="FV2" s="244"/>
      <c r="FW2" s="244"/>
      <c r="FX2" s="244"/>
      <c r="FY2" s="244"/>
      <c r="FZ2" s="245"/>
      <c r="GA2" s="243" t="s">
        <v>145</v>
      </c>
      <c r="GB2" s="244"/>
      <c r="GC2" s="244"/>
      <c r="GD2" s="244"/>
      <c r="GE2" s="244"/>
      <c r="GF2" s="244"/>
      <c r="GG2" s="244"/>
      <c r="GH2" s="244"/>
      <c r="GI2" s="244"/>
      <c r="GJ2" s="244"/>
      <c r="GK2" s="244"/>
      <c r="GL2" s="244"/>
      <c r="GM2" s="245"/>
      <c r="GN2" s="243" t="s">
        <v>146</v>
      </c>
      <c r="GO2" s="244"/>
      <c r="GP2" s="244"/>
      <c r="GQ2" s="244"/>
      <c r="GR2" s="244"/>
      <c r="GS2" s="244"/>
      <c r="GT2" s="244"/>
      <c r="GU2" s="244"/>
      <c r="GV2" s="244"/>
      <c r="GW2" s="244"/>
      <c r="GX2" s="244"/>
      <c r="GY2" s="244"/>
      <c r="GZ2" s="244"/>
      <c r="HA2" s="244"/>
      <c r="HB2" s="244"/>
      <c r="HC2" s="244"/>
      <c r="HD2" s="245"/>
      <c r="HE2" s="249" t="s">
        <v>8</v>
      </c>
      <c r="HF2" s="250"/>
      <c r="HG2" s="250"/>
      <c r="HH2" s="250"/>
      <c r="HI2" s="250"/>
      <c r="HJ2" s="250"/>
      <c r="HK2" s="250"/>
      <c r="HL2" s="250"/>
      <c r="HM2" s="250"/>
      <c r="HN2" s="250"/>
      <c r="HO2" s="250"/>
      <c r="HP2" s="250"/>
      <c r="HQ2" s="250"/>
      <c r="HR2" s="250"/>
      <c r="HS2" s="250"/>
      <c r="HT2" s="250"/>
      <c r="HU2" s="250"/>
      <c r="HV2" s="250"/>
      <c r="HW2" s="250"/>
      <c r="HX2" s="250"/>
      <c r="HY2" s="250"/>
      <c r="HZ2" s="250"/>
      <c r="IA2" s="250"/>
      <c r="IB2" s="250"/>
      <c r="IC2" s="250"/>
      <c r="ID2" s="250"/>
      <c r="IE2" s="250"/>
      <c r="IF2" s="250"/>
      <c r="IG2" s="250"/>
      <c r="IH2" s="250"/>
      <c r="II2" s="250"/>
      <c r="IJ2" s="250"/>
      <c r="IK2" s="250"/>
      <c r="IL2" s="250"/>
      <c r="IM2" s="250"/>
      <c r="IN2" s="250"/>
      <c r="IO2" s="250"/>
      <c r="IP2" s="250"/>
      <c r="IQ2" s="251"/>
      <c r="IR2" s="276"/>
      <c r="IS2" s="277"/>
      <c r="IT2" s="277"/>
      <c r="IU2" s="277"/>
      <c r="IV2" s="277"/>
      <c r="IW2" s="277"/>
      <c r="IX2" s="277"/>
      <c r="IY2" s="277"/>
      <c r="IZ2" s="277"/>
      <c r="JA2" s="277"/>
      <c r="JB2" s="277"/>
      <c r="JC2" s="277"/>
      <c r="JD2" s="277"/>
      <c r="JE2" s="277"/>
      <c r="JF2" s="277"/>
      <c r="JG2" s="277"/>
      <c r="JH2" s="277"/>
      <c r="JI2" s="277"/>
      <c r="JJ2" s="277"/>
      <c r="JK2" s="277"/>
      <c r="JL2" s="277"/>
      <c r="JM2" s="277"/>
      <c r="JN2" s="277"/>
      <c r="JO2" s="278"/>
      <c r="JP2" s="261"/>
      <c r="JQ2" s="262"/>
      <c r="JR2" s="262"/>
      <c r="JS2" s="262"/>
      <c r="JT2" s="262"/>
      <c r="JU2" s="262"/>
      <c r="JV2" s="262"/>
      <c r="JW2" s="262"/>
      <c r="JX2" s="262"/>
      <c r="JY2" s="262"/>
      <c r="JZ2" s="262"/>
      <c r="KA2" s="262"/>
      <c r="KB2" s="263"/>
      <c r="KC2" s="318" t="s">
        <v>9</v>
      </c>
      <c r="KD2" s="319"/>
      <c r="KE2" s="319"/>
      <c r="KF2" s="319"/>
      <c r="KG2" s="319"/>
      <c r="KH2" s="319"/>
      <c r="KI2" s="319"/>
      <c r="KJ2" s="319"/>
      <c r="KK2" s="319"/>
      <c r="KL2" s="319"/>
      <c r="KM2" s="319"/>
      <c r="KN2" s="319"/>
      <c r="KO2" s="319"/>
      <c r="KP2" s="319"/>
      <c r="KQ2" s="319"/>
      <c r="KR2" s="319"/>
      <c r="KS2" s="319"/>
      <c r="KT2" s="319"/>
      <c r="KU2" s="319"/>
      <c r="KV2" s="319"/>
      <c r="KW2" s="319"/>
      <c r="KX2" s="319"/>
      <c r="KY2" s="319"/>
      <c r="KZ2" s="319"/>
      <c r="LA2" s="319"/>
      <c r="LB2" s="319"/>
      <c r="LC2" s="319"/>
      <c r="LD2" s="320"/>
      <c r="LE2" s="336"/>
      <c r="LF2" s="336"/>
      <c r="LG2" s="336"/>
      <c r="LH2" s="336"/>
      <c r="LI2" s="336"/>
      <c r="LJ2" s="336"/>
      <c r="LK2" s="336"/>
      <c r="LL2" s="336"/>
      <c r="LM2" s="318" t="s">
        <v>10</v>
      </c>
      <c r="LN2" s="319"/>
      <c r="LO2" s="319"/>
      <c r="LP2" s="319"/>
      <c r="LQ2" s="319"/>
      <c r="LR2" s="319"/>
      <c r="LS2" s="319"/>
      <c r="LT2" s="319"/>
      <c r="LU2" s="319"/>
      <c r="LV2" s="319"/>
      <c r="LW2" s="319"/>
      <c r="LX2" s="319"/>
      <c r="LY2" s="320"/>
      <c r="LZ2" s="321" t="s">
        <v>11</v>
      </c>
      <c r="MA2" s="322"/>
      <c r="MB2" s="322"/>
      <c r="MC2" s="322"/>
      <c r="MD2" s="322"/>
      <c r="ME2" s="322"/>
      <c r="MF2" s="322"/>
      <c r="MG2" s="322"/>
      <c r="MH2" s="322"/>
      <c r="MI2" s="322"/>
      <c r="MJ2" s="322"/>
      <c r="MK2" s="322"/>
      <c r="ML2" s="322"/>
      <c r="MM2" s="322"/>
      <c r="MN2" s="322"/>
      <c r="MO2" s="323"/>
    </row>
    <row r="3" spans="1:353" s="230" customFormat="1" ht="19.5" thickBot="1" x14ac:dyDescent="0.25">
      <c r="A3" s="303" t="s">
        <v>119</v>
      </c>
      <c r="B3" s="304"/>
      <c r="C3" s="304"/>
      <c r="D3" s="304"/>
      <c r="E3" s="305"/>
      <c r="F3" s="297"/>
      <c r="G3" s="298"/>
      <c r="H3" s="302"/>
      <c r="I3" s="302"/>
      <c r="J3" s="298"/>
      <c r="K3" s="297"/>
      <c r="L3" s="298"/>
      <c r="M3" s="297"/>
      <c r="N3" s="302"/>
      <c r="O3" s="302"/>
      <c r="P3" s="297"/>
      <c r="Q3" s="298"/>
      <c r="R3" s="297"/>
      <c r="S3" s="302"/>
      <c r="T3" s="302"/>
      <c r="U3" s="302"/>
      <c r="V3" s="291"/>
      <c r="W3" s="292"/>
      <c r="X3" s="279"/>
      <c r="Y3" s="280"/>
      <c r="Z3" s="280"/>
      <c r="AA3" s="280"/>
      <c r="AB3" s="280"/>
      <c r="AC3" s="280"/>
      <c r="AD3" s="280"/>
      <c r="AE3" s="280"/>
      <c r="AF3" s="280"/>
      <c r="AG3" s="280"/>
      <c r="AH3" s="280"/>
      <c r="AI3" s="280"/>
      <c r="AJ3" s="280"/>
      <c r="AK3" s="280"/>
      <c r="AL3" s="281"/>
      <c r="AM3" s="312"/>
      <c r="AN3" s="313"/>
      <c r="AO3" s="313"/>
      <c r="AP3" s="313"/>
      <c r="AQ3" s="313"/>
      <c r="AR3" s="313"/>
      <c r="AS3" s="313"/>
      <c r="AT3" s="313"/>
      <c r="AU3" s="313"/>
      <c r="AV3" s="313"/>
      <c r="AW3" s="313"/>
      <c r="AX3" s="313"/>
      <c r="AY3" s="314"/>
      <c r="AZ3" s="312"/>
      <c r="BA3" s="313"/>
      <c r="BB3" s="313"/>
      <c r="BC3" s="313"/>
      <c r="BD3" s="313"/>
      <c r="BE3" s="313"/>
      <c r="BF3" s="313"/>
      <c r="BG3" s="313"/>
      <c r="BH3" s="313"/>
      <c r="BI3" s="313"/>
      <c r="BJ3" s="313"/>
      <c r="BK3" s="313"/>
      <c r="BL3" s="313"/>
      <c r="BM3" s="313"/>
      <c r="BN3" s="348"/>
      <c r="BO3" s="338"/>
      <c r="BP3" s="313"/>
      <c r="BQ3" s="313"/>
      <c r="BR3" s="313"/>
      <c r="BS3" s="313"/>
      <c r="BT3" s="313"/>
      <c r="BU3" s="313"/>
      <c r="BV3" s="313"/>
      <c r="BW3" s="313"/>
      <c r="BX3" s="313"/>
      <c r="BY3" s="313"/>
      <c r="BZ3" s="313"/>
      <c r="CA3" s="348"/>
      <c r="CB3" s="338"/>
      <c r="CC3" s="313"/>
      <c r="CD3" s="313"/>
      <c r="CE3" s="313"/>
      <c r="CF3" s="313"/>
      <c r="CG3" s="313"/>
      <c r="CH3" s="313"/>
      <c r="CI3" s="313"/>
      <c r="CJ3" s="313"/>
      <c r="CK3" s="313"/>
      <c r="CL3" s="313"/>
      <c r="CM3" s="313"/>
      <c r="CN3" s="348"/>
      <c r="CO3" s="338"/>
      <c r="CP3" s="313"/>
      <c r="CQ3" s="313"/>
      <c r="CR3" s="313"/>
      <c r="CS3" s="313"/>
      <c r="CT3" s="313"/>
      <c r="CU3" s="313"/>
      <c r="CV3" s="313"/>
      <c r="CW3" s="313"/>
      <c r="CX3" s="313"/>
      <c r="CY3" s="313"/>
      <c r="CZ3" s="313"/>
      <c r="DA3" s="348"/>
      <c r="DB3" s="351"/>
      <c r="DC3" s="247"/>
      <c r="DD3" s="247"/>
      <c r="DE3" s="247"/>
      <c r="DF3" s="247"/>
      <c r="DG3" s="247"/>
      <c r="DH3" s="247"/>
      <c r="DI3" s="247"/>
      <c r="DJ3" s="247"/>
      <c r="DK3" s="247"/>
      <c r="DL3" s="247"/>
      <c r="DM3" s="247"/>
      <c r="DN3" s="248"/>
      <c r="DO3" s="246"/>
      <c r="DP3" s="247"/>
      <c r="DQ3" s="247"/>
      <c r="DR3" s="247"/>
      <c r="DS3" s="247"/>
      <c r="DT3" s="247"/>
      <c r="DU3" s="247"/>
      <c r="DV3" s="247"/>
      <c r="DW3" s="247"/>
      <c r="DX3" s="247"/>
      <c r="DY3" s="247"/>
      <c r="DZ3" s="247"/>
      <c r="EA3" s="248"/>
      <c r="EB3" s="246"/>
      <c r="EC3" s="247"/>
      <c r="ED3" s="247"/>
      <c r="EE3" s="247"/>
      <c r="EF3" s="247"/>
      <c r="EG3" s="247"/>
      <c r="EH3" s="247"/>
      <c r="EI3" s="247"/>
      <c r="EJ3" s="247"/>
      <c r="EK3" s="247"/>
      <c r="EL3" s="247"/>
      <c r="EM3" s="247"/>
      <c r="EN3" s="247"/>
      <c r="EO3" s="247"/>
      <c r="EP3" s="247"/>
      <c r="EQ3" s="247"/>
      <c r="ER3" s="247"/>
      <c r="ES3" s="247"/>
      <c r="ET3" s="247"/>
      <c r="EU3" s="247"/>
      <c r="EV3" s="247"/>
      <c r="EW3" s="247"/>
      <c r="EX3" s="247"/>
      <c r="EY3" s="247"/>
      <c r="EZ3" s="247"/>
      <c r="FA3" s="257"/>
      <c r="FB3" s="247"/>
      <c r="FC3" s="247"/>
      <c r="FD3" s="247"/>
      <c r="FE3" s="247"/>
      <c r="FF3" s="247"/>
      <c r="FG3" s="247"/>
      <c r="FH3" s="247"/>
      <c r="FI3" s="247"/>
      <c r="FJ3" s="247"/>
      <c r="FK3" s="247"/>
      <c r="FL3" s="247"/>
      <c r="FM3" s="248"/>
      <c r="FN3" s="246"/>
      <c r="FO3" s="247"/>
      <c r="FP3" s="247"/>
      <c r="FQ3" s="247"/>
      <c r="FR3" s="247"/>
      <c r="FS3" s="247"/>
      <c r="FT3" s="247"/>
      <c r="FU3" s="247"/>
      <c r="FV3" s="247"/>
      <c r="FW3" s="247"/>
      <c r="FX3" s="247"/>
      <c r="FY3" s="247"/>
      <c r="FZ3" s="248"/>
      <c r="GA3" s="246"/>
      <c r="GB3" s="247"/>
      <c r="GC3" s="247"/>
      <c r="GD3" s="247"/>
      <c r="GE3" s="247"/>
      <c r="GF3" s="247"/>
      <c r="GG3" s="247"/>
      <c r="GH3" s="247"/>
      <c r="GI3" s="247"/>
      <c r="GJ3" s="247"/>
      <c r="GK3" s="247"/>
      <c r="GL3" s="247"/>
      <c r="GM3" s="248"/>
      <c r="GN3" s="246"/>
      <c r="GO3" s="247"/>
      <c r="GP3" s="247"/>
      <c r="GQ3" s="247"/>
      <c r="GR3" s="247"/>
      <c r="GS3" s="247"/>
      <c r="GT3" s="247"/>
      <c r="GU3" s="247"/>
      <c r="GV3" s="247"/>
      <c r="GW3" s="247"/>
      <c r="GX3" s="247"/>
      <c r="GY3" s="247"/>
      <c r="GZ3" s="247"/>
      <c r="HA3" s="247"/>
      <c r="HB3" s="247"/>
      <c r="HC3" s="247"/>
      <c r="HD3" s="247"/>
      <c r="HE3" s="253" t="s">
        <v>155</v>
      </c>
      <c r="HF3" s="254"/>
      <c r="HG3" s="254"/>
      <c r="HH3" s="254"/>
      <c r="HI3" s="254"/>
      <c r="HJ3" s="254"/>
      <c r="HK3" s="254"/>
      <c r="HL3" s="254"/>
      <c r="HM3" s="254"/>
      <c r="HN3" s="254"/>
      <c r="HO3" s="254"/>
      <c r="HP3" s="254"/>
      <c r="HQ3" s="254"/>
      <c r="HR3" s="254"/>
      <c r="HS3" s="254"/>
      <c r="HT3" s="254"/>
      <c r="HU3" s="254"/>
      <c r="HV3" s="254"/>
      <c r="HW3" s="254"/>
      <c r="HX3" s="254"/>
      <c r="HY3" s="255"/>
      <c r="HZ3" s="229"/>
      <c r="IA3" s="253" t="s">
        <v>160</v>
      </c>
      <c r="IB3" s="254"/>
      <c r="IC3" s="254"/>
      <c r="ID3" s="254"/>
      <c r="IE3" s="254"/>
      <c r="IF3" s="254"/>
      <c r="IG3" s="254"/>
      <c r="IH3" s="254"/>
      <c r="II3" s="254"/>
      <c r="IJ3" s="254"/>
      <c r="IK3" s="254"/>
      <c r="IL3" s="254"/>
      <c r="IM3" s="255"/>
      <c r="IN3" s="337" t="s">
        <v>159</v>
      </c>
      <c r="IO3" s="310"/>
      <c r="IP3" s="310"/>
      <c r="IQ3" s="310"/>
      <c r="IR3" s="342" t="s">
        <v>297</v>
      </c>
      <c r="IS3" s="343"/>
      <c r="IT3" s="343"/>
      <c r="IU3" s="343"/>
      <c r="IV3" s="343"/>
      <c r="IW3" s="343"/>
      <c r="IX3" s="343"/>
      <c r="IY3" s="343"/>
      <c r="IZ3" s="343"/>
      <c r="JA3" s="343"/>
      <c r="JB3" s="344"/>
      <c r="JC3" s="270" t="s">
        <v>299</v>
      </c>
      <c r="JD3" s="270"/>
      <c r="JE3" s="270"/>
      <c r="JF3" s="270"/>
      <c r="JG3" s="270"/>
      <c r="JH3" s="270"/>
      <c r="JI3" s="270"/>
      <c r="JJ3" s="270"/>
      <c r="JK3" s="270"/>
      <c r="JL3" s="270"/>
      <c r="JM3" s="270"/>
      <c r="JN3" s="270"/>
      <c r="JO3" s="270"/>
      <c r="JP3" s="264"/>
      <c r="JQ3" s="265"/>
      <c r="JR3" s="265"/>
      <c r="JS3" s="265"/>
      <c r="JT3" s="265"/>
      <c r="JU3" s="265"/>
      <c r="JV3" s="265"/>
      <c r="JW3" s="265"/>
      <c r="JX3" s="265"/>
      <c r="JY3" s="265"/>
      <c r="JZ3" s="265"/>
      <c r="KA3" s="265"/>
      <c r="KB3" s="266"/>
      <c r="KC3" s="339" t="s">
        <v>22</v>
      </c>
      <c r="KD3" s="340"/>
      <c r="KE3" s="340"/>
      <c r="KF3" s="340"/>
      <c r="KG3" s="340"/>
      <c r="KH3" s="340"/>
      <c r="KI3" s="340"/>
      <c r="KJ3" s="340"/>
      <c r="KK3" s="340"/>
      <c r="KL3" s="340"/>
      <c r="KM3" s="340"/>
      <c r="KN3" s="340"/>
      <c r="KO3" s="340"/>
      <c r="KP3" s="340"/>
      <c r="KQ3" s="340"/>
      <c r="KR3" s="340"/>
      <c r="KS3" s="340"/>
      <c r="KT3" s="340"/>
      <c r="KU3" s="340"/>
      <c r="KV3" s="340"/>
      <c r="KW3" s="340"/>
      <c r="KX3" s="340"/>
      <c r="KY3" s="340"/>
      <c r="KZ3" s="340"/>
      <c r="LA3" s="340"/>
      <c r="LB3" s="340"/>
      <c r="LC3" s="340"/>
      <c r="LD3" s="341"/>
      <c r="LE3" s="346" t="s">
        <v>23</v>
      </c>
      <c r="LF3" s="346"/>
      <c r="LG3" s="346" t="s">
        <v>24</v>
      </c>
      <c r="LH3" s="346"/>
      <c r="LI3" s="332" t="s">
        <v>25</v>
      </c>
      <c r="LJ3" s="333"/>
      <c r="LK3" s="332" t="s">
        <v>26</v>
      </c>
      <c r="LL3" s="333"/>
      <c r="LM3" s="328" t="s">
        <v>27</v>
      </c>
      <c r="LN3" s="328"/>
      <c r="LO3" s="258" t="s">
        <v>28</v>
      </c>
      <c r="LP3" s="259"/>
      <c r="LQ3" s="259"/>
      <c r="LR3" s="259"/>
      <c r="LS3" s="260"/>
      <c r="LT3" s="258" t="s">
        <v>29</v>
      </c>
      <c r="LU3" s="259"/>
      <c r="LV3" s="260"/>
      <c r="LW3" s="332" t="s">
        <v>30</v>
      </c>
      <c r="LX3" s="333"/>
      <c r="LY3" s="329" t="s">
        <v>31</v>
      </c>
      <c r="LZ3" s="264" t="s">
        <v>32</v>
      </c>
      <c r="MA3" s="265"/>
      <c r="MB3" s="265"/>
      <c r="MC3" s="265"/>
      <c r="MD3" s="265"/>
      <c r="ME3" s="265"/>
      <c r="MF3" s="265"/>
      <c r="MG3" s="265"/>
      <c r="MH3" s="265"/>
      <c r="MI3" s="265"/>
      <c r="MJ3" s="265"/>
      <c r="MK3" s="265"/>
      <c r="ML3" s="265"/>
      <c r="MM3" s="265"/>
      <c r="MN3" s="265"/>
      <c r="MO3" s="266"/>
    </row>
    <row r="4" spans="1:353" s="58" customFormat="1" ht="19.5" thickBot="1" x14ac:dyDescent="0.25">
      <c r="A4" s="306"/>
      <c r="B4" s="307"/>
      <c r="C4" s="307"/>
      <c r="D4" s="307"/>
      <c r="E4" s="308"/>
      <c r="F4" s="299"/>
      <c r="G4" s="300"/>
      <c r="H4" s="288"/>
      <c r="I4" s="288"/>
      <c r="J4" s="300"/>
      <c r="K4" s="299"/>
      <c r="L4" s="300"/>
      <c r="M4" s="299"/>
      <c r="N4" s="288"/>
      <c r="O4" s="288"/>
      <c r="P4" s="299"/>
      <c r="Q4" s="300"/>
      <c r="R4" s="299"/>
      <c r="S4" s="288"/>
      <c r="T4" s="288"/>
      <c r="U4" s="288"/>
      <c r="V4" s="293"/>
      <c r="W4" s="294"/>
      <c r="X4" s="367" t="s">
        <v>123</v>
      </c>
      <c r="Y4" s="272"/>
      <c r="Z4" s="272" t="s">
        <v>124</v>
      </c>
      <c r="AA4" s="272"/>
      <c r="AB4" s="272" t="s">
        <v>125</v>
      </c>
      <c r="AC4" s="272"/>
      <c r="AD4" s="272" t="s">
        <v>126</v>
      </c>
      <c r="AE4" s="272"/>
      <c r="AF4" s="272" t="s">
        <v>127</v>
      </c>
      <c r="AG4" s="272"/>
      <c r="AH4" s="272" t="s">
        <v>128</v>
      </c>
      <c r="AI4" s="272"/>
      <c r="AJ4" s="252" t="s">
        <v>20</v>
      </c>
      <c r="AK4" s="252"/>
      <c r="AL4" s="317"/>
      <c r="AM4" s="315" t="s">
        <v>130</v>
      </c>
      <c r="AN4" s="271"/>
      <c r="AO4" s="271" t="s">
        <v>131</v>
      </c>
      <c r="AP4" s="271"/>
      <c r="AQ4" s="271" t="s">
        <v>132</v>
      </c>
      <c r="AR4" s="271"/>
      <c r="AS4" s="271" t="s">
        <v>133</v>
      </c>
      <c r="AT4" s="271"/>
      <c r="AU4" s="271" t="s">
        <v>134</v>
      </c>
      <c r="AV4" s="271"/>
      <c r="AW4" s="271" t="s">
        <v>20</v>
      </c>
      <c r="AX4" s="271"/>
      <c r="AY4" s="316"/>
      <c r="AZ4" s="315" t="s">
        <v>123</v>
      </c>
      <c r="BA4" s="271"/>
      <c r="BB4" s="271" t="s">
        <v>124</v>
      </c>
      <c r="BC4" s="271"/>
      <c r="BD4" s="271" t="s">
        <v>125</v>
      </c>
      <c r="BE4" s="271"/>
      <c r="BF4" s="271" t="s">
        <v>126</v>
      </c>
      <c r="BG4" s="271"/>
      <c r="BH4" s="271" t="s">
        <v>127</v>
      </c>
      <c r="BI4" s="271"/>
      <c r="BJ4" s="271" t="s">
        <v>128</v>
      </c>
      <c r="BK4" s="271"/>
      <c r="BL4" s="271" t="s">
        <v>20</v>
      </c>
      <c r="BM4" s="271"/>
      <c r="BN4" s="271"/>
      <c r="BO4" s="271" t="s">
        <v>125</v>
      </c>
      <c r="BP4" s="271"/>
      <c r="BQ4" s="271" t="s">
        <v>126</v>
      </c>
      <c r="BR4" s="271"/>
      <c r="BS4" s="271" t="s">
        <v>127</v>
      </c>
      <c r="BT4" s="271"/>
      <c r="BU4" s="271" t="s">
        <v>128</v>
      </c>
      <c r="BV4" s="271"/>
      <c r="BW4" s="271" t="s">
        <v>137</v>
      </c>
      <c r="BX4" s="271"/>
      <c r="BY4" s="271" t="s">
        <v>20</v>
      </c>
      <c r="BZ4" s="271"/>
      <c r="CA4" s="271"/>
      <c r="CB4" s="271" t="s">
        <v>126</v>
      </c>
      <c r="CC4" s="271"/>
      <c r="CD4" s="271" t="s">
        <v>127</v>
      </c>
      <c r="CE4" s="271"/>
      <c r="CF4" s="271" t="s">
        <v>128</v>
      </c>
      <c r="CG4" s="271"/>
      <c r="CH4" s="271" t="s">
        <v>137</v>
      </c>
      <c r="CI4" s="271"/>
      <c r="CJ4" s="271" t="s">
        <v>130</v>
      </c>
      <c r="CK4" s="271"/>
      <c r="CL4" s="271" t="s">
        <v>20</v>
      </c>
      <c r="CM4" s="271"/>
      <c r="CN4" s="271"/>
      <c r="CO4" s="271" t="s">
        <v>127</v>
      </c>
      <c r="CP4" s="271"/>
      <c r="CQ4" s="271" t="s">
        <v>128</v>
      </c>
      <c r="CR4" s="271"/>
      <c r="CS4" s="271" t="s">
        <v>137</v>
      </c>
      <c r="CT4" s="271"/>
      <c r="CU4" s="271" t="s">
        <v>130</v>
      </c>
      <c r="CV4" s="271"/>
      <c r="CW4" s="271" t="s">
        <v>131</v>
      </c>
      <c r="CX4" s="271"/>
      <c r="CY4" s="271" t="s">
        <v>20</v>
      </c>
      <c r="CZ4" s="271"/>
      <c r="DA4" s="271"/>
      <c r="DB4" s="271" t="s">
        <v>128</v>
      </c>
      <c r="DC4" s="271"/>
      <c r="DD4" s="271" t="s">
        <v>137</v>
      </c>
      <c r="DE4" s="271"/>
      <c r="DF4" s="271" t="s">
        <v>130</v>
      </c>
      <c r="DG4" s="271"/>
      <c r="DH4" s="271" t="s">
        <v>131</v>
      </c>
      <c r="DI4" s="271"/>
      <c r="DJ4" s="271" t="s">
        <v>132</v>
      </c>
      <c r="DK4" s="271"/>
      <c r="DL4" s="252" t="s">
        <v>20</v>
      </c>
      <c r="DM4" s="252"/>
      <c r="DN4" s="252"/>
      <c r="DO4" s="271" t="s">
        <v>137</v>
      </c>
      <c r="DP4" s="271"/>
      <c r="DQ4" s="271" t="s">
        <v>130</v>
      </c>
      <c r="DR4" s="271"/>
      <c r="DS4" s="271" t="s">
        <v>131</v>
      </c>
      <c r="DT4" s="271"/>
      <c r="DU4" s="271" t="s">
        <v>132</v>
      </c>
      <c r="DV4" s="271"/>
      <c r="DW4" s="271" t="s">
        <v>133</v>
      </c>
      <c r="DX4" s="271"/>
      <c r="DY4" s="252" t="s">
        <v>20</v>
      </c>
      <c r="DZ4" s="252"/>
      <c r="EA4" s="252"/>
      <c r="EB4" s="271" t="s">
        <v>123</v>
      </c>
      <c r="EC4" s="271"/>
      <c r="ED4" s="271" t="s">
        <v>124</v>
      </c>
      <c r="EE4" s="271"/>
      <c r="EF4" s="271" t="s">
        <v>125</v>
      </c>
      <c r="EG4" s="271"/>
      <c r="EH4" s="271" t="s">
        <v>126</v>
      </c>
      <c r="EI4" s="271"/>
      <c r="EJ4" s="271" t="s">
        <v>127</v>
      </c>
      <c r="EK4" s="271"/>
      <c r="EL4" s="271" t="s">
        <v>128</v>
      </c>
      <c r="EM4" s="271"/>
      <c r="EN4" s="271" t="s">
        <v>137</v>
      </c>
      <c r="EO4" s="271"/>
      <c r="EP4" s="271" t="s">
        <v>130</v>
      </c>
      <c r="EQ4" s="271"/>
      <c r="ER4" s="271" t="s">
        <v>131</v>
      </c>
      <c r="ES4" s="271"/>
      <c r="ET4" s="271" t="s">
        <v>132</v>
      </c>
      <c r="EU4" s="271"/>
      <c r="EV4" s="271" t="s">
        <v>133</v>
      </c>
      <c r="EW4" s="271"/>
      <c r="EX4" s="252" t="s">
        <v>20</v>
      </c>
      <c r="EY4" s="252"/>
      <c r="EZ4" s="317"/>
      <c r="FA4" s="345" t="s">
        <v>33</v>
      </c>
      <c r="FB4" s="272"/>
      <c r="FC4" s="272" t="s">
        <v>34</v>
      </c>
      <c r="FD4" s="272"/>
      <c r="FE4" s="272" t="s">
        <v>39</v>
      </c>
      <c r="FF4" s="272"/>
      <c r="FG4" s="272" t="s">
        <v>36</v>
      </c>
      <c r="FH4" s="272"/>
      <c r="FI4" s="272" t="s">
        <v>35</v>
      </c>
      <c r="FJ4" s="272"/>
      <c r="FK4" s="252" t="s">
        <v>20</v>
      </c>
      <c r="FL4" s="252"/>
      <c r="FM4" s="252"/>
      <c r="FN4" s="272" t="s">
        <v>34</v>
      </c>
      <c r="FO4" s="272"/>
      <c r="FP4" s="272" t="s">
        <v>39</v>
      </c>
      <c r="FQ4" s="272"/>
      <c r="FR4" s="272" t="s">
        <v>36</v>
      </c>
      <c r="FS4" s="272"/>
      <c r="FT4" s="272" t="s">
        <v>35</v>
      </c>
      <c r="FU4" s="272"/>
      <c r="FV4" s="272" t="s">
        <v>37</v>
      </c>
      <c r="FW4" s="272"/>
      <c r="FX4" s="252" t="s">
        <v>20</v>
      </c>
      <c r="FY4" s="252"/>
      <c r="FZ4" s="252"/>
      <c r="GA4" s="272" t="s">
        <v>39</v>
      </c>
      <c r="GB4" s="272"/>
      <c r="GC4" s="272" t="s">
        <v>36</v>
      </c>
      <c r="GD4" s="272"/>
      <c r="GE4" s="272" t="s">
        <v>35</v>
      </c>
      <c r="GF4" s="272"/>
      <c r="GG4" s="272" t="s">
        <v>37</v>
      </c>
      <c r="GH4" s="272"/>
      <c r="GI4" s="272" t="s">
        <v>38</v>
      </c>
      <c r="GJ4" s="272"/>
      <c r="GK4" s="252" t="s">
        <v>20</v>
      </c>
      <c r="GL4" s="252"/>
      <c r="GM4" s="252"/>
      <c r="GN4" s="252" t="s">
        <v>33</v>
      </c>
      <c r="GO4" s="252"/>
      <c r="GP4" s="252" t="s">
        <v>34</v>
      </c>
      <c r="GQ4" s="252"/>
      <c r="GR4" s="252" t="s">
        <v>39</v>
      </c>
      <c r="GS4" s="252"/>
      <c r="GT4" s="252" t="s">
        <v>36</v>
      </c>
      <c r="GU4" s="252"/>
      <c r="GV4" s="252" t="s">
        <v>35</v>
      </c>
      <c r="GW4" s="252"/>
      <c r="GX4" s="252" t="s">
        <v>37</v>
      </c>
      <c r="GY4" s="252"/>
      <c r="GZ4" s="252" t="s">
        <v>147</v>
      </c>
      <c r="HA4" s="252"/>
      <c r="HB4" s="252" t="s">
        <v>20</v>
      </c>
      <c r="HC4" s="252"/>
      <c r="HD4" s="252"/>
      <c r="HE4" s="271" t="s">
        <v>148</v>
      </c>
      <c r="HF4" s="271"/>
      <c r="HG4" s="271"/>
      <c r="HH4" s="271" t="s">
        <v>149</v>
      </c>
      <c r="HI4" s="271"/>
      <c r="HJ4" s="271"/>
      <c r="HK4" s="271" t="s">
        <v>150</v>
      </c>
      <c r="HL4" s="271"/>
      <c r="HM4" s="271"/>
      <c r="HN4" s="271" t="s">
        <v>151</v>
      </c>
      <c r="HO4" s="271"/>
      <c r="HP4" s="271"/>
      <c r="HQ4" s="271" t="s">
        <v>152</v>
      </c>
      <c r="HR4" s="271"/>
      <c r="HS4" s="271"/>
      <c r="HT4" s="271" t="s">
        <v>153</v>
      </c>
      <c r="HU4" s="271"/>
      <c r="HV4" s="271"/>
      <c r="HW4" s="271" t="s">
        <v>154</v>
      </c>
      <c r="HX4" s="271"/>
      <c r="HY4" s="271"/>
      <c r="HZ4" s="61"/>
      <c r="IA4" s="271" t="s">
        <v>156</v>
      </c>
      <c r="IB4" s="271"/>
      <c r="IC4" s="271"/>
      <c r="ID4" s="271" t="s">
        <v>157</v>
      </c>
      <c r="IE4" s="271"/>
      <c r="IF4" s="271"/>
      <c r="IG4" s="271" t="s">
        <v>158</v>
      </c>
      <c r="IH4" s="271"/>
      <c r="II4" s="271"/>
      <c r="IJ4" s="253" t="s">
        <v>12</v>
      </c>
      <c r="IK4" s="254"/>
      <c r="IL4" s="254"/>
      <c r="IM4" s="255"/>
      <c r="IN4" s="338"/>
      <c r="IO4" s="313"/>
      <c r="IP4" s="313"/>
      <c r="IQ4" s="313"/>
      <c r="IR4" s="270" t="s">
        <v>40</v>
      </c>
      <c r="IS4" s="270"/>
      <c r="IT4" s="270" t="s">
        <v>41</v>
      </c>
      <c r="IU4" s="270"/>
      <c r="IV4" s="270" t="s">
        <v>166</v>
      </c>
      <c r="IW4" s="270"/>
      <c r="IX4" s="270" t="s">
        <v>43</v>
      </c>
      <c r="IY4" s="270"/>
      <c r="IZ4" s="270" t="s">
        <v>20</v>
      </c>
      <c r="JA4" s="270"/>
      <c r="JB4" s="270"/>
      <c r="JC4" s="270" t="s">
        <v>40</v>
      </c>
      <c r="JD4" s="270"/>
      <c r="JE4" s="270" t="s">
        <v>41</v>
      </c>
      <c r="JF4" s="270"/>
      <c r="JG4" s="270" t="s">
        <v>42</v>
      </c>
      <c r="JH4" s="270"/>
      <c r="JI4" s="270" t="s">
        <v>166</v>
      </c>
      <c r="JJ4" s="270"/>
      <c r="JK4" s="270" t="s">
        <v>227</v>
      </c>
      <c r="JL4" s="270"/>
      <c r="JM4" s="270" t="s">
        <v>20</v>
      </c>
      <c r="JN4" s="270"/>
      <c r="JO4" s="270"/>
      <c r="JP4" s="267" t="s">
        <v>40</v>
      </c>
      <c r="JQ4" s="268"/>
      <c r="JR4" s="267" t="s">
        <v>41</v>
      </c>
      <c r="JS4" s="268"/>
      <c r="JT4" s="267" t="s">
        <v>42</v>
      </c>
      <c r="JU4" s="268"/>
      <c r="JV4" s="267" t="s">
        <v>166</v>
      </c>
      <c r="JW4" s="268"/>
      <c r="JX4" s="267" t="s">
        <v>43</v>
      </c>
      <c r="JY4" s="268"/>
      <c r="JZ4" s="267" t="s">
        <v>20</v>
      </c>
      <c r="KA4" s="269"/>
      <c r="KB4" s="268"/>
      <c r="KC4" s="325" t="s">
        <v>48</v>
      </c>
      <c r="KD4" s="327"/>
      <c r="KE4" s="324" t="s">
        <v>49</v>
      </c>
      <c r="KF4" s="324"/>
      <c r="KG4" s="324"/>
      <c r="KH4" s="267" t="s">
        <v>301</v>
      </c>
      <c r="KI4" s="269"/>
      <c r="KJ4" s="269"/>
      <c r="KK4" s="269"/>
      <c r="KL4" s="268"/>
      <c r="KM4" s="325" t="s">
        <v>50</v>
      </c>
      <c r="KN4" s="326"/>
      <c r="KO4" s="327"/>
      <c r="KP4" s="328" t="s">
        <v>51</v>
      </c>
      <c r="KQ4" s="328"/>
      <c r="KR4" s="328"/>
      <c r="KS4" s="328" t="s">
        <v>52</v>
      </c>
      <c r="KT4" s="328"/>
      <c r="KU4" s="328"/>
      <c r="KV4" s="328" t="s">
        <v>53</v>
      </c>
      <c r="KW4" s="328"/>
      <c r="KX4" s="328"/>
      <c r="KY4" s="328" t="s">
        <v>54</v>
      </c>
      <c r="KZ4" s="328"/>
      <c r="LA4" s="328"/>
      <c r="LB4" s="328"/>
      <c r="LC4" s="328"/>
      <c r="LD4" s="328"/>
      <c r="LE4" s="346"/>
      <c r="LF4" s="346"/>
      <c r="LG4" s="346"/>
      <c r="LH4" s="346"/>
      <c r="LI4" s="334"/>
      <c r="LJ4" s="335"/>
      <c r="LK4" s="334"/>
      <c r="LL4" s="335"/>
      <c r="LM4" s="328"/>
      <c r="LN4" s="328"/>
      <c r="LO4" s="264"/>
      <c r="LP4" s="265"/>
      <c r="LQ4" s="265"/>
      <c r="LR4" s="265"/>
      <c r="LS4" s="266"/>
      <c r="LT4" s="264"/>
      <c r="LU4" s="265"/>
      <c r="LV4" s="266"/>
      <c r="LW4" s="334"/>
      <c r="LX4" s="335"/>
      <c r="LY4" s="330"/>
      <c r="LZ4" s="328" t="s">
        <v>55</v>
      </c>
      <c r="MA4" s="328"/>
      <c r="MB4" s="328" t="s">
        <v>56</v>
      </c>
      <c r="MC4" s="328"/>
      <c r="MD4" s="328" t="s">
        <v>57</v>
      </c>
      <c r="ME4" s="328"/>
      <c r="MF4" s="328" t="s">
        <v>58</v>
      </c>
      <c r="MG4" s="328"/>
      <c r="MH4" s="328" t="s">
        <v>59</v>
      </c>
      <c r="MI4" s="328"/>
      <c r="MJ4" s="328" t="s">
        <v>60</v>
      </c>
      <c r="MK4" s="328"/>
      <c r="ML4" s="328" t="s">
        <v>61</v>
      </c>
      <c r="MM4" s="328"/>
      <c r="MN4" s="328" t="s">
        <v>62</v>
      </c>
      <c r="MO4" s="328"/>
    </row>
    <row r="5" spans="1:353" s="58" customFormat="1" ht="45" customHeight="1" thickBot="1" x14ac:dyDescent="0.25">
      <c r="A5" s="101" t="s">
        <v>63</v>
      </c>
      <c r="B5" s="101" t="s">
        <v>64</v>
      </c>
      <c r="C5" s="101" t="s">
        <v>65</v>
      </c>
      <c r="D5" s="101" t="s">
        <v>66</v>
      </c>
      <c r="E5" s="101" t="s">
        <v>67</v>
      </c>
      <c r="F5" s="101" t="s">
        <v>120</v>
      </c>
      <c r="G5" s="101" t="s">
        <v>121</v>
      </c>
      <c r="H5" s="101" t="s">
        <v>68</v>
      </c>
      <c r="I5" s="101" t="s">
        <v>69</v>
      </c>
      <c r="J5" s="101" t="s">
        <v>70</v>
      </c>
      <c r="K5" s="101" t="s">
        <v>71</v>
      </c>
      <c r="L5" s="101" t="s">
        <v>72</v>
      </c>
      <c r="M5" s="101" t="s">
        <v>73</v>
      </c>
      <c r="N5" s="101" t="s">
        <v>74</v>
      </c>
      <c r="O5" s="52" t="s">
        <v>75</v>
      </c>
      <c r="P5" s="101" t="s">
        <v>76</v>
      </c>
      <c r="Q5" s="101" t="s">
        <v>77</v>
      </c>
      <c r="R5" s="52" t="s">
        <v>78</v>
      </c>
      <c r="S5" s="52" t="s">
        <v>79</v>
      </c>
      <c r="T5" s="52" t="s">
        <v>80</v>
      </c>
      <c r="U5" s="52" t="s">
        <v>81</v>
      </c>
      <c r="V5" s="102" t="s">
        <v>82</v>
      </c>
      <c r="W5" s="102" t="s">
        <v>83</v>
      </c>
      <c r="X5" s="103" t="s">
        <v>68</v>
      </c>
      <c r="Y5" s="103" t="s">
        <v>69</v>
      </c>
      <c r="Z5" s="103" t="s">
        <v>68</v>
      </c>
      <c r="AA5" s="103" t="s">
        <v>69</v>
      </c>
      <c r="AB5" s="103" t="s">
        <v>68</v>
      </c>
      <c r="AC5" s="103" t="s">
        <v>69</v>
      </c>
      <c r="AD5" s="103" t="s">
        <v>68</v>
      </c>
      <c r="AE5" s="103" t="s">
        <v>69</v>
      </c>
      <c r="AF5" s="103" t="s">
        <v>68</v>
      </c>
      <c r="AG5" s="103" t="s">
        <v>69</v>
      </c>
      <c r="AH5" s="103" t="s">
        <v>68</v>
      </c>
      <c r="AI5" s="103" t="s">
        <v>69</v>
      </c>
      <c r="AJ5" s="103" t="s">
        <v>68</v>
      </c>
      <c r="AK5" s="103" t="s">
        <v>69</v>
      </c>
      <c r="AL5" s="104" t="s">
        <v>20</v>
      </c>
      <c r="AM5" s="105" t="s">
        <v>68</v>
      </c>
      <c r="AN5" s="106" t="s">
        <v>69</v>
      </c>
      <c r="AO5" s="106" t="s">
        <v>68</v>
      </c>
      <c r="AP5" s="106" t="s">
        <v>69</v>
      </c>
      <c r="AQ5" s="106" t="s">
        <v>68</v>
      </c>
      <c r="AR5" s="106" t="s">
        <v>69</v>
      </c>
      <c r="AS5" s="106" t="s">
        <v>68</v>
      </c>
      <c r="AT5" s="106" t="s">
        <v>69</v>
      </c>
      <c r="AU5" s="106" t="s">
        <v>68</v>
      </c>
      <c r="AV5" s="106" t="s">
        <v>69</v>
      </c>
      <c r="AW5" s="106" t="s">
        <v>68</v>
      </c>
      <c r="AX5" s="106" t="s">
        <v>69</v>
      </c>
      <c r="AY5" s="107" t="s">
        <v>20</v>
      </c>
      <c r="AZ5" s="105" t="s">
        <v>68</v>
      </c>
      <c r="BA5" s="106" t="s">
        <v>69</v>
      </c>
      <c r="BB5" s="106" t="s">
        <v>68</v>
      </c>
      <c r="BC5" s="106" t="s">
        <v>69</v>
      </c>
      <c r="BD5" s="106" t="s">
        <v>68</v>
      </c>
      <c r="BE5" s="106" t="s">
        <v>69</v>
      </c>
      <c r="BF5" s="106" t="s">
        <v>68</v>
      </c>
      <c r="BG5" s="106" t="s">
        <v>69</v>
      </c>
      <c r="BH5" s="106" t="s">
        <v>68</v>
      </c>
      <c r="BI5" s="106" t="s">
        <v>69</v>
      </c>
      <c r="BJ5" s="106" t="s">
        <v>68</v>
      </c>
      <c r="BK5" s="106" t="s">
        <v>69</v>
      </c>
      <c r="BL5" s="106" t="s">
        <v>68</v>
      </c>
      <c r="BM5" s="106" t="s">
        <v>69</v>
      </c>
      <c r="BN5" s="106" t="s">
        <v>20</v>
      </c>
      <c r="BO5" s="106" t="s">
        <v>68</v>
      </c>
      <c r="BP5" s="106" t="s">
        <v>69</v>
      </c>
      <c r="BQ5" s="106" t="s">
        <v>68</v>
      </c>
      <c r="BR5" s="106" t="s">
        <v>69</v>
      </c>
      <c r="BS5" s="106" t="s">
        <v>68</v>
      </c>
      <c r="BT5" s="106" t="s">
        <v>69</v>
      </c>
      <c r="BU5" s="106" t="s">
        <v>68</v>
      </c>
      <c r="BV5" s="106" t="s">
        <v>69</v>
      </c>
      <c r="BW5" s="106" t="s">
        <v>68</v>
      </c>
      <c r="BX5" s="106" t="s">
        <v>69</v>
      </c>
      <c r="BY5" s="106" t="s">
        <v>68</v>
      </c>
      <c r="BZ5" s="106" t="s">
        <v>69</v>
      </c>
      <c r="CA5" s="106" t="s">
        <v>20</v>
      </c>
      <c r="CB5" s="106" t="s">
        <v>68</v>
      </c>
      <c r="CC5" s="106" t="s">
        <v>69</v>
      </c>
      <c r="CD5" s="106" t="s">
        <v>68</v>
      </c>
      <c r="CE5" s="106" t="s">
        <v>69</v>
      </c>
      <c r="CF5" s="106" t="s">
        <v>68</v>
      </c>
      <c r="CG5" s="106" t="s">
        <v>69</v>
      </c>
      <c r="CH5" s="106" t="s">
        <v>68</v>
      </c>
      <c r="CI5" s="106" t="s">
        <v>69</v>
      </c>
      <c r="CJ5" s="106" t="s">
        <v>68</v>
      </c>
      <c r="CK5" s="106" t="s">
        <v>69</v>
      </c>
      <c r="CL5" s="106" t="s">
        <v>68</v>
      </c>
      <c r="CM5" s="106" t="s">
        <v>69</v>
      </c>
      <c r="CN5" s="106" t="s">
        <v>20</v>
      </c>
      <c r="CO5" s="106" t="s">
        <v>68</v>
      </c>
      <c r="CP5" s="106" t="s">
        <v>69</v>
      </c>
      <c r="CQ5" s="106" t="s">
        <v>68</v>
      </c>
      <c r="CR5" s="106" t="s">
        <v>69</v>
      </c>
      <c r="CS5" s="106" t="s">
        <v>68</v>
      </c>
      <c r="CT5" s="106" t="s">
        <v>69</v>
      </c>
      <c r="CU5" s="106" t="s">
        <v>68</v>
      </c>
      <c r="CV5" s="106" t="s">
        <v>69</v>
      </c>
      <c r="CW5" s="106" t="s">
        <v>68</v>
      </c>
      <c r="CX5" s="106" t="s">
        <v>69</v>
      </c>
      <c r="CY5" s="106" t="s">
        <v>68</v>
      </c>
      <c r="CZ5" s="106" t="s">
        <v>69</v>
      </c>
      <c r="DA5" s="106" t="s">
        <v>20</v>
      </c>
      <c r="DB5" s="108" t="s">
        <v>68</v>
      </c>
      <c r="DC5" s="109" t="s">
        <v>69</v>
      </c>
      <c r="DD5" s="109" t="s">
        <v>68</v>
      </c>
      <c r="DE5" s="109" t="s">
        <v>69</v>
      </c>
      <c r="DF5" s="109" t="s">
        <v>68</v>
      </c>
      <c r="DG5" s="109" t="s">
        <v>69</v>
      </c>
      <c r="DH5" s="109" t="s">
        <v>68</v>
      </c>
      <c r="DI5" s="109" t="s">
        <v>69</v>
      </c>
      <c r="DJ5" s="109" t="s">
        <v>68</v>
      </c>
      <c r="DK5" s="109" t="s">
        <v>69</v>
      </c>
      <c r="DL5" s="109" t="s">
        <v>68</v>
      </c>
      <c r="DM5" s="109" t="s">
        <v>69</v>
      </c>
      <c r="DN5" s="109" t="s">
        <v>20</v>
      </c>
      <c r="DO5" s="109" t="s">
        <v>68</v>
      </c>
      <c r="DP5" s="109" t="s">
        <v>69</v>
      </c>
      <c r="DQ5" s="109" t="s">
        <v>68</v>
      </c>
      <c r="DR5" s="109" t="s">
        <v>69</v>
      </c>
      <c r="DS5" s="109" t="s">
        <v>68</v>
      </c>
      <c r="DT5" s="109" t="s">
        <v>69</v>
      </c>
      <c r="DU5" s="109" t="s">
        <v>68</v>
      </c>
      <c r="DV5" s="109" t="s">
        <v>69</v>
      </c>
      <c r="DW5" s="109" t="s">
        <v>68</v>
      </c>
      <c r="DX5" s="109" t="s">
        <v>69</v>
      </c>
      <c r="DY5" s="109" t="s">
        <v>68</v>
      </c>
      <c r="DZ5" s="109" t="s">
        <v>69</v>
      </c>
      <c r="EA5" s="109" t="s">
        <v>20</v>
      </c>
      <c r="EB5" s="109" t="s">
        <v>68</v>
      </c>
      <c r="EC5" s="109" t="s">
        <v>69</v>
      </c>
      <c r="ED5" s="109" t="s">
        <v>68</v>
      </c>
      <c r="EE5" s="109" t="s">
        <v>69</v>
      </c>
      <c r="EF5" s="109" t="s">
        <v>68</v>
      </c>
      <c r="EG5" s="109" t="s">
        <v>69</v>
      </c>
      <c r="EH5" s="109" t="s">
        <v>68</v>
      </c>
      <c r="EI5" s="109" t="s">
        <v>69</v>
      </c>
      <c r="EJ5" s="109" t="s">
        <v>68</v>
      </c>
      <c r="EK5" s="109" t="s">
        <v>69</v>
      </c>
      <c r="EL5" s="109" t="s">
        <v>68</v>
      </c>
      <c r="EM5" s="109" t="s">
        <v>69</v>
      </c>
      <c r="EN5" s="109" t="s">
        <v>68</v>
      </c>
      <c r="EO5" s="109" t="s">
        <v>69</v>
      </c>
      <c r="EP5" s="109" t="s">
        <v>68</v>
      </c>
      <c r="EQ5" s="109" t="s">
        <v>69</v>
      </c>
      <c r="ER5" s="109" t="s">
        <v>68</v>
      </c>
      <c r="ES5" s="109" t="s">
        <v>69</v>
      </c>
      <c r="ET5" s="109" t="s">
        <v>68</v>
      </c>
      <c r="EU5" s="109" t="s">
        <v>69</v>
      </c>
      <c r="EV5" s="109" t="s">
        <v>68</v>
      </c>
      <c r="EW5" s="109" t="s">
        <v>69</v>
      </c>
      <c r="EX5" s="109" t="s">
        <v>68</v>
      </c>
      <c r="EY5" s="109" t="s">
        <v>69</v>
      </c>
      <c r="EZ5" s="59" t="s">
        <v>20</v>
      </c>
      <c r="FA5" s="110" t="s">
        <v>68</v>
      </c>
      <c r="FB5" s="109" t="s">
        <v>69</v>
      </c>
      <c r="FC5" s="109" t="s">
        <v>68</v>
      </c>
      <c r="FD5" s="109" t="s">
        <v>69</v>
      </c>
      <c r="FE5" s="109" t="s">
        <v>68</v>
      </c>
      <c r="FF5" s="109" t="s">
        <v>69</v>
      </c>
      <c r="FG5" s="109" t="s">
        <v>68</v>
      </c>
      <c r="FH5" s="109" t="s">
        <v>69</v>
      </c>
      <c r="FI5" s="109" t="s">
        <v>68</v>
      </c>
      <c r="FJ5" s="109" t="s">
        <v>69</v>
      </c>
      <c r="FK5" s="109" t="s">
        <v>68</v>
      </c>
      <c r="FL5" s="109" t="s">
        <v>69</v>
      </c>
      <c r="FM5" s="109" t="s">
        <v>20</v>
      </c>
      <c r="FN5" s="109" t="s">
        <v>68</v>
      </c>
      <c r="FO5" s="109" t="s">
        <v>69</v>
      </c>
      <c r="FP5" s="109" t="s">
        <v>68</v>
      </c>
      <c r="FQ5" s="109" t="s">
        <v>69</v>
      </c>
      <c r="FR5" s="109" t="s">
        <v>68</v>
      </c>
      <c r="FS5" s="109" t="s">
        <v>69</v>
      </c>
      <c r="FT5" s="109" t="s">
        <v>68</v>
      </c>
      <c r="FU5" s="109" t="s">
        <v>69</v>
      </c>
      <c r="FV5" s="109" t="s">
        <v>68</v>
      </c>
      <c r="FW5" s="109" t="s">
        <v>69</v>
      </c>
      <c r="FX5" s="109" t="s">
        <v>68</v>
      </c>
      <c r="FY5" s="109" t="s">
        <v>69</v>
      </c>
      <c r="FZ5" s="109" t="s">
        <v>20</v>
      </c>
      <c r="GA5" s="109" t="s">
        <v>68</v>
      </c>
      <c r="GB5" s="109" t="s">
        <v>69</v>
      </c>
      <c r="GC5" s="109" t="s">
        <v>68</v>
      </c>
      <c r="GD5" s="109" t="s">
        <v>69</v>
      </c>
      <c r="GE5" s="109" t="s">
        <v>68</v>
      </c>
      <c r="GF5" s="109" t="s">
        <v>69</v>
      </c>
      <c r="GG5" s="109" t="s">
        <v>68</v>
      </c>
      <c r="GH5" s="109" t="s">
        <v>69</v>
      </c>
      <c r="GI5" s="109" t="s">
        <v>68</v>
      </c>
      <c r="GJ5" s="109" t="s">
        <v>69</v>
      </c>
      <c r="GK5" s="109" t="s">
        <v>68</v>
      </c>
      <c r="GL5" s="109" t="s">
        <v>69</v>
      </c>
      <c r="GM5" s="109" t="s">
        <v>20</v>
      </c>
      <c r="GN5" s="109" t="s">
        <v>68</v>
      </c>
      <c r="GO5" s="109" t="s">
        <v>69</v>
      </c>
      <c r="GP5" s="109" t="s">
        <v>68</v>
      </c>
      <c r="GQ5" s="109" t="s">
        <v>69</v>
      </c>
      <c r="GR5" s="109" t="s">
        <v>68</v>
      </c>
      <c r="GS5" s="109" t="s">
        <v>69</v>
      </c>
      <c r="GT5" s="109" t="s">
        <v>68</v>
      </c>
      <c r="GU5" s="109" t="s">
        <v>69</v>
      </c>
      <c r="GV5" s="109" t="s">
        <v>68</v>
      </c>
      <c r="GW5" s="109" t="s">
        <v>69</v>
      </c>
      <c r="GX5" s="109" t="s">
        <v>68</v>
      </c>
      <c r="GY5" s="109" t="s">
        <v>69</v>
      </c>
      <c r="GZ5" s="109" t="s">
        <v>68</v>
      </c>
      <c r="HA5" s="109" t="s">
        <v>69</v>
      </c>
      <c r="HB5" s="109" t="s">
        <v>68</v>
      </c>
      <c r="HC5" s="109" t="s">
        <v>69</v>
      </c>
      <c r="HD5" s="109" t="s">
        <v>20</v>
      </c>
      <c r="HE5" s="106" t="s">
        <v>68</v>
      </c>
      <c r="HF5" s="106" t="s">
        <v>69</v>
      </c>
      <c r="HG5" s="106" t="s">
        <v>70</v>
      </c>
      <c r="HH5" s="106" t="s">
        <v>68</v>
      </c>
      <c r="HI5" s="106" t="s">
        <v>69</v>
      </c>
      <c r="HJ5" s="106" t="s">
        <v>70</v>
      </c>
      <c r="HK5" s="106" t="s">
        <v>68</v>
      </c>
      <c r="HL5" s="106" t="s">
        <v>69</v>
      </c>
      <c r="HM5" s="106" t="s">
        <v>70</v>
      </c>
      <c r="HN5" s="106" t="s">
        <v>68</v>
      </c>
      <c r="HO5" s="106" t="s">
        <v>69</v>
      </c>
      <c r="HP5" s="106" t="s">
        <v>70</v>
      </c>
      <c r="HQ5" s="106" t="s">
        <v>68</v>
      </c>
      <c r="HR5" s="106" t="s">
        <v>69</v>
      </c>
      <c r="HS5" s="106" t="s">
        <v>70</v>
      </c>
      <c r="HT5" s="106" t="s">
        <v>68</v>
      </c>
      <c r="HU5" s="106" t="s">
        <v>69</v>
      </c>
      <c r="HV5" s="106" t="s">
        <v>70</v>
      </c>
      <c r="HW5" s="106" t="s">
        <v>68</v>
      </c>
      <c r="HX5" s="106" t="s">
        <v>69</v>
      </c>
      <c r="HY5" s="106" t="s">
        <v>70</v>
      </c>
      <c r="HZ5" s="106" t="s">
        <v>20</v>
      </c>
      <c r="IA5" s="106" t="s">
        <v>68</v>
      </c>
      <c r="IB5" s="106" t="s">
        <v>69</v>
      </c>
      <c r="IC5" s="106" t="s">
        <v>70</v>
      </c>
      <c r="ID5" s="106" t="s">
        <v>68</v>
      </c>
      <c r="IE5" s="106" t="s">
        <v>69</v>
      </c>
      <c r="IF5" s="106" t="s">
        <v>70</v>
      </c>
      <c r="IG5" s="106" t="s">
        <v>68</v>
      </c>
      <c r="IH5" s="106" t="s">
        <v>69</v>
      </c>
      <c r="II5" s="106" t="s">
        <v>70</v>
      </c>
      <c r="IJ5" s="106" t="s">
        <v>68</v>
      </c>
      <c r="IK5" s="106" t="s">
        <v>69</v>
      </c>
      <c r="IL5" s="106" t="s">
        <v>70</v>
      </c>
      <c r="IM5" s="60" t="s">
        <v>20</v>
      </c>
      <c r="IN5" s="106" t="s">
        <v>68</v>
      </c>
      <c r="IO5" s="106" t="s">
        <v>69</v>
      </c>
      <c r="IP5" s="106" t="s">
        <v>70</v>
      </c>
      <c r="IQ5" s="60" t="s">
        <v>20</v>
      </c>
      <c r="IR5" s="62" t="s">
        <v>296</v>
      </c>
      <c r="IS5" s="62" t="s">
        <v>85</v>
      </c>
      <c r="IT5" s="62" t="s">
        <v>296</v>
      </c>
      <c r="IU5" s="62" t="s">
        <v>85</v>
      </c>
      <c r="IV5" s="62" t="s">
        <v>296</v>
      </c>
      <c r="IW5" s="62" t="s">
        <v>85</v>
      </c>
      <c r="IX5" s="62" t="s">
        <v>296</v>
      </c>
      <c r="IY5" s="62" t="s">
        <v>85</v>
      </c>
      <c r="IZ5" s="62" t="s">
        <v>296</v>
      </c>
      <c r="JA5" s="62" t="s">
        <v>85</v>
      </c>
      <c r="JB5" s="62" t="s">
        <v>20</v>
      </c>
      <c r="JC5" s="62" t="s">
        <v>296</v>
      </c>
      <c r="JD5" s="62" t="s">
        <v>85</v>
      </c>
      <c r="JE5" s="62" t="s">
        <v>296</v>
      </c>
      <c r="JF5" s="62" t="s">
        <v>85</v>
      </c>
      <c r="JG5" s="62" t="s">
        <v>296</v>
      </c>
      <c r="JH5" s="62" t="s">
        <v>85</v>
      </c>
      <c r="JI5" s="62" t="s">
        <v>296</v>
      </c>
      <c r="JJ5" s="62" t="s">
        <v>85</v>
      </c>
      <c r="JK5" s="62" t="s">
        <v>296</v>
      </c>
      <c r="JL5" s="62" t="s">
        <v>85</v>
      </c>
      <c r="JM5" s="62" t="s">
        <v>296</v>
      </c>
      <c r="JN5" s="62" t="s">
        <v>85</v>
      </c>
      <c r="JO5" s="62" t="s">
        <v>20</v>
      </c>
      <c r="JP5" s="111" t="s">
        <v>84</v>
      </c>
      <c r="JQ5" s="111" t="s">
        <v>85</v>
      </c>
      <c r="JR5" s="111" t="s">
        <v>84</v>
      </c>
      <c r="JS5" s="111" t="s">
        <v>85</v>
      </c>
      <c r="JT5" s="111" t="s">
        <v>84</v>
      </c>
      <c r="JU5" s="111" t="s">
        <v>85</v>
      </c>
      <c r="JV5" s="111" t="s">
        <v>84</v>
      </c>
      <c r="JW5" s="111" t="s">
        <v>85</v>
      </c>
      <c r="JX5" s="111" t="s">
        <v>84</v>
      </c>
      <c r="JY5" s="111" t="s">
        <v>85</v>
      </c>
      <c r="JZ5" s="111" t="s">
        <v>84</v>
      </c>
      <c r="KA5" s="111" t="s">
        <v>85</v>
      </c>
      <c r="KB5" s="111" t="s">
        <v>20</v>
      </c>
      <c r="KC5" s="64" t="s">
        <v>86</v>
      </c>
      <c r="KD5" s="64" t="s">
        <v>87</v>
      </c>
      <c r="KE5" s="64" t="s">
        <v>88</v>
      </c>
      <c r="KF5" s="64" t="s">
        <v>89</v>
      </c>
      <c r="KG5" s="64" t="s">
        <v>90</v>
      </c>
      <c r="KH5" s="112" t="s">
        <v>302</v>
      </c>
      <c r="KI5" s="112" t="s">
        <v>306</v>
      </c>
      <c r="KJ5" s="112" t="s">
        <v>303</v>
      </c>
      <c r="KK5" s="112" t="s">
        <v>304</v>
      </c>
      <c r="KL5" s="112" t="s">
        <v>305</v>
      </c>
      <c r="KM5" s="112" t="s">
        <v>91</v>
      </c>
      <c r="KN5" s="124" t="s">
        <v>92</v>
      </c>
      <c r="KO5" s="112" t="s">
        <v>20</v>
      </c>
      <c r="KP5" s="65" t="s">
        <v>93</v>
      </c>
      <c r="KQ5" s="65" t="s">
        <v>94</v>
      </c>
      <c r="KR5" s="111" t="s">
        <v>95</v>
      </c>
      <c r="KS5" s="64" t="s">
        <v>96</v>
      </c>
      <c r="KT5" s="64" t="s">
        <v>97</v>
      </c>
      <c r="KU5" s="64" t="s">
        <v>98</v>
      </c>
      <c r="KV5" s="64" t="s">
        <v>99</v>
      </c>
      <c r="KW5" s="63" t="s">
        <v>100</v>
      </c>
      <c r="KX5" s="64" t="s">
        <v>101</v>
      </c>
      <c r="KY5" s="63" t="s">
        <v>102</v>
      </c>
      <c r="KZ5" s="64" t="s">
        <v>316</v>
      </c>
      <c r="LA5" s="64" t="s">
        <v>315</v>
      </c>
      <c r="LB5" s="64" t="s">
        <v>320</v>
      </c>
      <c r="LC5" s="64" t="s">
        <v>103</v>
      </c>
      <c r="LD5" s="64" t="s">
        <v>19</v>
      </c>
      <c r="LE5" s="64" t="s">
        <v>82</v>
      </c>
      <c r="LF5" s="64" t="s">
        <v>83</v>
      </c>
      <c r="LG5" s="64" t="s">
        <v>104</v>
      </c>
      <c r="LH5" s="64" t="s">
        <v>83</v>
      </c>
      <c r="LI5" s="64" t="s">
        <v>82</v>
      </c>
      <c r="LJ5" s="64" t="s">
        <v>83</v>
      </c>
      <c r="LK5" s="64" t="s">
        <v>82</v>
      </c>
      <c r="LL5" s="64" t="s">
        <v>83</v>
      </c>
      <c r="LM5" s="111" t="s">
        <v>82</v>
      </c>
      <c r="LN5" s="111" t="s">
        <v>83</v>
      </c>
      <c r="LO5" s="111" t="s">
        <v>40</v>
      </c>
      <c r="LP5" s="111" t="s">
        <v>41</v>
      </c>
      <c r="LQ5" s="65" t="s">
        <v>105</v>
      </c>
      <c r="LR5" s="65" t="s">
        <v>44</v>
      </c>
      <c r="LS5" s="65" t="s">
        <v>106</v>
      </c>
      <c r="LT5" s="65" t="s">
        <v>107</v>
      </c>
      <c r="LU5" s="111" t="s">
        <v>108</v>
      </c>
      <c r="LV5" s="111" t="s">
        <v>109</v>
      </c>
      <c r="LW5" s="111" t="s">
        <v>110</v>
      </c>
      <c r="LX5" s="65" t="s">
        <v>111</v>
      </c>
      <c r="LY5" s="331"/>
      <c r="LZ5" s="189" t="s">
        <v>82</v>
      </c>
      <c r="MA5" s="189" t="s">
        <v>83</v>
      </c>
      <c r="MB5" s="189" t="s">
        <v>82</v>
      </c>
      <c r="MC5" s="189" t="s">
        <v>83</v>
      </c>
      <c r="MD5" s="189" t="s">
        <v>82</v>
      </c>
      <c r="ME5" s="189" t="s">
        <v>83</v>
      </c>
      <c r="MF5" s="189" t="s">
        <v>82</v>
      </c>
      <c r="MG5" s="189" t="s">
        <v>83</v>
      </c>
      <c r="MH5" s="189" t="s">
        <v>82</v>
      </c>
      <c r="MI5" s="189" t="s">
        <v>83</v>
      </c>
      <c r="MJ5" s="189" t="s">
        <v>82</v>
      </c>
      <c r="MK5" s="189" t="s">
        <v>83</v>
      </c>
      <c r="ML5" s="189" t="s">
        <v>82</v>
      </c>
      <c r="MM5" s="189" t="s">
        <v>83</v>
      </c>
      <c r="MN5" s="189" t="s">
        <v>82</v>
      </c>
      <c r="MO5" s="189" t="s">
        <v>83</v>
      </c>
    </row>
    <row r="6" spans="1:353" s="157" customFormat="1" ht="21" customHeight="1" thickTop="1" thickBot="1" x14ac:dyDescent="0.25">
      <c r="A6" s="145" t="s">
        <v>112</v>
      </c>
      <c r="B6" s="145" t="s">
        <v>113</v>
      </c>
      <c r="C6" s="145">
        <v>1</v>
      </c>
      <c r="D6" s="145">
        <v>1400186</v>
      </c>
      <c r="E6" s="145" t="s">
        <v>263</v>
      </c>
      <c r="F6" s="145">
        <v>1</v>
      </c>
      <c r="G6" s="145"/>
      <c r="H6" s="145">
        <v>1</v>
      </c>
      <c r="I6" s="145"/>
      <c r="J6" s="145"/>
      <c r="K6" s="145">
        <v>1</v>
      </c>
      <c r="L6" s="145"/>
      <c r="M6" s="145">
        <v>1</v>
      </c>
      <c r="N6" s="145"/>
      <c r="O6" s="145"/>
      <c r="P6" s="145">
        <v>1</v>
      </c>
      <c r="Q6" s="145"/>
      <c r="R6" s="145">
        <v>1</v>
      </c>
      <c r="S6" s="145"/>
      <c r="T6" s="145"/>
      <c r="U6" s="145"/>
      <c r="V6" s="145"/>
      <c r="W6" s="145">
        <v>1</v>
      </c>
      <c r="X6" s="145">
        <v>3</v>
      </c>
      <c r="Y6" s="145"/>
      <c r="Z6" s="145">
        <v>40</v>
      </c>
      <c r="AA6" s="145"/>
      <c r="AB6" s="145">
        <v>4</v>
      </c>
      <c r="AC6" s="145"/>
      <c r="AD6" s="145">
        <v>1</v>
      </c>
      <c r="AE6" s="145"/>
      <c r="AF6" s="145"/>
      <c r="AG6" s="145"/>
      <c r="AH6" s="145"/>
      <c r="AI6" s="145"/>
      <c r="AJ6" s="145">
        <f t="shared" ref="AJ6:AK10" si="0">AH6+AF6+AD6+AB6+Z6+X6</f>
        <v>48</v>
      </c>
      <c r="AK6" s="145">
        <f t="shared" si="0"/>
        <v>0</v>
      </c>
      <c r="AL6" s="146">
        <f t="shared" ref="AL6:AL10" si="1">SUM(AJ6:AK6)</f>
        <v>48</v>
      </c>
      <c r="AM6" s="147"/>
      <c r="AN6" s="148"/>
      <c r="AO6" s="148"/>
      <c r="AP6" s="148"/>
      <c r="AQ6" s="148"/>
      <c r="AR6" s="148"/>
      <c r="AS6" s="148"/>
      <c r="AT6" s="148"/>
      <c r="AU6" s="148"/>
      <c r="AV6" s="148"/>
      <c r="AW6" s="148">
        <f t="shared" ref="AW6:AX10" si="2">AU6+AS6+AQ6+AO6+AM6</f>
        <v>0</v>
      </c>
      <c r="AX6" s="148">
        <f t="shared" si="2"/>
        <v>0</v>
      </c>
      <c r="AY6" s="149">
        <f t="shared" ref="AY6:AY10" si="3">SUM(AW6:AX6)</f>
        <v>0</v>
      </c>
      <c r="AZ6" s="147">
        <v>3</v>
      </c>
      <c r="BA6" s="148"/>
      <c r="BB6" s="148">
        <v>40</v>
      </c>
      <c r="BC6" s="148"/>
      <c r="BD6" s="148">
        <v>5</v>
      </c>
      <c r="BE6" s="148"/>
      <c r="BF6" s="148">
        <v>2</v>
      </c>
      <c r="BG6" s="148"/>
      <c r="BH6" s="148">
        <v>1</v>
      </c>
      <c r="BI6" s="148"/>
      <c r="BJ6" s="148"/>
      <c r="BK6" s="148"/>
      <c r="BL6" s="148">
        <f t="shared" ref="BL6:BM10" si="4">BJ6+BH6+BF6+BD6+BB6+AZ6</f>
        <v>51</v>
      </c>
      <c r="BM6" s="148">
        <f t="shared" si="4"/>
        <v>0</v>
      </c>
      <c r="BN6" s="148">
        <f t="shared" ref="BN6:BN10" si="5">SUM(BL6:BM6)</f>
        <v>51</v>
      </c>
      <c r="BO6" s="148">
        <v>18</v>
      </c>
      <c r="BP6" s="148"/>
      <c r="BQ6" s="148">
        <v>7</v>
      </c>
      <c r="BR6" s="148"/>
      <c r="BS6" s="148">
        <v>2</v>
      </c>
      <c r="BT6" s="148"/>
      <c r="BU6" s="148"/>
      <c r="BV6" s="148"/>
      <c r="BW6" s="148"/>
      <c r="BX6" s="148"/>
      <c r="BY6" s="148">
        <f t="shared" ref="BY6:BZ10" si="6">BW6+BU6+BS6+BQ6+BO6</f>
        <v>27</v>
      </c>
      <c r="BZ6" s="148">
        <f t="shared" si="6"/>
        <v>0</v>
      </c>
      <c r="CA6" s="148">
        <f t="shared" ref="CA6:CA10" si="7">SUM(BY6:BZ6)</f>
        <v>27</v>
      </c>
      <c r="CB6" s="148">
        <v>20</v>
      </c>
      <c r="CC6" s="148"/>
      <c r="CD6" s="148">
        <v>6</v>
      </c>
      <c r="CE6" s="148"/>
      <c r="CF6" s="148">
        <v>3</v>
      </c>
      <c r="CG6" s="148"/>
      <c r="CH6" s="148">
        <v>1</v>
      </c>
      <c r="CI6" s="148"/>
      <c r="CJ6" s="148">
        <v>1</v>
      </c>
      <c r="CK6" s="148"/>
      <c r="CL6" s="148">
        <f t="shared" ref="CL6:CM10" si="8">CJ6+CH6+CF6+CD6+CB6</f>
        <v>31</v>
      </c>
      <c r="CM6" s="148">
        <f t="shared" si="8"/>
        <v>0</v>
      </c>
      <c r="CN6" s="148">
        <f t="shared" ref="CN6:CN10" si="9">SUM(CL6:CM6)</f>
        <v>31</v>
      </c>
      <c r="CO6" s="148">
        <v>26</v>
      </c>
      <c r="CP6" s="148"/>
      <c r="CQ6" s="148">
        <v>6</v>
      </c>
      <c r="CR6" s="148"/>
      <c r="CS6" s="148">
        <v>3</v>
      </c>
      <c r="CT6" s="148"/>
      <c r="CU6" s="148">
        <v>4</v>
      </c>
      <c r="CV6" s="148"/>
      <c r="CW6" s="148">
        <v>1</v>
      </c>
      <c r="CX6" s="148"/>
      <c r="CY6" s="148">
        <f t="shared" ref="CY6:CZ10" si="10">CW6+CU6+CS6+CQ6+CO6</f>
        <v>40</v>
      </c>
      <c r="CZ6" s="148">
        <f t="shared" si="10"/>
        <v>0</v>
      </c>
      <c r="DA6" s="148">
        <f t="shared" ref="DA6:DA10" si="11">SUM(CY6:CZ6)</f>
        <v>40</v>
      </c>
      <c r="DB6" s="150">
        <v>35</v>
      </c>
      <c r="DC6" s="151"/>
      <c r="DD6" s="151">
        <v>13</v>
      </c>
      <c r="DE6" s="151"/>
      <c r="DF6" s="151">
        <v>8</v>
      </c>
      <c r="DG6" s="151"/>
      <c r="DH6" s="151">
        <v>3</v>
      </c>
      <c r="DI6" s="151"/>
      <c r="DJ6" s="151"/>
      <c r="DK6" s="151"/>
      <c r="DL6" s="151">
        <f t="shared" ref="DL6:DM10" si="12">DJ6+DH6+DF6+DD6+DB6</f>
        <v>59</v>
      </c>
      <c r="DM6" s="151">
        <f t="shared" si="12"/>
        <v>0</v>
      </c>
      <c r="DN6" s="151">
        <f t="shared" ref="DN6:DN10" si="13">SUM(DL6:DM6)</f>
        <v>59</v>
      </c>
      <c r="DO6" s="151">
        <v>30</v>
      </c>
      <c r="DP6" s="151"/>
      <c r="DQ6" s="151">
        <v>17</v>
      </c>
      <c r="DR6" s="151"/>
      <c r="DS6" s="151">
        <v>5</v>
      </c>
      <c r="DT6" s="151"/>
      <c r="DU6" s="151">
        <v>1</v>
      </c>
      <c r="DV6" s="151"/>
      <c r="DW6" s="151">
        <v>2</v>
      </c>
      <c r="DX6" s="151"/>
      <c r="DY6" s="151">
        <f t="shared" ref="DY6:DZ10" si="14">DW6+DU6+DS6+DQ6+DO6</f>
        <v>55</v>
      </c>
      <c r="DZ6" s="151">
        <f t="shared" si="14"/>
        <v>0</v>
      </c>
      <c r="EA6" s="151">
        <f t="shared" ref="EA6:EA10" si="15">SUM(DY6:DZ6)</f>
        <v>55</v>
      </c>
      <c r="EB6" s="151">
        <f t="shared" ref="EB6:EE10" si="16">AZ6</f>
        <v>3</v>
      </c>
      <c r="EC6" s="151">
        <f t="shared" si="16"/>
        <v>0</v>
      </c>
      <c r="ED6" s="151">
        <f t="shared" si="16"/>
        <v>40</v>
      </c>
      <c r="EE6" s="151">
        <f t="shared" si="16"/>
        <v>0</v>
      </c>
      <c r="EF6" s="151">
        <f t="shared" ref="EF6:EG10" si="17">BO6+BD6</f>
        <v>23</v>
      </c>
      <c r="EG6" s="151">
        <f t="shared" si="17"/>
        <v>0</v>
      </c>
      <c r="EH6" s="151">
        <f>CB6+BQ6+BF6</f>
        <v>29</v>
      </c>
      <c r="EI6" s="151">
        <f t="shared" ref="EH6:EI10" si="18">CC6+BR6+BG6</f>
        <v>0</v>
      </c>
      <c r="EJ6" s="151">
        <f t="shared" ref="EJ6:EK10" si="19">CO6+CD6+BS6+BH6</f>
        <v>35</v>
      </c>
      <c r="EK6" s="151">
        <f t="shared" si="19"/>
        <v>0</v>
      </c>
      <c r="EL6" s="151">
        <f t="shared" ref="EL6:EM10" si="20">DB6+CQ6+CF6+BU6+BJ6</f>
        <v>44</v>
      </c>
      <c r="EM6" s="151">
        <f t="shared" si="20"/>
        <v>0</v>
      </c>
      <c r="EN6" s="151">
        <f t="shared" ref="EN6:EO10" si="21">DO6+DD6+CS6+CH6+BW6</f>
        <v>47</v>
      </c>
      <c r="EO6" s="151">
        <f t="shared" si="21"/>
        <v>0</v>
      </c>
      <c r="EP6" s="151">
        <f t="shared" ref="EP6:EQ10" si="22">DQ6+DF6+CU6+CJ6</f>
        <v>30</v>
      </c>
      <c r="EQ6" s="151">
        <f t="shared" si="22"/>
        <v>0</v>
      </c>
      <c r="ER6" s="151">
        <f t="shared" ref="ER6:ES10" si="23">DS6+DH6+CW6</f>
        <v>9</v>
      </c>
      <c r="ES6" s="151">
        <f t="shared" si="23"/>
        <v>0</v>
      </c>
      <c r="ET6" s="151">
        <f t="shared" ref="ET6:EU10" si="24">DU6+DJ6</f>
        <v>1</v>
      </c>
      <c r="EU6" s="151">
        <f t="shared" si="24"/>
        <v>0</v>
      </c>
      <c r="EV6" s="151">
        <f t="shared" ref="EV6:EW10" si="25">DW6</f>
        <v>2</v>
      </c>
      <c r="EW6" s="151">
        <f t="shared" si="25"/>
        <v>0</v>
      </c>
      <c r="EX6" s="151">
        <f t="shared" ref="EX6:EY10" si="26">EV6+ET6+ER6+EP6+EN6+EL6+EJ6+EH6+EF6+ED6+EB6</f>
        <v>263</v>
      </c>
      <c r="EY6" s="151">
        <f t="shared" si="26"/>
        <v>0</v>
      </c>
      <c r="EZ6" s="152">
        <f t="shared" ref="EZ6:EZ10" si="27">SUM(EX6:EY6)</f>
        <v>263</v>
      </c>
      <c r="FA6" s="153"/>
      <c r="FB6" s="151"/>
      <c r="FC6" s="151"/>
      <c r="FD6" s="151"/>
      <c r="FE6" s="151"/>
      <c r="FF6" s="151"/>
      <c r="FG6" s="151"/>
      <c r="FH6" s="151"/>
      <c r="FI6" s="151"/>
      <c r="FJ6" s="151"/>
      <c r="FK6" s="151">
        <f t="shared" ref="FK6:FL10" si="28">FI6+FG6+FE6+FC6+FA6</f>
        <v>0</v>
      </c>
      <c r="FL6" s="151">
        <f t="shared" si="28"/>
        <v>0</v>
      </c>
      <c r="FM6" s="151">
        <f t="shared" ref="FM6:FM11" si="29">SUM(FK6:FL6)</f>
        <v>0</v>
      </c>
      <c r="FN6" s="151"/>
      <c r="FO6" s="151"/>
      <c r="FP6" s="151"/>
      <c r="FQ6" s="151"/>
      <c r="FR6" s="151"/>
      <c r="FS6" s="151"/>
      <c r="FT6" s="151"/>
      <c r="FU6" s="151"/>
      <c r="FV6" s="151"/>
      <c r="FW6" s="151"/>
      <c r="FX6" s="151">
        <f t="shared" ref="FX6:FY10" si="30">FV6+FT6+FR6+FP6+FN6</f>
        <v>0</v>
      </c>
      <c r="FY6" s="151">
        <f t="shared" si="30"/>
        <v>0</v>
      </c>
      <c r="FZ6" s="151">
        <f t="shared" ref="FZ6:FZ11" si="31">SUM(FX6:FY6)</f>
        <v>0</v>
      </c>
      <c r="GA6" s="151"/>
      <c r="GB6" s="151"/>
      <c r="GC6" s="151"/>
      <c r="GD6" s="151"/>
      <c r="GE6" s="151"/>
      <c r="GF6" s="151"/>
      <c r="GG6" s="151"/>
      <c r="GH6" s="151"/>
      <c r="GI6" s="151"/>
      <c r="GJ6" s="151"/>
      <c r="GK6" s="151">
        <f>GI6+GG6+GE6+GC6+GA6</f>
        <v>0</v>
      </c>
      <c r="GL6" s="151">
        <f>GJ6+GH6+GF6+GD6+GB6</f>
        <v>0</v>
      </c>
      <c r="GM6" s="151">
        <f>SUM(GK6:GL6)</f>
        <v>0</v>
      </c>
      <c r="GN6" s="151">
        <f t="shared" ref="GN6:GO10" si="32">FA6</f>
        <v>0</v>
      </c>
      <c r="GO6" s="151">
        <f t="shared" si="32"/>
        <v>0</v>
      </c>
      <c r="GP6" s="151">
        <f t="shared" ref="GP6:GQ10" si="33">FN6+FC6</f>
        <v>0</v>
      </c>
      <c r="GQ6" s="151">
        <f t="shared" si="33"/>
        <v>0</v>
      </c>
      <c r="GR6" s="151">
        <f t="shared" ref="GR6:GW6" si="34">GA6+FP6+FE6</f>
        <v>0</v>
      </c>
      <c r="GS6" s="151">
        <f t="shared" si="34"/>
        <v>0</v>
      </c>
      <c r="GT6" s="151">
        <f t="shared" si="34"/>
        <v>0</v>
      </c>
      <c r="GU6" s="151">
        <f t="shared" si="34"/>
        <v>0</v>
      </c>
      <c r="GV6" s="151">
        <f t="shared" si="34"/>
        <v>0</v>
      </c>
      <c r="GW6" s="151">
        <f t="shared" si="34"/>
        <v>0</v>
      </c>
      <c r="GX6" s="151">
        <f t="shared" ref="GX6:GY10" si="35">GG6+FV6</f>
        <v>0</v>
      </c>
      <c r="GY6" s="151">
        <f t="shared" si="35"/>
        <v>0</v>
      </c>
      <c r="GZ6" s="151">
        <f t="shared" ref="GZ6:HA10" si="36">GI6</f>
        <v>0</v>
      </c>
      <c r="HA6" s="151">
        <f t="shared" si="36"/>
        <v>0</v>
      </c>
      <c r="HB6" s="151">
        <f t="shared" ref="HB6:HC10" si="37">GZ6+GX6+GV6+GT6+GR6+GP6+GN6</f>
        <v>0</v>
      </c>
      <c r="HC6" s="151">
        <f t="shared" si="37"/>
        <v>0</v>
      </c>
      <c r="HD6" s="151">
        <f t="shared" ref="HD6:HD10" si="38">SUM(HB6:HC6)</f>
        <v>0</v>
      </c>
      <c r="HE6" s="148">
        <v>2</v>
      </c>
      <c r="HF6" s="148"/>
      <c r="HG6" s="148"/>
      <c r="HH6" s="148">
        <v>1</v>
      </c>
      <c r="HI6" s="148"/>
      <c r="HJ6" s="148"/>
      <c r="HK6" s="148">
        <v>1</v>
      </c>
      <c r="HL6" s="148"/>
      <c r="HM6" s="148"/>
      <c r="HN6" s="148">
        <v>1</v>
      </c>
      <c r="HO6" s="148"/>
      <c r="HP6" s="148"/>
      <c r="HQ6" s="148">
        <v>2</v>
      </c>
      <c r="HR6" s="148"/>
      <c r="HS6" s="148"/>
      <c r="HT6" s="148">
        <v>2</v>
      </c>
      <c r="HU6" s="148"/>
      <c r="HV6" s="148"/>
      <c r="HW6" s="148">
        <f>HT6+HQ6+HN6+HK6+HH6+HE6</f>
        <v>9</v>
      </c>
      <c r="HX6" s="148">
        <f>HU6+HR6+HO6+HL6+HI6+HF6</f>
        <v>0</v>
      </c>
      <c r="HY6" s="148">
        <f>HV6+HS6+HP6+HM6+HJ6+HG6</f>
        <v>0</v>
      </c>
      <c r="HZ6" s="148">
        <f>SUM(HW6:HY6)</f>
        <v>9</v>
      </c>
      <c r="IA6" s="148"/>
      <c r="IB6" s="148"/>
      <c r="IC6" s="148"/>
      <c r="ID6" s="148"/>
      <c r="IE6" s="148"/>
      <c r="IF6" s="148"/>
      <c r="IG6" s="148"/>
      <c r="IH6" s="148"/>
      <c r="II6" s="148"/>
      <c r="IJ6" s="148">
        <f t="shared" ref="IJ6:IL10" si="39">IG6+ID6+IA6</f>
        <v>0</v>
      </c>
      <c r="IK6" s="148">
        <f t="shared" si="39"/>
        <v>0</v>
      </c>
      <c r="IL6" s="148">
        <f t="shared" si="39"/>
        <v>0</v>
      </c>
      <c r="IM6" s="154">
        <f t="shared" ref="IM6:IM10" si="40">SUM(IJ6:IL6)</f>
        <v>0</v>
      </c>
      <c r="IN6" s="148">
        <f t="shared" ref="IN6:IQ10" si="41">IJ6+HW6</f>
        <v>9</v>
      </c>
      <c r="IO6" s="148">
        <f t="shared" si="41"/>
        <v>0</v>
      </c>
      <c r="IP6" s="148">
        <f t="shared" si="41"/>
        <v>0</v>
      </c>
      <c r="IQ6" s="148">
        <f t="shared" si="41"/>
        <v>9</v>
      </c>
      <c r="IR6" s="226">
        <v>1</v>
      </c>
      <c r="IS6" s="226"/>
      <c r="IT6" s="226"/>
      <c r="IU6" s="226">
        <v>1</v>
      </c>
      <c r="IV6" s="226">
        <v>7</v>
      </c>
      <c r="IW6" s="226">
        <v>16</v>
      </c>
      <c r="IX6" s="226"/>
      <c r="IY6" s="226"/>
      <c r="IZ6" s="226">
        <f t="shared" ref="IZ6:JA10" si="42">IX6+IV6+IT6+IR6</f>
        <v>8</v>
      </c>
      <c r="JA6" s="226">
        <f t="shared" si="42"/>
        <v>17</v>
      </c>
      <c r="JB6" s="226">
        <f t="shared" ref="JB6:JB10" si="43">SUM(IZ6:JA6)</f>
        <v>25</v>
      </c>
      <c r="JC6" s="226"/>
      <c r="JD6" s="226"/>
      <c r="JE6" s="226"/>
      <c r="JF6" s="226"/>
      <c r="JG6" s="226"/>
      <c r="JH6" s="226"/>
      <c r="JI6" s="226"/>
      <c r="JJ6" s="226"/>
      <c r="JK6" s="226"/>
      <c r="JL6" s="226"/>
      <c r="JM6" s="226">
        <f t="shared" ref="JM6:JN10" si="44">JK6+JG6+JE6+JC6</f>
        <v>0</v>
      </c>
      <c r="JN6" s="226">
        <f t="shared" si="44"/>
        <v>0</v>
      </c>
      <c r="JO6" s="226">
        <f t="shared" ref="JO6:JO10" si="45">SUM(JM6:JN6)</f>
        <v>0</v>
      </c>
      <c r="JP6" s="156">
        <f t="shared" ref="JP6:JS10" si="46">JC6+IR6</f>
        <v>1</v>
      </c>
      <c r="JQ6" s="156">
        <f t="shared" si="46"/>
        <v>0</v>
      </c>
      <c r="JR6" s="156">
        <f t="shared" si="46"/>
        <v>0</v>
      </c>
      <c r="JS6" s="156">
        <f t="shared" si="46"/>
        <v>1</v>
      </c>
      <c r="JT6" s="156">
        <f t="shared" ref="JT6:JU10" si="47">JG6</f>
        <v>0</v>
      </c>
      <c r="JU6" s="156">
        <f t="shared" si="47"/>
        <v>0</v>
      </c>
      <c r="JV6" s="156">
        <f t="shared" ref="JV6:JW10" si="48">IV6+JI6</f>
        <v>7</v>
      </c>
      <c r="JW6" s="156">
        <f t="shared" si="48"/>
        <v>16</v>
      </c>
      <c r="JX6" s="156">
        <f t="shared" ref="JX6:JY10" si="49">JK6+IX6</f>
        <v>0</v>
      </c>
      <c r="JY6" s="156">
        <f t="shared" si="49"/>
        <v>0</v>
      </c>
      <c r="JZ6" s="156">
        <f t="shared" ref="JZ6:KA10" si="50">JX6+JV6+JT6+JR6+JP6</f>
        <v>8</v>
      </c>
      <c r="KA6" s="156">
        <f t="shared" si="50"/>
        <v>17</v>
      </c>
      <c r="KB6" s="156">
        <f t="shared" ref="KB6:KB10" si="51">SUM(JZ6:KA6)</f>
        <v>25</v>
      </c>
      <c r="KC6" s="156">
        <v>1</v>
      </c>
      <c r="KD6" s="156"/>
      <c r="KE6" s="156"/>
      <c r="KF6" s="156">
        <v>1</v>
      </c>
      <c r="KG6" s="156"/>
      <c r="KH6" s="156"/>
      <c r="KI6" s="156"/>
      <c r="KJ6" s="156"/>
      <c r="KK6" s="156">
        <v>1</v>
      </c>
      <c r="KL6" s="156"/>
      <c r="KM6" s="156">
        <v>18</v>
      </c>
      <c r="KN6" s="156">
        <v>6</v>
      </c>
      <c r="KO6" s="156">
        <f>SUM(KM6:KN6)</f>
        <v>24</v>
      </c>
      <c r="KP6" s="227"/>
      <c r="KQ6" s="227">
        <v>1</v>
      </c>
      <c r="KR6" s="156"/>
      <c r="KS6" s="156">
        <v>1</v>
      </c>
      <c r="KT6" s="156"/>
      <c r="KU6" s="156"/>
      <c r="KV6" s="156">
        <v>1</v>
      </c>
      <c r="KW6" s="227"/>
      <c r="KX6" s="156"/>
      <c r="KY6" s="227">
        <v>1</v>
      </c>
      <c r="KZ6" s="156"/>
      <c r="LA6" s="156"/>
      <c r="LB6" s="156"/>
      <c r="LC6" s="156"/>
      <c r="LD6" s="156"/>
      <c r="LE6" s="156">
        <v>1</v>
      </c>
      <c r="LF6" s="156"/>
      <c r="LG6" s="156">
        <v>1</v>
      </c>
      <c r="LH6" s="156"/>
      <c r="LI6" s="156">
        <v>1</v>
      </c>
      <c r="LJ6" s="156"/>
      <c r="LK6" s="156">
        <v>1</v>
      </c>
      <c r="LL6" s="156"/>
      <c r="LM6" s="156">
        <v>1</v>
      </c>
      <c r="LN6" s="156"/>
      <c r="LO6" s="156"/>
      <c r="LP6" s="156"/>
      <c r="LQ6" s="227">
        <v>1</v>
      </c>
      <c r="LR6" s="227"/>
      <c r="LS6" s="227"/>
      <c r="LT6" s="227">
        <v>1</v>
      </c>
      <c r="LU6" s="156"/>
      <c r="LV6" s="156"/>
      <c r="LW6" s="156">
        <v>25</v>
      </c>
      <c r="LX6" s="227">
        <v>100</v>
      </c>
      <c r="LY6" s="227">
        <f>SUM(LW6:LX6)</f>
        <v>125</v>
      </c>
      <c r="LZ6" s="156"/>
      <c r="MA6" s="156">
        <v>1</v>
      </c>
      <c r="MB6" s="156"/>
      <c r="MC6" s="156"/>
      <c r="MD6" s="156"/>
      <c r="ME6" s="156"/>
      <c r="MF6" s="156"/>
      <c r="MG6" s="156"/>
      <c r="MH6" s="156"/>
      <c r="MI6" s="156"/>
      <c r="MJ6" s="156"/>
      <c r="MK6" s="156"/>
      <c r="ML6" s="156"/>
      <c r="MM6" s="156"/>
      <c r="MN6" s="156"/>
      <c r="MO6" s="156"/>
    </row>
    <row r="7" spans="1:353" s="157" customFormat="1" ht="21" customHeight="1" thickBot="1" x14ac:dyDescent="0.25">
      <c r="A7" s="145" t="s">
        <v>112</v>
      </c>
      <c r="B7" s="145" t="s">
        <v>113</v>
      </c>
      <c r="C7" s="145">
        <v>2</v>
      </c>
      <c r="D7" s="145">
        <v>1400193</v>
      </c>
      <c r="E7" s="145" t="s">
        <v>264</v>
      </c>
      <c r="F7" s="145">
        <v>1</v>
      </c>
      <c r="G7" s="145"/>
      <c r="H7" s="145">
        <v>1</v>
      </c>
      <c r="I7" s="145"/>
      <c r="J7" s="145"/>
      <c r="K7" s="145">
        <v>1</v>
      </c>
      <c r="L7" s="145"/>
      <c r="M7" s="145">
        <v>1</v>
      </c>
      <c r="N7" s="145"/>
      <c r="O7" s="145"/>
      <c r="P7" s="145">
        <v>1</v>
      </c>
      <c r="Q7" s="145"/>
      <c r="R7" s="145"/>
      <c r="S7" s="145"/>
      <c r="T7" s="145">
        <v>1</v>
      </c>
      <c r="U7" s="145"/>
      <c r="V7" s="145"/>
      <c r="W7" s="145">
        <v>1</v>
      </c>
      <c r="X7" s="145"/>
      <c r="Y7" s="145"/>
      <c r="Z7" s="145">
        <v>35</v>
      </c>
      <c r="AA7" s="145"/>
      <c r="AB7" s="145">
        <v>2</v>
      </c>
      <c r="AC7" s="145"/>
      <c r="AD7" s="145">
        <v>1</v>
      </c>
      <c r="AE7" s="145"/>
      <c r="AF7" s="145"/>
      <c r="AG7" s="145"/>
      <c r="AH7" s="145"/>
      <c r="AI7" s="145"/>
      <c r="AJ7" s="145">
        <f t="shared" si="0"/>
        <v>38</v>
      </c>
      <c r="AK7" s="145">
        <f t="shared" si="0"/>
        <v>0</v>
      </c>
      <c r="AL7" s="146">
        <f t="shared" si="1"/>
        <v>38</v>
      </c>
      <c r="AM7" s="147"/>
      <c r="AN7" s="148"/>
      <c r="AO7" s="148"/>
      <c r="AP7" s="148"/>
      <c r="AQ7" s="148"/>
      <c r="AR7" s="148"/>
      <c r="AS7" s="148"/>
      <c r="AT7" s="148"/>
      <c r="AU7" s="148"/>
      <c r="AV7" s="148"/>
      <c r="AW7" s="148">
        <f t="shared" si="2"/>
        <v>0</v>
      </c>
      <c r="AX7" s="148">
        <f t="shared" si="2"/>
        <v>0</v>
      </c>
      <c r="AY7" s="149">
        <f t="shared" si="3"/>
        <v>0</v>
      </c>
      <c r="AZ7" s="147"/>
      <c r="BA7" s="148"/>
      <c r="BB7" s="148">
        <v>35</v>
      </c>
      <c r="BC7" s="148"/>
      <c r="BD7" s="148">
        <v>6</v>
      </c>
      <c r="BE7" s="148"/>
      <c r="BF7" s="148">
        <v>2</v>
      </c>
      <c r="BG7" s="148"/>
      <c r="BH7" s="148">
        <v>4</v>
      </c>
      <c r="BI7" s="148"/>
      <c r="BJ7" s="148"/>
      <c r="BK7" s="148"/>
      <c r="BL7" s="148">
        <f t="shared" si="4"/>
        <v>47</v>
      </c>
      <c r="BM7" s="148">
        <f t="shared" si="4"/>
        <v>0</v>
      </c>
      <c r="BN7" s="148">
        <f t="shared" si="5"/>
        <v>47</v>
      </c>
      <c r="BO7" s="148">
        <v>47</v>
      </c>
      <c r="BP7" s="148"/>
      <c r="BQ7" s="148">
        <v>5</v>
      </c>
      <c r="BR7" s="148"/>
      <c r="BS7" s="148">
        <v>1</v>
      </c>
      <c r="BT7" s="148"/>
      <c r="BU7" s="148">
        <v>1</v>
      </c>
      <c r="BV7" s="148"/>
      <c r="BW7" s="148"/>
      <c r="BX7" s="148"/>
      <c r="BY7" s="148">
        <f t="shared" si="6"/>
        <v>54</v>
      </c>
      <c r="BZ7" s="148">
        <f t="shared" si="6"/>
        <v>0</v>
      </c>
      <c r="CA7" s="148">
        <f t="shared" si="7"/>
        <v>54</v>
      </c>
      <c r="CB7" s="148">
        <v>44</v>
      </c>
      <c r="CC7" s="148"/>
      <c r="CD7" s="148">
        <v>10</v>
      </c>
      <c r="CE7" s="148"/>
      <c r="CF7" s="148">
        <v>2</v>
      </c>
      <c r="CG7" s="148"/>
      <c r="CH7" s="148"/>
      <c r="CI7" s="148"/>
      <c r="CJ7" s="148"/>
      <c r="CK7" s="148"/>
      <c r="CL7" s="148">
        <f t="shared" si="8"/>
        <v>56</v>
      </c>
      <c r="CM7" s="148">
        <f t="shared" si="8"/>
        <v>0</v>
      </c>
      <c r="CN7" s="148">
        <f t="shared" si="9"/>
        <v>56</v>
      </c>
      <c r="CO7" s="148">
        <v>32</v>
      </c>
      <c r="CP7" s="148"/>
      <c r="CQ7" s="148">
        <v>7</v>
      </c>
      <c r="CR7" s="148"/>
      <c r="CS7" s="148">
        <v>3</v>
      </c>
      <c r="CT7" s="148"/>
      <c r="CU7" s="148">
        <v>2</v>
      </c>
      <c r="CV7" s="148"/>
      <c r="CW7" s="148"/>
      <c r="CX7" s="148"/>
      <c r="CY7" s="148">
        <f t="shared" si="10"/>
        <v>44</v>
      </c>
      <c r="CZ7" s="148">
        <f t="shared" si="10"/>
        <v>0</v>
      </c>
      <c r="DA7" s="148">
        <f t="shared" si="11"/>
        <v>44</v>
      </c>
      <c r="DB7" s="150">
        <v>40</v>
      </c>
      <c r="DC7" s="151"/>
      <c r="DD7" s="151">
        <v>13</v>
      </c>
      <c r="DE7" s="151"/>
      <c r="DF7" s="151">
        <v>4</v>
      </c>
      <c r="DG7" s="151"/>
      <c r="DH7" s="151">
        <v>3</v>
      </c>
      <c r="DI7" s="151"/>
      <c r="DJ7" s="151">
        <v>1</v>
      </c>
      <c r="DK7" s="151"/>
      <c r="DL7" s="151">
        <f t="shared" si="12"/>
        <v>61</v>
      </c>
      <c r="DM7" s="151">
        <f t="shared" si="12"/>
        <v>0</v>
      </c>
      <c r="DN7" s="151">
        <f t="shared" si="13"/>
        <v>61</v>
      </c>
      <c r="DO7" s="151">
        <v>35</v>
      </c>
      <c r="DP7" s="151"/>
      <c r="DQ7" s="151">
        <v>5</v>
      </c>
      <c r="DR7" s="151"/>
      <c r="DS7" s="151"/>
      <c r="DT7" s="151"/>
      <c r="DU7" s="151">
        <v>1</v>
      </c>
      <c r="DV7" s="151"/>
      <c r="DW7" s="151"/>
      <c r="DX7" s="151"/>
      <c r="DY7" s="151">
        <f t="shared" si="14"/>
        <v>41</v>
      </c>
      <c r="DZ7" s="151">
        <f t="shared" si="14"/>
        <v>0</v>
      </c>
      <c r="EA7" s="151">
        <f t="shared" si="15"/>
        <v>41</v>
      </c>
      <c r="EB7" s="151">
        <f t="shared" si="16"/>
        <v>0</v>
      </c>
      <c r="EC7" s="151">
        <f t="shared" si="16"/>
        <v>0</v>
      </c>
      <c r="ED7" s="151">
        <f t="shared" si="16"/>
        <v>35</v>
      </c>
      <c r="EE7" s="151">
        <f t="shared" si="16"/>
        <v>0</v>
      </c>
      <c r="EF7" s="151">
        <f t="shared" si="17"/>
        <v>53</v>
      </c>
      <c r="EG7" s="151">
        <f t="shared" si="17"/>
        <v>0</v>
      </c>
      <c r="EH7" s="151">
        <f t="shared" si="18"/>
        <v>51</v>
      </c>
      <c r="EI7" s="151">
        <f t="shared" si="18"/>
        <v>0</v>
      </c>
      <c r="EJ7" s="151">
        <f t="shared" si="19"/>
        <v>47</v>
      </c>
      <c r="EK7" s="151">
        <f t="shared" si="19"/>
        <v>0</v>
      </c>
      <c r="EL7" s="151">
        <f t="shared" si="20"/>
        <v>50</v>
      </c>
      <c r="EM7" s="151">
        <f t="shared" si="20"/>
        <v>0</v>
      </c>
      <c r="EN7" s="151">
        <f t="shared" si="21"/>
        <v>51</v>
      </c>
      <c r="EO7" s="151">
        <f t="shared" si="21"/>
        <v>0</v>
      </c>
      <c r="EP7" s="151">
        <f t="shared" si="22"/>
        <v>11</v>
      </c>
      <c r="EQ7" s="151">
        <f t="shared" si="22"/>
        <v>0</v>
      </c>
      <c r="ER7" s="151">
        <f t="shared" si="23"/>
        <v>3</v>
      </c>
      <c r="ES7" s="151">
        <f t="shared" si="23"/>
        <v>0</v>
      </c>
      <c r="ET7" s="151">
        <f t="shared" si="24"/>
        <v>2</v>
      </c>
      <c r="EU7" s="151">
        <f t="shared" si="24"/>
        <v>0</v>
      </c>
      <c r="EV7" s="151">
        <f t="shared" si="25"/>
        <v>0</v>
      </c>
      <c r="EW7" s="151">
        <f t="shared" si="25"/>
        <v>0</v>
      </c>
      <c r="EX7" s="151">
        <f t="shared" si="26"/>
        <v>303</v>
      </c>
      <c r="EY7" s="151">
        <f t="shared" si="26"/>
        <v>0</v>
      </c>
      <c r="EZ7" s="152">
        <f t="shared" si="27"/>
        <v>303</v>
      </c>
      <c r="FA7" s="153"/>
      <c r="FB7" s="151"/>
      <c r="FC7" s="151"/>
      <c r="FD7" s="151"/>
      <c r="FE7" s="151"/>
      <c r="FF7" s="151"/>
      <c r="FG7" s="151"/>
      <c r="FH7" s="151"/>
      <c r="FI7" s="151"/>
      <c r="FJ7" s="151"/>
      <c r="FK7" s="151">
        <f t="shared" si="28"/>
        <v>0</v>
      </c>
      <c r="FL7" s="151">
        <f t="shared" si="28"/>
        <v>0</v>
      </c>
      <c r="FM7" s="151">
        <f t="shared" si="29"/>
        <v>0</v>
      </c>
      <c r="FN7" s="151"/>
      <c r="FO7" s="151"/>
      <c r="FP7" s="151"/>
      <c r="FQ7" s="151"/>
      <c r="FR7" s="151"/>
      <c r="FS7" s="151"/>
      <c r="FT7" s="151"/>
      <c r="FU7" s="151"/>
      <c r="FV7" s="151"/>
      <c r="FW7" s="151"/>
      <c r="FX7" s="151">
        <f t="shared" si="30"/>
        <v>0</v>
      </c>
      <c r="FY7" s="151">
        <f t="shared" si="30"/>
        <v>0</v>
      </c>
      <c r="FZ7" s="151">
        <f t="shared" si="31"/>
        <v>0</v>
      </c>
      <c r="GA7" s="151"/>
      <c r="GB7" s="151"/>
      <c r="GC7" s="151"/>
      <c r="GD7" s="151"/>
      <c r="GE7" s="151"/>
      <c r="GF7" s="151"/>
      <c r="GG7" s="151"/>
      <c r="GH7" s="151"/>
      <c r="GI7" s="151"/>
      <c r="GJ7" s="151"/>
      <c r="GK7" s="151">
        <f t="shared" ref="GK7:GK20" si="52">GI7+GG7+GE7+GC7+GA7</f>
        <v>0</v>
      </c>
      <c r="GL7" s="151">
        <f t="shared" ref="GL7:GL20" si="53">GJ7+GH7+GF7+GD7+GB7</f>
        <v>0</v>
      </c>
      <c r="GM7" s="151">
        <f t="shared" ref="GM7:GM20" si="54">SUM(GK7:GL7)</f>
        <v>0</v>
      </c>
      <c r="GN7" s="151">
        <f t="shared" si="32"/>
        <v>0</v>
      </c>
      <c r="GO7" s="151">
        <f t="shared" si="32"/>
        <v>0</v>
      </c>
      <c r="GP7" s="151">
        <f t="shared" si="33"/>
        <v>0</v>
      </c>
      <c r="GQ7" s="151">
        <f t="shared" si="33"/>
        <v>0</v>
      </c>
      <c r="GR7" s="151">
        <f t="shared" ref="GR7:GW10" si="55">GA7+FP7+FE7</f>
        <v>0</v>
      </c>
      <c r="GS7" s="151">
        <f t="shared" si="55"/>
        <v>0</v>
      </c>
      <c r="GT7" s="151">
        <f t="shared" si="55"/>
        <v>0</v>
      </c>
      <c r="GU7" s="151">
        <f t="shared" si="55"/>
        <v>0</v>
      </c>
      <c r="GV7" s="151">
        <f t="shared" si="55"/>
        <v>0</v>
      </c>
      <c r="GW7" s="151">
        <f t="shared" si="55"/>
        <v>0</v>
      </c>
      <c r="GX7" s="151">
        <f t="shared" si="35"/>
        <v>0</v>
      </c>
      <c r="GY7" s="151">
        <f t="shared" si="35"/>
        <v>0</v>
      </c>
      <c r="GZ7" s="151">
        <f t="shared" si="36"/>
        <v>0</v>
      </c>
      <c r="HA7" s="151">
        <f t="shared" si="36"/>
        <v>0</v>
      </c>
      <c r="HB7" s="151">
        <f t="shared" si="37"/>
        <v>0</v>
      </c>
      <c r="HC7" s="151">
        <f t="shared" si="37"/>
        <v>0</v>
      </c>
      <c r="HD7" s="151">
        <f t="shared" si="38"/>
        <v>0</v>
      </c>
      <c r="HE7" s="148">
        <v>2</v>
      </c>
      <c r="HF7" s="148"/>
      <c r="HG7" s="148"/>
      <c r="HH7" s="148">
        <v>2</v>
      </c>
      <c r="HI7" s="148"/>
      <c r="HJ7" s="148"/>
      <c r="HK7" s="148">
        <v>2</v>
      </c>
      <c r="HL7" s="148"/>
      <c r="HM7" s="148"/>
      <c r="HN7" s="148">
        <v>2</v>
      </c>
      <c r="HO7" s="148"/>
      <c r="HP7" s="148"/>
      <c r="HQ7" s="148">
        <v>2</v>
      </c>
      <c r="HR7" s="148"/>
      <c r="HS7" s="148"/>
      <c r="HT7" s="148">
        <v>2</v>
      </c>
      <c r="HU7" s="148"/>
      <c r="HV7" s="148"/>
      <c r="HW7" s="148">
        <f t="shared" ref="HW7:HW20" si="56">HT7+HQ7+HN7+HK7+HH7+HE7</f>
        <v>12</v>
      </c>
      <c r="HX7" s="148">
        <f t="shared" ref="HX7:HX20" si="57">HU7+HR7+HO7+HL7+HI7+HF7</f>
        <v>0</v>
      </c>
      <c r="HY7" s="148">
        <f t="shared" ref="HY7:HY20" si="58">HV7+HS7+HP7+HM7+HJ7+HG7</f>
        <v>0</v>
      </c>
      <c r="HZ7" s="148">
        <f t="shared" ref="HZ7:HZ20" si="59">SUM(HW7:HY7)</f>
        <v>12</v>
      </c>
      <c r="IA7" s="148"/>
      <c r="IB7" s="148"/>
      <c r="IC7" s="148"/>
      <c r="ID7" s="148"/>
      <c r="IE7" s="148"/>
      <c r="IF7" s="148"/>
      <c r="IG7" s="148"/>
      <c r="IH7" s="148"/>
      <c r="II7" s="148"/>
      <c r="IJ7" s="148">
        <f t="shared" si="39"/>
        <v>0</v>
      </c>
      <c r="IK7" s="148">
        <f t="shared" si="39"/>
        <v>0</v>
      </c>
      <c r="IL7" s="148">
        <f t="shared" si="39"/>
        <v>0</v>
      </c>
      <c r="IM7" s="154">
        <f t="shared" si="40"/>
        <v>0</v>
      </c>
      <c r="IN7" s="148">
        <f t="shared" si="41"/>
        <v>12</v>
      </c>
      <c r="IO7" s="148">
        <f t="shared" si="41"/>
        <v>0</v>
      </c>
      <c r="IP7" s="148">
        <f t="shared" si="41"/>
        <v>0</v>
      </c>
      <c r="IQ7" s="148">
        <f t="shared" si="41"/>
        <v>12</v>
      </c>
      <c r="IR7" s="226">
        <v>1</v>
      </c>
      <c r="IS7" s="226"/>
      <c r="IT7" s="226">
        <v>1</v>
      </c>
      <c r="IU7" s="226">
        <v>1</v>
      </c>
      <c r="IV7" s="226">
        <v>5</v>
      </c>
      <c r="IW7" s="226">
        <v>7</v>
      </c>
      <c r="IX7" s="226"/>
      <c r="IY7" s="226">
        <v>1</v>
      </c>
      <c r="IZ7" s="226">
        <f t="shared" si="42"/>
        <v>7</v>
      </c>
      <c r="JA7" s="226">
        <f t="shared" si="42"/>
        <v>9</v>
      </c>
      <c r="JB7" s="226">
        <f t="shared" si="43"/>
        <v>16</v>
      </c>
      <c r="JC7" s="226"/>
      <c r="JD7" s="226"/>
      <c r="JE7" s="226"/>
      <c r="JF7" s="226"/>
      <c r="JG7" s="226"/>
      <c r="JH7" s="226"/>
      <c r="JI7" s="226"/>
      <c r="JJ7" s="226"/>
      <c r="JK7" s="226"/>
      <c r="JL7" s="226"/>
      <c r="JM7" s="226">
        <f t="shared" si="44"/>
        <v>0</v>
      </c>
      <c r="JN7" s="226">
        <f t="shared" si="44"/>
        <v>0</v>
      </c>
      <c r="JO7" s="226">
        <f t="shared" si="45"/>
        <v>0</v>
      </c>
      <c r="JP7" s="156">
        <f t="shared" si="46"/>
        <v>1</v>
      </c>
      <c r="JQ7" s="156">
        <f t="shared" si="46"/>
        <v>0</v>
      </c>
      <c r="JR7" s="156">
        <f t="shared" si="46"/>
        <v>1</v>
      </c>
      <c r="JS7" s="156">
        <f t="shared" si="46"/>
        <v>1</v>
      </c>
      <c r="JT7" s="156">
        <f t="shared" si="47"/>
        <v>0</v>
      </c>
      <c r="JU7" s="156">
        <f t="shared" si="47"/>
        <v>0</v>
      </c>
      <c r="JV7" s="156">
        <f t="shared" si="48"/>
        <v>5</v>
      </c>
      <c r="JW7" s="156">
        <f t="shared" si="48"/>
        <v>7</v>
      </c>
      <c r="JX7" s="156">
        <f t="shared" si="49"/>
        <v>0</v>
      </c>
      <c r="JY7" s="156">
        <f t="shared" si="49"/>
        <v>1</v>
      </c>
      <c r="JZ7" s="156">
        <f t="shared" si="50"/>
        <v>7</v>
      </c>
      <c r="KA7" s="156">
        <f t="shared" si="50"/>
        <v>9</v>
      </c>
      <c r="KB7" s="156">
        <f t="shared" si="51"/>
        <v>16</v>
      </c>
      <c r="KC7" s="156">
        <v>1</v>
      </c>
      <c r="KD7" s="156"/>
      <c r="KE7" s="156"/>
      <c r="KF7" s="156">
        <v>1</v>
      </c>
      <c r="KG7" s="156"/>
      <c r="KH7" s="156"/>
      <c r="KI7" s="156"/>
      <c r="KJ7" s="156">
        <v>1</v>
      </c>
      <c r="KK7" s="156"/>
      <c r="KL7" s="156"/>
      <c r="KM7" s="156">
        <v>12</v>
      </c>
      <c r="KN7" s="156">
        <v>7</v>
      </c>
      <c r="KO7" s="156">
        <f t="shared" ref="KO7:KO31" si="60">SUM(KM7:KN7)</f>
        <v>19</v>
      </c>
      <c r="KP7" s="227"/>
      <c r="KQ7" s="227">
        <v>1</v>
      </c>
      <c r="KR7" s="156"/>
      <c r="KS7" s="156"/>
      <c r="KT7" s="156">
        <v>1</v>
      </c>
      <c r="KU7" s="156"/>
      <c r="KV7" s="156">
        <v>1</v>
      </c>
      <c r="KW7" s="227"/>
      <c r="KX7" s="156"/>
      <c r="KY7" s="227">
        <v>1</v>
      </c>
      <c r="KZ7" s="156"/>
      <c r="LA7" s="156"/>
      <c r="LB7" s="156"/>
      <c r="LC7" s="156"/>
      <c r="LD7" s="156"/>
      <c r="LE7" s="156">
        <v>1</v>
      </c>
      <c r="LF7" s="156"/>
      <c r="LG7" s="156">
        <v>1</v>
      </c>
      <c r="LH7" s="156"/>
      <c r="LI7" s="156">
        <v>1</v>
      </c>
      <c r="LJ7" s="156"/>
      <c r="LK7" s="156">
        <v>1</v>
      </c>
      <c r="LL7" s="156"/>
      <c r="LM7" s="156"/>
      <c r="LN7" s="156">
        <v>1</v>
      </c>
      <c r="LO7" s="156"/>
      <c r="LP7" s="156"/>
      <c r="LQ7" s="227"/>
      <c r="LR7" s="227"/>
      <c r="LS7" s="227"/>
      <c r="LT7" s="227"/>
      <c r="LU7" s="156"/>
      <c r="LV7" s="156"/>
      <c r="LW7" s="156"/>
      <c r="LX7" s="227"/>
      <c r="LY7" s="227">
        <f t="shared" ref="LY7:LY31" si="61">SUM(LW7:LX7)</f>
        <v>0</v>
      </c>
      <c r="LZ7" s="156"/>
      <c r="MA7" s="156">
        <v>1</v>
      </c>
      <c r="MB7" s="156"/>
      <c r="MC7" s="156"/>
      <c r="MD7" s="156"/>
      <c r="ME7" s="156"/>
      <c r="MF7" s="156"/>
      <c r="MG7" s="156"/>
      <c r="MH7" s="156"/>
      <c r="MI7" s="156"/>
      <c r="MJ7" s="156"/>
      <c r="MK7" s="156"/>
      <c r="ML7" s="156"/>
      <c r="MM7" s="156"/>
      <c r="MN7" s="156"/>
      <c r="MO7" s="156"/>
    </row>
    <row r="8" spans="1:353" s="49" customFormat="1" ht="21" customHeight="1" thickBot="1" x14ac:dyDescent="0.25">
      <c r="A8" s="36" t="s">
        <v>112</v>
      </c>
      <c r="B8" s="36" t="s">
        <v>113</v>
      </c>
      <c r="C8" s="36">
        <v>3</v>
      </c>
      <c r="D8" s="36">
        <v>1400197</v>
      </c>
      <c r="E8" s="36" t="s">
        <v>265</v>
      </c>
      <c r="F8" s="36">
        <v>1</v>
      </c>
      <c r="G8" s="36"/>
      <c r="H8" s="36">
        <v>1</v>
      </c>
      <c r="I8" s="36"/>
      <c r="J8" s="36"/>
      <c r="K8" s="36">
        <v>1</v>
      </c>
      <c r="L8" s="36"/>
      <c r="M8" s="36">
        <v>1</v>
      </c>
      <c r="N8" s="36"/>
      <c r="O8" s="36"/>
      <c r="P8" s="36">
        <v>1</v>
      </c>
      <c r="Q8" s="36"/>
      <c r="R8" s="36">
        <v>1</v>
      </c>
      <c r="S8" s="36"/>
      <c r="T8" s="36"/>
      <c r="U8" s="36"/>
      <c r="V8" s="36"/>
      <c r="W8" s="36">
        <v>1</v>
      </c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>
        <f t="shared" si="0"/>
        <v>0</v>
      </c>
      <c r="AK8" s="36">
        <f t="shared" si="0"/>
        <v>0</v>
      </c>
      <c r="AL8" s="37">
        <f t="shared" si="1"/>
        <v>0</v>
      </c>
      <c r="AM8" s="38"/>
      <c r="AN8" s="39"/>
      <c r="AO8" s="39"/>
      <c r="AP8" s="39"/>
      <c r="AQ8" s="39"/>
      <c r="AR8" s="39"/>
      <c r="AS8" s="39"/>
      <c r="AT8" s="39"/>
      <c r="AU8" s="39"/>
      <c r="AV8" s="39"/>
      <c r="AW8" s="39">
        <f t="shared" si="2"/>
        <v>0</v>
      </c>
      <c r="AX8" s="39">
        <f t="shared" si="2"/>
        <v>0</v>
      </c>
      <c r="AY8" s="40">
        <f t="shared" si="3"/>
        <v>0</v>
      </c>
      <c r="AZ8" s="38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>
        <f t="shared" si="4"/>
        <v>0</v>
      </c>
      <c r="BM8" s="39">
        <f t="shared" si="4"/>
        <v>0</v>
      </c>
      <c r="BN8" s="39">
        <f t="shared" si="5"/>
        <v>0</v>
      </c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>
        <f t="shared" si="6"/>
        <v>0</v>
      </c>
      <c r="BZ8" s="39">
        <f t="shared" si="6"/>
        <v>0</v>
      </c>
      <c r="CA8" s="39">
        <f t="shared" si="7"/>
        <v>0</v>
      </c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>
        <f t="shared" si="8"/>
        <v>0</v>
      </c>
      <c r="CM8" s="39">
        <f t="shared" si="8"/>
        <v>0</v>
      </c>
      <c r="CN8" s="39">
        <f t="shared" si="9"/>
        <v>0</v>
      </c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>
        <f t="shared" si="10"/>
        <v>0</v>
      </c>
      <c r="CZ8" s="39">
        <f t="shared" si="10"/>
        <v>0</v>
      </c>
      <c r="DA8" s="39">
        <f t="shared" si="11"/>
        <v>0</v>
      </c>
      <c r="DB8" s="41"/>
      <c r="DC8" s="42"/>
      <c r="DD8" s="42"/>
      <c r="DE8" s="42"/>
      <c r="DF8" s="42"/>
      <c r="DG8" s="42"/>
      <c r="DH8" s="42"/>
      <c r="DI8" s="42"/>
      <c r="DJ8" s="42"/>
      <c r="DK8" s="42"/>
      <c r="DL8" s="42">
        <f t="shared" si="12"/>
        <v>0</v>
      </c>
      <c r="DM8" s="42">
        <f t="shared" si="12"/>
        <v>0</v>
      </c>
      <c r="DN8" s="42">
        <f t="shared" si="13"/>
        <v>0</v>
      </c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>
        <f t="shared" si="14"/>
        <v>0</v>
      </c>
      <c r="DZ8" s="42">
        <f t="shared" si="14"/>
        <v>0</v>
      </c>
      <c r="EA8" s="42">
        <f t="shared" si="15"/>
        <v>0</v>
      </c>
      <c r="EB8" s="42">
        <f t="shared" si="16"/>
        <v>0</v>
      </c>
      <c r="EC8" s="42">
        <f t="shared" si="16"/>
        <v>0</v>
      </c>
      <c r="ED8" s="42">
        <f t="shared" si="16"/>
        <v>0</v>
      </c>
      <c r="EE8" s="42">
        <f t="shared" si="16"/>
        <v>0</v>
      </c>
      <c r="EF8" s="42">
        <f t="shared" si="17"/>
        <v>0</v>
      </c>
      <c r="EG8" s="42">
        <f t="shared" si="17"/>
        <v>0</v>
      </c>
      <c r="EH8" s="42">
        <f t="shared" si="18"/>
        <v>0</v>
      </c>
      <c r="EI8" s="42">
        <f t="shared" si="18"/>
        <v>0</v>
      </c>
      <c r="EJ8" s="42">
        <f t="shared" si="19"/>
        <v>0</v>
      </c>
      <c r="EK8" s="42">
        <f t="shared" si="19"/>
        <v>0</v>
      </c>
      <c r="EL8" s="42">
        <f t="shared" si="20"/>
        <v>0</v>
      </c>
      <c r="EM8" s="42">
        <f t="shared" si="20"/>
        <v>0</v>
      </c>
      <c r="EN8" s="42">
        <f t="shared" si="21"/>
        <v>0</v>
      </c>
      <c r="EO8" s="42">
        <f t="shared" si="21"/>
        <v>0</v>
      </c>
      <c r="EP8" s="42">
        <f t="shared" si="22"/>
        <v>0</v>
      </c>
      <c r="EQ8" s="42">
        <f t="shared" si="22"/>
        <v>0</v>
      </c>
      <c r="ER8" s="42">
        <f t="shared" si="23"/>
        <v>0</v>
      </c>
      <c r="ES8" s="42">
        <f t="shared" si="23"/>
        <v>0</v>
      </c>
      <c r="ET8" s="42">
        <f t="shared" si="24"/>
        <v>0</v>
      </c>
      <c r="EU8" s="42">
        <f t="shared" si="24"/>
        <v>0</v>
      </c>
      <c r="EV8" s="42">
        <f t="shared" si="25"/>
        <v>0</v>
      </c>
      <c r="EW8" s="42">
        <f t="shared" si="25"/>
        <v>0</v>
      </c>
      <c r="EX8" s="42">
        <f t="shared" si="26"/>
        <v>0</v>
      </c>
      <c r="EY8" s="42">
        <f t="shared" si="26"/>
        <v>0</v>
      </c>
      <c r="EZ8" s="43">
        <f t="shared" si="27"/>
        <v>0</v>
      </c>
      <c r="FA8" s="44"/>
      <c r="FB8" s="42"/>
      <c r="FC8" s="42"/>
      <c r="FD8" s="42"/>
      <c r="FE8" s="42"/>
      <c r="FF8" s="42"/>
      <c r="FG8" s="42"/>
      <c r="FH8" s="42"/>
      <c r="FI8" s="42"/>
      <c r="FJ8" s="42"/>
      <c r="FK8" s="42">
        <f t="shared" si="28"/>
        <v>0</v>
      </c>
      <c r="FL8" s="42">
        <f t="shared" si="28"/>
        <v>0</v>
      </c>
      <c r="FM8" s="42">
        <f t="shared" si="29"/>
        <v>0</v>
      </c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>
        <f t="shared" si="30"/>
        <v>0</v>
      </c>
      <c r="FY8" s="42">
        <f t="shared" si="30"/>
        <v>0</v>
      </c>
      <c r="FZ8" s="42">
        <f t="shared" si="31"/>
        <v>0</v>
      </c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>
        <f t="shared" si="52"/>
        <v>0</v>
      </c>
      <c r="GL8" s="42">
        <f t="shared" si="53"/>
        <v>0</v>
      </c>
      <c r="GM8" s="42">
        <f t="shared" si="54"/>
        <v>0</v>
      </c>
      <c r="GN8" s="42">
        <f t="shared" si="32"/>
        <v>0</v>
      </c>
      <c r="GO8" s="42">
        <f t="shared" si="32"/>
        <v>0</v>
      </c>
      <c r="GP8" s="42">
        <f t="shared" si="33"/>
        <v>0</v>
      </c>
      <c r="GQ8" s="42">
        <f t="shared" si="33"/>
        <v>0</v>
      </c>
      <c r="GR8" s="42">
        <f t="shared" si="55"/>
        <v>0</v>
      </c>
      <c r="GS8" s="42">
        <f t="shared" si="55"/>
        <v>0</v>
      </c>
      <c r="GT8" s="42">
        <f t="shared" si="55"/>
        <v>0</v>
      </c>
      <c r="GU8" s="42">
        <f t="shared" si="55"/>
        <v>0</v>
      </c>
      <c r="GV8" s="42">
        <f t="shared" si="55"/>
        <v>0</v>
      </c>
      <c r="GW8" s="42">
        <f t="shared" si="55"/>
        <v>0</v>
      </c>
      <c r="GX8" s="42">
        <f t="shared" si="35"/>
        <v>0</v>
      </c>
      <c r="GY8" s="42">
        <f t="shared" si="35"/>
        <v>0</v>
      </c>
      <c r="GZ8" s="42">
        <f t="shared" si="36"/>
        <v>0</v>
      </c>
      <c r="HA8" s="42">
        <f t="shared" si="36"/>
        <v>0</v>
      </c>
      <c r="HB8" s="42">
        <f t="shared" si="37"/>
        <v>0</v>
      </c>
      <c r="HC8" s="42">
        <f t="shared" si="37"/>
        <v>0</v>
      </c>
      <c r="HD8" s="42">
        <f t="shared" si="38"/>
        <v>0</v>
      </c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>
        <f t="shared" si="56"/>
        <v>0</v>
      </c>
      <c r="HX8" s="39">
        <f t="shared" si="57"/>
        <v>0</v>
      </c>
      <c r="HY8" s="39">
        <f t="shared" si="58"/>
        <v>0</v>
      </c>
      <c r="HZ8" s="39">
        <f t="shared" si="59"/>
        <v>0</v>
      </c>
      <c r="IA8" s="39"/>
      <c r="IB8" s="39"/>
      <c r="IC8" s="39"/>
      <c r="ID8" s="39"/>
      <c r="IE8" s="39"/>
      <c r="IF8" s="39"/>
      <c r="IG8" s="39"/>
      <c r="IH8" s="39"/>
      <c r="II8" s="39"/>
      <c r="IJ8" s="39">
        <f t="shared" si="39"/>
        <v>0</v>
      </c>
      <c r="IK8" s="39">
        <f t="shared" si="39"/>
        <v>0</v>
      </c>
      <c r="IL8" s="39">
        <f t="shared" si="39"/>
        <v>0</v>
      </c>
      <c r="IM8" s="45">
        <f t="shared" si="40"/>
        <v>0</v>
      </c>
      <c r="IN8" s="39">
        <f t="shared" si="41"/>
        <v>0</v>
      </c>
      <c r="IO8" s="39">
        <f t="shared" si="41"/>
        <v>0</v>
      </c>
      <c r="IP8" s="39">
        <f t="shared" si="41"/>
        <v>0</v>
      </c>
      <c r="IQ8" s="39">
        <f t="shared" si="41"/>
        <v>0</v>
      </c>
      <c r="IR8" s="162">
        <v>1</v>
      </c>
      <c r="IS8" s="162"/>
      <c r="IT8" s="162"/>
      <c r="IU8" s="162"/>
      <c r="IV8" s="162"/>
      <c r="IW8" s="162"/>
      <c r="IX8" s="162"/>
      <c r="IY8" s="162"/>
      <c r="IZ8" s="162">
        <f t="shared" si="42"/>
        <v>1</v>
      </c>
      <c r="JA8" s="162">
        <f t="shared" si="42"/>
        <v>0</v>
      </c>
      <c r="JB8" s="162">
        <f t="shared" si="43"/>
        <v>1</v>
      </c>
      <c r="JC8" s="162"/>
      <c r="JD8" s="162"/>
      <c r="JE8" s="162"/>
      <c r="JF8" s="162"/>
      <c r="JG8" s="162"/>
      <c r="JH8" s="162"/>
      <c r="JI8" s="162"/>
      <c r="JJ8" s="162"/>
      <c r="JK8" s="162"/>
      <c r="JL8" s="162"/>
      <c r="JM8" s="162">
        <f t="shared" si="44"/>
        <v>0</v>
      </c>
      <c r="JN8" s="162">
        <f t="shared" si="44"/>
        <v>0</v>
      </c>
      <c r="JO8" s="162">
        <f t="shared" si="45"/>
        <v>0</v>
      </c>
      <c r="JP8" s="48">
        <f t="shared" si="46"/>
        <v>1</v>
      </c>
      <c r="JQ8" s="48">
        <f t="shared" si="46"/>
        <v>0</v>
      </c>
      <c r="JR8" s="48">
        <f t="shared" si="46"/>
        <v>0</v>
      </c>
      <c r="JS8" s="48">
        <f t="shared" si="46"/>
        <v>0</v>
      </c>
      <c r="JT8" s="48">
        <f t="shared" si="47"/>
        <v>0</v>
      </c>
      <c r="JU8" s="48">
        <f t="shared" si="47"/>
        <v>0</v>
      </c>
      <c r="JV8" s="48">
        <f t="shared" si="48"/>
        <v>0</v>
      </c>
      <c r="JW8" s="48">
        <f t="shared" si="48"/>
        <v>0</v>
      </c>
      <c r="JX8" s="48">
        <f t="shared" si="49"/>
        <v>0</v>
      </c>
      <c r="JY8" s="48">
        <f t="shared" si="49"/>
        <v>0</v>
      </c>
      <c r="JZ8" s="48">
        <f t="shared" si="50"/>
        <v>1</v>
      </c>
      <c r="KA8" s="48">
        <f t="shared" si="50"/>
        <v>0</v>
      </c>
      <c r="KB8" s="48">
        <f t="shared" si="51"/>
        <v>1</v>
      </c>
      <c r="KC8" s="48">
        <v>1</v>
      </c>
      <c r="KD8" s="48"/>
      <c r="KE8" s="48">
        <v>1</v>
      </c>
      <c r="KF8" s="48"/>
      <c r="KG8" s="48"/>
      <c r="KH8" s="48"/>
      <c r="KI8" s="48"/>
      <c r="KJ8" s="48">
        <v>1</v>
      </c>
      <c r="KK8" s="48"/>
      <c r="KL8" s="48"/>
      <c r="KM8" s="48">
        <v>14</v>
      </c>
      <c r="KN8" s="48">
        <v>3</v>
      </c>
      <c r="KO8" s="48">
        <f t="shared" si="60"/>
        <v>17</v>
      </c>
      <c r="KP8" s="113"/>
      <c r="KQ8" s="113">
        <v>1</v>
      </c>
      <c r="KR8" s="48"/>
      <c r="KS8" s="48">
        <v>1</v>
      </c>
      <c r="KT8" s="48"/>
      <c r="KU8" s="48"/>
      <c r="KV8" s="48"/>
      <c r="KW8" s="113"/>
      <c r="KX8" s="48">
        <v>1</v>
      </c>
      <c r="KY8" s="113">
        <v>1</v>
      </c>
      <c r="KZ8" s="48"/>
      <c r="LA8" s="48"/>
      <c r="LB8" s="48"/>
      <c r="LC8" s="48"/>
      <c r="LD8" s="48"/>
      <c r="LE8" s="48">
        <v>1</v>
      </c>
      <c r="LF8" s="48"/>
      <c r="LG8" s="48">
        <v>1</v>
      </c>
      <c r="LH8" s="48"/>
      <c r="LI8" s="48">
        <v>1</v>
      </c>
      <c r="LJ8" s="48"/>
      <c r="LK8" s="48">
        <v>1</v>
      </c>
      <c r="LL8" s="48"/>
      <c r="LM8" s="48">
        <v>1</v>
      </c>
      <c r="LN8" s="48"/>
      <c r="LO8" s="48"/>
      <c r="LP8" s="48"/>
      <c r="LQ8" s="113">
        <v>1</v>
      </c>
      <c r="LR8" s="113"/>
      <c r="LS8" s="113"/>
      <c r="LT8" s="113"/>
      <c r="LU8" s="48"/>
      <c r="LV8" s="48">
        <v>1</v>
      </c>
      <c r="LW8" s="48">
        <v>30</v>
      </c>
      <c r="LX8" s="113">
        <v>300</v>
      </c>
      <c r="LY8" s="113">
        <f t="shared" si="61"/>
        <v>330</v>
      </c>
      <c r="LZ8" s="48"/>
      <c r="MA8" s="48">
        <v>1</v>
      </c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</row>
    <row r="9" spans="1:353" s="157" customFormat="1" ht="21" customHeight="1" thickBot="1" x14ac:dyDescent="0.25">
      <c r="A9" s="145" t="s">
        <v>112</v>
      </c>
      <c r="B9" s="145" t="s">
        <v>113</v>
      </c>
      <c r="C9" s="145">
        <v>4</v>
      </c>
      <c r="D9" s="145">
        <v>1400201</v>
      </c>
      <c r="E9" s="145" t="s">
        <v>266</v>
      </c>
      <c r="F9" s="145">
        <v>1</v>
      </c>
      <c r="G9" s="145"/>
      <c r="H9" s="145">
        <v>1</v>
      </c>
      <c r="I9" s="145"/>
      <c r="J9" s="145"/>
      <c r="K9" s="145">
        <v>1</v>
      </c>
      <c r="L9" s="145"/>
      <c r="M9" s="145">
        <v>1</v>
      </c>
      <c r="N9" s="145"/>
      <c r="O9" s="145"/>
      <c r="P9" s="145">
        <v>1</v>
      </c>
      <c r="Q9" s="145"/>
      <c r="R9" s="145">
        <v>1</v>
      </c>
      <c r="S9" s="145"/>
      <c r="T9" s="145"/>
      <c r="U9" s="145"/>
      <c r="V9" s="145"/>
      <c r="W9" s="145">
        <v>1</v>
      </c>
      <c r="X9" s="145">
        <v>5</v>
      </c>
      <c r="Y9" s="145"/>
      <c r="Z9" s="145">
        <v>61</v>
      </c>
      <c r="AA9" s="145"/>
      <c r="AB9" s="145">
        <v>5</v>
      </c>
      <c r="AC9" s="145"/>
      <c r="AD9" s="145"/>
      <c r="AE9" s="145"/>
      <c r="AF9" s="145"/>
      <c r="AG9" s="145"/>
      <c r="AH9" s="145"/>
      <c r="AI9" s="145"/>
      <c r="AJ9" s="145">
        <f t="shared" si="0"/>
        <v>71</v>
      </c>
      <c r="AK9" s="145">
        <f t="shared" si="0"/>
        <v>0</v>
      </c>
      <c r="AL9" s="146">
        <f t="shared" si="1"/>
        <v>71</v>
      </c>
      <c r="AM9" s="147"/>
      <c r="AN9" s="148"/>
      <c r="AO9" s="148"/>
      <c r="AP9" s="148"/>
      <c r="AQ9" s="148"/>
      <c r="AR9" s="148"/>
      <c r="AS9" s="148"/>
      <c r="AT9" s="148"/>
      <c r="AU9" s="148"/>
      <c r="AV9" s="148"/>
      <c r="AW9" s="148">
        <f t="shared" si="2"/>
        <v>0</v>
      </c>
      <c r="AX9" s="148">
        <f t="shared" si="2"/>
        <v>0</v>
      </c>
      <c r="AY9" s="149">
        <f t="shared" si="3"/>
        <v>0</v>
      </c>
      <c r="AZ9" s="147">
        <v>5</v>
      </c>
      <c r="BA9" s="148"/>
      <c r="BB9" s="148">
        <v>61</v>
      </c>
      <c r="BC9" s="148"/>
      <c r="BD9" s="148">
        <v>5</v>
      </c>
      <c r="BE9" s="148"/>
      <c r="BF9" s="148"/>
      <c r="BG9" s="148"/>
      <c r="BH9" s="148"/>
      <c r="BI9" s="148"/>
      <c r="BJ9" s="148"/>
      <c r="BK9" s="148"/>
      <c r="BL9" s="148">
        <f t="shared" si="4"/>
        <v>71</v>
      </c>
      <c r="BM9" s="148">
        <f t="shared" si="4"/>
        <v>0</v>
      </c>
      <c r="BN9" s="148">
        <f t="shared" si="5"/>
        <v>71</v>
      </c>
      <c r="BO9" s="148">
        <v>50</v>
      </c>
      <c r="BP9" s="148"/>
      <c r="BQ9" s="148">
        <v>2</v>
      </c>
      <c r="BR9" s="148"/>
      <c r="BS9" s="148">
        <v>3</v>
      </c>
      <c r="BT9" s="148"/>
      <c r="BU9" s="148"/>
      <c r="BV9" s="148"/>
      <c r="BW9" s="148"/>
      <c r="BX9" s="148"/>
      <c r="BY9" s="148">
        <f t="shared" si="6"/>
        <v>55</v>
      </c>
      <c r="BZ9" s="148">
        <f t="shared" si="6"/>
        <v>0</v>
      </c>
      <c r="CA9" s="148">
        <f t="shared" si="7"/>
        <v>55</v>
      </c>
      <c r="CB9" s="148">
        <v>56</v>
      </c>
      <c r="CC9" s="148"/>
      <c r="CD9" s="148">
        <v>3</v>
      </c>
      <c r="CE9" s="148"/>
      <c r="CF9" s="148">
        <v>3</v>
      </c>
      <c r="CG9" s="148"/>
      <c r="CH9" s="148"/>
      <c r="CI9" s="148"/>
      <c r="CJ9" s="148"/>
      <c r="CK9" s="148"/>
      <c r="CL9" s="148">
        <f t="shared" si="8"/>
        <v>62</v>
      </c>
      <c r="CM9" s="148">
        <f t="shared" si="8"/>
        <v>0</v>
      </c>
      <c r="CN9" s="148">
        <f t="shared" si="9"/>
        <v>62</v>
      </c>
      <c r="CO9" s="148">
        <v>75</v>
      </c>
      <c r="CP9" s="148"/>
      <c r="CQ9" s="148">
        <v>2</v>
      </c>
      <c r="CR9" s="148"/>
      <c r="CS9" s="148">
        <v>3</v>
      </c>
      <c r="CT9" s="148"/>
      <c r="CU9" s="148">
        <v>3</v>
      </c>
      <c r="CV9" s="148"/>
      <c r="CW9" s="148"/>
      <c r="CX9" s="148"/>
      <c r="CY9" s="148">
        <f t="shared" si="10"/>
        <v>83</v>
      </c>
      <c r="CZ9" s="148">
        <f t="shared" si="10"/>
        <v>0</v>
      </c>
      <c r="DA9" s="148">
        <f t="shared" si="11"/>
        <v>83</v>
      </c>
      <c r="DB9" s="150">
        <v>50</v>
      </c>
      <c r="DC9" s="151"/>
      <c r="DD9" s="151">
        <v>4</v>
      </c>
      <c r="DE9" s="151"/>
      <c r="DF9" s="151">
        <v>1</v>
      </c>
      <c r="DG9" s="151"/>
      <c r="DH9" s="151">
        <v>2</v>
      </c>
      <c r="DI9" s="151"/>
      <c r="DJ9" s="151">
        <v>3</v>
      </c>
      <c r="DK9" s="151"/>
      <c r="DL9" s="151">
        <f t="shared" si="12"/>
        <v>60</v>
      </c>
      <c r="DM9" s="151">
        <f t="shared" si="12"/>
        <v>0</v>
      </c>
      <c r="DN9" s="151">
        <f t="shared" si="13"/>
        <v>60</v>
      </c>
      <c r="DO9" s="151">
        <v>66</v>
      </c>
      <c r="DP9" s="151"/>
      <c r="DQ9" s="151">
        <v>4</v>
      </c>
      <c r="DR9" s="151"/>
      <c r="DS9" s="151">
        <v>2</v>
      </c>
      <c r="DT9" s="151"/>
      <c r="DU9" s="151">
        <v>1</v>
      </c>
      <c r="DV9" s="151"/>
      <c r="DW9" s="151">
        <v>2</v>
      </c>
      <c r="DX9" s="151"/>
      <c r="DY9" s="151">
        <f t="shared" si="14"/>
        <v>75</v>
      </c>
      <c r="DZ9" s="151">
        <f t="shared" si="14"/>
        <v>0</v>
      </c>
      <c r="EA9" s="151">
        <f t="shared" si="15"/>
        <v>75</v>
      </c>
      <c r="EB9" s="151">
        <f t="shared" si="16"/>
        <v>5</v>
      </c>
      <c r="EC9" s="151">
        <f t="shared" si="16"/>
        <v>0</v>
      </c>
      <c r="ED9" s="151">
        <f t="shared" si="16"/>
        <v>61</v>
      </c>
      <c r="EE9" s="151">
        <f t="shared" si="16"/>
        <v>0</v>
      </c>
      <c r="EF9" s="151">
        <f t="shared" si="17"/>
        <v>55</v>
      </c>
      <c r="EG9" s="151">
        <f t="shared" si="17"/>
        <v>0</v>
      </c>
      <c r="EH9" s="151">
        <f t="shared" si="18"/>
        <v>58</v>
      </c>
      <c r="EI9" s="151">
        <f t="shared" si="18"/>
        <v>0</v>
      </c>
      <c r="EJ9" s="151">
        <f t="shared" si="19"/>
        <v>81</v>
      </c>
      <c r="EK9" s="151">
        <f t="shared" si="19"/>
        <v>0</v>
      </c>
      <c r="EL9" s="151">
        <f t="shared" si="20"/>
        <v>55</v>
      </c>
      <c r="EM9" s="151">
        <f t="shared" si="20"/>
        <v>0</v>
      </c>
      <c r="EN9" s="151">
        <f t="shared" si="21"/>
        <v>73</v>
      </c>
      <c r="EO9" s="151">
        <f t="shared" si="21"/>
        <v>0</v>
      </c>
      <c r="EP9" s="151">
        <f t="shared" si="22"/>
        <v>8</v>
      </c>
      <c r="EQ9" s="151">
        <f t="shared" si="22"/>
        <v>0</v>
      </c>
      <c r="ER9" s="151">
        <f t="shared" si="23"/>
        <v>4</v>
      </c>
      <c r="ES9" s="151">
        <f t="shared" si="23"/>
        <v>0</v>
      </c>
      <c r="ET9" s="151">
        <f t="shared" si="24"/>
        <v>4</v>
      </c>
      <c r="EU9" s="151">
        <f t="shared" si="24"/>
        <v>0</v>
      </c>
      <c r="EV9" s="151">
        <f t="shared" si="25"/>
        <v>2</v>
      </c>
      <c r="EW9" s="151">
        <f t="shared" si="25"/>
        <v>0</v>
      </c>
      <c r="EX9" s="151">
        <f t="shared" si="26"/>
        <v>406</v>
      </c>
      <c r="EY9" s="151">
        <f t="shared" si="26"/>
        <v>0</v>
      </c>
      <c r="EZ9" s="152">
        <f t="shared" si="27"/>
        <v>406</v>
      </c>
      <c r="FA9" s="153"/>
      <c r="FB9" s="151"/>
      <c r="FC9" s="151"/>
      <c r="FD9" s="151"/>
      <c r="FE9" s="151"/>
      <c r="FF9" s="151"/>
      <c r="FG9" s="151"/>
      <c r="FH9" s="151"/>
      <c r="FI9" s="151"/>
      <c r="FJ9" s="151"/>
      <c r="FK9" s="151">
        <f t="shared" si="28"/>
        <v>0</v>
      </c>
      <c r="FL9" s="151">
        <f t="shared" si="28"/>
        <v>0</v>
      </c>
      <c r="FM9" s="151">
        <f t="shared" si="29"/>
        <v>0</v>
      </c>
      <c r="FN9" s="151"/>
      <c r="FO9" s="151"/>
      <c r="FP9" s="151"/>
      <c r="FQ9" s="151"/>
      <c r="FR9" s="151"/>
      <c r="FS9" s="151"/>
      <c r="FT9" s="151"/>
      <c r="FU9" s="151"/>
      <c r="FV9" s="151"/>
      <c r="FW9" s="151"/>
      <c r="FX9" s="151">
        <f t="shared" si="30"/>
        <v>0</v>
      </c>
      <c r="FY9" s="151">
        <f t="shared" si="30"/>
        <v>0</v>
      </c>
      <c r="FZ9" s="151">
        <f t="shared" si="31"/>
        <v>0</v>
      </c>
      <c r="GA9" s="151"/>
      <c r="GB9" s="151"/>
      <c r="GC9" s="151"/>
      <c r="GD9" s="151"/>
      <c r="GE9" s="151"/>
      <c r="GF9" s="151"/>
      <c r="GG9" s="151"/>
      <c r="GH9" s="151"/>
      <c r="GI9" s="151"/>
      <c r="GJ9" s="151"/>
      <c r="GK9" s="151">
        <f t="shared" si="52"/>
        <v>0</v>
      </c>
      <c r="GL9" s="151">
        <f t="shared" si="53"/>
        <v>0</v>
      </c>
      <c r="GM9" s="151">
        <f t="shared" si="54"/>
        <v>0</v>
      </c>
      <c r="GN9" s="151">
        <f t="shared" si="32"/>
        <v>0</v>
      </c>
      <c r="GO9" s="151">
        <f t="shared" si="32"/>
        <v>0</v>
      </c>
      <c r="GP9" s="151">
        <f t="shared" si="33"/>
        <v>0</v>
      </c>
      <c r="GQ9" s="151">
        <f t="shared" si="33"/>
        <v>0</v>
      </c>
      <c r="GR9" s="151">
        <f t="shared" si="55"/>
        <v>0</v>
      </c>
      <c r="GS9" s="151">
        <f t="shared" si="55"/>
        <v>0</v>
      </c>
      <c r="GT9" s="151">
        <f t="shared" si="55"/>
        <v>0</v>
      </c>
      <c r="GU9" s="151">
        <f t="shared" si="55"/>
        <v>0</v>
      </c>
      <c r="GV9" s="151">
        <f t="shared" si="55"/>
        <v>0</v>
      </c>
      <c r="GW9" s="151">
        <f t="shared" si="55"/>
        <v>0</v>
      </c>
      <c r="GX9" s="151">
        <f t="shared" si="35"/>
        <v>0</v>
      </c>
      <c r="GY9" s="151">
        <f t="shared" si="35"/>
        <v>0</v>
      </c>
      <c r="GZ9" s="151">
        <f t="shared" si="36"/>
        <v>0</v>
      </c>
      <c r="HA9" s="151">
        <f t="shared" si="36"/>
        <v>0</v>
      </c>
      <c r="HB9" s="151">
        <f t="shared" si="37"/>
        <v>0</v>
      </c>
      <c r="HC9" s="151">
        <f t="shared" si="37"/>
        <v>0</v>
      </c>
      <c r="HD9" s="151">
        <f t="shared" si="38"/>
        <v>0</v>
      </c>
      <c r="HE9" s="148">
        <v>2</v>
      </c>
      <c r="HF9" s="148"/>
      <c r="HG9" s="148"/>
      <c r="HH9" s="148">
        <v>2</v>
      </c>
      <c r="HI9" s="148"/>
      <c r="HJ9" s="148"/>
      <c r="HK9" s="148">
        <v>2</v>
      </c>
      <c r="HL9" s="148"/>
      <c r="HM9" s="148"/>
      <c r="HN9" s="148">
        <v>2</v>
      </c>
      <c r="HO9" s="148"/>
      <c r="HP9" s="148"/>
      <c r="HQ9" s="148">
        <v>2</v>
      </c>
      <c r="HR9" s="148"/>
      <c r="HS9" s="148"/>
      <c r="HT9" s="148">
        <v>2</v>
      </c>
      <c r="HU9" s="148"/>
      <c r="HV9" s="148"/>
      <c r="HW9" s="148">
        <f t="shared" si="56"/>
        <v>12</v>
      </c>
      <c r="HX9" s="148">
        <f t="shared" si="57"/>
        <v>0</v>
      </c>
      <c r="HY9" s="148">
        <f t="shared" si="58"/>
        <v>0</v>
      </c>
      <c r="HZ9" s="148">
        <f t="shared" si="59"/>
        <v>12</v>
      </c>
      <c r="IA9" s="148"/>
      <c r="IB9" s="148"/>
      <c r="IC9" s="148"/>
      <c r="ID9" s="148"/>
      <c r="IE9" s="148"/>
      <c r="IF9" s="148"/>
      <c r="IG9" s="148"/>
      <c r="IH9" s="148"/>
      <c r="II9" s="148"/>
      <c r="IJ9" s="148">
        <f t="shared" si="39"/>
        <v>0</v>
      </c>
      <c r="IK9" s="148">
        <f t="shared" si="39"/>
        <v>0</v>
      </c>
      <c r="IL9" s="148">
        <f t="shared" si="39"/>
        <v>0</v>
      </c>
      <c r="IM9" s="154">
        <f t="shared" si="40"/>
        <v>0</v>
      </c>
      <c r="IN9" s="148">
        <f t="shared" si="41"/>
        <v>12</v>
      </c>
      <c r="IO9" s="148">
        <f t="shared" si="41"/>
        <v>0</v>
      </c>
      <c r="IP9" s="148">
        <f t="shared" si="41"/>
        <v>0</v>
      </c>
      <c r="IQ9" s="148">
        <f t="shared" si="41"/>
        <v>12</v>
      </c>
      <c r="IR9" s="226">
        <v>1</v>
      </c>
      <c r="IS9" s="226"/>
      <c r="IT9" s="226">
        <v>1</v>
      </c>
      <c r="IU9" s="226">
        <v>1</v>
      </c>
      <c r="IV9" s="226">
        <v>5</v>
      </c>
      <c r="IW9" s="226">
        <v>17</v>
      </c>
      <c r="IX9" s="226"/>
      <c r="IY9" s="226"/>
      <c r="IZ9" s="226">
        <f t="shared" si="42"/>
        <v>7</v>
      </c>
      <c r="JA9" s="226">
        <f t="shared" si="42"/>
        <v>18</v>
      </c>
      <c r="JB9" s="226">
        <f t="shared" si="43"/>
        <v>25</v>
      </c>
      <c r="JC9" s="226"/>
      <c r="JD9" s="226"/>
      <c r="JE9" s="226"/>
      <c r="JF9" s="226"/>
      <c r="JG9" s="226"/>
      <c r="JH9" s="226"/>
      <c r="JI9" s="226"/>
      <c r="JJ9" s="226"/>
      <c r="JK9" s="226"/>
      <c r="JL9" s="226"/>
      <c r="JM9" s="226">
        <f t="shared" si="44"/>
        <v>0</v>
      </c>
      <c r="JN9" s="226">
        <f t="shared" si="44"/>
        <v>0</v>
      </c>
      <c r="JO9" s="226">
        <f t="shared" si="45"/>
        <v>0</v>
      </c>
      <c r="JP9" s="156">
        <f t="shared" si="46"/>
        <v>1</v>
      </c>
      <c r="JQ9" s="156">
        <f t="shared" si="46"/>
        <v>0</v>
      </c>
      <c r="JR9" s="156">
        <f t="shared" si="46"/>
        <v>1</v>
      </c>
      <c r="JS9" s="156">
        <f t="shared" si="46"/>
        <v>1</v>
      </c>
      <c r="JT9" s="156">
        <f t="shared" si="47"/>
        <v>0</v>
      </c>
      <c r="JU9" s="156">
        <f t="shared" si="47"/>
        <v>0</v>
      </c>
      <c r="JV9" s="156">
        <f t="shared" si="48"/>
        <v>5</v>
      </c>
      <c r="JW9" s="156">
        <f t="shared" si="48"/>
        <v>17</v>
      </c>
      <c r="JX9" s="156">
        <f t="shared" si="49"/>
        <v>0</v>
      </c>
      <c r="JY9" s="156">
        <f t="shared" si="49"/>
        <v>0</v>
      </c>
      <c r="JZ9" s="156">
        <f t="shared" si="50"/>
        <v>7</v>
      </c>
      <c r="KA9" s="156">
        <f t="shared" si="50"/>
        <v>18</v>
      </c>
      <c r="KB9" s="156">
        <f t="shared" si="51"/>
        <v>25</v>
      </c>
      <c r="KC9" s="156">
        <v>1</v>
      </c>
      <c r="KD9" s="156"/>
      <c r="KE9" s="156"/>
      <c r="KF9" s="156">
        <v>1</v>
      </c>
      <c r="KG9" s="156"/>
      <c r="KH9" s="156"/>
      <c r="KI9" s="156"/>
      <c r="KJ9" s="156">
        <v>1</v>
      </c>
      <c r="KK9" s="156"/>
      <c r="KL9" s="156"/>
      <c r="KM9" s="156">
        <v>12</v>
      </c>
      <c r="KN9" s="156">
        <v>6</v>
      </c>
      <c r="KO9" s="156">
        <f t="shared" si="60"/>
        <v>18</v>
      </c>
      <c r="KP9" s="227"/>
      <c r="KQ9" s="227">
        <v>1</v>
      </c>
      <c r="KR9" s="156"/>
      <c r="KS9" s="156">
        <v>1</v>
      </c>
      <c r="KT9" s="156"/>
      <c r="KU9" s="156"/>
      <c r="KV9" s="156"/>
      <c r="KW9" s="227">
        <v>1</v>
      </c>
      <c r="KX9" s="156"/>
      <c r="KY9" s="227">
        <v>1</v>
      </c>
      <c r="KZ9" s="156"/>
      <c r="LA9" s="156"/>
      <c r="LB9" s="156"/>
      <c r="LC9" s="156"/>
      <c r="LD9" s="156"/>
      <c r="LE9" s="156">
        <v>1</v>
      </c>
      <c r="LF9" s="156"/>
      <c r="LG9" s="156">
        <v>1</v>
      </c>
      <c r="LH9" s="156"/>
      <c r="LI9" s="156">
        <v>1</v>
      </c>
      <c r="LJ9" s="156"/>
      <c r="LK9" s="156">
        <v>1</v>
      </c>
      <c r="LL9" s="156"/>
      <c r="LM9" s="156">
        <v>1</v>
      </c>
      <c r="LN9" s="156"/>
      <c r="LO9" s="156"/>
      <c r="LP9" s="156"/>
      <c r="LQ9" s="227">
        <v>1</v>
      </c>
      <c r="LR9" s="227"/>
      <c r="LS9" s="227"/>
      <c r="LT9" s="227">
        <v>1</v>
      </c>
      <c r="LU9" s="156"/>
      <c r="LV9" s="156"/>
      <c r="LW9" s="156">
        <v>500</v>
      </c>
      <c r="LX9" s="227">
        <v>148</v>
      </c>
      <c r="LY9" s="227">
        <f t="shared" si="61"/>
        <v>648</v>
      </c>
      <c r="LZ9" s="156"/>
      <c r="MA9" s="156">
        <v>1</v>
      </c>
      <c r="MB9" s="156"/>
      <c r="MC9" s="156"/>
      <c r="MD9" s="156"/>
      <c r="ME9" s="156"/>
      <c r="MF9" s="156"/>
      <c r="MG9" s="156"/>
      <c r="MH9" s="156"/>
      <c r="MI9" s="156"/>
      <c r="MJ9" s="156"/>
      <c r="MK9" s="156"/>
      <c r="ML9" s="156"/>
      <c r="MM9" s="156"/>
      <c r="MN9" s="156"/>
      <c r="MO9" s="156"/>
    </row>
    <row r="10" spans="1:353" s="157" customFormat="1" ht="21" customHeight="1" thickBot="1" x14ac:dyDescent="0.25">
      <c r="A10" s="145" t="s">
        <v>112</v>
      </c>
      <c r="B10" s="145" t="s">
        <v>113</v>
      </c>
      <c r="C10" s="145">
        <v>5</v>
      </c>
      <c r="D10" s="145">
        <v>1400225</v>
      </c>
      <c r="E10" s="145" t="s">
        <v>267</v>
      </c>
      <c r="F10" s="145">
        <v>1</v>
      </c>
      <c r="G10" s="145"/>
      <c r="H10" s="145"/>
      <c r="I10" s="145">
        <v>1</v>
      </c>
      <c r="J10" s="145"/>
      <c r="K10" s="145">
        <v>1</v>
      </c>
      <c r="L10" s="145"/>
      <c r="M10" s="145">
        <v>1</v>
      </c>
      <c r="N10" s="145"/>
      <c r="O10" s="145"/>
      <c r="P10" s="145">
        <v>1</v>
      </c>
      <c r="Q10" s="145"/>
      <c r="R10" s="145"/>
      <c r="S10" s="145"/>
      <c r="T10" s="145">
        <v>1</v>
      </c>
      <c r="U10" s="145"/>
      <c r="V10" s="145"/>
      <c r="W10" s="145">
        <v>1</v>
      </c>
      <c r="X10" s="145"/>
      <c r="Y10" s="145">
        <v>2</v>
      </c>
      <c r="Z10" s="145"/>
      <c r="AA10" s="145">
        <v>36</v>
      </c>
      <c r="AB10" s="145"/>
      <c r="AC10" s="145">
        <v>1</v>
      </c>
      <c r="AD10" s="145"/>
      <c r="AE10" s="145"/>
      <c r="AF10" s="145"/>
      <c r="AG10" s="145"/>
      <c r="AH10" s="145"/>
      <c r="AI10" s="145"/>
      <c r="AJ10" s="145">
        <f t="shared" si="0"/>
        <v>0</v>
      </c>
      <c r="AK10" s="145">
        <f t="shared" si="0"/>
        <v>39</v>
      </c>
      <c r="AL10" s="146">
        <f t="shared" si="1"/>
        <v>39</v>
      </c>
      <c r="AM10" s="147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>
        <f t="shared" si="2"/>
        <v>0</v>
      </c>
      <c r="AX10" s="148">
        <f t="shared" si="2"/>
        <v>0</v>
      </c>
      <c r="AY10" s="149">
        <f t="shared" si="3"/>
        <v>0</v>
      </c>
      <c r="AZ10" s="147"/>
      <c r="BA10" s="148">
        <v>2</v>
      </c>
      <c r="BB10" s="148"/>
      <c r="BC10" s="148">
        <v>36</v>
      </c>
      <c r="BD10" s="148"/>
      <c r="BE10" s="148">
        <v>1</v>
      </c>
      <c r="BF10" s="148"/>
      <c r="BG10" s="148"/>
      <c r="BH10" s="148"/>
      <c r="BI10" s="148"/>
      <c r="BJ10" s="148"/>
      <c r="BK10" s="148"/>
      <c r="BL10" s="148">
        <f t="shared" si="4"/>
        <v>0</v>
      </c>
      <c r="BM10" s="148">
        <f t="shared" si="4"/>
        <v>39</v>
      </c>
      <c r="BN10" s="148">
        <f t="shared" si="5"/>
        <v>39</v>
      </c>
      <c r="BO10" s="148"/>
      <c r="BP10" s="148">
        <v>49</v>
      </c>
      <c r="BQ10" s="148"/>
      <c r="BR10" s="148">
        <v>3</v>
      </c>
      <c r="BS10" s="148"/>
      <c r="BT10" s="148"/>
      <c r="BU10" s="148"/>
      <c r="BV10" s="148"/>
      <c r="BW10" s="148"/>
      <c r="BX10" s="148"/>
      <c r="BY10" s="148">
        <f t="shared" si="6"/>
        <v>0</v>
      </c>
      <c r="BZ10" s="148">
        <f t="shared" si="6"/>
        <v>52</v>
      </c>
      <c r="CA10" s="148">
        <f t="shared" si="7"/>
        <v>52</v>
      </c>
      <c r="CB10" s="148"/>
      <c r="CC10" s="148">
        <v>47</v>
      </c>
      <c r="CD10" s="148"/>
      <c r="CE10" s="148">
        <v>3</v>
      </c>
      <c r="CF10" s="148"/>
      <c r="CG10" s="148"/>
      <c r="CH10" s="148"/>
      <c r="CI10" s="148"/>
      <c r="CJ10" s="148"/>
      <c r="CK10" s="148"/>
      <c r="CL10" s="148">
        <f t="shared" si="8"/>
        <v>0</v>
      </c>
      <c r="CM10" s="148">
        <f t="shared" si="8"/>
        <v>50</v>
      </c>
      <c r="CN10" s="148">
        <f t="shared" si="9"/>
        <v>50</v>
      </c>
      <c r="CO10" s="148"/>
      <c r="CP10" s="148">
        <v>30</v>
      </c>
      <c r="CQ10" s="148"/>
      <c r="CR10" s="148">
        <v>4</v>
      </c>
      <c r="CS10" s="148"/>
      <c r="CT10" s="148"/>
      <c r="CU10" s="148"/>
      <c r="CV10" s="148"/>
      <c r="CW10" s="148"/>
      <c r="CX10" s="148"/>
      <c r="CY10" s="148">
        <f t="shared" si="10"/>
        <v>0</v>
      </c>
      <c r="CZ10" s="148">
        <f t="shared" si="10"/>
        <v>34</v>
      </c>
      <c r="DA10" s="148">
        <f t="shared" si="11"/>
        <v>34</v>
      </c>
      <c r="DB10" s="150"/>
      <c r="DC10" s="151">
        <v>41</v>
      </c>
      <c r="DD10" s="151"/>
      <c r="DE10" s="151">
        <v>8</v>
      </c>
      <c r="DF10" s="151"/>
      <c r="DG10" s="151">
        <v>2</v>
      </c>
      <c r="DH10" s="151"/>
      <c r="DI10" s="151">
        <v>1</v>
      </c>
      <c r="DJ10" s="151"/>
      <c r="DK10" s="151"/>
      <c r="DL10" s="151">
        <f t="shared" si="12"/>
        <v>0</v>
      </c>
      <c r="DM10" s="151">
        <f t="shared" si="12"/>
        <v>52</v>
      </c>
      <c r="DN10" s="151">
        <f t="shared" si="13"/>
        <v>52</v>
      </c>
      <c r="DO10" s="151"/>
      <c r="DP10" s="151">
        <v>30</v>
      </c>
      <c r="DQ10" s="151"/>
      <c r="DR10" s="151">
        <v>1</v>
      </c>
      <c r="DS10" s="151"/>
      <c r="DT10" s="151">
        <v>2</v>
      </c>
      <c r="DU10" s="151"/>
      <c r="DV10" s="151"/>
      <c r="DW10" s="151"/>
      <c r="DX10" s="151"/>
      <c r="DY10" s="151">
        <f t="shared" si="14"/>
        <v>0</v>
      </c>
      <c r="DZ10" s="151">
        <f t="shared" si="14"/>
        <v>33</v>
      </c>
      <c r="EA10" s="151">
        <f t="shared" si="15"/>
        <v>33</v>
      </c>
      <c r="EB10" s="151">
        <f t="shared" si="16"/>
        <v>0</v>
      </c>
      <c r="EC10" s="151">
        <f t="shared" si="16"/>
        <v>2</v>
      </c>
      <c r="ED10" s="151">
        <f t="shared" si="16"/>
        <v>0</v>
      </c>
      <c r="EE10" s="151">
        <f t="shared" si="16"/>
        <v>36</v>
      </c>
      <c r="EF10" s="151">
        <f t="shared" si="17"/>
        <v>0</v>
      </c>
      <c r="EG10" s="151">
        <f t="shared" si="17"/>
        <v>50</v>
      </c>
      <c r="EH10" s="151">
        <f t="shared" si="18"/>
        <v>0</v>
      </c>
      <c r="EI10" s="151">
        <f t="shared" si="18"/>
        <v>50</v>
      </c>
      <c r="EJ10" s="151">
        <f t="shared" si="19"/>
        <v>0</v>
      </c>
      <c r="EK10" s="151">
        <f t="shared" si="19"/>
        <v>33</v>
      </c>
      <c r="EL10" s="151">
        <f t="shared" si="20"/>
        <v>0</v>
      </c>
      <c r="EM10" s="151">
        <f t="shared" si="20"/>
        <v>45</v>
      </c>
      <c r="EN10" s="151">
        <f t="shared" si="21"/>
        <v>0</v>
      </c>
      <c r="EO10" s="151">
        <f t="shared" si="21"/>
        <v>38</v>
      </c>
      <c r="EP10" s="151">
        <f t="shared" si="22"/>
        <v>0</v>
      </c>
      <c r="EQ10" s="151">
        <f t="shared" si="22"/>
        <v>3</v>
      </c>
      <c r="ER10" s="151">
        <f t="shared" si="23"/>
        <v>0</v>
      </c>
      <c r="ES10" s="151">
        <f t="shared" si="23"/>
        <v>3</v>
      </c>
      <c r="ET10" s="151">
        <f t="shared" si="24"/>
        <v>0</v>
      </c>
      <c r="EU10" s="151">
        <f t="shared" si="24"/>
        <v>0</v>
      </c>
      <c r="EV10" s="151">
        <f t="shared" si="25"/>
        <v>0</v>
      </c>
      <c r="EW10" s="151">
        <f t="shared" si="25"/>
        <v>0</v>
      </c>
      <c r="EX10" s="151">
        <f t="shared" si="26"/>
        <v>0</v>
      </c>
      <c r="EY10" s="151">
        <f t="shared" si="26"/>
        <v>260</v>
      </c>
      <c r="EZ10" s="152">
        <f t="shared" si="27"/>
        <v>260</v>
      </c>
      <c r="FA10" s="153"/>
      <c r="FB10" s="151"/>
      <c r="FC10" s="151"/>
      <c r="FD10" s="151"/>
      <c r="FE10" s="151"/>
      <c r="FF10" s="151"/>
      <c r="FG10" s="151"/>
      <c r="FH10" s="151"/>
      <c r="FI10" s="151"/>
      <c r="FJ10" s="151"/>
      <c r="FK10" s="151">
        <f t="shared" si="28"/>
        <v>0</v>
      </c>
      <c r="FL10" s="151">
        <f t="shared" si="28"/>
        <v>0</v>
      </c>
      <c r="FM10" s="151">
        <f t="shared" si="29"/>
        <v>0</v>
      </c>
      <c r="FN10" s="151"/>
      <c r="FO10" s="151"/>
      <c r="FP10" s="151"/>
      <c r="FQ10" s="151"/>
      <c r="FR10" s="151"/>
      <c r="FS10" s="151"/>
      <c r="FT10" s="151"/>
      <c r="FU10" s="151"/>
      <c r="FV10" s="151"/>
      <c r="FW10" s="151"/>
      <c r="FX10" s="151">
        <f t="shared" si="30"/>
        <v>0</v>
      </c>
      <c r="FY10" s="151">
        <f t="shared" si="30"/>
        <v>0</v>
      </c>
      <c r="FZ10" s="151">
        <f t="shared" si="31"/>
        <v>0</v>
      </c>
      <c r="GA10" s="151"/>
      <c r="GB10" s="151"/>
      <c r="GC10" s="151"/>
      <c r="GD10" s="151"/>
      <c r="GE10" s="151"/>
      <c r="GF10" s="151"/>
      <c r="GG10" s="151"/>
      <c r="GH10" s="151"/>
      <c r="GI10" s="151"/>
      <c r="GJ10" s="151"/>
      <c r="GK10" s="151">
        <f t="shared" si="52"/>
        <v>0</v>
      </c>
      <c r="GL10" s="151">
        <f t="shared" si="53"/>
        <v>0</v>
      </c>
      <c r="GM10" s="151">
        <f t="shared" si="54"/>
        <v>0</v>
      </c>
      <c r="GN10" s="151">
        <f t="shared" si="32"/>
        <v>0</v>
      </c>
      <c r="GO10" s="151">
        <f t="shared" si="32"/>
        <v>0</v>
      </c>
      <c r="GP10" s="151">
        <f t="shared" si="33"/>
        <v>0</v>
      </c>
      <c r="GQ10" s="151">
        <f t="shared" si="33"/>
        <v>0</v>
      </c>
      <c r="GR10" s="151">
        <f t="shared" si="55"/>
        <v>0</v>
      </c>
      <c r="GS10" s="151">
        <f t="shared" si="55"/>
        <v>0</v>
      </c>
      <c r="GT10" s="151">
        <f t="shared" si="55"/>
        <v>0</v>
      </c>
      <c r="GU10" s="151">
        <f t="shared" si="55"/>
        <v>0</v>
      </c>
      <c r="GV10" s="151">
        <f t="shared" si="55"/>
        <v>0</v>
      </c>
      <c r="GW10" s="151">
        <f t="shared" si="55"/>
        <v>0</v>
      </c>
      <c r="GX10" s="151">
        <f t="shared" si="35"/>
        <v>0</v>
      </c>
      <c r="GY10" s="151">
        <f t="shared" si="35"/>
        <v>0</v>
      </c>
      <c r="GZ10" s="151">
        <f t="shared" si="36"/>
        <v>0</v>
      </c>
      <c r="HA10" s="151">
        <f t="shared" si="36"/>
        <v>0</v>
      </c>
      <c r="HB10" s="151">
        <f t="shared" si="37"/>
        <v>0</v>
      </c>
      <c r="HC10" s="151">
        <f t="shared" si="37"/>
        <v>0</v>
      </c>
      <c r="HD10" s="151">
        <f t="shared" si="38"/>
        <v>0</v>
      </c>
      <c r="HE10" s="148"/>
      <c r="HF10" s="148">
        <v>2</v>
      </c>
      <c r="HG10" s="148"/>
      <c r="HH10" s="148"/>
      <c r="HI10" s="148">
        <v>2</v>
      </c>
      <c r="HJ10" s="148"/>
      <c r="HK10" s="148"/>
      <c r="HL10" s="148">
        <v>2</v>
      </c>
      <c r="HM10" s="148"/>
      <c r="HN10" s="148"/>
      <c r="HO10" s="148">
        <v>1</v>
      </c>
      <c r="HP10" s="148"/>
      <c r="HQ10" s="148"/>
      <c r="HR10" s="148">
        <v>2</v>
      </c>
      <c r="HS10" s="148"/>
      <c r="HT10" s="148"/>
      <c r="HU10" s="148">
        <v>2</v>
      </c>
      <c r="HV10" s="148"/>
      <c r="HW10" s="148">
        <f t="shared" si="56"/>
        <v>0</v>
      </c>
      <c r="HX10" s="148">
        <f t="shared" si="57"/>
        <v>11</v>
      </c>
      <c r="HY10" s="148">
        <f t="shared" si="58"/>
        <v>0</v>
      </c>
      <c r="HZ10" s="148">
        <f t="shared" si="59"/>
        <v>11</v>
      </c>
      <c r="IA10" s="148"/>
      <c r="IB10" s="148"/>
      <c r="IC10" s="148"/>
      <c r="ID10" s="148"/>
      <c r="IE10" s="148"/>
      <c r="IF10" s="148"/>
      <c r="IG10" s="148"/>
      <c r="IH10" s="148"/>
      <c r="II10" s="148"/>
      <c r="IJ10" s="148">
        <f t="shared" si="39"/>
        <v>0</v>
      </c>
      <c r="IK10" s="148">
        <f t="shared" si="39"/>
        <v>0</v>
      </c>
      <c r="IL10" s="148">
        <f t="shared" si="39"/>
        <v>0</v>
      </c>
      <c r="IM10" s="154">
        <f t="shared" si="40"/>
        <v>0</v>
      </c>
      <c r="IN10" s="148">
        <f t="shared" si="41"/>
        <v>0</v>
      </c>
      <c r="IO10" s="148">
        <f t="shared" si="41"/>
        <v>11</v>
      </c>
      <c r="IP10" s="148">
        <f t="shared" si="41"/>
        <v>0</v>
      </c>
      <c r="IQ10" s="148">
        <f t="shared" si="41"/>
        <v>11</v>
      </c>
      <c r="IR10" s="226"/>
      <c r="IS10" s="226">
        <v>1</v>
      </c>
      <c r="IT10" s="226"/>
      <c r="IU10" s="226">
        <v>1</v>
      </c>
      <c r="IV10" s="226"/>
      <c r="IW10" s="226">
        <v>12</v>
      </c>
      <c r="IX10" s="226"/>
      <c r="IY10" s="226"/>
      <c r="IZ10" s="226">
        <f t="shared" si="42"/>
        <v>0</v>
      </c>
      <c r="JA10" s="226">
        <f t="shared" si="42"/>
        <v>14</v>
      </c>
      <c r="JB10" s="226">
        <f t="shared" si="43"/>
        <v>14</v>
      </c>
      <c r="JC10" s="226"/>
      <c r="JD10" s="226"/>
      <c r="JE10" s="226"/>
      <c r="JF10" s="226"/>
      <c r="JG10" s="226"/>
      <c r="JH10" s="226"/>
      <c r="JI10" s="226"/>
      <c r="JJ10" s="226"/>
      <c r="JK10" s="226"/>
      <c r="JL10" s="226"/>
      <c r="JM10" s="226">
        <f t="shared" si="44"/>
        <v>0</v>
      </c>
      <c r="JN10" s="226">
        <f t="shared" si="44"/>
        <v>0</v>
      </c>
      <c r="JO10" s="226">
        <f t="shared" si="45"/>
        <v>0</v>
      </c>
      <c r="JP10" s="156">
        <f t="shared" si="46"/>
        <v>0</v>
      </c>
      <c r="JQ10" s="156">
        <f t="shared" si="46"/>
        <v>1</v>
      </c>
      <c r="JR10" s="156">
        <f t="shared" si="46"/>
        <v>0</v>
      </c>
      <c r="JS10" s="156">
        <f t="shared" si="46"/>
        <v>1</v>
      </c>
      <c r="JT10" s="156">
        <f t="shared" si="47"/>
        <v>0</v>
      </c>
      <c r="JU10" s="156">
        <f t="shared" si="47"/>
        <v>0</v>
      </c>
      <c r="JV10" s="156">
        <f t="shared" si="48"/>
        <v>0</v>
      </c>
      <c r="JW10" s="156">
        <f t="shared" si="48"/>
        <v>12</v>
      </c>
      <c r="JX10" s="156">
        <f t="shared" si="49"/>
        <v>0</v>
      </c>
      <c r="JY10" s="156">
        <f t="shared" si="49"/>
        <v>0</v>
      </c>
      <c r="JZ10" s="156">
        <f t="shared" si="50"/>
        <v>0</v>
      </c>
      <c r="KA10" s="156">
        <f t="shared" si="50"/>
        <v>14</v>
      </c>
      <c r="KB10" s="156">
        <f t="shared" si="51"/>
        <v>14</v>
      </c>
      <c r="KC10" s="156">
        <v>1</v>
      </c>
      <c r="KD10" s="156"/>
      <c r="KE10" s="156"/>
      <c r="KF10" s="156">
        <v>1</v>
      </c>
      <c r="KG10" s="156"/>
      <c r="KH10" s="156"/>
      <c r="KI10" s="156"/>
      <c r="KJ10" s="156"/>
      <c r="KK10" s="156"/>
      <c r="KL10" s="156">
        <v>1</v>
      </c>
      <c r="KM10" s="156">
        <v>24</v>
      </c>
      <c r="KN10" s="156">
        <v>8</v>
      </c>
      <c r="KO10" s="156">
        <f t="shared" si="60"/>
        <v>32</v>
      </c>
      <c r="KP10" s="227"/>
      <c r="KQ10" s="227">
        <v>1</v>
      </c>
      <c r="KR10" s="156"/>
      <c r="KS10" s="156"/>
      <c r="KT10" s="156">
        <v>1</v>
      </c>
      <c r="KU10" s="156"/>
      <c r="KV10" s="156">
        <v>1</v>
      </c>
      <c r="KW10" s="227"/>
      <c r="KX10" s="156"/>
      <c r="KY10" s="227">
        <v>1</v>
      </c>
      <c r="KZ10" s="156"/>
      <c r="LA10" s="156"/>
      <c r="LB10" s="156"/>
      <c r="LC10" s="156"/>
      <c r="LD10" s="156"/>
      <c r="LE10" s="156">
        <v>1</v>
      </c>
      <c r="LF10" s="156"/>
      <c r="LG10" s="156">
        <v>1</v>
      </c>
      <c r="LH10" s="156"/>
      <c r="LI10" s="156">
        <v>1</v>
      </c>
      <c r="LJ10" s="156"/>
      <c r="LK10" s="156">
        <v>1</v>
      </c>
      <c r="LL10" s="156"/>
      <c r="LM10" s="156">
        <v>1</v>
      </c>
      <c r="LN10" s="156"/>
      <c r="LO10" s="156"/>
      <c r="LP10" s="156"/>
      <c r="LQ10" s="227">
        <v>1</v>
      </c>
      <c r="LR10" s="227"/>
      <c r="LS10" s="227"/>
      <c r="LT10" s="227">
        <v>1</v>
      </c>
      <c r="LU10" s="156"/>
      <c r="LV10" s="156"/>
      <c r="LW10" s="156">
        <v>950</v>
      </c>
      <c r="LX10" s="227">
        <v>50</v>
      </c>
      <c r="LY10" s="227">
        <f t="shared" si="61"/>
        <v>1000</v>
      </c>
      <c r="LZ10" s="156"/>
      <c r="MA10" s="156">
        <v>1</v>
      </c>
      <c r="MB10" s="156"/>
      <c r="MC10" s="156"/>
      <c r="MD10" s="156"/>
      <c r="ME10" s="156"/>
      <c r="MF10" s="156"/>
      <c r="MG10" s="156"/>
      <c r="MH10" s="156"/>
      <c r="MI10" s="156"/>
      <c r="MJ10" s="156"/>
      <c r="MK10" s="156"/>
      <c r="ML10" s="156"/>
      <c r="MM10" s="156"/>
      <c r="MN10" s="156"/>
      <c r="MO10" s="156"/>
    </row>
    <row r="11" spans="1:353" s="49" customFormat="1" ht="21" customHeight="1" thickBot="1" x14ac:dyDescent="0.25">
      <c r="A11" s="36" t="s">
        <v>112</v>
      </c>
      <c r="B11" s="36" t="s">
        <v>353</v>
      </c>
      <c r="C11" s="36">
        <v>9</v>
      </c>
      <c r="D11" s="36">
        <v>1400336</v>
      </c>
      <c r="E11" s="36" t="s">
        <v>360</v>
      </c>
      <c r="F11" s="36">
        <v>1</v>
      </c>
      <c r="G11" s="36"/>
      <c r="H11" s="36"/>
      <c r="I11" s="36"/>
      <c r="J11" s="36">
        <v>1</v>
      </c>
      <c r="K11" s="36">
        <v>1</v>
      </c>
      <c r="L11" s="36"/>
      <c r="M11" s="36">
        <v>1</v>
      </c>
      <c r="N11" s="36"/>
      <c r="O11" s="36"/>
      <c r="P11" s="36">
        <v>1</v>
      </c>
      <c r="Q11" s="36"/>
      <c r="R11" s="36">
        <v>1</v>
      </c>
      <c r="S11" s="36"/>
      <c r="T11" s="36"/>
      <c r="U11" s="36"/>
      <c r="V11" s="36"/>
      <c r="W11" s="36">
        <v>1</v>
      </c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>
        <f t="shared" ref="AJ11" si="62">AH11+AF11+AD11+AB11+Z11+X11</f>
        <v>0</v>
      </c>
      <c r="AK11" s="36">
        <f t="shared" ref="AK11" si="63">AI11+AG11+AE11+AC11+AA11+Y11</f>
        <v>0</v>
      </c>
      <c r="AL11" s="37">
        <f t="shared" ref="AL11" si="64">SUM(AJ11:AK11)</f>
        <v>0</v>
      </c>
      <c r="AM11" s="38"/>
      <c r="AN11" s="39"/>
      <c r="AO11" s="39"/>
      <c r="AP11" s="39"/>
      <c r="AQ11" s="39"/>
      <c r="AR11" s="39"/>
      <c r="AS11" s="39"/>
      <c r="AT11" s="39"/>
      <c r="AU11" s="39"/>
      <c r="AV11" s="39"/>
      <c r="AW11" s="39">
        <f t="shared" ref="AW11" si="65">AU11+AS11+AQ11+AO11+AM11</f>
        <v>0</v>
      </c>
      <c r="AX11" s="39">
        <f t="shared" ref="AX11" si="66">AV11+AT11+AR11+AP11+AN11</f>
        <v>0</v>
      </c>
      <c r="AY11" s="40">
        <f t="shared" ref="AY11" si="67">SUM(AW11:AX11)</f>
        <v>0</v>
      </c>
      <c r="AZ11" s="38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>
        <f t="shared" ref="BL11" si="68">BJ11+BH11+BF11+BD11+BB11+AZ11</f>
        <v>0</v>
      </c>
      <c r="BM11" s="39">
        <f t="shared" ref="BM11" si="69">BK11+BI11+BG11+BE11+BC11+BA11</f>
        <v>0</v>
      </c>
      <c r="BN11" s="39">
        <f t="shared" ref="BN11" si="70">SUM(BL11:BM11)</f>
        <v>0</v>
      </c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>
        <f t="shared" ref="BY11" si="71">BW11+BU11+BS11+BQ11+BO11</f>
        <v>0</v>
      </c>
      <c r="BZ11" s="39">
        <f t="shared" ref="BZ11" si="72">BX11+BV11+BT11+BR11+BP11</f>
        <v>0</v>
      </c>
      <c r="CA11" s="39">
        <f t="shared" ref="CA11" si="73">SUM(BY11:BZ11)</f>
        <v>0</v>
      </c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>
        <f>CJ11+CH11+CF11+CD11+CB11</f>
        <v>0</v>
      </c>
      <c r="CM11" s="39">
        <f t="shared" ref="CM11" si="74">CK11+CI11+CG11+CE11+CC11</f>
        <v>0</v>
      </c>
      <c r="CN11" s="39">
        <f t="shared" ref="CN11" si="75">SUM(CL11:CM11)</f>
        <v>0</v>
      </c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>
        <f t="shared" ref="CY11" si="76">CW11+CU11+CS11+CQ11+CO11</f>
        <v>0</v>
      </c>
      <c r="CZ11" s="39">
        <f t="shared" ref="CZ11" si="77">CX11+CV11+CT11+CR11+CP11</f>
        <v>0</v>
      </c>
      <c r="DA11" s="39">
        <f t="shared" ref="DA11" si="78">SUM(CY11:CZ11)</f>
        <v>0</v>
      </c>
      <c r="DB11" s="41"/>
      <c r="DC11" s="42"/>
      <c r="DD11" s="42"/>
      <c r="DE11" s="42"/>
      <c r="DF11" s="42"/>
      <c r="DG11" s="42"/>
      <c r="DH11" s="42"/>
      <c r="DI11" s="42"/>
      <c r="DJ11" s="42"/>
      <c r="DK11" s="42"/>
      <c r="DL11" s="42">
        <f t="shared" ref="DL11" si="79">DJ11+DH11+DF11+DD11+DB11</f>
        <v>0</v>
      </c>
      <c r="DM11" s="42">
        <f t="shared" ref="DM11" si="80">DK11+DI11+DG11+DE11+DC11</f>
        <v>0</v>
      </c>
      <c r="DN11" s="42">
        <f t="shared" ref="DN11" si="81">SUM(DL11:DM11)</f>
        <v>0</v>
      </c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>
        <f t="shared" ref="DY11" si="82">DW11+DU11+DS11+DQ11+DO11</f>
        <v>0</v>
      </c>
      <c r="DZ11" s="42">
        <f t="shared" ref="DZ11" si="83">DX11+DV11+DT11+DR11+DP11</f>
        <v>0</v>
      </c>
      <c r="EA11" s="42">
        <f t="shared" ref="EA11" si="84">SUM(DY11:DZ11)</f>
        <v>0</v>
      </c>
      <c r="EB11" s="42">
        <f t="shared" ref="EB11" si="85">AZ11</f>
        <v>0</v>
      </c>
      <c r="EC11" s="42">
        <f t="shared" ref="EC11" si="86">BA11</f>
        <v>0</v>
      </c>
      <c r="ED11" s="42">
        <f t="shared" ref="ED11" si="87">BB11</f>
        <v>0</v>
      </c>
      <c r="EE11" s="42">
        <f t="shared" ref="EE11" si="88">BC11</f>
        <v>0</v>
      </c>
      <c r="EF11" s="42">
        <f t="shared" ref="EF11" si="89">BO11+BD11</f>
        <v>0</v>
      </c>
      <c r="EG11" s="42">
        <f t="shared" ref="EG11" si="90">BP11+BE11</f>
        <v>0</v>
      </c>
      <c r="EH11" s="42">
        <f t="shared" ref="EH11" si="91">CB11+BQ11+BF11</f>
        <v>0</v>
      </c>
      <c r="EI11" s="42">
        <f t="shared" ref="EI11" si="92">CC11+BR11+BG11</f>
        <v>0</v>
      </c>
      <c r="EJ11" s="42">
        <f t="shared" ref="EJ11" si="93">CO11+CD11+BS11+BH11</f>
        <v>0</v>
      </c>
      <c r="EK11" s="42">
        <f t="shared" ref="EK11" si="94">CP11+CE11+BT11+BI11</f>
        <v>0</v>
      </c>
      <c r="EL11" s="42">
        <f t="shared" ref="EL11" si="95">DB11+CQ11+CF11+BU11+BJ11</f>
        <v>0</v>
      </c>
      <c r="EM11" s="42">
        <f t="shared" ref="EM11" si="96">DC11+CR11+CG11+BV11+BK11</f>
        <v>0</v>
      </c>
      <c r="EN11" s="42">
        <f t="shared" ref="EN11" si="97">DO11+DD11+CS11+CH11+BW11</f>
        <v>0</v>
      </c>
      <c r="EO11" s="42">
        <f t="shared" ref="EO11" si="98">DP11+DE11+CT11+CI11+BX11</f>
        <v>0</v>
      </c>
      <c r="EP11" s="42">
        <f t="shared" ref="EP11" si="99">DQ11+DF11+CU11+CJ11</f>
        <v>0</v>
      </c>
      <c r="EQ11" s="42">
        <f t="shared" ref="EQ11" si="100">DR11+DG11+CV11+CK11</f>
        <v>0</v>
      </c>
      <c r="ER11" s="42">
        <f t="shared" ref="ER11" si="101">DS11+DH11+CW11</f>
        <v>0</v>
      </c>
      <c r="ES11" s="42">
        <f t="shared" ref="ES11" si="102">DT11+DI11+CX11</f>
        <v>0</v>
      </c>
      <c r="ET11" s="42">
        <f t="shared" ref="ET11" si="103">DU11+DJ11</f>
        <v>0</v>
      </c>
      <c r="EU11" s="42">
        <f t="shared" ref="EU11" si="104">DV11+DK11</f>
        <v>0</v>
      </c>
      <c r="EV11" s="42">
        <f t="shared" ref="EV11" si="105">DW11</f>
        <v>0</v>
      </c>
      <c r="EW11" s="42">
        <f t="shared" ref="EW11" si="106">DX11</f>
        <v>0</v>
      </c>
      <c r="EX11" s="42">
        <f t="shared" ref="EX11" si="107">EV11+ET11+ER11+EP11+EN11+EL11+EJ11+EH11+EF11+ED11+EB11</f>
        <v>0</v>
      </c>
      <c r="EY11" s="42">
        <f t="shared" ref="EY11" si="108">EW11+EU11+ES11+EQ11+EO11+EM11+EK11+EI11+EG11+EE11+EC11</f>
        <v>0</v>
      </c>
      <c r="EZ11" s="43">
        <f t="shared" ref="EZ11" si="109">SUM(EX11:EY11)</f>
        <v>0</v>
      </c>
      <c r="FA11" s="44"/>
      <c r="FB11" s="42"/>
      <c r="FC11" s="42"/>
      <c r="FD11" s="42"/>
      <c r="FE11" s="42"/>
      <c r="FF11" s="42"/>
      <c r="FG11" s="42"/>
      <c r="FH11" s="42"/>
      <c r="FI11" s="42"/>
      <c r="FJ11" s="42"/>
      <c r="FK11" s="42">
        <f>FI11+FG11+FE11+FC11+FA11</f>
        <v>0</v>
      </c>
      <c r="FL11" s="42">
        <f>FJ11+FH11+FF11+FD11+FB11</f>
        <v>0</v>
      </c>
      <c r="FM11" s="42">
        <f t="shared" si="29"/>
        <v>0</v>
      </c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>
        <f t="shared" ref="FX11" si="110">FV11+FT11+FR11+FP11+FN11</f>
        <v>0</v>
      </c>
      <c r="FY11" s="42">
        <f t="shared" ref="FY11" si="111">FW11+FU11+FS11+FQ11+FO11</f>
        <v>0</v>
      </c>
      <c r="FZ11" s="42">
        <f t="shared" si="31"/>
        <v>0</v>
      </c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>
        <f t="shared" ref="GK11" si="112">GI11+GG11+GE11+GC11+GA11</f>
        <v>0</v>
      </c>
      <c r="GL11" s="42">
        <f t="shared" ref="GL11" si="113">GJ11+GH11+GF11+GD11+GB11</f>
        <v>0</v>
      </c>
      <c r="GM11" s="42">
        <f t="shared" ref="GM11" si="114">SUM(GK11:GL11)</f>
        <v>0</v>
      </c>
      <c r="GN11" s="42">
        <f t="shared" ref="GN11" si="115">FA11</f>
        <v>0</v>
      </c>
      <c r="GO11" s="42">
        <f t="shared" ref="GO11" si="116">FB11</f>
        <v>0</v>
      </c>
      <c r="GP11" s="42">
        <f t="shared" ref="GP11" si="117">FN11+FC11</f>
        <v>0</v>
      </c>
      <c r="GQ11" s="42">
        <f t="shared" ref="GQ11" si="118">FO11+FD11</f>
        <v>0</v>
      </c>
      <c r="GR11" s="42">
        <f t="shared" ref="GR11" si="119">GA11+FP11+FE11</f>
        <v>0</v>
      </c>
      <c r="GS11" s="42">
        <f t="shared" ref="GS11" si="120">GB11+FQ11+FF11</f>
        <v>0</v>
      </c>
      <c r="GT11" s="42">
        <f t="shared" ref="GT11" si="121">GC11+FR11+FG11</f>
        <v>0</v>
      </c>
      <c r="GU11" s="42">
        <f t="shared" ref="GU11" si="122">GD11+FS11+FH11</f>
        <v>0</v>
      </c>
      <c r="GV11" s="42">
        <f t="shared" ref="GV11" si="123">GE11+FT11+FI11</f>
        <v>0</v>
      </c>
      <c r="GW11" s="42">
        <f t="shared" ref="GW11" si="124">GF11+FU11+FJ11</f>
        <v>0</v>
      </c>
      <c r="GX11" s="42">
        <f t="shared" ref="GX11" si="125">GG11+FV11</f>
        <v>0</v>
      </c>
      <c r="GY11" s="42">
        <f t="shared" ref="GY11" si="126">GH11+FW11</f>
        <v>0</v>
      </c>
      <c r="GZ11" s="42">
        <f t="shared" ref="GZ11" si="127">GI11</f>
        <v>0</v>
      </c>
      <c r="HA11" s="42">
        <f t="shared" ref="HA11" si="128">GJ11</f>
        <v>0</v>
      </c>
      <c r="HB11" s="42">
        <f t="shared" ref="HB11" si="129">GZ11+GX11+GV11+GT11+GR11+GP11+GN11</f>
        <v>0</v>
      </c>
      <c r="HC11" s="42">
        <f t="shared" ref="HC11" si="130">HA11+GY11+GW11+GU11+GS11+GQ11+GO11</f>
        <v>0</v>
      </c>
      <c r="HD11" s="42">
        <f t="shared" ref="HD11" si="131">SUM(HB11:HC11)</f>
        <v>0</v>
      </c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>
        <f t="shared" ref="HW11" si="132">HT11+HQ11+HN11+HK11+HH11+HE11</f>
        <v>0</v>
      </c>
      <c r="HX11" s="39">
        <f t="shared" ref="HX11" si="133">HU11+HR11+HO11+HL11+HI11+HF11</f>
        <v>0</v>
      </c>
      <c r="HY11" s="39">
        <f t="shared" ref="HY11" si="134">HV11+HS11+HP11+HM11+HJ11+HG11</f>
        <v>0</v>
      </c>
      <c r="HZ11" s="39">
        <f>SUM(HW11:HY11)</f>
        <v>0</v>
      </c>
      <c r="IA11" s="39"/>
      <c r="IB11" s="39"/>
      <c r="IC11" s="39"/>
      <c r="ID11" s="39"/>
      <c r="IE11" s="39"/>
      <c r="IF11" s="39"/>
      <c r="IG11" s="39"/>
      <c r="IH11" s="39"/>
      <c r="II11" s="39"/>
      <c r="IJ11" s="39">
        <f t="shared" ref="IJ11" si="135">IG11+ID11+IA11</f>
        <v>0</v>
      </c>
      <c r="IK11" s="39">
        <f t="shared" ref="IK11" si="136">IH11+IE11+IB11</f>
        <v>0</v>
      </c>
      <c r="IL11" s="39">
        <f t="shared" ref="IL11" si="137">II11+IF11+IC11</f>
        <v>0</v>
      </c>
      <c r="IM11" s="45">
        <f t="shared" ref="IM11" si="138">SUM(IJ11:IL11)</f>
        <v>0</v>
      </c>
      <c r="IN11" s="39">
        <f t="shared" ref="IN11" si="139">IJ11+HW11</f>
        <v>0</v>
      </c>
      <c r="IO11" s="39">
        <f t="shared" ref="IO11" si="140">IK11+HX11</f>
        <v>0</v>
      </c>
      <c r="IP11" s="39">
        <f t="shared" ref="IP11" si="141">IL11+HY11</f>
        <v>0</v>
      </c>
      <c r="IQ11" s="39">
        <f t="shared" ref="IQ11" si="142">IM11+HZ11</f>
        <v>0</v>
      </c>
      <c r="IR11" s="162">
        <v>1</v>
      </c>
      <c r="IS11" s="162"/>
      <c r="IT11" s="162"/>
      <c r="IU11" s="162"/>
      <c r="IV11" s="162"/>
      <c r="IW11" s="162"/>
      <c r="IX11" s="162"/>
      <c r="IY11" s="162"/>
      <c r="IZ11" s="162">
        <f t="shared" ref="IZ11" si="143">IX11+IV11+IT11+IR11</f>
        <v>1</v>
      </c>
      <c r="JA11" s="162">
        <f t="shared" ref="JA11" si="144">IY11+IW11+IU11+IS11</f>
        <v>0</v>
      </c>
      <c r="JB11" s="162">
        <f t="shared" ref="JB11" si="145">SUM(IZ11:JA11)</f>
        <v>1</v>
      </c>
      <c r="JC11" s="162"/>
      <c r="JD11" s="162"/>
      <c r="JE11" s="162"/>
      <c r="JF11" s="162"/>
      <c r="JG11" s="162"/>
      <c r="JH11" s="162"/>
      <c r="JI11" s="162"/>
      <c r="JJ11" s="162"/>
      <c r="JK11" s="162"/>
      <c r="JL11" s="162"/>
      <c r="JM11" s="162">
        <f t="shared" ref="JM11" si="146">JK11+JG11+JE11+JC11</f>
        <v>0</v>
      </c>
      <c r="JN11" s="162">
        <f t="shared" ref="JN11" si="147">JL11+JH11+JF11+JD11</f>
        <v>0</v>
      </c>
      <c r="JO11" s="162">
        <f t="shared" ref="JO11" si="148">SUM(JM11:JN11)</f>
        <v>0</v>
      </c>
      <c r="JP11" s="48">
        <f t="shared" ref="JP11" si="149">JC11+IR11</f>
        <v>1</v>
      </c>
      <c r="JQ11" s="48">
        <f t="shared" ref="JQ11" si="150">JD11+IS11</f>
        <v>0</v>
      </c>
      <c r="JR11" s="48">
        <f t="shared" ref="JR11" si="151">JE11+IT11</f>
        <v>0</v>
      </c>
      <c r="JS11" s="48">
        <f t="shared" ref="JS11" si="152">JF11+IU11</f>
        <v>0</v>
      </c>
      <c r="JT11" s="48">
        <f t="shared" ref="JT11" si="153">JG11</f>
        <v>0</v>
      </c>
      <c r="JU11" s="48">
        <f t="shared" ref="JU11" si="154">JH11</f>
        <v>0</v>
      </c>
      <c r="JV11" s="48">
        <f t="shared" ref="JV11" si="155">IV11+JI11</f>
        <v>0</v>
      </c>
      <c r="JW11" s="48">
        <f t="shared" ref="JW11" si="156">IW11+JJ11</f>
        <v>0</v>
      </c>
      <c r="JX11" s="48">
        <f t="shared" ref="JX11" si="157">JK11+IX11</f>
        <v>0</v>
      </c>
      <c r="JY11" s="48">
        <f t="shared" ref="JY11" si="158">JL11+IY11</f>
        <v>0</v>
      </c>
      <c r="JZ11" s="48">
        <f t="shared" ref="JZ11" si="159">JX11+JV11+JT11+JR11+JP11</f>
        <v>1</v>
      </c>
      <c r="KA11" s="48">
        <f t="shared" ref="KA11" si="160">JY11+JW11+JU11+JS11+JQ11</f>
        <v>0</v>
      </c>
      <c r="KB11" s="48">
        <f t="shared" ref="KB11" si="161">SUM(JZ11:KA11)</f>
        <v>1</v>
      </c>
      <c r="KC11" s="48">
        <v>1</v>
      </c>
      <c r="KD11" s="48"/>
      <c r="KE11" s="48">
        <v>1</v>
      </c>
      <c r="KF11" s="48"/>
      <c r="KG11" s="48"/>
      <c r="KH11" s="48"/>
      <c r="KI11" s="48">
        <v>1</v>
      </c>
      <c r="KJ11" s="48"/>
      <c r="KK11" s="48"/>
      <c r="KL11" s="48"/>
      <c r="KM11" s="48">
        <v>9</v>
      </c>
      <c r="KN11" s="48">
        <v>3</v>
      </c>
      <c r="KO11" s="48">
        <f>SUM(KM11:KN11)</f>
        <v>12</v>
      </c>
      <c r="KP11" s="113"/>
      <c r="KQ11" s="113">
        <v>1</v>
      </c>
      <c r="KR11" s="48"/>
      <c r="KS11" s="48">
        <v>1</v>
      </c>
      <c r="KT11" s="48"/>
      <c r="KU11" s="48"/>
      <c r="KV11" s="48">
        <v>1</v>
      </c>
      <c r="KW11" s="113"/>
      <c r="KX11" s="48"/>
      <c r="KY11" s="113">
        <v>1</v>
      </c>
      <c r="KZ11" s="48"/>
      <c r="LA11" s="48"/>
      <c r="LB11" s="48"/>
      <c r="LC11" s="48"/>
      <c r="LD11" s="48"/>
      <c r="LE11" s="48">
        <v>1</v>
      </c>
      <c r="LF11" s="48"/>
      <c r="LG11" s="48">
        <v>1</v>
      </c>
      <c r="LH11" s="48"/>
      <c r="LI11" s="48">
        <v>1</v>
      </c>
      <c r="LJ11" s="48"/>
      <c r="LK11" s="48">
        <v>1</v>
      </c>
      <c r="LL11" s="48"/>
      <c r="LM11" s="48"/>
      <c r="LN11" s="48">
        <v>1</v>
      </c>
      <c r="LO11" s="48"/>
      <c r="LP11" s="48"/>
      <c r="LQ11" s="113"/>
      <c r="LR11" s="113"/>
      <c r="LS11" s="113"/>
      <c r="LT11" s="113"/>
      <c r="LU11" s="48"/>
      <c r="LV11" s="48"/>
      <c r="LW11" s="48"/>
      <c r="LX11" s="113"/>
      <c r="LY11" s="113">
        <f t="shared" si="61"/>
        <v>0</v>
      </c>
      <c r="LZ11" s="48"/>
      <c r="MA11" s="48">
        <v>1</v>
      </c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</row>
    <row r="12" spans="1:353" s="49" customFormat="1" ht="21" customHeight="1" thickBot="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7"/>
      <c r="AM12" s="38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40"/>
      <c r="AZ12" s="38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41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3"/>
      <c r="FA12" s="44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45"/>
      <c r="IN12" s="39"/>
      <c r="IO12" s="39"/>
      <c r="IP12" s="39"/>
      <c r="IQ12" s="39"/>
      <c r="IR12" s="162"/>
      <c r="IS12" s="162"/>
      <c r="IT12" s="162"/>
      <c r="IU12" s="162"/>
      <c r="IV12" s="162"/>
      <c r="IW12" s="162"/>
      <c r="IX12" s="162"/>
      <c r="IY12" s="162"/>
      <c r="IZ12" s="162"/>
      <c r="JA12" s="162"/>
      <c r="JB12" s="162"/>
      <c r="JC12" s="162"/>
      <c r="JD12" s="162"/>
      <c r="JE12" s="162"/>
      <c r="JF12" s="162"/>
      <c r="JG12" s="162"/>
      <c r="JH12" s="162"/>
      <c r="JI12" s="162"/>
      <c r="JJ12" s="162"/>
      <c r="JK12" s="162"/>
      <c r="JL12" s="162"/>
      <c r="JM12" s="162"/>
      <c r="JN12" s="162"/>
      <c r="JO12" s="162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113"/>
      <c r="KQ12" s="113"/>
      <c r="KR12" s="48"/>
      <c r="KS12" s="48"/>
      <c r="KT12" s="48"/>
      <c r="KU12" s="48"/>
      <c r="KV12" s="48"/>
      <c r="KW12" s="113"/>
      <c r="KX12" s="48"/>
      <c r="KY12" s="113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113"/>
      <c r="LR12" s="113"/>
      <c r="LS12" s="113"/>
      <c r="LT12" s="113"/>
      <c r="LU12" s="48"/>
      <c r="LV12" s="48"/>
      <c r="LW12" s="48"/>
      <c r="LX12" s="113"/>
      <c r="LY12" s="113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</row>
    <row r="13" spans="1:353" s="49" customFormat="1" ht="21" customHeight="1" thickBot="1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7"/>
      <c r="AM13" s="38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40"/>
      <c r="AZ13" s="38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39"/>
      <c r="CZ13" s="39"/>
      <c r="DA13" s="39"/>
      <c r="DB13" s="41"/>
      <c r="DC13" s="42"/>
      <c r="DD13" s="42"/>
      <c r="DE13" s="42"/>
      <c r="DF13" s="42"/>
      <c r="DG13" s="42"/>
      <c r="DH13" s="42"/>
      <c r="DI13" s="42"/>
      <c r="DJ13" s="42"/>
      <c r="DK13" s="42"/>
      <c r="DL13" s="42"/>
      <c r="DM13" s="42"/>
      <c r="DN13" s="42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42"/>
      <c r="DZ13" s="42"/>
      <c r="EA13" s="42"/>
      <c r="EB13" s="42"/>
      <c r="EC13" s="42"/>
      <c r="ED13" s="42"/>
      <c r="EE13" s="42"/>
      <c r="EF13" s="42"/>
      <c r="EG13" s="42"/>
      <c r="EH13" s="42"/>
      <c r="EI13" s="42"/>
      <c r="EJ13" s="42"/>
      <c r="EK13" s="42"/>
      <c r="EL13" s="42"/>
      <c r="EM13" s="42"/>
      <c r="EN13" s="42"/>
      <c r="EO13" s="42"/>
      <c r="EP13" s="42"/>
      <c r="EQ13" s="42"/>
      <c r="ER13" s="42"/>
      <c r="ES13" s="42"/>
      <c r="ET13" s="42"/>
      <c r="EU13" s="42"/>
      <c r="EV13" s="42"/>
      <c r="EW13" s="42"/>
      <c r="EX13" s="42"/>
      <c r="EY13" s="42"/>
      <c r="EZ13" s="43"/>
      <c r="FA13" s="44"/>
      <c r="FB13" s="42"/>
      <c r="FC13" s="42"/>
      <c r="FD13" s="42"/>
      <c r="FE13" s="42"/>
      <c r="FF13" s="42"/>
      <c r="FG13" s="42"/>
      <c r="FH13" s="42"/>
      <c r="FI13" s="42"/>
      <c r="FJ13" s="42"/>
      <c r="FK13" s="42"/>
      <c r="FL13" s="42"/>
      <c r="FM13" s="42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42"/>
      <c r="GO13" s="42"/>
      <c r="GP13" s="42"/>
      <c r="GQ13" s="42"/>
      <c r="GR13" s="42"/>
      <c r="GS13" s="42"/>
      <c r="GT13" s="42"/>
      <c r="GU13" s="42"/>
      <c r="GV13" s="42"/>
      <c r="GW13" s="42"/>
      <c r="GX13" s="42"/>
      <c r="GY13" s="42"/>
      <c r="GZ13" s="42"/>
      <c r="HA13" s="42"/>
      <c r="HB13" s="42"/>
      <c r="HC13" s="42"/>
      <c r="HD13" s="42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45"/>
      <c r="IN13" s="39"/>
      <c r="IO13" s="39"/>
      <c r="IP13" s="39"/>
      <c r="IQ13" s="39"/>
      <c r="IR13" s="162"/>
      <c r="IS13" s="162"/>
      <c r="IT13" s="162"/>
      <c r="IU13" s="162"/>
      <c r="IV13" s="162"/>
      <c r="IW13" s="162"/>
      <c r="IX13" s="162"/>
      <c r="IY13" s="162"/>
      <c r="IZ13" s="162"/>
      <c r="JA13" s="162"/>
      <c r="JB13" s="162"/>
      <c r="JC13" s="162"/>
      <c r="JD13" s="162"/>
      <c r="JE13" s="162"/>
      <c r="JF13" s="162"/>
      <c r="JG13" s="162"/>
      <c r="JH13" s="162"/>
      <c r="JI13" s="162"/>
      <c r="JJ13" s="162"/>
      <c r="JK13" s="162"/>
      <c r="JL13" s="162"/>
      <c r="JM13" s="162"/>
      <c r="JN13" s="162"/>
      <c r="JO13" s="162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113"/>
      <c r="KQ13" s="113"/>
      <c r="KR13" s="48"/>
      <c r="KS13" s="48"/>
      <c r="KT13" s="48"/>
      <c r="KU13" s="48"/>
      <c r="KV13" s="48"/>
      <c r="KW13" s="113"/>
      <c r="KX13" s="48"/>
      <c r="KY13" s="113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113"/>
      <c r="LR13" s="113"/>
      <c r="LS13" s="113"/>
      <c r="LT13" s="113"/>
      <c r="LU13" s="48"/>
      <c r="LV13" s="48"/>
      <c r="LW13" s="48"/>
      <c r="LX13" s="113"/>
      <c r="LY13" s="113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</row>
    <row r="14" spans="1:353" s="49" customFormat="1" ht="21" customHeight="1" thickBot="1" x14ac:dyDescent="0.25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7"/>
      <c r="AM14" s="38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40"/>
      <c r="AZ14" s="38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CR14" s="39"/>
      <c r="CS14" s="39"/>
      <c r="CT14" s="39"/>
      <c r="CU14" s="39"/>
      <c r="CV14" s="39"/>
      <c r="CW14" s="39"/>
      <c r="CX14" s="39"/>
      <c r="CY14" s="39"/>
      <c r="CZ14" s="39"/>
      <c r="DA14" s="39"/>
      <c r="DB14" s="41"/>
      <c r="DC14" s="42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42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42"/>
      <c r="EN14" s="42"/>
      <c r="EO14" s="42"/>
      <c r="EP14" s="42"/>
      <c r="EQ14" s="42"/>
      <c r="ER14" s="42"/>
      <c r="ES14" s="42"/>
      <c r="ET14" s="42"/>
      <c r="EU14" s="42"/>
      <c r="EV14" s="42"/>
      <c r="EW14" s="42"/>
      <c r="EX14" s="42"/>
      <c r="EY14" s="42"/>
      <c r="EZ14" s="43"/>
      <c r="FA14" s="44"/>
      <c r="FB14" s="42"/>
      <c r="FC14" s="42"/>
      <c r="FD14" s="42"/>
      <c r="FE14" s="42"/>
      <c r="FF14" s="42"/>
      <c r="FG14" s="42"/>
      <c r="FH14" s="42"/>
      <c r="FI14" s="42"/>
      <c r="FJ14" s="42"/>
      <c r="FK14" s="42"/>
      <c r="FL14" s="42"/>
      <c r="FM14" s="42"/>
      <c r="FN14" s="42"/>
      <c r="FO14" s="42"/>
      <c r="FP14" s="42"/>
      <c r="FQ14" s="42"/>
      <c r="FR14" s="42"/>
      <c r="FS14" s="42"/>
      <c r="FT14" s="42"/>
      <c r="FU14" s="42"/>
      <c r="FV14" s="42"/>
      <c r="FW14" s="42"/>
      <c r="FX14" s="42"/>
      <c r="FY14" s="42"/>
      <c r="FZ14" s="42"/>
      <c r="GA14" s="42"/>
      <c r="GB14" s="42"/>
      <c r="GC14" s="42"/>
      <c r="GD14" s="42"/>
      <c r="GE14" s="42"/>
      <c r="GF14" s="42"/>
      <c r="GG14" s="42"/>
      <c r="GH14" s="42"/>
      <c r="GI14" s="42"/>
      <c r="GJ14" s="42"/>
      <c r="GK14" s="42"/>
      <c r="GL14" s="42"/>
      <c r="GM14" s="42"/>
      <c r="GN14" s="42"/>
      <c r="GO14" s="42"/>
      <c r="GP14" s="42"/>
      <c r="GQ14" s="42"/>
      <c r="GR14" s="42"/>
      <c r="GS14" s="42"/>
      <c r="GT14" s="42"/>
      <c r="GU14" s="42"/>
      <c r="GV14" s="42"/>
      <c r="GW14" s="42"/>
      <c r="GX14" s="42"/>
      <c r="GY14" s="42"/>
      <c r="GZ14" s="42"/>
      <c r="HA14" s="42"/>
      <c r="HB14" s="42"/>
      <c r="HC14" s="42"/>
      <c r="HD14" s="42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45"/>
      <c r="IN14" s="39"/>
      <c r="IO14" s="39"/>
      <c r="IP14" s="39"/>
      <c r="IQ14" s="39"/>
      <c r="IR14" s="162"/>
      <c r="IS14" s="162"/>
      <c r="IT14" s="162"/>
      <c r="IU14" s="162"/>
      <c r="IV14" s="162"/>
      <c r="IW14" s="162"/>
      <c r="IX14" s="162"/>
      <c r="IY14" s="162"/>
      <c r="IZ14" s="162"/>
      <c r="JA14" s="162"/>
      <c r="JB14" s="162"/>
      <c r="JC14" s="162"/>
      <c r="JD14" s="162"/>
      <c r="JE14" s="162"/>
      <c r="JF14" s="162"/>
      <c r="JG14" s="162"/>
      <c r="JH14" s="162"/>
      <c r="JI14" s="162"/>
      <c r="JJ14" s="162"/>
      <c r="JK14" s="162"/>
      <c r="JL14" s="162"/>
      <c r="JM14" s="162"/>
      <c r="JN14" s="162"/>
      <c r="JO14" s="162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113"/>
      <c r="KQ14" s="113"/>
      <c r="KR14" s="48"/>
      <c r="KS14" s="48"/>
      <c r="KT14" s="48"/>
      <c r="KU14" s="48"/>
      <c r="KV14" s="48"/>
      <c r="KW14" s="113"/>
      <c r="KX14" s="48"/>
      <c r="KY14" s="113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113"/>
      <c r="LR14" s="113"/>
      <c r="LS14" s="113"/>
      <c r="LT14" s="113"/>
      <c r="LU14" s="48"/>
      <c r="LV14" s="48"/>
      <c r="LW14" s="48"/>
      <c r="LX14" s="113"/>
      <c r="LY14" s="113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</row>
    <row r="15" spans="1:353" s="116" customFormat="1" ht="21" customHeight="1" thickBot="1" x14ac:dyDescent="0.25">
      <c r="A15" s="114"/>
      <c r="B15" s="114"/>
      <c r="C15" s="368" t="s">
        <v>322</v>
      </c>
      <c r="D15" s="369"/>
      <c r="E15" s="370"/>
      <c r="F15" s="115">
        <f t="shared" ref="F15:BQ15" si="162">SUM(F6:F11)</f>
        <v>6</v>
      </c>
      <c r="G15" s="115">
        <f t="shared" si="162"/>
        <v>0</v>
      </c>
      <c r="H15" s="115">
        <f t="shared" si="162"/>
        <v>4</v>
      </c>
      <c r="I15" s="115">
        <f t="shared" si="162"/>
        <v>1</v>
      </c>
      <c r="J15" s="115">
        <f t="shared" si="162"/>
        <v>1</v>
      </c>
      <c r="K15" s="115">
        <f t="shared" si="162"/>
        <v>6</v>
      </c>
      <c r="L15" s="115">
        <f t="shared" si="162"/>
        <v>0</v>
      </c>
      <c r="M15" s="115">
        <f t="shared" si="162"/>
        <v>6</v>
      </c>
      <c r="N15" s="115">
        <f t="shared" si="162"/>
        <v>0</v>
      </c>
      <c r="O15" s="115">
        <f t="shared" si="162"/>
        <v>0</v>
      </c>
      <c r="P15" s="115">
        <f t="shared" si="162"/>
        <v>6</v>
      </c>
      <c r="Q15" s="115">
        <f t="shared" si="162"/>
        <v>0</v>
      </c>
      <c r="R15" s="115">
        <f t="shared" si="162"/>
        <v>4</v>
      </c>
      <c r="S15" s="115">
        <f t="shared" si="162"/>
        <v>0</v>
      </c>
      <c r="T15" s="115">
        <f t="shared" si="162"/>
        <v>2</v>
      </c>
      <c r="U15" s="115">
        <f t="shared" si="162"/>
        <v>0</v>
      </c>
      <c r="V15" s="115">
        <f t="shared" si="162"/>
        <v>0</v>
      </c>
      <c r="W15" s="115">
        <f t="shared" si="162"/>
        <v>6</v>
      </c>
      <c r="X15" s="115">
        <f t="shared" si="162"/>
        <v>8</v>
      </c>
      <c r="Y15" s="115">
        <f t="shared" si="162"/>
        <v>2</v>
      </c>
      <c r="Z15" s="115">
        <f t="shared" si="162"/>
        <v>136</v>
      </c>
      <c r="AA15" s="115">
        <f t="shared" si="162"/>
        <v>36</v>
      </c>
      <c r="AB15" s="115">
        <f t="shared" si="162"/>
        <v>11</v>
      </c>
      <c r="AC15" s="115">
        <f t="shared" si="162"/>
        <v>1</v>
      </c>
      <c r="AD15" s="115">
        <f t="shared" si="162"/>
        <v>2</v>
      </c>
      <c r="AE15" s="115">
        <f t="shared" si="162"/>
        <v>0</v>
      </c>
      <c r="AF15" s="115">
        <f t="shared" si="162"/>
        <v>0</v>
      </c>
      <c r="AG15" s="115">
        <f t="shared" si="162"/>
        <v>0</v>
      </c>
      <c r="AH15" s="115">
        <f t="shared" si="162"/>
        <v>0</v>
      </c>
      <c r="AI15" s="115">
        <f t="shared" si="162"/>
        <v>0</v>
      </c>
      <c r="AJ15" s="115">
        <f t="shared" si="162"/>
        <v>157</v>
      </c>
      <c r="AK15" s="115">
        <f t="shared" si="162"/>
        <v>39</v>
      </c>
      <c r="AL15" s="115">
        <f t="shared" si="162"/>
        <v>196</v>
      </c>
      <c r="AM15" s="115">
        <f t="shared" si="162"/>
        <v>0</v>
      </c>
      <c r="AN15" s="115">
        <f t="shared" si="162"/>
        <v>0</v>
      </c>
      <c r="AO15" s="115">
        <f t="shared" si="162"/>
        <v>0</v>
      </c>
      <c r="AP15" s="115">
        <f t="shared" si="162"/>
        <v>0</v>
      </c>
      <c r="AQ15" s="115">
        <f t="shared" si="162"/>
        <v>0</v>
      </c>
      <c r="AR15" s="115">
        <f t="shared" si="162"/>
        <v>0</v>
      </c>
      <c r="AS15" s="115">
        <f t="shared" si="162"/>
        <v>0</v>
      </c>
      <c r="AT15" s="115">
        <f t="shared" si="162"/>
        <v>0</v>
      </c>
      <c r="AU15" s="115">
        <f t="shared" si="162"/>
        <v>0</v>
      </c>
      <c r="AV15" s="115">
        <f t="shared" si="162"/>
        <v>0</v>
      </c>
      <c r="AW15" s="115">
        <f t="shared" si="162"/>
        <v>0</v>
      </c>
      <c r="AX15" s="115">
        <f t="shared" si="162"/>
        <v>0</v>
      </c>
      <c r="AY15" s="115">
        <f t="shared" si="162"/>
        <v>0</v>
      </c>
      <c r="AZ15" s="115">
        <f t="shared" si="162"/>
        <v>8</v>
      </c>
      <c r="BA15" s="115">
        <f t="shared" si="162"/>
        <v>2</v>
      </c>
      <c r="BB15" s="115">
        <f t="shared" si="162"/>
        <v>136</v>
      </c>
      <c r="BC15" s="115">
        <f t="shared" si="162"/>
        <v>36</v>
      </c>
      <c r="BD15" s="115">
        <f t="shared" si="162"/>
        <v>16</v>
      </c>
      <c r="BE15" s="115">
        <f t="shared" si="162"/>
        <v>1</v>
      </c>
      <c r="BF15" s="115">
        <f t="shared" si="162"/>
        <v>4</v>
      </c>
      <c r="BG15" s="115">
        <f t="shared" si="162"/>
        <v>0</v>
      </c>
      <c r="BH15" s="115">
        <f t="shared" si="162"/>
        <v>5</v>
      </c>
      <c r="BI15" s="115">
        <f t="shared" si="162"/>
        <v>0</v>
      </c>
      <c r="BJ15" s="115">
        <f t="shared" si="162"/>
        <v>0</v>
      </c>
      <c r="BK15" s="115">
        <f t="shared" si="162"/>
        <v>0</v>
      </c>
      <c r="BL15" s="115">
        <f t="shared" si="162"/>
        <v>169</v>
      </c>
      <c r="BM15" s="115">
        <f t="shared" si="162"/>
        <v>39</v>
      </c>
      <c r="BN15" s="115">
        <f t="shared" si="162"/>
        <v>208</v>
      </c>
      <c r="BO15" s="115">
        <f t="shared" si="162"/>
        <v>115</v>
      </c>
      <c r="BP15" s="115">
        <f t="shared" si="162"/>
        <v>49</v>
      </c>
      <c r="BQ15" s="115">
        <f t="shared" si="162"/>
        <v>14</v>
      </c>
      <c r="BR15" s="115">
        <f t="shared" ref="BR15:EC15" si="163">SUM(BR6:BR11)</f>
        <v>3</v>
      </c>
      <c r="BS15" s="115">
        <f t="shared" si="163"/>
        <v>6</v>
      </c>
      <c r="BT15" s="115">
        <f t="shared" si="163"/>
        <v>0</v>
      </c>
      <c r="BU15" s="115">
        <f t="shared" si="163"/>
        <v>1</v>
      </c>
      <c r="BV15" s="115">
        <f t="shared" si="163"/>
        <v>0</v>
      </c>
      <c r="BW15" s="115">
        <f t="shared" si="163"/>
        <v>0</v>
      </c>
      <c r="BX15" s="115">
        <f t="shared" si="163"/>
        <v>0</v>
      </c>
      <c r="BY15" s="115">
        <f t="shared" si="163"/>
        <v>136</v>
      </c>
      <c r="BZ15" s="115">
        <f t="shared" si="163"/>
        <v>52</v>
      </c>
      <c r="CA15" s="115">
        <f t="shared" si="163"/>
        <v>188</v>
      </c>
      <c r="CB15" s="115">
        <f t="shared" si="163"/>
        <v>120</v>
      </c>
      <c r="CC15" s="115">
        <f t="shared" si="163"/>
        <v>47</v>
      </c>
      <c r="CD15" s="115">
        <f t="shared" si="163"/>
        <v>19</v>
      </c>
      <c r="CE15" s="115">
        <f t="shared" si="163"/>
        <v>3</v>
      </c>
      <c r="CF15" s="115">
        <f t="shared" si="163"/>
        <v>8</v>
      </c>
      <c r="CG15" s="115">
        <f t="shared" si="163"/>
        <v>0</v>
      </c>
      <c r="CH15" s="115">
        <f t="shared" si="163"/>
        <v>1</v>
      </c>
      <c r="CI15" s="115">
        <f t="shared" si="163"/>
        <v>0</v>
      </c>
      <c r="CJ15" s="115">
        <f t="shared" si="163"/>
        <v>1</v>
      </c>
      <c r="CK15" s="115">
        <f t="shared" si="163"/>
        <v>0</v>
      </c>
      <c r="CL15" s="115">
        <f t="shared" si="163"/>
        <v>149</v>
      </c>
      <c r="CM15" s="115">
        <f t="shared" si="163"/>
        <v>50</v>
      </c>
      <c r="CN15" s="115">
        <f t="shared" si="163"/>
        <v>199</v>
      </c>
      <c r="CO15" s="115">
        <f t="shared" si="163"/>
        <v>133</v>
      </c>
      <c r="CP15" s="115">
        <f t="shared" si="163"/>
        <v>30</v>
      </c>
      <c r="CQ15" s="115">
        <f t="shared" si="163"/>
        <v>15</v>
      </c>
      <c r="CR15" s="115">
        <f t="shared" si="163"/>
        <v>4</v>
      </c>
      <c r="CS15" s="115">
        <f t="shared" si="163"/>
        <v>9</v>
      </c>
      <c r="CT15" s="115">
        <f t="shared" si="163"/>
        <v>0</v>
      </c>
      <c r="CU15" s="115">
        <f t="shared" si="163"/>
        <v>9</v>
      </c>
      <c r="CV15" s="115">
        <f t="shared" si="163"/>
        <v>0</v>
      </c>
      <c r="CW15" s="115">
        <f t="shared" si="163"/>
        <v>1</v>
      </c>
      <c r="CX15" s="115">
        <f t="shared" si="163"/>
        <v>0</v>
      </c>
      <c r="CY15" s="115">
        <f t="shared" si="163"/>
        <v>167</v>
      </c>
      <c r="CZ15" s="115">
        <f t="shared" si="163"/>
        <v>34</v>
      </c>
      <c r="DA15" s="115">
        <f t="shared" si="163"/>
        <v>201</v>
      </c>
      <c r="DB15" s="115">
        <f t="shared" si="163"/>
        <v>125</v>
      </c>
      <c r="DC15" s="115">
        <f t="shared" si="163"/>
        <v>41</v>
      </c>
      <c r="DD15" s="115">
        <f t="shared" si="163"/>
        <v>30</v>
      </c>
      <c r="DE15" s="115">
        <f t="shared" si="163"/>
        <v>8</v>
      </c>
      <c r="DF15" s="115">
        <f t="shared" si="163"/>
        <v>13</v>
      </c>
      <c r="DG15" s="115">
        <f t="shared" si="163"/>
        <v>2</v>
      </c>
      <c r="DH15" s="115">
        <f t="shared" si="163"/>
        <v>8</v>
      </c>
      <c r="DI15" s="115">
        <f t="shared" si="163"/>
        <v>1</v>
      </c>
      <c r="DJ15" s="115">
        <f t="shared" si="163"/>
        <v>4</v>
      </c>
      <c r="DK15" s="115">
        <f t="shared" si="163"/>
        <v>0</v>
      </c>
      <c r="DL15" s="115">
        <f t="shared" si="163"/>
        <v>180</v>
      </c>
      <c r="DM15" s="115">
        <f t="shared" si="163"/>
        <v>52</v>
      </c>
      <c r="DN15" s="115">
        <f t="shared" si="163"/>
        <v>232</v>
      </c>
      <c r="DO15" s="115">
        <f t="shared" si="163"/>
        <v>131</v>
      </c>
      <c r="DP15" s="115">
        <f t="shared" si="163"/>
        <v>30</v>
      </c>
      <c r="DQ15" s="115">
        <f t="shared" si="163"/>
        <v>26</v>
      </c>
      <c r="DR15" s="115">
        <f t="shared" si="163"/>
        <v>1</v>
      </c>
      <c r="DS15" s="115">
        <f t="shared" si="163"/>
        <v>7</v>
      </c>
      <c r="DT15" s="115">
        <f t="shared" si="163"/>
        <v>2</v>
      </c>
      <c r="DU15" s="115">
        <f t="shared" si="163"/>
        <v>3</v>
      </c>
      <c r="DV15" s="115">
        <f t="shared" si="163"/>
        <v>0</v>
      </c>
      <c r="DW15" s="115">
        <f t="shared" si="163"/>
        <v>4</v>
      </c>
      <c r="DX15" s="115">
        <f t="shared" si="163"/>
        <v>0</v>
      </c>
      <c r="DY15" s="115">
        <f t="shared" si="163"/>
        <v>171</v>
      </c>
      <c r="DZ15" s="115">
        <f t="shared" si="163"/>
        <v>33</v>
      </c>
      <c r="EA15" s="115">
        <f t="shared" si="163"/>
        <v>204</v>
      </c>
      <c r="EB15" s="115">
        <f t="shared" si="163"/>
        <v>8</v>
      </c>
      <c r="EC15" s="115">
        <f t="shared" si="163"/>
        <v>2</v>
      </c>
      <c r="ED15" s="115">
        <f t="shared" ref="ED15:GO15" si="164">SUM(ED6:ED11)</f>
        <v>136</v>
      </c>
      <c r="EE15" s="115">
        <f t="shared" si="164"/>
        <v>36</v>
      </c>
      <c r="EF15" s="115">
        <f t="shared" si="164"/>
        <v>131</v>
      </c>
      <c r="EG15" s="115">
        <f t="shared" si="164"/>
        <v>50</v>
      </c>
      <c r="EH15" s="115">
        <f t="shared" si="164"/>
        <v>138</v>
      </c>
      <c r="EI15" s="115">
        <f t="shared" si="164"/>
        <v>50</v>
      </c>
      <c r="EJ15" s="115">
        <f t="shared" si="164"/>
        <v>163</v>
      </c>
      <c r="EK15" s="115">
        <f t="shared" si="164"/>
        <v>33</v>
      </c>
      <c r="EL15" s="115">
        <f t="shared" si="164"/>
        <v>149</v>
      </c>
      <c r="EM15" s="115">
        <f t="shared" si="164"/>
        <v>45</v>
      </c>
      <c r="EN15" s="115">
        <f t="shared" si="164"/>
        <v>171</v>
      </c>
      <c r="EO15" s="115">
        <f t="shared" si="164"/>
        <v>38</v>
      </c>
      <c r="EP15" s="115">
        <f t="shared" si="164"/>
        <v>49</v>
      </c>
      <c r="EQ15" s="115">
        <f t="shared" si="164"/>
        <v>3</v>
      </c>
      <c r="ER15" s="115">
        <f t="shared" si="164"/>
        <v>16</v>
      </c>
      <c r="ES15" s="115">
        <f t="shared" si="164"/>
        <v>3</v>
      </c>
      <c r="ET15" s="115">
        <f t="shared" si="164"/>
        <v>7</v>
      </c>
      <c r="EU15" s="115">
        <f t="shared" si="164"/>
        <v>0</v>
      </c>
      <c r="EV15" s="115">
        <f t="shared" si="164"/>
        <v>4</v>
      </c>
      <c r="EW15" s="115">
        <f t="shared" si="164"/>
        <v>0</v>
      </c>
      <c r="EX15" s="115">
        <f t="shared" si="164"/>
        <v>972</v>
      </c>
      <c r="EY15" s="115">
        <f t="shared" si="164"/>
        <v>260</v>
      </c>
      <c r="EZ15" s="115">
        <f t="shared" si="164"/>
        <v>1232</v>
      </c>
      <c r="FA15" s="115">
        <f t="shared" si="164"/>
        <v>0</v>
      </c>
      <c r="FB15" s="115">
        <f t="shared" si="164"/>
        <v>0</v>
      </c>
      <c r="FC15" s="115">
        <f t="shared" si="164"/>
        <v>0</v>
      </c>
      <c r="FD15" s="115">
        <f t="shared" si="164"/>
        <v>0</v>
      </c>
      <c r="FE15" s="115">
        <f t="shared" si="164"/>
        <v>0</v>
      </c>
      <c r="FF15" s="115">
        <f t="shared" si="164"/>
        <v>0</v>
      </c>
      <c r="FG15" s="115">
        <f t="shared" si="164"/>
        <v>0</v>
      </c>
      <c r="FH15" s="115">
        <f t="shared" si="164"/>
        <v>0</v>
      </c>
      <c r="FI15" s="115">
        <f t="shared" si="164"/>
        <v>0</v>
      </c>
      <c r="FJ15" s="115">
        <f t="shared" si="164"/>
        <v>0</v>
      </c>
      <c r="FK15" s="115">
        <f t="shared" si="164"/>
        <v>0</v>
      </c>
      <c r="FL15" s="115">
        <f t="shared" si="164"/>
        <v>0</v>
      </c>
      <c r="FM15" s="115">
        <f t="shared" si="164"/>
        <v>0</v>
      </c>
      <c r="FN15" s="115">
        <f t="shared" si="164"/>
        <v>0</v>
      </c>
      <c r="FO15" s="115">
        <f t="shared" si="164"/>
        <v>0</v>
      </c>
      <c r="FP15" s="115">
        <f t="shared" si="164"/>
        <v>0</v>
      </c>
      <c r="FQ15" s="115">
        <f t="shared" si="164"/>
        <v>0</v>
      </c>
      <c r="FR15" s="115">
        <f t="shared" si="164"/>
        <v>0</v>
      </c>
      <c r="FS15" s="115">
        <f t="shared" si="164"/>
        <v>0</v>
      </c>
      <c r="FT15" s="115">
        <f t="shared" si="164"/>
        <v>0</v>
      </c>
      <c r="FU15" s="115">
        <f t="shared" si="164"/>
        <v>0</v>
      </c>
      <c r="FV15" s="115">
        <f t="shared" si="164"/>
        <v>0</v>
      </c>
      <c r="FW15" s="115">
        <f t="shared" si="164"/>
        <v>0</v>
      </c>
      <c r="FX15" s="115">
        <f t="shared" si="164"/>
        <v>0</v>
      </c>
      <c r="FY15" s="115">
        <f t="shared" si="164"/>
        <v>0</v>
      </c>
      <c r="FZ15" s="115">
        <f t="shared" si="164"/>
        <v>0</v>
      </c>
      <c r="GA15" s="115">
        <f t="shared" si="164"/>
        <v>0</v>
      </c>
      <c r="GB15" s="115">
        <f t="shared" si="164"/>
        <v>0</v>
      </c>
      <c r="GC15" s="115">
        <f t="shared" si="164"/>
        <v>0</v>
      </c>
      <c r="GD15" s="115">
        <f t="shared" si="164"/>
        <v>0</v>
      </c>
      <c r="GE15" s="115">
        <f t="shared" si="164"/>
        <v>0</v>
      </c>
      <c r="GF15" s="115">
        <f t="shared" si="164"/>
        <v>0</v>
      </c>
      <c r="GG15" s="115">
        <f t="shared" si="164"/>
        <v>0</v>
      </c>
      <c r="GH15" s="115">
        <f t="shared" si="164"/>
        <v>0</v>
      </c>
      <c r="GI15" s="115">
        <f t="shared" si="164"/>
        <v>0</v>
      </c>
      <c r="GJ15" s="115">
        <f t="shared" si="164"/>
        <v>0</v>
      </c>
      <c r="GK15" s="115">
        <f t="shared" si="164"/>
        <v>0</v>
      </c>
      <c r="GL15" s="115">
        <f t="shared" si="164"/>
        <v>0</v>
      </c>
      <c r="GM15" s="115">
        <f t="shared" si="164"/>
        <v>0</v>
      </c>
      <c r="GN15" s="115">
        <f t="shared" si="164"/>
        <v>0</v>
      </c>
      <c r="GO15" s="115">
        <f t="shared" si="164"/>
        <v>0</v>
      </c>
      <c r="GP15" s="115">
        <f t="shared" ref="GP15:JA15" si="165">SUM(GP6:GP11)</f>
        <v>0</v>
      </c>
      <c r="GQ15" s="115">
        <f t="shared" si="165"/>
        <v>0</v>
      </c>
      <c r="GR15" s="115">
        <f t="shared" si="165"/>
        <v>0</v>
      </c>
      <c r="GS15" s="115">
        <f t="shared" si="165"/>
        <v>0</v>
      </c>
      <c r="GT15" s="115">
        <f t="shared" si="165"/>
        <v>0</v>
      </c>
      <c r="GU15" s="115">
        <f t="shared" si="165"/>
        <v>0</v>
      </c>
      <c r="GV15" s="115">
        <f t="shared" si="165"/>
        <v>0</v>
      </c>
      <c r="GW15" s="115">
        <f t="shared" si="165"/>
        <v>0</v>
      </c>
      <c r="GX15" s="115">
        <f t="shared" si="165"/>
        <v>0</v>
      </c>
      <c r="GY15" s="115">
        <f t="shared" si="165"/>
        <v>0</v>
      </c>
      <c r="GZ15" s="115">
        <f t="shared" si="165"/>
        <v>0</v>
      </c>
      <c r="HA15" s="115">
        <f t="shared" si="165"/>
        <v>0</v>
      </c>
      <c r="HB15" s="115">
        <f t="shared" si="165"/>
        <v>0</v>
      </c>
      <c r="HC15" s="115">
        <f t="shared" si="165"/>
        <v>0</v>
      </c>
      <c r="HD15" s="115">
        <f t="shared" si="165"/>
        <v>0</v>
      </c>
      <c r="HE15" s="115">
        <f t="shared" si="165"/>
        <v>6</v>
      </c>
      <c r="HF15" s="115">
        <f t="shared" si="165"/>
        <v>2</v>
      </c>
      <c r="HG15" s="115">
        <f t="shared" si="165"/>
        <v>0</v>
      </c>
      <c r="HH15" s="115">
        <f t="shared" si="165"/>
        <v>5</v>
      </c>
      <c r="HI15" s="115">
        <f t="shared" si="165"/>
        <v>2</v>
      </c>
      <c r="HJ15" s="115">
        <f t="shared" si="165"/>
        <v>0</v>
      </c>
      <c r="HK15" s="115">
        <f t="shared" si="165"/>
        <v>5</v>
      </c>
      <c r="HL15" s="115">
        <f t="shared" si="165"/>
        <v>2</v>
      </c>
      <c r="HM15" s="115">
        <f t="shared" si="165"/>
        <v>0</v>
      </c>
      <c r="HN15" s="115">
        <f t="shared" si="165"/>
        <v>5</v>
      </c>
      <c r="HO15" s="115">
        <f t="shared" si="165"/>
        <v>1</v>
      </c>
      <c r="HP15" s="115">
        <f t="shared" si="165"/>
        <v>0</v>
      </c>
      <c r="HQ15" s="115">
        <f t="shared" si="165"/>
        <v>6</v>
      </c>
      <c r="HR15" s="115">
        <f t="shared" si="165"/>
        <v>2</v>
      </c>
      <c r="HS15" s="115">
        <f t="shared" si="165"/>
        <v>0</v>
      </c>
      <c r="HT15" s="115">
        <f t="shared" si="165"/>
        <v>6</v>
      </c>
      <c r="HU15" s="115">
        <f t="shared" si="165"/>
        <v>2</v>
      </c>
      <c r="HV15" s="115">
        <f t="shared" si="165"/>
        <v>0</v>
      </c>
      <c r="HW15" s="115">
        <f t="shared" si="165"/>
        <v>33</v>
      </c>
      <c r="HX15" s="115">
        <f t="shared" si="165"/>
        <v>11</v>
      </c>
      <c r="HY15" s="115">
        <f t="shared" si="165"/>
        <v>0</v>
      </c>
      <c r="HZ15" s="115">
        <f t="shared" si="165"/>
        <v>44</v>
      </c>
      <c r="IA15" s="115">
        <f t="shared" si="165"/>
        <v>0</v>
      </c>
      <c r="IB15" s="115">
        <f t="shared" si="165"/>
        <v>0</v>
      </c>
      <c r="IC15" s="115">
        <f t="shared" si="165"/>
        <v>0</v>
      </c>
      <c r="ID15" s="115">
        <f t="shared" si="165"/>
        <v>0</v>
      </c>
      <c r="IE15" s="115">
        <f t="shared" si="165"/>
        <v>0</v>
      </c>
      <c r="IF15" s="115">
        <f t="shared" si="165"/>
        <v>0</v>
      </c>
      <c r="IG15" s="115">
        <f t="shared" si="165"/>
        <v>0</v>
      </c>
      <c r="IH15" s="115">
        <f t="shared" si="165"/>
        <v>0</v>
      </c>
      <c r="II15" s="115">
        <f t="shared" si="165"/>
        <v>0</v>
      </c>
      <c r="IJ15" s="115">
        <f t="shared" si="165"/>
        <v>0</v>
      </c>
      <c r="IK15" s="115">
        <f t="shared" si="165"/>
        <v>0</v>
      </c>
      <c r="IL15" s="115">
        <f t="shared" si="165"/>
        <v>0</v>
      </c>
      <c r="IM15" s="115">
        <f t="shared" si="165"/>
        <v>0</v>
      </c>
      <c r="IN15" s="115">
        <f t="shared" si="165"/>
        <v>33</v>
      </c>
      <c r="IO15" s="115">
        <f t="shared" si="165"/>
        <v>11</v>
      </c>
      <c r="IP15" s="115">
        <f t="shared" si="165"/>
        <v>0</v>
      </c>
      <c r="IQ15" s="115">
        <f t="shared" si="165"/>
        <v>44</v>
      </c>
      <c r="IR15" s="115">
        <f t="shared" si="165"/>
        <v>5</v>
      </c>
      <c r="IS15" s="115">
        <f t="shared" si="165"/>
        <v>1</v>
      </c>
      <c r="IT15" s="115">
        <f t="shared" si="165"/>
        <v>2</v>
      </c>
      <c r="IU15" s="115">
        <f t="shared" si="165"/>
        <v>4</v>
      </c>
      <c r="IV15" s="115">
        <f t="shared" si="165"/>
        <v>17</v>
      </c>
      <c r="IW15" s="115">
        <f t="shared" si="165"/>
        <v>52</v>
      </c>
      <c r="IX15" s="115">
        <f t="shared" si="165"/>
        <v>0</v>
      </c>
      <c r="IY15" s="115">
        <f t="shared" si="165"/>
        <v>1</v>
      </c>
      <c r="IZ15" s="115">
        <f t="shared" si="165"/>
        <v>24</v>
      </c>
      <c r="JA15" s="115">
        <f t="shared" si="165"/>
        <v>58</v>
      </c>
      <c r="JB15" s="115">
        <f t="shared" ref="JB15:LM15" si="166">SUM(JB6:JB11)</f>
        <v>82</v>
      </c>
      <c r="JC15" s="115">
        <f t="shared" si="166"/>
        <v>0</v>
      </c>
      <c r="JD15" s="115">
        <f t="shared" si="166"/>
        <v>0</v>
      </c>
      <c r="JE15" s="115">
        <f t="shared" si="166"/>
        <v>0</v>
      </c>
      <c r="JF15" s="115">
        <f t="shared" si="166"/>
        <v>0</v>
      </c>
      <c r="JG15" s="115">
        <f t="shared" si="166"/>
        <v>0</v>
      </c>
      <c r="JH15" s="115">
        <f t="shared" si="166"/>
        <v>0</v>
      </c>
      <c r="JI15" s="115">
        <f t="shared" si="166"/>
        <v>0</v>
      </c>
      <c r="JJ15" s="115">
        <f t="shared" si="166"/>
        <v>0</v>
      </c>
      <c r="JK15" s="115">
        <f t="shared" si="166"/>
        <v>0</v>
      </c>
      <c r="JL15" s="115">
        <f t="shared" si="166"/>
        <v>0</v>
      </c>
      <c r="JM15" s="115">
        <f t="shared" si="166"/>
        <v>0</v>
      </c>
      <c r="JN15" s="115">
        <f t="shared" si="166"/>
        <v>0</v>
      </c>
      <c r="JO15" s="115">
        <f t="shared" si="166"/>
        <v>0</v>
      </c>
      <c r="JP15" s="115">
        <f t="shared" si="166"/>
        <v>5</v>
      </c>
      <c r="JQ15" s="115">
        <f t="shared" si="166"/>
        <v>1</v>
      </c>
      <c r="JR15" s="115">
        <f t="shared" si="166"/>
        <v>2</v>
      </c>
      <c r="JS15" s="115">
        <f t="shared" si="166"/>
        <v>4</v>
      </c>
      <c r="JT15" s="115">
        <f t="shared" si="166"/>
        <v>0</v>
      </c>
      <c r="JU15" s="115">
        <f t="shared" si="166"/>
        <v>0</v>
      </c>
      <c r="JV15" s="115">
        <f t="shared" si="166"/>
        <v>17</v>
      </c>
      <c r="JW15" s="115">
        <f t="shared" si="166"/>
        <v>52</v>
      </c>
      <c r="JX15" s="115">
        <f t="shared" si="166"/>
        <v>0</v>
      </c>
      <c r="JY15" s="115">
        <f t="shared" si="166"/>
        <v>1</v>
      </c>
      <c r="JZ15" s="115">
        <f t="shared" si="166"/>
        <v>24</v>
      </c>
      <c r="KA15" s="115">
        <f t="shared" si="166"/>
        <v>58</v>
      </c>
      <c r="KB15" s="115">
        <f t="shared" si="166"/>
        <v>82</v>
      </c>
      <c r="KC15" s="115">
        <f t="shared" si="166"/>
        <v>6</v>
      </c>
      <c r="KD15" s="115">
        <f t="shared" si="166"/>
        <v>0</v>
      </c>
      <c r="KE15" s="115">
        <f t="shared" si="166"/>
        <v>2</v>
      </c>
      <c r="KF15" s="115">
        <f t="shared" si="166"/>
        <v>4</v>
      </c>
      <c r="KG15" s="115">
        <f t="shared" si="166"/>
        <v>0</v>
      </c>
      <c r="KH15" s="115">
        <f t="shared" si="166"/>
        <v>0</v>
      </c>
      <c r="KI15" s="115">
        <f t="shared" si="166"/>
        <v>1</v>
      </c>
      <c r="KJ15" s="115">
        <f t="shared" si="166"/>
        <v>3</v>
      </c>
      <c r="KK15" s="115">
        <f t="shared" si="166"/>
        <v>1</v>
      </c>
      <c r="KL15" s="115">
        <f t="shared" si="166"/>
        <v>1</v>
      </c>
      <c r="KM15" s="115">
        <f t="shared" si="166"/>
        <v>89</v>
      </c>
      <c r="KN15" s="115">
        <f t="shared" si="166"/>
        <v>33</v>
      </c>
      <c r="KO15" s="115">
        <f t="shared" si="166"/>
        <v>122</v>
      </c>
      <c r="KP15" s="115">
        <f t="shared" si="166"/>
        <v>0</v>
      </c>
      <c r="KQ15" s="115">
        <f t="shared" si="166"/>
        <v>6</v>
      </c>
      <c r="KR15" s="115">
        <f t="shared" si="166"/>
        <v>0</v>
      </c>
      <c r="KS15" s="115">
        <f t="shared" si="166"/>
        <v>4</v>
      </c>
      <c r="KT15" s="115">
        <f t="shared" si="166"/>
        <v>2</v>
      </c>
      <c r="KU15" s="115">
        <f t="shared" si="166"/>
        <v>0</v>
      </c>
      <c r="KV15" s="115">
        <f t="shared" si="166"/>
        <v>4</v>
      </c>
      <c r="KW15" s="115">
        <f t="shared" si="166"/>
        <v>1</v>
      </c>
      <c r="KX15" s="115">
        <f t="shared" si="166"/>
        <v>1</v>
      </c>
      <c r="KY15" s="115">
        <f t="shared" si="166"/>
        <v>6</v>
      </c>
      <c r="KZ15" s="115">
        <f t="shared" si="166"/>
        <v>0</v>
      </c>
      <c r="LA15" s="115">
        <f t="shared" si="166"/>
        <v>0</v>
      </c>
      <c r="LB15" s="115">
        <f t="shared" si="166"/>
        <v>0</v>
      </c>
      <c r="LC15" s="115">
        <f t="shared" si="166"/>
        <v>0</v>
      </c>
      <c r="LD15" s="115">
        <f t="shared" si="166"/>
        <v>0</v>
      </c>
      <c r="LE15" s="115">
        <f t="shared" si="166"/>
        <v>6</v>
      </c>
      <c r="LF15" s="115">
        <f t="shared" si="166"/>
        <v>0</v>
      </c>
      <c r="LG15" s="115">
        <f t="shared" si="166"/>
        <v>6</v>
      </c>
      <c r="LH15" s="115">
        <f t="shared" si="166"/>
        <v>0</v>
      </c>
      <c r="LI15" s="115">
        <f t="shared" si="166"/>
        <v>6</v>
      </c>
      <c r="LJ15" s="115">
        <f t="shared" si="166"/>
        <v>0</v>
      </c>
      <c r="LK15" s="115">
        <f t="shared" si="166"/>
        <v>6</v>
      </c>
      <c r="LL15" s="115">
        <f t="shared" si="166"/>
        <v>0</v>
      </c>
      <c r="LM15" s="115">
        <f t="shared" si="166"/>
        <v>4</v>
      </c>
      <c r="LN15" s="115">
        <f t="shared" ref="LN15:MO15" si="167">SUM(LN6:LN11)</f>
        <v>2</v>
      </c>
      <c r="LO15" s="115">
        <f t="shared" si="167"/>
        <v>0</v>
      </c>
      <c r="LP15" s="115">
        <f t="shared" si="167"/>
        <v>0</v>
      </c>
      <c r="LQ15" s="115">
        <f t="shared" si="167"/>
        <v>4</v>
      </c>
      <c r="LR15" s="115">
        <f t="shared" si="167"/>
        <v>0</v>
      </c>
      <c r="LS15" s="115">
        <f t="shared" si="167"/>
        <v>0</v>
      </c>
      <c r="LT15" s="115">
        <f t="shared" si="167"/>
        <v>3</v>
      </c>
      <c r="LU15" s="115">
        <f t="shared" si="167"/>
        <v>0</v>
      </c>
      <c r="LV15" s="115">
        <f t="shared" si="167"/>
        <v>1</v>
      </c>
      <c r="LW15" s="115">
        <f t="shared" si="167"/>
        <v>1505</v>
      </c>
      <c r="LX15" s="115">
        <f t="shared" si="167"/>
        <v>598</v>
      </c>
      <c r="LY15" s="115">
        <f t="shared" si="167"/>
        <v>2103</v>
      </c>
      <c r="LZ15" s="115">
        <f t="shared" si="167"/>
        <v>0</v>
      </c>
      <c r="MA15" s="115">
        <f t="shared" si="167"/>
        <v>6</v>
      </c>
      <c r="MB15" s="115">
        <f t="shared" si="167"/>
        <v>0</v>
      </c>
      <c r="MC15" s="115">
        <f t="shared" si="167"/>
        <v>0</v>
      </c>
      <c r="MD15" s="115">
        <f t="shared" si="167"/>
        <v>0</v>
      </c>
      <c r="ME15" s="115">
        <f t="shared" si="167"/>
        <v>0</v>
      </c>
      <c r="MF15" s="115">
        <f t="shared" si="167"/>
        <v>0</v>
      </c>
      <c r="MG15" s="115">
        <f t="shared" si="167"/>
        <v>0</v>
      </c>
      <c r="MH15" s="115">
        <f t="shared" si="167"/>
        <v>0</v>
      </c>
      <c r="MI15" s="115">
        <f t="shared" si="167"/>
        <v>0</v>
      </c>
      <c r="MJ15" s="115">
        <f t="shared" si="167"/>
        <v>0</v>
      </c>
      <c r="MK15" s="115">
        <f t="shared" si="167"/>
        <v>0</v>
      </c>
      <c r="ML15" s="115">
        <f t="shared" si="167"/>
        <v>0</v>
      </c>
      <c r="MM15" s="115">
        <f t="shared" si="167"/>
        <v>0</v>
      </c>
      <c r="MN15" s="115">
        <f t="shared" si="167"/>
        <v>0</v>
      </c>
      <c r="MO15" s="115">
        <f t="shared" si="167"/>
        <v>0</v>
      </c>
    </row>
    <row r="16" spans="1:353" s="49" customFormat="1" ht="21" customHeight="1" thickBot="1" x14ac:dyDescent="0.25">
      <c r="A16" s="36" t="s">
        <v>112</v>
      </c>
      <c r="B16" s="36" t="s">
        <v>113</v>
      </c>
      <c r="C16" s="36">
        <v>10</v>
      </c>
      <c r="D16" s="36">
        <v>1400003</v>
      </c>
      <c r="E16" s="36" t="s">
        <v>268</v>
      </c>
      <c r="F16" s="36">
        <v>1</v>
      </c>
      <c r="G16" s="36"/>
      <c r="H16" s="36">
        <v>1</v>
      </c>
      <c r="I16" s="36"/>
      <c r="J16" s="36"/>
      <c r="K16" s="36">
        <v>1</v>
      </c>
      <c r="L16" s="36"/>
      <c r="M16" s="36">
        <v>1</v>
      </c>
      <c r="N16" s="36"/>
      <c r="O16" s="36"/>
      <c r="P16" s="36">
        <v>1</v>
      </c>
      <c r="Q16" s="36"/>
      <c r="R16" s="36">
        <v>1</v>
      </c>
      <c r="S16" s="36"/>
      <c r="T16" s="36"/>
      <c r="U16" s="36"/>
      <c r="V16" s="36"/>
      <c r="W16" s="36">
        <v>1</v>
      </c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>
        <f t="shared" ref="AJ16:AK20" si="168">AH16+AF16+AD16+AB16+Z16+X16</f>
        <v>0</v>
      </c>
      <c r="AK16" s="36">
        <f t="shared" si="168"/>
        <v>0</v>
      </c>
      <c r="AL16" s="37">
        <f>SUM(AJ16:AK16)</f>
        <v>0</v>
      </c>
      <c r="AM16" s="36"/>
      <c r="AN16" s="36"/>
      <c r="AO16" s="36"/>
      <c r="AP16" s="36"/>
      <c r="AQ16" s="36"/>
      <c r="AR16" s="36"/>
      <c r="AS16" s="36"/>
      <c r="AT16" s="36"/>
      <c r="AU16" s="36"/>
      <c r="AV16" s="39"/>
      <c r="AW16" s="39">
        <f t="shared" ref="AW16:AX20" si="169">AU16+AS16+AQ16+AO16+AM16</f>
        <v>0</v>
      </c>
      <c r="AX16" s="39">
        <f t="shared" si="169"/>
        <v>0</v>
      </c>
      <c r="AY16" s="40">
        <f>SUM(AW16:AX16)</f>
        <v>0</v>
      </c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>
        <f t="shared" ref="BL16:BM20" si="170">BJ16+BH16+BF16+BD16+BB16+AZ16</f>
        <v>0</v>
      </c>
      <c r="BM16" s="39">
        <f t="shared" si="170"/>
        <v>0</v>
      </c>
      <c r="BN16" s="39">
        <f>SUM(BL16:BM16)</f>
        <v>0</v>
      </c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>
        <f t="shared" ref="BY16:BZ20" si="171">BW16+BU16+BS16+BQ16+BO16</f>
        <v>0</v>
      </c>
      <c r="BZ16" s="39">
        <f t="shared" si="171"/>
        <v>0</v>
      </c>
      <c r="CA16" s="39">
        <f>SUM(BY16:BZ16)</f>
        <v>0</v>
      </c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>
        <f t="shared" ref="CL16:CM20" si="172">CJ16+CH16+CF16+CD16+CB16</f>
        <v>0</v>
      </c>
      <c r="CM16" s="39">
        <f t="shared" si="172"/>
        <v>0</v>
      </c>
      <c r="CN16" s="39">
        <f>SUM(CL16:CM16)</f>
        <v>0</v>
      </c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>
        <f t="shared" ref="CY16:CZ20" si="173">CW16+CU16+CS16+CQ16+CO16</f>
        <v>0</v>
      </c>
      <c r="CZ16" s="39">
        <f t="shared" si="173"/>
        <v>0</v>
      </c>
      <c r="DA16" s="39">
        <f>SUM(CY16:CZ16)</f>
        <v>0</v>
      </c>
      <c r="DB16" s="41"/>
      <c r="DC16" s="42"/>
      <c r="DD16" s="42"/>
      <c r="DE16" s="42"/>
      <c r="DF16" s="42"/>
      <c r="DG16" s="42"/>
      <c r="DH16" s="42"/>
      <c r="DI16" s="42"/>
      <c r="DJ16" s="42"/>
      <c r="DK16" s="42"/>
      <c r="DL16" s="42">
        <f t="shared" ref="DL16:DM20" si="174">DJ16+DH16+DF16+DD16+DB16</f>
        <v>0</v>
      </c>
      <c r="DM16" s="42">
        <f t="shared" si="174"/>
        <v>0</v>
      </c>
      <c r="DN16" s="42">
        <f>SUM(DL16:DM16)</f>
        <v>0</v>
      </c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>
        <f t="shared" ref="DY16:DZ20" si="175">DW16+DU16+DS16+DQ16+DO16</f>
        <v>0</v>
      </c>
      <c r="DZ16" s="42">
        <f t="shared" si="175"/>
        <v>0</v>
      </c>
      <c r="EA16" s="42">
        <f>SUM(DY16:DZ16)</f>
        <v>0</v>
      </c>
      <c r="EB16" s="42">
        <f t="shared" ref="EB16:EE20" si="176">AZ16</f>
        <v>0</v>
      </c>
      <c r="EC16" s="42">
        <f t="shared" si="176"/>
        <v>0</v>
      </c>
      <c r="ED16" s="42">
        <f t="shared" si="176"/>
        <v>0</v>
      </c>
      <c r="EE16" s="42">
        <f t="shared" si="176"/>
        <v>0</v>
      </c>
      <c r="EF16" s="42">
        <f t="shared" ref="EF16:EG20" si="177">BO16+BD16</f>
        <v>0</v>
      </c>
      <c r="EG16" s="42">
        <f t="shared" si="177"/>
        <v>0</v>
      </c>
      <c r="EH16" s="42">
        <f t="shared" ref="EH16:EI20" si="178">CB16+BQ16+BF16</f>
        <v>0</v>
      </c>
      <c r="EI16" s="42">
        <f t="shared" si="178"/>
        <v>0</v>
      </c>
      <c r="EJ16" s="42">
        <f t="shared" ref="EJ16:EK20" si="179">CO16+CD16+BS16+BH16</f>
        <v>0</v>
      </c>
      <c r="EK16" s="42">
        <f t="shared" si="179"/>
        <v>0</v>
      </c>
      <c r="EL16" s="42">
        <f t="shared" ref="EL16:EM20" si="180">DB16+CQ16+CF16+BU16+BJ16</f>
        <v>0</v>
      </c>
      <c r="EM16" s="42">
        <f t="shared" si="180"/>
        <v>0</v>
      </c>
      <c r="EN16" s="42">
        <f t="shared" ref="EN16:EO20" si="181">DO16+DD16+CS16+CH16+BW16</f>
        <v>0</v>
      </c>
      <c r="EO16" s="42">
        <f t="shared" si="181"/>
        <v>0</v>
      </c>
      <c r="EP16" s="42">
        <f t="shared" ref="EP16:EQ20" si="182">DQ16+DF16+CU16+CJ16</f>
        <v>0</v>
      </c>
      <c r="EQ16" s="42">
        <f t="shared" si="182"/>
        <v>0</v>
      </c>
      <c r="ER16" s="42">
        <f t="shared" ref="ER16:ES20" si="183">DS16+DH16+CW16</f>
        <v>0</v>
      </c>
      <c r="ES16" s="42">
        <f t="shared" si="183"/>
        <v>0</v>
      </c>
      <c r="ET16" s="42">
        <f t="shared" ref="ET16:EU20" si="184">DU16+DJ16</f>
        <v>0</v>
      </c>
      <c r="EU16" s="42">
        <f t="shared" si="184"/>
        <v>0</v>
      </c>
      <c r="EV16" s="42">
        <f t="shared" ref="EV16:EW20" si="185">DW16</f>
        <v>0</v>
      </c>
      <c r="EW16" s="42">
        <f t="shared" si="185"/>
        <v>0</v>
      </c>
      <c r="EX16" s="42">
        <f t="shared" ref="EX16:EY20" si="186">EV16+ET16+ER16+EP16+EN16+EL16+EJ16+EH16+EF16+ED16+EB16</f>
        <v>0</v>
      </c>
      <c r="EY16" s="42">
        <f t="shared" si="186"/>
        <v>0</v>
      </c>
      <c r="EZ16" s="43">
        <f>SUM(EX16:EY16)</f>
        <v>0</v>
      </c>
      <c r="FA16" s="44"/>
      <c r="FB16" s="42"/>
      <c r="FC16" s="42"/>
      <c r="FD16" s="42"/>
      <c r="FE16" s="42"/>
      <c r="FF16" s="42"/>
      <c r="FG16" s="42"/>
      <c r="FH16" s="42"/>
      <c r="FI16" s="42"/>
      <c r="FJ16" s="42"/>
      <c r="FK16" s="42">
        <f t="shared" ref="FK16:FL20" si="187">FI16+FG16+FE16+FC16+FA16</f>
        <v>0</v>
      </c>
      <c r="FL16" s="42">
        <f t="shared" si="187"/>
        <v>0</v>
      </c>
      <c r="FM16" s="42">
        <f>SUM(FK16:FL16)</f>
        <v>0</v>
      </c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>
        <f t="shared" ref="FX16:FY20" si="188">FV16+FT16+FR16+FP16+FN16</f>
        <v>0</v>
      </c>
      <c r="FY16" s="42">
        <f t="shared" si="188"/>
        <v>0</v>
      </c>
      <c r="FZ16" s="42">
        <f>SUM(FX16:FY16)</f>
        <v>0</v>
      </c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>
        <f t="shared" si="52"/>
        <v>0</v>
      </c>
      <c r="GL16" s="42">
        <f t="shared" si="53"/>
        <v>0</v>
      </c>
      <c r="GM16" s="42">
        <f t="shared" si="54"/>
        <v>0</v>
      </c>
      <c r="GN16" s="42">
        <f t="shared" ref="GN16:GO20" si="189">FA16</f>
        <v>0</v>
      </c>
      <c r="GO16" s="42">
        <f t="shared" si="189"/>
        <v>0</v>
      </c>
      <c r="GP16" s="42">
        <f t="shared" ref="GP16:GQ20" si="190">FN16+FC16</f>
        <v>0</v>
      </c>
      <c r="GQ16" s="42">
        <f t="shared" si="190"/>
        <v>0</v>
      </c>
      <c r="GR16" s="42">
        <f t="shared" ref="GR16:GW20" si="191">GA16+FP16+FE16</f>
        <v>0</v>
      </c>
      <c r="GS16" s="42">
        <f t="shared" si="191"/>
        <v>0</v>
      </c>
      <c r="GT16" s="42">
        <f t="shared" si="191"/>
        <v>0</v>
      </c>
      <c r="GU16" s="42">
        <f t="shared" si="191"/>
        <v>0</v>
      </c>
      <c r="GV16" s="42">
        <f t="shared" si="191"/>
        <v>0</v>
      </c>
      <c r="GW16" s="42">
        <f t="shared" si="191"/>
        <v>0</v>
      </c>
      <c r="GX16" s="42">
        <f t="shared" ref="GX16:GY20" si="192">GG16+FV16</f>
        <v>0</v>
      </c>
      <c r="GY16" s="42">
        <f t="shared" si="192"/>
        <v>0</v>
      </c>
      <c r="GZ16" s="42">
        <f t="shared" ref="GZ16:HA20" si="193">GI16</f>
        <v>0</v>
      </c>
      <c r="HA16" s="42">
        <f t="shared" si="193"/>
        <v>0</v>
      </c>
      <c r="HB16" s="42">
        <f t="shared" ref="HB16:HC20" si="194">GZ16+GX16+GV16+GT16+GR16+GP16+GN16</f>
        <v>0</v>
      </c>
      <c r="HC16" s="42">
        <f t="shared" si="194"/>
        <v>0</v>
      </c>
      <c r="HD16" s="42">
        <f>SUM(HB16:HC16)</f>
        <v>0</v>
      </c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>
        <f t="shared" si="56"/>
        <v>0</v>
      </c>
      <c r="HX16" s="39">
        <f t="shared" si="57"/>
        <v>0</v>
      </c>
      <c r="HY16" s="39">
        <f t="shared" si="58"/>
        <v>0</v>
      </c>
      <c r="HZ16" s="39">
        <f t="shared" si="59"/>
        <v>0</v>
      </c>
      <c r="IA16" s="39"/>
      <c r="IB16" s="39"/>
      <c r="IC16" s="39"/>
      <c r="ID16" s="39"/>
      <c r="IE16" s="39"/>
      <c r="IF16" s="39"/>
      <c r="IG16" s="39"/>
      <c r="IH16" s="39"/>
      <c r="II16" s="39"/>
      <c r="IJ16" s="39">
        <f t="shared" ref="IJ16:IL20" si="195">IG16+ID16+IA16</f>
        <v>0</v>
      </c>
      <c r="IK16" s="39">
        <f t="shared" si="195"/>
        <v>0</v>
      </c>
      <c r="IL16" s="39">
        <f t="shared" si="195"/>
        <v>0</v>
      </c>
      <c r="IM16" s="45">
        <f>SUM(IJ16:IL16)</f>
        <v>0</v>
      </c>
      <c r="IN16" s="39">
        <f t="shared" ref="IN16:IQ20" si="196">IJ16+HW16</f>
        <v>0</v>
      </c>
      <c r="IO16" s="39">
        <f t="shared" si="196"/>
        <v>0</v>
      </c>
      <c r="IP16" s="39">
        <f t="shared" si="196"/>
        <v>0</v>
      </c>
      <c r="IQ16" s="39">
        <f t="shared" si="196"/>
        <v>0</v>
      </c>
      <c r="IR16" s="46"/>
      <c r="IS16" s="46"/>
      <c r="IT16" s="46"/>
      <c r="IU16" s="46"/>
      <c r="IV16" s="46"/>
      <c r="IW16" s="46"/>
      <c r="IX16" s="46"/>
      <c r="IY16" s="46"/>
      <c r="IZ16" s="162">
        <f t="shared" ref="IZ16:JA20" si="197">IX16+IV16+IT16+IR16</f>
        <v>0</v>
      </c>
      <c r="JA16" s="162">
        <f t="shared" si="197"/>
        <v>0</v>
      </c>
      <c r="JB16" s="162">
        <f t="shared" ref="JB16:JB26" si="198">SUM(IZ16:JA16)</f>
        <v>0</v>
      </c>
      <c r="JC16" s="46">
        <v>1</v>
      </c>
      <c r="JD16" s="46"/>
      <c r="JE16" s="46"/>
      <c r="JF16" s="46"/>
      <c r="JG16" s="46"/>
      <c r="JH16" s="46"/>
      <c r="JI16" s="46"/>
      <c r="JJ16" s="46"/>
      <c r="JK16" s="46"/>
      <c r="JL16" s="46"/>
      <c r="JM16" s="162">
        <f t="shared" ref="JM16:JN20" si="199">JK16+JG16+JE16+JC16+JI16</f>
        <v>1</v>
      </c>
      <c r="JN16" s="162">
        <f t="shared" si="199"/>
        <v>0</v>
      </c>
      <c r="JO16" s="162">
        <f t="shared" ref="JO16:JO26" si="200">SUM(JM16:JN16)</f>
        <v>1</v>
      </c>
      <c r="JP16" s="48">
        <f t="shared" ref="JP16:JP26" si="201">JC16+IR16</f>
        <v>1</v>
      </c>
      <c r="JQ16" s="48">
        <f t="shared" ref="JQ16:JQ26" si="202">JD16+IS16</f>
        <v>0</v>
      </c>
      <c r="JR16" s="48">
        <f t="shared" ref="JR16:JR26" si="203">JE16+IT16</f>
        <v>0</v>
      </c>
      <c r="JS16" s="48">
        <f t="shared" ref="JS16:JS26" si="204">JF16+IU16</f>
        <v>0</v>
      </c>
      <c r="JT16" s="48">
        <f t="shared" ref="JT16:JT26" si="205">JG16</f>
        <v>0</v>
      </c>
      <c r="JU16" s="48">
        <f t="shared" ref="JU16:JU26" si="206">JH16</f>
        <v>0</v>
      </c>
      <c r="JV16" s="48">
        <f t="shared" ref="JV16:JW20" si="207">IV16+JI16</f>
        <v>0</v>
      </c>
      <c r="JW16" s="48">
        <f t="shared" si="207"/>
        <v>0</v>
      </c>
      <c r="JX16" s="48">
        <f t="shared" ref="JX16:JX26" si="208">JK16+IX16</f>
        <v>0</v>
      </c>
      <c r="JY16" s="48">
        <f t="shared" ref="JY16:JY26" si="209">JL16+IY16</f>
        <v>0</v>
      </c>
      <c r="JZ16" s="48">
        <f t="shared" ref="JZ16:KA20" si="210">JX16+JV16+JT16+JR16+JP16</f>
        <v>1</v>
      </c>
      <c r="KA16" s="48">
        <f t="shared" si="210"/>
        <v>0</v>
      </c>
      <c r="KB16" s="48">
        <f>SUM(JZ16:KA16)</f>
        <v>1</v>
      </c>
      <c r="KC16" s="48">
        <v>1</v>
      </c>
      <c r="KD16" s="48"/>
      <c r="KE16" s="48"/>
      <c r="KF16" s="48">
        <v>1</v>
      </c>
      <c r="KG16" s="48"/>
      <c r="KH16" s="48"/>
      <c r="KI16" s="48"/>
      <c r="KJ16" s="48">
        <v>1</v>
      </c>
      <c r="KK16" s="48"/>
      <c r="KL16" s="48"/>
      <c r="KM16" s="48">
        <v>12</v>
      </c>
      <c r="KN16" s="48">
        <v>15</v>
      </c>
      <c r="KO16" s="48">
        <f t="shared" si="60"/>
        <v>27</v>
      </c>
      <c r="KP16" s="113"/>
      <c r="KQ16" s="113">
        <v>1</v>
      </c>
      <c r="KR16" s="48"/>
      <c r="KS16" s="48">
        <v>1</v>
      </c>
      <c r="KT16" s="48"/>
      <c r="KU16" s="48"/>
      <c r="KV16" s="48">
        <v>1</v>
      </c>
      <c r="KW16" s="113"/>
      <c r="KX16" s="48"/>
      <c r="KY16" s="113">
        <v>1</v>
      </c>
      <c r="KZ16" s="48"/>
      <c r="LA16" s="48"/>
      <c r="LB16" s="48"/>
      <c r="LC16" s="48"/>
      <c r="LD16" s="48"/>
      <c r="LE16" s="48">
        <v>1</v>
      </c>
      <c r="LF16" s="48"/>
      <c r="LG16" s="48">
        <v>1</v>
      </c>
      <c r="LH16" s="48"/>
      <c r="LI16" s="48">
        <v>1</v>
      </c>
      <c r="LJ16" s="48"/>
      <c r="LK16" s="48">
        <v>1</v>
      </c>
      <c r="LL16" s="48"/>
      <c r="LM16" s="48">
        <v>1</v>
      </c>
      <c r="LN16" s="48"/>
      <c r="LO16" s="48"/>
      <c r="LP16" s="48"/>
      <c r="LQ16" s="113">
        <v>1</v>
      </c>
      <c r="LR16" s="113"/>
      <c r="LS16" s="113"/>
      <c r="LT16" s="113">
        <v>1</v>
      </c>
      <c r="LU16" s="48"/>
      <c r="LV16" s="48"/>
      <c r="LW16" s="48">
        <v>1953</v>
      </c>
      <c r="LX16" s="113">
        <v>460</v>
      </c>
      <c r="LY16" s="113">
        <f t="shared" si="61"/>
        <v>2413</v>
      </c>
      <c r="LZ16" s="48">
        <v>1</v>
      </c>
      <c r="MA16" s="48"/>
      <c r="MB16" s="48"/>
      <c r="MC16" s="48">
        <v>1</v>
      </c>
      <c r="MD16" s="48">
        <v>1</v>
      </c>
      <c r="ME16" s="48"/>
      <c r="MF16" s="48">
        <v>1</v>
      </c>
      <c r="MG16" s="48"/>
      <c r="MH16" s="48">
        <v>1</v>
      </c>
      <c r="MI16" s="48"/>
      <c r="MJ16" s="48"/>
      <c r="MK16" s="48">
        <v>1</v>
      </c>
      <c r="ML16" s="48"/>
      <c r="MM16" s="48">
        <v>1</v>
      </c>
      <c r="MN16" s="48">
        <v>1</v>
      </c>
      <c r="MO16" s="48"/>
    </row>
    <row r="17" spans="1:353" s="49" customFormat="1" ht="21" customHeight="1" thickBot="1" x14ac:dyDescent="0.25">
      <c r="A17" s="36" t="s">
        <v>112</v>
      </c>
      <c r="B17" s="36" t="s">
        <v>113</v>
      </c>
      <c r="C17" s="36">
        <v>11</v>
      </c>
      <c r="D17" s="36">
        <v>1400012</v>
      </c>
      <c r="E17" s="36" t="s">
        <v>269</v>
      </c>
      <c r="F17" s="36">
        <v>1</v>
      </c>
      <c r="G17" s="36"/>
      <c r="H17" s="36">
        <v>1</v>
      </c>
      <c r="I17" s="36"/>
      <c r="J17" s="36"/>
      <c r="K17" s="36">
        <v>1</v>
      </c>
      <c r="L17" s="36"/>
      <c r="M17" s="36">
        <v>1</v>
      </c>
      <c r="N17" s="36"/>
      <c r="O17" s="36"/>
      <c r="P17" s="36">
        <v>1</v>
      </c>
      <c r="Q17" s="36"/>
      <c r="R17" s="36">
        <v>1</v>
      </c>
      <c r="S17" s="36"/>
      <c r="T17" s="36"/>
      <c r="U17" s="36"/>
      <c r="V17" s="36"/>
      <c r="W17" s="36">
        <v>1</v>
      </c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>
        <f t="shared" si="168"/>
        <v>0</v>
      </c>
      <c r="AK17" s="36">
        <f t="shared" si="168"/>
        <v>0</v>
      </c>
      <c r="AL17" s="37">
        <f>SUM(AJ17:AK17)</f>
        <v>0</v>
      </c>
      <c r="AM17" s="36"/>
      <c r="AN17" s="36"/>
      <c r="AO17" s="36"/>
      <c r="AP17" s="36"/>
      <c r="AQ17" s="36"/>
      <c r="AR17" s="36"/>
      <c r="AS17" s="36"/>
      <c r="AT17" s="36"/>
      <c r="AU17" s="36"/>
      <c r="AV17" s="39"/>
      <c r="AW17" s="39">
        <f t="shared" si="169"/>
        <v>0</v>
      </c>
      <c r="AX17" s="39">
        <f t="shared" si="169"/>
        <v>0</v>
      </c>
      <c r="AY17" s="40">
        <f>SUM(AW17:AX17)</f>
        <v>0</v>
      </c>
      <c r="AZ17" s="38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>
        <f t="shared" si="170"/>
        <v>0</v>
      </c>
      <c r="BM17" s="39">
        <f t="shared" si="170"/>
        <v>0</v>
      </c>
      <c r="BN17" s="39">
        <f>SUM(BL17:BM17)</f>
        <v>0</v>
      </c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>
        <f t="shared" si="171"/>
        <v>0</v>
      </c>
      <c r="BZ17" s="39">
        <f t="shared" si="171"/>
        <v>0</v>
      </c>
      <c r="CA17" s="39">
        <f>SUM(BY17:BZ17)</f>
        <v>0</v>
      </c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>
        <f t="shared" si="172"/>
        <v>0</v>
      </c>
      <c r="CM17" s="39">
        <f t="shared" si="172"/>
        <v>0</v>
      </c>
      <c r="CN17" s="39">
        <f>SUM(CL17:CM17)</f>
        <v>0</v>
      </c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>
        <f t="shared" si="173"/>
        <v>0</v>
      </c>
      <c r="CZ17" s="39">
        <f t="shared" si="173"/>
        <v>0</v>
      </c>
      <c r="DA17" s="39">
        <f>SUM(CY17:CZ17)</f>
        <v>0</v>
      </c>
      <c r="DB17" s="41"/>
      <c r="DC17" s="42"/>
      <c r="DD17" s="42"/>
      <c r="DE17" s="42"/>
      <c r="DF17" s="42"/>
      <c r="DG17" s="42"/>
      <c r="DH17" s="42"/>
      <c r="DI17" s="42"/>
      <c r="DJ17" s="42"/>
      <c r="DK17" s="42"/>
      <c r="DL17" s="42">
        <f t="shared" si="174"/>
        <v>0</v>
      </c>
      <c r="DM17" s="42">
        <f t="shared" si="174"/>
        <v>0</v>
      </c>
      <c r="DN17" s="42">
        <f>SUM(DL17:DM17)</f>
        <v>0</v>
      </c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>
        <f t="shared" si="175"/>
        <v>0</v>
      </c>
      <c r="DZ17" s="42">
        <f t="shared" si="175"/>
        <v>0</v>
      </c>
      <c r="EA17" s="42">
        <f>SUM(DY17:DZ17)</f>
        <v>0</v>
      </c>
      <c r="EB17" s="42">
        <f t="shared" si="176"/>
        <v>0</v>
      </c>
      <c r="EC17" s="42">
        <f t="shared" si="176"/>
        <v>0</v>
      </c>
      <c r="ED17" s="42">
        <f t="shared" si="176"/>
        <v>0</v>
      </c>
      <c r="EE17" s="42">
        <f t="shared" si="176"/>
        <v>0</v>
      </c>
      <c r="EF17" s="42">
        <f t="shared" si="177"/>
        <v>0</v>
      </c>
      <c r="EG17" s="42">
        <f t="shared" si="177"/>
        <v>0</v>
      </c>
      <c r="EH17" s="42">
        <f t="shared" si="178"/>
        <v>0</v>
      </c>
      <c r="EI17" s="42">
        <f t="shared" si="178"/>
        <v>0</v>
      </c>
      <c r="EJ17" s="42">
        <f t="shared" si="179"/>
        <v>0</v>
      </c>
      <c r="EK17" s="42">
        <f t="shared" si="179"/>
        <v>0</v>
      </c>
      <c r="EL17" s="42">
        <f t="shared" si="180"/>
        <v>0</v>
      </c>
      <c r="EM17" s="42">
        <f t="shared" si="180"/>
        <v>0</v>
      </c>
      <c r="EN17" s="42">
        <f t="shared" si="181"/>
        <v>0</v>
      </c>
      <c r="EO17" s="42">
        <f t="shared" si="181"/>
        <v>0</v>
      </c>
      <c r="EP17" s="42">
        <f t="shared" si="182"/>
        <v>0</v>
      </c>
      <c r="EQ17" s="42">
        <f t="shared" si="182"/>
        <v>0</v>
      </c>
      <c r="ER17" s="42">
        <f t="shared" si="183"/>
        <v>0</v>
      </c>
      <c r="ES17" s="42">
        <f t="shared" si="183"/>
        <v>0</v>
      </c>
      <c r="ET17" s="42">
        <f t="shared" si="184"/>
        <v>0</v>
      </c>
      <c r="EU17" s="42">
        <f t="shared" si="184"/>
        <v>0</v>
      </c>
      <c r="EV17" s="42">
        <f t="shared" si="185"/>
        <v>0</v>
      </c>
      <c r="EW17" s="42">
        <f t="shared" si="185"/>
        <v>0</v>
      </c>
      <c r="EX17" s="42">
        <f t="shared" si="186"/>
        <v>0</v>
      </c>
      <c r="EY17" s="42">
        <f t="shared" si="186"/>
        <v>0</v>
      </c>
      <c r="EZ17" s="43">
        <f>SUM(EX17:EY17)</f>
        <v>0</v>
      </c>
      <c r="FA17" s="44"/>
      <c r="FB17" s="42"/>
      <c r="FC17" s="42"/>
      <c r="FD17" s="42"/>
      <c r="FE17" s="42"/>
      <c r="FF17" s="42"/>
      <c r="FG17" s="42"/>
      <c r="FH17" s="42"/>
      <c r="FI17" s="42"/>
      <c r="FJ17" s="42"/>
      <c r="FK17" s="42">
        <f t="shared" si="187"/>
        <v>0</v>
      </c>
      <c r="FL17" s="42">
        <f t="shared" si="187"/>
        <v>0</v>
      </c>
      <c r="FM17" s="42">
        <f>SUM(FK17:FL17)</f>
        <v>0</v>
      </c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>
        <f t="shared" si="188"/>
        <v>0</v>
      </c>
      <c r="FY17" s="42">
        <f t="shared" si="188"/>
        <v>0</v>
      </c>
      <c r="FZ17" s="42">
        <f>SUM(FX17:FY17)</f>
        <v>0</v>
      </c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>
        <f t="shared" si="52"/>
        <v>0</v>
      </c>
      <c r="GL17" s="42">
        <f t="shared" si="53"/>
        <v>0</v>
      </c>
      <c r="GM17" s="42">
        <f t="shared" si="54"/>
        <v>0</v>
      </c>
      <c r="GN17" s="42">
        <f t="shared" si="189"/>
        <v>0</v>
      </c>
      <c r="GO17" s="42">
        <f t="shared" si="189"/>
        <v>0</v>
      </c>
      <c r="GP17" s="42">
        <f t="shared" si="190"/>
        <v>0</v>
      </c>
      <c r="GQ17" s="42">
        <f t="shared" si="190"/>
        <v>0</v>
      </c>
      <c r="GR17" s="42">
        <f t="shared" si="191"/>
        <v>0</v>
      </c>
      <c r="GS17" s="42">
        <f t="shared" si="191"/>
        <v>0</v>
      </c>
      <c r="GT17" s="42">
        <f t="shared" si="191"/>
        <v>0</v>
      </c>
      <c r="GU17" s="42">
        <f t="shared" si="191"/>
        <v>0</v>
      </c>
      <c r="GV17" s="42">
        <f t="shared" si="191"/>
        <v>0</v>
      </c>
      <c r="GW17" s="42">
        <f t="shared" si="191"/>
        <v>0</v>
      </c>
      <c r="GX17" s="42">
        <f t="shared" si="192"/>
        <v>0</v>
      </c>
      <c r="GY17" s="42">
        <f t="shared" si="192"/>
        <v>0</v>
      </c>
      <c r="GZ17" s="42">
        <f t="shared" si="193"/>
        <v>0</v>
      </c>
      <c r="HA17" s="42">
        <f t="shared" si="193"/>
        <v>0</v>
      </c>
      <c r="HB17" s="42">
        <f t="shared" si="194"/>
        <v>0</v>
      </c>
      <c r="HC17" s="42">
        <f t="shared" si="194"/>
        <v>0</v>
      </c>
      <c r="HD17" s="42">
        <f>SUM(HB17:HC17)</f>
        <v>0</v>
      </c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>
        <f t="shared" si="56"/>
        <v>0</v>
      </c>
      <c r="HX17" s="39">
        <f t="shared" si="57"/>
        <v>0</v>
      </c>
      <c r="HY17" s="39">
        <f t="shared" si="58"/>
        <v>0</v>
      </c>
      <c r="HZ17" s="39">
        <f t="shared" si="59"/>
        <v>0</v>
      </c>
      <c r="IA17" s="39"/>
      <c r="IB17" s="39"/>
      <c r="IC17" s="39"/>
      <c r="ID17" s="39"/>
      <c r="IE17" s="39"/>
      <c r="IF17" s="39"/>
      <c r="IG17" s="39"/>
      <c r="IH17" s="39"/>
      <c r="II17" s="39"/>
      <c r="IJ17" s="39">
        <f t="shared" si="195"/>
        <v>0</v>
      </c>
      <c r="IK17" s="39">
        <f t="shared" si="195"/>
        <v>0</v>
      </c>
      <c r="IL17" s="39">
        <f t="shared" si="195"/>
        <v>0</v>
      </c>
      <c r="IM17" s="45">
        <f>SUM(IJ17:IL17)</f>
        <v>0</v>
      </c>
      <c r="IN17" s="39">
        <f t="shared" si="196"/>
        <v>0</v>
      </c>
      <c r="IO17" s="39">
        <f t="shared" si="196"/>
        <v>0</v>
      </c>
      <c r="IP17" s="39">
        <f t="shared" si="196"/>
        <v>0</v>
      </c>
      <c r="IQ17" s="39">
        <f t="shared" si="196"/>
        <v>0</v>
      </c>
      <c r="IR17" s="46"/>
      <c r="IS17" s="46"/>
      <c r="IT17" s="46"/>
      <c r="IU17" s="46"/>
      <c r="IV17" s="46"/>
      <c r="IW17" s="46"/>
      <c r="IX17" s="46"/>
      <c r="IY17" s="46"/>
      <c r="IZ17" s="162">
        <f t="shared" si="197"/>
        <v>0</v>
      </c>
      <c r="JA17" s="162">
        <f t="shared" si="197"/>
        <v>0</v>
      </c>
      <c r="JB17" s="162">
        <f t="shared" si="198"/>
        <v>0</v>
      </c>
      <c r="JC17" s="46">
        <v>1</v>
      </c>
      <c r="JD17" s="46"/>
      <c r="JE17" s="46"/>
      <c r="JF17" s="46"/>
      <c r="JG17" s="46"/>
      <c r="JH17" s="46"/>
      <c r="JI17" s="46"/>
      <c r="JJ17" s="46"/>
      <c r="JK17" s="46"/>
      <c r="JL17" s="46"/>
      <c r="JM17" s="162">
        <f t="shared" si="199"/>
        <v>1</v>
      </c>
      <c r="JN17" s="162">
        <f t="shared" si="199"/>
        <v>0</v>
      </c>
      <c r="JO17" s="162">
        <f t="shared" si="200"/>
        <v>1</v>
      </c>
      <c r="JP17" s="48">
        <f t="shared" si="201"/>
        <v>1</v>
      </c>
      <c r="JQ17" s="48">
        <f t="shared" si="202"/>
        <v>0</v>
      </c>
      <c r="JR17" s="48">
        <f t="shared" si="203"/>
        <v>0</v>
      </c>
      <c r="JS17" s="48">
        <f t="shared" si="204"/>
        <v>0</v>
      </c>
      <c r="JT17" s="48">
        <f t="shared" si="205"/>
        <v>0</v>
      </c>
      <c r="JU17" s="48">
        <f t="shared" si="206"/>
        <v>0</v>
      </c>
      <c r="JV17" s="48">
        <f t="shared" si="207"/>
        <v>0</v>
      </c>
      <c r="JW17" s="48">
        <f t="shared" si="207"/>
        <v>0</v>
      </c>
      <c r="JX17" s="48">
        <f t="shared" si="208"/>
        <v>0</v>
      </c>
      <c r="JY17" s="48">
        <f t="shared" si="209"/>
        <v>0</v>
      </c>
      <c r="JZ17" s="48">
        <f t="shared" si="210"/>
        <v>1</v>
      </c>
      <c r="KA17" s="48">
        <f t="shared" si="210"/>
        <v>0</v>
      </c>
      <c r="KB17" s="48">
        <f>SUM(JZ17:KA17)</f>
        <v>1</v>
      </c>
      <c r="KC17" s="48">
        <v>1</v>
      </c>
      <c r="KD17" s="48"/>
      <c r="KE17" s="48"/>
      <c r="KF17" s="48">
        <v>1</v>
      </c>
      <c r="KG17" s="48"/>
      <c r="KH17" s="48"/>
      <c r="KI17" s="48"/>
      <c r="KJ17" s="48">
        <v>1</v>
      </c>
      <c r="KK17" s="48"/>
      <c r="KL17" s="48"/>
      <c r="KM17" s="48">
        <v>12</v>
      </c>
      <c r="KN17" s="48">
        <v>14</v>
      </c>
      <c r="KO17" s="48">
        <f t="shared" si="60"/>
        <v>26</v>
      </c>
      <c r="KP17" s="113"/>
      <c r="KQ17" s="113">
        <v>1</v>
      </c>
      <c r="KR17" s="48"/>
      <c r="KS17" s="48">
        <v>1</v>
      </c>
      <c r="KT17" s="48"/>
      <c r="KU17" s="48"/>
      <c r="KV17" s="48">
        <v>1</v>
      </c>
      <c r="KW17" s="113"/>
      <c r="KX17" s="48"/>
      <c r="KY17" s="113">
        <v>1</v>
      </c>
      <c r="KZ17" s="48"/>
      <c r="LA17" s="48"/>
      <c r="LB17" s="48"/>
      <c r="LC17" s="48"/>
      <c r="LD17" s="48"/>
      <c r="LE17" s="48">
        <v>1</v>
      </c>
      <c r="LF17" s="48"/>
      <c r="LG17" s="48">
        <v>1</v>
      </c>
      <c r="LH17" s="48"/>
      <c r="LI17" s="48">
        <v>1</v>
      </c>
      <c r="LJ17" s="48"/>
      <c r="LK17" s="48">
        <v>1</v>
      </c>
      <c r="LL17" s="48"/>
      <c r="LM17" s="48">
        <v>1</v>
      </c>
      <c r="LN17" s="48"/>
      <c r="LO17" s="48"/>
      <c r="LP17" s="48"/>
      <c r="LQ17" s="113">
        <v>1</v>
      </c>
      <c r="LR17" s="113"/>
      <c r="LS17" s="113"/>
      <c r="LT17" s="113">
        <v>1</v>
      </c>
      <c r="LU17" s="48"/>
      <c r="LV17" s="48"/>
      <c r="LW17" s="48">
        <v>522</v>
      </c>
      <c r="LX17" s="113">
        <v>85</v>
      </c>
      <c r="LY17" s="113">
        <f t="shared" si="61"/>
        <v>607</v>
      </c>
      <c r="LZ17" s="48">
        <v>1</v>
      </c>
      <c r="MA17" s="48"/>
      <c r="MB17" s="48"/>
      <c r="MC17" s="48">
        <v>1</v>
      </c>
      <c r="MD17" s="48">
        <v>1</v>
      </c>
      <c r="ME17" s="48"/>
      <c r="MF17" s="48">
        <v>1</v>
      </c>
      <c r="MG17" s="48"/>
      <c r="MH17" s="48">
        <v>1</v>
      </c>
      <c r="MI17" s="48"/>
      <c r="MJ17" s="48"/>
      <c r="MK17" s="48">
        <v>1</v>
      </c>
      <c r="ML17" s="48"/>
      <c r="MM17" s="48">
        <v>1</v>
      </c>
      <c r="MN17" s="48">
        <v>1</v>
      </c>
      <c r="MO17" s="48"/>
    </row>
    <row r="18" spans="1:353" s="49" customFormat="1" ht="21" customHeight="1" thickBot="1" x14ac:dyDescent="0.25">
      <c r="A18" s="36" t="s">
        <v>112</v>
      </c>
      <c r="B18" s="36" t="s">
        <v>113</v>
      </c>
      <c r="C18" s="36">
        <v>12</v>
      </c>
      <c r="D18" s="36">
        <v>1400013</v>
      </c>
      <c r="E18" s="36" t="s">
        <v>270</v>
      </c>
      <c r="F18" s="36">
        <v>1</v>
      </c>
      <c r="G18" s="36"/>
      <c r="H18" s="36">
        <v>1</v>
      </c>
      <c r="I18" s="36"/>
      <c r="J18" s="36"/>
      <c r="K18" s="36">
        <v>1</v>
      </c>
      <c r="L18" s="36"/>
      <c r="M18" s="36">
        <v>1</v>
      </c>
      <c r="N18" s="36"/>
      <c r="O18" s="36"/>
      <c r="P18" s="36">
        <v>1</v>
      </c>
      <c r="Q18" s="36"/>
      <c r="R18" s="36">
        <v>1</v>
      </c>
      <c r="S18" s="36"/>
      <c r="T18" s="36"/>
      <c r="U18" s="36"/>
      <c r="V18" s="36"/>
      <c r="W18" s="36">
        <v>1</v>
      </c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>
        <f t="shared" si="168"/>
        <v>0</v>
      </c>
      <c r="AK18" s="36">
        <f t="shared" si="168"/>
        <v>0</v>
      </c>
      <c r="AL18" s="37">
        <f>SUM(AJ18:AK18)</f>
        <v>0</v>
      </c>
      <c r="AM18" s="36"/>
      <c r="AN18" s="36"/>
      <c r="AO18" s="36"/>
      <c r="AP18" s="36"/>
      <c r="AQ18" s="36"/>
      <c r="AR18" s="36"/>
      <c r="AS18" s="36"/>
      <c r="AT18" s="36"/>
      <c r="AU18" s="36"/>
      <c r="AV18" s="39"/>
      <c r="AW18" s="39">
        <f t="shared" si="169"/>
        <v>0</v>
      </c>
      <c r="AX18" s="39">
        <f t="shared" si="169"/>
        <v>0</v>
      </c>
      <c r="AY18" s="40">
        <f>SUM(AW18:AX18)</f>
        <v>0</v>
      </c>
      <c r="AZ18" s="38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>
        <f t="shared" si="170"/>
        <v>0</v>
      </c>
      <c r="BM18" s="39">
        <f t="shared" si="170"/>
        <v>0</v>
      </c>
      <c r="BN18" s="39">
        <f>SUM(BL18:BM18)</f>
        <v>0</v>
      </c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>
        <f t="shared" si="171"/>
        <v>0</v>
      </c>
      <c r="BZ18" s="39">
        <f t="shared" si="171"/>
        <v>0</v>
      </c>
      <c r="CA18" s="39">
        <f>SUM(BY18:BZ18)</f>
        <v>0</v>
      </c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>
        <f t="shared" si="172"/>
        <v>0</v>
      </c>
      <c r="CM18" s="39">
        <f t="shared" si="172"/>
        <v>0</v>
      </c>
      <c r="CN18" s="39">
        <f>SUM(CL18:CM18)</f>
        <v>0</v>
      </c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>
        <f t="shared" si="173"/>
        <v>0</v>
      </c>
      <c r="CZ18" s="39">
        <f t="shared" si="173"/>
        <v>0</v>
      </c>
      <c r="DA18" s="39">
        <f>SUM(CY18:CZ18)</f>
        <v>0</v>
      </c>
      <c r="DB18" s="41"/>
      <c r="DC18" s="42"/>
      <c r="DD18" s="42"/>
      <c r="DE18" s="42"/>
      <c r="DF18" s="42"/>
      <c r="DG18" s="42"/>
      <c r="DH18" s="42"/>
      <c r="DI18" s="42"/>
      <c r="DJ18" s="42"/>
      <c r="DK18" s="42"/>
      <c r="DL18" s="42">
        <f t="shared" si="174"/>
        <v>0</v>
      </c>
      <c r="DM18" s="42">
        <f t="shared" si="174"/>
        <v>0</v>
      </c>
      <c r="DN18" s="42">
        <f>SUM(DL18:DM18)</f>
        <v>0</v>
      </c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>
        <f t="shared" si="175"/>
        <v>0</v>
      </c>
      <c r="DZ18" s="42">
        <f t="shared" si="175"/>
        <v>0</v>
      </c>
      <c r="EA18" s="42">
        <f>SUM(DY18:DZ18)</f>
        <v>0</v>
      </c>
      <c r="EB18" s="42">
        <f t="shared" si="176"/>
        <v>0</v>
      </c>
      <c r="EC18" s="42">
        <f t="shared" si="176"/>
        <v>0</v>
      </c>
      <c r="ED18" s="42">
        <f t="shared" si="176"/>
        <v>0</v>
      </c>
      <c r="EE18" s="42">
        <f t="shared" si="176"/>
        <v>0</v>
      </c>
      <c r="EF18" s="42">
        <f t="shared" si="177"/>
        <v>0</v>
      </c>
      <c r="EG18" s="42">
        <f t="shared" si="177"/>
        <v>0</v>
      </c>
      <c r="EH18" s="42">
        <f t="shared" si="178"/>
        <v>0</v>
      </c>
      <c r="EI18" s="42">
        <f t="shared" si="178"/>
        <v>0</v>
      </c>
      <c r="EJ18" s="42">
        <f t="shared" si="179"/>
        <v>0</v>
      </c>
      <c r="EK18" s="42">
        <f t="shared" si="179"/>
        <v>0</v>
      </c>
      <c r="EL18" s="42">
        <f t="shared" si="180"/>
        <v>0</v>
      </c>
      <c r="EM18" s="42">
        <f t="shared" si="180"/>
        <v>0</v>
      </c>
      <c r="EN18" s="42">
        <f t="shared" si="181"/>
        <v>0</v>
      </c>
      <c r="EO18" s="42">
        <f t="shared" si="181"/>
        <v>0</v>
      </c>
      <c r="EP18" s="42">
        <f t="shared" si="182"/>
        <v>0</v>
      </c>
      <c r="EQ18" s="42">
        <f t="shared" si="182"/>
        <v>0</v>
      </c>
      <c r="ER18" s="42">
        <f t="shared" si="183"/>
        <v>0</v>
      </c>
      <c r="ES18" s="42">
        <f t="shared" si="183"/>
        <v>0</v>
      </c>
      <c r="ET18" s="42">
        <f t="shared" si="184"/>
        <v>0</v>
      </c>
      <c r="EU18" s="42">
        <f t="shared" si="184"/>
        <v>0</v>
      </c>
      <c r="EV18" s="42">
        <f t="shared" si="185"/>
        <v>0</v>
      </c>
      <c r="EW18" s="42">
        <f t="shared" si="185"/>
        <v>0</v>
      </c>
      <c r="EX18" s="42">
        <f t="shared" si="186"/>
        <v>0</v>
      </c>
      <c r="EY18" s="42">
        <f t="shared" si="186"/>
        <v>0</v>
      </c>
      <c r="EZ18" s="43">
        <f>SUM(EX18:EY18)</f>
        <v>0</v>
      </c>
      <c r="FA18" s="44"/>
      <c r="FB18" s="42"/>
      <c r="FC18" s="42"/>
      <c r="FD18" s="42"/>
      <c r="FE18" s="42"/>
      <c r="FF18" s="42"/>
      <c r="FG18" s="42"/>
      <c r="FH18" s="42"/>
      <c r="FI18" s="42"/>
      <c r="FJ18" s="42"/>
      <c r="FK18" s="42">
        <f t="shared" si="187"/>
        <v>0</v>
      </c>
      <c r="FL18" s="42">
        <f t="shared" si="187"/>
        <v>0</v>
      </c>
      <c r="FM18" s="42">
        <f>SUM(FK18:FL18)</f>
        <v>0</v>
      </c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>
        <f t="shared" si="188"/>
        <v>0</v>
      </c>
      <c r="FY18" s="42">
        <f t="shared" si="188"/>
        <v>0</v>
      </c>
      <c r="FZ18" s="42">
        <f>SUM(FX18:FY18)</f>
        <v>0</v>
      </c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>
        <f t="shared" si="52"/>
        <v>0</v>
      </c>
      <c r="GL18" s="42">
        <f t="shared" si="53"/>
        <v>0</v>
      </c>
      <c r="GM18" s="42">
        <f t="shared" si="54"/>
        <v>0</v>
      </c>
      <c r="GN18" s="42">
        <f t="shared" si="189"/>
        <v>0</v>
      </c>
      <c r="GO18" s="42">
        <f t="shared" si="189"/>
        <v>0</v>
      </c>
      <c r="GP18" s="42">
        <f t="shared" si="190"/>
        <v>0</v>
      </c>
      <c r="GQ18" s="42">
        <f t="shared" si="190"/>
        <v>0</v>
      </c>
      <c r="GR18" s="42">
        <f t="shared" si="191"/>
        <v>0</v>
      </c>
      <c r="GS18" s="42">
        <f t="shared" si="191"/>
        <v>0</v>
      </c>
      <c r="GT18" s="42">
        <f t="shared" si="191"/>
        <v>0</v>
      </c>
      <c r="GU18" s="42">
        <f t="shared" si="191"/>
        <v>0</v>
      </c>
      <c r="GV18" s="42">
        <f t="shared" si="191"/>
        <v>0</v>
      </c>
      <c r="GW18" s="42">
        <f t="shared" si="191"/>
        <v>0</v>
      </c>
      <c r="GX18" s="42">
        <f t="shared" si="192"/>
        <v>0</v>
      </c>
      <c r="GY18" s="42">
        <f t="shared" si="192"/>
        <v>0</v>
      </c>
      <c r="GZ18" s="42">
        <f t="shared" si="193"/>
        <v>0</v>
      </c>
      <c r="HA18" s="42">
        <f t="shared" si="193"/>
        <v>0</v>
      </c>
      <c r="HB18" s="42">
        <f t="shared" si="194"/>
        <v>0</v>
      </c>
      <c r="HC18" s="42">
        <f t="shared" si="194"/>
        <v>0</v>
      </c>
      <c r="HD18" s="42">
        <f>SUM(HB18:HC18)</f>
        <v>0</v>
      </c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>
        <f t="shared" si="56"/>
        <v>0</v>
      </c>
      <c r="HX18" s="39">
        <f t="shared" si="57"/>
        <v>0</v>
      </c>
      <c r="HY18" s="39">
        <f t="shared" si="58"/>
        <v>0</v>
      </c>
      <c r="HZ18" s="39">
        <f t="shared" si="59"/>
        <v>0</v>
      </c>
      <c r="IA18" s="39"/>
      <c r="IB18" s="39"/>
      <c r="IC18" s="39"/>
      <c r="ID18" s="39"/>
      <c r="IE18" s="39"/>
      <c r="IF18" s="39"/>
      <c r="IG18" s="39"/>
      <c r="IH18" s="39"/>
      <c r="II18" s="39"/>
      <c r="IJ18" s="39">
        <f t="shared" si="195"/>
        <v>0</v>
      </c>
      <c r="IK18" s="39">
        <f t="shared" si="195"/>
        <v>0</v>
      </c>
      <c r="IL18" s="39">
        <f t="shared" si="195"/>
        <v>0</v>
      </c>
      <c r="IM18" s="45">
        <f>SUM(IJ18:IL18)</f>
        <v>0</v>
      </c>
      <c r="IN18" s="39">
        <f t="shared" si="196"/>
        <v>0</v>
      </c>
      <c r="IO18" s="39">
        <f t="shared" si="196"/>
        <v>0</v>
      </c>
      <c r="IP18" s="39">
        <f t="shared" si="196"/>
        <v>0</v>
      </c>
      <c r="IQ18" s="39">
        <f t="shared" si="196"/>
        <v>0</v>
      </c>
      <c r="IR18" s="46"/>
      <c r="IS18" s="46"/>
      <c r="IT18" s="46"/>
      <c r="IU18" s="46"/>
      <c r="IV18" s="46"/>
      <c r="IW18" s="46"/>
      <c r="IX18" s="46"/>
      <c r="IY18" s="46"/>
      <c r="IZ18" s="162">
        <f t="shared" si="197"/>
        <v>0</v>
      </c>
      <c r="JA18" s="162">
        <f t="shared" si="197"/>
        <v>0</v>
      </c>
      <c r="JB18" s="162">
        <f t="shared" si="198"/>
        <v>0</v>
      </c>
      <c r="JC18" s="46">
        <v>1</v>
      </c>
      <c r="JD18" s="46"/>
      <c r="JE18" s="46"/>
      <c r="JF18" s="46"/>
      <c r="JG18" s="46"/>
      <c r="JH18" s="46"/>
      <c r="JI18" s="46"/>
      <c r="JJ18" s="46"/>
      <c r="JK18" s="46"/>
      <c r="JL18" s="46"/>
      <c r="JM18" s="162">
        <f t="shared" si="199"/>
        <v>1</v>
      </c>
      <c r="JN18" s="162">
        <f t="shared" si="199"/>
        <v>0</v>
      </c>
      <c r="JO18" s="162">
        <f t="shared" si="200"/>
        <v>1</v>
      </c>
      <c r="JP18" s="48">
        <f t="shared" si="201"/>
        <v>1</v>
      </c>
      <c r="JQ18" s="48">
        <f t="shared" si="202"/>
        <v>0</v>
      </c>
      <c r="JR18" s="48">
        <f t="shared" si="203"/>
        <v>0</v>
      </c>
      <c r="JS18" s="48">
        <f t="shared" si="204"/>
        <v>0</v>
      </c>
      <c r="JT18" s="48">
        <f t="shared" si="205"/>
        <v>0</v>
      </c>
      <c r="JU18" s="48">
        <f t="shared" si="206"/>
        <v>0</v>
      </c>
      <c r="JV18" s="48">
        <f t="shared" si="207"/>
        <v>0</v>
      </c>
      <c r="JW18" s="48">
        <f t="shared" si="207"/>
        <v>0</v>
      </c>
      <c r="JX18" s="48">
        <f t="shared" si="208"/>
        <v>0</v>
      </c>
      <c r="JY18" s="48">
        <f t="shared" si="209"/>
        <v>0</v>
      </c>
      <c r="JZ18" s="48">
        <f t="shared" si="210"/>
        <v>1</v>
      </c>
      <c r="KA18" s="48">
        <f t="shared" si="210"/>
        <v>0</v>
      </c>
      <c r="KB18" s="48">
        <f>SUM(JZ18:KA18)</f>
        <v>1</v>
      </c>
      <c r="KC18" s="48">
        <v>1</v>
      </c>
      <c r="KD18" s="48"/>
      <c r="KE18" s="48"/>
      <c r="KF18" s="48">
        <v>1</v>
      </c>
      <c r="KG18" s="48"/>
      <c r="KH18" s="48"/>
      <c r="KI18" s="48"/>
      <c r="KJ18" s="48">
        <v>1</v>
      </c>
      <c r="KK18" s="48"/>
      <c r="KL18" s="48"/>
      <c r="KM18" s="48">
        <v>12</v>
      </c>
      <c r="KN18" s="48">
        <v>13</v>
      </c>
      <c r="KO18" s="48">
        <f t="shared" si="60"/>
        <v>25</v>
      </c>
      <c r="KP18" s="113"/>
      <c r="KQ18" s="113">
        <v>1</v>
      </c>
      <c r="KR18" s="48"/>
      <c r="KS18" s="48">
        <v>1</v>
      </c>
      <c r="KT18" s="48"/>
      <c r="KU18" s="48"/>
      <c r="KV18" s="48">
        <v>1</v>
      </c>
      <c r="KW18" s="113"/>
      <c r="KX18" s="48"/>
      <c r="KY18" s="113">
        <v>1</v>
      </c>
      <c r="KZ18" s="48"/>
      <c r="LA18" s="48"/>
      <c r="LB18" s="48"/>
      <c r="LC18" s="48"/>
      <c r="LD18" s="48"/>
      <c r="LE18" s="48">
        <v>1</v>
      </c>
      <c r="LF18" s="48"/>
      <c r="LG18" s="48">
        <v>1</v>
      </c>
      <c r="LH18" s="48"/>
      <c r="LI18" s="48">
        <v>1</v>
      </c>
      <c r="LJ18" s="48"/>
      <c r="LK18" s="48">
        <v>1</v>
      </c>
      <c r="LL18" s="48"/>
      <c r="LM18" s="48">
        <v>1</v>
      </c>
      <c r="LN18" s="48"/>
      <c r="LO18" s="48"/>
      <c r="LP18" s="48"/>
      <c r="LQ18" s="113">
        <v>1</v>
      </c>
      <c r="LR18" s="113"/>
      <c r="LS18" s="113"/>
      <c r="LT18" s="113">
        <v>1</v>
      </c>
      <c r="LU18" s="48"/>
      <c r="LV18" s="48"/>
      <c r="LW18" s="48">
        <v>445</v>
      </c>
      <c r="LX18" s="113">
        <v>25</v>
      </c>
      <c r="LY18" s="113">
        <f t="shared" si="61"/>
        <v>470</v>
      </c>
      <c r="LZ18" s="48">
        <v>1</v>
      </c>
      <c r="MA18" s="48"/>
      <c r="MB18" s="48"/>
      <c r="MC18" s="48">
        <v>1</v>
      </c>
      <c r="MD18" s="48">
        <v>1</v>
      </c>
      <c r="ME18" s="48"/>
      <c r="MF18" s="48">
        <v>1</v>
      </c>
      <c r="MG18" s="48"/>
      <c r="MH18" s="48">
        <v>1</v>
      </c>
      <c r="MI18" s="48"/>
      <c r="MJ18" s="48"/>
      <c r="MK18" s="48">
        <v>1</v>
      </c>
      <c r="ML18" s="48"/>
      <c r="MM18" s="48">
        <v>1</v>
      </c>
      <c r="MN18" s="48">
        <v>1</v>
      </c>
      <c r="MO18" s="48"/>
    </row>
    <row r="19" spans="1:353" s="49" customFormat="1" ht="21" customHeight="1" thickBot="1" x14ac:dyDescent="0.25">
      <c r="A19" s="36" t="s">
        <v>112</v>
      </c>
      <c r="B19" s="36" t="s">
        <v>113</v>
      </c>
      <c r="C19" s="36">
        <v>13</v>
      </c>
      <c r="D19" s="36">
        <v>1400016</v>
      </c>
      <c r="E19" s="36" t="s">
        <v>271</v>
      </c>
      <c r="F19" s="36">
        <v>1</v>
      </c>
      <c r="G19" s="36"/>
      <c r="H19" s="36">
        <v>1</v>
      </c>
      <c r="I19" s="36"/>
      <c r="J19" s="36"/>
      <c r="K19" s="36">
        <v>1</v>
      </c>
      <c r="L19" s="36"/>
      <c r="M19" s="36">
        <v>1</v>
      </c>
      <c r="N19" s="36"/>
      <c r="O19" s="36"/>
      <c r="P19" s="36">
        <v>1</v>
      </c>
      <c r="Q19" s="36"/>
      <c r="R19" s="36">
        <v>1</v>
      </c>
      <c r="S19" s="36"/>
      <c r="T19" s="36"/>
      <c r="U19" s="36"/>
      <c r="V19" s="36"/>
      <c r="W19" s="36">
        <v>1</v>
      </c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>
        <f t="shared" si="168"/>
        <v>0</v>
      </c>
      <c r="AK19" s="36">
        <f t="shared" si="168"/>
        <v>0</v>
      </c>
      <c r="AL19" s="37">
        <f>SUM(AJ19:AK19)</f>
        <v>0</v>
      </c>
      <c r="AM19" s="36"/>
      <c r="AN19" s="36"/>
      <c r="AO19" s="36"/>
      <c r="AP19" s="36"/>
      <c r="AQ19" s="36"/>
      <c r="AR19" s="36"/>
      <c r="AS19" s="36"/>
      <c r="AT19" s="36"/>
      <c r="AU19" s="36"/>
      <c r="AV19" s="39"/>
      <c r="AW19" s="39">
        <f t="shared" si="169"/>
        <v>0</v>
      </c>
      <c r="AX19" s="39">
        <f t="shared" si="169"/>
        <v>0</v>
      </c>
      <c r="AY19" s="40">
        <f>SUM(AW19:AX19)</f>
        <v>0</v>
      </c>
      <c r="AZ19" s="38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>
        <f t="shared" si="170"/>
        <v>0</v>
      </c>
      <c r="BM19" s="39">
        <f t="shared" si="170"/>
        <v>0</v>
      </c>
      <c r="BN19" s="39">
        <f>SUM(BL19:BM19)</f>
        <v>0</v>
      </c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>
        <f t="shared" si="171"/>
        <v>0</v>
      </c>
      <c r="BZ19" s="39">
        <f t="shared" si="171"/>
        <v>0</v>
      </c>
      <c r="CA19" s="39">
        <f>SUM(BY19:BZ19)</f>
        <v>0</v>
      </c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>
        <f t="shared" si="172"/>
        <v>0</v>
      </c>
      <c r="CM19" s="39">
        <f t="shared" si="172"/>
        <v>0</v>
      </c>
      <c r="CN19" s="39">
        <f>SUM(CL19:CM19)</f>
        <v>0</v>
      </c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>
        <f t="shared" si="173"/>
        <v>0</v>
      </c>
      <c r="CZ19" s="39">
        <f t="shared" si="173"/>
        <v>0</v>
      </c>
      <c r="DA19" s="39">
        <f>SUM(CY19:CZ19)</f>
        <v>0</v>
      </c>
      <c r="DB19" s="41"/>
      <c r="DC19" s="42"/>
      <c r="DD19" s="42"/>
      <c r="DE19" s="42"/>
      <c r="DF19" s="42"/>
      <c r="DG19" s="42"/>
      <c r="DH19" s="42"/>
      <c r="DI19" s="42"/>
      <c r="DJ19" s="42"/>
      <c r="DK19" s="42"/>
      <c r="DL19" s="42">
        <f t="shared" si="174"/>
        <v>0</v>
      </c>
      <c r="DM19" s="42">
        <f t="shared" si="174"/>
        <v>0</v>
      </c>
      <c r="DN19" s="42">
        <f>SUM(DL19:DM19)</f>
        <v>0</v>
      </c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>
        <f t="shared" si="175"/>
        <v>0</v>
      </c>
      <c r="DZ19" s="42">
        <f t="shared" si="175"/>
        <v>0</v>
      </c>
      <c r="EA19" s="42">
        <f>SUM(DY19:DZ19)</f>
        <v>0</v>
      </c>
      <c r="EB19" s="42">
        <f t="shared" si="176"/>
        <v>0</v>
      </c>
      <c r="EC19" s="42">
        <f t="shared" si="176"/>
        <v>0</v>
      </c>
      <c r="ED19" s="42">
        <f t="shared" si="176"/>
        <v>0</v>
      </c>
      <c r="EE19" s="42">
        <f t="shared" si="176"/>
        <v>0</v>
      </c>
      <c r="EF19" s="42">
        <f t="shared" si="177"/>
        <v>0</v>
      </c>
      <c r="EG19" s="42">
        <f t="shared" si="177"/>
        <v>0</v>
      </c>
      <c r="EH19" s="42">
        <f t="shared" si="178"/>
        <v>0</v>
      </c>
      <c r="EI19" s="42">
        <f t="shared" si="178"/>
        <v>0</v>
      </c>
      <c r="EJ19" s="42">
        <f t="shared" si="179"/>
        <v>0</v>
      </c>
      <c r="EK19" s="42">
        <f t="shared" si="179"/>
        <v>0</v>
      </c>
      <c r="EL19" s="42">
        <f t="shared" si="180"/>
        <v>0</v>
      </c>
      <c r="EM19" s="42">
        <f t="shared" si="180"/>
        <v>0</v>
      </c>
      <c r="EN19" s="42">
        <f t="shared" si="181"/>
        <v>0</v>
      </c>
      <c r="EO19" s="42">
        <f t="shared" si="181"/>
        <v>0</v>
      </c>
      <c r="EP19" s="42">
        <f t="shared" si="182"/>
        <v>0</v>
      </c>
      <c r="EQ19" s="42">
        <f t="shared" si="182"/>
        <v>0</v>
      </c>
      <c r="ER19" s="42">
        <f t="shared" si="183"/>
        <v>0</v>
      </c>
      <c r="ES19" s="42">
        <f t="shared" si="183"/>
        <v>0</v>
      </c>
      <c r="ET19" s="42">
        <f t="shared" si="184"/>
        <v>0</v>
      </c>
      <c r="EU19" s="42">
        <f t="shared" si="184"/>
        <v>0</v>
      </c>
      <c r="EV19" s="42">
        <f t="shared" si="185"/>
        <v>0</v>
      </c>
      <c r="EW19" s="42">
        <f t="shared" si="185"/>
        <v>0</v>
      </c>
      <c r="EX19" s="42">
        <f t="shared" si="186"/>
        <v>0</v>
      </c>
      <c r="EY19" s="42">
        <f t="shared" si="186"/>
        <v>0</v>
      </c>
      <c r="EZ19" s="43">
        <f>SUM(EX19:EY19)</f>
        <v>0</v>
      </c>
      <c r="FA19" s="44"/>
      <c r="FB19" s="42"/>
      <c r="FC19" s="42"/>
      <c r="FD19" s="42"/>
      <c r="FE19" s="42"/>
      <c r="FF19" s="42"/>
      <c r="FG19" s="42"/>
      <c r="FH19" s="42"/>
      <c r="FI19" s="42"/>
      <c r="FJ19" s="42"/>
      <c r="FK19" s="42">
        <f t="shared" si="187"/>
        <v>0</v>
      </c>
      <c r="FL19" s="42">
        <f t="shared" si="187"/>
        <v>0</v>
      </c>
      <c r="FM19" s="42">
        <f>SUM(FK19:FL19)</f>
        <v>0</v>
      </c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>
        <f t="shared" si="188"/>
        <v>0</v>
      </c>
      <c r="FY19" s="42">
        <f t="shared" si="188"/>
        <v>0</v>
      </c>
      <c r="FZ19" s="42">
        <f>SUM(FX19:FY19)</f>
        <v>0</v>
      </c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>
        <f t="shared" si="52"/>
        <v>0</v>
      </c>
      <c r="GL19" s="42">
        <f t="shared" si="53"/>
        <v>0</v>
      </c>
      <c r="GM19" s="42">
        <f t="shared" si="54"/>
        <v>0</v>
      </c>
      <c r="GN19" s="42">
        <f t="shared" si="189"/>
        <v>0</v>
      </c>
      <c r="GO19" s="42">
        <f t="shared" si="189"/>
        <v>0</v>
      </c>
      <c r="GP19" s="42">
        <f t="shared" si="190"/>
        <v>0</v>
      </c>
      <c r="GQ19" s="42">
        <f t="shared" si="190"/>
        <v>0</v>
      </c>
      <c r="GR19" s="42">
        <f t="shared" si="191"/>
        <v>0</v>
      </c>
      <c r="GS19" s="42">
        <f t="shared" si="191"/>
        <v>0</v>
      </c>
      <c r="GT19" s="42">
        <f t="shared" si="191"/>
        <v>0</v>
      </c>
      <c r="GU19" s="42">
        <f t="shared" si="191"/>
        <v>0</v>
      </c>
      <c r="GV19" s="42">
        <f t="shared" si="191"/>
        <v>0</v>
      </c>
      <c r="GW19" s="42">
        <f t="shared" si="191"/>
        <v>0</v>
      </c>
      <c r="GX19" s="42">
        <f t="shared" si="192"/>
        <v>0</v>
      </c>
      <c r="GY19" s="42">
        <f t="shared" si="192"/>
        <v>0</v>
      </c>
      <c r="GZ19" s="42">
        <f t="shared" si="193"/>
        <v>0</v>
      </c>
      <c r="HA19" s="42">
        <f t="shared" si="193"/>
        <v>0</v>
      </c>
      <c r="HB19" s="42">
        <f t="shared" si="194"/>
        <v>0</v>
      </c>
      <c r="HC19" s="42">
        <f t="shared" si="194"/>
        <v>0</v>
      </c>
      <c r="HD19" s="42">
        <f>SUM(HB19:HC19)</f>
        <v>0</v>
      </c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>
        <f t="shared" si="56"/>
        <v>0</v>
      </c>
      <c r="HX19" s="39">
        <f t="shared" si="57"/>
        <v>0</v>
      </c>
      <c r="HY19" s="39">
        <f t="shared" si="58"/>
        <v>0</v>
      </c>
      <c r="HZ19" s="39">
        <f t="shared" si="59"/>
        <v>0</v>
      </c>
      <c r="IA19" s="39"/>
      <c r="IB19" s="39"/>
      <c r="IC19" s="39"/>
      <c r="ID19" s="39"/>
      <c r="IE19" s="39"/>
      <c r="IF19" s="39"/>
      <c r="IG19" s="39"/>
      <c r="IH19" s="39"/>
      <c r="II19" s="39"/>
      <c r="IJ19" s="39">
        <f t="shared" si="195"/>
        <v>0</v>
      </c>
      <c r="IK19" s="39">
        <f t="shared" si="195"/>
        <v>0</v>
      </c>
      <c r="IL19" s="39">
        <f t="shared" si="195"/>
        <v>0</v>
      </c>
      <c r="IM19" s="45">
        <f>SUM(IJ19:IL19)</f>
        <v>0</v>
      </c>
      <c r="IN19" s="39">
        <f t="shared" si="196"/>
        <v>0</v>
      </c>
      <c r="IO19" s="39">
        <f t="shared" si="196"/>
        <v>0</v>
      </c>
      <c r="IP19" s="39">
        <f t="shared" si="196"/>
        <v>0</v>
      </c>
      <c r="IQ19" s="39">
        <f t="shared" si="196"/>
        <v>0</v>
      </c>
      <c r="IR19" s="46"/>
      <c r="IS19" s="46"/>
      <c r="IT19" s="46"/>
      <c r="IU19" s="46"/>
      <c r="IV19" s="46"/>
      <c r="IW19" s="46"/>
      <c r="IX19" s="46"/>
      <c r="IY19" s="46"/>
      <c r="IZ19" s="162">
        <f t="shared" si="197"/>
        <v>0</v>
      </c>
      <c r="JA19" s="162">
        <f t="shared" si="197"/>
        <v>0</v>
      </c>
      <c r="JB19" s="162">
        <f t="shared" si="198"/>
        <v>0</v>
      </c>
      <c r="JC19" s="46">
        <v>1</v>
      </c>
      <c r="JD19" s="46"/>
      <c r="JE19" s="46"/>
      <c r="JF19" s="46"/>
      <c r="JG19" s="46"/>
      <c r="JH19" s="46"/>
      <c r="JI19" s="46"/>
      <c r="JJ19" s="46"/>
      <c r="JK19" s="46"/>
      <c r="JL19" s="46"/>
      <c r="JM19" s="162">
        <f t="shared" si="199"/>
        <v>1</v>
      </c>
      <c r="JN19" s="162">
        <f t="shared" si="199"/>
        <v>0</v>
      </c>
      <c r="JO19" s="162">
        <f t="shared" si="200"/>
        <v>1</v>
      </c>
      <c r="JP19" s="48">
        <f t="shared" si="201"/>
        <v>1</v>
      </c>
      <c r="JQ19" s="48">
        <f t="shared" si="202"/>
        <v>0</v>
      </c>
      <c r="JR19" s="48">
        <f t="shared" si="203"/>
        <v>0</v>
      </c>
      <c r="JS19" s="48">
        <f t="shared" si="204"/>
        <v>0</v>
      </c>
      <c r="JT19" s="48">
        <f t="shared" si="205"/>
        <v>0</v>
      </c>
      <c r="JU19" s="48">
        <f t="shared" si="206"/>
        <v>0</v>
      </c>
      <c r="JV19" s="48">
        <f t="shared" si="207"/>
        <v>0</v>
      </c>
      <c r="JW19" s="48">
        <f t="shared" si="207"/>
        <v>0</v>
      </c>
      <c r="JX19" s="48">
        <f t="shared" si="208"/>
        <v>0</v>
      </c>
      <c r="JY19" s="48">
        <f t="shared" si="209"/>
        <v>0</v>
      </c>
      <c r="JZ19" s="48">
        <f t="shared" si="210"/>
        <v>1</v>
      </c>
      <c r="KA19" s="48">
        <f t="shared" si="210"/>
        <v>0</v>
      </c>
      <c r="KB19" s="48">
        <f>SUM(JZ19:KA19)</f>
        <v>1</v>
      </c>
      <c r="KC19" s="48">
        <v>1</v>
      </c>
      <c r="KD19" s="48"/>
      <c r="KE19" s="48"/>
      <c r="KF19" s="48">
        <v>1</v>
      </c>
      <c r="KG19" s="48"/>
      <c r="KH19" s="48"/>
      <c r="KI19" s="48"/>
      <c r="KJ19" s="48"/>
      <c r="KK19" s="48">
        <v>1</v>
      </c>
      <c r="KL19" s="48"/>
      <c r="KM19" s="48">
        <v>18</v>
      </c>
      <c r="KN19" s="48">
        <v>11</v>
      </c>
      <c r="KO19" s="48">
        <f>SUM(KM19:KN19)</f>
        <v>29</v>
      </c>
      <c r="KP19" s="113"/>
      <c r="KQ19" s="113">
        <v>1</v>
      </c>
      <c r="KR19" s="48"/>
      <c r="KS19" s="48">
        <v>1</v>
      </c>
      <c r="KT19" s="48"/>
      <c r="KU19" s="48"/>
      <c r="KV19" s="48">
        <v>1</v>
      </c>
      <c r="KW19" s="113"/>
      <c r="KX19" s="48"/>
      <c r="KY19" s="113">
        <v>1</v>
      </c>
      <c r="KZ19" s="48"/>
      <c r="LA19" s="48"/>
      <c r="LB19" s="48"/>
      <c r="LC19" s="48"/>
      <c r="LD19" s="48"/>
      <c r="LE19" s="48">
        <v>1</v>
      </c>
      <c r="LF19" s="48"/>
      <c r="LG19" s="48">
        <v>1</v>
      </c>
      <c r="LH19" s="48"/>
      <c r="LI19" s="48">
        <v>1</v>
      </c>
      <c r="LJ19" s="48"/>
      <c r="LK19" s="48">
        <v>1</v>
      </c>
      <c r="LL19" s="48"/>
      <c r="LM19" s="48">
        <v>1</v>
      </c>
      <c r="LN19" s="48"/>
      <c r="LO19" s="48"/>
      <c r="LP19" s="48"/>
      <c r="LQ19" s="113">
        <v>1</v>
      </c>
      <c r="LR19" s="113"/>
      <c r="LS19" s="113"/>
      <c r="LT19" s="113"/>
      <c r="LU19" s="48">
        <v>1</v>
      </c>
      <c r="LV19" s="48"/>
      <c r="LW19" s="48">
        <v>168</v>
      </c>
      <c r="LX19" s="113">
        <v>70</v>
      </c>
      <c r="LY19" s="113">
        <f t="shared" si="61"/>
        <v>238</v>
      </c>
      <c r="LZ19" s="48">
        <v>1</v>
      </c>
      <c r="MA19" s="48"/>
      <c r="MB19" s="48"/>
      <c r="MC19" s="48">
        <v>1</v>
      </c>
      <c r="MD19" s="48">
        <v>1</v>
      </c>
      <c r="ME19" s="48"/>
      <c r="MF19" s="48">
        <v>1</v>
      </c>
      <c r="MG19" s="48"/>
      <c r="MH19" s="48">
        <v>1</v>
      </c>
      <c r="MI19" s="48"/>
      <c r="MJ19" s="48"/>
      <c r="MK19" s="48">
        <v>1</v>
      </c>
      <c r="ML19" s="48"/>
      <c r="MM19" s="48">
        <v>1</v>
      </c>
      <c r="MN19" s="48">
        <v>1</v>
      </c>
      <c r="MO19" s="48"/>
    </row>
    <row r="20" spans="1:353" s="49" customFormat="1" ht="21" customHeight="1" thickBot="1" x14ac:dyDescent="0.25">
      <c r="A20" s="36" t="s">
        <v>112</v>
      </c>
      <c r="B20" s="36" t="s">
        <v>113</v>
      </c>
      <c r="C20" s="36">
        <v>14</v>
      </c>
      <c r="D20" s="36">
        <v>1400030</v>
      </c>
      <c r="E20" s="36" t="s">
        <v>272</v>
      </c>
      <c r="F20" s="36">
        <v>1</v>
      </c>
      <c r="G20" s="36"/>
      <c r="H20" s="36"/>
      <c r="I20" s="36">
        <v>1</v>
      </c>
      <c r="J20" s="36"/>
      <c r="K20" s="36">
        <v>1</v>
      </c>
      <c r="L20" s="36"/>
      <c r="M20" s="36"/>
      <c r="N20" s="36">
        <v>1</v>
      </c>
      <c r="O20" s="36"/>
      <c r="P20" s="36"/>
      <c r="Q20" s="36">
        <v>1</v>
      </c>
      <c r="R20" s="36"/>
      <c r="S20" s="36"/>
      <c r="T20" s="36">
        <v>1</v>
      </c>
      <c r="U20" s="36"/>
      <c r="V20" s="36"/>
      <c r="W20" s="36">
        <v>1</v>
      </c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>
        <f t="shared" si="168"/>
        <v>0</v>
      </c>
      <c r="AK20" s="36">
        <f t="shared" si="168"/>
        <v>0</v>
      </c>
      <c r="AL20" s="37">
        <f>SUM(AJ20:AK20)</f>
        <v>0</v>
      </c>
      <c r="AM20" s="36"/>
      <c r="AN20" s="36"/>
      <c r="AO20" s="36"/>
      <c r="AP20" s="36"/>
      <c r="AQ20" s="36"/>
      <c r="AR20" s="36"/>
      <c r="AS20" s="36"/>
      <c r="AT20" s="36"/>
      <c r="AU20" s="36"/>
      <c r="AV20" s="39"/>
      <c r="AW20" s="39">
        <f t="shared" si="169"/>
        <v>0</v>
      </c>
      <c r="AX20" s="39">
        <f t="shared" si="169"/>
        <v>0</v>
      </c>
      <c r="AY20" s="40">
        <f>SUM(AW20:AX20)</f>
        <v>0</v>
      </c>
      <c r="AZ20" s="38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>
        <f t="shared" si="170"/>
        <v>0</v>
      </c>
      <c r="BM20" s="39">
        <f t="shared" si="170"/>
        <v>0</v>
      </c>
      <c r="BN20" s="39">
        <f>SUM(BL20:BM20)</f>
        <v>0</v>
      </c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>
        <f>BW20+BU20+BS20+BQ20+BO20</f>
        <v>0</v>
      </c>
      <c r="BZ20" s="39">
        <f t="shared" si="171"/>
        <v>0</v>
      </c>
      <c r="CA20" s="39">
        <f>SUM(BY20:BZ20)</f>
        <v>0</v>
      </c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>
        <f t="shared" si="172"/>
        <v>0</v>
      </c>
      <c r="CM20" s="39">
        <f t="shared" si="172"/>
        <v>0</v>
      </c>
      <c r="CN20" s="39">
        <f>SUM(CL20:CM20)</f>
        <v>0</v>
      </c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>
        <f t="shared" si="173"/>
        <v>0</v>
      </c>
      <c r="CZ20" s="39">
        <f t="shared" si="173"/>
        <v>0</v>
      </c>
      <c r="DA20" s="39">
        <f>SUM(CY20:CZ20)</f>
        <v>0</v>
      </c>
      <c r="DB20" s="41"/>
      <c r="DC20" s="42"/>
      <c r="DD20" s="42"/>
      <c r="DE20" s="42"/>
      <c r="DF20" s="42"/>
      <c r="DG20" s="42"/>
      <c r="DH20" s="42"/>
      <c r="DI20" s="42"/>
      <c r="DJ20" s="42"/>
      <c r="DK20" s="42"/>
      <c r="DL20" s="42">
        <f t="shared" si="174"/>
        <v>0</v>
      </c>
      <c r="DM20" s="42">
        <f t="shared" si="174"/>
        <v>0</v>
      </c>
      <c r="DN20" s="42">
        <f>SUM(DL20:DM20)</f>
        <v>0</v>
      </c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>
        <f t="shared" si="175"/>
        <v>0</v>
      </c>
      <c r="DZ20" s="42">
        <f t="shared" si="175"/>
        <v>0</v>
      </c>
      <c r="EA20" s="42">
        <f>SUM(DY20:DZ20)</f>
        <v>0</v>
      </c>
      <c r="EB20" s="42">
        <f t="shared" si="176"/>
        <v>0</v>
      </c>
      <c r="EC20" s="42">
        <f t="shared" si="176"/>
        <v>0</v>
      </c>
      <c r="ED20" s="42">
        <f t="shared" si="176"/>
        <v>0</v>
      </c>
      <c r="EE20" s="42">
        <f t="shared" si="176"/>
        <v>0</v>
      </c>
      <c r="EF20" s="42">
        <f t="shared" si="177"/>
        <v>0</v>
      </c>
      <c r="EG20" s="42">
        <f t="shared" si="177"/>
        <v>0</v>
      </c>
      <c r="EH20" s="42">
        <f t="shared" si="178"/>
        <v>0</v>
      </c>
      <c r="EI20" s="42">
        <f t="shared" si="178"/>
        <v>0</v>
      </c>
      <c r="EJ20" s="42">
        <f t="shared" si="179"/>
        <v>0</v>
      </c>
      <c r="EK20" s="42">
        <f t="shared" si="179"/>
        <v>0</v>
      </c>
      <c r="EL20" s="42">
        <f t="shared" si="180"/>
        <v>0</v>
      </c>
      <c r="EM20" s="42">
        <f t="shared" si="180"/>
        <v>0</v>
      </c>
      <c r="EN20" s="42">
        <f t="shared" si="181"/>
        <v>0</v>
      </c>
      <c r="EO20" s="42">
        <f t="shared" si="181"/>
        <v>0</v>
      </c>
      <c r="EP20" s="42">
        <f t="shared" si="182"/>
        <v>0</v>
      </c>
      <c r="EQ20" s="42">
        <f t="shared" si="182"/>
        <v>0</v>
      </c>
      <c r="ER20" s="42">
        <f t="shared" si="183"/>
        <v>0</v>
      </c>
      <c r="ES20" s="42">
        <f t="shared" si="183"/>
        <v>0</v>
      </c>
      <c r="ET20" s="42">
        <f t="shared" si="184"/>
        <v>0</v>
      </c>
      <c r="EU20" s="42">
        <f t="shared" si="184"/>
        <v>0</v>
      </c>
      <c r="EV20" s="42">
        <f t="shared" si="185"/>
        <v>0</v>
      </c>
      <c r="EW20" s="42">
        <f t="shared" si="185"/>
        <v>0</v>
      </c>
      <c r="EX20" s="42">
        <f t="shared" si="186"/>
        <v>0</v>
      </c>
      <c r="EY20" s="42">
        <f t="shared" si="186"/>
        <v>0</v>
      </c>
      <c r="EZ20" s="43">
        <f>SUM(EX20:EY20)</f>
        <v>0</v>
      </c>
      <c r="FA20" s="44"/>
      <c r="FB20" s="42"/>
      <c r="FC20" s="42"/>
      <c r="FD20" s="42"/>
      <c r="FE20" s="42"/>
      <c r="FF20" s="42"/>
      <c r="FG20" s="42"/>
      <c r="FH20" s="42"/>
      <c r="FI20" s="42"/>
      <c r="FJ20" s="42"/>
      <c r="FK20" s="42">
        <f t="shared" si="187"/>
        <v>0</v>
      </c>
      <c r="FL20" s="42">
        <f t="shared" si="187"/>
        <v>0</v>
      </c>
      <c r="FM20" s="42">
        <f>SUM(FK20:FL20)</f>
        <v>0</v>
      </c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>
        <f t="shared" si="188"/>
        <v>0</v>
      </c>
      <c r="FY20" s="42">
        <f t="shared" si="188"/>
        <v>0</v>
      </c>
      <c r="FZ20" s="42">
        <f>SUM(FX20:FY20)</f>
        <v>0</v>
      </c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>
        <f t="shared" si="52"/>
        <v>0</v>
      </c>
      <c r="GL20" s="42">
        <f t="shared" si="53"/>
        <v>0</v>
      </c>
      <c r="GM20" s="42">
        <f t="shared" si="54"/>
        <v>0</v>
      </c>
      <c r="GN20" s="42">
        <f t="shared" si="189"/>
        <v>0</v>
      </c>
      <c r="GO20" s="42">
        <f t="shared" si="189"/>
        <v>0</v>
      </c>
      <c r="GP20" s="42">
        <f t="shared" si="190"/>
        <v>0</v>
      </c>
      <c r="GQ20" s="42">
        <f t="shared" si="190"/>
        <v>0</v>
      </c>
      <c r="GR20" s="42">
        <f t="shared" si="191"/>
        <v>0</v>
      </c>
      <c r="GS20" s="42">
        <f t="shared" si="191"/>
        <v>0</v>
      </c>
      <c r="GT20" s="42">
        <f t="shared" si="191"/>
        <v>0</v>
      </c>
      <c r="GU20" s="42">
        <f t="shared" si="191"/>
        <v>0</v>
      </c>
      <c r="GV20" s="42">
        <f t="shared" si="191"/>
        <v>0</v>
      </c>
      <c r="GW20" s="42">
        <f t="shared" si="191"/>
        <v>0</v>
      </c>
      <c r="GX20" s="42">
        <f t="shared" si="192"/>
        <v>0</v>
      </c>
      <c r="GY20" s="42">
        <f t="shared" si="192"/>
        <v>0</v>
      </c>
      <c r="GZ20" s="42">
        <f t="shared" si="193"/>
        <v>0</v>
      </c>
      <c r="HA20" s="42">
        <f t="shared" si="193"/>
        <v>0</v>
      </c>
      <c r="HB20" s="42">
        <f t="shared" si="194"/>
        <v>0</v>
      </c>
      <c r="HC20" s="42">
        <f t="shared" si="194"/>
        <v>0</v>
      </c>
      <c r="HD20" s="42">
        <f>SUM(HB20:HC20)</f>
        <v>0</v>
      </c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>
        <f t="shared" si="56"/>
        <v>0</v>
      </c>
      <c r="HX20" s="39">
        <f t="shared" si="57"/>
        <v>0</v>
      </c>
      <c r="HY20" s="39">
        <f t="shared" si="58"/>
        <v>0</v>
      </c>
      <c r="HZ20" s="39">
        <f t="shared" si="59"/>
        <v>0</v>
      </c>
      <c r="IA20" s="39"/>
      <c r="IB20" s="39"/>
      <c r="IC20" s="39"/>
      <c r="ID20" s="39"/>
      <c r="IE20" s="39"/>
      <c r="IF20" s="39"/>
      <c r="IG20" s="39"/>
      <c r="IH20" s="39"/>
      <c r="II20" s="39"/>
      <c r="IJ20" s="39">
        <f t="shared" si="195"/>
        <v>0</v>
      </c>
      <c r="IK20" s="39">
        <f t="shared" si="195"/>
        <v>0</v>
      </c>
      <c r="IL20" s="39">
        <f t="shared" si="195"/>
        <v>0</v>
      </c>
      <c r="IM20" s="45">
        <f>SUM(IJ20:IL20)</f>
        <v>0</v>
      </c>
      <c r="IN20" s="39">
        <f t="shared" si="196"/>
        <v>0</v>
      </c>
      <c r="IO20" s="39">
        <f t="shared" si="196"/>
        <v>0</v>
      </c>
      <c r="IP20" s="39">
        <f t="shared" si="196"/>
        <v>0</v>
      </c>
      <c r="IQ20" s="39">
        <f t="shared" si="196"/>
        <v>0</v>
      </c>
      <c r="IR20" s="46"/>
      <c r="IS20" s="46"/>
      <c r="IT20" s="46"/>
      <c r="IU20" s="46"/>
      <c r="IV20" s="46"/>
      <c r="IW20" s="46"/>
      <c r="IX20" s="46"/>
      <c r="IY20" s="46"/>
      <c r="IZ20" s="162">
        <f t="shared" si="197"/>
        <v>0</v>
      </c>
      <c r="JA20" s="162">
        <f t="shared" si="197"/>
        <v>0</v>
      </c>
      <c r="JB20" s="162">
        <f t="shared" si="198"/>
        <v>0</v>
      </c>
      <c r="JC20" s="46"/>
      <c r="JD20" s="46">
        <v>1</v>
      </c>
      <c r="JE20" s="46"/>
      <c r="JF20" s="46"/>
      <c r="JG20" s="46"/>
      <c r="JH20" s="46"/>
      <c r="JI20" s="46"/>
      <c r="JJ20" s="46"/>
      <c r="JK20" s="46"/>
      <c r="JL20" s="46"/>
      <c r="JM20" s="162">
        <f t="shared" si="199"/>
        <v>0</v>
      </c>
      <c r="JN20" s="162">
        <f t="shared" si="199"/>
        <v>1</v>
      </c>
      <c r="JO20" s="162">
        <f t="shared" si="200"/>
        <v>1</v>
      </c>
      <c r="JP20" s="48">
        <f t="shared" si="201"/>
        <v>0</v>
      </c>
      <c r="JQ20" s="48">
        <f t="shared" si="202"/>
        <v>1</v>
      </c>
      <c r="JR20" s="48">
        <f t="shared" si="203"/>
        <v>0</v>
      </c>
      <c r="JS20" s="48">
        <f t="shared" si="204"/>
        <v>0</v>
      </c>
      <c r="JT20" s="48">
        <f t="shared" si="205"/>
        <v>0</v>
      </c>
      <c r="JU20" s="48">
        <f t="shared" si="206"/>
        <v>0</v>
      </c>
      <c r="JV20" s="48">
        <f t="shared" si="207"/>
        <v>0</v>
      </c>
      <c r="JW20" s="48">
        <f t="shared" si="207"/>
        <v>0</v>
      </c>
      <c r="JX20" s="48">
        <f t="shared" si="208"/>
        <v>0</v>
      </c>
      <c r="JY20" s="48">
        <f t="shared" si="209"/>
        <v>0</v>
      </c>
      <c r="JZ20" s="48">
        <f t="shared" si="210"/>
        <v>0</v>
      </c>
      <c r="KA20" s="48">
        <f t="shared" si="210"/>
        <v>1</v>
      </c>
      <c r="KB20" s="48">
        <f>SUM(JZ20:KA20)</f>
        <v>1</v>
      </c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>
        <f t="shared" si="60"/>
        <v>0</v>
      </c>
      <c r="KP20" s="113"/>
      <c r="KQ20" s="113"/>
      <c r="KR20" s="48"/>
      <c r="KS20" s="48"/>
      <c r="KT20" s="48"/>
      <c r="KU20" s="48"/>
      <c r="KV20" s="48"/>
      <c r="KW20" s="113"/>
      <c r="KX20" s="48"/>
      <c r="KY20" s="113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>
        <v>1</v>
      </c>
      <c r="LN20" s="48"/>
      <c r="LO20" s="48"/>
      <c r="LP20" s="48"/>
      <c r="LQ20" s="113">
        <v>1</v>
      </c>
      <c r="LR20" s="113"/>
      <c r="LS20" s="113"/>
      <c r="LT20" s="113">
        <v>1</v>
      </c>
      <c r="LU20" s="48"/>
      <c r="LV20" s="48"/>
      <c r="LW20" s="48">
        <v>714</v>
      </c>
      <c r="LX20" s="113"/>
      <c r="LY20" s="113">
        <f t="shared" si="61"/>
        <v>714</v>
      </c>
      <c r="LZ20" s="48">
        <v>1</v>
      </c>
      <c r="MA20" s="48"/>
      <c r="MB20" s="48"/>
      <c r="MC20" s="48">
        <v>1</v>
      </c>
      <c r="MD20" s="48">
        <v>1</v>
      </c>
      <c r="ME20" s="48"/>
      <c r="MF20" s="48">
        <v>1</v>
      </c>
      <c r="MG20" s="48"/>
      <c r="MH20" s="48">
        <v>1</v>
      </c>
      <c r="MI20" s="48"/>
      <c r="MJ20" s="48"/>
      <c r="MK20" s="48">
        <v>1</v>
      </c>
      <c r="ML20" s="48"/>
      <c r="MM20" s="48">
        <v>1</v>
      </c>
      <c r="MN20" s="48"/>
      <c r="MO20" s="48">
        <v>1</v>
      </c>
    </row>
    <row r="21" spans="1:353" s="116" customFormat="1" ht="21" customHeight="1" thickBot="1" x14ac:dyDescent="0.25">
      <c r="A21" s="114"/>
      <c r="B21" s="114"/>
      <c r="C21" s="368" t="s">
        <v>351</v>
      </c>
      <c r="D21" s="369"/>
      <c r="E21" s="370"/>
      <c r="F21" s="115">
        <f>SUM(F16:F20)</f>
        <v>5</v>
      </c>
      <c r="G21" s="115">
        <f t="shared" ref="G21:BR21" si="211">SUM(G16:G20)</f>
        <v>0</v>
      </c>
      <c r="H21" s="115">
        <f t="shared" si="211"/>
        <v>4</v>
      </c>
      <c r="I21" s="115">
        <f t="shared" si="211"/>
        <v>1</v>
      </c>
      <c r="J21" s="115">
        <f t="shared" si="211"/>
        <v>0</v>
      </c>
      <c r="K21" s="115">
        <f t="shared" si="211"/>
        <v>5</v>
      </c>
      <c r="L21" s="115">
        <f t="shared" si="211"/>
        <v>0</v>
      </c>
      <c r="M21" s="115">
        <f t="shared" si="211"/>
        <v>4</v>
      </c>
      <c r="N21" s="115">
        <f t="shared" si="211"/>
        <v>1</v>
      </c>
      <c r="O21" s="115">
        <f t="shared" si="211"/>
        <v>0</v>
      </c>
      <c r="P21" s="115">
        <f t="shared" si="211"/>
        <v>4</v>
      </c>
      <c r="Q21" s="115">
        <f t="shared" si="211"/>
        <v>1</v>
      </c>
      <c r="R21" s="115">
        <f t="shared" si="211"/>
        <v>4</v>
      </c>
      <c r="S21" s="115">
        <f t="shared" si="211"/>
        <v>0</v>
      </c>
      <c r="T21" s="115">
        <f t="shared" si="211"/>
        <v>1</v>
      </c>
      <c r="U21" s="115">
        <f t="shared" si="211"/>
        <v>0</v>
      </c>
      <c r="V21" s="115">
        <f t="shared" si="211"/>
        <v>0</v>
      </c>
      <c r="W21" s="115">
        <f t="shared" si="211"/>
        <v>5</v>
      </c>
      <c r="X21" s="115">
        <f t="shared" si="211"/>
        <v>0</v>
      </c>
      <c r="Y21" s="115">
        <f t="shared" si="211"/>
        <v>0</v>
      </c>
      <c r="Z21" s="115">
        <f t="shared" si="211"/>
        <v>0</v>
      </c>
      <c r="AA21" s="115">
        <f t="shared" si="211"/>
        <v>0</v>
      </c>
      <c r="AB21" s="115">
        <f t="shared" si="211"/>
        <v>0</v>
      </c>
      <c r="AC21" s="115">
        <f t="shared" si="211"/>
        <v>0</v>
      </c>
      <c r="AD21" s="115">
        <f t="shared" si="211"/>
        <v>0</v>
      </c>
      <c r="AE21" s="115">
        <f t="shared" si="211"/>
        <v>0</v>
      </c>
      <c r="AF21" s="115">
        <f t="shared" si="211"/>
        <v>0</v>
      </c>
      <c r="AG21" s="115">
        <f t="shared" si="211"/>
        <v>0</v>
      </c>
      <c r="AH21" s="115">
        <f t="shared" si="211"/>
        <v>0</v>
      </c>
      <c r="AI21" s="115">
        <f t="shared" si="211"/>
        <v>0</v>
      </c>
      <c r="AJ21" s="115">
        <f t="shared" si="211"/>
        <v>0</v>
      </c>
      <c r="AK21" s="115">
        <f t="shared" si="211"/>
        <v>0</v>
      </c>
      <c r="AL21" s="115">
        <f t="shared" si="211"/>
        <v>0</v>
      </c>
      <c r="AM21" s="115">
        <f t="shared" si="211"/>
        <v>0</v>
      </c>
      <c r="AN21" s="115">
        <f t="shared" si="211"/>
        <v>0</v>
      </c>
      <c r="AO21" s="115">
        <f t="shared" si="211"/>
        <v>0</v>
      </c>
      <c r="AP21" s="115">
        <f t="shared" si="211"/>
        <v>0</v>
      </c>
      <c r="AQ21" s="115">
        <f t="shared" si="211"/>
        <v>0</v>
      </c>
      <c r="AR21" s="115">
        <f t="shared" si="211"/>
        <v>0</v>
      </c>
      <c r="AS21" s="115">
        <f t="shared" si="211"/>
        <v>0</v>
      </c>
      <c r="AT21" s="115">
        <f t="shared" si="211"/>
        <v>0</v>
      </c>
      <c r="AU21" s="115">
        <f t="shared" si="211"/>
        <v>0</v>
      </c>
      <c r="AV21" s="115">
        <f t="shared" si="211"/>
        <v>0</v>
      </c>
      <c r="AW21" s="115">
        <f t="shared" si="211"/>
        <v>0</v>
      </c>
      <c r="AX21" s="115">
        <f t="shared" si="211"/>
        <v>0</v>
      </c>
      <c r="AY21" s="115">
        <f t="shared" si="211"/>
        <v>0</v>
      </c>
      <c r="AZ21" s="115">
        <f t="shared" si="211"/>
        <v>0</v>
      </c>
      <c r="BA21" s="115">
        <f t="shared" si="211"/>
        <v>0</v>
      </c>
      <c r="BB21" s="115">
        <f t="shared" si="211"/>
        <v>0</v>
      </c>
      <c r="BC21" s="115">
        <f t="shared" si="211"/>
        <v>0</v>
      </c>
      <c r="BD21" s="115">
        <f t="shared" si="211"/>
        <v>0</v>
      </c>
      <c r="BE21" s="115">
        <f t="shared" si="211"/>
        <v>0</v>
      </c>
      <c r="BF21" s="115">
        <f t="shared" si="211"/>
        <v>0</v>
      </c>
      <c r="BG21" s="115">
        <f t="shared" si="211"/>
        <v>0</v>
      </c>
      <c r="BH21" s="115">
        <f t="shared" si="211"/>
        <v>0</v>
      </c>
      <c r="BI21" s="115">
        <f t="shared" si="211"/>
        <v>0</v>
      </c>
      <c r="BJ21" s="115">
        <f t="shared" si="211"/>
        <v>0</v>
      </c>
      <c r="BK21" s="115">
        <f t="shared" si="211"/>
        <v>0</v>
      </c>
      <c r="BL21" s="115">
        <f t="shared" si="211"/>
        <v>0</v>
      </c>
      <c r="BM21" s="115">
        <f t="shared" si="211"/>
        <v>0</v>
      </c>
      <c r="BN21" s="115">
        <f t="shared" si="211"/>
        <v>0</v>
      </c>
      <c r="BO21" s="115">
        <f t="shared" si="211"/>
        <v>0</v>
      </c>
      <c r="BP21" s="115">
        <f t="shared" si="211"/>
        <v>0</v>
      </c>
      <c r="BQ21" s="115">
        <f t="shared" si="211"/>
        <v>0</v>
      </c>
      <c r="BR21" s="115">
        <f t="shared" si="211"/>
        <v>0</v>
      </c>
      <c r="BS21" s="115">
        <f t="shared" ref="BS21:ED21" si="212">SUM(BS16:BS20)</f>
        <v>0</v>
      </c>
      <c r="BT21" s="115">
        <f t="shared" si="212"/>
        <v>0</v>
      </c>
      <c r="BU21" s="115">
        <f t="shared" si="212"/>
        <v>0</v>
      </c>
      <c r="BV21" s="115">
        <f t="shared" si="212"/>
        <v>0</v>
      </c>
      <c r="BW21" s="115">
        <f t="shared" si="212"/>
        <v>0</v>
      </c>
      <c r="BX21" s="115">
        <f t="shared" si="212"/>
        <v>0</v>
      </c>
      <c r="BY21" s="115">
        <f t="shared" si="212"/>
        <v>0</v>
      </c>
      <c r="BZ21" s="115">
        <f t="shared" si="212"/>
        <v>0</v>
      </c>
      <c r="CA21" s="115">
        <f t="shared" si="212"/>
        <v>0</v>
      </c>
      <c r="CB21" s="115">
        <f t="shared" si="212"/>
        <v>0</v>
      </c>
      <c r="CC21" s="115">
        <f t="shared" si="212"/>
        <v>0</v>
      </c>
      <c r="CD21" s="115">
        <f t="shared" si="212"/>
        <v>0</v>
      </c>
      <c r="CE21" s="115">
        <f t="shared" si="212"/>
        <v>0</v>
      </c>
      <c r="CF21" s="115">
        <f t="shared" si="212"/>
        <v>0</v>
      </c>
      <c r="CG21" s="115">
        <f t="shared" si="212"/>
        <v>0</v>
      </c>
      <c r="CH21" s="115">
        <f t="shared" si="212"/>
        <v>0</v>
      </c>
      <c r="CI21" s="115">
        <f t="shared" si="212"/>
        <v>0</v>
      </c>
      <c r="CJ21" s="115">
        <f t="shared" si="212"/>
        <v>0</v>
      </c>
      <c r="CK21" s="115">
        <f t="shared" si="212"/>
        <v>0</v>
      </c>
      <c r="CL21" s="115">
        <f t="shared" si="212"/>
        <v>0</v>
      </c>
      <c r="CM21" s="115">
        <f t="shared" si="212"/>
        <v>0</v>
      </c>
      <c r="CN21" s="115">
        <f t="shared" si="212"/>
        <v>0</v>
      </c>
      <c r="CO21" s="115">
        <f t="shared" si="212"/>
        <v>0</v>
      </c>
      <c r="CP21" s="115">
        <f t="shared" si="212"/>
        <v>0</v>
      </c>
      <c r="CQ21" s="115">
        <f t="shared" si="212"/>
        <v>0</v>
      </c>
      <c r="CR21" s="115">
        <f t="shared" si="212"/>
        <v>0</v>
      </c>
      <c r="CS21" s="115">
        <f t="shared" si="212"/>
        <v>0</v>
      </c>
      <c r="CT21" s="115">
        <f t="shared" si="212"/>
        <v>0</v>
      </c>
      <c r="CU21" s="115">
        <f t="shared" si="212"/>
        <v>0</v>
      </c>
      <c r="CV21" s="115">
        <f t="shared" si="212"/>
        <v>0</v>
      </c>
      <c r="CW21" s="115">
        <f t="shared" si="212"/>
        <v>0</v>
      </c>
      <c r="CX21" s="115">
        <f t="shared" si="212"/>
        <v>0</v>
      </c>
      <c r="CY21" s="115">
        <f t="shared" si="212"/>
        <v>0</v>
      </c>
      <c r="CZ21" s="115">
        <f t="shared" si="212"/>
        <v>0</v>
      </c>
      <c r="DA21" s="115">
        <f t="shared" si="212"/>
        <v>0</v>
      </c>
      <c r="DB21" s="115">
        <f t="shared" si="212"/>
        <v>0</v>
      </c>
      <c r="DC21" s="115">
        <f t="shared" si="212"/>
        <v>0</v>
      </c>
      <c r="DD21" s="115">
        <f t="shared" si="212"/>
        <v>0</v>
      </c>
      <c r="DE21" s="115">
        <f t="shared" si="212"/>
        <v>0</v>
      </c>
      <c r="DF21" s="115">
        <f t="shared" si="212"/>
        <v>0</v>
      </c>
      <c r="DG21" s="115">
        <f t="shared" si="212"/>
        <v>0</v>
      </c>
      <c r="DH21" s="115">
        <f t="shared" si="212"/>
        <v>0</v>
      </c>
      <c r="DI21" s="115">
        <f t="shared" si="212"/>
        <v>0</v>
      </c>
      <c r="DJ21" s="115">
        <f t="shared" si="212"/>
        <v>0</v>
      </c>
      <c r="DK21" s="115">
        <f t="shared" si="212"/>
        <v>0</v>
      </c>
      <c r="DL21" s="115">
        <f t="shared" si="212"/>
        <v>0</v>
      </c>
      <c r="DM21" s="115">
        <f t="shared" si="212"/>
        <v>0</v>
      </c>
      <c r="DN21" s="115">
        <f t="shared" si="212"/>
        <v>0</v>
      </c>
      <c r="DO21" s="115">
        <f t="shared" si="212"/>
        <v>0</v>
      </c>
      <c r="DP21" s="115">
        <f t="shared" si="212"/>
        <v>0</v>
      </c>
      <c r="DQ21" s="115">
        <f t="shared" si="212"/>
        <v>0</v>
      </c>
      <c r="DR21" s="115">
        <f t="shared" si="212"/>
        <v>0</v>
      </c>
      <c r="DS21" s="115">
        <f t="shared" si="212"/>
        <v>0</v>
      </c>
      <c r="DT21" s="115">
        <f t="shared" si="212"/>
        <v>0</v>
      </c>
      <c r="DU21" s="115">
        <f t="shared" si="212"/>
        <v>0</v>
      </c>
      <c r="DV21" s="115">
        <f t="shared" si="212"/>
        <v>0</v>
      </c>
      <c r="DW21" s="115">
        <f t="shared" si="212"/>
        <v>0</v>
      </c>
      <c r="DX21" s="115">
        <f t="shared" si="212"/>
        <v>0</v>
      </c>
      <c r="DY21" s="115">
        <f t="shared" si="212"/>
        <v>0</v>
      </c>
      <c r="DZ21" s="115">
        <f t="shared" si="212"/>
        <v>0</v>
      </c>
      <c r="EA21" s="115">
        <f t="shared" si="212"/>
        <v>0</v>
      </c>
      <c r="EB21" s="115">
        <f t="shared" si="212"/>
        <v>0</v>
      </c>
      <c r="EC21" s="115">
        <f t="shared" si="212"/>
        <v>0</v>
      </c>
      <c r="ED21" s="115">
        <f t="shared" si="212"/>
        <v>0</v>
      </c>
      <c r="EE21" s="115">
        <f t="shared" ref="EE21:GP21" si="213">SUM(EE16:EE20)</f>
        <v>0</v>
      </c>
      <c r="EF21" s="115">
        <f t="shared" si="213"/>
        <v>0</v>
      </c>
      <c r="EG21" s="115">
        <f t="shared" si="213"/>
        <v>0</v>
      </c>
      <c r="EH21" s="115">
        <f t="shared" si="213"/>
        <v>0</v>
      </c>
      <c r="EI21" s="115">
        <f t="shared" si="213"/>
        <v>0</v>
      </c>
      <c r="EJ21" s="115">
        <f t="shared" si="213"/>
        <v>0</v>
      </c>
      <c r="EK21" s="115">
        <f t="shared" si="213"/>
        <v>0</v>
      </c>
      <c r="EL21" s="115">
        <f t="shared" si="213"/>
        <v>0</v>
      </c>
      <c r="EM21" s="115">
        <f t="shared" si="213"/>
        <v>0</v>
      </c>
      <c r="EN21" s="115">
        <f t="shared" si="213"/>
        <v>0</v>
      </c>
      <c r="EO21" s="115">
        <f t="shared" si="213"/>
        <v>0</v>
      </c>
      <c r="EP21" s="115">
        <f t="shared" si="213"/>
        <v>0</v>
      </c>
      <c r="EQ21" s="115">
        <f t="shared" si="213"/>
        <v>0</v>
      </c>
      <c r="ER21" s="115">
        <f t="shared" si="213"/>
        <v>0</v>
      </c>
      <c r="ES21" s="115">
        <f t="shared" si="213"/>
        <v>0</v>
      </c>
      <c r="ET21" s="115">
        <f t="shared" si="213"/>
        <v>0</v>
      </c>
      <c r="EU21" s="115">
        <f t="shared" si="213"/>
        <v>0</v>
      </c>
      <c r="EV21" s="115">
        <f t="shared" si="213"/>
        <v>0</v>
      </c>
      <c r="EW21" s="115">
        <f t="shared" si="213"/>
        <v>0</v>
      </c>
      <c r="EX21" s="115">
        <f t="shared" si="213"/>
        <v>0</v>
      </c>
      <c r="EY21" s="115">
        <f t="shared" si="213"/>
        <v>0</v>
      </c>
      <c r="EZ21" s="115">
        <f t="shared" si="213"/>
        <v>0</v>
      </c>
      <c r="FA21" s="115">
        <f t="shared" si="213"/>
        <v>0</v>
      </c>
      <c r="FB21" s="115">
        <f t="shared" si="213"/>
        <v>0</v>
      </c>
      <c r="FC21" s="115">
        <f t="shared" si="213"/>
        <v>0</v>
      </c>
      <c r="FD21" s="115">
        <f t="shared" si="213"/>
        <v>0</v>
      </c>
      <c r="FE21" s="115">
        <f t="shared" si="213"/>
        <v>0</v>
      </c>
      <c r="FF21" s="115">
        <f t="shared" si="213"/>
        <v>0</v>
      </c>
      <c r="FG21" s="115">
        <f t="shared" si="213"/>
        <v>0</v>
      </c>
      <c r="FH21" s="115">
        <f t="shared" si="213"/>
        <v>0</v>
      </c>
      <c r="FI21" s="115">
        <f t="shared" si="213"/>
        <v>0</v>
      </c>
      <c r="FJ21" s="115">
        <f t="shared" si="213"/>
        <v>0</v>
      </c>
      <c r="FK21" s="115">
        <f t="shared" si="213"/>
        <v>0</v>
      </c>
      <c r="FL21" s="115">
        <f t="shared" si="213"/>
        <v>0</v>
      </c>
      <c r="FM21" s="115">
        <f t="shared" si="213"/>
        <v>0</v>
      </c>
      <c r="FN21" s="115">
        <f t="shared" si="213"/>
        <v>0</v>
      </c>
      <c r="FO21" s="115">
        <f t="shared" si="213"/>
        <v>0</v>
      </c>
      <c r="FP21" s="115">
        <f t="shared" si="213"/>
        <v>0</v>
      </c>
      <c r="FQ21" s="115">
        <f t="shared" si="213"/>
        <v>0</v>
      </c>
      <c r="FR21" s="115">
        <f t="shared" si="213"/>
        <v>0</v>
      </c>
      <c r="FS21" s="115">
        <f t="shared" si="213"/>
        <v>0</v>
      </c>
      <c r="FT21" s="115">
        <f t="shared" si="213"/>
        <v>0</v>
      </c>
      <c r="FU21" s="115">
        <f t="shared" si="213"/>
        <v>0</v>
      </c>
      <c r="FV21" s="115">
        <f t="shared" si="213"/>
        <v>0</v>
      </c>
      <c r="FW21" s="115">
        <f t="shared" si="213"/>
        <v>0</v>
      </c>
      <c r="FX21" s="115">
        <f t="shared" si="213"/>
        <v>0</v>
      </c>
      <c r="FY21" s="115">
        <f t="shared" si="213"/>
        <v>0</v>
      </c>
      <c r="FZ21" s="115">
        <f t="shared" si="213"/>
        <v>0</v>
      </c>
      <c r="GA21" s="115">
        <f t="shared" si="213"/>
        <v>0</v>
      </c>
      <c r="GB21" s="115">
        <f t="shared" si="213"/>
        <v>0</v>
      </c>
      <c r="GC21" s="115">
        <f t="shared" si="213"/>
        <v>0</v>
      </c>
      <c r="GD21" s="115">
        <f t="shared" si="213"/>
        <v>0</v>
      </c>
      <c r="GE21" s="115">
        <f t="shared" si="213"/>
        <v>0</v>
      </c>
      <c r="GF21" s="115">
        <f t="shared" si="213"/>
        <v>0</v>
      </c>
      <c r="GG21" s="115">
        <f t="shared" si="213"/>
        <v>0</v>
      </c>
      <c r="GH21" s="115">
        <f t="shared" si="213"/>
        <v>0</v>
      </c>
      <c r="GI21" s="115">
        <f t="shared" si="213"/>
        <v>0</v>
      </c>
      <c r="GJ21" s="115">
        <f t="shared" si="213"/>
        <v>0</v>
      </c>
      <c r="GK21" s="115">
        <f t="shared" si="213"/>
        <v>0</v>
      </c>
      <c r="GL21" s="115">
        <f t="shared" si="213"/>
        <v>0</v>
      </c>
      <c r="GM21" s="115">
        <f t="shared" si="213"/>
        <v>0</v>
      </c>
      <c r="GN21" s="115">
        <f t="shared" si="213"/>
        <v>0</v>
      </c>
      <c r="GO21" s="115">
        <f t="shared" si="213"/>
        <v>0</v>
      </c>
      <c r="GP21" s="115">
        <f t="shared" si="213"/>
        <v>0</v>
      </c>
      <c r="GQ21" s="115">
        <f t="shared" ref="GQ21:IQ21" si="214">SUM(GQ16:GQ20)</f>
        <v>0</v>
      </c>
      <c r="GR21" s="115">
        <f t="shared" si="214"/>
        <v>0</v>
      </c>
      <c r="GS21" s="115">
        <f t="shared" si="214"/>
        <v>0</v>
      </c>
      <c r="GT21" s="115">
        <f t="shared" si="214"/>
        <v>0</v>
      </c>
      <c r="GU21" s="115">
        <f t="shared" si="214"/>
        <v>0</v>
      </c>
      <c r="GV21" s="115">
        <f t="shared" si="214"/>
        <v>0</v>
      </c>
      <c r="GW21" s="115">
        <f t="shared" si="214"/>
        <v>0</v>
      </c>
      <c r="GX21" s="115">
        <f t="shared" si="214"/>
        <v>0</v>
      </c>
      <c r="GY21" s="115">
        <f t="shared" si="214"/>
        <v>0</v>
      </c>
      <c r="GZ21" s="115">
        <f t="shared" si="214"/>
        <v>0</v>
      </c>
      <c r="HA21" s="115">
        <f t="shared" si="214"/>
        <v>0</v>
      </c>
      <c r="HB21" s="115">
        <f t="shared" si="214"/>
        <v>0</v>
      </c>
      <c r="HC21" s="115">
        <f t="shared" si="214"/>
        <v>0</v>
      </c>
      <c r="HD21" s="115">
        <f t="shared" si="214"/>
        <v>0</v>
      </c>
      <c r="HE21" s="115">
        <f t="shared" si="214"/>
        <v>0</v>
      </c>
      <c r="HF21" s="115">
        <f t="shared" si="214"/>
        <v>0</v>
      </c>
      <c r="HG21" s="115">
        <f t="shared" si="214"/>
        <v>0</v>
      </c>
      <c r="HH21" s="115">
        <f t="shared" si="214"/>
        <v>0</v>
      </c>
      <c r="HI21" s="115">
        <f t="shared" si="214"/>
        <v>0</v>
      </c>
      <c r="HJ21" s="115">
        <f t="shared" si="214"/>
        <v>0</v>
      </c>
      <c r="HK21" s="115">
        <f t="shared" si="214"/>
        <v>0</v>
      </c>
      <c r="HL21" s="115">
        <f t="shared" si="214"/>
        <v>0</v>
      </c>
      <c r="HM21" s="115">
        <f t="shared" si="214"/>
        <v>0</v>
      </c>
      <c r="HN21" s="115">
        <f t="shared" si="214"/>
        <v>0</v>
      </c>
      <c r="HO21" s="115">
        <f t="shared" si="214"/>
        <v>0</v>
      </c>
      <c r="HP21" s="115">
        <f t="shared" si="214"/>
        <v>0</v>
      </c>
      <c r="HQ21" s="115">
        <f t="shared" si="214"/>
        <v>0</v>
      </c>
      <c r="HR21" s="115">
        <f t="shared" si="214"/>
        <v>0</v>
      </c>
      <c r="HS21" s="115">
        <f t="shared" si="214"/>
        <v>0</v>
      </c>
      <c r="HT21" s="115">
        <f t="shared" si="214"/>
        <v>0</v>
      </c>
      <c r="HU21" s="115">
        <f t="shared" si="214"/>
        <v>0</v>
      </c>
      <c r="HV21" s="115">
        <f t="shared" si="214"/>
        <v>0</v>
      </c>
      <c r="HW21" s="115">
        <f t="shared" si="214"/>
        <v>0</v>
      </c>
      <c r="HX21" s="115">
        <f t="shared" si="214"/>
        <v>0</v>
      </c>
      <c r="HY21" s="115">
        <f t="shared" si="214"/>
        <v>0</v>
      </c>
      <c r="HZ21" s="115">
        <f t="shared" si="214"/>
        <v>0</v>
      </c>
      <c r="IA21" s="115">
        <f t="shared" si="214"/>
        <v>0</v>
      </c>
      <c r="IB21" s="115">
        <f t="shared" si="214"/>
        <v>0</v>
      </c>
      <c r="IC21" s="115">
        <f t="shared" si="214"/>
        <v>0</v>
      </c>
      <c r="ID21" s="115">
        <f t="shared" si="214"/>
        <v>0</v>
      </c>
      <c r="IE21" s="115">
        <f t="shared" si="214"/>
        <v>0</v>
      </c>
      <c r="IF21" s="115">
        <f t="shared" si="214"/>
        <v>0</v>
      </c>
      <c r="IG21" s="115">
        <f t="shared" si="214"/>
        <v>0</v>
      </c>
      <c r="IH21" s="115">
        <f t="shared" si="214"/>
        <v>0</v>
      </c>
      <c r="II21" s="115">
        <f t="shared" si="214"/>
        <v>0</v>
      </c>
      <c r="IJ21" s="115">
        <f t="shared" si="214"/>
        <v>0</v>
      </c>
      <c r="IK21" s="115">
        <f t="shared" si="214"/>
        <v>0</v>
      </c>
      <c r="IL21" s="115">
        <f t="shared" si="214"/>
        <v>0</v>
      </c>
      <c r="IM21" s="115">
        <f t="shared" si="214"/>
        <v>0</v>
      </c>
      <c r="IN21" s="115">
        <f t="shared" si="214"/>
        <v>0</v>
      </c>
      <c r="IO21" s="115">
        <f t="shared" si="214"/>
        <v>0</v>
      </c>
      <c r="IP21" s="115">
        <f t="shared" si="214"/>
        <v>0</v>
      </c>
      <c r="IQ21" s="115">
        <f t="shared" si="214"/>
        <v>0</v>
      </c>
      <c r="IR21" s="115">
        <f t="shared" ref="IR21:KB21" si="215">SUM(IR16:IR20)</f>
        <v>0</v>
      </c>
      <c r="IS21" s="115">
        <f t="shared" si="215"/>
        <v>0</v>
      </c>
      <c r="IT21" s="115">
        <f t="shared" si="215"/>
        <v>0</v>
      </c>
      <c r="IU21" s="115">
        <f t="shared" si="215"/>
        <v>0</v>
      </c>
      <c r="IV21" s="115">
        <f t="shared" si="215"/>
        <v>0</v>
      </c>
      <c r="IW21" s="115">
        <f t="shared" si="215"/>
        <v>0</v>
      </c>
      <c r="IX21" s="115">
        <f t="shared" si="215"/>
        <v>0</v>
      </c>
      <c r="IY21" s="115">
        <f t="shared" si="215"/>
        <v>0</v>
      </c>
      <c r="IZ21" s="115">
        <f t="shared" si="215"/>
        <v>0</v>
      </c>
      <c r="JA21" s="115">
        <f t="shared" si="215"/>
        <v>0</v>
      </c>
      <c r="JB21" s="115">
        <f t="shared" si="215"/>
        <v>0</v>
      </c>
      <c r="JC21" s="115">
        <f t="shared" si="215"/>
        <v>4</v>
      </c>
      <c r="JD21" s="115">
        <f t="shared" si="215"/>
        <v>1</v>
      </c>
      <c r="JE21" s="115">
        <f t="shared" si="215"/>
        <v>0</v>
      </c>
      <c r="JF21" s="115">
        <f t="shared" si="215"/>
        <v>0</v>
      </c>
      <c r="JG21" s="115">
        <f t="shared" si="215"/>
        <v>0</v>
      </c>
      <c r="JH21" s="115">
        <f t="shared" si="215"/>
        <v>0</v>
      </c>
      <c r="JI21" s="115">
        <f t="shared" si="215"/>
        <v>0</v>
      </c>
      <c r="JJ21" s="115">
        <f t="shared" si="215"/>
        <v>0</v>
      </c>
      <c r="JK21" s="115">
        <f t="shared" si="215"/>
        <v>0</v>
      </c>
      <c r="JL21" s="115">
        <f t="shared" si="215"/>
        <v>0</v>
      </c>
      <c r="JM21" s="115">
        <f t="shared" si="215"/>
        <v>4</v>
      </c>
      <c r="JN21" s="115">
        <f t="shared" si="215"/>
        <v>1</v>
      </c>
      <c r="JO21" s="115">
        <f t="shared" si="215"/>
        <v>5</v>
      </c>
      <c r="JP21" s="115">
        <f t="shared" si="215"/>
        <v>4</v>
      </c>
      <c r="JQ21" s="115">
        <f t="shared" si="215"/>
        <v>1</v>
      </c>
      <c r="JR21" s="115">
        <f t="shared" si="215"/>
        <v>0</v>
      </c>
      <c r="JS21" s="115">
        <f t="shared" si="215"/>
        <v>0</v>
      </c>
      <c r="JT21" s="115">
        <f t="shared" si="215"/>
        <v>0</v>
      </c>
      <c r="JU21" s="115">
        <f t="shared" si="215"/>
        <v>0</v>
      </c>
      <c r="JV21" s="115">
        <f t="shared" si="215"/>
        <v>0</v>
      </c>
      <c r="JW21" s="115">
        <f t="shared" si="215"/>
        <v>0</v>
      </c>
      <c r="JX21" s="115">
        <f t="shared" si="215"/>
        <v>0</v>
      </c>
      <c r="JY21" s="115">
        <f t="shared" si="215"/>
        <v>0</v>
      </c>
      <c r="JZ21" s="115">
        <f t="shared" si="215"/>
        <v>4</v>
      </c>
      <c r="KA21" s="115">
        <f t="shared" si="215"/>
        <v>1</v>
      </c>
      <c r="KB21" s="115">
        <f t="shared" si="215"/>
        <v>5</v>
      </c>
      <c r="KC21" s="115">
        <f t="shared" ref="KC21:KQ21" si="216">SUM(KC16:KC20)</f>
        <v>4</v>
      </c>
      <c r="KD21" s="115">
        <f t="shared" si="216"/>
        <v>0</v>
      </c>
      <c r="KE21" s="115">
        <f t="shared" si="216"/>
        <v>0</v>
      </c>
      <c r="KF21" s="115">
        <f t="shared" si="216"/>
        <v>4</v>
      </c>
      <c r="KG21" s="115">
        <f t="shared" si="216"/>
        <v>0</v>
      </c>
      <c r="KH21" s="115">
        <f t="shared" si="216"/>
        <v>0</v>
      </c>
      <c r="KI21" s="115">
        <f t="shared" si="216"/>
        <v>0</v>
      </c>
      <c r="KJ21" s="115">
        <f t="shared" si="216"/>
        <v>3</v>
      </c>
      <c r="KK21" s="115">
        <f t="shared" si="216"/>
        <v>1</v>
      </c>
      <c r="KL21" s="115">
        <f t="shared" si="216"/>
        <v>0</v>
      </c>
      <c r="KM21" s="115">
        <f t="shared" si="216"/>
        <v>54</v>
      </c>
      <c r="KN21" s="115">
        <f t="shared" si="216"/>
        <v>53</v>
      </c>
      <c r="KO21" s="115">
        <f t="shared" si="216"/>
        <v>107</v>
      </c>
      <c r="KP21" s="115">
        <f t="shared" si="216"/>
        <v>0</v>
      </c>
      <c r="KQ21" s="115">
        <f t="shared" si="216"/>
        <v>4</v>
      </c>
      <c r="KR21" s="115">
        <f t="shared" ref="KR21:MO21" si="217">SUM(KR16:KR20)</f>
        <v>0</v>
      </c>
      <c r="KS21" s="115">
        <f t="shared" si="217"/>
        <v>4</v>
      </c>
      <c r="KT21" s="115">
        <f t="shared" si="217"/>
        <v>0</v>
      </c>
      <c r="KU21" s="115">
        <f t="shared" si="217"/>
        <v>0</v>
      </c>
      <c r="KV21" s="115">
        <f t="shared" si="217"/>
        <v>4</v>
      </c>
      <c r="KW21" s="115">
        <f t="shared" si="217"/>
        <v>0</v>
      </c>
      <c r="KX21" s="115">
        <f t="shared" si="217"/>
        <v>0</v>
      </c>
      <c r="KY21" s="115">
        <f t="shared" si="217"/>
        <v>4</v>
      </c>
      <c r="KZ21" s="115">
        <f t="shared" si="217"/>
        <v>0</v>
      </c>
      <c r="LA21" s="115">
        <f t="shared" si="217"/>
        <v>0</v>
      </c>
      <c r="LB21" s="115">
        <f t="shared" si="217"/>
        <v>0</v>
      </c>
      <c r="LC21" s="115">
        <f t="shared" si="217"/>
        <v>0</v>
      </c>
      <c r="LD21" s="115">
        <f t="shared" si="217"/>
        <v>0</v>
      </c>
      <c r="LE21" s="115">
        <f t="shared" si="217"/>
        <v>4</v>
      </c>
      <c r="LF21" s="115">
        <f t="shared" si="217"/>
        <v>0</v>
      </c>
      <c r="LG21" s="115">
        <f t="shared" si="217"/>
        <v>4</v>
      </c>
      <c r="LH21" s="115">
        <f t="shared" si="217"/>
        <v>0</v>
      </c>
      <c r="LI21" s="115">
        <f t="shared" si="217"/>
        <v>4</v>
      </c>
      <c r="LJ21" s="115">
        <f t="shared" si="217"/>
        <v>0</v>
      </c>
      <c r="LK21" s="115">
        <f t="shared" si="217"/>
        <v>4</v>
      </c>
      <c r="LL21" s="115">
        <f t="shared" si="217"/>
        <v>0</v>
      </c>
      <c r="LM21" s="115">
        <f t="shared" si="217"/>
        <v>5</v>
      </c>
      <c r="LN21" s="115">
        <f t="shared" si="217"/>
        <v>0</v>
      </c>
      <c r="LO21" s="115">
        <f t="shared" si="217"/>
        <v>0</v>
      </c>
      <c r="LP21" s="115">
        <f t="shared" si="217"/>
        <v>0</v>
      </c>
      <c r="LQ21" s="115">
        <f t="shared" si="217"/>
        <v>5</v>
      </c>
      <c r="LR21" s="115">
        <f t="shared" si="217"/>
        <v>0</v>
      </c>
      <c r="LS21" s="115">
        <f t="shared" si="217"/>
        <v>0</v>
      </c>
      <c r="LT21" s="115">
        <f t="shared" si="217"/>
        <v>4</v>
      </c>
      <c r="LU21" s="115">
        <f t="shared" si="217"/>
        <v>1</v>
      </c>
      <c r="LV21" s="115">
        <f t="shared" si="217"/>
        <v>0</v>
      </c>
      <c r="LW21" s="115">
        <f t="shared" si="217"/>
        <v>3802</v>
      </c>
      <c r="LX21" s="115">
        <f t="shared" si="217"/>
        <v>640</v>
      </c>
      <c r="LY21" s="115">
        <f t="shared" si="217"/>
        <v>4442</v>
      </c>
      <c r="LZ21" s="115">
        <f t="shared" si="217"/>
        <v>5</v>
      </c>
      <c r="MA21" s="115">
        <f t="shared" si="217"/>
        <v>0</v>
      </c>
      <c r="MB21" s="115">
        <f t="shared" si="217"/>
        <v>0</v>
      </c>
      <c r="MC21" s="115">
        <f t="shared" si="217"/>
        <v>5</v>
      </c>
      <c r="MD21" s="115">
        <f t="shared" si="217"/>
        <v>5</v>
      </c>
      <c r="ME21" s="115">
        <f t="shared" si="217"/>
        <v>0</v>
      </c>
      <c r="MF21" s="115">
        <f t="shared" si="217"/>
        <v>5</v>
      </c>
      <c r="MG21" s="115">
        <f t="shared" si="217"/>
        <v>0</v>
      </c>
      <c r="MH21" s="115">
        <f t="shared" si="217"/>
        <v>5</v>
      </c>
      <c r="MI21" s="115">
        <f t="shared" si="217"/>
        <v>0</v>
      </c>
      <c r="MJ21" s="115">
        <f t="shared" si="217"/>
        <v>0</v>
      </c>
      <c r="MK21" s="115">
        <f t="shared" si="217"/>
        <v>5</v>
      </c>
      <c r="ML21" s="115">
        <f t="shared" si="217"/>
        <v>0</v>
      </c>
      <c r="MM21" s="115">
        <f t="shared" si="217"/>
        <v>5</v>
      </c>
      <c r="MN21" s="115">
        <f t="shared" si="217"/>
        <v>4</v>
      </c>
      <c r="MO21" s="115">
        <f t="shared" si="217"/>
        <v>1</v>
      </c>
    </row>
    <row r="22" spans="1:353" s="49" customFormat="1" ht="21" customHeight="1" thickBot="1" x14ac:dyDescent="0.25">
      <c r="A22" s="36" t="s">
        <v>112</v>
      </c>
      <c r="B22" s="36" t="s">
        <v>354</v>
      </c>
      <c r="C22" s="36">
        <v>15</v>
      </c>
      <c r="D22" s="36">
        <v>1400327</v>
      </c>
      <c r="E22" s="36" t="s">
        <v>356</v>
      </c>
      <c r="F22" s="36"/>
      <c r="G22" s="36">
        <v>1</v>
      </c>
      <c r="H22" s="36"/>
      <c r="I22" s="36"/>
      <c r="J22" s="36">
        <v>1</v>
      </c>
      <c r="K22" s="36"/>
      <c r="L22" s="36">
        <v>1</v>
      </c>
      <c r="M22" s="36">
        <v>1</v>
      </c>
      <c r="N22" s="36"/>
      <c r="O22" s="36"/>
      <c r="P22" s="36">
        <v>1</v>
      </c>
      <c r="Q22" s="36"/>
      <c r="R22" s="36">
        <v>1</v>
      </c>
      <c r="S22" s="36"/>
      <c r="T22" s="36"/>
      <c r="U22" s="36"/>
      <c r="V22" s="36"/>
      <c r="W22" s="36">
        <v>1</v>
      </c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>
        <f t="shared" ref="AJ22:AJ23" si="218">AH22+AF22+AD22+AB22+Z22+X22</f>
        <v>0</v>
      </c>
      <c r="AK22" s="36">
        <f t="shared" ref="AK22:AK23" si="219">AI22+AG22+AE22+AC22+AA22+Y22</f>
        <v>0</v>
      </c>
      <c r="AL22" s="37">
        <f t="shared" ref="AL22:AL23" si="220">SUM(AJ22:AK22)</f>
        <v>0</v>
      </c>
      <c r="AM22" s="38"/>
      <c r="AN22" s="39"/>
      <c r="AO22" s="39"/>
      <c r="AP22" s="39"/>
      <c r="AQ22" s="39"/>
      <c r="AR22" s="39"/>
      <c r="AS22" s="39"/>
      <c r="AT22" s="39"/>
      <c r="AU22" s="39"/>
      <c r="AV22" s="39"/>
      <c r="AW22" s="39">
        <f t="shared" ref="AW22:AW23" si="221">AU22+AS22+AQ22+AO22+AM22</f>
        <v>0</v>
      </c>
      <c r="AX22" s="39">
        <f t="shared" ref="AX22:AX23" si="222">AV22+AT22+AR22+AP22+AN22</f>
        <v>0</v>
      </c>
      <c r="AY22" s="40">
        <f t="shared" ref="AY22:AY23" si="223">SUM(AW22:AX22)</f>
        <v>0</v>
      </c>
      <c r="AZ22" s="38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>
        <f t="shared" ref="BL22:BL23" si="224">BJ22+BH22+BF22+BD22+BB22+AZ22</f>
        <v>0</v>
      </c>
      <c r="BM22" s="39">
        <f t="shared" ref="BM22:BM23" si="225">BK22+BI22+BG22+BE22+BC22+BA22</f>
        <v>0</v>
      </c>
      <c r="BN22" s="39">
        <f t="shared" ref="BN22:BN23" si="226">SUM(BL22:BM22)</f>
        <v>0</v>
      </c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>
        <f t="shared" ref="BY22:BY23" si="227">BW22+BU22+BS22+BQ22+BO22</f>
        <v>0</v>
      </c>
      <c r="BZ22" s="39">
        <f t="shared" ref="BZ22:BZ23" si="228">BX22+BV22+BT22+BR22+BP22</f>
        <v>0</v>
      </c>
      <c r="CA22" s="39">
        <f t="shared" ref="CA22:CA23" si="229">SUM(BY22:BZ22)</f>
        <v>0</v>
      </c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>
        <f t="shared" ref="CL22:CL23" si="230">CJ22+CH22+CF22+CD22+CB22</f>
        <v>0</v>
      </c>
      <c r="CM22" s="39">
        <f t="shared" ref="CM22:CM23" si="231">CK22+CI22+CG22+CE22+CC22</f>
        <v>0</v>
      </c>
      <c r="CN22" s="39">
        <f t="shared" ref="CN22:CN23" si="232">SUM(CL22:CM22)</f>
        <v>0</v>
      </c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>
        <f>CW22+CU22+CS22+CQ22+CO22</f>
        <v>0</v>
      </c>
      <c r="CZ22" s="39">
        <f t="shared" ref="CZ22" si="233">CX22+CV22+CT22+CR22+CP22</f>
        <v>0</v>
      </c>
      <c r="DA22" s="39">
        <f>SUM(CY22:CZ22)</f>
        <v>0</v>
      </c>
      <c r="DB22" s="41"/>
      <c r="DC22" s="42"/>
      <c r="DD22" s="42"/>
      <c r="DE22" s="42"/>
      <c r="DF22" s="42"/>
      <c r="DG22" s="42"/>
      <c r="DH22" s="42"/>
      <c r="DI22" s="42"/>
      <c r="DJ22" s="42"/>
      <c r="DK22" s="42"/>
      <c r="DL22" s="39">
        <f t="shared" ref="DL22:DL23" si="234">DJ22+DH22+DF22+DD22+DB22</f>
        <v>0</v>
      </c>
      <c r="DM22" s="39">
        <f t="shared" ref="DM22:DM23" si="235">DK22+DI22+DG22+DE22+DC22</f>
        <v>0</v>
      </c>
      <c r="DN22" s="39">
        <f t="shared" ref="DN22:DN23" si="236">SUM(DL22:DM22)</f>
        <v>0</v>
      </c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39">
        <f t="shared" ref="DY22:DY23" si="237">DW22+DU22+DS22+DQ22+DO22</f>
        <v>0</v>
      </c>
      <c r="DZ22" s="39">
        <f t="shared" ref="DZ22:DZ23" si="238">DX22+DV22+DT22+DR22+DP22</f>
        <v>0</v>
      </c>
      <c r="EA22" s="39">
        <f t="shared" ref="EA22:EA23" si="239">SUM(DY22:DZ22)</f>
        <v>0</v>
      </c>
      <c r="EB22" s="42">
        <f t="shared" ref="EB22" si="240">AZ22</f>
        <v>0</v>
      </c>
      <c r="EC22" s="42">
        <f t="shared" ref="EC22" si="241">BA22</f>
        <v>0</v>
      </c>
      <c r="ED22" s="42">
        <f t="shared" ref="ED22" si="242">BB22</f>
        <v>0</v>
      </c>
      <c r="EE22" s="42">
        <f t="shared" ref="EE22" si="243">BC22</f>
        <v>0</v>
      </c>
      <c r="EF22" s="42">
        <f t="shared" ref="EF22" si="244">BO22+BD22</f>
        <v>0</v>
      </c>
      <c r="EG22" s="42">
        <f t="shared" ref="EG22" si="245">BP22+BE22</f>
        <v>0</v>
      </c>
      <c r="EH22" s="42">
        <f t="shared" ref="EH22" si="246">CB22+BQ22+BF22</f>
        <v>0</v>
      </c>
      <c r="EI22" s="42">
        <f t="shared" ref="EI22" si="247">CC22+BR22+BG22</f>
        <v>0</v>
      </c>
      <c r="EJ22" s="42">
        <f t="shared" ref="EJ22" si="248">CO22+CD22+BS22+BH22</f>
        <v>0</v>
      </c>
      <c r="EK22" s="42">
        <f t="shared" ref="EK22" si="249">CP22+CE22+BT22+BI22</f>
        <v>0</v>
      </c>
      <c r="EL22" s="42">
        <f t="shared" ref="EL22" si="250">DB22+CQ22+CF22+BU22+BJ22</f>
        <v>0</v>
      </c>
      <c r="EM22" s="42">
        <f t="shared" ref="EM22" si="251">DC22+CR22+CG22+BV22+BK22</f>
        <v>0</v>
      </c>
      <c r="EN22" s="42">
        <f t="shared" ref="EN22" si="252">DO22+DD22+CS22+CH22+BW22</f>
        <v>0</v>
      </c>
      <c r="EO22" s="42">
        <f t="shared" ref="EO22" si="253">DP22+DE22+CT22+CI22+BX22</f>
        <v>0</v>
      </c>
      <c r="EP22" s="42">
        <f t="shared" ref="EP22" si="254">DQ22+DF22+CU22+CJ22</f>
        <v>0</v>
      </c>
      <c r="EQ22" s="42">
        <f t="shared" ref="EQ22" si="255">DR22+DG22+CV22+CK22</f>
        <v>0</v>
      </c>
      <c r="ER22" s="42">
        <f t="shared" ref="ER22" si="256">DS22+DH22+CW22</f>
        <v>0</v>
      </c>
      <c r="ES22" s="42">
        <f t="shared" ref="ES22" si="257">DT22+DI22+CX22</f>
        <v>0</v>
      </c>
      <c r="ET22" s="42">
        <f t="shared" ref="ET22" si="258">DU22+DJ22</f>
        <v>0</v>
      </c>
      <c r="EU22" s="42">
        <f t="shared" ref="EU22" si="259">DV22+DK22</f>
        <v>0</v>
      </c>
      <c r="EV22" s="42">
        <f t="shared" ref="EV22" si="260">DW22</f>
        <v>0</v>
      </c>
      <c r="EW22" s="42">
        <f t="shared" ref="EW22" si="261">DX22</f>
        <v>0</v>
      </c>
      <c r="EX22" s="42">
        <f t="shared" ref="EX22" si="262">EV22+ET22+ER22+EP22+EN22+EL22+EJ22+EH22+EF22+ED22+EB22</f>
        <v>0</v>
      </c>
      <c r="EY22" s="42">
        <f t="shared" ref="EY22" si="263">EW22+EU22+ES22+EQ22+EO22+EM22+EK22+EI22+EG22+EE22+EC22</f>
        <v>0</v>
      </c>
      <c r="EZ22" s="43">
        <f>SUM(EX22:EY22)</f>
        <v>0</v>
      </c>
      <c r="FA22" s="44"/>
      <c r="FB22" s="42"/>
      <c r="FC22" s="42"/>
      <c r="FD22" s="42"/>
      <c r="FE22" s="42"/>
      <c r="FF22" s="42"/>
      <c r="FG22" s="42"/>
      <c r="FH22" s="42"/>
      <c r="FI22" s="42"/>
      <c r="FJ22" s="42"/>
      <c r="FK22" s="42">
        <f t="shared" ref="FK22:FK23" si="264">FI22+FG22+FE22+FC22+FA22</f>
        <v>0</v>
      </c>
      <c r="FL22" s="42">
        <f t="shared" ref="FL22:FL23" si="265">FJ22+FH22+FF22+FD22+FB22</f>
        <v>0</v>
      </c>
      <c r="FM22" s="42">
        <f t="shared" ref="FM22:FM23" si="266">SUM(FK22:FL22)</f>
        <v>0</v>
      </c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2">
        <f t="shared" ref="FX22:FX23" si="267">FV22+FT22+FR22+FP22+FN22</f>
        <v>0</v>
      </c>
      <c r="FY22" s="42">
        <f t="shared" ref="FY22:FY23" si="268">FW22+FU22+FS22+FQ22+FO22</f>
        <v>0</v>
      </c>
      <c r="FZ22" s="42">
        <f t="shared" ref="FZ22:FZ23" si="269">SUM(FX22:FY22)</f>
        <v>0</v>
      </c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>
        <f t="shared" ref="GK22:GK23" si="270">GI22+GG22+GE22+GC22+GA22</f>
        <v>0</v>
      </c>
      <c r="GL22" s="42">
        <f t="shared" ref="GL22:GL23" si="271">GJ22+GH22+GF22+GD22+GB22</f>
        <v>0</v>
      </c>
      <c r="GM22" s="42">
        <f t="shared" ref="GM22:GM23" si="272">SUM(GK22:GL22)</f>
        <v>0</v>
      </c>
      <c r="GN22" s="42">
        <f t="shared" ref="GN22:GN23" si="273">FA22</f>
        <v>0</v>
      </c>
      <c r="GO22" s="42">
        <f t="shared" ref="GO22:GO23" si="274">FB22</f>
        <v>0</v>
      </c>
      <c r="GP22" s="42">
        <f t="shared" ref="GP22:GP23" si="275">FN22+FC22</f>
        <v>0</v>
      </c>
      <c r="GQ22" s="42">
        <f t="shared" ref="GQ22:GQ23" si="276">FO22+FD22</f>
        <v>0</v>
      </c>
      <c r="GR22" s="42">
        <f t="shared" ref="GR22:GR23" si="277">GA22+FP22+FE22</f>
        <v>0</v>
      </c>
      <c r="GS22" s="42">
        <f t="shared" ref="GS22:GS23" si="278">GB22+FQ22+FF22</f>
        <v>0</v>
      </c>
      <c r="GT22" s="42">
        <f t="shared" ref="GT22:GT23" si="279">GC22+FR22+FG22</f>
        <v>0</v>
      </c>
      <c r="GU22" s="42">
        <f t="shared" ref="GU22:GU23" si="280">GD22+FS22+FH22</f>
        <v>0</v>
      </c>
      <c r="GV22" s="42">
        <f t="shared" ref="GV22:GV23" si="281">GE22+FT22+FI22</f>
        <v>0</v>
      </c>
      <c r="GW22" s="42">
        <f t="shared" ref="GW22:GW23" si="282">GF22+FU22+FJ22</f>
        <v>0</v>
      </c>
      <c r="GX22" s="42">
        <f t="shared" ref="GX22:GX23" si="283">GG22+FV22</f>
        <v>0</v>
      </c>
      <c r="GY22" s="42">
        <f t="shared" ref="GY22:GY23" si="284">GH22+FW22</f>
        <v>0</v>
      </c>
      <c r="GZ22" s="42">
        <f t="shared" ref="GZ22:GZ23" si="285">GI22</f>
        <v>0</v>
      </c>
      <c r="HA22" s="42">
        <f t="shared" ref="HA22:HA23" si="286">GJ22</f>
        <v>0</v>
      </c>
      <c r="HB22" s="42">
        <f t="shared" ref="HB22:HB23" si="287">GZ22+GX22+GV22+GT22+GR22+GP22+GN22</f>
        <v>0</v>
      </c>
      <c r="HC22" s="42">
        <f t="shared" ref="HC22:HC23" si="288">HA22+GY22+GW22+GU22+GS22+GQ22+GO22</f>
        <v>0</v>
      </c>
      <c r="HD22" s="42">
        <f t="shared" ref="HD22:HD23" si="289">SUM(HB22:HC22)</f>
        <v>0</v>
      </c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>
        <f t="shared" ref="HW22:HW23" si="290">HT22+HQ22+HN22+HK22+HH22+HE22</f>
        <v>0</v>
      </c>
      <c r="HX22" s="39">
        <f t="shared" ref="HX22:HX23" si="291">HU22+HR22+HO22+HL22+HI22+HF22</f>
        <v>0</v>
      </c>
      <c r="HY22" s="39">
        <f t="shared" ref="HY22:HY23" si="292">HV22+HS22+HP22+HM22+HJ22+HG22</f>
        <v>0</v>
      </c>
      <c r="HZ22" s="39">
        <f t="shared" ref="HZ22:HZ23" si="293">SUM(HW22:HY22)</f>
        <v>0</v>
      </c>
      <c r="IA22" s="39"/>
      <c r="IB22" s="39"/>
      <c r="IC22" s="39"/>
      <c r="ID22" s="39"/>
      <c r="IE22" s="39"/>
      <c r="IF22" s="39"/>
      <c r="IG22" s="39"/>
      <c r="IH22" s="39"/>
      <c r="II22" s="39"/>
      <c r="IJ22" s="39">
        <f t="shared" ref="IJ22:IJ23" si="294">IG22+ID22+IA22</f>
        <v>0</v>
      </c>
      <c r="IK22" s="39">
        <f t="shared" ref="IK22:IK23" si="295">IH22+IE22+IB22</f>
        <v>0</v>
      </c>
      <c r="IL22" s="39">
        <f t="shared" ref="IL22:IL23" si="296">II22+IF22+IC22</f>
        <v>0</v>
      </c>
      <c r="IM22" s="45">
        <f t="shared" ref="IM22:IM23" si="297">SUM(IJ22:IL22)</f>
        <v>0</v>
      </c>
      <c r="IN22" s="39">
        <f t="shared" ref="IN22:IN23" si="298">IJ22+HW22</f>
        <v>0</v>
      </c>
      <c r="IO22" s="39">
        <f t="shared" ref="IO22:IO23" si="299">IK22+HX22</f>
        <v>0</v>
      </c>
      <c r="IP22" s="39">
        <f t="shared" ref="IP22:IP23" si="300">IL22+HY22</f>
        <v>0</v>
      </c>
      <c r="IQ22" s="39">
        <f t="shared" ref="IQ22:IQ23" si="301">IM22+HZ22</f>
        <v>0</v>
      </c>
      <c r="IR22" s="46">
        <v>1</v>
      </c>
      <c r="IS22" s="46"/>
      <c r="IT22" s="46"/>
      <c r="IU22" s="46"/>
      <c r="IV22" s="46"/>
      <c r="IW22" s="46"/>
      <c r="IX22" s="46"/>
      <c r="IY22" s="46"/>
      <c r="IZ22" s="162">
        <f t="shared" ref="IZ22:IZ23" si="302">IX22+IV22+IT22+IR22</f>
        <v>1</v>
      </c>
      <c r="JA22" s="162">
        <f t="shared" ref="JA22:JA23" si="303">IY22+IW22+IU22+IS22</f>
        <v>0</v>
      </c>
      <c r="JB22" s="162">
        <f t="shared" ref="JB22:JB23" si="304">SUM(IZ22:JA22)</f>
        <v>1</v>
      </c>
      <c r="JC22" s="46"/>
      <c r="JD22" s="46"/>
      <c r="JE22" s="46"/>
      <c r="JF22" s="46"/>
      <c r="JG22" s="46"/>
      <c r="JH22" s="46"/>
      <c r="JI22" s="46"/>
      <c r="JJ22" s="46"/>
      <c r="JK22" s="46"/>
      <c r="JL22" s="46"/>
      <c r="JM22" s="162">
        <f t="shared" ref="JM22:JM23" si="305">JK22+JG22+JE22+JC22+JI22</f>
        <v>0</v>
      </c>
      <c r="JN22" s="162">
        <f t="shared" ref="JN22:JN23" si="306">JL22+JH22+JF22+JD22+JJ22</f>
        <v>0</v>
      </c>
      <c r="JO22" s="162">
        <f t="shared" ref="JO22:JO23" si="307">SUM(JM22:JN22)</f>
        <v>0</v>
      </c>
      <c r="JP22" s="48">
        <f t="shared" ref="JP22:JP23" si="308">JC22+IR22</f>
        <v>1</v>
      </c>
      <c r="JQ22" s="48">
        <f t="shared" ref="JQ22:JQ23" si="309">JD22+IS22</f>
        <v>0</v>
      </c>
      <c r="JR22" s="48">
        <f t="shared" ref="JR22:JR23" si="310">JE22+IT22</f>
        <v>0</v>
      </c>
      <c r="JS22" s="48">
        <f t="shared" ref="JS22:JS23" si="311">JF22+IU22</f>
        <v>0</v>
      </c>
      <c r="JT22" s="48">
        <f t="shared" ref="JT22:JT23" si="312">JG22</f>
        <v>0</v>
      </c>
      <c r="JU22" s="48">
        <f t="shared" ref="JU22:JU23" si="313">JH22</f>
        <v>0</v>
      </c>
      <c r="JV22" s="48">
        <f t="shared" ref="JV22:JV23" si="314">IV22+JI22</f>
        <v>0</v>
      </c>
      <c r="JW22" s="48">
        <f t="shared" ref="JW22:JW23" si="315">IW22+JJ22</f>
        <v>0</v>
      </c>
      <c r="JX22" s="48">
        <f t="shared" ref="JX22:JX23" si="316">JK22+IX22</f>
        <v>0</v>
      </c>
      <c r="JY22" s="48">
        <f t="shared" ref="JY22:JY23" si="317">JL22+IY22</f>
        <v>0</v>
      </c>
      <c r="JZ22" s="48">
        <f t="shared" ref="JZ22:JZ23" si="318">JX22+JV22+JT22+JR22+JP22</f>
        <v>1</v>
      </c>
      <c r="KA22" s="48">
        <f t="shared" ref="KA22:KA23" si="319">JY22+JW22+JU22+JS22+JQ22</f>
        <v>0</v>
      </c>
      <c r="KB22" s="48">
        <f t="shared" ref="KB22:KB23" si="320">SUM(JZ22:KA22)</f>
        <v>1</v>
      </c>
      <c r="KC22" s="48">
        <v>1</v>
      </c>
      <c r="KD22" s="48"/>
      <c r="KE22" s="48"/>
      <c r="KF22" s="48">
        <v>1</v>
      </c>
      <c r="KG22" s="48"/>
      <c r="KH22" s="48"/>
      <c r="KI22" s="48"/>
      <c r="KJ22" s="48"/>
      <c r="KK22" s="48">
        <v>1</v>
      </c>
      <c r="KL22" s="48"/>
      <c r="KM22" s="48">
        <v>18</v>
      </c>
      <c r="KN22" s="48">
        <v>4</v>
      </c>
      <c r="KO22" s="48">
        <f t="shared" ref="KO22:KO23" si="321">SUM(KM22:KN22)</f>
        <v>22</v>
      </c>
      <c r="KP22" s="113"/>
      <c r="KQ22" s="113">
        <v>1</v>
      </c>
      <c r="KR22" s="48"/>
      <c r="KS22" s="48">
        <v>1</v>
      </c>
      <c r="KT22" s="48"/>
      <c r="KU22" s="48"/>
      <c r="KV22" s="48">
        <v>1</v>
      </c>
      <c r="KW22" s="113"/>
      <c r="KX22" s="48"/>
      <c r="KY22" s="113">
        <v>1</v>
      </c>
      <c r="KZ22" s="48"/>
      <c r="LA22" s="48"/>
      <c r="LB22" s="48"/>
      <c r="LC22" s="48"/>
      <c r="LD22" s="48"/>
      <c r="LE22" s="48">
        <v>1</v>
      </c>
      <c r="LF22" s="48"/>
      <c r="LG22" s="48">
        <v>1</v>
      </c>
      <c r="LH22" s="48"/>
      <c r="LI22" s="48">
        <v>1</v>
      </c>
      <c r="LJ22" s="48"/>
      <c r="LK22" s="48">
        <v>1</v>
      </c>
      <c r="LL22" s="48"/>
      <c r="LM22" s="48">
        <v>1</v>
      </c>
      <c r="LN22" s="48"/>
      <c r="LO22" s="48"/>
      <c r="LP22" s="48"/>
      <c r="LQ22" s="113">
        <v>1</v>
      </c>
      <c r="LR22" s="113"/>
      <c r="LS22" s="113"/>
      <c r="LT22" s="113">
        <v>1</v>
      </c>
      <c r="LU22" s="48"/>
      <c r="LV22" s="48"/>
      <c r="LW22" s="48">
        <v>5</v>
      </c>
      <c r="LX22" s="113">
        <v>50</v>
      </c>
      <c r="LY22" s="113">
        <f t="shared" si="61"/>
        <v>55</v>
      </c>
      <c r="LZ22" s="48"/>
      <c r="MA22" s="48">
        <v>1</v>
      </c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</row>
    <row r="23" spans="1:353" s="49" customFormat="1" ht="21" customHeight="1" thickBot="1" x14ac:dyDescent="0.25">
      <c r="A23" s="36" t="s">
        <v>112</v>
      </c>
      <c r="B23" s="36" t="s">
        <v>354</v>
      </c>
      <c r="C23" s="36">
        <v>16</v>
      </c>
      <c r="D23" s="36"/>
      <c r="E23" s="36" t="s">
        <v>357</v>
      </c>
      <c r="F23" s="36"/>
      <c r="G23" s="36">
        <v>1</v>
      </c>
      <c r="H23" s="36"/>
      <c r="I23" s="36">
        <v>1</v>
      </c>
      <c r="J23" s="36"/>
      <c r="K23" s="36"/>
      <c r="L23" s="36">
        <v>1</v>
      </c>
      <c r="M23" s="36">
        <v>1</v>
      </c>
      <c r="N23" s="36"/>
      <c r="O23" s="36"/>
      <c r="P23" s="36">
        <v>1</v>
      </c>
      <c r="Q23" s="36"/>
      <c r="R23" s="36">
        <v>1</v>
      </c>
      <c r="S23" s="36"/>
      <c r="T23" s="36"/>
      <c r="U23" s="36"/>
      <c r="V23" s="36"/>
      <c r="W23" s="36">
        <v>1</v>
      </c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>
        <f t="shared" si="218"/>
        <v>0</v>
      </c>
      <c r="AK23" s="36">
        <f t="shared" si="219"/>
        <v>0</v>
      </c>
      <c r="AL23" s="37">
        <f t="shared" si="220"/>
        <v>0</v>
      </c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9">
        <f t="shared" si="221"/>
        <v>0</v>
      </c>
      <c r="AX23" s="39">
        <f t="shared" si="222"/>
        <v>0</v>
      </c>
      <c r="AY23" s="40">
        <f t="shared" si="223"/>
        <v>0</v>
      </c>
      <c r="AZ23" s="38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>
        <f t="shared" si="224"/>
        <v>0</v>
      </c>
      <c r="BM23" s="39">
        <f t="shared" si="225"/>
        <v>0</v>
      </c>
      <c r="BN23" s="39">
        <f t="shared" si="226"/>
        <v>0</v>
      </c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>
        <f t="shared" si="227"/>
        <v>0</v>
      </c>
      <c r="BZ23" s="39">
        <f t="shared" si="228"/>
        <v>0</v>
      </c>
      <c r="CA23" s="39">
        <f t="shared" si="229"/>
        <v>0</v>
      </c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>
        <f t="shared" si="230"/>
        <v>0</v>
      </c>
      <c r="CM23" s="39">
        <f t="shared" si="231"/>
        <v>0</v>
      </c>
      <c r="CN23" s="39">
        <f t="shared" si="232"/>
        <v>0</v>
      </c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>
        <f>CW23+CU23+CS23+CQ23+CO23</f>
        <v>0</v>
      </c>
      <c r="CZ23" s="39">
        <f t="shared" ref="CZ23" si="322">CX23+CV23+CT23+CR23+CP23</f>
        <v>0</v>
      </c>
      <c r="DA23" s="39">
        <f>SUM(CY23:CZ23)</f>
        <v>0</v>
      </c>
      <c r="DB23" s="41"/>
      <c r="DC23" s="42"/>
      <c r="DD23" s="42"/>
      <c r="DE23" s="42"/>
      <c r="DF23" s="42"/>
      <c r="DG23" s="42"/>
      <c r="DH23" s="42"/>
      <c r="DI23" s="42"/>
      <c r="DJ23" s="42"/>
      <c r="DK23" s="42"/>
      <c r="DL23" s="39">
        <f t="shared" si="234"/>
        <v>0</v>
      </c>
      <c r="DM23" s="39">
        <f t="shared" si="235"/>
        <v>0</v>
      </c>
      <c r="DN23" s="39">
        <f t="shared" si="236"/>
        <v>0</v>
      </c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39">
        <f t="shared" si="237"/>
        <v>0</v>
      </c>
      <c r="DZ23" s="39">
        <f t="shared" si="238"/>
        <v>0</v>
      </c>
      <c r="EA23" s="39">
        <f t="shared" si="239"/>
        <v>0</v>
      </c>
      <c r="EB23" s="42">
        <f t="shared" ref="EB23" si="323">AZ23</f>
        <v>0</v>
      </c>
      <c r="EC23" s="42">
        <f t="shared" ref="EC23" si="324">BA23</f>
        <v>0</v>
      </c>
      <c r="ED23" s="42">
        <f t="shared" ref="ED23" si="325">BB23</f>
        <v>0</v>
      </c>
      <c r="EE23" s="42">
        <f t="shared" ref="EE23" si="326">BC23</f>
        <v>0</v>
      </c>
      <c r="EF23" s="42">
        <f t="shared" ref="EF23" si="327">BO23+BD23</f>
        <v>0</v>
      </c>
      <c r="EG23" s="42">
        <f t="shared" ref="EG23" si="328">BP23+BE23</f>
        <v>0</v>
      </c>
      <c r="EH23" s="42">
        <f t="shared" ref="EH23" si="329">CB23+BQ23+BF23</f>
        <v>0</v>
      </c>
      <c r="EI23" s="42">
        <f t="shared" ref="EI23" si="330">CC23+BR23+BG23</f>
        <v>0</v>
      </c>
      <c r="EJ23" s="42">
        <f t="shared" ref="EJ23" si="331">CO23+CD23+BS23+BH23</f>
        <v>0</v>
      </c>
      <c r="EK23" s="42">
        <f t="shared" ref="EK23" si="332">CP23+CE23+BT23+BI23</f>
        <v>0</v>
      </c>
      <c r="EL23" s="42">
        <f t="shared" ref="EL23" si="333">DB23+CQ23+CF23+BU23+BJ23</f>
        <v>0</v>
      </c>
      <c r="EM23" s="42">
        <f t="shared" ref="EM23" si="334">DC23+CR23+CG23+BV23+BK23</f>
        <v>0</v>
      </c>
      <c r="EN23" s="42">
        <f t="shared" ref="EN23" si="335">DO23+DD23+CS23+CH23+BW23</f>
        <v>0</v>
      </c>
      <c r="EO23" s="42">
        <f t="shared" ref="EO23" si="336">DP23+DE23+CT23+CI23+BX23</f>
        <v>0</v>
      </c>
      <c r="EP23" s="42">
        <f t="shared" ref="EP23" si="337">DQ23+DF23+CU23+CJ23</f>
        <v>0</v>
      </c>
      <c r="EQ23" s="42">
        <f t="shared" ref="EQ23" si="338">DR23+DG23+CV23+CK23</f>
        <v>0</v>
      </c>
      <c r="ER23" s="42">
        <f t="shared" ref="ER23" si="339">DS23+DH23+CW23</f>
        <v>0</v>
      </c>
      <c r="ES23" s="42">
        <f t="shared" ref="ES23" si="340">DT23+DI23+CX23</f>
        <v>0</v>
      </c>
      <c r="ET23" s="42">
        <f t="shared" ref="ET23" si="341">DU23+DJ23</f>
        <v>0</v>
      </c>
      <c r="EU23" s="42">
        <f t="shared" ref="EU23" si="342">DV23+DK23</f>
        <v>0</v>
      </c>
      <c r="EV23" s="42">
        <f t="shared" ref="EV23" si="343">DW23</f>
        <v>0</v>
      </c>
      <c r="EW23" s="42">
        <f t="shared" ref="EW23" si="344">DX23</f>
        <v>0</v>
      </c>
      <c r="EX23" s="42">
        <f t="shared" ref="EX23" si="345">EV23+ET23+ER23+EP23+EN23+EL23+EJ23+EH23+EF23+ED23+EB23</f>
        <v>0</v>
      </c>
      <c r="EY23" s="42">
        <f t="shared" ref="EY23" si="346">EW23+EU23+ES23+EQ23+EO23+EM23+EK23+EI23+EG23+EE23+EC23</f>
        <v>0</v>
      </c>
      <c r="EZ23" s="43">
        <f>SUM(EX23:EY23)</f>
        <v>0</v>
      </c>
      <c r="FA23" s="44"/>
      <c r="FB23" s="42"/>
      <c r="FC23" s="42"/>
      <c r="FD23" s="42"/>
      <c r="FE23" s="42"/>
      <c r="FF23" s="42"/>
      <c r="FG23" s="42"/>
      <c r="FH23" s="42"/>
      <c r="FI23" s="42"/>
      <c r="FJ23" s="42"/>
      <c r="FK23" s="42">
        <f t="shared" si="264"/>
        <v>0</v>
      </c>
      <c r="FL23" s="42">
        <f t="shared" si="265"/>
        <v>0</v>
      </c>
      <c r="FM23" s="42">
        <f t="shared" si="266"/>
        <v>0</v>
      </c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2">
        <f t="shared" si="267"/>
        <v>0</v>
      </c>
      <c r="FY23" s="42">
        <f t="shared" si="268"/>
        <v>0</v>
      </c>
      <c r="FZ23" s="42">
        <f t="shared" si="269"/>
        <v>0</v>
      </c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>
        <f t="shared" si="270"/>
        <v>0</v>
      </c>
      <c r="GL23" s="42">
        <f t="shared" si="271"/>
        <v>0</v>
      </c>
      <c r="GM23" s="42">
        <f t="shared" si="272"/>
        <v>0</v>
      </c>
      <c r="GN23" s="42">
        <f t="shared" si="273"/>
        <v>0</v>
      </c>
      <c r="GO23" s="42">
        <f t="shared" si="274"/>
        <v>0</v>
      </c>
      <c r="GP23" s="42">
        <f t="shared" si="275"/>
        <v>0</v>
      </c>
      <c r="GQ23" s="42">
        <f t="shared" si="276"/>
        <v>0</v>
      </c>
      <c r="GR23" s="42">
        <f t="shared" si="277"/>
        <v>0</v>
      </c>
      <c r="GS23" s="42">
        <f t="shared" si="278"/>
        <v>0</v>
      </c>
      <c r="GT23" s="42">
        <f t="shared" si="279"/>
        <v>0</v>
      </c>
      <c r="GU23" s="42">
        <f t="shared" si="280"/>
        <v>0</v>
      </c>
      <c r="GV23" s="42">
        <f t="shared" si="281"/>
        <v>0</v>
      </c>
      <c r="GW23" s="42">
        <f t="shared" si="282"/>
        <v>0</v>
      </c>
      <c r="GX23" s="42">
        <f t="shared" si="283"/>
        <v>0</v>
      </c>
      <c r="GY23" s="42">
        <f t="shared" si="284"/>
        <v>0</v>
      </c>
      <c r="GZ23" s="42">
        <f t="shared" si="285"/>
        <v>0</v>
      </c>
      <c r="HA23" s="42">
        <f t="shared" si="286"/>
        <v>0</v>
      </c>
      <c r="HB23" s="42">
        <f t="shared" si="287"/>
        <v>0</v>
      </c>
      <c r="HC23" s="42">
        <f t="shared" si="288"/>
        <v>0</v>
      </c>
      <c r="HD23" s="42">
        <f t="shared" si="289"/>
        <v>0</v>
      </c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>
        <f t="shared" si="290"/>
        <v>0</v>
      </c>
      <c r="HX23" s="39">
        <f t="shared" si="291"/>
        <v>0</v>
      </c>
      <c r="HY23" s="39">
        <f t="shared" si="292"/>
        <v>0</v>
      </c>
      <c r="HZ23" s="39">
        <f t="shared" si="293"/>
        <v>0</v>
      </c>
      <c r="IA23" s="39"/>
      <c r="IB23" s="39"/>
      <c r="IC23" s="39"/>
      <c r="ID23" s="39"/>
      <c r="IE23" s="39"/>
      <c r="IF23" s="39"/>
      <c r="IG23" s="39"/>
      <c r="IH23" s="39"/>
      <c r="II23" s="39"/>
      <c r="IJ23" s="39">
        <f t="shared" si="294"/>
        <v>0</v>
      </c>
      <c r="IK23" s="39">
        <f t="shared" si="295"/>
        <v>0</v>
      </c>
      <c r="IL23" s="39">
        <f t="shared" si="296"/>
        <v>0</v>
      </c>
      <c r="IM23" s="45">
        <f t="shared" si="297"/>
        <v>0</v>
      </c>
      <c r="IN23" s="39">
        <f t="shared" si="298"/>
        <v>0</v>
      </c>
      <c r="IO23" s="39">
        <f t="shared" si="299"/>
        <v>0</v>
      </c>
      <c r="IP23" s="39">
        <f t="shared" si="300"/>
        <v>0</v>
      </c>
      <c r="IQ23" s="39">
        <f t="shared" si="301"/>
        <v>0</v>
      </c>
      <c r="IR23" s="46"/>
      <c r="IS23" s="46">
        <v>1</v>
      </c>
      <c r="IT23" s="46"/>
      <c r="IU23" s="46"/>
      <c r="IV23" s="46"/>
      <c r="IW23" s="46"/>
      <c r="IX23" s="46"/>
      <c r="IY23" s="46"/>
      <c r="IZ23" s="162">
        <f t="shared" si="302"/>
        <v>0</v>
      </c>
      <c r="JA23" s="162">
        <f t="shared" si="303"/>
        <v>1</v>
      </c>
      <c r="JB23" s="162">
        <f t="shared" si="304"/>
        <v>1</v>
      </c>
      <c r="JC23" s="46"/>
      <c r="JD23" s="46"/>
      <c r="JE23" s="46"/>
      <c r="JF23" s="46"/>
      <c r="JG23" s="46"/>
      <c r="JH23" s="46"/>
      <c r="JI23" s="46"/>
      <c r="JJ23" s="46"/>
      <c r="JK23" s="46"/>
      <c r="JL23" s="46"/>
      <c r="JM23" s="162">
        <f t="shared" si="305"/>
        <v>0</v>
      </c>
      <c r="JN23" s="162">
        <f t="shared" si="306"/>
        <v>0</v>
      </c>
      <c r="JO23" s="162">
        <f t="shared" si="307"/>
        <v>0</v>
      </c>
      <c r="JP23" s="48">
        <f t="shared" si="308"/>
        <v>0</v>
      </c>
      <c r="JQ23" s="48">
        <f t="shared" si="309"/>
        <v>1</v>
      </c>
      <c r="JR23" s="48">
        <f t="shared" si="310"/>
        <v>0</v>
      </c>
      <c r="JS23" s="48">
        <f t="shared" si="311"/>
        <v>0</v>
      </c>
      <c r="JT23" s="48">
        <f t="shared" si="312"/>
        <v>0</v>
      </c>
      <c r="JU23" s="48">
        <f t="shared" si="313"/>
        <v>0</v>
      </c>
      <c r="JV23" s="48">
        <f t="shared" si="314"/>
        <v>0</v>
      </c>
      <c r="JW23" s="48">
        <f t="shared" si="315"/>
        <v>0</v>
      </c>
      <c r="JX23" s="48">
        <f t="shared" si="316"/>
        <v>0</v>
      </c>
      <c r="JY23" s="48">
        <f t="shared" si="317"/>
        <v>0</v>
      </c>
      <c r="JZ23" s="48">
        <f t="shared" si="318"/>
        <v>0</v>
      </c>
      <c r="KA23" s="48">
        <f t="shared" si="319"/>
        <v>1</v>
      </c>
      <c r="KB23" s="48">
        <f t="shared" si="320"/>
        <v>1</v>
      </c>
      <c r="KC23" s="48">
        <v>1</v>
      </c>
      <c r="KD23" s="48"/>
      <c r="KE23" s="48"/>
      <c r="KF23" s="48">
        <v>1</v>
      </c>
      <c r="KG23" s="48"/>
      <c r="KH23" s="48"/>
      <c r="KI23" s="48"/>
      <c r="KJ23" s="48"/>
      <c r="KK23" s="48">
        <v>1</v>
      </c>
      <c r="KL23" s="48"/>
      <c r="KM23" s="48">
        <v>18</v>
      </c>
      <c r="KN23" s="48">
        <v>5</v>
      </c>
      <c r="KO23" s="48">
        <f t="shared" si="321"/>
        <v>23</v>
      </c>
      <c r="KP23" s="113"/>
      <c r="KQ23" s="113">
        <v>1</v>
      </c>
      <c r="KR23" s="48"/>
      <c r="KS23" s="48">
        <v>1</v>
      </c>
      <c r="KT23" s="48"/>
      <c r="KU23" s="48"/>
      <c r="KV23" s="48"/>
      <c r="KW23" s="113">
        <v>1</v>
      </c>
      <c r="KX23" s="48"/>
      <c r="KY23" s="113">
        <v>1</v>
      </c>
      <c r="KZ23" s="48"/>
      <c r="LA23" s="48"/>
      <c r="LB23" s="48"/>
      <c r="LC23" s="48"/>
      <c r="LD23" s="48"/>
      <c r="LE23" s="48">
        <v>1</v>
      </c>
      <c r="LF23" s="48"/>
      <c r="LG23" s="48">
        <v>1</v>
      </c>
      <c r="LH23" s="48"/>
      <c r="LI23" s="48">
        <v>1</v>
      </c>
      <c r="LJ23" s="48"/>
      <c r="LK23" s="48">
        <v>1</v>
      </c>
      <c r="LL23" s="48"/>
      <c r="LM23" s="48">
        <v>1</v>
      </c>
      <c r="LN23" s="48"/>
      <c r="LO23" s="48"/>
      <c r="LP23" s="48"/>
      <c r="LQ23" s="113">
        <v>1</v>
      </c>
      <c r="LR23" s="113"/>
      <c r="LS23" s="113"/>
      <c r="LT23" s="113">
        <v>1</v>
      </c>
      <c r="LU23" s="48"/>
      <c r="LV23" s="48"/>
      <c r="LW23" s="48">
        <v>84</v>
      </c>
      <c r="LX23" s="113"/>
      <c r="LY23" s="113">
        <f t="shared" si="61"/>
        <v>84</v>
      </c>
      <c r="LZ23" s="48"/>
      <c r="MA23" s="48">
        <v>1</v>
      </c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</row>
    <row r="24" spans="1:353" s="116" customFormat="1" ht="21" customHeight="1" x14ac:dyDescent="0.2">
      <c r="A24" s="114"/>
      <c r="B24" s="114"/>
      <c r="C24" s="368" t="s">
        <v>355</v>
      </c>
      <c r="D24" s="369"/>
      <c r="E24" s="370"/>
      <c r="F24" s="115">
        <f>SUM(F22:F23)</f>
        <v>0</v>
      </c>
      <c r="G24" s="115">
        <f t="shared" ref="G24:BR24" si="347">SUM(G22:G23)</f>
        <v>2</v>
      </c>
      <c r="H24" s="115">
        <f t="shared" si="347"/>
        <v>0</v>
      </c>
      <c r="I24" s="115">
        <f t="shared" si="347"/>
        <v>1</v>
      </c>
      <c r="J24" s="115">
        <f t="shared" si="347"/>
        <v>1</v>
      </c>
      <c r="K24" s="115">
        <f t="shared" si="347"/>
        <v>0</v>
      </c>
      <c r="L24" s="115">
        <f t="shared" si="347"/>
        <v>2</v>
      </c>
      <c r="M24" s="115">
        <f t="shared" si="347"/>
        <v>2</v>
      </c>
      <c r="N24" s="115">
        <f t="shared" si="347"/>
        <v>0</v>
      </c>
      <c r="O24" s="115">
        <f t="shared" si="347"/>
        <v>0</v>
      </c>
      <c r="P24" s="115">
        <f t="shared" si="347"/>
        <v>2</v>
      </c>
      <c r="Q24" s="115">
        <f t="shared" si="347"/>
        <v>0</v>
      </c>
      <c r="R24" s="115">
        <f t="shared" si="347"/>
        <v>2</v>
      </c>
      <c r="S24" s="115">
        <f t="shared" si="347"/>
        <v>0</v>
      </c>
      <c r="T24" s="115">
        <f t="shared" si="347"/>
        <v>0</v>
      </c>
      <c r="U24" s="115">
        <f t="shared" si="347"/>
        <v>0</v>
      </c>
      <c r="V24" s="115">
        <f t="shared" si="347"/>
        <v>0</v>
      </c>
      <c r="W24" s="115">
        <f t="shared" si="347"/>
        <v>2</v>
      </c>
      <c r="X24" s="115">
        <f t="shared" si="347"/>
        <v>0</v>
      </c>
      <c r="Y24" s="115">
        <f t="shared" si="347"/>
        <v>0</v>
      </c>
      <c r="Z24" s="115">
        <f t="shared" si="347"/>
        <v>0</v>
      </c>
      <c r="AA24" s="115">
        <f t="shared" si="347"/>
        <v>0</v>
      </c>
      <c r="AB24" s="115">
        <f t="shared" si="347"/>
        <v>0</v>
      </c>
      <c r="AC24" s="115">
        <f t="shared" si="347"/>
        <v>0</v>
      </c>
      <c r="AD24" s="115">
        <f t="shared" si="347"/>
        <v>0</v>
      </c>
      <c r="AE24" s="115">
        <f t="shared" si="347"/>
        <v>0</v>
      </c>
      <c r="AF24" s="115">
        <f t="shared" si="347"/>
        <v>0</v>
      </c>
      <c r="AG24" s="115">
        <f t="shared" si="347"/>
        <v>0</v>
      </c>
      <c r="AH24" s="115">
        <f t="shared" si="347"/>
        <v>0</v>
      </c>
      <c r="AI24" s="115">
        <f t="shared" si="347"/>
        <v>0</v>
      </c>
      <c r="AJ24" s="115">
        <f t="shared" si="347"/>
        <v>0</v>
      </c>
      <c r="AK24" s="115">
        <f t="shared" si="347"/>
        <v>0</v>
      </c>
      <c r="AL24" s="115">
        <f t="shared" si="347"/>
        <v>0</v>
      </c>
      <c r="AM24" s="115">
        <f t="shared" si="347"/>
        <v>0</v>
      </c>
      <c r="AN24" s="115">
        <f t="shared" si="347"/>
        <v>0</v>
      </c>
      <c r="AO24" s="115">
        <f t="shared" si="347"/>
        <v>0</v>
      </c>
      <c r="AP24" s="115">
        <f t="shared" si="347"/>
        <v>0</v>
      </c>
      <c r="AQ24" s="115">
        <f t="shared" si="347"/>
        <v>0</v>
      </c>
      <c r="AR24" s="115">
        <f t="shared" si="347"/>
        <v>0</v>
      </c>
      <c r="AS24" s="115">
        <f t="shared" si="347"/>
        <v>0</v>
      </c>
      <c r="AT24" s="115">
        <f t="shared" si="347"/>
        <v>0</v>
      </c>
      <c r="AU24" s="115">
        <f t="shared" si="347"/>
        <v>0</v>
      </c>
      <c r="AV24" s="115">
        <f t="shared" si="347"/>
        <v>0</v>
      </c>
      <c r="AW24" s="115">
        <f t="shared" si="347"/>
        <v>0</v>
      </c>
      <c r="AX24" s="115">
        <f t="shared" si="347"/>
        <v>0</v>
      </c>
      <c r="AY24" s="115">
        <f t="shared" si="347"/>
        <v>0</v>
      </c>
      <c r="AZ24" s="115">
        <f t="shared" si="347"/>
        <v>0</v>
      </c>
      <c r="BA24" s="115">
        <f t="shared" si="347"/>
        <v>0</v>
      </c>
      <c r="BB24" s="115">
        <f t="shared" si="347"/>
        <v>0</v>
      </c>
      <c r="BC24" s="115">
        <f t="shared" si="347"/>
        <v>0</v>
      </c>
      <c r="BD24" s="115">
        <f t="shared" si="347"/>
        <v>0</v>
      </c>
      <c r="BE24" s="115">
        <f t="shared" si="347"/>
        <v>0</v>
      </c>
      <c r="BF24" s="115">
        <f t="shared" si="347"/>
        <v>0</v>
      </c>
      <c r="BG24" s="115">
        <f t="shared" si="347"/>
        <v>0</v>
      </c>
      <c r="BH24" s="115">
        <f t="shared" si="347"/>
        <v>0</v>
      </c>
      <c r="BI24" s="115">
        <f t="shared" si="347"/>
        <v>0</v>
      </c>
      <c r="BJ24" s="115">
        <f t="shared" si="347"/>
        <v>0</v>
      </c>
      <c r="BK24" s="115">
        <f t="shared" si="347"/>
        <v>0</v>
      </c>
      <c r="BL24" s="115">
        <f t="shared" si="347"/>
        <v>0</v>
      </c>
      <c r="BM24" s="115">
        <f t="shared" si="347"/>
        <v>0</v>
      </c>
      <c r="BN24" s="115">
        <f t="shared" si="347"/>
        <v>0</v>
      </c>
      <c r="BO24" s="115">
        <f t="shared" si="347"/>
        <v>0</v>
      </c>
      <c r="BP24" s="115">
        <f t="shared" si="347"/>
        <v>0</v>
      </c>
      <c r="BQ24" s="115">
        <f t="shared" si="347"/>
        <v>0</v>
      </c>
      <c r="BR24" s="115">
        <f t="shared" si="347"/>
        <v>0</v>
      </c>
      <c r="BS24" s="115">
        <f t="shared" ref="BS24:ED24" si="348">SUM(BS22:BS23)</f>
        <v>0</v>
      </c>
      <c r="BT24" s="115">
        <f t="shared" si="348"/>
        <v>0</v>
      </c>
      <c r="BU24" s="115">
        <f t="shared" si="348"/>
        <v>0</v>
      </c>
      <c r="BV24" s="115">
        <f t="shared" si="348"/>
        <v>0</v>
      </c>
      <c r="BW24" s="115">
        <f t="shared" si="348"/>
        <v>0</v>
      </c>
      <c r="BX24" s="115">
        <f t="shared" si="348"/>
        <v>0</v>
      </c>
      <c r="BY24" s="115">
        <f t="shared" si="348"/>
        <v>0</v>
      </c>
      <c r="BZ24" s="115">
        <f t="shared" si="348"/>
        <v>0</v>
      </c>
      <c r="CA24" s="115">
        <f t="shared" si="348"/>
        <v>0</v>
      </c>
      <c r="CB24" s="115">
        <f t="shared" si="348"/>
        <v>0</v>
      </c>
      <c r="CC24" s="115">
        <f t="shared" si="348"/>
        <v>0</v>
      </c>
      <c r="CD24" s="115">
        <f t="shared" si="348"/>
        <v>0</v>
      </c>
      <c r="CE24" s="115">
        <f t="shared" si="348"/>
        <v>0</v>
      </c>
      <c r="CF24" s="115">
        <f t="shared" si="348"/>
        <v>0</v>
      </c>
      <c r="CG24" s="115">
        <f t="shared" si="348"/>
        <v>0</v>
      </c>
      <c r="CH24" s="115">
        <f t="shared" si="348"/>
        <v>0</v>
      </c>
      <c r="CI24" s="115">
        <f t="shared" si="348"/>
        <v>0</v>
      </c>
      <c r="CJ24" s="115">
        <f t="shared" si="348"/>
        <v>0</v>
      </c>
      <c r="CK24" s="115">
        <f t="shared" si="348"/>
        <v>0</v>
      </c>
      <c r="CL24" s="115">
        <f t="shared" si="348"/>
        <v>0</v>
      </c>
      <c r="CM24" s="115">
        <f t="shared" si="348"/>
        <v>0</v>
      </c>
      <c r="CN24" s="115">
        <f t="shared" si="348"/>
        <v>0</v>
      </c>
      <c r="CO24" s="115">
        <f t="shared" si="348"/>
        <v>0</v>
      </c>
      <c r="CP24" s="115">
        <f t="shared" si="348"/>
        <v>0</v>
      </c>
      <c r="CQ24" s="115">
        <f t="shared" si="348"/>
        <v>0</v>
      </c>
      <c r="CR24" s="115">
        <f t="shared" si="348"/>
        <v>0</v>
      </c>
      <c r="CS24" s="115">
        <f t="shared" si="348"/>
        <v>0</v>
      </c>
      <c r="CT24" s="115">
        <f t="shared" si="348"/>
        <v>0</v>
      </c>
      <c r="CU24" s="115">
        <f t="shared" si="348"/>
        <v>0</v>
      </c>
      <c r="CV24" s="115">
        <f t="shared" si="348"/>
        <v>0</v>
      </c>
      <c r="CW24" s="115">
        <f t="shared" si="348"/>
        <v>0</v>
      </c>
      <c r="CX24" s="115">
        <f t="shared" si="348"/>
        <v>0</v>
      </c>
      <c r="CY24" s="115">
        <f t="shared" si="348"/>
        <v>0</v>
      </c>
      <c r="CZ24" s="115">
        <f t="shared" si="348"/>
        <v>0</v>
      </c>
      <c r="DA24" s="115">
        <f t="shared" si="348"/>
        <v>0</v>
      </c>
      <c r="DB24" s="115">
        <f t="shared" si="348"/>
        <v>0</v>
      </c>
      <c r="DC24" s="115">
        <f t="shared" si="348"/>
        <v>0</v>
      </c>
      <c r="DD24" s="115">
        <f t="shared" si="348"/>
        <v>0</v>
      </c>
      <c r="DE24" s="115">
        <f t="shared" si="348"/>
        <v>0</v>
      </c>
      <c r="DF24" s="115">
        <f t="shared" si="348"/>
        <v>0</v>
      </c>
      <c r="DG24" s="115">
        <f t="shared" si="348"/>
        <v>0</v>
      </c>
      <c r="DH24" s="115">
        <f t="shared" si="348"/>
        <v>0</v>
      </c>
      <c r="DI24" s="115">
        <f t="shared" si="348"/>
        <v>0</v>
      </c>
      <c r="DJ24" s="115">
        <f t="shared" si="348"/>
        <v>0</v>
      </c>
      <c r="DK24" s="115">
        <f t="shared" si="348"/>
        <v>0</v>
      </c>
      <c r="DL24" s="115">
        <f t="shared" si="348"/>
        <v>0</v>
      </c>
      <c r="DM24" s="115">
        <f t="shared" si="348"/>
        <v>0</v>
      </c>
      <c r="DN24" s="115">
        <f t="shared" si="348"/>
        <v>0</v>
      </c>
      <c r="DO24" s="115">
        <f t="shared" si="348"/>
        <v>0</v>
      </c>
      <c r="DP24" s="115">
        <f t="shared" si="348"/>
        <v>0</v>
      </c>
      <c r="DQ24" s="115">
        <f t="shared" si="348"/>
        <v>0</v>
      </c>
      <c r="DR24" s="115">
        <f t="shared" si="348"/>
        <v>0</v>
      </c>
      <c r="DS24" s="115">
        <f t="shared" si="348"/>
        <v>0</v>
      </c>
      <c r="DT24" s="115">
        <f t="shared" si="348"/>
        <v>0</v>
      </c>
      <c r="DU24" s="115">
        <f t="shared" si="348"/>
        <v>0</v>
      </c>
      <c r="DV24" s="115">
        <f t="shared" si="348"/>
        <v>0</v>
      </c>
      <c r="DW24" s="115">
        <f t="shared" si="348"/>
        <v>0</v>
      </c>
      <c r="DX24" s="115">
        <f t="shared" si="348"/>
        <v>0</v>
      </c>
      <c r="DY24" s="115">
        <f t="shared" si="348"/>
        <v>0</v>
      </c>
      <c r="DZ24" s="115">
        <f t="shared" si="348"/>
        <v>0</v>
      </c>
      <c r="EA24" s="115">
        <f t="shared" si="348"/>
        <v>0</v>
      </c>
      <c r="EB24" s="115">
        <f t="shared" si="348"/>
        <v>0</v>
      </c>
      <c r="EC24" s="115">
        <f t="shared" si="348"/>
        <v>0</v>
      </c>
      <c r="ED24" s="115">
        <f t="shared" si="348"/>
        <v>0</v>
      </c>
      <c r="EE24" s="115">
        <f t="shared" ref="EE24:GP24" si="349">SUM(EE22:EE23)</f>
        <v>0</v>
      </c>
      <c r="EF24" s="115">
        <f t="shared" si="349"/>
        <v>0</v>
      </c>
      <c r="EG24" s="115">
        <f t="shared" si="349"/>
        <v>0</v>
      </c>
      <c r="EH24" s="115">
        <f t="shared" si="349"/>
        <v>0</v>
      </c>
      <c r="EI24" s="115">
        <f t="shared" si="349"/>
        <v>0</v>
      </c>
      <c r="EJ24" s="115">
        <f t="shared" si="349"/>
        <v>0</v>
      </c>
      <c r="EK24" s="115">
        <f t="shared" si="349"/>
        <v>0</v>
      </c>
      <c r="EL24" s="115">
        <f t="shared" si="349"/>
        <v>0</v>
      </c>
      <c r="EM24" s="115">
        <f t="shared" si="349"/>
        <v>0</v>
      </c>
      <c r="EN24" s="115">
        <f t="shared" si="349"/>
        <v>0</v>
      </c>
      <c r="EO24" s="115">
        <f t="shared" si="349"/>
        <v>0</v>
      </c>
      <c r="EP24" s="115">
        <f t="shared" si="349"/>
        <v>0</v>
      </c>
      <c r="EQ24" s="115">
        <f t="shared" si="349"/>
        <v>0</v>
      </c>
      <c r="ER24" s="115">
        <f t="shared" si="349"/>
        <v>0</v>
      </c>
      <c r="ES24" s="115">
        <f t="shared" si="349"/>
        <v>0</v>
      </c>
      <c r="ET24" s="115">
        <f t="shared" si="349"/>
        <v>0</v>
      </c>
      <c r="EU24" s="115">
        <f t="shared" si="349"/>
        <v>0</v>
      </c>
      <c r="EV24" s="115">
        <f t="shared" si="349"/>
        <v>0</v>
      </c>
      <c r="EW24" s="115">
        <f t="shared" si="349"/>
        <v>0</v>
      </c>
      <c r="EX24" s="115">
        <f t="shared" si="349"/>
        <v>0</v>
      </c>
      <c r="EY24" s="115">
        <f t="shared" si="349"/>
        <v>0</v>
      </c>
      <c r="EZ24" s="115">
        <f t="shared" si="349"/>
        <v>0</v>
      </c>
      <c r="FA24" s="115">
        <f t="shared" si="349"/>
        <v>0</v>
      </c>
      <c r="FB24" s="115">
        <f t="shared" si="349"/>
        <v>0</v>
      </c>
      <c r="FC24" s="115">
        <f t="shared" si="349"/>
        <v>0</v>
      </c>
      <c r="FD24" s="115">
        <f t="shared" si="349"/>
        <v>0</v>
      </c>
      <c r="FE24" s="115">
        <f t="shared" si="349"/>
        <v>0</v>
      </c>
      <c r="FF24" s="115">
        <f t="shared" si="349"/>
        <v>0</v>
      </c>
      <c r="FG24" s="115">
        <f t="shared" si="349"/>
        <v>0</v>
      </c>
      <c r="FH24" s="115">
        <f t="shared" si="349"/>
        <v>0</v>
      </c>
      <c r="FI24" s="115">
        <f t="shared" si="349"/>
        <v>0</v>
      </c>
      <c r="FJ24" s="115">
        <f t="shared" si="349"/>
        <v>0</v>
      </c>
      <c r="FK24" s="115">
        <f t="shared" si="349"/>
        <v>0</v>
      </c>
      <c r="FL24" s="115">
        <f t="shared" si="349"/>
        <v>0</v>
      </c>
      <c r="FM24" s="115">
        <f t="shared" si="349"/>
        <v>0</v>
      </c>
      <c r="FN24" s="115">
        <f t="shared" si="349"/>
        <v>0</v>
      </c>
      <c r="FO24" s="115">
        <f t="shared" si="349"/>
        <v>0</v>
      </c>
      <c r="FP24" s="115">
        <f t="shared" si="349"/>
        <v>0</v>
      </c>
      <c r="FQ24" s="115">
        <f t="shared" si="349"/>
        <v>0</v>
      </c>
      <c r="FR24" s="115">
        <f t="shared" si="349"/>
        <v>0</v>
      </c>
      <c r="FS24" s="115">
        <f t="shared" si="349"/>
        <v>0</v>
      </c>
      <c r="FT24" s="115">
        <f t="shared" si="349"/>
        <v>0</v>
      </c>
      <c r="FU24" s="115">
        <f t="shared" si="349"/>
        <v>0</v>
      </c>
      <c r="FV24" s="115">
        <f t="shared" si="349"/>
        <v>0</v>
      </c>
      <c r="FW24" s="115">
        <f t="shared" si="349"/>
        <v>0</v>
      </c>
      <c r="FX24" s="115">
        <f t="shared" si="349"/>
        <v>0</v>
      </c>
      <c r="FY24" s="115">
        <f t="shared" si="349"/>
        <v>0</v>
      </c>
      <c r="FZ24" s="115">
        <f t="shared" si="349"/>
        <v>0</v>
      </c>
      <c r="GA24" s="115">
        <f t="shared" si="349"/>
        <v>0</v>
      </c>
      <c r="GB24" s="115">
        <f t="shared" si="349"/>
        <v>0</v>
      </c>
      <c r="GC24" s="115">
        <f t="shared" si="349"/>
        <v>0</v>
      </c>
      <c r="GD24" s="115">
        <f t="shared" si="349"/>
        <v>0</v>
      </c>
      <c r="GE24" s="115">
        <f t="shared" si="349"/>
        <v>0</v>
      </c>
      <c r="GF24" s="115">
        <f t="shared" si="349"/>
        <v>0</v>
      </c>
      <c r="GG24" s="115">
        <f t="shared" si="349"/>
        <v>0</v>
      </c>
      <c r="GH24" s="115">
        <f t="shared" si="349"/>
        <v>0</v>
      </c>
      <c r="GI24" s="115">
        <f t="shared" si="349"/>
        <v>0</v>
      </c>
      <c r="GJ24" s="115">
        <f t="shared" si="349"/>
        <v>0</v>
      </c>
      <c r="GK24" s="115">
        <f t="shared" si="349"/>
        <v>0</v>
      </c>
      <c r="GL24" s="115">
        <f t="shared" si="349"/>
        <v>0</v>
      </c>
      <c r="GM24" s="115">
        <f t="shared" si="349"/>
        <v>0</v>
      </c>
      <c r="GN24" s="115">
        <f t="shared" si="349"/>
        <v>0</v>
      </c>
      <c r="GO24" s="115">
        <f t="shared" si="349"/>
        <v>0</v>
      </c>
      <c r="GP24" s="115">
        <f t="shared" si="349"/>
        <v>0</v>
      </c>
      <c r="GQ24" s="115">
        <f t="shared" ref="GQ24:JB24" si="350">SUM(GQ22:GQ23)</f>
        <v>0</v>
      </c>
      <c r="GR24" s="115">
        <f t="shared" si="350"/>
        <v>0</v>
      </c>
      <c r="GS24" s="115">
        <f t="shared" si="350"/>
        <v>0</v>
      </c>
      <c r="GT24" s="115">
        <f t="shared" si="350"/>
        <v>0</v>
      </c>
      <c r="GU24" s="115">
        <f t="shared" si="350"/>
        <v>0</v>
      </c>
      <c r="GV24" s="115">
        <f t="shared" si="350"/>
        <v>0</v>
      </c>
      <c r="GW24" s="115">
        <f t="shared" si="350"/>
        <v>0</v>
      </c>
      <c r="GX24" s="115">
        <f t="shared" si="350"/>
        <v>0</v>
      </c>
      <c r="GY24" s="115">
        <f t="shared" si="350"/>
        <v>0</v>
      </c>
      <c r="GZ24" s="115">
        <f t="shared" si="350"/>
        <v>0</v>
      </c>
      <c r="HA24" s="115">
        <f t="shared" si="350"/>
        <v>0</v>
      </c>
      <c r="HB24" s="115">
        <f t="shared" si="350"/>
        <v>0</v>
      </c>
      <c r="HC24" s="115">
        <f t="shared" si="350"/>
        <v>0</v>
      </c>
      <c r="HD24" s="115">
        <f t="shared" si="350"/>
        <v>0</v>
      </c>
      <c r="HE24" s="115">
        <f t="shared" si="350"/>
        <v>0</v>
      </c>
      <c r="HF24" s="115">
        <f t="shared" si="350"/>
        <v>0</v>
      </c>
      <c r="HG24" s="115">
        <f t="shared" si="350"/>
        <v>0</v>
      </c>
      <c r="HH24" s="115">
        <f t="shared" si="350"/>
        <v>0</v>
      </c>
      <c r="HI24" s="115">
        <f t="shared" si="350"/>
        <v>0</v>
      </c>
      <c r="HJ24" s="115">
        <f t="shared" si="350"/>
        <v>0</v>
      </c>
      <c r="HK24" s="115">
        <f t="shared" si="350"/>
        <v>0</v>
      </c>
      <c r="HL24" s="115">
        <f t="shared" si="350"/>
        <v>0</v>
      </c>
      <c r="HM24" s="115">
        <f t="shared" si="350"/>
        <v>0</v>
      </c>
      <c r="HN24" s="115">
        <f t="shared" si="350"/>
        <v>0</v>
      </c>
      <c r="HO24" s="115">
        <f t="shared" si="350"/>
        <v>0</v>
      </c>
      <c r="HP24" s="115">
        <f t="shared" si="350"/>
        <v>0</v>
      </c>
      <c r="HQ24" s="115">
        <f t="shared" si="350"/>
        <v>0</v>
      </c>
      <c r="HR24" s="115">
        <f t="shared" si="350"/>
        <v>0</v>
      </c>
      <c r="HS24" s="115">
        <f t="shared" si="350"/>
        <v>0</v>
      </c>
      <c r="HT24" s="115">
        <f t="shared" si="350"/>
        <v>0</v>
      </c>
      <c r="HU24" s="115">
        <f t="shared" si="350"/>
        <v>0</v>
      </c>
      <c r="HV24" s="115">
        <f t="shared" si="350"/>
        <v>0</v>
      </c>
      <c r="HW24" s="115">
        <f t="shared" si="350"/>
        <v>0</v>
      </c>
      <c r="HX24" s="115">
        <f t="shared" si="350"/>
        <v>0</v>
      </c>
      <c r="HY24" s="115">
        <f t="shared" si="350"/>
        <v>0</v>
      </c>
      <c r="HZ24" s="115">
        <f t="shared" si="350"/>
        <v>0</v>
      </c>
      <c r="IA24" s="115">
        <f t="shared" si="350"/>
        <v>0</v>
      </c>
      <c r="IB24" s="115">
        <f t="shared" si="350"/>
        <v>0</v>
      </c>
      <c r="IC24" s="115">
        <f t="shared" si="350"/>
        <v>0</v>
      </c>
      <c r="ID24" s="115">
        <f t="shared" si="350"/>
        <v>0</v>
      </c>
      <c r="IE24" s="115">
        <f t="shared" si="350"/>
        <v>0</v>
      </c>
      <c r="IF24" s="115">
        <f t="shared" si="350"/>
        <v>0</v>
      </c>
      <c r="IG24" s="115">
        <f t="shared" si="350"/>
        <v>0</v>
      </c>
      <c r="IH24" s="115">
        <f t="shared" si="350"/>
        <v>0</v>
      </c>
      <c r="II24" s="115">
        <f t="shared" si="350"/>
        <v>0</v>
      </c>
      <c r="IJ24" s="115">
        <f t="shared" si="350"/>
        <v>0</v>
      </c>
      <c r="IK24" s="115">
        <f t="shared" si="350"/>
        <v>0</v>
      </c>
      <c r="IL24" s="115">
        <f t="shared" si="350"/>
        <v>0</v>
      </c>
      <c r="IM24" s="115">
        <f t="shared" si="350"/>
        <v>0</v>
      </c>
      <c r="IN24" s="115">
        <f t="shared" si="350"/>
        <v>0</v>
      </c>
      <c r="IO24" s="115">
        <f t="shared" si="350"/>
        <v>0</v>
      </c>
      <c r="IP24" s="115">
        <f t="shared" si="350"/>
        <v>0</v>
      </c>
      <c r="IQ24" s="115">
        <f t="shared" si="350"/>
        <v>0</v>
      </c>
      <c r="IR24" s="115">
        <f t="shared" si="350"/>
        <v>1</v>
      </c>
      <c r="IS24" s="115">
        <f t="shared" si="350"/>
        <v>1</v>
      </c>
      <c r="IT24" s="115">
        <f t="shared" si="350"/>
        <v>0</v>
      </c>
      <c r="IU24" s="115">
        <f t="shared" si="350"/>
        <v>0</v>
      </c>
      <c r="IV24" s="115">
        <f t="shared" si="350"/>
        <v>0</v>
      </c>
      <c r="IW24" s="115">
        <f t="shared" si="350"/>
        <v>0</v>
      </c>
      <c r="IX24" s="115">
        <f t="shared" si="350"/>
        <v>0</v>
      </c>
      <c r="IY24" s="115">
        <f t="shared" si="350"/>
        <v>0</v>
      </c>
      <c r="IZ24" s="115">
        <f t="shared" si="350"/>
        <v>1</v>
      </c>
      <c r="JA24" s="115">
        <f t="shared" si="350"/>
        <v>1</v>
      </c>
      <c r="JB24" s="115">
        <f t="shared" si="350"/>
        <v>2</v>
      </c>
      <c r="JC24" s="115">
        <f t="shared" ref="JC24:LN24" si="351">SUM(JC22:JC23)</f>
        <v>0</v>
      </c>
      <c r="JD24" s="115">
        <f t="shared" si="351"/>
        <v>0</v>
      </c>
      <c r="JE24" s="115">
        <f t="shared" si="351"/>
        <v>0</v>
      </c>
      <c r="JF24" s="115">
        <f t="shared" si="351"/>
        <v>0</v>
      </c>
      <c r="JG24" s="115">
        <f t="shared" si="351"/>
        <v>0</v>
      </c>
      <c r="JH24" s="115">
        <f t="shared" si="351"/>
        <v>0</v>
      </c>
      <c r="JI24" s="115">
        <f t="shared" si="351"/>
        <v>0</v>
      </c>
      <c r="JJ24" s="115">
        <f t="shared" si="351"/>
        <v>0</v>
      </c>
      <c r="JK24" s="115">
        <f t="shared" si="351"/>
        <v>0</v>
      </c>
      <c r="JL24" s="115">
        <f t="shared" si="351"/>
        <v>0</v>
      </c>
      <c r="JM24" s="115">
        <f t="shared" si="351"/>
        <v>0</v>
      </c>
      <c r="JN24" s="115">
        <f t="shared" si="351"/>
        <v>0</v>
      </c>
      <c r="JO24" s="115">
        <f t="shared" si="351"/>
        <v>0</v>
      </c>
      <c r="JP24" s="115">
        <f t="shared" si="351"/>
        <v>1</v>
      </c>
      <c r="JQ24" s="115">
        <f t="shared" si="351"/>
        <v>1</v>
      </c>
      <c r="JR24" s="115">
        <f t="shared" si="351"/>
        <v>0</v>
      </c>
      <c r="JS24" s="115">
        <f t="shared" si="351"/>
        <v>0</v>
      </c>
      <c r="JT24" s="115">
        <f t="shared" si="351"/>
        <v>0</v>
      </c>
      <c r="JU24" s="115">
        <f t="shared" si="351"/>
        <v>0</v>
      </c>
      <c r="JV24" s="115">
        <f t="shared" si="351"/>
        <v>0</v>
      </c>
      <c r="JW24" s="115">
        <f t="shared" si="351"/>
        <v>0</v>
      </c>
      <c r="JX24" s="115">
        <f t="shared" si="351"/>
        <v>0</v>
      </c>
      <c r="JY24" s="115">
        <f t="shared" si="351"/>
        <v>0</v>
      </c>
      <c r="JZ24" s="115">
        <f t="shared" si="351"/>
        <v>1</v>
      </c>
      <c r="KA24" s="115">
        <f t="shared" si="351"/>
        <v>1</v>
      </c>
      <c r="KB24" s="115">
        <f t="shared" si="351"/>
        <v>2</v>
      </c>
      <c r="KC24" s="115">
        <f t="shared" si="351"/>
        <v>2</v>
      </c>
      <c r="KD24" s="115">
        <f t="shared" si="351"/>
        <v>0</v>
      </c>
      <c r="KE24" s="115">
        <f t="shared" si="351"/>
        <v>0</v>
      </c>
      <c r="KF24" s="115">
        <f t="shared" si="351"/>
        <v>2</v>
      </c>
      <c r="KG24" s="115">
        <f t="shared" si="351"/>
        <v>0</v>
      </c>
      <c r="KH24" s="115">
        <f t="shared" si="351"/>
        <v>0</v>
      </c>
      <c r="KI24" s="115">
        <f t="shared" si="351"/>
        <v>0</v>
      </c>
      <c r="KJ24" s="115">
        <f t="shared" si="351"/>
        <v>0</v>
      </c>
      <c r="KK24" s="115">
        <f t="shared" si="351"/>
        <v>2</v>
      </c>
      <c r="KL24" s="115">
        <f t="shared" si="351"/>
        <v>0</v>
      </c>
      <c r="KM24" s="115">
        <f t="shared" si="351"/>
        <v>36</v>
      </c>
      <c r="KN24" s="115">
        <f t="shared" si="351"/>
        <v>9</v>
      </c>
      <c r="KO24" s="115">
        <f t="shared" si="351"/>
        <v>45</v>
      </c>
      <c r="KP24" s="115">
        <f t="shared" si="351"/>
        <v>0</v>
      </c>
      <c r="KQ24" s="115">
        <f t="shared" si="351"/>
        <v>2</v>
      </c>
      <c r="KR24" s="115">
        <f t="shared" si="351"/>
        <v>0</v>
      </c>
      <c r="KS24" s="115">
        <f t="shared" si="351"/>
        <v>2</v>
      </c>
      <c r="KT24" s="115">
        <f t="shared" si="351"/>
        <v>0</v>
      </c>
      <c r="KU24" s="115">
        <f t="shared" si="351"/>
        <v>0</v>
      </c>
      <c r="KV24" s="115">
        <f t="shared" si="351"/>
        <v>1</v>
      </c>
      <c r="KW24" s="115">
        <f t="shared" si="351"/>
        <v>1</v>
      </c>
      <c r="KX24" s="115">
        <f t="shared" si="351"/>
        <v>0</v>
      </c>
      <c r="KY24" s="115">
        <f t="shared" si="351"/>
        <v>2</v>
      </c>
      <c r="KZ24" s="115">
        <f t="shared" si="351"/>
        <v>0</v>
      </c>
      <c r="LA24" s="115">
        <f t="shared" si="351"/>
        <v>0</v>
      </c>
      <c r="LB24" s="115">
        <f t="shared" si="351"/>
        <v>0</v>
      </c>
      <c r="LC24" s="115">
        <f t="shared" si="351"/>
        <v>0</v>
      </c>
      <c r="LD24" s="115">
        <f t="shared" si="351"/>
        <v>0</v>
      </c>
      <c r="LE24" s="115">
        <f t="shared" si="351"/>
        <v>2</v>
      </c>
      <c r="LF24" s="115">
        <f t="shared" si="351"/>
        <v>0</v>
      </c>
      <c r="LG24" s="115">
        <f t="shared" si="351"/>
        <v>2</v>
      </c>
      <c r="LH24" s="115">
        <f t="shared" si="351"/>
        <v>0</v>
      </c>
      <c r="LI24" s="115">
        <f t="shared" si="351"/>
        <v>2</v>
      </c>
      <c r="LJ24" s="115">
        <f t="shared" si="351"/>
        <v>0</v>
      </c>
      <c r="LK24" s="115">
        <f t="shared" si="351"/>
        <v>2</v>
      </c>
      <c r="LL24" s="115">
        <f t="shared" si="351"/>
        <v>0</v>
      </c>
      <c r="LM24" s="115">
        <f t="shared" si="351"/>
        <v>2</v>
      </c>
      <c r="LN24" s="115">
        <f t="shared" si="351"/>
        <v>0</v>
      </c>
      <c r="LO24" s="115">
        <f t="shared" ref="LO24:MO24" si="352">SUM(LO22:LO23)</f>
        <v>0</v>
      </c>
      <c r="LP24" s="115">
        <f t="shared" si="352"/>
        <v>0</v>
      </c>
      <c r="LQ24" s="115">
        <f t="shared" si="352"/>
        <v>2</v>
      </c>
      <c r="LR24" s="115">
        <f t="shared" si="352"/>
        <v>0</v>
      </c>
      <c r="LS24" s="115">
        <f t="shared" si="352"/>
        <v>0</v>
      </c>
      <c r="LT24" s="115">
        <f t="shared" si="352"/>
        <v>2</v>
      </c>
      <c r="LU24" s="115">
        <f t="shared" si="352"/>
        <v>0</v>
      </c>
      <c r="LV24" s="115">
        <f t="shared" si="352"/>
        <v>0</v>
      </c>
      <c r="LW24" s="115">
        <f t="shared" si="352"/>
        <v>89</v>
      </c>
      <c r="LX24" s="115">
        <f t="shared" si="352"/>
        <v>50</v>
      </c>
      <c r="LY24" s="115">
        <f t="shared" si="352"/>
        <v>139</v>
      </c>
      <c r="LZ24" s="115">
        <f t="shared" si="352"/>
        <v>0</v>
      </c>
      <c r="MA24" s="115">
        <f t="shared" si="352"/>
        <v>2</v>
      </c>
      <c r="MB24" s="115">
        <f t="shared" si="352"/>
        <v>0</v>
      </c>
      <c r="MC24" s="115">
        <f t="shared" si="352"/>
        <v>0</v>
      </c>
      <c r="MD24" s="115">
        <f t="shared" si="352"/>
        <v>0</v>
      </c>
      <c r="ME24" s="115">
        <f t="shared" si="352"/>
        <v>0</v>
      </c>
      <c r="MF24" s="115">
        <f t="shared" si="352"/>
        <v>0</v>
      </c>
      <c r="MG24" s="115">
        <f t="shared" si="352"/>
        <v>0</v>
      </c>
      <c r="MH24" s="115">
        <f t="shared" si="352"/>
        <v>0</v>
      </c>
      <c r="MI24" s="115">
        <f t="shared" si="352"/>
        <v>0</v>
      </c>
      <c r="MJ24" s="115">
        <f t="shared" si="352"/>
        <v>0</v>
      </c>
      <c r="MK24" s="115">
        <f t="shared" si="352"/>
        <v>0</v>
      </c>
      <c r="ML24" s="115">
        <f t="shared" si="352"/>
        <v>0</v>
      </c>
      <c r="MM24" s="115">
        <f t="shared" si="352"/>
        <v>0</v>
      </c>
      <c r="MN24" s="115">
        <f t="shared" si="352"/>
        <v>0</v>
      </c>
      <c r="MO24" s="115">
        <f t="shared" si="352"/>
        <v>0</v>
      </c>
    </row>
    <row r="25" spans="1:353" s="51" customFormat="1" ht="31.5" customHeight="1" thickBot="1" x14ac:dyDescent="0.25">
      <c r="A25" s="361" t="s">
        <v>324</v>
      </c>
      <c r="B25" s="362"/>
      <c r="C25" s="362"/>
      <c r="D25" s="362"/>
      <c r="E25" s="363"/>
      <c r="F25" s="50">
        <f>F21+F15+F24</f>
        <v>11</v>
      </c>
      <c r="G25" s="50">
        <f t="shared" ref="G25:BR25" si="353">G21+G15+G24</f>
        <v>2</v>
      </c>
      <c r="H25" s="50">
        <f t="shared" si="353"/>
        <v>8</v>
      </c>
      <c r="I25" s="50">
        <f t="shared" si="353"/>
        <v>3</v>
      </c>
      <c r="J25" s="50">
        <f t="shared" si="353"/>
        <v>2</v>
      </c>
      <c r="K25" s="50">
        <f t="shared" si="353"/>
        <v>11</v>
      </c>
      <c r="L25" s="50">
        <f t="shared" si="353"/>
        <v>2</v>
      </c>
      <c r="M25" s="50">
        <f t="shared" si="353"/>
        <v>12</v>
      </c>
      <c r="N25" s="50">
        <f t="shared" si="353"/>
        <v>1</v>
      </c>
      <c r="O25" s="50">
        <f t="shared" si="353"/>
        <v>0</v>
      </c>
      <c r="P25" s="50">
        <f t="shared" si="353"/>
        <v>12</v>
      </c>
      <c r="Q25" s="50">
        <f t="shared" si="353"/>
        <v>1</v>
      </c>
      <c r="R25" s="50">
        <f t="shared" si="353"/>
        <v>10</v>
      </c>
      <c r="S25" s="50">
        <f t="shared" si="353"/>
        <v>0</v>
      </c>
      <c r="T25" s="50">
        <f t="shared" si="353"/>
        <v>3</v>
      </c>
      <c r="U25" s="50">
        <f t="shared" si="353"/>
        <v>0</v>
      </c>
      <c r="V25" s="50">
        <f t="shared" si="353"/>
        <v>0</v>
      </c>
      <c r="W25" s="50">
        <f t="shared" si="353"/>
        <v>13</v>
      </c>
      <c r="X25" s="50">
        <f t="shared" si="353"/>
        <v>8</v>
      </c>
      <c r="Y25" s="50">
        <f t="shared" si="353"/>
        <v>2</v>
      </c>
      <c r="Z25" s="50">
        <f t="shared" si="353"/>
        <v>136</v>
      </c>
      <c r="AA25" s="50">
        <f t="shared" si="353"/>
        <v>36</v>
      </c>
      <c r="AB25" s="50">
        <f t="shared" si="353"/>
        <v>11</v>
      </c>
      <c r="AC25" s="50">
        <f t="shared" si="353"/>
        <v>1</v>
      </c>
      <c r="AD25" s="50">
        <f t="shared" si="353"/>
        <v>2</v>
      </c>
      <c r="AE25" s="50">
        <f t="shared" si="353"/>
        <v>0</v>
      </c>
      <c r="AF25" s="50">
        <f t="shared" si="353"/>
        <v>0</v>
      </c>
      <c r="AG25" s="50">
        <f t="shared" si="353"/>
        <v>0</v>
      </c>
      <c r="AH25" s="50">
        <f t="shared" si="353"/>
        <v>0</v>
      </c>
      <c r="AI25" s="50">
        <f t="shared" si="353"/>
        <v>0</v>
      </c>
      <c r="AJ25" s="50">
        <f t="shared" si="353"/>
        <v>157</v>
      </c>
      <c r="AK25" s="50">
        <f t="shared" si="353"/>
        <v>39</v>
      </c>
      <c r="AL25" s="50">
        <f t="shared" si="353"/>
        <v>196</v>
      </c>
      <c r="AM25" s="50">
        <f t="shared" si="353"/>
        <v>0</v>
      </c>
      <c r="AN25" s="50">
        <f t="shared" si="353"/>
        <v>0</v>
      </c>
      <c r="AO25" s="50">
        <f t="shared" si="353"/>
        <v>0</v>
      </c>
      <c r="AP25" s="50">
        <f t="shared" si="353"/>
        <v>0</v>
      </c>
      <c r="AQ25" s="50">
        <f t="shared" si="353"/>
        <v>0</v>
      </c>
      <c r="AR25" s="50">
        <f t="shared" si="353"/>
        <v>0</v>
      </c>
      <c r="AS25" s="50">
        <f t="shared" si="353"/>
        <v>0</v>
      </c>
      <c r="AT25" s="50">
        <f t="shared" si="353"/>
        <v>0</v>
      </c>
      <c r="AU25" s="50">
        <f t="shared" si="353"/>
        <v>0</v>
      </c>
      <c r="AV25" s="50">
        <f t="shared" si="353"/>
        <v>0</v>
      </c>
      <c r="AW25" s="50">
        <f t="shared" si="353"/>
        <v>0</v>
      </c>
      <c r="AX25" s="50">
        <f t="shared" si="353"/>
        <v>0</v>
      </c>
      <c r="AY25" s="50">
        <f t="shared" si="353"/>
        <v>0</v>
      </c>
      <c r="AZ25" s="50">
        <f t="shared" si="353"/>
        <v>8</v>
      </c>
      <c r="BA25" s="50">
        <f t="shared" si="353"/>
        <v>2</v>
      </c>
      <c r="BB25" s="50">
        <f t="shared" si="353"/>
        <v>136</v>
      </c>
      <c r="BC25" s="50">
        <f t="shared" si="353"/>
        <v>36</v>
      </c>
      <c r="BD25" s="50">
        <f t="shared" si="353"/>
        <v>16</v>
      </c>
      <c r="BE25" s="50">
        <f t="shared" si="353"/>
        <v>1</v>
      </c>
      <c r="BF25" s="50">
        <f t="shared" si="353"/>
        <v>4</v>
      </c>
      <c r="BG25" s="50">
        <f t="shared" si="353"/>
        <v>0</v>
      </c>
      <c r="BH25" s="50">
        <f t="shared" si="353"/>
        <v>5</v>
      </c>
      <c r="BI25" s="50">
        <f t="shared" si="353"/>
        <v>0</v>
      </c>
      <c r="BJ25" s="50">
        <f t="shared" si="353"/>
        <v>0</v>
      </c>
      <c r="BK25" s="50">
        <f t="shared" si="353"/>
        <v>0</v>
      </c>
      <c r="BL25" s="50">
        <f t="shared" si="353"/>
        <v>169</v>
      </c>
      <c r="BM25" s="50">
        <f t="shared" si="353"/>
        <v>39</v>
      </c>
      <c r="BN25" s="50">
        <f t="shared" si="353"/>
        <v>208</v>
      </c>
      <c r="BO25" s="50">
        <f t="shared" si="353"/>
        <v>115</v>
      </c>
      <c r="BP25" s="50">
        <f t="shared" si="353"/>
        <v>49</v>
      </c>
      <c r="BQ25" s="50">
        <f t="shared" si="353"/>
        <v>14</v>
      </c>
      <c r="BR25" s="50">
        <f t="shared" si="353"/>
        <v>3</v>
      </c>
      <c r="BS25" s="50">
        <f t="shared" ref="BS25:ED25" si="354">BS21+BS15+BS24</f>
        <v>6</v>
      </c>
      <c r="BT25" s="50">
        <f t="shared" si="354"/>
        <v>0</v>
      </c>
      <c r="BU25" s="50">
        <f t="shared" si="354"/>
        <v>1</v>
      </c>
      <c r="BV25" s="50">
        <f t="shared" si="354"/>
        <v>0</v>
      </c>
      <c r="BW25" s="50">
        <f t="shared" si="354"/>
        <v>0</v>
      </c>
      <c r="BX25" s="50">
        <f t="shared" si="354"/>
        <v>0</v>
      </c>
      <c r="BY25" s="50">
        <f t="shared" si="354"/>
        <v>136</v>
      </c>
      <c r="BZ25" s="50">
        <f t="shared" si="354"/>
        <v>52</v>
      </c>
      <c r="CA25" s="50">
        <f t="shared" si="354"/>
        <v>188</v>
      </c>
      <c r="CB25" s="50">
        <f t="shared" si="354"/>
        <v>120</v>
      </c>
      <c r="CC25" s="50">
        <f t="shared" si="354"/>
        <v>47</v>
      </c>
      <c r="CD25" s="50">
        <f t="shared" si="354"/>
        <v>19</v>
      </c>
      <c r="CE25" s="50">
        <f t="shared" si="354"/>
        <v>3</v>
      </c>
      <c r="CF25" s="50">
        <f t="shared" si="354"/>
        <v>8</v>
      </c>
      <c r="CG25" s="50">
        <f t="shared" si="354"/>
        <v>0</v>
      </c>
      <c r="CH25" s="50">
        <f t="shared" si="354"/>
        <v>1</v>
      </c>
      <c r="CI25" s="50">
        <f t="shared" si="354"/>
        <v>0</v>
      </c>
      <c r="CJ25" s="50">
        <f t="shared" si="354"/>
        <v>1</v>
      </c>
      <c r="CK25" s="50">
        <f t="shared" si="354"/>
        <v>0</v>
      </c>
      <c r="CL25" s="50">
        <f t="shared" si="354"/>
        <v>149</v>
      </c>
      <c r="CM25" s="50">
        <f t="shared" si="354"/>
        <v>50</v>
      </c>
      <c r="CN25" s="50">
        <f t="shared" si="354"/>
        <v>199</v>
      </c>
      <c r="CO25" s="50">
        <f t="shared" si="354"/>
        <v>133</v>
      </c>
      <c r="CP25" s="50">
        <f t="shared" si="354"/>
        <v>30</v>
      </c>
      <c r="CQ25" s="50">
        <f t="shared" si="354"/>
        <v>15</v>
      </c>
      <c r="CR25" s="50">
        <f t="shared" si="354"/>
        <v>4</v>
      </c>
      <c r="CS25" s="50">
        <f t="shared" si="354"/>
        <v>9</v>
      </c>
      <c r="CT25" s="50">
        <f t="shared" si="354"/>
        <v>0</v>
      </c>
      <c r="CU25" s="50">
        <f t="shared" si="354"/>
        <v>9</v>
      </c>
      <c r="CV25" s="50">
        <f t="shared" si="354"/>
        <v>0</v>
      </c>
      <c r="CW25" s="50">
        <f t="shared" si="354"/>
        <v>1</v>
      </c>
      <c r="CX25" s="50">
        <f t="shared" si="354"/>
        <v>0</v>
      </c>
      <c r="CY25" s="50">
        <f t="shared" si="354"/>
        <v>167</v>
      </c>
      <c r="CZ25" s="50">
        <f t="shared" si="354"/>
        <v>34</v>
      </c>
      <c r="DA25" s="50">
        <f t="shared" si="354"/>
        <v>201</v>
      </c>
      <c r="DB25" s="50">
        <f t="shared" si="354"/>
        <v>125</v>
      </c>
      <c r="DC25" s="50">
        <f t="shared" si="354"/>
        <v>41</v>
      </c>
      <c r="DD25" s="50">
        <f t="shared" si="354"/>
        <v>30</v>
      </c>
      <c r="DE25" s="50">
        <f t="shared" si="354"/>
        <v>8</v>
      </c>
      <c r="DF25" s="50">
        <f t="shared" si="354"/>
        <v>13</v>
      </c>
      <c r="DG25" s="50">
        <f t="shared" si="354"/>
        <v>2</v>
      </c>
      <c r="DH25" s="50">
        <f t="shared" si="354"/>
        <v>8</v>
      </c>
      <c r="DI25" s="50">
        <f t="shared" si="354"/>
        <v>1</v>
      </c>
      <c r="DJ25" s="50">
        <f t="shared" si="354"/>
        <v>4</v>
      </c>
      <c r="DK25" s="50">
        <f t="shared" si="354"/>
        <v>0</v>
      </c>
      <c r="DL25" s="50">
        <f t="shared" si="354"/>
        <v>180</v>
      </c>
      <c r="DM25" s="50">
        <f t="shared" si="354"/>
        <v>52</v>
      </c>
      <c r="DN25" s="50">
        <f t="shared" si="354"/>
        <v>232</v>
      </c>
      <c r="DO25" s="50">
        <f t="shared" si="354"/>
        <v>131</v>
      </c>
      <c r="DP25" s="50">
        <f t="shared" si="354"/>
        <v>30</v>
      </c>
      <c r="DQ25" s="50">
        <f t="shared" si="354"/>
        <v>26</v>
      </c>
      <c r="DR25" s="50">
        <f t="shared" si="354"/>
        <v>1</v>
      </c>
      <c r="DS25" s="50">
        <f t="shared" si="354"/>
        <v>7</v>
      </c>
      <c r="DT25" s="50">
        <f t="shared" si="354"/>
        <v>2</v>
      </c>
      <c r="DU25" s="50">
        <f t="shared" si="354"/>
        <v>3</v>
      </c>
      <c r="DV25" s="50">
        <f t="shared" si="354"/>
        <v>0</v>
      </c>
      <c r="DW25" s="50">
        <f t="shared" si="354"/>
        <v>4</v>
      </c>
      <c r="DX25" s="50">
        <f t="shared" si="354"/>
        <v>0</v>
      </c>
      <c r="DY25" s="50">
        <f t="shared" si="354"/>
        <v>171</v>
      </c>
      <c r="DZ25" s="50">
        <f t="shared" si="354"/>
        <v>33</v>
      </c>
      <c r="EA25" s="50">
        <f t="shared" si="354"/>
        <v>204</v>
      </c>
      <c r="EB25" s="50">
        <f t="shared" si="354"/>
        <v>8</v>
      </c>
      <c r="EC25" s="50">
        <f t="shared" si="354"/>
        <v>2</v>
      </c>
      <c r="ED25" s="50">
        <f t="shared" si="354"/>
        <v>136</v>
      </c>
      <c r="EE25" s="50">
        <f t="shared" ref="EE25:GP25" si="355">EE21+EE15+EE24</f>
        <v>36</v>
      </c>
      <c r="EF25" s="50">
        <f t="shared" si="355"/>
        <v>131</v>
      </c>
      <c r="EG25" s="50">
        <f t="shared" si="355"/>
        <v>50</v>
      </c>
      <c r="EH25" s="50">
        <f t="shared" si="355"/>
        <v>138</v>
      </c>
      <c r="EI25" s="50">
        <f t="shared" si="355"/>
        <v>50</v>
      </c>
      <c r="EJ25" s="50">
        <f t="shared" si="355"/>
        <v>163</v>
      </c>
      <c r="EK25" s="50">
        <f t="shared" si="355"/>
        <v>33</v>
      </c>
      <c r="EL25" s="50">
        <f t="shared" si="355"/>
        <v>149</v>
      </c>
      <c r="EM25" s="50">
        <f t="shared" si="355"/>
        <v>45</v>
      </c>
      <c r="EN25" s="50">
        <f t="shared" si="355"/>
        <v>171</v>
      </c>
      <c r="EO25" s="50">
        <f t="shared" si="355"/>
        <v>38</v>
      </c>
      <c r="EP25" s="50">
        <f t="shared" si="355"/>
        <v>49</v>
      </c>
      <c r="EQ25" s="50">
        <f t="shared" si="355"/>
        <v>3</v>
      </c>
      <c r="ER25" s="50">
        <f t="shared" si="355"/>
        <v>16</v>
      </c>
      <c r="ES25" s="50">
        <f t="shared" si="355"/>
        <v>3</v>
      </c>
      <c r="ET25" s="50">
        <f t="shared" si="355"/>
        <v>7</v>
      </c>
      <c r="EU25" s="50">
        <f t="shared" si="355"/>
        <v>0</v>
      </c>
      <c r="EV25" s="50">
        <f t="shared" si="355"/>
        <v>4</v>
      </c>
      <c r="EW25" s="50">
        <f t="shared" si="355"/>
        <v>0</v>
      </c>
      <c r="EX25" s="50">
        <f t="shared" si="355"/>
        <v>972</v>
      </c>
      <c r="EY25" s="50">
        <f t="shared" si="355"/>
        <v>260</v>
      </c>
      <c r="EZ25" s="50">
        <f t="shared" si="355"/>
        <v>1232</v>
      </c>
      <c r="FA25" s="50">
        <f t="shared" si="355"/>
        <v>0</v>
      </c>
      <c r="FB25" s="50">
        <f t="shared" si="355"/>
        <v>0</v>
      </c>
      <c r="FC25" s="50">
        <f t="shared" si="355"/>
        <v>0</v>
      </c>
      <c r="FD25" s="50">
        <f t="shared" si="355"/>
        <v>0</v>
      </c>
      <c r="FE25" s="50">
        <f t="shared" si="355"/>
        <v>0</v>
      </c>
      <c r="FF25" s="50">
        <f t="shared" si="355"/>
        <v>0</v>
      </c>
      <c r="FG25" s="50">
        <f t="shared" si="355"/>
        <v>0</v>
      </c>
      <c r="FH25" s="50">
        <f t="shared" si="355"/>
        <v>0</v>
      </c>
      <c r="FI25" s="50">
        <f t="shared" si="355"/>
        <v>0</v>
      </c>
      <c r="FJ25" s="50">
        <f t="shared" si="355"/>
        <v>0</v>
      </c>
      <c r="FK25" s="50">
        <f t="shared" si="355"/>
        <v>0</v>
      </c>
      <c r="FL25" s="50">
        <f t="shared" si="355"/>
        <v>0</v>
      </c>
      <c r="FM25" s="50">
        <f t="shared" si="355"/>
        <v>0</v>
      </c>
      <c r="FN25" s="50">
        <f t="shared" si="355"/>
        <v>0</v>
      </c>
      <c r="FO25" s="50">
        <f t="shared" si="355"/>
        <v>0</v>
      </c>
      <c r="FP25" s="50">
        <f t="shared" si="355"/>
        <v>0</v>
      </c>
      <c r="FQ25" s="50">
        <f t="shared" si="355"/>
        <v>0</v>
      </c>
      <c r="FR25" s="50">
        <f t="shared" si="355"/>
        <v>0</v>
      </c>
      <c r="FS25" s="50">
        <f t="shared" si="355"/>
        <v>0</v>
      </c>
      <c r="FT25" s="50">
        <f t="shared" si="355"/>
        <v>0</v>
      </c>
      <c r="FU25" s="50">
        <f t="shared" si="355"/>
        <v>0</v>
      </c>
      <c r="FV25" s="50">
        <f t="shared" si="355"/>
        <v>0</v>
      </c>
      <c r="FW25" s="50">
        <f t="shared" si="355"/>
        <v>0</v>
      </c>
      <c r="FX25" s="50">
        <f t="shared" si="355"/>
        <v>0</v>
      </c>
      <c r="FY25" s="50">
        <f t="shared" si="355"/>
        <v>0</v>
      </c>
      <c r="FZ25" s="50">
        <f t="shared" si="355"/>
        <v>0</v>
      </c>
      <c r="GA25" s="50">
        <f t="shared" si="355"/>
        <v>0</v>
      </c>
      <c r="GB25" s="50">
        <f t="shared" si="355"/>
        <v>0</v>
      </c>
      <c r="GC25" s="50">
        <f t="shared" si="355"/>
        <v>0</v>
      </c>
      <c r="GD25" s="50">
        <f t="shared" si="355"/>
        <v>0</v>
      </c>
      <c r="GE25" s="50">
        <f t="shared" si="355"/>
        <v>0</v>
      </c>
      <c r="GF25" s="50">
        <f t="shared" si="355"/>
        <v>0</v>
      </c>
      <c r="GG25" s="50">
        <f t="shared" si="355"/>
        <v>0</v>
      </c>
      <c r="GH25" s="50">
        <f t="shared" si="355"/>
        <v>0</v>
      </c>
      <c r="GI25" s="50">
        <f t="shared" si="355"/>
        <v>0</v>
      </c>
      <c r="GJ25" s="50">
        <f t="shared" si="355"/>
        <v>0</v>
      </c>
      <c r="GK25" s="50">
        <f t="shared" si="355"/>
        <v>0</v>
      </c>
      <c r="GL25" s="50">
        <f t="shared" si="355"/>
        <v>0</v>
      </c>
      <c r="GM25" s="50">
        <f t="shared" si="355"/>
        <v>0</v>
      </c>
      <c r="GN25" s="50">
        <f t="shared" si="355"/>
        <v>0</v>
      </c>
      <c r="GO25" s="50">
        <f t="shared" si="355"/>
        <v>0</v>
      </c>
      <c r="GP25" s="50">
        <f t="shared" si="355"/>
        <v>0</v>
      </c>
      <c r="GQ25" s="50">
        <f t="shared" ref="GQ25:JB25" si="356">GQ21+GQ15+GQ24</f>
        <v>0</v>
      </c>
      <c r="GR25" s="50">
        <f t="shared" si="356"/>
        <v>0</v>
      </c>
      <c r="GS25" s="50">
        <f t="shared" si="356"/>
        <v>0</v>
      </c>
      <c r="GT25" s="50">
        <f t="shared" si="356"/>
        <v>0</v>
      </c>
      <c r="GU25" s="50">
        <f t="shared" si="356"/>
        <v>0</v>
      </c>
      <c r="GV25" s="50">
        <f t="shared" si="356"/>
        <v>0</v>
      </c>
      <c r="GW25" s="50">
        <f t="shared" si="356"/>
        <v>0</v>
      </c>
      <c r="GX25" s="50">
        <f t="shared" si="356"/>
        <v>0</v>
      </c>
      <c r="GY25" s="50">
        <f t="shared" si="356"/>
        <v>0</v>
      </c>
      <c r="GZ25" s="50">
        <f t="shared" si="356"/>
        <v>0</v>
      </c>
      <c r="HA25" s="50">
        <f t="shared" si="356"/>
        <v>0</v>
      </c>
      <c r="HB25" s="50">
        <f t="shared" si="356"/>
        <v>0</v>
      </c>
      <c r="HC25" s="50">
        <f t="shared" si="356"/>
        <v>0</v>
      </c>
      <c r="HD25" s="50">
        <f t="shared" si="356"/>
        <v>0</v>
      </c>
      <c r="HE25" s="50">
        <f t="shared" si="356"/>
        <v>6</v>
      </c>
      <c r="HF25" s="50">
        <f t="shared" si="356"/>
        <v>2</v>
      </c>
      <c r="HG25" s="50">
        <f t="shared" si="356"/>
        <v>0</v>
      </c>
      <c r="HH25" s="50">
        <f t="shared" si="356"/>
        <v>5</v>
      </c>
      <c r="HI25" s="50">
        <f t="shared" si="356"/>
        <v>2</v>
      </c>
      <c r="HJ25" s="50">
        <f t="shared" si="356"/>
        <v>0</v>
      </c>
      <c r="HK25" s="50">
        <f t="shared" si="356"/>
        <v>5</v>
      </c>
      <c r="HL25" s="50">
        <f t="shared" si="356"/>
        <v>2</v>
      </c>
      <c r="HM25" s="50">
        <f t="shared" si="356"/>
        <v>0</v>
      </c>
      <c r="HN25" s="50">
        <f t="shared" si="356"/>
        <v>5</v>
      </c>
      <c r="HO25" s="50">
        <f t="shared" si="356"/>
        <v>1</v>
      </c>
      <c r="HP25" s="50">
        <f t="shared" si="356"/>
        <v>0</v>
      </c>
      <c r="HQ25" s="50">
        <f t="shared" si="356"/>
        <v>6</v>
      </c>
      <c r="HR25" s="50">
        <f t="shared" si="356"/>
        <v>2</v>
      </c>
      <c r="HS25" s="50">
        <f t="shared" si="356"/>
        <v>0</v>
      </c>
      <c r="HT25" s="50">
        <f t="shared" si="356"/>
        <v>6</v>
      </c>
      <c r="HU25" s="50">
        <f t="shared" si="356"/>
        <v>2</v>
      </c>
      <c r="HV25" s="50">
        <f t="shared" si="356"/>
        <v>0</v>
      </c>
      <c r="HW25" s="50">
        <f t="shared" si="356"/>
        <v>33</v>
      </c>
      <c r="HX25" s="50">
        <f t="shared" si="356"/>
        <v>11</v>
      </c>
      <c r="HY25" s="50">
        <f t="shared" si="356"/>
        <v>0</v>
      </c>
      <c r="HZ25" s="50">
        <f t="shared" si="356"/>
        <v>44</v>
      </c>
      <c r="IA25" s="50">
        <f t="shared" si="356"/>
        <v>0</v>
      </c>
      <c r="IB25" s="50">
        <f t="shared" si="356"/>
        <v>0</v>
      </c>
      <c r="IC25" s="50">
        <f t="shared" si="356"/>
        <v>0</v>
      </c>
      <c r="ID25" s="50">
        <f t="shared" si="356"/>
        <v>0</v>
      </c>
      <c r="IE25" s="50">
        <f t="shared" si="356"/>
        <v>0</v>
      </c>
      <c r="IF25" s="50">
        <f t="shared" si="356"/>
        <v>0</v>
      </c>
      <c r="IG25" s="50">
        <f t="shared" si="356"/>
        <v>0</v>
      </c>
      <c r="IH25" s="50">
        <f t="shared" si="356"/>
        <v>0</v>
      </c>
      <c r="II25" s="50">
        <f t="shared" si="356"/>
        <v>0</v>
      </c>
      <c r="IJ25" s="50">
        <f t="shared" si="356"/>
        <v>0</v>
      </c>
      <c r="IK25" s="50">
        <f t="shared" si="356"/>
        <v>0</v>
      </c>
      <c r="IL25" s="50">
        <f t="shared" si="356"/>
        <v>0</v>
      </c>
      <c r="IM25" s="50">
        <f t="shared" si="356"/>
        <v>0</v>
      </c>
      <c r="IN25" s="50">
        <f t="shared" si="356"/>
        <v>33</v>
      </c>
      <c r="IO25" s="50">
        <f t="shared" si="356"/>
        <v>11</v>
      </c>
      <c r="IP25" s="50">
        <f t="shared" si="356"/>
        <v>0</v>
      </c>
      <c r="IQ25" s="50">
        <f t="shared" si="356"/>
        <v>44</v>
      </c>
      <c r="IR25" s="50">
        <f t="shared" si="356"/>
        <v>6</v>
      </c>
      <c r="IS25" s="50">
        <f t="shared" si="356"/>
        <v>2</v>
      </c>
      <c r="IT25" s="50">
        <f t="shared" si="356"/>
        <v>2</v>
      </c>
      <c r="IU25" s="50">
        <f t="shared" si="356"/>
        <v>4</v>
      </c>
      <c r="IV25" s="50">
        <f t="shared" si="356"/>
        <v>17</v>
      </c>
      <c r="IW25" s="50">
        <f t="shared" si="356"/>
        <v>52</v>
      </c>
      <c r="IX25" s="50">
        <f t="shared" si="356"/>
        <v>0</v>
      </c>
      <c r="IY25" s="50">
        <f t="shared" si="356"/>
        <v>1</v>
      </c>
      <c r="IZ25" s="50">
        <f t="shared" si="356"/>
        <v>25</v>
      </c>
      <c r="JA25" s="50">
        <f t="shared" si="356"/>
        <v>59</v>
      </c>
      <c r="JB25" s="50">
        <f t="shared" si="356"/>
        <v>84</v>
      </c>
      <c r="JC25" s="50">
        <f t="shared" ref="JC25:LN25" si="357">JC21+JC15+JC24</f>
        <v>4</v>
      </c>
      <c r="JD25" s="50">
        <f t="shared" si="357"/>
        <v>1</v>
      </c>
      <c r="JE25" s="50">
        <f t="shared" si="357"/>
        <v>0</v>
      </c>
      <c r="JF25" s="50">
        <f t="shared" si="357"/>
        <v>0</v>
      </c>
      <c r="JG25" s="50">
        <f t="shared" si="357"/>
        <v>0</v>
      </c>
      <c r="JH25" s="50">
        <f t="shared" si="357"/>
        <v>0</v>
      </c>
      <c r="JI25" s="50">
        <f t="shared" si="357"/>
        <v>0</v>
      </c>
      <c r="JJ25" s="50">
        <f t="shared" si="357"/>
        <v>0</v>
      </c>
      <c r="JK25" s="50">
        <f t="shared" si="357"/>
        <v>0</v>
      </c>
      <c r="JL25" s="50">
        <f t="shared" si="357"/>
        <v>0</v>
      </c>
      <c r="JM25" s="50">
        <f t="shared" si="357"/>
        <v>4</v>
      </c>
      <c r="JN25" s="50">
        <f t="shared" si="357"/>
        <v>1</v>
      </c>
      <c r="JO25" s="50">
        <f t="shared" si="357"/>
        <v>5</v>
      </c>
      <c r="JP25" s="50">
        <f t="shared" si="357"/>
        <v>10</v>
      </c>
      <c r="JQ25" s="50">
        <f t="shared" si="357"/>
        <v>3</v>
      </c>
      <c r="JR25" s="50">
        <f t="shared" si="357"/>
        <v>2</v>
      </c>
      <c r="JS25" s="50">
        <f t="shared" si="357"/>
        <v>4</v>
      </c>
      <c r="JT25" s="50">
        <f t="shared" si="357"/>
        <v>0</v>
      </c>
      <c r="JU25" s="50">
        <f t="shared" si="357"/>
        <v>0</v>
      </c>
      <c r="JV25" s="50">
        <f t="shared" si="357"/>
        <v>17</v>
      </c>
      <c r="JW25" s="50">
        <f t="shared" si="357"/>
        <v>52</v>
      </c>
      <c r="JX25" s="50">
        <f t="shared" si="357"/>
        <v>0</v>
      </c>
      <c r="JY25" s="50">
        <f t="shared" si="357"/>
        <v>1</v>
      </c>
      <c r="JZ25" s="50">
        <f t="shared" si="357"/>
        <v>29</v>
      </c>
      <c r="KA25" s="50">
        <f t="shared" si="357"/>
        <v>60</v>
      </c>
      <c r="KB25" s="50">
        <f t="shared" si="357"/>
        <v>89</v>
      </c>
      <c r="KC25" s="50">
        <f t="shared" si="357"/>
        <v>12</v>
      </c>
      <c r="KD25" s="50">
        <f t="shared" si="357"/>
        <v>0</v>
      </c>
      <c r="KE25" s="50">
        <f t="shared" si="357"/>
        <v>2</v>
      </c>
      <c r="KF25" s="50">
        <f t="shared" si="357"/>
        <v>10</v>
      </c>
      <c r="KG25" s="50">
        <f t="shared" si="357"/>
        <v>0</v>
      </c>
      <c r="KH25" s="50">
        <f t="shared" si="357"/>
        <v>0</v>
      </c>
      <c r="KI25" s="50">
        <f t="shared" si="357"/>
        <v>1</v>
      </c>
      <c r="KJ25" s="50">
        <f t="shared" si="357"/>
        <v>6</v>
      </c>
      <c r="KK25" s="50">
        <f t="shared" si="357"/>
        <v>4</v>
      </c>
      <c r="KL25" s="50">
        <f t="shared" si="357"/>
        <v>1</v>
      </c>
      <c r="KM25" s="50">
        <f t="shared" si="357"/>
        <v>179</v>
      </c>
      <c r="KN25" s="50">
        <f t="shared" si="357"/>
        <v>95</v>
      </c>
      <c r="KO25" s="50">
        <f t="shared" si="357"/>
        <v>274</v>
      </c>
      <c r="KP25" s="50">
        <f t="shared" si="357"/>
        <v>0</v>
      </c>
      <c r="KQ25" s="50">
        <f t="shared" si="357"/>
        <v>12</v>
      </c>
      <c r="KR25" s="50">
        <f t="shared" si="357"/>
        <v>0</v>
      </c>
      <c r="KS25" s="50">
        <f t="shared" si="357"/>
        <v>10</v>
      </c>
      <c r="KT25" s="50">
        <f t="shared" si="357"/>
        <v>2</v>
      </c>
      <c r="KU25" s="50">
        <f t="shared" si="357"/>
        <v>0</v>
      </c>
      <c r="KV25" s="50">
        <f t="shared" si="357"/>
        <v>9</v>
      </c>
      <c r="KW25" s="50">
        <f t="shared" si="357"/>
        <v>2</v>
      </c>
      <c r="KX25" s="50">
        <f t="shared" si="357"/>
        <v>1</v>
      </c>
      <c r="KY25" s="50">
        <f t="shared" si="357"/>
        <v>12</v>
      </c>
      <c r="KZ25" s="50">
        <f t="shared" si="357"/>
        <v>0</v>
      </c>
      <c r="LA25" s="50">
        <f t="shared" si="357"/>
        <v>0</v>
      </c>
      <c r="LB25" s="50">
        <f t="shared" si="357"/>
        <v>0</v>
      </c>
      <c r="LC25" s="50">
        <f t="shared" si="357"/>
        <v>0</v>
      </c>
      <c r="LD25" s="50">
        <f t="shared" si="357"/>
        <v>0</v>
      </c>
      <c r="LE25" s="50">
        <f t="shared" si="357"/>
        <v>12</v>
      </c>
      <c r="LF25" s="50">
        <f t="shared" si="357"/>
        <v>0</v>
      </c>
      <c r="LG25" s="50">
        <f t="shared" si="357"/>
        <v>12</v>
      </c>
      <c r="LH25" s="50">
        <f t="shared" si="357"/>
        <v>0</v>
      </c>
      <c r="LI25" s="50">
        <f t="shared" si="357"/>
        <v>12</v>
      </c>
      <c r="LJ25" s="50">
        <f t="shared" si="357"/>
        <v>0</v>
      </c>
      <c r="LK25" s="50">
        <f t="shared" si="357"/>
        <v>12</v>
      </c>
      <c r="LL25" s="50">
        <f t="shared" si="357"/>
        <v>0</v>
      </c>
      <c r="LM25" s="50">
        <f t="shared" si="357"/>
        <v>11</v>
      </c>
      <c r="LN25" s="50">
        <f t="shared" si="357"/>
        <v>2</v>
      </c>
      <c r="LO25" s="50">
        <f t="shared" ref="LO25:MO25" si="358">LO21+LO15+LO24</f>
        <v>0</v>
      </c>
      <c r="LP25" s="50">
        <f t="shared" si="358"/>
        <v>0</v>
      </c>
      <c r="LQ25" s="50">
        <f t="shared" si="358"/>
        <v>11</v>
      </c>
      <c r="LR25" s="50">
        <f t="shared" si="358"/>
        <v>0</v>
      </c>
      <c r="LS25" s="50">
        <f t="shared" si="358"/>
        <v>0</v>
      </c>
      <c r="LT25" s="50">
        <f t="shared" si="358"/>
        <v>9</v>
      </c>
      <c r="LU25" s="50">
        <f t="shared" si="358"/>
        <v>1</v>
      </c>
      <c r="LV25" s="50">
        <f t="shared" si="358"/>
        <v>1</v>
      </c>
      <c r="LW25" s="50">
        <f t="shared" si="358"/>
        <v>5396</v>
      </c>
      <c r="LX25" s="50">
        <f t="shared" si="358"/>
        <v>1288</v>
      </c>
      <c r="LY25" s="50">
        <f t="shared" si="358"/>
        <v>6684</v>
      </c>
      <c r="LZ25" s="50">
        <f t="shared" si="358"/>
        <v>5</v>
      </c>
      <c r="MA25" s="50">
        <f t="shared" si="358"/>
        <v>8</v>
      </c>
      <c r="MB25" s="50">
        <f t="shared" si="358"/>
        <v>0</v>
      </c>
      <c r="MC25" s="50">
        <f t="shared" si="358"/>
        <v>5</v>
      </c>
      <c r="MD25" s="50">
        <f t="shared" si="358"/>
        <v>5</v>
      </c>
      <c r="ME25" s="50">
        <f t="shared" si="358"/>
        <v>0</v>
      </c>
      <c r="MF25" s="50">
        <f t="shared" si="358"/>
        <v>5</v>
      </c>
      <c r="MG25" s="50">
        <f t="shared" si="358"/>
        <v>0</v>
      </c>
      <c r="MH25" s="50">
        <f t="shared" si="358"/>
        <v>5</v>
      </c>
      <c r="MI25" s="50">
        <f t="shared" si="358"/>
        <v>0</v>
      </c>
      <c r="MJ25" s="50">
        <f t="shared" si="358"/>
        <v>0</v>
      </c>
      <c r="MK25" s="50">
        <f t="shared" si="358"/>
        <v>5</v>
      </c>
      <c r="ML25" s="50">
        <f t="shared" si="358"/>
        <v>0</v>
      </c>
      <c r="MM25" s="50">
        <f t="shared" si="358"/>
        <v>5</v>
      </c>
      <c r="MN25" s="50">
        <f t="shared" si="358"/>
        <v>4</v>
      </c>
      <c r="MO25" s="50">
        <f t="shared" si="358"/>
        <v>1</v>
      </c>
    </row>
    <row r="26" spans="1:353" s="49" customFormat="1" ht="21" customHeight="1" thickBot="1" x14ac:dyDescent="0.25">
      <c r="A26" s="36" t="s">
        <v>115</v>
      </c>
      <c r="B26" s="36" t="s">
        <v>113</v>
      </c>
      <c r="C26" s="36">
        <v>17</v>
      </c>
      <c r="D26" s="36">
        <v>1400348</v>
      </c>
      <c r="E26" s="36" t="s">
        <v>274</v>
      </c>
      <c r="F26" s="36">
        <v>1</v>
      </c>
      <c r="G26" s="36"/>
      <c r="H26" s="36">
        <v>1</v>
      </c>
      <c r="I26" s="36"/>
      <c r="J26" s="36"/>
      <c r="K26" s="36">
        <v>1</v>
      </c>
      <c r="L26" s="36"/>
      <c r="M26" s="36">
        <v>1</v>
      </c>
      <c r="N26" s="36"/>
      <c r="O26" s="36"/>
      <c r="P26" s="36">
        <v>1</v>
      </c>
      <c r="Q26" s="36"/>
      <c r="R26" s="36"/>
      <c r="S26" s="36"/>
      <c r="T26" s="36">
        <v>1</v>
      </c>
      <c r="U26" s="36"/>
      <c r="V26" s="36"/>
      <c r="W26" s="36">
        <v>1</v>
      </c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>
        <f>AH26+AF26+AD26+AB26+Z26+X26</f>
        <v>0</v>
      </c>
      <c r="AK26" s="36">
        <f>AI26+AG26+AE26+AC26+AA26+Y26</f>
        <v>0</v>
      </c>
      <c r="AL26" s="37">
        <f>SUM(AJ26:AK26)</f>
        <v>0</v>
      </c>
      <c r="AM26" s="38"/>
      <c r="AN26" s="39"/>
      <c r="AO26" s="39"/>
      <c r="AP26" s="39"/>
      <c r="AQ26" s="39"/>
      <c r="AR26" s="39"/>
      <c r="AS26" s="39"/>
      <c r="AT26" s="39"/>
      <c r="AU26" s="39"/>
      <c r="AV26" s="39"/>
      <c r="AW26" s="39">
        <f>AU26+AS26+AQ26+AO26+AM26</f>
        <v>0</v>
      </c>
      <c r="AX26" s="39">
        <f>AV26+AT26+AR26+AP26+AN26</f>
        <v>0</v>
      </c>
      <c r="AY26" s="40">
        <f>SUM(AW26:AX26)</f>
        <v>0</v>
      </c>
      <c r="AZ26" s="38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>
        <f>BJ26+BH26+BF26+BD26+BB26+AZ26</f>
        <v>0</v>
      </c>
      <c r="BM26" s="39">
        <f>BK26+BI26+BG26+BE26+BC26+BA26</f>
        <v>0</v>
      </c>
      <c r="BN26" s="39">
        <f>SUM(BL26:BM26)</f>
        <v>0</v>
      </c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>
        <f>BW26+BU26+BS26+BQ26+BO26</f>
        <v>0</v>
      </c>
      <c r="BZ26" s="39">
        <f>BX26+BV26+BT26+BR26+BP26</f>
        <v>0</v>
      </c>
      <c r="CA26" s="39">
        <f>SUM(BY26:BZ26)</f>
        <v>0</v>
      </c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>
        <f>CJ26+CH26+CF26+CD26+CB26</f>
        <v>0</v>
      </c>
      <c r="CM26" s="39">
        <f>CK26+CI26+CG26+CE26+CC26</f>
        <v>0</v>
      </c>
      <c r="CN26" s="39">
        <f>SUM(CL26:CM26)</f>
        <v>0</v>
      </c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>
        <f>CW26+CU26+CS26+CQ26+CO26</f>
        <v>0</v>
      </c>
      <c r="CZ26" s="39">
        <f>CX26+CV26+CT26+CR26+CP26</f>
        <v>0</v>
      </c>
      <c r="DA26" s="39">
        <f>SUM(CY26:CZ26)</f>
        <v>0</v>
      </c>
      <c r="DB26" s="41"/>
      <c r="DC26" s="42"/>
      <c r="DD26" s="42"/>
      <c r="DE26" s="42"/>
      <c r="DF26" s="42"/>
      <c r="DG26" s="42"/>
      <c r="DH26" s="42"/>
      <c r="DI26" s="42"/>
      <c r="DJ26" s="42"/>
      <c r="DK26" s="42"/>
      <c r="DL26" s="42">
        <f>DJ26+DH26+DF26+DD26+DB26</f>
        <v>0</v>
      </c>
      <c r="DM26" s="42">
        <f>DK26+DI26+DG26+DE26+DC26</f>
        <v>0</v>
      </c>
      <c r="DN26" s="42">
        <f>SUM(DL26:DM26)</f>
        <v>0</v>
      </c>
      <c r="DO26" s="42"/>
      <c r="DP26" s="42"/>
      <c r="DQ26" s="42"/>
      <c r="DR26" s="42"/>
      <c r="DS26" s="42"/>
      <c r="DT26" s="42"/>
      <c r="DU26" s="42"/>
      <c r="DV26" s="42"/>
      <c r="DW26" s="42"/>
      <c r="DX26" s="42"/>
      <c r="DY26" s="42">
        <f>DW26+DU26+DS26+DQ26+DO26</f>
        <v>0</v>
      </c>
      <c r="DZ26" s="42">
        <f>DX26+DV26+DT26+DR26+DP26</f>
        <v>0</v>
      </c>
      <c r="EA26" s="42">
        <f>SUM(DY26:DZ26)</f>
        <v>0</v>
      </c>
      <c r="EB26" s="42">
        <f t="shared" ref="EB26:EE31" si="359">AZ26</f>
        <v>0</v>
      </c>
      <c r="EC26" s="42">
        <f t="shared" si="359"/>
        <v>0</v>
      </c>
      <c r="ED26" s="42">
        <f t="shared" si="359"/>
        <v>0</v>
      </c>
      <c r="EE26" s="42">
        <f t="shared" si="359"/>
        <v>0</v>
      </c>
      <c r="EF26" s="42">
        <f>BO26+BD26</f>
        <v>0</v>
      </c>
      <c r="EG26" s="42">
        <f>BP26+BE26</f>
        <v>0</v>
      </c>
      <c r="EH26" s="42">
        <f>CB26+BQ26+BF26</f>
        <v>0</v>
      </c>
      <c r="EI26" s="42">
        <f>CC26+BR26+BG26</f>
        <v>0</v>
      </c>
      <c r="EJ26" s="42">
        <f>CO26+CD26+BS26+BH26</f>
        <v>0</v>
      </c>
      <c r="EK26" s="42">
        <f>CP26+CE26+BT26+BI26</f>
        <v>0</v>
      </c>
      <c r="EL26" s="42">
        <f>DB26+CQ26+CF26+BU26+BJ26</f>
        <v>0</v>
      </c>
      <c r="EM26" s="42">
        <f>DC26+CR26+CG26+BV26+BK26</f>
        <v>0</v>
      </c>
      <c r="EN26" s="42">
        <f>DO26+DD26+CS26+CH26+BW26</f>
        <v>0</v>
      </c>
      <c r="EO26" s="42">
        <f>DP26+DE26+CT26+CI26+BX26</f>
        <v>0</v>
      </c>
      <c r="EP26" s="42">
        <f>DQ26+DF26+CU26+CJ26</f>
        <v>0</v>
      </c>
      <c r="EQ26" s="42">
        <f>DR26+DG26+CV26+CK26</f>
        <v>0</v>
      </c>
      <c r="ER26" s="42">
        <f>DS26+DH26+CW26</f>
        <v>0</v>
      </c>
      <c r="ES26" s="42">
        <f>DT26+DI26+CX26</f>
        <v>0</v>
      </c>
      <c r="ET26" s="42">
        <f>DU26+DJ26</f>
        <v>0</v>
      </c>
      <c r="EU26" s="42">
        <f>DV26+DK26</f>
        <v>0</v>
      </c>
      <c r="EV26" s="42">
        <f>DW26</f>
        <v>0</v>
      </c>
      <c r="EW26" s="42">
        <f>DX26</f>
        <v>0</v>
      </c>
      <c r="EX26" s="42">
        <f>EV26+ET26+ER26+EP26+EN26+EL26+EJ26+EH26+EF26+ED26+EB26</f>
        <v>0</v>
      </c>
      <c r="EY26" s="42">
        <f>EW26+EU26+ES26+EQ26+EO26+EM26+EK26+EI26+EG26+EE26+EC26</f>
        <v>0</v>
      </c>
      <c r="EZ26" s="43">
        <f>SUM(EX26:EY26)</f>
        <v>0</v>
      </c>
      <c r="FA26" s="44"/>
      <c r="FB26" s="42"/>
      <c r="FC26" s="42"/>
      <c r="FD26" s="42"/>
      <c r="FE26" s="42"/>
      <c r="FF26" s="42"/>
      <c r="FG26" s="42"/>
      <c r="FH26" s="42"/>
      <c r="FI26" s="42"/>
      <c r="FJ26" s="42"/>
      <c r="FK26" s="42">
        <f>FI26+FG26+FE26+FC26+FA26</f>
        <v>0</v>
      </c>
      <c r="FL26" s="42">
        <f>FJ26+FH26+FF26+FD26+FB26</f>
        <v>0</v>
      </c>
      <c r="FM26" s="42">
        <f>SUM(FK26:FL26)</f>
        <v>0</v>
      </c>
      <c r="FN26" s="42"/>
      <c r="FO26" s="42"/>
      <c r="FP26" s="42"/>
      <c r="FQ26" s="42"/>
      <c r="FR26" s="42"/>
      <c r="FS26" s="42"/>
      <c r="FT26" s="42"/>
      <c r="FU26" s="42"/>
      <c r="FV26" s="42"/>
      <c r="FW26" s="42"/>
      <c r="FX26" s="42">
        <f>FV26+FT26+FR26+FP26+FN26</f>
        <v>0</v>
      </c>
      <c r="FY26" s="42">
        <f>FW26+FU26+FS26+FQ26+FO26</f>
        <v>0</v>
      </c>
      <c r="FZ26" s="42">
        <f>SUM(FX26:FY26)</f>
        <v>0</v>
      </c>
      <c r="GA26" s="42"/>
      <c r="GB26" s="42"/>
      <c r="GC26" s="42"/>
      <c r="GD26" s="42"/>
      <c r="GE26" s="42"/>
      <c r="GF26" s="42"/>
      <c r="GG26" s="42"/>
      <c r="GH26" s="42"/>
      <c r="GI26" s="42"/>
      <c r="GJ26" s="42"/>
      <c r="GK26" s="42">
        <f>GI26+GG26+GE26+GC26+GA26</f>
        <v>0</v>
      </c>
      <c r="GL26" s="42">
        <f>GJ26+GH26+GF26+GD26+GB26</f>
        <v>0</v>
      </c>
      <c r="GM26" s="42">
        <f>SUM(GK26:GL26)</f>
        <v>0</v>
      </c>
      <c r="GN26" s="42">
        <f>FA26</f>
        <v>0</v>
      </c>
      <c r="GO26" s="42">
        <f>FB26</f>
        <v>0</v>
      </c>
      <c r="GP26" s="42">
        <f>FN26+FC26</f>
        <v>0</v>
      </c>
      <c r="GQ26" s="42">
        <f>FO26+FD26</f>
        <v>0</v>
      </c>
      <c r="GR26" s="42">
        <f t="shared" ref="GR26:GW31" si="360">GA26+FP26+FE26</f>
        <v>0</v>
      </c>
      <c r="GS26" s="42">
        <f t="shared" si="360"/>
        <v>0</v>
      </c>
      <c r="GT26" s="42">
        <f t="shared" si="360"/>
        <v>0</v>
      </c>
      <c r="GU26" s="42">
        <f t="shared" si="360"/>
        <v>0</v>
      </c>
      <c r="GV26" s="42">
        <f t="shared" si="360"/>
        <v>0</v>
      </c>
      <c r="GW26" s="42">
        <f t="shared" si="360"/>
        <v>0</v>
      </c>
      <c r="GX26" s="42">
        <f>GG26+FV26</f>
        <v>0</v>
      </c>
      <c r="GY26" s="42">
        <f>GH26+FW26</f>
        <v>0</v>
      </c>
      <c r="GZ26" s="42">
        <f>GI26</f>
        <v>0</v>
      </c>
      <c r="HA26" s="42">
        <f>GJ26</f>
        <v>0</v>
      </c>
      <c r="HB26" s="42">
        <f>GZ26+GX26+GV26+GT26+GR26+GP26+GN26</f>
        <v>0</v>
      </c>
      <c r="HC26" s="42">
        <f>HA26+GY26+GW26+GU26+GS26+GQ26+GO26</f>
        <v>0</v>
      </c>
      <c r="HD26" s="42">
        <f>SUM(HB26:HC26)</f>
        <v>0</v>
      </c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>
        <f t="shared" ref="HW26:HY31" si="361">HT26+HQ26+HN26+HK26+HH26+HE26</f>
        <v>0</v>
      </c>
      <c r="HX26" s="39">
        <f t="shared" si="361"/>
        <v>0</v>
      </c>
      <c r="HY26" s="39">
        <f t="shared" si="361"/>
        <v>0</v>
      </c>
      <c r="HZ26" s="39">
        <f>SUM(HW26:HY26)</f>
        <v>0</v>
      </c>
      <c r="IA26" s="39"/>
      <c r="IB26" s="39"/>
      <c r="IC26" s="39"/>
      <c r="ID26" s="39"/>
      <c r="IE26" s="39"/>
      <c r="IF26" s="39"/>
      <c r="IG26" s="39"/>
      <c r="IH26" s="39"/>
      <c r="II26" s="39"/>
      <c r="IJ26" s="39">
        <f t="shared" ref="IJ26:IL31" si="362">IG26+ID26+IA26</f>
        <v>0</v>
      </c>
      <c r="IK26" s="39">
        <f t="shared" si="362"/>
        <v>0</v>
      </c>
      <c r="IL26" s="39">
        <f t="shared" si="362"/>
        <v>0</v>
      </c>
      <c r="IM26" s="45">
        <f>SUM(IJ26:IL26)</f>
        <v>0</v>
      </c>
      <c r="IN26" s="39">
        <f t="shared" ref="IN26:IQ31" si="363">IJ26+HW26</f>
        <v>0</v>
      </c>
      <c r="IO26" s="39">
        <f t="shared" si="363"/>
        <v>0</v>
      </c>
      <c r="IP26" s="39">
        <f t="shared" si="363"/>
        <v>0</v>
      </c>
      <c r="IQ26" s="39">
        <f t="shared" si="363"/>
        <v>0</v>
      </c>
      <c r="IR26" s="46">
        <v>1</v>
      </c>
      <c r="IS26" s="46"/>
      <c r="IT26" s="46"/>
      <c r="IU26" s="46"/>
      <c r="IV26" s="46"/>
      <c r="IW26" s="46"/>
      <c r="IX26" s="46"/>
      <c r="IY26" s="46"/>
      <c r="IZ26" s="162">
        <f>IX26+IV26+IT26+IR26</f>
        <v>1</v>
      </c>
      <c r="JA26" s="162">
        <f>IY26+IW26+IU26+IS26</f>
        <v>0</v>
      </c>
      <c r="JB26" s="162">
        <f t="shared" si="198"/>
        <v>1</v>
      </c>
      <c r="JC26" s="46"/>
      <c r="JD26" s="46"/>
      <c r="JE26" s="46"/>
      <c r="JF26" s="46"/>
      <c r="JG26" s="46"/>
      <c r="JH26" s="46"/>
      <c r="JI26" s="46"/>
      <c r="JJ26" s="46"/>
      <c r="JK26" s="46"/>
      <c r="JL26" s="46"/>
      <c r="JM26" s="162">
        <f>JK26+JG26+JE26+JC26+JI26</f>
        <v>0</v>
      </c>
      <c r="JN26" s="162">
        <f>JL26+JH26+JF26+JD26+JJ26</f>
        <v>0</v>
      </c>
      <c r="JO26" s="162">
        <f t="shared" si="200"/>
        <v>0</v>
      </c>
      <c r="JP26" s="48">
        <f t="shared" si="201"/>
        <v>1</v>
      </c>
      <c r="JQ26" s="48">
        <f t="shared" si="202"/>
        <v>0</v>
      </c>
      <c r="JR26" s="48">
        <f t="shared" si="203"/>
        <v>0</v>
      </c>
      <c r="JS26" s="48">
        <f t="shared" si="204"/>
        <v>0</v>
      </c>
      <c r="JT26" s="48">
        <f t="shared" si="205"/>
        <v>0</v>
      </c>
      <c r="JU26" s="48">
        <f t="shared" si="206"/>
        <v>0</v>
      </c>
      <c r="JV26" s="48">
        <f>IV26+JI26</f>
        <v>0</v>
      </c>
      <c r="JW26" s="48">
        <f>IW26+JJ26</f>
        <v>0</v>
      </c>
      <c r="JX26" s="48">
        <f t="shared" si="208"/>
        <v>0</v>
      </c>
      <c r="JY26" s="48">
        <f t="shared" si="209"/>
        <v>0</v>
      </c>
      <c r="JZ26" s="48">
        <f>JX26+JV26+JT26+JR26+JP26</f>
        <v>1</v>
      </c>
      <c r="KA26" s="48">
        <f>JY26+JW26+JU26+JS26+JQ26</f>
        <v>0</v>
      </c>
      <c r="KB26" s="48">
        <f>SUM(JZ26:KA26)</f>
        <v>1</v>
      </c>
      <c r="KC26" s="35">
        <v>1</v>
      </c>
      <c r="KD26" s="35"/>
      <c r="KE26" s="35"/>
      <c r="KF26" s="35">
        <v>1</v>
      </c>
      <c r="KG26" s="35"/>
      <c r="KH26" s="35"/>
      <c r="KI26" s="35"/>
      <c r="KJ26" s="35">
        <v>1</v>
      </c>
      <c r="KK26" s="35"/>
      <c r="KL26" s="35"/>
      <c r="KM26" s="35">
        <v>14</v>
      </c>
      <c r="KN26" s="35">
        <v>8</v>
      </c>
      <c r="KO26" s="35">
        <f t="shared" si="60"/>
        <v>22</v>
      </c>
      <c r="KP26" s="35"/>
      <c r="KQ26" s="35">
        <v>1</v>
      </c>
      <c r="KR26" s="35"/>
      <c r="KS26" s="35"/>
      <c r="KT26" s="35">
        <v>1</v>
      </c>
      <c r="KU26" s="35"/>
      <c r="KV26" s="35">
        <v>1</v>
      </c>
      <c r="KW26" s="35"/>
      <c r="KX26" s="35"/>
      <c r="KY26" s="35">
        <v>1</v>
      </c>
      <c r="KZ26" s="35"/>
      <c r="LA26" s="35"/>
      <c r="LB26" s="35"/>
      <c r="LC26" s="35"/>
      <c r="LD26" s="35"/>
      <c r="LE26" s="35">
        <v>1</v>
      </c>
      <c r="LF26" s="35"/>
      <c r="LG26" s="35">
        <v>1</v>
      </c>
      <c r="LH26" s="35"/>
      <c r="LI26" s="35">
        <v>1</v>
      </c>
      <c r="LJ26" s="35"/>
      <c r="LK26" s="35">
        <v>1</v>
      </c>
      <c r="LL26" s="35"/>
      <c r="LM26" s="35">
        <v>1</v>
      </c>
      <c r="LN26" s="35"/>
      <c r="LO26" s="35">
        <v>1</v>
      </c>
      <c r="LP26" s="35"/>
      <c r="LQ26" s="35"/>
      <c r="LR26" s="35"/>
      <c r="LS26" s="35"/>
      <c r="LT26" s="35"/>
      <c r="LU26" s="35"/>
      <c r="LV26" s="35">
        <v>1</v>
      </c>
      <c r="LW26" s="35">
        <v>1482</v>
      </c>
      <c r="LX26" s="35"/>
      <c r="LY26" s="35">
        <f t="shared" si="61"/>
        <v>1482</v>
      </c>
      <c r="LZ26" s="35"/>
      <c r="MA26" s="35">
        <v>1</v>
      </c>
      <c r="MB26" s="35"/>
      <c r="MC26" s="35"/>
      <c r="MD26" s="35"/>
      <c r="ME26" s="35"/>
      <c r="MF26" s="35"/>
      <c r="MG26" s="35"/>
      <c r="MH26" s="35"/>
      <c r="MI26" s="35"/>
      <c r="MJ26" s="35"/>
      <c r="MK26" s="35"/>
      <c r="ML26" s="35"/>
      <c r="MM26" s="35"/>
      <c r="MN26" s="35"/>
      <c r="MO26" s="35"/>
    </row>
    <row r="27" spans="1:353" s="49" customFormat="1" ht="21" customHeight="1" thickBot="1" x14ac:dyDescent="0.25">
      <c r="A27" s="36" t="s">
        <v>115</v>
      </c>
      <c r="B27" s="36" t="s">
        <v>113</v>
      </c>
      <c r="C27" s="36">
        <v>18</v>
      </c>
      <c r="D27" s="36">
        <v>1401307</v>
      </c>
      <c r="E27" s="36" t="s">
        <v>358</v>
      </c>
      <c r="F27" s="36">
        <v>1</v>
      </c>
      <c r="G27" s="36"/>
      <c r="H27" s="36"/>
      <c r="I27" s="36">
        <v>1</v>
      </c>
      <c r="J27" s="36"/>
      <c r="K27" s="36"/>
      <c r="L27" s="36">
        <v>1</v>
      </c>
      <c r="M27" s="36"/>
      <c r="N27" s="36">
        <v>1</v>
      </c>
      <c r="O27" s="36"/>
      <c r="P27" s="36"/>
      <c r="Q27" s="36">
        <v>1</v>
      </c>
      <c r="R27" s="36"/>
      <c r="S27" s="36"/>
      <c r="T27" s="36">
        <v>1</v>
      </c>
      <c r="U27" s="36"/>
      <c r="V27" s="36"/>
      <c r="W27" s="36">
        <v>1</v>
      </c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>
        <f t="shared" ref="AJ27:AJ28" si="364">AH27+AF27+AD27+AB27+Z27+X27</f>
        <v>0</v>
      </c>
      <c r="AK27" s="36">
        <f t="shared" ref="AK27:AK28" si="365">AI27+AG27+AE27+AC27+AA27+Y27</f>
        <v>0</v>
      </c>
      <c r="AL27" s="37">
        <f t="shared" ref="AL27:AL28" si="366">SUM(AJ27:AK27)</f>
        <v>0</v>
      </c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>
        <f t="shared" ref="AW27:AW28" si="367">AU27+AS27+AQ27+AO27+AM27</f>
        <v>0</v>
      </c>
      <c r="AX27" s="39">
        <f t="shared" ref="AX27:AX28" si="368">AV27+AT27+AR27+AP27+AN27</f>
        <v>0</v>
      </c>
      <c r="AY27" s="40">
        <f t="shared" ref="AY27:AY28" si="369">SUM(AW27:AX27)</f>
        <v>0</v>
      </c>
      <c r="AZ27" s="38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>
        <f t="shared" ref="BL27:BL28" si="370">BJ27+BH27+BF27+BD27+BB27+AZ27</f>
        <v>0</v>
      </c>
      <c r="BM27" s="39">
        <f t="shared" ref="BM27:BM28" si="371">BK27+BI27+BG27+BE27+BC27+BA27</f>
        <v>0</v>
      </c>
      <c r="BN27" s="39">
        <f t="shared" ref="BN27:BN28" si="372">SUM(BL27:BM27)</f>
        <v>0</v>
      </c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>
        <f t="shared" ref="BY27:BY28" si="373">BW27+BU27+BS27+BQ27+BO27</f>
        <v>0</v>
      </c>
      <c r="BZ27" s="39">
        <f t="shared" ref="BZ27:BZ28" si="374">BX27+BV27+BT27+BR27+BP27</f>
        <v>0</v>
      </c>
      <c r="CA27" s="39">
        <f t="shared" ref="CA27:CA28" si="375">SUM(BY27:BZ27)</f>
        <v>0</v>
      </c>
      <c r="CB27" s="39"/>
      <c r="CC27" s="39"/>
      <c r="CD27" s="39"/>
      <c r="CE27" s="39"/>
      <c r="CF27" s="39"/>
      <c r="CG27" s="39"/>
      <c r="CH27" s="39"/>
      <c r="CI27" s="39"/>
      <c r="CJ27" s="39"/>
      <c r="CK27" s="39"/>
      <c r="CL27" s="39">
        <f t="shared" ref="CL27:CL28" si="376">CJ27+CH27+CF27+CD27+CB27</f>
        <v>0</v>
      </c>
      <c r="CM27" s="39">
        <f t="shared" ref="CM27:CM28" si="377">CK27+CI27+CG27+CE27+CC27</f>
        <v>0</v>
      </c>
      <c r="CN27" s="39">
        <f t="shared" ref="CN27:CN28" si="378">SUM(CL27:CM27)</f>
        <v>0</v>
      </c>
      <c r="CO27" s="39"/>
      <c r="CP27" s="39"/>
      <c r="CQ27" s="39"/>
      <c r="CR27" s="39"/>
      <c r="CS27" s="39"/>
      <c r="CT27" s="39"/>
      <c r="CU27" s="39"/>
      <c r="CV27" s="39"/>
      <c r="CW27" s="39"/>
      <c r="CX27" s="39"/>
      <c r="CY27" s="39">
        <f t="shared" ref="CY27:CY28" si="379">CW27+CU27+CS27+CQ27+CO27</f>
        <v>0</v>
      </c>
      <c r="CZ27" s="39">
        <f t="shared" ref="CZ27:CZ28" si="380">CX27+CV27+CT27+CR27+CP27</f>
        <v>0</v>
      </c>
      <c r="DA27" s="39">
        <f t="shared" ref="DA27:DA28" si="381">SUM(CY27:CZ27)</f>
        <v>0</v>
      </c>
      <c r="DB27" s="41"/>
      <c r="DC27" s="42"/>
      <c r="DD27" s="42"/>
      <c r="DE27" s="42"/>
      <c r="DF27" s="42"/>
      <c r="DG27" s="42"/>
      <c r="DH27" s="42"/>
      <c r="DI27" s="42"/>
      <c r="DJ27" s="42"/>
      <c r="DK27" s="42"/>
      <c r="DL27" s="42">
        <f t="shared" ref="DL27:DL28" si="382">DJ27+DH27+DF27+DD27+DB27</f>
        <v>0</v>
      </c>
      <c r="DM27" s="42">
        <f t="shared" ref="DM27:DM28" si="383">DK27+DI27+DG27+DE27+DC27</f>
        <v>0</v>
      </c>
      <c r="DN27" s="42">
        <f t="shared" ref="DN27:DN28" si="384">SUM(DL27:DM27)</f>
        <v>0</v>
      </c>
      <c r="DO27" s="42"/>
      <c r="DP27" s="42"/>
      <c r="DQ27" s="42"/>
      <c r="DR27" s="42"/>
      <c r="DS27" s="42"/>
      <c r="DT27" s="42"/>
      <c r="DU27" s="42"/>
      <c r="DV27" s="42"/>
      <c r="DW27" s="42"/>
      <c r="DX27" s="42"/>
      <c r="DY27" s="42">
        <f t="shared" ref="DY27:DY28" si="385">DW27+DU27+DS27+DQ27+DO27</f>
        <v>0</v>
      </c>
      <c r="DZ27" s="42">
        <f t="shared" ref="DZ27:DZ28" si="386">DX27+DV27+DT27+DR27+DP27</f>
        <v>0</v>
      </c>
      <c r="EA27" s="42">
        <f t="shared" ref="EA27:EA28" si="387">SUM(DY27:DZ27)</f>
        <v>0</v>
      </c>
      <c r="EB27" s="42">
        <f t="shared" ref="EB27:EB28" si="388">AZ27</f>
        <v>0</v>
      </c>
      <c r="EC27" s="42">
        <f t="shared" ref="EC27:EC28" si="389">BA27</f>
        <v>0</v>
      </c>
      <c r="ED27" s="42">
        <f t="shared" ref="ED27:ED28" si="390">BB27</f>
        <v>0</v>
      </c>
      <c r="EE27" s="42">
        <f t="shared" ref="EE27:EE28" si="391">BC27</f>
        <v>0</v>
      </c>
      <c r="EF27" s="42">
        <f t="shared" ref="EF27:EF28" si="392">BO27+BD27</f>
        <v>0</v>
      </c>
      <c r="EG27" s="42">
        <f t="shared" ref="EG27:EG28" si="393">BP27+BE27</f>
        <v>0</v>
      </c>
      <c r="EH27" s="42">
        <f t="shared" ref="EH27:EH28" si="394">CB27+BQ27+BF27</f>
        <v>0</v>
      </c>
      <c r="EI27" s="42">
        <f t="shared" ref="EI27:EI28" si="395">CC27+BR27+BG27</f>
        <v>0</v>
      </c>
      <c r="EJ27" s="42">
        <f t="shared" ref="EJ27:EJ28" si="396">CO27+CD27+BS27+BH27</f>
        <v>0</v>
      </c>
      <c r="EK27" s="42">
        <f t="shared" ref="EK27:EK28" si="397">CP27+CE27+BT27+BI27</f>
        <v>0</v>
      </c>
      <c r="EL27" s="42">
        <f t="shared" ref="EL27:EL28" si="398">DB27+CQ27+CF27+BU27+BJ27</f>
        <v>0</v>
      </c>
      <c r="EM27" s="42">
        <f t="shared" ref="EM27:EM28" si="399">DC27+CR27+CG27+BV27+BK27</f>
        <v>0</v>
      </c>
      <c r="EN27" s="42">
        <f t="shared" ref="EN27:EN28" si="400">DO27+DD27+CS27+CH27+BW27</f>
        <v>0</v>
      </c>
      <c r="EO27" s="42">
        <f t="shared" ref="EO27:EO28" si="401">DP27+DE27+CT27+CI27+BX27</f>
        <v>0</v>
      </c>
      <c r="EP27" s="42">
        <f t="shared" ref="EP27:EP28" si="402">DQ27+DF27+CU27+CJ27</f>
        <v>0</v>
      </c>
      <c r="EQ27" s="42">
        <f t="shared" ref="EQ27:EQ28" si="403">DR27+DG27+CV27+CK27</f>
        <v>0</v>
      </c>
      <c r="ER27" s="42">
        <f t="shared" ref="ER27:ER28" si="404">DS27+DH27+CW27</f>
        <v>0</v>
      </c>
      <c r="ES27" s="42">
        <f t="shared" ref="ES27:ES28" si="405">DT27+DI27+CX27</f>
        <v>0</v>
      </c>
      <c r="ET27" s="42">
        <f t="shared" ref="ET27:ET28" si="406">DU27+DJ27</f>
        <v>0</v>
      </c>
      <c r="EU27" s="42">
        <f t="shared" ref="EU27:EU28" si="407">DV27+DK27</f>
        <v>0</v>
      </c>
      <c r="EV27" s="42">
        <f t="shared" ref="EV27:EV28" si="408">DW27</f>
        <v>0</v>
      </c>
      <c r="EW27" s="42">
        <f t="shared" ref="EW27:EW28" si="409">DX27</f>
        <v>0</v>
      </c>
      <c r="EX27" s="42">
        <f t="shared" ref="EX27:EX28" si="410">EV27+ET27+ER27+EP27+EN27+EL27+EJ27+EH27+EF27+ED27+EB27</f>
        <v>0</v>
      </c>
      <c r="EY27" s="42">
        <f t="shared" ref="EY27:EY28" si="411">EW27+EU27+ES27+EQ27+EO27+EM27+EK27+EI27+EG27+EE27+EC27</f>
        <v>0</v>
      </c>
      <c r="EZ27" s="43">
        <f t="shared" ref="EZ27:EZ28" si="412">SUM(EX27:EY27)</f>
        <v>0</v>
      </c>
      <c r="FA27" s="44"/>
      <c r="FB27" s="42"/>
      <c r="FC27" s="42"/>
      <c r="FD27" s="42"/>
      <c r="FE27" s="42"/>
      <c r="FF27" s="42"/>
      <c r="FG27" s="42"/>
      <c r="FH27" s="42"/>
      <c r="FI27" s="42"/>
      <c r="FJ27" s="42"/>
      <c r="FK27" s="42">
        <f t="shared" ref="FK27:FK28" si="413">FI27+FG27+FE27+FC27+FA27</f>
        <v>0</v>
      </c>
      <c r="FL27" s="42">
        <f t="shared" ref="FL27:FL28" si="414">FJ27+FH27+FF27+FD27+FB27</f>
        <v>0</v>
      </c>
      <c r="FM27" s="42">
        <f t="shared" ref="FM27:FM28" si="415">SUM(FK27:FL27)</f>
        <v>0</v>
      </c>
      <c r="FN27" s="42"/>
      <c r="FO27" s="42"/>
      <c r="FP27" s="42"/>
      <c r="FQ27" s="42"/>
      <c r="FR27" s="42"/>
      <c r="FS27" s="42"/>
      <c r="FT27" s="42"/>
      <c r="FU27" s="42"/>
      <c r="FV27" s="42"/>
      <c r="FW27" s="42"/>
      <c r="FX27" s="42">
        <f t="shared" ref="FX27:FX28" si="416">FV27+FT27+FR27+FP27+FN27</f>
        <v>0</v>
      </c>
      <c r="FY27" s="42">
        <f t="shared" ref="FY27:FY28" si="417">FW27+FU27+FS27+FQ27+FO27</f>
        <v>0</v>
      </c>
      <c r="FZ27" s="42">
        <f t="shared" ref="FZ27:FZ28" si="418">SUM(FX27:FY27)</f>
        <v>0</v>
      </c>
      <c r="GA27" s="42"/>
      <c r="GB27" s="42"/>
      <c r="GC27" s="42"/>
      <c r="GD27" s="42"/>
      <c r="GE27" s="42"/>
      <c r="GF27" s="42"/>
      <c r="GG27" s="42"/>
      <c r="GH27" s="42"/>
      <c r="GI27" s="42"/>
      <c r="GJ27" s="42"/>
      <c r="GK27" s="42">
        <f t="shared" ref="GK27:GK28" si="419">GI27+GG27+GE27+GC27+GA27</f>
        <v>0</v>
      </c>
      <c r="GL27" s="42">
        <f t="shared" ref="GL27:GL28" si="420">GJ27+GH27+GF27+GD27+GB27</f>
        <v>0</v>
      </c>
      <c r="GM27" s="42">
        <f t="shared" ref="GM27:GM28" si="421">SUM(GK27:GL27)</f>
        <v>0</v>
      </c>
      <c r="GN27" s="42">
        <f t="shared" ref="GN27:GN28" si="422">FA27</f>
        <v>0</v>
      </c>
      <c r="GO27" s="42">
        <f t="shared" ref="GO27:GO28" si="423">FB27</f>
        <v>0</v>
      </c>
      <c r="GP27" s="42">
        <f t="shared" ref="GP27:GP28" si="424">FN27+FC27</f>
        <v>0</v>
      </c>
      <c r="GQ27" s="42">
        <f t="shared" ref="GQ27:GQ28" si="425">FO27+FD27</f>
        <v>0</v>
      </c>
      <c r="GR27" s="42">
        <f t="shared" ref="GR27:GR28" si="426">GA27+FP27+FE27</f>
        <v>0</v>
      </c>
      <c r="GS27" s="42">
        <f t="shared" ref="GS27:GS28" si="427">GB27+FQ27+FF27</f>
        <v>0</v>
      </c>
      <c r="GT27" s="42">
        <f t="shared" ref="GT27:GT28" si="428">GC27+FR27+FG27</f>
        <v>0</v>
      </c>
      <c r="GU27" s="42">
        <f t="shared" ref="GU27:GU28" si="429">GD27+FS27+FH27</f>
        <v>0</v>
      </c>
      <c r="GV27" s="42">
        <f t="shared" ref="GV27:GV28" si="430">GE27+FT27+FI27</f>
        <v>0</v>
      </c>
      <c r="GW27" s="42">
        <f t="shared" ref="GW27:GW28" si="431">GF27+FU27+FJ27</f>
        <v>0</v>
      </c>
      <c r="GX27" s="42">
        <f t="shared" ref="GX27:GX28" si="432">GG27+FV27</f>
        <v>0</v>
      </c>
      <c r="GY27" s="42">
        <f t="shared" ref="GY27:GY28" si="433">GH27+FW27</f>
        <v>0</v>
      </c>
      <c r="GZ27" s="42">
        <f t="shared" ref="GZ27:GZ28" si="434">GI27</f>
        <v>0</v>
      </c>
      <c r="HA27" s="42">
        <f t="shared" ref="HA27:HA28" si="435">GJ27</f>
        <v>0</v>
      </c>
      <c r="HB27" s="42">
        <f t="shared" ref="HB27:HB28" si="436">GZ27+GX27+GV27+GT27+GR27+GP27+GN27</f>
        <v>0</v>
      </c>
      <c r="HC27" s="42">
        <f t="shared" ref="HC27:HC28" si="437">HA27+GY27+GW27+GU27+GS27+GQ27+GO27</f>
        <v>0</v>
      </c>
      <c r="HD27" s="42">
        <f t="shared" ref="HD27:HD28" si="438">SUM(HB27:HC27)</f>
        <v>0</v>
      </c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>
        <f t="shared" ref="HW27:HW28" si="439">HT27+HQ27+HN27+HK27+HH27+HE27</f>
        <v>0</v>
      </c>
      <c r="HX27" s="39">
        <f t="shared" ref="HX27:HX28" si="440">HU27+HR27+HO27+HL27+HI27+HF27</f>
        <v>0</v>
      </c>
      <c r="HY27" s="39">
        <f t="shared" ref="HY27:HY28" si="441">HV27+HS27+HP27+HM27+HJ27+HG27</f>
        <v>0</v>
      </c>
      <c r="HZ27" s="39">
        <f t="shared" ref="HZ27:HZ28" si="442">SUM(HW27:HY27)</f>
        <v>0</v>
      </c>
      <c r="IA27" s="39"/>
      <c r="IB27" s="39"/>
      <c r="IC27" s="39"/>
      <c r="ID27" s="39"/>
      <c r="IE27" s="39"/>
      <c r="IF27" s="39"/>
      <c r="IG27" s="39"/>
      <c r="IH27" s="39"/>
      <c r="II27" s="39"/>
      <c r="IJ27" s="39">
        <f t="shared" ref="IJ27:IJ28" si="443">IG27+ID27+IA27</f>
        <v>0</v>
      </c>
      <c r="IK27" s="39">
        <f t="shared" ref="IK27:IK28" si="444">IH27+IE27+IB27</f>
        <v>0</v>
      </c>
      <c r="IL27" s="39">
        <f t="shared" ref="IL27:IL28" si="445">II27+IF27+IC27</f>
        <v>0</v>
      </c>
      <c r="IM27" s="45">
        <f t="shared" ref="IM27:IM28" si="446">SUM(IJ27:IL27)</f>
        <v>0</v>
      </c>
      <c r="IN27" s="39">
        <f t="shared" ref="IN27:IN28" si="447">IJ27+HW27</f>
        <v>0</v>
      </c>
      <c r="IO27" s="39">
        <f t="shared" ref="IO27:IO28" si="448">IK27+HX27</f>
        <v>0</v>
      </c>
      <c r="IP27" s="39">
        <f t="shared" ref="IP27:IP28" si="449">IL27+HY27</f>
        <v>0</v>
      </c>
      <c r="IQ27" s="39">
        <f t="shared" ref="IQ27:IQ28" si="450">IM27+HZ27</f>
        <v>0</v>
      </c>
      <c r="IR27" s="46"/>
      <c r="IS27" s="46">
        <v>1</v>
      </c>
      <c r="IT27" s="46"/>
      <c r="IU27" s="46"/>
      <c r="IV27" s="46"/>
      <c r="IW27" s="46"/>
      <c r="IX27" s="46"/>
      <c r="IY27" s="46"/>
      <c r="IZ27" s="162">
        <f t="shared" ref="IZ27:IZ28" si="451">IX27+IV27+IT27+IR27</f>
        <v>0</v>
      </c>
      <c r="JA27" s="162">
        <f t="shared" ref="JA27:JA28" si="452">IY27+IW27+IU27+IS27</f>
        <v>1</v>
      </c>
      <c r="JB27" s="162">
        <f t="shared" ref="JB27:JB28" si="453">SUM(IZ27:JA27)</f>
        <v>1</v>
      </c>
      <c r="JC27" s="46"/>
      <c r="JD27" s="46"/>
      <c r="JE27" s="46"/>
      <c r="JF27" s="46"/>
      <c r="JG27" s="46"/>
      <c r="JH27" s="46"/>
      <c r="JI27" s="46"/>
      <c r="JJ27" s="46"/>
      <c r="JK27" s="46"/>
      <c r="JL27" s="46"/>
      <c r="JM27" s="162">
        <f t="shared" ref="JM27:JM28" si="454">JK27+JG27+JE27+JC27+JI27</f>
        <v>0</v>
      </c>
      <c r="JN27" s="162">
        <f t="shared" ref="JN27:JN28" si="455">JL27+JH27+JF27+JD27+JJ27</f>
        <v>0</v>
      </c>
      <c r="JO27" s="162">
        <f t="shared" ref="JO27:JO28" si="456">SUM(JM27:JN27)</f>
        <v>0</v>
      </c>
      <c r="JP27" s="48">
        <f t="shared" ref="JP27:JP28" si="457">JC27+IR27</f>
        <v>0</v>
      </c>
      <c r="JQ27" s="48">
        <f t="shared" ref="JQ27:JQ28" si="458">JD27+IS27</f>
        <v>1</v>
      </c>
      <c r="JR27" s="48">
        <f t="shared" ref="JR27:JR28" si="459">JE27+IT27</f>
        <v>0</v>
      </c>
      <c r="JS27" s="48">
        <f t="shared" ref="JS27:JS28" si="460">JF27+IU27</f>
        <v>0</v>
      </c>
      <c r="JT27" s="48">
        <f t="shared" ref="JT27:JT28" si="461">JG27</f>
        <v>0</v>
      </c>
      <c r="JU27" s="48">
        <f t="shared" ref="JU27:JU28" si="462">JH27</f>
        <v>0</v>
      </c>
      <c r="JV27" s="48">
        <f t="shared" ref="JV27:JV28" si="463">IV27+JI27</f>
        <v>0</v>
      </c>
      <c r="JW27" s="48">
        <f t="shared" ref="JW27:JW28" si="464">IW27+JJ27</f>
        <v>0</v>
      </c>
      <c r="JX27" s="48">
        <f t="shared" ref="JX27:JX28" si="465">JK27+IX27</f>
        <v>0</v>
      </c>
      <c r="JY27" s="48">
        <f t="shared" ref="JY27:JY28" si="466">JL27+IY27</f>
        <v>0</v>
      </c>
      <c r="JZ27" s="48">
        <f t="shared" ref="JZ27:JZ28" si="467">JX27+JV27+JT27+JR27+JP27</f>
        <v>0</v>
      </c>
      <c r="KA27" s="48">
        <f t="shared" ref="KA27:KA28" si="468">JY27+JW27+JU27+JS27+JQ27</f>
        <v>1</v>
      </c>
      <c r="KB27" s="48">
        <f t="shared" ref="KB27:KB28" si="469">SUM(JZ27:KA27)</f>
        <v>1</v>
      </c>
      <c r="KC27" s="35"/>
      <c r="KD27" s="35"/>
      <c r="KE27" s="35"/>
      <c r="KF27" s="35"/>
      <c r="KG27" s="35"/>
      <c r="KH27" s="35"/>
      <c r="KI27" s="35"/>
      <c r="KJ27" s="35"/>
      <c r="KK27" s="35"/>
      <c r="KL27" s="35"/>
      <c r="KM27" s="35"/>
      <c r="KN27" s="35"/>
      <c r="KO27" s="35">
        <f t="shared" si="60"/>
        <v>0</v>
      </c>
      <c r="KP27" s="35"/>
      <c r="KQ27" s="35"/>
      <c r="KR27" s="35"/>
      <c r="KS27" s="35"/>
      <c r="KT27" s="35"/>
      <c r="KU27" s="35"/>
      <c r="KV27" s="35"/>
      <c r="KW27" s="35"/>
      <c r="KX27" s="35"/>
      <c r="KY27" s="35"/>
      <c r="KZ27" s="35"/>
      <c r="LA27" s="35"/>
      <c r="LB27" s="35"/>
      <c r="LC27" s="35"/>
      <c r="LD27" s="35"/>
      <c r="LE27" s="35"/>
      <c r="LF27" s="35"/>
      <c r="LG27" s="35"/>
      <c r="LH27" s="35"/>
      <c r="LI27" s="35"/>
      <c r="LJ27" s="35"/>
      <c r="LK27" s="35"/>
      <c r="LL27" s="35"/>
      <c r="LM27" s="35"/>
      <c r="LN27" s="35">
        <v>1</v>
      </c>
      <c r="LO27" s="35"/>
      <c r="LP27" s="35"/>
      <c r="LQ27" s="35"/>
      <c r="LR27" s="35"/>
      <c r="LS27" s="35"/>
      <c r="LT27" s="35"/>
      <c r="LU27" s="35"/>
      <c r="LV27" s="35"/>
      <c r="LW27" s="35"/>
      <c r="LX27" s="35"/>
      <c r="LY27" s="35">
        <f t="shared" si="61"/>
        <v>0</v>
      </c>
      <c r="LZ27" s="35"/>
      <c r="MA27" s="35">
        <v>1</v>
      </c>
      <c r="MB27" s="35"/>
      <c r="MC27" s="35"/>
      <c r="MD27" s="35"/>
      <c r="ME27" s="35"/>
      <c r="MF27" s="35"/>
      <c r="MG27" s="35"/>
      <c r="MH27" s="35"/>
      <c r="MI27" s="35"/>
      <c r="MJ27" s="35"/>
      <c r="MK27" s="35"/>
      <c r="ML27" s="35"/>
      <c r="MM27" s="35"/>
      <c r="MN27" s="35"/>
      <c r="MO27" s="35"/>
    </row>
    <row r="28" spans="1:353" s="49" customFormat="1" ht="21" customHeight="1" thickBot="1" x14ac:dyDescent="0.25">
      <c r="A28" s="36" t="s">
        <v>115</v>
      </c>
      <c r="B28" s="36" t="s">
        <v>113</v>
      </c>
      <c r="C28" s="36">
        <v>19</v>
      </c>
      <c r="D28" s="36"/>
      <c r="E28" s="36" t="s">
        <v>359</v>
      </c>
      <c r="F28" s="36">
        <v>1</v>
      </c>
      <c r="G28" s="36"/>
      <c r="H28" s="36"/>
      <c r="I28" s="36">
        <v>1</v>
      </c>
      <c r="J28" s="36"/>
      <c r="K28" s="36"/>
      <c r="L28" s="36">
        <v>1</v>
      </c>
      <c r="M28" s="36"/>
      <c r="N28" s="36">
        <v>1</v>
      </c>
      <c r="O28" s="36"/>
      <c r="P28" s="36"/>
      <c r="Q28" s="36">
        <v>1</v>
      </c>
      <c r="R28" s="36"/>
      <c r="S28" s="36"/>
      <c r="T28" s="36">
        <v>1</v>
      </c>
      <c r="U28" s="36"/>
      <c r="V28" s="36">
        <v>1</v>
      </c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>
        <f t="shared" si="364"/>
        <v>0</v>
      </c>
      <c r="AK28" s="36">
        <f t="shared" si="365"/>
        <v>0</v>
      </c>
      <c r="AL28" s="37">
        <f t="shared" si="366"/>
        <v>0</v>
      </c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>
        <f t="shared" si="367"/>
        <v>0</v>
      </c>
      <c r="AX28" s="39">
        <f t="shared" si="368"/>
        <v>0</v>
      </c>
      <c r="AY28" s="40">
        <f t="shared" si="369"/>
        <v>0</v>
      </c>
      <c r="AZ28" s="38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>
        <f t="shared" si="370"/>
        <v>0</v>
      </c>
      <c r="BM28" s="39">
        <f t="shared" si="371"/>
        <v>0</v>
      </c>
      <c r="BN28" s="39">
        <f t="shared" si="372"/>
        <v>0</v>
      </c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>
        <f t="shared" si="373"/>
        <v>0</v>
      </c>
      <c r="BZ28" s="39">
        <f t="shared" si="374"/>
        <v>0</v>
      </c>
      <c r="CA28" s="39">
        <f t="shared" si="375"/>
        <v>0</v>
      </c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>
        <f t="shared" si="376"/>
        <v>0</v>
      </c>
      <c r="CM28" s="39">
        <f t="shared" si="377"/>
        <v>0</v>
      </c>
      <c r="CN28" s="39">
        <f t="shared" si="378"/>
        <v>0</v>
      </c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>
        <f t="shared" si="379"/>
        <v>0</v>
      </c>
      <c r="CZ28" s="39">
        <f t="shared" si="380"/>
        <v>0</v>
      </c>
      <c r="DA28" s="39">
        <f t="shared" si="381"/>
        <v>0</v>
      </c>
      <c r="DB28" s="41"/>
      <c r="DC28" s="42"/>
      <c r="DD28" s="42"/>
      <c r="DE28" s="42"/>
      <c r="DF28" s="42"/>
      <c r="DG28" s="42"/>
      <c r="DH28" s="42"/>
      <c r="DI28" s="42"/>
      <c r="DJ28" s="42"/>
      <c r="DK28" s="42"/>
      <c r="DL28" s="42">
        <f t="shared" si="382"/>
        <v>0</v>
      </c>
      <c r="DM28" s="42">
        <f t="shared" si="383"/>
        <v>0</v>
      </c>
      <c r="DN28" s="42">
        <f t="shared" si="384"/>
        <v>0</v>
      </c>
      <c r="DO28" s="42"/>
      <c r="DP28" s="42"/>
      <c r="DQ28" s="42"/>
      <c r="DR28" s="42"/>
      <c r="DS28" s="42"/>
      <c r="DT28" s="42"/>
      <c r="DU28" s="42"/>
      <c r="DV28" s="42"/>
      <c r="DW28" s="42"/>
      <c r="DX28" s="42"/>
      <c r="DY28" s="42">
        <f t="shared" si="385"/>
        <v>0</v>
      </c>
      <c r="DZ28" s="42">
        <f t="shared" si="386"/>
        <v>0</v>
      </c>
      <c r="EA28" s="42">
        <f t="shared" si="387"/>
        <v>0</v>
      </c>
      <c r="EB28" s="42">
        <f t="shared" si="388"/>
        <v>0</v>
      </c>
      <c r="EC28" s="42">
        <f t="shared" si="389"/>
        <v>0</v>
      </c>
      <c r="ED28" s="42">
        <f t="shared" si="390"/>
        <v>0</v>
      </c>
      <c r="EE28" s="42">
        <f t="shared" si="391"/>
        <v>0</v>
      </c>
      <c r="EF28" s="42">
        <f t="shared" si="392"/>
        <v>0</v>
      </c>
      <c r="EG28" s="42">
        <f t="shared" si="393"/>
        <v>0</v>
      </c>
      <c r="EH28" s="42">
        <f t="shared" si="394"/>
        <v>0</v>
      </c>
      <c r="EI28" s="42">
        <f t="shared" si="395"/>
        <v>0</v>
      </c>
      <c r="EJ28" s="42">
        <f t="shared" si="396"/>
        <v>0</v>
      </c>
      <c r="EK28" s="42">
        <f t="shared" si="397"/>
        <v>0</v>
      </c>
      <c r="EL28" s="42">
        <f t="shared" si="398"/>
        <v>0</v>
      </c>
      <c r="EM28" s="42">
        <f t="shared" si="399"/>
        <v>0</v>
      </c>
      <c r="EN28" s="42">
        <f t="shared" si="400"/>
        <v>0</v>
      </c>
      <c r="EO28" s="42">
        <f t="shared" si="401"/>
        <v>0</v>
      </c>
      <c r="EP28" s="42">
        <f t="shared" si="402"/>
        <v>0</v>
      </c>
      <c r="EQ28" s="42">
        <f t="shared" si="403"/>
        <v>0</v>
      </c>
      <c r="ER28" s="42">
        <f t="shared" si="404"/>
        <v>0</v>
      </c>
      <c r="ES28" s="42">
        <f t="shared" si="405"/>
        <v>0</v>
      </c>
      <c r="ET28" s="42">
        <f t="shared" si="406"/>
        <v>0</v>
      </c>
      <c r="EU28" s="42">
        <f t="shared" si="407"/>
        <v>0</v>
      </c>
      <c r="EV28" s="42">
        <f t="shared" si="408"/>
        <v>0</v>
      </c>
      <c r="EW28" s="42">
        <f t="shared" si="409"/>
        <v>0</v>
      </c>
      <c r="EX28" s="42">
        <f t="shared" si="410"/>
        <v>0</v>
      </c>
      <c r="EY28" s="42">
        <f t="shared" si="411"/>
        <v>0</v>
      </c>
      <c r="EZ28" s="43">
        <f t="shared" si="412"/>
        <v>0</v>
      </c>
      <c r="FA28" s="44"/>
      <c r="FB28" s="42"/>
      <c r="FC28" s="42"/>
      <c r="FD28" s="42"/>
      <c r="FE28" s="42"/>
      <c r="FF28" s="42"/>
      <c r="FG28" s="42"/>
      <c r="FH28" s="42"/>
      <c r="FI28" s="42"/>
      <c r="FJ28" s="42"/>
      <c r="FK28" s="42">
        <f t="shared" si="413"/>
        <v>0</v>
      </c>
      <c r="FL28" s="42">
        <f t="shared" si="414"/>
        <v>0</v>
      </c>
      <c r="FM28" s="42">
        <f t="shared" si="415"/>
        <v>0</v>
      </c>
      <c r="FN28" s="42"/>
      <c r="FO28" s="42"/>
      <c r="FP28" s="42"/>
      <c r="FQ28" s="42"/>
      <c r="FR28" s="42"/>
      <c r="FS28" s="42"/>
      <c r="FT28" s="42"/>
      <c r="FU28" s="42"/>
      <c r="FV28" s="42"/>
      <c r="FW28" s="42"/>
      <c r="FX28" s="42">
        <f t="shared" si="416"/>
        <v>0</v>
      </c>
      <c r="FY28" s="42">
        <f t="shared" si="417"/>
        <v>0</v>
      </c>
      <c r="FZ28" s="42">
        <f t="shared" si="418"/>
        <v>0</v>
      </c>
      <c r="GA28" s="42"/>
      <c r="GB28" s="42"/>
      <c r="GC28" s="42"/>
      <c r="GD28" s="42"/>
      <c r="GE28" s="42"/>
      <c r="GF28" s="42"/>
      <c r="GG28" s="42"/>
      <c r="GH28" s="42"/>
      <c r="GI28" s="42"/>
      <c r="GJ28" s="42"/>
      <c r="GK28" s="42">
        <f t="shared" si="419"/>
        <v>0</v>
      </c>
      <c r="GL28" s="42">
        <f t="shared" si="420"/>
        <v>0</v>
      </c>
      <c r="GM28" s="42">
        <f t="shared" si="421"/>
        <v>0</v>
      </c>
      <c r="GN28" s="42">
        <f t="shared" si="422"/>
        <v>0</v>
      </c>
      <c r="GO28" s="42">
        <f t="shared" si="423"/>
        <v>0</v>
      </c>
      <c r="GP28" s="42">
        <f t="shared" si="424"/>
        <v>0</v>
      </c>
      <c r="GQ28" s="42">
        <f t="shared" si="425"/>
        <v>0</v>
      </c>
      <c r="GR28" s="42">
        <f t="shared" si="426"/>
        <v>0</v>
      </c>
      <c r="GS28" s="42">
        <f t="shared" si="427"/>
        <v>0</v>
      </c>
      <c r="GT28" s="42">
        <f t="shared" si="428"/>
        <v>0</v>
      </c>
      <c r="GU28" s="42">
        <f t="shared" si="429"/>
        <v>0</v>
      </c>
      <c r="GV28" s="42">
        <f t="shared" si="430"/>
        <v>0</v>
      </c>
      <c r="GW28" s="42">
        <f t="shared" si="431"/>
        <v>0</v>
      </c>
      <c r="GX28" s="42">
        <f t="shared" si="432"/>
        <v>0</v>
      </c>
      <c r="GY28" s="42">
        <f t="shared" si="433"/>
        <v>0</v>
      </c>
      <c r="GZ28" s="42">
        <f t="shared" si="434"/>
        <v>0</v>
      </c>
      <c r="HA28" s="42">
        <f t="shared" si="435"/>
        <v>0</v>
      </c>
      <c r="HB28" s="42">
        <f t="shared" si="436"/>
        <v>0</v>
      </c>
      <c r="HC28" s="42">
        <f t="shared" si="437"/>
        <v>0</v>
      </c>
      <c r="HD28" s="42">
        <f t="shared" si="438"/>
        <v>0</v>
      </c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>
        <f t="shared" si="439"/>
        <v>0</v>
      </c>
      <c r="HX28" s="39">
        <f t="shared" si="440"/>
        <v>0</v>
      </c>
      <c r="HY28" s="39">
        <f t="shared" si="441"/>
        <v>0</v>
      </c>
      <c r="HZ28" s="39">
        <f t="shared" si="442"/>
        <v>0</v>
      </c>
      <c r="IA28" s="39"/>
      <c r="IB28" s="39"/>
      <c r="IC28" s="39"/>
      <c r="ID28" s="39"/>
      <c r="IE28" s="39"/>
      <c r="IF28" s="39"/>
      <c r="IG28" s="39"/>
      <c r="IH28" s="39"/>
      <c r="II28" s="39"/>
      <c r="IJ28" s="39">
        <f t="shared" si="443"/>
        <v>0</v>
      </c>
      <c r="IK28" s="39">
        <f t="shared" si="444"/>
        <v>0</v>
      </c>
      <c r="IL28" s="39">
        <f t="shared" si="445"/>
        <v>0</v>
      </c>
      <c r="IM28" s="45">
        <f t="shared" si="446"/>
        <v>0</v>
      </c>
      <c r="IN28" s="39">
        <f t="shared" si="447"/>
        <v>0</v>
      </c>
      <c r="IO28" s="39">
        <f t="shared" si="448"/>
        <v>0</v>
      </c>
      <c r="IP28" s="39">
        <f t="shared" si="449"/>
        <v>0</v>
      </c>
      <c r="IQ28" s="39">
        <f t="shared" si="450"/>
        <v>0</v>
      </c>
      <c r="IR28" s="46"/>
      <c r="IS28" s="46">
        <v>1</v>
      </c>
      <c r="IT28" s="46"/>
      <c r="IU28" s="46"/>
      <c r="IV28" s="46"/>
      <c r="IW28" s="46"/>
      <c r="IX28" s="46"/>
      <c r="IY28" s="46"/>
      <c r="IZ28" s="162">
        <f t="shared" si="451"/>
        <v>0</v>
      </c>
      <c r="JA28" s="162">
        <f t="shared" si="452"/>
        <v>1</v>
      </c>
      <c r="JB28" s="162">
        <f t="shared" si="453"/>
        <v>1</v>
      </c>
      <c r="JC28" s="46"/>
      <c r="JD28" s="46"/>
      <c r="JE28" s="46"/>
      <c r="JF28" s="46"/>
      <c r="JG28" s="46"/>
      <c r="JH28" s="46"/>
      <c r="JI28" s="46"/>
      <c r="JJ28" s="46"/>
      <c r="JK28" s="46"/>
      <c r="JL28" s="46"/>
      <c r="JM28" s="162">
        <f t="shared" si="454"/>
        <v>0</v>
      </c>
      <c r="JN28" s="162">
        <f t="shared" si="455"/>
        <v>0</v>
      </c>
      <c r="JO28" s="162">
        <f t="shared" si="456"/>
        <v>0</v>
      </c>
      <c r="JP28" s="48">
        <f t="shared" si="457"/>
        <v>0</v>
      </c>
      <c r="JQ28" s="48">
        <f t="shared" si="458"/>
        <v>1</v>
      </c>
      <c r="JR28" s="48">
        <f t="shared" si="459"/>
        <v>0</v>
      </c>
      <c r="JS28" s="48">
        <f t="shared" si="460"/>
        <v>0</v>
      </c>
      <c r="JT28" s="48">
        <f t="shared" si="461"/>
        <v>0</v>
      </c>
      <c r="JU28" s="48">
        <f t="shared" si="462"/>
        <v>0</v>
      </c>
      <c r="JV28" s="48">
        <f t="shared" si="463"/>
        <v>0</v>
      </c>
      <c r="JW28" s="48">
        <f t="shared" si="464"/>
        <v>0</v>
      </c>
      <c r="JX28" s="48">
        <f t="shared" si="465"/>
        <v>0</v>
      </c>
      <c r="JY28" s="48">
        <f t="shared" si="466"/>
        <v>0</v>
      </c>
      <c r="JZ28" s="48">
        <f t="shared" si="467"/>
        <v>0</v>
      </c>
      <c r="KA28" s="48">
        <f t="shared" si="468"/>
        <v>1</v>
      </c>
      <c r="KB28" s="48">
        <f t="shared" si="469"/>
        <v>1</v>
      </c>
      <c r="KC28" s="35"/>
      <c r="KD28" s="35"/>
      <c r="KE28" s="35"/>
      <c r="KF28" s="35"/>
      <c r="KG28" s="35"/>
      <c r="KH28" s="35"/>
      <c r="KI28" s="35"/>
      <c r="KJ28" s="35"/>
      <c r="KK28" s="35"/>
      <c r="KL28" s="35"/>
      <c r="KM28" s="35"/>
      <c r="KN28" s="35"/>
      <c r="KO28" s="35">
        <f t="shared" si="60"/>
        <v>0</v>
      </c>
      <c r="KP28" s="35"/>
      <c r="KQ28" s="35"/>
      <c r="KR28" s="35"/>
      <c r="KS28" s="35"/>
      <c r="KT28" s="35"/>
      <c r="KU28" s="35"/>
      <c r="KV28" s="35"/>
      <c r="KW28" s="35"/>
      <c r="KX28" s="35"/>
      <c r="KY28" s="35"/>
      <c r="KZ28" s="35"/>
      <c r="LA28" s="35"/>
      <c r="LB28" s="35"/>
      <c r="LC28" s="35"/>
      <c r="LD28" s="35"/>
      <c r="LE28" s="35"/>
      <c r="LF28" s="35"/>
      <c r="LG28" s="35"/>
      <c r="LH28" s="35"/>
      <c r="LI28" s="35"/>
      <c r="LJ28" s="35"/>
      <c r="LK28" s="35"/>
      <c r="LL28" s="35"/>
      <c r="LM28" s="35"/>
      <c r="LN28" s="35">
        <v>1</v>
      </c>
      <c r="LO28" s="35"/>
      <c r="LP28" s="35"/>
      <c r="LQ28" s="35"/>
      <c r="LR28" s="35"/>
      <c r="LS28" s="35"/>
      <c r="LT28" s="35"/>
      <c r="LU28" s="35"/>
      <c r="LV28" s="35"/>
      <c r="LW28" s="35"/>
      <c r="LX28" s="35"/>
      <c r="LY28" s="35">
        <f t="shared" si="61"/>
        <v>0</v>
      </c>
      <c r="LZ28" s="35">
        <v>1</v>
      </c>
      <c r="MA28" s="35"/>
      <c r="MB28" s="35"/>
      <c r="MC28" s="35">
        <v>1</v>
      </c>
      <c r="MD28" s="35">
        <v>1</v>
      </c>
      <c r="ME28" s="35"/>
      <c r="MF28" s="35">
        <v>1</v>
      </c>
      <c r="MG28" s="35"/>
      <c r="MH28" s="35">
        <v>1</v>
      </c>
      <c r="MI28" s="35"/>
      <c r="MJ28" s="35"/>
      <c r="MK28" s="35">
        <v>1</v>
      </c>
      <c r="ML28" s="35"/>
      <c r="MM28" s="35">
        <v>1</v>
      </c>
      <c r="MN28" s="35"/>
      <c r="MO28" s="35">
        <v>1</v>
      </c>
    </row>
    <row r="29" spans="1:353" s="49" customFormat="1" ht="21" customHeight="1" thickBot="1" x14ac:dyDescent="0.25">
      <c r="A29" s="36" t="s">
        <v>115</v>
      </c>
      <c r="B29" s="36" t="s">
        <v>113</v>
      </c>
      <c r="C29" s="36">
        <v>20</v>
      </c>
      <c r="D29" s="36"/>
      <c r="E29" s="36" t="s">
        <v>362</v>
      </c>
      <c r="F29" s="36">
        <v>1</v>
      </c>
      <c r="G29" s="36"/>
      <c r="H29" s="36">
        <v>1</v>
      </c>
      <c r="I29" s="36"/>
      <c r="J29" s="36"/>
      <c r="K29" s="36"/>
      <c r="L29" s="36">
        <v>1</v>
      </c>
      <c r="M29" s="36">
        <v>1</v>
      </c>
      <c r="N29" s="36"/>
      <c r="O29" s="36"/>
      <c r="P29" s="36">
        <v>1</v>
      </c>
      <c r="Q29" s="36"/>
      <c r="R29" s="36">
        <v>1</v>
      </c>
      <c r="S29" s="36"/>
      <c r="T29" s="36"/>
      <c r="U29" s="36"/>
      <c r="V29" s="36"/>
      <c r="W29" s="36">
        <v>1</v>
      </c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>
        <f t="shared" ref="AJ29:AJ30" si="470">AH29+AF29+AD29+AB29+Z29+X29</f>
        <v>0</v>
      </c>
      <c r="AK29" s="36">
        <f t="shared" ref="AK29:AK30" si="471">AI29+AG29+AE29+AC29+AA29+Y29</f>
        <v>0</v>
      </c>
      <c r="AL29" s="37">
        <f t="shared" ref="AL29:AL30" si="472">SUM(AJ29:AK29)</f>
        <v>0</v>
      </c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>
        <f t="shared" ref="AW29:AW30" si="473">AU29+AS29+AQ29+AO29+AM29</f>
        <v>0</v>
      </c>
      <c r="AX29" s="39">
        <f t="shared" ref="AX29:AX30" si="474">AV29+AT29+AR29+AP29+AN29</f>
        <v>0</v>
      </c>
      <c r="AY29" s="40">
        <f t="shared" ref="AY29:AY30" si="475">SUM(AW29:AX29)</f>
        <v>0</v>
      </c>
      <c r="AZ29" s="38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>
        <f t="shared" ref="BL29:BL30" si="476">BJ29+BH29+BF29+BD29+BB29+AZ29</f>
        <v>0</v>
      </c>
      <c r="BM29" s="39">
        <f t="shared" ref="BM29:BM30" si="477">BK29+BI29+BG29+BE29+BC29+BA29</f>
        <v>0</v>
      </c>
      <c r="BN29" s="39">
        <f t="shared" ref="BN29:BN30" si="478">SUM(BL29:BM29)</f>
        <v>0</v>
      </c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>
        <f t="shared" ref="BY29:BY30" si="479">BW29+BU29+BS29+BQ29+BO29</f>
        <v>0</v>
      </c>
      <c r="BZ29" s="39">
        <f t="shared" ref="BZ29:BZ30" si="480">BX29+BV29+BT29+BR29+BP29</f>
        <v>0</v>
      </c>
      <c r="CA29" s="39">
        <f t="shared" ref="CA29:CA30" si="481">SUM(BY29:BZ29)</f>
        <v>0</v>
      </c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>
        <f t="shared" ref="CL29:CL30" si="482">CJ29+CH29+CF29+CD29+CB29</f>
        <v>0</v>
      </c>
      <c r="CM29" s="39">
        <f t="shared" ref="CM29:CM30" si="483">CK29+CI29+CG29+CE29+CC29</f>
        <v>0</v>
      </c>
      <c r="CN29" s="39">
        <f t="shared" ref="CN29:CN30" si="484">SUM(CL29:CM29)</f>
        <v>0</v>
      </c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>
        <f t="shared" ref="CY29:CY30" si="485">CW29+CU29+CS29+CQ29+CO29</f>
        <v>0</v>
      </c>
      <c r="CZ29" s="39">
        <f t="shared" ref="CZ29:CZ30" si="486">CX29+CV29+CT29+CR29+CP29</f>
        <v>0</v>
      </c>
      <c r="DA29" s="39">
        <f t="shared" ref="DA29:DA30" si="487">SUM(CY29:CZ29)</f>
        <v>0</v>
      </c>
      <c r="DB29" s="41"/>
      <c r="DC29" s="42"/>
      <c r="DD29" s="42"/>
      <c r="DE29" s="42"/>
      <c r="DF29" s="42"/>
      <c r="DG29" s="42"/>
      <c r="DH29" s="42"/>
      <c r="DI29" s="42"/>
      <c r="DJ29" s="42"/>
      <c r="DK29" s="42"/>
      <c r="DL29" s="42">
        <f t="shared" ref="DL29:DL30" si="488">DJ29+DH29+DF29+DD29+DB29</f>
        <v>0</v>
      </c>
      <c r="DM29" s="42">
        <f t="shared" ref="DM29:DM30" si="489">DK29+DI29+DG29+DE29+DC29</f>
        <v>0</v>
      </c>
      <c r="DN29" s="42">
        <f t="shared" ref="DN29:DN30" si="490">SUM(DL29:DM29)</f>
        <v>0</v>
      </c>
      <c r="DO29" s="42"/>
      <c r="DP29" s="42"/>
      <c r="DQ29" s="42"/>
      <c r="DR29" s="42"/>
      <c r="DS29" s="42"/>
      <c r="DT29" s="42"/>
      <c r="DU29" s="42"/>
      <c r="DV29" s="42"/>
      <c r="DW29" s="42"/>
      <c r="DX29" s="42"/>
      <c r="DY29" s="42">
        <f t="shared" ref="DY29:DY30" si="491">DW29+DU29+DS29+DQ29+DO29</f>
        <v>0</v>
      </c>
      <c r="DZ29" s="42">
        <f t="shared" ref="DZ29:DZ30" si="492">DX29+DV29+DT29+DR29+DP29</f>
        <v>0</v>
      </c>
      <c r="EA29" s="42">
        <f t="shared" ref="EA29:EA30" si="493">SUM(DY29:DZ29)</f>
        <v>0</v>
      </c>
      <c r="EB29" s="42">
        <f t="shared" ref="EB29:EB30" si="494">AZ29</f>
        <v>0</v>
      </c>
      <c r="EC29" s="42">
        <f t="shared" ref="EC29:EC30" si="495">BA29</f>
        <v>0</v>
      </c>
      <c r="ED29" s="42">
        <f t="shared" ref="ED29:ED30" si="496">BB29</f>
        <v>0</v>
      </c>
      <c r="EE29" s="42">
        <f t="shared" ref="EE29:EE30" si="497">BC29</f>
        <v>0</v>
      </c>
      <c r="EF29" s="42">
        <f t="shared" ref="EF29:EF30" si="498">BO29+BD29</f>
        <v>0</v>
      </c>
      <c r="EG29" s="42">
        <f t="shared" ref="EG29:EG30" si="499">BP29+BE29</f>
        <v>0</v>
      </c>
      <c r="EH29" s="42">
        <f t="shared" ref="EH29:EH30" si="500">CB29+BQ29+BF29</f>
        <v>0</v>
      </c>
      <c r="EI29" s="42">
        <f t="shared" ref="EI29:EI30" si="501">CC29+BR29+BG29</f>
        <v>0</v>
      </c>
      <c r="EJ29" s="42">
        <f t="shared" ref="EJ29:EJ30" si="502">CO29+CD29+BS29+BH29</f>
        <v>0</v>
      </c>
      <c r="EK29" s="42">
        <f t="shared" ref="EK29:EK30" si="503">CP29+CE29+BT29+BI29</f>
        <v>0</v>
      </c>
      <c r="EL29" s="42">
        <f t="shared" ref="EL29:EL30" si="504">DB29+CQ29+CF29+BU29+BJ29</f>
        <v>0</v>
      </c>
      <c r="EM29" s="42">
        <f t="shared" ref="EM29:EM30" si="505">DC29+CR29+CG29+BV29+BK29</f>
        <v>0</v>
      </c>
      <c r="EN29" s="42">
        <f t="shared" ref="EN29:EN30" si="506">DO29+DD29+CS29+CH29+BW29</f>
        <v>0</v>
      </c>
      <c r="EO29" s="42">
        <f t="shared" ref="EO29:EO30" si="507">DP29+DE29+CT29+CI29+BX29</f>
        <v>0</v>
      </c>
      <c r="EP29" s="42">
        <f t="shared" ref="EP29:EP30" si="508">DQ29+DF29+CU29+CJ29</f>
        <v>0</v>
      </c>
      <c r="EQ29" s="42">
        <f t="shared" ref="EQ29:EQ30" si="509">DR29+DG29+CV29+CK29</f>
        <v>0</v>
      </c>
      <c r="ER29" s="42">
        <f t="shared" ref="ER29:ER30" si="510">DS29+DH29+CW29</f>
        <v>0</v>
      </c>
      <c r="ES29" s="42">
        <f t="shared" ref="ES29:ES30" si="511">DT29+DI29+CX29</f>
        <v>0</v>
      </c>
      <c r="ET29" s="42">
        <f t="shared" ref="ET29:ET30" si="512">DU29+DJ29</f>
        <v>0</v>
      </c>
      <c r="EU29" s="42">
        <f t="shared" ref="EU29:EU30" si="513">DV29+DK29</f>
        <v>0</v>
      </c>
      <c r="EV29" s="42">
        <f t="shared" ref="EV29:EV30" si="514">DW29</f>
        <v>0</v>
      </c>
      <c r="EW29" s="42">
        <f t="shared" ref="EW29:EW30" si="515">DX29</f>
        <v>0</v>
      </c>
      <c r="EX29" s="42">
        <f t="shared" ref="EX29:EX30" si="516">EV29+ET29+ER29+EP29+EN29+EL29+EJ29+EH29+EF29+ED29+EB29</f>
        <v>0</v>
      </c>
      <c r="EY29" s="42">
        <f t="shared" ref="EY29:EY30" si="517">EW29+EU29+ES29+EQ29+EO29+EM29+EK29+EI29+EG29+EE29+EC29</f>
        <v>0</v>
      </c>
      <c r="EZ29" s="43">
        <f t="shared" ref="EZ29:EZ30" si="518">SUM(EX29:EY29)</f>
        <v>0</v>
      </c>
      <c r="FA29" s="44"/>
      <c r="FB29" s="42"/>
      <c r="FC29" s="42"/>
      <c r="FD29" s="42"/>
      <c r="FE29" s="42"/>
      <c r="FF29" s="42"/>
      <c r="FG29" s="42"/>
      <c r="FH29" s="42"/>
      <c r="FI29" s="42"/>
      <c r="FJ29" s="42"/>
      <c r="FK29" s="42">
        <f t="shared" ref="FK29:FK30" si="519">FI29+FG29+FE29+FC29+FA29</f>
        <v>0</v>
      </c>
      <c r="FL29" s="42">
        <f t="shared" ref="FL29:FL30" si="520">FJ29+FH29+FF29+FD29+FB29</f>
        <v>0</v>
      </c>
      <c r="FM29" s="42">
        <f t="shared" ref="FM29:FM30" si="521">SUM(FK29:FL29)</f>
        <v>0</v>
      </c>
      <c r="FN29" s="42"/>
      <c r="FO29" s="42"/>
      <c r="FP29" s="42"/>
      <c r="FQ29" s="42"/>
      <c r="FR29" s="42"/>
      <c r="FS29" s="42"/>
      <c r="FT29" s="42"/>
      <c r="FU29" s="42"/>
      <c r="FV29" s="42"/>
      <c r="FW29" s="42"/>
      <c r="FX29" s="42">
        <f t="shared" ref="FX29:FX30" si="522">FV29+FT29+FR29+FP29+FN29</f>
        <v>0</v>
      </c>
      <c r="FY29" s="42">
        <f t="shared" ref="FY29:FY30" si="523">FW29+FU29+FS29+FQ29+FO29</f>
        <v>0</v>
      </c>
      <c r="FZ29" s="42">
        <f t="shared" ref="FZ29:FZ30" si="524">SUM(FX29:FY29)</f>
        <v>0</v>
      </c>
      <c r="GA29" s="42"/>
      <c r="GB29" s="42"/>
      <c r="GC29" s="42"/>
      <c r="GD29" s="42"/>
      <c r="GE29" s="42"/>
      <c r="GF29" s="42"/>
      <c r="GG29" s="42"/>
      <c r="GH29" s="42"/>
      <c r="GI29" s="42"/>
      <c r="GJ29" s="42"/>
      <c r="GK29" s="42">
        <f t="shared" ref="GK29:GK30" si="525">GI29+GG29+GE29+GC29+GA29</f>
        <v>0</v>
      </c>
      <c r="GL29" s="42">
        <f t="shared" ref="GL29:GL30" si="526">GJ29+GH29+GF29+GD29+GB29</f>
        <v>0</v>
      </c>
      <c r="GM29" s="42">
        <f t="shared" ref="GM29:GM30" si="527">SUM(GK29:GL29)</f>
        <v>0</v>
      </c>
      <c r="GN29" s="42">
        <f t="shared" ref="GN29:GN30" si="528">FA29</f>
        <v>0</v>
      </c>
      <c r="GO29" s="42">
        <f t="shared" ref="GO29:GO30" si="529">FB29</f>
        <v>0</v>
      </c>
      <c r="GP29" s="42">
        <f t="shared" ref="GP29:GP30" si="530">FN29+FC29</f>
        <v>0</v>
      </c>
      <c r="GQ29" s="42">
        <f t="shared" ref="GQ29:GQ30" si="531">FO29+FD29</f>
        <v>0</v>
      </c>
      <c r="GR29" s="42">
        <f t="shared" ref="GR29:GR30" si="532">GA29+FP29+FE29</f>
        <v>0</v>
      </c>
      <c r="GS29" s="42">
        <f t="shared" ref="GS29:GS30" si="533">GB29+FQ29+FF29</f>
        <v>0</v>
      </c>
      <c r="GT29" s="42">
        <f t="shared" ref="GT29:GT30" si="534">GC29+FR29+FG29</f>
        <v>0</v>
      </c>
      <c r="GU29" s="42">
        <f t="shared" ref="GU29:GU30" si="535">GD29+FS29+FH29</f>
        <v>0</v>
      </c>
      <c r="GV29" s="42">
        <f t="shared" ref="GV29:GV30" si="536">GE29+FT29+FI29</f>
        <v>0</v>
      </c>
      <c r="GW29" s="42">
        <f t="shared" ref="GW29:GW30" si="537">GF29+FU29+FJ29</f>
        <v>0</v>
      </c>
      <c r="GX29" s="42">
        <f t="shared" ref="GX29:GX30" si="538">GG29+FV29</f>
        <v>0</v>
      </c>
      <c r="GY29" s="42">
        <f t="shared" ref="GY29:GY30" si="539">GH29+FW29</f>
        <v>0</v>
      </c>
      <c r="GZ29" s="42">
        <f t="shared" ref="GZ29:GZ30" si="540">GI29</f>
        <v>0</v>
      </c>
      <c r="HA29" s="42">
        <f t="shared" ref="HA29:HA30" si="541">GJ29</f>
        <v>0</v>
      </c>
      <c r="HB29" s="42">
        <f t="shared" ref="HB29:HB30" si="542">GZ29+GX29+GV29+GT29+GR29+GP29+GN29</f>
        <v>0</v>
      </c>
      <c r="HC29" s="42">
        <f t="shared" ref="HC29:HC30" si="543">HA29+GY29+GW29+GU29+GS29+GQ29+GO29</f>
        <v>0</v>
      </c>
      <c r="HD29" s="42">
        <f t="shared" ref="HD29:HD30" si="544">SUM(HB29:HC29)</f>
        <v>0</v>
      </c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>
        <f t="shared" ref="HW29:HW30" si="545">HT29+HQ29+HN29+HK29+HH29+HE29</f>
        <v>0</v>
      </c>
      <c r="HX29" s="39">
        <f t="shared" ref="HX29:HX30" si="546">HU29+HR29+HO29+HL29+HI29+HF29</f>
        <v>0</v>
      </c>
      <c r="HY29" s="39">
        <f t="shared" ref="HY29:HY30" si="547">HV29+HS29+HP29+HM29+HJ29+HG29</f>
        <v>0</v>
      </c>
      <c r="HZ29" s="39">
        <f t="shared" ref="HZ29:HZ30" si="548">SUM(HW29:HY29)</f>
        <v>0</v>
      </c>
      <c r="IA29" s="39"/>
      <c r="IB29" s="39"/>
      <c r="IC29" s="39"/>
      <c r="ID29" s="39"/>
      <c r="IE29" s="39"/>
      <c r="IF29" s="39"/>
      <c r="IG29" s="39"/>
      <c r="IH29" s="39"/>
      <c r="II29" s="39"/>
      <c r="IJ29" s="39">
        <f t="shared" ref="IJ29:IJ30" si="549">IG29+ID29+IA29</f>
        <v>0</v>
      </c>
      <c r="IK29" s="39">
        <f t="shared" ref="IK29:IK30" si="550">IH29+IE29+IB29</f>
        <v>0</v>
      </c>
      <c r="IL29" s="39">
        <f t="shared" ref="IL29:IL30" si="551">II29+IF29+IC29</f>
        <v>0</v>
      </c>
      <c r="IM29" s="45">
        <f t="shared" ref="IM29:IM30" si="552">SUM(IJ29:IL29)</f>
        <v>0</v>
      </c>
      <c r="IN29" s="39">
        <f t="shared" ref="IN29:IN30" si="553">IJ29+HW29</f>
        <v>0</v>
      </c>
      <c r="IO29" s="39">
        <f t="shared" ref="IO29:IO30" si="554">IK29+HX29</f>
        <v>0</v>
      </c>
      <c r="IP29" s="39">
        <f t="shared" ref="IP29:IP30" si="555">IL29+HY29</f>
        <v>0</v>
      </c>
      <c r="IQ29" s="39">
        <f t="shared" ref="IQ29:IQ30" si="556">IM29+HZ29</f>
        <v>0</v>
      </c>
      <c r="IR29" s="46">
        <v>1</v>
      </c>
      <c r="IS29" s="46"/>
      <c r="IT29" s="46"/>
      <c r="IU29" s="46"/>
      <c r="IV29" s="46"/>
      <c r="IW29" s="46"/>
      <c r="IX29" s="46"/>
      <c r="IY29" s="46"/>
      <c r="IZ29" s="162">
        <f t="shared" ref="IZ29:IZ30" si="557">IX29+IV29+IT29+IR29</f>
        <v>1</v>
      </c>
      <c r="JA29" s="162">
        <f t="shared" ref="JA29:JA30" si="558">IY29+IW29+IU29+IS29</f>
        <v>0</v>
      </c>
      <c r="JB29" s="162">
        <f t="shared" ref="JB29:JB30" si="559">SUM(IZ29:JA29)</f>
        <v>1</v>
      </c>
      <c r="JC29" s="46"/>
      <c r="JD29" s="46"/>
      <c r="JE29" s="46"/>
      <c r="JF29" s="46"/>
      <c r="JG29" s="46"/>
      <c r="JH29" s="46"/>
      <c r="JI29" s="46"/>
      <c r="JJ29" s="46"/>
      <c r="JK29" s="46"/>
      <c r="JL29" s="46"/>
      <c r="JM29" s="162">
        <f t="shared" ref="JM29:JM30" si="560">JK29+JG29+JE29+JC29+JI29</f>
        <v>0</v>
      </c>
      <c r="JN29" s="162">
        <f t="shared" ref="JN29:JN30" si="561">JL29+JH29+JF29+JD29+JJ29</f>
        <v>0</v>
      </c>
      <c r="JO29" s="162">
        <f t="shared" ref="JO29:JO30" si="562">SUM(JM29:JN29)</f>
        <v>0</v>
      </c>
      <c r="JP29" s="48">
        <f t="shared" ref="JP29:JP30" si="563">JC29+IR29</f>
        <v>1</v>
      </c>
      <c r="JQ29" s="48">
        <f t="shared" ref="JQ29:JQ30" si="564">JD29+IS29</f>
        <v>0</v>
      </c>
      <c r="JR29" s="48">
        <f t="shared" ref="JR29:JR30" si="565">JE29+IT29</f>
        <v>0</v>
      </c>
      <c r="JS29" s="48">
        <f t="shared" ref="JS29:JS30" si="566">JF29+IU29</f>
        <v>0</v>
      </c>
      <c r="JT29" s="48">
        <f t="shared" ref="JT29:JT30" si="567">JG29</f>
        <v>0</v>
      </c>
      <c r="JU29" s="48">
        <f t="shared" ref="JU29:JU30" si="568">JH29</f>
        <v>0</v>
      </c>
      <c r="JV29" s="48">
        <f t="shared" ref="JV29:JV30" si="569">IV29+JI29</f>
        <v>0</v>
      </c>
      <c r="JW29" s="48">
        <f t="shared" ref="JW29:JW30" si="570">IW29+JJ29</f>
        <v>0</v>
      </c>
      <c r="JX29" s="48">
        <f t="shared" ref="JX29:JX30" si="571">JK29+IX29</f>
        <v>0</v>
      </c>
      <c r="JY29" s="48">
        <f t="shared" ref="JY29:JY30" si="572">JL29+IY29</f>
        <v>0</v>
      </c>
      <c r="JZ29" s="48">
        <f t="shared" ref="JZ29:JZ30" si="573">JX29+JV29+JT29+JR29+JP29</f>
        <v>1</v>
      </c>
      <c r="KA29" s="48">
        <f t="shared" ref="KA29:KA30" si="574">JY29+JW29+JU29+JS29+JQ29</f>
        <v>0</v>
      </c>
      <c r="KB29" s="48">
        <f t="shared" ref="KB29:KB30" si="575">SUM(JZ29:KA29)</f>
        <v>1</v>
      </c>
      <c r="KC29" s="35">
        <v>1</v>
      </c>
      <c r="KD29" s="35"/>
      <c r="KE29" s="35"/>
      <c r="KF29" s="35"/>
      <c r="KG29" s="35">
        <v>1</v>
      </c>
      <c r="KH29" s="35"/>
      <c r="KI29" s="35"/>
      <c r="KJ29" s="35">
        <v>1</v>
      </c>
      <c r="KK29" s="35"/>
      <c r="KL29" s="35"/>
      <c r="KM29" s="35">
        <v>12</v>
      </c>
      <c r="KN29" s="35">
        <v>3</v>
      </c>
      <c r="KO29" s="35">
        <f t="shared" si="60"/>
        <v>15</v>
      </c>
      <c r="KP29" s="35"/>
      <c r="KQ29" s="35">
        <v>1</v>
      </c>
      <c r="KR29" s="35"/>
      <c r="KS29" s="35"/>
      <c r="KT29" s="35">
        <v>1</v>
      </c>
      <c r="KU29" s="35"/>
      <c r="KV29" s="35">
        <v>1</v>
      </c>
      <c r="KW29" s="35"/>
      <c r="KX29" s="35"/>
      <c r="KY29" s="35">
        <v>1</v>
      </c>
      <c r="KZ29" s="35"/>
      <c r="LA29" s="35"/>
      <c r="LB29" s="35"/>
      <c r="LC29" s="35"/>
      <c r="LD29" s="35"/>
      <c r="LE29" s="35">
        <v>1</v>
      </c>
      <c r="LF29" s="35"/>
      <c r="LG29" s="35">
        <v>1</v>
      </c>
      <c r="LH29" s="35"/>
      <c r="LI29" s="35">
        <v>1</v>
      </c>
      <c r="LJ29" s="35"/>
      <c r="LK29" s="35">
        <v>1</v>
      </c>
      <c r="LL29" s="35"/>
      <c r="LM29" s="35"/>
      <c r="LN29" s="35">
        <v>1</v>
      </c>
      <c r="LO29" s="35"/>
      <c r="LP29" s="35"/>
      <c r="LQ29" s="35"/>
      <c r="LR29" s="35"/>
      <c r="LS29" s="35"/>
      <c r="LT29" s="35"/>
      <c r="LU29" s="35"/>
      <c r="LV29" s="35"/>
      <c r="LW29" s="35"/>
      <c r="LX29" s="35"/>
      <c r="LY29" s="35">
        <f t="shared" si="61"/>
        <v>0</v>
      </c>
      <c r="LZ29" s="35"/>
      <c r="MA29" s="35">
        <v>1</v>
      </c>
      <c r="MB29" s="35"/>
      <c r="MC29" s="35"/>
      <c r="MD29" s="35"/>
      <c r="ME29" s="35"/>
      <c r="MF29" s="35"/>
      <c r="MG29" s="35"/>
      <c r="MH29" s="35"/>
      <c r="MI29" s="35"/>
      <c r="MJ29" s="35"/>
      <c r="MK29" s="35"/>
      <c r="ML29" s="35"/>
      <c r="MM29" s="35"/>
      <c r="MN29" s="35"/>
      <c r="MO29" s="35"/>
    </row>
    <row r="30" spans="1:353" s="49" customFormat="1" ht="21" customHeight="1" thickBot="1" x14ac:dyDescent="0.25">
      <c r="A30" s="36" t="s">
        <v>115</v>
      </c>
      <c r="B30" s="36" t="s">
        <v>113</v>
      </c>
      <c r="C30" s="36">
        <v>21</v>
      </c>
      <c r="D30" s="36"/>
      <c r="E30" s="36" t="s">
        <v>361</v>
      </c>
      <c r="F30" s="36">
        <v>1</v>
      </c>
      <c r="G30" s="36"/>
      <c r="H30" s="36"/>
      <c r="I30" s="36">
        <v>1</v>
      </c>
      <c r="J30" s="36"/>
      <c r="K30" s="36">
        <v>1</v>
      </c>
      <c r="L30" s="36"/>
      <c r="M30" s="36"/>
      <c r="N30" s="36">
        <v>1</v>
      </c>
      <c r="O30" s="36"/>
      <c r="P30" s="36"/>
      <c r="Q30" s="36">
        <v>1</v>
      </c>
      <c r="R30" s="36"/>
      <c r="S30" s="36"/>
      <c r="T30" s="36">
        <v>1</v>
      </c>
      <c r="U30" s="36"/>
      <c r="V30" s="36"/>
      <c r="W30" s="36">
        <v>1</v>
      </c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>
        <f t="shared" si="470"/>
        <v>0</v>
      </c>
      <c r="AK30" s="36">
        <f t="shared" si="471"/>
        <v>0</v>
      </c>
      <c r="AL30" s="37">
        <f t="shared" si="472"/>
        <v>0</v>
      </c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>
        <f t="shared" si="473"/>
        <v>0</v>
      </c>
      <c r="AX30" s="39">
        <f t="shared" si="474"/>
        <v>0</v>
      </c>
      <c r="AY30" s="40">
        <f t="shared" si="475"/>
        <v>0</v>
      </c>
      <c r="AZ30" s="38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>
        <f t="shared" si="476"/>
        <v>0</v>
      </c>
      <c r="BM30" s="39">
        <f t="shared" si="477"/>
        <v>0</v>
      </c>
      <c r="BN30" s="39">
        <f t="shared" si="478"/>
        <v>0</v>
      </c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>
        <f t="shared" si="479"/>
        <v>0</v>
      </c>
      <c r="BZ30" s="39">
        <f t="shared" si="480"/>
        <v>0</v>
      </c>
      <c r="CA30" s="39">
        <f t="shared" si="481"/>
        <v>0</v>
      </c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>
        <f t="shared" si="482"/>
        <v>0</v>
      </c>
      <c r="CM30" s="39">
        <f t="shared" si="483"/>
        <v>0</v>
      </c>
      <c r="CN30" s="39">
        <f t="shared" si="484"/>
        <v>0</v>
      </c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>
        <f t="shared" si="485"/>
        <v>0</v>
      </c>
      <c r="CZ30" s="39">
        <f t="shared" si="486"/>
        <v>0</v>
      </c>
      <c r="DA30" s="39">
        <f t="shared" si="487"/>
        <v>0</v>
      </c>
      <c r="DB30" s="41"/>
      <c r="DC30" s="42"/>
      <c r="DD30" s="42"/>
      <c r="DE30" s="42"/>
      <c r="DF30" s="42"/>
      <c r="DG30" s="42"/>
      <c r="DH30" s="42"/>
      <c r="DI30" s="42"/>
      <c r="DJ30" s="42"/>
      <c r="DK30" s="42"/>
      <c r="DL30" s="42">
        <f t="shared" si="488"/>
        <v>0</v>
      </c>
      <c r="DM30" s="42">
        <f t="shared" si="489"/>
        <v>0</v>
      </c>
      <c r="DN30" s="42">
        <f t="shared" si="490"/>
        <v>0</v>
      </c>
      <c r="DO30" s="42"/>
      <c r="DP30" s="42"/>
      <c r="DQ30" s="42"/>
      <c r="DR30" s="42"/>
      <c r="DS30" s="42"/>
      <c r="DT30" s="42"/>
      <c r="DU30" s="42"/>
      <c r="DV30" s="42"/>
      <c r="DW30" s="42"/>
      <c r="DX30" s="42"/>
      <c r="DY30" s="42">
        <f t="shared" si="491"/>
        <v>0</v>
      </c>
      <c r="DZ30" s="42">
        <f t="shared" si="492"/>
        <v>0</v>
      </c>
      <c r="EA30" s="42">
        <f t="shared" si="493"/>
        <v>0</v>
      </c>
      <c r="EB30" s="42">
        <f t="shared" si="494"/>
        <v>0</v>
      </c>
      <c r="EC30" s="42">
        <f t="shared" si="495"/>
        <v>0</v>
      </c>
      <c r="ED30" s="42">
        <f t="shared" si="496"/>
        <v>0</v>
      </c>
      <c r="EE30" s="42">
        <f t="shared" si="497"/>
        <v>0</v>
      </c>
      <c r="EF30" s="42">
        <f t="shared" si="498"/>
        <v>0</v>
      </c>
      <c r="EG30" s="42">
        <f t="shared" si="499"/>
        <v>0</v>
      </c>
      <c r="EH30" s="42">
        <f t="shared" si="500"/>
        <v>0</v>
      </c>
      <c r="EI30" s="42">
        <f t="shared" si="501"/>
        <v>0</v>
      </c>
      <c r="EJ30" s="42">
        <f t="shared" si="502"/>
        <v>0</v>
      </c>
      <c r="EK30" s="42">
        <f t="shared" si="503"/>
        <v>0</v>
      </c>
      <c r="EL30" s="42">
        <f t="shared" si="504"/>
        <v>0</v>
      </c>
      <c r="EM30" s="42">
        <f t="shared" si="505"/>
        <v>0</v>
      </c>
      <c r="EN30" s="42">
        <f t="shared" si="506"/>
        <v>0</v>
      </c>
      <c r="EO30" s="42">
        <f t="shared" si="507"/>
        <v>0</v>
      </c>
      <c r="EP30" s="42">
        <f t="shared" si="508"/>
        <v>0</v>
      </c>
      <c r="EQ30" s="42">
        <f t="shared" si="509"/>
        <v>0</v>
      </c>
      <c r="ER30" s="42">
        <f t="shared" si="510"/>
        <v>0</v>
      </c>
      <c r="ES30" s="42">
        <f t="shared" si="511"/>
        <v>0</v>
      </c>
      <c r="ET30" s="42">
        <f t="shared" si="512"/>
        <v>0</v>
      </c>
      <c r="EU30" s="42">
        <f t="shared" si="513"/>
        <v>0</v>
      </c>
      <c r="EV30" s="42">
        <f t="shared" si="514"/>
        <v>0</v>
      </c>
      <c r="EW30" s="42">
        <f t="shared" si="515"/>
        <v>0</v>
      </c>
      <c r="EX30" s="42">
        <f t="shared" si="516"/>
        <v>0</v>
      </c>
      <c r="EY30" s="42">
        <f t="shared" si="517"/>
        <v>0</v>
      </c>
      <c r="EZ30" s="43">
        <f t="shared" si="518"/>
        <v>0</v>
      </c>
      <c r="FA30" s="44"/>
      <c r="FB30" s="42"/>
      <c r="FC30" s="42"/>
      <c r="FD30" s="42"/>
      <c r="FE30" s="42"/>
      <c r="FF30" s="42"/>
      <c r="FG30" s="42"/>
      <c r="FH30" s="42"/>
      <c r="FI30" s="42"/>
      <c r="FJ30" s="42"/>
      <c r="FK30" s="42">
        <f t="shared" si="519"/>
        <v>0</v>
      </c>
      <c r="FL30" s="42">
        <f t="shared" si="520"/>
        <v>0</v>
      </c>
      <c r="FM30" s="42">
        <f t="shared" si="521"/>
        <v>0</v>
      </c>
      <c r="FN30" s="42"/>
      <c r="FO30" s="42"/>
      <c r="FP30" s="42"/>
      <c r="FQ30" s="42"/>
      <c r="FR30" s="42"/>
      <c r="FS30" s="42"/>
      <c r="FT30" s="42"/>
      <c r="FU30" s="42"/>
      <c r="FV30" s="42"/>
      <c r="FW30" s="42"/>
      <c r="FX30" s="42">
        <f t="shared" si="522"/>
        <v>0</v>
      </c>
      <c r="FY30" s="42">
        <f t="shared" si="523"/>
        <v>0</v>
      </c>
      <c r="FZ30" s="42">
        <f t="shared" si="524"/>
        <v>0</v>
      </c>
      <c r="GA30" s="42"/>
      <c r="GB30" s="42"/>
      <c r="GC30" s="42"/>
      <c r="GD30" s="42"/>
      <c r="GE30" s="42"/>
      <c r="GF30" s="42"/>
      <c r="GG30" s="42"/>
      <c r="GH30" s="42"/>
      <c r="GI30" s="42"/>
      <c r="GJ30" s="42"/>
      <c r="GK30" s="42">
        <f t="shared" si="525"/>
        <v>0</v>
      </c>
      <c r="GL30" s="42">
        <f t="shared" si="526"/>
        <v>0</v>
      </c>
      <c r="GM30" s="42">
        <f t="shared" si="527"/>
        <v>0</v>
      </c>
      <c r="GN30" s="42">
        <f t="shared" si="528"/>
        <v>0</v>
      </c>
      <c r="GO30" s="42">
        <f t="shared" si="529"/>
        <v>0</v>
      </c>
      <c r="GP30" s="42">
        <f t="shared" si="530"/>
        <v>0</v>
      </c>
      <c r="GQ30" s="42">
        <f t="shared" si="531"/>
        <v>0</v>
      </c>
      <c r="GR30" s="42">
        <f t="shared" si="532"/>
        <v>0</v>
      </c>
      <c r="GS30" s="42">
        <f t="shared" si="533"/>
        <v>0</v>
      </c>
      <c r="GT30" s="42">
        <f t="shared" si="534"/>
        <v>0</v>
      </c>
      <c r="GU30" s="42">
        <f t="shared" si="535"/>
        <v>0</v>
      </c>
      <c r="GV30" s="42">
        <f t="shared" si="536"/>
        <v>0</v>
      </c>
      <c r="GW30" s="42">
        <f t="shared" si="537"/>
        <v>0</v>
      </c>
      <c r="GX30" s="42">
        <f t="shared" si="538"/>
        <v>0</v>
      </c>
      <c r="GY30" s="42">
        <f t="shared" si="539"/>
        <v>0</v>
      </c>
      <c r="GZ30" s="42">
        <f t="shared" si="540"/>
        <v>0</v>
      </c>
      <c r="HA30" s="42">
        <f t="shared" si="541"/>
        <v>0</v>
      </c>
      <c r="HB30" s="42">
        <f t="shared" si="542"/>
        <v>0</v>
      </c>
      <c r="HC30" s="42">
        <f t="shared" si="543"/>
        <v>0</v>
      </c>
      <c r="HD30" s="42">
        <f t="shared" si="544"/>
        <v>0</v>
      </c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>
        <f t="shared" si="545"/>
        <v>0</v>
      </c>
      <c r="HX30" s="39">
        <f t="shared" si="546"/>
        <v>0</v>
      </c>
      <c r="HY30" s="39">
        <f t="shared" si="547"/>
        <v>0</v>
      </c>
      <c r="HZ30" s="39">
        <f t="shared" si="548"/>
        <v>0</v>
      </c>
      <c r="IA30" s="39"/>
      <c r="IB30" s="39"/>
      <c r="IC30" s="39"/>
      <c r="ID30" s="39"/>
      <c r="IE30" s="39"/>
      <c r="IF30" s="39"/>
      <c r="IG30" s="39"/>
      <c r="IH30" s="39"/>
      <c r="II30" s="39"/>
      <c r="IJ30" s="39">
        <f t="shared" si="549"/>
        <v>0</v>
      </c>
      <c r="IK30" s="39">
        <f t="shared" si="550"/>
        <v>0</v>
      </c>
      <c r="IL30" s="39">
        <f t="shared" si="551"/>
        <v>0</v>
      </c>
      <c r="IM30" s="45">
        <f t="shared" si="552"/>
        <v>0</v>
      </c>
      <c r="IN30" s="39">
        <f t="shared" si="553"/>
        <v>0</v>
      </c>
      <c r="IO30" s="39">
        <f t="shared" si="554"/>
        <v>0</v>
      </c>
      <c r="IP30" s="39">
        <f t="shared" si="555"/>
        <v>0</v>
      </c>
      <c r="IQ30" s="39">
        <f t="shared" si="556"/>
        <v>0</v>
      </c>
      <c r="IR30" s="46"/>
      <c r="IS30" s="46">
        <v>1</v>
      </c>
      <c r="IT30" s="46"/>
      <c r="IU30" s="46"/>
      <c r="IV30" s="46"/>
      <c r="IW30" s="46"/>
      <c r="IX30" s="46"/>
      <c r="IY30" s="46"/>
      <c r="IZ30" s="162">
        <f t="shared" si="557"/>
        <v>0</v>
      </c>
      <c r="JA30" s="162">
        <f t="shared" si="558"/>
        <v>1</v>
      </c>
      <c r="JB30" s="162">
        <f t="shared" si="559"/>
        <v>1</v>
      </c>
      <c r="JC30" s="46"/>
      <c r="JD30" s="46"/>
      <c r="JE30" s="46"/>
      <c r="JF30" s="46"/>
      <c r="JG30" s="46"/>
      <c r="JH30" s="46"/>
      <c r="JI30" s="46"/>
      <c r="JJ30" s="46"/>
      <c r="JK30" s="46"/>
      <c r="JL30" s="46"/>
      <c r="JM30" s="162">
        <f t="shared" si="560"/>
        <v>0</v>
      </c>
      <c r="JN30" s="162">
        <f t="shared" si="561"/>
        <v>0</v>
      </c>
      <c r="JO30" s="162">
        <f t="shared" si="562"/>
        <v>0</v>
      </c>
      <c r="JP30" s="48">
        <f t="shared" si="563"/>
        <v>0</v>
      </c>
      <c r="JQ30" s="48">
        <f t="shared" si="564"/>
        <v>1</v>
      </c>
      <c r="JR30" s="48">
        <f t="shared" si="565"/>
        <v>0</v>
      </c>
      <c r="JS30" s="48">
        <f t="shared" si="566"/>
        <v>0</v>
      </c>
      <c r="JT30" s="48">
        <f t="shared" si="567"/>
        <v>0</v>
      </c>
      <c r="JU30" s="48">
        <f t="shared" si="568"/>
        <v>0</v>
      </c>
      <c r="JV30" s="48">
        <f t="shared" si="569"/>
        <v>0</v>
      </c>
      <c r="JW30" s="48">
        <f t="shared" si="570"/>
        <v>0</v>
      </c>
      <c r="JX30" s="48">
        <f t="shared" si="571"/>
        <v>0</v>
      </c>
      <c r="JY30" s="48">
        <f t="shared" si="572"/>
        <v>0</v>
      </c>
      <c r="JZ30" s="48">
        <f t="shared" si="573"/>
        <v>0</v>
      </c>
      <c r="KA30" s="48">
        <f t="shared" si="574"/>
        <v>1</v>
      </c>
      <c r="KB30" s="48">
        <f t="shared" si="575"/>
        <v>1</v>
      </c>
      <c r="KC30" s="35"/>
      <c r="KD30" s="35"/>
      <c r="KE30" s="35"/>
      <c r="KF30" s="35"/>
      <c r="KG30" s="35"/>
      <c r="KH30" s="35"/>
      <c r="KI30" s="35"/>
      <c r="KJ30" s="35"/>
      <c r="KK30" s="35"/>
      <c r="KL30" s="35"/>
      <c r="KM30" s="35"/>
      <c r="KN30" s="35"/>
      <c r="KO30" s="35">
        <f t="shared" si="60"/>
        <v>0</v>
      </c>
      <c r="KP30" s="35"/>
      <c r="KQ30" s="35"/>
      <c r="KR30" s="35"/>
      <c r="KS30" s="35"/>
      <c r="KT30" s="35"/>
      <c r="KU30" s="35"/>
      <c r="KV30" s="35"/>
      <c r="KW30" s="35"/>
      <c r="KX30" s="35"/>
      <c r="KY30" s="35"/>
      <c r="KZ30" s="35"/>
      <c r="LA30" s="35"/>
      <c r="LB30" s="35"/>
      <c r="LC30" s="35"/>
      <c r="LD30" s="35"/>
      <c r="LE30" s="35"/>
      <c r="LF30" s="35"/>
      <c r="LG30" s="35"/>
      <c r="LH30" s="35"/>
      <c r="LI30" s="35"/>
      <c r="LJ30" s="35"/>
      <c r="LK30" s="35"/>
      <c r="LL30" s="35"/>
      <c r="LM30" s="35"/>
      <c r="LN30" s="35">
        <v>1</v>
      </c>
      <c r="LO30" s="35"/>
      <c r="LP30" s="35"/>
      <c r="LQ30" s="35"/>
      <c r="LR30" s="35"/>
      <c r="LS30" s="35"/>
      <c r="LT30" s="35"/>
      <c r="LU30" s="35"/>
      <c r="LV30" s="35"/>
      <c r="LW30" s="35"/>
      <c r="LX30" s="35"/>
      <c r="LY30" s="35">
        <f t="shared" si="61"/>
        <v>0</v>
      </c>
      <c r="LZ30" s="35"/>
      <c r="MA30" s="35">
        <v>1</v>
      </c>
      <c r="MB30" s="35"/>
      <c r="MC30" s="35"/>
      <c r="MD30" s="35"/>
      <c r="ME30" s="35"/>
      <c r="MF30" s="35"/>
      <c r="MG30" s="35"/>
      <c r="MH30" s="35"/>
      <c r="MI30" s="35"/>
      <c r="MJ30" s="35"/>
      <c r="MK30" s="35"/>
      <c r="ML30" s="35"/>
      <c r="MM30" s="35"/>
      <c r="MN30" s="35"/>
      <c r="MO30" s="35"/>
    </row>
    <row r="31" spans="1:353" s="49" customFormat="1" ht="21" customHeight="1" thickBot="1" x14ac:dyDescent="0.25">
      <c r="A31" s="36" t="s">
        <v>115</v>
      </c>
      <c r="B31" s="36" t="s">
        <v>113</v>
      </c>
      <c r="C31" s="36">
        <v>22</v>
      </c>
      <c r="D31" s="36">
        <v>1400077</v>
      </c>
      <c r="E31" s="36" t="s">
        <v>273</v>
      </c>
      <c r="F31" s="36">
        <v>1</v>
      </c>
      <c r="G31" s="36"/>
      <c r="H31" s="36">
        <v>1</v>
      </c>
      <c r="I31" s="36"/>
      <c r="J31" s="36"/>
      <c r="K31" s="36">
        <v>1</v>
      </c>
      <c r="L31" s="36"/>
      <c r="M31" s="36">
        <v>1</v>
      </c>
      <c r="N31" s="36"/>
      <c r="O31" s="36"/>
      <c r="P31" s="36">
        <v>1</v>
      </c>
      <c r="Q31" s="36"/>
      <c r="R31" s="36"/>
      <c r="S31" s="36"/>
      <c r="T31" s="36">
        <v>1</v>
      </c>
      <c r="U31" s="36"/>
      <c r="V31" s="36"/>
      <c r="W31" s="36">
        <v>1</v>
      </c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>
        <f>AH31+AF31+AD31+AB31+Z31+X31</f>
        <v>0</v>
      </c>
      <c r="AK31" s="36">
        <f>AI31+AG31+AE31+AC31+AA31+Y31</f>
        <v>0</v>
      </c>
      <c r="AL31" s="37">
        <f>SUM(AJ31:AK31)</f>
        <v>0</v>
      </c>
      <c r="AM31" s="36"/>
      <c r="AN31" s="36"/>
      <c r="AO31" s="36"/>
      <c r="AP31" s="36"/>
      <c r="AQ31" s="36"/>
      <c r="AR31" s="36"/>
      <c r="AS31" s="36"/>
      <c r="AT31" s="39"/>
      <c r="AU31" s="39"/>
      <c r="AV31" s="39"/>
      <c r="AW31" s="39">
        <f>AU31+AS31+AQ31+AO31+AM31</f>
        <v>0</v>
      </c>
      <c r="AX31" s="39">
        <f>AV31+AT31+AR31+AP31+AN31</f>
        <v>0</v>
      </c>
      <c r="AY31" s="40">
        <f>SUM(AW31:AX31)</f>
        <v>0</v>
      </c>
      <c r="AZ31" s="38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>
        <f>BJ31+BH31+BF31+BD31+BB31+AZ31</f>
        <v>0</v>
      </c>
      <c r="BM31" s="39">
        <f>BK31+BI31+BG31+BE31+BC31+BA31</f>
        <v>0</v>
      </c>
      <c r="BN31" s="39">
        <f>SUM(BL31:BM31)</f>
        <v>0</v>
      </c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>
        <f>BW31+BU31+BS31+BQ31+BO31</f>
        <v>0</v>
      </c>
      <c r="BZ31" s="39">
        <f>BX31+BV31+BT31+BR31+BP31</f>
        <v>0</v>
      </c>
      <c r="CA31" s="39">
        <f>SUM(BY31:BZ31)</f>
        <v>0</v>
      </c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>
        <f>CJ31+CH31+CF31+CD31+CB31</f>
        <v>0</v>
      </c>
      <c r="CM31" s="39">
        <f>CK31+CI31+CG31+CE31+CC31</f>
        <v>0</v>
      </c>
      <c r="CN31" s="39">
        <f>SUM(CL31:CM31)</f>
        <v>0</v>
      </c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>
        <f>CW31+CU31+CS31+CQ31+CO31</f>
        <v>0</v>
      </c>
      <c r="CZ31" s="39">
        <f>CX31+CV31+CT31+CR31+CP31</f>
        <v>0</v>
      </c>
      <c r="DA31" s="39">
        <f>SUM(CY31:CZ31)</f>
        <v>0</v>
      </c>
      <c r="DB31" s="41"/>
      <c r="DC31" s="42"/>
      <c r="DD31" s="42"/>
      <c r="DE31" s="42"/>
      <c r="DF31" s="42"/>
      <c r="DG31" s="42"/>
      <c r="DH31" s="42"/>
      <c r="DI31" s="42"/>
      <c r="DJ31" s="42"/>
      <c r="DK31" s="42"/>
      <c r="DL31" s="42">
        <f>DJ31+DH31+DF31+DD31+DB31</f>
        <v>0</v>
      </c>
      <c r="DM31" s="42">
        <f>DK31+DI31+DG31+DE31+DC31</f>
        <v>0</v>
      </c>
      <c r="DN31" s="42">
        <f>SUM(DL31:DM31)</f>
        <v>0</v>
      </c>
      <c r="DO31" s="42"/>
      <c r="DP31" s="42"/>
      <c r="DQ31" s="42"/>
      <c r="DR31" s="42"/>
      <c r="DS31" s="42"/>
      <c r="DT31" s="42"/>
      <c r="DU31" s="42"/>
      <c r="DV31" s="42"/>
      <c r="DW31" s="42"/>
      <c r="DX31" s="42"/>
      <c r="DY31" s="42">
        <f>DW31+DU31+DS31+DQ31+DO31</f>
        <v>0</v>
      </c>
      <c r="DZ31" s="42">
        <f>DX31+DV31+DT31+DR31+DP31</f>
        <v>0</v>
      </c>
      <c r="EA31" s="42">
        <f>SUM(DY31:DZ31)</f>
        <v>0</v>
      </c>
      <c r="EB31" s="42">
        <f t="shared" si="359"/>
        <v>0</v>
      </c>
      <c r="EC31" s="42">
        <f t="shared" si="359"/>
        <v>0</v>
      </c>
      <c r="ED31" s="42">
        <f t="shared" si="359"/>
        <v>0</v>
      </c>
      <c r="EE31" s="42">
        <f t="shared" si="359"/>
        <v>0</v>
      </c>
      <c r="EF31" s="42">
        <f>BO31+BD31</f>
        <v>0</v>
      </c>
      <c r="EG31" s="42">
        <f>BP31+BE31</f>
        <v>0</v>
      </c>
      <c r="EH31" s="42">
        <f>CB31+BQ31+BF31</f>
        <v>0</v>
      </c>
      <c r="EI31" s="42">
        <f>CC31+BR31+BG31</f>
        <v>0</v>
      </c>
      <c r="EJ31" s="42">
        <f>CO31+CD31+BS31+BH31</f>
        <v>0</v>
      </c>
      <c r="EK31" s="42">
        <f>CP31+CE31+BT31+BI31</f>
        <v>0</v>
      </c>
      <c r="EL31" s="42">
        <f>DB31+CQ31+CF31+BU31+BJ31</f>
        <v>0</v>
      </c>
      <c r="EM31" s="42">
        <f>DC31+CR31+CG31+BV31+BK31</f>
        <v>0</v>
      </c>
      <c r="EN31" s="42">
        <f>DO31+DD31+CS31+CH31+BW31</f>
        <v>0</v>
      </c>
      <c r="EO31" s="42">
        <f>DP31+DE31+CT31+CI31+BX31</f>
        <v>0</v>
      </c>
      <c r="EP31" s="42">
        <f>DQ31+DF31+CU31+CJ31</f>
        <v>0</v>
      </c>
      <c r="EQ31" s="42">
        <f>DR31+DG31+CV31+CK31</f>
        <v>0</v>
      </c>
      <c r="ER31" s="42">
        <f>DS31+DH31+CW31</f>
        <v>0</v>
      </c>
      <c r="ES31" s="42">
        <f>DT31+DI31+CX31</f>
        <v>0</v>
      </c>
      <c r="ET31" s="42">
        <f>DU31+DJ31</f>
        <v>0</v>
      </c>
      <c r="EU31" s="42">
        <f>DV31+DK31</f>
        <v>0</v>
      </c>
      <c r="EV31" s="42">
        <f>DW31</f>
        <v>0</v>
      </c>
      <c r="EW31" s="42">
        <f>DX31</f>
        <v>0</v>
      </c>
      <c r="EX31" s="42">
        <f>EV31+ET31+ER31+EP31+EN31+EL31+EJ31+EH31+EF31+ED31+EB31</f>
        <v>0</v>
      </c>
      <c r="EY31" s="42">
        <f>EW31+EU31+ES31+EQ31+EO31+EM31+EK31+EI31+EG31+EE31+EC31</f>
        <v>0</v>
      </c>
      <c r="EZ31" s="43">
        <f>SUM(EX31:EY31)</f>
        <v>0</v>
      </c>
      <c r="FA31" s="44"/>
      <c r="FB31" s="42"/>
      <c r="FC31" s="42"/>
      <c r="FD31" s="42"/>
      <c r="FE31" s="42"/>
      <c r="FF31" s="42"/>
      <c r="FG31" s="42"/>
      <c r="FH31" s="42"/>
      <c r="FI31" s="42"/>
      <c r="FJ31" s="42"/>
      <c r="FK31" s="42">
        <f>FI31+FG31+FE31+FC31+FA31</f>
        <v>0</v>
      </c>
      <c r="FL31" s="42">
        <f>FJ31+FH31+FF31+FD31+FB31</f>
        <v>0</v>
      </c>
      <c r="FM31" s="42">
        <f>SUM(FK31:FL31)</f>
        <v>0</v>
      </c>
      <c r="FN31" s="42"/>
      <c r="FO31" s="42"/>
      <c r="FP31" s="42"/>
      <c r="FQ31" s="42"/>
      <c r="FR31" s="42"/>
      <c r="FS31" s="42"/>
      <c r="FT31" s="42"/>
      <c r="FU31" s="42"/>
      <c r="FV31" s="42"/>
      <c r="FW31" s="42"/>
      <c r="FX31" s="42">
        <f>FV31+FT31+FR31+FP31+FN31</f>
        <v>0</v>
      </c>
      <c r="FY31" s="42">
        <f>FW31+FU31+FS31+FQ31+FO31</f>
        <v>0</v>
      </c>
      <c r="FZ31" s="42">
        <f>SUM(FX31:FY31)</f>
        <v>0</v>
      </c>
      <c r="GA31" s="42"/>
      <c r="GB31" s="42"/>
      <c r="GC31" s="42"/>
      <c r="GD31" s="42"/>
      <c r="GE31" s="42"/>
      <c r="GF31" s="42"/>
      <c r="GG31" s="42"/>
      <c r="GH31" s="42"/>
      <c r="GI31" s="42"/>
      <c r="GJ31" s="42"/>
      <c r="GK31" s="42">
        <f>GI31+GG31+GE31+GC31+GA31</f>
        <v>0</v>
      </c>
      <c r="GL31" s="42">
        <f>GJ31+GH31+GF31+GD31+GB31</f>
        <v>0</v>
      </c>
      <c r="GM31" s="42">
        <f>SUM(GK31:GL31)</f>
        <v>0</v>
      </c>
      <c r="GN31" s="42">
        <f>FA31</f>
        <v>0</v>
      </c>
      <c r="GO31" s="42">
        <f>FB31</f>
        <v>0</v>
      </c>
      <c r="GP31" s="42">
        <f>FN31+FC31</f>
        <v>0</v>
      </c>
      <c r="GQ31" s="42">
        <f>FO31+FD31</f>
        <v>0</v>
      </c>
      <c r="GR31" s="42">
        <f t="shared" si="360"/>
        <v>0</v>
      </c>
      <c r="GS31" s="42">
        <f t="shared" si="360"/>
        <v>0</v>
      </c>
      <c r="GT31" s="42">
        <f t="shared" si="360"/>
        <v>0</v>
      </c>
      <c r="GU31" s="42">
        <f t="shared" si="360"/>
        <v>0</v>
      </c>
      <c r="GV31" s="42">
        <f t="shared" si="360"/>
        <v>0</v>
      </c>
      <c r="GW31" s="42">
        <f t="shared" si="360"/>
        <v>0</v>
      </c>
      <c r="GX31" s="42">
        <f>GG31+FV31</f>
        <v>0</v>
      </c>
      <c r="GY31" s="42">
        <f>GH31+FW31</f>
        <v>0</v>
      </c>
      <c r="GZ31" s="42">
        <f>GI31</f>
        <v>0</v>
      </c>
      <c r="HA31" s="42">
        <f>GJ31</f>
        <v>0</v>
      </c>
      <c r="HB31" s="42">
        <f>GZ31+GX31+GV31+GT31+GR31+GP31+GN31</f>
        <v>0</v>
      </c>
      <c r="HC31" s="42">
        <f>HA31+GY31+GW31+GU31+GS31+GQ31+GO31</f>
        <v>0</v>
      </c>
      <c r="HD31" s="42">
        <f>SUM(HB31:HC31)</f>
        <v>0</v>
      </c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>
        <f t="shared" si="361"/>
        <v>0</v>
      </c>
      <c r="HX31" s="39">
        <f t="shared" si="361"/>
        <v>0</v>
      </c>
      <c r="HY31" s="39">
        <f t="shared" si="361"/>
        <v>0</v>
      </c>
      <c r="HZ31" s="39">
        <f>SUM(HW31:HY31)</f>
        <v>0</v>
      </c>
      <c r="IA31" s="39"/>
      <c r="IB31" s="39"/>
      <c r="IC31" s="39"/>
      <c r="ID31" s="39"/>
      <c r="IE31" s="39"/>
      <c r="IF31" s="39"/>
      <c r="IG31" s="39"/>
      <c r="IH31" s="39"/>
      <c r="II31" s="39"/>
      <c r="IJ31" s="39">
        <f t="shared" si="362"/>
        <v>0</v>
      </c>
      <c r="IK31" s="39">
        <f t="shared" si="362"/>
        <v>0</v>
      </c>
      <c r="IL31" s="39">
        <f t="shared" si="362"/>
        <v>0</v>
      </c>
      <c r="IM31" s="45">
        <f>SUM(IJ31:IL31)</f>
        <v>0</v>
      </c>
      <c r="IN31" s="39">
        <f t="shared" si="363"/>
        <v>0</v>
      </c>
      <c r="IO31" s="39">
        <f t="shared" si="363"/>
        <v>0</v>
      </c>
      <c r="IP31" s="39">
        <f t="shared" si="363"/>
        <v>0</v>
      </c>
      <c r="IQ31" s="39">
        <f t="shared" si="363"/>
        <v>0</v>
      </c>
      <c r="IR31" s="46"/>
      <c r="IS31" s="46"/>
      <c r="IT31" s="46"/>
      <c r="IU31" s="46"/>
      <c r="IV31" s="46"/>
      <c r="IW31" s="46"/>
      <c r="IX31" s="46"/>
      <c r="IY31" s="46"/>
      <c r="IZ31" s="162">
        <f>IX31+IV31+IT31+IR31</f>
        <v>0</v>
      </c>
      <c r="JA31" s="162">
        <f>IY31+IW31+IU31+IS31</f>
        <v>0</v>
      </c>
      <c r="JB31" s="162">
        <f>SUM(IZ31:JA31)</f>
        <v>0</v>
      </c>
      <c r="JC31" s="46">
        <v>1</v>
      </c>
      <c r="JD31" s="46"/>
      <c r="JE31" s="46"/>
      <c r="JF31" s="46"/>
      <c r="JG31" s="46"/>
      <c r="JH31" s="46"/>
      <c r="JI31" s="46"/>
      <c r="JJ31" s="46"/>
      <c r="JK31" s="46"/>
      <c r="JL31" s="46"/>
      <c r="JM31" s="162">
        <f>JK31+JG31+JE31+JC31+JI31</f>
        <v>1</v>
      </c>
      <c r="JN31" s="162">
        <f>JL31+JH31+JF31+JD31+JJ31</f>
        <v>0</v>
      </c>
      <c r="JO31" s="162">
        <f>SUM(JM31:JN31)</f>
        <v>1</v>
      </c>
      <c r="JP31" s="48">
        <f>JC31+IR31</f>
        <v>1</v>
      </c>
      <c r="JQ31" s="48">
        <f>JD31+IS31</f>
        <v>0</v>
      </c>
      <c r="JR31" s="48">
        <f>JE31+IT31</f>
        <v>0</v>
      </c>
      <c r="JS31" s="48">
        <f>JF31+IU31</f>
        <v>0</v>
      </c>
      <c r="JT31" s="48">
        <f>JG31</f>
        <v>0</v>
      </c>
      <c r="JU31" s="48">
        <f>JH31</f>
        <v>0</v>
      </c>
      <c r="JV31" s="48">
        <f>IV31+JI31</f>
        <v>0</v>
      </c>
      <c r="JW31" s="48">
        <f>IW31+JJ31</f>
        <v>0</v>
      </c>
      <c r="JX31" s="48">
        <f>JK31+IX31</f>
        <v>0</v>
      </c>
      <c r="JY31" s="48">
        <f>JL31+IY31</f>
        <v>0</v>
      </c>
      <c r="JZ31" s="48">
        <f>JX31+JV31+JT31+JR31+JP31</f>
        <v>1</v>
      </c>
      <c r="KA31" s="48">
        <f>JY31+JW31+JU31+JS31+JQ31</f>
        <v>0</v>
      </c>
      <c r="KB31" s="48">
        <f>SUM(JZ31:KA31)</f>
        <v>1</v>
      </c>
      <c r="KC31" s="48">
        <v>1</v>
      </c>
      <c r="KD31" s="48"/>
      <c r="KE31" s="48"/>
      <c r="KF31" s="48">
        <v>1</v>
      </c>
      <c r="KG31" s="48"/>
      <c r="KH31" s="48"/>
      <c r="KI31" s="48"/>
      <c r="KJ31" s="48"/>
      <c r="KK31" s="48">
        <v>1</v>
      </c>
      <c r="KL31" s="48"/>
      <c r="KM31" s="48">
        <v>18</v>
      </c>
      <c r="KN31" s="48">
        <v>8</v>
      </c>
      <c r="KO31" s="48">
        <f t="shared" si="60"/>
        <v>26</v>
      </c>
      <c r="KP31" s="48"/>
      <c r="KQ31" s="48">
        <v>1</v>
      </c>
      <c r="KR31" s="48"/>
      <c r="KS31" s="48"/>
      <c r="KT31" s="48"/>
      <c r="KU31" s="48">
        <v>1</v>
      </c>
      <c r="KV31" s="48">
        <v>1</v>
      </c>
      <c r="KW31" s="48"/>
      <c r="KX31" s="48"/>
      <c r="KY31" s="48">
        <v>1</v>
      </c>
      <c r="KZ31" s="48"/>
      <c r="LA31" s="48"/>
      <c r="LB31" s="48"/>
      <c r="LC31" s="48"/>
      <c r="LD31" s="48"/>
      <c r="LE31" s="48">
        <v>1</v>
      </c>
      <c r="LF31" s="48"/>
      <c r="LG31" s="48">
        <v>1</v>
      </c>
      <c r="LH31" s="48"/>
      <c r="LI31" s="48">
        <v>1</v>
      </c>
      <c r="LJ31" s="48"/>
      <c r="LK31" s="48">
        <v>1</v>
      </c>
      <c r="LL31" s="48"/>
      <c r="LM31" s="48">
        <v>1</v>
      </c>
      <c r="LN31" s="48"/>
      <c r="LO31" s="48"/>
      <c r="LP31" s="48"/>
      <c r="LQ31" s="48">
        <v>1</v>
      </c>
      <c r="LR31" s="48"/>
      <c r="LS31" s="48"/>
      <c r="LT31" s="48">
        <v>1</v>
      </c>
      <c r="LU31" s="48"/>
      <c r="LV31" s="48"/>
      <c r="LW31" s="48">
        <v>175</v>
      </c>
      <c r="LX31" s="48"/>
      <c r="LY31" s="48">
        <f t="shared" si="61"/>
        <v>175</v>
      </c>
      <c r="LZ31" s="48">
        <v>1</v>
      </c>
      <c r="MA31" s="48"/>
      <c r="MB31" s="48"/>
      <c r="MC31" s="48">
        <v>1</v>
      </c>
      <c r="MD31" s="48"/>
      <c r="ME31" s="48">
        <v>1</v>
      </c>
      <c r="MF31" s="48">
        <v>1</v>
      </c>
      <c r="MG31" s="48"/>
      <c r="MH31" s="48"/>
      <c r="MI31" s="48">
        <v>1</v>
      </c>
      <c r="MJ31" s="48"/>
      <c r="MK31" s="48">
        <v>1</v>
      </c>
      <c r="ML31" s="48"/>
      <c r="MM31" s="48">
        <v>1</v>
      </c>
      <c r="MN31" s="48">
        <v>1</v>
      </c>
      <c r="MO31" s="48"/>
    </row>
    <row r="32" spans="1:353" s="49" customFormat="1" ht="21" customHeight="1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7"/>
      <c r="AM32" s="38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40"/>
      <c r="AZ32" s="38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39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39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41"/>
      <c r="DC32" s="42"/>
      <c r="DD32" s="42"/>
      <c r="DE32" s="42"/>
      <c r="DF32" s="42"/>
      <c r="DG32" s="42"/>
      <c r="DH32" s="42"/>
      <c r="DI32" s="42"/>
      <c r="DJ32" s="42"/>
      <c r="DK32" s="42"/>
      <c r="DL32" s="42"/>
      <c r="DM32" s="42"/>
      <c r="DN32" s="42"/>
      <c r="DO32" s="42"/>
      <c r="DP32" s="42"/>
      <c r="DQ32" s="42"/>
      <c r="DR32" s="42"/>
      <c r="DS32" s="42"/>
      <c r="DT32" s="42"/>
      <c r="DU32" s="42"/>
      <c r="DV32" s="42"/>
      <c r="DW32" s="42"/>
      <c r="DX32" s="42"/>
      <c r="DY32" s="42"/>
      <c r="DZ32" s="42"/>
      <c r="EA32" s="42"/>
      <c r="EB32" s="42"/>
      <c r="EC32" s="42"/>
      <c r="ED32" s="42"/>
      <c r="EE32" s="42"/>
      <c r="EF32" s="42"/>
      <c r="EG32" s="42"/>
      <c r="EH32" s="42"/>
      <c r="EI32" s="42"/>
      <c r="EJ32" s="42"/>
      <c r="EK32" s="42"/>
      <c r="EL32" s="42"/>
      <c r="EM32" s="42"/>
      <c r="EN32" s="42"/>
      <c r="EO32" s="42"/>
      <c r="EP32" s="42"/>
      <c r="EQ32" s="42"/>
      <c r="ER32" s="42"/>
      <c r="ES32" s="42"/>
      <c r="ET32" s="42"/>
      <c r="EU32" s="42"/>
      <c r="EV32" s="42"/>
      <c r="EW32" s="42"/>
      <c r="EX32" s="42"/>
      <c r="EY32" s="42"/>
      <c r="EZ32" s="43"/>
      <c r="FA32" s="44"/>
      <c r="FB32" s="42"/>
      <c r="FC32" s="42"/>
      <c r="FD32" s="42"/>
      <c r="FE32" s="42"/>
      <c r="FF32" s="42"/>
      <c r="FG32" s="42"/>
      <c r="FH32" s="42"/>
      <c r="FI32" s="42"/>
      <c r="FJ32" s="42"/>
      <c r="FK32" s="42"/>
      <c r="FL32" s="42"/>
      <c r="FM32" s="42"/>
      <c r="FN32" s="42"/>
      <c r="FO32" s="42"/>
      <c r="FP32" s="42"/>
      <c r="FQ32" s="42"/>
      <c r="FR32" s="42"/>
      <c r="FS32" s="42"/>
      <c r="FT32" s="42"/>
      <c r="FU32" s="42"/>
      <c r="FV32" s="42"/>
      <c r="FW32" s="42"/>
      <c r="FX32" s="42"/>
      <c r="FY32" s="42"/>
      <c r="FZ32" s="42"/>
      <c r="GA32" s="42"/>
      <c r="GB32" s="42"/>
      <c r="GC32" s="42"/>
      <c r="GD32" s="42"/>
      <c r="GE32" s="42"/>
      <c r="GF32" s="42"/>
      <c r="GG32" s="42"/>
      <c r="GH32" s="42"/>
      <c r="GI32" s="42"/>
      <c r="GJ32" s="42"/>
      <c r="GK32" s="42"/>
      <c r="GL32" s="42"/>
      <c r="GM32" s="42"/>
      <c r="GN32" s="42"/>
      <c r="GO32" s="42"/>
      <c r="GP32" s="42"/>
      <c r="GQ32" s="42"/>
      <c r="GR32" s="42"/>
      <c r="GS32" s="42"/>
      <c r="GT32" s="42"/>
      <c r="GU32" s="42"/>
      <c r="GV32" s="42"/>
      <c r="GW32" s="42"/>
      <c r="GX32" s="42"/>
      <c r="GY32" s="42"/>
      <c r="GZ32" s="42"/>
      <c r="HA32" s="42"/>
      <c r="HB32" s="42"/>
      <c r="HC32" s="42"/>
      <c r="HD32" s="42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45"/>
      <c r="IN32" s="39"/>
      <c r="IO32" s="39"/>
      <c r="IP32" s="39"/>
      <c r="IQ32" s="39"/>
      <c r="IR32" s="46"/>
      <c r="IS32" s="46"/>
      <c r="IT32" s="46"/>
      <c r="IU32" s="46"/>
      <c r="IV32" s="46"/>
      <c r="IW32" s="46"/>
      <c r="IX32" s="46"/>
      <c r="IY32" s="46"/>
      <c r="IZ32" s="162"/>
      <c r="JA32" s="162"/>
      <c r="JB32" s="162"/>
      <c r="JC32" s="46"/>
      <c r="JD32" s="46"/>
      <c r="JE32" s="46"/>
      <c r="JF32" s="46"/>
      <c r="JG32" s="46"/>
      <c r="JH32" s="46"/>
      <c r="JI32" s="46"/>
      <c r="JJ32" s="46"/>
      <c r="JK32" s="46"/>
      <c r="JL32" s="46"/>
      <c r="JM32" s="162"/>
      <c r="JN32" s="162"/>
      <c r="JO32" s="162"/>
      <c r="JP32" s="48"/>
      <c r="JQ32" s="48"/>
      <c r="JR32" s="48"/>
      <c r="JS32" s="48"/>
      <c r="JT32" s="48"/>
      <c r="JU32" s="48"/>
      <c r="JV32" s="48"/>
      <c r="JW32" s="48"/>
      <c r="JX32" s="48"/>
      <c r="JY32" s="48"/>
      <c r="JZ32" s="48"/>
      <c r="KA32" s="48"/>
      <c r="KB32" s="48"/>
      <c r="KC32" s="35"/>
      <c r="KD32" s="35"/>
      <c r="KE32" s="35"/>
      <c r="KF32" s="35"/>
      <c r="KG32" s="35"/>
      <c r="KH32" s="35"/>
      <c r="KI32" s="35"/>
      <c r="KJ32" s="35"/>
      <c r="KK32" s="35"/>
      <c r="KL32" s="35"/>
      <c r="KM32" s="35"/>
      <c r="KN32" s="35"/>
      <c r="KO32" s="35"/>
      <c r="KP32" s="35"/>
      <c r="KQ32" s="35"/>
      <c r="KR32" s="35"/>
      <c r="KS32" s="35"/>
      <c r="KT32" s="35"/>
      <c r="KU32" s="35"/>
      <c r="KV32" s="35"/>
      <c r="KW32" s="35"/>
      <c r="KX32" s="35"/>
      <c r="KY32" s="35"/>
      <c r="KZ32" s="35"/>
      <c r="LA32" s="35"/>
      <c r="LB32" s="35"/>
      <c r="LC32" s="35"/>
      <c r="LD32" s="35"/>
      <c r="LE32" s="35"/>
      <c r="LF32" s="35"/>
      <c r="LG32" s="35"/>
      <c r="LH32" s="35"/>
      <c r="LI32" s="35"/>
      <c r="LJ32" s="35"/>
      <c r="LK32" s="35"/>
      <c r="LL32" s="35"/>
      <c r="LM32" s="35"/>
      <c r="LN32" s="35"/>
      <c r="LO32" s="35"/>
      <c r="LP32" s="35"/>
      <c r="LQ32" s="35"/>
      <c r="LR32" s="35"/>
      <c r="LS32" s="35"/>
      <c r="LT32" s="35"/>
      <c r="LU32" s="35"/>
      <c r="LV32" s="35"/>
      <c r="LW32" s="35"/>
      <c r="LX32" s="35"/>
      <c r="LY32" s="35"/>
      <c r="LZ32" s="35"/>
      <c r="MA32" s="35"/>
      <c r="MB32" s="35"/>
      <c r="MC32" s="35"/>
      <c r="MD32" s="35"/>
      <c r="ME32" s="35"/>
      <c r="MF32" s="35"/>
      <c r="MG32" s="35"/>
      <c r="MH32" s="35"/>
      <c r="MI32" s="35"/>
      <c r="MJ32" s="35"/>
      <c r="MK32" s="35"/>
      <c r="ML32" s="35"/>
      <c r="MM32" s="35"/>
      <c r="MN32" s="35"/>
      <c r="MO32" s="35"/>
    </row>
    <row r="33" spans="1:353" s="51" customFormat="1" ht="32.25" customHeight="1" thickBot="1" x14ac:dyDescent="0.25">
      <c r="A33" s="364" t="s">
        <v>325</v>
      </c>
      <c r="B33" s="365"/>
      <c r="C33" s="365"/>
      <c r="D33" s="365"/>
      <c r="E33" s="366"/>
      <c r="F33" s="50">
        <f>SUM(F26:F32)</f>
        <v>6</v>
      </c>
      <c r="G33" s="50">
        <f t="shared" ref="G33:BR33" si="576">SUM(G26:G32)</f>
        <v>0</v>
      </c>
      <c r="H33" s="50">
        <f t="shared" si="576"/>
        <v>3</v>
      </c>
      <c r="I33" s="50">
        <f t="shared" si="576"/>
        <v>3</v>
      </c>
      <c r="J33" s="50">
        <f t="shared" si="576"/>
        <v>0</v>
      </c>
      <c r="K33" s="50">
        <f t="shared" si="576"/>
        <v>3</v>
      </c>
      <c r="L33" s="50">
        <f t="shared" si="576"/>
        <v>3</v>
      </c>
      <c r="M33" s="50">
        <f t="shared" si="576"/>
        <v>3</v>
      </c>
      <c r="N33" s="50">
        <f t="shared" si="576"/>
        <v>3</v>
      </c>
      <c r="O33" s="50">
        <f t="shared" si="576"/>
        <v>0</v>
      </c>
      <c r="P33" s="50">
        <f t="shared" si="576"/>
        <v>3</v>
      </c>
      <c r="Q33" s="50">
        <f t="shared" si="576"/>
        <v>3</v>
      </c>
      <c r="R33" s="50">
        <f t="shared" si="576"/>
        <v>1</v>
      </c>
      <c r="S33" s="50">
        <f t="shared" si="576"/>
        <v>0</v>
      </c>
      <c r="T33" s="50">
        <f t="shared" si="576"/>
        <v>5</v>
      </c>
      <c r="U33" s="50">
        <f t="shared" si="576"/>
        <v>0</v>
      </c>
      <c r="V33" s="50">
        <f t="shared" si="576"/>
        <v>1</v>
      </c>
      <c r="W33" s="50">
        <f t="shared" si="576"/>
        <v>5</v>
      </c>
      <c r="X33" s="50">
        <f t="shared" si="576"/>
        <v>0</v>
      </c>
      <c r="Y33" s="50">
        <f t="shared" si="576"/>
        <v>0</v>
      </c>
      <c r="Z33" s="50">
        <f t="shared" si="576"/>
        <v>0</v>
      </c>
      <c r="AA33" s="50">
        <f t="shared" si="576"/>
        <v>0</v>
      </c>
      <c r="AB33" s="50">
        <f t="shared" si="576"/>
        <v>0</v>
      </c>
      <c r="AC33" s="50">
        <f t="shared" si="576"/>
        <v>0</v>
      </c>
      <c r="AD33" s="50">
        <f t="shared" si="576"/>
        <v>0</v>
      </c>
      <c r="AE33" s="50">
        <f t="shared" si="576"/>
        <v>0</v>
      </c>
      <c r="AF33" s="50">
        <f t="shared" si="576"/>
        <v>0</v>
      </c>
      <c r="AG33" s="50">
        <f t="shared" si="576"/>
        <v>0</v>
      </c>
      <c r="AH33" s="50">
        <f t="shared" si="576"/>
        <v>0</v>
      </c>
      <c r="AI33" s="50">
        <f t="shared" si="576"/>
        <v>0</v>
      </c>
      <c r="AJ33" s="50">
        <f>SUM(AJ26:AJ32)</f>
        <v>0</v>
      </c>
      <c r="AK33" s="50">
        <f t="shared" si="576"/>
        <v>0</v>
      </c>
      <c r="AL33" s="50">
        <f t="shared" si="576"/>
        <v>0</v>
      </c>
      <c r="AM33" s="50">
        <f t="shared" si="576"/>
        <v>0</v>
      </c>
      <c r="AN33" s="50">
        <f t="shared" si="576"/>
        <v>0</v>
      </c>
      <c r="AO33" s="50">
        <f t="shared" si="576"/>
        <v>0</v>
      </c>
      <c r="AP33" s="50">
        <f t="shared" si="576"/>
        <v>0</v>
      </c>
      <c r="AQ33" s="50">
        <f t="shared" si="576"/>
        <v>0</v>
      </c>
      <c r="AR33" s="50">
        <f t="shared" si="576"/>
        <v>0</v>
      </c>
      <c r="AS33" s="50">
        <f t="shared" si="576"/>
        <v>0</v>
      </c>
      <c r="AT33" s="50">
        <f t="shared" si="576"/>
        <v>0</v>
      </c>
      <c r="AU33" s="50">
        <f t="shared" si="576"/>
        <v>0</v>
      </c>
      <c r="AV33" s="50">
        <f t="shared" si="576"/>
        <v>0</v>
      </c>
      <c r="AW33" s="50">
        <f t="shared" si="576"/>
        <v>0</v>
      </c>
      <c r="AX33" s="50">
        <f t="shared" si="576"/>
        <v>0</v>
      </c>
      <c r="AY33" s="50">
        <f t="shared" si="576"/>
        <v>0</v>
      </c>
      <c r="AZ33" s="50">
        <f t="shared" si="576"/>
        <v>0</v>
      </c>
      <c r="BA33" s="50">
        <f t="shared" si="576"/>
        <v>0</v>
      </c>
      <c r="BB33" s="50">
        <f t="shared" si="576"/>
        <v>0</v>
      </c>
      <c r="BC33" s="50">
        <f t="shared" si="576"/>
        <v>0</v>
      </c>
      <c r="BD33" s="50">
        <f t="shared" si="576"/>
        <v>0</v>
      </c>
      <c r="BE33" s="50">
        <f t="shared" si="576"/>
        <v>0</v>
      </c>
      <c r="BF33" s="50">
        <f t="shared" si="576"/>
        <v>0</v>
      </c>
      <c r="BG33" s="50">
        <f t="shared" si="576"/>
        <v>0</v>
      </c>
      <c r="BH33" s="50">
        <f t="shared" si="576"/>
        <v>0</v>
      </c>
      <c r="BI33" s="50">
        <f t="shared" si="576"/>
        <v>0</v>
      </c>
      <c r="BJ33" s="50">
        <f t="shared" si="576"/>
        <v>0</v>
      </c>
      <c r="BK33" s="50">
        <f t="shared" si="576"/>
        <v>0</v>
      </c>
      <c r="BL33" s="50">
        <f t="shared" si="576"/>
        <v>0</v>
      </c>
      <c r="BM33" s="50">
        <f t="shared" si="576"/>
        <v>0</v>
      </c>
      <c r="BN33" s="50">
        <f t="shared" si="576"/>
        <v>0</v>
      </c>
      <c r="BO33" s="50">
        <f t="shared" si="576"/>
        <v>0</v>
      </c>
      <c r="BP33" s="50">
        <f t="shared" si="576"/>
        <v>0</v>
      </c>
      <c r="BQ33" s="50">
        <f t="shared" si="576"/>
        <v>0</v>
      </c>
      <c r="BR33" s="50">
        <f t="shared" si="576"/>
        <v>0</v>
      </c>
      <c r="BS33" s="50">
        <f t="shared" ref="BS33:ED33" si="577">SUM(BS26:BS32)</f>
        <v>0</v>
      </c>
      <c r="BT33" s="50">
        <f t="shared" si="577"/>
        <v>0</v>
      </c>
      <c r="BU33" s="50">
        <f t="shared" si="577"/>
        <v>0</v>
      </c>
      <c r="BV33" s="50">
        <f t="shared" si="577"/>
        <v>0</v>
      </c>
      <c r="BW33" s="50">
        <f t="shared" si="577"/>
        <v>0</v>
      </c>
      <c r="BX33" s="50">
        <f t="shared" si="577"/>
        <v>0</v>
      </c>
      <c r="BY33" s="50">
        <f t="shared" si="577"/>
        <v>0</v>
      </c>
      <c r="BZ33" s="50">
        <f t="shared" si="577"/>
        <v>0</v>
      </c>
      <c r="CA33" s="50">
        <f t="shared" si="577"/>
        <v>0</v>
      </c>
      <c r="CB33" s="50">
        <f t="shared" si="577"/>
        <v>0</v>
      </c>
      <c r="CC33" s="50">
        <f t="shared" si="577"/>
        <v>0</v>
      </c>
      <c r="CD33" s="50">
        <f t="shared" si="577"/>
        <v>0</v>
      </c>
      <c r="CE33" s="50">
        <f t="shared" si="577"/>
        <v>0</v>
      </c>
      <c r="CF33" s="50">
        <f t="shared" si="577"/>
        <v>0</v>
      </c>
      <c r="CG33" s="50">
        <f t="shared" si="577"/>
        <v>0</v>
      </c>
      <c r="CH33" s="50">
        <f t="shared" si="577"/>
        <v>0</v>
      </c>
      <c r="CI33" s="50">
        <f t="shared" si="577"/>
        <v>0</v>
      </c>
      <c r="CJ33" s="50">
        <f t="shared" si="577"/>
        <v>0</v>
      </c>
      <c r="CK33" s="50">
        <f t="shared" si="577"/>
        <v>0</v>
      </c>
      <c r="CL33" s="50">
        <f t="shared" si="577"/>
        <v>0</v>
      </c>
      <c r="CM33" s="50">
        <f t="shared" si="577"/>
        <v>0</v>
      </c>
      <c r="CN33" s="50">
        <f t="shared" si="577"/>
        <v>0</v>
      </c>
      <c r="CO33" s="50">
        <f t="shared" si="577"/>
        <v>0</v>
      </c>
      <c r="CP33" s="50">
        <f t="shared" si="577"/>
        <v>0</v>
      </c>
      <c r="CQ33" s="50">
        <f t="shared" si="577"/>
        <v>0</v>
      </c>
      <c r="CR33" s="50">
        <f t="shared" si="577"/>
        <v>0</v>
      </c>
      <c r="CS33" s="50">
        <f t="shared" si="577"/>
        <v>0</v>
      </c>
      <c r="CT33" s="50">
        <f t="shared" si="577"/>
        <v>0</v>
      </c>
      <c r="CU33" s="50">
        <f t="shared" si="577"/>
        <v>0</v>
      </c>
      <c r="CV33" s="50">
        <f t="shared" si="577"/>
        <v>0</v>
      </c>
      <c r="CW33" s="50">
        <f t="shared" si="577"/>
        <v>0</v>
      </c>
      <c r="CX33" s="50">
        <f t="shared" si="577"/>
        <v>0</v>
      </c>
      <c r="CY33" s="50">
        <f t="shared" si="577"/>
        <v>0</v>
      </c>
      <c r="CZ33" s="50">
        <f t="shared" si="577"/>
        <v>0</v>
      </c>
      <c r="DA33" s="50">
        <f t="shared" si="577"/>
        <v>0</v>
      </c>
      <c r="DB33" s="50">
        <f t="shared" si="577"/>
        <v>0</v>
      </c>
      <c r="DC33" s="50">
        <f t="shared" si="577"/>
        <v>0</v>
      </c>
      <c r="DD33" s="50">
        <f t="shared" si="577"/>
        <v>0</v>
      </c>
      <c r="DE33" s="50">
        <f t="shared" si="577"/>
        <v>0</v>
      </c>
      <c r="DF33" s="50">
        <f t="shared" si="577"/>
        <v>0</v>
      </c>
      <c r="DG33" s="50">
        <f t="shared" si="577"/>
        <v>0</v>
      </c>
      <c r="DH33" s="50">
        <f t="shared" si="577"/>
        <v>0</v>
      </c>
      <c r="DI33" s="50">
        <f t="shared" si="577"/>
        <v>0</v>
      </c>
      <c r="DJ33" s="50">
        <f t="shared" si="577"/>
        <v>0</v>
      </c>
      <c r="DK33" s="50">
        <f t="shared" si="577"/>
        <v>0</v>
      </c>
      <c r="DL33" s="50">
        <f t="shared" si="577"/>
        <v>0</v>
      </c>
      <c r="DM33" s="50">
        <f t="shared" si="577"/>
        <v>0</v>
      </c>
      <c r="DN33" s="50">
        <f t="shared" si="577"/>
        <v>0</v>
      </c>
      <c r="DO33" s="50">
        <f t="shared" si="577"/>
        <v>0</v>
      </c>
      <c r="DP33" s="50">
        <f t="shared" si="577"/>
        <v>0</v>
      </c>
      <c r="DQ33" s="50">
        <f t="shared" si="577"/>
        <v>0</v>
      </c>
      <c r="DR33" s="50">
        <f t="shared" si="577"/>
        <v>0</v>
      </c>
      <c r="DS33" s="50">
        <f t="shared" si="577"/>
        <v>0</v>
      </c>
      <c r="DT33" s="50">
        <f t="shared" si="577"/>
        <v>0</v>
      </c>
      <c r="DU33" s="50">
        <f t="shared" si="577"/>
        <v>0</v>
      </c>
      <c r="DV33" s="50">
        <f t="shared" si="577"/>
        <v>0</v>
      </c>
      <c r="DW33" s="50">
        <f t="shared" si="577"/>
        <v>0</v>
      </c>
      <c r="DX33" s="50">
        <f t="shared" si="577"/>
        <v>0</v>
      </c>
      <c r="DY33" s="50">
        <f t="shared" si="577"/>
        <v>0</v>
      </c>
      <c r="DZ33" s="50">
        <f t="shared" si="577"/>
        <v>0</v>
      </c>
      <c r="EA33" s="50">
        <f t="shared" si="577"/>
        <v>0</v>
      </c>
      <c r="EB33" s="50">
        <f t="shared" si="577"/>
        <v>0</v>
      </c>
      <c r="EC33" s="50">
        <f t="shared" si="577"/>
        <v>0</v>
      </c>
      <c r="ED33" s="50">
        <f t="shared" si="577"/>
        <v>0</v>
      </c>
      <c r="EE33" s="50">
        <f t="shared" ref="EE33:GP33" si="578">SUM(EE26:EE32)</f>
        <v>0</v>
      </c>
      <c r="EF33" s="50">
        <f t="shared" si="578"/>
        <v>0</v>
      </c>
      <c r="EG33" s="50">
        <f t="shared" si="578"/>
        <v>0</v>
      </c>
      <c r="EH33" s="50">
        <f t="shared" si="578"/>
        <v>0</v>
      </c>
      <c r="EI33" s="50">
        <f t="shared" si="578"/>
        <v>0</v>
      </c>
      <c r="EJ33" s="50">
        <f t="shared" si="578"/>
        <v>0</v>
      </c>
      <c r="EK33" s="50">
        <f t="shared" si="578"/>
        <v>0</v>
      </c>
      <c r="EL33" s="50">
        <f t="shared" si="578"/>
        <v>0</v>
      </c>
      <c r="EM33" s="50">
        <f t="shared" si="578"/>
        <v>0</v>
      </c>
      <c r="EN33" s="50">
        <f t="shared" si="578"/>
        <v>0</v>
      </c>
      <c r="EO33" s="50">
        <f t="shared" si="578"/>
        <v>0</v>
      </c>
      <c r="EP33" s="50">
        <f t="shared" si="578"/>
        <v>0</v>
      </c>
      <c r="EQ33" s="50">
        <f t="shared" si="578"/>
        <v>0</v>
      </c>
      <c r="ER33" s="50">
        <f t="shared" si="578"/>
        <v>0</v>
      </c>
      <c r="ES33" s="50">
        <f t="shared" si="578"/>
        <v>0</v>
      </c>
      <c r="ET33" s="50">
        <f t="shared" si="578"/>
        <v>0</v>
      </c>
      <c r="EU33" s="50">
        <f t="shared" si="578"/>
        <v>0</v>
      </c>
      <c r="EV33" s="50">
        <f t="shared" si="578"/>
        <v>0</v>
      </c>
      <c r="EW33" s="50">
        <f t="shared" si="578"/>
        <v>0</v>
      </c>
      <c r="EX33" s="50">
        <f t="shared" si="578"/>
        <v>0</v>
      </c>
      <c r="EY33" s="50">
        <f t="shared" si="578"/>
        <v>0</v>
      </c>
      <c r="EZ33" s="50">
        <f t="shared" si="578"/>
        <v>0</v>
      </c>
      <c r="FA33" s="50">
        <f t="shared" si="578"/>
        <v>0</v>
      </c>
      <c r="FB33" s="50">
        <f t="shared" si="578"/>
        <v>0</v>
      </c>
      <c r="FC33" s="50">
        <f t="shared" si="578"/>
        <v>0</v>
      </c>
      <c r="FD33" s="50">
        <f t="shared" si="578"/>
        <v>0</v>
      </c>
      <c r="FE33" s="50">
        <f t="shared" si="578"/>
        <v>0</v>
      </c>
      <c r="FF33" s="50">
        <f t="shared" si="578"/>
        <v>0</v>
      </c>
      <c r="FG33" s="50">
        <f t="shared" si="578"/>
        <v>0</v>
      </c>
      <c r="FH33" s="50">
        <f t="shared" si="578"/>
        <v>0</v>
      </c>
      <c r="FI33" s="50">
        <f t="shared" si="578"/>
        <v>0</v>
      </c>
      <c r="FJ33" s="50">
        <f t="shared" si="578"/>
        <v>0</v>
      </c>
      <c r="FK33" s="50">
        <f t="shared" si="578"/>
        <v>0</v>
      </c>
      <c r="FL33" s="50">
        <f t="shared" si="578"/>
        <v>0</v>
      </c>
      <c r="FM33" s="50">
        <f t="shared" si="578"/>
        <v>0</v>
      </c>
      <c r="FN33" s="50">
        <f t="shared" si="578"/>
        <v>0</v>
      </c>
      <c r="FO33" s="50">
        <f t="shared" si="578"/>
        <v>0</v>
      </c>
      <c r="FP33" s="50">
        <f t="shared" si="578"/>
        <v>0</v>
      </c>
      <c r="FQ33" s="50">
        <f t="shared" si="578"/>
        <v>0</v>
      </c>
      <c r="FR33" s="50">
        <f t="shared" si="578"/>
        <v>0</v>
      </c>
      <c r="FS33" s="50">
        <f t="shared" si="578"/>
        <v>0</v>
      </c>
      <c r="FT33" s="50">
        <f t="shared" si="578"/>
        <v>0</v>
      </c>
      <c r="FU33" s="50">
        <f t="shared" si="578"/>
        <v>0</v>
      </c>
      <c r="FV33" s="50">
        <f t="shared" si="578"/>
        <v>0</v>
      </c>
      <c r="FW33" s="50">
        <f t="shared" si="578"/>
        <v>0</v>
      </c>
      <c r="FX33" s="50">
        <f t="shared" si="578"/>
        <v>0</v>
      </c>
      <c r="FY33" s="50">
        <f t="shared" si="578"/>
        <v>0</v>
      </c>
      <c r="FZ33" s="50">
        <f t="shared" si="578"/>
        <v>0</v>
      </c>
      <c r="GA33" s="50">
        <f t="shared" si="578"/>
        <v>0</v>
      </c>
      <c r="GB33" s="50">
        <f t="shared" si="578"/>
        <v>0</v>
      </c>
      <c r="GC33" s="50">
        <f t="shared" si="578"/>
        <v>0</v>
      </c>
      <c r="GD33" s="50">
        <f t="shared" si="578"/>
        <v>0</v>
      </c>
      <c r="GE33" s="50">
        <f t="shared" si="578"/>
        <v>0</v>
      </c>
      <c r="GF33" s="50">
        <f t="shared" si="578"/>
        <v>0</v>
      </c>
      <c r="GG33" s="50">
        <f t="shared" si="578"/>
        <v>0</v>
      </c>
      <c r="GH33" s="50">
        <f t="shared" si="578"/>
        <v>0</v>
      </c>
      <c r="GI33" s="50">
        <f t="shared" si="578"/>
        <v>0</v>
      </c>
      <c r="GJ33" s="50">
        <f t="shared" si="578"/>
        <v>0</v>
      </c>
      <c r="GK33" s="50">
        <f t="shared" si="578"/>
        <v>0</v>
      </c>
      <c r="GL33" s="50">
        <f t="shared" si="578"/>
        <v>0</v>
      </c>
      <c r="GM33" s="50">
        <f t="shared" si="578"/>
        <v>0</v>
      </c>
      <c r="GN33" s="50">
        <f t="shared" si="578"/>
        <v>0</v>
      </c>
      <c r="GO33" s="50">
        <f t="shared" si="578"/>
        <v>0</v>
      </c>
      <c r="GP33" s="50">
        <f t="shared" si="578"/>
        <v>0</v>
      </c>
      <c r="GQ33" s="50">
        <f t="shared" ref="GQ33:IP33" si="579">SUM(GQ26:GQ32)</f>
        <v>0</v>
      </c>
      <c r="GR33" s="50">
        <f t="shared" si="579"/>
        <v>0</v>
      </c>
      <c r="GS33" s="50">
        <f t="shared" si="579"/>
        <v>0</v>
      </c>
      <c r="GT33" s="50">
        <f t="shared" si="579"/>
        <v>0</v>
      </c>
      <c r="GU33" s="50">
        <f t="shared" si="579"/>
        <v>0</v>
      </c>
      <c r="GV33" s="50">
        <f t="shared" si="579"/>
        <v>0</v>
      </c>
      <c r="GW33" s="50">
        <f t="shared" si="579"/>
        <v>0</v>
      </c>
      <c r="GX33" s="50">
        <f t="shared" si="579"/>
        <v>0</v>
      </c>
      <c r="GY33" s="50">
        <f t="shared" si="579"/>
        <v>0</v>
      </c>
      <c r="GZ33" s="50">
        <f t="shared" si="579"/>
        <v>0</v>
      </c>
      <c r="HA33" s="50">
        <f t="shared" si="579"/>
        <v>0</v>
      </c>
      <c r="HB33" s="50">
        <f t="shared" si="579"/>
        <v>0</v>
      </c>
      <c r="HC33" s="50">
        <f t="shared" si="579"/>
        <v>0</v>
      </c>
      <c r="HD33" s="50">
        <f t="shared" si="579"/>
        <v>0</v>
      </c>
      <c r="HE33" s="50">
        <f t="shared" si="579"/>
        <v>0</v>
      </c>
      <c r="HF33" s="50">
        <f t="shared" si="579"/>
        <v>0</v>
      </c>
      <c r="HG33" s="50">
        <f t="shared" si="579"/>
        <v>0</v>
      </c>
      <c r="HH33" s="50">
        <f t="shared" si="579"/>
        <v>0</v>
      </c>
      <c r="HI33" s="50">
        <f t="shared" si="579"/>
        <v>0</v>
      </c>
      <c r="HJ33" s="50">
        <f t="shared" si="579"/>
        <v>0</v>
      </c>
      <c r="HK33" s="50">
        <f t="shared" si="579"/>
        <v>0</v>
      </c>
      <c r="HL33" s="50">
        <f t="shared" si="579"/>
        <v>0</v>
      </c>
      <c r="HM33" s="50">
        <f t="shared" si="579"/>
        <v>0</v>
      </c>
      <c r="HN33" s="50">
        <f t="shared" si="579"/>
        <v>0</v>
      </c>
      <c r="HO33" s="50">
        <f t="shared" si="579"/>
        <v>0</v>
      </c>
      <c r="HP33" s="50">
        <f t="shared" si="579"/>
        <v>0</v>
      </c>
      <c r="HQ33" s="50">
        <f t="shared" si="579"/>
        <v>0</v>
      </c>
      <c r="HR33" s="50">
        <f t="shared" si="579"/>
        <v>0</v>
      </c>
      <c r="HS33" s="50">
        <f t="shared" si="579"/>
        <v>0</v>
      </c>
      <c r="HT33" s="50">
        <f t="shared" si="579"/>
        <v>0</v>
      </c>
      <c r="HU33" s="50">
        <f t="shared" si="579"/>
        <v>0</v>
      </c>
      <c r="HV33" s="50">
        <f t="shared" si="579"/>
        <v>0</v>
      </c>
      <c r="HW33" s="50">
        <f t="shared" si="579"/>
        <v>0</v>
      </c>
      <c r="HX33" s="50">
        <f t="shared" si="579"/>
        <v>0</v>
      </c>
      <c r="HY33" s="50">
        <f t="shared" si="579"/>
        <v>0</v>
      </c>
      <c r="HZ33" s="50">
        <f t="shared" si="579"/>
        <v>0</v>
      </c>
      <c r="IA33" s="50">
        <f t="shared" si="579"/>
        <v>0</v>
      </c>
      <c r="IB33" s="50">
        <f t="shared" si="579"/>
        <v>0</v>
      </c>
      <c r="IC33" s="50">
        <f t="shared" si="579"/>
        <v>0</v>
      </c>
      <c r="ID33" s="50">
        <f t="shared" si="579"/>
        <v>0</v>
      </c>
      <c r="IE33" s="50">
        <f t="shared" si="579"/>
        <v>0</v>
      </c>
      <c r="IF33" s="50">
        <f t="shared" si="579"/>
        <v>0</v>
      </c>
      <c r="IG33" s="50">
        <f t="shared" si="579"/>
        <v>0</v>
      </c>
      <c r="IH33" s="50">
        <f t="shared" si="579"/>
        <v>0</v>
      </c>
      <c r="II33" s="50">
        <f t="shared" si="579"/>
        <v>0</v>
      </c>
      <c r="IJ33" s="50">
        <f t="shared" si="579"/>
        <v>0</v>
      </c>
      <c r="IK33" s="50">
        <f t="shared" si="579"/>
        <v>0</v>
      </c>
      <c r="IL33" s="50">
        <f t="shared" si="579"/>
        <v>0</v>
      </c>
      <c r="IM33" s="50">
        <f t="shared" si="579"/>
        <v>0</v>
      </c>
      <c r="IN33" s="50">
        <f t="shared" si="579"/>
        <v>0</v>
      </c>
      <c r="IO33" s="50">
        <f t="shared" si="579"/>
        <v>0</v>
      </c>
      <c r="IP33" s="50">
        <f t="shared" si="579"/>
        <v>0</v>
      </c>
      <c r="IQ33" s="50">
        <f>SUM(IQ26:IQ32)</f>
        <v>0</v>
      </c>
      <c r="IR33" s="50">
        <f t="shared" ref="IR33:KB33" si="580">SUM(IR26:IR32)</f>
        <v>2</v>
      </c>
      <c r="IS33" s="50">
        <f t="shared" si="580"/>
        <v>3</v>
      </c>
      <c r="IT33" s="50">
        <f t="shared" si="580"/>
        <v>0</v>
      </c>
      <c r="IU33" s="50">
        <f t="shared" si="580"/>
        <v>0</v>
      </c>
      <c r="IV33" s="50">
        <f t="shared" si="580"/>
        <v>0</v>
      </c>
      <c r="IW33" s="50">
        <f t="shared" si="580"/>
        <v>0</v>
      </c>
      <c r="IX33" s="50">
        <f t="shared" si="580"/>
        <v>0</v>
      </c>
      <c r="IY33" s="50">
        <f t="shared" si="580"/>
        <v>0</v>
      </c>
      <c r="IZ33" s="50">
        <f t="shared" si="580"/>
        <v>2</v>
      </c>
      <c r="JA33" s="50">
        <f t="shared" si="580"/>
        <v>3</v>
      </c>
      <c r="JB33" s="50">
        <f t="shared" si="580"/>
        <v>5</v>
      </c>
      <c r="JC33" s="50">
        <f t="shared" si="580"/>
        <v>1</v>
      </c>
      <c r="JD33" s="50">
        <f t="shared" si="580"/>
        <v>0</v>
      </c>
      <c r="JE33" s="50">
        <f t="shared" si="580"/>
        <v>0</v>
      </c>
      <c r="JF33" s="50">
        <f t="shared" si="580"/>
        <v>0</v>
      </c>
      <c r="JG33" s="50">
        <f t="shared" si="580"/>
        <v>0</v>
      </c>
      <c r="JH33" s="50">
        <f t="shared" si="580"/>
        <v>0</v>
      </c>
      <c r="JI33" s="50">
        <f t="shared" si="580"/>
        <v>0</v>
      </c>
      <c r="JJ33" s="50">
        <f t="shared" si="580"/>
        <v>0</v>
      </c>
      <c r="JK33" s="50">
        <f t="shared" si="580"/>
        <v>0</v>
      </c>
      <c r="JL33" s="50">
        <f t="shared" si="580"/>
        <v>0</v>
      </c>
      <c r="JM33" s="50">
        <f t="shared" si="580"/>
        <v>1</v>
      </c>
      <c r="JN33" s="50">
        <f t="shared" si="580"/>
        <v>0</v>
      </c>
      <c r="JO33" s="50">
        <f t="shared" si="580"/>
        <v>1</v>
      </c>
      <c r="JP33" s="50">
        <f t="shared" si="580"/>
        <v>3</v>
      </c>
      <c r="JQ33" s="50">
        <f t="shared" si="580"/>
        <v>3</v>
      </c>
      <c r="JR33" s="50">
        <f t="shared" si="580"/>
        <v>0</v>
      </c>
      <c r="JS33" s="50">
        <f t="shared" si="580"/>
        <v>0</v>
      </c>
      <c r="JT33" s="50">
        <f t="shared" si="580"/>
        <v>0</v>
      </c>
      <c r="JU33" s="50">
        <f t="shared" si="580"/>
        <v>0</v>
      </c>
      <c r="JV33" s="50">
        <f t="shared" si="580"/>
        <v>0</v>
      </c>
      <c r="JW33" s="50">
        <f t="shared" si="580"/>
        <v>0</v>
      </c>
      <c r="JX33" s="50">
        <f t="shared" si="580"/>
        <v>0</v>
      </c>
      <c r="JY33" s="50">
        <f t="shared" si="580"/>
        <v>0</v>
      </c>
      <c r="JZ33" s="50">
        <f t="shared" si="580"/>
        <v>3</v>
      </c>
      <c r="KA33" s="50">
        <f t="shared" si="580"/>
        <v>3</v>
      </c>
      <c r="KB33" s="50">
        <f t="shared" si="580"/>
        <v>6</v>
      </c>
      <c r="KC33" s="50">
        <f t="shared" ref="KC33:KQ33" si="581">SUM(KC26:KC32)</f>
        <v>3</v>
      </c>
      <c r="KD33" s="50">
        <f t="shared" si="581"/>
        <v>0</v>
      </c>
      <c r="KE33" s="50">
        <f t="shared" si="581"/>
        <v>0</v>
      </c>
      <c r="KF33" s="50">
        <f t="shared" si="581"/>
        <v>2</v>
      </c>
      <c r="KG33" s="50">
        <f t="shared" si="581"/>
        <v>1</v>
      </c>
      <c r="KH33" s="50">
        <f t="shared" si="581"/>
        <v>0</v>
      </c>
      <c r="KI33" s="50">
        <f t="shared" si="581"/>
        <v>0</v>
      </c>
      <c r="KJ33" s="50">
        <f t="shared" si="581"/>
        <v>2</v>
      </c>
      <c r="KK33" s="50">
        <f t="shared" si="581"/>
        <v>1</v>
      </c>
      <c r="KL33" s="50">
        <f t="shared" si="581"/>
        <v>0</v>
      </c>
      <c r="KM33" s="50">
        <f t="shared" si="581"/>
        <v>44</v>
      </c>
      <c r="KN33" s="50">
        <f t="shared" si="581"/>
        <v>19</v>
      </c>
      <c r="KO33" s="50">
        <f t="shared" si="581"/>
        <v>63</v>
      </c>
      <c r="KP33" s="50">
        <f t="shared" si="581"/>
        <v>0</v>
      </c>
      <c r="KQ33" s="50">
        <f t="shared" si="581"/>
        <v>3</v>
      </c>
      <c r="KR33" s="50">
        <f t="shared" ref="KR33:MO33" si="582">SUM(KR26:KR32)</f>
        <v>0</v>
      </c>
      <c r="KS33" s="50">
        <f t="shared" si="582"/>
        <v>0</v>
      </c>
      <c r="KT33" s="50">
        <f t="shared" si="582"/>
        <v>2</v>
      </c>
      <c r="KU33" s="50">
        <f t="shared" si="582"/>
        <v>1</v>
      </c>
      <c r="KV33" s="50">
        <f t="shared" si="582"/>
        <v>3</v>
      </c>
      <c r="KW33" s="50">
        <f t="shared" si="582"/>
        <v>0</v>
      </c>
      <c r="KX33" s="50">
        <f t="shared" si="582"/>
        <v>0</v>
      </c>
      <c r="KY33" s="50">
        <f t="shared" si="582"/>
        <v>3</v>
      </c>
      <c r="KZ33" s="50">
        <f t="shared" si="582"/>
        <v>0</v>
      </c>
      <c r="LA33" s="50">
        <f t="shared" si="582"/>
        <v>0</v>
      </c>
      <c r="LB33" s="50">
        <f t="shared" si="582"/>
        <v>0</v>
      </c>
      <c r="LC33" s="50">
        <f t="shared" si="582"/>
        <v>0</v>
      </c>
      <c r="LD33" s="50">
        <f t="shared" si="582"/>
        <v>0</v>
      </c>
      <c r="LE33" s="50">
        <f t="shared" si="582"/>
        <v>3</v>
      </c>
      <c r="LF33" s="50">
        <f t="shared" si="582"/>
        <v>0</v>
      </c>
      <c r="LG33" s="50">
        <f t="shared" si="582"/>
        <v>3</v>
      </c>
      <c r="LH33" s="50">
        <f t="shared" si="582"/>
        <v>0</v>
      </c>
      <c r="LI33" s="50">
        <f t="shared" si="582"/>
        <v>3</v>
      </c>
      <c r="LJ33" s="50">
        <f t="shared" si="582"/>
        <v>0</v>
      </c>
      <c r="LK33" s="50">
        <f t="shared" si="582"/>
        <v>3</v>
      </c>
      <c r="LL33" s="50">
        <f t="shared" si="582"/>
        <v>0</v>
      </c>
      <c r="LM33" s="50">
        <f t="shared" si="582"/>
        <v>2</v>
      </c>
      <c r="LN33" s="50">
        <f t="shared" si="582"/>
        <v>4</v>
      </c>
      <c r="LO33" s="50">
        <f t="shared" si="582"/>
        <v>1</v>
      </c>
      <c r="LP33" s="50">
        <f t="shared" si="582"/>
        <v>0</v>
      </c>
      <c r="LQ33" s="50">
        <f t="shared" si="582"/>
        <v>1</v>
      </c>
      <c r="LR33" s="50">
        <f t="shared" si="582"/>
        <v>0</v>
      </c>
      <c r="LS33" s="50">
        <f t="shared" si="582"/>
        <v>0</v>
      </c>
      <c r="LT33" s="50">
        <f t="shared" si="582"/>
        <v>1</v>
      </c>
      <c r="LU33" s="50">
        <f t="shared" si="582"/>
        <v>0</v>
      </c>
      <c r="LV33" s="50">
        <f t="shared" si="582"/>
        <v>1</v>
      </c>
      <c r="LW33" s="50">
        <f t="shared" si="582"/>
        <v>1657</v>
      </c>
      <c r="LX33" s="50">
        <f t="shared" si="582"/>
        <v>0</v>
      </c>
      <c r="LY33" s="50">
        <f t="shared" si="582"/>
        <v>1657</v>
      </c>
      <c r="LZ33" s="50">
        <f t="shared" si="582"/>
        <v>2</v>
      </c>
      <c r="MA33" s="50">
        <f t="shared" si="582"/>
        <v>4</v>
      </c>
      <c r="MB33" s="50">
        <f t="shared" si="582"/>
        <v>0</v>
      </c>
      <c r="MC33" s="50">
        <f t="shared" si="582"/>
        <v>2</v>
      </c>
      <c r="MD33" s="50">
        <f t="shared" si="582"/>
        <v>1</v>
      </c>
      <c r="ME33" s="50">
        <f t="shared" si="582"/>
        <v>1</v>
      </c>
      <c r="MF33" s="50">
        <f t="shared" si="582"/>
        <v>2</v>
      </c>
      <c r="MG33" s="50">
        <f t="shared" si="582"/>
        <v>0</v>
      </c>
      <c r="MH33" s="50">
        <f t="shared" si="582"/>
        <v>1</v>
      </c>
      <c r="MI33" s="50">
        <f t="shared" si="582"/>
        <v>1</v>
      </c>
      <c r="MJ33" s="50">
        <f t="shared" si="582"/>
        <v>0</v>
      </c>
      <c r="MK33" s="50">
        <f t="shared" si="582"/>
        <v>2</v>
      </c>
      <c r="ML33" s="50">
        <f t="shared" si="582"/>
        <v>0</v>
      </c>
      <c r="MM33" s="50">
        <f t="shared" si="582"/>
        <v>2</v>
      </c>
      <c r="MN33" s="50">
        <f t="shared" si="582"/>
        <v>1</v>
      </c>
      <c r="MO33" s="50">
        <f t="shared" si="582"/>
        <v>1</v>
      </c>
    </row>
    <row r="34" spans="1:353" s="157" customFormat="1" ht="21" customHeight="1" thickBot="1" x14ac:dyDescent="0.25">
      <c r="A34" s="36"/>
      <c r="B34" s="36"/>
      <c r="C34" s="36"/>
      <c r="D34" s="36"/>
      <c r="E34" s="36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58"/>
      <c r="S34" s="158"/>
      <c r="T34" s="158"/>
      <c r="U34" s="158"/>
      <c r="V34" s="158"/>
      <c r="W34" s="158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45"/>
      <c r="AK34" s="145"/>
      <c r="AL34" s="146"/>
      <c r="AM34" s="147"/>
      <c r="AN34" s="148"/>
      <c r="AO34" s="148"/>
      <c r="AP34" s="148"/>
      <c r="AQ34" s="148"/>
      <c r="AR34" s="148"/>
      <c r="AS34" s="148"/>
      <c r="AT34" s="148"/>
      <c r="AU34" s="148"/>
      <c r="AV34" s="148"/>
      <c r="AW34" s="148"/>
      <c r="AX34" s="148"/>
      <c r="AY34" s="149"/>
      <c r="AZ34" s="147"/>
      <c r="BA34" s="148"/>
      <c r="BB34" s="148"/>
      <c r="BC34" s="148"/>
      <c r="BD34" s="148"/>
      <c r="BE34" s="148"/>
      <c r="BF34" s="148"/>
      <c r="BG34" s="148"/>
      <c r="BH34" s="148"/>
      <c r="BI34" s="148"/>
      <c r="BJ34" s="148"/>
      <c r="BK34" s="148"/>
      <c r="BL34" s="148"/>
      <c r="BM34" s="148"/>
      <c r="BN34" s="148"/>
      <c r="BO34" s="148"/>
      <c r="BP34" s="148"/>
      <c r="BQ34" s="148"/>
      <c r="BR34" s="148"/>
      <c r="BS34" s="148"/>
      <c r="BT34" s="148"/>
      <c r="BU34" s="148"/>
      <c r="BV34" s="148"/>
      <c r="BW34" s="148"/>
      <c r="BX34" s="148"/>
      <c r="BY34" s="148"/>
      <c r="BZ34" s="148"/>
      <c r="CA34" s="148"/>
      <c r="CB34" s="148"/>
      <c r="CC34" s="148"/>
      <c r="CD34" s="148"/>
      <c r="CE34" s="148"/>
      <c r="CF34" s="148"/>
      <c r="CG34" s="148"/>
      <c r="CH34" s="148"/>
      <c r="CI34" s="148"/>
      <c r="CJ34" s="148"/>
      <c r="CK34" s="148"/>
      <c r="CL34" s="148"/>
      <c r="CM34" s="148"/>
      <c r="CN34" s="148"/>
      <c r="CO34" s="148"/>
      <c r="CP34" s="148"/>
      <c r="CQ34" s="148"/>
      <c r="CR34" s="148"/>
      <c r="CS34" s="148"/>
      <c r="CT34" s="148"/>
      <c r="CU34" s="148"/>
      <c r="CV34" s="148"/>
      <c r="CW34" s="148"/>
      <c r="CX34" s="148"/>
      <c r="CY34" s="148"/>
      <c r="CZ34" s="148"/>
      <c r="DA34" s="148"/>
      <c r="DB34" s="150"/>
      <c r="DC34" s="151"/>
      <c r="DD34" s="151"/>
      <c r="DE34" s="151"/>
      <c r="DF34" s="151"/>
      <c r="DG34" s="151"/>
      <c r="DH34" s="151"/>
      <c r="DI34" s="151"/>
      <c r="DJ34" s="151"/>
      <c r="DK34" s="151"/>
      <c r="DL34" s="151"/>
      <c r="DM34" s="151"/>
      <c r="DN34" s="151"/>
      <c r="DO34" s="151"/>
      <c r="DP34" s="151"/>
      <c r="DQ34" s="151"/>
      <c r="DR34" s="151"/>
      <c r="DS34" s="151"/>
      <c r="DT34" s="151"/>
      <c r="DU34" s="151"/>
      <c r="DV34" s="151"/>
      <c r="DW34" s="151"/>
      <c r="DX34" s="151"/>
      <c r="DY34" s="151"/>
      <c r="DZ34" s="151"/>
      <c r="EA34" s="151"/>
      <c r="EB34" s="151"/>
      <c r="EC34" s="151"/>
      <c r="ED34" s="151"/>
      <c r="EE34" s="151"/>
      <c r="EF34" s="151"/>
      <c r="EG34" s="151"/>
      <c r="EH34" s="151"/>
      <c r="EI34" s="151"/>
      <c r="EJ34" s="151"/>
      <c r="EK34" s="151"/>
      <c r="EL34" s="151"/>
      <c r="EM34" s="151"/>
      <c r="EN34" s="151"/>
      <c r="EO34" s="151"/>
      <c r="EP34" s="151"/>
      <c r="EQ34" s="151"/>
      <c r="ER34" s="151"/>
      <c r="ES34" s="151"/>
      <c r="ET34" s="151"/>
      <c r="EU34" s="151"/>
      <c r="EV34" s="151"/>
      <c r="EW34" s="151"/>
      <c r="EX34" s="151"/>
      <c r="EY34" s="151"/>
      <c r="EZ34" s="152"/>
      <c r="FA34" s="153"/>
      <c r="FB34" s="151"/>
      <c r="FC34" s="151"/>
      <c r="FD34" s="151"/>
      <c r="FE34" s="151"/>
      <c r="FF34" s="151"/>
      <c r="FG34" s="151"/>
      <c r="FH34" s="151"/>
      <c r="FI34" s="151"/>
      <c r="FJ34" s="151"/>
      <c r="FK34" s="151"/>
      <c r="FL34" s="151"/>
      <c r="FM34" s="151"/>
      <c r="FN34" s="151"/>
      <c r="FO34" s="151"/>
      <c r="FP34" s="151"/>
      <c r="FQ34" s="151"/>
      <c r="FR34" s="151"/>
      <c r="FS34" s="151"/>
      <c r="FT34" s="151"/>
      <c r="FU34" s="151"/>
      <c r="FV34" s="151"/>
      <c r="FW34" s="151"/>
      <c r="FX34" s="151"/>
      <c r="FY34" s="151"/>
      <c r="FZ34" s="151"/>
      <c r="GA34" s="151"/>
      <c r="GB34" s="151"/>
      <c r="GC34" s="151"/>
      <c r="GD34" s="151"/>
      <c r="GE34" s="151"/>
      <c r="GF34" s="151"/>
      <c r="GG34" s="151"/>
      <c r="GH34" s="151"/>
      <c r="GI34" s="151"/>
      <c r="GJ34" s="151"/>
      <c r="GK34" s="151"/>
      <c r="GL34" s="151"/>
      <c r="GM34" s="151"/>
      <c r="GN34" s="151"/>
      <c r="GO34" s="151"/>
      <c r="GP34" s="151"/>
      <c r="GQ34" s="151"/>
      <c r="GR34" s="151"/>
      <c r="GS34" s="151"/>
      <c r="GT34" s="151"/>
      <c r="GU34" s="151"/>
      <c r="GV34" s="151"/>
      <c r="GW34" s="151"/>
      <c r="GX34" s="151"/>
      <c r="GY34" s="151"/>
      <c r="GZ34" s="151"/>
      <c r="HA34" s="151"/>
      <c r="HB34" s="151"/>
      <c r="HC34" s="151"/>
      <c r="HD34" s="151"/>
      <c r="HE34" s="148"/>
      <c r="HF34" s="148"/>
      <c r="HG34" s="148"/>
      <c r="HH34" s="148"/>
      <c r="HI34" s="148"/>
      <c r="HJ34" s="148"/>
      <c r="HK34" s="148"/>
      <c r="HL34" s="148"/>
      <c r="HM34" s="148"/>
      <c r="HN34" s="148"/>
      <c r="HO34" s="148"/>
      <c r="HP34" s="148"/>
      <c r="HQ34" s="148"/>
      <c r="HR34" s="148"/>
      <c r="HS34" s="148"/>
      <c r="HT34" s="148"/>
      <c r="HU34" s="148"/>
      <c r="HV34" s="148"/>
      <c r="HW34" s="148"/>
      <c r="HX34" s="148"/>
      <c r="HY34" s="148"/>
      <c r="HZ34" s="148"/>
      <c r="IA34" s="148"/>
      <c r="IB34" s="148"/>
      <c r="IC34" s="148"/>
      <c r="ID34" s="148"/>
      <c r="IE34" s="148"/>
      <c r="IF34" s="148"/>
      <c r="IG34" s="148"/>
      <c r="IH34" s="148"/>
      <c r="II34" s="148"/>
      <c r="IJ34" s="148"/>
      <c r="IK34" s="148"/>
      <c r="IL34" s="148"/>
      <c r="IM34" s="154"/>
      <c r="IN34" s="148"/>
      <c r="IO34" s="148"/>
      <c r="IP34" s="148"/>
      <c r="IQ34" s="148"/>
      <c r="IR34" s="155"/>
      <c r="IS34" s="155"/>
      <c r="IT34" s="155"/>
      <c r="IU34" s="155"/>
      <c r="IV34" s="155"/>
      <c r="IW34" s="155"/>
      <c r="IX34" s="155"/>
      <c r="IY34" s="155"/>
      <c r="IZ34" s="159"/>
      <c r="JA34" s="159"/>
      <c r="JB34" s="159"/>
      <c r="JC34" s="155"/>
      <c r="JD34" s="155"/>
      <c r="JE34" s="155"/>
      <c r="JF34" s="155"/>
      <c r="JG34" s="155"/>
      <c r="JH34" s="155"/>
      <c r="JI34" s="155"/>
      <c r="JJ34" s="155"/>
      <c r="JK34" s="155"/>
      <c r="JL34" s="155"/>
      <c r="JM34" s="159"/>
      <c r="JN34" s="159"/>
      <c r="JO34" s="159"/>
      <c r="JP34" s="156"/>
      <c r="JQ34" s="156"/>
      <c r="JR34" s="156"/>
      <c r="JS34" s="156"/>
      <c r="JT34" s="156"/>
      <c r="JU34" s="156"/>
      <c r="JV34" s="156"/>
      <c r="JW34" s="156"/>
      <c r="JX34" s="156"/>
      <c r="JY34" s="156"/>
      <c r="JZ34" s="156"/>
      <c r="KA34" s="156"/>
      <c r="KB34" s="156"/>
      <c r="KC34" s="144"/>
      <c r="KD34" s="144"/>
      <c r="KE34" s="144"/>
      <c r="KF34" s="144"/>
      <c r="KG34" s="144"/>
      <c r="KH34" s="144"/>
      <c r="KI34" s="144"/>
      <c r="KJ34" s="144"/>
      <c r="KK34" s="144"/>
      <c r="KL34" s="144"/>
      <c r="KM34" s="144"/>
      <c r="KN34" s="144"/>
      <c r="KO34" s="144"/>
      <c r="KP34" s="144"/>
      <c r="KQ34" s="144"/>
      <c r="KR34" s="144"/>
      <c r="KS34" s="144"/>
      <c r="KT34" s="144"/>
      <c r="KU34" s="144"/>
      <c r="KV34" s="144"/>
      <c r="KW34" s="144"/>
      <c r="KX34" s="144"/>
      <c r="KY34" s="144"/>
      <c r="KZ34" s="144"/>
      <c r="LA34" s="144"/>
      <c r="LB34" s="144"/>
      <c r="LC34" s="144"/>
      <c r="LD34" s="144"/>
      <c r="LE34" s="144"/>
      <c r="LF34" s="144"/>
      <c r="LG34" s="144"/>
      <c r="LH34" s="144"/>
      <c r="LI34" s="144"/>
      <c r="LJ34" s="144"/>
      <c r="LK34" s="144"/>
      <c r="LL34" s="144"/>
      <c r="LM34" s="144"/>
      <c r="LN34" s="144"/>
      <c r="LO34" s="144"/>
      <c r="LP34" s="144"/>
      <c r="LQ34" s="144"/>
      <c r="LR34" s="144"/>
      <c r="LS34" s="144"/>
      <c r="LT34" s="144"/>
      <c r="LU34" s="144"/>
      <c r="LV34" s="144"/>
      <c r="LW34" s="144"/>
      <c r="LX34" s="144"/>
      <c r="LY34" s="144"/>
      <c r="LZ34" s="144"/>
      <c r="MA34" s="144"/>
      <c r="MB34" s="144"/>
      <c r="MC34" s="144"/>
      <c r="MD34" s="144"/>
      <c r="ME34" s="144"/>
      <c r="MF34" s="144"/>
      <c r="MG34" s="144"/>
      <c r="MH34" s="144"/>
      <c r="MI34" s="144"/>
      <c r="MJ34" s="144"/>
      <c r="MK34" s="144"/>
      <c r="ML34" s="144"/>
      <c r="MM34" s="144"/>
      <c r="MN34" s="144"/>
      <c r="MO34" s="144"/>
    </row>
    <row r="35" spans="1:353" s="157" customFormat="1" ht="21" customHeight="1" x14ac:dyDescent="0.2">
      <c r="A35" s="36"/>
      <c r="B35" s="36"/>
      <c r="C35" s="36"/>
      <c r="D35" s="36"/>
      <c r="E35" s="36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58"/>
      <c r="S35" s="158"/>
      <c r="T35" s="158"/>
      <c r="U35" s="158"/>
      <c r="V35" s="158"/>
      <c r="W35" s="158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6"/>
      <c r="AM35" s="147"/>
      <c r="AN35" s="148"/>
      <c r="AO35" s="148"/>
      <c r="AP35" s="148"/>
      <c r="AQ35" s="148"/>
      <c r="AR35" s="148"/>
      <c r="AS35" s="148"/>
      <c r="AT35" s="148"/>
      <c r="AU35" s="148"/>
      <c r="AV35" s="148"/>
      <c r="AW35" s="148"/>
      <c r="AX35" s="148"/>
      <c r="AY35" s="149"/>
      <c r="AZ35" s="147"/>
      <c r="BA35" s="148"/>
      <c r="BB35" s="148"/>
      <c r="BC35" s="148"/>
      <c r="BD35" s="148"/>
      <c r="BE35" s="148"/>
      <c r="BF35" s="148"/>
      <c r="BG35" s="148"/>
      <c r="BH35" s="148"/>
      <c r="BI35" s="148"/>
      <c r="BJ35" s="148"/>
      <c r="BK35" s="148"/>
      <c r="BL35" s="148"/>
      <c r="BM35" s="148"/>
      <c r="BN35" s="148"/>
      <c r="BO35" s="148"/>
      <c r="BP35" s="148"/>
      <c r="BQ35" s="148"/>
      <c r="BR35" s="148"/>
      <c r="BS35" s="148"/>
      <c r="BT35" s="148"/>
      <c r="BU35" s="148"/>
      <c r="BV35" s="148"/>
      <c r="BW35" s="148"/>
      <c r="BX35" s="148"/>
      <c r="BY35" s="148"/>
      <c r="BZ35" s="148"/>
      <c r="CA35" s="148"/>
      <c r="CB35" s="148"/>
      <c r="CC35" s="148"/>
      <c r="CD35" s="148"/>
      <c r="CE35" s="148"/>
      <c r="CF35" s="148"/>
      <c r="CG35" s="148"/>
      <c r="CH35" s="148"/>
      <c r="CI35" s="148"/>
      <c r="CJ35" s="148"/>
      <c r="CK35" s="148"/>
      <c r="CL35" s="148"/>
      <c r="CM35" s="148"/>
      <c r="CN35" s="148"/>
      <c r="CO35" s="148"/>
      <c r="CP35" s="148"/>
      <c r="CQ35" s="148"/>
      <c r="CR35" s="148"/>
      <c r="CS35" s="148"/>
      <c r="CT35" s="148"/>
      <c r="CU35" s="148"/>
      <c r="CV35" s="148"/>
      <c r="CW35" s="148"/>
      <c r="CX35" s="148"/>
      <c r="CY35" s="148"/>
      <c r="CZ35" s="148"/>
      <c r="DA35" s="148"/>
      <c r="DB35" s="150"/>
      <c r="DC35" s="151"/>
      <c r="DD35" s="151"/>
      <c r="DE35" s="151"/>
      <c r="DF35" s="151"/>
      <c r="DG35" s="151"/>
      <c r="DH35" s="151"/>
      <c r="DI35" s="151"/>
      <c r="DJ35" s="151"/>
      <c r="DK35" s="151"/>
      <c r="DL35" s="151"/>
      <c r="DM35" s="151"/>
      <c r="DN35" s="151"/>
      <c r="DO35" s="151"/>
      <c r="DP35" s="151"/>
      <c r="DQ35" s="151"/>
      <c r="DR35" s="151"/>
      <c r="DS35" s="151"/>
      <c r="DT35" s="151"/>
      <c r="DU35" s="151"/>
      <c r="DV35" s="151"/>
      <c r="DW35" s="151"/>
      <c r="DX35" s="151"/>
      <c r="DY35" s="151"/>
      <c r="DZ35" s="151"/>
      <c r="EA35" s="151"/>
      <c r="EB35" s="151"/>
      <c r="EC35" s="151"/>
      <c r="ED35" s="151"/>
      <c r="EE35" s="151"/>
      <c r="EF35" s="151"/>
      <c r="EG35" s="151"/>
      <c r="EH35" s="151"/>
      <c r="EI35" s="151"/>
      <c r="EJ35" s="151"/>
      <c r="EK35" s="151"/>
      <c r="EL35" s="151"/>
      <c r="EM35" s="151"/>
      <c r="EN35" s="151"/>
      <c r="EO35" s="151"/>
      <c r="EP35" s="151"/>
      <c r="EQ35" s="151"/>
      <c r="ER35" s="151"/>
      <c r="ES35" s="151"/>
      <c r="ET35" s="151"/>
      <c r="EU35" s="151"/>
      <c r="EV35" s="151"/>
      <c r="EW35" s="151"/>
      <c r="EX35" s="151"/>
      <c r="EY35" s="151"/>
      <c r="EZ35" s="152"/>
      <c r="FA35" s="153"/>
      <c r="FB35" s="151"/>
      <c r="FC35" s="151"/>
      <c r="FD35" s="151"/>
      <c r="FE35" s="151"/>
      <c r="FF35" s="151"/>
      <c r="FG35" s="151"/>
      <c r="FH35" s="151"/>
      <c r="FI35" s="151"/>
      <c r="FJ35" s="151"/>
      <c r="FK35" s="151"/>
      <c r="FL35" s="151"/>
      <c r="FM35" s="151"/>
      <c r="FN35" s="151"/>
      <c r="FO35" s="151"/>
      <c r="FP35" s="151"/>
      <c r="FQ35" s="151"/>
      <c r="FR35" s="151"/>
      <c r="FS35" s="151"/>
      <c r="FT35" s="151"/>
      <c r="FU35" s="151"/>
      <c r="FV35" s="151"/>
      <c r="FW35" s="151"/>
      <c r="FX35" s="151"/>
      <c r="FY35" s="151"/>
      <c r="FZ35" s="151"/>
      <c r="GA35" s="151"/>
      <c r="GB35" s="151"/>
      <c r="GC35" s="151"/>
      <c r="GD35" s="151"/>
      <c r="GE35" s="151"/>
      <c r="GF35" s="151"/>
      <c r="GG35" s="151"/>
      <c r="GH35" s="151"/>
      <c r="GI35" s="151"/>
      <c r="GJ35" s="151"/>
      <c r="GK35" s="151"/>
      <c r="GL35" s="151"/>
      <c r="GM35" s="151"/>
      <c r="GN35" s="151"/>
      <c r="GO35" s="151"/>
      <c r="GP35" s="151"/>
      <c r="GQ35" s="151"/>
      <c r="GR35" s="151"/>
      <c r="GS35" s="151"/>
      <c r="GT35" s="151"/>
      <c r="GU35" s="151"/>
      <c r="GV35" s="151"/>
      <c r="GW35" s="151"/>
      <c r="GX35" s="151"/>
      <c r="GY35" s="151"/>
      <c r="GZ35" s="151"/>
      <c r="HA35" s="151"/>
      <c r="HB35" s="151"/>
      <c r="HC35" s="151"/>
      <c r="HD35" s="151"/>
      <c r="HE35" s="148"/>
      <c r="HF35" s="148"/>
      <c r="HG35" s="148"/>
      <c r="HH35" s="148"/>
      <c r="HI35" s="148"/>
      <c r="HJ35" s="148"/>
      <c r="HK35" s="148"/>
      <c r="HL35" s="148"/>
      <c r="HM35" s="148"/>
      <c r="HN35" s="148"/>
      <c r="HO35" s="148"/>
      <c r="HP35" s="148"/>
      <c r="HQ35" s="148"/>
      <c r="HR35" s="148"/>
      <c r="HS35" s="148"/>
      <c r="HT35" s="148"/>
      <c r="HU35" s="148"/>
      <c r="HV35" s="148"/>
      <c r="HW35" s="148"/>
      <c r="HX35" s="148"/>
      <c r="HY35" s="148"/>
      <c r="HZ35" s="148"/>
      <c r="IA35" s="148"/>
      <c r="IB35" s="148"/>
      <c r="IC35" s="148"/>
      <c r="ID35" s="148"/>
      <c r="IE35" s="148"/>
      <c r="IF35" s="148"/>
      <c r="IG35" s="148"/>
      <c r="IH35" s="148"/>
      <c r="II35" s="148"/>
      <c r="IJ35" s="148"/>
      <c r="IK35" s="148"/>
      <c r="IL35" s="148"/>
      <c r="IM35" s="154"/>
      <c r="IN35" s="148"/>
      <c r="IO35" s="148"/>
      <c r="IP35" s="148"/>
      <c r="IQ35" s="148"/>
      <c r="IR35" s="155"/>
      <c r="IS35" s="155"/>
      <c r="IT35" s="155"/>
      <c r="IU35" s="155"/>
      <c r="IV35" s="155"/>
      <c r="IW35" s="155"/>
      <c r="IX35" s="155"/>
      <c r="IY35" s="155"/>
      <c r="IZ35" s="159"/>
      <c r="JA35" s="159"/>
      <c r="JB35" s="159"/>
      <c r="JC35" s="155"/>
      <c r="JD35" s="155"/>
      <c r="JE35" s="155"/>
      <c r="JF35" s="155"/>
      <c r="JG35" s="155"/>
      <c r="JH35" s="155"/>
      <c r="JI35" s="155"/>
      <c r="JJ35" s="155"/>
      <c r="JK35" s="155"/>
      <c r="JL35" s="155"/>
      <c r="JM35" s="159"/>
      <c r="JN35" s="159"/>
      <c r="JO35" s="159"/>
      <c r="JP35" s="156"/>
      <c r="JQ35" s="156"/>
      <c r="JR35" s="156"/>
      <c r="JS35" s="156"/>
      <c r="JT35" s="156"/>
      <c r="JU35" s="156"/>
      <c r="JV35" s="156"/>
      <c r="JW35" s="156"/>
      <c r="JX35" s="156"/>
      <c r="JY35" s="156"/>
      <c r="JZ35" s="156"/>
      <c r="KA35" s="156"/>
      <c r="KB35" s="156"/>
      <c r="KC35" s="144"/>
      <c r="KD35" s="144"/>
      <c r="KE35" s="144"/>
      <c r="KF35" s="144"/>
      <c r="KG35" s="144"/>
      <c r="KH35" s="144"/>
      <c r="KI35" s="144"/>
      <c r="KJ35" s="144"/>
      <c r="KK35" s="144"/>
      <c r="KL35" s="144"/>
      <c r="KM35" s="144"/>
      <c r="KN35" s="144"/>
      <c r="KO35" s="144"/>
      <c r="KP35" s="144"/>
      <c r="KQ35" s="144"/>
      <c r="KR35" s="144"/>
      <c r="KS35" s="144"/>
      <c r="KT35" s="144"/>
      <c r="KU35" s="144"/>
      <c r="KV35" s="144"/>
      <c r="KW35" s="144"/>
      <c r="KX35" s="144"/>
      <c r="KY35" s="144"/>
      <c r="KZ35" s="144"/>
      <c r="LA35" s="144"/>
      <c r="LB35" s="144"/>
      <c r="LC35" s="144"/>
      <c r="LD35" s="144"/>
      <c r="LE35" s="144"/>
      <c r="LF35" s="144"/>
      <c r="LG35" s="144"/>
      <c r="LH35" s="144"/>
      <c r="LI35" s="144"/>
      <c r="LJ35" s="144"/>
      <c r="LK35" s="144"/>
      <c r="LL35" s="144"/>
      <c r="LM35" s="144"/>
      <c r="LN35" s="144"/>
      <c r="LO35" s="144"/>
      <c r="LP35" s="144"/>
      <c r="LQ35" s="144"/>
      <c r="LR35" s="144"/>
      <c r="LS35" s="144"/>
      <c r="LT35" s="144"/>
      <c r="LU35" s="144"/>
      <c r="LV35" s="144"/>
      <c r="LW35" s="144"/>
      <c r="LX35" s="144"/>
      <c r="LY35" s="144"/>
      <c r="LZ35" s="144"/>
      <c r="MA35" s="144"/>
      <c r="MB35" s="144"/>
      <c r="MC35" s="144"/>
      <c r="MD35" s="144"/>
      <c r="ME35" s="144"/>
      <c r="MF35" s="144"/>
      <c r="MG35" s="144"/>
      <c r="MH35" s="144"/>
      <c r="MI35" s="144"/>
      <c r="MJ35" s="144"/>
      <c r="MK35" s="144"/>
      <c r="ML35" s="144"/>
      <c r="MM35" s="144"/>
      <c r="MN35" s="144"/>
      <c r="MO35" s="144"/>
    </row>
    <row r="36" spans="1:353" s="51" customFormat="1" ht="29.25" customHeight="1" x14ac:dyDescent="0.2">
      <c r="A36" s="364" t="s">
        <v>323</v>
      </c>
      <c r="B36" s="365"/>
      <c r="C36" s="365"/>
      <c r="D36" s="365"/>
      <c r="E36" s="366"/>
      <c r="F36" s="50">
        <f>SUM(F34:F35)</f>
        <v>0</v>
      </c>
      <c r="G36" s="50">
        <f t="shared" ref="G36:BR36" si="583">SUM(G34:G35)</f>
        <v>0</v>
      </c>
      <c r="H36" s="50">
        <f t="shared" si="583"/>
        <v>0</v>
      </c>
      <c r="I36" s="50">
        <f t="shared" si="583"/>
        <v>0</v>
      </c>
      <c r="J36" s="50">
        <f t="shared" si="583"/>
        <v>0</v>
      </c>
      <c r="K36" s="50">
        <f t="shared" si="583"/>
        <v>0</v>
      </c>
      <c r="L36" s="50">
        <f t="shared" si="583"/>
        <v>0</v>
      </c>
      <c r="M36" s="50">
        <f t="shared" si="583"/>
        <v>0</v>
      </c>
      <c r="N36" s="50">
        <f t="shared" si="583"/>
        <v>0</v>
      </c>
      <c r="O36" s="50">
        <f t="shared" si="583"/>
        <v>0</v>
      </c>
      <c r="P36" s="50">
        <f t="shared" si="583"/>
        <v>0</v>
      </c>
      <c r="Q36" s="50">
        <f t="shared" si="583"/>
        <v>0</v>
      </c>
      <c r="R36" s="50">
        <f t="shared" si="583"/>
        <v>0</v>
      </c>
      <c r="S36" s="50">
        <f t="shared" si="583"/>
        <v>0</v>
      </c>
      <c r="T36" s="50">
        <f t="shared" si="583"/>
        <v>0</v>
      </c>
      <c r="U36" s="50">
        <f t="shared" si="583"/>
        <v>0</v>
      </c>
      <c r="V36" s="50">
        <f t="shared" si="583"/>
        <v>0</v>
      </c>
      <c r="W36" s="50">
        <f t="shared" si="583"/>
        <v>0</v>
      </c>
      <c r="X36" s="50">
        <f t="shared" si="583"/>
        <v>0</v>
      </c>
      <c r="Y36" s="50">
        <f t="shared" si="583"/>
        <v>0</v>
      </c>
      <c r="Z36" s="50">
        <f t="shared" si="583"/>
        <v>0</v>
      </c>
      <c r="AA36" s="50">
        <f t="shared" si="583"/>
        <v>0</v>
      </c>
      <c r="AB36" s="50">
        <f t="shared" si="583"/>
        <v>0</v>
      </c>
      <c r="AC36" s="50">
        <f t="shared" si="583"/>
        <v>0</v>
      </c>
      <c r="AD36" s="50">
        <f t="shared" si="583"/>
        <v>0</v>
      </c>
      <c r="AE36" s="50">
        <f t="shared" si="583"/>
        <v>0</v>
      </c>
      <c r="AF36" s="50">
        <f t="shared" si="583"/>
        <v>0</v>
      </c>
      <c r="AG36" s="50">
        <f t="shared" si="583"/>
        <v>0</v>
      </c>
      <c r="AH36" s="50">
        <f t="shared" si="583"/>
        <v>0</v>
      </c>
      <c r="AI36" s="50">
        <f t="shared" si="583"/>
        <v>0</v>
      </c>
      <c r="AJ36" s="50">
        <f t="shared" si="583"/>
        <v>0</v>
      </c>
      <c r="AK36" s="50">
        <f t="shared" si="583"/>
        <v>0</v>
      </c>
      <c r="AL36" s="50">
        <f t="shared" si="583"/>
        <v>0</v>
      </c>
      <c r="AM36" s="50">
        <f t="shared" si="583"/>
        <v>0</v>
      </c>
      <c r="AN36" s="50">
        <f t="shared" si="583"/>
        <v>0</v>
      </c>
      <c r="AO36" s="50">
        <f t="shared" si="583"/>
        <v>0</v>
      </c>
      <c r="AP36" s="50">
        <f t="shared" si="583"/>
        <v>0</v>
      </c>
      <c r="AQ36" s="50">
        <f t="shared" si="583"/>
        <v>0</v>
      </c>
      <c r="AR36" s="50">
        <f t="shared" si="583"/>
        <v>0</v>
      </c>
      <c r="AS36" s="50">
        <f t="shared" si="583"/>
        <v>0</v>
      </c>
      <c r="AT36" s="50">
        <f t="shared" si="583"/>
        <v>0</v>
      </c>
      <c r="AU36" s="50">
        <f t="shared" si="583"/>
        <v>0</v>
      </c>
      <c r="AV36" s="50">
        <f t="shared" si="583"/>
        <v>0</v>
      </c>
      <c r="AW36" s="50">
        <f t="shared" si="583"/>
        <v>0</v>
      </c>
      <c r="AX36" s="50">
        <f t="shared" si="583"/>
        <v>0</v>
      </c>
      <c r="AY36" s="50">
        <f t="shared" si="583"/>
        <v>0</v>
      </c>
      <c r="AZ36" s="50">
        <f t="shared" si="583"/>
        <v>0</v>
      </c>
      <c r="BA36" s="50">
        <f t="shared" si="583"/>
        <v>0</v>
      </c>
      <c r="BB36" s="50">
        <f t="shared" si="583"/>
        <v>0</v>
      </c>
      <c r="BC36" s="50">
        <f t="shared" si="583"/>
        <v>0</v>
      </c>
      <c r="BD36" s="50">
        <f t="shared" si="583"/>
        <v>0</v>
      </c>
      <c r="BE36" s="50">
        <f t="shared" si="583"/>
        <v>0</v>
      </c>
      <c r="BF36" s="50">
        <f t="shared" si="583"/>
        <v>0</v>
      </c>
      <c r="BG36" s="50">
        <f t="shared" si="583"/>
        <v>0</v>
      </c>
      <c r="BH36" s="50">
        <f t="shared" si="583"/>
        <v>0</v>
      </c>
      <c r="BI36" s="50">
        <f t="shared" si="583"/>
        <v>0</v>
      </c>
      <c r="BJ36" s="50">
        <f t="shared" si="583"/>
        <v>0</v>
      </c>
      <c r="BK36" s="50">
        <f t="shared" si="583"/>
        <v>0</v>
      </c>
      <c r="BL36" s="50">
        <f t="shared" si="583"/>
        <v>0</v>
      </c>
      <c r="BM36" s="50">
        <f t="shared" si="583"/>
        <v>0</v>
      </c>
      <c r="BN36" s="50">
        <f t="shared" si="583"/>
        <v>0</v>
      </c>
      <c r="BO36" s="50">
        <f t="shared" si="583"/>
        <v>0</v>
      </c>
      <c r="BP36" s="50">
        <f t="shared" si="583"/>
        <v>0</v>
      </c>
      <c r="BQ36" s="50">
        <f t="shared" si="583"/>
        <v>0</v>
      </c>
      <c r="BR36" s="50">
        <f t="shared" si="583"/>
        <v>0</v>
      </c>
      <c r="BS36" s="50">
        <f t="shared" ref="BS36:ED36" si="584">SUM(BS34:BS35)</f>
        <v>0</v>
      </c>
      <c r="BT36" s="50">
        <f t="shared" si="584"/>
        <v>0</v>
      </c>
      <c r="BU36" s="50">
        <f t="shared" si="584"/>
        <v>0</v>
      </c>
      <c r="BV36" s="50">
        <f t="shared" si="584"/>
        <v>0</v>
      </c>
      <c r="BW36" s="50">
        <f t="shared" si="584"/>
        <v>0</v>
      </c>
      <c r="BX36" s="50">
        <f t="shared" si="584"/>
        <v>0</v>
      </c>
      <c r="BY36" s="50">
        <f t="shared" si="584"/>
        <v>0</v>
      </c>
      <c r="BZ36" s="50">
        <f t="shared" si="584"/>
        <v>0</v>
      </c>
      <c r="CA36" s="50">
        <f t="shared" si="584"/>
        <v>0</v>
      </c>
      <c r="CB36" s="50">
        <f t="shared" si="584"/>
        <v>0</v>
      </c>
      <c r="CC36" s="50">
        <f t="shared" si="584"/>
        <v>0</v>
      </c>
      <c r="CD36" s="50">
        <f t="shared" si="584"/>
        <v>0</v>
      </c>
      <c r="CE36" s="50">
        <f t="shared" si="584"/>
        <v>0</v>
      </c>
      <c r="CF36" s="50">
        <f t="shared" si="584"/>
        <v>0</v>
      </c>
      <c r="CG36" s="50">
        <f t="shared" si="584"/>
        <v>0</v>
      </c>
      <c r="CH36" s="50">
        <f t="shared" si="584"/>
        <v>0</v>
      </c>
      <c r="CI36" s="50">
        <f t="shared" si="584"/>
        <v>0</v>
      </c>
      <c r="CJ36" s="50">
        <f t="shared" si="584"/>
        <v>0</v>
      </c>
      <c r="CK36" s="50">
        <f t="shared" si="584"/>
        <v>0</v>
      </c>
      <c r="CL36" s="50">
        <f t="shared" si="584"/>
        <v>0</v>
      </c>
      <c r="CM36" s="50">
        <f t="shared" si="584"/>
        <v>0</v>
      </c>
      <c r="CN36" s="50">
        <f t="shared" si="584"/>
        <v>0</v>
      </c>
      <c r="CO36" s="50">
        <f t="shared" si="584"/>
        <v>0</v>
      </c>
      <c r="CP36" s="50">
        <f t="shared" si="584"/>
        <v>0</v>
      </c>
      <c r="CQ36" s="50">
        <f t="shared" si="584"/>
        <v>0</v>
      </c>
      <c r="CR36" s="50">
        <f t="shared" si="584"/>
        <v>0</v>
      </c>
      <c r="CS36" s="50">
        <f t="shared" si="584"/>
        <v>0</v>
      </c>
      <c r="CT36" s="50">
        <f t="shared" si="584"/>
        <v>0</v>
      </c>
      <c r="CU36" s="50">
        <f t="shared" si="584"/>
        <v>0</v>
      </c>
      <c r="CV36" s="50">
        <f t="shared" si="584"/>
        <v>0</v>
      </c>
      <c r="CW36" s="50">
        <f t="shared" si="584"/>
        <v>0</v>
      </c>
      <c r="CX36" s="50">
        <f t="shared" si="584"/>
        <v>0</v>
      </c>
      <c r="CY36" s="50">
        <f t="shared" si="584"/>
        <v>0</v>
      </c>
      <c r="CZ36" s="50">
        <f t="shared" si="584"/>
        <v>0</v>
      </c>
      <c r="DA36" s="50">
        <f t="shared" si="584"/>
        <v>0</v>
      </c>
      <c r="DB36" s="50">
        <f t="shared" si="584"/>
        <v>0</v>
      </c>
      <c r="DC36" s="50">
        <f t="shared" si="584"/>
        <v>0</v>
      </c>
      <c r="DD36" s="50">
        <f t="shared" si="584"/>
        <v>0</v>
      </c>
      <c r="DE36" s="50">
        <f t="shared" si="584"/>
        <v>0</v>
      </c>
      <c r="DF36" s="50">
        <f t="shared" si="584"/>
        <v>0</v>
      </c>
      <c r="DG36" s="50">
        <f t="shared" si="584"/>
        <v>0</v>
      </c>
      <c r="DH36" s="50">
        <f t="shared" si="584"/>
        <v>0</v>
      </c>
      <c r="DI36" s="50">
        <f t="shared" si="584"/>
        <v>0</v>
      </c>
      <c r="DJ36" s="50">
        <f t="shared" si="584"/>
        <v>0</v>
      </c>
      <c r="DK36" s="50">
        <f t="shared" si="584"/>
        <v>0</v>
      </c>
      <c r="DL36" s="50">
        <f t="shared" si="584"/>
        <v>0</v>
      </c>
      <c r="DM36" s="50">
        <f t="shared" si="584"/>
        <v>0</v>
      </c>
      <c r="DN36" s="50">
        <f t="shared" si="584"/>
        <v>0</v>
      </c>
      <c r="DO36" s="50">
        <f t="shared" si="584"/>
        <v>0</v>
      </c>
      <c r="DP36" s="50">
        <f t="shared" si="584"/>
        <v>0</v>
      </c>
      <c r="DQ36" s="50">
        <f t="shared" si="584"/>
        <v>0</v>
      </c>
      <c r="DR36" s="50">
        <f t="shared" si="584"/>
        <v>0</v>
      </c>
      <c r="DS36" s="50">
        <f t="shared" si="584"/>
        <v>0</v>
      </c>
      <c r="DT36" s="50">
        <f t="shared" si="584"/>
        <v>0</v>
      </c>
      <c r="DU36" s="50">
        <f t="shared" si="584"/>
        <v>0</v>
      </c>
      <c r="DV36" s="50">
        <f t="shared" si="584"/>
        <v>0</v>
      </c>
      <c r="DW36" s="50">
        <f t="shared" si="584"/>
        <v>0</v>
      </c>
      <c r="DX36" s="50">
        <f t="shared" si="584"/>
        <v>0</v>
      </c>
      <c r="DY36" s="50">
        <f t="shared" si="584"/>
        <v>0</v>
      </c>
      <c r="DZ36" s="50">
        <f t="shared" si="584"/>
        <v>0</v>
      </c>
      <c r="EA36" s="50">
        <f t="shared" si="584"/>
        <v>0</v>
      </c>
      <c r="EB36" s="50">
        <f t="shared" si="584"/>
        <v>0</v>
      </c>
      <c r="EC36" s="50">
        <f t="shared" si="584"/>
        <v>0</v>
      </c>
      <c r="ED36" s="50">
        <f t="shared" si="584"/>
        <v>0</v>
      </c>
      <c r="EE36" s="50">
        <f t="shared" ref="EE36:GP36" si="585">SUM(EE34:EE35)</f>
        <v>0</v>
      </c>
      <c r="EF36" s="50">
        <f t="shared" si="585"/>
        <v>0</v>
      </c>
      <c r="EG36" s="50">
        <f t="shared" si="585"/>
        <v>0</v>
      </c>
      <c r="EH36" s="50">
        <f t="shared" si="585"/>
        <v>0</v>
      </c>
      <c r="EI36" s="50">
        <f t="shared" si="585"/>
        <v>0</v>
      </c>
      <c r="EJ36" s="50">
        <f t="shared" si="585"/>
        <v>0</v>
      </c>
      <c r="EK36" s="50">
        <f t="shared" si="585"/>
        <v>0</v>
      </c>
      <c r="EL36" s="50">
        <f t="shared" si="585"/>
        <v>0</v>
      </c>
      <c r="EM36" s="50">
        <f t="shared" si="585"/>
        <v>0</v>
      </c>
      <c r="EN36" s="50">
        <f t="shared" si="585"/>
        <v>0</v>
      </c>
      <c r="EO36" s="50">
        <f t="shared" si="585"/>
        <v>0</v>
      </c>
      <c r="EP36" s="50">
        <f t="shared" si="585"/>
        <v>0</v>
      </c>
      <c r="EQ36" s="50">
        <f t="shared" si="585"/>
        <v>0</v>
      </c>
      <c r="ER36" s="50">
        <f t="shared" si="585"/>
        <v>0</v>
      </c>
      <c r="ES36" s="50">
        <f t="shared" si="585"/>
        <v>0</v>
      </c>
      <c r="ET36" s="50">
        <f t="shared" si="585"/>
        <v>0</v>
      </c>
      <c r="EU36" s="50">
        <f t="shared" si="585"/>
        <v>0</v>
      </c>
      <c r="EV36" s="50">
        <f t="shared" si="585"/>
        <v>0</v>
      </c>
      <c r="EW36" s="50">
        <f t="shared" si="585"/>
        <v>0</v>
      </c>
      <c r="EX36" s="50">
        <f t="shared" si="585"/>
        <v>0</v>
      </c>
      <c r="EY36" s="50">
        <f t="shared" si="585"/>
        <v>0</v>
      </c>
      <c r="EZ36" s="50">
        <f t="shared" si="585"/>
        <v>0</v>
      </c>
      <c r="FA36" s="50">
        <f t="shared" si="585"/>
        <v>0</v>
      </c>
      <c r="FB36" s="50">
        <f t="shared" si="585"/>
        <v>0</v>
      </c>
      <c r="FC36" s="50">
        <f t="shared" si="585"/>
        <v>0</v>
      </c>
      <c r="FD36" s="50">
        <f t="shared" si="585"/>
        <v>0</v>
      </c>
      <c r="FE36" s="50">
        <f t="shared" si="585"/>
        <v>0</v>
      </c>
      <c r="FF36" s="50">
        <f t="shared" si="585"/>
        <v>0</v>
      </c>
      <c r="FG36" s="50">
        <f t="shared" si="585"/>
        <v>0</v>
      </c>
      <c r="FH36" s="50">
        <f t="shared" si="585"/>
        <v>0</v>
      </c>
      <c r="FI36" s="50">
        <f t="shared" si="585"/>
        <v>0</v>
      </c>
      <c r="FJ36" s="50">
        <f t="shared" si="585"/>
        <v>0</v>
      </c>
      <c r="FK36" s="50">
        <f t="shared" si="585"/>
        <v>0</v>
      </c>
      <c r="FL36" s="50">
        <f t="shared" si="585"/>
        <v>0</v>
      </c>
      <c r="FM36" s="50">
        <f t="shared" si="585"/>
        <v>0</v>
      </c>
      <c r="FN36" s="50">
        <f t="shared" si="585"/>
        <v>0</v>
      </c>
      <c r="FO36" s="50">
        <f t="shared" si="585"/>
        <v>0</v>
      </c>
      <c r="FP36" s="50">
        <f t="shared" si="585"/>
        <v>0</v>
      </c>
      <c r="FQ36" s="50">
        <f t="shared" si="585"/>
        <v>0</v>
      </c>
      <c r="FR36" s="50">
        <f t="shared" si="585"/>
        <v>0</v>
      </c>
      <c r="FS36" s="50">
        <f t="shared" si="585"/>
        <v>0</v>
      </c>
      <c r="FT36" s="50">
        <f t="shared" si="585"/>
        <v>0</v>
      </c>
      <c r="FU36" s="50">
        <f t="shared" si="585"/>
        <v>0</v>
      </c>
      <c r="FV36" s="50">
        <f t="shared" si="585"/>
        <v>0</v>
      </c>
      <c r="FW36" s="50">
        <f t="shared" si="585"/>
        <v>0</v>
      </c>
      <c r="FX36" s="50">
        <f t="shared" si="585"/>
        <v>0</v>
      </c>
      <c r="FY36" s="50">
        <f t="shared" si="585"/>
        <v>0</v>
      </c>
      <c r="FZ36" s="50">
        <f t="shared" si="585"/>
        <v>0</v>
      </c>
      <c r="GA36" s="50">
        <f t="shared" si="585"/>
        <v>0</v>
      </c>
      <c r="GB36" s="50">
        <f t="shared" si="585"/>
        <v>0</v>
      </c>
      <c r="GC36" s="50">
        <f t="shared" si="585"/>
        <v>0</v>
      </c>
      <c r="GD36" s="50">
        <f t="shared" si="585"/>
        <v>0</v>
      </c>
      <c r="GE36" s="50">
        <f t="shared" si="585"/>
        <v>0</v>
      </c>
      <c r="GF36" s="50">
        <f t="shared" si="585"/>
        <v>0</v>
      </c>
      <c r="GG36" s="50">
        <f t="shared" si="585"/>
        <v>0</v>
      </c>
      <c r="GH36" s="50">
        <f t="shared" si="585"/>
        <v>0</v>
      </c>
      <c r="GI36" s="50">
        <f t="shared" si="585"/>
        <v>0</v>
      </c>
      <c r="GJ36" s="50">
        <f t="shared" si="585"/>
        <v>0</v>
      </c>
      <c r="GK36" s="50">
        <f t="shared" si="585"/>
        <v>0</v>
      </c>
      <c r="GL36" s="50">
        <f t="shared" si="585"/>
        <v>0</v>
      </c>
      <c r="GM36" s="50">
        <f t="shared" si="585"/>
        <v>0</v>
      </c>
      <c r="GN36" s="50">
        <f t="shared" si="585"/>
        <v>0</v>
      </c>
      <c r="GO36" s="50">
        <f t="shared" si="585"/>
        <v>0</v>
      </c>
      <c r="GP36" s="50">
        <f t="shared" si="585"/>
        <v>0</v>
      </c>
      <c r="GQ36" s="50">
        <f t="shared" ref="GQ36:IQ36" si="586">SUM(GQ34:GQ35)</f>
        <v>0</v>
      </c>
      <c r="GR36" s="50">
        <f t="shared" si="586"/>
        <v>0</v>
      </c>
      <c r="GS36" s="50">
        <f t="shared" si="586"/>
        <v>0</v>
      </c>
      <c r="GT36" s="50">
        <f t="shared" si="586"/>
        <v>0</v>
      </c>
      <c r="GU36" s="50">
        <f t="shared" si="586"/>
        <v>0</v>
      </c>
      <c r="GV36" s="50">
        <f t="shared" si="586"/>
        <v>0</v>
      </c>
      <c r="GW36" s="50">
        <f t="shared" si="586"/>
        <v>0</v>
      </c>
      <c r="GX36" s="50">
        <f t="shared" si="586"/>
        <v>0</v>
      </c>
      <c r="GY36" s="50">
        <f t="shared" si="586"/>
        <v>0</v>
      </c>
      <c r="GZ36" s="50">
        <f t="shared" si="586"/>
        <v>0</v>
      </c>
      <c r="HA36" s="50">
        <f t="shared" si="586"/>
        <v>0</v>
      </c>
      <c r="HB36" s="50">
        <f t="shared" si="586"/>
        <v>0</v>
      </c>
      <c r="HC36" s="50">
        <f t="shared" si="586"/>
        <v>0</v>
      </c>
      <c r="HD36" s="50">
        <f t="shared" si="586"/>
        <v>0</v>
      </c>
      <c r="HE36" s="50">
        <f t="shared" si="586"/>
        <v>0</v>
      </c>
      <c r="HF36" s="50">
        <f t="shared" si="586"/>
        <v>0</v>
      </c>
      <c r="HG36" s="50">
        <f t="shared" si="586"/>
        <v>0</v>
      </c>
      <c r="HH36" s="50">
        <f t="shared" si="586"/>
        <v>0</v>
      </c>
      <c r="HI36" s="50">
        <f t="shared" si="586"/>
        <v>0</v>
      </c>
      <c r="HJ36" s="50">
        <f t="shared" si="586"/>
        <v>0</v>
      </c>
      <c r="HK36" s="50">
        <f t="shared" si="586"/>
        <v>0</v>
      </c>
      <c r="HL36" s="50">
        <f t="shared" si="586"/>
        <v>0</v>
      </c>
      <c r="HM36" s="50">
        <f t="shared" si="586"/>
        <v>0</v>
      </c>
      <c r="HN36" s="50">
        <f t="shared" si="586"/>
        <v>0</v>
      </c>
      <c r="HO36" s="50">
        <f t="shared" si="586"/>
        <v>0</v>
      </c>
      <c r="HP36" s="50">
        <f t="shared" si="586"/>
        <v>0</v>
      </c>
      <c r="HQ36" s="50">
        <f t="shared" si="586"/>
        <v>0</v>
      </c>
      <c r="HR36" s="50">
        <f t="shared" si="586"/>
        <v>0</v>
      </c>
      <c r="HS36" s="50">
        <f t="shared" si="586"/>
        <v>0</v>
      </c>
      <c r="HT36" s="50">
        <f t="shared" si="586"/>
        <v>0</v>
      </c>
      <c r="HU36" s="50">
        <f t="shared" si="586"/>
        <v>0</v>
      </c>
      <c r="HV36" s="50">
        <f t="shared" si="586"/>
        <v>0</v>
      </c>
      <c r="HW36" s="50">
        <f t="shared" si="586"/>
        <v>0</v>
      </c>
      <c r="HX36" s="50">
        <f t="shared" si="586"/>
        <v>0</v>
      </c>
      <c r="HY36" s="50">
        <f t="shared" si="586"/>
        <v>0</v>
      </c>
      <c r="HZ36" s="50">
        <f t="shared" si="586"/>
        <v>0</v>
      </c>
      <c r="IA36" s="50">
        <f t="shared" si="586"/>
        <v>0</v>
      </c>
      <c r="IB36" s="50">
        <f t="shared" si="586"/>
        <v>0</v>
      </c>
      <c r="IC36" s="50">
        <f t="shared" si="586"/>
        <v>0</v>
      </c>
      <c r="ID36" s="50">
        <f t="shared" si="586"/>
        <v>0</v>
      </c>
      <c r="IE36" s="50">
        <f t="shared" si="586"/>
        <v>0</v>
      </c>
      <c r="IF36" s="50">
        <f t="shared" si="586"/>
        <v>0</v>
      </c>
      <c r="IG36" s="50">
        <f t="shared" si="586"/>
        <v>0</v>
      </c>
      <c r="IH36" s="50">
        <f t="shared" si="586"/>
        <v>0</v>
      </c>
      <c r="II36" s="50">
        <f t="shared" si="586"/>
        <v>0</v>
      </c>
      <c r="IJ36" s="50">
        <f t="shared" si="586"/>
        <v>0</v>
      </c>
      <c r="IK36" s="50">
        <f t="shared" si="586"/>
        <v>0</v>
      </c>
      <c r="IL36" s="50">
        <f t="shared" si="586"/>
        <v>0</v>
      </c>
      <c r="IM36" s="50">
        <f t="shared" si="586"/>
        <v>0</v>
      </c>
      <c r="IN36" s="50">
        <f t="shared" si="586"/>
        <v>0</v>
      </c>
      <c r="IO36" s="50">
        <f t="shared" si="586"/>
        <v>0</v>
      </c>
      <c r="IP36" s="50">
        <f t="shared" si="586"/>
        <v>0</v>
      </c>
      <c r="IQ36" s="50">
        <f t="shared" si="586"/>
        <v>0</v>
      </c>
      <c r="IR36" s="50">
        <f t="shared" ref="IR36:JZ36" si="587">SUM(IR34:IR35)</f>
        <v>0</v>
      </c>
      <c r="IS36" s="50">
        <f t="shared" si="587"/>
        <v>0</v>
      </c>
      <c r="IT36" s="50">
        <f t="shared" si="587"/>
        <v>0</v>
      </c>
      <c r="IU36" s="50">
        <f t="shared" si="587"/>
        <v>0</v>
      </c>
      <c r="IV36" s="50">
        <f t="shared" si="587"/>
        <v>0</v>
      </c>
      <c r="IW36" s="50">
        <f t="shared" si="587"/>
        <v>0</v>
      </c>
      <c r="IX36" s="50">
        <f t="shared" si="587"/>
        <v>0</v>
      </c>
      <c r="IY36" s="50">
        <f t="shared" si="587"/>
        <v>0</v>
      </c>
      <c r="IZ36" s="50">
        <f t="shared" si="587"/>
        <v>0</v>
      </c>
      <c r="JA36" s="50">
        <f t="shared" si="587"/>
        <v>0</v>
      </c>
      <c r="JB36" s="50">
        <f t="shared" si="587"/>
        <v>0</v>
      </c>
      <c r="JC36" s="50">
        <f t="shared" si="587"/>
        <v>0</v>
      </c>
      <c r="JD36" s="50">
        <f t="shared" si="587"/>
        <v>0</v>
      </c>
      <c r="JE36" s="50">
        <f t="shared" si="587"/>
        <v>0</v>
      </c>
      <c r="JF36" s="50">
        <f t="shared" si="587"/>
        <v>0</v>
      </c>
      <c r="JG36" s="50">
        <f t="shared" si="587"/>
        <v>0</v>
      </c>
      <c r="JH36" s="50">
        <f t="shared" si="587"/>
        <v>0</v>
      </c>
      <c r="JI36" s="50">
        <f t="shared" si="587"/>
        <v>0</v>
      </c>
      <c r="JJ36" s="50">
        <f t="shared" si="587"/>
        <v>0</v>
      </c>
      <c r="JK36" s="50">
        <f t="shared" si="587"/>
        <v>0</v>
      </c>
      <c r="JL36" s="50">
        <f t="shared" si="587"/>
        <v>0</v>
      </c>
      <c r="JM36" s="50">
        <f t="shared" si="587"/>
        <v>0</v>
      </c>
      <c r="JN36" s="50">
        <f t="shared" si="587"/>
        <v>0</v>
      </c>
      <c r="JO36" s="50">
        <f t="shared" si="587"/>
        <v>0</v>
      </c>
      <c r="JP36" s="50">
        <f t="shared" si="587"/>
        <v>0</v>
      </c>
      <c r="JQ36" s="50">
        <f t="shared" si="587"/>
        <v>0</v>
      </c>
      <c r="JR36" s="50">
        <f t="shared" si="587"/>
        <v>0</v>
      </c>
      <c r="JS36" s="50">
        <f t="shared" si="587"/>
        <v>0</v>
      </c>
      <c r="JT36" s="50">
        <f t="shared" si="587"/>
        <v>0</v>
      </c>
      <c r="JU36" s="50">
        <f t="shared" si="587"/>
        <v>0</v>
      </c>
      <c r="JV36" s="50">
        <f t="shared" si="587"/>
        <v>0</v>
      </c>
      <c r="JW36" s="50">
        <f t="shared" si="587"/>
        <v>0</v>
      </c>
      <c r="JX36" s="50">
        <f t="shared" si="587"/>
        <v>0</v>
      </c>
      <c r="JY36" s="50">
        <f t="shared" si="587"/>
        <v>0</v>
      </c>
      <c r="JZ36" s="50">
        <f t="shared" si="587"/>
        <v>0</v>
      </c>
      <c r="KA36" s="50">
        <f>SUM(KA34:KA35)</f>
        <v>0</v>
      </c>
      <c r="KB36" s="50">
        <f>SUM(KB34:KB35)</f>
        <v>0</v>
      </c>
      <c r="KC36" s="50">
        <f t="shared" ref="KC36:LY36" si="588">SUM(KC34:KC35)</f>
        <v>0</v>
      </c>
      <c r="KD36" s="50">
        <f t="shared" si="588"/>
        <v>0</v>
      </c>
      <c r="KE36" s="50">
        <f t="shared" si="588"/>
        <v>0</v>
      </c>
      <c r="KF36" s="50">
        <f t="shared" si="588"/>
        <v>0</v>
      </c>
      <c r="KG36" s="50">
        <f t="shared" si="588"/>
        <v>0</v>
      </c>
      <c r="KH36" s="50">
        <f t="shared" si="588"/>
        <v>0</v>
      </c>
      <c r="KI36" s="50">
        <f t="shared" si="588"/>
        <v>0</v>
      </c>
      <c r="KJ36" s="50">
        <f t="shared" si="588"/>
        <v>0</v>
      </c>
      <c r="KK36" s="50">
        <f t="shared" si="588"/>
        <v>0</v>
      </c>
      <c r="KL36" s="50">
        <f t="shared" si="588"/>
        <v>0</v>
      </c>
      <c r="KM36" s="50">
        <f t="shared" si="588"/>
        <v>0</v>
      </c>
      <c r="KN36" s="50">
        <f t="shared" si="588"/>
        <v>0</v>
      </c>
      <c r="KO36" s="50">
        <f t="shared" si="588"/>
        <v>0</v>
      </c>
      <c r="KP36" s="50">
        <f t="shared" si="588"/>
        <v>0</v>
      </c>
      <c r="KQ36" s="50">
        <f t="shared" si="588"/>
        <v>0</v>
      </c>
      <c r="KR36" s="50">
        <f t="shared" si="588"/>
        <v>0</v>
      </c>
      <c r="KS36" s="50">
        <f t="shared" si="588"/>
        <v>0</v>
      </c>
      <c r="KT36" s="50">
        <f t="shared" si="588"/>
        <v>0</v>
      </c>
      <c r="KU36" s="50">
        <f t="shared" si="588"/>
        <v>0</v>
      </c>
      <c r="KV36" s="50">
        <f t="shared" si="588"/>
        <v>0</v>
      </c>
      <c r="KW36" s="50">
        <f t="shared" si="588"/>
        <v>0</v>
      </c>
      <c r="KX36" s="50">
        <f t="shared" si="588"/>
        <v>0</v>
      </c>
      <c r="KY36" s="50">
        <f t="shared" si="588"/>
        <v>0</v>
      </c>
      <c r="KZ36" s="50">
        <f t="shared" si="588"/>
        <v>0</v>
      </c>
      <c r="LA36" s="50">
        <f t="shared" si="588"/>
        <v>0</v>
      </c>
      <c r="LB36" s="50">
        <f t="shared" si="588"/>
        <v>0</v>
      </c>
      <c r="LC36" s="50">
        <f t="shared" si="588"/>
        <v>0</v>
      </c>
      <c r="LD36" s="50">
        <f t="shared" si="588"/>
        <v>0</v>
      </c>
      <c r="LE36" s="50">
        <f t="shared" si="588"/>
        <v>0</v>
      </c>
      <c r="LF36" s="50">
        <f t="shared" si="588"/>
        <v>0</v>
      </c>
      <c r="LG36" s="50">
        <f t="shared" si="588"/>
        <v>0</v>
      </c>
      <c r="LH36" s="50">
        <f t="shared" si="588"/>
        <v>0</v>
      </c>
      <c r="LI36" s="50">
        <f t="shared" si="588"/>
        <v>0</v>
      </c>
      <c r="LJ36" s="50">
        <f t="shared" si="588"/>
        <v>0</v>
      </c>
      <c r="LK36" s="50">
        <f t="shared" si="588"/>
        <v>0</v>
      </c>
      <c r="LL36" s="50">
        <f t="shared" si="588"/>
        <v>0</v>
      </c>
      <c r="LM36" s="50">
        <f t="shared" si="588"/>
        <v>0</v>
      </c>
      <c r="LN36" s="50">
        <f t="shared" si="588"/>
        <v>0</v>
      </c>
      <c r="LO36" s="50">
        <f t="shared" si="588"/>
        <v>0</v>
      </c>
      <c r="LP36" s="50">
        <f t="shared" si="588"/>
        <v>0</v>
      </c>
      <c r="LQ36" s="50">
        <f t="shared" si="588"/>
        <v>0</v>
      </c>
      <c r="LR36" s="50">
        <f t="shared" si="588"/>
        <v>0</v>
      </c>
      <c r="LS36" s="50">
        <f t="shared" si="588"/>
        <v>0</v>
      </c>
      <c r="LT36" s="50">
        <f t="shared" si="588"/>
        <v>0</v>
      </c>
      <c r="LU36" s="50">
        <f t="shared" si="588"/>
        <v>0</v>
      </c>
      <c r="LV36" s="50">
        <f t="shared" si="588"/>
        <v>0</v>
      </c>
      <c r="LW36" s="50">
        <f t="shared" si="588"/>
        <v>0</v>
      </c>
      <c r="LX36" s="50">
        <f t="shared" si="588"/>
        <v>0</v>
      </c>
      <c r="LY36" s="50">
        <f t="shared" si="588"/>
        <v>0</v>
      </c>
      <c r="LZ36" s="50">
        <f t="shared" ref="LZ36:MO36" si="589">SUM(LZ34:LZ35)</f>
        <v>0</v>
      </c>
      <c r="MA36" s="50">
        <f t="shared" si="589"/>
        <v>0</v>
      </c>
      <c r="MB36" s="50">
        <f t="shared" si="589"/>
        <v>0</v>
      </c>
      <c r="MC36" s="50">
        <f t="shared" si="589"/>
        <v>0</v>
      </c>
      <c r="MD36" s="50">
        <f t="shared" si="589"/>
        <v>0</v>
      </c>
      <c r="ME36" s="50">
        <f t="shared" si="589"/>
        <v>0</v>
      </c>
      <c r="MF36" s="50">
        <f t="shared" si="589"/>
        <v>0</v>
      </c>
      <c r="MG36" s="50">
        <f t="shared" si="589"/>
        <v>0</v>
      </c>
      <c r="MH36" s="50">
        <f t="shared" si="589"/>
        <v>0</v>
      </c>
      <c r="MI36" s="50">
        <f t="shared" si="589"/>
        <v>0</v>
      </c>
      <c r="MJ36" s="50">
        <f t="shared" si="589"/>
        <v>0</v>
      </c>
      <c r="MK36" s="50">
        <f t="shared" si="589"/>
        <v>0</v>
      </c>
      <c r="ML36" s="50">
        <f t="shared" si="589"/>
        <v>0</v>
      </c>
      <c r="MM36" s="50">
        <f t="shared" si="589"/>
        <v>0</v>
      </c>
      <c r="MN36" s="50">
        <f t="shared" si="589"/>
        <v>0</v>
      </c>
      <c r="MO36" s="50">
        <f t="shared" si="589"/>
        <v>0</v>
      </c>
    </row>
    <row r="37" spans="1:353" s="118" customFormat="1" ht="33.75" customHeight="1" x14ac:dyDescent="0.2">
      <c r="A37" s="377" t="s">
        <v>350</v>
      </c>
      <c r="B37" s="378"/>
      <c r="C37" s="378"/>
      <c r="D37" s="378"/>
      <c r="E37" s="379"/>
      <c r="F37" s="117">
        <f>F36+F33+F25</f>
        <v>17</v>
      </c>
      <c r="G37" s="117">
        <f t="shared" ref="G37:BR37" si="590">G36+G33+G25</f>
        <v>2</v>
      </c>
      <c r="H37" s="117">
        <f t="shared" si="590"/>
        <v>11</v>
      </c>
      <c r="I37" s="117">
        <f t="shared" si="590"/>
        <v>6</v>
      </c>
      <c r="J37" s="117">
        <f t="shared" si="590"/>
        <v>2</v>
      </c>
      <c r="K37" s="117">
        <f t="shared" si="590"/>
        <v>14</v>
      </c>
      <c r="L37" s="117">
        <f t="shared" si="590"/>
        <v>5</v>
      </c>
      <c r="M37" s="117">
        <f t="shared" si="590"/>
        <v>15</v>
      </c>
      <c r="N37" s="117">
        <f t="shared" si="590"/>
        <v>4</v>
      </c>
      <c r="O37" s="117">
        <f t="shared" si="590"/>
        <v>0</v>
      </c>
      <c r="P37" s="117">
        <f t="shared" si="590"/>
        <v>15</v>
      </c>
      <c r="Q37" s="117">
        <f t="shared" si="590"/>
        <v>4</v>
      </c>
      <c r="R37" s="117">
        <f t="shared" si="590"/>
        <v>11</v>
      </c>
      <c r="S37" s="117">
        <f t="shared" si="590"/>
        <v>0</v>
      </c>
      <c r="T37" s="117">
        <f t="shared" si="590"/>
        <v>8</v>
      </c>
      <c r="U37" s="117">
        <f t="shared" si="590"/>
        <v>0</v>
      </c>
      <c r="V37" s="117">
        <f t="shared" si="590"/>
        <v>1</v>
      </c>
      <c r="W37" s="117">
        <f t="shared" si="590"/>
        <v>18</v>
      </c>
      <c r="X37" s="117">
        <f t="shared" si="590"/>
        <v>8</v>
      </c>
      <c r="Y37" s="117">
        <f t="shared" si="590"/>
        <v>2</v>
      </c>
      <c r="Z37" s="117">
        <f t="shared" si="590"/>
        <v>136</v>
      </c>
      <c r="AA37" s="117">
        <f t="shared" si="590"/>
        <v>36</v>
      </c>
      <c r="AB37" s="117">
        <f t="shared" si="590"/>
        <v>11</v>
      </c>
      <c r="AC37" s="117">
        <f t="shared" si="590"/>
        <v>1</v>
      </c>
      <c r="AD37" s="117">
        <f t="shared" si="590"/>
        <v>2</v>
      </c>
      <c r="AE37" s="117">
        <f t="shared" si="590"/>
        <v>0</v>
      </c>
      <c r="AF37" s="117">
        <f t="shared" si="590"/>
        <v>0</v>
      </c>
      <c r="AG37" s="117">
        <f t="shared" si="590"/>
        <v>0</v>
      </c>
      <c r="AH37" s="117">
        <f t="shared" si="590"/>
        <v>0</v>
      </c>
      <c r="AI37" s="117">
        <f t="shared" si="590"/>
        <v>0</v>
      </c>
      <c r="AJ37" s="117">
        <f>AJ36+AJ33+AJ25</f>
        <v>157</v>
      </c>
      <c r="AK37" s="117">
        <f t="shared" si="590"/>
        <v>39</v>
      </c>
      <c r="AL37" s="117">
        <f t="shared" si="590"/>
        <v>196</v>
      </c>
      <c r="AM37" s="117">
        <f t="shared" si="590"/>
        <v>0</v>
      </c>
      <c r="AN37" s="117">
        <f t="shared" si="590"/>
        <v>0</v>
      </c>
      <c r="AO37" s="117">
        <f t="shared" si="590"/>
        <v>0</v>
      </c>
      <c r="AP37" s="117">
        <f t="shared" si="590"/>
        <v>0</v>
      </c>
      <c r="AQ37" s="117">
        <f t="shared" si="590"/>
        <v>0</v>
      </c>
      <c r="AR37" s="117">
        <f t="shared" si="590"/>
        <v>0</v>
      </c>
      <c r="AS37" s="117">
        <f t="shared" si="590"/>
        <v>0</v>
      </c>
      <c r="AT37" s="117">
        <f t="shared" si="590"/>
        <v>0</v>
      </c>
      <c r="AU37" s="117">
        <f t="shared" si="590"/>
        <v>0</v>
      </c>
      <c r="AV37" s="117">
        <f t="shared" si="590"/>
        <v>0</v>
      </c>
      <c r="AW37" s="117">
        <f t="shared" si="590"/>
        <v>0</v>
      </c>
      <c r="AX37" s="117">
        <f t="shared" si="590"/>
        <v>0</v>
      </c>
      <c r="AY37" s="117">
        <f t="shared" si="590"/>
        <v>0</v>
      </c>
      <c r="AZ37" s="117">
        <f t="shared" si="590"/>
        <v>8</v>
      </c>
      <c r="BA37" s="117">
        <f t="shared" si="590"/>
        <v>2</v>
      </c>
      <c r="BB37" s="117">
        <f t="shared" si="590"/>
        <v>136</v>
      </c>
      <c r="BC37" s="117">
        <f t="shared" si="590"/>
        <v>36</v>
      </c>
      <c r="BD37" s="117">
        <f t="shared" si="590"/>
        <v>16</v>
      </c>
      <c r="BE37" s="117">
        <f t="shared" si="590"/>
        <v>1</v>
      </c>
      <c r="BF37" s="117">
        <f t="shared" si="590"/>
        <v>4</v>
      </c>
      <c r="BG37" s="117">
        <f t="shared" si="590"/>
        <v>0</v>
      </c>
      <c r="BH37" s="117">
        <f t="shared" si="590"/>
        <v>5</v>
      </c>
      <c r="BI37" s="117">
        <f t="shared" si="590"/>
        <v>0</v>
      </c>
      <c r="BJ37" s="117">
        <f t="shared" si="590"/>
        <v>0</v>
      </c>
      <c r="BK37" s="117">
        <f t="shared" si="590"/>
        <v>0</v>
      </c>
      <c r="BL37" s="117">
        <f t="shared" si="590"/>
        <v>169</v>
      </c>
      <c r="BM37" s="117">
        <f t="shared" si="590"/>
        <v>39</v>
      </c>
      <c r="BN37" s="117">
        <f t="shared" si="590"/>
        <v>208</v>
      </c>
      <c r="BO37" s="117">
        <f t="shared" si="590"/>
        <v>115</v>
      </c>
      <c r="BP37" s="117">
        <f t="shared" si="590"/>
        <v>49</v>
      </c>
      <c r="BQ37" s="117">
        <f t="shared" si="590"/>
        <v>14</v>
      </c>
      <c r="BR37" s="117">
        <f t="shared" si="590"/>
        <v>3</v>
      </c>
      <c r="BS37" s="117">
        <f t="shared" ref="BS37:ED37" si="591">BS36+BS33+BS25</f>
        <v>6</v>
      </c>
      <c r="BT37" s="117">
        <f t="shared" si="591"/>
        <v>0</v>
      </c>
      <c r="BU37" s="117">
        <f t="shared" si="591"/>
        <v>1</v>
      </c>
      <c r="BV37" s="117">
        <f t="shared" si="591"/>
        <v>0</v>
      </c>
      <c r="BW37" s="117">
        <f t="shared" si="591"/>
        <v>0</v>
      </c>
      <c r="BX37" s="117">
        <f t="shared" si="591"/>
        <v>0</v>
      </c>
      <c r="BY37" s="117">
        <f t="shared" si="591"/>
        <v>136</v>
      </c>
      <c r="BZ37" s="117">
        <f t="shared" si="591"/>
        <v>52</v>
      </c>
      <c r="CA37" s="117">
        <f t="shared" si="591"/>
        <v>188</v>
      </c>
      <c r="CB37" s="117">
        <f t="shared" si="591"/>
        <v>120</v>
      </c>
      <c r="CC37" s="117">
        <f t="shared" si="591"/>
        <v>47</v>
      </c>
      <c r="CD37" s="117">
        <f t="shared" si="591"/>
        <v>19</v>
      </c>
      <c r="CE37" s="117">
        <f t="shared" si="591"/>
        <v>3</v>
      </c>
      <c r="CF37" s="117">
        <f t="shared" si="591"/>
        <v>8</v>
      </c>
      <c r="CG37" s="117">
        <f t="shared" si="591"/>
        <v>0</v>
      </c>
      <c r="CH37" s="117">
        <f t="shared" si="591"/>
        <v>1</v>
      </c>
      <c r="CI37" s="117">
        <f t="shared" si="591"/>
        <v>0</v>
      </c>
      <c r="CJ37" s="117">
        <f t="shared" si="591"/>
        <v>1</v>
      </c>
      <c r="CK37" s="117">
        <f t="shared" si="591"/>
        <v>0</v>
      </c>
      <c r="CL37" s="117">
        <f t="shared" si="591"/>
        <v>149</v>
      </c>
      <c r="CM37" s="117">
        <f t="shared" si="591"/>
        <v>50</v>
      </c>
      <c r="CN37" s="117">
        <f t="shared" si="591"/>
        <v>199</v>
      </c>
      <c r="CO37" s="117">
        <f t="shared" si="591"/>
        <v>133</v>
      </c>
      <c r="CP37" s="117">
        <f t="shared" si="591"/>
        <v>30</v>
      </c>
      <c r="CQ37" s="117">
        <f t="shared" si="591"/>
        <v>15</v>
      </c>
      <c r="CR37" s="117">
        <f t="shared" si="591"/>
        <v>4</v>
      </c>
      <c r="CS37" s="117">
        <f t="shared" si="591"/>
        <v>9</v>
      </c>
      <c r="CT37" s="117">
        <f t="shared" si="591"/>
        <v>0</v>
      </c>
      <c r="CU37" s="117">
        <f t="shared" si="591"/>
        <v>9</v>
      </c>
      <c r="CV37" s="117">
        <f t="shared" si="591"/>
        <v>0</v>
      </c>
      <c r="CW37" s="117">
        <f t="shared" si="591"/>
        <v>1</v>
      </c>
      <c r="CX37" s="117">
        <f t="shared" si="591"/>
        <v>0</v>
      </c>
      <c r="CY37" s="117">
        <f t="shared" si="591"/>
        <v>167</v>
      </c>
      <c r="CZ37" s="117">
        <f t="shared" si="591"/>
        <v>34</v>
      </c>
      <c r="DA37" s="117">
        <f t="shared" si="591"/>
        <v>201</v>
      </c>
      <c r="DB37" s="117">
        <f t="shared" si="591"/>
        <v>125</v>
      </c>
      <c r="DC37" s="117">
        <f t="shared" si="591"/>
        <v>41</v>
      </c>
      <c r="DD37" s="117">
        <f t="shared" si="591"/>
        <v>30</v>
      </c>
      <c r="DE37" s="117">
        <f t="shared" si="591"/>
        <v>8</v>
      </c>
      <c r="DF37" s="117">
        <f t="shared" si="591"/>
        <v>13</v>
      </c>
      <c r="DG37" s="117">
        <f t="shared" si="591"/>
        <v>2</v>
      </c>
      <c r="DH37" s="117">
        <f t="shared" si="591"/>
        <v>8</v>
      </c>
      <c r="DI37" s="117">
        <f t="shared" si="591"/>
        <v>1</v>
      </c>
      <c r="DJ37" s="117">
        <f t="shared" si="591"/>
        <v>4</v>
      </c>
      <c r="DK37" s="117">
        <f t="shared" si="591"/>
        <v>0</v>
      </c>
      <c r="DL37" s="117">
        <f t="shared" si="591"/>
        <v>180</v>
      </c>
      <c r="DM37" s="117">
        <f t="shared" si="591"/>
        <v>52</v>
      </c>
      <c r="DN37" s="117">
        <f t="shared" si="591"/>
        <v>232</v>
      </c>
      <c r="DO37" s="117">
        <f t="shared" si="591"/>
        <v>131</v>
      </c>
      <c r="DP37" s="117">
        <f t="shared" si="591"/>
        <v>30</v>
      </c>
      <c r="DQ37" s="117">
        <f t="shared" si="591"/>
        <v>26</v>
      </c>
      <c r="DR37" s="117">
        <f t="shared" si="591"/>
        <v>1</v>
      </c>
      <c r="DS37" s="117">
        <f t="shared" si="591"/>
        <v>7</v>
      </c>
      <c r="DT37" s="117">
        <f t="shared" si="591"/>
        <v>2</v>
      </c>
      <c r="DU37" s="117">
        <f t="shared" si="591"/>
        <v>3</v>
      </c>
      <c r="DV37" s="117">
        <f t="shared" si="591"/>
        <v>0</v>
      </c>
      <c r="DW37" s="117">
        <f t="shared" si="591"/>
        <v>4</v>
      </c>
      <c r="DX37" s="117">
        <f t="shared" si="591"/>
        <v>0</v>
      </c>
      <c r="DY37" s="117">
        <f t="shared" si="591"/>
        <v>171</v>
      </c>
      <c r="DZ37" s="117">
        <f t="shared" si="591"/>
        <v>33</v>
      </c>
      <c r="EA37" s="117">
        <f t="shared" si="591"/>
        <v>204</v>
      </c>
      <c r="EB37" s="117">
        <f t="shared" si="591"/>
        <v>8</v>
      </c>
      <c r="EC37" s="117">
        <f t="shared" si="591"/>
        <v>2</v>
      </c>
      <c r="ED37" s="117">
        <f t="shared" si="591"/>
        <v>136</v>
      </c>
      <c r="EE37" s="117">
        <f t="shared" ref="EE37:GP37" si="592">EE36+EE33+EE25</f>
        <v>36</v>
      </c>
      <c r="EF37" s="117">
        <f t="shared" si="592"/>
        <v>131</v>
      </c>
      <c r="EG37" s="117">
        <f t="shared" si="592"/>
        <v>50</v>
      </c>
      <c r="EH37" s="117">
        <f t="shared" si="592"/>
        <v>138</v>
      </c>
      <c r="EI37" s="117">
        <f t="shared" si="592"/>
        <v>50</v>
      </c>
      <c r="EJ37" s="117">
        <f t="shared" si="592"/>
        <v>163</v>
      </c>
      <c r="EK37" s="117">
        <f t="shared" si="592"/>
        <v>33</v>
      </c>
      <c r="EL37" s="117">
        <f t="shared" si="592"/>
        <v>149</v>
      </c>
      <c r="EM37" s="117">
        <f t="shared" si="592"/>
        <v>45</v>
      </c>
      <c r="EN37" s="117">
        <f t="shared" si="592"/>
        <v>171</v>
      </c>
      <c r="EO37" s="117">
        <f t="shared" si="592"/>
        <v>38</v>
      </c>
      <c r="EP37" s="117">
        <f t="shared" si="592"/>
        <v>49</v>
      </c>
      <c r="EQ37" s="117">
        <f t="shared" si="592"/>
        <v>3</v>
      </c>
      <c r="ER37" s="117">
        <f t="shared" si="592"/>
        <v>16</v>
      </c>
      <c r="ES37" s="117">
        <f t="shared" si="592"/>
        <v>3</v>
      </c>
      <c r="ET37" s="117">
        <f t="shared" si="592"/>
        <v>7</v>
      </c>
      <c r="EU37" s="117">
        <f t="shared" si="592"/>
        <v>0</v>
      </c>
      <c r="EV37" s="117">
        <f t="shared" si="592"/>
        <v>4</v>
      </c>
      <c r="EW37" s="117">
        <f t="shared" si="592"/>
        <v>0</v>
      </c>
      <c r="EX37" s="117">
        <f t="shared" si="592"/>
        <v>972</v>
      </c>
      <c r="EY37" s="117">
        <f t="shared" si="592"/>
        <v>260</v>
      </c>
      <c r="EZ37" s="117">
        <f t="shared" si="592"/>
        <v>1232</v>
      </c>
      <c r="FA37" s="117">
        <f t="shared" si="592"/>
        <v>0</v>
      </c>
      <c r="FB37" s="117">
        <f t="shared" si="592"/>
        <v>0</v>
      </c>
      <c r="FC37" s="117">
        <f t="shared" si="592"/>
        <v>0</v>
      </c>
      <c r="FD37" s="117">
        <f t="shared" si="592"/>
        <v>0</v>
      </c>
      <c r="FE37" s="117">
        <f t="shared" si="592"/>
        <v>0</v>
      </c>
      <c r="FF37" s="117">
        <f t="shared" si="592"/>
        <v>0</v>
      </c>
      <c r="FG37" s="117">
        <f t="shared" si="592"/>
        <v>0</v>
      </c>
      <c r="FH37" s="117">
        <f t="shared" si="592"/>
        <v>0</v>
      </c>
      <c r="FI37" s="117">
        <f t="shared" si="592"/>
        <v>0</v>
      </c>
      <c r="FJ37" s="117">
        <f t="shared" si="592"/>
        <v>0</v>
      </c>
      <c r="FK37" s="117">
        <f t="shared" si="592"/>
        <v>0</v>
      </c>
      <c r="FL37" s="117">
        <f t="shared" si="592"/>
        <v>0</v>
      </c>
      <c r="FM37" s="117">
        <f t="shared" si="592"/>
        <v>0</v>
      </c>
      <c r="FN37" s="117">
        <f t="shared" si="592"/>
        <v>0</v>
      </c>
      <c r="FO37" s="117">
        <f t="shared" si="592"/>
        <v>0</v>
      </c>
      <c r="FP37" s="117">
        <f t="shared" si="592"/>
        <v>0</v>
      </c>
      <c r="FQ37" s="117">
        <f t="shared" si="592"/>
        <v>0</v>
      </c>
      <c r="FR37" s="117">
        <f t="shared" si="592"/>
        <v>0</v>
      </c>
      <c r="FS37" s="117">
        <f t="shared" si="592"/>
        <v>0</v>
      </c>
      <c r="FT37" s="117">
        <f t="shared" si="592"/>
        <v>0</v>
      </c>
      <c r="FU37" s="117">
        <f t="shared" si="592"/>
        <v>0</v>
      </c>
      <c r="FV37" s="117">
        <f t="shared" si="592"/>
        <v>0</v>
      </c>
      <c r="FW37" s="117">
        <f t="shared" si="592"/>
        <v>0</v>
      </c>
      <c r="FX37" s="117">
        <f t="shared" si="592"/>
        <v>0</v>
      </c>
      <c r="FY37" s="117">
        <f t="shared" si="592"/>
        <v>0</v>
      </c>
      <c r="FZ37" s="117">
        <f t="shared" si="592"/>
        <v>0</v>
      </c>
      <c r="GA37" s="117">
        <f t="shared" si="592"/>
        <v>0</v>
      </c>
      <c r="GB37" s="117">
        <f t="shared" si="592"/>
        <v>0</v>
      </c>
      <c r="GC37" s="117">
        <f t="shared" si="592"/>
        <v>0</v>
      </c>
      <c r="GD37" s="117">
        <f t="shared" si="592"/>
        <v>0</v>
      </c>
      <c r="GE37" s="117">
        <f t="shared" si="592"/>
        <v>0</v>
      </c>
      <c r="GF37" s="117">
        <f t="shared" si="592"/>
        <v>0</v>
      </c>
      <c r="GG37" s="117">
        <f t="shared" si="592"/>
        <v>0</v>
      </c>
      <c r="GH37" s="117">
        <f t="shared" si="592"/>
        <v>0</v>
      </c>
      <c r="GI37" s="117">
        <f t="shared" si="592"/>
        <v>0</v>
      </c>
      <c r="GJ37" s="117">
        <f t="shared" si="592"/>
        <v>0</v>
      </c>
      <c r="GK37" s="117">
        <f t="shared" si="592"/>
        <v>0</v>
      </c>
      <c r="GL37" s="117">
        <f t="shared" si="592"/>
        <v>0</v>
      </c>
      <c r="GM37" s="117">
        <f t="shared" si="592"/>
        <v>0</v>
      </c>
      <c r="GN37" s="117">
        <f t="shared" si="592"/>
        <v>0</v>
      </c>
      <c r="GO37" s="117">
        <f t="shared" si="592"/>
        <v>0</v>
      </c>
      <c r="GP37" s="117">
        <f t="shared" si="592"/>
        <v>0</v>
      </c>
      <c r="GQ37" s="117">
        <f t="shared" ref="GQ37:IP37" si="593">GQ36+GQ33+GQ25</f>
        <v>0</v>
      </c>
      <c r="GR37" s="117">
        <f t="shared" si="593"/>
        <v>0</v>
      </c>
      <c r="GS37" s="117">
        <f t="shared" si="593"/>
        <v>0</v>
      </c>
      <c r="GT37" s="117">
        <f t="shared" si="593"/>
        <v>0</v>
      </c>
      <c r="GU37" s="117">
        <f t="shared" si="593"/>
        <v>0</v>
      </c>
      <c r="GV37" s="117">
        <f t="shared" si="593"/>
        <v>0</v>
      </c>
      <c r="GW37" s="117">
        <f t="shared" si="593"/>
        <v>0</v>
      </c>
      <c r="GX37" s="117">
        <f t="shared" si="593"/>
        <v>0</v>
      </c>
      <c r="GY37" s="117">
        <f t="shared" si="593"/>
        <v>0</v>
      </c>
      <c r="GZ37" s="117">
        <f t="shared" si="593"/>
        <v>0</v>
      </c>
      <c r="HA37" s="117">
        <f t="shared" si="593"/>
        <v>0</v>
      </c>
      <c r="HB37" s="117">
        <f t="shared" si="593"/>
        <v>0</v>
      </c>
      <c r="HC37" s="117">
        <f t="shared" si="593"/>
        <v>0</v>
      </c>
      <c r="HD37" s="117">
        <f t="shared" si="593"/>
        <v>0</v>
      </c>
      <c r="HE37" s="117">
        <f t="shared" si="593"/>
        <v>6</v>
      </c>
      <c r="HF37" s="117">
        <f t="shared" si="593"/>
        <v>2</v>
      </c>
      <c r="HG37" s="117">
        <f t="shared" si="593"/>
        <v>0</v>
      </c>
      <c r="HH37" s="117">
        <f t="shared" si="593"/>
        <v>5</v>
      </c>
      <c r="HI37" s="117">
        <f t="shared" si="593"/>
        <v>2</v>
      </c>
      <c r="HJ37" s="117">
        <f t="shared" si="593"/>
        <v>0</v>
      </c>
      <c r="HK37" s="117">
        <f t="shared" si="593"/>
        <v>5</v>
      </c>
      <c r="HL37" s="117">
        <f t="shared" si="593"/>
        <v>2</v>
      </c>
      <c r="HM37" s="117">
        <f t="shared" si="593"/>
        <v>0</v>
      </c>
      <c r="HN37" s="117">
        <f t="shared" si="593"/>
        <v>5</v>
      </c>
      <c r="HO37" s="117">
        <f t="shared" si="593"/>
        <v>1</v>
      </c>
      <c r="HP37" s="117">
        <f t="shared" si="593"/>
        <v>0</v>
      </c>
      <c r="HQ37" s="117">
        <f t="shared" si="593"/>
        <v>6</v>
      </c>
      <c r="HR37" s="117">
        <f t="shared" si="593"/>
        <v>2</v>
      </c>
      <c r="HS37" s="117">
        <f t="shared" si="593"/>
        <v>0</v>
      </c>
      <c r="HT37" s="117">
        <f t="shared" si="593"/>
        <v>6</v>
      </c>
      <c r="HU37" s="117">
        <f t="shared" si="593"/>
        <v>2</v>
      </c>
      <c r="HV37" s="117">
        <f t="shared" si="593"/>
        <v>0</v>
      </c>
      <c r="HW37" s="117">
        <f t="shared" si="593"/>
        <v>33</v>
      </c>
      <c r="HX37" s="117">
        <f t="shared" si="593"/>
        <v>11</v>
      </c>
      <c r="HY37" s="117">
        <f t="shared" si="593"/>
        <v>0</v>
      </c>
      <c r="HZ37" s="117">
        <f t="shared" si="593"/>
        <v>44</v>
      </c>
      <c r="IA37" s="117">
        <f t="shared" si="593"/>
        <v>0</v>
      </c>
      <c r="IB37" s="117">
        <f t="shared" si="593"/>
        <v>0</v>
      </c>
      <c r="IC37" s="117">
        <f t="shared" si="593"/>
        <v>0</v>
      </c>
      <c r="ID37" s="117">
        <f t="shared" si="593"/>
        <v>0</v>
      </c>
      <c r="IE37" s="117">
        <f t="shared" si="593"/>
        <v>0</v>
      </c>
      <c r="IF37" s="117">
        <f t="shared" si="593"/>
        <v>0</v>
      </c>
      <c r="IG37" s="117">
        <f t="shared" si="593"/>
        <v>0</v>
      </c>
      <c r="IH37" s="117">
        <f t="shared" si="593"/>
        <v>0</v>
      </c>
      <c r="II37" s="117">
        <f t="shared" si="593"/>
        <v>0</v>
      </c>
      <c r="IJ37" s="117">
        <f t="shared" si="593"/>
        <v>0</v>
      </c>
      <c r="IK37" s="117">
        <f t="shared" si="593"/>
        <v>0</v>
      </c>
      <c r="IL37" s="117">
        <f t="shared" si="593"/>
        <v>0</v>
      </c>
      <c r="IM37" s="117">
        <f t="shared" si="593"/>
        <v>0</v>
      </c>
      <c r="IN37" s="117">
        <f t="shared" si="593"/>
        <v>33</v>
      </c>
      <c r="IO37" s="117">
        <f t="shared" si="593"/>
        <v>11</v>
      </c>
      <c r="IP37" s="117">
        <f t="shared" si="593"/>
        <v>0</v>
      </c>
      <c r="IQ37" s="117">
        <f>IQ36+IQ33+IQ25</f>
        <v>44</v>
      </c>
      <c r="IR37" s="117">
        <f t="shared" ref="IR37:KB37" si="594">IR36+IR33+IR25</f>
        <v>8</v>
      </c>
      <c r="IS37" s="117">
        <f t="shared" si="594"/>
        <v>5</v>
      </c>
      <c r="IT37" s="117">
        <f t="shared" si="594"/>
        <v>2</v>
      </c>
      <c r="IU37" s="117">
        <f t="shared" si="594"/>
        <v>4</v>
      </c>
      <c r="IV37" s="117">
        <f t="shared" si="594"/>
        <v>17</v>
      </c>
      <c r="IW37" s="117">
        <f t="shared" si="594"/>
        <v>52</v>
      </c>
      <c r="IX37" s="117">
        <f t="shared" si="594"/>
        <v>0</v>
      </c>
      <c r="IY37" s="117">
        <f t="shared" si="594"/>
        <v>1</v>
      </c>
      <c r="IZ37" s="117">
        <f t="shared" si="594"/>
        <v>27</v>
      </c>
      <c r="JA37" s="117">
        <f t="shared" si="594"/>
        <v>62</v>
      </c>
      <c r="JB37" s="117">
        <f t="shared" si="594"/>
        <v>89</v>
      </c>
      <c r="JC37" s="117">
        <f t="shared" si="594"/>
        <v>5</v>
      </c>
      <c r="JD37" s="117">
        <f t="shared" si="594"/>
        <v>1</v>
      </c>
      <c r="JE37" s="117">
        <f t="shared" si="594"/>
        <v>0</v>
      </c>
      <c r="JF37" s="117">
        <f t="shared" si="594"/>
        <v>0</v>
      </c>
      <c r="JG37" s="117">
        <f t="shared" si="594"/>
        <v>0</v>
      </c>
      <c r="JH37" s="117">
        <f t="shared" si="594"/>
        <v>0</v>
      </c>
      <c r="JI37" s="117">
        <f t="shared" si="594"/>
        <v>0</v>
      </c>
      <c r="JJ37" s="117">
        <f t="shared" si="594"/>
        <v>0</v>
      </c>
      <c r="JK37" s="117">
        <f t="shared" si="594"/>
        <v>0</v>
      </c>
      <c r="JL37" s="117">
        <f t="shared" si="594"/>
        <v>0</v>
      </c>
      <c r="JM37" s="117">
        <f t="shared" si="594"/>
        <v>5</v>
      </c>
      <c r="JN37" s="117">
        <f t="shared" si="594"/>
        <v>1</v>
      </c>
      <c r="JO37" s="117">
        <f>JO36+JO33+JO25</f>
        <v>6</v>
      </c>
      <c r="JP37" s="117">
        <f t="shared" si="594"/>
        <v>13</v>
      </c>
      <c r="JQ37" s="117">
        <f t="shared" si="594"/>
        <v>6</v>
      </c>
      <c r="JR37" s="117">
        <f t="shared" si="594"/>
        <v>2</v>
      </c>
      <c r="JS37" s="117">
        <f t="shared" si="594"/>
        <v>4</v>
      </c>
      <c r="JT37" s="117">
        <f t="shared" si="594"/>
        <v>0</v>
      </c>
      <c r="JU37" s="117">
        <f t="shared" si="594"/>
        <v>0</v>
      </c>
      <c r="JV37" s="117">
        <f t="shared" si="594"/>
        <v>17</v>
      </c>
      <c r="JW37" s="117">
        <f t="shared" si="594"/>
        <v>52</v>
      </c>
      <c r="JX37" s="117">
        <f t="shared" si="594"/>
        <v>0</v>
      </c>
      <c r="JY37" s="117">
        <f t="shared" si="594"/>
        <v>1</v>
      </c>
      <c r="JZ37" s="117">
        <f t="shared" si="594"/>
        <v>32</v>
      </c>
      <c r="KA37" s="117">
        <f t="shared" si="594"/>
        <v>63</v>
      </c>
      <c r="KB37" s="117">
        <f t="shared" si="594"/>
        <v>95</v>
      </c>
      <c r="KC37" s="117">
        <f t="shared" ref="KC37:KQ37" si="595">KC36+KC33+KC25</f>
        <v>15</v>
      </c>
      <c r="KD37" s="117">
        <f t="shared" si="595"/>
        <v>0</v>
      </c>
      <c r="KE37" s="117">
        <f t="shared" si="595"/>
        <v>2</v>
      </c>
      <c r="KF37" s="117">
        <f t="shared" si="595"/>
        <v>12</v>
      </c>
      <c r="KG37" s="117">
        <f t="shared" si="595"/>
        <v>1</v>
      </c>
      <c r="KH37" s="117">
        <f t="shared" si="595"/>
        <v>0</v>
      </c>
      <c r="KI37" s="117">
        <f t="shared" si="595"/>
        <v>1</v>
      </c>
      <c r="KJ37" s="117">
        <f t="shared" si="595"/>
        <v>8</v>
      </c>
      <c r="KK37" s="117">
        <f t="shared" si="595"/>
        <v>5</v>
      </c>
      <c r="KL37" s="117">
        <f t="shared" si="595"/>
        <v>1</v>
      </c>
      <c r="KM37" s="117">
        <f t="shared" si="595"/>
        <v>223</v>
      </c>
      <c r="KN37" s="117">
        <f t="shared" si="595"/>
        <v>114</v>
      </c>
      <c r="KO37" s="117">
        <f t="shared" si="595"/>
        <v>337</v>
      </c>
      <c r="KP37" s="117">
        <f t="shared" si="595"/>
        <v>0</v>
      </c>
      <c r="KQ37" s="117">
        <f t="shared" si="595"/>
        <v>15</v>
      </c>
      <c r="KR37" s="117">
        <f t="shared" ref="KR37:MO37" si="596">KR36+KR33+KR25</f>
        <v>0</v>
      </c>
      <c r="KS37" s="117">
        <f t="shared" si="596"/>
        <v>10</v>
      </c>
      <c r="KT37" s="117">
        <f t="shared" si="596"/>
        <v>4</v>
      </c>
      <c r="KU37" s="117">
        <f t="shared" si="596"/>
        <v>1</v>
      </c>
      <c r="KV37" s="117">
        <f t="shared" si="596"/>
        <v>12</v>
      </c>
      <c r="KW37" s="117">
        <f t="shared" si="596"/>
        <v>2</v>
      </c>
      <c r="KX37" s="117">
        <f t="shared" si="596"/>
        <v>1</v>
      </c>
      <c r="KY37" s="117">
        <f t="shared" si="596"/>
        <v>15</v>
      </c>
      <c r="KZ37" s="117">
        <f t="shared" si="596"/>
        <v>0</v>
      </c>
      <c r="LA37" s="117">
        <f t="shared" si="596"/>
        <v>0</v>
      </c>
      <c r="LB37" s="117">
        <f t="shared" si="596"/>
        <v>0</v>
      </c>
      <c r="LC37" s="117">
        <f t="shared" si="596"/>
        <v>0</v>
      </c>
      <c r="LD37" s="117">
        <f t="shared" si="596"/>
        <v>0</v>
      </c>
      <c r="LE37" s="117">
        <f t="shared" si="596"/>
        <v>15</v>
      </c>
      <c r="LF37" s="117">
        <f t="shared" si="596"/>
        <v>0</v>
      </c>
      <c r="LG37" s="117">
        <f t="shared" si="596"/>
        <v>15</v>
      </c>
      <c r="LH37" s="117">
        <f t="shared" si="596"/>
        <v>0</v>
      </c>
      <c r="LI37" s="117">
        <f t="shared" si="596"/>
        <v>15</v>
      </c>
      <c r="LJ37" s="117">
        <f t="shared" si="596"/>
        <v>0</v>
      </c>
      <c r="LK37" s="117">
        <f t="shared" si="596"/>
        <v>15</v>
      </c>
      <c r="LL37" s="117">
        <f t="shared" si="596"/>
        <v>0</v>
      </c>
      <c r="LM37" s="117">
        <f t="shared" si="596"/>
        <v>13</v>
      </c>
      <c r="LN37" s="117">
        <f t="shared" si="596"/>
        <v>6</v>
      </c>
      <c r="LO37" s="117">
        <f t="shared" si="596"/>
        <v>1</v>
      </c>
      <c r="LP37" s="117">
        <f t="shared" si="596"/>
        <v>0</v>
      </c>
      <c r="LQ37" s="117">
        <f t="shared" si="596"/>
        <v>12</v>
      </c>
      <c r="LR37" s="117">
        <f t="shared" si="596"/>
        <v>0</v>
      </c>
      <c r="LS37" s="117">
        <f t="shared" si="596"/>
        <v>0</v>
      </c>
      <c r="LT37" s="117">
        <f t="shared" si="596"/>
        <v>10</v>
      </c>
      <c r="LU37" s="117">
        <f t="shared" si="596"/>
        <v>1</v>
      </c>
      <c r="LV37" s="117">
        <f t="shared" si="596"/>
        <v>2</v>
      </c>
      <c r="LW37" s="117">
        <f t="shared" si="596"/>
        <v>7053</v>
      </c>
      <c r="LX37" s="117">
        <f t="shared" si="596"/>
        <v>1288</v>
      </c>
      <c r="LY37" s="117">
        <f t="shared" si="596"/>
        <v>8341</v>
      </c>
      <c r="LZ37" s="117">
        <f t="shared" si="596"/>
        <v>7</v>
      </c>
      <c r="MA37" s="117">
        <f t="shared" si="596"/>
        <v>12</v>
      </c>
      <c r="MB37" s="117">
        <f t="shared" si="596"/>
        <v>0</v>
      </c>
      <c r="MC37" s="117">
        <f t="shared" si="596"/>
        <v>7</v>
      </c>
      <c r="MD37" s="117">
        <f t="shared" si="596"/>
        <v>6</v>
      </c>
      <c r="ME37" s="117">
        <f t="shared" si="596"/>
        <v>1</v>
      </c>
      <c r="MF37" s="117">
        <f t="shared" si="596"/>
        <v>7</v>
      </c>
      <c r="MG37" s="117">
        <f t="shared" si="596"/>
        <v>0</v>
      </c>
      <c r="MH37" s="117">
        <f t="shared" si="596"/>
        <v>6</v>
      </c>
      <c r="MI37" s="117">
        <f t="shared" si="596"/>
        <v>1</v>
      </c>
      <c r="MJ37" s="117">
        <f t="shared" si="596"/>
        <v>0</v>
      </c>
      <c r="MK37" s="117">
        <f t="shared" si="596"/>
        <v>7</v>
      </c>
      <c r="ML37" s="117">
        <f t="shared" si="596"/>
        <v>0</v>
      </c>
      <c r="MM37" s="117">
        <f t="shared" si="596"/>
        <v>7</v>
      </c>
      <c r="MN37" s="117">
        <f t="shared" si="596"/>
        <v>5</v>
      </c>
      <c r="MO37" s="117">
        <f t="shared" si="596"/>
        <v>2</v>
      </c>
    </row>
    <row r="39" spans="1:353" s="121" customFormat="1" ht="27" customHeight="1" x14ac:dyDescent="0.2">
      <c r="A39" s="371" t="s">
        <v>345</v>
      </c>
      <c r="B39" s="372"/>
      <c r="C39" s="372"/>
      <c r="D39" s="372"/>
      <c r="E39" s="373"/>
      <c r="F39" s="120">
        <f>F26+F28+F15+F24</f>
        <v>8</v>
      </c>
      <c r="G39" s="120">
        <f t="shared" ref="G39:BR39" si="597">G26+G15+G24</f>
        <v>2</v>
      </c>
      <c r="H39" s="120">
        <f t="shared" si="597"/>
        <v>5</v>
      </c>
      <c r="I39" s="120">
        <f t="shared" si="597"/>
        <v>2</v>
      </c>
      <c r="J39" s="120">
        <f t="shared" si="597"/>
        <v>2</v>
      </c>
      <c r="K39" s="120">
        <f t="shared" si="597"/>
        <v>7</v>
      </c>
      <c r="L39" s="120">
        <f t="shared" si="597"/>
        <v>2</v>
      </c>
      <c r="M39" s="120">
        <f t="shared" si="597"/>
        <v>9</v>
      </c>
      <c r="N39" s="120">
        <f t="shared" si="597"/>
        <v>0</v>
      </c>
      <c r="O39" s="120">
        <f t="shared" si="597"/>
        <v>0</v>
      </c>
      <c r="P39" s="120">
        <f>P26+P15+P24+P27+P28+P29+P30</f>
        <v>10</v>
      </c>
      <c r="Q39" s="120">
        <f t="shared" ref="Q39:AL39" si="598">Q26+Q15+Q24+Q27+Q28+Q29+Q30</f>
        <v>3</v>
      </c>
      <c r="R39" s="120">
        <f t="shared" si="598"/>
        <v>7</v>
      </c>
      <c r="S39" s="120">
        <f t="shared" si="598"/>
        <v>0</v>
      </c>
      <c r="T39" s="120">
        <f t="shared" si="598"/>
        <v>6</v>
      </c>
      <c r="U39" s="120">
        <f t="shared" si="598"/>
        <v>0</v>
      </c>
      <c r="V39" s="120">
        <f t="shared" si="598"/>
        <v>1</v>
      </c>
      <c r="W39" s="120">
        <f t="shared" si="598"/>
        <v>12</v>
      </c>
      <c r="X39" s="120">
        <f t="shared" si="598"/>
        <v>8</v>
      </c>
      <c r="Y39" s="120">
        <f t="shared" si="598"/>
        <v>2</v>
      </c>
      <c r="Z39" s="120">
        <f t="shared" si="598"/>
        <v>136</v>
      </c>
      <c r="AA39" s="120">
        <f t="shared" si="598"/>
        <v>36</v>
      </c>
      <c r="AB39" s="120">
        <f t="shared" si="598"/>
        <v>11</v>
      </c>
      <c r="AC39" s="120">
        <f t="shared" si="598"/>
        <v>1</v>
      </c>
      <c r="AD39" s="120">
        <f t="shared" si="598"/>
        <v>2</v>
      </c>
      <c r="AE39" s="120">
        <f t="shared" si="598"/>
        <v>0</v>
      </c>
      <c r="AF39" s="120">
        <f t="shared" si="598"/>
        <v>0</v>
      </c>
      <c r="AG39" s="120">
        <f t="shared" si="598"/>
        <v>0</v>
      </c>
      <c r="AH39" s="120">
        <f t="shared" si="598"/>
        <v>0</v>
      </c>
      <c r="AI39" s="120">
        <f t="shared" si="598"/>
        <v>0</v>
      </c>
      <c r="AJ39" s="120">
        <f t="shared" si="598"/>
        <v>157</v>
      </c>
      <c r="AK39" s="120">
        <f t="shared" si="598"/>
        <v>39</v>
      </c>
      <c r="AL39" s="120">
        <f t="shared" si="598"/>
        <v>196</v>
      </c>
      <c r="AM39" s="120">
        <f>AM26+AM15+AM24</f>
        <v>0</v>
      </c>
      <c r="AN39" s="120">
        <f t="shared" si="597"/>
        <v>0</v>
      </c>
      <c r="AO39" s="120">
        <f t="shared" si="597"/>
        <v>0</v>
      </c>
      <c r="AP39" s="120">
        <f t="shared" si="597"/>
        <v>0</v>
      </c>
      <c r="AQ39" s="120">
        <f t="shared" si="597"/>
        <v>0</v>
      </c>
      <c r="AR39" s="120">
        <f t="shared" si="597"/>
        <v>0</v>
      </c>
      <c r="AS39" s="120">
        <f t="shared" si="597"/>
        <v>0</v>
      </c>
      <c r="AT39" s="120">
        <f t="shared" si="597"/>
        <v>0</v>
      </c>
      <c r="AU39" s="120">
        <f t="shared" si="597"/>
        <v>0</v>
      </c>
      <c r="AV39" s="120">
        <f t="shared" si="597"/>
        <v>0</v>
      </c>
      <c r="AW39" s="120">
        <f t="shared" si="597"/>
        <v>0</v>
      </c>
      <c r="AX39" s="120">
        <f t="shared" si="597"/>
        <v>0</v>
      </c>
      <c r="AY39" s="120">
        <f t="shared" si="597"/>
        <v>0</v>
      </c>
      <c r="AZ39" s="120">
        <f t="shared" si="597"/>
        <v>8</v>
      </c>
      <c r="BA39" s="120">
        <f t="shared" si="597"/>
        <v>2</v>
      </c>
      <c r="BB39" s="120">
        <f t="shared" si="597"/>
        <v>136</v>
      </c>
      <c r="BC39" s="120">
        <f t="shared" si="597"/>
        <v>36</v>
      </c>
      <c r="BD39" s="120">
        <f t="shared" si="597"/>
        <v>16</v>
      </c>
      <c r="BE39" s="120">
        <f t="shared" si="597"/>
        <v>1</v>
      </c>
      <c r="BF39" s="120">
        <f t="shared" si="597"/>
        <v>4</v>
      </c>
      <c r="BG39" s="120">
        <f t="shared" si="597"/>
        <v>0</v>
      </c>
      <c r="BH39" s="120">
        <f t="shared" si="597"/>
        <v>5</v>
      </c>
      <c r="BI39" s="120">
        <f t="shared" si="597"/>
        <v>0</v>
      </c>
      <c r="BJ39" s="120">
        <f t="shared" si="597"/>
        <v>0</v>
      </c>
      <c r="BK39" s="120">
        <f t="shared" si="597"/>
        <v>0</v>
      </c>
      <c r="BL39" s="120">
        <f t="shared" si="597"/>
        <v>169</v>
      </c>
      <c r="BM39" s="120">
        <f t="shared" si="597"/>
        <v>39</v>
      </c>
      <c r="BN39" s="120">
        <f t="shared" si="597"/>
        <v>208</v>
      </c>
      <c r="BO39" s="120">
        <f t="shared" si="597"/>
        <v>115</v>
      </c>
      <c r="BP39" s="120">
        <f t="shared" si="597"/>
        <v>49</v>
      </c>
      <c r="BQ39" s="120">
        <f t="shared" si="597"/>
        <v>14</v>
      </c>
      <c r="BR39" s="120">
        <f t="shared" si="597"/>
        <v>3</v>
      </c>
      <c r="BS39" s="120">
        <f t="shared" ref="BS39:ED39" si="599">BS26+BS15+BS24</f>
        <v>6</v>
      </c>
      <c r="BT39" s="120">
        <f t="shared" si="599"/>
        <v>0</v>
      </c>
      <c r="BU39" s="120">
        <f t="shared" si="599"/>
        <v>1</v>
      </c>
      <c r="BV39" s="120">
        <f t="shared" si="599"/>
        <v>0</v>
      </c>
      <c r="BW39" s="120">
        <f t="shared" si="599"/>
        <v>0</v>
      </c>
      <c r="BX39" s="120">
        <f t="shared" si="599"/>
        <v>0</v>
      </c>
      <c r="BY39" s="120">
        <f t="shared" si="599"/>
        <v>136</v>
      </c>
      <c r="BZ39" s="120">
        <f t="shared" si="599"/>
        <v>52</v>
      </c>
      <c r="CA39" s="120">
        <f t="shared" si="599"/>
        <v>188</v>
      </c>
      <c r="CB39" s="120">
        <f t="shared" si="599"/>
        <v>120</v>
      </c>
      <c r="CC39" s="120">
        <f t="shared" si="599"/>
        <v>47</v>
      </c>
      <c r="CD39" s="120">
        <f t="shared" si="599"/>
        <v>19</v>
      </c>
      <c r="CE39" s="120">
        <f t="shared" si="599"/>
        <v>3</v>
      </c>
      <c r="CF39" s="120">
        <f t="shared" si="599"/>
        <v>8</v>
      </c>
      <c r="CG39" s="120">
        <f t="shared" si="599"/>
        <v>0</v>
      </c>
      <c r="CH39" s="120">
        <f t="shared" si="599"/>
        <v>1</v>
      </c>
      <c r="CI39" s="120">
        <f t="shared" si="599"/>
        <v>0</v>
      </c>
      <c r="CJ39" s="120">
        <f t="shared" si="599"/>
        <v>1</v>
      </c>
      <c r="CK39" s="120">
        <f t="shared" si="599"/>
        <v>0</v>
      </c>
      <c r="CL39" s="120">
        <f t="shared" si="599"/>
        <v>149</v>
      </c>
      <c r="CM39" s="120">
        <f t="shared" si="599"/>
        <v>50</v>
      </c>
      <c r="CN39" s="120">
        <f t="shared" si="599"/>
        <v>199</v>
      </c>
      <c r="CO39" s="120">
        <f t="shared" si="599"/>
        <v>133</v>
      </c>
      <c r="CP39" s="120">
        <f t="shared" si="599"/>
        <v>30</v>
      </c>
      <c r="CQ39" s="120">
        <f t="shared" si="599"/>
        <v>15</v>
      </c>
      <c r="CR39" s="120">
        <f t="shared" si="599"/>
        <v>4</v>
      </c>
      <c r="CS39" s="120">
        <f t="shared" si="599"/>
        <v>9</v>
      </c>
      <c r="CT39" s="120">
        <f t="shared" si="599"/>
        <v>0</v>
      </c>
      <c r="CU39" s="120">
        <f t="shared" si="599"/>
        <v>9</v>
      </c>
      <c r="CV39" s="120">
        <f t="shared" si="599"/>
        <v>0</v>
      </c>
      <c r="CW39" s="120">
        <f t="shared" si="599"/>
        <v>1</v>
      </c>
      <c r="CX39" s="120">
        <f t="shared" si="599"/>
        <v>0</v>
      </c>
      <c r="CY39" s="120">
        <f t="shared" si="599"/>
        <v>167</v>
      </c>
      <c r="CZ39" s="120">
        <f t="shared" si="599"/>
        <v>34</v>
      </c>
      <c r="DA39" s="120">
        <f t="shared" si="599"/>
        <v>201</v>
      </c>
      <c r="DB39" s="120">
        <f t="shared" si="599"/>
        <v>125</v>
      </c>
      <c r="DC39" s="120">
        <f t="shared" si="599"/>
        <v>41</v>
      </c>
      <c r="DD39" s="120">
        <f t="shared" si="599"/>
        <v>30</v>
      </c>
      <c r="DE39" s="120">
        <f t="shared" si="599"/>
        <v>8</v>
      </c>
      <c r="DF39" s="120">
        <f t="shared" si="599"/>
        <v>13</v>
      </c>
      <c r="DG39" s="120">
        <f t="shared" si="599"/>
        <v>2</v>
      </c>
      <c r="DH39" s="120">
        <f t="shared" si="599"/>
        <v>8</v>
      </c>
      <c r="DI39" s="120">
        <f t="shared" si="599"/>
        <v>1</v>
      </c>
      <c r="DJ39" s="120">
        <f t="shared" si="599"/>
        <v>4</v>
      </c>
      <c r="DK39" s="120">
        <f t="shared" si="599"/>
        <v>0</v>
      </c>
      <c r="DL39" s="120">
        <f t="shared" si="599"/>
        <v>180</v>
      </c>
      <c r="DM39" s="120">
        <f t="shared" si="599"/>
        <v>52</v>
      </c>
      <c r="DN39" s="120">
        <f t="shared" si="599"/>
        <v>232</v>
      </c>
      <c r="DO39" s="120">
        <f t="shared" si="599"/>
        <v>131</v>
      </c>
      <c r="DP39" s="120">
        <f t="shared" si="599"/>
        <v>30</v>
      </c>
      <c r="DQ39" s="120">
        <f t="shared" si="599"/>
        <v>26</v>
      </c>
      <c r="DR39" s="120">
        <f t="shared" si="599"/>
        <v>1</v>
      </c>
      <c r="DS39" s="120">
        <f t="shared" si="599"/>
        <v>7</v>
      </c>
      <c r="DT39" s="120">
        <f t="shared" si="599"/>
        <v>2</v>
      </c>
      <c r="DU39" s="120">
        <f t="shared" si="599"/>
        <v>3</v>
      </c>
      <c r="DV39" s="120">
        <f t="shared" si="599"/>
        <v>0</v>
      </c>
      <c r="DW39" s="120">
        <f t="shared" si="599"/>
        <v>4</v>
      </c>
      <c r="DX39" s="120">
        <f t="shared" si="599"/>
        <v>0</v>
      </c>
      <c r="DY39" s="120">
        <f t="shared" si="599"/>
        <v>171</v>
      </c>
      <c r="DZ39" s="120">
        <f t="shared" si="599"/>
        <v>33</v>
      </c>
      <c r="EA39" s="120">
        <f t="shared" si="599"/>
        <v>204</v>
      </c>
      <c r="EB39" s="120">
        <f t="shared" si="599"/>
        <v>8</v>
      </c>
      <c r="EC39" s="120">
        <f t="shared" si="599"/>
        <v>2</v>
      </c>
      <c r="ED39" s="120">
        <f t="shared" si="599"/>
        <v>136</v>
      </c>
      <c r="EE39" s="120">
        <f t="shared" ref="EE39:GP39" si="600">EE26+EE15+EE24</f>
        <v>36</v>
      </c>
      <c r="EF39" s="120">
        <f t="shared" si="600"/>
        <v>131</v>
      </c>
      <c r="EG39" s="120">
        <f t="shared" si="600"/>
        <v>50</v>
      </c>
      <c r="EH39" s="120">
        <f t="shared" si="600"/>
        <v>138</v>
      </c>
      <c r="EI39" s="120">
        <f t="shared" si="600"/>
        <v>50</v>
      </c>
      <c r="EJ39" s="120">
        <f t="shared" si="600"/>
        <v>163</v>
      </c>
      <c r="EK39" s="120">
        <f t="shared" si="600"/>
        <v>33</v>
      </c>
      <c r="EL39" s="120">
        <f t="shared" si="600"/>
        <v>149</v>
      </c>
      <c r="EM39" s="120">
        <f t="shared" si="600"/>
        <v>45</v>
      </c>
      <c r="EN39" s="120">
        <f t="shared" si="600"/>
        <v>171</v>
      </c>
      <c r="EO39" s="120">
        <f t="shared" si="600"/>
        <v>38</v>
      </c>
      <c r="EP39" s="120">
        <f t="shared" si="600"/>
        <v>49</v>
      </c>
      <c r="EQ39" s="120">
        <f t="shared" si="600"/>
        <v>3</v>
      </c>
      <c r="ER39" s="120">
        <f t="shared" si="600"/>
        <v>16</v>
      </c>
      <c r="ES39" s="120">
        <f t="shared" si="600"/>
        <v>3</v>
      </c>
      <c r="ET39" s="120">
        <f t="shared" si="600"/>
        <v>7</v>
      </c>
      <c r="EU39" s="120">
        <f t="shared" si="600"/>
        <v>0</v>
      </c>
      <c r="EV39" s="120">
        <f t="shared" si="600"/>
        <v>4</v>
      </c>
      <c r="EW39" s="120">
        <f t="shared" si="600"/>
        <v>0</v>
      </c>
      <c r="EX39" s="120">
        <f t="shared" si="600"/>
        <v>972</v>
      </c>
      <c r="EY39" s="120">
        <f t="shared" si="600"/>
        <v>260</v>
      </c>
      <c r="EZ39" s="120">
        <f t="shared" si="600"/>
        <v>1232</v>
      </c>
      <c r="FA39" s="120">
        <f t="shared" si="600"/>
        <v>0</v>
      </c>
      <c r="FB39" s="120">
        <f t="shared" si="600"/>
        <v>0</v>
      </c>
      <c r="FC39" s="120">
        <f t="shared" si="600"/>
        <v>0</v>
      </c>
      <c r="FD39" s="120">
        <f t="shared" si="600"/>
        <v>0</v>
      </c>
      <c r="FE39" s="120">
        <f t="shared" si="600"/>
        <v>0</v>
      </c>
      <c r="FF39" s="120">
        <f t="shared" si="600"/>
        <v>0</v>
      </c>
      <c r="FG39" s="120">
        <f t="shared" si="600"/>
        <v>0</v>
      </c>
      <c r="FH39" s="120">
        <f t="shared" si="600"/>
        <v>0</v>
      </c>
      <c r="FI39" s="120">
        <f t="shared" si="600"/>
        <v>0</v>
      </c>
      <c r="FJ39" s="120">
        <f t="shared" si="600"/>
        <v>0</v>
      </c>
      <c r="FK39" s="120">
        <f t="shared" si="600"/>
        <v>0</v>
      </c>
      <c r="FL39" s="120">
        <f t="shared" si="600"/>
        <v>0</v>
      </c>
      <c r="FM39" s="120">
        <f t="shared" si="600"/>
        <v>0</v>
      </c>
      <c r="FN39" s="120">
        <f t="shared" si="600"/>
        <v>0</v>
      </c>
      <c r="FO39" s="120">
        <f t="shared" si="600"/>
        <v>0</v>
      </c>
      <c r="FP39" s="120">
        <f t="shared" si="600"/>
        <v>0</v>
      </c>
      <c r="FQ39" s="120">
        <f t="shared" si="600"/>
        <v>0</v>
      </c>
      <c r="FR39" s="120">
        <f t="shared" si="600"/>
        <v>0</v>
      </c>
      <c r="FS39" s="120">
        <f t="shared" si="600"/>
        <v>0</v>
      </c>
      <c r="FT39" s="120">
        <f t="shared" si="600"/>
        <v>0</v>
      </c>
      <c r="FU39" s="120">
        <f t="shared" si="600"/>
        <v>0</v>
      </c>
      <c r="FV39" s="120">
        <f t="shared" si="600"/>
        <v>0</v>
      </c>
      <c r="FW39" s="120">
        <f t="shared" si="600"/>
        <v>0</v>
      </c>
      <c r="FX39" s="120">
        <f t="shared" si="600"/>
        <v>0</v>
      </c>
      <c r="FY39" s="120">
        <f t="shared" si="600"/>
        <v>0</v>
      </c>
      <c r="FZ39" s="120">
        <f t="shared" si="600"/>
        <v>0</v>
      </c>
      <c r="GA39" s="120">
        <f t="shared" si="600"/>
        <v>0</v>
      </c>
      <c r="GB39" s="120">
        <f t="shared" si="600"/>
        <v>0</v>
      </c>
      <c r="GC39" s="120">
        <f t="shared" si="600"/>
        <v>0</v>
      </c>
      <c r="GD39" s="120">
        <f t="shared" si="600"/>
        <v>0</v>
      </c>
      <c r="GE39" s="120">
        <f t="shared" si="600"/>
        <v>0</v>
      </c>
      <c r="GF39" s="120">
        <f t="shared" si="600"/>
        <v>0</v>
      </c>
      <c r="GG39" s="120">
        <f t="shared" si="600"/>
        <v>0</v>
      </c>
      <c r="GH39" s="120">
        <f t="shared" si="600"/>
        <v>0</v>
      </c>
      <c r="GI39" s="120">
        <f t="shared" si="600"/>
        <v>0</v>
      </c>
      <c r="GJ39" s="120">
        <f t="shared" si="600"/>
        <v>0</v>
      </c>
      <c r="GK39" s="120">
        <f t="shared" si="600"/>
        <v>0</v>
      </c>
      <c r="GL39" s="120">
        <f t="shared" si="600"/>
        <v>0</v>
      </c>
      <c r="GM39" s="120">
        <f t="shared" si="600"/>
        <v>0</v>
      </c>
      <c r="GN39" s="120">
        <f t="shared" si="600"/>
        <v>0</v>
      </c>
      <c r="GO39" s="120">
        <f t="shared" si="600"/>
        <v>0</v>
      </c>
      <c r="GP39" s="120">
        <f t="shared" si="600"/>
        <v>0</v>
      </c>
      <c r="GQ39" s="120">
        <f t="shared" ref="GQ39:JB39" si="601">GQ26+GQ15+GQ24</f>
        <v>0</v>
      </c>
      <c r="GR39" s="120">
        <f t="shared" si="601"/>
        <v>0</v>
      </c>
      <c r="GS39" s="120">
        <f t="shared" si="601"/>
        <v>0</v>
      </c>
      <c r="GT39" s="120">
        <f t="shared" si="601"/>
        <v>0</v>
      </c>
      <c r="GU39" s="120">
        <f t="shared" si="601"/>
        <v>0</v>
      </c>
      <c r="GV39" s="120">
        <f t="shared" si="601"/>
        <v>0</v>
      </c>
      <c r="GW39" s="120">
        <f t="shared" si="601"/>
        <v>0</v>
      </c>
      <c r="GX39" s="120">
        <f t="shared" si="601"/>
        <v>0</v>
      </c>
      <c r="GY39" s="120">
        <f t="shared" si="601"/>
        <v>0</v>
      </c>
      <c r="GZ39" s="120">
        <f t="shared" si="601"/>
        <v>0</v>
      </c>
      <c r="HA39" s="120">
        <f t="shared" si="601"/>
        <v>0</v>
      </c>
      <c r="HB39" s="120">
        <f t="shared" si="601"/>
        <v>0</v>
      </c>
      <c r="HC39" s="120">
        <f t="shared" si="601"/>
        <v>0</v>
      </c>
      <c r="HD39" s="120">
        <f t="shared" si="601"/>
        <v>0</v>
      </c>
      <c r="HE39" s="120">
        <f t="shared" si="601"/>
        <v>6</v>
      </c>
      <c r="HF39" s="120">
        <f t="shared" si="601"/>
        <v>2</v>
      </c>
      <c r="HG39" s="120">
        <f t="shared" si="601"/>
        <v>0</v>
      </c>
      <c r="HH39" s="120">
        <f t="shared" si="601"/>
        <v>5</v>
      </c>
      <c r="HI39" s="120">
        <f t="shared" si="601"/>
        <v>2</v>
      </c>
      <c r="HJ39" s="120">
        <f t="shared" si="601"/>
        <v>0</v>
      </c>
      <c r="HK39" s="120">
        <f t="shared" si="601"/>
        <v>5</v>
      </c>
      <c r="HL39" s="120">
        <f t="shared" si="601"/>
        <v>2</v>
      </c>
      <c r="HM39" s="120">
        <f t="shared" si="601"/>
        <v>0</v>
      </c>
      <c r="HN39" s="120">
        <f t="shared" si="601"/>
        <v>5</v>
      </c>
      <c r="HO39" s="120">
        <f t="shared" si="601"/>
        <v>1</v>
      </c>
      <c r="HP39" s="120">
        <f t="shared" si="601"/>
        <v>0</v>
      </c>
      <c r="HQ39" s="120">
        <f t="shared" si="601"/>
        <v>6</v>
      </c>
      <c r="HR39" s="120">
        <f t="shared" si="601"/>
        <v>2</v>
      </c>
      <c r="HS39" s="120">
        <f t="shared" si="601"/>
        <v>0</v>
      </c>
      <c r="HT39" s="120">
        <f t="shared" si="601"/>
        <v>6</v>
      </c>
      <c r="HU39" s="120">
        <f t="shared" si="601"/>
        <v>2</v>
      </c>
      <c r="HV39" s="120">
        <f t="shared" si="601"/>
        <v>0</v>
      </c>
      <c r="HW39" s="120">
        <f t="shared" si="601"/>
        <v>33</v>
      </c>
      <c r="HX39" s="120">
        <f t="shared" si="601"/>
        <v>11</v>
      </c>
      <c r="HY39" s="120">
        <f t="shared" si="601"/>
        <v>0</v>
      </c>
      <c r="HZ39" s="120">
        <f t="shared" si="601"/>
        <v>44</v>
      </c>
      <c r="IA39" s="120">
        <f t="shared" si="601"/>
        <v>0</v>
      </c>
      <c r="IB39" s="120">
        <f t="shared" si="601"/>
        <v>0</v>
      </c>
      <c r="IC39" s="120">
        <f t="shared" si="601"/>
        <v>0</v>
      </c>
      <c r="ID39" s="120">
        <f t="shared" si="601"/>
        <v>0</v>
      </c>
      <c r="IE39" s="120">
        <f t="shared" si="601"/>
        <v>0</v>
      </c>
      <c r="IF39" s="120">
        <f t="shared" si="601"/>
        <v>0</v>
      </c>
      <c r="IG39" s="120">
        <f t="shared" si="601"/>
        <v>0</v>
      </c>
      <c r="IH39" s="120">
        <f t="shared" si="601"/>
        <v>0</v>
      </c>
      <c r="II39" s="120">
        <f t="shared" si="601"/>
        <v>0</v>
      </c>
      <c r="IJ39" s="120">
        <f t="shared" si="601"/>
        <v>0</v>
      </c>
      <c r="IK39" s="120">
        <f t="shared" si="601"/>
        <v>0</v>
      </c>
      <c r="IL39" s="120">
        <f t="shared" si="601"/>
        <v>0</v>
      </c>
      <c r="IM39" s="120">
        <f t="shared" si="601"/>
        <v>0</v>
      </c>
      <c r="IN39" s="120">
        <f t="shared" si="601"/>
        <v>33</v>
      </c>
      <c r="IO39" s="120">
        <f t="shared" si="601"/>
        <v>11</v>
      </c>
      <c r="IP39" s="120">
        <f t="shared" si="601"/>
        <v>0</v>
      </c>
      <c r="IQ39" s="120">
        <f t="shared" si="601"/>
        <v>44</v>
      </c>
      <c r="IR39" s="120">
        <f t="shared" si="601"/>
        <v>7</v>
      </c>
      <c r="IS39" s="120">
        <f t="shared" si="601"/>
        <v>2</v>
      </c>
      <c r="IT39" s="120">
        <f t="shared" si="601"/>
        <v>2</v>
      </c>
      <c r="IU39" s="120">
        <f t="shared" si="601"/>
        <v>4</v>
      </c>
      <c r="IV39" s="120">
        <f t="shared" si="601"/>
        <v>17</v>
      </c>
      <c r="IW39" s="120">
        <f t="shared" si="601"/>
        <v>52</v>
      </c>
      <c r="IX39" s="120">
        <f t="shared" si="601"/>
        <v>0</v>
      </c>
      <c r="IY39" s="120">
        <f t="shared" si="601"/>
        <v>1</v>
      </c>
      <c r="IZ39" s="120">
        <f t="shared" si="601"/>
        <v>26</v>
      </c>
      <c r="JA39" s="120">
        <f t="shared" si="601"/>
        <v>59</v>
      </c>
      <c r="JB39" s="120">
        <f t="shared" si="601"/>
        <v>85</v>
      </c>
      <c r="JC39" s="120">
        <f t="shared" ref="JC39:LN39" si="602">JC26+JC15+JC24</f>
        <v>0</v>
      </c>
      <c r="JD39" s="120">
        <f t="shared" si="602"/>
        <v>0</v>
      </c>
      <c r="JE39" s="120">
        <f t="shared" si="602"/>
        <v>0</v>
      </c>
      <c r="JF39" s="120">
        <f t="shared" si="602"/>
        <v>0</v>
      </c>
      <c r="JG39" s="120">
        <f t="shared" si="602"/>
        <v>0</v>
      </c>
      <c r="JH39" s="120">
        <f t="shared" si="602"/>
        <v>0</v>
      </c>
      <c r="JI39" s="120">
        <f t="shared" si="602"/>
        <v>0</v>
      </c>
      <c r="JJ39" s="120">
        <f t="shared" si="602"/>
        <v>0</v>
      </c>
      <c r="JK39" s="120">
        <f t="shared" si="602"/>
        <v>0</v>
      </c>
      <c r="JL39" s="120">
        <f t="shared" si="602"/>
        <v>0</v>
      </c>
      <c r="JM39" s="120">
        <f t="shared" si="602"/>
        <v>0</v>
      </c>
      <c r="JN39" s="120">
        <f t="shared" si="602"/>
        <v>0</v>
      </c>
      <c r="JO39" s="120">
        <f t="shared" si="602"/>
        <v>0</v>
      </c>
      <c r="JP39" s="120">
        <f t="shared" si="602"/>
        <v>7</v>
      </c>
      <c r="JQ39" s="120">
        <f t="shared" si="602"/>
        <v>2</v>
      </c>
      <c r="JR39" s="120">
        <f t="shared" si="602"/>
        <v>2</v>
      </c>
      <c r="JS39" s="120">
        <f t="shared" si="602"/>
        <v>4</v>
      </c>
      <c r="JT39" s="120">
        <f t="shared" si="602"/>
        <v>0</v>
      </c>
      <c r="JU39" s="120">
        <f t="shared" si="602"/>
        <v>0</v>
      </c>
      <c r="JV39" s="120">
        <f t="shared" si="602"/>
        <v>17</v>
      </c>
      <c r="JW39" s="120">
        <f t="shared" si="602"/>
        <v>52</v>
      </c>
      <c r="JX39" s="120">
        <f t="shared" si="602"/>
        <v>0</v>
      </c>
      <c r="JY39" s="120">
        <f t="shared" si="602"/>
        <v>1</v>
      </c>
      <c r="JZ39" s="120">
        <f t="shared" si="602"/>
        <v>26</v>
      </c>
      <c r="KA39" s="120">
        <f t="shared" si="602"/>
        <v>59</v>
      </c>
      <c r="KB39" s="120">
        <f t="shared" si="602"/>
        <v>85</v>
      </c>
      <c r="KC39" s="120">
        <f t="shared" si="602"/>
        <v>9</v>
      </c>
      <c r="KD39" s="120">
        <f t="shared" si="602"/>
        <v>0</v>
      </c>
      <c r="KE39" s="120">
        <f t="shared" si="602"/>
        <v>2</v>
      </c>
      <c r="KF39" s="120">
        <f t="shared" si="602"/>
        <v>7</v>
      </c>
      <c r="KG39" s="120">
        <f t="shared" si="602"/>
        <v>0</v>
      </c>
      <c r="KH39" s="120">
        <f t="shared" si="602"/>
        <v>0</v>
      </c>
      <c r="KI39" s="120">
        <f t="shared" si="602"/>
        <v>1</v>
      </c>
      <c r="KJ39" s="120">
        <f t="shared" si="602"/>
        <v>4</v>
      </c>
      <c r="KK39" s="120">
        <f t="shared" si="602"/>
        <v>3</v>
      </c>
      <c r="KL39" s="120">
        <f t="shared" si="602"/>
        <v>1</v>
      </c>
      <c r="KM39" s="120">
        <f t="shared" si="602"/>
        <v>139</v>
      </c>
      <c r="KN39" s="120">
        <f t="shared" si="602"/>
        <v>50</v>
      </c>
      <c r="KO39" s="120">
        <f t="shared" si="602"/>
        <v>189</v>
      </c>
      <c r="KP39" s="120">
        <f t="shared" si="602"/>
        <v>0</v>
      </c>
      <c r="KQ39" s="120">
        <f t="shared" si="602"/>
        <v>9</v>
      </c>
      <c r="KR39" s="120">
        <f t="shared" si="602"/>
        <v>0</v>
      </c>
      <c r="KS39" s="120">
        <f t="shared" si="602"/>
        <v>6</v>
      </c>
      <c r="KT39" s="120">
        <f t="shared" si="602"/>
        <v>3</v>
      </c>
      <c r="KU39" s="120">
        <f t="shared" si="602"/>
        <v>0</v>
      </c>
      <c r="KV39" s="120">
        <f t="shared" si="602"/>
        <v>6</v>
      </c>
      <c r="KW39" s="120">
        <f t="shared" si="602"/>
        <v>2</v>
      </c>
      <c r="KX39" s="120">
        <f t="shared" si="602"/>
        <v>1</v>
      </c>
      <c r="KY39" s="120">
        <f t="shared" si="602"/>
        <v>9</v>
      </c>
      <c r="KZ39" s="120">
        <f t="shared" si="602"/>
        <v>0</v>
      </c>
      <c r="LA39" s="120">
        <f t="shared" si="602"/>
        <v>0</v>
      </c>
      <c r="LB39" s="120">
        <f t="shared" si="602"/>
        <v>0</v>
      </c>
      <c r="LC39" s="120">
        <f t="shared" si="602"/>
        <v>0</v>
      </c>
      <c r="LD39" s="120">
        <f t="shared" si="602"/>
        <v>0</v>
      </c>
      <c r="LE39" s="120">
        <f t="shared" si="602"/>
        <v>9</v>
      </c>
      <c r="LF39" s="120">
        <f t="shared" si="602"/>
        <v>0</v>
      </c>
      <c r="LG39" s="120">
        <f t="shared" si="602"/>
        <v>9</v>
      </c>
      <c r="LH39" s="120">
        <f t="shared" si="602"/>
        <v>0</v>
      </c>
      <c r="LI39" s="120">
        <f t="shared" si="602"/>
        <v>9</v>
      </c>
      <c r="LJ39" s="120">
        <f t="shared" si="602"/>
        <v>0</v>
      </c>
      <c r="LK39" s="120">
        <f t="shared" si="602"/>
        <v>9</v>
      </c>
      <c r="LL39" s="120">
        <f t="shared" si="602"/>
        <v>0</v>
      </c>
      <c r="LM39" s="120">
        <f t="shared" si="602"/>
        <v>7</v>
      </c>
      <c r="LN39" s="120">
        <f t="shared" si="602"/>
        <v>2</v>
      </c>
      <c r="LO39" s="120">
        <f t="shared" ref="LO39:MO39" si="603">LO26+LO15+LO24</f>
        <v>1</v>
      </c>
      <c r="LP39" s="120">
        <f t="shared" si="603"/>
        <v>0</v>
      </c>
      <c r="LQ39" s="120">
        <f t="shared" si="603"/>
        <v>6</v>
      </c>
      <c r="LR39" s="120">
        <f t="shared" si="603"/>
        <v>0</v>
      </c>
      <c r="LS39" s="120">
        <f t="shared" si="603"/>
        <v>0</v>
      </c>
      <c r="LT39" s="120">
        <f t="shared" si="603"/>
        <v>5</v>
      </c>
      <c r="LU39" s="120">
        <f t="shared" si="603"/>
        <v>0</v>
      </c>
      <c r="LV39" s="120">
        <f t="shared" si="603"/>
        <v>2</v>
      </c>
      <c r="LW39" s="120">
        <f t="shared" si="603"/>
        <v>3076</v>
      </c>
      <c r="LX39" s="120">
        <f t="shared" si="603"/>
        <v>648</v>
      </c>
      <c r="LY39" s="120">
        <f t="shared" si="603"/>
        <v>3724</v>
      </c>
      <c r="LZ39" s="120">
        <f t="shared" si="603"/>
        <v>0</v>
      </c>
      <c r="MA39" s="120">
        <f t="shared" si="603"/>
        <v>9</v>
      </c>
      <c r="MB39" s="120">
        <f t="shared" si="603"/>
        <v>0</v>
      </c>
      <c r="MC39" s="120">
        <f t="shared" si="603"/>
        <v>0</v>
      </c>
      <c r="MD39" s="120">
        <f t="shared" si="603"/>
        <v>0</v>
      </c>
      <c r="ME39" s="120">
        <f t="shared" si="603"/>
        <v>0</v>
      </c>
      <c r="MF39" s="120">
        <f t="shared" si="603"/>
        <v>0</v>
      </c>
      <c r="MG39" s="120">
        <f t="shared" si="603"/>
        <v>0</v>
      </c>
      <c r="MH39" s="120">
        <f t="shared" si="603"/>
        <v>0</v>
      </c>
      <c r="MI39" s="120">
        <f t="shared" si="603"/>
        <v>0</v>
      </c>
      <c r="MJ39" s="120">
        <f t="shared" si="603"/>
        <v>0</v>
      </c>
      <c r="MK39" s="120">
        <f t="shared" si="603"/>
        <v>0</v>
      </c>
      <c r="ML39" s="120">
        <f t="shared" si="603"/>
        <v>0</v>
      </c>
      <c r="MM39" s="120">
        <f t="shared" si="603"/>
        <v>0</v>
      </c>
      <c r="MN39" s="120">
        <f t="shared" si="603"/>
        <v>0</v>
      </c>
      <c r="MO39" s="120">
        <f t="shared" si="603"/>
        <v>0</v>
      </c>
    </row>
    <row r="40" spans="1:353" s="140" customFormat="1" ht="32.25" customHeight="1" x14ac:dyDescent="0.2">
      <c r="A40" s="374" t="s">
        <v>326</v>
      </c>
      <c r="B40" s="375"/>
      <c r="C40" s="375"/>
      <c r="D40" s="375"/>
      <c r="E40" s="376"/>
      <c r="F40" s="139">
        <f>F31+SUM(F16:F20)</f>
        <v>6</v>
      </c>
      <c r="G40" s="139">
        <f t="shared" ref="G40:BR40" si="604">G31+SUM(G16:G20)</f>
        <v>0</v>
      </c>
      <c r="H40" s="139">
        <f t="shared" si="604"/>
        <v>5</v>
      </c>
      <c r="I40" s="139">
        <f t="shared" si="604"/>
        <v>1</v>
      </c>
      <c r="J40" s="139">
        <f t="shared" si="604"/>
        <v>0</v>
      </c>
      <c r="K40" s="139">
        <f t="shared" si="604"/>
        <v>6</v>
      </c>
      <c r="L40" s="139">
        <f t="shared" si="604"/>
        <v>0</v>
      </c>
      <c r="M40" s="139">
        <f t="shared" si="604"/>
        <v>5</v>
      </c>
      <c r="N40" s="139">
        <f t="shared" si="604"/>
        <v>1</v>
      </c>
      <c r="O40" s="139">
        <f t="shared" si="604"/>
        <v>0</v>
      </c>
      <c r="P40" s="139">
        <f t="shared" si="604"/>
        <v>5</v>
      </c>
      <c r="Q40" s="139">
        <f t="shared" si="604"/>
        <v>1</v>
      </c>
      <c r="R40" s="139">
        <f t="shared" si="604"/>
        <v>4</v>
      </c>
      <c r="S40" s="139">
        <f t="shared" si="604"/>
        <v>0</v>
      </c>
      <c r="T40" s="139">
        <f t="shared" si="604"/>
        <v>2</v>
      </c>
      <c r="U40" s="139">
        <f t="shared" si="604"/>
        <v>0</v>
      </c>
      <c r="V40" s="139">
        <f t="shared" si="604"/>
        <v>0</v>
      </c>
      <c r="W40" s="139">
        <f t="shared" si="604"/>
        <v>6</v>
      </c>
      <c r="X40" s="139">
        <f t="shared" si="604"/>
        <v>0</v>
      </c>
      <c r="Y40" s="139">
        <f t="shared" si="604"/>
        <v>0</v>
      </c>
      <c r="Z40" s="139">
        <f t="shared" si="604"/>
        <v>0</v>
      </c>
      <c r="AA40" s="139">
        <f t="shared" si="604"/>
        <v>0</v>
      </c>
      <c r="AB40" s="139">
        <f t="shared" si="604"/>
        <v>0</v>
      </c>
      <c r="AC40" s="139">
        <f t="shared" si="604"/>
        <v>0</v>
      </c>
      <c r="AD40" s="139">
        <f t="shared" si="604"/>
        <v>0</v>
      </c>
      <c r="AE40" s="139">
        <f t="shared" si="604"/>
        <v>0</v>
      </c>
      <c r="AF40" s="139">
        <f t="shared" si="604"/>
        <v>0</v>
      </c>
      <c r="AG40" s="139">
        <f t="shared" si="604"/>
        <v>0</v>
      </c>
      <c r="AH40" s="139">
        <f t="shared" si="604"/>
        <v>0</v>
      </c>
      <c r="AI40" s="139">
        <f t="shared" si="604"/>
        <v>0</v>
      </c>
      <c r="AJ40" s="139">
        <f t="shared" si="604"/>
        <v>0</v>
      </c>
      <c r="AK40" s="139">
        <f t="shared" si="604"/>
        <v>0</v>
      </c>
      <c r="AL40" s="139">
        <f t="shared" si="604"/>
        <v>0</v>
      </c>
      <c r="AM40" s="139">
        <f t="shared" si="604"/>
        <v>0</v>
      </c>
      <c r="AN40" s="139">
        <f t="shared" si="604"/>
        <v>0</v>
      </c>
      <c r="AO40" s="139">
        <f t="shared" si="604"/>
        <v>0</v>
      </c>
      <c r="AP40" s="139">
        <f t="shared" si="604"/>
        <v>0</v>
      </c>
      <c r="AQ40" s="139">
        <f t="shared" si="604"/>
        <v>0</v>
      </c>
      <c r="AR40" s="139">
        <f t="shared" si="604"/>
        <v>0</v>
      </c>
      <c r="AS40" s="139">
        <f t="shared" si="604"/>
        <v>0</v>
      </c>
      <c r="AT40" s="139">
        <f t="shared" si="604"/>
        <v>0</v>
      </c>
      <c r="AU40" s="139">
        <f t="shared" si="604"/>
        <v>0</v>
      </c>
      <c r="AV40" s="139">
        <f t="shared" si="604"/>
        <v>0</v>
      </c>
      <c r="AW40" s="139">
        <f t="shared" si="604"/>
        <v>0</v>
      </c>
      <c r="AX40" s="139">
        <f t="shared" si="604"/>
        <v>0</v>
      </c>
      <c r="AY40" s="139">
        <f t="shared" si="604"/>
        <v>0</v>
      </c>
      <c r="AZ40" s="139">
        <f t="shared" si="604"/>
        <v>0</v>
      </c>
      <c r="BA40" s="139">
        <f t="shared" si="604"/>
        <v>0</v>
      </c>
      <c r="BB40" s="139">
        <f t="shared" si="604"/>
        <v>0</v>
      </c>
      <c r="BC40" s="139">
        <f t="shared" si="604"/>
        <v>0</v>
      </c>
      <c r="BD40" s="139">
        <f t="shared" si="604"/>
        <v>0</v>
      </c>
      <c r="BE40" s="139">
        <f t="shared" si="604"/>
        <v>0</v>
      </c>
      <c r="BF40" s="139">
        <f t="shared" si="604"/>
        <v>0</v>
      </c>
      <c r="BG40" s="139">
        <f t="shared" si="604"/>
        <v>0</v>
      </c>
      <c r="BH40" s="139">
        <f t="shared" si="604"/>
        <v>0</v>
      </c>
      <c r="BI40" s="139">
        <f t="shared" si="604"/>
        <v>0</v>
      </c>
      <c r="BJ40" s="139">
        <f t="shared" si="604"/>
        <v>0</v>
      </c>
      <c r="BK40" s="139">
        <f t="shared" si="604"/>
        <v>0</v>
      </c>
      <c r="BL40" s="139">
        <f t="shared" si="604"/>
        <v>0</v>
      </c>
      <c r="BM40" s="139">
        <f t="shared" si="604"/>
        <v>0</v>
      </c>
      <c r="BN40" s="139">
        <f t="shared" si="604"/>
        <v>0</v>
      </c>
      <c r="BO40" s="139">
        <f t="shared" si="604"/>
        <v>0</v>
      </c>
      <c r="BP40" s="139">
        <f t="shared" si="604"/>
        <v>0</v>
      </c>
      <c r="BQ40" s="139">
        <f t="shared" si="604"/>
        <v>0</v>
      </c>
      <c r="BR40" s="139">
        <f t="shared" si="604"/>
        <v>0</v>
      </c>
      <c r="BS40" s="139">
        <f t="shared" ref="BS40:ED40" si="605">BS31+SUM(BS16:BS20)</f>
        <v>0</v>
      </c>
      <c r="BT40" s="139">
        <f t="shared" si="605"/>
        <v>0</v>
      </c>
      <c r="BU40" s="139">
        <f t="shared" si="605"/>
        <v>0</v>
      </c>
      <c r="BV40" s="139">
        <f t="shared" si="605"/>
        <v>0</v>
      </c>
      <c r="BW40" s="139">
        <f t="shared" si="605"/>
        <v>0</v>
      </c>
      <c r="BX40" s="139">
        <f t="shared" si="605"/>
        <v>0</v>
      </c>
      <c r="BY40" s="139">
        <f t="shared" si="605"/>
        <v>0</v>
      </c>
      <c r="BZ40" s="139">
        <f t="shared" si="605"/>
        <v>0</v>
      </c>
      <c r="CA40" s="139">
        <f t="shared" si="605"/>
        <v>0</v>
      </c>
      <c r="CB40" s="139">
        <f t="shared" si="605"/>
        <v>0</v>
      </c>
      <c r="CC40" s="139">
        <f t="shared" si="605"/>
        <v>0</v>
      </c>
      <c r="CD40" s="139">
        <f t="shared" si="605"/>
        <v>0</v>
      </c>
      <c r="CE40" s="139">
        <f t="shared" si="605"/>
        <v>0</v>
      </c>
      <c r="CF40" s="139">
        <f t="shared" si="605"/>
        <v>0</v>
      </c>
      <c r="CG40" s="139">
        <f t="shared" si="605"/>
        <v>0</v>
      </c>
      <c r="CH40" s="139">
        <f t="shared" si="605"/>
        <v>0</v>
      </c>
      <c r="CI40" s="139">
        <f t="shared" si="605"/>
        <v>0</v>
      </c>
      <c r="CJ40" s="139">
        <f t="shared" si="605"/>
        <v>0</v>
      </c>
      <c r="CK40" s="139">
        <f t="shared" si="605"/>
        <v>0</v>
      </c>
      <c r="CL40" s="139">
        <f t="shared" si="605"/>
        <v>0</v>
      </c>
      <c r="CM40" s="139">
        <f t="shared" si="605"/>
        <v>0</v>
      </c>
      <c r="CN40" s="139">
        <f t="shared" si="605"/>
        <v>0</v>
      </c>
      <c r="CO40" s="139">
        <f t="shared" si="605"/>
        <v>0</v>
      </c>
      <c r="CP40" s="139">
        <f t="shared" si="605"/>
        <v>0</v>
      </c>
      <c r="CQ40" s="139">
        <f t="shared" si="605"/>
        <v>0</v>
      </c>
      <c r="CR40" s="139">
        <f t="shared" si="605"/>
        <v>0</v>
      </c>
      <c r="CS40" s="139">
        <f t="shared" si="605"/>
        <v>0</v>
      </c>
      <c r="CT40" s="139">
        <f t="shared" si="605"/>
        <v>0</v>
      </c>
      <c r="CU40" s="139">
        <f t="shared" si="605"/>
        <v>0</v>
      </c>
      <c r="CV40" s="139">
        <f t="shared" si="605"/>
        <v>0</v>
      </c>
      <c r="CW40" s="139">
        <f t="shared" si="605"/>
        <v>0</v>
      </c>
      <c r="CX40" s="139">
        <f t="shared" si="605"/>
        <v>0</v>
      </c>
      <c r="CY40" s="139">
        <f t="shared" si="605"/>
        <v>0</v>
      </c>
      <c r="CZ40" s="139">
        <f t="shared" si="605"/>
        <v>0</v>
      </c>
      <c r="DA40" s="139">
        <f t="shared" si="605"/>
        <v>0</v>
      </c>
      <c r="DB40" s="139">
        <f t="shared" si="605"/>
        <v>0</v>
      </c>
      <c r="DC40" s="139">
        <f t="shared" si="605"/>
        <v>0</v>
      </c>
      <c r="DD40" s="139">
        <f t="shared" si="605"/>
        <v>0</v>
      </c>
      <c r="DE40" s="139">
        <f t="shared" si="605"/>
        <v>0</v>
      </c>
      <c r="DF40" s="139">
        <f t="shared" si="605"/>
        <v>0</v>
      </c>
      <c r="DG40" s="139">
        <f t="shared" si="605"/>
        <v>0</v>
      </c>
      <c r="DH40" s="139">
        <f t="shared" si="605"/>
        <v>0</v>
      </c>
      <c r="DI40" s="139">
        <f t="shared" si="605"/>
        <v>0</v>
      </c>
      <c r="DJ40" s="139">
        <f t="shared" si="605"/>
        <v>0</v>
      </c>
      <c r="DK40" s="139">
        <f t="shared" si="605"/>
        <v>0</v>
      </c>
      <c r="DL40" s="139">
        <f t="shared" si="605"/>
        <v>0</v>
      </c>
      <c r="DM40" s="139">
        <f t="shared" si="605"/>
        <v>0</v>
      </c>
      <c r="DN40" s="139">
        <f t="shared" si="605"/>
        <v>0</v>
      </c>
      <c r="DO40" s="139">
        <f t="shared" si="605"/>
        <v>0</v>
      </c>
      <c r="DP40" s="139">
        <f t="shared" si="605"/>
        <v>0</v>
      </c>
      <c r="DQ40" s="139">
        <f t="shared" si="605"/>
        <v>0</v>
      </c>
      <c r="DR40" s="139">
        <f t="shared" si="605"/>
        <v>0</v>
      </c>
      <c r="DS40" s="139">
        <f t="shared" si="605"/>
        <v>0</v>
      </c>
      <c r="DT40" s="139">
        <f t="shared" si="605"/>
        <v>0</v>
      </c>
      <c r="DU40" s="139">
        <f t="shared" si="605"/>
        <v>0</v>
      </c>
      <c r="DV40" s="139">
        <f t="shared" si="605"/>
        <v>0</v>
      </c>
      <c r="DW40" s="139">
        <f t="shared" si="605"/>
        <v>0</v>
      </c>
      <c r="DX40" s="139">
        <f t="shared" si="605"/>
        <v>0</v>
      </c>
      <c r="DY40" s="139">
        <f t="shared" si="605"/>
        <v>0</v>
      </c>
      <c r="DZ40" s="139">
        <f t="shared" si="605"/>
        <v>0</v>
      </c>
      <c r="EA40" s="139">
        <f t="shared" si="605"/>
        <v>0</v>
      </c>
      <c r="EB40" s="139">
        <f t="shared" si="605"/>
        <v>0</v>
      </c>
      <c r="EC40" s="139">
        <f t="shared" si="605"/>
        <v>0</v>
      </c>
      <c r="ED40" s="139">
        <f t="shared" si="605"/>
        <v>0</v>
      </c>
      <c r="EE40" s="139">
        <f t="shared" ref="EE40:GP40" si="606">EE31+SUM(EE16:EE20)</f>
        <v>0</v>
      </c>
      <c r="EF40" s="139">
        <f t="shared" si="606"/>
        <v>0</v>
      </c>
      <c r="EG40" s="139">
        <f t="shared" si="606"/>
        <v>0</v>
      </c>
      <c r="EH40" s="139">
        <f t="shared" si="606"/>
        <v>0</v>
      </c>
      <c r="EI40" s="139">
        <f t="shared" si="606"/>
        <v>0</v>
      </c>
      <c r="EJ40" s="139">
        <f t="shared" si="606"/>
        <v>0</v>
      </c>
      <c r="EK40" s="139">
        <f t="shared" si="606"/>
        <v>0</v>
      </c>
      <c r="EL40" s="139">
        <f t="shared" si="606"/>
        <v>0</v>
      </c>
      <c r="EM40" s="139">
        <f t="shared" si="606"/>
        <v>0</v>
      </c>
      <c r="EN40" s="139">
        <f t="shared" si="606"/>
        <v>0</v>
      </c>
      <c r="EO40" s="139">
        <f t="shared" si="606"/>
        <v>0</v>
      </c>
      <c r="EP40" s="139">
        <f t="shared" si="606"/>
        <v>0</v>
      </c>
      <c r="EQ40" s="139">
        <f t="shared" si="606"/>
        <v>0</v>
      </c>
      <c r="ER40" s="139">
        <f t="shared" si="606"/>
        <v>0</v>
      </c>
      <c r="ES40" s="139">
        <f t="shared" si="606"/>
        <v>0</v>
      </c>
      <c r="ET40" s="139">
        <f t="shared" si="606"/>
        <v>0</v>
      </c>
      <c r="EU40" s="139">
        <f t="shared" si="606"/>
        <v>0</v>
      </c>
      <c r="EV40" s="139">
        <f t="shared" si="606"/>
        <v>0</v>
      </c>
      <c r="EW40" s="139">
        <f t="shared" si="606"/>
        <v>0</v>
      </c>
      <c r="EX40" s="139">
        <f t="shared" si="606"/>
        <v>0</v>
      </c>
      <c r="EY40" s="139">
        <f t="shared" si="606"/>
        <v>0</v>
      </c>
      <c r="EZ40" s="139">
        <f t="shared" si="606"/>
        <v>0</v>
      </c>
      <c r="FA40" s="139">
        <f t="shared" si="606"/>
        <v>0</v>
      </c>
      <c r="FB40" s="139">
        <f t="shared" si="606"/>
        <v>0</v>
      </c>
      <c r="FC40" s="139">
        <f t="shared" si="606"/>
        <v>0</v>
      </c>
      <c r="FD40" s="139">
        <f t="shared" si="606"/>
        <v>0</v>
      </c>
      <c r="FE40" s="139">
        <f t="shared" si="606"/>
        <v>0</v>
      </c>
      <c r="FF40" s="139">
        <f t="shared" si="606"/>
        <v>0</v>
      </c>
      <c r="FG40" s="139">
        <f t="shared" si="606"/>
        <v>0</v>
      </c>
      <c r="FH40" s="139">
        <f t="shared" si="606"/>
        <v>0</v>
      </c>
      <c r="FI40" s="139">
        <f t="shared" si="606"/>
        <v>0</v>
      </c>
      <c r="FJ40" s="139">
        <f t="shared" si="606"/>
        <v>0</v>
      </c>
      <c r="FK40" s="139">
        <f t="shared" si="606"/>
        <v>0</v>
      </c>
      <c r="FL40" s="139">
        <f t="shared" si="606"/>
        <v>0</v>
      </c>
      <c r="FM40" s="139">
        <f t="shared" si="606"/>
        <v>0</v>
      </c>
      <c r="FN40" s="139">
        <f t="shared" si="606"/>
        <v>0</v>
      </c>
      <c r="FO40" s="139">
        <f t="shared" si="606"/>
        <v>0</v>
      </c>
      <c r="FP40" s="139">
        <f t="shared" si="606"/>
        <v>0</v>
      </c>
      <c r="FQ40" s="139">
        <f t="shared" si="606"/>
        <v>0</v>
      </c>
      <c r="FR40" s="139">
        <f t="shared" si="606"/>
        <v>0</v>
      </c>
      <c r="FS40" s="139">
        <f t="shared" si="606"/>
        <v>0</v>
      </c>
      <c r="FT40" s="139">
        <f t="shared" si="606"/>
        <v>0</v>
      </c>
      <c r="FU40" s="139">
        <f t="shared" si="606"/>
        <v>0</v>
      </c>
      <c r="FV40" s="139">
        <f t="shared" si="606"/>
        <v>0</v>
      </c>
      <c r="FW40" s="139">
        <f t="shared" si="606"/>
        <v>0</v>
      </c>
      <c r="FX40" s="139">
        <f t="shared" si="606"/>
        <v>0</v>
      </c>
      <c r="FY40" s="139">
        <f t="shared" si="606"/>
        <v>0</v>
      </c>
      <c r="FZ40" s="139">
        <f t="shared" si="606"/>
        <v>0</v>
      </c>
      <c r="GA40" s="139">
        <f t="shared" si="606"/>
        <v>0</v>
      </c>
      <c r="GB40" s="139">
        <f t="shared" si="606"/>
        <v>0</v>
      </c>
      <c r="GC40" s="139">
        <f t="shared" si="606"/>
        <v>0</v>
      </c>
      <c r="GD40" s="139">
        <f t="shared" si="606"/>
        <v>0</v>
      </c>
      <c r="GE40" s="139">
        <f t="shared" si="606"/>
        <v>0</v>
      </c>
      <c r="GF40" s="139">
        <f t="shared" si="606"/>
        <v>0</v>
      </c>
      <c r="GG40" s="139">
        <f t="shared" si="606"/>
        <v>0</v>
      </c>
      <c r="GH40" s="139">
        <f t="shared" si="606"/>
        <v>0</v>
      </c>
      <c r="GI40" s="139">
        <f t="shared" si="606"/>
        <v>0</v>
      </c>
      <c r="GJ40" s="139">
        <f t="shared" si="606"/>
        <v>0</v>
      </c>
      <c r="GK40" s="139">
        <f t="shared" si="606"/>
        <v>0</v>
      </c>
      <c r="GL40" s="139">
        <f t="shared" si="606"/>
        <v>0</v>
      </c>
      <c r="GM40" s="139">
        <f t="shared" si="606"/>
        <v>0</v>
      </c>
      <c r="GN40" s="139">
        <f t="shared" si="606"/>
        <v>0</v>
      </c>
      <c r="GO40" s="139">
        <f t="shared" si="606"/>
        <v>0</v>
      </c>
      <c r="GP40" s="139">
        <f t="shared" si="606"/>
        <v>0</v>
      </c>
      <c r="GQ40" s="139">
        <f t="shared" ref="GQ40:IQ40" si="607">GQ31+SUM(GQ16:GQ20)</f>
        <v>0</v>
      </c>
      <c r="GR40" s="139">
        <f t="shared" si="607"/>
        <v>0</v>
      </c>
      <c r="GS40" s="139">
        <f t="shared" si="607"/>
        <v>0</v>
      </c>
      <c r="GT40" s="139">
        <f t="shared" si="607"/>
        <v>0</v>
      </c>
      <c r="GU40" s="139">
        <f t="shared" si="607"/>
        <v>0</v>
      </c>
      <c r="GV40" s="139">
        <f t="shared" si="607"/>
        <v>0</v>
      </c>
      <c r="GW40" s="139">
        <f t="shared" si="607"/>
        <v>0</v>
      </c>
      <c r="GX40" s="139">
        <f t="shared" si="607"/>
        <v>0</v>
      </c>
      <c r="GY40" s="139">
        <f t="shared" si="607"/>
        <v>0</v>
      </c>
      <c r="GZ40" s="139">
        <f t="shared" si="607"/>
        <v>0</v>
      </c>
      <c r="HA40" s="139">
        <f t="shared" si="607"/>
        <v>0</v>
      </c>
      <c r="HB40" s="139">
        <f t="shared" si="607"/>
        <v>0</v>
      </c>
      <c r="HC40" s="139">
        <f t="shared" si="607"/>
        <v>0</v>
      </c>
      <c r="HD40" s="139">
        <f t="shared" si="607"/>
        <v>0</v>
      </c>
      <c r="HE40" s="139">
        <f t="shared" si="607"/>
        <v>0</v>
      </c>
      <c r="HF40" s="139">
        <f t="shared" si="607"/>
        <v>0</v>
      </c>
      <c r="HG40" s="139">
        <f t="shared" si="607"/>
        <v>0</v>
      </c>
      <c r="HH40" s="139">
        <f t="shared" si="607"/>
        <v>0</v>
      </c>
      <c r="HI40" s="139">
        <f t="shared" si="607"/>
        <v>0</v>
      </c>
      <c r="HJ40" s="139">
        <f t="shared" si="607"/>
        <v>0</v>
      </c>
      <c r="HK40" s="139">
        <f t="shared" si="607"/>
        <v>0</v>
      </c>
      <c r="HL40" s="139">
        <f t="shared" si="607"/>
        <v>0</v>
      </c>
      <c r="HM40" s="139">
        <f t="shared" si="607"/>
        <v>0</v>
      </c>
      <c r="HN40" s="139">
        <f t="shared" si="607"/>
        <v>0</v>
      </c>
      <c r="HO40" s="139">
        <f t="shared" si="607"/>
        <v>0</v>
      </c>
      <c r="HP40" s="139">
        <f t="shared" si="607"/>
        <v>0</v>
      </c>
      <c r="HQ40" s="139">
        <f t="shared" si="607"/>
        <v>0</v>
      </c>
      <c r="HR40" s="139">
        <f t="shared" si="607"/>
        <v>0</v>
      </c>
      <c r="HS40" s="139">
        <f t="shared" si="607"/>
        <v>0</v>
      </c>
      <c r="HT40" s="139">
        <f t="shared" si="607"/>
        <v>0</v>
      </c>
      <c r="HU40" s="139">
        <f t="shared" si="607"/>
        <v>0</v>
      </c>
      <c r="HV40" s="139">
        <f t="shared" si="607"/>
        <v>0</v>
      </c>
      <c r="HW40" s="139">
        <f t="shared" si="607"/>
        <v>0</v>
      </c>
      <c r="HX40" s="139">
        <f t="shared" si="607"/>
        <v>0</v>
      </c>
      <c r="HY40" s="139">
        <f t="shared" si="607"/>
        <v>0</v>
      </c>
      <c r="HZ40" s="139">
        <f t="shared" si="607"/>
        <v>0</v>
      </c>
      <c r="IA40" s="139">
        <f t="shared" si="607"/>
        <v>0</v>
      </c>
      <c r="IB40" s="139">
        <f t="shared" si="607"/>
        <v>0</v>
      </c>
      <c r="IC40" s="139">
        <f t="shared" si="607"/>
        <v>0</v>
      </c>
      <c r="ID40" s="139">
        <f t="shared" si="607"/>
        <v>0</v>
      </c>
      <c r="IE40" s="139">
        <f t="shared" si="607"/>
        <v>0</v>
      </c>
      <c r="IF40" s="139">
        <f t="shared" si="607"/>
        <v>0</v>
      </c>
      <c r="IG40" s="139">
        <f t="shared" si="607"/>
        <v>0</v>
      </c>
      <c r="IH40" s="139">
        <f t="shared" si="607"/>
        <v>0</v>
      </c>
      <c r="II40" s="139">
        <f t="shared" si="607"/>
        <v>0</v>
      </c>
      <c r="IJ40" s="139">
        <f t="shared" si="607"/>
        <v>0</v>
      </c>
      <c r="IK40" s="139">
        <f t="shared" si="607"/>
        <v>0</v>
      </c>
      <c r="IL40" s="139">
        <f t="shared" si="607"/>
        <v>0</v>
      </c>
      <c r="IM40" s="139">
        <f t="shared" si="607"/>
        <v>0</v>
      </c>
      <c r="IN40" s="139">
        <f t="shared" si="607"/>
        <v>0</v>
      </c>
      <c r="IO40" s="139">
        <f t="shared" si="607"/>
        <v>0</v>
      </c>
      <c r="IP40" s="139">
        <f t="shared" si="607"/>
        <v>0</v>
      </c>
      <c r="IQ40" s="139">
        <f t="shared" si="607"/>
        <v>0</v>
      </c>
      <c r="IR40" s="139">
        <f t="shared" ref="IR40:JZ40" si="608">IR31+SUM(IR16:IR20)</f>
        <v>0</v>
      </c>
      <c r="IS40" s="139">
        <f t="shared" si="608"/>
        <v>0</v>
      </c>
      <c r="IT40" s="139">
        <f t="shared" si="608"/>
        <v>0</v>
      </c>
      <c r="IU40" s="139">
        <f t="shared" si="608"/>
        <v>0</v>
      </c>
      <c r="IV40" s="139">
        <f t="shared" si="608"/>
        <v>0</v>
      </c>
      <c r="IW40" s="139">
        <f t="shared" si="608"/>
        <v>0</v>
      </c>
      <c r="IX40" s="139">
        <f t="shared" si="608"/>
        <v>0</v>
      </c>
      <c r="IY40" s="139">
        <f t="shared" si="608"/>
        <v>0</v>
      </c>
      <c r="IZ40" s="139">
        <f t="shared" si="608"/>
        <v>0</v>
      </c>
      <c r="JA40" s="139">
        <f t="shared" si="608"/>
        <v>0</v>
      </c>
      <c r="JB40" s="139">
        <f t="shared" si="608"/>
        <v>0</v>
      </c>
      <c r="JC40" s="139">
        <f t="shared" si="608"/>
        <v>5</v>
      </c>
      <c r="JD40" s="139">
        <f t="shared" si="608"/>
        <v>1</v>
      </c>
      <c r="JE40" s="139">
        <f t="shared" si="608"/>
        <v>0</v>
      </c>
      <c r="JF40" s="139">
        <f t="shared" si="608"/>
        <v>0</v>
      </c>
      <c r="JG40" s="139">
        <f t="shared" si="608"/>
        <v>0</v>
      </c>
      <c r="JH40" s="139">
        <f t="shared" si="608"/>
        <v>0</v>
      </c>
      <c r="JI40" s="139">
        <f t="shared" si="608"/>
        <v>0</v>
      </c>
      <c r="JJ40" s="139">
        <f t="shared" si="608"/>
        <v>0</v>
      </c>
      <c r="JK40" s="139">
        <f t="shared" si="608"/>
        <v>0</v>
      </c>
      <c r="JL40" s="139">
        <f t="shared" si="608"/>
        <v>0</v>
      </c>
      <c r="JM40" s="139">
        <f t="shared" si="608"/>
        <v>5</v>
      </c>
      <c r="JN40" s="139">
        <f t="shared" si="608"/>
        <v>1</v>
      </c>
      <c r="JO40" s="139">
        <f>JO31+SUM(JO16:JO20)</f>
        <v>6</v>
      </c>
      <c r="JP40" s="139">
        <f t="shared" si="608"/>
        <v>5</v>
      </c>
      <c r="JQ40" s="139">
        <f t="shared" si="608"/>
        <v>1</v>
      </c>
      <c r="JR40" s="139">
        <f t="shared" si="608"/>
        <v>0</v>
      </c>
      <c r="JS40" s="139">
        <f t="shared" si="608"/>
        <v>0</v>
      </c>
      <c r="JT40" s="139">
        <f t="shared" si="608"/>
        <v>0</v>
      </c>
      <c r="JU40" s="139">
        <f t="shared" si="608"/>
        <v>0</v>
      </c>
      <c r="JV40" s="139">
        <f t="shared" si="608"/>
        <v>0</v>
      </c>
      <c r="JW40" s="139">
        <f t="shared" si="608"/>
        <v>0</v>
      </c>
      <c r="JX40" s="139">
        <f t="shared" si="608"/>
        <v>0</v>
      </c>
      <c r="JY40" s="139">
        <f t="shared" si="608"/>
        <v>0</v>
      </c>
      <c r="JZ40" s="139">
        <f t="shared" si="608"/>
        <v>5</v>
      </c>
      <c r="KA40" s="139">
        <f>KA31+SUM(KA16:KA20)</f>
        <v>1</v>
      </c>
      <c r="KB40" s="139">
        <f>KB31+SUM(KB16:KB20)</f>
        <v>6</v>
      </c>
      <c r="KC40" s="139">
        <f t="shared" ref="KC40:LS40" si="609">KC31+SUM(KC16:KC20)</f>
        <v>5</v>
      </c>
      <c r="KD40" s="139">
        <f t="shared" si="609"/>
        <v>0</v>
      </c>
      <c r="KE40" s="139">
        <f t="shared" si="609"/>
        <v>0</v>
      </c>
      <c r="KF40" s="139">
        <f t="shared" si="609"/>
        <v>5</v>
      </c>
      <c r="KG40" s="139">
        <f t="shared" si="609"/>
        <v>0</v>
      </c>
      <c r="KH40" s="139">
        <f t="shared" si="609"/>
        <v>0</v>
      </c>
      <c r="KI40" s="139">
        <f t="shared" si="609"/>
        <v>0</v>
      </c>
      <c r="KJ40" s="139">
        <f t="shared" si="609"/>
        <v>3</v>
      </c>
      <c r="KK40" s="139">
        <f t="shared" si="609"/>
        <v>2</v>
      </c>
      <c r="KL40" s="139">
        <f t="shared" si="609"/>
        <v>0</v>
      </c>
      <c r="KM40" s="139">
        <f t="shared" si="609"/>
        <v>72</v>
      </c>
      <c r="KN40" s="139">
        <f t="shared" si="609"/>
        <v>61</v>
      </c>
      <c r="KO40" s="139">
        <f t="shared" si="609"/>
        <v>133</v>
      </c>
      <c r="KP40" s="139">
        <f t="shared" si="609"/>
        <v>0</v>
      </c>
      <c r="KQ40" s="139">
        <f t="shared" si="609"/>
        <v>5</v>
      </c>
      <c r="KR40" s="139">
        <f t="shared" si="609"/>
        <v>0</v>
      </c>
      <c r="KS40" s="139">
        <f t="shared" si="609"/>
        <v>4</v>
      </c>
      <c r="KT40" s="139">
        <f t="shared" si="609"/>
        <v>0</v>
      </c>
      <c r="KU40" s="139">
        <f t="shared" si="609"/>
        <v>1</v>
      </c>
      <c r="KV40" s="139">
        <f t="shared" si="609"/>
        <v>5</v>
      </c>
      <c r="KW40" s="139">
        <f t="shared" si="609"/>
        <v>0</v>
      </c>
      <c r="KX40" s="139">
        <f t="shared" si="609"/>
        <v>0</v>
      </c>
      <c r="KY40" s="139">
        <f t="shared" si="609"/>
        <v>5</v>
      </c>
      <c r="KZ40" s="139">
        <f t="shared" si="609"/>
        <v>0</v>
      </c>
      <c r="LA40" s="139">
        <f t="shared" si="609"/>
        <v>0</v>
      </c>
      <c r="LB40" s="139">
        <f t="shared" si="609"/>
        <v>0</v>
      </c>
      <c r="LC40" s="139">
        <f t="shared" si="609"/>
        <v>0</v>
      </c>
      <c r="LD40" s="139">
        <f t="shared" si="609"/>
        <v>0</v>
      </c>
      <c r="LE40" s="139">
        <f t="shared" si="609"/>
        <v>5</v>
      </c>
      <c r="LF40" s="139">
        <f t="shared" si="609"/>
        <v>0</v>
      </c>
      <c r="LG40" s="139">
        <f t="shared" si="609"/>
        <v>5</v>
      </c>
      <c r="LH40" s="139">
        <f t="shared" si="609"/>
        <v>0</v>
      </c>
      <c r="LI40" s="139">
        <f t="shared" si="609"/>
        <v>5</v>
      </c>
      <c r="LJ40" s="139">
        <f t="shared" si="609"/>
        <v>0</v>
      </c>
      <c r="LK40" s="139">
        <f t="shared" si="609"/>
        <v>5</v>
      </c>
      <c r="LL40" s="139">
        <f t="shared" si="609"/>
        <v>0</v>
      </c>
      <c r="LM40" s="139">
        <f t="shared" si="609"/>
        <v>6</v>
      </c>
      <c r="LN40" s="139">
        <f t="shared" si="609"/>
        <v>0</v>
      </c>
      <c r="LO40" s="139">
        <f t="shared" si="609"/>
        <v>0</v>
      </c>
      <c r="LP40" s="139">
        <f t="shared" si="609"/>
        <v>0</v>
      </c>
      <c r="LQ40" s="139">
        <f t="shared" si="609"/>
        <v>6</v>
      </c>
      <c r="LR40" s="139">
        <f t="shared" si="609"/>
        <v>0</v>
      </c>
      <c r="LS40" s="139">
        <f t="shared" si="609"/>
        <v>0</v>
      </c>
      <c r="LT40" s="139">
        <f t="shared" ref="LT40:MO40" si="610">LT31+SUM(LT16:LT20)</f>
        <v>5</v>
      </c>
      <c r="LU40" s="139">
        <f t="shared" si="610"/>
        <v>1</v>
      </c>
      <c r="LV40" s="139">
        <f t="shared" si="610"/>
        <v>0</v>
      </c>
      <c r="LW40" s="139">
        <f t="shared" si="610"/>
        <v>3977</v>
      </c>
      <c r="LX40" s="139">
        <f t="shared" si="610"/>
        <v>640</v>
      </c>
      <c r="LY40" s="139">
        <f t="shared" si="610"/>
        <v>4617</v>
      </c>
      <c r="LZ40" s="139">
        <f t="shared" si="610"/>
        <v>6</v>
      </c>
      <c r="MA40" s="139">
        <f t="shared" si="610"/>
        <v>0</v>
      </c>
      <c r="MB40" s="139">
        <f t="shared" si="610"/>
        <v>0</v>
      </c>
      <c r="MC40" s="139">
        <f t="shared" si="610"/>
        <v>6</v>
      </c>
      <c r="MD40" s="139">
        <f t="shared" si="610"/>
        <v>5</v>
      </c>
      <c r="ME40" s="139">
        <f t="shared" si="610"/>
        <v>1</v>
      </c>
      <c r="MF40" s="139">
        <f t="shared" si="610"/>
        <v>6</v>
      </c>
      <c r="MG40" s="139">
        <f t="shared" si="610"/>
        <v>0</v>
      </c>
      <c r="MH40" s="139">
        <f t="shared" si="610"/>
        <v>5</v>
      </c>
      <c r="MI40" s="139">
        <f t="shared" si="610"/>
        <v>1</v>
      </c>
      <c r="MJ40" s="139">
        <f t="shared" si="610"/>
        <v>0</v>
      </c>
      <c r="MK40" s="139">
        <f t="shared" si="610"/>
        <v>6</v>
      </c>
      <c r="ML40" s="139">
        <f t="shared" si="610"/>
        <v>0</v>
      </c>
      <c r="MM40" s="139">
        <f t="shared" si="610"/>
        <v>6</v>
      </c>
      <c r="MN40" s="139">
        <f t="shared" si="610"/>
        <v>5</v>
      </c>
      <c r="MO40" s="139">
        <f t="shared" si="610"/>
        <v>1</v>
      </c>
    </row>
    <row r="41" spans="1:353" ht="9.75" hidden="1" customHeight="1" x14ac:dyDescent="0.25"/>
    <row r="42" spans="1:353" s="123" customFormat="1" ht="27" customHeight="1" x14ac:dyDescent="0.2">
      <c r="A42" s="352"/>
      <c r="B42" s="353"/>
      <c r="C42" s="353"/>
      <c r="D42" s="353"/>
      <c r="E42" s="354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  <c r="AS42" s="122"/>
      <c r="AT42" s="122"/>
      <c r="AU42" s="122"/>
      <c r="AV42" s="122"/>
      <c r="AW42" s="122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22"/>
      <c r="CD42" s="122"/>
      <c r="CE42" s="122"/>
      <c r="CF42" s="122"/>
      <c r="CG42" s="122"/>
      <c r="CH42" s="122"/>
      <c r="CI42" s="122"/>
      <c r="CJ42" s="122"/>
      <c r="CK42" s="122"/>
      <c r="CL42" s="122"/>
      <c r="CM42" s="122"/>
      <c r="CN42" s="122"/>
      <c r="CO42" s="122"/>
      <c r="CP42" s="122"/>
      <c r="CQ42" s="122"/>
      <c r="CR42" s="122"/>
      <c r="CS42" s="122"/>
      <c r="CT42" s="122"/>
      <c r="CU42" s="122"/>
      <c r="CV42" s="122"/>
      <c r="CW42" s="122"/>
      <c r="CX42" s="122"/>
      <c r="CY42" s="122"/>
      <c r="CZ42" s="122"/>
      <c r="DA42" s="122"/>
      <c r="DB42" s="122"/>
      <c r="DC42" s="122"/>
      <c r="DD42" s="122"/>
      <c r="DE42" s="122"/>
      <c r="DF42" s="122"/>
      <c r="DG42" s="122"/>
      <c r="DH42" s="122"/>
      <c r="DI42" s="122"/>
      <c r="DJ42" s="122"/>
      <c r="DK42" s="122"/>
      <c r="DL42" s="122"/>
      <c r="DM42" s="122"/>
      <c r="DN42" s="122"/>
      <c r="DO42" s="122"/>
      <c r="DP42" s="122"/>
      <c r="DQ42" s="122"/>
      <c r="DR42" s="122"/>
      <c r="DS42" s="122"/>
      <c r="DT42" s="122"/>
      <c r="DU42" s="122"/>
      <c r="DV42" s="122"/>
      <c r="DW42" s="122"/>
      <c r="DX42" s="122"/>
      <c r="DY42" s="122"/>
      <c r="DZ42" s="122"/>
      <c r="EA42" s="122"/>
      <c r="EB42" s="122"/>
      <c r="EC42" s="122"/>
      <c r="ED42" s="122"/>
      <c r="EE42" s="122"/>
      <c r="EF42" s="122"/>
      <c r="EG42" s="122"/>
      <c r="EH42" s="122"/>
      <c r="EI42" s="122"/>
      <c r="EJ42" s="122"/>
      <c r="EK42" s="122"/>
      <c r="EL42" s="122"/>
      <c r="EM42" s="122"/>
      <c r="EN42" s="122"/>
      <c r="EO42" s="122"/>
      <c r="EP42" s="122"/>
      <c r="EQ42" s="122"/>
      <c r="ER42" s="122"/>
      <c r="ES42" s="122"/>
      <c r="ET42" s="122"/>
      <c r="EU42" s="122"/>
      <c r="EV42" s="122"/>
      <c r="EW42" s="122"/>
      <c r="EX42" s="122"/>
      <c r="EY42" s="122"/>
      <c r="EZ42" s="122"/>
      <c r="FA42" s="122"/>
      <c r="FB42" s="122"/>
      <c r="FC42" s="122"/>
      <c r="FD42" s="122"/>
      <c r="FE42" s="122"/>
      <c r="FF42" s="122"/>
      <c r="FG42" s="122"/>
      <c r="FH42" s="122"/>
      <c r="FI42" s="122"/>
      <c r="FJ42" s="122"/>
      <c r="FK42" s="122"/>
      <c r="FL42" s="122"/>
      <c r="FM42" s="122"/>
      <c r="FN42" s="122"/>
      <c r="FO42" s="122"/>
      <c r="FP42" s="122"/>
      <c r="FQ42" s="122"/>
      <c r="FR42" s="122"/>
      <c r="FS42" s="122"/>
      <c r="FT42" s="122"/>
      <c r="FU42" s="122"/>
      <c r="FV42" s="122"/>
      <c r="FW42" s="122"/>
      <c r="FX42" s="122"/>
      <c r="FY42" s="122"/>
      <c r="FZ42" s="122"/>
      <c r="GA42" s="122"/>
      <c r="GB42" s="122"/>
      <c r="GC42" s="122"/>
      <c r="GD42" s="122"/>
      <c r="GE42" s="122"/>
      <c r="GF42" s="122"/>
      <c r="GG42" s="122"/>
      <c r="GH42" s="122"/>
      <c r="GI42" s="122"/>
      <c r="GJ42" s="122"/>
      <c r="GK42" s="122"/>
      <c r="GL42" s="122"/>
      <c r="GM42" s="122"/>
      <c r="GN42" s="122"/>
      <c r="GO42" s="122"/>
      <c r="GP42" s="122"/>
      <c r="GQ42" s="122"/>
      <c r="GR42" s="122"/>
      <c r="GS42" s="122"/>
      <c r="GT42" s="122"/>
      <c r="GU42" s="122"/>
      <c r="GV42" s="122"/>
      <c r="GW42" s="122"/>
      <c r="GX42" s="122"/>
      <c r="GY42" s="122"/>
      <c r="GZ42" s="122"/>
      <c r="HA42" s="122"/>
      <c r="HB42" s="122"/>
      <c r="HC42" s="122"/>
      <c r="HD42" s="122"/>
      <c r="HE42" s="122"/>
      <c r="HF42" s="122"/>
      <c r="HG42" s="122"/>
      <c r="HH42" s="122"/>
      <c r="HI42" s="122"/>
      <c r="HJ42" s="122"/>
      <c r="HK42" s="122"/>
      <c r="HL42" s="122"/>
      <c r="HM42" s="122"/>
      <c r="HN42" s="122"/>
      <c r="HO42" s="122"/>
      <c r="HP42" s="122"/>
      <c r="HQ42" s="122"/>
      <c r="HR42" s="122"/>
      <c r="HS42" s="122"/>
      <c r="HT42" s="122"/>
      <c r="HU42" s="122"/>
      <c r="HV42" s="122"/>
      <c r="HW42" s="122"/>
      <c r="HX42" s="122"/>
      <c r="HY42" s="122"/>
      <c r="HZ42" s="122"/>
      <c r="IA42" s="122"/>
      <c r="IB42" s="122"/>
      <c r="IC42" s="122"/>
      <c r="ID42" s="122"/>
      <c r="IE42" s="122"/>
      <c r="IF42" s="122"/>
      <c r="IG42" s="122"/>
      <c r="IH42" s="122"/>
      <c r="II42" s="122"/>
      <c r="IJ42" s="122"/>
      <c r="IK42" s="122"/>
      <c r="IL42" s="122"/>
      <c r="IM42" s="122"/>
      <c r="IN42" s="122"/>
      <c r="IO42" s="122"/>
      <c r="IP42" s="122"/>
      <c r="IQ42" s="122"/>
      <c r="IR42" s="122"/>
      <c r="IS42" s="122"/>
      <c r="IT42" s="122"/>
      <c r="IU42" s="122"/>
      <c r="IV42" s="122"/>
      <c r="IW42" s="122"/>
      <c r="IX42" s="122"/>
      <c r="IY42" s="122"/>
      <c r="IZ42" s="122"/>
      <c r="JA42" s="122"/>
      <c r="JB42" s="122"/>
      <c r="JC42" s="122"/>
      <c r="JD42" s="122"/>
      <c r="JE42" s="122"/>
      <c r="JF42" s="122"/>
      <c r="JG42" s="122"/>
      <c r="JH42" s="122"/>
      <c r="JI42" s="122"/>
      <c r="JJ42" s="122"/>
      <c r="JK42" s="122"/>
      <c r="JL42" s="122"/>
      <c r="JM42" s="122"/>
      <c r="JN42" s="122"/>
      <c r="JO42" s="122"/>
      <c r="JP42" s="122"/>
      <c r="JQ42" s="122"/>
      <c r="JR42" s="122"/>
      <c r="JS42" s="122"/>
      <c r="JT42" s="122"/>
      <c r="JU42" s="122"/>
      <c r="JV42" s="122"/>
      <c r="JW42" s="122"/>
      <c r="JX42" s="122"/>
      <c r="JY42" s="122"/>
      <c r="JZ42" s="122"/>
      <c r="KA42" s="122"/>
      <c r="KB42" s="122"/>
      <c r="KC42" s="122"/>
      <c r="KD42" s="122"/>
      <c r="KE42" s="122"/>
      <c r="KF42" s="122"/>
      <c r="KG42" s="122"/>
      <c r="KH42" s="122"/>
      <c r="KI42" s="122"/>
      <c r="KJ42" s="122"/>
      <c r="KK42" s="122"/>
      <c r="KL42" s="122"/>
      <c r="KM42" s="122"/>
      <c r="KN42" s="122"/>
      <c r="KO42" s="122"/>
      <c r="KP42" s="122"/>
      <c r="KQ42" s="122"/>
      <c r="KR42" s="122"/>
      <c r="KS42" s="122"/>
      <c r="KT42" s="122"/>
      <c r="KU42" s="122"/>
      <c r="KV42" s="122"/>
      <c r="KW42" s="122"/>
      <c r="KX42" s="122"/>
      <c r="KY42" s="122"/>
      <c r="KZ42" s="122"/>
      <c r="LA42" s="122"/>
      <c r="LB42" s="122"/>
      <c r="LC42" s="122"/>
      <c r="LD42" s="122"/>
      <c r="LE42" s="122"/>
      <c r="LF42" s="122"/>
      <c r="LG42" s="122"/>
      <c r="LH42" s="122"/>
      <c r="LI42" s="122"/>
      <c r="LJ42" s="122"/>
      <c r="LK42" s="122"/>
      <c r="LL42" s="122"/>
      <c r="LM42" s="122"/>
      <c r="LN42" s="122"/>
      <c r="LO42" s="122"/>
      <c r="LP42" s="122"/>
      <c r="LQ42" s="122"/>
      <c r="LR42" s="122"/>
      <c r="LS42" s="122"/>
      <c r="LT42" s="122"/>
      <c r="LU42" s="122"/>
      <c r="LV42" s="122"/>
      <c r="LW42" s="122"/>
      <c r="LX42" s="122"/>
      <c r="LY42" s="122"/>
      <c r="LZ42" s="122"/>
      <c r="MA42" s="122"/>
      <c r="MB42" s="122"/>
      <c r="MC42" s="122"/>
      <c r="MD42" s="122"/>
      <c r="ME42" s="122"/>
      <c r="MF42" s="122"/>
      <c r="MG42" s="122"/>
      <c r="MH42" s="122"/>
      <c r="MI42" s="122"/>
      <c r="MJ42" s="122"/>
      <c r="MK42" s="122"/>
      <c r="ML42" s="122"/>
      <c r="MM42" s="122"/>
      <c r="MN42" s="122"/>
      <c r="MO42" s="122"/>
    </row>
    <row r="43" spans="1:353" ht="32.25" customHeight="1" x14ac:dyDescent="0.25"/>
    <row r="44" spans="1:353" s="126" customFormat="1" ht="27" customHeight="1" x14ac:dyDescent="0.2">
      <c r="A44" s="355"/>
      <c r="B44" s="356"/>
      <c r="C44" s="356"/>
      <c r="D44" s="356"/>
      <c r="E44" s="357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5"/>
      <c r="AN44" s="125"/>
      <c r="AO44" s="125"/>
      <c r="AP44" s="125"/>
      <c r="AQ44" s="125"/>
      <c r="AR44" s="125"/>
      <c r="AS44" s="125"/>
      <c r="AT44" s="125"/>
      <c r="AU44" s="125"/>
      <c r="AV44" s="125"/>
      <c r="AW44" s="125"/>
      <c r="AX44" s="125"/>
      <c r="AY44" s="125"/>
      <c r="AZ44" s="125"/>
      <c r="BA44" s="125"/>
      <c r="BB44" s="125"/>
      <c r="BC44" s="125"/>
      <c r="BD44" s="125"/>
      <c r="BE44" s="125"/>
      <c r="BF44" s="125"/>
      <c r="BG44" s="125"/>
      <c r="BH44" s="125"/>
      <c r="BI44" s="125"/>
      <c r="BJ44" s="125"/>
      <c r="BK44" s="125"/>
      <c r="BL44" s="125"/>
      <c r="BM44" s="125"/>
      <c r="BN44" s="125"/>
      <c r="BO44" s="125"/>
      <c r="BP44" s="125"/>
      <c r="BQ44" s="125"/>
      <c r="BR44" s="125"/>
      <c r="BS44" s="125"/>
      <c r="BT44" s="125"/>
      <c r="BU44" s="125"/>
      <c r="BV44" s="125"/>
      <c r="BW44" s="125"/>
      <c r="BX44" s="125"/>
      <c r="BY44" s="125"/>
      <c r="BZ44" s="125"/>
      <c r="CA44" s="125"/>
      <c r="CB44" s="125"/>
      <c r="CC44" s="125"/>
      <c r="CD44" s="125"/>
      <c r="CE44" s="125"/>
      <c r="CF44" s="125"/>
      <c r="CG44" s="125"/>
      <c r="CH44" s="125"/>
      <c r="CI44" s="125"/>
      <c r="CJ44" s="125"/>
      <c r="CK44" s="125"/>
      <c r="CL44" s="125"/>
      <c r="CM44" s="125"/>
      <c r="CN44" s="125"/>
      <c r="CO44" s="125"/>
      <c r="CP44" s="125"/>
      <c r="CQ44" s="125"/>
      <c r="CR44" s="125"/>
      <c r="CS44" s="125"/>
      <c r="CT44" s="125"/>
      <c r="CU44" s="125"/>
      <c r="CV44" s="125"/>
      <c r="CW44" s="125"/>
      <c r="CX44" s="125"/>
      <c r="CY44" s="125"/>
      <c r="CZ44" s="125"/>
      <c r="DA44" s="125"/>
      <c r="DB44" s="125"/>
      <c r="DC44" s="125"/>
      <c r="DD44" s="125"/>
      <c r="DE44" s="125"/>
      <c r="DF44" s="125"/>
      <c r="DG44" s="125"/>
      <c r="DH44" s="125"/>
      <c r="DI44" s="125"/>
      <c r="DJ44" s="125"/>
      <c r="DK44" s="125"/>
      <c r="DL44" s="125"/>
      <c r="DM44" s="125"/>
      <c r="DN44" s="125"/>
      <c r="DO44" s="125"/>
      <c r="DP44" s="125"/>
      <c r="DQ44" s="125"/>
      <c r="DR44" s="125"/>
      <c r="DS44" s="125"/>
      <c r="DT44" s="125"/>
      <c r="DU44" s="125"/>
      <c r="DV44" s="125"/>
      <c r="DW44" s="125"/>
      <c r="DX44" s="125"/>
      <c r="DY44" s="125"/>
      <c r="DZ44" s="125"/>
      <c r="EA44" s="125"/>
      <c r="EB44" s="125"/>
      <c r="EC44" s="125"/>
      <c r="ED44" s="125"/>
      <c r="EE44" s="125"/>
      <c r="EF44" s="125"/>
      <c r="EG44" s="125"/>
      <c r="EH44" s="125"/>
      <c r="EI44" s="125"/>
      <c r="EJ44" s="125"/>
      <c r="EK44" s="125"/>
      <c r="EL44" s="125"/>
      <c r="EM44" s="125"/>
      <c r="EN44" s="125"/>
      <c r="EO44" s="125"/>
      <c r="EP44" s="125"/>
      <c r="EQ44" s="125"/>
      <c r="ER44" s="125"/>
      <c r="ES44" s="125"/>
      <c r="ET44" s="125"/>
      <c r="EU44" s="125"/>
      <c r="EV44" s="125"/>
      <c r="EW44" s="125"/>
      <c r="EX44" s="125"/>
      <c r="EY44" s="125"/>
      <c r="EZ44" s="125"/>
      <c r="FA44" s="125"/>
      <c r="FB44" s="125"/>
      <c r="FC44" s="125"/>
      <c r="FD44" s="125"/>
      <c r="FE44" s="125"/>
      <c r="FF44" s="125"/>
      <c r="FG44" s="125"/>
      <c r="FH44" s="125"/>
      <c r="FI44" s="125"/>
      <c r="FJ44" s="125"/>
      <c r="FK44" s="125"/>
      <c r="FL44" s="125"/>
      <c r="FM44" s="125"/>
      <c r="FN44" s="125"/>
      <c r="FO44" s="125"/>
      <c r="FP44" s="125"/>
      <c r="FQ44" s="125"/>
      <c r="FR44" s="125"/>
      <c r="FS44" s="125"/>
      <c r="FT44" s="125"/>
      <c r="FU44" s="125"/>
      <c r="FV44" s="125"/>
      <c r="FW44" s="125"/>
      <c r="FX44" s="125"/>
      <c r="FY44" s="125"/>
      <c r="FZ44" s="125"/>
      <c r="GA44" s="125"/>
      <c r="GB44" s="125"/>
      <c r="GC44" s="125"/>
      <c r="GD44" s="125"/>
      <c r="GE44" s="125"/>
      <c r="GF44" s="125"/>
      <c r="GG44" s="125"/>
      <c r="GH44" s="125"/>
      <c r="GI44" s="125"/>
      <c r="GJ44" s="125"/>
      <c r="GK44" s="125"/>
      <c r="GL44" s="125"/>
      <c r="GM44" s="125"/>
      <c r="GN44" s="125"/>
      <c r="GO44" s="125"/>
      <c r="GP44" s="125"/>
      <c r="GQ44" s="125"/>
      <c r="GR44" s="125"/>
      <c r="GS44" s="125"/>
      <c r="GT44" s="125"/>
      <c r="GU44" s="125"/>
      <c r="GV44" s="125"/>
      <c r="GW44" s="125"/>
      <c r="GX44" s="125"/>
      <c r="GY44" s="125"/>
      <c r="GZ44" s="125"/>
      <c r="HA44" s="125"/>
      <c r="HB44" s="125"/>
      <c r="HC44" s="125"/>
      <c r="HD44" s="125"/>
      <c r="HE44" s="125"/>
      <c r="HF44" s="125"/>
      <c r="HG44" s="125"/>
      <c r="HH44" s="125"/>
      <c r="HI44" s="125"/>
      <c r="HJ44" s="125"/>
      <c r="HK44" s="125"/>
      <c r="HL44" s="125"/>
      <c r="HM44" s="125"/>
      <c r="HN44" s="125"/>
      <c r="HO44" s="125"/>
      <c r="HP44" s="125"/>
      <c r="HQ44" s="125"/>
      <c r="HR44" s="125"/>
      <c r="HS44" s="125"/>
      <c r="HT44" s="125"/>
      <c r="HU44" s="125"/>
      <c r="HV44" s="125"/>
      <c r="HW44" s="125"/>
      <c r="HX44" s="125"/>
      <c r="HY44" s="125"/>
      <c r="HZ44" s="125"/>
      <c r="IA44" s="125"/>
      <c r="IB44" s="125"/>
      <c r="IC44" s="125"/>
      <c r="ID44" s="125"/>
      <c r="IE44" s="125"/>
      <c r="IF44" s="125"/>
      <c r="IG44" s="125"/>
      <c r="IH44" s="125"/>
      <c r="II44" s="125"/>
      <c r="IJ44" s="125"/>
      <c r="IK44" s="125"/>
      <c r="IL44" s="125"/>
      <c r="IM44" s="125"/>
      <c r="IN44" s="125"/>
      <c r="IO44" s="125"/>
      <c r="IP44" s="125"/>
      <c r="IQ44" s="125"/>
      <c r="IR44" s="125"/>
      <c r="IS44" s="125"/>
      <c r="IT44" s="125"/>
      <c r="IU44" s="125"/>
      <c r="IV44" s="125"/>
      <c r="IW44" s="125"/>
      <c r="IX44" s="125"/>
      <c r="IY44" s="125"/>
      <c r="IZ44" s="125"/>
      <c r="JA44" s="125"/>
      <c r="JB44" s="125"/>
      <c r="JC44" s="125"/>
      <c r="JD44" s="125"/>
      <c r="JE44" s="125"/>
      <c r="JF44" s="125"/>
      <c r="JG44" s="125"/>
      <c r="JH44" s="125"/>
      <c r="JI44" s="125"/>
      <c r="JJ44" s="125"/>
      <c r="JK44" s="125"/>
      <c r="JL44" s="125"/>
      <c r="JM44" s="125"/>
      <c r="JN44" s="125"/>
      <c r="JO44" s="125"/>
      <c r="JP44" s="125"/>
      <c r="JQ44" s="125"/>
      <c r="JR44" s="125"/>
      <c r="JS44" s="125"/>
      <c r="JT44" s="125"/>
      <c r="JU44" s="125"/>
      <c r="JV44" s="125"/>
      <c r="JW44" s="125"/>
      <c r="JX44" s="125"/>
      <c r="JY44" s="125"/>
      <c r="JZ44" s="125"/>
      <c r="KA44" s="125"/>
      <c r="KB44" s="125"/>
      <c r="KC44" s="125"/>
      <c r="KD44" s="125"/>
      <c r="KE44" s="125"/>
      <c r="KF44" s="125"/>
      <c r="KG44" s="125"/>
      <c r="KH44" s="125"/>
      <c r="KI44" s="125"/>
      <c r="KJ44" s="125"/>
      <c r="KK44" s="125"/>
      <c r="KL44" s="125"/>
      <c r="KM44" s="125"/>
      <c r="KN44" s="125"/>
      <c r="KO44" s="125"/>
      <c r="KP44" s="125"/>
      <c r="KQ44" s="125"/>
      <c r="KR44" s="125"/>
      <c r="KS44" s="125"/>
      <c r="KT44" s="125"/>
      <c r="KU44" s="125"/>
      <c r="KV44" s="125"/>
      <c r="KW44" s="125"/>
      <c r="KX44" s="125"/>
      <c r="KY44" s="125"/>
      <c r="KZ44" s="125"/>
      <c r="LA44" s="125"/>
      <c r="LB44" s="125"/>
      <c r="LC44" s="125"/>
      <c r="LD44" s="125"/>
      <c r="LE44" s="125"/>
      <c r="LF44" s="125"/>
      <c r="LG44" s="125"/>
      <c r="LH44" s="125"/>
      <c r="LI44" s="125"/>
      <c r="LJ44" s="125"/>
      <c r="LK44" s="125"/>
      <c r="LL44" s="125"/>
      <c r="LM44" s="125"/>
      <c r="LN44" s="125"/>
      <c r="LO44" s="125"/>
      <c r="LP44" s="125"/>
      <c r="LQ44" s="125"/>
      <c r="LR44" s="125"/>
      <c r="LS44" s="125"/>
      <c r="LT44" s="125"/>
      <c r="LU44" s="125"/>
      <c r="LV44" s="125"/>
      <c r="LW44" s="125"/>
      <c r="LX44" s="125"/>
      <c r="LY44" s="125"/>
      <c r="LZ44" s="125"/>
      <c r="MA44" s="125"/>
      <c r="MB44" s="125"/>
      <c r="MC44" s="125"/>
      <c r="MD44" s="125"/>
      <c r="ME44" s="125"/>
      <c r="MF44" s="125"/>
      <c r="MG44" s="125"/>
      <c r="MH44" s="125"/>
      <c r="MI44" s="125"/>
      <c r="MJ44" s="125"/>
      <c r="MK44" s="125"/>
      <c r="ML44" s="125"/>
      <c r="MM44" s="125"/>
      <c r="MN44" s="125"/>
      <c r="MO44" s="125"/>
    </row>
    <row r="45" spans="1:353" ht="24.75" customHeight="1" x14ac:dyDescent="0.25"/>
    <row r="46" spans="1:353" ht="9" hidden="1" customHeight="1" x14ac:dyDescent="0.25"/>
    <row r="47" spans="1:353" s="161" customFormat="1" ht="26.25" customHeight="1" x14ac:dyDescent="0.2">
      <c r="A47" s="358"/>
      <c r="B47" s="359"/>
      <c r="C47" s="359"/>
      <c r="D47" s="359"/>
      <c r="E47" s="3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0"/>
      <c r="BD47" s="160"/>
      <c r="BE47" s="160"/>
      <c r="BF47" s="160"/>
      <c r="BG47" s="160"/>
      <c r="BH47" s="160"/>
      <c r="BI47" s="160"/>
      <c r="BJ47" s="160"/>
      <c r="BK47" s="160"/>
      <c r="BL47" s="160"/>
      <c r="BM47" s="160"/>
      <c r="BN47" s="160"/>
      <c r="BO47" s="160"/>
      <c r="BP47" s="160"/>
      <c r="BQ47" s="160"/>
      <c r="BR47" s="160"/>
      <c r="BS47" s="160"/>
      <c r="BT47" s="160"/>
      <c r="BU47" s="160"/>
      <c r="BV47" s="160"/>
      <c r="BW47" s="160"/>
      <c r="BX47" s="160"/>
      <c r="BY47" s="160"/>
      <c r="BZ47" s="160"/>
      <c r="CA47" s="160"/>
      <c r="CB47" s="160"/>
      <c r="CC47" s="160"/>
      <c r="CD47" s="160"/>
      <c r="CE47" s="160"/>
      <c r="CF47" s="160"/>
      <c r="CG47" s="160"/>
      <c r="CH47" s="160"/>
      <c r="CI47" s="160"/>
      <c r="CJ47" s="160"/>
      <c r="CK47" s="160"/>
      <c r="CL47" s="160"/>
      <c r="CM47" s="160"/>
      <c r="CN47" s="160"/>
      <c r="CO47" s="160"/>
      <c r="CP47" s="160"/>
      <c r="CQ47" s="160"/>
      <c r="CR47" s="160"/>
      <c r="CS47" s="160"/>
      <c r="CT47" s="160"/>
      <c r="CU47" s="160"/>
      <c r="CV47" s="160"/>
      <c r="CW47" s="160"/>
      <c r="CX47" s="160"/>
      <c r="CY47" s="160"/>
      <c r="CZ47" s="160"/>
      <c r="DA47" s="160"/>
      <c r="DB47" s="160"/>
      <c r="DC47" s="160"/>
      <c r="DD47" s="160"/>
      <c r="DE47" s="160"/>
      <c r="DF47" s="160"/>
      <c r="DG47" s="160"/>
      <c r="DH47" s="160"/>
      <c r="DI47" s="160"/>
      <c r="DJ47" s="160"/>
      <c r="DK47" s="160"/>
      <c r="DL47" s="160"/>
      <c r="DM47" s="160"/>
      <c r="DN47" s="160"/>
      <c r="DO47" s="160"/>
      <c r="DP47" s="160"/>
      <c r="DQ47" s="160"/>
      <c r="DR47" s="160"/>
      <c r="DS47" s="160"/>
      <c r="DT47" s="160"/>
      <c r="DU47" s="160"/>
      <c r="DV47" s="160"/>
      <c r="DW47" s="160"/>
      <c r="DX47" s="160"/>
      <c r="DY47" s="160"/>
      <c r="DZ47" s="160"/>
      <c r="EA47" s="160"/>
      <c r="EB47" s="160"/>
      <c r="EC47" s="160"/>
      <c r="ED47" s="160"/>
      <c r="EE47" s="160"/>
      <c r="EF47" s="160"/>
      <c r="EG47" s="160"/>
      <c r="EH47" s="160"/>
      <c r="EI47" s="160"/>
      <c r="EJ47" s="160"/>
      <c r="EK47" s="160"/>
      <c r="EL47" s="160"/>
      <c r="EM47" s="160"/>
      <c r="EN47" s="160"/>
      <c r="EO47" s="160"/>
      <c r="EP47" s="160"/>
      <c r="EQ47" s="160"/>
      <c r="ER47" s="160"/>
      <c r="ES47" s="160"/>
      <c r="ET47" s="160"/>
      <c r="EU47" s="160"/>
      <c r="EV47" s="160"/>
      <c r="EW47" s="160"/>
      <c r="EX47" s="160"/>
      <c r="EY47" s="160"/>
      <c r="EZ47" s="160"/>
      <c r="FA47" s="160"/>
      <c r="FB47" s="160"/>
      <c r="FC47" s="160"/>
      <c r="FD47" s="160"/>
      <c r="FE47" s="160"/>
      <c r="FF47" s="160"/>
      <c r="FG47" s="160"/>
      <c r="FH47" s="160"/>
      <c r="FI47" s="160"/>
      <c r="FJ47" s="160"/>
      <c r="FK47" s="160"/>
      <c r="FL47" s="160"/>
      <c r="FM47" s="160"/>
      <c r="FN47" s="160"/>
      <c r="FO47" s="160"/>
      <c r="FP47" s="160"/>
      <c r="FQ47" s="160"/>
      <c r="FR47" s="160"/>
      <c r="FS47" s="160"/>
      <c r="FT47" s="160"/>
      <c r="FU47" s="160"/>
      <c r="FV47" s="160"/>
      <c r="FW47" s="160"/>
      <c r="FX47" s="160"/>
      <c r="FY47" s="160"/>
      <c r="FZ47" s="160"/>
      <c r="GA47" s="160"/>
      <c r="GB47" s="160"/>
      <c r="GC47" s="160"/>
      <c r="GD47" s="160"/>
      <c r="GE47" s="160"/>
      <c r="GF47" s="160"/>
      <c r="GG47" s="160"/>
      <c r="GH47" s="160"/>
      <c r="GI47" s="160"/>
      <c r="GJ47" s="160"/>
      <c r="GK47" s="160"/>
      <c r="GL47" s="160"/>
      <c r="GM47" s="160"/>
      <c r="GN47" s="160"/>
      <c r="GO47" s="160"/>
      <c r="GP47" s="160"/>
      <c r="GQ47" s="160"/>
      <c r="GR47" s="160"/>
      <c r="GS47" s="160"/>
      <c r="GT47" s="160"/>
      <c r="GU47" s="160"/>
      <c r="GV47" s="160"/>
      <c r="GW47" s="160"/>
      <c r="GX47" s="160"/>
      <c r="GY47" s="160"/>
      <c r="GZ47" s="160"/>
      <c r="HA47" s="160"/>
      <c r="HB47" s="160"/>
      <c r="HC47" s="160"/>
      <c r="HD47" s="160"/>
      <c r="HE47" s="160"/>
      <c r="HF47" s="160"/>
      <c r="HG47" s="160"/>
      <c r="HH47" s="160"/>
      <c r="HI47" s="160"/>
      <c r="HJ47" s="160"/>
      <c r="HK47" s="160"/>
      <c r="HL47" s="160"/>
      <c r="HM47" s="160"/>
      <c r="HN47" s="160"/>
      <c r="HO47" s="160"/>
      <c r="HP47" s="160"/>
      <c r="HQ47" s="160"/>
      <c r="HR47" s="160"/>
      <c r="HS47" s="160"/>
      <c r="HT47" s="160"/>
      <c r="HU47" s="160"/>
      <c r="HV47" s="160"/>
      <c r="HW47" s="160"/>
      <c r="HX47" s="160"/>
      <c r="HY47" s="160"/>
      <c r="HZ47" s="160"/>
      <c r="IA47" s="160"/>
      <c r="IB47" s="160"/>
      <c r="IC47" s="160"/>
      <c r="ID47" s="160"/>
      <c r="IE47" s="160"/>
      <c r="IF47" s="160"/>
      <c r="IG47" s="160"/>
      <c r="IH47" s="160"/>
      <c r="II47" s="160"/>
      <c r="IJ47" s="160"/>
      <c r="IK47" s="160"/>
      <c r="IL47" s="160"/>
      <c r="IM47" s="160"/>
      <c r="IN47" s="160"/>
      <c r="IO47" s="160"/>
      <c r="IP47" s="160"/>
      <c r="IQ47" s="160"/>
      <c r="IR47" s="160"/>
      <c r="IS47" s="160"/>
      <c r="IT47" s="160"/>
      <c r="IU47" s="160"/>
      <c r="IV47" s="160"/>
      <c r="IW47" s="160"/>
      <c r="IX47" s="160"/>
      <c r="IY47" s="160"/>
      <c r="IZ47" s="160"/>
      <c r="JA47" s="160"/>
      <c r="JB47" s="160"/>
      <c r="JC47" s="160"/>
      <c r="JD47" s="160"/>
      <c r="JE47" s="160"/>
      <c r="JF47" s="160"/>
      <c r="JG47" s="160"/>
      <c r="JH47" s="160"/>
      <c r="JI47" s="160"/>
      <c r="JJ47" s="160"/>
      <c r="JK47" s="160"/>
      <c r="JL47" s="160"/>
      <c r="JM47" s="160"/>
      <c r="JN47" s="160"/>
      <c r="JO47" s="160"/>
      <c r="JP47" s="160"/>
      <c r="JQ47" s="160"/>
      <c r="JR47" s="160"/>
      <c r="JS47" s="160"/>
      <c r="JT47" s="160"/>
      <c r="JU47" s="160"/>
      <c r="JV47" s="160"/>
      <c r="JW47" s="160"/>
      <c r="JX47" s="160"/>
      <c r="JY47" s="160"/>
      <c r="JZ47" s="160"/>
      <c r="KA47" s="160"/>
      <c r="KB47" s="160"/>
      <c r="KC47" s="160"/>
      <c r="KD47" s="160"/>
      <c r="KE47" s="160"/>
      <c r="KF47" s="160"/>
      <c r="KG47" s="160"/>
      <c r="KH47" s="160"/>
      <c r="KI47" s="160"/>
      <c r="KJ47" s="160"/>
      <c r="KK47" s="160"/>
      <c r="KL47" s="160"/>
      <c r="KM47" s="160"/>
      <c r="KN47" s="160"/>
      <c r="KO47" s="160"/>
      <c r="KP47" s="160"/>
      <c r="KQ47" s="160"/>
      <c r="KR47" s="160"/>
      <c r="KS47" s="160"/>
      <c r="KT47" s="160"/>
      <c r="KU47" s="160"/>
      <c r="KV47" s="160"/>
      <c r="KW47" s="160"/>
      <c r="KX47" s="160"/>
      <c r="KY47" s="160"/>
      <c r="KZ47" s="160"/>
      <c r="LA47" s="160"/>
      <c r="LB47" s="160"/>
      <c r="LC47" s="160"/>
      <c r="LD47" s="160"/>
      <c r="LE47" s="160"/>
      <c r="LF47" s="160"/>
      <c r="LG47" s="160"/>
      <c r="LH47" s="160"/>
      <c r="LI47" s="160"/>
      <c r="LJ47" s="160"/>
      <c r="LK47" s="160"/>
      <c r="LL47" s="160"/>
      <c r="LM47" s="160"/>
      <c r="LN47" s="160"/>
      <c r="LO47" s="160"/>
      <c r="LP47" s="160"/>
      <c r="LQ47" s="160"/>
      <c r="LR47" s="160"/>
      <c r="LS47" s="160"/>
      <c r="LT47" s="160"/>
      <c r="LU47" s="160"/>
      <c r="LV47" s="160"/>
      <c r="LW47" s="160"/>
      <c r="LX47" s="160"/>
      <c r="LY47" s="160"/>
      <c r="LZ47" s="160"/>
      <c r="MA47" s="160"/>
      <c r="MB47" s="160"/>
      <c r="MC47" s="160"/>
      <c r="MD47" s="160"/>
      <c r="ME47" s="160"/>
      <c r="MF47" s="160"/>
      <c r="MG47" s="160"/>
      <c r="MH47" s="160"/>
      <c r="MI47" s="160"/>
      <c r="MJ47" s="160"/>
      <c r="MK47" s="160"/>
      <c r="ML47" s="160"/>
      <c r="MM47" s="160"/>
      <c r="MN47" s="160"/>
      <c r="MO47" s="160"/>
    </row>
  </sheetData>
  <autoFilter ref="A5:MO31"/>
  <mergeCells count="196">
    <mergeCell ref="EB4:EC4"/>
    <mergeCell ref="HK4:HM4"/>
    <mergeCell ref="HN4:HP4"/>
    <mergeCell ref="HQ4:HS4"/>
    <mergeCell ref="HT4:HV4"/>
    <mergeCell ref="HW4:HY4"/>
    <mergeCell ref="A39:E39"/>
    <mergeCell ref="A40:E40"/>
    <mergeCell ref="C15:E15"/>
    <mergeCell ref="A36:E36"/>
    <mergeCell ref="A37:E37"/>
    <mergeCell ref="AF4:AG4"/>
    <mergeCell ref="C21:E21"/>
    <mergeCell ref="EF4:EG4"/>
    <mergeCell ref="BW4:BX4"/>
    <mergeCell ref="BY4:CA4"/>
    <mergeCell ref="BH4:BI4"/>
    <mergeCell ref="DD4:DE4"/>
    <mergeCell ref="CU4:CV4"/>
    <mergeCell ref="CW4:CX4"/>
    <mergeCell ref="CF4:CG4"/>
    <mergeCell ref="CO4:CP4"/>
    <mergeCell ref="DB4:DC4"/>
    <mergeCell ref="CH4:CI4"/>
    <mergeCell ref="A42:E42"/>
    <mergeCell ref="A44:E44"/>
    <mergeCell ref="A47:E47"/>
    <mergeCell ref="A25:E25"/>
    <mergeCell ref="A33:E33"/>
    <mergeCell ref="X4:Y4"/>
    <mergeCell ref="Z4:AA4"/>
    <mergeCell ref="AB4:AC4"/>
    <mergeCell ref="AD4:AE4"/>
    <mergeCell ref="C24:E24"/>
    <mergeCell ref="AZ2:BN3"/>
    <mergeCell ref="BO2:CA3"/>
    <mergeCell ref="CB2:CN3"/>
    <mergeCell ref="CO2:DA3"/>
    <mergeCell ref="DB2:DN3"/>
    <mergeCell ref="DQ4:DR4"/>
    <mergeCell ref="CY4:DA4"/>
    <mergeCell ref="AZ4:BA4"/>
    <mergeCell ref="BB4:BC4"/>
    <mergeCell ref="BD4:BE4"/>
    <mergeCell ref="BF4:BG4"/>
    <mergeCell ref="BJ4:BK4"/>
    <mergeCell ref="CQ4:CR4"/>
    <mergeCell ref="CS4:CT4"/>
    <mergeCell ref="CD4:CE4"/>
    <mergeCell ref="DO4:DP4"/>
    <mergeCell ref="CB4:CC4"/>
    <mergeCell ref="BL4:BN4"/>
    <mergeCell ref="CJ4:CK4"/>
    <mergeCell ref="CL4:CN4"/>
    <mergeCell ref="BO4:BP4"/>
    <mergeCell ref="BQ4:BR4"/>
    <mergeCell ref="BS4:BT4"/>
    <mergeCell ref="BU4:BV4"/>
    <mergeCell ref="KH4:KL4"/>
    <mergeCell ref="LK3:LL4"/>
    <mergeCell ref="LE3:LF4"/>
    <mergeCell ref="LG3:LH4"/>
    <mergeCell ref="LI3:LJ4"/>
    <mergeCell ref="ID4:IF4"/>
    <mergeCell ref="IZ4:JB4"/>
    <mergeCell ref="JC4:JD4"/>
    <mergeCell ref="LK2:LL2"/>
    <mergeCell ref="EN4:EO4"/>
    <mergeCell ref="EP4:EQ4"/>
    <mergeCell ref="ER4:ES4"/>
    <mergeCell ref="ET4:EU4"/>
    <mergeCell ref="EV4:EW4"/>
    <mergeCell ref="HH4:HJ4"/>
    <mergeCell ref="MJ4:MK4"/>
    <mergeCell ref="IA3:IM3"/>
    <mergeCell ref="IJ4:IM4"/>
    <mergeCell ref="KC4:KD4"/>
    <mergeCell ref="KC3:LD3"/>
    <mergeCell ref="LO3:LS4"/>
    <mergeCell ref="FV4:FW4"/>
    <mergeCell ref="FT4:FU4"/>
    <mergeCell ref="IR3:JB3"/>
    <mergeCell ref="IR4:IS4"/>
    <mergeCell ref="JV4:JW4"/>
    <mergeCell ref="JR4:JS4"/>
    <mergeCell ref="JT4:JU4"/>
    <mergeCell ref="JP4:JQ4"/>
    <mergeCell ref="EX4:EZ4"/>
    <mergeCell ref="FA4:FB4"/>
    <mergeCell ref="FC4:FD4"/>
    <mergeCell ref="FE4:FF4"/>
    <mergeCell ref="DF4:DG4"/>
    <mergeCell ref="DH4:DI4"/>
    <mergeCell ref="DJ4:DK4"/>
    <mergeCell ref="DL4:DN4"/>
    <mergeCell ref="GP4:GQ4"/>
    <mergeCell ref="GR4:GS4"/>
    <mergeCell ref="GT4:GU4"/>
    <mergeCell ref="FX4:FZ4"/>
    <mergeCell ref="GA4:GB4"/>
    <mergeCell ref="GC4:GD4"/>
    <mergeCell ref="GE4:GF4"/>
    <mergeCell ref="DS4:DT4"/>
    <mergeCell ref="DU4:DV4"/>
    <mergeCell ref="DW4:DX4"/>
    <mergeCell ref="DY4:EA4"/>
    <mergeCell ref="GN4:GO4"/>
    <mergeCell ref="ED4:EE4"/>
    <mergeCell ref="EH4:EI4"/>
    <mergeCell ref="EJ4:EK4"/>
    <mergeCell ref="EL4:EM4"/>
    <mergeCell ref="FI4:FJ4"/>
    <mergeCell ref="FK4:FM4"/>
    <mergeCell ref="FN4:FO4"/>
    <mergeCell ref="FP4:FQ4"/>
    <mergeCell ref="FG4:FH4"/>
    <mergeCell ref="GI4:GJ4"/>
    <mergeCell ref="GK4:GM4"/>
    <mergeCell ref="GG4:GH4"/>
    <mergeCell ref="IN3:IQ4"/>
    <mergeCell ref="GX4:GY4"/>
    <mergeCell ref="GZ4:HA4"/>
    <mergeCell ref="HE4:HG4"/>
    <mergeCell ref="IG4:II4"/>
    <mergeCell ref="GA2:GM3"/>
    <mergeCell ref="LM2:LY2"/>
    <mergeCell ref="LZ2:MO2"/>
    <mergeCell ref="KE4:KG4"/>
    <mergeCell ref="KM4:KO4"/>
    <mergeCell ref="LM3:LN4"/>
    <mergeCell ref="LY3:LY5"/>
    <mergeCell ref="LZ3:MO3"/>
    <mergeCell ref="ML4:MM4"/>
    <mergeCell ref="MN4:MO4"/>
    <mergeCell ref="KP4:KR4"/>
    <mergeCell ref="KS4:KU4"/>
    <mergeCell ref="KV4:KX4"/>
    <mergeCell ref="KY4:LD4"/>
    <mergeCell ref="LZ4:MA4"/>
    <mergeCell ref="MB4:MC4"/>
    <mergeCell ref="LT3:LV4"/>
    <mergeCell ref="LW3:LX4"/>
    <mergeCell ref="MD4:ME4"/>
    <mergeCell ref="MF4:MG4"/>
    <mergeCell ref="MH4:MI4"/>
    <mergeCell ref="LE2:LF2"/>
    <mergeCell ref="LG2:LH2"/>
    <mergeCell ref="LI2:LJ2"/>
    <mergeCell ref="KC2:LD2"/>
    <mergeCell ref="X2:AL3"/>
    <mergeCell ref="AQ4:AR4"/>
    <mergeCell ref="AS4:AT4"/>
    <mergeCell ref="A1:E2"/>
    <mergeCell ref="H1:L1"/>
    <mergeCell ref="M1:O1"/>
    <mergeCell ref="P1:Q1"/>
    <mergeCell ref="R1:U1"/>
    <mergeCell ref="V1:W4"/>
    <mergeCell ref="F2:G4"/>
    <mergeCell ref="H2:J4"/>
    <mergeCell ref="K2:L4"/>
    <mergeCell ref="M2:O4"/>
    <mergeCell ref="A3:E4"/>
    <mergeCell ref="P2:Q4"/>
    <mergeCell ref="R2:U4"/>
    <mergeCell ref="AM2:AY3"/>
    <mergeCell ref="AM4:AN4"/>
    <mergeCell ref="AO4:AP4"/>
    <mergeCell ref="AU4:AV4"/>
    <mergeCell ref="AW4:AY4"/>
    <mergeCell ref="AH4:AI4"/>
    <mergeCell ref="AJ4:AL4"/>
    <mergeCell ref="DO2:EA3"/>
    <mergeCell ref="EB2:EZ3"/>
    <mergeCell ref="HE2:IQ2"/>
    <mergeCell ref="HB4:HD4"/>
    <mergeCell ref="GN2:HD3"/>
    <mergeCell ref="HE3:HY3"/>
    <mergeCell ref="FA2:FM3"/>
    <mergeCell ref="FN2:FZ3"/>
    <mergeCell ref="JP1:KB3"/>
    <mergeCell ref="JX4:JY4"/>
    <mergeCell ref="JZ4:KB4"/>
    <mergeCell ref="JE4:JF4"/>
    <mergeCell ref="JG4:JH4"/>
    <mergeCell ref="JK4:JL4"/>
    <mergeCell ref="JM4:JO4"/>
    <mergeCell ref="JI4:JJ4"/>
    <mergeCell ref="IA4:IC4"/>
    <mergeCell ref="IT4:IU4"/>
    <mergeCell ref="IV4:IW4"/>
    <mergeCell ref="IX4:IY4"/>
    <mergeCell ref="JC3:JO3"/>
    <mergeCell ref="FR4:FS4"/>
    <mergeCell ref="GV4:GW4"/>
    <mergeCell ref="IR1:JO2"/>
  </mergeCells>
  <conditionalFormatting sqref="IR16 IR6:IY10">
    <cfRule type="cellIs" dxfId="96" priority="14" stopIfTrue="1" operator="between">
      <formula>"بنين"</formula>
      <formula>"بنين"</formula>
    </cfRule>
    <cfRule type="cellIs" dxfId="95" priority="15" stopIfTrue="1" operator="between">
      <formula>"بنات"</formula>
      <formula>"بنات"</formula>
    </cfRule>
    <cfRule type="cellIs" dxfId="94" priority="16" stopIfTrue="1" operator="between">
      <formula>"مختلطة"</formula>
      <formula>"مختلطة"</formula>
    </cfRule>
  </conditionalFormatting>
  <conditionalFormatting sqref="IR20">
    <cfRule type="cellIs" dxfId="93" priority="38" stopIfTrue="1" operator="between">
      <formula>"بنين"</formula>
      <formula>"بنين"</formula>
    </cfRule>
    <cfRule type="cellIs" dxfId="92" priority="39" stopIfTrue="1" operator="between">
      <formula>"بنات"</formula>
      <formula>"بنات"</formula>
    </cfRule>
    <cfRule type="cellIs" dxfId="91" priority="40" stopIfTrue="1" operator="between">
      <formula>"مختلطة"</formula>
      <formula>"مختلطة"</formula>
    </cfRule>
  </conditionalFormatting>
  <conditionalFormatting sqref="IR20">
    <cfRule type="cellIs" dxfId="90" priority="35" stopIfTrue="1" operator="between">
      <formula>"بنين"</formula>
      <formula>"بنين"</formula>
    </cfRule>
    <cfRule type="cellIs" dxfId="89" priority="36" stopIfTrue="1" operator="between">
      <formula>"بنات"</formula>
      <formula>"بنات"</formula>
    </cfRule>
    <cfRule type="cellIs" dxfId="88" priority="37" stopIfTrue="1" operator="between">
      <formula>"مختلطة"</formula>
      <formula>"مختلطة"</formula>
    </cfRule>
  </conditionalFormatting>
  <conditionalFormatting sqref="IR20">
    <cfRule type="cellIs" dxfId="87" priority="32" stopIfTrue="1" operator="between">
      <formula>"بنين"</formula>
      <formula>"بنين"</formula>
    </cfRule>
    <cfRule type="cellIs" dxfId="86" priority="33" stopIfTrue="1" operator="between">
      <formula>"بنات"</formula>
      <formula>"بنات"</formula>
    </cfRule>
    <cfRule type="cellIs" dxfId="85" priority="34" stopIfTrue="1" operator="between">
      <formula>"مختلطة"</formula>
      <formula>"مختلطة"</formula>
    </cfRule>
  </conditionalFormatting>
  <conditionalFormatting sqref="IR18">
    <cfRule type="cellIs" dxfId="84" priority="29" stopIfTrue="1" operator="between">
      <formula>"بنين"</formula>
      <formula>"بنين"</formula>
    </cfRule>
    <cfRule type="cellIs" dxfId="83" priority="30" stopIfTrue="1" operator="between">
      <formula>"بنات"</formula>
      <formula>"بنات"</formula>
    </cfRule>
    <cfRule type="cellIs" dxfId="82" priority="31" stopIfTrue="1" operator="between">
      <formula>"مختلطة"</formula>
      <formula>"مختلطة"</formula>
    </cfRule>
  </conditionalFormatting>
  <conditionalFormatting sqref="IR18">
    <cfRule type="cellIs" dxfId="81" priority="26" stopIfTrue="1" operator="between">
      <formula>"بنين"</formula>
      <formula>"بنين"</formula>
    </cfRule>
    <cfRule type="cellIs" dxfId="80" priority="27" stopIfTrue="1" operator="between">
      <formula>"بنات"</formula>
      <formula>"بنات"</formula>
    </cfRule>
    <cfRule type="cellIs" dxfId="79" priority="28" stopIfTrue="1" operator="between">
      <formula>"مختلطة"</formula>
      <formula>"مختلطة"</formula>
    </cfRule>
  </conditionalFormatting>
  <conditionalFormatting sqref="IR18">
    <cfRule type="cellIs" dxfId="78" priority="23" stopIfTrue="1" operator="between">
      <formula>"بنين"</formula>
      <formula>"بنين"</formula>
    </cfRule>
    <cfRule type="cellIs" dxfId="77" priority="24" stopIfTrue="1" operator="between">
      <formula>"بنات"</formula>
      <formula>"بنات"</formula>
    </cfRule>
    <cfRule type="cellIs" dxfId="76" priority="25" stopIfTrue="1" operator="between">
      <formula>"مختلطة"</formula>
      <formula>"مختلطة"</formula>
    </cfRule>
  </conditionalFormatting>
  <conditionalFormatting sqref="IR16">
    <cfRule type="cellIs" dxfId="75" priority="20" stopIfTrue="1" operator="between">
      <formula>"بنين"</formula>
      <formula>"بنين"</formula>
    </cfRule>
    <cfRule type="cellIs" dxfId="74" priority="21" stopIfTrue="1" operator="between">
      <formula>"بنات"</formula>
      <formula>"بنات"</formula>
    </cfRule>
    <cfRule type="cellIs" dxfId="73" priority="22" stopIfTrue="1" operator="between">
      <formula>"مختلطة"</formula>
      <formula>"مختلطة"</formula>
    </cfRule>
  </conditionalFormatting>
  <conditionalFormatting sqref="IR16">
    <cfRule type="cellIs" dxfId="72" priority="17" stopIfTrue="1" operator="between">
      <formula>"بنين"</formula>
      <formula>"بنين"</formula>
    </cfRule>
    <cfRule type="cellIs" dxfId="71" priority="18" stopIfTrue="1" operator="between">
      <formula>"بنات"</formula>
      <formula>"بنات"</formula>
    </cfRule>
    <cfRule type="cellIs" dxfId="70" priority="19" stopIfTrue="1" operator="between">
      <formula>"مختلطة"</formula>
      <formula>"مختلطة"</formula>
    </cfRule>
  </conditionalFormatting>
  <conditionalFormatting sqref="IR11:IY11">
    <cfRule type="cellIs" dxfId="69" priority="4" stopIfTrue="1" operator="between">
      <formula>"بنين"</formula>
      <formula>"بنين"</formula>
    </cfRule>
    <cfRule type="cellIs" dxfId="68" priority="5" stopIfTrue="1" operator="between">
      <formula>"بنات"</formula>
      <formula>"بنات"</formula>
    </cfRule>
    <cfRule type="cellIs" dxfId="67" priority="6" stopIfTrue="1" operator="between">
      <formula>"مختلطة"</formula>
      <formula>"مختلطة"</formula>
    </cfRule>
  </conditionalFormatting>
  <conditionalFormatting sqref="IR12:IY14">
    <cfRule type="cellIs" dxfId="66" priority="1" stopIfTrue="1" operator="between">
      <formula>"بنين"</formula>
      <formula>"بنين"</formula>
    </cfRule>
    <cfRule type="cellIs" dxfId="65" priority="2" stopIfTrue="1" operator="between">
      <formula>"بنات"</formula>
      <formula>"بنات"</formula>
    </cfRule>
    <cfRule type="cellIs" dxfId="64" priority="3" stopIfTrue="1" operator="between">
      <formula>"مختلطة"</formula>
      <formula>"مختلطة"</formula>
    </cfRule>
  </conditionalFormatting>
  <pageMargins left="0.7" right="0.7" top="0.75" bottom="0.75" header="0.3" footer="0.3"/>
  <pageSetup paperSize="9" scale="33" orientation="portrait" verticalDpi="0" r:id="rId1"/>
  <colBreaks count="7" manualBreakCount="7">
    <brk id="23" max="1048575" man="1"/>
    <brk id="164" max="25" man="1"/>
    <brk id="195" max="1048575" man="1"/>
    <brk id="212" max="1048575" man="1"/>
    <brk id="234" max="1048575" man="1"/>
    <brk id="251" max="1048575" man="1"/>
    <brk id="337" max="1048575" man="1"/>
  </colBreaks>
  <ignoredErrors>
    <ignoredError sqref="KO10 LY8 LY26:LY30" formulaRange="1"/>
    <ignoredError sqref="P3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D30"/>
  <sheetViews>
    <sheetView rightToLeft="1" topLeftCell="B1" zoomScale="85" zoomScaleNormal="85" workbookViewId="0">
      <pane xSplit="4" ySplit="5" topLeftCell="F6" activePane="bottomRight" state="frozen"/>
      <selection activeCell="B1" sqref="B1"/>
      <selection pane="topRight" activeCell="F1" sqref="F1"/>
      <selection pane="bottomLeft" activeCell="B6" sqref="B6"/>
      <selection pane="bottomRight" activeCell="D11" sqref="D11"/>
    </sheetView>
  </sheetViews>
  <sheetFormatPr defaultRowHeight="18" customHeight="1" x14ac:dyDescent="0.2"/>
  <cols>
    <col min="1" max="1" width="6.25" bestFit="1" customWidth="1"/>
    <col min="2" max="2" width="6" bestFit="1" customWidth="1"/>
    <col min="3" max="3" width="4.875" customWidth="1"/>
    <col min="4" max="4" width="12.875" customWidth="1"/>
    <col min="5" max="5" width="21.75" bestFit="1" customWidth="1"/>
    <col min="6" max="14" width="5.125" customWidth="1"/>
    <col min="15" max="15" width="6.25" customWidth="1"/>
    <col min="16" max="17" width="5.125" customWidth="1"/>
    <col min="18" max="18" width="7.75" customWidth="1"/>
    <col min="19" max="19" width="6.25" customWidth="1"/>
    <col min="20" max="20" width="6.75" customWidth="1"/>
    <col min="21" max="21" width="7.5" customWidth="1"/>
    <col min="22" max="22" width="6.5" customWidth="1"/>
    <col min="23" max="23" width="6.25" customWidth="1"/>
    <col min="24" max="155" width="5.125" customWidth="1"/>
    <col min="156" max="156" width="7.25" customWidth="1"/>
    <col min="157" max="209" width="5.125" customWidth="1"/>
    <col min="210" max="210" width="6.375" customWidth="1"/>
    <col min="211" max="211" width="6.125" customWidth="1"/>
    <col min="212" max="212" width="7" customWidth="1"/>
    <col min="213" max="254" width="5.125" customWidth="1"/>
    <col min="255" max="276" width="5.625" style="24" customWidth="1"/>
    <col min="277" max="288" width="5.125" customWidth="1"/>
    <col min="289" max="289" width="7.125" customWidth="1"/>
    <col min="290" max="302" width="5.125" customWidth="1"/>
  </cols>
  <sheetData>
    <row r="1" spans="1:368" s="238" customFormat="1" ht="18.75" thickBot="1" x14ac:dyDescent="0.25">
      <c r="A1" s="282" t="s">
        <v>0</v>
      </c>
      <c r="B1" s="283"/>
      <c r="C1" s="283"/>
      <c r="D1" s="283"/>
      <c r="E1" s="284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9" t="s">
        <v>1</v>
      </c>
      <c r="W1" s="290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6"/>
      <c r="AO1" s="235"/>
      <c r="AP1" s="237"/>
      <c r="AQ1" s="237"/>
      <c r="AR1" s="237"/>
      <c r="AS1" s="237"/>
      <c r="AT1" s="237"/>
      <c r="AU1" s="237"/>
      <c r="AV1" s="237"/>
      <c r="AW1" s="237"/>
      <c r="AX1" s="237"/>
      <c r="AY1" s="237"/>
      <c r="AZ1" s="237"/>
      <c r="BA1" s="237"/>
      <c r="BB1" s="237"/>
      <c r="BC1" s="236"/>
      <c r="BD1" s="235"/>
      <c r="BE1" s="237"/>
      <c r="BF1" s="237"/>
      <c r="BG1" s="237"/>
      <c r="BH1" s="237"/>
      <c r="BI1" s="237"/>
      <c r="BJ1" s="237"/>
      <c r="BK1" s="237"/>
      <c r="BL1" s="237"/>
      <c r="BM1" s="237"/>
      <c r="BN1" s="237"/>
      <c r="BO1" s="237"/>
      <c r="BP1" s="237"/>
      <c r="BQ1" s="237"/>
      <c r="BR1" s="236"/>
      <c r="BS1" s="235"/>
      <c r="BT1" s="237"/>
      <c r="BU1" s="237"/>
      <c r="BV1" s="237"/>
      <c r="BW1" s="237"/>
      <c r="BX1" s="237"/>
      <c r="BY1" s="237"/>
      <c r="BZ1" s="237"/>
      <c r="CA1" s="237"/>
      <c r="CB1" s="237"/>
      <c r="CC1" s="237"/>
      <c r="CD1" s="237"/>
      <c r="CE1" s="236"/>
      <c r="CF1" s="235"/>
      <c r="CG1" s="237"/>
      <c r="CH1" s="237"/>
      <c r="CI1" s="237"/>
      <c r="CJ1" s="237"/>
      <c r="CK1" s="237"/>
      <c r="CL1" s="237"/>
      <c r="CM1" s="237"/>
      <c r="CN1" s="237"/>
      <c r="CO1" s="237"/>
      <c r="CP1" s="237"/>
      <c r="CQ1" s="237"/>
      <c r="CR1" s="236"/>
      <c r="CS1" s="235"/>
      <c r="CT1" s="237"/>
      <c r="CU1" s="237"/>
      <c r="CV1" s="237"/>
      <c r="CW1" s="237"/>
      <c r="CX1" s="237"/>
      <c r="CY1" s="237"/>
      <c r="CZ1" s="237"/>
      <c r="DA1" s="237"/>
      <c r="DB1" s="237"/>
      <c r="DC1" s="237"/>
      <c r="DD1" s="237"/>
      <c r="DE1" s="236"/>
      <c r="DF1" s="235"/>
      <c r="DG1" s="237"/>
      <c r="DH1" s="237"/>
      <c r="DI1" s="237"/>
      <c r="DJ1" s="237"/>
      <c r="DK1" s="237"/>
      <c r="DL1" s="237"/>
      <c r="DM1" s="237"/>
      <c r="DN1" s="237"/>
      <c r="DO1" s="237"/>
      <c r="DP1" s="237"/>
      <c r="DQ1" s="237"/>
      <c r="DR1" s="236"/>
      <c r="DS1" s="235"/>
      <c r="DT1" s="237"/>
      <c r="DU1" s="236"/>
      <c r="DV1" s="235"/>
      <c r="DW1" s="237"/>
      <c r="DX1" s="237"/>
      <c r="DY1" s="237"/>
      <c r="DZ1" s="237"/>
      <c r="EA1" s="237"/>
      <c r="EB1" s="237"/>
      <c r="EC1" s="237"/>
      <c r="ED1" s="237"/>
      <c r="EE1" s="237"/>
      <c r="EF1" s="237"/>
      <c r="EG1" s="237"/>
      <c r="EH1" s="237"/>
      <c r="EI1" s="237"/>
      <c r="EJ1" s="237"/>
      <c r="EK1" s="237"/>
      <c r="EL1" s="237"/>
      <c r="EM1" s="237"/>
      <c r="EN1" s="237"/>
      <c r="EO1" s="237"/>
      <c r="EP1" s="237"/>
      <c r="EQ1" s="237"/>
      <c r="ER1" s="237"/>
      <c r="ES1" s="237"/>
      <c r="ET1" s="237"/>
      <c r="EU1" s="237"/>
      <c r="EV1" s="237"/>
      <c r="EW1" s="237"/>
      <c r="EX1" s="237"/>
      <c r="EY1" s="236"/>
      <c r="EZ1" s="235"/>
      <c r="FA1" s="237"/>
      <c r="FB1" s="237"/>
      <c r="FC1" s="237"/>
      <c r="FD1" s="237"/>
      <c r="FE1" s="237"/>
      <c r="FF1" s="237"/>
      <c r="FG1" s="237"/>
      <c r="FH1" s="237"/>
      <c r="FI1" s="237"/>
      <c r="FJ1" s="237"/>
      <c r="FK1" s="237"/>
      <c r="FL1" s="237"/>
      <c r="FM1" s="237"/>
      <c r="FN1" s="236"/>
      <c r="FO1" s="235"/>
      <c r="FP1" s="237"/>
      <c r="FQ1" s="237"/>
      <c r="FR1" s="237"/>
      <c r="FS1" s="237"/>
      <c r="FT1" s="237"/>
      <c r="FU1" s="237"/>
      <c r="FV1" s="237"/>
      <c r="FW1" s="237"/>
      <c r="FX1" s="237"/>
      <c r="FY1" s="237"/>
      <c r="FZ1" s="237"/>
      <c r="GA1" s="237"/>
      <c r="GB1" s="237"/>
      <c r="GC1" s="236"/>
      <c r="GD1" s="235"/>
      <c r="GE1" s="237"/>
      <c r="GF1" s="237"/>
      <c r="GG1" s="237"/>
      <c r="GH1" s="237"/>
      <c r="GI1" s="237"/>
      <c r="GJ1" s="237"/>
      <c r="GK1" s="237"/>
      <c r="GL1" s="237"/>
      <c r="GM1" s="237"/>
      <c r="GN1" s="237"/>
      <c r="GO1" s="237"/>
      <c r="GP1" s="237"/>
      <c r="GQ1" s="237"/>
      <c r="GR1" s="237"/>
      <c r="GS1" s="237"/>
      <c r="GT1" s="237"/>
      <c r="GU1" s="237"/>
      <c r="GV1" s="237"/>
      <c r="GW1" s="237"/>
      <c r="GX1" s="237"/>
      <c r="GY1" s="236"/>
      <c r="GZ1" s="235"/>
      <c r="HA1" s="237"/>
      <c r="HB1" s="237"/>
      <c r="HC1" s="237"/>
      <c r="HD1" s="237"/>
      <c r="HE1" s="237"/>
      <c r="HF1" s="237"/>
      <c r="HG1" s="237"/>
      <c r="HH1" s="237"/>
      <c r="HI1" s="237"/>
      <c r="HJ1" s="236"/>
      <c r="HK1" s="236"/>
      <c r="HL1" s="236"/>
      <c r="HM1" s="236"/>
      <c r="HN1" s="237"/>
      <c r="HO1" s="237"/>
      <c r="HP1" s="237"/>
      <c r="HQ1" s="237"/>
      <c r="HR1" s="237"/>
      <c r="HS1" s="237"/>
      <c r="HT1" s="237"/>
      <c r="HU1" s="237"/>
      <c r="HV1" s="237"/>
      <c r="HW1" s="237"/>
      <c r="HX1" s="237"/>
      <c r="HY1" s="237"/>
      <c r="HZ1" s="237"/>
      <c r="IA1" s="237"/>
      <c r="IB1" s="237"/>
      <c r="IC1" s="237"/>
      <c r="ID1" s="237"/>
      <c r="IE1" s="237"/>
      <c r="IF1" s="237"/>
      <c r="IG1" s="236"/>
      <c r="IH1" s="235"/>
      <c r="II1" s="237"/>
      <c r="IJ1" s="235"/>
      <c r="IK1" s="237"/>
      <c r="IL1" s="237"/>
      <c r="IM1" s="237"/>
      <c r="IN1" s="237"/>
      <c r="IO1" s="237"/>
      <c r="IP1" s="237"/>
      <c r="IQ1" s="237"/>
      <c r="IR1" s="273" t="s">
        <v>298</v>
      </c>
      <c r="IS1" s="274"/>
      <c r="IT1" s="274"/>
      <c r="IU1" s="274"/>
      <c r="IV1" s="274"/>
      <c r="IW1" s="274"/>
      <c r="IX1" s="274"/>
      <c r="IY1" s="274"/>
      <c r="IZ1" s="274"/>
      <c r="JA1" s="274"/>
      <c r="JB1" s="274"/>
      <c r="JC1" s="274"/>
      <c r="JD1" s="274"/>
      <c r="JE1" s="274"/>
      <c r="JF1" s="274"/>
      <c r="JG1" s="274"/>
      <c r="JH1" s="274"/>
      <c r="JI1" s="274"/>
      <c r="JJ1" s="274"/>
      <c r="JK1" s="274"/>
      <c r="JL1" s="274"/>
      <c r="JM1" s="274"/>
      <c r="JN1" s="274"/>
      <c r="JO1" s="275"/>
      <c r="JP1" s="258" t="s">
        <v>167</v>
      </c>
      <c r="JQ1" s="259"/>
      <c r="JR1" s="259"/>
      <c r="JS1" s="259"/>
      <c r="JT1" s="259"/>
      <c r="JU1" s="259"/>
      <c r="JV1" s="259"/>
      <c r="JW1" s="259"/>
      <c r="JX1" s="259"/>
      <c r="JY1" s="259"/>
      <c r="JZ1" s="259"/>
      <c r="KA1" s="259"/>
      <c r="KB1" s="260"/>
      <c r="KC1" s="188"/>
      <c r="KD1" s="188"/>
      <c r="KE1" s="188"/>
      <c r="KF1" s="188"/>
      <c r="KG1" s="188"/>
      <c r="KH1" s="188"/>
      <c r="KI1" s="188"/>
      <c r="KJ1" s="188"/>
      <c r="KK1" s="188"/>
      <c r="KL1" s="188"/>
      <c r="KM1" s="188"/>
      <c r="KN1" s="188"/>
      <c r="KO1" s="188"/>
      <c r="KP1" s="188"/>
      <c r="KQ1" s="188"/>
      <c r="KR1" s="188"/>
      <c r="KS1" s="188"/>
      <c r="KT1" s="188"/>
      <c r="KU1" s="188"/>
      <c r="KV1" s="188"/>
      <c r="KW1" s="188"/>
      <c r="KX1" s="188"/>
      <c r="KY1" s="188"/>
      <c r="KZ1" s="188"/>
      <c r="LA1" s="188"/>
      <c r="LB1" s="188"/>
      <c r="LC1" s="188"/>
      <c r="LD1" s="188"/>
      <c r="LE1" s="188"/>
      <c r="LF1" s="188"/>
      <c r="LG1" s="188"/>
      <c r="LH1" s="188"/>
      <c r="LI1" s="188"/>
      <c r="LJ1" s="188"/>
      <c r="LK1" s="188"/>
      <c r="LL1" s="188"/>
      <c r="LM1" s="188"/>
      <c r="LN1" s="188"/>
      <c r="LO1" s="188"/>
      <c r="LP1" s="188"/>
      <c r="LQ1" s="188"/>
      <c r="LR1" s="188"/>
      <c r="LS1" s="188"/>
      <c r="LT1" s="188"/>
      <c r="LU1" s="188"/>
      <c r="LV1" s="188"/>
      <c r="LW1" s="188"/>
      <c r="LX1" s="188"/>
      <c r="LY1" s="188"/>
      <c r="LZ1" s="188"/>
      <c r="MA1" s="188"/>
      <c r="MB1" s="188"/>
      <c r="MC1" s="188"/>
      <c r="MD1" s="188"/>
      <c r="ME1" s="188"/>
      <c r="MF1" s="188"/>
      <c r="MG1" s="188"/>
      <c r="MH1" s="188"/>
      <c r="MI1" s="188"/>
      <c r="MJ1" s="188"/>
      <c r="MK1" s="188"/>
      <c r="ML1" s="188"/>
      <c r="MM1" s="188"/>
      <c r="MN1" s="188"/>
      <c r="MO1" s="188"/>
    </row>
    <row r="2" spans="1:368" s="238" customFormat="1" ht="18.75" thickBot="1" x14ac:dyDescent="0.3">
      <c r="A2" s="285"/>
      <c r="B2" s="286"/>
      <c r="C2" s="286"/>
      <c r="D2" s="286"/>
      <c r="E2" s="287"/>
      <c r="F2" s="295" t="s">
        <v>2</v>
      </c>
      <c r="G2" s="296"/>
      <c r="H2" s="301" t="s">
        <v>3</v>
      </c>
      <c r="I2" s="301"/>
      <c r="J2" s="296"/>
      <c r="K2" s="295" t="s">
        <v>4</v>
      </c>
      <c r="L2" s="296"/>
      <c r="M2" s="295" t="s">
        <v>5</v>
      </c>
      <c r="N2" s="301"/>
      <c r="O2" s="301"/>
      <c r="P2" s="295" t="s">
        <v>6</v>
      </c>
      <c r="Q2" s="296"/>
      <c r="R2" s="295" t="s">
        <v>7</v>
      </c>
      <c r="S2" s="301"/>
      <c r="T2" s="301"/>
      <c r="U2" s="301"/>
      <c r="V2" s="291"/>
      <c r="W2" s="292"/>
      <c r="X2" s="279" t="s">
        <v>122</v>
      </c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1"/>
      <c r="AM2" s="309" t="s">
        <v>129</v>
      </c>
      <c r="AN2" s="310"/>
      <c r="AO2" s="310"/>
      <c r="AP2" s="310"/>
      <c r="AQ2" s="310"/>
      <c r="AR2" s="310"/>
      <c r="AS2" s="310"/>
      <c r="AT2" s="310"/>
      <c r="AU2" s="310"/>
      <c r="AV2" s="310"/>
      <c r="AW2" s="310"/>
      <c r="AX2" s="310"/>
      <c r="AY2" s="311"/>
      <c r="AZ2" s="309" t="s">
        <v>135</v>
      </c>
      <c r="BA2" s="310"/>
      <c r="BB2" s="310"/>
      <c r="BC2" s="310"/>
      <c r="BD2" s="310"/>
      <c r="BE2" s="310"/>
      <c r="BF2" s="310"/>
      <c r="BG2" s="310"/>
      <c r="BH2" s="310"/>
      <c r="BI2" s="310"/>
      <c r="BJ2" s="310"/>
      <c r="BK2" s="310"/>
      <c r="BL2" s="310"/>
      <c r="BM2" s="310"/>
      <c r="BN2" s="347"/>
      <c r="BO2" s="337" t="s">
        <v>136</v>
      </c>
      <c r="BP2" s="310"/>
      <c r="BQ2" s="310"/>
      <c r="BR2" s="310"/>
      <c r="BS2" s="310"/>
      <c r="BT2" s="310"/>
      <c r="BU2" s="310"/>
      <c r="BV2" s="310"/>
      <c r="BW2" s="310"/>
      <c r="BX2" s="310"/>
      <c r="BY2" s="310"/>
      <c r="BZ2" s="310"/>
      <c r="CA2" s="347"/>
      <c r="CB2" s="337" t="s">
        <v>138</v>
      </c>
      <c r="CC2" s="310"/>
      <c r="CD2" s="310"/>
      <c r="CE2" s="310"/>
      <c r="CF2" s="310"/>
      <c r="CG2" s="310"/>
      <c r="CH2" s="310"/>
      <c r="CI2" s="310"/>
      <c r="CJ2" s="310"/>
      <c r="CK2" s="310"/>
      <c r="CL2" s="310"/>
      <c r="CM2" s="310"/>
      <c r="CN2" s="347"/>
      <c r="CO2" s="349" t="s">
        <v>139</v>
      </c>
      <c r="CP2" s="244"/>
      <c r="CQ2" s="244"/>
      <c r="CR2" s="244"/>
      <c r="CS2" s="244"/>
      <c r="CT2" s="244"/>
      <c r="CU2" s="244"/>
      <c r="CV2" s="244"/>
      <c r="CW2" s="244"/>
      <c r="CX2" s="244"/>
      <c r="CY2" s="244"/>
      <c r="CZ2" s="244"/>
      <c r="DA2" s="350"/>
      <c r="DB2" s="349" t="s">
        <v>140</v>
      </c>
      <c r="DC2" s="244"/>
      <c r="DD2" s="244"/>
      <c r="DE2" s="244"/>
      <c r="DF2" s="244"/>
      <c r="DG2" s="244"/>
      <c r="DH2" s="244"/>
      <c r="DI2" s="244"/>
      <c r="DJ2" s="244"/>
      <c r="DK2" s="244"/>
      <c r="DL2" s="244"/>
      <c r="DM2" s="244"/>
      <c r="DN2" s="245"/>
      <c r="DO2" s="243" t="s">
        <v>141</v>
      </c>
      <c r="DP2" s="244"/>
      <c r="DQ2" s="244"/>
      <c r="DR2" s="244"/>
      <c r="DS2" s="244"/>
      <c r="DT2" s="244"/>
      <c r="DU2" s="244"/>
      <c r="DV2" s="244"/>
      <c r="DW2" s="244"/>
      <c r="DX2" s="244"/>
      <c r="DY2" s="244"/>
      <c r="DZ2" s="244"/>
      <c r="EA2" s="245"/>
      <c r="EB2" s="243" t="s">
        <v>142</v>
      </c>
      <c r="EC2" s="244"/>
      <c r="ED2" s="244"/>
      <c r="EE2" s="244"/>
      <c r="EF2" s="244"/>
      <c r="EG2" s="244"/>
      <c r="EH2" s="244"/>
      <c r="EI2" s="244"/>
      <c r="EJ2" s="244"/>
      <c r="EK2" s="244"/>
      <c r="EL2" s="244"/>
      <c r="EM2" s="244"/>
      <c r="EN2" s="244"/>
      <c r="EO2" s="244"/>
      <c r="EP2" s="244"/>
      <c r="EQ2" s="244"/>
      <c r="ER2" s="244"/>
      <c r="ES2" s="244"/>
      <c r="ET2" s="244"/>
      <c r="EU2" s="244"/>
      <c r="EV2" s="244"/>
      <c r="EW2" s="244"/>
      <c r="EX2" s="244"/>
      <c r="EY2" s="244"/>
      <c r="EZ2" s="244"/>
      <c r="FA2" s="256" t="s">
        <v>143</v>
      </c>
      <c r="FB2" s="244"/>
      <c r="FC2" s="244"/>
      <c r="FD2" s="244"/>
      <c r="FE2" s="244"/>
      <c r="FF2" s="244"/>
      <c r="FG2" s="244"/>
      <c r="FH2" s="244"/>
      <c r="FI2" s="244"/>
      <c r="FJ2" s="244"/>
      <c r="FK2" s="244"/>
      <c r="FL2" s="244"/>
      <c r="FM2" s="245"/>
      <c r="FN2" s="243" t="s">
        <v>144</v>
      </c>
      <c r="FO2" s="244"/>
      <c r="FP2" s="244"/>
      <c r="FQ2" s="244"/>
      <c r="FR2" s="244"/>
      <c r="FS2" s="244"/>
      <c r="FT2" s="244"/>
      <c r="FU2" s="244"/>
      <c r="FV2" s="244"/>
      <c r="FW2" s="244"/>
      <c r="FX2" s="244"/>
      <c r="FY2" s="244"/>
      <c r="FZ2" s="245"/>
      <c r="GA2" s="243" t="s">
        <v>145</v>
      </c>
      <c r="GB2" s="244"/>
      <c r="GC2" s="244"/>
      <c r="GD2" s="244"/>
      <c r="GE2" s="244"/>
      <c r="GF2" s="244"/>
      <c r="GG2" s="244"/>
      <c r="GH2" s="244"/>
      <c r="GI2" s="244"/>
      <c r="GJ2" s="244"/>
      <c r="GK2" s="244"/>
      <c r="GL2" s="244"/>
      <c r="GM2" s="245"/>
      <c r="GN2" s="243" t="s">
        <v>146</v>
      </c>
      <c r="GO2" s="244"/>
      <c r="GP2" s="244"/>
      <c r="GQ2" s="244"/>
      <c r="GR2" s="244"/>
      <c r="GS2" s="244"/>
      <c r="GT2" s="244"/>
      <c r="GU2" s="244"/>
      <c r="GV2" s="244"/>
      <c r="GW2" s="244"/>
      <c r="GX2" s="244"/>
      <c r="GY2" s="244"/>
      <c r="GZ2" s="244"/>
      <c r="HA2" s="244"/>
      <c r="HB2" s="244"/>
      <c r="HC2" s="244"/>
      <c r="HD2" s="245"/>
      <c r="HE2" s="249" t="s">
        <v>8</v>
      </c>
      <c r="HF2" s="250"/>
      <c r="HG2" s="250"/>
      <c r="HH2" s="250"/>
      <c r="HI2" s="250"/>
      <c r="HJ2" s="250"/>
      <c r="HK2" s="250"/>
      <c r="HL2" s="250"/>
      <c r="HM2" s="250"/>
      <c r="HN2" s="250"/>
      <c r="HO2" s="250"/>
      <c r="HP2" s="250"/>
      <c r="HQ2" s="250"/>
      <c r="HR2" s="250"/>
      <c r="HS2" s="250"/>
      <c r="HT2" s="250"/>
      <c r="HU2" s="250"/>
      <c r="HV2" s="250"/>
      <c r="HW2" s="250"/>
      <c r="HX2" s="250"/>
      <c r="HY2" s="250"/>
      <c r="HZ2" s="250"/>
      <c r="IA2" s="250"/>
      <c r="IB2" s="250"/>
      <c r="IC2" s="250"/>
      <c r="ID2" s="250"/>
      <c r="IE2" s="250"/>
      <c r="IF2" s="250"/>
      <c r="IG2" s="250"/>
      <c r="IH2" s="250"/>
      <c r="II2" s="250"/>
      <c r="IJ2" s="250"/>
      <c r="IK2" s="250"/>
      <c r="IL2" s="250"/>
      <c r="IM2" s="250"/>
      <c r="IN2" s="250"/>
      <c r="IO2" s="250"/>
      <c r="IP2" s="250"/>
      <c r="IQ2" s="251"/>
      <c r="IR2" s="276"/>
      <c r="IS2" s="277"/>
      <c r="IT2" s="277"/>
      <c r="IU2" s="277"/>
      <c r="IV2" s="277"/>
      <c r="IW2" s="277"/>
      <c r="IX2" s="277"/>
      <c r="IY2" s="277"/>
      <c r="IZ2" s="277"/>
      <c r="JA2" s="277"/>
      <c r="JB2" s="277"/>
      <c r="JC2" s="277"/>
      <c r="JD2" s="277"/>
      <c r="JE2" s="277"/>
      <c r="JF2" s="277"/>
      <c r="JG2" s="277"/>
      <c r="JH2" s="277"/>
      <c r="JI2" s="277"/>
      <c r="JJ2" s="277"/>
      <c r="JK2" s="277"/>
      <c r="JL2" s="277"/>
      <c r="JM2" s="277"/>
      <c r="JN2" s="277"/>
      <c r="JO2" s="278"/>
      <c r="JP2" s="261"/>
      <c r="JQ2" s="262"/>
      <c r="JR2" s="262"/>
      <c r="JS2" s="262"/>
      <c r="JT2" s="262"/>
      <c r="JU2" s="262"/>
      <c r="JV2" s="262"/>
      <c r="JW2" s="262"/>
      <c r="JX2" s="262"/>
      <c r="JY2" s="262"/>
      <c r="JZ2" s="262"/>
      <c r="KA2" s="262"/>
      <c r="KB2" s="263"/>
      <c r="KC2" s="318" t="s">
        <v>9</v>
      </c>
      <c r="KD2" s="319"/>
      <c r="KE2" s="319"/>
      <c r="KF2" s="319"/>
      <c r="KG2" s="319"/>
      <c r="KH2" s="319"/>
      <c r="KI2" s="319"/>
      <c r="KJ2" s="319"/>
      <c r="KK2" s="319"/>
      <c r="KL2" s="319"/>
      <c r="KM2" s="319"/>
      <c r="KN2" s="319"/>
      <c r="KO2" s="319"/>
      <c r="KP2" s="319"/>
      <c r="KQ2" s="319"/>
      <c r="KR2" s="319"/>
      <c r="KS2" s="319"/>
      <c r="KT2" s="319"/>
      <c r="KU2" s="319"/>
      <c r="KV2" s="319"/>
      <c r="KW2" s="319"/>
      <c r="KX2" s="319"/>
      <c r="KY2" s="319"/>
      <c r="KZ2" s="319"/>
      <c r="LA2" s="319"/>
      <c r="LB2" s="319"/>
      <c r="LC2" s="319"/>
      <c r="LD2" s="320"/>
      <c r="LE2" s="336"/>
      <c r="LF2" s="336"/>
      <c r="LG2" s="336"/>
      <c r="LH2" s="336"/>
      <c r="LI2" s="336"/>
      <c r="LJ2" s="336"/>
      <c r="LK2" s="336"/>
      <c r="LL2" s="336"/>
      <c r="LM2" s="318" t="s">
        <v>10</v>
      </c>
      <c r="LN2" s="319"/>
      <c r="LO2" s="319"/>
      <c r="LP2" s="319"/>
      <c r="LQ2" s="319"/>
      <c r="LR2" s="319"/>
      <c r="LS2" s="319"/>
      <c r="LT2" s="319"/>
      <c r="LU2" s="319"/>
      <c r="LV2" s="319"/>
      <c r="LW2" s="319"/>
      <c r="LX2" s="319"/>
      <c r="LY2" s="320"/>
      <c r="LZ2" s="321" t="s">
        <v>11</v>
      </c>
      <c r="MA2" s="322"/>
      <c r="MB2" s="322"/>
      <c r="MC2" s="322"/>
      <c r="MD2" s="322"/>
      <c r="ME2" s="322"/>
      <c r="MF2" s="322"/>
      <c r="MG2" s="322"/>
      <c r="MH2" s="322"/>
      <c r="MI2" s="322"/>
      <c r="MJ2" s="322"/>
      <c r="MK2" s="322"/>
      <c r="ML2" s="322"/>
      <c r="MM2" s="322"/>
      <c r="MN2" s="322"/>
      <c r="MO2" s="323"/>
    </row>
    <row r="3" spans="1:368" s="238" customFormat="1" ht="19.5" thickBot="1" x14ac:dyDescent="0.25">
      <c r="A3" s="285" t="s">
        <v>119</v>
      </c>
      <c r="B3" s="286"/>
      <c r="C3" s="286"/>
      <c r="D3" s="286"/>
      <c r="E3" s="287"/>
      <c r="F3" s="297"/>
      <c r="G3" s="298"/>
      <c r="H3" s="302"/>
      <c r="I3" s="302"/>
      <c r="J3" s="298"/>
      <c r="K3" s="297"/>
      <c r="L3" s="298"/>
      <c r="M3" s="297"/>
      <c r="N3" s="302"/>
      <c r="O3" s="302"/>
      <c r="P3" s="297"/>
      <c r="Q3" s="298"/>
      <c r="R3" s="297"/>
      <c r="S3" s="302"/>
      <c r="T3" s="302"/>
      <c r="U3" s="302"/>
      <c r="V3" s="291"/>
      <c r="W3" s="292"/>
      <c r="X3" s="279"/>
      <c r="Y3" s="280"/>
      <c r="Z3" s="280"/>
      <c r="AA3" s="280"/>
      <c r="AB3" s="280"/>
      <c r="AC3" s="280"/>
      <c r="AD3" s="280"/>
      <c r="AE3" s="280"/>
      <c r="AF3" s="280"/>
      <c r="AG3" s="280"/>
      <c r="AH3" s="280"/>
      <c r="AI3" s="280"/>
      <c r="AJ3" s="280"/>
      <c r="AK3" s="280"/>
      <c r="AL3" s="281"/>
      <c r="AM3" s="312"/>
      <c r="AN3" s="313"/>
      <c r="AO3" s="313"/>
      <c r="AP3" s="313"/>
      <c r="AQ3" s="313"/>
      <c r="AR3" s="313"/>
      <c r="AS3" s="313"/>
      <c r="AT3" s="313"/>
      <c r="AU3" s="313"/>
      <c r="AV3" s="313"/>
      <c r="AW3" s="313"/>
      <c r="AX3" s="313"/>
      <c r="AY3" s="314"/>
      <c r="AZ3" s="312"/>
      <c r="BA3" s="313"/>
      <c r="BB3" s="313"/>
      <c r="BC3" s="313"/>
      <c r="BD3" s="313"/>
      <c r="BE3" s="313"/>
      <c r="BF3" s="313"/>
      <c r="BG3" s="313"/>
      <c r="BH3" s="313"/>
      <c r="BI3" s="313"/>
      <c r="BJ3" s="313"/>
      <c r="BK3" s="313"/>
      <c r="BL3" s="313"/>
      <c r="BM3" s="313"/>
      <c r="BN3" s="348"/>
      <c r="BO3" s="338"/>
      <c r="BP3" s="313"/>
      <c r="BQ3" s="313"/>
      <c r="BR3" s="313"/>
      <c r="BS3" s="313"/>
      <c r="BT3" s="313"/>
      <c r="BU3" s="313"/>
      <c r="BV3" s="313"/>
      <c r="BW3" s="313"/>
      <c r="BX3" s="313"/>
      <c r="BY3" s="313"/>
      <c r="BZ3" s="313"/>
      <c r="CA3" s="348"/>
      <c r="CB3" s="338"/>
      <c r="CC3" s="313"/>
      <c r="CD3" s="313"/>
      <c r="CE3" s="313"/>
      <c r="CF3" s="313"/>
      <c r="CG3" s="313"/>
      <c r="CH3" s="313"/>
      <c r="CI3" s="313"/>
      <c r="CJ3" s="313"/>
      <c r="CK3" s="313"/>
      <c r="CL3" s="313"/>
      <c r="CM3" s="313"/>
      <c r="CN3" s="348"/>
      <c r="CO3" s="338"/>
      <c r="CP3" s="313"/>
      <c r="CQ3" s="313"/>
      <c r="CR3" s="313"/>
      <c r="CS3" s="313"/>
      <c r="CT3" s="313"/>
      <c r="CU3" s="313"/>
      <c r="CV3" s="313"/>
      <c r="CW3" s="313"/>
      <c r="CX3" s="313"/>
      <c r="CY3" s="313"/>
      <c r="CZ3" s="313"/>
      <c r="DA3" s="348"/>
      <c r="DB3" s="351"/>
      <c r="DC3" s="247"/>
      <c r="DD3" s="247"/>
      <c r="DE3" s="247"/>
      <c r="DF3" s="247"/>
      <c r="DG3" s="247"/>
      <c r="DH3" s="247"/>
      <c r="DI3" s="247"/>
      <c r="DJ3" s="247"/>
      <c r="DK3" s="247"/>
      <c r="DL3" s="247"/>
      <c r="DM3" s="247"/>
      <c r="DN3" s="248"/>
      <c r="DO3" s="246"/>
      <c r="DP3" s="247"/>
      <c r="DQ3" s="247"/>
      <c r="DR3" s="247"/>
      <c r="DS3" s="247"/>
      <c r="DT3" s="247"/>
      <c r="DU3" s="247"/>
      <c r="DV3" s="247"/>
      <c r="DW3" s="247"/>
      <c r="DX3" s="247"/>
      <c r="DY3" s="247"/>
      <c r="DZ3" s="247"/>
      <c r="EA3" s="248"/>
      <c r="EB3" s="246"/>
      <c r="EC3" s="247"/>
      <c r="ED3" s="247"/>
      <c r="EE3" s="247"/>
      <c r="EF3" s="247"/>
      <c r="EG3" s="247"/>
      <c r="EH3" s="247"/>
      <c r="EI3" s="247"/>
      <c r="EJ3" s="247"/>
      <c r="EK3" s="247"/>
      <c r="EL3" s="247"/>
      <c r="EM3" s="247"/>
      <c r="EN3" s="247"/>
      <c r="EO3" s="247"/>
      <c r="EP3" s="247"/>
      <c r="EQ3" s="247"/>
      <c r="ER3" s="247"/>
      <c r="ES3" s="247"/>
      <c r="ET3" s="247"/>
      <c r="EU3" s="247"/>
      <c r="EV3" s="247"/>
      <c r="EW3" s="247"/>
      <c r="EX3" s="247"/>
      <c r="EY3" s="247"/>
      <c r="EZ3" s="247"/>
      <c r="FA3" s="257"/>
      <c r="FB3" s="247"/>
      <c r="FC3" s="247"/>
      <c r="FD3" s="247"/>
      <c r="FE3" s="247"/>
      <c r="FF3" s="247"/>
      <c r="FG3" s="247"/>
      <c r="FH3" s="247"/>
      <c r="FI3" s="247"/>
      <c r="FJ3" s="247"/>
      <c r="FK3" s="247"/>
      <c r="FL3" s="247"/>
      <c r="FM3" s="248"/>
      <c r="FN3" s="246"/>
      <c r="FO3" s="247"/>
      <c r="FP3" s="247"/>
      <c r="FQ3" s="247"/>
      <c r="FR3" s="247"/>
      <c r="FS3" s="247"/>
      <c r="FT3" s="247"/>
      <c r="FU3" s="247"/>
      <c r="FV3" s="247"/>
      <c r="FW3" s="247"/>
      <c r="FX3" s="247"/>
      <c r="FY3" s="247"/>
      <c r="FZ3" s="248"/>
      <c r="GA3" s="246"/>
      <c r="GB3" s="247"/>
      <c r="GC3" s="247"/>
      <c r="GD3" s="247"/>
      <c r="GE3" s="247"/>
      <c r="GF3" s="247"/>
      <c r="GG3" s="247"/>
      <c r="GH3" s="247"/>
      <c r="GI3" s="247"/>
      <c r="GJ3" s="247"/>
      <c r="GK3" s="247"/>
      <c r="GL3" s="247"/>
      <c r="GM3" s="248"/>
      <c r="GN3" s="246"/>
      <c r="GO3" s="247"/>
      <c r="GP3" s="247"/>
      <c r="GQ3" s="247"/>
      <c r="GR3" s="247"/>
      <c r="GS3" s="247"/>
      <c r="GT3" s="247"/>
      <c r="GU3" s="247"/>
      <c r="GV3" s="247"/>
      <c r="GW3" s="247"/>
      <c r="GX3" s="247"/>
      <c r="GY3" s="247"/>
      <c r="GZ3" s="247"/>
      <c r="HA3" s="247"/>
      <c r="HB3" s="247"/>
      <c r="HC3" s="247"/>
      <c r="HD3" s="247"/>
      <c r="HE3" s="253" t="s">
        <v>155</v>
      </c>
      <c r="HF3" s="254"/>
      <c r="HG3" s="254"/>
      <c r="HH3" s="254"/>
      <c r="HI3" s="254"/>
      <c r="HJ3" s="254"/>
      <c r="HK3" s="254"/>
      <c r="HL3" s="254"/>
      <c r="HM3" s="254"/>
      <c r="HN3" s="254"/>
      <c r="HO3" s="254"/>
      <c r="HP3" s="254"/>
      <c r="HQ3" s="254"/>
      <c r="HR3" s="254"/>
      <c r="HS3" s="254"/>
      <c r="HT3" s="254"/>
      <c r="HU3" s="254"/>
      <c r="HV3" s="254"/>
      <c r="HW3" s="254"/>
      <c r="HX3" s="254"/>
      <c r="HY3" s="255"/>
      <c r="HZ3" s="232"/>
      <c r="IA3" s="253" t="s">
        <v>160</v>
      </c>
      <c r="IB3" s="254"/>
      <c r="IC3" s="254"/>
      <c r="ID3" s="254"/>
      <c r="IE3" s="254"/>
      <c r="IF3" s="254"/>
      <c r="IG3" s="254"/>
      <c r="IH3" s="254"/>
      <c r="II3" s="254"/>
      <c r="IJ3" s="254"/>
      <c r="IK3" s="254"/>
      <c r="IL3" s="254"/>
      <c r="IM3" s="255"/>
      <c r="IN3" s="337" t="s">
        <v>159</v>
      </c>
      <c r="IO3" s="310"/>
      <c r="IP3" s="310"/>
      <c r="IQ3" s="310"/>
      <c r="IR3" s="342" t="s">
        <v>297</v>
      </c>
      <c r="IS3" s="343"/>
      <c r="IT3" s="343"/>
      <c r="IU3" s="343"/>
      <c r="IV3" s="343"/>
      <c r="IW3" s="343"/>
      <c r="IX3" s="343"/>
      <c r="IY3" s="343"/>
      <c r="IZ3" s="343"/>
      <c r="JA3" s="343"/>
      <c r="JB3" s="344"/>
      <c r="JC3" s="270" t="s">
        <v>299</v>
      </c>
      <c r="JD3" s="270"/>
      <c r="JE3" s="270"/>
      <c r="JF3" s="270"/>
      <c r="JG3" s="270"/>
      <c r="JH3" s="270"/>
      <c r="JI3" s="270"/>
      <c r="JJ3" s="270"/>
      <c r="JK3" s="270"/>
      <c r="JL3" s="270"/>
      <c r="JM3" s="270"/>
      <c r="JN3" s="270"/>
      <c r="JO3" s="270"/>
      <c r="JP3" s="264"/>
      <c r="JQ3" s="265"/>
      <c r="JR3" s="265"/>
      <c r="JS3" s="265"/>
      <c r="JT3" s="265"/>
      <c r="JU3" s="265"/>
      <c r="JV3" s="265"/>
      <c r="JW3" s="265"/>
      <c r="JX3" s="265"/>
      <c r="JY3" s="265"/>
      <c r="JZ3" s="265"/>
      <c r="KA3" s="265"/>
      <c r="KB3" s="266"/>
      <c r="KC3" s="339" t="s">
        <v>22</v>
      </c>
      <c r="KD3" s="340"/>
      <c r="KE3" s="340"/>
      <c r="KF3" s="340"/>
      <c r="KG3" s="340"/>
      <c r="KH3" s="340"/>
      <c r="KI3" s="340"/>
      <c r="KJ3" s="340"/>
      <c r="KK3" s="340"/>
      <c r="KL3" s="340"/>
      <c r="KM3" s="340"/>
      <c r="KN3" s="340"/>
      <c r="KO3" s="340"/>
      <c r="KP3" s="340"/>
      <c r="KQ3" s="340"/>
      <c r="KR3" s="340"/>
      <c r="KS3" s="340"/>
      <c r="KT3" s="340"/>
      <c r="KU3" s="340"/>
      <c r="KV3" s="340"/>
      <c r="KW3" s="340"/>
      <c r="KX3" s="340"/>
      <c r="KY3" s="340"/>
      <c r="KZ3" s="340"/>
      <c r="LA3" s="340"/>
      <c r="LB3" s="340"/>
      <c r="LC3" s="340"/>
      <c r="LD3" s="341"/>
      <c r="LE3" s="346" t="s">
        <v>23</v>
      </c>
      <c r="LF3" s="346"/>
      <c r="LG3" s="346" t="s">
        <v>24</v>
      </c>
      <c r="LH3" s="346"/>
      <c r="LI3" s="332" t="s">
        <v>25</v>
      </c>
      <c r="LJ3" s="333"/>
      <c r="LK3" s="332" t="s">
        <v>26</v>
      </c>
      <c r="LL3" s="333"/>
      <c r="LM3" s="328" t="s">
        <v>27</v>
      </c>
      <c r="LN3" s="328"/>
      <c r="LO3" s="258" t="s">
        <v>28</v>
      </c>
      <c r="LP3" s="259"/>
      <c r="LQ3" s="259"/>
      <c r="LR3" s="259"/>
      <c r="LS3" s="260"/>
      <c r="LT3" s="258" t="s">
        <v>29</v>
      </c>
      <c r="LU3" s="259"/>
      <c r="LV3" s="260"/>
      <c r="LW3" s="332" t="s">
        <v>30</v>
      </c>
      <c r="LX3" s="333"/>
      <c r="LY3" s="329" t="s">
        <v>31</v>
      </c>
      <c r="LZ3" s="264" t="s">
        <v>32</v>
      </c>
      <c r="MA3" s="265"/>
      <c r="MB3" s="265"/>
      <c r="MC3" s="265"/>
      <c r="MD3" s="265"/>
      <c r="ME3" s="265"/>
      <c r="MF3" s="265"/>
      <c r="MG3" s="265"/>
      <c r="MH3" s="265"/>
      <c r="MI3" s="265"/>
      <c r="MJ3" s="265"/>
      <c r="MK3" s="265"/>
      <c r="ML3" s="265"/>
      <c r="MM3" s="265"/>
      <c r="MN3" s="265"/>
      <c r="MO3" s="266"/>
    </row>
    <row r="4" spans="1:368" s="238" customFormat="1" ht="19.5" thickBot="1" x14ac:dyDescent="0.25">
      <c r="A4" s="380"/>
      <c r="B4" s="381"/>
      <c r="C4" s="381"/>
      <c r="D4" s="381"/>
      <c r="E4" s="382"/>
      <c r="F4" s="299"/>
      <c r="G4" s="300"/>
      <c r="H4" s="288"/>
      <c r="I4" s="288"/>
      <c r="J4" s="300"/>
      <c r="K4" s="299"/>
      <c r="L4" s="300"/>
      <c r="M4" s="299"/>
      <c r="N4" s="288"/>
      <c r="O4" s="288"/>
      <c r="P4" s="299"/>
      <c r="Q4" s="300"/>
      <c r="R4" s="299"/>
      <c r="S4" s="288"/>
      <c r="T4" s="288"/>
      <c r="U4" s="288"/>
      <c r="V4" s="293"/>
      <c r="W4" s="294"/>
      <c r="X4" s="367" t="s">
        <v>123</v>
      </c>
      <c r="Y4" s="272"/>
      <c r="Z4" s="272" t="s">
        <v>124</v>
      </c>
      <c r="AA4" s="272"/>
      <c r="AB4" s="272" t="s">
        <v>125</v>
      </c>
      <c r="AC4" s="272"/>
      <c r="AD4" s="272" t="s">
        <v>126</v>
      </c>
      <c r="AE4" s="272"/>
      <c r="AF4" s="272" t="s">
        <v>127</v>
      </c>
      <c r="AG4" s="272"/>
      <c r="AH4" s="272" t="s">
        <v>128</v>
      </c>
      <c r="AI4" s="272"/>
      <c r="AJ4" s="252" t="s">
        <v>20</v>
      </c>
      <c r="AK4" s="252"/>
      <c r="AL4" s="317"/>
      <c r="AM4" s="315" t="s">
        <v>130</v>
      </c>
      <c r="AN4" s="271"/>
      <c r="AO4" s="271" t="s">
        <v>131</v>
      </c>
      <c r="AP4" s="271"/>
      <c r="AQ4" s="271" t="s">
        <v>132</v>
      </c>
      <c r="AR4" s="271"/>
      <c r="AS4" s="271" t="s">
        <v>133</v>
      </c>
      <c r="AT4" s="271"/>
      <c r="AU4" s="271" t="s">
        <v>134</v>
      </c>
      <c r="AV4" s="271"/>
      <c r="AW4" s="271" t="s">
        <v>20</v>
      </c>
      <c r="AX4" s="271"/>
      <c r="AY4" s="316"/>
      <c r="AZ4" s="315" t="s">
        <v>123</v>
      </c>
      <c r="BA4" s="271"/>
      <c r="BB4" s="271" t="s">
        <v>124</v>
      </c>
      <c r="BC4" s="271"/>
      <c r="BD4" s="271" t="s">
        <v>125</v>
      </c>
      <c r="BE4" s="271"/>
      <c r="BF4" s="271" t="s">
        <v>126</v>
      </c>
      <c r="BG4" s="271"/>
      <c r="BH4" s="271" t="s">
        <v>127</v>
      </c>
      <c r="BI4" s="271"/>
      <c r="BJ4" s="271" t="s">
        <v>128</v>
      </c>
      <c r="BK4" s="271"/>
      <c r="BL4" s="271" t="s">
        <v>20</v>
      </c>
      <c r="BM4" s="271"/>
      <c r="BN4" s="271"/>
      <c r="BO4" s="271" t="s">
        <v>125</v>
      </c>
      <c r="BP4" s="271"/>
      <c r="BQ4" s="271" t="s">
        <v>126</v>
      </c>
      <c r="BR4" s="271"/>
      <c r="BS4" s="271" t="s">
        <v>127</v>
      </c>
      <c r="BT4" s="271"/>
      <c r="BU4" s="271" t="s">
        <v>128</v>
      </c>
      <c r="BV4" s="271"/>
      <c r="BW4" s="271" t="s">
        <v>137</v>
      </c>
      <c r="BX4" s="271"/>
      <c r="BY4" s="271" t="s">
        <v>20</v>
      </c>
      <c r="BZ4" s="271"/>
      <c r="CA4" s="271"/>
      <c r="CB4" s="271" t="s">
        <v>126</v>
      </c>
      <c r="CC4" s="271"/>
      <c r="CD4" s="271" t="s">
        <v>127</v>
      </c>
      <c r="CE4" s="271"/>
      <c r="CF4" s="271" t="s">
        <v>128</v>
      </c>
      <c r="CG4" s="271"/>
      <c r="CH4" s="271" t="s">
        <v>137</v>
      </c>
      <c r="CI4" s="271"/>
      <c r="CJ4" s="271" t="s">
        <v>130</v>
      </c>
      <c r="CK4" s="271"/>
      <c r="CL4" s="271" t="s">
        <v>20</v>
      </c>
      <c r="CM4" s="271"/>
      <c r="CN4" s="271"/>
      <c r="CO4" s="271" t="s">
        <v>127</v>
      </c>
      <c r="CP4" s="271"/>
      <c r="CQ4" s="271" t="s">
        <v>128</v>
      </c>
      <c r="CR4" s="271"/>
      <c r="CS4" s="271" t="s">
        <v>137</v>
      </c>
      <c r="CT4" s="271"/>
      <c r="CU4" s="271" t="s">
        <v>130</v>
      </c>
      <c r="CV4" s="271"/>
      <c r="CW4" s="271" t="s">
        <v>131</v>
      </c>
      <c r="CX4" s="271"/>
      <c r="CY4" s="271" t="s">
        <v>20</v>
      </c>
      <c r="CZ4" s="271"/>
      <c r="DA4" s="271"/>
      <c r="DB4" s="271" t="s">
        <v>128</v>
      </c>
      <c r="DC4" s="271"/>
      <c r="DD4" s="271" t="s">
        <v>137</v>
      </c>
      <c r="DE4" s="271"/>
      <c r="DF4" s="271" t="s">
        <v>130</v>
      </c>
      <c r="DG4" s="271"/>
      <c r="DH4" s="271" t="s">
        <v>131</v>
      </c>
      <c r="DI4" s="271"/>
      <c r="DJ4" s="271" t="s">
        <v>132</v>
      </c>
      <c r="DK4" s="271"/>
      <c r="DL4" s="252" t="s">
        <v>20</v>
      </c>
      <c r="DM4" s="252"/>
      <c r="DN4" s="252"/>
      <c r="DO4" s="271" t="s">
        <v>137</v>
      </c>
      <c r="DP4" s="271"/>
      <c r="DQ4" s="271" t="s">
        <v>130</v>
      </c>
      <c r="DR4" s="271"/>
      <c r="DS4" s="271" t="s">
        <v>131</v>
      </c>
      <c r="DT4" s="271"/>
      <c r="DU4" s="271" t="s">
        <v>132</v>
      </c>
      <c r="DV4" s="271"/>
      <c r="DW4" s="271" t="s">
        <v>133</v>
      </c>
      <c r="DX4" s="271"/>
      <c r="DY4" s="252" t="s">
        <v>20</v>
      </c>
      <c r="DZ4" s="252"/>
      <c r="EA4" s="252"/>
      <c r="EB4" s="271" t="s">
        <v>123</v>
      </c>
      <c r="EC4" s="271"/>
      <c r="ED4" s="271" t="s">
        <v>124</v>
      </c>
      <c r="EE4" s="271"/>
      <c r="EF4" s="271" t="s">
        <v>125</v>
      </c>
      <c r="EG4" s="271"/>
      <c r="EH4" s="271" t="s">
        <v>126</v>
      </c>
      <c r="EI4" s="271"/>
      <c r="EJ4" s="271" t="s">
        <v>127</v>
      </c>
      <c r="EK4" s="271"/>
      <c r="EL4" s="271" t="s">
        <v>128</v>
      </c>
      <c r="EM4" s="271"/>
      <c r="EN4" s="271" t="s">
        <v>137</v>
      </c>
      <c r="EO4" s="271"/>
      <c r="EP4" s="271" t="s">
        <v>130</v>
      </c>
      <c r="EQ4" s="271"/>
      <c r="ER4" s="271" t="s">
        <v>131</v>
      </c>
      <c r="ES4" s="271"/>
      <c r="ET4" s="271" t="s">
        <v>132</v>
      </c>
      <c r="EU4" s="271"/>
      <c r="EV4" s="271" t="s">
        <v>133</v>
      </c>
      <c r="EW4" s="271"/>
      <c r="EX4" s="252" t="s">
        <v>20</v>
      </c>
      <c r="EY4" s="252"/>
      <c r="EZ4" s="317"/>
      <c r="FA4" s="345" t="s">
        <v>33</v>
      </c>
      <c r="FB4" s="272"/>
      <c r="FC4" s="272" t="s">
        <v>34</v>
      </c>
      <c r="FD4" s="272"/>
      <c r="FE4" s="272" t="s">
        <v>39</v>
      </c>
      <c r="FF4" s="272"/>
      <c r="FG4" s="272" t="s">
        <v>36</v>
      </c>
      <c r="FH4" s="272"/>
      <c r="FI4" s="272" t="s">
        <v>35</v>
      </c>
      <c r="FJ4" s="272"/>
      <c r="FK4" s="252" t="s">
        <v>20</v>
      </c>
      <c r="FL4" s="252"/>
      <c r="FM4" s="252"/>
      <c r="FN4" s="272" t="s">
        <v>34</v>
      </c>
      <c r="FO4" s="272"/>
      <c r="FP4" s="272" t="s">
        <v>39</v>
      </c>
      <c r="FQ4" s="272"/>
      <c r="FR4" s="272" t="s">
        <v>36</v>
      </c>
      <c r="FS4" s="272"/>
      <c r="FT4" s="272" t="s">
        <v>35</v>
      </c>
      <c r="FU4" s="272"/>
      <c r="FV4" s="272" t="s">
        <v>37</v>
      </c>
      <c r="FW4" s="272"/>
      <c r="FX4" s="252" t="s">
        <v>20</v>
      </c>
      <c r="FY4" s="252"/>
      <c r="FZ4" s="252"/>
      <c r="GA4" s="272" t="s">
        <v>39</v>
      </c>
      <c r="GB4" s="272"/>
      <c r="GC4" s="272" t="s">
        <v>36</v>
      </c>
      <c r="GD4" s="272"/>
      <c r="GE4" s="272" t="s">
        <v>35</v>
      </c>
      <c r="GF4" s="272"/>
      <c r="GG4" s="272" t="s">
        <v>37</v>
      </c>
      <c r="GH4" s="272"/>
      <c r="GI4" s="272" t="s">
        <v>38</v>
      </c>
      <c r="GJ4" s="272"/>
      <c r="GK4" s="252" t="s">
        <v>20</v>
      </c>
      <c r="GL4" s="252"/>
      <c r="GM4" s="252"/>
      <c r="GN4" s="252" t="s">
        <v>33</v>
      </c>
      <c r="GO4" s="252"/>
      <c r="GP4" s="252" t="s">
        <v>34</v>
      </c>
      <c r="GQ4" s="252"/>
      <c r="GR4" s="252" t="s">
        <v>39</v>
      </c>
      <c r="GS4" s="252"/>
      <c r="GT4" s="252" t="s">
        <v>36</v>
      </c>
      <c r="GU4" s="252"/>
      <c r="GV4" s="252" t="s">
        <v>35</v>
      </c>
      <c r="GW4" s="252"/>
      <c r="GX4" s="252" t="s">
        <v>37</v>
      </c>
      <c r="GY4" s="252"/>
      <c r="GZ4" s="252" t="s">
        <v>147</v>
      </c>
      <c r="HA4" s="252"/>
      <c r="HB4" s="252" t="s">
        <v>20</v>
      </c>
      <c r="HC4" s="252"/>
      <c r="HD4" s="252"/>
      <c r="HE4" s="271" t="s">
        <v>148</v>
      </c>
      <c r="HF4" s="271"/>
      <c r="HG4" s="271"/>
      <c r="HH4" s="271" t="s">
        <v>149</v>
      </c>
      <c r="HI4" s="271"/>
      <c r="HJ4" s="271"/>
      <c r="HK4" s="271" t="s">
        <v>150</v>
      </c>
      <c r="HL4" s="271"/>
      <c r="HM4" s="271"/>
      <c r="HN4" s="271" t="s">
        <v>151</v>
      </c>
      <c r="HO4" s="271"/>
      <c r="HP4" s="271"/>
      <c r="HQ4" s="271" t="s">
        <v>152</v>
      </c>
      <c r="HR4" s="271"/>
      <c r="HS4" s="271"/>
      <c r="HT4" s="271" t="s">
        <v>153</v>
      </c>
      <c r="HU4" s="271"/>
      <c r="HV4" s="271"/>
      <c r="HW4" s="271" t="s">
        <v>154</v>
      </c>
      <c r="HX4" s="271"/>
      <c r="HY4" s="271"/>
      <c r="HZ4" s="234"/>
      <c r="IA4" s="271" t="s">
        <v>156</v>
      </c>
      <c r="IB4" s="271"/>
      <c r="IC4" s="271"/>
      <c r="ID4" s="271" t="s">
        <v>157</v>
      </c>
      <c r="IE4" s="271"/>
      <c r="IF4" s="271"/>
      <c r="IG4" s="271" t="s">
        <v>158</v>
      </c>
      <c r="IH4" s="271"/>
      <c r="II4" s="271"/>
      <c r="IJ4" s="253" t="s">
        <v>12</v>
      </c>
      <c r="IK4" s="254"/>
      <c r="IL4" s="254"/>
      <c r="IM4" s="255"/>
      <c r="IN4" s="338"/>
      <c r="IO4" s="313"/>
      <c r="IP4" s="313"/>
      <c r="IQ4" s="313"/>
      <c r="IR4" s="270" t="s">
        <v>40</v>
      </c>
      <c r="IS4" s="270"/>
      <c r="IT4" s="270" t="s">
        <v>41</v>
      </c>
      <c r="IU4" s="270"/>
      <c r="IV4" s="270" t="s">
        <v>166</v>
      </c>
      <c r="IW4" s="270"/>
      <c r="IX4" s="270" t="s">
        <v>43</v>
      </c>
      <c r="IY4" s="270"/>
      <c r="IZ4" s="270" t="s">
        <v>20</v>
      </c>
      <c r="JA4" s="270"/>
      <c r="JB4" s="270"/>
      <c r="JC4" s="270" t="s">
        <v>40</v>
      </c>
      <c r="JD4" s="270"/>
      <c r="JE4" s="270" t="s">
        <v>41</v>
      </c>
      <c r="JF4" s="270"/>
      <c r="JG4" s="270" t="s">
        <v>42</v>
      </c>
      <c r="JH4" s="270"/>
      <c r="JI4" s="270" t="s">
        <v>166</v>
      </c>
      <c r="JJ4" s="270"/>
      <c r="JK4" s="270" t="s">
        <v>227</v>
      </c>
      <c r="JL4" s="270"/>
      <c r="JM4" s="270" t="s">
        <v>20</v>
      </c>
      <c r="JN4" s="270"/>
      <c r="JO4" s="270"/>
      <c r="JP4" s="267" t="s">
        <v>40</v>
      </c>
      <c r="JQ4" s="268"/>
      <c r="JR4" s="267" t="s">
        <v>41</v>
      </c>
      <c r="JS4" s="268"/>
      <c r="JT4" s="267" t="s">
        <v>42</v>
      </c>
      <c r="JU4" s="268"/>
      <c r="JV4" s="267" t="s">
        <v>166</v>
      </c>
      <c r="JW4" s="268"/>
      <c r="JX4" s="267" t="s">
        <v>43</v>
      </c>
      <c r="JY4" s="268"/>
      <c r="JZ4" s="267" t="s">
        <v>20</v>
      </c>
      <c r="KA4" s="269"/>
      <c r="KB4" s="268"/>
      <c r="KC4" s="325" t="s">
        <v>48</v>
      </c>
      <c r="KD4" s="327"/>
      <c r="KE4" s="324" t="s">
        <v>49</v>
      </c>
      <c r="KF4" s="324"/>
      <c r="KG4" s="324"/>
      <c r="KH4" s="267" t="s">
        <v>301</v>
      </c>
      <c r="KI4" s="269"/>
      <c r="KJ4" s="269"/>
      <c r="KK4" s="269"/>
      <c r="KL4" s="268"/>
      <c r="KM4" s="325" t="s">
        <v>50</v>
      </c>
      <c r="KN4" s="326"/>
      <c r="KO4" s="327"/>
      <c r="KP4" s="328" t="s">
        <v>51</v>
      </c>
      <c r="KQ4" s="328"/>
      <c r="KR4" s="328"/>
      <c r="KS4" s="328" t="s">
        <v>52</v>
      </c>
      <c r="KT4" s="328"/>
      <c r="KU4" s="328"/>
      <c r="KV4" s="328" t="s">
        <v>53</v>
      </c>
      <c r="KW4" s="328"/>
      <c r="KX4" s="328"/>
      <c r="KY4" s="328" t="s">
        <v>54</v>
      </c>
      <c r="KZ4" s="328"/>
      <c r="LA4" s="328"/>
      <c r="LB4" s="328"/>
      <c r="LC4" s="328"/>
      <c r="LD4" s="328"/>
      <c r="LE4" s="346"/>
      <c r="LF4" s="346"/>
      <c r="LG4" s="346"/>
      <c r="LH4" s="346"/>
      <c r="LI4" s="334"/>
      <c r="LJ4" s="335"/>
      <c r="LK4" s="334"/>
      <c r="LL4" s="335"/>
      <c r="LM4" s="328"/>
      <c r="LN4" s="328"/>
      <c r="LO4" s="264"/>
      <c r="LP4" s="265"/>
      <c r="LQ4" s="265"/>
      <c r="LR4" s="265"/>
      <c r="LS4" s="266"/>
      <c r="LT4" s="264"/>
      <c r="LU4" s="265"/>
      <c r="LV4" s="266"/>
      <c r="LW4" s="334"/>
      <c r="LX4" s="335"/>
      <c r="LY4" s="330"/>
      <c r="LZ4" s="328" t="s">
        <v>55</v>
      </c>
      <c r="MA4" s="328"/>
      <c r="MB4" s="328" t="s">
        <v>56</v>
      </c>
      <c r="MC4" s="328"/>
      <c r="MD4" s="328" t="s">
        <v>57</v>
      </c>
      <c r="ME4" s="328"/>
      <c r="MF4" s="328" t="s">
        <v>58</v>
      </c>
      <c r="MG4" s="328"/>
      <c r="MH4" s="328" t="s">
        <v>59</v>
      </c>
      <c r="MI4" s="328"/>
      <c r="MJ4" s="328" t="s">
        <v>60</v>
      </c>
      <c r="MK4" s="328"/>
      <c r="ML4" s="328" t="s">
        <v>61</v>
      </c>
      <c r="MM4" s="328"/>
      <c r="MN4" s="328" t="s">
        <v>62</v>
      </c>
      <c r="MO4" s="328"/>
    </row>
    <row r="5" spans="1:368" s="238" customFormat="1" ht="52.5" customHeight="1" thickBot="1" x14ac:dyDescent="0.25">
      <c r="A5" s="101" t="s">
        <v>63</v>
      </c>
      <c r="B5" s="101" t="s">
        <v>64</v>
      </c>
      <c r="C5" s="101" t="s">
        <v>65</v>
      </c>
      <c r="D5" s="101" t="s">
        <v>66</v>
      </c>
      <c r="E5" s="101" t="s">
        <v>67</v>
      </c>
      <c r="F5" s="101" t="s">
        <v>120</v>
      </c>
      <c r="G5" s="101" t="s">
        <v>121</v>
      </c>
      <c r="H5" s="101" t="s">
        <v>68</v>
      </c>
      <c r="I5" s="101" t="s">
        <v>69</v>
      </c>
      <c r="J5" s="101" t="s">
        <v>70</v>
      </c>
      <c r="K5" s="101" t="s">
        <v>71</v>
      </c>
      <c r="L5" s="101" t="s">
        <v>72</v>
      </c>
      <c r="M5" s="101" t="s">
        <v>73</v>
      </c>
      <c r="N5" s="101" t="s">
        <v>74</v>
      </c>
      <c r="O5" s="52" t="s">
        <v>75</v>
      </c>
      <c r="P5" s="101" t="s">
        <v>76</v>
      </c>
      <c r="Q5" s="101" t="s">
        <v>77</v>
      </c>
      <c r="R5" s="52" t="s">
        <v>78</v>
      </c>
      <c r="S5" s="52" t="s">
        <v>79</v>
      </c>
      <c r="T5" s="52" t="s">
        <v>80</v>
      </c>
      <c r="U5" s="52" t="s">
        <v>81</v>
      </c>
      <c r="V5" s="102" t="s">
        <v>82</v>
      </c>
      <c r="W5" s="102" t="s">
        <v>83</v>
      </c>
      <c r="X5" s="103" t="s">
        <v>68</v>
      </c>
      <c r="Y5" s="103" t="s">
        <v>69</v>
      </c>
      <c r="Z5" s="103" t="s">
        <v>68</v>
      </c>
      <c r="AA5" s="103" t="s">
        <v>69</v>
      </c>
      <c r="AB5" s="103" t="s">
        <v>68</v>
      </c>
      <c r="AC5" s="103" t="s">
        <v>69</v>
      </c>
      <c r="AD5" s="103" t="s">
        <v>68</v>
      </c>
      <c r="AE5" s="103" t="s">
        <v>69</v>
      </c>
      <c r="AF5" s="103" t="s">
        <v>68</v>
      </c>
      <c r="AG5" s="103" t="s">
        <v>69</v>
      </c>
      <c r="AH5" s="103" t="s">
        <v>68</v>
      </c>
      <c r="AI5" s="103" t="s">
        <v>69</v>
      </c>
      <c r="AJ5" s="103" t="s">
        <v>68</v>
      </c>
      <c r="AK5" s="103" t="s">
        <v>69</v>
      </c>
      <c r="AL5" s="104" t="s">
        <v>20</v>
      </c>
      <c r="AM5" s="105" t="s">
        <v>68</v>
      </c>
      <c r="AN5" s="106" t="s">
        <v>69</v>
      </c>
      <c r="AO5" s="106" t="s">
        <v>68</v>
      </c>
      <c r="AP5" s="106" t="s">
        <v>69</v>
      </c>
      <c r="AQ5" s="106" t="s">
        <v>68</v>
      </c>
      <c r="AR5" s="106" t="s">
        <v>69</v>
      </c>
      <c r="AS5" s="106" t="s">
        <v>68</v>
      </c>
      <c r="AT5" s="106" t="s">
        <v>69</v>
      </c>
      <c r="AU5" s="106" t="s">
        <v>68</v>
      </c>
      <c r="AV5" s="106" t="s">
        <v>69</v>
      </c>
      <c r="AW5" s="106" t="s">
        <v>68</v>
      </c>
      <c r="AX5" s="106" t="s">
        <v>69</v>
      </c>
      <c r="AY5" s="107" t="s">
        <v>20</v>
      </c>
      <c r="AZ5" s="105" t="s">
        <v>68</v>
      </c>
      <c r="BA5" s="106" t="s">
        <v>69</v>
      </c>
      <c r="BB5" s="106" t="s">
        <v>68</v>
      </c>
      <c r="BC5" s="106" t="s">
        <v>69</v>
      </c>
      <c r="BD5" s="106" t="s">
        <v>68</v>
      </c>
      <c r="BE5" s="106" t="s">
        <v>69</v>
      </c>
      <c r="BF5" s="106" t="s">
        <v>68</v>
      </c>
      <c r="BG5" s="106" t="s">
        <v>69</v>
      </c>
      <c r="BH5" s="106" t="s">
        <v>68</v>
      </c>
      <c r="BI5" s="106" t="s">
        <v>69</v>
      </c>
      <c r="BJ5" s="106" t="s">
        <v>68</v>
      </c>
      <c r="BK5" s="106" t="s">
        <v>69</v>
      </c>
      <c r="BL5" s="106" t="s">
        <v>68</v>
      </c>
      <c r="BM5" s="106" t="s">
        <v>69</v>
      </c>
      <c r="BN5" s="106" t="s">
        <v>20</v>
      </c>
      <c r="BO5" s="106" t="s">
        <v>68</v>
      </c>
      <c r="BP5" s="106" t="s">
        <v>69</v>
      </c>
      <c r="BQ5" s="106" t="s">
        <v>68</v>
      </c>
      <c r="BR5" s="106" t="s">
        <v>69</v>
      </c>
      <c r="BS5" s="106" t="s">
        <v>68</v>
      </c>
      <c r="BT5" s="106" t="s">
        <v>69</v>
      </c>
      <c r="BU5" s="106" t="s">
        <v>68</v>
      </c>
      <c r="BV5" s="106" t="s">
        <v>69</v>
      </c>
      <c r="BW5" s="106" t="s">
        <v>68</v>
      </c>
      <c r="BX5" s="106" t="s">
        <v>69</v>
      </c>
      <c r="BY5" s="106" t="s">
        <v>68</v>
      </c>
      <c r="BZ5" s="106" t="s">
        <v>69</v>
      </c>
      <c r="CA5" s="106" t="s">
        <v>20</v>
      </c>
      <c r="CB5" s="106" t="s">
        <v>68</v>
      </c>
      <c r="CC5" s="106" t="s">
        <v>69</v>
      </c>
      <c r="CD5" s="106" t="s">
        <v>68</v>
      </c>
      <c r="CE5" s="106" t="s">
        <v>69</v>
      </c>
      <c r="CF5" s="106" t="s">
        <v>68</v>
      </c>
      <c r="CG5" s="106" t="s">
        <v>69</v>
      </c>
      <c r="CH5" s="106" t="s">
        <v>68</v>
      </c>
      <c r="CI5" s="106" t="s">
        <v>69</v>
      </c>
      <c r="CJ5" s="106" t="s">
        <v>68</v>
      </c>
      <c r="CK5" s="106" t="s">
        <v>69</v>
      </c>
      <c r="CL5" s="106" t="s">
        <v>68</v>
      </c>
      <c r="CM5" s="106" t="s">
        <v>69</v>
      </c>
      <c r="CN5" s="106" t="s">
        <v>20</v>
      </c>
      <c r="CO5" s="106" t="s">
        <v>68</v>
      </c>
      <c r="CP5" s="106" t="s">
        <v>69</v>
      </c>
      <c r="CQ5" s="106" t="s">
        <v>68</v>
      </c>
      <c r="CR5" s="106" t="s">
        <v>69</v>
      </c>
      <c r="CS5" s="106" t="s">
        <v>68</v>
      </c>
      <c r="CT5" s="106" t="s">
        <v>69</v>
      </c>
      <c r="CU5" s="106" t="s">
        <v>68</v>
      </c>
      <c r="CV5" s="106" t="s">
        <v>69</v>
      </c>
      <c r="CW5" s="106" t="s">
        <v>68</v>
      </c>
      <c r="CX5" s="106" t="s">
        <v>69</v>
      </c>
      <c r="CY5" s="106" t="s">
        <v>68</v>
      </c>
      <c r="CZ5" s="106" t="s">
        <v>69</v>
      </c>
      <c r="DA5" s="106" t="s">
        <v>20</v>
      </c>
      <c r="DB5" s="108" t="s">
        <v>68</v>
      </c>
      <c r="DC5" s="109" t="s">
        <v>69</v>
      </c>
      <c r="DD5" s="109" t="s">
        <v>68</v>
      </c>
      <c r="DE5" s="109" t="s">
        <v>69</v>
      </c>
      <c r="DF5" s="109" t="s">
        <v>68</v>
      </c>
      <c r="DG5" s="109" t="s">
        <v>69</v>
      </c>
      <c r="DH5" s="109" t="s">
        <v>68</v>
      </c>
      <c r="DI5" s="109" t="s">
        <v>69</v>
      </c>
      <c r="DJ5" s="109" t="s">
        <v>68</v>
      </c>
      <c r="DK5" s="109" t="s">
        <v>69</v>
      </c>
      <c r="DL5" s="109" t="s">
        <v>68</v>
      </c>
      <c r="DM5" s="109" t="s">
        <v>69</v>
      </c>
      <c r="DN5" s="109" t="s">
        <v>20</v>
      </c>
      <c r="DO5" s="109" t="s">
        <v>68</v>
      </c>
      <c r="DP5" s="109" t="s">
        <v>69</v>
      </c>
      <c r="DQ5" s="109" t="s">
        <v>68</v>
      </c>
      <c r="DR5" s="109" t="s">
        <v>69</v>
      </c>
      <c r="DS5" s="109" t="s">
        <v>68</v>
      </c>
      <c r="DT5" s="109" t="s">
        <v>69</v>
      </c>
      <c r="DU5" s="109" t="s">
        <v>68</v>
      </c>
      <c r="DV5" s="109" t="s">
        <v>69</v>
      </c>
      <c r="DW5" s="109" t="s">
        <v>68</v>
      </c>
      <c r="DX5" s="109" t="s">
        <v>69</v>
      </c>
      <c r="DY5" s="109" t="s">
        <v>68</v>
      </c>
      <c r="DZ5" s="109" t="s">
        <v>69</v>
      </c>
      <c r="EA5" s="109" t="s">
        <v>20</v>
      </c>
      <c r="EB5" s="109" t="s">
        <v>68</v>
      </c>
      <c r="EC5" s="109" t="s">
        <v>69</v>
      </c>
      <c r="ED5" s="109" t="s">
        <v>68</v>
      </c>
      <c r="EE5" s="109" t="s">
        <v>69</v>
      </c>
      <c r="EF5" s="109" t="s">
        <v>68</v>
      </c>
      <c r="EG5" s="109" t="s">
        <v>69</v>
      </c>
      <c r="EH5" s="109" t="s">
        <v>68</v>
      </c>
      <c r="EI5" s="109" t="s">
        <v>69</v>
      </c>
      <c r="EJ5" s="109" t="s">
        <v>68</v>
      </c>
      <c r="EK5" s="109" t="s">
        <v>69</v>
      </c>
      <c r="EL5" s="109" t="s">
        <v>68</v>
      </c>
      <c r="EM5" s="109" t="s">
        <v>69</v>
      </c>
      <c r="EN5" s="109" t="s">
        <v>68</v>
      </c>
      <c r="EO5" s="109" t="s">
        <v>69</v>
      </c>
      <c r="EP5" s="109" t="s">
        <v>68</v>
      </c>
      <c r="EQ5" s="109" t="s">
        <v>69</v>
      </c>
      <c r="ER5" s="109" t="s">
        <v>68</v>
      </c>
      <c r="ES5" s="109" t="s">
        <v>69</v>
      </c>
      <c r="ET5" s="109" t="s">
        <v>68</v>
      </c>
      <c r="EU5" s="109" t="s">
        <v>69</v>
      </c>
      <c r="EV5" s="109" t="s">
        <v>68</v>
      </c>
      <c r="EW5" s="109" t="s">
        <v>69</v>
      </c>
      <c r="EX5" s="109" t="s">
        <v>68</v>
      </c>
      <c r="EY5" s="109" t="s">
        <v>69</v>
      </c>
      <c r="EZ5" s="231" t="s">
        <v>20</v>
      </c>
      <c r="FA5" s="110" t="s">
        <v>68</v>
      </c>
      <c r="FB5" s="109" t="s">
        <v>69</v>
      </c>
      <c r="FC5" s="109" t="s">
        <v>68</v>
      </c>
      <c r="FD5" s="109" t="s">
        <v>69</v>
      </c>
      <c r="FE5" s="109" t="s">
        <v>68</v>
      </c>
      <c r="FF5" s="109" t="s">
        <v>69</v>
      </c>
      <c r="FG5" s="109" t="s">
        <v>68</v>
      </c>
      <c r="FH5" s="109" t="s">
        <v>69</v>
      </c>
      <c r="FI5" s="109" t="s">
        <v>68</v>
      </c>
      <c r="FJ5" s="109" t="s">
        <v>69</v>
      </c>
      <c r="FK5" s="109" t="s">
        <v>68</v>
      </c>
      <c r="FL5" s="109" t="s">
        <v>69</v>
      </c>
      <c r="FM5" s="109" t="s">
        <v>20</v>
      </c>
      <c r="FN5" s="109" t="s">
        <v>68</v>
      </c>
      <c r="FO5" s="109" t="s">
        <v>69</v>
      </c>
      <c r="FP5" s="109" t="s">
        <v>68</v>
      </c>
      <c r="FQ5" s="109" t="s">
        <v>69</v>
      </c>
      <c r="FR5" s="109" t="s">
        <v>68</v>
      </c>
      <c r="FS5" s="109" t="s">
        <v>69</v>
      </c>
      <c r="FT5" s="109" t="s">
        <v>68</v>
      </c>
      <c r="FU5" s="109" t="s">
        <v>69</v>
      </c>
      <c r="FV5" s="109" t="s">
        <v>68</v>
      </c>
      <c r="FW5" s="109" t="s">
        <v>69</v>
      </c>
      <c r="FX5" s="109" t="s">
        <v>68</v>
      </c>
      <c r="FY5" s="109" t="s">
        <v>69</v>
      </c>
      <c r="FZ5" s="109" t="s">
        <v>20</v>
      </c>
      <c r="GA5" s="109" t="s">
        <v>68</v>
      </c>
      <c r="GB5" s="109" t="s">
        <v>69</v>
      </c>
      <c r="GC5" s="109" t="s">
        <v>68</v>
      </c>
      <c r="GD5" s="109" t="s">
        <v>69</v>
      </c>
      <c r="GE5" s="109" t="s">
        <v>68</v>
      </c>
      <c r="GF5" s="109" t="s">
        <v>69</v>
      </c>
      <c r="GG5" s="109" t="s">
        <v>68</v>
      </c>
      <c r="GH5" s="109" t="s">
        <v>69</v>
      </c>
      <c r="GI5" s="109" t="s">
        <v>68</v>
      </c>
      <c r="GJ5" s="109" t="s">
        <v>69</v>
      </c>
      <c r="GK5" s="109" t="s">
        <v>68</v>
      </c>
      <c r="GL5" s="109" t="s">
        <v>69</v>
      </c>
      <c r="GM5" s="109" t="s">
        <v>20</v>
      </c>
      <c r="GN5" s="109" t="s">
        <v>68</v>
      </c>
      <c r="GO5" s="109" t="s">
        <v>69</v>
      </c>
      <c r="GP5" s="109" t="s">
        <v>68</v>
      </c>
      <c r="GQ5" s="109" t="s">
        <v>69</v>
      </c>
      <c r="GR5" s="109" t="s">
        <v>68</v>
      </c>
      <c r="GS5" s="109" t="s">
        <v>69</v>
      </c>
      <c r="GT5" s="109" t="s">
        <v>68</v>
      </c>
      <c r="GU5" s="109" t="s">
        <v>69</v>
      </c>
      <c r="GV5" s="109" t="s">
        <v>68</v>
      </c>
      <c r="GW5" s="109" t="s">
        <v>69</v>
      </c>
      <c r="GX5" s="109" t="s">
        <v>68</v>
      </c>
      <c r="GY5" s="109" t="s">
        <v>69</v>
      </c>
      <c r="GZ5" s="109" t="s">
        <v>68</v>
      </c>
      <c r="HA5" s="109" t="s">
        <v>69</v>
      </c>
      <c r="HB5" s="109" t="s">
        <v>68</v>
      </c>
      <c r="HC5" s="109" t="s">
        <v>69</v>
      </c>
      <c r="HD5" s="109" t="s">
        <v>20</v>
      </c>
      <c r="HE5" s="106" t="s">
        <v>68</v>
      </c>
      <c r="HF5" s="106" t="s">
        <v>69</v>
      </c>
      <c r="HG5" s="106" t="s">
        <v>70</v>
      </c>
      <c r="HH5" s="106" t="s">
        <v>68</v>
      </c>
      <c r="HI5" s="106" t="s">
        <v>69</v>
      </c>
      <c r="HJ5" s="106" t="s">
        <v>70</v>
      </c>
      <c r="HK5" s="106" t="s">
        <v>68</v>
      </c>
      <c r="HL5" s="106" t="s">
        <v>69</v>
      </c>
      <c r="HM5" s="106" t="s">
        <v>70</v>
      </c>
      <c r="HN5" s="106" t="s">
        <v>68</v>
      </c>
      <c r="HO5" s="106" t="s">
        <v>69</v>
      </c>
      <c r="HP5" s="106" t="s">
        <v>70</v>
      </c>
      <c r="HQ5" s="106" t="s">
        <v>68</v>
      </c>
      <c r="HR5" s="106" t="s">
        <v>69</v>
      </c>
      <c r="HS5" s="106" t="s">
        <v>70</v>
      </c>
      <c r="HT5" s="106" t="s">
        <v>68</v>
      </c>
      <c r="HU5" s="106" t="s">
        <v>69</v>
      </c>
      <c r="HV5" s="106" t="s">
        <v>70</v>
      </c>
      <c r="HW5" s="106" t="s">
        <v>68</v>
      </c>
      <c r="HX5" s="106" t="s">
        <v>69</v>
      </c>
      <c r="HY5" s="106" t="s">
        <v>70</v>
      </c>
      <c r="HZ5" s="106" t="s">
        <v>20</v>
      </c>
      <c r="IA5" s="106" t="s">
        <v>68</v>
      </c>
      <c r="IB5" s="106" t="s">
        <v>69</v>
      </c>
      <c r="IC5" s="106" t="s">
        <v>70</v>
      </c>
      <c r="ID5" s="106" t="s">
        <v>68</v>
      </c>
      <c r="IE5" s="106" t="s">
        <v>69</v>
      </c>
      <c r="IF5" s="106" t="s">
        <v>70</v>
      </c>
      <c r="IG5" s="106" t="s">
        <v>68</v>
      </c>
      <c r="IH5" s="106" t="s">
        <v>69</v>
      </c>
      <c r="II5" s="106" t="s">
        <v>70</v>
      </c>
      <c r="IJ5" s="106" t="s">
        <v>68</v>
      </c>
      <c r="IK5" s="106" t="s">
        <v>69</v>
      </c>
      <c r="IL5" s="106" t="s">
        <v>70</v>
      </c>
      <c r="IM5" s="241" t="s">
        <v>20</v>
      </c>
      <c r="IN5" s="106" t="s">
        <v>68</v>
      </c>
      <c r="IO5" s="106" t="s">
        <v>69</v>
      </c>
      <c r="IP5" s="106" t="s">
        <v>70</v>
      </c>
      <c r="IQ5" s="241" t="s">
        <v>20</v>
      </c>
      <c r="IR5" s="233" t="s">
        <v>296</v>
      </c>
      <c r="IS5" s="233" t="s">
        <v>85</v>
      </c>
      <c r="IT5" s="233" t="s">
        <v>296</v>
      </c>
      <c r="IU5" s="233" t="s">
        <v>85</v>
      </c>
      <c r="IV5" s="233" t="s">
        <v>296</v>
      </c>
      <c r="IW5" s="233" t="s">
        <v>85</v>
      </c>
      <c r="IX5" s="233" t="s">
        <v>296</v>
      </c>
      <c r="IY5" s="233" t="s">
        <v>85</v>
      </c>
      <c r="IZ5" s="233" t="s">
        <v>296</v>
      </c>
      <c r="JA5" s="233" t="s">
        <v>85</v>
      </c>
      <c r="JB5" s="233" t="s">
        <v>20</v>
      </c>
      <c r="JC5" s="233" t="s">
        <v>296</v>
      </c>
      <c r="JD5" s="233" t="s">
        <v>85</v>
      </c>
      <c r="JE5" s="233" t="s">
        <v>296</v>
      </c>
      <c r="JF5" s="233" t="s">
        <v>85</v>
      </c>
      <c r="JG5" s="233" t="s">
        <v>296</v>
      </c>
      <c r="JH5" s="233" t="s">
        <v>85</v>
      </c>
      <c r="JI5" s="233" t="s">
        <v>296</v>
      </c>
      <c r="JJ5" s="233" t="s">
        <v>85</v>
      </c>
      <c r="JK5" s="233" t="s">
        <v>296</v>
      </c>
      <c r="JL5" s="233" t="s">
        <v>85</v>
      </c>
      <c r="JM5" s="233" t="s">
        <v>296</v>
      </c>
      <c r="JN5" s="233" t="s">
        <v>85</v>
      </c>
      <c r="JO5" s="233" t="s">
        <v>20</v>
      </c>
      <c r="JP5" s="111" t="s">
        <v>84</v>
      </c>
      <c r="JQ5" s="111" t="s">
        <v>85</v>
      </c>
      <c r="JR5" s="111" t="s">
        <v>84</v>
      </c>
      <c r="JS5" s="111" t="s">
        <v>85</v>
      </c>
      <c r="JT5" s="111" t="s">
        <v>84</v>
      </c>
      <c r="JU5" s="111" t="s">
        <v>85</v>
      </c>
      <c r="JV5" s="111" t="s">
        <v>84</v>
      </c>
      <c r="JW5" s="111" t="s">
        <v>85</v>
      </c>
      <c r="JX5" s="111" t="s">
        <v>84</v>
      </c>
      <c r="JY5" s="111" t="s">
        <v>85</v>
      </c>
      <c r="JZ5" s="111" t="s">
        <v>84</v>
      </c>
      <c r="KA5" s="111" t="s">
        <v>85</v>
      </c>
      <c r="KB5" s="111" t="s">
        <v>20</v>
      </c>
      <c r="KC5" s="242" t="s">
        <v>86</v>
      </c>
      <c r="KD5" s="242" t="s">
        <v>87</v>
      </c>
      <c r="KE5" s="242" t="s">
        <v>88</v>
      </c>
      <c r="KF5" s="242" t="s">
        <v>89</v>
      </c>
      <c r="KG5" s="242" t="s">
        <v>90</v>
      </c>
      <c r="KH5" s="112" t="s">
        <v>302</v>
      </c>
      <c r="KI5" s="112" t="s">
        <v>306</v>
      </c>
      <c r="KJ5" s="112" t="s">
        <v>303</v>
      </c>
      <c r="KK5" s="112" t="s">
        <v>304</v>
      </c>
      <c r="KL5" s="112" t="s">
        <v>305</v>
      </c>
      <c r="KM5" s="112" t="s">
        <v>91</v>
      </c>
      <c r="KN5" s="124" t="s">
        <v>92</v>
      </c>
      <c r="KO5" s="112" t="s">
        <v>20</v>
      </c>
      <c r="KP5" s="240" t="s">
        <v>93</v>
      </c>
      <c r="KQ5" s="240" t="s">
        <v>94</v>
      </c>
      <c r="KR5" s="111" t="s">
        <v>95</v>
      </c>
      <c r="KS5" s="242" t="s">
        <v>96</v>
      </c>
      <c r="KT5" s="242" t="s">
        <v>97</v>
      </c>
      <c r="KU5" s="242" t="s">
        <v>98</v>
      </c>
      <c r="KV5" s="242" t="s">
        <v>99</v>
      </c>
      <c r="KW5" s="163" t="s">
        <v>100</v>
      </c>
      <c r="KX5" s="242" t="s">
        <v>101</v>
      </c>
      <c r="KY5" s="163" t="s">
        <v>102</v>
      </c>
      <c r="KZ5" s="242" t="s">
        <v>316</v>
      </c>
      <c r="LA5" s="242" t="s">
        <v>315</v>
      </c>
      <c r="LB5" s="242" t="s">
        <v>320</v>
      </c>
      <c r="LC5" s="242" t="s">
        <v>103</v>
      </c>
      <c r="LD5" s="242" t="s">
        <v>19</v>
      </c>
      <c r="LE5" s="242" t="s">
        <v>82</v>
      </c>
      <c r="LF5" s="242" t="s">
        <v>83</v>
      </c>
      <c r="LG5" s="242" t="s">
        <v>104</v>
      </c>
      <c r="LH5" s="242" t="s">
        <v>83</v>
      </c>
      <c r="LI5" s="242" t="s">
        <v>82</v>
      </c>
      <c r="LJ5" s="242" t="s">
        <v>83</v>
      </c>
      <c r="LK5" s="242" t="s">
        <v>82</v>
      </c>
      <c r="LL5" s="242" t="s">
        <v>83</v>
      </c>
      <c r="LM5" s="111" t="s">
        <v>82</v>
      </c>
      <c r="LN5" s="111" t="s">
        <v>83</v>
      </c>
      <c r="LO5" s="111" t="s">
        <v>40</v>
      </c>
      <c r="LP5" s="111" t="s">
        <v>41</v>
      </c>
      <c r="LQ5" s="240" t="s">
        <v>105</v>
      </c>
      <c r="LR5" s="240" t="s">
        <v>44</v>
      </c>
      <c r="LS5" s="240" t="s">
        <v>106</v>
      </c>
      <c r="LT5" s="240" t="s">
        <v>107</v>
      </c>
      <c r="LU5" s="111" t="s">
        <v>108</v>
      </c>
      <c r="LV5" s="111" t="s">
        <v>109</v>
      </c>
      <c r="LW5" s="111" t="s">
        <v>110</v>
      </c>
      <c r="LX5" s="240" t="s">
        <v>111</v>
      </c>
      <c r="LY5" s="331"/>
      <c r="LZ5" s="239" t="s">
        <v>82</v>
      </c>
      <c r="MA5" s="239" t="s">
        <v>83</v>
      </c>
      <c r="MB5" s="239" t="s">
        <v>82</v>
      </c>
      <c r="MC5" s="239" t="s">
        <v>83</v>
      </c>
      <c r="MD5" s="239" t="s">
        <v>82</v>
      </c>
      <c r="ME5" s="239" t="s">
        <v>83</v>
      </c>
      <c r="MF5" s="239" t="s">
        <v>82</v>
      </c>
      <c r="MG5" s="239" t="s">
        <v>83</v>
      </c>
      <c r="MH5" s="239" t="s">
        <v>82</v>
      </c>
      <c r="MI5" s="239" t="s">
        <v>83</v>
      </c>
      <c r="MJ5" s="239" t="s">
        <v>82</v>
      </c>
      <c r="MK5" s="239" t="s">
        <v>83</v>
      </c>
      <c r="ML5" s="239" t="s">
        <v>82</v>
      </c>
      <c r="MM5" s="239" t="s">
        <v>83</v>
      </c>
      <c r="MN5" s="239" t="s">
        <v>82</v>
      </c>
      <c r="MO5" s="239" t="s">
        <v>83</v>
      </c>
    </row>
    <row r="6" spans="1:368" s="49" customFormat="1" ht="21" customHeight="1" thickTop="1" thickBot="1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7"/>
      <c r="AM6" s="38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40"/>
      <c r="AZ6" s="38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41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3"/>
      <c r="FA6" s="44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45"/>
      <c r="IN6" s="39"/>
      <c r="IO6" s="39"/>
      <c r="IP6" s="39"/>
      <c r="IQ6" s="39"/>
      <c r="IR6" s="162"/>
      <c r="IS6" s="162"/>
      <c r="IT6" s="162"/>
      <c r="IU6" s="162"/>
      <c r="IV6" s="162"/>
      <c r="IW6" s="162"/>
      <c r="IX6" s="162"/>
      <c r="IY6" s="162"/>
      <c r="IZ6" s="162"/>
      <c r="JA6" s="162"/>
      <c r="JB6" s="162"/>
      <c r="JC6" s="162"/>
      <c r="JD6" s="162"/>
      <c r="JE6" s="162"/>
      <c r="JF6" s="162"/>
      <c r="JG6" s="162"/>
      <c r="JH6" s="162"/>
      <c r="JI6" s="162"/>
      <c r="JJ6" s="162"/>
      <c r="JK6" s="162"/>
      <c r="JL6" s="162"/>
      <c r="JM6" s="162"/>
      <c r="JN6" s="162"/>
      <c r="JO6" s="162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113"/>
      <c r="KQ6" s="113"/>
      <c r="KR6" s="48"/>
      <c r="KS6" s="48"/>
      <c r="KT6" s="48"/>
      <c r="KU6" s="48"/>
      <c r="KV6" s="48"/>
      <c r="KW6" s="113"/>
      <c r="KX6" s="48"/>
      <c r="KY6" s="113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113"/>
      <c r="LR6" s="113"/>
      <c r="LS6" s="113"/>
      <c r="LT6" s="113"/>
      <c r="LU6" s="48"/>
      <c r="LV6" s="48"/>
      <c r="LW6" s="48"/>
      <c r="LX6" s="113"/>
      <c r="LY6" s="113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</row>
    <row r="7" spans="1:368" s="49" customFormat="1" ht="21" customHeight="1" thickBot="1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7"/>
      <c r="AM7" s="38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40"/>
      <c r="AZ7" s="38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41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3"/>
      <c r="FA7" s="44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45"/>
      <c r="IN7" s="39"/>
      <c r="IO7" s="39"/>
      <c r="IP7" s="39"/>
      <c r="IQ7" s="39"/>
      <c r="IR7" s="162"/>
      <c r="IS7" s="162"/>
      <c r="IT7" s="162"/>
      <c r="IU7" s="162"/>
      <c r="IV7" s="162"/>
      <c r="IW7" s="162"/>
      <c r="IX7" s="162"/>
      <c r="IY7" s="162"/>
      <c r="IZ7" s="162"/>
      <c r="JA7" s="162"/>
      <c r="JB7" s="162"/>
      <c r="JC7" s="162"/>
      <c r="JD7" s="162"/>
      <c r="JE7" s="162"/>
      <c r="JF7" s="162"/>
      <c r="JG7" s="162"/>
      <c r="JH7" s="162"/>
      <c r="JI7" s="162"/>
      <c r="JJ7" s="162"/>
      <c r="JK7" s="162"/>
      <c r="JL7" s="162"/>
      <c r="JM7" s="162"/>
      <c r="JN7" s="162"/>
      <c r="JO7" s="162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113"/>
      <c r="KQ7" s="113"/>
      <c r="KR7" s="48"/>
      <c r="KS7" s="48"/>
      <c r="KT7" s="48"/>
      <c r="KU7" s="48"/>
      <c r="KV7" s="48"/>
      <c r="KW7" s="113"/>
      <c r="KX7" s="48"/>
      <c r="KY7" s="113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113"/>
      <c r="LR7" s="113"/>
      <c r="LS7" s="113"/>
      <c r="LT7" s="113"/>
      <c r="LU7" s="48"/>
      <c r="LV7" s="48"/>
      <c r="LW7" s="48"/>
      <c r="LX7" s="113"/>
      <c r="LY7" s="113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</row>
    <row r="8" spans="1:368" s="49" customFormat="1" ht="21" customHeight="1" thickBot="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7"/>
      <c r="AM8" s="38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40"/>
      <c r="AZ8" s="38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41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3"/>
      <c r="FA8" s="44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45"/>
      <c r="IN8" s="39"/>
      <c r="IO8" s="39"/>
      <c r="IP8" s="39"/>
      <c r="IQ8" s="39"/>
      <c r="IR8" s="162"/>
      <c r="IS8" s="162"/>
      <c r="IT8" s="162"/>
      <c r="IU8" s="162"/>
      <c r="IV8" s="162"/>
      <c r="IW8" s="162"/>
      <c r="IX8" s="162"/>
      <c r="IY8" s="162"/>
      <c r="IZ8" s="162"/>
      <c r="JA8" s="162"/>
      <c r="JB8" s="162"/>
      <c r="JC8" s="162"/>
      <c r="JD8" s="162"/>
      <c r="JE8" s="162"/>
      <c r="JF8" s="162"/>
      <c r="JG8" s="162"/>
      <c r="JH8" s="162"/>
      <c r="JI8" s="162"/>
      <c r="JJ8" s="162"/>
      <c r="JK8" s="162"/>
      <c r="JL8" s="162"/>
      <c r="JM8" s="162"/>
      <c r="JN8" s="162"/>
      <c r="JO8" s="162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113"/>
      <c r="KQ8" s="113"/>
      <c r="KR8" s="48"/>
      <c r="KS8" s="48"/>
      <c r="KT8" s="48"/>
      <c r="KU8" s="48"/>
      <c r="KV8" s="48"/>
      <c r="KW8" s="113"/>
      <c r="KX8" s="48"/>
      <c r="KY8" s="113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113"/>
      <c r="LR8" s="113"/>
      <c r="LS8" s="113"/>
      <c r="LT8" s="113"/>
      <c r="LU8" s="48"/>
      <c r="LV8" s="48"/>
      <c r="LW8" s="48"/>
      <c r="LX8" s="113"/>
      <c r="LY8" s="113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</row>
    <row r="9" spans="1:368" s="49" customFormat="1" ht="21" customHeight="1" thickBot="1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7"/>
      <c r="AM9" s="38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40"/>
      <c r="AZ9" s="38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41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  <c r="EY9" s="42"/>
      <c r="EZ9" s="43"/>
      <c r="FA9" s="44"/>
      <c r="FB9" s="42"/>
      <c r="FC9" s="42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45"/>
      <c r="IN9" s="39"/>
      <c r="IO9" s="39"/>
      <c r="IP9" s="39"/>
      <c r="IQ9" s="39"/>
      <c r="IR9" s="162"/>
      <c r="IS9" s="162"/>
      <c r="IT9" s="162"/>
      <c r="IU9" s="162"/>
      <c r="IV9" s="162"/>
      <c r="IW9" s="162"/>
      <c r="IX9" s="162"/>
      <c r="IY9" s="162"/>
      <c r="IZ9" s="162"/>
      <c r="JA9" s="162"/>
      <c r="JB9" s="162"/>
      <c r="JC9" s="162"/>
      <c r="JD9" s="162"/>
      <c r="JE9" s="162"/>
      <c r="JF9" s="162"/>
      <c r="JG9" s="162"/>
      <c r="JH9" s="162"/>
      <c r="JI9" s="162"/>
      <c r="JJ9" s="162"/>
      <c r="JK9" s="162"/>
      <c r="JL9" s="162"/>
      <c r="JM9" s="162"/>
      <c r="JN9" s="162"/>
      <c r="JO9" s="162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113"/>
      <c r="KQ9" s="113"/>
      <c r="KR9" s="48"/>
      <c r="KS9" s="48"/>
      <c r="KT9" s="48"/>
      <c r="KU9" s="48"/>
      <c r="KV9" s="48"/>
      <c r="KW9" s="113"/>
      <c r="KX9" s="48"/>
      <c r="KY9" s="113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113"/>
      <c r="LR9" s="113"/>
      <c r="LS9" s="113"/>
      <c r="LT9" s="113"/>
      <c r="LU9" s="48"/>
      <c r="LV9" s="48"/>
      <c r="LW9" s="48"/>
      <c r="LX9" s="113"/>
      <c r="LY9" s="113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</row>
    <row r="10" spans="1:368" s="49" customFormat="1" ht="21" customHeight="1" thickBot="1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7"/>
      <c r="AM10" s="38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40"/>
      <c r="AZ10" s="38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41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3"/>
      <c r="FA10" s="44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45"/>
      <c r="IN10" s="39"/>
      <c r="IO10" s="39"/>
      <c r="IP10" s="39"/>
      <c r="IQ10" s="39"/>
      <c r="IR10" s="162"/>
      <c r="IS10" s="162"/>
      <c r="IT10" s="162"/>
      <c r="IU10" s="162"/>
      <c r="IV10" s="162"/>
      <c r="IW10" s="162"/>
      <c r="IX10" s="162"/>
      <c r="IY10" s="162"/>
      <c r="IZ10" s="162"/>
      <c r="JA10" s="162"/>
      <c r="JB10" s="162"/>
      <c r="JC10" s="162"/>
      <c r="JD10" s="162"/>
      <c r="JE10" s="162"/>
      <c r="JF10" s="162"/>
      <c r="JG10" s="162"/>
      <c r="JH10" s="162"/>
      <c r="JI10" s="162"/>
      <c r="JJ10" s="162"/>
      <c r="JK10" s="162"/>
      <c r="JL10" s="162"/>
      <c r="JM10" s="162"/>
      <c r="JN10" s="162"/>
      <c r="JO10" s="162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113"/>
      <c r="KQ10" s="113"/>
      <c r="KR10" s="48"/>
      <c r="KS10" s="48"/>
      <c r="KT10" s="48"/>
      <c r="KU10" s="48"/>
      <c r="KV10" s="48"/>
      <c r="KW10" s="113"/>
      <c r="KX10" s="48"/>
      <c r="KY10" s="113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113"/>
      <c r="LR10" s="113"/>
      <c r="LS10" s="113"/>
      <c r="LT10" s="113"/>
      <c r="LU10" s="48"/>
      <c r="LV10" s="48"/>
      <c r="LW10" s="48"/>
      <c r="LX10" s="113"/>
      <c r="LY10" s="113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</row>
    <row r="11" spans="1:368" s="49" customFormat="1" ht="21" customHeight="1" thickBot="1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7"/>
      <c r="AM11" s="38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40"/>
      <c r="AZ11" s="38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41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3"/>
      <c r="FA11" s="44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45"/>
      <c r="IN11" s="39"/>
      <c r="IO11" s="39"/>
      <c r="IP11" s="39"/>
      <c r="IQ11" s="39"/>
      <c r="IR11" s="162"/>
      <c r="IS11" s="162"/>
      <c r="IT11" s="162"/>
      <c r="IU11" s="162"/>
      <c r="IV11" s="162"/>
      <c r="IW11" s="162"/>
      <c r="IX11" s="162"/>
      <c r="IY11" s="162"/>
      <c r="IZ11" s="162"/>
      <c r="JA11" s="162"/>
      <c r="JB11" s="162"/>
      <c r="JC11" s="162"/>
      <c r="JD11" s="162"/>
      <c r="JE11" s="162"/>
      <c r="JF11" s="162"/>
      <c r="JG11" s="162"/>
      <c r="JH11" s="162"/>
      <c r="JI11" s="162"/>
      <c r="JJ11" s="162"/>
      <c r="JK11" s="162"/>
      <c r="JL11" s="162"/>
      <c r="JM11" s="162"/>
      <c r="JN11" s="162"/>
      <c r="JO11" s="162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113"/>
      <c r="KQ11" s="113"/>
      <c r="KR11" s="48"/>
      <c r="KS11" s="48"/>
      <c r="KT11" s="48"/>
      <c r="KU11" s="48"/>
      <c r="KV11" s="48"/>
      <c r="KW11" s="113"/>
      <c r="KX11" s="48"/>
      <c r="KY11" s="113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113"/>
      <c r="LR11" s="113"/>
      <c r="LS11" s="113"/>
      <c r="LT11" s="113"/>
      <c r="LU11" s="48"/>
      <c r="LV11" s="48"/>
      <c r="LW11" s="48"/>
      <c r="LX11" s="113"/>
      <c r="LY11" s="113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</row>
    <row r="12" spans="1:368" s="157" customFormat="1" ht="21" customHeight="1" thickBot="1" x14ac:dyDescent="0.25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C12" s="145"/>
      <c r="AD12" s="145"/>
      <c r="AE12" s="145"/>
      <c r="AF12" s="145"/>
      <c r="AG12" s="145"/>
      <c r="AH12" s="145"/>
      <c r="AI12" s="145"/>
      <c r="AJ12" s="145"/>
      <c r="AK12" s="145"/>
      <c r="AL12" s="146"/>
      <c r="AM12" s="147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9"/>
      <c r="AZ12" s="147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48"/>
      <c r="CL12" s="148"/>
      <c r="CM12" s="148"/>
      <c r="CN12" s="148"/>
      <c r="CO12" s="148"/>
      <c r="CP12" s="148"/>
      <c r="CQ12" s="148"/>
      <c r="CR12" s="148"/>
      <c r="CS12" s="148"/>
      <c r="CT12" s="148"/>
      <c r="CU12" s="148"/>
      <c r="CV12" s="148"/>
      <c r="CW12" s="148"/>
      <c r="CX12" s="148"/>
      <c r="CY12" s="148"/>
      <c r="CZ12" s="148"/>
      <c r="DA12" s="148"/>
      <c r="DB12" s="150"/>
      <c r="DC12" s="151"/>
      <c r="DD12" s="151"/>
      <c r="DE12" s="151"/>
      <c r="DF12" s="151"/>
      <c r="DG12" s="151"/>
      <c r="DH12" s="151"/>
      <c r="DI12" s="151"/>
      <c r="DJ12" s="151"/>
      <c r="DK12" s="151"/>
      <c r="DL12" s="151"/>
      <c r="DM12" s="151"/>
      <c r="DN12" s="151"/>
      <c r="DO12" s="151"/>
      <c r="DP12" s="151"/>
      <c r="DQ12" s="151"/>
      <c r="DR12" s="151"/>
      <c r="DS12" s="151"/>
      <c r="DT12" s="151"/>
      <c r="DU12" s="151"/>
      <c r="DV12" s="151"/>
      <c r="DW12" s="151"/>
      <c r="DX12" s="151"/>
      <c r="DY12" s="151"/>
      <c r="DZ12" s="151"/>
      <c r="EA12" s="151"/>
      <c r="EB12" s="151"/>
      <c r="EC12" s="151"/>
      <c r="ED12" s="151"/>
      <c r="EE12" s="151"/>
      <c r="EF12" s="151"/>
      <c r="EG12" s="151"/>
      <c r="EH12" s="151"/>
      <c r="EI12" s="151"/>
      <c r="EJ12" s="151"/>
      <c r="EK12" s="151"/>
      <c r="EL12" s="151"/>
      <c r="EM12" s="151"/>
      <c r="EN12" s="151"/>
      <c r="EO12" s="151"/>
      <c r="EP12" s="151"/>
      <c r="EQ12" s="151"/>
      <c r="ER12" s="151"/>
      <c r="ES12" s="151"/>
      <c r="ET12" s="151"/>
      <c r="EU12" s="151"/>
      <c r="EV12" s="151"/>
      <c r="EW12" s="151"/>
      <c r="EX12" s="151"/>
      <c r="EY12" s="151"/>
      <c r="EZ12" s="152"/>
      <c r="FA12" s="153"/>
      <c r="FB12" s="151"/>
      <c r="FC12" s="151"/>
      <c r="FD12" s="151"/>
      <c r="FE12" s="151"/>
      <c r="FF12" s="151"/>
      <c r="FG12" s="151"/>
      <c r="FH12" s="151"/>
      <c r="FI12" s="151"/>
      <c r="FJ12" s="151"/>
      <c r="FK12" s="151"/>
      <c r="FL12" s="151"/>
      <c r="FM12" s="151"/>
      <c r="FN12" s="151"/>
      <c r="FO12" s="151"/>
      <c r="FP12" s="151"/>
      <c r="FQ12" s="151"/>
      <c r="FR12" s="151"/>
      <c r="FS12" s="151"/>
      <c r="FT12" s="151"/>
      <c r="FU12" s="151"/>
      <c r="FV12" s="151"/>
      <c r="FW12" s="151"/>
      <c r="FX12" s="151"/>
      <c r="FY12" s="151"/>
      <c r="FZ12" s="151"/>
      <c r="GA12" s="151"/>
      <c r="GB12" s="151"/>
      <c r="GC12" s="151"/>
      <c r="GD12" s="151"/>
      <c r="GE12" s="151"/>
      <c r="GF12" s="151"/>
      <c r="GG12" s="151"/>
      <c r="GH12" s="151"/>
      <c r="GI12" s="151"/>
      <c r="GJ12" s="151"/>
      <c r="GK12" s="151"/>
      <c r="GL12" s="151"/>
      <c r="GM12" s="151"/>
      <c r="GN12" s="151"/>
      <c r="GO12" s="151"/>
      <c r="GP12" s="151"/>
      <c r="GQ12" s="151"/>
      <c r="GR12" s="151"/>
      <c r="GS12" s="151"/>
      <c r="GT12" s="151"/>
      <c r="GU12" s="151"/>
      <c r="GV12" s="151"/>
      <c r="GW12" s="151"/>
      <c r="GX12" s="151"/>
      <c r="GY12" s="151"/>
      <c r="GZ12" s="151"/>
      <c r="HA12" s="151"/>
      <c r="HB12" s="151"/>
      <c r="HC12" s="151"/>
      <c r="HD12" s="151"/>
      <c r="HE12" s="148"/>
      <c r="HF12" s="148"/>
      <c r="HG12" s="148"/>
      <c r="HH12" s="148"/>
      <c r="HI12" s="148"/>
      <c r="HJ12" s="148"/>
      <c r="HK12" s="148"/>
      <c r="HL12" s="148"/>
      <c r="HM12" s="148"/>
      <c r="HN12" s="148"/>
      <c r="HO12" s="148"/>
      <c r="HP12" s="148"/>
      <c r="HQ12" s="148"/>
      <c r="HR12" s="148"/>
      <c r="HS12" s="148"/>
      <c r="HT12" s="148"/>
      <c r="HU12" s="148"/>
      <c r="HV12" s="148"/>
      <c r="HW12" s="148"/>
      <c r="HX12" s="148"/>
      <c r="HY12" s="148"/>
      <c r="HZ12" s="148"/>
      <c r="IA12" s="148"/>
      <c r="IB12" s="148"/>
      <c r="IC12" s="148"/>
      <c r="ID12" s="148"/>
      <c r="IE12" s="148"/>
      <c r="IF12" s="148"/>
      <c r="IG12" s="148"/>
      <c r="IH12" s="148"/>
      <c r="II12" s="148"/>
      <c r="IJ12" s="148"/>
      <c r="IK12" s="148"/>
      <c r="IL12" s="148"/>
      <c r="IM12" s="154"/>
      <c r="IN12" s="148"/>
      <c r="IO12" s="148"/>
      <c r="IP12" s="148"/>
      <c r="IQ12" s="148"/>
      <c r="IR12" s="226"/>
      <c r="IS12" s="226"/>
      <c r="IT12" s="226"/>
      <c r="IU12" s="226"/>
      <c r="IV12" s="226"/>
      <c r="IW12" s="226"/>
      <c r="IX12" s="226"/>
      <c r="IY12" s="226"/>
      <c r="IZ12" s="226"/>
      <c r="JA12" s="226"/>
      <c r="JB12" s="226"/>
      <c r="JC12" s="226"/>
      <c r="JD12" s="226"/>
      <c r="JE12" s="226"/>
      <c r="JF12" s="226"/>
      <c r="JG12" s="226"/>
      <c r="JH12" s="226"/>
      <c r="JI12" s="226"/>
      <c r="JJ12" s="226"/>
      <c r="JK12" s="226"/>
      <c r="JL12" s="226"/>
      <c r="JM12" s="226"/>
      <c r="JN12" s="226"/>
      <c r="JO12" s="226"/>
      <c r="JP12" s="156"/>
      <c r="JQ12" s="156"/>
      <c r="JR12" s="156"/>
      <c r="JS12" s="156"/>
      <c r="JT12" s="156"/>
      <c r="JU12" s="156"/>
      <c r="JV12" s="156"/>
      <c r="JW12" s="156"/>
      <c r="JX12" s="156"/>
      <c r="JY12" s="156"/>
      <c r="JZ12" s="156"/>
      <c r="KA12" s="156"/>
      <c r="KB12" s="156"/>
      <c r="KC12" s="156"/>
      <c r="KD12" s="156"/>
      <c r="KE12" s="156"/>
      <c r="KF12" s="156"/>
      <c r="KG12" s="156"/>
      <c r="KH12" s="156"/>
      <c r="KI12" s="156"/>
      <c r="KJ12" s="156"/>
      <c r="KK12" s="156"/>
      <c r="KL12" s="156"/>
      <c r="KM12" s="156"/>
      <c r="KN12" s="156"/>
      <c r="KO12" s="156"/>
      <c r="KP12" s="227"/>
      <c r="KQ12" s="227"/>
      <c r="KR12" s="156"/>
      <c r="KS12" s="156"/>
      <c r="KT12" s="156"/>
      <c r="KU12" s="156"/>
      <c r="KV12" s="156"/>
      <c r="KW12" s="227"/>
      <c r="KX12" s="156"/>
      <c r="KY12" s="227"/>
      <c r="KZ12" s="156"/>
      <c r="LA12" s="156"/>
      <c r="LB12" s="156"/>
      <c r="LC12" s="156"/>
      <c r="LD12" s="156"/>
      <c r="LE12" s="156"/>
      <c r="LF12" s="156"/>
      <c r="LG12" s="156"/>
      <c r="LH12" s="156"/>
      <c r="LI12" s="156"/>
      <c r="LJ12" s="156"/>
      <c r="LK12" s="156"/>
      <c r="LL12" s="156"/>
      <c r="LM12" s="156"/>
      <c r="LN12" s="156"/>
      <c r="LO12" s="156"/>
      <c r="LP12" s="156"/>
      <c r="LQ12" s="227"/>
      <c r="LR12" s="227"/>
      <c r="LS12" s="227"/>
      <c r="LT12" s="227"/>
      <c r="LU12" s="156"/>
      <c r="LV12" s="156"/>
      <c r="LW12" s="156"/>
      <c r="LX12" s="227"/>
      <c r="LY12" s="227"/>
      <c r="LZ12" s="156"/>
      <c r="MA12" s="156"/>
      <c r="MB12" s="156"/>
      <c r="MC12" s="156"/>
      <c r="MD12" s="156"/>
      <c r="ME12" s="156"/>
      <c r="MF12" s="156"/>
      <c r="MG12" s="156"/>
      <c r="MH12" s="156"/>
      <c r="MI12" s="156"/>
      <c r="MJ12" s="156"/>
      <c r="MK12" s="156"/>
      <c r="ML12" s="156"/>
      <c r="MM12" s="156"/>
      <c r="MN12" s="156"/>
      <c r="MO12" s="156"/>
    </row>
    <row r="13" spans="1:368" s="49" customFormat="1" ht="21" customHeight="1" thickBot="1" x14ac:dyDescent="0.25">
      <c r="A13" s="145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228"/>
      <c r="AA13" s="228"/>
      <c r="AB13" s="228"/>
      <c r="AC13" s="228"/>
      <c r="AD13" s="36"/>
      <c r="AE13" s="36"/>
      <c r="AF13" s="36"/>
      <c r="AG13" s="36"/>
      <c r="AH13" s="36"/>
      <c r="AI13" s="36"/>
      <c r="AJ13" s="145"/>
      <c r="AK13" s="145"/>
      <c r="AL13" s="146"/>
      <c r="AM13" s="38"/>
      <c r="AN13" s="39"/>
      <c r="AO13" s="39"/>
      <c r="AP13" s="39"/>
      <c r="AQ13" s="39"/>
      <c r="AR13" s="39"/>
      <c r="AS13" s="39"/>
      <c r="AT13" s="39"/>
      <c r="AU13" s="39"/>
      <c r="AV13" s="39"/>
      <c r="AW13" s="148"/>
      <c r="AX13" s="148"/>
      <c r="AY13" s="149"/>
      <c r="AZ13" s="38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148"/>
      <c r="BM13" s="148"/>
      <c r="BN13" s="148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148"/>
      <c r="BZ13" s="148"/>
      <c r="CA13" s="148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148"/>
      <c r="CM13" s="148"/>
      <c r="CN13" s="148"/>
      <c r="CO13" s="39"/>
      <c r="CP13" s="39"/>
      <c r="CQ13" s="39"/>
      <c r="CR13" s="39"/>
      <c r="CS13" s="39"/>
      <c r="CT13" s="39"/>
      <c r="CU13" s="39"/>
      <c r="CV13" s="39"/>
      <c r="CW13" s="39"/>
      <c r="CX13" s="39"/>
      <c r="CY13" s="148"/>
      <c r="CZ13" s="148"/>
      <c r="DA13" s="148"/>
      <c r="DB13" s="41"/>
      <c r="DC13" s="42"/>
      <c r="DD13" s="42"/>
      <c r="DE13" s="42"/>
      <c r="DF13" s="42"/>
      <c r="DG13" s="42"/>
      <c r="DH13" s="42"/>
      <c r="DI13" s="42"/>
      <c r="DJ13" s="42"/>
      <c r="DK13" s="42"/>
      <c r="DL13" s="151"/>
      <c r="DM13" s="151"/>
      <c r="DN13" s="151"/>
      <c r="DO13" s="42"/>
      <c r="DP13" s="42"/>
      <c r="DQ13" s="42"/>
      <c r="DR13" s="42"/>
      <c r="DS13" s="42"/>
      <c r="DT13" s="42"/>
      <c r="DU13" s="42"/>
      <c r="DV13" s="42"/>
      <c r="DW13" s="42"/>
      <c r="DX13" s="42"/>
      <c r="DY13" s="151"/>
      <c r="DZ13" s="151"/>
      <c r="EA13" s="151"/>
      <c r="EB13" s="151"/>
      <c r="EC13" s="151"/>
      <c r="ED13" s="151"/>
      <c r="EE13" s="151"/>
      <c r="EF13" s="151"/>
      <c r="EG13" s="151"/>
      <c r="EH13" s="151"/>
      <c r="EI13" s="151"/>
      <c r="EJ13" s="151"/>
      <c r="EK13" s="151"/>
      <c r="EL13" s="151"/>
      <c r="EM13" s="151"/>
      <c r="EN13" s="151"/>
      <c r="EO13" s="151"/>
      <c r="EP13" s="151"/>
      <c r="EQ13" s="151"/>
      <c r="ER13" s="151"/>
      <c r="ES13" s="151"/>
      <c r="ET13" s="151"/>
      <c r="EU13" s="151"/>
      <c r="EV13" s="151"/>
      <c r="EW13" s="151"/>
      <c r="EX13" s="151"/>
      <c r="EY13" s="151"/>
      <c r="EZ13" s="152"/>
      <c r="FA13" s="44"/>
      <c r="FB13" s="42"/>
      <c r="FC13" s="42"/>
      <c r="FD13" s="42"/>
      <c r="FE13" s="42"/>
      <c r="FF13" s="42"/>
      <c r="FG13" s="42"/>
      <c r="FH13" s="42"/>
      <c r="FI13" s="42"/>
      <c r="FJ13" s="42"/>
      <c r="FK13" s="151"/>
      <c r="FL13" s="151"/>
      <c r="FM13" s="151"/>
      <c r="FN13" s="42"/>
      <c r="FO13" s="42"/>
      <c r="FP13" s="42"/>
      <c r="FQ13" s="42"/>
      <c r="FR13" s="42"/>
      <c r="FS13" s="42"/>
      <c r="FT13" s="42"/>
      <c r="FU13" s="42"/>
      <c r="FV13" s="42"/>
      <c r="FW13" s="42"/>
      <c r="FX13" s="42"/>
      <c r="FY13" s="42"/>
      <c r="FZ13" s="42"/>
      <c r="GA13" s="42"/>
      <c r="GB13" s="42"/>
      <c r="GC13" s="42"/>
      <c r="GD13" s="42"/>
      <c r="GE13" s="42"/>
      <c r="GF13" s="42"/>
      <c r="GG13" s="42"/>
      <c r="GH13" s="42"/>
      <c r="GI13" s="42"/>
      <c r="GJ13" s="42"/>
      <c r="GK13" s="42"/>
      <c r="GL13" s="42"/>
      <c r="GM13" s="42"/>
      <c r="GN13" s="151"/>
      <c r="GO13" s="151"/>
      <c r="GP13" s="151"/>
      <c r="GQ13" s="151"/>
      <c r="GR13" s="151"/>
      <c r="GS13" s="151"/>
      <c r="GT13" s="151"/>
      <c r="GU13" s="151"/>
      <c r="GV13" s="151"/>
      <c r="GW13" s="151"/>
      <c r="GX13" s="151"/>
      <c r="GY13" s="151"/>
      <c r="GZ13" s="151"/>
      <c r="HA13" s="151"/>
      <c r="HB13" s="151"/>
      <c r="HC13" s="151"/>
      <c r="HD13" s="151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148"/>
      <c r="HX13" s="148"/>
      <c r="HY13" s="148"/>
      <c r="HZ13" s="148"/>
      <c r="IA13" s="39"/>
      <c r="IB13" s="39"/>
      <c r="IC13" s="39"/>
      <c r="ID13" s="39"/>
      <c r="IE13" s="39"/>
      <c r="IF13" s="39"/>
      <c r="IG13" s="39"/>
      <c r="IH13" s="39"/>
      <c r="II13" s="39"/>
      <c r="IJ13" s="148"/>
      <c r="IK13" s="148"/>
      <c r="IL13" s="148"/>
      <c r="IM13" s="154"/>
      <c r="IN13" s="148"/>
      <c r="IO13" s="148"/>
      <c r="IP13" s="148"/>
      <c r="IQ13" s="148"/>
      <c r="IR13" s="47"/>
      <c r="IS13" s="47"/>
      <c r="IT13" s="47"/>
      <c r="IU13" s="47"/>
      <c r="IV13" s="47"/>
      <c r="IW13" s="47"/>
      <c r="IX13" s="47"/>
      <c r="IY13" s="47"/>
      <c r="IZ13" s="226"/>
      <c r="JA13" s="226"/>
      <c r="JB13" s="226"/>
      <c r="JC13" s="47"/>
      <c r="JD13" s="47"/>
      <c r="JE13" s="47"/>
      <c r="JF13" s="47"/>
      <c r="JG13" s="47"/>
      <c r="JH13" s="47"/>
      <c r="JI13" s="47"/>
      <c r="JJ13" s="47"/>
      <c r="JK13" s="47"/>
      <c r="JL13" s="47"/>
      <c r="JM13" s="47"/>
      <c r="JN13" s="47"/>
      <c r="JO13" s="47"/>
      <c r="JP13" s="156"/>
      <c r="JQ13" s="156"/>
      <c r="JR13" s="156"/>
      <c r="JS13" s="156"/>
      <c r="JT13" s="156"/>
      <c r="JU13" s="156"/>
      <c r="JV13" s="156"/>
      <c r="JW13" s="156"/>
      <c r="JX13" s="156"/>
      <c r="JY13" s="156"/>
      <c r="JZ13" s="156"/>
      <c r="KA13" s="156"/>
      <c r="KB13" s="156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113"/>
      <c r="KQ13" s="113"/>
      <c r="KR13" s="48"/>
      <c r="KS13" s="48"/>
      <c r="KT13" s="48"/>
      <c r="KU13" s="48"/>
      <c r="KV13" s="48"/>
      <c r="KW13" s="113"/>
      <c r="KX13" s="48"/>
      <c r="KY13" s="113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113"/>
      <c r="LR13" s="113"/>
      <c r="LS13" s="113"/>
      <c r="LT13" s="113"/>
      <c r="LU13" s="48"/>
      <c r="LV13" s="48"/>
      <c r="LW13" s="48"/>
      <c r="LX13" s="113"/>
      <c r="LY13" s="113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</row>
    <row r="14" spans="1:368" s="116" customFormat="1" ht="21" customHeight="1" thickBot="1" x14ac:dyDescent="0.25">
      <c r="A14" s="114"/>
      <c r="B14" s="114"/>
      <c r="C14" s="368" t="s">
        <v>310</v>
      </c>
      <c r="D14" s="369"/>
      <c r="E14" s="370"/>
      <c r="F14" s="115">
        <f>SUM(F6:F13)</f>
        <v>0</v>
      </c>
      <c r="G14" s="115">
        <f t="shared" ref="G14:BR14" si="0">SUM(G6:G13)</f>
        <v>0</v>
      </c>
      <c r="H14" s="115">
        <f t="shared" si="0"/>
        <v>0</v>
      </c>
      <c r="I14" s="115">
        <f t="shared" si="0"/>
        <v>0</v>
      </c>
      <c r="J14" s="115">
        <f t="shared" si="0"/>
        <v>0</v>
      </c>
      <c r="K14" s="115">
        <f t="shared" si="0"/>
        <v>0</v>
      </c>
      <c r="L14" s="115">
        <f t="shared" si="0"/>
        <v>0</v>
      </c>
      <c r="M14" s="115">
        <f t="shared" si="0"/>
        <v>0</v>
      </c>
      <c r="N14" s="115">
        <f t="shared" si="0"/>
        <v>0</v>
      </c>
      <c r="O14" s="115">
        <f t="shared" si="0"/>
        <v>0</v>
      </c>
      <c r="P14" s="115">
        <f t="shared" si="0"/>
        <v>0</v>
      </c>
      <c r="Q14" s="115">
        <f t="shared" si="0"/>
        <v>0</v>
      </c>
      <c r="R14" s="115">
        <f t="shared" si="0"/>
        <v>0</v>
      </c>
      <c r="S14" s="115">
        <f t="shared" si="0"/>
        <v>0</v>
      </c>
      <c r="T14" s="115">
        <f t="shared" si="0"/>
        <v>0</v>
      </c>
      <c r="U14" s="115">
        <f t="shared" si="0"/>
        <v>0</v>
      </c>
      <c r="V14" s="115">
        <f t="shared" si="0"/>
        <v>0</v>
      </c>
      <c r="W14" s="115">
        <f t="shared" si="0"/>
        <v>0</v>
      </c>
      <c r="X14" s="115">
        <f t="shared" si="0"/>
        <v>0</v>
      </c>
      <c r="Y14" s="115">
        <f t="shared" si="0"/>
        <v>0</v>
      </c>
      <c r="Z14" s="115">
        <f t="shared" si="0"/>
        <v>0</v>
      </c>
      <c r="AA14" s="115">
        <f t="shared" si="0"/>
        <v>0</v>
      </c>
      <c r="AB14" s="115">
        <f t="shared" si="0"/>
        <v>0</v>
      </c>
      <c r="AC14" s="115">
        <f t="shared" si="0"/>
        <v>0</v>
      </c>
      <c r="AD14" s="115">
        <f t="shared" si="0"/>
        <v>0</v>
      </c>
      <c r="AE14" s="115">
        <f t="shared" si="0"/>
        <v>0</v>
      </c>
      <c r="AF14" s="115">
        <f t="shared" si="0"/>
        <v>0</v>
      </c>
      <c r="AG14" s="115">
        <f t="shared" si="0"/>
        <v>0</v>
      </c>
      <c r="AH14" s="115">
        <f t="shared" si="0"/>
        <v>0</v>
      </c>
      <c r="AI14" s="115">
        <f t="shared" si="0"/>
        <v>0</v>
      </c>
      <c r="AJ14" s="115">
        <f t="shared" si="0"/>
        <v>0</v>
      </c>
      <c r="AK14" s="115">
        <f t="shared" si="0"/>
        <v>0</v>
      </c>
      <c r="AL14" s="115">
        <f t="shared" si="0"/>
        <v>0</v>
      </c>
      <c r="AM14" s="115">
        <f t="shared" si="0"/>
        <v>0</v>
      </c>
      <c r="AN14" s="115">
        <f t="shared" si="0"/>
        <v>0</v>
      </c>
      <c r="AO14" s="115">
        <f t="shared" si="0"/>
        <v>0</v>
      </c>
      <c r="AP14" s="115">
        <f t="shared" si="0"/>
        <v>0</v>
      </c>
      <c r="AQ14" s="115">
        <f t="shared" si="0"/>
        <v>0</v>
      </c>
      <c r="AR14" s="115">
        <f t="shared" si="0"/>
        <v>0</v>
      </c>
      <c r="AS14" s="115">
        <f t="shared" si="0"/>
        <v>0</v>
      </c>
      <c r="AT14" s="115">
        <f t="shared" si="0"/>
        <v>0</v>
      </c>
      <c r="AU14" s="115">
        <f t="shared" si="0"/>
        <v>0</v>
      </c>
      <c r="AV14" s="115">
        <f t="shared" si="0"/>
        <v>0</v>
      </c>
      <c r="AW14" s="115">
        <f t="shared" si="0"/>
        <v>0</v>
      </c>
      <c r="AX14" s="115">
        <f t="shared" si="0"/>
        <v>0</v>
      </c>
      <c r="AY14" s="115">
        <f t="shared" si="0"/>
        <v>0</v>
      </c>
      <c r="AZ14" s="115">
        <f t="shared" si="0"/>
        <v>0</v>
      </c>
      <c r="BA14" s="115">
        <f t="shared" si="0"/>
        <v>0</v>
      </c>
      <c r="BB14" s="115">
        <f t="shared" si="0"/>
        <v>0</v>
      </c>
      <c r="BC14" s="115">
        <f t="shared" si="0"/>
        <v>0</v>
      </c>
      <c r="BD14" s="115">
        <f t="shared" si="0"/>
        <v>0</v>
      </c>
      <c r="BE14" s="115">
        <f t="shared" si="0"/>
        <v>0</v>
      </c>
      <c r="BF14" s="115">
        <f t="shared" si="0"/>
        <v>0</v>
      </c>
      <c r="BG14" s="115">
        <f t="shared" si="0"/>
        <v>0</v>
      </c>
      <c r="BH14" s="115">
        <f t="shared" si="0"/>
        <v>0</v>
      </c>
      <c r="BI14" s="115">
        <f t="shared" si="0"/>
        <v>0</v>
      </c>
      <c r="BJ14" s="115">
        <f t="shared" si="0"/>
        <v>0</v>
      </c>
      <c r="BK14" s="115">
        <f t="shared" si="0"/>
        <v>0</v>
      </c>
      <c r="BL14" s="115">
        <f t="shared" si="0"/>
        <v>0</v>
      </c>
      <c r="BM14" s="115">
        <f t="shared" si="0"/>
        <v>0</v>
      </c>
      <c r="BN14" s="115">
        <f t="shared" si="0"/>
        <v>0</v>
      </c>
      <c r="BO14" s="115">
        <f t="shared" si="0"/>
        <v>0</v>
      </c>
      <c r="BP14" s="115">
        <f t="shared" si="0"/>
        <v>0</v>
      </c>
      <c r="BQ14" s="115">
        <f t="shared" si="0"/>
        <v>0</v>
      </c>
      <c r="BR14" s="115">
        <f t="shared" si="0"/>
        <v>0</v>
      </c>
      <c r="BS14" s="115">
        <f t="shared" ref="BS14:ED14" si="1">SUM(BS6:BS13)</f>
        <v>0</v>
      </c>
      <c r="BT14" s="115">
        <f t="shared" si="1"/>
        <v>0</v>
      </c>
      <c r="BU14" s="115">
        <f t="shared" si="1"/>
        <v>0</v>
      </c>
      <c r="BV14" s="115">
        <f t="shared" si="1"/>
        <v>0</v>
      </c>
      <c r="BW14" s="115">
        <f t="shared" si="1"/>
        <v>0</v>
      </c>
      <c r="BX14" s="115">
        <f t="shared" si="1"/>
        <v>0</v>
      </c>
      <c r="BY14" s="115">
        <f t="shared" si="1"/>
        <v>0</v>
      </c>
      <c r="BZ14" s="115">
        <f t="shared" si="1"/>
        <v>0</v>
      </c>
      <c r="CA14" s="115">
        <f t="shared" si="1"/>
        <v>0</v>
      </c>
      <c r="CB14" s="115">
        <f t="shared" si="1"/>
        <v>0</v>
      </c>
      <c r="CC14" s="115">
        <f t="shared" si="1"/>
        <v>0</v>
      </c>
      <c r="CD14" s="115">
        <f t="shared" si="1"/>
        <v>0</v>
      </c>
      <c r="CE14" s="115">
        <f t="shared" si="1"/>
        <v>0</v>
      </c>
      <c r="CF14" s="115">
        <f t="shared" si="1"/>
        <v>0</v>
      </c>
      <c r="CG14" s="115">
        <f t="shared" si="1"/>
        <v>0</v>
      </c>
      <c r="CH14" s="115">
        <f t="shared" si="1"/>
        <v>0</v>
      </c>
      <c r="CI14" s="115">
        <f t="shared" si="1"/>
        <v>0</v>
      </c>
      <c r="CJ14" s="115">
        <f t="shared" si="1"/>
        <v>0</v>
      </c>
      <c r="CK14" s="115">
        <f t="shared" si="1"/>
        <v>0</v>
      </c>
      <c r="CL14" s="115">
        <f t="shared" si="1"/>
        <v>0</v>
      </c>
      <c r="CM14" s="115">
        <f t="shared" si="1"/>
        <v>0</v>
      </c>
      <c r="CN14" s="115">
        <f t="shared" si="1"/>
        <v>0</v>
      </c>
      <c r="CO14" s="115">
        <f t="shared" si="1"/>
        <v>0</v>
      </c>
      <c r="CP14" s="115">
        <f t="shared" si="1"/>
        <v>0</v>
      </c>
      <c r="CQ14" s="115">
        <f t="shared" si="1"/>
        <v>0</v>
      </c>
      <c r="CR14" s="115">
        <f t="shared" si="1"/>
        <v>0</v>
      </c>
      <c r="CS14" s="115">
        <f t="shared" si="1"/>
        <v>0</v>
      </c>
      <c r="CT14" s="115">
        <f t="shared" si="1"/>
        <v>0</v>
      </c>
      <c r="CU14" s="115">
        <f t="shared" si="1"/>
        <v>0</v>
      </c>
      <c r="CV14" s="115">
        <f t="shared" si="1"/>
        <v>0</v>
      </c>
      <c r="CW14" s="115">
        <f t="shared" si="1"/>
        <v>0</v>
      </c>
      <c r="CX14" s="115">
        <f t="shared" si="1"/>
        <v>0</v>
      </c>
      <c r="CY14" s="115">
        <f t="shared" si="1"/>
        <v>0</v>
      </c>
      <c r="CZ14" s="115">
        <f t="shared" si="1"/>
        <v>0</v>
      </c>
      <c r="DA14" s="115">
        <f t="shared" si="1"/>
        <v>0</v>
      </c>
      <c r="DB14" s="115">
        <f t="shared" si="1"/>
        <v>0</v>
      </c>
      <c r="DC14" s="115">
        <f t="shared" si="1"/>
        <v>0</v>
      </c>
      <c r="DD14" s="115">
        <f t="shared" si="1"/>
        <v>0</v>
      </c>
      <c r="DE14" s="115">
        <f t="shared" si="1"/>
        <v>0</v>
      </c>
      <c r="DF14" s="115">
        <f t="shared" si="1"/>
        <v>0</v>
      </c>
      <c r="DG14" s="115">
        <f t="shared" si="1"/>
        <v>0</v>
      </c>
      <c r="DH14" s="115">
        <f t="shared" si="1"/>
        <v>0</v>
      </c>
      <c r="DI14" s="115">
        <f t="shared" si="1"/>
        <v>0</v>
      </c>
      <c r="DJ14" s="115">
        <f t="shared" si="1"/>
        <v>0</v>
      </c>
      <c r="DK14" s="115">
        <f t="shared" si="1"/>
        <v>0</v>
      </c>
      <c r="DL14" s="115">
        <f t="shared" si="1"/>
        <v>0</v>
      </c>
      <c r="DM14" s="115">
        <f t="shared" si="1"/>
        <v>0</v>
      </c>
      <c r="DN14" s="115">
        <f t="shared" si="1"/>
        <v>0</v>
      </c>
      <c r="DO14" s="115">
        <f t="shared" si="1"/>
        <v>0</v>
      </c>
      <c r="DP14" s="115">
        <f t="shared" si="1"/>
        <v>0</v>
      </c>
      <c r="DQ14" s="115">
        <f t="shared" si="1"/>
        <v>0</v>
      </c>
      <c r="DR14" s="115">
        <f t="shared" si="1"/>
        <v>0</v>
      </c>
      <c r="DS14" s="115">
        <f t="shared" si="1"/>
        <v>0</v>
      </c>
      <c r="DT14" s="115">
        <f t="shared" si="1"/>
        <v>0</v>
      </c>
      <c r="DU14" s="115">
        <f t="shared" si="1"/>
        <v>0</v>
      </c>
      <c r="DV14" s="115">
        <f t="shared" si="1"/>
        <v>0</v>
      </c>
      <c r="DW14" s="115">
        <f t="shared" si="1"/>
        <v>0</v>
      </c>
      <c r="DX14" s="115">
        <f t="shared" si="1"/>
        <v>0</v>
      </c>
      <c r="DY14" s="115">
        <f t="shared" si="1"/>
        <v>0</v>
      </c>
      <c r="DZ14" s="115">
        <f t="shared" si="1"/>
        <v>0</v>
      </c>
      <c r="EA14" s="115">
        <f t="shared" si="1"/>
        <v>0</v>
      </c>
      <c r="EB14" s="115">
        <f t="shared" si="1"/>
        <v>0</v>
      </c>
      <c r="EC14" s="115">
        <f t="shared" si="1"/>
        <v>0</v>
      </c>
      <c r="ED14" s="115">
        <f t="shared" si="1"/>
        <v>0</v>
      </c>
      <c r="EE14" s="115">
        <f t="shared" ref="EE14:GP14" si="2">SUM(EE6:EE13)</f>
        <v>0</v>
      </c>
      <c r="EF14" s="115">
        <f t="shared" si="2"/>
        <v>0</v>
      </c>
      <c r="EG14" s="115">
        <f t="shared" si="2"/>
        <v>0</v>
      </c>
      <c r="EH14" s="115">
        <f t="shared" si="2"/>
        <v>0</v>
      </c>
      <c r="EI14" s="115">
        <f t="shared" si="2"/>
        <v>0</v>
      </c>
      <c r="EJ14" s="115">
        <f t="shared" si="2"/>
        <v>0</v>
      </c>
      <c r="EK14" s="115">
        <f t="shared" si="2"/>
        <v>0</v>
      </c>
      <c r="EL14" s="115">
        <f t="shared" si="2"/>
        <v>0</v>
      </c>
      <c r="EM14" s="115">
        <f t="shared" si="2"/>
        <v>0</v>
      </c>
      <c r="EN14" s="115">
        <f t="shared" si="2"/>
        <v>0</v>
      </c>
      <c r="EO14" s="115">
        <f t="shared" si="2"/>
        <v>0</v>
      </c>
      <c r="EP14" s="115">
        <f t="shared" si="2"/>
        <v>0</v>
      </c>
      <c r="EQ14" s="115">
        <f t="shared" si="2"/>
        <v>0</v>
      </c>
      <c r="ER14" s="115">
        <f t="shared" si="2"/>
        <v>0</v>
      </c>
      <c r="ES14" s="115">
        <f t="shared" si="2"/>
        <v>0</v>
      </c>
      <c r="ET14" s="115">
        <f t="shared" si="2"/>
        <v>0</v>
      </c>
      <c r="EU14" s="115">
        <f t="shared" si="2"/>
        <v>0</v>
      </c>
      <c r="EV14" s="115">
        <f t="shared" si="2"/>
        <v>0</v>
      </c>
      <c r="EW14" s="115">
        <f t="shared" si="2"/>
        <v>0</v>
      </c>
      <c r="EX14" s="115">
        <f t="shared" si="2"/>
        <v>0</v>
      </c>
      <c r="EY14" s="115">
        <f t="shared" si="2"/>
        <v>0</v>
      </c>
      <c r="EZ14" s="115">
        <f t="shared" si="2"/>
        <v>0</v>
      </c>
      <c r="FA14" s="115">
        <f t="shared" si="2"/>
        <v>0</v>
      </c>
      <c r="FB14" s="115">
        <f t="shared" si="2"/>
        <v>0</v>
      </c>
      <c r="FC14" s="115">
        <f t="shared" si="2"/>
        <v>0</v>
      </c>
      <c r="FD14" s="115">
        <f t="shared" si="2"/>
        <v>0</v>
      </c>
      <c r="FE14" s="115">
        <f t="shared" si="2"/>
        <v>0</v>
      </c>
      <c r="FF14" s="115">
        <f t="shared" si="2"/>
        <v>0</v>
      </c>
      <c r="FG14" s="115">
        <f t="shared" si="2"/>
        <v>0</v>
      </c>
      <c r="FH14" s="115">
        <f t="shared" si="2"/>
        <v>0</v>
      </c>
      <c r="FI14" s="115">
        <f t="shared" si="2"/>
        <v>0</v>
      </c>
      <c r="FJ14" s="115">
        <f t="shared" si="2"/>
        <v>0</v>
      </c>
      <c r="FK14" s="115">
        <f t="shared" si="2"/>
        <v>0</v>
      </c>
      <c r="FL14" s="115">
        <f t="shared" si="2"/>
        <v>0</v>
      </c>
      <c r="FM14" s="115">
        <f t="shared" si="2"/>
        <v>0</v>
      </c>
      <c r="FN14" s="115">
        <f t="shared" si="2"/>
        <v>0</v>
      </c>
      <c r="FO14" s="115">
        <f t="shared" si="2"/>
        <v>0</v>
      </c>
      <c r="FP14" s="115">
        <f t="shared" si="2"/>
        <v>0</v>
      </c>
      <c r="FQ14" s="115">
        <f t="shared" si="2"/>
        <v>0</v>
      </c>
      <c r="FR14" s="115">
        <f t="shared" si="2"/>
        <v>0</v>
      </c>
      <c r="FS14" s="115">
        <f t="shared" si="2"/>
        <v>0</v>
      </c>
      <c r="FT14" s="115">
        <f t="shared" si="2"/>
        <v>0</v>
      </c>
      <c r="FU14" s="115">
        <f t="shared" si="2"/>
        <v>0</v>
      </c>
      <c r="FV14" s="115">
        <f t="shared" si="2"/>
        <v>0</v>
      </c>
      <c r="FW14" s="115">
        <f t="shared" si="2"/>
        <v>0</v>
      </c>
      <c r="FX14" s="115">
        <f t="shared" si="2"/>
        <v>0</v>
      </c>
      <c r="FY14" s="115">
        <f t="shared" si="2"/>
        <v>0</v>
      </c>
      <c r="FZ14" s="115">
        <f t="shared" si="2"/>
        <v>0</v>
      </c>
      <c r="GA14" s="115">
        <f t="shared" si="2"/>
        <v>0</v>
      </c>
      <c r="GB14" s="115">
        <f t="shared" si="2"/>
        <v>0</v>
      </c>
      <c r="GC14" s="115">
        <f t="shared" si="2"/>
        <v>0</v>
      </c>
      <c r="GD14" s="115">
        <f t="shared" si="2"/>
        <v>0</v>
      </c>
      <c r="GE14" s="115">
        <f t="shared" si="2"/>
        <v>0</v>
      </c>
      <c r="GF14" s="115">
        <f t="shared" si="2"/>
        <v>0</v>
      </c>
      <c r="GG14" s="115">
        <f t="shared" si="2"/>
        <v>0</v>
      </c>
      <c r="GH14" s="115">
        <f t="shared" si="2"/>
        <v>0</v>
      </c>
      <c r="GI14" s="115">
        <f t="shared" si="2"/>
        <v>0</v>
      </c>
      <c r="GJ14" s="115">
        <f t="shared" si="2"/>
        <v>0</v>
      </c>
      <c r="GK14" s="115">
        <f t="shared" si="2"/>
        <v>0</v>
      </c>
      <c r="GL14" s="115">
        <f t="shared" si="2"/>
        <v>0</v>
      </c>
      <c r="GM14" s="115">
        <f t="shared" si="2"/>
        <v>0</v>
      </c>
      <c r="GN14" s="115">
        <f t="shared" si="2"/>
        <v>0</v>
      </c>
      <c r="GO14" s="115">
        <f t="shared" si="2"/>
        <v>0</v>
      </c>
      <c r="GP14" s="115">
        <f t="shared" si="2"/>
        <v>0</v>
      </c>
      <c r="GQ14" s="115">
        <f t="shared" ref="GQ14:JB14" si="3">SUM(GQ6:GQ13)</f>
        <v>0</v>
      </c>
      <c r="GR14" s="115">
        <f t="shared" si="3"/>
        <v>0</v>
      </c>
      <c r="GS14" s="115">
        <f t="shared" si="3"/>
        <v>0</v>
      </c>
      <c r="GT14" s="115">
        <f t="shared" si="3"/>
        <v>0</v>
      </c>
      <c r="GU14" s="115">
        <f t="shared" si="3"/>
        <v>0</v>
      </c>
      <c r="GV14" s="115">
        <f t="shared" si="3"/>
        <v>0</v>
      </c>
      <c r="GW14" s="115">
        <f t="shared" si="3"/>
        <v>0</v>
      </c>
      <c r="GX14" s="115">
        <f t="shared" si="3"/>
        <v>0</v>
      </c>
      <c r="GY14" s="115">
        <f t="shared" si="3"/>
        <v>0</v>
      </c>
      <c r="GZ14" s="115">
        <f t="shared" si="3"/>
        <v>0</v>
      </c>
      <c r="HA14" s="115">
        <f t="shared" si="3"/>
        <v>0</v>
      </c>
      <c r="HB14" s="115">
        <f t="shared" si="3"/>
        <v>0</v>
      </c>
      <c r="HC14" s="115">
        <f t="shared" si="3"/>
        <v>0</v>
      </c>
      <c r="HD14" s="115">
        <f t="shared" si="3"/>
        <v>0</v>
      </c>
      <c r="HE14" s="115">
        <f t="shared" si="3"/>
        <v>0</v>
      </c>
      <c r="HF14" s="115">
        <f t="shared" si="3"/>
        <v>0</v>
      </c>
      <c r="HG14" s="115">
        <f t="shared" si="3"/>
        <v>0</v>
      </c>
      <c r="HH14" s="115">
        <f t="shared" si="3"/>
        <v>0</v>
      </c>
      <c r="HI14" s="115">
        <f t="shared" si="3"/>
        <v>0</v>
      </c>
      <c r="HJ14" s="115">
        <f t="shared" si="3"/>
        <v>0</v>
      </c>
      <c r="HK14" s="115">
        <f t="shared" si="3"/>
        <v>0</v>
      </c>
      <c r="HL14" s="115">
        <f t="shared" si="3"/>
        <v>0</v>
      </c>
      <c r="HM14" s="115">
        <f t="shared" si="3"/>
        <v>0</v>
      </c>
      <c r="HN14" s="115">
        <f t="shared" si="3"/>
        <v>0</v>
      </c>
      <c r="HO14" s="115">
        <f t="shared" si="3"/>
        <v>0</v>
      </c>
      <c r="HP14" s="115">
        <f t="shared" si="3"/>
        <v>0</v>
      </c>
      <c r="HQ14" s="115">
        <f t="shared" si="3"/>
        <v>0</v>
      </c>
      <c r="HR14" s="115">
        <f t="shared" si="3"/>
        <v>0</v>
      </c>
      <c r="HS14" s="115">
        <f t="shared" si="3"/>
        <v>0</v>
      </c>
      <c r="HT14" s="115">
        <f t="shared" si="3"/>
        <v>0</v>
      </c>
      <c r="HU14" s="115">
        <f t="shared" si="3"/>
        <v>0</v>
      </c>
      <c r="HV14" s="115">
        <f t="shared" si="3"/>
        <v>0</v>
      </c>
      <c r="HW14" s="115">
        <f t="shared" si="3"/>
        <v>0</v>
      </c>
      <c r="HX14" s="115">
        <f t="shared" si="3"/>
        <v>0</v>
      </c>
      <c r="HY14" s="115">
        <f t="shared" si="3"/>
        <v>0</v>
      </c>
      <c r="HZ14" s="115">
        <f t="shared" si="3"/>
        <v>0</v>
      </c>
      <c r="IA14" s="115">
        <f t="shared" si="3"/>
        <v>0</v>
      </c>
      <c r="IB14" s="115">
        <f t="shared" si="3"/>
        <v>0</v>
      </c>
      <c r="IC14" s="115">
        <f t="shared" si="3"/>
        <v>0</v>
      </c>
      <c r="ID14" s="115">
        <f t="shared" si="3"/>
        <v>0</v>
      </c>
      <c r="IE14" s="115">
        <f t="shared" si="3"/>
        <v>0</v>
      </c>
      <c r="IF14" s="115">
        <f t="shared" si="3"/>
        <v>0</v>
      </c>
      <c r="IG14" s="115">
        <f t="shared" si="3"/>
        <v>0</v>
      </c>
      <c r="IH14" s="115">
        <f t="shared" si="3"/>
        <v>0</v>
      </c>
      <c r="II14" s="115">
        <f t="shared" si="3"/>
        <v>0</v>
      </c>
      <c r="IJ14" s="115">
        <f t="shared" si="3"/>
        <v>0</v>
      </c>
      <c r="IK14" s="115">
        <f t="shared" si="3"/>
        <v>0</v>
      </c>
      <c r="IL14" s="115">
        <f t="shared" si="3"/>
        <v>0</v>
      </c>
      <c r="IM14" s="115">
        <f t="shared" si="3"/>
        <v>0</v>
      </c>
      <c r="IN14" s="115">
        <f t="shared" si="3"/>
        <v>0</v>
      </c>
      <c r="IO14" s="115">
        <f t="shared" si="3"/>
        <v>0</v>
      </c>
      <c r="IP14" s="115">
        <f t="shared" si="3"/>
        <v>0</v>
      </c>
      <c r="IQ14" s="115">
        <f t="shared" si="3"/>
        <v>0</v>
      </c>
      <c r="IR14" s="115">
        <f t="shared" si="3"/>
        <v>0</v>
      </c>
      <c r="IS14" s="115">
        <f t="shared" si="3"/>
        <v>0</v>
      </c>
      <c r="IT14" s="115">
        <f t="shared" si="3"/>
        <v>0</v>
      </c>
      <c r="IU14" s="115">
        <f t="shared" si="3"/>
        <v>0</v>
      </c>
      <c r="IV14" s="115">
        <f t="shared" si="3"/>
        <v>0</v>
      </c>
      <c r="IW14" s="115">
        <f t="shared" si="3"/>
        <v>0</v>
      </c>
      <c r="IX14" s="115">
        <f t="shared" si="3"/>
        <v>0</v>
      </c>
      <c r="IY14" s="115">
        <f t="shared" si="3"/>
        <v>0</v>
      </c>
      <c r="IZ14" s="115">
        <f t="shared" si="3"/>
        <v>0</v>
      </c>
      <c r="JA14" s="115">
        <f t="shared" si="3"/>
        <v>0</v>
      </c>
      <c r="JB14" s="115">
        <f t="shared" si="3"/>
        <v>0</v>
      </c>
      <c r="JC14" s="115">
        <f t="shared" ref="JC14:LN14" si="4">SUM(JC6:JC13)</f>
        <v>0</v>
      </c>
      <c r="JD14" s="115">
        <f t="shared" si="4"/>
        <v>0</v>
      </c>
      <c r="JE14" s="115">
        <f t="shared" si="4"/>
        <v>0</v>
      </c>
      <c r="JF14" s="115">
        <f t="shared" si="4"/>
        <v>0</v>
      </c>
      <c r="JG14" s="115">
        <f t="shared" si="4"/>
        <v>0</v>
      </c>
      <c r="JH14" s="115">
        <f t="shared" si="4"/>
        <v>0</v>
      </c>
      <c r="JI14" s="115">
        <f t="shared" si="4"/>
        <v>0</v>
      </c>
      <c r="JJ14" s="115">
        <f t="shared" si="4"/>
        <v>0</v>
      </c>
      <c r="JK14" s="115">
        <f t="shared" si="4"/>
        <v>0</v>
      </c>
      <c r="JL14" s="115">
        <f t="shared" si="4"/>
        <v>0</v>
      </c>
      <c r="JM14" s="115">
        <f t="shared" si="4"/>
        <v>0</v>
      </c>
      <c r="JN14" s="115">
        <f t="shared" si="4"/>
        <v>0</v>
      </c>
      <c r="JO14" s="115">
        <f t="shared" si="4"/>
        <v>0</v>
      </c>
      <c r="JP14" s="115">
        <f t="shared" si="4"/>
        <v>0</v>
      </c>
      <c r="JQ14" s="115">
        <f t="shared" si="4"/>
        <v>0</v>
      </c>
      <c r="JR14" s="115">
        <f t="shared" si="4"/>
        <v>0</v>
      </c>
      <c r="JS14" s="115">
        <f t="shared" si="4"/>
        <v>0</v>
      </c>
      <c r="JT14" s="115">
        <f t="shared" si="4"/>
        <v>0</v>
      </c>
      <c r="JU14" s="115">
        <f t="shared" si="4"/>
        <v>0</v>
      </c>
      <c r="JV14" s="115">
        <f t="shared" si="4"/>
        <v>0</v>
      </c>
      <c r="JW14" s="115">
        <f t="shared" si="4"/>
        <v>0</v>
      </c>
      <c r="JX14" s="115">
        <f t="shared" si="4"/>
        <v>0</v>
      </c>
      <c r="JY14" s="115">
        <f t="shared" si="4"/>
        <v>0</v>
      </c>
      <c r="JZ14" s="115">
        <f t="shared" si="4"/>
        <v>0</v>
      </c>
      <c r="KA14" s="115">
        <f t="shared" si="4"/>
        <v>0</v>
      </c>
      <c r="KB14" s="115">
        <f t="shared" si="4"/>
        <v>0</v>
      </c>
      <c r="KC14" s="115">
        <f t="shared" si="4"/>
        <v>0</v>
      </c>
      <c r="KD14" s="115">
        <f t="shared" si="4"/>
        <v>0</v>
      </c>
      <c r="KE14" s="115">
        <f t="shared" si="4"/>
        <v>0</v>
      </c>
      <c r="KF14" s="115">
        <f t="shared" si="4"/>
        <v>0</v>
      </c>
      <c r="KG14" s="115">
        <f t="shared" si="4"/>
        <v>0</v>
      </c>
      <c r="KH14" s="115">
        <f t="shared" si="4"/>
        <v>0</v>
      </c>
      <c r="KI14" s="115">
        <f t="shared" si="4"/>
        <v>0</v>
      </c>
      <c r="KJ14" s="115">
        <f t="shared" si="4"/>
        <v>0</v>
      </c>
      <c r="KK14" s="115">
        <f t="shared" si="4"/>
        <v>0</v>
      </c>
      <c r="KL14" s="115">
        <f t="shared" si="4"/>
        <v>0</v>
      </c>
      <c r="KM14" s="115">
        <f t="shared" si="4"/>
        <v>0</v>
      </c>
      <c r="KN14" s="115">
        <f t="shared" si="4"/>
        <v>0</v>
      </c>
      <c r="KO14" s="115">
        <f t="shared" si="4"/>
        <v>0</v>
      </c>
      <c r="KP14" s="115">
        <f t="shared" si="4"/>
        <v>0</v>
      </c>
      <c r="KQ14" s="115">
        <f t="shared" si="4"/>
        <v>0</v>
      </c>
      <c r="KR14" s="115">
        <f t="shared" si="4"/>
        <v>0</v>
      </c>
      <c r="KS14" s="115">
        <f t="shared" si="4"/>
        <v>0</v>
      </c>
      <c r="KT14" s="115">
        <f t="shared" si="4"/>
        <v>0</v>
      </c>
      <c r="KU14" s="115">
        <f t="shared" si="4"/>
        <v>0</v>
      </c>
      <c r="KV14" s="115">
        <f t="shared" si="4"/>
        <v>0</v>
      </c>
      <c r="KW14" s="115">
        <f t="shared" si="4"/>
        <v>0</v>
      </c>
      <c r="KX14" s="115">
        <f t="shared" si="4"/>
        <v>0</v>
      </c>
      <c r="KY14" s="115">
        <f t="shared" si="4"/>
        <v>0</v>
      </c>
      <c r="KZ14" s="115">
        <f t="shared" si="4"/>
        <v>0</v>
      </c>
      <c r="LA14" s="115">
        <f t="shared" si="4"/>
        <v>0</v>
      </c>
      <c r="LB14" s="115">
        <f t="shared" si="4"/>
        <v>0</v>
      </c>
      <c r="LC14" s="115">
        <f t="shared" si="4"/>
        <v>0</v>
      </c>
      <c r="LD14" s="115">
        <f t="shared" si="4"/>
        <v>0</v>
      </c>
      <c r="LE14" s="115">
        <f t="shared" si="4"/>
        <v>0</v>
      </c>
      <c r="LF14" s="115">
        <f t="shared" si="4"/>
        <v>0</v>
      </c>
      <c r="LG14" s="115">
        <f t="shared" si="4"/>
        <v>0</v>
      </c>
      <c r="LH14" s="115">
        <f t="shared" si="4"/>
        <v>0</v>
      </c>
      <c r="LI14" s="115">
        <f t="shared" si="4"/>
        <v>0</v>
      </c>
      <c r="LJ14" s="115">
        <f t="shared" si="4"/>
        <v>0</v>
      </c>
      <c r="LK14" s="115">
        <f t="shared" si="4"/>
        <v>0</v>
      </c>
      <c r="LL14" s="115">
        <f t="shared" si="4"/>
        <v>0</v>
      </c>
      <c r="LM14" s="115">
        <f t="shared" si="4"/>
        <v>0</v>
      </c>
      <c r="LN14" s="115">
        <f t="shared" si="4"/>
        <v>0</v>
      </c>
      <c r="LO14" s="115">
        <f t="shared" ref="LO14:ND14" si="5">SUM(LO6:LO13)</f>
        <v>0</v>
      </c>
      <c r="LP14" s="115">
        <f t="shared" si="5"/>
        <v>0</v>
      </c>
      <c r="LQ14" s="115">
        <f t="shared" si="5"/>
        <v>0</v>
      </c>
      <c r="LR14" s="115">
        <f t="shared" si="5"/>
        <v>0</v>
      </c>
      <c r="LS14" s="115">
        <f t="shared" si="5"/>
        <v>0</v>
      </c>
      <c r="LT14" s="115">
        <f t="shared" si="5"/>
        <v>0</v>
      </c>
      <c r="LU14" s="115">
        <f t="shared" si="5"/>
        <v>0</v>
      </c>
      <c r="LV14" s="115">
        <f t="shared" si="5"/>
        <v>0</v>
      </c>
      <c r="LW14" s="115">
        <f t="shared" si="5"/>
        <v>0</v>
      </c>
      <c r="LX14" s="115">
        <f t="shared" si="5"/>
        <v>0</v>
      </c>
      <c r="LY14" s="115">
        <f t="shared" si="5"/>
        <v>0</v>
      </c>
      <c r="LZ14" s="115">
        <f t="shared" si="5"/>
        <v>0</v>
      </c>
      <c r="MA14" s="115">
        <f t="shared" si="5"/>
        <v>0</v>
      </c>
      <c r="MB14" s="115">
        <f t="shared" si="5"/>
        <v>0</v>
      </c>
      <c r="MC14" s="115">
        <f t="shared" si="5"/>
        <v>0</v>
      </c>
      <c r="MD14" s="115">
        <f t="shared" si="5"/>
        <v>0</v>
      </c>
      <c r="ME14" s="115">
        <f t="shared" si="5"/>
        <v>0</v>
      </c>
      <c r="MF14" s="115">
        <f t="shared" si="5"/>
        <v>0</v>
      </c>
      <c r="MG14" s="115">
        <f t="shared" si="5"/>
        <v>0</v>
      </c>
      <c r="MH14" s="115">
        <f t="shared" si="5"/>
        <v>0</v>
      </c>
      <c r="MI14" s="115">
        <f t="shared" si="5"/>
        <v>0</v>
      </c>
      <c r="MJ14" s="115">
        <f t="shared" si="5"/>
        <v>0</v>
      </c>
      <c r="MK14" s="115">
        <f t="shared" si="5"/>
        <v>0</v>
      </c>
      <c r="ML14" s="115">
        <f t="shared" si="5"/>
        <v>0</v>
      </c>
      <c r="MM14" s="115">
        <f t="shared" si="5"/>
        <v>0</v>
      </c>
      <c r="MN14" s="115">
        <f t="shared" si="5"/>
        <v>0</v>
      </c>
      <c r="MO14" s="115">
        <f t="shared" si="5"/>
        <v>0</v>
      </c>
      <c r="MP14" s="115">
        <f t="shared" si="5"/>
        <v>0</v>
      </c>
      <c r="MQ14" s="115">
        <f t="shared" si="5"/>
        <v>0</v>
      </c>
      <c r="MR14" s="115">
        <f t="shared" si="5"/>
        <v>0</v>
      </c>
      <c r="MS14" s="115">
        <f t="shared" si="5"/>
        <v>0</v>
      </c>
      <c r="MT14" s="115">
        <f t="shared" si="5"/>
        <v>0</v>
      </c>
      <c r="MU14" s="115">
        <f t="shared" si="5"/>
        <v>0</v>
      </c>
      <c r="MV14" s="115">
        <f t="shared" si="5"/>
        <v>0</v>
      </c>
      <c r="MW14" s="115">
        <f t="shared" si="5"/>
        <v>0</v>
      </c>
      <c r="MX14" s="115">
        <f t="shared" si="5"/>
        <v>0</v>
      </c>
      <c r="MY14" s="115">
        <f t="shared" si="5"/>
        <v>0</v>
      </c>
      <c r="MZ14" s="115">
        <f t="shared" si="5"/>
        <v>0</v>
      </c>
      <c r="NA14" s="115">
        <f t="shared" si="5"/>
        <v>0</v>
      </c>
      <c r="NB14" s="115">
        <f t="shared" si="5"/>
        <v>0</v>
      </c>
      <c r="NC14" s="115">
        <f t="shared" si="5"/>
        <v>0</v>
      </c>
      <c r="ND14" s="115">
        <f t="shared" si="5"/>
        <v>0</v>
      </c>
    </row>
    <row r="15" spans="1:368" s="49" customFormat="1" ht="21" customHeight="1" thickBot="1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7"/>
      <c r="AM15" s="36"/>
      <c r="AN15" s="36"/>
      <c r="AO15" s="36"/>
      <c r="AP15" s="36"/>
      <c r="AQ15" s="36"/>
      <c r="AR15" s="36"/>
      <c r="AS15" s="36"/>
      <c r="AT15" s="36"/>
      <c r="AU15" s="36"/>
      <c r="AV15" s="39"/>
      <c r="AW15" s="39"/>
      <c r="AX15" s="39"/>
      <c r="AY15" s="40"/>
      <c r="AZ15" s="38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41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3"/>
      <c r="FA15" s="44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45"/>
      <c r="IN15" s="39"/>
      <c r="IO15" s="39"/>
      <c r="IP15" s="39"/>
      <c r="IQ15" s="39"/>
      <c r="IR15" s="46"/>
      <c r="IS15" s="46"/>
      <c r="IT15" s="46"/>
      <c r="IU15" s="46"/>
      <c r="IV15" s="46"/>
      <c r="IW15" s="46"/>
      <c r="IX15" s="46"/>
      <c r="IY15" s="46"/>
      <c r="IZ15" s="162"/>
      <c r="JA15" s="162"/>
      <c r="JB15" s="162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162"/>
      <c r="JN15" s="162"/>
      <c r="JO15" s="162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113"/>
      <c r="KQ15" s="113"/>
      <c r="KR15" s="48"/>
      <c r="KS15" s="48"/>
      <c r="KT15" s="48"/>
      <c r="KU15" s="48"/>
      <c r="KV15" s="48"/>
      <c r="KW15" s="113"/>
      <c r="KX15" s="48"/>
      <c r="KY15" s="113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113"/>
      <c r="LR15" s="113"/>
      <c r="LS15" s="113"/>
      <c r="LT15" s="113"/>
      <c r="LU15" s="48"/>
      <c r="LV15" s="48"/>
      <c r="LW15" s="48"/>
      <c r="LX15" s="113"/>
      <c r="LY15" s="113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</row>
    <row r="16" spans="1:368" s="49" customFormat="1" ht="21" customHeight="1" thickBot="1" x14ac:dyDescent="0.25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7"/>
      <c r="AM16" s="36"/>
      <c r="AN16" s="36"/>
      <c r="AO16" s="36"/>
      <c r="AP16" s="36"/>
      <c r="AQ16" s="36"/>
      <c r="AR16" s="36"/>
      <c r="AS16" s="36"/>
      <c r="AT16" s="36"/>
      <c r="AU16" s="36"/>
      <c r="AV16" s="39"/>
      <c r="AW16" s="39"/>
      <c r="AX16" s="39"/>
      <c r="AY16" s="40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41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3"/>
      <c r="FA16" s="44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45"/>
      <c r="IN16" s="39"/>
      <c r="IO16" s="39"/>
      <c r="IP16" s="39"/>
      <c r="IQ16" s="39"/>
      <c r="IR16" s="46"/>
      <c r="IS16" s="46"/>
      <c r="IT16" s="46"/>
      <c r="IU16" s="46"/>
      <c r="IV16" s="46"/>
      <c r="IW16" s="46"/>
      <c r="IX16" s="46"/>
      <c r="IY16" s="46"/>
      <c r="IZ16" s="162"/>
      <c r="JA16" s="162"/>
      <c r="JB16" s="162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162"/>
      <c r="JN16" s="162"/>
      <c r="JO16" s="162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113"/>
      <c r="KQ16" s="113"/>
      <c r="KR16" s="48"/>
      <c r="KS16" s="48"/>
      <c r="KT16" s="48"/>
      <c r="KU16" s="48"/>
      <c r="KV16" s="48"/>
      <c r="KW16" s="113"/>
      <c r="KX16" s="48"/>
      <c r="KY16" s="113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113"/>
      <c r="LR16" s="113"/>
      <c r="LS16" s="113"/>
      <c r="LT16" s="113"/>
      <c r="LU16" s="48"/>
      <c r="LV16" s="48"/>
      <c r="LW16" s="48"/>
      <c r="LX16" s="113"/>
      <c r="LY16" s="113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</row>
    <row r="17" spans="1:368" s="49" customFormat="1" ht="21" customHeight="1" thickBot="1" x14ac:dyDescent="0.25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7"/>
      <c r="AM17" s="36"/>
      <c r="AN17" s="36"/>
      <c r="AO17" s="36"/>
      <c r="AP17" s="36"/>
      <c r="AQ17" s="36"/>
      <c r="AR17" s="36"/>
      <c r="AS17" s="36"/>
      <c r="AT17" s="36"/>
      <c r="AU17" s="36"/>
      <c r="AV17" s="39"/>
      <c r="AW17" s="39"/>
      <c r="AX17" s="39"/>
      <c r="AY17" s="40"/>
      <c r="AZ17" s="38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41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3"/>
      <c r="FA17" s="44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45"/>
      <c r="IN17" s="39"/>
      <c r="IO17" s="39"/>
      <c r="IP17" s="39"/>
      <c r="IQ17" s="39"/>
      <c r="IR17" s="46"/>
      <c r="IS17" s="46"/>
      <c r="IT17" s="46"/>
      <c r="IU17" s="46"/>
      <c r="IV17" s="46"/>
      <c r="IW17" s="46"/>
      <c r="IX17" s="46"/>
      <c r="IY17" s="46"/>
      <c r="IZ17" s="162"/>
      <c r="JA17" s="162"/>
      <c r="JB17" s="162"/>
      <c r="JC17" s="46"/>
      <c r="JD17" s="46"/>
      <c r="JE17" s="46"/>
      <c r="JF17" s="46"/>
      <c r="JG17" s="46"/>
      <c r="JH17" s="46"/>
      <c r="JI17" s="46"/>
      <c r="JJ17" s="46"/>
      <c r="JK17" s="46"/>
      <c r="JL17" s="46"/>
      <c r="JM17" s="162"/>
      <c r="JN17" s="162"/>
      <c r="JO17" s="162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113"/>
      <c r="KQ17" s="113"/>
      <c r="KR17" s="48"/>
      <c r="KS17" s="48"/>
      <c r="KT17" s="48"/>
      <c r="KU17" s="48"/>
      <c r="KV17" s="48"/>
      <c r="KW17" s="113"/>
      <c r="KX17" s="48"/>
      <c r="KY17" s="113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113"/>
      <c r="LR17" s="113"/>
      <c r="LS17" s="113"/>
      <c r="LT17" s="113"/>
      <c r="LU17" s="48"/>
      <c r="LV17" s="48"/>
      <c r="LW17" s="48"/>
      <c r="LX17" s="113"/>
      <c r="LY17" s="113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</row>
    <row r="18" spans="1:368" s="49" customFormat="1" ht="21" customHeight="1" thickBot="1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7"/>
      <c r="AM18" s="36"/>
      <c r="AN18" s="36"/>
      <c r="AO18" s="36"/>
      <c r="AP18" s="36"/>
      <c r="AQ18" s="36"/>
      <c r="AR18" s="36"/>
      <c r="AS18" s="36"/>
      <c r="AT18" s="36"/>
      <c r="AU18" s="36"/>
      <c r="AV18" s="39"/>
      <c r="AW18" s="39"/>
      <c r="AX18" s="39"/>
      <c r="AY18" s="40"/>
      <c r="AZ18" s="38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41"/>
      <c r="DC18" s="42"/>
      <c r="DD18" s="42"/>
      <c r="DE18" s="42"/>
      <c r="DF18" s="42"/>
      <c r="DG18" s="42"/>
      <c r="DH18" s="42"/>
      <c r="DI18" s="42"/>
      <c r="DJ18" s="42"/>
      <c r="DK18" s="42"/>
      <c r="DL18" s="42"/>
      <c r="DM18" s="42"/>
      <c r="DN18" s="42"/>
      <c r="DO18" s="42"/>
      <c r="DP18" s="42"/>
      <c r="DQ18" s="42"/>
      <c r="DR18" s="42"/>
      <c r="DS18" s="42"/>
      <c r="DT18" s="42"/>
      <c r="DU18" s="42"/>
      <c r="DV18" s="42"/>
      <c r="DW18" s="42"/>
      <c r="DX18" s="42"/>
      <c r="DY18" s="42"/>
      <c r="DZ18" s="42"/>
      <c r="EA18" s="42"/>
      <c r="EB18" s="42"/>
      <c r="EC18" s="42"/>
      <c r="ED18" s="42"/>
      <c r="EE18" s="42"/>
      <c r="EF18" s="42"/>
      <c r="EG18" s="42"/>
      <c r="EH18" s="42"/>
      <c r="EI18" s="42"/>
      <c r="EJ18" s="42"/>
      <c r="EK18" s="42"/>
      <c r="EL18" s="42"/>
      <c r="EM18" s="42"/>
      <c r="EN18" s="42"/>
      <c r="EO18" s="42"/>
      <c r="EP18" s="42"/>
      <c r="EQ18" s="42"/>
      <c r="ER18" s="42"/>
      <c r="ES18" s="42"/>
      <c r="ET18" s="42"/>
      <c r="EU18" s="42"/>
      <c r="EV18" s="42"/>
      <c r="EW18" s="42"/>
      <c r="EX18" s="42"/>
      <c r="EY18" s="42"/>
      <c r="EZ18" s="43"/>
      <c r="FA18" s="44"/>
      <c r="FB18" s="42"/>
      <c r="FC18" s="42"/>
      <c r="FD18" s="42"/>
      <c r="FE18" s="42"/>
      <c r="FF18" s="42"/>
      <c r="FG18" s="42"/>
      <c r="FH18" s="42"/>
      <c r="FI18" s="42"/>
      <c r="FJ18" s="42"/>
      <c r="FK18" s="42"/>
      <c r="FL18" s="42"/>
      <c r="FM18" s="42"/>
      <c r="FN18" s="42"/>
      <c r="FO18" s="42"/>
      <c r="FP18" s="42"/>
      <c r="FQ18" s="42"/>
      <c r="FR18" s="42"/>
      <c r="FS18" s="42"/>
      <c r="FT18" s="42"/>
      <c r="FU18" s="42"/>
      <c r="FV18" s="42"/>
      <c r="FW18" s="42"/>
      <c r="FX18" s="42"/>
      <c r="FY18" s="42"/>
      <c r="FZ18" s="42"/>
      <c r="GA18" s="42"/>
      <c r="GB18" s="42"/>
      <c r="GC18" s="42"/>
      <c r="GD18" s="42"/>
      <c r="GE18" s="42"/>
      <c r="GF18" s="42"/>
      <c r="GG18" s="42"/>
      <c r="GH18" s="42"/>
      <c r="GI18" s="42"/>
      <c r="GJ18" s="42"/>
      <c r="GK18" s="42"/>
      <c r="GL18" s="42"/>
      <c r="GM18" s="42"/>
      <c r="GN18" s="42"/>
      <c r="GO18" s="42"/>
      <c r="GP18" s="42"/>
      <c r="GQ18" s="42"/>
      <c r="GR18" s="42"/>
      <c r="GS18" s="42"/>
      <c r="GT18" s="42"/>
      <c r="GU18" s="42"/>
      <c r="GV18" s="42"/>
      <c r="GW18" s="42"/>
      <c r="GX18" s="42"/>
      <c r="GY18" s="42"/>
      <c r="GZ18" s="42"/>
      <c r="HA18" s="42"/>
      <c r="HB18" s="42"/>
      <c r="HC18" s="42"/>
      <c r="HD18" s="42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45"/>
      <c r="IN18" s="39"/>
      <c r="IO18" s="39"/>
      <c r="IP18" s="39"/>
      <c r="IQ18" s="39"/>
      <c r="IR18" s="46"/>
      <c r="IS18" s="46"/>
      <c r="IT18" s="46"/>
      <c r="IU18" s="46"/>
      <c r="IV18" s="46"/>
      <c r="IW18" s="46"/>
      <c r="IX18" s="46"/>
      <c r="IY18" s="46"/>
      <c r="IZ18" s="162"/>
      <c r="JA18" s="162"/>
      <c r="JB18" s="162"/>
      <c r="JC18" s="46"/>
      <c r="JD18" s="46"/>
      <c r="JE18" s="46"/>
      <c r="JF18" s="46"/>
      <c r="JG18" s="46"/>
      <c r="JH18" s="46"/>
      <c r="JI18" s="46"/>
      <c r="JJ18" s="46"/>
      <c r="JK18" s="46"/>
      <c r="JL18" s="46"/>
      <c r="JM18" s="162"/>
      <c r="JN18" s="162"/>
      <c r="JO18" s="162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113"/>
      <c r="KQ18" s="113"/>
      <c r="KR18" s="48"/>
      <c r="KS18" s="48"/>
      <c r="KT18" s="48"/>
      <c r="KU18" s="48"/>
      <c r="KV18" s="48"/>
      <c r="KW18" s="113"/>
      <c r="KX18" s="48"/>
      <c r="KY18" s="113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113"/>
      <c r="LR18" s="113"/>
      <c r="LS18" s="113"/>
      <c r="LT18" s="113"/>
      <c r="LU18" s="48"/>
      <c r="LV18" s="48"/>
      <c r="LW18" s="48"/>
      <c r="LX18" s="113"/>
      <c r="LY18" s="113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</row>
    <row r="19" spans="1:368" s="49" customFormat="1" ht="21" customHeight="1" thickBot="1" x14ac:dyDescent="0.25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7"/>
      <c r="AM19" s="36"/>
      <c r="AN19" s="36"/>
      <c r="AO19" s="36"/>
      <c r="AP19" s="36"/>
      <c r="AQ19" s="36"/>
      <c r="AR19" s="36"/>
      <c r="AS19" s="36"/>
      <c r="AT19" s="36"/>
      <c r="AU19" s="36"/>
      <c r="AV19" s="39"/>
      <c r="AW19" s="39"/>
      <c r="AX19" s="39"/>
      <c r="AY19" s="40"/>
      <c r="AZ19" s="38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41"/>
      <c r="DC19" s="42"/>
      <c r="DD19" s="42"/>
      <c r="DE19" s="42"/>
      <c r="DF19" s="42"/>
      <c r="DG19" s="42"/>
      <c r="DH19" s="42"/>
      <c r="DI19" s="42"/>
      <c r="DJ19" s="42"/>
      <c r="DK19" s="42"/>
      <c r="DL19" s="42"/>
      <c r="DM19" s="42"/>
      <c r="DN19" s="42"/>
      <c r="DO19" s="42"/>
      <c r="DP19" s="42"/>
      <c r="DQ19" s="42"/>
      <c r="DR19" s="42"/>
      <c r="DS19" s="42"/>
      <c r="DT19" s="42"/>
      <c r="DU19" s="42"/>
      <c r="DV19" s="42"/>
      <c r="DW19" s="42"/>
      <c r="DX19" s="42"/>
      <c r="DY19" s="42"/>
      <c r="DZ19" s="42"/>
      <c r="EA19" s="42"/>
      <c r="EB19" s="42"/>
      <c r="EC19" s="42"/>
      <c r="ED19" s="42"/>
      <c r="EE19" s="42"/>
      <c r="EF19" s="42"/>
      <c r="EG19" s="42"/>
      <c r="EH19" s="42"/>
      <c r="EI19" s="42"/>
      <c r="EJ19" s="42"/>
      <c r="EK19" s="42"/>
      <c r="EL19" s="42"/>
      <c r="EM19" s="42"/>
      <c r="EN19" s="42"/>
      <c r="EO19" s="42"/>
      <c r="EP19" s="42"/>
      <c r="EQ19" s="42"/>
      <c r="ER19" s="42"/>
      <c r="ES19" s="42"/>
      <c r="ET19" s="42"/>
      <c r="EU19" s="42"/>
      <c r="EV19" s="42"/>
      <c r="EW19" s="42"/>
      <c r="EX19" s="42"/>
      <c r="EY19" s="42"/>
      <c r="EZ19" s="43"/>
      <c r="FA19" s="44"/>
      <c r="FB19" s="42"/>
      <c r="FC19" s="42"/>
      <c r="FD19" s="42"/>
      <c r="FE19" s="42"/>
      <c r="FF19" s="42"/>
      <c r="FG19" s="42"/>
      <c r="FH19" s="42"/>
      <c r="FI19" s="42"/>
      <c r="FJ19" s="42"/>
      <c r="FK19" s="42"/>
      <c r="FL19" s="42"/>
      <c r="FM19" s="42"/>
      <c r="FN19" s="42"/>
      <c r="FO19" s="42"/>
      <c r="FP19" s="42"/>
      <c r="FQ19" s="42"/>
      <c r="FR19" s="42"/>
      <c r="FS19" s="42"/>
      <c r="FT19" s="42"/>
      <c r="FU19" s="42"/>
      <c r="FV19" s="42"/>
      <c r="FW19" s="42"/>
      <c r="FX19" s="42"/>
      <c r="FY19" s="42"/>
      <c r="FZ19" s="42"/>
      <c r="GA19" s="42"/>
      <c r="GB19" s="42"/>
      <c r="GC19" s="42"/>
      <c r="GD19" s="42"/>
      <c r="GE19" s="42"/>
      <c r="GF19" s="42"/>
      <c r="GG19" s="42"/>
      <c r="GH19" s="42"/>
      <c r="GI19" s="42"/>
      <c r="GJ19" s="42"/>
      <c r="GK19" s="42"/>
      <c r="GL19" s="42"/>
      <c r="GM19" s="42"/>
      <c r="GN19" s="42"/>
      <c r="GO19" s="42"/>
      <c r="GP19" s="42"/>
      <c r="GQ19" s="42"/>
      <c r="GR19" s="42"/>
      <c r="GS19" s="42"/>
      <c r="GT19" s="42"/>
      <c r="GU19" s="42"/>
      <c r="GV19" s="42"/>
      <c r="GW19" s="42"/>
      <c r="GX19" s="42"/>
      <c r="GY19" s="42"/>
      <c r="GZ19" s="42"/>
      <c r="HA19" s="42"/>
      <c r="HB19" s="42"/>
      <c r="HC19" s="42"/>
      <c r="HD19" s="42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45"/>
      <c r="IN19" s="39"/>
      <c r="IO19" s="39"/>
      <c r="IP19" s="39"/>
      <c r="IQ19" s="39"/>
      <c r="IR19" s="46"/>
      <c r="IS19" s="46"/>
      <c r="IT19" s="46"/>
      <c r="IU19" s="46"/>
      <c r="IV19" s="46"/>
      <c r="IW19" s="46"/>
      <c r="IX19" s="46"/>
      <c r="IY19" s="46"/>
      <c r="IZ19" s="162"/>
      <c r="JA19" s="162"/>
      <c r="JB19" s="162"/>
      <c r="JC19" s="46"/>
      <c r="JD19" s="46"/>
      <c r="JE19" s="46"/>
      <c r="JF19" s="46"/>
      <c r="JG19" s="46"/>
      <c r="JH19" s="46"/>
      <c r="JI19" s="46"/>
      <c r="JJ19" s="46"/>
      <c r="JK19" s="46"/>
      <c r="JL19" s="46"/>
      <c r="JM19" s="162"/>
      <c r="JN19" s="162"/>
      <c r="JO19" s="162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113"/>
      <c r="KQ19" s="113"/>
      <c r="KR19" s="48"/>
      <c r="KS19" s="48"/>
      <c r="KT19" s="48"/>
      <c r="KU19" s="48"/>
      <c r="KV19" s="48"/>
      <c r="KW19" s="113"/>
      <c r="KX19" s="48"/>
      <c r="KY19" s="113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113"/>
      <c r="LR19" s="113"/>
      <c r="LS19" s="113"/>
      <c r="LT19" s="113"/>
      <c r="LU19" s="48"/>
      <c r="LV19" s="48"/>
      <c r="LW19" s="48"/>
      <c r="LX19" s="113"/>
      <c r="LY19" s="113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</row>
    <row r="20" spans="1:368" s="49" customFormat="1" ht="21" customHeight="1" x14ac:dyDescent="0.2">
      <c r="A20" s="35"/>
      <c r="B20" s="35"/>
      <c r="C20" s="35"/>
      <c r="D20" s="35"/>
      <c r="E20" s="35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7"/>
      <c r="AM20" s="38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40"/>
      <c r="AZ20" s="38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41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2"/>
      <c r="EB20" s="42"/>
      <c r="EC20" s="42"/>
      <c r="ED20" s="42"/>
      <c r="EE20" s="42"/>
      <c r="EF20" s="42"/>
      <c r="EG20" s="42"/>
      <c r="EH20" s="42"/>
      <c r="EI20" s="42"/>
      <c r="EJ20" s="42"/>
      <c r="EK20" s="42"/>
      <c r="EL20" s="42"/>
      <c r="EM20" s="42"/>
      <c r="EN20" s="42"/>
      <c r="EO20" s="42"/>
      <c r="EP20" s="42"/>
      <c r="EQ20" s="42"/>
      <c r="ER20" s="42"/>
      <c r="ES20" s="42"/>
      <c r="ET20" s="42"/>
      <c r="EU20" s="42"/>
      <c r="EV20" s="42"/>
      <c r="EW20" s="42"/>
      <c r="EX20" s="42"/>
      <c r="EY20" s="42"/>
      <c r="EZ20" s="43"/>
      <c r="FA20" s="44"/>
      <c r="FB20" s="42"/>
      <c r="FC20" s="42"/>
      <c r="FD20" s="42"/>
      <c r="FE20" s="42"/>
      <c r="FF20" s="42"/>
      <c r="FG20" s="42"/>
      <c r="FH20" s="42"/>
      <c r="FI20" s="42"/>
      <c r="FJ20" s="42"/>
      <c r="FK20" s="42"/>
      <c r="FL20" s="42"/>
      <c r="FM20" s="42"/>
      <c r="FN20" s="42"/>
      <c r="FO20" s="42"/>
      <c r="FP20" s="42"/>
      <c r="FQ20" s="42"/>
      <c r="FR20" s="42"/>
      <c r="FS20" s="42"/>
      <c r="FT20" s="42"/>
      <c r="FU20" s="42"/>
      <c r="FV20" s="42"/>
      <c r="FW20" s="42"/>
      <c r="FX20" s="42"/>
      <c r="FY20" s="42"/>
      <c r="FZ20" s="42"/>
      <c r="GA20" s="42"/>
      <c r="GB20" s="42"/>
      <c r="GC20" s="42"/>
      <c r="GD20" s="42"/>
      <c r="GE20" s="42"/>
      <c r="GF20" s="42"/>
      <c r="GG20" s="42"/>
      <c r="GH20" s="42"/>
      <c r="GI20" s="42"/>
      <c r="GJ20" s="42"/>
      <c r="GK20" s="42"/>
      <c r="GL20" s="42"/>
      <c r="GM20" s="42"/>
      <c r="GN20" s="42"/>
      <c r="GO20" s="42"/>
      <c r="GP20" s="42"/>
      <c r="GQ20" s="42"/>
      <c r="GR20" s="42"/>
      <c r="GS20" s="42"/>
      <c r="GT20" s="42"/>
      <c r="GU20" s="42"/>
      <c r="GV20" s="42"/>
      <c r="GW20" s="42"/>
      <c r="GX20" s="42"/>
      <c r="GY20" s="42"/>
      <c r="GZ20" s="42"/>
      <c r="HA20" s="42"/>
      <c r="HB20" s="42"/>
      <c r="HC20" s="42"/>
      <c r="HD20" s="42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45"/>
      <c r="IN20" s="39"/>
      <c r="IO20" s="39"/>
      <c r="IP20" s="39"/>
      <c r="IQ20" s="39"/>
      <c r="IR20" s="46"/>
      <c r="IS20" s="46"/>
      <c r="IT20" s="46"/>
      <c r="IU20" s="46"/>
      <c r="IV20" s="46"/>
      <c r="IW20" s="46"/>
      <c r="IX20" s="46"/>
      <c r="IY20" s="46"/>
      <c r="IZ20" s="47"/>
      <c r="JA20" s="47"/>
      <c r="JB20" s="47"/>
      <c r="JC20" s="46"/>
      <c r="JD20" s="46"/>
      <c r="JE20" s="46"/>
      <c r="JF20" s="46"/>
      <c r="JG20" s="46"/>
      <c r="JH20" s="46"/>
      <c r="JI20" s="46"/>
      <c r="JJ20" s="46"/>
      <c r="JK20" s="46"/>
      <c r="JL20" s="46"/>
      <c r="JM20" s="47"/>
      <c r="JN20" s="47"/>
      <c r="JO20" s="47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113"/>
      <c r="KQ20" s="113"/>
      <c r="KR20" s="113"/>
      <c r="KS20" s="113"/>
      <c r="KT20" s="48"/>
      <c r="KU20" s="48"/>
      <c r="KV20" s="48"/>
      <c r="KW20" s="113"/>
      <c r="KX20" s="113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113"/>
      <c r="LP20" s="113"/>
      <c r="LQ20" s="113"/>
      <c r="LR20" s="113"/>
      <c r="LS20" s="113"/>
      <c r="LT20" s="113"/>
      <c r="LU20" s="113"/>
      <c r="LV20" s="113"/>
      <c r="LW20" s="113"/>
      <c r="LX20" s="113"/>
      <c r="LY20" s="113"/>
      <c r="LZ20" s="113"/>
      <c r="MA20" s="113"/>
      <c r="MB20" s="113"/>
      <c r="MC20" s="113"/>
      <c r="MD20" s="113"/>
      <c r="ME20" s="113"/>
      <c r="MF20" s="113"/>
      <c r="MG20" s="113"/>
      <c r="MH20" s="113"/>
      <c r="MI20" s="113"/>
      <c r="MJ20" s="113"/>
      <c r="MK20" s="113"/>
      <c r="ML20" s="113"/>
      <c r="MM20" s="113"/>
      <c r="MN20" s="113"/>
      <c r="MO20" s="113"/>
      <c r="MP20" s="113"/>
      <c r="MQ20" s="113"/>
      <c r="MR20" s="113"/>
      <c r="MS20" s="113"/>
      <c r="MT20" s="113"/>
      <c r="MU20" s="113"/>
      <c r="MV20" s="113"/>
      <c r="MW20" s="113"/>
      <c r="MX20" s="113"/>
      <c r="MY20" s="113"/>
      <c r="MZ20" s="113"/>
      <c r="NA20" s="113"/>
      <c r="NB20" s="113"/>
      <c r="NC20" s="113"/>
      <c r="ND20" s="113"/>
    </row>
    <row r="21" spans="1:368" s="18" customFormat="1" ht="23.25" customHeight="1" thickBot="1" x14ac:dyDescent="0.25">
      <c r="A21" s="386" t="s">
        <v>114</v>
      </c>
      <c r="B21" s="387"/>
      <c r="C21" s="387"/>
      <c r="D21" s="387"/>
      <c r="E21" s="388"/>
      <c r="F21" s="17">
        <f>F14+SUM(F15:F20)</f>
        <v>0</v>
      </c>
      <c r="G21" s="17">
        <f t="shared" ref="G21:BR21" si="6">G14+SUM(G15:G20)</f>
        <v>0</v>
      </c>
      <c r="H21" s="17">
        <f t="shared" si="6"/>
        <v>0</v>
      </c>
      <c r="I21" s="17">
        <f t="shared" si="6"/>
        <v>0</v>
      </c>
      <c r="J21" s="17">
        <f t="shared" si="6"/>
        <v>0</v>
      </c>
      <c r="K21" s="17">
        <f t="shared" si="6"/>
        <v>0</v>
      </c>
      <c r="L21" s="17">
        <f t="shared" si="6"/>
        <v>0</v>
      </c>
      <c r="M21" s="17">
        <f t="shared" si="6"/>
        <v>0</v>
      </c>
      <c r="N21" s="17">
        <f t="shared" si="6"/>
        <v>0</v>
      </c>
      <c r="O21" s="17">
        <f t="shared" si="6"/>
        <v>0</v>
      </c>
      <c r="P21" s="17">
        <f t="shared" si="6"/>
        <v>0</v>
      </c>
      <c r="Q21" s="17">
        <f t="shared" si="6"/>
        <v>0</v>
      </c>
      <c r="R21" s="17">
        <f t="shared" si="6"/>
        <v>0</v>
      </c>
      <c r="S21" s="17">
        <f t="shared" si="6"/>
        <v>0</v>
      </c>
      <c r="T21" s="17">
        <f t="shared" si="6"/>
        <v>0</v>
      </c>
      <c r="U21" s="17">
        <f t="shared" si="6"/>
        <v>0</v>
      </c>
      <c r="V21" s="17">
        <f t="shared" si="6"/>
        <v>0</v>
      </c>
      <c r="W21" s="17">
        <f t="shared" si="6"/>
        <v>0</v>
      </c>
      <c r="X21" s="17">
        <f t="shared" si="6"/>
        <v>0</v>
      </c>
      <c r="Y21" s="17">
        <f t="shared" si="6"/>
        <v>0</v>
      </c>
      <c r="Z21" s="17">
        <f t="shared" si="6"/>
        <v>0</v>
      </c>
      <c r="AA21" s="17">
        <f t="shared" si="6"/>
        <v>0</v>
      </c>
      <c r="AB21" s="17">
        <f t="shared" si="6"/>
        <v>0</v>
      </c>
      <c r="AC21" s="17">
        <f t="shared" si="6"/>
        <v>0</v>
      </c>
      <c r="AD21" s="17">
        <f t="shared" si="6"/>
        <v>0</v>
      </c>
      <c r="AE21" s="17">
        <f t="shared" si="6"/>
        <v>0</v>
      </c>
      <c r="AF21" s="17">
        <f t="shared" si="6"/>
        <v>0</v>
      </c>
      <c r="AG21" s="17">
        <f t="shared" si="6"/>
        <v>0</v>
      </c>
      <c r="AH21" s="17">
        <f t="shared" si="6"/>
        <v>0</v>
      </c>
      <c r="AI21" s="17">
        <f t="shared" si="6"/>
        <v>0</v>
      </c>
      <c r="AJ21" s="17">
        <f t="shared" si="6"/>
        <v>0</v>
      </c>
      <c r="AK21" s="17">
        <f t="shared" si="6"/>
        <v>0</v>
      </c>
      <c r="AL21" s="17">
        <f t="shared" si="6"/>
        <v>0</v>
      </c>
      <c r="AM21" s="17">
        <f t="shared" si="6"/>
        <v>0</v>
      </c>
      <c r="AN21" s="17">
        <f t="shared" si="6"/>
        <v>0</v>
      </c>
      <c r="AO21" s="17">
        <f t="shared" si="6"/>
        <v>0</v>
      </c>
      <c r="AP21" s="17">
        <f t="shared" si="6"/>
        <v>0</v>
      </c>
      <c r="AQ21" s="17">
        <f t="shared" si="6"/>
        <v>0</v>
      </c>
      <c r="AR21" s="17">
        <f t="shared" si="6"/>
        <v>0</v>
      </c>
      <c r="AS21" s="17">
        <f t="shared" si="6"/>
        <v>0</v>
      </c>
      <c r="AT21" s="17">
        <f t="shared" si="6"/>
        <v>0</v>
      </c>
      <c r="AU21" s="17">
        <f t="shared" si="6"/>
        <v>0</v>
      </c>
      <c r="AV21" s="17">
        <f t="shared" si="6"/>
        <v>0</v>
      </c>
      <c r="AW21" s="17">
        <f t="shared" si="6"/>
        <v>0</v>
      </c>
      <c r="AX21" s="17">
        <f t="shared" si="6"/>
        <v>0</v>
      </c>
      <c r="AY21" s="17">
        <f t="shared" si="6"/>
        <v>0</v>
      </c>
      <c r="AZ21" s="17">
        <f t="shared" si="6"/>
        <v>0</v>
      </c>
      <c r="BA21" s="17">
        <f t="shared" si="6"/>
        <v>0</v>
      </c>
      <c r="BB21" s="17">
        <f t="shared" si="6"/>
        <v>0</v>
      </c>
      <c r="BC21" s="17">
        <f t="shared" si="6"/>
        <v>0</v>
      </c>
      <c r="BD21" s="17">
        <f t="shared" si="6"/>
        <v>0</v>
      </c>
      <c r="BE21" s="17">
        <f t="shared" si="6"/>
        <v>0</v>
      </c>
      <c r="BF21" s="17">
        <f t="shared" si="6"/>
        <v>0</v>
      </c>
      <c r="BG21" s="17">
        <f t="shared" si="6"/>
        <v>0</v>
      </c>
      <c r="BH21" s="17">
        <f t="shared" si="6"/>
        <v>0</v>
      </c>
      <c r="BI21" s="17">
        <f t="shared" si="6"/>
        <v>0</v>
      </c>
      <c r="BJ21" s="17">
        <f t="shared" si="6"/>
        <v>0</v>
      </c>
      <c r="BK21" s="17">
        <f t="shared" si="6"/>
        <v>0</v>
      </c>
      <c r="BL21" s="17">
        <f t="shared" si="6"/>
        <v>0</v>
      </c>
      <c r="BM21" s="17">
        <f t="shared" si="6"/>
        <v>0</v>
      </c>
      <c r="BN21" s="17">
        <f t="shared" si="6"/>
        <v>0</v>
      </c>
      <c r="BO21" s="17">
        <f t="shared" si="6"/>
        <v>0</v>
      </c>
      <c r="BP21" s="17">
        <f t="shared" si="6"/>
        <v>0</v>
      </c>
      <c r="BQ21" s="17">
        <f t="shared" si="6"/>
        <v>0</v>
      </c>
      <c r="BR21" s="17">
        <f t="shared" si="6"/>
        <v>0</v>
      </c>
      <c r="BS21" s="17">
        <f t="shared" ref="BS21:ED21" si="7">BS14+SUM(BS15:BS20)</f>
        <v>0</v>
      </c>
      <c r="BT21" s="17">
        <f t="shared" si="7"/>
        <v>0</v>
      </c>
      <c r="BU21" s="17">
        <f t="shared" si="7"/>
        <v>0</v>
      </c>
      <c r="BV21" s="17">
        <f t="shared" si="7"/>
        <v>0</v>
      </c>
      <c r="BW21" s="17">
        <f t="shared" si="7"/>
        <v>0</v>
      </c>
      <c r="BX21" s="17">
        <f t="shared" si="7"/>
        <v>0</v>
      </c>
      <c r="BY21" s="17">
        <f t="shared" si="7"/>
        <v>0</v>
      </c>
      <c r="BZ21" s="17">
        <f t="shared" si="7"/>
        <v>0</v>
      </c>
      <c r="CA21" s="17">
        <f t="shared" si="7"/>
        <v>0</v>
      </c>
      <c r="CB21" s="17">
        <f t="shared" si="7"/>
        <v>0</v>
      </c>
      <c r="CC21" s="17">
        <f t="shared" si="7"/>
        <v>0</v>
      </c>
      <c r="CD21" s="17">
        <f t="shared" si="7"/>
        <v>0</v>
      </c>
      <c r="CE21" s="17">
        <f t="shared" si="7"/>
        <v>0</v>
      </c>
      <c r="CF21" s="17">
        <f t="shared" si="7"/>
        <v>0</v>
      </c>
      <c r="CG21" s="17">
        <f t="shared" si="7"/>
        <v>0</v>
      </c>
      <c r="CH21" s="17">
        <f t="shared" si="7"/>
        <v>0</v>
      </c>
      <c r="CI21" s="17">
        <f t="shared" si="7"/>
        <v>0</v>
      </c>
      <c r="CJ21" s="17">
        <f t="shared" si="7"/>
        <v>0</v>
      </c>
      <c r="CK21" s="17">
        <f t="shared" si="7"/>
        <v>0</v>
      </c>
      <c r="CL21" s="17">
        <f t="shared" si="7"/>
        <v>0</v>
      </c>
      <c r="CM21" s="17">
        <f t="shared" si="7"/>
        <v>0</v>
      </c>
      <c r="CN21" s="17">
        <f t="shared" si="7"/>
        <v>0</v>
      </c>
      <c r="CO21" s="17">
        <f t="shared" si="7"/>
        <v>0</v>
      </c>
      <c r="CP21" s="17">
        <f t="shared" si="7"/>
        <v>0</v>
      </c>
      <c r="CQ21" s="17">
        <f t="shared" si="7"/>
        <v>0</v>
      </c>
      <c r="CR21" s="17">
        <f t="shared" si="7"/>
        <v>0</v>
      </c>
      <c r="CS21" s="17">
        <f t="shared" si="7"/>
        <v>0</v>
      </c>
      <c r="CT21" s="17">
        <f t="shared" si="7"/>
        <v>0</v>
      </c>
      <c r="CU21" s="17">
        <f t="shared" si="7"/>
        <v>0</v>
      </c>
      <c r="CV21" s="17">
        <f t="shared" si="7"/>
        <v>0</v>
      </c>
      <c r="CW21" s="17">
        <f t="shared" si="7"/>
        <v>0</v>
      </c>
      <c r="CX21" s="17">
        <f t="shared" si="7"/>
        <v>0</v>
      </c>
      <c r="CY21" s="17">
        <f t="shared" si="7"/>
        <v>0</v>
      </c>
      <c r="CZ21" s="17">
        <f t="shared" si="7"/>
        <v>0</v>
      </c>
      <c r="DA21" s="17">
        <f t="shared" si="7"/>
        <v>0</v>
      </c>
      <c r="DB21" s="17">
        <f t="shared" si="7"/>
        <v>0</v>
      </c>
      <c r="DC21" s="17">
        <f t="shared" si="7"/>
        <v>0</v>
      </c>
      <c r="DD21" s="17">
        <f t="shared" si="7"/>
        <v>0</v>
      </c>
      <c r="DE21" s="17">
        <f t="shared" si="7"/>
        <v>0</v>
      </c>
      <c r="DF21" s="17">
        <f t="shared" si="7"/>
        <v>0</v>
      </c>
      <c r="DG21" s="17">
        <f t="shared" si="7"/>
        <v>0</v>
      </c>
      <c r="DH21" s="17">
        <f t="shared" si="7"/>
        <v>0</v>
      </c>
      <c r="DI21" s="17">
        <f t="shared" si="7"/>
        <v>0</v>
      </c>
      <c r="DJ21" s="17">
        <f t="shared" si="7"/>
        <v>0</v>
      </c>
      <c r="DK21" s="17">
        <f t="shared" si="7"/>
        <v>0</v>
      </c>
      <c r="DL21" s="17">
        <f t="shared" si="7"/>
        <v>0</v>
      </c>
      <c r="DM21" s="17">
        <f t="shared" si="7"/>
        <v>0</v>
      </c>
      <c r="DN21" s="17">
        <f t="shared" si="7"/>
        <v>0</v>
      </c>
      <c r="DO21" s="17">
        <f t="shared" si="7"/>
        <v>0</v>
      </c>
      <c r="DP21" s="17">
        <f t="shared" si="7"/>
        <v>0</v>
      </c>
      <c r="DQ21" s="17">
        <f t="shared" si="7"/>
        <v>0</v>
      </c>
      <c r="DR21" s="17">
        <f t="shared" si="7"/>
        <v>0</v>
      </c>
      <c r="DS21" s="17">
        <f t="shared" si="7"/>
        <v>0</v>
      </c>
      <c r="DT21" s="17">
        <f t="shared" si="7"/>
        <v>0</v>
      </c>
      <c r="DU21" s="17">
        <f t="shared" si="7"/>
        <v>0</v>
      </c>
      <c r="DV21" s="17">
        <f t="shared" si="7"/>
        <v>0</v>
      </c>
      <c r="DW21" s="17">
        <f t="shared" si="7"/>
        <v>0</v>
      </c>
      <c r="DX21" s="17">
        <f t="shared" si="7"/>
        <v>0</v>
      </c>
      <c r="DY21" s="17">
        <f t="shared" si="7"/>
        <v>0</v>
      </c>
      <c r="DZ21" s="17">
        <f t="shared" si="7"/>
        <v>0</v>
      </c>
      <c r="EA21" s="17">
        <f t="shared" si="7"/>
        <v>0</v>
      </c>
      <c r="EB21" s="17">
        <f t="shared" si="7"/>
        <v>0</v>
      </c>
      <c r="EC21" s="17">
        <f t="shared" si="7"/>
        <v>0</v>
      </c>
      <c r="ED21" s="17">
        <f t="shared" si="7"/>
        <v>0</v>
      </c>
      <c r="EE21" s="17">
        <f t="shared" ref="EE21:GP21" si="8">EE14+SUM(EE15:EE20)</f>
        <v>0</v>
      </c>
      <c r="EF21" s="17">
        <f t="shared" si="8"/>
        <v>0</v>
      </c>
      <c r="EG21" s="17">
        <f t="shared" si="8"/>
        <v>0</v>
      </c>
      <c r="EH21" s="17">
        <f t="shared" si="8"/>
        <v>0</v>
      </c>
      <c r="EI21" s="17">
        <f t="shared" si="8"/>
        <v>0</v>
      </c>
      <c r="EJ21" s="17">
        <f t="shared" si="8"/>
        <v>0</v>
      </c>
      <c r="EK21" s="17">
        <f t="shared" si="8"/>
        <v>0</v>
      </c>
      <c r="EL21" s="17">
        <f t="shared" si="8"/>
        <v>0</v>
      </c>
      <c r="EM21" s="17">
        <f t="shared" si="8"/>
        <v>0</v>
      </c>
      <c r="EN21" s="17">
        <f t="shared" si="8"/>
        <v>0</v>
      </c>
      <c r="EO21" s="17">
        <f t="shared" si="8"/>
        <v>0</v>
      </c>
      <c r="EP21" s="17">
        <f t="shared" si="8"/>
        <v>0</v>
      </c>
      <c r="EQ21" s="17">
        <f t="shared" si="8"/>
        <v>0</v>
      </c>
      <c r="ER21" s="17">
        <f t="shared" si="8"/>
        <v>0</v>
      </c>
      <c r="ES21" s="17">
        <f t="shared" si="8"/>
        <v>0</v>
      </c>
      <c r="ET21" s="17">
        <f t="shared" si="8"/>
        <v>0</v>
      </c>
      <c r="EU21" s="17">
        <f t="shared" si="8"/>
        <v>0</v>
      </c>
      <c r="EV21" s="17">
        <f t="shared" si="8"/>
        <v>0</v>
      </c>
      <c r="EW21" s="17">
        <f t="shared" si="8"/>
        <v>0</v>
      </c>
      <c r="EX21" s="17">
        <f t="shared" si="8"/>
        <v>0</v>
      </c>
      <c r="EY21" s="17">
        <f t="shared" si="8"/>
        <v>0</v>
      </c>
      <c r="EZ21" s="17">
        <f t="shared" si="8"/>
        <v>0</v>
      </c>
      <c r="FA21" s="17">
        <f t="shared" si="8"/>
        <v>0</v>
      </c>
      <c r="FB21" s="17">
        <f t="shared" si="8"/>
        <v>0</v>
      </c>
      <c r="FC21" s="17">
        <f t="shared" si="8"/>
        <v>0</v>
      </c>
      <c r="FD21" s="17">
        <f t="shared" si="8"/>
        <v>0</v>
      </c>
      <c r="FE21" s="17">
        <f t="shared" si="8"/>
        <v>0</v>
      </c>
      <c r="FF21" s="17">
        <f t="shared" si="8"/>
        <v>0</v>
      </c>
      <c r="FG21" s="17">
        <f t="shared" si="8"/>
        <v>0</v>
      </c>
      <c r="FH21" s="17">
        <f t="shared" si="8"/>
        <v>0</v>
      </c>
      <c r="FI21" s="17">
        <f t="shared" si="8"/>
        <v>0</v>
      </c>
      <c r="FJ21" s="17">
        <f t="shared" si="8"/>
        <v>0</v>
      </c>
      <c r="FK21" s="17">
        <f t="shared" si="8"/>
        <v>0</v>
      </c>
      <c r="FL21" s="17">
        <f t="shared" si="8"/>
        <v>0</v>
      </c>
      <c r="FM21" s="17">
        <f t="shared" si="8"/>
        <v>0</v>
      </c>
      <c r="FN21" s="17">
        <f t="shared" si="8"/>
        <v>0</v>
      </c>
      <c r="FO21" s="17">
        <f t="shared" si="8"/>
        <v>0</v>
      </c>
      <c r="FP21" s="17">
        <f t="shared" si="8"/>
        <v>0</v>
      </c>
      <c r="FQ21" s="17">
        <f t="shared" si="8"/>
        <v>0</v>
      </c>
      <c r="FR21" s="17">
        <f t="shared" si="8"/>
        <v>0</v>
      </c>
      <c r="FS21" s="17">
        <f t="shared" si="8"/>
        <v>0</v>
      </c>
      <c r="FT21" s="17">
        <f t="shared" si="8"/>
        <v>0</v>
      </c>
      <c r="FU21" s="17">
        <f t="shared" si="8"/>
        <v>0</v>
      </c>
      <c r="FV21" s="17">
        <f t="shared" si="8"/>
        <v>0</v>
      </c>
      <c r="FW21" s="17">
        <f t="shared" si="8"/>
        <v>0</v>
      </c>
      <c r="FX21" s="17">
        <f t="shared" si="8"/>
        <v>0</v>
      </c>
      <c r="FY21" s="17">
        <f t="shared" si="8"/>
        <v>0</v>
      </c>
      <c r="FZ21" s="17">
        <f t="shared" si="8"/>
        <v>0</v>
      </c>
      <c r="GA21" s="17">
        <f t="shared" si="8"/>
        <v>0</v>
      </c>
      <c r="GB21" s="17">
        <f t="shared" si="8"/>
        <v>0</v>
      </c>
      <c r="GC21" s="17">
        <f t="shared" si="8"/>
        <v>0</v>
      </c>
      <c r="GD21" s="17">
        <f t="shared" si="8"/>
        <v>0</v>
      </c>
      <c r="GE21" s="17">
        <f t="shared" si="8"/>
        <v>0</v>
      </c>
      <c r="GF21" s="17">
        <f t="shared" si="8"/>
        <v>0</v>
      </c>
      <c r="GG21" s="17">
        <f t="shared" si="8"/>
        <v>0</v>
      </c>
      <c r="GH21" s="17">
        <f t="shared" si="8"/>
        <v>0</v>
      </c>
      <c r="GI21" s="17">
        <f t="shared" si="8"/>
        <v>0</v>
      </c>
      <c r="GJ21" s="17">
        <f t="shared" si="8"/>
        <v>0</v>
      </c>
      <c r="GK21" s="17">
        <f t="shared" si="8"/>
        <v>0</v>
      </c>
      <c r="GL21" s="17">
        <f t="shared" si="8"/>
        <v>0</v>
      </c>
      <c r="GM21" s="17">
        <f t="shared" si="8"/>
        <v>0</v>
      </c>
      <c r="GN21" s="17">
        <f t="shared" si="8"/>
        <v>0</v>
      </c>
      <c r="GO21" s="17">
        <f t="shared" si="8"/>
        <v>0</v>
      </c>
      <c r="GP21" s="17">
        <f t="shared" si="8"/>
        <v>0</v>
      </c>
      <c r="GQ21" s="17">
        <f t="shared" ref="GQ21:IQ21" si="9">GQ14+SUM(GQ15:GQ20)</f>
        <v>0</v>
      </c>
      <c r="GR21" s="17">
        <f t="shared" si="9"/>
        <v>0</v>
      </c>
      <c r="GS21" s="17">
        <f t="shared" si="9"/>
        <v>0</v>
      </c>
      <c r="GT21" s="17">
        <f t="shared" si="9"/>
        <v>0</v>
      </c>
      <c r="GU21" s="17">
        <f t="shared" si="9"/>
        <v>0</v>
      </c>
      <c r="GV21" s="17">
        <f t="shared" si="9"/>
        <v>0</v>
      </c>
      <c r="GW21" s="17">
        <f t="shared" si="9"/>
        <v>0</v>
      </c>
      <c r="GX21" s="17">
        <f t="shared" si="9"/>
        <v>0</v>
      </c>
      <c r="GY21" s="17">
        <f t="shared" si="9"/>
        <v>0</v>
      </c>
      <c r="GZ21" s="17">
        <f t="shared" si="9"/>
        <v>0</v>
      </c>
      <c r="HA21" s="17">
        <f t="shared" si="9"/>
        <v>0</v>
      </c>
      <c r="HB21" s="17">
        <f t="shared" si="9"/>
        <v>0</v>
      </c>
      <c r="HC21" s="17">
        <f t="shared" si="9"/>
        <v>0</v>
      </c>
      <c r="HD21" s="17">
        <f t="shared" si="9"/>
        <v>0</v>
      </c>
      <c r="HE21" s="17">
        <f t="shared" si="9"/>
        <v>0</v>
      </c>
      <c r="HF21" s="17">
        <f t="shared" si="9"/>
        <v>0</v>
      </c>
      <c r="HG21" s="17">
        <f t="shared" si="9"/>
        <v>0</v>
      </c>
      <c r="HH21" s="17">
        <f t="shared" si="9"/>
        <v>0</v>
      </c>
      <c r="HI21" s="17">
        <f t="shared" si="9"/>
        <v>0</v>
      </c>
      <c r="HJ21" s="17">
        <f t="shared" si="9"/>
        <v>0</v>
      </c>
      <c r="HK21" s="17">
        <f t="shared" si="9"/>
        <v>0</v>
      </c>
      <c r="HL21" s="17">
        <f t="shared" si="9"/>
        <v>0</v>
      </c>
      <c r="HM21" s="17">
        <f t="shared" si="9"/>
        <v>0</v>
      </c>
      <c r="HN21" s="17">
        <f t="shared" si="9"/>
        <v>0</v>
      </c>
      <c r="HO21" s="17">
        <f t="shared" si="9"/>
        <v>0</v>
      </c>
      <c r="HP21" s="17">
        <f t="shared" si="9"/>
        <v>0</v>
      </c>
      <c r="HQ21" s="17">
        <f t="shared" si="9"/>
        <v>0</v>
      </c>
      <c r="HR21" s="17">
        <f t="shared" si="9"/>
        <v>0</v>
      </c>
      <c r="HS21" s="17">
        <f t="shared" si="9"/>
        <v>0</v>
      </c>
      <c r="HT21" s="17">
        <f t="shared" si="9"/>
        <v>0</v>
      </c>
      <c r="HU21" s="17">
        <f t="shared" si="9"/>
        <v>0</v>
      </c>
      <c r="HV21" s="17">
        <f t="shared" si="9"/>
        <v>0</v>
      </c>
      <c r="HW21" s="17">
        <f t="shared" si="9"/>
        <v>0</v>
      </c>
      <c r="HX21" s="17">
        <f t="shared" si="9"/>
        <v>0</v>
      </c>
      <c r="HY21" s="17">
        <f t="shared" si="9"/>
        <v>0</v>
      </c>
      <c r="HZ21" s="17">
        <f t="shared" si="9"/>
        <v>0</v>
      </c>
      <c r="IA21" s="17">
        <f t="shared" si="9"/>
        <v>0</v>
      </c>
      <c r="IB21" s="17">
        <f t="shared" si="9"/>
        <v>0</v>
      </c>
      <c r="IC21" s="17">
        <f t="shared" si="9"/>
        <v>0</v>
      </c>
      <c r="ID21" s="17">
        <f t="shared" si="9"/>
        <v>0</v>
      </c>
      <c r="IE21" s="17">
        <f t="shared" si="9"/>
        <v>0</v>
      </c>
      <c r="IF21" s="17">
        <f t="shared" si="9"/>
        <v>0</v>
      </c>
      <c r="IG21" s="17">
        <f t="shared" si="9"/>
        <v>0</v>
      </c>
      <c r="IH21" s="17">
        <f t="shared" si="9"/>
        <v>0</v>
      </c>
      <c r="II21" s="17">
        <f t="shared" si="9"/>
        <v>0</v>
      </c>
      <c r="IJ21" s="17">
        <f t="shared" si="9"/>
        <v>0</v>
      </c>
      <c r="IK21" s="17">
        <f t="shared" si="9"/>
        <v>0</v>
      </c>
      <c r="IL21" s="17">
        <f t="shared" si="9"/>
        <v>0</v>
      </c>
      <c r="IM21" s="17">
        <f t="shared" si="9"/>
        <v>0</v>
      </c>
      <c r="IN21" s="17">
        <f t="shared" si="9"/>
        <v>0</v>
      </c>
      <c r="IO21" s="17">
        <f t="shared" si="9"/>
        <v>0</v>
      </c>
      <c r="IP21" s="17">
        <f t="shared" si="9"/>
        <v>0</v>
      </c>
      <c r="IQ21" s="17">
        <f t="shared" si="9"/>
        <v>0</v>
      </c>
      <c r="IR21" s="17">
        <f t="shared" ref="IR21:KB21" si="10">IR14+SUM(IR15:IR20)</f>
        <v>0</v>
      </c>
      <c r="IS21" s="17">
        <f t="shared" si="10"/>
        <v>0</v>
      </c>
      <c r="IT21" s="17">
        <f t="shared" si="10"/>
        <v>0</v>
      </c>
      <c r="IU21" s="17">
        <f t="shared" si="10"/>
        <v>0</v>
      </c>
      <c r="IV21" s="17">
        <f t="shared" si="10"/>
        <v>0</v>
      </c>
      <c r="IW21" s="17">
        <f t="shared" si="10"/>
        <v>0</v>
      </c>
      <c r="IX21" s="17">
        <f t="shared" si="10"/>
        <v>0</v>
      </c>
      <c r="IY21" s="17">
        <f t="shared" si="10"/>
        <v>0</v>
      </c>
      <c r="IZ21" s="17">
        <f t="shared" si="10"/>
        <v>0</v>
      </c>
      <c r="JA21" s="17">
        <f t="shared" si="10"/>
        <v>0</v>
      </c>
      <c r="JB21" s="17">
        <f t="shared" si="10"/>
        <v>0</v>
      </c>
      <c r="JC21" s="17">
        <f t="shared" si="10"/>
        <v>0</v>
      </c>
      <c r="JD21" s="17">
        <f t="shared" si="10"/>
        <v>0</v>
      </c>
      <c r="JE21" s="17">
        <f t="shared" si="10"/>
        <v>0</v>
      </c>
      <c r="JF21" s="17">
        <f t="shared" si="10"/>
        <v>0</v>
      </c>
      <c r="JG21" s="17">
        <f t="shared" si="10"/>
        <v>0</v>
      </c>
      <c r="JH21" s="17">
        <f t="shared" si="10"/>
        <v>0</v>
      </c>
      <c r="JI21" s="17">
        <f t="shared" si="10"/>
        <v>0</v>
      </c>
      <c r="JJ21" s="17">
        <f t="shared" si="10"/>
        <v>0</v>
      </c>
      <c r="JK21" s="17">
        <f t="shared" si="10"/>
        <v>0</v>
      </c>
      <c r="JL21" s="17">
        <f t="shared" si="10"/>
        <v>0</v>
      </c>
      <c r="JM21" s="17">
        <f t="shared" si="10"/>
        <v>0</v>
      </c>
      <c r="JN21" s="17">
        <f t="shared" si="10"/>
        <v>0</v>
      </c>
      <c r="JO21" s="17">
        <f t="shared" si="10"/>
        <v>0</v>
      </c>
      <c r="JP21" s="17">
        <f t="shared" si="10"/>
        <v>0</v>
      </c>
      <c r="JQ21" s="17">
        <f t="shared" si="10"/>
        <v>0</v>
      </c>
      <c r="JR21" s="17">
        <f t="shared" si="10"/>
        <v>0</v>
      </c>
      <c r="JS21" s="17">
        <f t="shared" si="10"/>
        <v>0</v>
      </c>
      <c r="JT21" s="17">
        <f t="shared" si="10"/>
        <v>0</v>
      </c>
      <c r="JU21" s="17">
        <f t="shared" si="10"/>
        <v>0</v>
      </c>
      <c r="JV21" s="17">
        <f t="shared" si="10"/>
        <v>0</v>
      </c>
      <c r="JW21" s="17">
        <f t="shared" si="10"/>
        <v>0</v>
      </c>
      <c r="JX21" s="17">
        <f t="shared" si="10"/>
        <v>0</v>
      </c>
      <c r="JY21" s="17">
        <f t="shared" si="10"/>
        <v>0</v>
      </c>
      <c r="JZ21" s="17">
        <f t="shared" si="10"/>
        <v>0</v>
      </c>
      <c r="KA21" s="17">
        <f t="shared" si="10"/>
        <v>0</v>
      </c>
      <c r="KB21" s="17">
        <f t="shared" si="10"/>
        <v>0</v>
      </c>
      <c r="KC21" s="17">
        <f t="shared" ref="KC21:KT21" si="11">KC14+SUM(KC15:KC20)</f>
        <v>0</v>
      </c>
      <c r="KD21" s="17">
        <f t="shared" si="11"/>
        <v>0</v>
      </c>
      <c r="KE21" s="17">
        <f t="shared" si="11"/>
        <v>0</v>
      </c>
      <c r="KF21" s="17">
        <f t="shared" si="11"/>
        <v>0</v>
      </c>
      <c r="KG21" s="17">
        <f t="shared" si="11"/>
        <v>0</v>
      </c>
      <c r="KH21" s="17">
        <f t="shared" si="11"/>
        <v>0</v>
      </c>
      <c r="KI21" s="17">
        <f t="shared" si="11"/>
        <v>0</v>
      </c>
      <c r="KJ21" s="17">
        <f t="shared" si="11"/>
        <v>0</v>
      </c>
      <c r="KK21" s="17">
        <f t="shared" si="11"/>
        <v>0</v>
      </c>
      <c r="KL21" s="17">
        <f t="shared" si="11"/>
        <v>0</v>
      </c>
      <c r="KM21" s="17">
        <f t="shared" si="11"/>
        <v>0</v>
      </c>
      <c r="KN21" s="17">
        <f t="shared" si="11"/>
        <v>0</v>
      </c>
      <c r="KO21" s="17">
        <f t="shared" si="11"/>
        <v>0</v>
      </c>
      <c r="KP21" s="17">
        <f t="shared" si="11"/>
        <v>0</v>
      </c>
      <c r="KQ21" s="17">
        <f t="shared" si="11"/>
        <v>0</v>
      </c>
      <c r="KR21" s="17">
        <f t="shared" si="11"/>
        <v>0</v>
      </c>
      <c r="KS21" s="17">
        <f t="shared" si="11"/>
        <v>0</v>
      </c>
      <c r="KT21" s="17">
        <f t="shared" si="11"/>
        <v>0</v>
      </c>
      <c r="KU21" s="17">
        <f t="shared" ref="KU21:ND21" si="12">KU14+SUM(KU15:KU20)</f>
        <v>0</v>
      </c>
      <c r="KV21" s="17">
        <f t="shared" si="12"/>
        <v>0</v>
      </c>
      <c r="KW21" s="17">
        <f t="shared" si="12"/>
        <v>0</v>
      </c>
      <c r="KX21" s="17">
        <f t="shared" si="12"/>
        <v>0</v>
      </c>
      <c r="KY21" s="17">
        <f t="shared" si="12"/>
        <v>0</v>
      </c>
      <c r="KZ21" s="17">
        <f t="shared" si="12"/>
        <v>0</v>
      </c>
      <c r="LA21" s="17">
        <f t="shared" si="12"/>
        <v>0</v>
      </c>
      <c r="LB21" s="17">
        <f t="shared" si="12"/>
        <v>0</v>
      </c>
      <c r="LC21" s="17">
        <f t="shared" si="12"/>
        <v>0</v>
      </c>
      <c r="LD21" s="17">
        <f t="shared" si="12"/>
        <v>0</v>
      </c>
      <c r="LE21" s="17">
        <f t="shared" si="12"/>
        <v>0</v>
      </c>
      <c r="LF21" s="17">
        <f t="shared" si="12"/>
        <v>0</v>
      </c>
      <c r="LG21" s="17">
        <f t="shared" si="12"/>
        <v>0</v>
      </c>
      <c r="LH21" s="17">
        <f t="shared" si="12"/>
        <v>0</v>
      </c>
      <c r="LI21" s="17">
        <f t="shared" si="12"/>
        <v>0</v>
      </c>
      <c r="LJ21" s="17">
        <f t="shared" si="12"/>
        <v>0</v>
      </c>
      <c r="LK21" s="17">
        <f t="shared" si="12"/>
        <v>0</v>
      </c>
      <c r="LL21" s="17">
        <f t="shared" si="12"/>
        <v>0</v>
      </c>
      <c r="LM21" s="17">
        <f t="shared" si="12"/>
        <v>0</v>
      </c>
      <c r="LN21" s="17">
        <f t="shared" si="12"/>
        <v>0</v>
      </c>
      <c r="LO21" s="17">
        <f t="shared" si="12"/>
        <v>0</v>
      </c>
      <c r="LP21" s="17">
        <f t="shared" si="12"/>
        <v>0</v>
      </c>
      <c r="LQ21" s="17">
        <f t="shared" si="12"/>
        <v>0</v>
      </c>
      <c r="LR21" s="17">
        <f t="shared" si="12"/>
        <v>0</v>
      </c>
      <c r="LS21" s="17">
        <f t="shared" si="12"/>
        <v>0</v>
      </c>
      <c r="LT21" s="17">
        <f t="shared" si="12"/>
        <v>0</v>
      </c>
      <c r="LU21" s="17">
        <f t="shared" si="12"/>
        <v>0</v>
      </c>
      <c r="LV21" s="17">
        <f t="shared" si="12"/>
        <v>0</v>
      </c>
      <c r="LW21" s="17">
        <f t="shared" si="12"/>
        <v>0</v>
      </c>
      <c r="LX21" s="17">
        <f t="shared" si="12"/>
        <v>0</v>
      </c>
      <c r="LY21" s="17">
        <f t="shared" si="12"/>
        <v>0</v>
      </c>
      <c r="LZ21" s="17">
        <f t="shared" si="12"/>
        <v>0</v>
      </c>
      <c r="MA21" s="17">
        <f t="shared" si="12"/>
        <v>0</v>
      </c>
      <c r="MB21" s="17">
        <f t="shared" si="12"/>
        <v>0</v>
      </c>
      <c r="MC21" s="17">
        <f t="shared" si="12"/>
        <v>0</v>
      </c>
      <c r="MD21" s="17">
        <f t="shared" si="12"/>
        <v>0</v>
      </c>
      <c r="ME21" s="17">
        <f t="shared" si="12"/>
        <v>0</v>
      </c>
      <c r="MF21" s="17">
        <f t="shared" si="12"/>
        <v>0</v>
      </c>
      <c r="MG21" s="17">
        <f t="shared" si="12"/>
        <v>0</v>
      </c>
      <c r="MH21" s="17">
        <f t="shared" si="12"/>
        <v>0</v>
      </c>
      <c r="MI21" s="17">
        <f t="shared" si="12"/>
        <v>0</v>
      </c>
      <c r="MJ21" s="17">
        <f t="shared" si="12"/>
        <v>0</v>
      </c>
      <c r="MK21" s="17">
        <f t="shared" si="12"/>
        <v>0</v>
      </c>
      <c r="ML21" s="17">
        <f t="shared" si="12"/>
        <v>0</v>
      </c>
      <c r="MM21" s="17">
        <f t="shared" si="12"/>
        <v>0</v>
      </c>
      <c r="MN21" s="17">
        <f t="shared" si="12"/>
        <v>0</v>
      </c>
      <c r="MO21" s="17">
        <f t="shared" si="12"/>
        <v>0</v>
      </c>
      <c r="MP21" s="17">
        <f t="shared" si="12"/>
        <v>0</v>
      </c>
      <c r="MQ21" s="17">
        <f t="shared" si="12"/>
        <v>0</v>
      </c>
      <c r="MR21" s="17">
        <f t="shared" si="12"/>
        <v>0</v>
      </c>
      <c r="MS21" s="17">
        <f t="shared" si="12"/>
        <v>0</v>
      </c>
      <c r="MT21" s="17">
        <f t="shared" si="12"/>
        <v>0</v>
      </c>
      <c r="MU21" s="17">
        <f t="shared" si="12"/>
        <v>0</v>
      </c>
      <c r="MV21" s="17">
        <f t="shared" si="12"/>
        <v>0</v>
      </c>
      <c r="MW21" s="17">
        <f t="shared" si="12"/>
        <v>0</v>
      </c>
      <c r="MX21" s="17">
        <f t="shared" si="12"/>
        <v>0</v>
      </c>
      <c r="MY21" s="17">
        <f t="shared" si="12"/>
        <v>0</v>
      </c>
      <c r="MZ21" s="17">
        <f t="shared" si="12"/>
        <v>0</v>
      </c>
      <c r="NA21" s="17">
        <f t="shared" si="12"/>
        <v>0</v>
      </c>
      <c r="NB21" s="17">
        <f t="shared" si="12"/>
        <v>0</v>
      </c>
      <c r="NC21" s="17">
        <f t="shared" si="12"/>
        <v>0</v>
      </c>
      <c r="ND21" s="17">
        <f t="shared" si="12"/>
        <v>0</v>
      </c>
    </row>
    <row r="22" spans="1:368" s="49" customFormat="1" ht="21" customHeight="1" thickBot="1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7"/>
      <c r="AM22" s="38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40"/>
      <c r="AZ22" s="38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  <c r="CD22" s="39"/>
      <c r="CE22" s="39"/>
      <c r="CF22" s="39"/>
      <c r="CG22" s="39"/>
      <c r="CH22" s="39"/>
      <c r="CI22" s="39"/>
      <c r="CJ22" s="39"/>
      <c r="CK22" s="39"/>
      <c r="CL22" s="39"/>
      <c r="CM22" s="39"/>
      <c r="CN22" s="39"/>
      <c r="CO22" s="39"/>
      <c r="CP22" s="39"/>
      <c r="CQ22" s="39"/>
      <c r="CR22" s="39"/>
      <c r="CS22" s="39"/>
      <c r="CT22" s="39"/>
      <c r="CU22" s="39"/>
      <c r="CV22" s="39"/>
      <c r="CW22" s="39"/>
      <c r="CX22" s="39"/>
      <c r="CY22" s="39"/>
      <c r="CZ22" s="39"/>
      <c r="DA22" s="39"/>
      <c r="DB22" s="41"/>
      <c r="DC22" s="42"/>
      <c r="DD22" s="42"/>
      <c r="DE22" s="42"/>
      <c r="DF22" s="42"/>
      <c r="DG22" s="42"/>
      <c r="DH22" s="42"/>
      <c r="DI22" s="42"/>
      <c r="DJ22" s="42"/>
      <c r="DK22" s="42"/>
      <c r="DL22" s="42"/>
      <c r="DM22" s="42"/>
      <c r="DN22" s="42"/>
      <c r="DO22" s="42"/>
      <c r="DP22" s="42"/>
      <c r="DQ22" s="42"/>
      <c r="DR22" s="42"/>
      <c r="DS22" s="42"/>
      <c r="DT22" s="42"/>
      <c r="DU22" s="42"/>
      <c r="DV22" s="42"/>
      <c r="DW22" s="42"/>
      <c r="DX22" s="42"/>
      <c r="DY22" s="42"/>
      <c r="DZ22" s="42"/>
      <c r="EA22" s="42"/>
      <c r="EB22" s="42"/>
      <c r="EC22" s="42"/>
      <c r="ED22" s="42"/>
      <c r="EE22" s="42"/>
      <c r="EF22" s="42"/>
      <c r="EG22" s="42"/>
      <c r="EH22" s="42"/>
      <c r="EI22" s="42"/>
      <c r="EJ22" s="42"/>
      <c r="EK22" s="42"/>
      <c r="EL22" s="42"/>
      <c r="EM22" s="42"/>
      <c r="EN22" s="42"/>
      <c r="EO22" s="42"/>
      <c r="EP22" s="42"/>
      <c r="EQ22" s="42"/>
      <c r="ER22" s="42"/>
      <c r="ES22" s="42"/>
      <c r="ET22" s="42"/>
      <c r="EU22" s="42"/>
      <c r="EV22" s="42"/>
      <c r="EW22" s="42"/>
      <c r="EX22" s="42"/>
      <c r="EY22" s="42"/>
      <c r="EZ22" s="43"/>
      <c r="FA22" s="44"/>
      <c r="FB22" s="42"/>
      <c r="FC22" s="42"/>
      <c r="FD22" s="42"/>
      <c r="FE22" s="42"/>
      <c r="FF22" s="42"/>
      <c r="FG22" s="42"/>
      <c r="FH22" s="42"/>
      <c r="FI22" s="42"/>
      <c r="FJ22" s="42"/>
      <c r="FK22" s="42"/>
      <c r="FL22" s="42"/>
      <c r="FM22" s="42"/>
      <c r="FN22" s="42"/>
      <c r="FO22" s="42"/>
      <c r="FP22" s="42"/>
      <c r="FQ22" s="42"/>
      <c r="FR22" s="42"/>
      <c r="FS22" s="42"/>
      <c r="FT22" s="42"/>
      <c r="FU22" s="42"/>
      <c r="FV22" s="42"/>
      <c r="FW22" s="42"/>
      <c r="FX22" s="42"/>
      <c r="FY22" s="42"/>
      <c r="FZ22" s="42"/>
      <c r="GA22" s="42"/>
      <c r="GB22" s="42"/>
      <c r="GC22" s="42"/>
      <c r="GD22" s="42"/>
      <c r="GE22" s="42"/>
      <c r="GF22" s="42"/>
      <c r="GG22" s="42"/>
      <c r="GH22" s="42"/>
      <c r="GI22" s="42"/>
      <c r="GJ22" s="42"/>
      <c r="GK22" s="42"/>
      <c r="GL22" s="42"/>
      <c r="GM22" s="42"/>
      <c r="GN22" s="42"/>
      <c r="GO22" s="42"/>
      <c r="GP22" s="42"/>
      <c r="GQ22" s="42"/>
      <c r="GR22" s="42"/>
      <c r="GS22" s="42"/>
      <c r="GT22" s="42"/>
      <c r="GU22" s="42"/>
      <c r="GV22" s="42"/>
      <c r="GW22" s="42"/>
      <c r="GX22" s="42"/>
      <c r="GY22" s="42"/>
      <c r="GZ22" s="42"/>
      <c r="HA22" s="42"/>
      <c r="HB22" s="42"/>
      <c r="HC22" s="42"/>
      <c r="HD22" s="42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45"/>
      <c r="IN22" s="39"/>
      <c r="IO22" s="39"/>
      <c r="IP22" s="39"/>
      <c r="IQ22" s="39"/>
      <c r="IR22" s="46"/>
      <c r="IS22" s="46"/>
      <c r="IT22" s="46"/>
      <c r="IU22" s="46"/>
      <c r="IV22" s="46"/>
      <c r="IW22" s="46"/>
      <c r="IX22" s="46"/>
      <c r="IY22" s="46"/>
      <c r="IZ22" s="162"/>
      <c r="JA22" s="162"/>
      <c r="JB22" s="162"/>
      <c r="JC22" s="46"/>
      <c r="JD22" s="46"/>
      <c r="JE22" s="46"/>
      <c r="JF22" s="46"/>
      <c r="JG22" s="46"/>
      <c r="JH22" s="46"/>
      <c r="JI22" s="46"/>
      <c r="JJ22" s="46"/>
      <c r="JK22" s="46"/>
      <c r="JL22" s="46"/>
      <c r="JM22" s="162"/>
      <c r="JN22" s="162"/>
      <c r="JO22" s="162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  <c r="MN22" s="35"/>
      <c r="MO22" s="35"/>
    </row>
    <row r="23" spans="1:368" s="49" customFormat="1" ht="21" customHeight="1" thickBo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7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40"/>
      <c r="AZ23" s="38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  <c r="CL23" s="39"/>
      <c r="CM23" s="39"/>
      <c r="CN23" s="39"/>
      <c r="CO23" s="39"/>
      <c r="CP23" s="39"/>
      <c r="CQ23" s="39"/>
      <c r="CR23" s="39"/>
      <c r="CS23" s="39"/>
      <c r="CT23" s="39"/>
      <c r="CU23" s="39"/>
      <c r="CV23" s="39"/>
      <c r="CW23" s="39"/>
      <c r="CX23" s="39"/>
      <c r="CY23" s="39"/>
      <c r="CZ23" s="39"/>
      <c r="DA23" s="39"/>
      <c r="DB23" s="41"/>
      <c r="DC23" s="42"/>
      <c r="DD23" s="42"/>
      <c r="DE23" s="42"/>
      <c r="DF23" s="42"/>
      <c r="DG23" s="42"/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2"/>
      <c r="DX23" s="42"/>
      <c r="DY23" s="42"/>
      <c r="DZ23" s="42"/>
      <c r="EA23" s="42"/>
      <c r="EB23" s="42"/>
      <c r="EC23" s="42"/>
      <c r="ED23" s="42"/>
      <c r="EE23" s="42"/>
      <c r="EF23" s="42"/>
      <c r="EG23" s="42"/>
      <c r="EH23" s="42"/>
      <c r="EI23" s="42"/>
      <c r="EJ23" s="42"/>
      <c r="EK23" s="42"/>
      <c r="EL23" s="42"/>
      <c r="EM23" s="42"/>
      <c r="EN23" s="42"/>
      <c r="EO23" s="42"/>
      <c r="EP23" s="42"/>
      <c r="EQ23" s="42"/>
      <c r="ER23" s="42"/>
      <c r="ES23" s="42"/>
      <c r="ET23" s="42"/>
      <c r="EU23" s="42"/>
      <c r="EV23" s="42"/>
      <c r="EW23" s="42"/>
      <c r="EX23" s="42"/>
      <c r="EY23" s="42"/>
      <c r="EZ23" s="43"/>
      <c r="FA23" s="44"/>
      <c r="FB23" s="42"/>
      <c r="FC23" s="42"/>
      <c r="FD23" s="42"/>
      <c r="FE23" s="42"/>
      <c r="FF23" s="42"/>
      <c r="FG23" s="42"/>
      <c r="FH23" s="42"/>
      <c r="FI23" s="42"/>
      <c r="FJ23" s="42"/>
      <c r="FK23" s="42"/>
      <c r="FL23" s="42"/>
      <c r="FM23" s="42"/>
      <c r="FN23" s="42"/>
      <c r="FO23" s="42"/>
      <c r="FP23" s="42"/>
      <c r="FQ23" s="42"/>
      <c r="FR23" s="42"/>
      <c r="FS23" s="42"/>
      <c r="FT23" s="42"/>
      <c r="FU23" s="42"/>
      <c r="FV23" s="42"/>
      <c r="FW23" s="42"/>
      <c r="FX23" s="42"/>
      <c r="FY23" s="42"/>
      <c r="FZ23" s="42"/>
      <c r="GA23" s="42"/>
      <c r="GB23" s="42"/>
      <c r="GC23" s="42"/>
      <c r="GD23" s="42"/>
      <c r="GE23" s="42"/>
      <c r="GF23" s="42"/>
      <c r="GG23" s="42"/>
      <c r="GH23" s="42"/>
      <c r="GI23" s="42"/>
      <c r="GJ23" s="42"/>
      <c r="GK23" s="42"/>
      <c r="GL23" s="42"/>
      <c r="GM23" s="42"/>
      <c r="GN23" s="42"/>
      <c r="GO23" s="42"/>
      <c r="GP23" s="42"/>
      <c r="GQ23" s="42"/>
      <c r="GR23" s="42"/>
      <c r="GS23" s="42"/>
      <c r="GT23" s="42"/>
      <c r="GU23" s="42"/>
      <c r="GV23" s="42"/>
      <c r="GW23" s="42"/>
      <c r="GX23" s="42"/>
      <c r="GY23" s="42"/>
      <c r="GZ23" s="42"/>
      <c r="HA23" s="42"/>
      <c r="HB23" s="42"/>
      <c r="HC23" s="42"/>
      <c r="HD23" s="42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45"/>
      <c r="IN23" s="39"/>
      <c r="IO23" s="39"/>
      <c r="IP23" s="39"/>
      <c r="IQ23" s="39"/>
      <c r="IR23" s="46"/>
      <c r="IS23" s="46"/>
      <c r="IT23" s="46"/>
      <c r="IU23" s="46"/>
      <c r="IV23" s="46"/>
      <c r="IW23" s="46"/>
      <c r="IX23" s="46"/>
      <c r="IY23" s="46"/>
      <c r="IZ23" s="162"/>
      <c r="JA23" s="162"/>
      <c r="JB23" s="162"/>
      <c r="JC23" s="46"/>
      <c r="JD23" s="46"/>
      <c r="JE23" s="46"/>
      <c r="JF23" s="46"/>
      <c r="JG23" s="46"/>
      <c r="JH23" s="46"/>
      <c r="JI23" s="46"/>
      <c r="JJ23" s="46"/>
      <c r="JK23" s="46"/>
      <c r="JL23" s="46"/>
      <c r="JM23" s="162"/>
      <c r="JN23" s="162"/>
      <c r="JO23" s="162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  <c r="MN23" s="35"/>
      <c r="MO23" s="35"/>
    </row>
    <row r="24" spans="1:368" s="49" customFormat="1" ht="21" customHeight="1" x14ac:dyDescent="0.2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7"/>
      <c r="AM24" s="36"/>
      <c r="AN24" s="36"/>
      <c r="AO24" s="36"/>
      <c r="AP24" s="36"/>
      <c r="AQ24" s="36"/>
      <c r="AR24" s="36"/>
      <c r="AS24" s="36"/>
      <c r="AT24" s="39"/>
      <c r="AU24" s="39"/>
      <c r="AV24" s="39"/>
      <c r="AW24" s="39"/>
      <c r="AX24" s="39"/>
      <c r="AY24" s="40"/>
      <c r="AZ24" s="38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39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39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41"/>
      <c r="DC24" s="42"/>
      <c r="DD24" s="42"/>
      <c r="DE24" s="42"/>
      <c r="DF24" s="42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2"/>
      <c r="DX24" s="42"/>
      <c r="DY24" s="42"/>
      <c r="DZ24" s="42"/>
      <c r="EA24" s="42"/>
      <c r="EB24" s="42"/>
      <c r="EC24" s="42"/>
      <c r="ED24" s="42"/>
      <c r="EE24" s="42"/>
      <c r="EF24" s="42"/>
      <c r="EG24" s="42"/>
      <c r="EH24" s="42"/>
      <c r="EI24" s="42"/>
      <c r="EJ24" s="42"/>
      <c r="EK24" s="42"/>
      <c r="EL24" s="42"/>
      <c r="EM24" s="42"/>
      <c r="EN24" s="42"/>
      <c r="EO24" s="42"/>
      <c r="EP24" s="42"/>
      <c r="EQ24" s="42"/>
      <c r="ER24" s="42"/>
      <c r="ES24" s="42"/>
      <c r="ET24" s="42"/>
      <c r="EU24" s="42"/>
      <c r="EV24" s="42"/>
      <c r="EW24" s="42"/>
      <c r="EX24" s="42"/>
      <c r="EY24" s="42"/>
      <c r="EZ24" s="43"/>
      <c r="FA24" s="44"/>
      <c r="FB24" s="42"/>
      <c r="FC24" s="42"/>
      <c r="FD24" s="42"/>
      <c r="FE24" s="42"/>
      <c r="FF24" s="42"/>
      <c r="FG24" s="42"/>
      <c r="FH24" s="42"/>
      <c r="FI24" s="42"/>
      <c r="FJ24" s="42"/>
      <c r="FK24" s="42"/>
      <c r="FL24" s="42"/>
      <c r="FM24" s="42"/>
      <c r="FN24" s="42"/>
      <c r="FO24" s="42"/>
      <c r="FP24" s="42"/>
      <c r="FQ24" s="42"/>
      <c r="FR24" s="42"/>
      <c r="FS24" s="42"/>
      <c r="FT24" s="42"/>
      <c r="FU24" s="42"/>
      <c r="FV24" s="42"/>
      <c r="FW24" s="42"/>
      <c r="FX24" s="42"/>
      <c r="FY24" s="42"/>
      <c r="FZ24" s="42"/>
      <c r="GA24" s="42"/>
      <c r="GB24" s="42"/>
      <c r="GC24" s="42"/>
      <c r="GD24" s="42"/>
      <c r="GE24" s="42"/>
      <c r="GF24" s="42"/>
      <c r="GG24" s="42"/>
      <c r="GH24" s="42"/>
      <c r="GI24" s="42"/>
      <c r="GJ24" s="42"/>
      <c r="GK24" s="42"/>
      <c r="GL24" s="42"/>
      <c r="GM24" s="42"/>
      <c r="GN24" s="42"/>
      <c r="GO24" s="42"/>
      <c r="GP24" s="42"/>
      <c r="GQ24" s="42"/>
      <c r="GR24" s="42"/>
      <c r="GS24" s="42"/>
      <c r="GT24" s="42"/>
      <c r="GU24" s="42"/>
      <c r="GV24" s="42"/>
      <c r="GW24" s="42"/>
      <c r="GX24" s="42"/>
      <c r="GY24" s="42"/>
      <c r="GZ24" s="42"/>
      <c r="HA24" s="42"/>
      <c r="HB24" s="42"/>
      <c r="HC24" s="42"/>
      <c r="HD24" s="42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45"/>
      <c r="IN24" s="39"/>
      <c r="IO24" s="39"/>
      <c r="IP24" s="39"/>
      <c r="IQ24" s="39"/>
      <c r="IR24" s="46"/>
      <c r="IS24" s="46"/>
      <c r="IT24" s="46"/>
      <c r="IU24" s="46"/>
      <c r="IV24" s="46"/>
      <c r="IW24" s="46"/>
      <c r="IX24" s="46"/>
      <c r="IY24" s="46"/>
      <c r="IZ24" s="162"/>
      <c r="JA24" s="162"/>
      <c r="JB24" s="162"/>
      <c r="JC24" s="46"/>
      <c r="JD24" s="46"/>
      <c r="JE24" s="46"/>
      <c r="JF24" s="46"/>
      <c r="JG24" s="46"/>
      <c r="JH24" s="46"/>
      <c r="JI24" s="46"/>
      <c r="JJ24" s="46"/>
      <c r="JK24" s="46"/>
      <c r="JL24" s="46"/>
      <c r="JM24" s="162"/>
      <c r="JN24" s="162"/>
      <c r="JO24" s="162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</row>
    <row r="25" spans="1:368" s="18" customFormat="1" ht="27" customHeight="1" thickBot="1" x14ac:dyDescent="0.25">
      <c r="A25" s="386" t="s">
        <v>116</v>
      </c>
      <c r="B25" s="387"/>
      <c r="C25" s="387"/>
      <c r="D25" s="387"/>
      <c r="E25" s="388"/>
      <c r="F25" s="17">
        <f>SUM(F22:F24)</f>
        <v>0</v>
      </c>
      <c r="G25" s="17">
        <f t="shared" ref="G25:BR25" si="13">SUM(G22:G24)</f>
        <v>0</v>
      </c>
      <c r="H25" s="17">
        <f t="shared" si="13"/>
        <v>0</v>
      </c>
      <c r="I25" s="17">
        <f t="shared" si="13"/>
        <v>0</v>
      </c>
      <c r="J25" s="17">
        <f t="shared" si="13"/>
        <v>0</v>
      </c>
      <c r="K25" s="17">
        <f t="shared" si="13"/>
        <v>0</v>
      </c>
      <c r="L25" s="17">
        <f t="shared" si="13"/>
        <v>0</v>
      </c>
      <c r="M25" s="17">
        <f t="shared" si="13"/>
        <v>0</v>
      </c>
      <c r="N25" s="17">
        <f t="shared" si="13"/>
        <v>0</v>
      </c>
      <c r="O25" s="17">
        <f t="shared" si="13"/>
        <v>0</v>
      </c>
      <c r="P25" s="17">
        <f t="shared" si="13"/>
        <v>0</v>
      </c>
      <c r="Q25" s="17">
        <f t="shared" si="13"/>
        <v>0</v>
      </c>
      <c r="R25" s="17">
        <f t="shared" si="13"/>
        <v>0</v>
      </c>
      <c r="S25" s="17">
        <f t="shared" si="13"/>
        <v>0</v>
      </c>
      <c r="T25" s="17">
        <f t="shared" si="13"/>
        <v>0</v>
      </c>
      <c r="U25" s="17">
        <f t="shared" si="13"/>
        <v>0</v>
      </c>
      <c r="V25" s="17">
        <f t="shared" si="13"/>
        <v>0</v>
      </c>
      <c r="W25" s="17">
        <f t="shared" si="13"/>
        <v>0</v>
      </c>
      <c r="X25" s="17">
        <f t="shared" si="13"/>
        <v>0</v>
      </c>
      <c r="Y25" s="17">
        <f t="shared" si="13"/>
        <v>0</v>
      </c>
      <c r="Z25" s="17">
        <f t="shared" si="13"/>
        <v>0</v>
      </c>
      <c r="AA25" s="17">
        <f t="shared" si="13"/>
        <v>0</v>
      </c>
      <c r="AB25" s="17">
        <f t="shared" si="13"/>
        <v>0</v>
      </c>
      <c r="AC25" s="17">
        <f t="shared" si="13"/>
        <v>0</v>
      </c>
      <c r="AD25" s="17">
        <f t="shared" si="13"/>
        <v>0</v>
      </c>
      <c r="AE25" s="17">
        <f t="shared" si="13"/>
        <v>0</v>
      </c>
      <c r="AF25" s="17">
        <f t="shared" si="13"/>
        <v>0</v>
      </c>
      <c r="AG25" s="17">
        <f t="shared" si="13"/>
        <v>0</v>
      </c>
      <c r="AH25" s="17">
        <f t="shared" si="13"/>
        <v>0</v>
      </c>
      <c r="AI25" s="17">
        <f t="shared" si="13"/>
        <v>0</v>
      </c>
      <c r="AJ25" s="17">
        <f t="shared" si="13"/>
        <v>0</v>
      </c>
      <c r="AK25" s="17">
        <f t="shared" si="13"/>
        <v>0</v>
      </c>
      <c r="AL25" s="17">
        <f t="shared" si="13"/>
        <v>0</v>
      </c>
      <c r="AM25" s="17">
        <f t="shared" si="13"/>
        <v>0</v>
      </c>
      <c r="AN25" s="17">
        <f t="shared" si="13"/>
        <v>0</v>
      </c>
      <c r="AO25" s="17">
        <f t="shared" si="13"/>
        <v>0</v>
      </c>
      <c r="AP25" s="17">
        <f t="shared" si="13"/>
        <v>0</v>
      </c>
      <c r="AQ25" s="17">
        <f t="shared" si="13"/>
        <v>0</v>
      </c>
      <c r="AR25" s="17">
        <f t="shared" si="13"/>
        <v>0</v>
      </c>
      <c r="AS25" s="17">
        <f t="shared" si="13"/>
        <v>0</v>
      </c>
      <c r="AT25" s="17">
        <f t="shared" si="13"/>
        <v>0</v>
      </c>
      <c r="AU25" s="17">
        <f t="shared" si="13"/>
        <v>0</v>
      </c>
      <c r="AV25" s="17">
        <f t="shared" si="13"/>
        <v>0</v>
      </c>
      <c r="AW25" s="17">
        <f t="shared" si="13"/>
        <v>0</v>
      </c>
      <c r="AX25" s="17">
        <f t="shared" si="13"/>
        <v>0</v>
      </c>
      <c r="AY25" s="17">
        <f t="shared" si="13"/>
        <v>0</v>
      </c>
      <c r="AZ25" s="17">
        <f t="shared" si="13"/>
        <v>0</v>
      </c>
      <c r="BA25" s="17">
        <f t="shared" si="13"/>
        <v>0</v>
      </c>
      <c r="BB25" s="17">
        <f t="shared" si="13"/>
        <v>0</v>
      </c>
      <c r="BC25" s="17">
        <f t="shared" si="13"/>
        <v>0</v>
      </c>
      <c r="BD25" s="17">
        <f t="shared" si="13"/>
        <v>0</v>
      </c>
      <c r="BE25" s="17">
        <f t="shared" si="13"/>
        <v>0</v>
      </c>
      <c r="BF25" s="17">
        <f t="shared" si="13"/>
        <v>0</v>
      </c>
      <c r="BG25" s="17">
        <f t="shared" si="13"/>
        <v>0</v>
      </c>
      <c r="BH25" s="17">
        <f t="shared" si="13"/>
        <v>0</v>
      </c>
      <c r="BI25" s="17">
        <f t="shared" si="13"/>
        <v>0</v>
      </c>
      <c r="BJ25" s="17">
        <f t="shared" si="13"/>
        <v>0</v>
      </c>
      <c r="BK25" s="17">
        <f t="shared" si="13"/>
        <v>0</v>
      </c>
      <c r="BL25" s="17">
        <f t="shared" si="13"/>
        <v>0</v>
      </c>
      <c r="BM25" s="17">
        <f t="shared" si="13"/>
        <v>0</v>
      </c>
      <c r="BN25" s="17">
        <f t="shared" si="13"/>
        <v>0</v>
      </c>
      <c r="BO25" s="17">
        <f t="shared" si="13"/>
        <v>0</v>
      </c>
      <c r="BP25" s="17">
        <f t="shared" si="13"/>
        <v>0</v>
      </c>
      <c r="BQ25" s="17">
        <f t="shared" si="13"/>
        <v>0</v>
      </c>
      <c r="BR25" s="17">
        <f t="shared" si="13"/>
        <v>0</v>
      </c>
      <c r="BS25" s="17">
        <f t="shared" ref="BS25:ED25" si="14">SUM(BS22:BS24)</f>
        <v>0</v>
      </c>
      <c r="BT25" s="17">
        <f t="shared" si="14"/>
        <v>0</v>
      </c>
      <c r="BU25" s="17">
        <f t="shared" si="14"/>
        <v>0</v>
      </c>
      <c r="BV25" s="17">
        <f t="shared" si="14"/>
        <v>0</v>
      </c>
      <c r="BW25" s="17">
        <f t="shared" si="14"/>
        <v>0</v>
      </c>
      <c r="BX25" s="17">
        <f t="shared" si="14"/>
        <v>0</v>
      </c>
      <c r="BY25" s="17">
        <f t="shared" si="14"/>
        <v>0</v>
      </c>
      <c r="BZ25" s="17">
        <f t="shared" si="14"/>
        <v>0</v>
      </c>
      <c r="CA25" s="17">
        <f t="shared" si="14"/>
        <v>0</v>
      </c>
      <c r="CB25" s="17">
        <f t="shared" si="14"/>
        <v>0</v>
      </c>
      <c r="CC25" s="17">
        <f t="shared" si="14"/>
        <v>0</v>
      </c>
      <c r="CD25" s="17">
        <f t="shared" si="14"/>
        <v>0</v>
      </c>
      <c r="CE25" s="17">
        <f t="shared" si="14"/>
        <v>0</v>
      </c>
      <c r="CF25" s="17">
        <f t="shared" si="14"/>
        <v>0</v>
      </c>
      <c r="CG25" s="17">
        <f t="shared" si="14"/>
        <v>0</v>
      </c>
      <c r="CH25" s="17">
        <f t="shared" si="14"/>
        <v>0</v>
      </c>
      <c r="CI25" s="17">
        <f t="shared" si="14"/>
        <v>0</v>
      </c>
      <c r="CJ25" s="17">
        <f t="shared" si="14"/>
        <v>0</v>
      </c>
      <c r="CK25" s="17">
        <f t="shared" si="14"/>
        <v>0</v>
      </c>
      <c r="CL25" s="17">
        <f t="shared" si="14"/>
        <v>0</v>
      </c>
      <c r="CM25" s="17">
        <f t="shared" si="14"/>
        <v>0</v>
      </c>
      <c r="CN25" s="17">
        <f t="shared" si="14"/>
        <v>0</v>
      </c>
      <c r="CO25" s="17">
        <f t="shared" si="14"/>
        <v>0</v>
      </c>
      <c r="CP25" s="17">
        <f t="shared" si="14"/>
        <v>0</v>
      </c>
      <c r="CQ25" s="17">
        <f t="shared" si="14"/>
        <v>0</v>
      </c>
      <c r="CR25" s="17">
        <f t="shared" si="14"/>
        <v>0</v>
      </c>
      <c r="CS25" s="17">
        <f t="shared" si="14"/>
        <v>0</v>
      </c>
      <c r="CT25" s="17">
        <f t="shared" si="14"/>
        <v>0</v>
      </c>
      <c r="CU25" s="17">
        <f t="shared" si="14"/>
        <v>0</v>
      </c>
      <c r="CV25" s="17">
        <f t="shared" si="14"/>
        <v>0</v>
      </c>
      <c r="CW25" s="17">
        <f t="shared" si="14"/>
        <v>0</v>
      </c>
      <c r="CX25" s="17">
        <f t="shared" si="14"/>
        <v>0</v>
      </c>
      <c r="CY25" s="17">
        <f t="shared" si="14"/>
        <v>0</v>
      </c>
      <c r="CZ25" s="17">
        <f t="shared" si="14"/>
        <v>0</v>
      </c>
      <c r="DA25" s="17">
        <f t="shared" si="14"/>
        <v>0</v>
      </c>
      <c r="DB25" s="17">
        <f t="shared" si="14"/>
        <v>0</v>
      </c>
      <c r="DC25" s="17">
        <f t="shared" si="14"/>
        <v>0</v>
      </c>
      <c r="DD25" s="17">
        <f t="shared" si="14"/>
        <v>0</v>
      </c>
      <c r="DE25" s="17">
        <f t="shared" si="14"/>
        <v>0</v>
      </c>
      <c r="DF25" s="17">
        <f t="shared" si="14"/>
        <v>0</v>
      </c>
      <c r="DG25" s="17">
        <f t="shared" si="14"/>
        <v>0</v>
      </c>
      <c r="DH25" s="17">
        <f t="shared" si="14"/>
        <v>0</v>
      </c>
      <c r="DI25" s="17">
        <f t="shared" si="14"/>
        <v>0</v>
      </c>
      <c r="DJ25" s="17">
        <f t="shared" si="14"/>
        <v>0</v>
      </c>
      <c r="DK25" s="17">
        <f t="shared" si="14"/>
        <v>0</v>
      </c>
      <c r="DL25" s="17">
        <f t="shared" si="14"/>
        <v>0</v>
      </c>
      <c r="DM25" s="17">
        <f t="shared" si="14"/>
        <v>0</v>
      </c>
      <c r="DN25" s="17">
        <f t="shared" si="14"/>
        <v>0</v>
      </c>
      <c r="DO25" s="17">
        <f t="shared" si="14"/>
        <v>0</v>
      </c>
      <c r="DP25" s="17">
        <f t="shared" si="14"/>
        <v>0</v>
      </c>
      <c r="DQ25" s="17">
        <f t="shared" si="14"/>
        <v>0</v>
      </c>
      <c r="DR25" s="17">
        <f t="shared" si="14"/>
        <v>0</v>
      </c>
      <c r="DS25" s="17">
        <f t="shared" si="14"/>
        <v>0</v>
      </c>
      <c r="DT25" s="17">
        <f t="shared" si="14"/>
        <v>0</v>
      </c>
      <c r="DU25" s="17">
        <f t="shared" si="14"/>
        <v>0</v>
      </c>
      <c r="DV25" s="17">
        <f t="shared" si="14"/>
        <v>0</v>
      </c>
      <c r="DW25" s="17">
        <f t="shared" si="14"/>
        <v>0</v>
      </c>
      <c r="DX25" s="17">
        <f t="shared" si="14"/>
        <v>0</v>
      </c>
      <c r="DY25" s="17">
        <f t="shared" si="14"/>
        <v>0</v>
      </c>
      <c r="DZ25" s="17">
        <f t="shared" si="14"/>
        <v>0</v>
      </c>
      <c r="EA25" s="17">
        <f t="shared" si="14"/>
        <v>0</v>
      </c>
      <c r="EB25" s="17">
        <f t="shared" si="14"/>
        <v>0</v>
      </c>
      <c r="EC25" s="17">
        <f t="shared" si="14"/>
        <v>0</v>
      </c>
      <c r="ED25" s="17">
        <f t="shared" si="14"/>
        <v>0</v>
      </c>
      <c r="EE25" s="17">
        <f t="shared" ref="EE25:GP25" si="15">SUM(EE22:EE24)</f>
        <v>0</v>
      </c>
      <c r="EF25" s="17">
        <f t="shared" si="15"/>
        <v>0</v>
      </c>
      <c r="EG25" s="17">
        <f t="shared" si="15"/>
        <v>0</v>
      </c>
      <c r="EH25" s="17">
        <f t="shared" si="15"/>
        <v>0</v>
      </c>
      <c r="EI25" s="17">
        <f t="shared" si="15"/>
        <v>0</v>
      </c>
      <c r="EJ25" s="17">
        <f t="shared" si="15"/>
        <v>0</v>
      </c>
      <c r="EK25" s="17">
        <f t="shared" si="15"/>
        <v>0</v>
      </c>
      <c r="EL25" s="17">
        <f t="shared" si="15"/>
        <v>0</v>
      </c>
      <c r="EM25" s="17">
        <f t="shared" si="15"/>
        <v>0</v>
      </c>
      <c r="EN25" s="17">
        <f t="shared" si="15"/>
        <v>0</v>
      </c>
      <c r="EO25" s="17">
        <f t="shared" si="15"/>
        <v>0</v>
      </c>
      <c r="EP25" s="17">
        <f t="shared" si="15"/>
        <v>0</v>
      </c>
      <c r="EQ25" s="17">
        <f t="shared" si="15"/>
        <v>0</v>
      </c>
      <c r="ER25" s="17">
        <f t="shared" si="15"/>
        <v>0</v>
      </c>
      <c r="ES25" s="17">
        <f t="shared" si="15"/>
        <v>0</v>
      </c>
      <c r="ET25" s="17">
        <f t="shared" si="15"/>
        <v>0</v>
      </c>
      <c r="EU25" s="17">
        <f t="shared" si="15"/>
        <v>0</v>
      </c>
      <c r="EV25" s="17">
        <f t="shared" si="15"/>
        <v>0</v>
      </c>
      <c r="EW25" s="17">
        <f t="shared" si="15"/>
        <v>0</v>
      </c>
      <c r="EX25" s="17">
        <f t="shared" si="15"/>
        <v>0</v>
      </c>
      <c r="EY25" s="17">
        <f t="shared" si="15"/>
        <v>0</v>
      </c>
      <c r="EZ25" s="17">
        <f t="shared" si="15"/>
        <v>0</v>
      </c>
      <c r="FA25" s="17">
        <f t="shared" si="15"/>
        <v>0</v>
      </c>
      <c r="FB25" s="17">
        <f t="shared" si="15"/>
        <v>0</v>
      </c>
      <c r="FC25" s="17">
        <f t="shared" si="15"/>
        <v>0</v>
      </c>
      <c r="FD25" s="17">
        <f t="shared" si="15"/>
        <v>0</v>
      </c>
      <c r="FE25" s="17">
        <f t="shared" si="15"/>
        <v>0</v>
      </c>
      <c r="FF25" s="17">
        <f t="shared" si="15"/>
        <v>0</v>
      </c>
      <c r="FG25" s="17">
        <f t="shared" si="15"/>
        <v>0</v>
      </c>
      <c r="FH25" s="17">
        <f t="shared" si="15"/>
        <v>0</v>
      </c>
      <c r="FI25" s="17">
        <f t="shared" si="15"/>
        <v>0</v>
      </c>
      <c r="FJ25" s="17">
        <f t="shared" si="15"/>
        <v>0</v>
      </c>
      <c r="FK25" s="17">
        <f t="shared" si="15"/>
        <v>0</v>
      </c>
      <c r="FL25" s="17">
        <f t="shared" si="15"/>
        <v>0</v>
      </c>
      <c r="FM25" s="17">
        <f t="shared" si="15"/>
        <v>0</v>
      </c>
      <c r="FN25" s="17">
        <f t="shared" si="15"/>
        <v>0</v>
      </c>
      <c r="FO25" s="17">
        <f t="shared" si="15"/>
        <v>0</v>
      </c>
      <c r="FP25" s="17">
        <f t="shared" si="15"/>
        <v>0</v>
      </c>
      <c r="FQ25" s="17">
        <f t="shared" si="15"/>
        <v>0</v>
      </c>
      <c r="FR25" s="17">
        <f t="shared" si="15"/>
        <v>0</v>
      </c>
      <c r="FS25" s="17">
        <f t="shared" si="15"/>
        <v>0</v>
      </c>
      <c r="FT25" s="17">
        <f t="shared" si="15"/>
        <v>0</v>
      </c>
      <c r="FU25" s="17">
        <f t="shared" si="15"/>
        <v>0</v>
      </c>
      <c r="FV25" s="17">
        <f t="shared" si="15"/>
        <v>0</v>
      </c>
      <c r="FW25" s="17">
        <f t="shared" si="15"/>
        <v>0</v>
      </c>
      <c r="FX25" s="17">
        <f t="shared" si="15"/>
        <v>0</v>
      </c>
      <c r="FY25" s="17">
        <f t="shared" si="15"/>
        <v>0</v>
      </c>
      <c r="FZ25" s="17">
        <f t="shared" si="15"/>
        <v>0</v>
      </c>
      <c r="GA25" s="17">
        <f t="shared" si="15"/>
        <v>0</v>
      </c>
      <c r="GB25" s="17">
        <f t="shared" si="15"/>
        <v>0</v>
      </c>
      <c r="GC25" s="17">
        <f t="shared" si="15"/>
        <v>0</v>
      </c>
      <c r="GD25" s="17">
        <f t="shared" si="15"/>
        <v>0</v>
      </c>
      <c r="GE25" s="17">
        <f t="shared" si="15"/>
        <v>0</v>
      </c>
      <c r="GF25" s="17">
        <f t="shared" si="15"/>
        <v>0</v>
      </c>
      <c r="GG25" s="17">
        <f t="shared" si="15"/>
        <v>0</v>
      </c>
      <c r="GH25" s="17">
        <f t="shared" si="15"/>
        <v>0</v>
      </c>
      <c r="GI25" s="17">
        <f t="shared" si="15"/>
        <v>0</v>
      </c>
      <c r="GJ25" s="17">
        <f t="shared" si="15"/>
        <v>0</v>
      </c>
      <c r="GK25" s="17">
        <f t="shared" si="15"/>
        <v>0</v>
      </c>
      <c r="GL25" s="17">
        <f t="shared" si="15"/>
        <v>0</v>
      </c>
      <c r="GM25" s="17">
        <f t="shared" si="15"/>
        <v>0</v>
      </c>
      <c r="GN25" s="17">
        <f t="shared" si="15"/>
        <v>0</v>
      </c>
      <c r="GO25" s="17">
        <f t="shared" si="15"/>
        <v>0</v>
      </c>
      <c r="GP25" s="17">
        <f t="shared" si="15"/>
        <v>0</v>
      </c>
      <c r="GQ25" s="17">
        <f t="shared" ref="GQ25:IQ25" si="16">SUM(GQ22:GQ24)</f>
        <v>0</v>
      </c>
      <c r="GR25" s="17">
        <f t="shared" si="16"/>
        <v>0</v>
      </c>
      <c r="GS25" s="17">
        <f t="shared" si="16"/>
        <v>0</v>
      </c>
      <c r="GT25" s="17">
        <f t="shared" si="16"/>
        <v>0</v>
      </c>
      <c r="GU25" s="17">
        <f t="shared" si="16"/>
        <v>0</v>
      </c>
      <c r="GV25" s="17">
        <f t="shared" si="16"/>
        <v>0</v>
      </c>
      <c r="GW25" s="17">
        <f t="shared" si="16"/>
        <v>0</v>
      </c>
      <c r="GX25" s="17">
        <f t="shared" si="16"/>
        <v>0</v>
      </c>
      <c r="GY25" s="17">
        <f t="shared" si="16"/>
        <v>0</v>
      </c>
      <c r="GZ25" s="17">
        <f t="shared" si="16"/>
        <v>0</v>
      </c>
      <c r="HA25" s="17">
        <f t="shared" si="16"/>
        <v>0</v>
      </c>
      <c r="HB25" s="17">
        <f t="shared" si="16"/>
        <v>0</v>
      </c>
      <c r="HC25" s="17">
        <f t="shared" si="16"/>
        <v>0</v>
      </c>
      <c r="HD25" s="17">
        <f t="shared" si="16"/>
        <v>0</v>
      </c>
      <c r="HE25" s="17">
        <f t="shared" si="16"/>
        <v>0</v>
      </c>
      <c r="HF25" s="17">
        <f t="shared" si="16"/>
        <v>0</v>
      </c>
      <c r="HG25" s="17">
        <f t="shared" si="16"/>
        <v>0</v>
      </c>
      <c r="HH25" s="17">
        <f t="shared" si="16"/>
        <v>0</v>
      </c>
      <c r="HI25" s="17">
        <f t="shared" si="16"/>
        <v>0</v>
      </c>
      <c r="HJ25" s="17">
        <f t="shared" si="16"/>
        <v>0</v>
      </c>
      <c r="HK25" s="17">
        <f t="shared" si="16"/>
        <v>0</v>
      </c>
      <c r="HL25" s="17">
        <f t="shared" si="16"/>
        <v>0</v>
      </c>
      <c r="HM25" s="17">
        <f t="shared" si="16"/>
        <v>0</v>
      </c>
      <c r="HN25" s="17">
        <f t="shared" si="16"/>
        <v>0</v>
      </c>
      <c r="HO25" s="17">
        <f t="shared" si="16"/>
        <v>0</v>
      </c>
      <c r="HP25" s="17">
        <f t="shared" si="16"/>
        <v>0</v>
      </c>
      <c r="HQ25" s="17">
        <f t="shared" si="16"/>
        <v>0</v>
      </c>
      <c r="HR25" s="17">
        <f t="shared" si="16"/>
        <v>0</v>
      </c>
      <c r="HS25" s="17">
        <f t="shared" si="16"/>
        <v>0</v>
      </c>
      <c r="HT25" s="17">
        <f t="shared" si="16"/>
        <v>0</v>
      </c>
      <c r="HU25" s="17">
        <f t="shared" si="16"/>
        <v>0</v>
      </c>
      <c r="HV25" s="17">
        <f t="shared" si="16"/>
        <v>0</v>
      </c>
      <c r="HW25" s="17">
        <f t="shared" si="16"/>
        <v>0</v>
      </c>
      <c r="HX25" s="17">
        <f t="shared" si="16"/>
        <v>0</v>
      </c>
      <c r="HY25" s="17">
        <f t="shared" si="16"/>
        <v>0</v>
      </c>
      <c r="HZ25" s="17">
        <f t="shared" si="16"/>
        <v>0</v>
      </c>
      <c r="IA25" s="17">
        <f t="shared" si="16"/>
        <v>0</v>
      </c>
      <c r="IB25" s="17">
        <f t="shared" si="16"/>
        <v>0</v>
      </c>
      <c r="IC25" s="17">
        <f t="shared" si="16"/>
        <v>0</v>
      </c>
      <c r="ID25" s="17">
        <f t="shared" si="16"/>
        <v>0</v>
      </c>
      <c r="IE25" s="17">
        <f t="shared" si="16"/>
        <v>0</v>
      </c>
      <c r="IF25" s="17">
        <f t="shared" si="16"/>
        <v>0</v>
      </c>
      <c r="IG25" s="17">
        <f t="shared" si="16"/>
        <v>0</v>
      </c>
      <c r="IH25" s="17">
        <f t="shared" si="16"/>
        <v>0</v>
      </c>
      <c r="II25" s="17">
        <f t="shared" si="16"/>
        <v>0</v>
      </c>
      <c r="IJ25" s="17">
        <f t="shared" si="16"/>
        <v>0</v>
      </c>
      <c r="IK25" s="17">
        <f t="shared" si="16"/>
        <v>0</v>
      </c>
      <c r="IL25" s="17">
        <f t="shared" si="16"/>
        <v>0</v>
      </c>
      <c r="IM25" s="17">
        <f t="shared" si="16"/>
        <v>0</v>
      </c>
      <c r="IN25" s="17">
        <f t="shared" si="16"/>
        <v>0</v>
      </c>
      <c r="IO25" s="17">
        <f t="shared" si="16"/>
        <v>0</v>
      </c>
      <c r="IP25" s="17">
        <f t="shared" si="16"/>
        <v>0</v>
      </c>
      <c r="IQ25" s="17">
        <f t="shared" si="16"/>
        <v>0</v>
      </c>
      <c r="IR25" s="17">
        <f t="shared" ref="IR25:KB25" si="17">SUM(IR22:IR24)</f>
        <v>0</v>
      </c>
      <c r="IS25" s="17">
        <f t="shared" si="17"/>
        <v>0</v>
      </c>
      <c r="IT25" s="17">
        <f t="shared" si="17"/>
        <v>0</v>
      </c>
      <c r="IU25" s="17">
        <f t="shared" si="17"/>
        <v>0</v>
      </c>
      <c r="IV25" s="17">
        <f t="shared" si="17"/>
        <v>0</v>
      </c>
      <c r="IW25" s="17">
        <f t="shared" si="17"/>
        <v>0</v>
      </c>
      <c r="IX25" s="17">
        <f t="shared" si="17"/>
        <v>0</v>
      </c>
      <c r="IY25" s="17">
        <f t="shared" si="17"/>
        <v>0</v>
      </c>
      <c r="IZ25" s="17">
        <f t="shared" si="17"/>
        <v>0</v>
      </c>
      <c r="JA25" s="17">
        <f t="shared" si="17"/>
        <v>0</v>
      </c>
      <c r="JB25" s="17">
        <f t="shared" si="17"/>
        <v>0</v>
      </c>
      <c r="JC25" s="17">
        <f t="shared" si="17"/>
        <v>0</v>
      </c>
      <c r="JD25" s="17">
        <f t="shared" si="17"/>
        <v>0</v>
      </c>
      <c r="JE25" s="17">
        <f t="shared" si="17"/>
        <v>0</v>
      </c>
      <c r="JF25" s="17">
        <f t="shared" si="17"/>
        <v>0</v>
      </c>
      <c r="JG25" s="17">
        <f t="shared" si="17"/>
        <v>0</v>
      </c>
      <c r="JH25" s="17">
        <f t="shared" si="17"/>
        <v>0</v>
      </c>
      <c r="JI25" s="17">
        <f t="shared" si="17"/>
        <v>0</v>
      </c>
      <c r="JJ25" s="17">
        <f t="shared" si="17"/>
        <v>0</v>
      </c>
      <c r="JK25" s="17">
        <f t="shared" si="17"/>
        <v>0</v>
      </c>
      <c r="JL25" s="17">
        <f t="shared" si="17"/>
        <v>0</v>
      </c>
      <c r="JM25" s="17">
        <f t="shared" si="17"/>
        <v>0</v>
      </c>
      <c r="JN25" s="17">
        <f t="shared" si="17"/>
        <v>0</v>
      </c>
      <c r="JO25" s="17">
        <f t="shared" si="17"/>
        <v>0</v>
      </c>
      <c r="JP25" s="17">
        <f t="shared" si="17"/>
        <v>0</v>
      </c>
      <c r="JQ25" s="17">
        <f t="shared" si="17"/>
        <v>0</v>
      </c>
      <c r="JR25" s="17">
        <f t="shared" si="17"/>
        <v>0</v>
      </c>
      <c r="JS25" s="17">
        <f t="shared" si="17"/>
        <v>0</v>
      </c>
      <c r="JT25" s="17">
        <f t="shared" si="17"/>
        <v>0</v>
      </c>
      <c r="JU25" s="17">
        <f t="shared" si="17"/>
        <v>0</v>
      </c>
      <c r="JV25" s="17">
        <f t="shared" si="17"/>
        <v>0</v>
      </c>
      <c r="JW25" s="17">
        <f t="shared" si="17"/>
        <v>0</v>
      </c>
      <c r="JX25" s="17">
        <f t="shared" si="17"/>
        <v>0</v>
      </c>
      <c r="JY25" s="17">
        <f t="shared" si="17"/>
        <v>0</v>
      </c>
      <c r="JZ25" s="17">
        <f t="shared" si="17"/>
        <v>0</v>
      </c>
      <c r="KA25" s="17">
        <f t="shared" si="17"/>
        <v>0</v>
      </c>
      <c r="KB25" s="17">
        <f t="shared" si="17"/>
        <v>0</v>
      </c>
      <c r="KC25" s="17">
        <f t="shared" ref="KC25:KT25" si="18">SUM(KC22:KC24)</f>
        <v>0</v>
      </c>
      <c r="KD25" s="17">
        <f t="shared" si="18"/>
        <v>0</v>
      </c>
      <c r="KE25" s="17">
        <f t="shared" si="18"/>
        <v>0</v>
      </c>
      <c r="KF25" s="17">
        <f t="shared" si="18"/>
        <v>0</v>
      </c>
      <c r="KG25" s="17">
        <f t="shared" si="18"/>
        <v>0</v>
      </c>
      <c r="KH25" s="17">
        <f t="shared" si="18"/>
        <v>0</v>
      </c>
      <c r="KI25" s="17">
        <f t="shared" si="18"/>
        <v>0</v>
      </c>
      <c r="KJ25" s="17">
        <f t="shared" si="18"/>
        <v>0</v>
      </c>
      <c r="KK25" s="17">
        <f t="shared" si="18"/>
        <v>0</v>
      </c>
      <c r="KL25" s="17">
        <f t="shared" si="18"/>
        <v>0</v>
      </c>
      <c r="KM25" s="17">
        <f t="shared" si="18"/>
        <v>0</v>
      </c>
      <c r="KN25" s="17">
        <f t="shared" si="18"/>
        <v>0</v>
      </c>
      <c r="KO25" s="17">
        <f t="shared" si="18"/>
        <v>0</v>
      </c>
      <c r="KP25" s="17">
        <f t="shared" si="18"/>
        <v>0</v>
      </c>
      <c r="KQ25" s="17">
        <f t="shared" si="18"/>
        <v>0</v>
      </c>
      <c r="KR25" s="17">
        <f t="shared" si="18"/>
        <v>0</v>
      </c>
      <c r="KS25" s="17">
        <f t="shared" si="18"/>
        <v>0</v>
      </c>
      <c r="KT25" s="17">
        <f t="shared" si="18"/>
        <v>0</v>
      </c>
      <c r="KU25" s="17">
        <f t="shared" ref="KU25:ND25" si="19">SUM(KU22:KU24)</f>
        <v>0</v>
      </c>
      <c r="KV25" s="17">
        <f t="shared" si="19"/>
        <v>0</v>
      </c>
      <c r="KW25" s="17">
        <f t="shared" si="19"/>
        <v>0</v>
      </c>
      <c r="KX25" s="17">
        <f t="shared" si="19"/>
        <v>0</v>
      </c>
      <c r="KY25" s="17">
        <f t="shared" si="19"/>
        <v>0</v>
      </c>
      <c r="KZ25" s="17">
        <f t="shared" si="19"/>
        <v>0</v>
      </c>
      <c r="LA25" s="17">
        <f t="shared" si="19"/>
        <v>0</v>
      </c>
      <c r="LB25" s="17">
        <f t="shared" si="19"/>
        <v>0</v>
      </c>
      <c r="LC25" s="17">
        <f t="shared" si="19"/>
        <v>0</v>
      </c>
      <c r="LD25" s="17">
        <f t="shared" si="19"/>
        <v>0</v>
      </c>
      <c r="LE25" s="17">
        <f t="shared" si="19"/>
        <v>0</v>
      </c>
      <c r="LF25" s="17">
        <f t="shared" si="19"/>
        <v>0</v>
      </c>
      <c r="LG25" s="17">
        <f t="shared" si="19"/>
        <v>0</v>
      </c>
      <c r="LH25" s="17">
        <f t="shared" si="19"/>
        <v>0</v>
      </c>
      <c r="LI25" s="17">
        <f t="shared" si="19"/>
        <v>0</v>
      </c>
      <c r="LJ25" s="17">
        <f t="shared" si="19"/>
        <v>0</v>
      </c>
      <c r="LK25" s="17">
        <f t="shared" si="19"/>
        <v>0</v>
      </c>
      <c r="LL25" s="17">
        <f t="shared" si="19"/>
        <v>0</v>
      </c>
      <c r="LM25" s="17">
        <f t="shared" si="19"/>
        <v>0</v>
      </c>
      <c r="LN25" s="17">
        <f t="shared" si="19"/>
        <v>0</v>
      </c>
      <c r="LO25" s="17">
        <f t="shared" si="19"/>
        <v>0</v>
      </c>
      <c r="LP25" s="17">
        <f t="shared" si="19"/>
        <v>0</v>
      </c>
      <c r="LQ25" s="17">
        <f t="shared" si="19"/>
        <v>0</v>
      </c>
      <c r="LR25" s="17">
        <f t="shared" si="19"/>
        <v>0</v>
      </c>
      <c r="LS25" s="17">
        <f t="shared" si="19"/>
        <v>0</v>
      </c>
      <c r="LT25" s="17">
        <f t="shared" si="19"/>
        <v>0</v>
      </c>
      <c r="LU25" s="17">
        <f t="shared" si="19"/>
        <v>0</v>
      </c>
      <c r="LV25" s="17">
        <f t="shared" si="19"/>
        <v>0</v>
      </c>
      <c r="LW25" s="17">
        <f t="shared" si="19"/>
        <v>0</v>
      </c>
      <c r="LX25" s="17">
        <f t="shared" si="19"/>
        <v>0</v>
      </c>
      <c r="LY25" s="17">
        <f t="shared" si="19"/>
        <v>0</v>
      </c>
      <c r="LZ25" s="17">
        <f t="shared" si="19"/>
        <v>0</v>
      </c>
      <c r="MA25" s="17">
        <f t="shared" si="19"/>
        <v>0</v>
      </c>
      <c r="MB25" s="17">
        <f t="shared" si="19"/>
        <v>0</v>
      </c>
      <c r="MC25" s="17">
        <f t="shared" si="19"/>
        <v>0</v>
      </c>
      <c r="MD25" s="17">
        <f t="shared" si="19"/>
        <v>0</v>
      </c>
      <c r="ME25" s="17">
        <f t="shared" si="19"/>
        <v>0</v>
      </c>
      <c r="MF25" s="17">
        <f t="shared" si="19"/>
        <v>0</v>
      </c>
      <c r="MG25" s="17">
        <f t="shared" si="19"/>
        <v>0</v>
      </c>
      <c r="MH25" s="17">
        <f t="shared" si="19"/>
        <v>0</v>
      </c>
      <c r="MI25" s="17">
        <f t="shared" si="19"/>
        <v>0</v>
      </c>
      <c r="MJ25" s="17">
        <f t="shared" si="19"/>
        <v>0</v>
      </c>
      <c r="MK25" s="17">
        <f t="shared" si="19"/>
        <v>0</v>
      </c>
      <c r="ML25" s="17">
        <f t="shared" si="19"/>
        <v>0</v>
      </c>
      <c r="MM25" s="17">
        <f t="shared" si="19"/>
        <v>0</v>
      </c>
      <c r="MN25" s="17">
        <f t="shared" si="19"/>
        <v>0</v>
      </c>
      <c r="MO25" s="17">
        <f t="shared" si="19"/>
        <v>0</v>
      </c>
      <c r="MP25" s="17">
        <f t="shared" si="19"/>
        <v>0</v>
      </c>
      <c r="MQ25" s="17">
        <f t="shared" si="19"/>
        <v>0</v>
      </c>
      <c r="MR25" s="17">
        <f t="shared" si="19"/>
        <v>0</v>
      </c>
      <c r="MS25" s="17">
        <f t="shared" si="19"/>
        <v>0</v>
      </c>
      <c r="MT25" s="17">
        <f t="shared" si="19"/>
        <v>0</v>
      </c>
      <c r="MU25" s="17">
        <f t="shared" si="19"/>
        <v>0</v>
      </c>
      <c r="MV25" s="17">
        <f t="shared" si="19"/>
        <v>0</v>
      </c>
      <c r="MW25" s="17">
        <f t="shared" si="19"/>
        <v>0</v>
      </c>
      <c r="MX25" s="17">
        <f t="shared" si="19"/>
        <v>0</v>
      </c>
      <c r="MY25" s="17">
        <f t="shared" si="19"/>
        <v>0</v>
      </c>
      <c r="MZ25" s="17">
        <f t="shared" si="19"/>
        <v>0</v>
      </c>
      <c r="NA25" s="17">
        <f t="shared" si="19"/>
        <v>0</v>
      </c>
      <c r="NB25" s="17">
        <f t="shared" si="19"/>
        <v>0</v>
      </c>
      <c r="NC25" s="17">
        <f t="shared" si="19"/>
        <v>0</v>
      </c>
      <c r="ND25" s="17">
        <f t="shared" si="19"/>
        <v>0</v>
      </c>
    </row>
    <row r="26" spans="1:368" s="16" customFormat="1" ht="18" customHeight="1" thickBo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2"/>
      <c r="Q26" s="2"/>
      <c r="R26" s="4"/>
      <c r="S26" s="4"/>
      <c r="T26" s="4"/>
      <c r="U26" s="5"/>
      <c r="V26" s="4"/>
      <c r="W26" s="4"/>
      <c r="X26" s="4"/>
      <c r="Y26" s="4"/>
      <c r="Z26" s="4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7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9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11"/>
      <c r="IQ26" s="8"/>
      <c r="IR26" s="12"/>
      <c r="IS26" s="12"/>
      <c r="IT26" s="12"/>
      <c r="IU26" s="12"/>
      <c r="IV26" s="12"/>
      <c r="IW26" s="12"/>
      <c r="IX26" s="12"/>
      <c r="IY26" s="12"/>
      <c r="IZ26" s="12"/>
      <c r="JA26" s="12"/>
      <c r="JB26" s="12"/>
      <c r="JC26" s="23"/>
      <c r="JD26" s="23"/>
      <c r="JE26" s="23"/>
      <c r="JF26" s="12"/>
      <c r="JG26" s="12"/>
      <c r="JH26" s="12"/>
      <c r="JI26" s="12"/>
      <c r="JJ26" s="12"/>
      <c r="JK26" s="12"/>
      <c r="JL26" s="12"/>
      <c r="JM26" s="12"/>
      <c r="JN26" s="23"/>
      <c r="JO26" s="23"/>
      <c r="JP26" s="2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3"/>
      <c r="KG26" s="13"/>
      <c r="KH26" s="13"/>
      <c r="KI26" s="13"/>
      <c r="KJ26" s="13"/>
      <c r="KK26" s="14"/>
      <c r="KL26" s="14"/>
      <c r="KM26" s="14"/>
      <c r="KN26" s="15"/>
      <c r="KO26" s="15"/>
      <c r="KP26" s="15"/>
      <c r="KQ26" s="15"/>
      <c r="KR26" s="15"/>
      <c r="KS26" s="15"/>
      <c r="KT26" s="15"/>
      <c r="KU26" s="15"/>
      <c r="KV26" s="15"/>
      <c r="KW26" s="15"/>
      <c r="KX26" s="15"/>
      <c r="KY26" s="15"/>
      <c r="KZ26" s="15"/>
      <c r="LA26" s="15"/>
      <c r="LB26" s="15"/>
      <c r="LC26" s="15"/>
      <c r="LD26" s="15"/>
      <c r="LE26" s="15"/>
      <c r="LF26" s="15"/>
      <c r="LG26" s="15"/>
      <c r="LH26" s="15"/>
      <c r="LI26" s="15"/>
      <c r="LJ26" s="15"/>
      <c r="LK26" s="15"/>
      <c r="LL26" s="15"/>
      <c r="LM26" s="15"/>
      <c r="LN26" s="15"/>
      <c r="LO26" s="15"/>
      <c r="LP26" s="15"/>
      <c r="LQ26" s="15"/>
      <c r="LR26" s="15"/>
      <c r="LS26" s="15"/>
      <c r="LT26" s="15"/>
      <c r="LU26" s="113"/>
      <c r="LV26" s="113"/>
      <c r="LW26" s="113"/>
      <c r="LX26" s="113"/>
      <c r="LY26" s="113"/>
      <c r="LZ26" s="113"/>
      <c r="MA26" s="113"/>
      <c r="MB26" s="113"/>
      <c r="MC26" s="113"/>
      <c r="MD26" s="113"/>
      <c r="ME26" s="113"/>
      <c r="MF26" s="113"/>
      <c r="MG26" s="113"/>
      <c r="MH26" s="113"/>
      <c r="MI26" s="113"/>
      <c r="MJ26" s="113"/>
      <c r="MK26" s="113"/>
      <c r="ML26" s="113"/>
      <c r="MM26" s="113"/>
      <c r="MN26" s="113"/>
      <c r="MO26" s="113"/>
      <c r="MP26" s="113"/>
      <c r="MQ26" s="113"/>
      <c r="MR26" s="113"/>
      <c r="MS26" s="113"/>
      <c r="MT26" s="113"/>
      <c r="MU26" s="113"/>
      <c r="MV26" s="113"/>
      <c r="MW26" s="113"/>
      <c r="MX26" s="113"/>
      <c r="MY26" s="113"/>
      <c r="MZ26" s="113"/>
      <c r="NA26" s="113"/>
      <c r="NB26" s="113"/>
      <c r="NC26" s="113"/>
      <c r="ND26" s="113"/>
    </row>
    <row r="27" spans="1:368" s="16" customFormat="1" ht="18" customHeight="1" thickBo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2"/>
      <c r="Q27" s="2"/>
      <c r="R27" s="4"/>
      <c r="S27" s="4"/>
      <c r="T27" s="4"/>
      <c r="U27" s="5"/>
      <c r="V27" s="4"/>
      <c r="W27" s="4"/>
      <c r="X27" s="4"/>
      <c r="Y27" s="4"/>
      <c r="Z27" s="4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7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9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11"/>
      <c r="IQ27" s="8"/>
      <c r="IR27" s="12"/>
      <c r="IS27" s="12"/>
      <c r="IT27" s="12"/>
      <c r="IU27" s="12"/>
      <c r="IV27" s="12"/>
      <c r="IW27" s="12"/>
      <c r="IX27" s="12"/>
      <c r="IY27" s="12"/>
      <c r="IZ27" s="12"/>
      <c r="JA27" s="12"/>
      <c r="JB27" s="12"/>
      <c r="JC27" s="23"/>
      <c r="JD27" s="23"/>
      <c r="JE27" s="23"/>
      <c r="JF27" s="12"/>
      <c r="JG27" s="12"/>
      <c r="JH27" s="12"/>
      <c r="JI27" s="12"/>
      <c r="JJ27" s="12"/>
      <c r="JK27" s="12"/>
      <c r="JL27" s="12"/>
      <c r="JM27" s="12"/>
      <c r="JN27" s="23"/>
      <c r="JO27" s="23"/>
      <c r="JP27" s="2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3"/>
      <c r="KG27" s="13"/>
      <c r="KH27" s="13"/>
      <c r="KI27" s="13"/>
      <c r="KJ27" s="13"/>
      <c r="KK27" s="14"/>
      <c r="KL27" s="14"/>
      <c r="KM27" s="14"/>
      <c r="KN27" s="15"/>
      <c r="KO27" s="15"/>
      <c r="KP27" s="15"/>
      <c r="KQ27" s="15"/>
      <c r="KR27" s="15"/>
      <c r="KS27" s="15"/>
      <c r="KT27" s="15"/>
      <c r="KU27" s="15"/>
      <c r="KV27" s="15"/>
      <c r="KW27" s="15"/>
      <c r="KX27" s="15"/>
      <c r="KY27" s="15"/>
      <c r="KZ27" s="15"/>
      <c r="LA27" s="15"/>
      <c r="LB27" s="15"/>
      <c r="LC27" s="15"/>
      <c r="LD27" s="15"/>
      <c r="LE27" s="15"/>
      <c r="LF27" s="15"/>
      <c r="LG27" s="15"/>
      <c r="LH27" s="15"/>
      <c r="LI27" s="15"/>
      <c r="LJ27" s="15"/>
      <c r="LK27" s="15"/>
      <c r="LL27" s="15"/>
      <c r="LM27" s="15"/>
      <c r="LN27" s="15"/>
      <c r="LO27" s="15"/>
      <c r="LP27" s="15"/>
      <c r="LQ27" s="15"/>
      <c r="LR27" s="15"/>
      <c r="LS27" s="15"/>
      <c r="LT27" s="15"/>
      <c r="LU27" s="113"/>
      <c r="LV27" s="113"/>
      <c r="LW27" s="113"/>
      <c r="LX27" s="113"/>
      <c r="LY27" s="113"/>
      <c r="LZ27" s="113"/>
      <c r="MA27" s="113"/>
      <c r="MB27" s="113"/>
      <c r="MC27" s="113"/>
      <c r="MD27" s="113"/>
      <c r="ME27" s="113"/>
      <c r="MF27" s="113"/>
      <c r="MG27" s="113"/>
      <c r="MH27" s="113"/>
      <c r="MI27" s="113"/>
      <c r="MJ27" s="113"/>
      <c r="MK27" s="113"/>
      <c r="ML27" s="113"/>
      <c r="MM27" s="113"/>
      <c r="MN27" s="113"/>
      <c r="MO27" s="113"/>
      <c r="MP27" s="113"/>
      <c r="MQ27" s="113"/>
      <c r="MR27" s="113"/>
      <c r="MS27" s="113"/>
      <c r="MT27" s="113"/>
      <c r="MU27" s="113"/>
      <c r="MV27" s="113"/>
      <c r="MW27" s="113"/>
      <c r="MX27" s="113"/>
      <c r="MY27" s="113"/>
      <c r="MZ27" s="113"/>
      <c r="NA27" s="113"/>
      <c r="NB27" s="113"/>
      <c r="NC27" s="113"/>
      <c r="ND27" s="113"/>
    </row>
    <row r="28" spans="1:368" s="16" customFormat="1" ht="18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2"/>
      <c r="Q28" s="2"/>
      <c r="R28" s="4"/>
      <c r="S28" s="4"/>
      <c r="T28" s="4"/>
      <c r="U28" s="5"/>
      <c r="V28" s="4"/>
      <c r="W28" s="4"/>
      <c r="X28" s="4"/>
      <c r="Y28" s="4"/>
      <c r="Z28" s="4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7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9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11"/>
      <c r="IQ28" s="8"/>
      <c r="IR28" s="12"/>
      <c r="IS28" s="12"/>
      <c r="IT28" s="12"/>
      <c r="IU28" s="12"/>
      <c r="IV28" s="12"/>
      <c r="IW28" s="12"/>
      <c r="IX28" s="12"/>
      <c r="IY28" s="12"/>
      <c r="IZ28" s="12"/>
      <c r="JA28" s="12"/>
      <c r="JB28" s="12"/>
      <c r="JC28" s="23"/>
      <c r="JD28" s="23"/>
      <c r="JE28" s="23"/>
      <c r="JF28" s="12"/>
      <c r="JG28" s="12"/>
      <c r="JH28" s="12"/>
      <c r="JI28" s="12"/>
      <c r="JJ28" s="12"/>
      <c r="JK28" s="12"/>
      <c r="JL28" s="12"/>
      <c r="JM28" s="12"/>
      <c r="JN28" s="23"/>
      <c r="JO28" s="23"/>
      <c r="JP28" s="2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3"/>
      <c r="KG28" s="13"/>
      <c r="KH28" s="13"/>
      <c r="KI28" s="13"/>
      <c r="KJ28" s="13"/>
      <c r="KK28" s="14"/>
      <c r="KL28" s="14"/>
      <c r="KM28" s="14"/>
      <c r="KN28" s="15"/>
      <c r="KO28" s="15"/>
      <c r="KP28" s="15"/>
      <c r="KQ28" s="15"/>
      <c r="KR28" s="15"/>
      <c r="KS28" s="15"/>
      <c r="KT28" s="15"/>
      <c r="KU28" s="15"/>
      <c r="KV28" s="15"/>
      <c r="KW28" s="15"/>
      <c r="KX28" s="15"/>
      <c r="KY28" s="15"/>
      <c r="KZ28" s="15"/>
      <c r="LA28" s="15"/>
      <c r="LB28" s="15"/>
      <c r="LC28" s="15"/>
      <c r="LD28" s="15"/>
      <c r="LE28" s="15"/>
      <c r="LF28" s="15"/>
      <c r="LG28" s="15"/>
      <c r="LH28" s="15"/>
      <c r="LI28" s="15"/>
      <c r="LJ28" s="15"/>
      <c r="LK28" s="15"/>
      <c r="LL28" s="15"/>
      <c r="LM28" s="15"/>
      <c r="LN28" s="15"/>
      <c r="LO28" s="15"/>
      <c r="LP28" s="15"/>
      <c r="LQ28" s="15"/>
      <c r="LR28" s="15"/>
      <c r="LS28" s="15"/>
      <c r="LT28" s="15"/>
      <c r="LU28" s="113"/>
      <c r="LV28" s="113"/>
      <c r="LW28" s="113"/>
      <c r="LX28" s="113"/>
      <c r="LY28" s="113"/>
      <c r="LZ28" s="113"/>
      <c r="MA28" s="113"/>
      <c r="MB28" s="113"/>
      <c r="MC28" s="113"/>
      <c r="MD28" s="113"/>
      <c r="ME28" s="113"/>
      <c r="MF28" s="113"/>
      <c r="MG28" s="113"/>
      <c r="MH28" s="113"/>
      <c r="MI28" s="113"/>
      <c r="MJ28" s="113"/>
      <c r="MK28" s="113"/>
      <c r="ML28" s="113"/>
      <c r="MM28" s="113"/>
      <c r="MN28" s="113"/>
      <c r="MO28" s="113"/>
      <c r="MP28" s="113"/>
      <c r="MQ28" s="113"/>
      <c r="MR28" s="113"/>
      <c r="MS28" s="113"/>
      <c r="MT28" s="113"/>
      <c r="MU28" s="113"/>
      <c r="MV28" s="113"/>
      <c r="MW28" s="113"/>
      <c r="MX28" s="113"/>
      <c r="MY28" s="113"/>
      <c r="MZ28" s="113"/>
      <c r="NA28" s="113"/>
      <c r="NB28" s="113"/>
      <c r="NC28" s="113"/>
      <c r="ND28" s="113"/>
    </row>
    <row r="29" spans="1:368" s="18" customFormat="1" ht="32.25" customHeight="1" x14ac:dyDescent="0.2">
      <c r="A29" s="386" t="s">
        <v>117</v>
      </c>
      <c r="B29" s="387"/>
      <c r="C29" s="387"/>
      <c r="D29" s="387"/>
      <c r="E29" s="388"/>
      <c r="F29" s="17">
        <f>SUM(F26:F28)</f>
        <v>0</v>
      </c>
      <c r="G29" s="17">
        <f t="shared" ref="G29:BR29" si="20">SUM(G26:G28)</f>
        <v>0</v>
      </c>
      <c r="H29" s="17">
        <f t="shared" si="20"/>
        <v>0</v>
      </c>
      <c r="I29" s="17">
        <f t="shared" si="20"/>
        <v>0</v>
      </c>
      <c r="J29" s="17">
        <f t="shared" si="20"/>
        <v>0</v>
      </c>
      <c r="K29" s="17">
        <f t="shared" si="20"/>
        <v>0</v>
      </c>
      <c r="L29" s="17">
        <f t="shared" si="20"/>
        <v>0</v>
      </c>
      <c r="M29" s="17">
        <f t="shared" si="20"/>
        <v>0</v>
      </c>
      <c r="N29" s="17">
        <f t="shared" si="20"/>
        <v>0</v>
      </c>
      <c r="O29" s="17">
        <f t="shared" si="20"/>
        <v>0</v>
      </c>
      <c r="P29" s="17">
        <f t="shared" si="20"/>
        <v>0</v>
      </c>
      <c r="Q29" s="17">
        <f t="shared" si="20"/>
        <v>0</v>
      </c>
      <c r="R29" s="17">
        <f t="shared" si="20"/>
        <v>0</v>
      </c>
      <c r="S29" s="17">
        <f t="shared" si="20"/>
        <v>0</v>
      </c>
      <c r="T29" s="17">
        <f t="shared" si="20"/>
        <v>0</v>
      </c>
      <c r="U29" s="17">
        <f t="shared" si="20"/>
        <v>0</v>
      </c>
      <c r="V29" s="17">
        <f t="shared" si="20"/>
        <v>0</v>
      </c>
      <c r="W29" s="17">
        <f t="shared" si="20"/>
        <v>0</v>
      </c>
      <c r="X29" s="17">
        <f t="shared" si="20"/>
        <v>0</v>
      </c>
      <c r="Y29" s="17">
        <f t="shared" si="20"/>
        <v>0</v>
      </c>
      <c r="Z29" s="17">
        <f t="shared" si="20"/>
        <v>0</v>
      </c>
      <c r="AA29" s="17">
        <f t="shared" si="20"/>
        <v>0</v>
      </c>
      <c r="AB29" s="17">
        <f t="shared" si="20"/>
        <v>0</v>
      </c>
      <c r="AC29" s="17">
        <f t="shared" si="20"/>
        <v>0</v>
      </c>
      <c r="AD29" s="17">
        <f t="shared" si="20"/>
        <v>0</v>
      </c>
      <c r="AE29" s="17">
        <f t="shared" si="20"/>
        <v>0</v>
      </c>
      <c r="AF29" s="17">
        <f t="shared" si="20"/>
        <v>0</v>
      </c>
      <c r="AG29" s="17">
        <f t="shared" si="20"/>
        <v>0</v>
      </c>
      <c r="AH29" s="17">
        <f t="shared" si="20"/>
        <v>0</v>
      </c>
      <c r="AI29" s="17">
        <f t="shared" si="20"/>
        <v>0</v>
      </c>
      <c r="AJ29" s="17">
        <f t="shared" si="20"/>
        <v>0</v>
      </c>
      <c r="AK29" s="17">
        <f t="shared" si="20"/>
        <v>0</v>
      </c>
      <c r="AL29" s="17">
        <f t="shared" si="20"/>
        <v>0</v>
      </c>
      <c r="AM29" s="17">
        <f t="shared" si="20"/>
        <v>0</v>
      </c>
      <c r="AN29" s="17">
        <f t="shared" si="20"/>
        <v>0</v>
      </c>
      <c r="AO29" s="17">
        <f t="shared" si="20"/>
        <v>0</v>
      </c>
      <c r="AP29" s="17">
        <f t="shared" si="20"/>
        <v>0</v>
      </c>
      <c r="AQ29" s="17">
        <f t="shared" si="20"/>
        <v>0</v>
      </c>
      <c r="AR29" s="17">
        <f t="shared" si="20"/>
        <v>0</v>
      </c>
      <c r="AS29" s="17">
        <f t="shared" si="20"/>
        <v>0</v>
      </c>
      <c r="AT29" s="17">
        <f t="shared" si="20"/>
        <v>0</v>
      </c>
      <c r="AU29" s="17">
        <f t="shared" si="20"/>
        <v>0</v>
      </c>
      <c r="AV29" s="17">
        <f t="shared" si="20"/>
        <v>0</v>
      </c>
      <c r="AW29" s="17">
        <f t="shared" si="20"/>
        <v>0</v>
      </c>
      <c r="AX29" s="17">
        <f t="shared" si="20"/>
        <v>0</v>
      </c>
      <c r="AY29" s="17">
        <f t="shared" si="20"/>
        <v>0</v>
      </c>
      <c r="AZ29" s="17">
        <f t="shared" si="20"/>
        <v>0</v>
      </c>
      <c r="BA29" s="17">
        <f t="shared" si="20"/>
        <v>0</v>
      </c>
      <c r="BB29" s="17">
        <f t="shared" si="20"/>
        <v>0</v>
      </c>
      <c r="BC29" s="17">
        <f t="shared" si="20"/>
        <v>0</v>
      </c>
      <c r="BD29" s="17">
        <f t="shared" si="20"/>
        <v>0</v>
      </c>
      <c r="BE29" s="17">
        <f t="shared" si="20"/>
        <v>0</v>
      </c>
      <c r="BF29" s="17">
        <f t="shared" si="20"/>
        <v>0</v>
      </c>
      <c r="BG29" s="17">
        <f t="shared" si="20"/>
        <v>0</v>
      </c>
      <c r="BH29" s="17">
        <f t="shared" si="20"/>
        <v>0</v>
      </c>
      <c r="BI29" s="17">
        <f t="shared" si="20"/>
        <v>0</v>
      </c>
      <c r="BJ29" s="17">
        <f t="shared" si="20"/>
        <v>0</v>
      </c>
      <c r="BK29" s="17">
        <f t="shared" si="20"/>
        <v>0</v>
      </c>
      <c r="BL29" s="17">
        <f t="shared" si="20"/>
        <v>0</v>
      </c>
      <c r="BM29" s="17">
        <f t="shared" si="20"/>
        <v>0</v>
      </c>
      <c r="BN29" s="17">
        <f t="shared" si="20"/>
        <v>0</v>
      </c>
      <c r="BO29" s="17">
        <f t="shared" si="20"/>
        <v>0</v>
      </c>
      <c r="BP29" s="17">
        <f t="shared" si="20"/>
        <v>0</v>
      </c>
      <c r="BQ29" s="17">
        <f t="shared" si="20"/>
        <v>0</v>
      </c>
      <c r="BR29" s="17">
        <f t="shared" si="20"/>
        <v>0</v>
      </c>
      <c r="BS29" s="17">
        <f t="shared" ref="BS29:ED29" si="21">SUM(BS26:BS28)</f>
        <v>0</v>
      </c>
      <c r="BT29" s="17">
        <f t="shared" si="21"/>
        <v>0</v>
      </c>
      <c r="BU29" s="17">
        <f t="shared" si="21"/>
        <v>0</v>
      </c>
      <c r="BV29" s="17">
        <f t="shared" si="21"/>
        <v>0</v>
      </c>
      <c r="BW29" s="17">
        <f t="shared" si="21"/>
        <v>0</v>
      </c>
      <c r="BX29" s="17">
        <f t="shared" si="21"/>
        <v>0</v>
      </c>
      <c r="BY29" s="17">
        <f t="shared" si="21"/>
        <v>0</v>
      </c>
      <c r="BZ29" s="17">
        <f t="shared" si="21"/>
        <v>0</v>
      </c>
      <c r="CA29" s="17">
        <f t="shared" si="21"/>
        <v>0</v>
      </c>
      <c r="CB29" s="17">
        <f t="shared" si="21"/>
        <v>0</v>
      </c>
      <c r="CC29" s="17">
        <f t="shared" si="21"/>
        <v>0</v>
      </c>
      <c r="CD29" s="17">
        <f t="shared" si="21"/>
        <v>0</v>
      </c>
      <c r="CE29" s="17">
        <f t="shared" si="21"/>
        <v>0</v>
      </c>
      <c r="CF29" s="17">
        <f t="shared" si="21"/>
        <v>0</v>
      </c>
      <c r="CG29" s="17">
        <f t="shared" si="21"/>
        <v>0</v>
      </c>
      <c r="CH29" s="17">
        <f t="shared" si="21"/>
        <v>0</v>
      </c>
      <c r="CI29" s="17">
        <f t="shared" si="21"/>
        <v>0</v>
      </c>
      <c r="CJ29" s="17">
        <f t="shared" si="21"/>
        <v>0</v>
      </c>
      <c r="CK29" s="17">
        <f t="shared" si="21"/>
        <v>0</v>
      </c>
      <c r="CL29" s="17">
        <f t="shared" si="21"/>
        <v>0</v>
      </c>
      <c r="CM29" s="17">
        <f t="shared" si="21"/>
        <v>0</v>
      </c>
      <c r="CN29" s="17">
        <f t="shared" si="21"/>
        <v>0</v>
      </c>
      <c r="CO29" s="17">
        <f t="shared" si="21"/>
        <v>0</v>
      </c>
      <c r="CP29" s="17">
        <f t="shared" si="21"/>
        <v>0</v>
      </c>
      <c r="CQ29" s="17">
        <f t="shared" si="21"/>
        <v>0</v>
      </c>
      <c r="CR29" s="17">
        <f t="shared" si="21"/>
        <v>0</v>
      </c>
      <c r="CS29" s="17">
        <f t="shared" si="21"/>
        <v>0</v>
      </c>
      <c r="CT29" s="17">
        <f t="shared" si="21"/>
        <v>0</v>
      </c>
      <c r="CU29" s="17">
        <f t="shared" si="21"/>
        <v>0</v>
      </c>
      <c r="CV29" s="17">
        <f t="shared" si="21"/>
        <v>0</v>
      </c>
      <c r="CW29" s="17">
        <f t="shared" si="21"/>
        <v>0</v>
      </c>
      <c r="CX29" s="17">
        <f t="shared" si="21"/>
        <v>0</v>
      </c>
      <c r="CY29" s="17">
        <f t="shared" si="21"/>
        <v>0</v>
      </c>
      <c r="CZ29" s="17">
        <f t="shared" si="21"/>
        <v>0</v>
      </c>
      <c r="DA29" s="17">
        <f t="shared" si="21"/>
        <v>0</v>
      </c>
      <c r="DB29" s="17">
        <f t="shared" si="21"/>
        <v>0</v>
      </c>
      <c r="DC29" s="17">
        <f t="shared" si="21"/>
        <v>0</v>
      </c>
      <c r="DD29" s="17">
        <f t="shared" si="21"/>
        <v>0</v>
      </c>
      <c r="DE29" s="17">
        <f t="shared" si="21"/>
        <v>0</v>
      </c>
      <c r="DF29" s="17">
        <f t="shared" si="21"/>
        <v>0</v>
      </c>
      <c r="DG29" s="17">
        <f t="shared" si="21"/>
        <v>0</v>
      </c>
      <c r="DH29" s="17">
        <f t="shared" si="21"/>
        <v>0</v>
      </c>
      <c r="DI29" s="17">
        <f t="shared" si="21"/>
        <v>0</v>
      </c>
      <c r="DJ29" s="17">
        <f t="shared" si="21"/>
        <v>0</v>
      </c>
      <c r="DK29" s="17">
        <f t="shared" si="21"/>
        <v>0</v>
      </c>
      <c r="DL29" s="17">
        <f t="shared" si="21"/>
        <v>0</v>
      </c>
      <c r="DM29" s="17">
        <f t="shared" si="21"/>
        <v>0</v>
      </c>
      <c r="DN29" s="17">
        <f t="shared" si="21"/>
        <v>0</v>
      </c>
      <c r="DO29" s="17">
        <f t="shared" si="21"/>
        <v>0</v>
      </c>
      <c r="DP29" s="17">
        <f t="shared" si="21"/>
        <v>0</v>
      </c>
      <c r="DQ29" s="17">
        <f t="shared" si="21"/>
        <v>0</v>
      </c>
      <c r="DR29" s="17">
        <f t="shared" si="21"/>
        <v>0</v>
      </c>
      <c r="DS29" s="17">
        <f t="shared" si="21"/>
        <v>0</v>
      </c>
      <c r="DT29" s="17">
        <f t="shared" si="21"/>
        <v>0</v>
      </c>
      <c r="DU29" s="17">
        <f t="shared" si="21"/>
        <v>0</v>
      </c>
      <c r="DV29" s="17">
        <f t="shared" si="21"/>
        <v>0</v>
      </c>
      <c r="DW29" s="17">
        <f t="shared" si="21"/>
        <v>0</v>
      </c>
      <c r="DX29" s="17">
        <f t="shared" si="21"/>
        <v>0</v>
      </c>
      <c r="DY29" s="17">
        <f t="shared" si="21"/>
        <v>0</v>
      </c>
      <c r="DZ29" s="17">
        <f t="shared" si="21"/>
        <v>0</v>
      </c>
      <c r="EA29" s="17">
        <f t="shared" si="21"/>
        <v>0</v>
      </c>
      <c r="EB29" s="17">
        <f t="shared" si="21"/>
        <v>0</v>
      </c>
      <c r="EC29" s="17">
        <f t="shared" si="21"/>
        <v>0</v>
      </c>
      <c r="ED29" s="17">
        <f t="shared" si="21"/>
        <v>0</v>
      </c>
      <c r="EE29" s="17">
        <f t="shared" ref="EE29:GP29" si="22">SUM(EE26:EE28)</f>
        <v>0</v>
      </c>
      <c r="EF29" s="17">
        <f t="shared" si="22"/>
        <v>0</v>
      </c>
      <c r="EG29" s="17">
        <f t="shared" si="22"/>
        <v>0</v>
      </c>
      <c r="EH29" s="17">
        <f t="shared" si="22"/>
        <v>0</v>
      </c>
      <c r="EI29" s="17">
        <f t="shared" si="22"/>
        <v>0</v>
      </c>
      <c r="EJ29" s="17">
        <f t="shared" si="22"/>
        <v>0</v>
      </c>
      <c r="EK29" s="17">
        <f t="shared" si="22"/>
        <v>0</v>
      </c>
      <c r="EL29" s="17">
        <f t="shared" si="22"/>
        <v>0</v>
      </c>
      <c r="EM29" s="17">
        <f t="shared" si="22"/>
        <v>0</v>
      </c>
      <c r="EN29" s="17">
        <f t="shared" si="22"/>
        <v>0</v>
      </c>
      <c r="EO29" s="17">
        <f t="shared" si="22"/>
        <v>0</v>
      </c>
      <c r="EP29" s="17">
        <f t="shared" si="22"/>
        <v>0</v>
      </c>
      <c r="EQ29" s="17">
        <f t="shared" si="22"/>
        <v>0</v>
      </c>
      <c r="ER29" s="17">
        <f t="shared" si="22"/>
        <v>0</v>
      </c>
      <c r="ES29" s="17">
        <f t="shared" si="22"/>
        <v>0</v>
      </c>
      <c r="ET29" s="17">
        <f t="shared" si="22"/>
        <v>0</v>
      </c>
      <c r="EU29" s="17">
        <f t="shared" si="22"/>
        <v>0</v>
      </c>
      <c r="EV29" s="17">
        <f t="shared" si="22"/>
        <v>0</v>
      </c>
      <c r="EW29" s="17">
        <f t="shared" si="22"/>
        <v>0</v>
      </c>
      <c r="EX29" s="17">
        <f t="shared" si="22"/>
        <v>0</v>
      </c>
      <c r="EY29" s="17">
        <f t="shared" si="22"/>
        <v>0</v>
      </c>
      <c r="EZ29" s="17">
        <f t="shared" si="22"/>
        <v>0</v>
      </c>
      <c r="FA29" s="17">
        <f t="shared" si="22"/>
        <v>0</v>
      </c>
      <c r="FB29" s="17">
        <f t="shared" si="22"/>
        <v>0</v>
      </c>
      <c r="FC29" s="17">
        <f t="shared" si="22"/>
        <v>0</v>
      </c>
      <c r="FD29" s="17">
        <f t="shared" si="22"/>
        <v>0</v>
      </c>
      <c r="FE29" s="17">
        <f t="shared" si="22"/>
        <v>0</v>
      </c>
      <c r="FF29" s="17">
        <f t="shared" si="22"/>
        <v>0</v>
      </c>
      <c r="FG29" s="17">
        <f t="shared" si="22"/>
        <v>0</v>
      </c>
      <c r="FH29" s="17">
        <f t="shared" si="22"/>
        <v>0</v>
      </c>
      <c r="FI29" s="17">
        <f t="shared" si="22"/>
        <v>0</v>
      </c>
      <c r="FJ29" s="17">
        <f t="shared" si="22"/>
        <v>0</v>
      </c>
      <c r="FK29" s="17">
        <f t="shared" si="22"/>
        <v>0</v>
      </c>
      <c r="FL29" s="17">
        <f t="shared" si="22"/>
        <v>0</v>
      </c>
      <c r="FM29" s="17">
        <f t="shared" si="22"/>
        <v>0</v>
      </c>
      <c r="FN29" s="17">
        <f t="shared" si="22"/>
        <v>0</v>
      </c>
      <c r="FO29" s="17">
        <f t="shared" si="22"/>
        <v>0</v>
      </c>
      <c r="FP29" s="17">
        <f t="shared" si="22"/>
        <v>0</v>
      </c>
      <c r="FQ29" s="17">
        <f t="shared" si="22"/>
        <v>0</v>
      </c>
      <c r="FR29" s="17">
        <f t="shared" si="22"/>
        <v>0</v>
      </c>
      <c r="FS29" s="17">
        <f t="shared" si="22"/>
        <v>0</v>
      </c>
      <c r="FT29" s="17">
        <f t="shared" si="22"/>
        <v>0</v>
      </c>
      <c r="FU29" s="17">
        <f t="shared" si="22"/>
        <v>0</v>
      </c>
      <c r="FV29" s="17">
        <f t="shared" si="22"/>
        <v>0</v>
      </c>
      <c r="FW29" s="17">
        <f t="shared" si="22"/>
        <v>0</v>
      </c>
      <c r="FX29" s="17">
        <f t="shared" si="22"/>
        <v>0</v>
      </c>
      <c r="FY29" s="17">
        <f t="shared" si="22"/>
        <v>0</v>
      </c>
      <c r="FZ29" s="17">
        <f t="shared" si="22"/>
        <v>0</v>
      </c>
      <c r="GA29" s="17">
        <f t="shared" si="22"/>
        <v>0</v>
      </c>
      <c r="GB29" s="17">
        <f t="shared" si="22"/>
        <v>0</v>
      </c>
      <c r="GC29" s="17">
        <f t="shared" si="22"/>
        <v>0</v>
      </c>
      <c r="GD29" s="17">
        <f t="shared" si="22"/>
        <v>0</v>
      </c>
      <c r="GE29" s="17">
        <f t="shared" si="22"/>
        <v>0</v>
      </c>
      <c r="GF29" s="17">
        <f t="shared" si="22"/>
        <v>0</v>
      </c>
      <c r="GG29" s="17">
        <f t="shared" si="22"/>
        <v>0</v>
      </c>
      <c r="GH29" s="17">
        <f t="shared" si="22"/>
        <v>0</v>
      </c>
      <c r="GI29" s="17">
        <f t="shared" si="22"/>
        <v>0</v>
      </c>
      <c r="GJ29" s="17">
        <f t="shared" si="22"/>
        <v>0</v>
      </c>
      <c r="GK29" s="17">
        <f t="shared" si="22"/>
        <v>0</v>
      </c>
      <c r="GL29" s="17">
        <f t="shared" si="22"/>
        <v>0</v>
      </c>
      <c r="GM29" s="17">
        <f t="shared" si="22"/>
        <v>0</v>
      </c>
      <c r="GN29" s="17">
        <f t="shared" si="22"/>
        <v>0</v>
      </c>
      <c r="GO29" s="17">
        <f t="shared" si="22"/>
        <v>0</v>
      </c>
      <c r="GP29" s="17">
        <f t="shared" si="22"/>
        <v>0</v>
      </c>
      <c r="GQ29" s="17">
        <f t="shared" ref="GQ29:IQ29" si="23">SUM(GQ26:GQ28)</f>
        <v>0</v>
      </c>
      <c r="GR29" s="17">
        <f t="shared" si="23"/>
        <v>0</v>
      </c>
      <c r="GS29" s="17">
        <f t="shared" si="23"/>
        <v>0</v>
      </c>
      <c r="GT29" s="17">
        <f t="shared" si="23"/>
        <v>0</v>
      </c>
      <c r="GU29" s="17">
        <f t="shared" si="23"/>
        <v>0</v>
      </c>
      <c r="GV29" s="17">
        <f t="shared" si="23"/>
        <v>0</v>
      </c>
      <c r="GW29" s="17">
        <f t="shared" si="23"/>
        <v>0</v>
      </c>
      <c r="GX29" s="17">
        <f t="shared" si="23"/>
        <v>0</v>
      </c>
      <c r="GY29" s="17">
        <f t="shared" si="23"/>
        <v>0</v>
      </c>
      <c r="GZ29" s="17">
        <f t="shared" si="23"/>
        <v>0</v>
      </c>
      <c r="HA29" s="17">
        <f t="shared" si="23"/>
        <v>0</v>
      </c>
      <c r="HB29" s="17">
        <f t="shared" si="23"/>
        <v>0</v>
      </c>
      <c r="HC29" s="17">
        <f t="shared" si="23"/>
        <v>0</v>
      </c>
      <c r="HD29" s="17">
        <f t="shared" si="23"/>
        <v>0</v>
      </c>
      <c r="HE29" s="17">
        <f t="shared" si="23"/>
        <v>0</v>
      </c>
      <c r="HF29" s="17">
        <f t="shared" si="23"/>
        <v>0</v>
      </c>
      <c r="HG29" s="17">
        <f t="shared" si="23"/>
        <v>0</v>
      </c>
      <c r="HH29" s="17">
        <f t="shared" si="23"/>
        <v>0</v>
      </c>
      <c r="HI29" s="17">
        <f t="shared" si="23"/>
        <v>0</v>
      </c>
      <c r="HJ29" s="17">
        <f t="shared" si="23"/>
        <v>0</v>
      </c>
      <c r="HK29" s="17">
        <f t="shared" si="23"/>
        <v>0</v>
      </c>
      <c r="HL29" s="17">
        <f t="shared" si="23"/>
        <v>0</v>
      </c>
      <c r="HM29" s="17">
        <f t="shared" si="23"/>
        <v>0</v>
      </c>
      <c r="HN29" s="17">
        <f t="shared" si="23"/>
        <v>0</v>
      </c>
      <c r="HO29" s="17">
        <f t="shared" si="23"/>
        <v>0</v>
      </c>
      <c r="HP29" s="17">
        <f t="shared" si="23"/>
        <v>0</v>
      </c>
      <c r="HQ29" s="17">
        <f t="shared" si="23"/>
        <v>0</v>
      </c>
      <c r="HR29" s="17">
        <f t="shared" si="23"/>
        <v>0</v>
      </c>
      <c r="HS29" s="17">
        <f t="shared" si="23"/>
        <v>0</v>
      </c>
      <c r="HT29" s="17">
        <f t="shared" si="23"/>
        <v>0</v>
      </c>
      <c r="HU29" s="17">
        <f t="shared" si="23"/>
        <v>0</v>
      </c>
      <c r="HV29" s="17">
        <f t="shared" si="23"/>
        <v>0</v>
      </c>
      <c r="HW29" s="17">
        <f t="shared" si="23"/>
        <v>0</v>
      </c>
      <c r="HX29" s="17">
        <f t="shared" si="23"/>
        <v>0</v>
      </c>
      <c r="HY29" s="17">
        <f t="shared" si="23"/>
        <v>0</v>
      </c>
      <c r="HZ29" s="17">
        <f t="shared" si="23"/>
        <v>0</v>
      </c>
      <c r="IA29" s="17">
        <f t="shared" si="23"/>
        <v>0</v>
      </c>
      <c r="IB29" s="17">
        <f t="shared" si="23"/>
        <v>0</v>
      </c>
      <c r="IC29" s="17">
        <f t="shared" si="23"/>
        <v>0</v>
      </c>
      <c r="ID29" s="17">
        <f t="shared" si="23"/>
        <v>0</v>
      </c>
      <c r="IE29" s="17">
        <f t="shared" si="23"/>
        <v>0</v>
      </c>
      <c r="IF29" s="17">
        <f t="shared" si="23"/>
        <v>0</v>
      </c>
      <c r="IG29" s="17">
        <f t="shared" si="23"/>
        <v>0</v>
      </c>
      <c r="IH29" s="17">
        <f t="shared" si="23"/>
        <v>0</v>
      </c>
      <c r="II29" s="17">
        <f t="shared" si="23"/>
        <v>0</v>
      </c>
      <c r="IJ29" s="17">
        <f t="shared" si="23"/>
        <v>0</v>
      </c>
      <c r="IK29" s="17">
        <f t="shared" si="23"/>
        <v>0</v>
      </c>
      <c r="IL29" s="17">
        <f t="shared" si="23"/>
        <v>0</v>
      </c>
      <c r="IM29" s="17">
        <f t="shared" si="23"/>
        <v>0</v>
      </c>
      <c r="IN29" s="17">
        <f t="shared" si="23"/>
        <v>0</v>
      </c>
      <c r="IO29" s="17">
        <f t="shared" si="23"/>
        <v>0</v>
      </c>
      <c r="IP29" s="17">
        <f t="shared" si="23"/>
        <v>0</v>
      </c>
      <c r="IQ29" s="17">
        <f t="shared" si="23"/>
        <v>0</v>
      </c>
      <c r="IR29" s="17">
        <f t="shared" ref="IR29:KB29" si="24">SUM(IR26:IR28)</f>
        <v>0</v>
      </c>
      <c r="IS29" s="17">
        <f t="shared" si="24"/>
        <v>0</v>
      </c>
      <c r="IT29" s="17">
        <f t="shared" si="24"/>
        <v>0</v>
      </c>
      <c r="IU29" s="17">
        <f t="shared" si="24"/>
        <v>0</v>
      </c>
      <c r="IV29" s="17">
        <f t="shared" si="24"/>
        <v>0</v>
      </c>
      <c r="IW29" s="17">
        <f t="shared" si="24"/>
        <v>0</v>
      </c>
      <c r="IX29" s="17">
        <f t="shared" si="24"/>
        <v>0</v>
      </c>
      <c r="IY29" s="17">
        <f t="shared" si="24"/>
        <v>0</v>
      </c>
      <c r="IZ29" s="17">
        <f t="shared" si="24"/>
        <v>0</v>
      </c>
      <c r="JA29" s="17">
        <f t="shared" si="24"/>
        <v>0</v>
      </c>
      <c r="JB29" s="17">
        <f t="shared" si="24"/>
        <v>0</v>
      </c>
      <c r="JC29" s="17">
        <f t="shared" si="24"/>
        <v>0</v>
      </c>
      <c r="JD29" s="17">
        <f t="shared" si="24"/>
        <v>0</v>
      </c>
      <c r="JE29" s="17">
        <f t="shared" si="24"/>
        <v>0</v>
      </c>
      <c r="JF29" s="17">
        <f t="shared" si="24"/>
        <v>0</v>
      </c>
      <c r="JG29" s="17">
        <f t="shared" si="24"/>
        <v>0</v>
      </c>
      <c r="JH29" s="17">
        <f t="shared" si="24"/>
        <v>0</v>
      </c>
      <c r="JI29" s="17">
        <f t="shared" si="24"/>
        <v>0</v>
      </c>
      <c r="JJ29" s="17">
        <f t="shared" si="24"/>
        <v>0</v>
      </c>
      <c r="JK29" s="17">
        <f t="shared" si="24"/>
        <v>0</v>
      </c>
      <c r="JL29" s="17">
        <f t="shared" si="24"/>
        <v>0</v>
      </c>
      <c r="JM29" s="17">
        <f t="shared" si="24"/>
        <v>0</v>
      </c>
      <c r="JN29" s="17">
        <f t="shared" si="24"/>
        <v>0</v>
      </c>
      <c r="JO29" s="17">
        <f t="shared" si="24"/>
        <v>0</v>
      </c>
      <c r="JP29" s="17">
        <f t="shared" si="24"/>
        <v>0</v>
      </c>
      <c r="JQ29" s="17">
        <f t="shared" si="24"/>
        <v>0</v>
      </c>
      <c r="JR29" s="17">
        <f t="shared" si="24"/>
        <v>0</v>
      </c>
      <c r="JS29" s="17">
        <f t="shared" si="24"/>
        <v>0</v>
      </c>
      <c r="JT29" s="17">
        <f t="shared" si="24"/>
        <v>0</v>
      </c>
      <c r="JU29" s="17">
        <f t="shared" si="24"/>
        <v>0</v>
      </c>
      <c r="JV29" s="17">
        <f t="shared" si="24"/>
        <v>0</v>
      </c>
      <c r="JW29" s="17">
        <f t="shared" si="24"/>
        <v>0</v>
      </c>
      <c r="JX29" s="17">
        <f t="shared" si="24"/>
        <v>0</v>
      </c>
      <c r="JY29" s="17">
        <f t="shared" si="24"/>
        <v>0</v>
      </c>
      <c r="JZ29" s="17">
        <f t="shared" si="24"/>
        <v>0</v>
      </c>
      <c r="KA29" s="17">
        <f t="shared" si="24"/>
        <v>0</v>
      </c>
      <c r="KB29" s="17">
        <f t="shared" si="24"/>
        <v>0</v>
      </c>
      <c r="KC29" s="17">
        <f t="shared" ref="KC29:KT29" si="25">SUM(KC26:KC28)</f>
        <v>0</v>
      </c>
      <c r="KD29" s="17">
        <f t="shared" si="25"/>
        <v>0</v>
      </c>
      <c r="KE29" s="17">
        <f t="shared" si="25"/>
        <v>0</v>
      </c>
      <c r="KF29" s="17">
        <f t="shared" si="25"/>
        <v>0</v>
      </c>
      <c r="KG29" s="17">
        <f t="shared" si="25"/>
        <v>0</v>
      </c>
      <c r="KH29" s="17">
        <f t="shared" si="25"/>
        <v>0</v>
      </c>
      <c r="KI29" s="17">
        <f t="shared" si="25"/>
        <v>0</v>
      </c>
      <c r="KJ29" s="17">
        <f t="shared" si="25"/>
        <v>0</v>
      </c>
      <c r="KK29" s="17">
        <f t="shared" si="25"/>
        <v>0</v>
      </c>
      <c r="KL29" s="17">
        <f t="shared" si="25"/>
        <v>0</v>
      </c>
      <c r="KM29" s="17">
        <f t="shared" si="25"/>
        <v>0</v>
      </c>
      <c r="KN29" s="17">
        <f t="shared" si="25"/>
        <v>0</v>
      </c>
      <c r="KO29" s="17">
        <f t="shared" si="25"/>
        <v>0</v>
      </c>
      <c r="KP29" s="17">
        <f t="shared" si="25"/>
        <v>0</v>
      </c>
      <c r="KQ29" s="17">
        <f t="shared" si="25"/>
        <v>0</v>
      </c>
      <c r="KR29" s="17">
        <f t="shared" si="25"/>
        <v>0</v>
      </c>
      <c r="KS29" s="17">
        <f t="shared" si="25"/>
        <v>0</v>
      </c>
      <c r="KT29" s="17">
        <f t="shared" si="25"/>
        <v>0</v>
      </c>
      <c r="KU29" s="17">
        <f t="shared" ref="KU29:ND29" si="26">SUM(KU26:KU28)</f>
        <v>0</v>
      </c>
      <c r="KV29" s="17">
        <f t="shared" si="26"/>
        <v>0</v>
      </c>
      <c r="KW29" s="17">
        <f t="shared" si="26"/>
        <v>0</v>
      </c>
      <c r="KX29" s="17">
        <f t="shared" si="26"/>
        <v>0</v>
      </c>
      <c r="KY29" s="17">
        <f t="shared" si="26"/>
        <v>0</v>
      </c>
      <c r="KZ29" s="17">
        <f t="shared" si="26"/>
        <v>0</v>
      </c>
      <c r="LA29" s="17">
        <f t="shared" si="26"/>
        <v>0</v>
      </c>
      <c r="LB29" s="17">
        <f t="shared" si="26"/>
        <v>0</v>
      </c>
      <c r="LC29" s="17">
        <f t="shared" si="26"/>
        <v>0</v>
      </c>
      <c r="LD29" s="17">
        <f t="shared" si="26"/>
        <v>0</v>
      </c>
      <c r="LE29" s="17">
        <f t="shared" si="26"/>
        <v>0</v>
      </c>
      <c r="LF29" s="17">
        <f t="shared" si="26"/>
        <v>0</v>
      </c>
      <c r="LG29" s="17">
        <f t="shared" si="26"/>
        <v>0</v>
      </c>
      <c r="LH29" s="17">
        <f t="shared" si="26"/>
        <v>0</v>
      </c>
      <c r="LI29" s="17">
        <f t="shared" si="26"/>
        <v>0</v>
      </c>
      <c r="LJ29" s="17">
        <f t="shared" si="26"/>
        <v>0</v>
      </c>
      <c r="LK29" s="17">
        <f t="shared" si="26"/>
        <v>0</v>
      </c>
      <c r="LL29" s="17">
        <f t="shared" si="26"/>
        <v>0</v>
      </c>
      <c r="LM29" s="17">
        <f t="shared" si="26"/>
        <v>0</v>
      </c>
      <c r="LN29" s="17">
        <f t="shared" si="26"/>
        <v>0</v>
      </c>
      <c r="LO29" s="17">
        <f t="shared" si="26"/>
        <v>0</v>
      </c>
      <c r="LP29" s="17">
        <f t="shared" si="26"/>
        <v>0</v>
      </c>
      <c r="LQ29" s="17">
        <f t="shared" si="26"/>
        <v>0</v>
      </c>
      <c r="LR29" s="17">
        <f t="shared" si="26"/>
        <v>0</v>
      </c>
      <c r="LS29" s="17">
        <f t="shared" si="26"/>
        <v>0</v>
      </c>
      <c r="LT29" s="17">
        <f t="shared" si="26"/>
        <v>0</v>
      </c>
      <c r="LU29" s="17">
        <f t="shared" si="26"/>
        <v>0</v>
      </c>
      <c r="LV29" s="17">
        <f t="shared" si="26"/>
        <v>0</v>
      </c>
      <c r="LW29" s="17">
        <f t="shared" si="26"/>
        <v>0</v>
      </c>
      <c r="LX29" s="17">
        <f t="shared" si="26"/>
        <v>0</v>
      </c>
      <c r="LY29" s="17">
        <f t="shared" si="26"/>
        <v>0</v>
      </c>
      <c r="LZ29" s="17">
        <f t="shared" si="26"/>
        <v>0</v>
      </c>
      <c r="MA29" s="17">
        <f t="shared" si="26"/>
        <v>0</v>
      </c>
      <c r="MB29" s="17">
        <f t="shared" si="26"/>
        <v>0</v>
      </c>
      <c r="MC29" s="17">
        <f t="shared" si="26"/>
        <v>0</v>
      </c>
      <c r="MD29" s="17">
        <f t="shared" si="26"/>
        <v>0</v>
      </c>
      <c r="ME29" s="17">
        <f t="shared" si="26"/>
        <v>0</v>
      </c>
      <c r="MF29" s="17">
        <f t="shared" si="26"/>
        <v>0</v>
      </c>
      <c r="MG29" s="17">
        <f t="shared" si="26"/>
        <v>0</v>
      </c>
      <c r="MH29" s="17">
        <f t="shared" si="26"/>
        <v>0</v>
      </c>
      <c r="MI29" s="17">
        <f t="shared" si="26"/>
        <v>0</v>
      </c>
      <c r="MJ29" s="17">
        <f t="shared" si="26"/>
        <v>0</v>
      </c>
      <c r="MK29" s="17">
        <f t="shared" si="26"/>
        <v>0</v>
      </c>
      <c r="ML29" s="17">
        <f t="shared" si="26"/>
        <v>0</v>
      </c>
      <c r="MM29" s="17">
        <f t="shared" si="26"/>
        <v>0</v>
      </c>
      <c r="MN29" s="17">
        <f t="shared" si="26"/>
        <v>0</v>
      </c>
      <c r="MO29" s="17">
        <f t="shared" si="26"/>
        <v>0</v>
      </c>
      <c r="MP29" s="17">
        <f t="shared" si="26"/>
        <v>0</v>
      </c>
      <c r="MQ29" s="17">
        <f t="shared" si="26"/>
        <v>0</v>
      </c>
      <c r="MR29" s="17">
        <f t="shared" si="26"/>
        <v>0</v>
      </c>
      <c r="MS29" s="17">
        <f t="shared" si="26"/>
        <v>0</v>
      </c>
      <c r="MT29" s="17">
        <f t="shared" si="26"/>
        <v>0</v>
      </c>
      <c r="MU29" s="17">
        <f t="shared" si="26"/>
        <v>0</v>
      </c>
      <c r="MV29" s="17">
        <f t="shared" si="26"/>
        <v>0</v>
      </c>
      <c r="MW29" s="17">
        <f t="shared" si="26"/>
        <v>0</v>
      </c>
      <c r="MX29" s="17">
        <f t="shared" si="26"/>
        <v>0</v>
      </c>
      <c r="MY29" s="17">
        <f t="shared" si="26"/>
        <v>0</v>
      </c>
      <c r="MZ29" s="17">
        <f t="shared" si="26"/>
        <v>0</v>
      </c>
      <c r="NA29" s="17">
        <f t="shared" si="26"/>
        <v>0</v>
      </c>
      <c r="NB29" s="17">
        <f t="shared" si="26"/>
        <v>0</v>
      </c>
      <c r="NC29" s="17">
        <f t="shared" si="26"/>
        <v>0</v>
      </c>
      <c r="ND29" s="17">
        <f t="shared" si="26"/>
        <v>0</v>
      </c>
    </row>
    <row r="30" spans="1:368" s="20" customFormat="1" ht="37.5" customHeight="1" x14ac:dyDescent="0.2">
      <c r="A30" s="383" t="s">
        <v>118</v>
      </c>
      <c r="B30" s="384"/>
      <c r="C30" s="384"/>
      <c r="D30" s="384"/>
      <c r="E30" s="385"/>
      <c r="F30" s="19">
        <f>F29+F25+F21</f>
        <v>0</v>
      </c>
      <c r="G30" s="19">
        <f t="shared" ref="G30:BJ30" si="27">G29+G25+G21</f>
        <v>0</v>
      </c>
      <c r="H30" s="19">
        <f t="shared" si="27"/>
        <v>0</v>
      </c>
      <c r="I30" s="19">
        <f t="shared" si="27"/>
        <v>0</v>
      </c>
      <c r="J30" s="19">
        <f t="shared" si="27"/>
        <v>0</v>
      </c>
      <c r="K30" s="19">
        <f t="shared" si="27"/>
        <v>0</v>
      </c>
      <c r="L30" s="19">
        <f t="shared" si="27"/>
        <v>0</v>
      </c>
      <c r="M30" s="19">
        <f t="shared" si="27"/>
        <v>0</v>
      </c>
      <c r="N30" s="19">
        <f t="shared" si="27"/>
        <v>0</v>
      </c>
      <c r="O30" s="19">
        <f t="shared" si="27"/>
        <v>0</v>
      </c>
      <c r="P30" s="19">
        <f t="shared" si="27"/>
        <v>0</v>
      </c>
      <c r="Q30" s="19">
        <f t="shared" si="27"/>
        <v>0</v>
      </c>
      <c r="R30" s="19">
        <f t="shared" si="27"/>
        <v>0</v>
      </c>
      <c r="S30" s="19">
        <f t="shared" si="27"/>
        <v>0</v>
      </c>
      <c r="T30" s="19">
        <f t="shared" si="27"/>
        <v>0</v>
      </c>
      <c r="U30" s="19">
        <f t="shared" si="27"/>
        <v>0</v>
      </c>
      <c r="V30" s="19">
        <f t="shared" si="27"/>
        <v>0</v>
      </c>
      <c r="W30" s="19">
        <f t="shared" si="27"/>
        <v>0</v>
      </c>
      <c r="X30" s="19">
        <f t="shared" si="27"/>
        <v>0</v>
      </c>
      <c r="Y30" s="19">
        <f t="shared" si="27"/>
        <v>0</v>
      </c>
      <c r="Z30" s="19">
        <f t="shared" si="27"/>
        <v>0</v>
      </c>
      <c r="AA30" s="19">
        <f t="shared" si="27"/>
        <v>0</v>
      </c>
      <c r="AB30" s="19">
        <f t="shared" si="27"/>
        <v>0</v>
      </c>
      <c r="AC30" s="19">
        <f t="shared" si="27"/>
        <v>0</v>
      </c>
      <c r="AD30" s="19">
        <f t="shared" si="27"/>
        <v>0</v>
      </c>
      <c r="AE30" s="19">
        <f t="shared" si="27"/>
        <v>0</v>
      </c>
      <c r="AF30" s="19">
        <f t="shared" si="27"/>
        <v>0</v>
      </c>
      <c r="AG30" s="19">
        <f t="shared" si="27"/>
        <v>0</v>
      </c>
      <c r="AH30" s="19">
        <f t="shared" si="27"/>
        <v>0</v>
      </c>
      <c r="AI30" s="19">
        <f t="shared" si="27"/>
        <v>0</v>
      </c>
      <c r="AJ30" s="19">
        <f t="shared" si="27"/>
        <v>0</v>
      </c>
      <c r="AK30" s="19">
        <f t="shared" si="27"/>
        <v>0</v>
      </c>
      <c r="AL30" s="19">
        <f t="shared" si="27"/>
        <v>0</v>
      </c>
      <c r="AM30" s="19">
        <f t="shared" si="27"/>
        <v>0</v>
      </c>
      <c r="AN30" s="19">
        <f t="shared" si="27"/>
        <v>0</v>
      </c>
      <c r="AO30" s="19">
        <f t="shared" si="27"/>
        <v>0</v>
      </c>
      <c r="AP30" s="19">
        <f t="shared" si="27"/>
        <v>0</v>
      </c>
      <c r="AQ30" s="19">
        <f t="shared" si="27"/>
        <v>0</v>
      </c>
      <c r="AR30" s="19">
        <f t="shared" si="27"/>
        <v>0</v>
      </c>
      <c r="AS30" s="19">
        <f t="shared" si="27"/>
        <v>0</v>
      </c>
      <c r="AT30" s="19">
        <f t="shared" si="27"/>
        <v>0</v>
      </c>
      <c r="AU30" s="19">
        <f t="shared" si="27"/>
        <v>0</v>
      </c>
      <c r="AV30" s="19">
        <f t="shared" si="27"/>
        <v>0</v>
      </c>
      <c r="AW30" s="19">
        <f t="shared" si="27"/>
        <v>0</v>
      </c>
      <c r="AX30" s="19">
        <f t="shared" si="27"/>
        <v>0</v>
      </c>
      <c r="AY30" s="19">
        <f t="shared" si="27"/>
        <v>0</v>
      </c>
      <c r="AZ30" s="19">
        <f t="shared" si="27"/>
        <v>0</v>
      </c>
      <c r="BA30" s="19">
        <f t="shared" si="27"/>
        <v>0</v>
      </c>
      <c r="BB30" s="19">
        <f t="shared" si="27"/>
        <v>0</v>
      </c>
      <c r="BC30" s="19">
        <f t="shared" si="27"/>
        <v>0</v>
      </c>
      <c r="BD30" s="19">
        <f t="shared" si="27"/>
        <v>0</v>
      </c>
      <c r="BE30" s="19">
        <f t="shared" si="27"/>
        <v>0</v>
      </c>
      <c r="BF30" s="19">
        <f t="shared" si="27"/>
        <v>0</v>
      </c>
      <c r="BG30" s="19">
        <f t="shared" si="27"/>
        <v>0</v>
      </c>
      <c r="BH30" s="19">
        <f t="shared" si="27"/>
        <v>0</v>
      </c>
      <c r="BI30" s="19">
        <f t="shared" si="27"/>
        <v>0</v>
      </c>
      <c r="BJ30" s="19">
        <f t="shared" si="27"/>
        <v>0</v>
      </c>
      <c r="BK30" s="19">
        <f t="shared" ref="BK30:DV30" si="28">BK29+BK25+BK21</f>
        <v>0</v>
      </c>
      <c r="BL30" s="19">
        <f t="shared" si="28"/>
        <v>0</v>
      </c>
      <c r="BM30" s="19">
        <f t="shared" si="28"/>
        <v>0</v>
      </c>
      <c r="BN30" s="19">
        <f t="shared" si="28"/>
        <v>0</v>
      </c>
      <c r="BO30" s="19">
        <f t="shared" si="28"/>
        <v>0</v>
      </c>
      <c r="BP30" s="19">
        <f t="shared" si="28"/>
        <v>0</v>
      </c>
      <c r="BQ30" s="19">
        <f t="shared" si="28"/>
        <v>0</v>
      </c>
      <c r="BR30" s="19">
        <f t="shared" si="28"/>
        <v>0</v>
      </c>
      <c r="BS30" s="19">
        <f t="shared" si="28"/>
        <v>0</v>
      </c>
      <c r="BT30" s="19">
        <f t="shared" si="28"/>
        <v>0</v>
      </c>
      <c r="BU30" s="19">
        <f t="shared" si="28"/>
        <v>0</v>
      </c>
      <c r="BV30" s="19">
        <f t="shared" si="28"/>
        <v>0</v>
      </c>
      <c r="BW30" s="19">
        <f t="shared" si="28"/>
        <v>0</v>
      </c>
      <c r="BX30" s="19">
        <f t="shared" si="28"/>
        <v>0</v>
      </c>
      <c r="BY30" s="19">
        <f t="shared" si="28"/>
        <v>0</v>
      </c>
      <c r="BZ30" s="19">
        <f t="shared" si="28"/>
        <v>0</v>
      </c>
      <c r="CA30" s="19">
        <f t="shared" si="28"/>
        <v>0</v>
      </c>
      <c r="CB30" s="19">
        <f t="shared" si="28"/>
        <v>0</v>
      </c>
      <c r="CC30" s="19">
        <f t="shared" si="28"/>
        <v>0</v>
      </c>
      <c r="CD30" s="19">
        <f t="shared" si="28"/>
        <v>0</v>
      </c>
      <c r="CE30" s="19">
        <f t="shared" si="28"/>
        <v>0</v>
      </c>
      <c r="CF30" s="19">
        <f t="shared" si="28"/>
        <v>0</v>
      </c>
      <c r="CG30" s="19">
        <f t="shared" si="28"/>
        <v>0</v>
      </c>
      <c r="CH30" s="19">
        <f t="shared" si="28"/>
        <v>0</v>
      </c>
      <c r="CI30" s="19">
        <f t="shared" si="28"/>
        <v>0</v>
      </c>
      <c r="CJ30" s="19">
        <f t="shared" si="28"/>
        <v>0</v>
      </c>
      <c r="CK30" s="19">
        <f t="shared" si="28"/>
        <v>0</v>
      </c>
      <c r="CL30" s="19">
        <f t="shared" si="28"/>
        <v>0</v>
      </c>
      <c r="CM30" s="19">
        <f t="shared" si="28"/>
        <v>0</v>
      </c>
      <c r="CN30" s="19">
        <f t="shared" si="28"/>
        <v>0</v>
      </c>
      <c r="CO30" s="19">
        <f t="shared" si="28"/>
        <v>0</v>
      </c>
      <c r="CP30" s="19">
        <f t="shared" si="28"/>
        <v>0</v>
      </c>
      <c r="CQ30" s="19">
        <f t="shared" si="28"/>
        <v>0</v>
      </c>
      <c r="CR30" s="19">
        <f t="shared" si="28"/>
        <v>0</v>
      </c>
      <c r="CS30" s="19">
        <f t="shared" si="28"/>
        <v>0</v>
      </c>
      <c r="CT30" s="19">
        <f t="shared" si="28"/>
        <v>0</v>
      </c>
      <c r="CU30" s="19">
        <f t="shared" si="28"/>
        <v>0</v>
      </c>
      <c r="CV30" s="19">
        <f t="shared" si="28"/>
        <v>0</v>
      </c>
      <c r="CW30" s="19">
        <f t="shared" si="28"/>
        <v>0</v>
      </c>
      <c r="CX30" s="19">
        <f t="shared" si="28"/>
        <v>0</v>
      </c>
      <c r="CY30" s="19">
        <f t="shared" si="28"/>
        <v>0</v>
      </c>
      <c r="CZ30" s="19">
        <f t="shared" si="28"/>
        <v>0</v>
      </c>
      <c r="DA30" s="19">
        <f t="shared" si="28"/>
        <v>0</v>
      </c>
      <c r="DB30" s="19">
        <f t="shared" si="28"/>
        <v>0</v>
      </c>
      <c r="DC30" s="19">
        <f t="shared" si="28"/>
        <v>0</v>
      </c>
      <c r="DD30" s="19">
        <f t="shared" si="28"/>
        <v>0</v>
      </c>
      <c r="DE30" s="19">
        <f t="shared" si="28"/>
        <v>0</v>
      </c>
      <c r="DF30" s="19">
        <f t="shared" si="28"/>
        <v>0</v>
      </c>
      <c r="DG30" s="19">
        <f t="shared" si="28"/>
        <v>0</v>
      </c>
      <c r="DH30" s="19">
        <f t="shared" si="28"/>
        <v>0</v>
      </c>
      <c r="DI30" s="19">
        <f t="shared" si="28"/>
        <v>0</v>
      </c>
      <c r="DJ30" s="19">
        <f t="shared" si="28"/>
        <v>0</v>
      </c>
      <c r="DK30" s="19">
        <f t="shared" si="28"/>
        <v>0</v>
      </c>
      <c r="DL30" s="19">
        <f t="shared" si="28"/>
        <v>0</v>
      </c>
      <c r="DM30" s="19">
        <f t="shared" si="28"/>
        <v>0</v>
      </c>
      <c r="DN30" s="19">
        <f t="shared" si="28"/>
        <v>0</v>
      </c>
      <c r="DO30" s="19">
        <f t="shared" si="28"/>
        <v>0</v>
      </c>
      <c r="DP30" s="19">
        <f t="shared" si="28"/>
        <v>0</v>
      </c>
      <c r="DQ30" s="19">
        <f t="shared" si="28"/>
        <v>0</v>
      </c>
      <c r="DR30" s="19">
        <f t="shared" si="28"/>
        <v>0</v>
      </c>
      <c r="DS30" s="19">
        <f t="shared" si="28"/>
        <v>0</v>
      </c>
      <c r="DT30" s="19">
        <f t="shared" si="28"/>
        <v>0</v>
      </c>
      <c r="DU30" s="19">
        <f t="shared" si="28"/>
        <v>0</v>
      </c>
      <c r="DV30" s="19">
        <f t="shared" si="28"/>
        <v>0</v>
      </c>
      <c r="DW30" s="19">
        <f t="shared" ref="DW30:GH30" si="29">DW29+DW25+DW21</f>
        <v>0</v>
      </c>
      <c r="DX30" s="19">
        <f t="shared" si="29"/>
        <v>0</v>
      </c>
      <c r="DY30" s="19">
        <f t="shared" si="29"/>
        <v>0</v>
      </c>
      <c r="DZ30" s="19">
        <f t="shared" si="29"/>
        <v>0</v>
      </c>
      <c r="EA30" s="19">
        <f t="shared" si="29"/>
        <v>0</v>
      </c>
      <c r="EB30" s="19">
        <f t="shared" si="29"/>
        <v>0</v>
      </c>
      <c r="EC30" s="19">
        <f t="shared" si="29"/>
        <v>0</v>
      </c>
      <c r="ED30" s="19">
        <f t="shared" si="29"/>
        <v>0</v>
      </c>
      <c r="EE30" s="19">
        <f t="shared" si="29"/>
        <v>0</v>
      </c>
      <c r="EF30" s="19">
        <f t="shared" si="29"/>
        <v>0</v>
      </c>
      <c r="EG30" s="19">
        <f t="shared" si="29"/>
        <v>0</v>
      </c>
      <c r="EH30" s="19">
        <f t="shared" si="29"/>
        <v>0</v>
      </c>
      <c r="EI30" s="19">
        <f t="shared" si="29"/>
        <v>0</v>
      </c>
      <c r="EJ30" s="19">
        <f t="shared" si="29"/>
        <v>0</v>
      </c>
      <c r="EK30" s="19">
        <f t="shared" si="29"/>
        <v>0</v>
      </c>
      <c r="EL30" s="19">
        <f t="shared" si="29"/>
        <v>0</v>
      </c>
      <c r="EM30" s="19">
        <f t="shared" si="29"/>
        <v>0</v>
      </c>
      <c r="EN30" s="19">
        <f t="shared" si="29"/>
        <v>0</v>
      </c>
      <c r="EO30" s="19">
        <f t="shared" si="29"/>
        <v>0</v>
      </c>
      <c r="EP30" s="19">
        <f t="shared" si="29"/>
        <v>0</v>
      </c>
      <c r="EQ30" s="19">
        <f t="shared" si="29"/>
        <v>0</v>
      </c>
      <c r="ER30" s="19">
        <f t="shared" si="29"/>
        <v>0</v>
      </c>
      <c r="ES30" s="19">
        <f t="shared" si="29"/>
        <v>0</v>
      </c>
      <c r="ET30" s="19">
        <f t="shared" si="29"/>
        <v>0</v>
      </c>
      <c r="EU30" s="19">
        <f t="shared" si="29"/>
        <v>0</v>
      </c>
      <c r="EV30" s="19">
        <f t="shared" si="29"/>
        <v>0</v>
      </c>
      <c r="EW30" s="19">
        <f t="shared" si="29"/>
        <v>0</v>
      </c>
      <c r="EX30" s="19">
        <f t="shared" si="29"/>
        <v>0</v>
      </c>
      <c r="EY30" s="19">
        <f t="shared" si="29"/>
        <v>0</v>
      </c>
      <c r="EZ30" s="19">
        <f t="shared" si="29"/>
        <v>0</v>
      </c>
      <c r="FA30" s="19">
        <f t="shared" si="29"/>
        <v>0</v>
      </c>
      <c r="FB30" s="19">
        <f t="shared" si="29"/>
        <v>0</v>
      </c>
      <c r="FC30" s="19">
        <f t="shared" si="29"/>
        <v>0</v>
      </c>
      <c r="FD30" s="19">
        <f t="shared" si="29"/>
        <v>0</v>
      </c>
      <c r="FE30" s="19">
        <f t="shared" si="29"/>
        <v>0</v>
      </c>
      <c r="FF30" s="19">
        <f t="shared" si="29"/>
        <v>0</v>
      </c>
      <c r="FG30" s="19">
        <f t="shared" si="29"/>
        <v>0</v>
      </c>
      <c r="FH30" s="19">
        <f t="shared" si="29"/>
        <v>0</v>
      </c>
      <c r="FI30" s="19">
        <f t="shared" si="29"/>
        <v>0</v>
      </c>
      <c r="FJ30" s="19">
        <f t="shared" si="29"/>
        <v>0</v>
      </c>
      <c r="FK30" s="19">
        <f t="shared" si="29"/>
        <v>0</v>
      </c>
      <c r="FL30" s="19">
        <f t="shared" si="29"/>
        <v>0</v>
      </c>
      <c r="FM30" s="19">
        <f t="shared" si="29"/>
        <v>0</v>
      </c>
      <c r="FN30" s="19">
        <f t="shared" si="29"/>
        <v>0</v>
      </c>
      <c r="FO30" s="19">
        <f t="shared" si="29"/>
        <v>0</v>
      </c>
      <c r="FP30" s="19">
        <f t="shared" si="29"/>
        <v>0</v>
      </c>
      <c r="FQ30" s="19">
        <f t="shared" si="29"/>
        <v>0</v>
      </c>
      <c r="FR30" s="19">
        <f t="shared" si="29"/>
        <v>0</v>
      </c>
      <c r="FS30" s="19">
        <f t="shared" si="29"/>
        <v>0</v>
      </c>
      <c r="FT30" s="19">
        <f t="shared" si="29"/>
        <v>0</v>
      </c>
      <c r="FU30" s="19">
        <f t="shared" si="29"/>
        <v>0</v>
      </c>
      <c r="FV30" s="19">
        <f t="shared" si="29"/>
        <v>0</v>
      </c>
      <c r="FW30" s="19">
        <f t="shared" si="29"/>
        <v>0</v>
      </c>
      <c r="FX30" s="19">
        <f t="shared" si="29"/>
        <v>0</v>
      </c>
      <c r="FY30" s="19">
        <f t="shared" si="29"/>
        <v>0</v>
      </c>
      <c r="FZ30" s="19">
        <f t="shared" si="29"/>
        <v>0</v>
      </c>
      <c r="GA30" s="19">
        <f t="shared" si="29"/>
        <v>0</v>
      </c>
      <c r="GB30" s="19">
        <f t="shared" si="29"/>
        <v>0</v>
      </c>
      <c r="GC30" s="19">
        <f t="shared" si="29"/>
        <v>0</v>
      </c>
      <c r="GD30" s="19">
        <f t="shared" si="29"/>
        <v>0</v>
      </c>
      <c r="GE30" s="19">
        <f t="shared" si="29"/>
        <v>0</v>
      </c>
      <c r="GF30" s="19">
        <f t="shared" si="29"/>
        <v>0</v>
      </c>
      <c r="GG30" s="19">
        <f t="shared" si="29"/>
        <v>0</v>
      </c>
      <c r="GH30" s="19">
        <f t="shared" si="29"/>
        <v>0</v>
      </c>
      <c r="GI30" s="19">
        <f t="shared" ref="GI30:IT30" si="30">GI29+GI25+GI21</f>
        <v>0</v>
      </c>
      <c r="GJ30" s="19">
        <f t="shared" si="30"/>
        <v>0</v>
      </c>
      <c r="GK30" s="19">
        <f t="shared" si="30"/>
        <v>0</v>
      </c>
      <c r="GL30" s="19">
        <f t="shared" si="30"/>
        <v>0</v>
      </c>
      <c r="GM30" s="19">
        <f t="shared" si="30"/>
        <v>0</v>
      </c>
      <c r="GN30" s="19">
        <f t="shared" si="30"/>
        <v>0</v>
      </c>
      <c r="GO30" s="19">
        <f t="shared" si="30"/>
        <v>0</v>
      </c>
      <c r="GP30" s="19">
        <f t="shared" si="30"/>
        <v>0</v>
      </c>
      <c r="GQ30" s="19">
        <f t="shared" si="30"/>
        <v>0</v>
      </c>
      <c r="GR30" s="19">
        <f t="shared" si="30"/>
        <v>0</v>
      </c>
      <c r="GS30" s="19">
        <f t="shared" si="30"/>
        <v>0</v>
      </c>
      <c r="GT30" s="19">
        <f t="shared" si="30"/>
        <v>0</v>
      </c>
      <c r="GU30" s="19">
        <f t="shared" si="30"/>
        <v>0</v>
      </c>
      <c r="GV30" s="19">
        <f t="shared" si="30"/>
        <v>0</v>
      </c>
      <c r="GW30" s="19">
        <f t="shared" si="30"/>
        <v>0</v>
      </c>
      <c r="GX30" s="19">
        <f t="shared" si="30"/>
        <v>0</v>
      </c>
      <c r="GY30" s="19">
        <f t="shared" si="30"/>
        <v>0</v>
      </c>
      <c r="GZ30" s="19">
        <f t="shared" si="30"/>
        <v>0</v>
      </c>
      <c r="HA30" s="19">
        <f t="shared" si="30"/>
        <v>0</v>
      </c>
      <c r="HB30" s="19">
        <f t="shared" si="30"/>
        <v>0</v>
      </c>
      <c r="HC30" s="19">
        <f t="shared" si="30"/>
        <v>0</v>
      </c>
      <c r="HD30" s="19">
        <f t="shared" si="30"/>
        <v>0</v>
      </c>
      <c r="HE30" s="19">
        <f t="shared" si="30"/>
        <v>0</v>
      </c>
      <c r="HF30" s="19">
        <f t="shared" si="30"/>
        <v>0</v>
      </c>
      <c r="HG30" s="19">
        <f t="shared" si="30"/>
        <v>0</v>
      </c>
      <c r="HH30" s="19">
        <f t="shared" si="30"/>
        <v>0</v>
      </c>
      <c r="HI30" s="19">
        <f t="shared" si="30"/>
        <v>0</v>
      </c>
      <c r="HJ30" s="19">
        <f t="shared" si="30"/>
        <v>0</v>
      </c>
      <c r="HK30" s="19">
        <f t="shared" si="30"/>
        <v>0</v>
      </c>
      <c r="HL30" s="19">
        <f t="shared" si="30"/>
        <v>0</v>
      </c>
      <c r="HM30" s="19">
        <f t="shared" si="30"/>
        <v>0</v>
      </c>
      <c r="HN30" s="19">
        <f t="shared" si="30"/>
        <v>0</v>
      </c>
      <c r="HO30" s="19">
        <f t="shared" si="30"/>
        <v>0</v>
      </c>
      <c r="HP30" s="19">
        <f t="shared" si="30"/>
        <v>0</v>
      </c>
      <c r="HQ30" s="19">
        <f t="shared" si="30"/>
        <v>0</v>
      </c>
      <c r="HR30" s="19">
        <f t="shared" si="30"/>
        <v>0</v>
      </c>
      <c r="HS30" s="19">
        <f t="shared" si="30"/>
        <v>0</v>
      </c>
      <c r="HT30" s="19">
        <f t="shared" si="30"/>
        <v>0</v>
      </c>
      <c r="HU30" s="19">
        <f t="shared" si="30"/>
        <v>0</v>
      </c>
      <c r="HV30" s="19">
        <f t="shared" si="30"/>
        <v>0</v>
      </c>
      <c r="HW30" s="19">
        <f t="shared" si="30"/>
        <v>0</v>
      </c>
      <c r="HX30" s="19">
        <f t="shared" si="30"/>
        <v>0</v>
      </c>
      <c r="HY30" s="19">
        <f t="shared" si="30"/>
        <v>0</v>
      </c>
      <c r="HZ30" s="19">
        <f t="shared" si="30"/>
        <v>0</v>
      </c>
      <c r="IA30" s="19">
        <f t="shared" si="30"/>
        <v>0</v>
      </c>
      <c r="IB30" s="19">
        <f t="shared" si="30"/>
        <v>0</v>
      </c>
      <c r="IC30" s="19">
        <f t="shared" si="30"/>
        <v>0</v>
      </c>
      <c r="ID30" s="19">
        <f t="shared" si="30"/>
        <v>0</v>
      </c>
      <c r="IE30" s="19">
        <f t="shared" si="30"/>
        <v>0</v>
      </c>
      <c r="IF30" s="19">
        <f t="shared" si="30"/>
        <v>0</v>
      </c>
      <c r="IG30" s="19">
        <f t="shared" si="30"/>
        <v>0</v>
      </c>
      <c r="IH30" s="19">
        <f t="shared" si="30"/>
        <v>0</v>
      </c>
      <c r="II30" s="19">
        <f t="shared" si="30"/>
        <v>0</v>
      </c>
      <c r="IJ30" s="19">
        <f t="shared" si="30"/>
        <v>0</v>
      </c>
      <c r="IK30" s="19">
        <f t="shared" si="30"/>
        <v>0</v>
      </c>
      <c r="IL30" s="19">
        <f t="shared" si="30"/>
        <v>0</v>
      </c>
      <c r="IM30" s="19">
        <f t="shared" si="30"/>
        <v>0</v>
      </c>
      <c r="IN30" s="19">
        <f t="shared" si="30"/>
        <v>0</v>
      </c>
      <c r="IO30" s="19">
        <f t="shared" si="30"/>
        <v>0</v>
      </c>
      <c r="IP30" s="19">
        <f t="shared" si="30"/>
        <v>0</v>
      </c>
      <c r="IQ30" s="19">
        <f t="shared" si="30"/>
        <v>0</v>
      </c>
      <c r="IR30" s="19">
        <f t="shared" si="30"/>
        <v>0</v>
      </c>
      <c r="IS30" s="19">
        <f t="shared" si="30"/>
        <v>0</v>
      </c>
      <c r="IT30" s="19">
        <f t="shared" si="30"/>
        <v>0</v>
      </c>
      <c r="IU30" s="19">
        <f t="shared" ref="IU30:LF30" si="31">IU29+IU25+IU21</f>
        <v>0</v>
      </c>
      <c r="IV30" s="19">
        <f t="shared" si="31"/>
        <v>0</v>
      </c>
      <c r="IW30" s="19">
        <f t="shared" si="31"/>
        <v>0</v>
      </c>
      <c r="IX30" s="19">
        <f t="shared" si="31"/>
        <v>0</v>
      </c>
      <c r="IY30" s="19">
        <f t="shared" si="31"/>
        <v>0</v>
      </c>
      <c r="IZ30" s="19">
        <f t="shared" si="31"/>
        <v>0</v>
      </c>
      <c r="JA30" s="19">
        <f t="shared" si="31"/>
        <v>0</v>
      </c>
      <c r="JB30" s="19">
        <f t="shared" si="31"/>
        <v>0</v>
      </c>
      <c r="JC30" s="19">
        <f t="shared" si="31"/>
        <v>0</v>
      </c>
      <c r="JD30" s="19">
        <f t="shared" si="31"/>
        <v>0</v>
      </c>
      <c r="JE30" s="19">
        <f t="shared" si="31"/>
        <v>0</v>
      </c>
      <c r="JF30" s="19">
        <f t="shared" si="31"/>
        <v>0</v>
      </c>
      <c r="JG30" s="19">
        <f t="shared" si="31"/>
        <v>0</v>
      </c>
      <c r="JH30" s="19">
        <f t="shared" si="31"/>
        <v>0</v>
      </c>
      <c r="JI30" s="19">
        <f t="shared" si="31"/>
        <v>0</v>
      </c>
      <c r="JJ30" s="19">
        <f t="shared" si="31"/>
        <v>0</v>
      </c>
      <c r="JK30" s="19">
        <f t="shared" si="31"/>
        <v>0</v>
      </c>
      <c r="JL30" s="19">
        <f t="shared" si="31"/>
        <v>0</v>
      </c>
      <c r="JM30" s="19">
        <f t="shared" si="31"/>
        <v>0</v>
      </c>
      <c r="JN30" s="19">
        <f t="shared" si="31"/>
        <v>0</v>
      </c>
      <c r="JO30" s="19">
        <f t="shared" si="31"/>
        <v>0</v>
      </c>
      <c r="JP30" s="19">
        <f t="shared" si="31"/>
        <v>0</v>
      </c>
      <c r="JQ30" s="19">
        <f t="shared" si="31"/>
        <v>0</v>
      </c>
      <c r="JR30" s="19">
        <f t="shared" si="31"/>
        <v>0</v>
      </c>
      <c r="JS30" s="19">
        <f t="shared" si="31"/>
        <v>0</v>
      </c>
      <c r="JT30" s="19">
        <f t="shared" si="31"/>
        <v>0</v>
      </c>
      <c r="JU30" s="19">
        <f t="shared" si="31"/>
        <v>0</v>
      </c>
      <c r="JV30" s="19">
        <f t="shared" si="31"/>
        <v>0</v>
      </c>
      <c r="JW30" s="19">
        <f t="shared" si="31"/>
        <v>0</v>
      </c>
      <c r="JX30" s="19">
        <f t="shared" si="31"/>
        <v>0</v>
      </c>
      <c r="JY30" s="19">
        <f t="shared" si="31"/>
        <v>0</v>
      </c>
      <c r="JZ30" s="19">
        <f t="shared" si="31"/>
        <v>0</v>
      </c>
      <c r="KA30" s="19">
        <f t="shared" si="31"/>
        <v>0</v>
      </c>
      <c r="KB30" s="19">
        <f t="shared" si="31"/>
        <v>0</v>
      </c>
      <c r="KC30" s="19">
        <f t="shared" si="31"/>
        <v>0</v>
      </c>
      <c r="KD30" s="19">
        <f t="shared" si="31"/>
        <v>0</v>
      </c>
      <c r="KE30" s="19">
        <f t="shared" si="31"/>
        <v>0</v>
      </c>
      <c r="KF30" s="19">
        <f t="shared" si="31"/>
        <v>0</v>
      </c>
      <c r="KG30" s="19">
        <f t="shared" si="31"/>
        <v>0</v>
      </c>
      <c r="KH30" s="19">
        <f t="shared" si="31"/>
        <v>0</v>
      </c>
      <c r="KI30" s="19">
        <f t="shared" si="31"/>
        <v>0</v>
      </c>
      <c r="KJ30" s="19">
        <f t="shared" si="31"/>
        <v>0</v>
      </c>
      <c r="KK30" s="19">
        <f t="shared" si="31"/>
        <v>0</v>
      </c>
      <c r="KL30" s="19">
        <f t="shared" si="31"/>
        <v>0</v>
      </c>
      <c r="KM30" s="19">
        <f t="shared" si="31"/>
        <v>0</v>
      </c>
      <c r="KN30" s="19">
        <f t="shared" si="31"/>
        <v>0</v>
      </c>
      <c r="KO30" s="19">
        <f t="shared" si="31"/>
        <v>0</v>
      </c>
      <c r="KP30" s="19">
        <f t="shared" si="31"/>
        <v>0</v>
      </c>
      <c r="KQ30" s="19">
        <f t="shared" si="31"/>
        <v>0</v>
      </c>
      <c r="KR30" s="19">
        <f t="shared" si="31"/>
        <v>0</v>
      </c>
      <c r="KS30" s="19">
        <f t="shared" si="31"/>
        <v>0</v>
      </c>
      <c r="KT30" s="19">
        <f t="shared" si="31"/>
        <v>0</v>
      </c>
      <c r="KU30" s="19">
        <f t="shared" si="31"/>
        <v>0</v>
      </c>
      <c r="KV30" s="19">
        <f t="shared" si="31"/>
        <v>0</v>
      </c>
      <c r="KW30" s="19">
        <f t="shared" si="31"/>
        <v>0</v>
      </c>
      <c r="KX30" s="19">
        <f t="shared" si="31"/>
        <v>0</v>
      </c>
      <c r="KY30" s="19">
        <f t="shared" si="31"/>
        <v>0</v>
      </c>
      <c r="KZ30" s="19">
        <f t="shared" si="31"/>
        <v>0</v>
      </c>
      <c r="LA30" s="19">
        <f t="shared" si="31"/>
        <v>0</v>
      </c>
      <c r="LB30" s="19">
        <f t="shared" si="31"/>
        <v>0</v>
      </c>
      <c r="LC30" s="19">
        <f t="shared" si="31"/>
        <v>0</v>
      </c>
      <c r="LD30" s="19">
        <f t="shared" si="31"/>
        <v>0</v>
      </c>
      <c r="LE30" s="19">
        <f t="shared" si="31"/>
        <v>0</v>
      </c>
      <c r="LF30" s="19">
        <f t="shared" si="31"/>
        <v>0</v>
      </c>
      <c r="LG30" s="19">
        <f t="shared" ref="LG30:ND30" si="32">LG29+LG25+LG21</f>
        <v>0</v>
      </c>
      <c r="LH30" s="19">
        <f t="shared" si="32"/>
        <v>0</v>
      </c>
      <c r="LI30" s="19">
        <f t="shared" si="32"/>
        <v>0</v>
      </c>
      <c r="LJ30" s="19">
        <f t="shared" si="32"/>
        <v>0</v>
      </c>
      <c r="LK30" s="19">
        <f t="shared" si="32"/>
        <v>0</v>
      </c>
      <c r="LL30" s="19">
        <f t="shared" si="32"/>
        <v>0</v>
      </c>
      <c r="LM30" s="19">
        <f t="shared" si="32"/>
        <v>0</v>
      </c>
      <c r="LN30" s="19">
        <f t="shared" si="32"/>
        <v>0</v>
      </c>
      <c r="LO30" s="19">
        <f t="shared" si="32"/>
        <v>0</v>
      </c>
      <c r="LP30" s="19">
        <f t="shared" si="32"/>
        <v>0</v>
      </c>
      <c r="LQ30" s="19">
        <f t="shared" si="32"/>
        <v>0</v>
      </c>
      <c r="LR30" s="19">
        <f t="shared" si="32"/>
        <v>0</v>
      </c>
      <c r="LS30" s="19">
        <f t="shared" si="32"/>
        <v>0</v>
      </c>
      <c r="LT30" s="19">
        <f t="shared" si="32"/>
        <v>0</v>
      </c>
      <c r="LU30" s="19">
        <f t="shared" si="32"/>
        <v>0</v>
      </c>
      <c r="LV30" s="19">
        <f t="shared" si="32"/>
        <v>0</v>
      </c>
      <c r="LW30" s="19">
        <f t="shared" si="32"/>
        <v>0</v>
      </c>
      <c r="LX30" s="19">
        <f t="shared" si="32"/>
        <v>0</v>
      </c>
      <c r="LY30" s="19">
        <f t="shared" si="32"/>
        <v>0</v>
      </c>
      <c r="LZ30" s="19">
        <f t="shared" si="32"/>
        <v>0</v>
      </c>
      <c r="MA30" s="19">
        <f t="shared" si="32"/>
        <v>0</v>
      </c>
      <c r="MB30" s="19">
        <f t="shared" si="32"/>
        <v>0</v>
      </c>
      <c r="MC30" s="19">
        <f t="shared" si="32"/>
        <v>0</v>
      </c>
      <c r="MD30" s="19">
        <f t="shared" si="32"/>
        <v>0</v>
      </c>
      <c r="ME30" s="19">
        <f t="shared" si="32"/>
        <v>0</v>
      </c>
      <c r="MF30" s="19">
        <f t="shared" si="32"/>
        <v>0</v>
      </c>
      <c r="MG30" s="19">
        <f t="shared" si="32"/>
        <v>0</v>
      </c>
      <c r="MH30" s="19">
        <f t="shared" si="32"/>
        <v>0</v>
      </c>
      <c r="MI30" s="19">
        <f t="shared" si="32"/>
        <v>0</v>
      </c>
      <c r="MJ30" s="19">
        <f t="shared" si="32"/>
        <v>0</v>
      </c>
      <c r="MK30" s="19">
        <f t="shared" si="32"/>
        <v>0</v>
      </c>
      <c r="ML30" s="19">
        <f t="shared" si="32"/>
        <v>0</v>
      </c>
      <c r="MM30" s="19">
        <f t="shared" si="32"/>
        <v>0</v>
      </c>
      <c r="MN30" s="19">
        <f t="shared" si="32"/>
        <v>0</v>
      </c>
      <c r="MO30" s="19">
        <f t="shared" si="32"/>
        <v>0</v>
      </c>
      <c r="MP30" s="19">
        <f t="shared" si="32"/>
        <v>0</v>
      </c>
      <c r="MQ30" s="19">
        <f t="shared" si="32"/>
        <v>0</v>
      </c>
      <c r="MR30" s="19">
        <f t="shared" si="32"/>
        <v>0</v>
      </c>
      <c r="MS30" s="19">
        <f t="shared" si="32"/>
        <v>0</v>
      </c>
      <c r="MT30" s="19">
        <f t="shared" si="32"/>
        <v>0</v>
      </c>
      <c r="MU30" s="19">
        <f t="shared" si="32"/>
        <v>0</v>
      </c>
      <c r="MV30" s="19">
        <f t="shared" si="32"/>
        <v>0</v>
      </c>
      <c r="MW30" s="19">
        <f t="shared" si="32"/>
        <v>0</v>
      </c>
      <c r="MX30" s="19">
        <f t="shared" si="32"/>
        <v>0</v>
      </c>
      <c r="MY30" s="19">
        <f t="shared" si="32"/>
        <v>0</v>
      </c>
      <c r="MZ30" s="19">
        <f t="shared" si="32"/>
        <v>0</v>
      </c>
      <c r="NA30" s="19">
        <f t="shared" si="32"/>
        <v>0</v>
      </c>
      <c r="NB30" s="19">
        <f t="shared" si="32"/>
        <v>0</v>
      </c>
      <c r="NC30" s="19">
        <f t="shared" si="32"/>
        <v>0</v>
      </c>
      <c r="ND30" s="19">
        <f t="shared" si="32"/>
        <v>0</v>
      </c>
    </row>
  </sheetData>
  <mergeCells count="189">
    <mergeCell ref="LZ2:MO2"/>
    <mergeCell ref="KC3:LD3"/>
    <mergeCell ref="LE3:LF4"/>
    <mergeCell ref="LG3:LH4"/>
    <mergeCell ref="LI3:LJ4"/>
    <mergeCell ref="LK3:LL4"/>
    <mergeCell ref="LM3:LN4"/>
    <mergeCell ref="LO3:LS4"/>
    <mergeCell ref="LT3:LV4"/>
    <mergeCell ref="KP4:KR4"/>
    <mergeCell ref="KS4:KU4"/>
    <mergeCell ref="KV4:KX4"/>
    <mergeCell ref="KC4:KD4"/>
    <mergeCell ref="KE4:KG4"/>
    <mergeCell ref="LW3:LX4"/>
    <mergeCell ref="LY3:LY5"/>
    <mergeCell ref="LZ3:MO3"/>
    <mergeCell ref="KH4:KL4"/>
    <mergeCell ref="KM4:KO4"/>
    <mergeCell ref="KY4:LD4"/>
    <mergeCell ref="LZ4:MA4"/>
    <mergeCell ref="MB4:MC4"/>
    <mergeCell ref="MD4:ME4"/>
    <mergeCell ref="MF4:MG4"/>
    <mergeCell ref="KC2:LD2"/>
    <mergeCell ref="LE2:LF2"/>
    <mergeCell ref="LG2:LH2"/>
    <mergeCell ref="LI2:LJ2"/>
    <mergeCell ref="LK2:LL2"/>
    <mergeCell ref="LM2:LY2"/>
    <mergeCell ref="IR3:JB3"/>
    <mergeCell ref="JC3:JO3"/>
    <mergeCell ref="JX4:JY4"/>
    <mergeCell ref="JZ4:KB4"/>
    <mergeCell ref="JI4:JJ4"/>
    <mergeCell ref="JK4:JL4"/>
    <mergeCell ref="JM4:JO4"/>
    <mergeCell ref="JP4:JQ4"/>
    <mergeCell ref="IZ4:JB4"/>
    <mergeCell ref="JC4:JD4"/>
    <mergeCell ref="JE4:JF4"/>
    <mergeCell ref="JR4:JS4"/>
    <mergeCell ref="JT4:JU4"/>
    <mergeCell ref="HT4:HV4"/>
    <mergeCell ref="IA4:IC4"/>
    <mergeCell ref="IR4:IS4"/>
    <mergeCell ref="IT4:IU4"/>
    <mergeCell ref="IV4:IW4"/>
    <mergeCell ref="IX4:IY4"/>
    <mergeCell ref="JG4:JH4"/>
    <mergeCell ref="JV4:JW4"/>
    <mergeCell ref="IR1:JO2"/>
    <mergeCell ref="JP1:KB3"/>
    <mergeCell ref="A29:E29"/>
    <mergeCell ref="A25:E25"/>
    <mergeCell ref="GK4:GM4"/>
    <mergeCell ref="GN4:GO4"/>
    <mergeCell ref="HK4:HM4"/>
    <mergeCell ref="HN4:HP4"/>
    <mergeCell ref="CH4:CI4"/>
    <mergeCell ref="BJ4:BK4"/>
    <mergeCell ref="BL4:BN4"/>
    <mergeCell ref="BO4:BP4"/>
    <mergeCell ref="BQ4:BR4"/>
    <mergeCell ref="AQ4:AR4"/>
    <mergeCell ref="AS4:AT4"/>
    <mergeCell ref="AU4:AV4"/>
    <mergeCell ref="AW4:AY4"/>
    <mergeCell ref="AZ4:BA4"/>
    <mergeCell ref="BB4:BC4"/>
    <mergeCell ref="BD4:BE4"/>
    <mergeCell ref="BF4:BG4"/>
    <mergeCell ref="BH4:BI4"/>
    <mergeCell ref="X4:Y4"/>
    <mergeCell ref="HE4:HG4"/>
    <mergeCell ref="HH4:HJ4"/>
    <mergeCell ref="Z4:AA4"/>
    <mergeCell ref="A30:E30"/>
    <mergeCell ref="A21:E21"/>
    <mergeCell ref="C14:E14"/>
    <mergeCell ref="GP4:GQ4"/>
    <mergeCell ref="GR4:GS4"/>
    <mergeCell ref="GT4:GU4"/>
    <mergeCell ref="GV4:GW4"/>
    <mergeCell ref="GX4:GY4"/>
    <mergeCell ref="GZ4:HA4"/>
    <mergeCell ref="FV4:FW4"/>
    <mergeCell ref="FX4:FZ4"/>
    <mergeCell ref="GA4:GB4"/>
    <mergeCell ref="GC4:GD4"/>
    <mergeCell ref="GE4:GF4"/>
    <mergeCell ref="GG4:GH4"/>
    <mergeCell ref="GI4:GJ4"/>
    <mergeCell ref="V1:W4"/>
    <mergeCell ref="BS4:BT4"/>
    <mergeCell ref="BU4:BV4"/>
    <mergeCell ref="BW4:BX4"/>
    <mergeCell ref="BY4:CA4"/>
    <mergeCell ref="CB4:CC4"/>
    <mergeCell ref="CD4:CE4"/>
    <mergeCell ref="CF4:CG4"/>
    <mergeCell ref="A1:E2"/>
    <mergeCell ref="H1:L1"/>
    <mergeCell ref="M1:O1"/>
    <mergeCell ref="P1:Q1"/>
    <mergeCell ref="R1:U1"/>
    <mergeCell ref="A3:E4"/>
    <mergeCell ref="F2:G4"/>
    <mergeCell ref="H2:J4"/>
    <mergeCell ref="K2:L4"/>
    <mergeCell ref="M2:O4"/>
    <mergeCell ref="P2:Q4"/>
    <mergeCell ref="R2:U4"/>
    <mergeCell ref="X2:AL3"/>
    <mergeCell ref="AM2:AY3"/>
    <mergeCell ref="AZ2:BN3"/>
    <mergeCell ref="AB4:AC4"/>
    <mergeCell ref="AD4:AE4"/>
    <mergeCell ref="AF4:AG4"/>
    <mergeCell ref="AH4:AI4"/>
    <mergeCell ref="AJ4:AL4"/>
    <mergeCell ref="AM4:AN4"/>
    <mergeCell ref="AO4:AP4"/>
    <mergeCell ref="BO2:CA3"/>
    <mergeCell ref="CB2:CN3"/>
    <mergeCell ref="CO2:DA3"/>
    <mergeCell ref="DB2:DN3"/>
    <mergeCell ref="DO2:EA3"/>
    <mergeCell ref="EB2:EZ3"/>
    <mergeCell ref="FA2:FM3"/>
    <mergeCell ref="FN2:FZ3"/>
    <mergeCell ref="GA2:GM3"/>
    <mergeCell ref="CJ4:CK4"/>
    <mergeCell ref="CU4:CV4"/>
    <mergeCell ref="CW4:CX4"/>
    <mergeCell ref="CY4:DA4"/>
    <mergeCell ref="DB4:DC4"/>
    <mergeCell ref="DD4:DE4"/>
    <mergeCell ref="DF4:DG4"/>
    <mergeCell ref="DH4:DI4"/>
    <mergeCell ref="DJ4:DK4"/>
    <mergeCell ref="HE2:IQ2"/>
    <mergeCell ref="HE3:HY3"/>
    <mergeCell ref="IA3:IM3"/>
    <mergeCell ref="IJ4:IM4"/>
    <mergeCell ref="DS4:DT4"/>
    <mergeCell ref="DU4:DV4"/>
    <mergeCell ref="CL4:CN4"/>
    <mergeCell ref="CO4:CP4"/>
    <mergeCell ref="CQ4:CR4"/>
    <mergeCell ref="CS4:CT4"/>
    <mergeCell ref="DY4:EA4"/>
    <mergeCell ref="EB4:EC4"/>
    <mergeCell ref="ED4:EE4"/>
    <mergeCell ref="DL4:DN4"/>
    <mergeCell ref="DO4:DP4"/>
    <mergeCell ref="DQ4:DR4"/>
    <mergeCell ref="DW4:DX4"/>
    <mergeCell ref="HB4:HD4"/>
    <mergeCell ref="FR4:FS4"/>
    <mergeCell ref="FT4:FU4"/>
    <mergeCell ref="IG4:II4"/>
    <mergeCell ref="HW4:HY4"/>
    <mergeCell ref="ID4:IF4"/>
    <mergeCell ref="HQ4:HS4"/>
    <mergeCell ref="MH4:MI4"/>
    <mergeCell ref="MJ4:MK4"/>
    <mergeCell ref="ML4:MM4"/>
    <mergeCell ref="MN4:MO4"/>
    <mergeCell ref="EF4:EG4"/>
    <mergeCell ref="EH4:EI4"/>
    <mergeCell ref="EJ4:EK4"/>
    <mergeCell ref="EL4:EM4"/>
    <mergeCell ref="EN4:EO4"/>
    <mergeCell ref="EP4:EQ4"/>
    <mergeCell ref="IN3:IQ4"/>
    <mergeCell ref="ER4:ES4"/>
    <mergeCell ref="ET4:EU4"/>
    <mergeCell ref="EV4:EW4"/>
    <mergeCell ref="EX4:EZ4"/>
    <mergeCell ref="FA4:FB4"/>
    <mergeCell ref="FC4:FD4"/>
    <mergeCell ref="FE4:FF4"/>
    <mergeCell ref="FG4:FH4"/>
    <mergeCell ref="FI4:FJ4"/>
    <mergeCell ref="FK4:FM4"/>
    <mergeCell ref="FN4:FO4"/>
    <mergeCell ref="FP4:FQ4"/>
    <mergeCell ref="GN2:HD3"/>
  </mergeCells>
  <conditionalFormatting sqref="IR20">
    <cfRule type="cellIs" dxfId="63" priority="344" stopIfTrue="1" operator="between">
      <formula>"بنين"</formula>
      <formula>"بنين"</formula>
    </cfRule>
    <cfRule type="cellIs" dxfId="62" priority="345" stopIfTrue="1" operator="between">
      <formula>"بنات"</formula>
      <formula>"بنات"</formula>
    </cfRule>
    <cfRule type="cellIs" dxfId="61" priority="346" stopIfTrue="1" operator="between">
      <formula>"مختلطة"</formula>
      <formula>"مختلطة"</formula>
    </cfRule>
  </conditionalFormatting>
  <conditionalFormatting sqref="IR20">
    <cfRule type="cellIs" dxfId="60" priority="341" stopIfTrue="1" operator="between">
      <formula>"بنين"</formula>
      <formula>"بنين"</formula>
    </cfRule>
    <cfRule type="cellIs" dxfId="59" priority="342" stopIfTrue="1" operator="between">
      <formula>"بنات"</formula>
      <formula>"بنات"</formula>
    </cfRule>
    <cfRule type="cellIs" dxfId="58" priority="343" stopIfTrue="1" operator="between">
      <formula>"مختلطة"</formula>
      <formula>"مختلطة"</formula>
    </cfRule>
  </conditionalFormatting>
  <conditionalFormatting sqref="IR20">
    <cfRule type="cellIs" dxfId="57" priority="338" stopIfTrue="1" operator="between">
      <formula>"بنين"</formula>
      <formula>"بنين"</formula>
    </cfRule>
    <cfRule type="cellIs" dxfId="56" priority="339" stopIfTrue="1" operator="between">
      <formula>"بنات"</formula>
      <formula>"بنات"</formula>
    </cfRule>
    <cfRule type="cellIs" dxfId="55" priority="340" stopIfTrue="1" operator="between">
      <formula>"مختلطة"</formula>
      <formula>"مختلطة"</formula>
    </cfRule>
  </conditionalFormatting>
  <conditionalFormatting sqref="IR12:IY12">
    <cfRule type="cellIs" dxfId="54" priority="104" stopIfTrue="1" operator="between">
      <formula>"بنين"</formula>
      <formula>"بنين"</formula>
    </cfRule>
    <cfRule type="cellIs" dxfId="53" priority="105" stopIfTrue="1" operator="between">
      <formula>"بنات"</formula>
      <formula>"بنات"</formula>
    </cfRule>
    <cfRule type="cellIs" dxfId="52" priority="106" stopIfTrue="1" operator="between">
      <formula>"مختلطة"</formula>
      <formula>"مختلطة"</formula>
    </cfRule>
  </conditionalFormatting>
  <conditionalFormatting sqref="IR13:IY13">
    <cfRule type="cellIs" dxfId="51" priority="101" stopIfTrue="1" operator="between">
      <formula>"بنين"</formula>
      <formula>"بنين"</formula>
    </cfRule>
    <cfRule type="cellIs" dxfId="50" priority="102" stopIfTrue="1" operator="between">
      <formula>"بنات"</formula>
      <formula>"بنات"</formula>
    </cfRule>
    <cfRule type="cellIs" dxfId="49" priority="103" stopIfTrue="1" operator="between">
      <formula>"مختلطة"</formula>
      <formula>"مختلطة"</formula>
    </cfRule>
  </conditionalFormatting>
  <conditionalFormatting sqref="Z13:AC13">
    <cfRule type="cellIs" dxfId="48" priority="98" stopIfTrue="1" operator="between">
      <formula>"بنين"</formula>
      <formula>"بنين"</formula>
    </cfRule>
    <cfRule type="cellIs" dxfId="47" priority="99" stopIfTrue="1" operator="between">
      <formula>"بنات"</formula>
      <formula>"بنات"</formula>
    </cfRule>
    <cfRule type="cellIs" dxfId="46" priority="100" stopIfTrue="1" operator="between">
      <formula>"مختلطة"</formula>
      <formula>"مختلطة"</formula>
    </cfRule>
  </conditionalFormatting>
  <conditionalFormatting sqref="Z13:AC13">
    <cfRule type="cellIs" dxfId="45" priority="96" stopIfTrue="1" operator="equal">
      <formula>"حضر"</formula>
    </cfRule>
    <cfRule type="cellIs" dxfId="44" priority="97" stopIfTrue="1" operator="equal">
      <formula>"ريف"</formula>
    </cfRule>
  </conditionalFormatting>
  <conditionalFormatting sqref="Z13:AC13">
    <cfRule type="cellIs" dxfId="43" priority="94" stopIfTrue="1" operator="equal">
      <formula>"اصلية"</formula>
    </cfRule>
    <cfRule type="cellIs" dxfId="42" priority="95" stopIfTrue="1" operator="equal">
      <formula>"ضيف"</formula>
    </cfRule>
  </conditionalFormatting>
  <conditionalFormatting sqref="IR6:IY10">
    <cfRule type="cellIs" dxfId="41" priority="31" stopIfTrue="1" operator="between">
      <formula>"بنين"</formula>
      <formula>"بنين"</formula>
    </cfRule>
    <cfRule type="cellIs" dxfId="40" priority="32" stopIfTrue="1" operator="between">
      <formula>"بنات"</formula>
      <formula>"بنات"</formula>
    </cfRule>
    <cfRule type="cellIs" dxfId="39" priority="33" stopIfTrue="1" operator="between">
      <formula>"مختلطة"</formula>
      <formula>"مختلطة"</formula>
    </cfRule>
  </conditionalFormatting>
  <conditionalFormatting sqref="IR11:IY11">
    <cfRule type="cellIs" dxfId="38" priority="28" stopIfTrue="1" operator="between">
      <formula>"بنين"</formula>
      <formula>"بنين"</formula>
    </cfRule>
    <cfRule type="cellIs" dxfId="37" priority="29" stopIfTrue="1" operator="between">
      <formula>"بنات"</formula>
      <formula>"بنات"</formula>
    </cfRule>
    <cfRule type="cellIs" dxfId="36" priority="30" stopIfTrue="1" operator="between">
      <formula>"مختلطة"</formula>
      <formula>"مختلطة"</formula>
    </cfRule>
  </conditionalFormatting>
  <conditionalFormatting sqref="IR15">
    <cfRule type="cellIs" dxfId="35" priority="7" stopIfTrue="1" operator="between">
      <formula>"بنين"</formula>
      <formula>"بنين"</formula>
    </cfRule>
    <cfRule type="cellIs" dxfId="34" priority="8" stopIfTrue="1" operator="between">
      <formula>"بنات"</formula>
      <formula>"بنات"</formula>
    </cfRule>
    <cfRule type="cellIs" dxfId="33" priority="9" stopIfTrue="1" operator="between">
      <formula>"مختلطة"</formula>
      <formula>"مختلطة"</formula>
    </cfRule>
  </conditionalFormatting>
  <conditionalFormatting sqref="IR19">
    <cfRule type="cellIs" dxfId="32" priority="25" stopIfTrue="1" operator="between">
      <formula>"بنين"</formula>
      <formula>"بنين"</formula>
    </cfRule>
    <cfRule type="cellIs" dxfId="31" priority="26" stopIfTrue="1" operator="between">
      <formula>"بنات"</formula>
      <formula>"بنات"</formula>
    </cfRule>
    <cfRule type="cellIs" dxfId="30" priority="27" stopIfTrue="1" operator="between">
      <formula>"مختلطة"</formula>
      <formula>"مختلطة"</formula>
    </cfRule>
  </conditionalFormatting>
  <conditionalFormatting sqref="IR19">
    <cfRule type="cellIs" dxfId="29" priority="22" stopIfTrue="1" operator="between">
      <formula>"بنين"</formula>
      <formula>"بنين"</formula>
    </cfRule>
    <cfRule type="cellIs" dxfId="28" priority="23" stopIfTrue="1" operator="between">
      <formula>"بنات"</formula>
      <formula>"بنات"</formula>
    </cfRule>
    <cfRule type="cellIs" dxfId="27" priority="24" stopIfTrue="1" operator="between">
      <formula>"مختلطة"</formula>
      <formula>"مختلطة"</formula>
    </cfRule>
  </conditionalFormatting>
  <conditionalFormatting sqref="IR19">
    <cfRule type="cellIs" dxfId="26" priority="19" stopIfTrue="1" operator="between">
      <formula>"بنين"</formula>
      <formula>"بنين"</formula>
    </cfRule>
    <cfRule type="cellIs" dxfId="25" priority="20" stopIfTrue="1" operator="between">
      <formula>"بنات"</formula>
      <formula>"بنات"</formula>
    </cfRule>
    <cfRule type="cellIs" dxfId="24" priority="21" stopIfTrue="1" operator="between">
      <formula>"مختلطة"</formula>
      <formula>"مختلطة"</formula>
    </cfRule>
  </conditionalFormatting>
  <conditionalFormatting sqref="IR17">
    <cfRule type="cellIs" dxfId="23" priority="16" stopIfTrue="1" operator="between">
      <formula>"بنين"</formula>
      <formula>"بنين"</formula>
    </cfRule>
    <cfRule type="cellIs" dxfId="22" priority="17" stopIfTrue="1" operator="between">
      <formula>"بنات"</formula>
      <formula>"بنات"</formula>
    </cfRule>
    <cfRule type="cellIs" dxfId="21" priority="18" stopIfTrue="1" operator="between">
      <formula>"مختلطة"</formula>
      <formula>"مختلطة"</formula>
    </cfRule>
  </conditionalFormatting>
  <conditionalFormatting sqref="IR17">
    <cfRule type="cellIs" dxfId="20" priority="13" stopIfTrue="1" operator="between">
      <formula>"بنين"</formula>
      <formula>"بنين"</formula>
    </cfRule>
    <cfRule type="cellIs" dxfId="19" priority="14" stopIfTrue="1" operator="between">
      <formula>"بنات"</formula>
      <formula>"بنات"</formula>
    </cfRule>
    <cfRule type="cellIs" dxfId="18" priority="15" stopIfTrue="1" operator="between">
      <formula>"مختلطة"</formula>
      <formula>"مختلطة"</formula>
    </cfRule>
  </conditionalFormatting>
  <conditionalFormatting sqref="IR17">
    <cfRule type="cellIs" dxfId="17" priority="10" stopIfTrue="1" operator="between">
      <formula>"بنين"</formula>
      <formula>"بنين"</formula>
    </cfRule>
    <cfRule type="cellIs" dxfId="16" priority="11" stopIfTrue="1" operator="between">
      <formula>"بنات"</formula>
      <formula>"بنات"</formula>
    </cfRule>
    <cfRule type="cellIs" dxfId="15" priority="12" stopIfTrue="1" operator="between">
      <formula>"مختلطة"</formula>
      <formula>"مختلطة"</formula>
    </cfRule>
  </conditionalFormatting>
  <conditionalFormatting sqref="IR15">
    <cfRule type="cellIs" dxfId="14" priority="1" stopIfTrue="1" operator="between">
      <formula>"بنين"</formula>
      <formula>"بنين"</formula>
    </cfRule>
    <cfRule type="cellIs" dxfId="13" priority="2" stopIfTrue="1" operator="between">
      <formula>"بنات"</formula>
      <formula>"بنات"</formula>
    </cfRule>
    <cfRule type="cellIs" dxfId="12" priority="3" stopIfTrue="1" operator="between">
      <formula>"مختلطة"</formula>
      <formula>"مختلطة"</formula>
    </cfRule>
  </conditionalFormatting>
  <conditionalFormatting sqref="IR15">
    <cfRule type="cellIs" dxfId="11" priority="4" stopIfTrue="1" operator="between">
      <formula>"بنين"</formula>
      <formula>"بنين"</formula>
    </cfRule>
    <cfRule type="cellIs" dxfId="10" priority="5" stopIfTrue="1" operator="between">
      <formula>"بنات"</formula>
      <formula>"بنات"</formula>
    </cfRule>
    <cfRule type="cellIs" dxfId="9" priority="6" stopIfTrue="1" operator="between">
      <formula>"مختلطة"</formula>
      <formula>"مختلطة"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NE18"/>
  <sheetViews>
    <sheetView rightToLeft="1" zoomScale="85" zoomScaleNormal="85" workbookViewId="0">
      <selection activeCell="D5" sqref="D5"/>
    </sheetView>
  </sheetViews>
  <sheetFormatPr defaultRowHeight="18" customHeight="1" x14ac:dyDescent="0.2"/>
  <cols>
    <col min="1" max="1" width="6.25" bestFit="1" customWidth="1"/>
    <col min="2" max="2" width="6" bestFit="1" customWidth="1"/>
    <col min="3" max="3" width="4.875" customWidth="1"/>
    <col min="4" max="4" width="11.5" bestFit="1" customWidth="1"/>
    <col min="5" max="5" width="21.125" customWidth="1"/>
    <col min="6" max="14" width="5.125" customWidth="1"/>
    <col min="15" max="15" width="6.875" customWidth="1"/>
    <col min="16" max="17" width="5.125" customWidth="1"/>
    <col min="18" max="18" width="6.5" customWidth="1"/>
    <col min="19" max="19" width="6.375" customWidth="1"/>
    <col min="20" max="20" width="6.25" customWidth="1"/>
    <col min="21" max="21" width="6.375" customWidth="1"/>
    <col min="22" max="22" width="6.5" customWidth="1"/>
    <col min="23" max="23" width="6.25" customWidth="1"/>
    <col min="24" max="254" width="5.125" customWidth="1"/>
    <col min="255" max="276" width="5.625" style="24" customWidth="1"/>
    <col min="277" max="305" width="5.125" customWidth="1"/>
  </cols>
  <sheetData>
    <row r="1" spans="1:369" s="238" customFormat="1" ht="18.75" thickBot="1" x14ac:dyDescent="0.25">
      <c r="A1" s="282" t="s">
        <v>0</v>
      </c>
      <c r="B1" s="283"/>
      <c r="C1" s="283"/>
      <c r="D1" s="283"/>
      <c r="E1" s="284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9" t="s">
        <v>1</v>
      </c>
      <c r="W1" s="290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  <c r="AI1" s="237"/>
      <c r="AJ1" s="237"/>
      <c r="AK1" s="237"/>
      <c r="AL1" s="237"/>
      <c r="AM1" s="237"/>
      <c r="AN1" s="236"/>
      <c r="AO1" s="235"/>
      <c r="AP1" s="237"/>
      <c r="AQ1" s="237"/>
      <c r="AR1" s="237"/>
      <c r="AS1" s="237"/>
      <c r="AT1" s="237"/>
      <c r="AU1" s="237"/>
      <c r="AV1" s="237"/>
      <c r="AW1" s="237"/>
      <c r="AX1" s="237"/>
      <c r="AY1" s="237"/>
      <c r="AZ1" s="237"/>
      <c r="BA1" s="237"/>
      <c r="BB1" s="237"/>
      <c r="BC1" s="236"/>
      <c r="BD1" s="235"/>
      <c r="BE1" s="237"/>
      <c r="BF1" s="237"/>
      <c r="BG1" s="237"/>
      <c r="BH1" s="237"/>
      <c r="BI1" s="237"/>
      <c r="BJ1" s="237"/>
      <c r="BK1" s="237"/>
      <c r="BL1" s="237"/>
      <c r="BM1" s="237"/>
      <c r="BN1" s="237"/>
      <c r="BO1" s="237"/>
      <c r="BP1" s="237"/>
      <c r="BQ1" s="237"/>
      <c r="BR1" s="236"/>
      <c r="BS1" s="235"/>
      <c r="BT1" s="237"/>
      <c r="BU1" s="237"/>
      <c r="BV1" s="237"/>
      <c r="BW1" s="237"/>
      <c r="BX1" s="237"/>
      <c r="BY1" s="237"/>
      <c r="BZ1" s="237"/>
      <c r="CA1" s="237"/>
      <c r="CB1" s="237"/>
      <c r="CC1" s="237"/>
      <c r="CD1" s="237"/>
      <c r="CE1" s="236"/>
      <c r="CF1" s="235"/>
      <c r="CG1" s="237"/>
      <c r="CH1" s="237"/>
      <c r="CI1" s="237"/>
      <c r="CJ1" s="237"/>
      <c r="CK1" s="237"/>
      <c r="CL1" s="237"/>
      <c r="CM1" s="237"/>
      <c r="CN1" s="237"/>
      <c r="CO1" s="237"/>
      <c r="CP1" s="237"/>
      <c r="CQ1" s="237"/>
      <c r="CR1" s="236"/>
      <c r="CS1" s="235"/>
      <c r="CT1" s="237"/>
      <c r="CU1" s="237"/>
      <c r="CV1" s="237"/>
      <c r="CW1" s="237"/>
      <c r="CX1" s="237"/>
      <c r="CY1" s="237"/>
      <c r="CZ1" s="237"/>
      <c r="DA1" s="237"/>
      <c r="DB1" s="237"/>
      <c r="DC1" s="237"/>
      <c r="DD1" s="237"/>
      <c r="DE1" s="236"/>
      <c r="DF1" s="235"/>
      <c r="DG1" s="237"/>
      <c r="DH1" s="237"/>
      <c r="DI1" s="237"/>
      <c r="DJ1" s="237"/>
      <c r="DK1" s="237"/>
      <c r="DL1" s="237"/>
      <c r="DM1" s="237"/>
      <c r="DN1" s="237"/>
      <c r="DO1" s="237"/>
      <c r="DP1" s="237"/>
      <c r="DQ1" s="237"/>
      <c r="DR1" s="236"/>
      <c r="DS1" s="235"/>
      <c r="DT1" s="237"/>
      <c r="DU1" s="236"/>
      <c r="DV1" s="235"/>
      <c r="DW1" s="237"/>
      <c r="DX1" s="237"/>
      <c r="DY1" s="237"/>
      <c r="DZ1" s="237"/>
      <c r="EA1" s="237"/>
      <c r="EB1" s="237"/>
      <c r="EC1" s="237"/>
      <c r="ED1" s="237"/>
      <c r="EE1" s="237"/>
      <c r="EF1" s="237"/>
      <c r="EG1" s="237"/>
      <c r="EH1" s="237"/>
      <c r="EI1" s="237"/>
      <c r="EJ1" s="237"/>
      <c r="EK1" s="237"/>
      <c r="EL1" s="237"/>
      <c r="EM1" s="237"/>
      <c r="EN1" s="237"/>
      <c r="EO1" s="237"/>
      <c r="EP1" s="237"/>
      <c r="EQ1" s="237"/>
      <c r="ER1" s="237"/>
      <c r="ES1" s="237"/>
      <c r="ET1" s="237"/>
      <c r="EU1" s="237"/>
      <c r="EV1" s="237"/>
      <c r="EW1" s="237"/>
      <c r="EX1" s="237"/>
      <c r="EY1" s="236"/>
      <c r="EZ1" s="235"/>
      <c r="FA1" s="237"/>
      <c r="FB1" s="237"/>
      <c r="FC1" s="237"/>
      <c r="FD1" s="237"/>
      <c r="FE1" s="237"/>
      <c r="FF1" s="237"/>
      <c r="FG1" s="237"/>
      <c r="FH1" s="237"/>
      <c r="FI1" s="237"/>
      <c r="FJ1" s="237"/>
      <c r="FK1" s="237"/>
      <c r="FL1" s="237"/>
      <c r="FM1" s="237"/>
      <c r="FN1" s="236"/>
      <c r="FO1" s="235"/>
      <c r="FP1" s="237"/>
      <c r="FQ1" s="237"/>
      <c r="FR1" s="237"/>
      <c r="FS1" s="237"/>
      <c r="FT1" s="237"/>
      <c r="FU1" s="237"/>
      <c r="FV1" s="237"/>
      <c r="FW1" s="237"/>
      <c r="FX1" s="237"/>
      <c r="FY1" s="237"/>
      <c r="FZ1" s="237"/>
      <c r="GA1" s="237"/>
      <c r="GB1" s="237"/>
      <c r="GC1" s="236"/>
      <c r="GD1" s="235"/>
      <c r="GE1" s="237"/>
      <c r="GF1" s="237"/>
      <c r="GG1" s="237"/>
      <c r="GH1" s="237"/>
      <c r="GI1" s="237"/>
      <c r="GJ1" s="237"/>
      <c r="GK1" s="237"/>
      <c r="GL1" s="237"/>
      <c r="GM1" s="237"/>
      <c r="GN1" s="237"/>
      <c r="GO1" s="237"/>
      <c r="GP1" s="237"/>
      <c r="GQ1" s="237"/>
      <c r="GR1" s="237"/>
      <c r="GS1" s="237"/>
      <c r="GT1" s="237"/>
      <c r="GU1" s="237"/>
      <c r="GV1" s="237"/>
      <c r="GW1" s="237"/>
      <c r="GX1" s="237"/>
      <c r="GY1" s="236"/>
      <c r="GZ1" s="235"/>
      <c r="HA1" s="237"/>
      <c r="HB1" s="237"/>
      <c r="HC1" s="237"/>
      <c r="HD1" s="237"/>
      <c r="HE1" s="237"/>
      <c r="HF1" s="237"/>
      <c r="HG1" s="237"/>
      <c r="HH1" s="237"/>
      <c r="HI1" s="237"/>
      <c r="HJ1" s="236"/>
      <c r="HK1" s="236"/>
      <c r="HL1" s="236"/>
      <c r="HM1" s="236"/>
      <c r="HN1" s="237"/>
      <c r="HO1" s="237"/>
      <c r="HP1" s="237"/>
      <c r="HQ1" s="237"/>
      <c r="HR1" s="237"/>
      <c r="HS1" s="237"/>
      <c r="HT1" s="237"/>
      <c r="HU1" s="237"/>
      <c r="HV1" s="237"/>
      <c r="HW1" s="237"/>
      <c r="HX1" s="237"/>
      <c r="HY1" s="237"/>
      <c r="HZ1" s="237"/>
      <c r="IA1" s="237"/>
      <c r="IB1" s="237"/>
      <c r="IC1" s="237"/>
      <c r="ID1" s="237"/>
      <c r="IE1" s="237"/>
      <c r="IF1" s="237"/>
      <c r="IG1" s="236"/>
      <c r="IH1" s="235"/>
      <c r="II1" s="237"/>
      <c r="IJ1" s="235"/>
      <c r="IK1" s="237"/>
      <c r="IL1" s="237"/>
      <c r="IM1" s="237"/>
      <c r="IN1" s="237"/>
      <c r="IO1" s="237"/>
      <c r="IP1" s="237"/>
      <c r="IQ1" s="237"/>
      <c r="IR1" s="273" t="s">
        <v>298</v>
      </c>
      <c r="IS1" s="274"/>
      <c r="IT1" s="274"/>
      <c r="IU1" s="274"/>
      <c r="IV1" s="274"/>
      <c r="IW1" s="274"/>
      <c r="IX1" s="274"/>
      <c r="IY1" s="274"/>
      <c r="IZ1" s="274"/>
      <c r="JA1" s="274"/>
      <c r="JB1" s="274"/>
      <c r="JC1" s="274"/>
      <c r="JD1" s="274"/>
      <c r="JE1" s="274"/>
      <c r="JF1" s="274"/>
      <c r="JG1" s="274"/>
      <c r="JH1" s="274"/>
      <c r="JI1" s="274"/>
      <c r="JJ1" s="274"/>
      <c r="JK1" s="274"/>
      <c r="JL1" s="274"/>
      <c r="JM1" s="274"/>
      <c r="JN1" s="274"/>
      <c r="JO1" s="275"/>
      <c r="JP1" s="258" t="s">
        <v>167</v>
      </c>
      <c r="JQ1" s="259"/>
      <c r="JR1" s="259"/>
      <c r="JS1" s="259"/>
      <c r="JT1" s="259"/>
      <c r="JU1" s="259"/>
      <c r="JV1" s="259"/>
      <c r="JW1" s="259"/>
      <c r="JX1" s="259"/>
      <c r="JY1" s="259"/>
      <c r="JZ1" s="259"/>
      <c r="KA1" s="259"/>
      <c r="KB1" s="260"/>
      <c r="KC1" s="188"/>
      <c r="KD1" s="188"/>
      <c r="KE1" s="188"/>
      <c r="KF1" s="188"/>
      <c r="KG1" s="188"/>
      <c r="KH1" s="188"/>
      <c r="KI1" s="188"/>
      <c r="KJ1" s="188"/>
      <c r="KK1" s="188"/>
      <c r="KL1" s="188"/>
      <c r="KM1" s="188"/>
      <c r="KN1" s="188"/>
      <c r="KO1" s="188"/>
      <c r="KP1" s="188"/>
      <c r="KQ1" s="188"/>
      <c r="KR1" s="188"/>
      <c r="KS1" s="188"/>
      <c r="KT1" s="188"/>
      <c r="KU1" s="188"/>
      <c r="KV1" s="188"/>
      <c r="KW1" s="188"/>
      <c r="KX1" s="188"/>
      <c r="KY1" s="188"/>
      <c r="KZ1" s="188"/>
      <c r="LA1" s="188"/>
      <c r="LB1" s="188"/>
      <c r="LC1" s="188"/>
      <c r="LD1" s="188"/>
      <c r="LE1" s="188"/>
      <c r="LF1" s="188"/>
      <c r="LG1" s="188"/>
      <c r="LH1" s="188"/>
      <c r="LI1" s="188"/>
      <c r="LJ1" s="188"/>
      <c r="LK1" s="188"/>
      <c r="LL1" s="188"/>
      <c r="LM1" s="188"/>
      <c r="LN1" s="188"/>
      <c r="LO1" s="188"/>
      <c r="LP1" s="188"/>
      <c r="LQ1" s="188"/>
      <c r="LR1" s="188"/>
      <c r="LS1" s="188"/>
      <c r="LT1" s="188"/>
      <c r="LU1" s="188"/>
      <c r="LV1" s="188"/>
      <c r="LW1" s="188"/>
      <c r="LX1" s="188"/>
      <c r="LY1" s="188"/>
      <c r="LZ1" s="188"/>
      <c r="MA1" s="188"/>
      <c r="MB1" s="188"/>
      <c r="MC1" s="188"/>
      <c r="MD1" s="188"/>
      <c r="ME1" s="188"/>
      <c r="MF1" s="188"/>
      <c r="MG1" s="188"/>
      <c r="MH1" s="188"/>
      <c r="MI1" s="188"/>
      <c r="MJ1" s="188"/>
      <c r="MK1" s="188"/>
      <c r="ML1" s="188"/>
      <c r="MM1" s="188"/>
      <c r="MN1" s="188"/>
      <c r="MO1" s="188"/>
    </row>
    <row r="2" spans="1:369" s="238" customFormat="1" ht="18.75" thickBot="1" x14ac:dyDescent="0.3">
      <c r="A2" s="285"/>
      <c r="B2" s="286"/>
      <c r="C2" s="286"/>
      <c r="D2" s="286"/>
      <c r="E2" s="287"/>
      <c r="F2" s="295" t="s">
        <v>2</v>
      </c>
      <c r="G2" s="296"/>
      <c r="H2" s="301" t="s">
        <v>3</v>
      </c>
      <c r="I2" s="301"/>
      <c r="J2" s="296"/>
      <c r="K2" s="295" t="s">
        <v>4</v>
      </c>
      <c r="L2" s="296"/>
      <c r="M2" s="295" t="s">
        <v>5</v>
      </c>
      <c r="N2" s="301"/>
      <c r="O2" s="301"/>
      <c r="P2" s="295" t="s">
        <v>6</v>
      </c>
      <c r="Q2" s="296"/>
      <c r="R2" s="295" t="s">
        <v>7</v>
      </c>
      <c r="S2" s="301"/>
      <c r="T2" s="301"/>
      <c r="U2" s="301"/>
      <c r="V2" s="291"/>
      <c r="W2" s="292"/>
      <c r="X2" s="279" t="s">
        <v>122</v>
      </c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1"/>
      <c r="AM2" s="309" t="s">
        <v>129</v>
      </c>
      <c r="AN2" s="310"/>
      <c r="AO2" s="310"/>
      <c r="AP2" s="310"/>
      <c r="AQ2" s="310"/>
      <c r="AR2" s="310"/>
      <c r="AS2" s="310"/>
      <c r="AT2" s="310"/>
      <c r="AU2" s="310"/>
      <c r="AV2" s="310"/>
      <c r="AW2" s="310"/>
      <c r="AX2" s="310"/>
      <c r="AY2" s="311"/>
      <c r="AZ2" s="309" t="s">
        <v>135</v>
      </c>
      <c r="BA2" s="310"/>
      <c r="BB2" s="310"/>
      <c r="BC2" s="310"/>
      <c r="BD2" s="310"/>
      <c r="BE2" s="310"/>
      <c r="BF2" s="310"/>
      <c r="BG2" s="310"/>
      <c r="BH2" s="310"/>
      <c r="BI2" s="310"/>
      <c r="BJ2" s="310"/>
      <c r="BK2" s="310"/>
      <c r="BL2" s="310"/>
      <c r="BM2" s="310"/>
      <c r="BN2" s="347"/>
      <c r="BO2" s="337" t="s">
        <v>136</v>
      </c>
      <c r="BP2" s="310"/>
      <c r="BQ2" s="310"/>
      <c r="BR2" s="310"/>
      <c r="BS2" s="310"/>
      <c r="BT2" s="310"/>
      <c r="BU2" s="310"/>
      <c r="BV2" s="310"/>
      <c r="BW2" s="310"/>
      <c r="BX2" s="310"/>
      <c r="BY2" s="310"/>
      <c r="BZ2" s="310"/>
      <c r="CA2" s="347"/>
      <c r="CB2" s="337" t="s">
        <v>138</v>
      </c>
      <c r="CC2" s="310"/>
      <c r="CD2" s="310"/>
      <c r="CE2" s="310"/>
      <c r="CF2" s="310"/>
      <c r="CG2" s="310"/>
      <c r="CH2" s="310"/>
      <c r="CI2" s="310"/>
      <c r="CJ2" s="310"/>
      <c r="CK2" s="310"/>
      <c r="CL2" s="310"/>
      <c r="CM2" s="310"/>
      <c r="CN2" s="347"/>
      <c r="CO2" s="349" t="s">
        <v>139</v>
      </c>
      <c r="CP2" s="244"/>
      <c r="CQ2" s="244"/>
      <c r="CR2" s="244"/>
      <c r="CS2" s="244"/>
      <c r="CT2" s="244"/>
      <c r="CU2" s="244"/>
      <c r="CV2" s="244"/>
      <c r="CW2" s="244"/>
      <c r="CX2" s="244"/>
      <c r="CY2" s="244"/>
      <c r="CZ2" s="244"/>
      <c r="DA2" s="350"/>
      <c r="DB2" s="349" t="s">
        <v>140</v>
      </c>
      <c r="DC2" s="244"/>
      <c r="DD2" s="244"/>
      <c r="DE2" s="244"/>
      <c r="DF2" s="244"/>
      <c r="DG2" s="244"/>
      <c r="DH2" s="244"/>
      <c r="DI2" s="244"/>
      <c r="DJ2" s="244"/>
      <c r="DK2" s="244"/>
      <c r="DL2" s="244"/>
      <c r="DM2" s="244"/>
      <c r="DN2" s="245"/>
      <c r="DO2" s="243" t="s">
        <v>141</v>
      </c>
      <c r="DP2" s="244"/>
      <c r="DQ2" s="244"/>
      <c r="DR2" s="244"/>
      <c r="DS2" s="244"/>
      <c r="DT2" s="244"/>
      <c r="DU2" s="244"/>
      <c r="DV2" s="244"/>
      <c r="DW2" s="244"/>
      <c r="DX2" s="244"/>
      <c r="DY2" s="244"/>
      <c r="DZ2" s="244"/>
      <c r="EA2" s="245"/>
      <c r="EB2" s="243" t="s">
        <v>142</v>
      </c>
      <c r="EC2" s="244"/>
      <c r="ED2" s="244"/>
      <c r="EE2" s="244"/>
      <c r="EF2" s="244"/>
      <c r="EG2" s="244"/>
      <c r="EH2" s="244"/>
      <c r="EI2" s="244"/>
      <c r="EJ2" s="244"/>
      <c r="EK2" s="244"/>
      <c r="EL2" s="244"/>
      <c r="EM2" s="244"/>
      <c r="EN2" s="244"/>
      <c r="EO2" s="244"/>
      <c r="EP2" s="244"/>
      <c r="EQ2" s="244"/>
      <c r="ER2" s="244"/>
      <c r="ES2" s="244"/>
      <c r="ET2" s="244"/>
      <c r="EU2" s="244"/>
      <c r="EV2" s="244"/>
      <c r="EW2" s="244"/>
      <c r="EX2" s="244"/>
      <c r="EY2" s="244"/>
      <c r="EZ2" s="244"/>
      <c r="FA2" s="256" t="s">
        <v>143</v>
      </c>
      <c r="FB2" s="244"/>
      <c r="FC2" s="244"/>
      <c r="FD2" s="244"/>
      <c r="FE2" s="244"/>
      <c r="FF2" s="244"/>
      <c r="FG2" s="244"/>
      <c r="FH2" s="244"/>
      <c r="FI2" s="244"/>
      <c r="FJ2" s="244"/>
      <c r="FK2" s="244"/>
      <c r="FL2" s="244"/>
      <c r="FM2" s="245"/>
      <c r="FN2" s="243" t="s">
        <v>144</v>
      </c>
      <c r="FO2" s="244"/>
      <c r="FP2" s="244"/>
      <c r="FQ2" s="244"/>
      <c r="FR2" s="244"/>
      <c r="FS2" s="244"/>
      <c r="FT2" s="244"/>
      <c r="FU2" s="244"/>
      <c r="FV2" s="244"/>
      <c r="FW2" s="244"/>
      <c r="FX2" s="244"/>
      <c r="FY2" s="244"/>
      <c r="FZ2" s="245"/>
      <c r="GA2" s="243" t="s">
        <v>145</v>
      </c>
      <c r="GB2" s="244"/>
      <c r="GC2" s="244"/>
      <c r="GD2" s="244"/>
      <c r="GE2" s="244"/>
      <c r="GF2" s="244"/>
      <c r="GG2" s="244"/>
      <c r="GH2" s="244"/>
      <c r="GI2" s="244"/>
      <c r="GJ2" s="244"/>
      <c r="GK2" s="244"/>
      <c r="GL2" s="244"/>
      <c r="GM2" s="245"/>
      <c r="GN2" s="243" t="s">
        <v>146</v>
      </c>
      <c r="GO2" s="244"/>
      <c r="GP2" s="244"/>
      <c r="GQ2" s="244"/>
      <c r="GR2" s="244"/>
      <c r="GS2" s="244"/>
      <c r="GT2" s="244"/>
      <c r="GU2" s="244"/>
      <c r="GV2" s="244"/>
      <c r="GW2" s="244"/>
      <c r="GX2" s="244"/>
      <c r="GY2" s="244"/>
      <c r="GZ2" s="244"/>
      <c r="HA2" s="244"/>
      <c r="HB2" s="244"/>
      <c r="HC2" s="244"/>
      <c r="HD2" s="245"/>
      <c r="HE2" s="249" t="s">
        <v>8</v>
      </c>
      <c r="HF2" s="250"/>
      <c r="HG2" s="250"/>
      <c r="HH2" s="250"/>
      <c r="HI2" s="250"/>
      <c r="HJ2" s="250"/>
      <c r="HK2" s="250"/>
      <c r="HL2" s="250"/>
      <c r="HM2" s="250"/>
      <c r="HN2" s="250"/>
      <c r="HO2" s="250"/>
      <c r="HP2" s="250"/>
      <c r="HQ2" s="250"/>
      <c r="HR2" s="250"/>
      <c r="HS2" s="250"/>
      <c r="HT2" s="250"/>
      <c r="HU2" s="250"/>
      <c r="HV2" s="250"/>
      <c r="HW2" s="250"/>
      <c r="HX2" s="250"/>
      <c r="HY2" s="250"/>
      <c r="HZ2" s="250"/>
      <c r="IA2" s="250"/>
      <c r="IB2" s="250"/>
      <c r="IC2" s="250"/>
      <c r="ID2" s="250"/>
      <c r="IE2" s="250"/>
      <c r="IF2" s="250"/>
      <c r="IG2" s="250"/>
      <c r="IH2" s="250"/>
      <c r="II2" s="250"/>
      <c r="IJ2" s="250"/>
      <c r="IK2" s="250"/>
      <c r="IL2" s="250"/>
      <c r="IM2" s="250"/>
      <c r="IN2" s="250"/>
      <c r="IO2" s="250"/>
      <c r="IP2" s="250"/>
      <c r="IQ2" s="251"/>
      <c r="IR2" s="276"/>
      <c r="IS2" s="277"/>
      <c r="IT2" s="277"/>
      <c r="IU2" s="277"/>
      <c r="IV2" s="277"/>
      <c r="IW2" s="277"/>
      <c r="IX2" s="277"/>
      <c r="IY2" s="277"/>
      <c r="IZ2" s="277"/>
      <c r="JA2" s="277"/>
      <c r="JB2" s="277"/>
      <c r="JC2" s="277"/>
      <c r="JD2" s="277"/>
      <c r="JE2" s="277"/>
      <c r="JF2" s="277"/>
      <c r="JG2" s="277"/>
      <c r="JH2" s="277"/>
      <c r="JI2" s="277"/>
      <c r="JJ2" s="277"/>
      <c r="JK2" s="277"/>
      <c r="JL2" s="277"/>
      <c r="JM2" s="277"/>
      <c r="JN2" s="277"/>
      <c r="JO2" s="278"/>
      <c r="JP2" s="261"/>
      <c r="JQ2" s="262"/>
      <c r="JR2" s="262"/>
      <c r="JS2" s="262"/>
      <c r="JT2" s="262"/>
      <c r="JU2" s="262"/>
      <c r="JV2" s="262"/>
      <c r="JW2" s="262"/>
      <c r="JX2" s="262"/>
      <c r="JY2" s="262"/>
      <c r="JZ2" s="262"/>
      <c r="KA2" s="262"/>
      <c r="KB2" s="263"/>
      <c r="KC2" s="318" t="s">
        <v>9</v>
      </c>
      <c r="KD2" s="319"/>
      <c r="KE2" s="319"/>
      <c r="KF2" s="319"/>
      <c r="KG2" s="319"/>
      <c r="KH2" s="319"/>
      <c r="KI2" s="319"/>
      <c r="KJ2" s="319"/>
      <c r="KK2" s="319"/>
      <c r="KL2" s="319"/>
      <c r="KM2" s="319"/>
      <c r="KN2" s="319"/>
      <c r="KO2" s="319"/>
      <c r="KP2" s="319"/>
      <c r="KQ2" s="319"/>
      <c r="KR2" s="319"/>
      <c r="KS2" s="319"/>
      <c r="KT2" s="319"/>
      <c r="KU2" s="319"/>
      <c r="KV2" s="319"/>
      <c r="KW2" s="319"/>
      <c r="KX2" s="319"/>
      <c r="KY2" s="319"/>
      <c r="KZ2" s="319"/>
      <c r="LA2" s="319"/>
      <c r="LB2" s="319"/>
      <c r="LC2" s="319"/>
      <c r="LD2" s="320"/>
      <c r="LE2" s="336"/>
      <c r="LF2" s="336"/>
      <c r="LG2" s="336"/>
      <c r="LH2" s="336"/>
      <c r="LI2" s="336"/>
      <c r="LJ2" s="336"/>
      <c r="LK2" s="336"/>
      <c r="LL2" s="336"/>
      <c r="LM2" s="318" t="s">
        <v>10</v>
      </c>
      <c r="LN2" s="319"/>
      <c r="LO2" s="319"/>
      <c r="LP2" s="319"/>
      <c r="LQ2" s="319"/>
      <c r="LR2" s="319"/>
      <c r="LS2" s="319"/>
      <c r="LT2" s="319"/>
      <c r="LU2" s="319"/>
      <c r="LV2" s="319"/>
      <c r="LW2" s="319"/>
      <c r="LX2" s="319"/>
      <c r="LY2" s="320"/>
      <c r="LZ2" s="321" t="s">
        <v>11</v>
      </c>
      <c r="MA2" s="322"/>
      <c r="MB2" s="322"/>
      <c r="MC2" s="322"/>
      <c r="MD2" s="322"/>
      <c r="ME2" s="322"/>
      <c r="MF2" s="322"/>
      <c r="MG2" s="322"/>
      <c r="MH2" s="322"/>
      <c r="MI2" s="322"/>
      <c r="MJ2" s="322"/>
      <c r="MK2" s="322"/>
      <c r="ML2" s="322"/>
      <c r="MM2" s="322"/>
      <c r="MN2" s="322"/>
      <c r="MO2" s="323"/>
    </row>
    <row r="3" spans="1:369" s="238" customFormat="1" ht="30.75" customHeight="1" thickBot="1" x14ac:dyDescent="0.25">
      <c r="A3" s="285" t="s">
        <v>119</v>
      </c>
      <c r="B3" s="286"/>
      <c r="C3" s="286"/>
      <c r="D3" s="286"/>
      <c r="E3" s="287"/>
      <c r="F3" s="297"/>
      <c r="G3" s="298"/>
      <c r="H3" s="302"/>
      <c r="I3" s="302"/>
      <c r="J3" s="298"/>
      <c r="K3" s="297"/>
      <c r="L3" s="298"/>
      <c r="M3" s="297"/>
      <c r="N3" s="302"/>
      <c r="O3" s="302"/>
      <c r="P3" s="297"/>
      <c r="Q3" s="298"/>
      <c r="R3" s="297"/>
      <c r="S3" s="302"/>
      <c r="T3" s="302"/>
      <c r="U3" s="302"/>
      <c r="V3" s="291"/>
      <c r="W3" s="292"/>
      <c r="X3" s="279"/>
      <c r="Y3" s="280"/>
      <c r="Z3" s="280"/>
      <c r="AA3" s="280"/>
      <c r="AB3" s="280"/>
      <c r="AC3" s="280"/>
      <c r="AD3" s="280"/>
      <c r="AE3" s="280"/>
      <c r="AF3" s="280"/>
      <c r="AG3" s="280"/>
      <c r="AH3" s="280"/>
      <c r="AI3" s="280"/>
      <c r="AJ3" s="280"/>
      <c r="AK3" s="280"/>
      <c r="AL3" s="281"/>
      <c r="AM3" s="312"/>
      <c r="AN3" s="313"/>
      <c r="AO3" s="313"/>
      <c r="AP3" s="313"/>
      <c r="AQ3" s="313"/>
      <c r="AR3" s="313"/>
      <c r="AS3" s="313"/>
      <c r="AT3" s="313"/>
      <c r="AU3" s="313"/>
      <c r="AV3" s="313"/>
      <c r="AW3" s="313"/>
      <c r="AX3" s="313"/>
      <c r="AY3" s="314"/>
      <c r="AZ3" s="312"/>
      <c r="BA3" s="313"/>
      <c r="BB3" s="313"/>
      <c r="BC3" s="313"/>
      <c r="BD3" s="313"/>
      <c r="BE3" s="313"/>
      <c r="BF3" s="313"/>
      <c r="BG3" s="313"/>
      <c r="BH3" s="313"/>
      <c r="BI3" s="313"/>
      <c r="BJ3" s="313"/>
      <c r="BK3" s="313"/>
      <c r="BL3" s="313"/>
      <c r="BM3" s="313"/>
      <c r="BN3" s="348"/>
      <c r="BO3" s="338"/>
      <c r="BP3" s="313"/>
      <c r="BQ3" s="313"/>
      <c r="BR3" s="313"/>
      <c r="BS3" s="313"/>
      <c r="BT3" s="313"/>
      <c r="BU3" s="313"/>
      <c r="BV3" s="313"/>
      <c r="BW3" s="313"/>
      <c r="BX3" s="313"/>
      <c r="BY3" s="313"/>
      <c r="BZ3" s="313"/>
      <c r="CA3" s="348"/>
      <c r="CB3" s="338"/>
      <c r="CC3" s="313"/>
      <c r="CD3" s="313"/>
      <c r="CE3" s="313"/>
      <c r="CF3" s="313"/>
      <c r="CG3" s="313"/>
      <c r="CH3" s="313"/>
      <c r="CI3" s="313"/>
      <c r="CJ3" s="313"/>
      <c r="CK3" s="313"/>
      <c r="CL3" s="313"/>
      <c r="CM3" s="313"/>
      <c r="CN3" s="348"/>
      <c r="CO3" s="338"/>
      <c r="CP3" s="313"/>
      <c r="CQ3" s="313"/>
      <c r="CR3" s="313"/>
      <c r="CS3" s="313"/>
      <c r="CT3" s="313"/>
      <c r="CU3" s="313"/>
      <c r="CV3" s="313"/>
      <c r="CW3" s="313"/>
      <c r="CX3" s="313"/>
      <c r="CY3" s="313"/>
      <c r="CZ3" s="313"/>
      <c r="DA3" s="348"/>
      <c r="DB3" s="351"/>
      <c r="DC3" s="247"/>
      <c r="DD3" s="247"/>
      <c r="DE3" s="247"/>
      <c r="DF3" s="247"/>
      <c r="DG3" s="247"/>
      <c r="DH3" s="247"/>
      <c r="DI3" s="247"/>
      <c r="DJ3" s="247"/>
      <c r="DK3" s="247"/>
      <c r="DL3" s="247"/>
      <c r="DM3" s="247"/>
      <c r="DN3" s="248"/>
      <c r="DO3" s="246"/>
      <c r="DP3" s="247"/>
      <c r="DQ3" s="247"/>
      <c r="DR3" s="247"/>
      <c r="DS3" s="247"/>
      <c r="DT3" s="247"/>
      <c r="DU3" s="247"/>
      <c r="DV3" s="247"/>
      <c r="DW3" s="247"/>
      <c r="DX3" s="247"/>
      <c r="DY3" s="247"/>
      <c r="DZ3" s="247"/>
      <c r="EA3" s="248"/>
      <c r="EB3" s="246"/>
      <c r="EC3" s="247"/>
      <c r="ED3" s="247"/>
      <c r="EE3" s="247"/>
      <c r="EF3" s="247"/>
      <c r="EG3" s="247"/>
      <c r="EH3" s="247"/>
      <c r="EI3" s="247"/>
      <c r="EJ3" s="247"/>
      <c r="EK3" s="247"/>
      <c r="EL3" s="247"/>
      <c r="EM3" s="247"/>
      <c r="EN3" s="247"/>
      <c r="EO3" s="247"/>
      <c r="EP3" s="247"/>
      <c r="EQ3" s="247"/>
      <c r="ER3" s="247"/>
      <c r="ES3" s="247"/>
      <c r="ET3" s="247"/>
      <c r="EU3" s="247"/>
      <c r="EV3" s="247"/>
      <c r="EW3" s="247"/>
      <c r="EX3" s="247"/>
      <c r="EY3" s="247"/>
      <c r="EZ3" s="247"/>
      <c r="FA3" s="257"/>
      <c r="FB3" s="247"/>
      <c r="FC3" s="247"/>
      <c r="FD3" s="247"/>
      <c r="FE3" s="247"/>
      <c r="FF3" s="247"/>
      <c r="FG3" s="247"/>
      <c r="FH3" s="247"/>
      <c r="FI3" s="247"/>
      <c r="FJ3" s="247"/>
      <c r="FK3" s="247"/>
      <c r="FL3" s="247"/>
      <c r="FM3" s="248"/>
      <c r="FN3" s="246"/>
      <c r="FO3" s="247"/>
      <c r="FP3" s="247"/>
      <c r="FQ3" s="247"/>
      <c r="FR3" s="247"/>
      <c r="FS3" s="247"/>
      <c r="FT3" s="247"/>
      <c r="FU3" s="247"/>
      <c r="FV3" s="247"/>
      <c r="FW3" s="247"/>
      <c r="FX3" s="247"/>
      <c r="FY3" s="247"/>
      <c r="FZ3" s="248"/>
      <c r="GA3" s="246"/>
      <c r="GB3" s="247"/>
      <c r="GC3" s="247"/>
      <c r="GD3" s="247"/>
      <c r="GE3" s="247"/>
      <c r="GF3" s="247"/>
      <c r="GG3" s="247"/>
      <c r="GH3" s="247"/>
      <c r="GI3" s="247"/>
      <c r="GJ3" s="247"/>
      <c r="GK3" s="247"/>
      <c r="GL3" s="247"/>
      <c r="GM3" s="248"/>
      <c r="GN3" s="246"/>
      <c r="GO3" s="247"/>
      <c r="GP3" s="247"/>
      <c r="GQ3" s="247"/>
      <c r="GR3" s="247"/>
      <c r="GS3" s="247"/>
      <c r="GT3" s="247"/>
      <c r="GU3" s="247"/>
      <c r="GV3" s="247"/>
      <c r="GW3" s="247"/>
      <c r="GX3" s="247"/>
      <c r="GY3" s="247"/>
      <c r="GZ3" s="247"/>
      <c r="HA3" s="247"/>
      <c r="HB3" s="247"/>
      <c r="HC3" s="247"/>
      <c r="HD3" s="247"/>
      <c r="HE3" s="253" t="s">
        <v>155</v>
      </c>
      <c r="HF3" s="254"/>
      <c r="HG3" s="254"/>
      <c r="HH3" s="254"/>
      <c r="HI3" s="254"/>
      <c r="HJ3" s="254"/>
      <c r="HK3" s="254"/>
      <c r="HL3" s="254"/>
      <c r="HM3" s="254"/>
      <c r="HN3" s="254"/>
      <c r="HO3" s="254"/>
      <c r="HP3" s="254"/>
      <c r="HQ3" s="254"/>
      <c r="HR3" s="254"/>
      <c r="HS3" s="254"/>
      <c r="HT3" s="254"/>
      <c r="HU3" s="254"/>
      <c r="HV3" s="254"/>
      <c r="HW3" s="254"/>
      <c r="HX3" s="254"/>
      <c r="HY3" s="255"/>
      <c r="HZ3" s="232"/>
      <c r="IA3" s="253" t="s">
        <v>160</v>
      </c>
      <c r="IB3" s="254"/>
      <c r="IC3" s="254"/>
      <c r="ID3" s="254"/>
      <c r="IE3" s="254"/>
      <c r="IF3" s="254"/>
      <c r="IG3" s="254"/>
      <c r="IH3" s="254"/>
      <c r="II3" s="254"/>
      <c r="IJ3" s="254"/>
      <c r="IK3" s="254"/>
      <c r="IL3" s="254"/>
      <c r="IM3" s="255"/>
      <c r="IN3" s="337" t="s">
        <v>159</v>
      </c>
      <c r="IO3" s="310"/>
      <c r="IP3" s="310"/>
      <c r="IQ3" s="310"/>
      <c r="IR3" s="342" t="s">
        <v>297</v>
      </c>
      <c r="IS3" s="343"/>
      <c r="IT3" s="343"/>
      <c r="IU3" s="343"/>
      <c r="IV3" s="343"/>
      <c r="IW3" s="343"/>
      <c r="IX3" s="343"/>
      <c r="IY3" s="343"/>
      <c r="IZ3" s="343"/>
      <c r="JA3" s="343"/>
      <c r="JB3" s="344"/>
      <c r="JC3" s="270" t="s">
        <v>299</v>
      </c>
      <c r="JD3" s="270"/>
      <c r="JE3" s="270"/>
      <c r="JF3" s="270"/>
      <c r="JG3" s="270"/>
      <c r="JH3" s="270"/>
      <c r="JI3" s="270"/>
      <c r="JJ3" s="270"/>
      <c r="JK3" s="270"/>
      <c r="JL3" s="270"/>
      <c r="JM3" s="270"/>
      <c r="JN3" s="270"/>
      <c r="JO3" s="270"/>
      <c r="JP3" s="264"/>
      <c r="JQ3" s="265"/>
      <c r="JR3" s="265"/>
      <c r="JS3" s="265"/>
      <c r="JT3" s="265"/>
      <c r="JU3" s="265"/>
      <c r="JV3" s="265"/>
      <c r="JW3" s="265"/>
      <c r="JX3" s="265"/>
      <c r="JY3" s="265"/>
      <c r="JZ3" s="265"/>
      <c r="KA3" s="265"/>
      <c r="KB3" s="266"/>
      <c r="KC3" s="339" t="s">
        <v>22</v>
      </c>
      <c r="KD3" s="340"/>
      <c r="KE3" s="340"/>
      <c r="KF3" s="340"/>
      <c r="KG3" s="340"/>
      <c r="KH3" s="340"/>
      <c r="KI3" s="340"/>
      <c r="KJ3" s="340"/>
      <c r="KK3" s="340"/>
      <c r="KL3" s="340"/>
      <c r="KM3" s="340"/>
      <c r="KN3" s="340"/>
      <c r="KO3" s="340"/>
      <c r="KP3" s="340"/>
      <c r="KQ3" s="340"/>
      <c r="KR3" s="340"/>
      <c r="KS3" s="340"/>
      <c r="KT3" s="340"/>
      <c r="KU3" s="340"/>
      <c r="KV3" s="340"/>
      <c r="KW3" s="340"/>
      <c r="KX3" s="340"/>
      <c r="KY3" s="340"/>
      <c r="KZ3" s="340"/>
      <c r="LA3" s="340"/>
      <c r="LB3" s="340"/>
      <c r="LC3" s="340"/>
      <c r="LD3" s="341"/>
      <c r="LE3" s="346" t="s">
        <v>23</v>
      </c>
      <c r="LF3" s="346"/>
      <c r="LG3" s="346" t="s">
        <v>24</v>
      </c>
      <c r="LH3" s="346"/>
      <c r="LI3" s="332" t="s">
        <v>25</v>
      </c>
      <c r="LJ3" s="333"/>
      <c r="LK3" s="332" t="s">
        <v>26</v>
      </c>
      <c r="LL3" s="333"/>
      <c r="LM3" s="328" t="s">
        <v>27</v>
      </c>
      <c r="LN3" s="328"/>
      <c r="LO3" s="258" t="s">
        <v>28</v>
      </c>
      <c r="LP3" s="259"/>
      <c r="LQ3" s="259"/>
      <c r="LR3" s="259"/>
      <c r="LS3" s="260"/>
      <c r="LT3" s="258" t="s">
        <v>29</v>
      </c>
      <c r="LU3" s="259"/>
      <c r="LV3" s="260"/>
      <c r="LW3" s="332" t="s">
        <v>30</v>
      </c>
      <c r="LX3" s="333"/>
      <c r="LY3" s="329" t="s">
        <v>31</v>
      </c>
      <c r="LZ3" s="264" t="s">
        <v>32</v>
      </c>
      <c r="MA3" s="265"/>
      <c r="MB3" s="265"/>
      <c r="MC3" s="265"/>
      <c r="MD3" s="265"/>
      <c r="ME3" s="265"/>
      <c r="MF3" s="265"/>
      <c r="MG3" s="265"/>
      <c r="MH3" s="265"/>
      <c r="MI3" s="265"/>
      <c r="MJ3" s="265"/>
      <c r="MK3" s="265"/>
      <c r="ML3" s="265"/>
      <c r="MM3" s="265"/>
      <c r="MN3" s="265"/>
      <c r="MO3" s="266"/>
    </row>
    <row r="4" spans="1:369" s="238" customFormat="1" ht="28.5" customHeight="1" thickBot="1" x14ac:dyDescent="0.25">
      <c r="A4" s="380"/>
      <c r="B4" s="381"/>
      <c r="C4" s="381"/>
      <c r="D4" s="381"/>
      <c r="E4" s="382"/>
      <c r="F4" s="299"/>
      <c r="G4" s="300"/>
      <c r="H4" s="288"/>
      <c r="I4" s="288"/>
      <c r="J4" s="300"/>
      <c r="K4" s="299"/>
      <c r="L4" s="300"/>
      <c r="M4" s="299"/>
      <c r="N4" s="288"/>
      <c r="O4" s="288"/>
      <c r="P4" s="299"/>
      <c r="Q4" s="300"/>
      <c r="R4" s="299"/>
      <c r="S4" s="288"/>
      <c r="T4" s="288"/>
      <c r="U4" s="288"/>
      <c r="V4" s="293"/>
      <c r="W4" s="294"/>
      <c r="X4" s="367" t="s">
        <v>123</v>
      </c>
      <c r="Y4" s="272"/>
      <c r="Z4" s="272" t="s">
        <v>124</v>
      </c>
      <c r="AA4" s="272"/>
      <c r="AB4" s="272" t="s">
        <v>125</v>
      </c>
      <c r="AC4" s="272"/>
      <c r="AD4" s="272" t="s">
        <v>126</v>
      </c>
      <c r="AE4" s="272"/>
      <c r="AF4" s="272" t="s">
        <v>127</v>
      </c>
      <c r="AG4" s="272"/>
      <c r="AH4" s="272" t="s">
        <v>128</v>
      </c>
      <c r="AI4" s="272"/>
      <c r="AJ4" s="252" t="s">
        <v>20</v>
      </c>
      <c r="AK4" s="252"/>
      <c r="AL4" s="317"/>
      <c r="AM4" s="315" t="s">
        <v>130</v>
      </c>
      <c r="AN4" s="271"/>
      <c r="AO4" s="271" t="s">
        <v>131</v>
      </c>
      <c r="AP4" s="271"/>
      <c r="AQ4" s="271" t="s">
        <v>132</v>
      </c>
      <c r="AR4" s="271"/>
      <c r="AS4" s="271" t="s">
        <v>133</v>
      </c>
      <c r="AT4" s="271"/>
      <c r="AU4" s="271" t="s">
        <v>134</v>
      </c>
      <c r="AV4" s="271"/>
      <c r="AW4" s="271" t="s">
        <v>20</v>
      </c>
      <c r="AX4" s="271"/>
      <c r="AY4" s="316"/>
      <c r="AZ4" s="315" t="s">
        <v>123</v>
      </c>
      <c r="BA4" s="271"/>
      <c r="BB4" s="271" t="s">
        <v>124</v>
      </c>
      <c r="BC4" s="271"/>
      <c r="BD4" s="271" t="s">
        <v>125</v>
      </c>
      <c r="BE4" s="271"/>
      <c r="BF4" s="271" t="s">
        <v>126</v>
      </c>
      <c r="BG4" s="271"/>
      <c r="BH4" s="271" t="s">
        <v>127</v>
      </c>
      <c r="BI4" s="271"/>
      <c r="BJ4" s="271" t="s">
        <v>128</v>
      </c>
      <c r="BK4" s="271"/>
      <c r="BL4" s="271" t="s">
        <v>20</v>
      </c>
      <c r="BM4" s="271"/>
      <c r="BN4" s="271"/>
      <c r="BO4" s="271" t="s">
        <v>125</v>
      </c>
      <c r="BP4" s="271"/>
      <c r="BQ4" s="271" t="s">
        <v>126</v>
      </c>
      <c r="BR4" s="271"/>
      <c r="BS4" s="271" t="s">
        <v>127</v>
      </c>
      <c r="BT4" s="271"/>
      <c r="BU4" s="271" t="s">
        <v>128</v>
      </c>
      <c r="BV4" s="271"/>
      <c r="BW4" s="271" t="s">
        <v>137</v>
      </c>
      <c r="BX4" s="271"/>
      <c r="BY4" s="271" t="s">
        <v>20</v>
      </c>
      <c r="BZ4" s="271"/>
      <c r="CA4" s="271"/>
      <c r="CB4" s="271" t="s">
        <v>126</v>
      </c>
      <c r="CC4" s="271"/>
      <c r="CD4" s="271" t="s">
        <v>127</v>
      </c>
      <c r="CE4" s="271"/>
      <c r="CF4" s="271" t="s">
        <v>128</v>
      </c>
      <c r="CG4" s="271"/>
      <c r="CH4" s="271" t="s">
        <v>137</v>
      </c>
      <c r="CI4" s="271"/>
      <c r="CJ4" s="271" t="s">
        <v>130</v>
      </c>
      <c r="CK4" s="271"/>
      <c r="CL4" s="271" t="s">
        <v>20</v>
      </c>
      <c r="CM4" s="271"/>
      <c r="CN4" s="271"/>
      <c r="CO4" s="271" t="s">
        <v>127</v>
      </c>
      <c r="CP4" s="271"/>
      <c r="CQ4" s="271" t="s">
        <v>128</v>
      </c>
      <c r="CR4" s="271"/>
      <c r="CS4" s="271" t="s">
        <v>137</v>
      </c>
      <c r="CT4" s="271"/>
      <c r="CU4" s="271" t="s">
        <v>130</v>
      </c>
      <c r="CV4" s="271"/>
      <c r="CW4" s="271" t="s">
        <v>131</v>
      </c>
      <c r="CX4" s="271"/>
      <c r="CY4" s="271" t="s">
        <v>20</v>
      </c>
      <c r="CZ4" s="271"/>
      <c r="DA4" s="271"/>
      <c r="DB4" s="271" t="s">
        <v>128</v>
      </c>
      <c r="DC4" s="271"/>
      <c r="DD4" s="271" t="s">
        <v>137</v>
      </c>
      <c r="DE4" s="271"/>
      <c r="DF4" s="271" t="s">
        <v>130</v>
      </c>
      <c r="DG4" s="271"/>
      <c r="DH4" s="271" t="s">
        <v>131</v>
      </c>
      <c r="DI4" s="271"/>
      <c r="DJ4" s="271" t="s">
        <v>132</v>
      </c>
      <c r="DK4" s="271"/>
      <c r="DL4" s="252" t="s">
        <v>20</v>
      </c>
      <c r="DM4" s="252"/>
      <c r="DN4" s="252"/>
      <c r="DO4" s="271" t="s">
        <v>137</v>
      </c>
      <c r="DP4" s="271"/>
      <c r="DQ4" s="271" t="s">
        <v>130</v>
      </c>
      <c r="DR4" s="271"/>
      <c r="DS4" s="271" t="s">
        <v>131</v>
      </c>
      <c r="DT4" s="271"/>
      <c r="DU4" s="271" t="s">
        <v>132</v>
      </c>
      <c r="DV4" s="271"/>
      <c r="DW4" s="271" t="s">
        <v>133</v>
      </c>
      <c r="DX4" s="271"/>
      <c r="DY4" s="252" t="s">
        <v>20</v>
      </c>
      <c r="DZ4" s="252"/>
      <c r="EA4" s="252"/>
      <c r="EB4" s="271" t="s">
        <v>123</v>
      </c>
      <c r="EC4" s="271"/>
      <c r="ED4" s="271" t="s">
        <v>124</v>
      </c>
      <c r="EE4" s="271"/>
      <c r="EF4" s="271" t="s">
        <v>125</v>
      </c>
      <c r="EG4" s="271"/>
      <c r="EH4" s="271" t="s">
        <v>126</v>
      </c>
      <c r="EI4" s="271"/>
      <c r="EJ4" s="271" t="s">
        <v>127</v>
      </c>
      <c r="EK4" s="271"/>
      <c r="EL4" s="271" t="s">
        <v>128</v>
      </c>
      <c r="EM4" s="271"/>
      <c r="EN4" s="271" t="s">
        <v>137</v>
      </c>
      <c r="EO4" s="271"/>
      <c r="EP4" s="271" t="s">
        <v>130</v>
      </c>
      <c r="EQ4" s="271"/>
      <c r="ER4" s="271" t="s">
        <v>131</v>
      </c>
      <c r="ES4" s="271"/>
      <c r="ET4" s="271" t="s">
        <v>132</v>
      </c>
      <c r="EU4" s="271"/>
      <c r="EV4" s="271" t="s">
        <v>133</v>
      </c>
      <c r="EW4" s="271"/>
      <c r="EX4" s="252" t="s">
        <v>20</v>
      </c>
      <c r="EY4" s="252"/>
      <c r="EZ4" s="317"/>
      <c r="FA4" s="345" t="s">
        <v>33</v>
      </c>
      <c r="FB4" s="272"/>
      <c r="FC4" s="272" t="s">
        <v>34</v>
      </c>
      <c r="FD4" s="272"/>
      <c r="FE4" s="272" t="s">
        <v>39</v>
      </c>
      <c r="FF4" s="272"/>
      <c r="FG4" s="272" t="s">
        <v>36</v>
      </c>
      <c r="FH4" s="272"/>
      <c r="FI4" s="272" t="s">
        <v>35</v>
      </c>
      <c r="FJ4" s="272"/>
      <c r="FK4" s="252" t="s">
        <v>20</v>
      </c>
      <c r="FL4" s="252"/>
      <c r="FM4" s="252"/>
      <c r="FN4" s="272" t="s">
        <v>34</v>
      </c>
      <c r="FO4" s="272"/>
      <c r="FP4" s="272" t="s">
        <v>39</v>
      </c>
      <c r="FQ4" s="272"/>
      <c r="FR4" s="272" t="s">
        <v>36</v>
      </c>
      <c r="FS4" s="272"/>
      <c r="FT4" s="272" t="s">
        <v>35</v>
      </c>
      <c r="FU4" s="272"/>
      <c r="FV4" s="272" t="s">
        <v>37</v>
      </c>
      <c r="FW4" s="272"/>
      <c r="FX4" s="252" t="s">
        <v>20</v>
      </c>
      <c r="FY4" s="252"/>
      <c r="FZ4" s="252"/>
      <c r="GA4" s="272" t="s">
        <v>39</v>
      </c>
      <c r="GB4" s="272"/>
      <c r="GC4" s="272" t="s">
        <v>36</v>
      </c>
      <c r="GD4" s="272"/>
      <c r="GE4" s="272" t="s">
        <v>35</v>
      </c>
      <c r="GF4" s="272"/>
      <c r="GG4" s="272" t="s">
        <v>37</v>
      </c>
      <c r="GH4" s="272"/>
      <c r="GI4" s="272" t="s">
        <v>38</v>
      </c>
      <c r="GJ4" s="272"/>
      <c r="GK4" s="252" t="s">
        <v>20</v>
      </c>
      <c r="GL4" s="252"/>
      <c r="GM4" s="252"/>
      <c r="GN4" s="252" t="s">
        <v>33</v>
      </c>
      <c r="GO4" s="252"/>
      <c r="GP4" s="252" t="s">
        <v>34</v>
      </c>
      <c r="GQ4" s="252"/>
      <c r="GR4" s="252" t="s">
        <v>39</v>
      </c>
      <c r="GS4" s="252"/>
      <c r="GT4" s="252" t="s">
        <v>36</v>
      </c>
      <c r="GU4" s="252"/>
      <c r="GV4" s="252" t="s">
        <v>35</v>
      </c>
      <c r="GW4" s="252"/>
      <c r="GX4" s="252" t="s">
        <v>37</v>
      </c>
      <c r="GY4" s="252"/>
      <c r="GZ4" s="252" t="s">
        <v>147</v>
      </c>
      <c r="HA4" s="252"/>
      <c r="HB4" s="252" t="s">
        <v>20</v>
      </c>
      <c r="HC4" s="252"/>
      <c r="HD4" s="252"/>
      <c r="HE4" s="271" t="s">
        <v>148</v>
      </c>
      <c r="HF4" s="271"/>
      <c r="HG4" s="271"/>
      <c r="HH4" s="271" t="s">
        <v>149</v>
      </c>
      <c r="HI4" s="271"/>
      <c r="HJ4" s="271"/>
      <c r="HK4" s="271" t="s">
        <v>150</v>
      </c>
      <c r="HL4" s="271"/>
      <c r="HM4" s="271"/>
      <c r="HN4" s="271" t="s">
        <v>151</v>
      </c>
      <c r="HO4" s="271"/>
      <c r="HP4" s="271"/>
      <c r="HQ4" s="271" t="s">
        <v>152</v>
      </c>
      <c r="HR4" s="271"/>
      <c r="HS4" s="271"/>
      <c r="HT4" s="271" t="s">
        <v>153</v>
      </c>
      <c r="HU4" s="271"/>
      <c r="HV4" s="271"/>
      <c r="HW4" s="271" t="s">
        <v>154</v>
      </c>
      <c r="HX4" s="271"/>
      <c r="HY4" s="271"/>
      <c r="HZ4" s="234"/>
      <c r="IA4" s="271" t="s">
        <v>156</v>
      </c>
      <c r="IB4" s="271"/>
      <c r="IC4" s="271"/>
      <c r="ID4" s="271" t="s">
        <v>157</v>
      </c>
      <c r="IE4" s="271"/>
      <c r="IF4" s="271"/>
      <c r="IG4" s="271" t="s">
        <v>158</v>
      </c>
      <c r="IH4" s="271"/>
      <c r="II4" s="271"/>
      <c r="IJ4" s="253" t="s">
        <v>12</v>
      </c>
      <c r="IK4" s="254"/>
      <c r="IL4" s="254"/>
      <c r="IM4" s="255"/>
      <c r="IN4" s="338"/>
      <c r="IO4" s="313"/>
      <c r="IP4" s="313"/>
      <c r="IQ4" s="313"/>
      <c r="IR4" s="270" t="s">
        <v>40</v>
      </c>
      <c r="IS4" s="270"/>
      <c r="IT4" s="270" t="s">
        <v>41</v>
      </c>
      <c r="IU4" s="270"/>
      <c r="IV4" s="270" t="s">
        <v>166</v>
      </c>
      <c r="IW4" s="270"/>
      <c r="IX4" s="270" t="s">
        <v>43</v>
      </c>
      <c r="IY4" s="270"/>
      <c r="IZ4" s="270" t="s">
        <v>20</v>
      </c>
      <c r="JA4" s="270"/>
      <c r="JB4" s="270"/>
      <c r="JC4" s="270" t="s">
        <v>40</v>
      </c>
      <c r="JD4" s="270"/>
      <c r="JE4" s="270" t="s">
        <v>41</v>
      </c>
      <c r="JF4" s="270"/>
      <c r="JG4" s="270" t="s">
        <v>42</v>
      </c>
      <c r="JH4" s="270"/>
      <c r="JI4" s="270" t="s">
        <v>166</v>
      </c>
      <c r="JJ4" s="270"/>
      <c r="JK4" s="270" t="s">
        <v>227</v>
      </c>
      <c r="JL4" s="270"/>
      <c r="JM4" s="270" t="s">
        <v>20</v>
      </c>
      <c r="JN4" s="270"/>
      <c r="JO4" s="270"/>
      <c r="JP4" s="267" t="s">
        <v>40</v>
      </c>
      <c r="JQ4" s="268"/>
      <c r="JR4" s="267" t="s">
        <v>41</v>
      </c>
      <c r="JS4" s="268"/>
      <c r="JT4" s="267" t="s">
        <v>42</v>
      </c>
      <c r="JU4" s="268"/>
      <c r="JV4" s="267" t="s">
        <v>166</v>
      </c>
      <c r="JW4" s="268"/>
      <c r="JX4" s="267" t="s">
        <v>43</v>
      </c>
      <c r="JY4" s="268"/>
      <c r="JZ4" s="267" t="s">
        <v>20</v>
      </c>
      <c r="KA4" s="269"/>
      <c r="KB4" s="268"/>
      <c r="KC4" s="325" t="s">
        <v>48</v>
      </c>
      <c r="KD4" s="327"/>
      <c r="KE4" s="324" t="s">
        <v>49</v>
      </c>
      <c r="KF4" s="324"/>
      <c r="KG4" s="324"/>
      <c r="KH4" s="267" t="s">
        <v>301</v>
      </c>
      <c r="KI4" s="269"/>
      <c r="KJ4" s="269"/>
      <c r="KK4" s="269"/>
      <c r="KL4" s="268"/>
      <c r="KM4" s="325" t="s">
        <v>50</v>
      </c>
      <c r="KN4" s="326"/>
      <c r="KO4" s="327"/>
      <c r="KP4" s="328" t="s">
        <v>51</v>
      </c>
      <c r="KQ4" s="328"/>
      <c r="KR4" s="328"/>
      <c r="KS4" s="328" t="s">
        <v>52</v>
      </c>
      <c r="KT4" s="328"/>
      <c r="KU4" s="328"/>
      <c r="KV4" s="328" t="s">
        <v>53</v>
      </c>
      <c r="KW4" s="328"/>
      <c r="KX4" s="328"/>
      <c r="KY4" s="328" t="s">
        <v>54</v>
      </c>
      <c r="KZ4" s="328"/>
      <c r="LA4" s="328"/>
      <c r="LB4" s="328"/>
      <c r="LC4" s="328"/>
      <c r="LD4" s="328"/>
      <c r="LE4" s="346"/>
      <c r="LF4" s="346"/>
      <c r="LG4" s="346"/>
      <c r="LH4" s="346"/>
      <c r="LI4" s="334"/>
      <c r="LJ4" s="335"/>
      <c r="LK4" s="334"/>
      <c r="LL4" s="335"/>
      <c r="LM4" s="328"/>
      <c r="LN4" s="328"/>
      <c r="LO4" s="264"/>
      <c r="LP4" s="265"/>
      <c r="LQ4" s="265"/>
      <c r="LR4" s="265"/>
      <c r="LS4" s="266"/>
      <c r="LT4" s="264"/>
      <c r="LU4" s="265"/>
      <c r="LV4" s="266"/>
      <c r="LW4" s="334"/>
      <c r="LX4" s="335"/>
      <c r="LY4" s="330"/>
      <c r="LZ4" s="328" t="s">
        <v>55</v>
      </c>
      <c r="MA4" s="328"/>
      <c r="MB4" s="328" t="s">
        <v>56</v>
      </c>
      <c r="MC4" s="328"/>
      <c r="MD4" s="328" t="s">
        <v>57</v>
      </c>
      <c r="ME4" s="328"/>
      <c r="MF4" s="328" t="s">
        <v>58</v>
      </c>
      <c r="MG4" s="328"/>
      <c r="MH4" s="328" t="s">
        <v>59</v>
      </c>
      <c r="MI4" s="328"/>
      <c r="MJ4" s="328" t="s">
        <v>60</v>
      </c>
      <c r="MK4" s="328"/>
      <c r="ML4" s="328" t="s">
        <v>61</v>
      </c>
      <c r="MM4" s="328"/>
      <c r="MN4" s="328" t="s">
        <v>62</v>
      </c>
      <c r="MO4" s="328"/>
    </row>
    <row r="5" spans="1:369" s="238" customFormat="1" ht="57.75" customHeight="1" thickBot="1" x14ac:dyDescent="0.25">
      <c r="A5" s="101" t="s">
        <v>63</v>
      </c>
      <c r="B5" s="101" t="s">
        <v>64</v>
      </c>
      <c r="C5" s="101" t="s">
        <v>65</v>
      </c>
      <c r="D5" s="101" t="s">
        <v>66</v>
      </c>
      <c r="E5" s="101" t="s">
        <v>67</v>
      </c>
      <c r="F5" s="101" t="s">
        <v>120</v>
      </c>
      <c r="G5" s="101" t="s">
        <v>121</v>
      </c>
      <c r="H5" s="101" t="s">
        <v>68</v>
      </c>
      <c r="I5" s="101" t="s">
        <v>69</v>
      </c>
      <c r="J5" s="101" t="s">
        <v>70</v>
      </c>
      <c r="K5" s="101" t="s">
        <v>71</v>
      </c>
      <c r="L5" s="101" t="s">
        <v>72</v>
      </c>
      <c r="M5" s="101" t="s">
        <v>73</v>
      </c>
      <c r="N5" s="101" t="s">
        <v>74</v>
      </c>
      <c r="O5" s="52" t="s">
        <v>75</v>
      </c>
      <c r="P5" s="101" t="s">
        <v>76</v>
      </c>
      <c r="Q5" s="101" t="s">
        <v>77</v>
      </c>
      <c r="R5" s="52" t="s">
        <v>78</v>
      </c>
      <c r="S5" s="52" t="s">
        <v>79</v>
      </c>
      <c r="T5" s="52" t="s">
        <v>80</v>
      </c>
      <c r="U5" s="52" t="s">
        <v>81</v>
      </c>
      <c r="V5" s="102" t="s">
        <v>82</v>
      </c>
      <c r="W5" s="102" t="s">
        <v>83</v>
      </c>
      <c r="X5" s="103" t="s">
        <v>68</v>
      </c>
      <c r="Y5" s="103" t="s">
        <v>69</v>
      </c>
      <c r="Z5" s="103" t="s">
        <v>68</v>
      </c>
      <c r="AA5" s="103" t="s">
        <v>69</v>
      </c>
      <c r="AB5" s="103" t="s">
        <v>68</v>
      </c>
      <c r="AC5" s="103" t="s">
        <v>69</v>
      </c>
      <c r="AD5" s="103" t="s">
        <v>68</v>
      </c>
      <c r="AE5" s="103" t="s">
        <v>69</v>
      </c>
      <c r="AF5" s="103" t="s">
        <v>68</v>
      </c>
      <c r="AG5" s="103" t="s">
        <v>69</v>
      </c>
      <c r="AH5" s="103" t="s">
        <v>68</v>
      </c>
      <c r="AI5" s="103" t="s">
        <v>69</v>
      </c>
      <c r="AJ5" s="103" t="s">
        <v>68</v>
      </c>
      <c r="AK5" s="103" t="s">
        <v>69</v>
      </c>
      <c r="AL5" s="104" t="s">
        <v>20</v>
      </c>
      <c r="AM5" s="105" t="s">
        <v>68</v>
      </c>
      <c r="AN5" s="106" t="s">
        <v>69</v>
      </c>
      <c r="AO5" s="106" t="s">
        <v>68</v>
      </c>
      <c r="AP5" s="106" t="s">
        <v>69</v>
      </c>
      <c r="AQ5" s="106" t="s">
        <v>68</v>
      </c>
      <c r="AR5" s="106" t="s">
        <v>69</v>
      </c>
      <c r="AS5" s="106" t="s">
        <v>68</v>
      </c>
      <c r="AT5" s="106" t="s">
        <v>69</v>
      </c>
      <c r="AU5" s="106" t="s">
        <v>68</v>
      </c>
      <c r="AV5" s="106" t="s">
        <v>69</v>
      </c>
      <c r="AW5" s="106" t="s">
        <v>68</v>
      </c>
      <c r="AX5" s="106" t="s">
        <v>69</v>
      </c>
      <c r="AY5" s="107" t="s">
        <v>20</v>
      </c>
      <c r="AZ5" s="105" t="s">
        <v>68</v>
      </c>
      <c r="BA5" s="106" t="s">
        <v>69</v>
      </c>
      <c r="BB5" s="106" t="s">
        <v>68</v>
      </c>
      <c r="BC5" s="106" t="s">
        <v>69</v>
      </c>
      <c r="BD5" s="106" t="s">
        <v>68</v>
      </c>
      <c r="BE5" s="106" t="s">
        <v>69</v>
      </c>
      <c r="BF5" s="106" t="s">
        <v>68</v>
      </c>
      <c r="BG5" s="106" t="s">
        <v>69</v>
      </c>
      <c r="BH5" s="106" t="s">
        <v>68</v>
      </c>
      <c r="BI5" s="106" t="s">
        <v>69</v>
      </c>
      <c r="BJ5" s="106" t="s">
        <v>68</v>
      </c>
      <c r="BK5" s="106" t="s">
        <v>69</v>
      </c>
      <c r="BL5" s="106" t="s">
        <v>68</v>
      </c>
      <c r="BM5" s="106" t="s">
        <v>69</v>
      </c>
      <c r="BN5" s="106" t="s">
        <v>20</v>
      </c>
      <c r="BO5" s="106" t="s">
        <v>68</v>
      </c>
      <c r="BP5" s="106" t="s">
        <v>69</v>
      </c>
      <c r="BQ5" s="106" t="s">
        <v>68</v>
      </c>
      <c r="BR5" s="106" t="s">
        <v>69</v>
      </c>
      <c r="BS5" s="106" t="s">
        <v>68</v>
      </c>
      <c r="BT5" s="106" t="s">
        <v>69</v>
      </c>
      <c r="BU5" s="106" t="s">
        <v>68</v>
      </c>
      <c r="BV5" s="106" t="s">
        <v>69</v>
      </c>
      <c r="BW5" s="106" t="s">
        <v>68</v>
      </c>
      <c r="BX5" s="106" t="s">
        <v>69</v>
      </c>
      <c r="BY5" s="106" t="s">
        <v>68</v>
      </c>
      <c r="BZ5" s="106" t="s">
        <v>69</v>
      </c>
      <c r="CA5" s="106" t="s">
        <v>20</v>
      </c>
      <c r="CB5" s="106" t="s">
        <v>68</v>
      </c>
      <c r="CC5" s="106" t="s">
        <v>69</v>
      </c>
      <c r="CD5" s="106" t="s">
        <v>68</v>
      </c>
      <c r="CE5" s="106" t="s">
        <v>69</v>
      </c>
      <c r="CF5" s="106" t="s">
        <v>68</v>
      </c>
      <c r="CG5" s="106" t="s">
        <v>69</v>
      </c>
      <c r="CH5" s="106" t="s">
        <v>68</v>
      </c>
      <c r="CI5" s="106" t="s">
        <v>69</v>
      </c>
      <c r="CJ5" s="106" t="s">
        <v>68</v>
      </c>
      <c r="CK5" s="106" t="s">
        <v>69</v>
      </c>
      <c r="CL5" s="106" t="s">
        <v>68</v>
      </c>
      <c r="CM5" s="106" t="s">
        <v>69</v>
      </c>
      <c r="CN5" s="106" t="s">
        <v>20</v>
      </c>
      <c r="CO5" s="106" t="s">
        <v>68</v>
      </c>
      <c r="CP5" s="106" t="s">
        <v>69</v>
      </c>
      <c r="CQ5" s="106" t="s">
        <v>68</v>
      </c>
      <c r="CR5" s="106" t="s">
        <v>69</v>
      </c>
      <c r="CS5" s="106" t="s">
        <v>68</v>
      </c>
      <c r="CT5" s="106" t="s">
        <v>69</v>
      </c>
      <c r="CU5" s="106" t="s">
        <v>68</v>
      </c>
      <c r="CV5" s="106" t="s">
        <v>69</v>
      </c>
      <c r="CW5" s="106" t="s">
        <v>68</v>
      </c>
      <c r="CX5" s="106" t="s">
        <v>69</v>
      </c>
      <c r="CY5" s="106" t="s">
        <v>68</v>
      </c>
      <c r="CZ5" s="106" t="s">
        <v>69</v>
      </c>
      <c r="DA5" s="106" t="s">
        <v>20</v>
      </c>
      <c r="DB5" s="108" t="s">
        <v>68</v>
      </c>
      <c r="DC5" s="109" t="s">
        <v>69</v>
      </c>
      <c r="DD5" s="109" t="s">
        <v>68</v>
      </c>
      <c r="DE5" s="109" t="s">
        <v>69</v>
      </c>
      <c r="DF5" s="109" t="s">
        <v>68</v>
      </c>
      <c r="DG5" s="109" t="s">
        <v>69</v>
      </c>
      <c r="DH5" s="109" t="s">
        <v>68</v>
      </c>
      <c r="DI5" s="109" t="s">
        <v>69</v>
      </c>
      <c r="DJ5" s="109" t="s">
        <v>68</v>
      </c>
      <c r="DK5" s="109" t="s">
        <v>69</v>
      </c>
      <c r="DL5" s="109" t="s">
        <v>68</v>
      </c>
      <c r="DM5" s="109" t="s">
        <v>69</v>
      </c>
      <c r="DN5" s="109" t="s">
        <v>20</v>
      </c>
      <c r="DO5" s="109" t="s">
        <v>68</v>
      </c>
      <c r="DP5" s="109" t="s">
        <v>69</v>
      </c>
      <c r="DQ5" s="109" t="s">
        <v>68</v>
      </c>
      <c r="DR5" s="109" t="s">
        <v>69</v>
      </c>
      <c r="DS5" s="109" t="s">
        <v>68</v>
      </c>
      <c r="DT5" s="109" t="s">
        <v>69</v>
      </c>
      <c r="DU5" s="109" t="s">
        <v>68</v>
      </c>
      <c r="DV5" s="109" t="s">
        <v>69</v>
      </c>
      <c r="DW5" s="109" t="s">
        <v>68</v>
      </c>
      <c r="DX5" s="109" t="s">
        <v>69</v>
      </c>
      <c r="DY5" s="109" t="s">
        <v>68</v>
      </c>
      <c r="DZ5" s="109" t="s">
        <v>69</v>
      </c>
      <c r="EA5" s="109" t="s">
        <v>20</v>
      </c>
      <c r="EB5" s="109" t="s">
        <v>68</v>
      </c>
      <c r="EC5" s="109" t="s">
        <v>69</v>
      </c>
      <c r="ED5" s="109" t="s">
        <v>68</v>
      </c>
      <c r="EE5" s="109" t="s">
        <v>69</v>
      </c>
      <c r="EF5" s="109" t="s">
        <v>68</v>
      </c>
      <c r="EG5" s="109" t="s">
        <v>69</v>
      </c>
      <c r="EH5" s="109" t="s">
        <v>68</v>
      </c>
      <c r="EI5" s="109" t="s">
        <v>69</v>
      </c>
      <c r="EJ5" s="109" t="s">
        <v>68</v>
      </c>
      <c r="EK5" s="109" t="s">
        <v>69</v>
      </c>
      <c r="EL5" s="109" t="s">
        <v>68</v>
      </c>
      <c r="EM5" s="109" t="s">
        <v>69</v>
      </c>
      <c r="EN5" s="109" t="s">
        <v>68</v>
      </c>
      <c r="EO5" s="109" t="s">
        <v>69</v>
      </c>
      <c r="EP5" s="109" t="s">
        <v>68</v>
      </c>
      <c r="EQ5" s="109" t="s">
        <v>69</v>
      </c>
      <c r="ER5" s="109" t="s">
        <v>68</v>
      </c>
      <c r="ES5" s="109" t="s">
        <v>69</v>
      </c>
      <c r="ET5" s="109" t="s">
        <v>68</v>
      </c>
      <c r="EU5" s="109" t="s">
        <v>69</v>
      </c>
      <c r="EV5" s="109" t="s">
        <v>68</v>
      </c>
      <c r="EW5" s="109" t="s">
        <v>69</v>
      </c>
      <c r="EX5" s="109" t="s">
        <v>68</v>
      </c>
      <c r="EY5" s="109" t="s">
        <v>69</v>
      </c>
      <c r="EZ5" s="231" t="s">
        <v>20</v>
      </c>
      <c r="FA5" s="110" t="s">
        <v>68</v>
      </c>
      <c r="FB5" s="109" t="s">
        <v>69</v>
      </c>
      <c r="FC5" s="109" t="s">
        <v>68</v>
      </c>
      <c r="FD5" s="109" t="s">
        <v>69</v>
      </c>
      <c r="FE5" s="109" t="s">
        <v>68</v>
      </c>
      <c r="FF5" s="109" t="s">
        <v>69</v>
      </c>
      <c r="FG5" s="109" t="s">
        <v>68</v>
      </c>
      <c r="FH5" s="109" t="s">
        <v>69</v>
      </c>
      <c r="FI5" s="109" t="s">
        <v>68</v>
      </c>
      <c r="FJ5" s="109" t="s">
        <v>69</v>
      </c>
      <c r="FK5" s="109" t="s">
        <v>68</v>
      </c>
      <c r="FL5" s="109" t="s">
        <v>69</v>
      </c>
      <c r="FM5" s="109" t="s">
        <v>20</v>
      </c>
      <c r="FN5" s="109" t="s">
        <v>68</v>
      </c>
      <c r="FO5" s="109" t="s">
        <v>69</v>
      </c>
      <c r="FP5" s="109" t="s">
        <v>68</v>
      </c>
      <c r="FQ5" s="109" t="s">
        <v>69</v>
      </c>
      <c r="FR5" s="109" t="s">
        <v>68</v>
      </c>
      <c r="FS5" s="109" t="s">
        <v>69</v>
      </c>
      <c r="FT5" s="109" t="s">
        <v>68</v>
      </c>
      <c r="FU5" s="109" t="s">
        <v>69</v>
      </c>
      <c r="FV5" s="109" t="s">
        <v>68</v>
      </c>
      <c r="FW5" s="109" t="s">
        <v>69</v>
      </c>
      <c r="FX5" s="109" t="s">
        <v>68</v>
      </c>
      <c r="FY5" s="109" t="s">
        <v>69</v>
      </c>
      <c r="FZ5" s="109" t="s">
        <v>20</v>
      </c>
      <c r="GA5" s="109" t="s">
        <v>68</v>
      </c>
      <c r="GB5" s="109" t="s">
        <v>69</v>
      </c>
      <c r="GC5" s="109" t="s">
        <v>68</v>
      </c>
      <c r="GD5" s="109" t="s">
        <v>69</v>
      </c>
      <c r="GE5" s="109" t="s">
        <v>68</v>
      </c>
      <c r="GF5" s="109" t="s">
        <v>69</v>
      </c>
      <c r="GG5" s="109" t="s">
        <v>68</v>
      </c>
      <c r="GH5" s="109" t="s">
        <v>69</v>
      </c>
      <c r="GI5" s="109" t="s">
        <v>68</v>
      </c>
      <c r="GJ5" s="109" t="s">
        <v>69</v>
      </c>
      <c r="GK5" s="109" t="s">
        <v>68</v>
      </c>
      <c r="GL5" s="109" t="s">
        <v>69</v>
      </c>
      <c r="GM5" s="109" t="s">
        <v>20</v>
      </c>
      <c r="GN5" s="109" t="s">
        <v>68</v>
      </c>
      <c r="GO5" s="109" t="s">
        <v>69</v>
      </c>
      <c r="GP5" s="109" t="s">
        <v>68</v>
      </c>
      <c r="GQ5" s="109" t="s">
        <v>69</v>
      </c>
      <c r="GR5" s="109" t="s">
        <v>68</v>
      </c>
      <c r="GS5" s="109" t="s">
        <v>69</v>
      </c>
      <c r="GT5" s="109" t="s">
        <v>68</v>
      </c>
      <c r="GU5" s="109" t="s">
        <v>69</v>
      </c>
      <c r="GV5" s="109" t="s">
        <v>68</v>
      </c>
      <c r="GW5" s="109" t="s">
        <v>69</v>
      </c>
      <c r="GX5" s="109" t="s">
        <v>68</v>
      </c>
      <c r="GY5" s="109" t="s">
        <v>69</v>
      </c>
      <c r="GZ5" s="109" t="s">
        <v>68</v>
      </c>
      <c r="HA5" s="109" t="s">
        <v>69</v>
      </c>
      <c r="HB5" s="109" t="s">
        <v>68</v>
      </c>
      <c r="HC5" s="109" t="s">
        <v>69</v>
      </c>
      <c r="HD5" s="109" t="s">
        <v>20</v>
      </c>
      <c r="HE5" s="106" t="s">
        <v>68</v>
      </c>
      <c r="HF5" s="106" t="s">
        <v>69</v>
      </c>
      <c r="HG5" s="106" t="s">
        <v>70</v>
      </c>
      <c r="HH5" s="106" t="s">
        <v>68</v>
      </c>
      <c r="HI5" s="106" t="s">
        <v>69</v>
      </c>
      <c r="HJ5" s="106" t="s">
        <v>70</v>
      </c>
      <c r="HK5" s="106" t="s">
        <v>68</v>
      </c>
      <c r="HL5" s="106" t="s">
        <v>69</v>
      </c>
      <c r="HM5" s="106" t="s">
        <v>70</v>
      </c>
      <c r="HN5" s="106" t="s">
        <v>68</v>
      </c>
      <c r="HO5" s="106" t="s">
        <v>69</v>
      </c>
      <c r="HP5" s="106" t="s">
        <v>70</v>
      </c>
      <c r="HQ5" s="106" t="s">
        <v>68</v>
      </c>
      <c r="HR5" s="106" t="s">
        <v>69</v>
      </c>
      <c r="HS5" s="106" t="s">
        <v>70</v>
      </c>
      <c r="HT5" s="106" t="s">
        <v>68</v>
      </c>
      <c r="HU5" s="106" t="s">
        <v>69</v>
      </c>
      <c r="HV5" s="106" t="s">
        <v>70</v>
      </c>
      <c r="HW5" s="106" t="s">
        <v>68</v>
      </c>
      <c r="HX5" s="106" t="s">
        <v>69</v>
      </c>
      <c r="HY5" s="106" t="s">
        <v>70</v>
      </c>
      <c r="HZ5" s="106" t="s">
        <v>20</v>
      </c>
      <c r="IA5" s="106" t="s">
        <v>68</v>
      </c>
      <c r="IB5" s="106" t="s">
        <v>69</v>
      </c>
      <c r="IC5" s="106" t="s">
        <v>70</v>
      </c>
      <c r="ID5" s="106" t="s">
        <v>68</v>
      </c>
      <c r="IE5" s="106" t="s">
        <v>69</v>
      </c>
      <c r="IF5" s="106" t="s">
        <v>70</v>
      </c>
      <c r="IG5" s="106" t="s">
        <v>68</v>
      </c>
      <c r="IH5" s="106" t="s">
        <v>69</v>
      </c>
      <c r="II5" s="106" t="s">
        <v>70</v>
      </c>
      <c r="IJ5" s="106" t="s">
        <v>68</v>
      </c>
      <c r="IK5" s="106" t="s">
        <v>69</v>
      </c>
      <c r="IL5" s="106" t="s">
        <v>70</v>
      </c>
      <c r="IM5" s="241" t="s">
        <v>20</v>
      </c>
      <c r="IN5" s="106" t="s">
        <v>68</v>
      </c>
      <c r="IO5" s="106" t="s">
        <v>69</v>
      </c>
      <c r="IP5" s="106" t="s">
        <v>70</v>
      </c>
      <c r="IQ5" s="241" t="s">
        <v>20</v>
      </c>
      <c r="IR5" s="233" t="s">
        <v>296</v>
      </c>
      <c r="IS5" s="233" t="s">
        <v>85</v>
      </c>
      <c r="IT5" s="233" t="s">
        <v>296</v>
      </c>
      <c r="IU5" s="233" t="s">
        <v>85</v>
      </c>
      <c r="IV5" s="233" t="s">
        <v>296</v>
      </c>
      <c r="IW5" s="233" t="s">
        <v>85</v>
      </c>
      <c r="IX5" s="233" t="s">
        <v>296</v>
      </c>
      <c r="IY5" s="233" t="s">
        <v>85</v>
      </c>
      <c r="IZ5" s="233" t="s">
        <v>296</v>
      </c>
      <c r="JA5" s="233" t="s">
        <v>85</v>
      </c>
      <c r="JB5" s="233" t="s">
        <v>20</v>
      </c>
      <c r="JC5" s="233" t="s">
        <v>296</v>
      </c>
      <c r="JD5" s="233" t="s">
        <v>85</v>
      </c>
      <c r="JE5" s="233" t="s">
        <v>296</v>
      </c>
      <c r="JF5" s="233" t="s">
        <v>85</v>
      </c>
      <c r="JG5" s="233" t="s">
        <v>296</v>
      </c>
      <c r="JH5" s="233" t="s">
        <v>85</v>
      </c>
      <c r="JI5" s="233" t="s">
        <v>296</v>
      </c>
      <c r="JJ5" s="233" t="s">
        <v>85</v>
      </c>
      <c r="JK5" s="233" t="s">
        <v>296</v>
      </c>
      <c r="JL5" s="233" t="s">
        <v>85</v>
      </c>
      <c r="JM5" s="233" t="s">
        <v>296</v>
      </c>
      <c r="JN5" s="233" t="s">
        <v>85</v>
      </c>
      <c r="JO5" s="233" t="s">
        <v>20</v>
      </c>
      <c r="JP5" s="111" t="s">
        <v>84</v>
      </c>
      <c r="JQ5" s="111" t="s">
        <v>85</v>
      </c>
      <c r="JR5" s="111" t="s">
        <v>84</v>
      </c>
      <c r="JS5" s="111" t="s">
        <v>85</v>
      </c>
      <c r="JT5" s="111" t="s">
        <v>84</v>
      </c>
      <c r="JU5" s="111" t="s">
        <v>85</v>
      </c>
      <c r="JV5" s="111" t="s">
        <v>84</v>
      </c>
      <c r="JW5" s="111" t="s">
        <v>85</v>
      </c>
      <c r="JX5" s="111" t="s">
        <v>84</v>
      </c>
      <c r="JY5" s="111" t="s">
        <v>85</v>
      </c>
      <c r="JZ5" s="111" t="s">
        <v>84</v>
      </c>
      <c r="KA5" s="111" t="s">
        <v>85</v>
      </c>
      <c r="KB5" s="111" t="s">
        <v>20</v>
      </c>
      <c r="KC5" s="242" t="s">
        <v>86</v>
      </c>
      <c r="KD5" s="242" t="s">
        <v>87</v>
      </c>
      <c r="KE5" s="242" t="s">
        <v>88</v>
      </c>
      <c r="KF5" s="242" t="s">
        <v>89</v>
      </c>
      <c r="KG5" s="242" t="s">
        <v>90</v>
      </c>
      <c r="KH5" s="112" t="s">
        <v>302</v>
      </c>
      <c r="KI5" s="112" t="s">
        <v>306</v>
      </c>
      <c r="KJ5" s="112" t="s">
        <v>303</v>
      </c>
      <c r="KK5" s="112" t="s">
        <v>304</v>
      </c>
      <c r="KL5" s="112" t="s">
        <v>305</v>
      </c>
      <c r="KM5" s="112" t="s">
        <v>91</v>
      </c>
      <c r="KN5" s="124" t="s">
        <v>92</v>
      </c>
      <c r="KO5" s="112" t="s">
        <v>20</v>
      </c>
      <c r="KP5" s="240" t="s">
        <v>93</v>
      </c>
      <c r="KQ5" s="240" t="s">
        <v>94</v>
      </c>
      <c r="KR5" s="111" t="s">
        <v>95</v>
      </c>
      <c r="KS5" s="242" t="s">
        <v>96</v>
      </c>
      <c r="KT5" s="242" t="s">
        <v>97</v>
      </c>
      <c r="KU5" s="242" t="s">
        <v>98</v>
      </c>
      <c r="KV5" s="242" t="s">
        <v>99</v>
      </c>
      <c r="KW5" s="163" t="s">
        <v>100</v>
      </c>
      <c r="KX5" s="242" t="s">
        <v>101</v>
      </c>
      <c r="KY5" s="163" t="s">
        <v>102</v>
      </c>
      <c r="KZ5" s="242" t="s">
        <v>316</v>
      </c>
      <c r="LA5" s="242" t="s">
        <v>315</v>
      </c>
      <c r="LB5" s="242" t="s">
        <v>320</v>
      </c>
      <c r="LC5" s="242" t="s">
        <v>103</v>
      </c>
      <c r="LD5" s="242" t="s">
        <v>19</v>
      </c>
      <c r="LE5" s="242" t="s">
        <v>82</v>
      </c>
      <c r="LF5" s="242" t="s">
        <v>83</v>
      </c>
      <c r="LG5" s="242" t="s">
        <v>104</v>
      </c>
      <c r="LH5" s="242" t="s">
        <v>83</v>
      </c>
      <c r="LI5" s="242" t="s">
        <v>82</v>
      </c>
      <c r="LJ5" s="242" t="s">
        <v>83</v>
      </c>
      <c r="LK5" s="242" t="s">
        <v>82</v>
      </c>
      <c r="LL5" s="242" t="s">
        <v>83</v>
      </c>
      <c r="LM5" s="111" t="s">
        <v>82</v>
      </c>
      <c r="LN5" s="111" t="s">
        <v>83</v>
      </c>
      <c r="LO5" s="111" t="s">
        <v>40</v>
      </c>
      <c r="LP5" s="111" t="s">
        <v>41</v>
      </c>
      <c r="LQ5" s="240" t="s">
        <v>105</v>
      </c>
      <c r="LR5" s="240" t="s">
        <v>44</v>
      </c>
      <c r="LS5" s="240" t="s">
        <v>106</v>
      </c>
      <c r="LT5" s="240" t="s">
        <v>107</v>
      </c>
      <c r="LU5" s="111" t="s">
        <v>108</v>
      </c>
      <c r="LV5" s="111" t="s">
        <v>109</v>
      </c>
      <c r="LW5" s="111" t="s">
        <v>110</v>
      </c>
      <c r="LX5" s="240" t="s">
        <v>111</v>
      </c>
      <c r="LY5" s="331"/>
      <c r="LZ5" s="239" t="s">
        <v>82</v>
      </c>
      <c r="MA5" s="239" t="s">
        <v>83</v>
      </c>
      <c r="MB5" s="239" t="s">
        <v>82</v>
      </c>
      <c r="MC5" s="239" t="s">
        <v>83</v>
      </c>
      <c r="MD5" s="239" t="s">
        <v>82</v>
      </c>
      <c r="ME5" s="239" t="s">
        <v>83</v>
      </c>
      <c r="MF5" s="239" t="s">
        <v>82</v>
      </c>
      <c r="MG5" s="239" t="s">
        <v>83</v>
      </c>
      <c r="MH5" s="239" t="s">
        <v>82</v>
      </c>
      <c r="MI5" s="239" t="s">
        <v>83</v>
      </c>
      <c r="MJ5" s="239" t="s">
        <v>82</v>
      </c>
      <c r="MK5" s="239" t="s">
        <v>83</v>
      </c>
      <c r="ML5" s="239" t="s">
        <v>82</v>
      </c>
      <c r="MM5" s="239" t="s">
        <v>83</v>
      </c>
      <c r="MN5" s="239" t="s">
        <v>82</v>
      </c>
      <c r="MO5" s="239" t="s">
        <v>83</v>
      </c>
    </row>
    <row r="6" spans="1:369" s="49" customFormat="1" ht="21" customHeight="1" thickTop="1" thickBot="1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7"/>
      <c r="AM6" s="38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40"/>
      <c r="AZ6" s="38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41"/>
      <c r="DC6" s="42"/>
      <c r="DD6" s="42"/>
      <c r="DE6" s="42"/>
      <c r="DF6" s="42"/>
      <c r="DG6" s="42"/>
      <c r="DH6" s="42"/>
      <c r="DI6" s="42"/>
      <c r="DJ6" s="42"/>
      <c r="DK6" s="42"/>
      <c r="DL6" s="39"/>
      <c r="DM6" s="39"/>
      <c r="DN6" s="39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39"/>
      <c r="DZ6" s="39"/>
      <c r="EA6" s="39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3"/>
      <c r="FA6" s="44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45"/>
      <c r="IN6" s="39"/>
      <c r="IO6" s="39"/>
      <c r="IP6" s="39"/>
      <c r="IQ6" s="39"/>
      <c r="IR6" s="46"/>
      <c r="IS6" s="46"/>
      <c r="IT6" s="46"/>
      <c r="IU6" s="46"/>
      <c r="IV6" s="46"/>
      <c r="IW6" s="46"/>
      <c r="IX6" s="46"/>
      <c r="IY6" s="46"/>
      <c r="IZ6" s="162"/>
      <c r="JA6" s="162"/>
      <c r="JB6" s="162"/>
      <c r="JC6" s="46"/>
      <c r="JD6" s="46"/>
      <c r="JE6" s="46"/>
      <c r="JF6" s="46"/>
      <c r="JG6" s="46"/>
      <c r="JH6" s="46"/>
      <c r="JI6" s="46"/>
      <c r="JJ6" s="46"/>
      <c r="JK6" s="46"/>
      <c r="JL6" s="46"/>
      <c r="JM6" s="162"/>
      <c r="JN6" s="162"/>
      <c r="JO6" s="162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113"/>
      <c r="KQ6" s="113"/>
      <c r="KR6" s="48"/>
      <c r="KS6" s="48"/>
      <c r="KT6" s="48"/>
      <c r="KU6" s="48"/>
      <c r="KV6" s="48"/>
      <c r="KW6" s="113"/>
      <c r="KX6" s="48"/>
      <c r="KY6" s="113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113"/>
      <c r="LR6" s="113"/>
      <c r="LS6" s="113"/>
      <c r="LT6" s="113"/>
      <c r="LU6" s="48"/>
      <c r="LV6" s="48"/>
      <c r="LW6" s="48"/>
      <c r="LX6" s="113"/>
      <c r="LY6" s="113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</row>
    <row r="7" spans="1:369" s="49" customFormat="1" ht="21" customHeight="1" thickBot="1" x14ac:dyDescent="0.25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7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9"/>
      <c r="AX7" s="39"/>
      <c r="AY7" s="40"/>
      <c r="AZ7" s="38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41"/>
      <c r="DC7" s="42"/>
      <c r="DD7" s="42"/>
      <c r="DE7" s="42"/>
      <c r="DF7" s="42"/>
      <c r="DG7" s="42"/>
      <c r="DH7" s="42"/>
      <c r="DI7" s="42"/>
      <c r="DJ7" s="42"/>
      <c r="DK7" s="42"/>
      <c r="DL7" s="39"/>
      <c r="DM7" s="39"/>
      <c r="DN7" s="39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39"/>
      <c r="DZ7" s="39"/>
      <c r="EA7" s="39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3"/>
      <c r="FA7" s="44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45"/>
      <c r="IN7" s="39"/>
      <c r="IO7" s="39"/>
      <c r="IP7" s="39"/>
      <c r="IQ7" s="39"/>
      <c r="IR7" s="46"/>
      <c r="IS7" s="46"/>
      <c r="IT7" s="46"/>
      <c r="IU7" s="46"/>
      <c r="IV7" s="46"/>
      <c r="IW7" s="46"/>
      <c r="IX7" s="46"/>
      <c r="IY7" s="46"/>
      <c r="IZ7" s="162"/>
      <c r="JA7" s="162"/>
      <c r="JB7" s="162"/>
      <c r="JC7" s="46"/>
      <c r="JD7" s="46"/>
      <c r="JE7" s="46"/>
      <c r="JF7" s="46"/>
      <c r="JG7" s="46"/>
      <c r="JH7" s="46"/>
      <c r="JI7" s="46"/>
      <c r="JJ7" s="46"/>
      <c r="JK7" s="46"/>
      <c r="JL7" s="46"/>
      <c r="JM7" s="162"/>
      <c r="JN7" s="162"/>
      <c r="JO7" s="162"/>
      <c r="JP7" s="48"/>
      <c r="JQ7" s="48"/>
      <c r="JR7" s="48"/>
      <c r="JS7" s="48"/>
      <c r="JT7" s="48"/>
      <c r="JU7" s="48"/>
      <c r="JV7" s="48"/>
      <c r="JW7" s="48"/>
      <c r="JX7" s="48"/>
      <c r="JY7" s="48"/>
      <c r="JZ7" s="48"/>
      <c r="KA7" s="48"/>
      <c r="KB7" s="48"/>
      <c r="KC7" s="48"/>
      <c r="KD7" s="48"/>
      <c r="KE7" s="48"/>
      <c r="KF7" s="48"/>
      <c r="KG7" s="48"/>
      <c r="KH7" s="48"/>
      <c r="KI7" s="48"/>
      <c r="KJ7" s="48"/>
      <c r="KK7" s="48"/>
      <c r="KL7" s="48"/>
      <c r="KM7" s="48"/>
      <c r="KN7" s="48"/>
      <c r="KO7" s="48"/>
      <c r="KP7" s="113"/>
      <c r="KQ7" s="113"/>
      <c r="KR7" s="48"/>
      <c r="KS7" s="48"/>
      <c r="KT7" s="48"/>
      <c r="KU7" s="48"/>
      <c r="KV7" s="48"/>
      <c r="KW7" s="113"/>
      <c r="KX7" s="48"/>
      <c r="KY7" s="113"/>
      <c r="KZ7" s="48"/>
      <c r="LA7" s="48"/>
      <c r="LB7" s="48"/>
      <c r="LC7" s="48"/>
      <c r="LD7" s="48"/>
      <c r="LE7" s="48"/>
      <c r="LF7" s="48"/>
      <c r="LG7" s="48"/>
      <c r="LH7" s="48"/>
      <c r="LI7" s="48"/>
      <c r="LJ7" s="48"/>
      <c r="LK7" s="48"/>
      <c r="LL7" s="48"/>
      <c r="LM7" s="48"/>
      <c r="LN7" s="48"/>
      <c r="LO7" s="48"/>
      <c r="LP7" s="48"/>
      <c r="LQ7" s="113"/>
      <c r="LR7" s="113"/>
      <c r="LS7" s="113"/>
      <c r="LT7" s="113"/>
      <c r="LU7" s="48"/>
      <c r="LV7" s="48"/>
      <c r="LW7" s="48"/>
      <c r="LX7" s="113"/>
      <c r="LY7" s="113"/>
      <c r="LZ7" s="48"/>
      <c r="MA7" s="48"/>
      <c r="MB7" s="48"/>
      <c r="MC7" s="48"/>
      <c r="MD7" s="48"/>
      <c r="ME7" s="48"/>
      <c r="MF7" s="48"/>
      <c r="MG7" s="48"/>
      <c r="MH7" s="48"/>
      <c r="MI7" s="48"/>
      <c r="MJ7" s="48"/>
      <c r="MK7" s="48"/>
      <c r="ML7" s="48"/>
      <c r="MM7" s="48"/>
      <c r="MN7" s="48"/>
      <c r="MO7" s="48"/>
      <c r="MP7" s="48"/>
      <c r="MQ7" s="48"/>
      <c r="MR7" s="48"/>
      <c r="MS7" s="48"/>
      <c r="MT7" s="48"/>
      <c r="MU7" s="48"/>
      <c r="MV7" s="48"/>
      <c r="MW7" s="48"/>
      <c r="MX7" s="48"/>
      <c r="MY7" s="48"/>
      <c r="MZ7" s="48"/>
      <c r="NA7" s="48"/>
      <c r="NB7" s="48"/>
      <c r="NC7" s="48"/>
      <c r="ND7" s="48"/>
      <c r="NE7" s="48"/>
    </row>
    <row r="8" spans="1:369" s="49" customFormat="1" ht="21" customHeight="1" x14ac:dyDescent="0.2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7"/>
      <c r="AM8" s="38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40"/>
      <c r="AZ8" s="38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41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  <c r="EY8" s="42"/>
      <c r="EZ8" s="43"/>
      <c r="FA8" s="44"/>
      <c r="FB8" s="42"/>
      <c r="FC8" s="42"/>
      <c r="FD8" s="42"/>
      <c r="FE8" s="42"/>
      <c r="FF8" s="42"/>
      <c r="FG8" s="42"/>
      <c r="FH8" s="42"/>
      <c r="FI8" s="42"/>
      <c r="FJ8" s="42"/>
      <c r="FK8" s="42"/>
      <c r="FL8" s="42"/>
      <c r="FM8" s="42"/>
      <c r="FN8" s="42"/>
      <c r="FO8" s="42"/>
      <c r="FP8" s="42"/>
      <c r="FQ8" s="42"/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45"/>
      <c r="IN8" s="39"/>
      <c r="IO8" s="39"/>
      <c r="IP8" s="39"/>
      <c r="IQ8" s="39"/>
      <c r="IR8" s="47"/>
      <c r="IS8" s="47"/>
      <c r="IT8" s="47"/>
      <c r="IU8" s="47"/>
      <c r="IV8" s="47"/>
      <c r="IW8" s="47"/>
      <c r="IX8" s="47"/>
      <c r="IY8" s="47"/>
      <c r="IZ8" s="47"/>
      <c r="JA8" s="47"/>
      <c r="JB8" s="47"/>
      <c r="JC8" s="47"/>
      <c r="JD8" s="47"/>
      <c r="JE8" s="47"/>
      <c r="JF8" s="47"/>
      <c r="JG8" s="47"/>
      <c r="JH8" s="47"/>
      <c r="JI8" s="47"/>
      <c r="JJ8" s="47"/>
      <c r="JK8" s="47"/>
      <c r="JL8" s="47"/>
      <c r="JM8" s="47"/>
      <c r="JN8" s="47"/>
      <c r="JO8" s="47"/>
      <c r="JP8" s="48"/>
      <c r="JQ8" s="48"/>
      <c r="JR8" s="48"/>
      <c r="JS8" s="48"/>
      <c r="JT8" s="48"/>
      <c r="JU8" s="48"/>
      <c r="JV8" s="48"/>
      <c r="JW8" s="48"/>
      <c r="JX8" s="48"/>
      <c r="JY8" s="48"/>
      <c r="JZ8" s="48"/>
      <c r="KA8" s="48"/>
      <c r="KB8" s="48"/>
      <c r="KC8" s="48"/>
      <c r="KD8" s="48"/>
      <c r="KE8" s="48"/>
      <c r="KF8" s="48"/>
      <c r="KG8" s="48"/>
      <c r="KH8" s="48"/>
      <c r="KI8" s="48"/>
      <c r="KJ8" s="48"/>
      <c r="KK8" s="48"/>
      <c r="KL8" s="48"/>
      <c r="KM8" s="48"/>
      <c r="KN8" s="48"/>
      <c r="KO8" s="48"/>
      <c r="KP8" s="113"/>
      <c r="KQ8" s="113"/>
      <c r="KR8" s="48"/>
      <c r="KS8" s="48"/>
      <c r="KT8" s="48"/>
      <c r="KU8" s="48"/>
      <c r="KV8" s="48"/>
      <c r="KW8" s="113"/>
      <c r="KX8" s="48"/>
      <c r="KY8" s="113"/>
      <c r="KZ8" s="48"/>
      <c r="LA8" s="48"/>
      <c r="LB8" s="48"/>
      <c r="LC8" s="48"/>
      <c r="LD8" s="48"/>
      <c r="LE8" s="48"/>
      <c r="LF8" s="48"/>
      <c r="LG8" s="48"/>
      <c r="LH8" s="48"/>
      <c r="LI8" s="48"/>
      <c r="LJ8" s="48"/>
      <c r="LK8" s="48"/>
      <c r="LL8" s="48"/>
      <c r="LM8" s="48"/>
      <c r="LN8" s="48"/>
      <c r="LO8" s="48"/>
      <c r="LP8" s="48"/>
      <c r="LQ8" s="113"/>
      <c r="LR8" s="113"/>
      <c r="LS8" s="113"/>
      <c r="LT8" s="113"/>
      <c r="LU8" s="48"/>
      <c r="LV8" s="48"/>
      <c r="LW8" s="48"/>
      <c r="LX8" s="113"/>
      <c r="LY8" s="113"/>
      <c r="LZ8" s="48"/>
      <c r="MA8" s="48"/>
      <c r="MB8" s="48"/>
      <c r="MC8" s="48"/>
      <c r="MD8" s="48"/>
      <c r="ME8" s="48"/>
      <c r="MF8" s="48"/>
      <c r="MG8" s="48"/>
      <c r="MH8" s="48"/>
      <c r="MI8" s="48"/>
      <c r="MJ8" s="48"/>
      <c r="MK8" s="48"/>
      <c r="ML8" s="48"/>
      <c r="MM8" s="48"/>
      <c r="MN8" s="48"/>
      <c r="MO8" s="48"/>
      <c r="MP8" s="48"/>
      <c r="MQ8" s="48"/>
      <c r="MR8" s="48"/>
      <c r="MS8" s="48"/>
      <c r="MT8" s="48"/>
      <c r="MU8" s="48"/>
      <c r="MV8" s="48"/>
      <c r="MW8" s="48"/>
      <c r="MX8" s="48"/>
      <c r="MY8" s="48"/>
      <c r="MZ8" s="48"/>
      <c r="NA8" s="48"/>
      <c r="NB8" s="48"/>
      <c r="NC8" s="48"/>
      <c r="ND8" s="48"/>
      <c r="NE8" s="48"/>
    </row>
    <row r="9" spans="1:369" s="18" customFormat="1" ht="23.25" customHeight="1" thickBot="1" x14ac:dyDescent="0.25">
      <c r="A9" s="386" t="s">
        <v>114</v>
      </c>
      <c r="B9" s="387"/>
      <c r="C9" s="387"/>
      <c r="D9" s="387"/>
      <c r="E9" s="388"/>
      <c r="F9" s="17">
        <f t="shared" ref="F9:BQ9" si="0">SUM(F6:F8)</f>
        <v>0</v>
      </c>
      <c r="G9" s="17">
        <f t="shared" si="0"/>
        <v>0</v>
      </c>
      <c r="H9" s="17">
        <f t="shared" si="0"/>
        <v>0</v>
      </c>
      <c r="I9" s="17">
        <f t="shared" si="0"/>
        <v>0</v>
      </c>
      <c r="J9" s="17">
        <f t="shared" si="0"/>
        <v>0</v>
      </c>
      <c r="K9" s="17">
        <f t="shared" si="0"/>
        <v>0</v>
      </c>
      <c r="L9" s="17">
        <f t="shared" si="0"/>
        <v>0</v>
      </c>
      <c r="M9" s="17">
        <f t="shared" si="0"/>
        <v>0</v>
      </c>
      <c r="N9" s="17">
        <f t="shared" si="0"/>
        <v>0</v>
      </c>
      <c r="O9" s="17">
        <f t="shared" si="0"/>
        <v>0</v>
      </c>
      <c r="P9" s="17">
        <f t="shared" si="0"/>
        <v>0</v>
      </c>
      <c r="Q9" s="17">
        <f t="shared" si="0"/>
        <v>0</v>
      </c>
      <c r="R9" s="17">
        <f t="shared" si="0"/>
        <v>0</v>
      </c>
      <c r="S9" s="17">
        <f t="shared" si="0"/>
        <v>0</v>
      </c>
      <c r="T9" s="17">
        <f t="shared" si="0"/>
        <v>0</v>
      </c>
      <c r="U9" s="17">
        <f t="shared" si="0"/>
        <v>0</v>
      </c>
      <c r="V9" s="17">
        <f t="shared" si="0"/>
        <v>0</v>
      </c>
      <c r="W9" s="17">
        <f t="shared" si="0"/>
        <v>0</v>
      </c>
      <c r="X9" s="17">
        <f t="shared" si="0"/>
        <v>0</v>
      </c>
      <c r="Y9" s="17">
        <f t="shared" si="0"/>
        <v>0</v>
      </c>
      <c r="Z9" s="17">
        <f t="shared" si="0"/>
        <v>0</v>
      </c>
      <c r="AA9" s="17">
        <f>SUM(AA6:AA8)</f>
        <v>0</v>
      </c>
      <c r="AB9" s="17">
        <f t="shared" si="0"/>
        <v>0</v>
      </c>
      <c r="AC9" s="17">
        <f t="shared" si="0"/>
        <v>0</v>
      </c>
      <c r="AD9" s="17">
        <f t="shared" si="0"/>
        <v>0</v>
      </c>
      <c r="AE9" s="17">
        <f t="shared" si="0"/>
        <v>0</v>
      </c>
      <c r="AF9" s="17">
        <f t="shared" si="0"/>
        <v>0</v>
      </c>
      <c r="AG9" s="17">
        <f t="shared" si="0"/>
        <v>0</v>
      </c>
      <c r="AH9" s="17">
        <f t="shared" si="0"/>
        <v>0</v>
      </c>
      <c r="AI9" s="17">
        <f t="shared" si="0"/>
        <v>0</v>
      </c>
      <c r="AJ9" s="17">
        <f t="shared" si="0"/>
        <v>0</v>
      </c>
      <c r="AK9" s="17">
        <f t="shared" si="0"/>
        <v>0</v>
      </c>
      <c r="AL9" s="17">
        <f t="shared" si="0"/>
        <v>0</v>
      </c>
      <c r="AM9" s="17">
        <f t="shared" si="0"/>
        <v>0</v>
      </c>
      <c r="AN9" s="17">
        <f t="shared" si="0"/>
        <v>0</v>
      </c>
      <c r="AO9" s="17">
        <f t="shared" si="0"/>
        <v>0</v>
      </c>
      <c r="AP9" s="17">
        <f t="shared" si="0"/>
        <v>0</v>
      </c>
      <c r="AQ9" s="17">
        <f t="shared" si="0"/>
        <v>0</v>
      </c>
      <c r="AR9" s="17">
        <f t="shared" si="0"/>
        <v>0</v>
      </c>
      <c r="AS9" s="17">
        <f t="shared" si="0"/>
        <v>0</v>
      </c>
      <c r="AT9" s="17">
        <f t="shared" si="0"/>
        <v>0</v>
      </c>
      <c r="AU9" s="17">
        <f t="shared" si="0"/>
        <v>0</v>
      </c>
      <c r="AV9" s="17">
        <f t="shared" si="0"/>
        <v>0</v>
      </c>
      <c r="AW9" s="17">
        <f t="shared" si="0"/>
        <v>0</v>
      </c>
      <c r="AX9" s="17">
        <f t="shared" si="0"/>
        <v>0</v>
      </c>
      <c r="AY9" s="17">
        <f t="shared" si="0"/>
        <v>0</v>
      </c>
      <c r="AZ9" s="17">
        <f t="shared" si="0"/>
        <v>0</v>
      </c>
      <c r="BA9" s="17">
        <f t="shared" si="0"/>
        <v>0</v>
      </c>
      <c r="BB9" s="17">
        <f t="shared" si="0"/>
        <v>0</v>
      </c>
      <c r="BC9" s="17">
        <f t="shared" si="0"/>
        <v>0</v>
      </c>
      <c r="BD9" s="17">
        <f t="shared" si="0"/>
        <v>0</v>
      </c>
      <c r="BE9" s="17">
        <f t="shared" si="0"/>
        <v>0</v>
      </c>
      <c r="BF9" s="17">
        <f t="shared" si="0"/>
        <v>0</v>
      </c>
      <c r="BG9" s="17">
        <f t="shared" si="0"/>
        <v>0</v>
      </c>
      <c r="BH9" s="17">
        <f t="shared" si="0"/>
        <v>0</v>
      </c>
      <c r="BI9" s="17">
        <f t="shared" si="0"/>
        <v>0</v>
      </c>
      <c r="BJ9" s="17">
        <f t="shared" si="0"/>
        <v>0</v>
      </c>
      <c r="BK9" s="17">
        <f t="shared" si="0"/>
        <v>0</v>
      </c>
      <c r="BL9" s="17">
        <f t="shared" si="0"/>
        <v>0</v>
      </c>
      <c r="BM9" s="17">
        <f t="shared" si="0"/>
        <v>0</v>
      </c>
      <c r="BN9" s="17">
        <f t="shared" si="0"/>
        <v>0</v>
      </c>
      <c r="BO9" s="17">
        <f t="shared" si="0"/>
        <v>0</v>
      </c>
      <c r="BP9" s="17">
        <f t="shared" si="0"/>
        <v>0</v>
      </c>
      <c r="BQ9" s="17">
        <f t="shared" si="0"/>
        <v>0</v>
      </c>
      <c r="BR9" s="17">
        <f t="shared" ref="BR9:EC9" si="1">SUM(BR6:BR8)</f>
        <v>0</v>
      </c>
      <c r="BS9" s="17">
        <f t="shared" si="1"/>
        <v>0</v>
      </c>
      <c r="BT9" s="17">
        <f t="shared" si="1"/>
        <v>0</v>
      </c>
      <c r="BU9" s="17">
        <f t="shared" si="1"/>
        <v>0</v>
      </c>
      <c r="BV9" s="17">
        <f t="shared" si="1"/>
        <v>0</v>
      </c>
      <c r="BW9" s="17">
        <f t="shared" si="1"/>
        <v>0</v>
      </c>
      <c r="BX9" s="17">
        <f t="shared" si="1"/>
        <v>0</v>
      </c>
      <c r="BY9" s="17">
        <f t="shared" si="1"/>
        <v>0</v>
      </c>
      <c r="BZ9" s="17">
        <f t="shared" si="1"/>
        <v>0</v>
      </c>
      <c r="CA9" s="17">
        <f t="shared" si="1"/>
        <v>0</v>
      </c>
      <c r="CB9" s="17">
        <f t="shared" si="1"/>
        <v>0</v>
      </c>
      <c r="CC9" s="17">
        <f t="shared" si="1"/>
        <v>0</v>
      </c>
      <c r="CD9" s="17">
        <f t="shared" si="1"/>
        <v>0</v>
      </c>
      <c r="CE9" s="17">
        <f t="shared" si="1"/>
        <v>0</v>
      </c>
      <c r="CF9" s="17">
        <f t="shared" si="1"/>
        <v>0</v>
      </c>
      <c r="CG9" s="17">
        <f t="shared" si="1"/>
        <v>0</v>
      </c>
      <c r="CH9" s="17">
        <f t="shared" si="1"/>
        <v>0</v>
      </c>
      <c r="CI9" s="17">
        <f t="shared" si="1"/>
        <v>0</v>
      </c>
      <c r="CJ9" s="17">
        <f t="shared" si="1"/>
        <v>0</v>
      </c>
      <c r="CK9" s="17">
        <f t="shared" si="1"/>
        <v>0</v>
      </c>
      <c r="CL9" s="17">
        <f t="shared" si="1"/>
        <v>0</v>
      </c>
      <c r="CM9" s="17">
        <f t="shared" si="1"/>
        <v>0</v>
      </c>
      <c r="CN9" s="17">
        <f t="shared" si="1"/>
        <v>0</v>
      </c>
      <c r="CO9" s="17">
        <f t="shared" si="1"/>
        <v>0</v>
      </c>
      <c r="CP9" s="17">
        <f t="shared" si="1"/>
        <v>0</v>
      </c>
      <c r="CQ9" s="17">
        <f t="shared" si="1"/>
        <v>0</v>
      </c>
      <c r="CR9" s="17">
        <f t="shared" si="1"/>
        <v>0</v>
      </c>
      <c r="CS9" s="17">
        <f t="shared" si="1"/>
        <v>0</v>
      </c>
      <c r="CT9" s="17">
        <f t="shared" si="1"/>
        <v>0</v>
      </c>
      <c r="CU9" s="17">
        <f t="shared" si="1"/>
        <v>0</v>
      </c>
      <c r="CV9" s="17">
        <f t="shared" si="1"/>
        <v>0</v>
      </c>
      <c r="CW9" s="17">
        <f t="shared" si="1"/>
        <v>0</v>
      </c>
      <c r="CX9" s="17">
        <f t="shared" si="1"/>
        <v>0</v>
      </c>
      <c r="CY9" s="17">
        <f t="shared" si="1"/>
        <v>0</v>
      </c>
      <c r="CZ9" s="17">
        <f t="shared" si="1"/>
        <v>0</v>
      </c>
      <c r="DA9" s="17">
        <f t="shared" si="1"/>
        <v>0</v>
      </c>
      <c r="DB9" s="17">
        <f t="shared" si="1"/>
        <v>0</v>
      </c>
      <c r="DC9" s="17">
        <f t="shared" si="1"/>
        <v>0</v>
      </c>
      <c r="DD9" s="17">
        <f t="shared" si="1"/>
        <v>0</v>
      </c>
      <c r="DE9" s="17">
        <f t="shared" si="1"/>
        <v>0</v>
      </c>
      <c r="DF9" s="17">
        <f t="shared" si="1"/>
        <v>0</v>
      </c>
      <c r="DG9" s="17">
        <f t="shared" si="1"/>
        <v>0</v>
      </c>
      <c r="DH9" s="17">
        <f t="shared" si="1"/>
        <v>0</v>
      </c>
      <c r="DI9" s="17">
        <f t="shared" si="1"/>
        <v>0</v>
      </c>
      <c r="DJ9" s="17">
        <f t="shared" si="1"/>
        <v>0</v>
      </c>
      <c r="DK9" s="17">
        <f t="shared" si="1"/>
        <v>0</v>
      </c>
      <c r="DL9" s="17">
        <f t="shared" si="1"/>
        <v>0</v>
      </c>
      <c r="DM9" s="17">
        <f t="shared" si="1"/>
        <v>0</v>
      </c>
      <c r="DN9" s="17">
        <f t="shared" si="1"/>
        <v>0</v>
      </c>
      <c r="DO9" s="17">
        <f t="shared" si="1"/>
        <v>0</v>
      </c>
      <c r="DP9" s="17">
        <f t="shared" si="1"/>
        <v>0</v>
      </c>
      <c r="DQ9" s="17">
        <f t="shared" si="1"/>
        <v>0</v>
      </c>
      <c r="DR9" s="17">
        <f t="shared" si="1"/>
        <v>0</v>
      </c>
      <c r="DS9" s="17">
        <f t="shared" si="1"/>
        <v>0</v>
      </c>
      <c r="DT9" s="17">
        <f t="shared" si="1"/>
        <v>0</v>
      </c>
      <c r="DU9" s="17">
        <f t="shared" si="1"/>
        <v>0</v>
      </c>
      <c r="DV9" s="17">
        <f t="shared" si="1"/>
        <v>0</v>
      </c>
      <c r="DW9" s="17">
        <f t="shared" si="1"/>
        <v>0</v>
      </c>
      <c r="DX9" s="17">
        <f t="shared" si="1"/>
        <v>0</v>
      </c>
      <c r="DY9" s="17">
        <f t="shared" si="1"/>
        <v>0</v>
      </c>
      <c r="DZ9" s="17">
        <f t="shared" si="1"/>
        <v>0</v>
      </c>
      <c r="EA9" s="17">
        <f t="shared" si="1"/>
        <v>0</v>
      </c>
      <c r="EB9" s="17">
        <f t="shared" si="1"/>
        <v>0</v>
      </c>
      <c r="EC9" s="17">
        <f t="shared" si="1"/>
        <v>0</v>
      </c>
      <c r="ED9" s="17">
        <f t="shared" ref="ED9:GO9" si="2">SUM(ED6:ED8)</f>
        <v>0</v>
      </c>
      <c r="EE9" s="17">
        <f t="shared" si="2"/>
        <v>0</v>
      </c>
      <c r="EF9" s="17">
        <f t="shared" si="2"/>
        <v>0</v>
      </c>
      <c r="EG9" s="17">
        <f t="shared" si="2"/>
        <v>0</v>
      </c>
      <c r="EH9" s="17">
        <f t="shared" si="2"/>
        <v>0</v>
      </c>
      <c r="EI9" s="17">
        <f t="shared" si="2"/>
        <v>0</v>
      </c>
      <c r="EJ9" s="17">
        <f t="shared" si="2"/>
        <v>0</v>
      </c>
      <c r="EK9" s="17">
        <f t="shared" si="2"/>
        <v>0</v>
      </c>
      <c r="EL9" s="17">
        <f t="shared" si="2"/>
        <v>0</v>
      </c>
      <c r="EM9" s="17">
        <f t="shared" si="2"/>
        <v>0</v>
      </c>
      <c r="EN9" s="17">
        <f t="shared" si="2"/>
        <v>0</v>
      </c>
      <c r="EO9" s="17">
        <f t="shared" si="2"/>
        <v>0</v>
      </c>
      <c r="EP9" s="17">
        <f t="shared" si="2"/>
        <v>0</v>
      </c>
      <c r="EQ9" s="17">
        <f t="shared" si="2"/>
        <v>0</v>
      </c>
      <c r="ER9" s="17">
        <f t="shared" si="2"/>
        <v>0</v>
      </c>
      <c r="ES9" s="17">
        <f t="shared" si="2"/>
        <v>0</v>
      </c>
      <c r="ET9" s="17">
        <f t="shared" si="2"/>
        <v>0</v>
      </c>
      <c r="EU9" s="17">
        <f t="shared" si="2"/>
        <v>0</v>
      </c>
      <c r="EV9" s="17">
        <f t="shared" si="2"/>
        <v>0</v>
      </c>
      <c r="EW9" s="17">
        <f t="shared" si="2"/>
        <v>0</v>
      </c>
      <c r="EX9" s="17">
        <f t="shared" si="2"/>
        <v>0</v>
      </c>
      <c r="EY9" s="17">
        <f t="shared" si="2"/>
        <v>0</v>
      </c>
      <c r="EZ9" s="17">
        <f t="shared" si="2"/>
        <v>0</v>
      </c>
      <c r="FA9" s="17">
        <f t="shared" si="2"/>
        <v>0</v>
      </c>
      <c r="FB9" s="17">
        <f t="shared" si="2"/>
        <v>0</v>
      </c>
      <c r="FC9" s="17">
        <f t="shared" si="2"/>
        <v>0</v>
      </c>
      <c r="FD9" s="17">
        <f t="shared" si="2"/>
        <v>0</v>
      </c>
      <c r="FE9" s="17">
        <f t="shared" si="2"/>
        <v>0</v>
      </c>
      <c r="FF9" s="17">
        <f t="shared" si="2"/>
        <v>0</v>
      </c>
      <c r="FG9" s="17">
        <f t="shared" si="2"/>
        <v>0</v>
      </c>
      <c r="FH9" s="17">
        <f t="shared" si="2"/>
        <v>0</v>
      </c>
      <c r="FI9" s="17">
        <f t="shared" si="2"/>
        <v>0</v>
      </c>
      <c r="FJ9" s="17">
        <f t="shared" si="2"/>
        <v>0</v>
      </c>
      <c r="FK9" s="17">
        <f t="shared" si="2"/>
        <v>0</v>
      </c>
      <c r="FL9" s="17">
        <f t="shared" si="2"/>
        <v>0</v>
      </c>
      <c r="FM9" s="17">
        <f t="shared" si="2"/>
        <v>0</v>
      </c>
      <c r="FN9" s="17">
        <f t="shared" si="2"/>
        <v>0</v>
      </c>
      <c r="FO9" s="17">
        <f t="shared" si="2"/>
        <v>0</v>
      </c>
      <c r="FP9" s="17">
        <f t="shared" si="2"/>
        <v>0</v>
      </c>
      <c r="FQ9" s="17">
        <f t="shared" si="2"/>
        <v>0</v>
      </c>
      <c r="FR9" s="17">
        <f t="shared" si="2"/>
        <v>0</v>
      </c>
      <c r="FS9" s="17">
        <f t="shared" si="2"/>
        <v>0</v>
      </c>
      <c r="FT9" s="17">
        <f t="shared" si="2"/>
        <v>0</v>
      </c>
      <c r="FU9" s="17">
        <f t="shared" si="2"/>
        <v>0</v>
      </c>
      <c r="FV9" s="17">
        <f t="shared" si="2"/>
        <v>0</v>
      </c>
      <c r="FW9" s="17">
        <f t="shared" si="2"/>
        <v>0</v>
      </c>
      <c r="FX9" s="17">
        <f t="shared" si="2"/>
        <v>0</v>
      </c>
      <c r="FY9" s="17">
        <f t="shared" si="2"/>
        <v>0</v>
      </c>
      <c r="FZ9" s="17">
        <f t="shared" si="2"/>
        <v>0</v>
      </c>
      <c r="GA9" s="17">
        <f t="shared" si="2"/>
        <v>0</v>
      </c>
      <c r="GB9" s="17">
        <f t="shared" si="2"/>
        <v>0</v>
      </c>
      <c r="GC9" s="17">
        <f t="shared" si="2"/>
        <v>0</v>
      </c>
      <c r="GD9" s="17">
        <f t="shared" si="2"/>
        <v>0</v>
      </c>
      <c r="GE9" s="17">
        <f t="shared" si="2"/>
        <v>0</v>
      </c>
      <c r="GF9" s="17">
        <f t="shared" si="2"/>
        <v>0</v>
      </c>
      <c r="GG9" s="17">
        <f t="shared" si="2"/>
        <v>0</v>
      </c>
      <c r="GH9" s="17">
        <f t="shared" si="2"/>
        <v>0</v>
      </c>
      <c r="GI9" s="17">
        <f t="shared" si="2"/>
        <v>0</v>
      </c>
      <c r="GJ9" s="17">
        <f t="shared" si="2"/>
        <v>0</v>
      </c>
      <c r="GK9" s="17">
        <f t="shared" si="2"/>
        <v>0</v>
      </c>
      <c r="GL9" s="17">
        <f t="shared" si="2"/>
        <v>0</v>
      </c>
      <c r="GM9" s="17">
        <f t="shared" si="2"/>
        <v>0</v>
      </c>
      <c r="GN9" s="17">
        <f t="shared" si="2"/>
        <v>0</v>
      </c>
      <c r="GO9" s="17">
        <f t="shared" si="2"/>
        <v>0</v>
      </c>
      <c r="GP9" s="17">
        <f t="shared" ref="GP9:IQ9" si="3">SUM(GP6:GP8)</f>
        <v>0</v>
      </c>
      <c r="GQ9" s="17">
        <f t="shared" si="3"/>
        <v>0</v>
      </c>
      <c r="GR9" s="17">
        <f t="shared" si="3"/>
        <v>0</v>
      </c>
      <c r="GS9" s="17">
        <f t="shared" si="3"/>
        <v>0</v>
      </c>
      <c r="GT9" s="17">
        <f t="shared" si="3"/>
        <v>0</v>
      </c>
      <c r="GU9" s="17">
        <f t="shared" si="3"/>
        <v>0</v>
      </c>
      <c r="GV9" s="17">
        <f t="shared" si="3"/>
        <v>0</v>
      </c>
      <c r="GW9" s="17">
        <f t="shared" si="3"/>
        <v>0</v>
      </c>
      <c r="GX9" s="17">
        <f t="shared" si="3"/>
        <v>0</v>
      </c>
      <c r="GY9" s="17">
        <f t="shared" si="3"/>
        <v>0</v>
      </c>
      <c r="GZ9" s="17">
        <f t="shared" si="3"/>
        <v>0</v>
      </c>
      <c r="HA9" s="17">
        <f t="shared" si="3"/>
        <v>0</v>
      </c>
      <c r="HB9" s="17">
        <f t="shared" si="3"/>
        <v>0</v>
      </c>
      <c r="HC9" s="17">
        <f t="shared" si="3"/>
        <v>0</v>
      </c>
      <c r="HD9" s="17">
        <f t="shared" si="3"/>
        <v>0</v>
      </c>
      <c r="HE9" s="17">
        <f t="shared" si="3"/>
        <v>0</v>
      </c>
      <c r="HF9" s="17">
        <f t="shared" si="3"/>
        <v>0</v>
      </c>
      <c r="HG9" s="17">
        <f t="shared" si="3"/>
        <v>0</v>
      </c>
      <c r="HH9" s="17">
        <f t="shared" si="3"/>
        <v>0</v>
      </c>
      <c r="HI9" s="17">
        <f t="shared" si="3"/>
        <v>0</v>
      </c>
      <c r="HJ9" s="17">
        <f t="shared" si="3"/>
        <v>0</v>
      </c>
      <c r="HK9" s="17">
        <f t="shared" si="3"/>
        <v>0</v>
      </c>
      <c r="HL9" s="17">
        <f t="shared" si="3"/>
        <v>0</v>
      </c>
      <c r="HM9" s="17">
        <f t="shared" si="3"/>
        <v>0</v>
      </c>
      <c r="HN9" s="17">
        <f t="shared" si="3"/>
        <v>0</v>
      </c>
      <c r="HO9" s="17">
        <f t="shared" si="3"/>
        <v>0</v>
      </c>
      <c r="HP9" s="17">
        <f t="shared" si="3"/>
        <v>0</v>
      </c>
      <c r="HQ9" s="17">
        <f t="shared" si="3"/>
        <v>0</v>
      </c>
      <c r="HR9" s="17">
        <f t="shared" si="3"/>
        <v>0</v>
      </c>
      <c r="HS9" s="17">
        <f t="shared" si="3"/>
        <v>0</v>
      </c>
      <c r="HT9" s="17">
        <f t="shared" si="3"/>
        <v>0</v>
      </c>
      <c r="HU9" s="17">
        <f t="shared" si="3"/>
        <v>0</v>
      </c>
      <c r="HV9" s="17">
        <f t="shared" si="3"/>
        <v>0</v>
      </c>
      <c r="HW9" s="17">
        <f t="shared" si="3"/>
        <v>0</v>
      </c>
      <c r="HX9" s="17">
        <f t="shared" si="3"/>
        <v>0</v>
      </c>
      <c r="HY9" s="17">
        <f t="shared" si="3"/>
        <v>0</v>
      </c>
      <c r="HZ9" s="17">
        <f t="shared" si="3"/>
        <v>0</v>
      </c>
      <c r="IA9" s="17">
        <f t="shared" si="3"/>
        <v>0</v>
      </c>
      <c r="IB9" s="17">
        <f t="shared" si="3"/>
        <v>0</v>
      </c>
      <c r="IC9" s="17">
        <f t="shared" si="3"/>
        <v>0</v>
      </c>
      <c r="ID9" s="17">
        <f t="shared" si="3"/>
        <v>0</v>
      </c>
      <c r="IE9" s="17">
        <f t="shared" si="3"/>
        <v>0</v>
      </c>
      <c r="IF9" s="17">
        <f t="shared" si="3"/>
        <v>0</v>
      </c>
      <c r="IG9" s="17">
        <f t="shared" si="3"/>
        <v>0</v>
      </c>
      <c r="IH9" s="17">
        <f t="shared" si="3"/>
        <v>0</v>
      </c>
      <c r="II9" s="17">
        <f t="shared" si="3"/>
        <v>0</v>
      </c>
      <c r="IJ9" s="17">
        <f t="shared" si="3"/>
        <v>0</v>
      </c>
      <c r="IK9" s="17">
        <f t="shared" si="3"/>
        <v>0</v>
      </c>
      <c r="IL9" s="17">
        <f t="shared" si="3"/>
        <v>0</v>
      </c>
      <c r="IM9" s="17">
        <f t="shared" si="3"/>
        <v>0</v>
      </c>
      <c r="IN9" s="17">
        <f t="shared" si="3"/>
        <v>0</v>
      </c>
      <c r="IO9" s="17">
        <f t="shared" si="3"/>
        <v>0</v>
      </c>
      <c r="IP9" s="17">
        <f t="shared" si="3"/>
        <v>0</v>
      </c>
      <c r="IQ9" s="17">
        <f t="shared" si="3"/>
        <v>0</v>
      </c>
      <c r="IR9" s="17">
        <f t="shared" ref="IR9:KB9" si="4">SUM(IR6:IR8)</f>
        <v>0</v>
      </c>
      <c r="IS9" s="17">
        <f t="shared" si="4"/>
        <v>0</v>
      </c>
      <c r="IT9" s="17">
        <f t="shared" si="4"/>
        <v>0</v>
      </c>
      <c r="IU9" s="17">
        <f t="shared" si="4"/>
        <v>0</v>
      </c>
      <c r="IV9" s="17">
        <f t="shared" si="4"/>
        <v>0</v>
      </c>
      <c r="IW9" s="17">
        <f t="shared" si="4"/>
        <v>0</v>
      </c>
      <c r="IX9" s="17">
        <f t="shared" si="4"/>
        <v>0</v>
      </c>
      <c r="IY9" s="17">
        <f t="shared" si="4"/>
        <v>0</v>
      </c>
      <c r="IZ9" s="17">
        <f t="shared" si="4"/>
        <v>0</v>
      </c>
      <c r="JA9" s="17">
        <f t="shared" si="4"/>
        <v>0</v>
      </c>
      <c r="JB9" s="17">
        <f t="shared" si="4"/>
        <v>0</v>
      </c>
      <c r="JC9" s="17">
        <f t="shared" si="4"/>
        <v>0</v>
      </c>
      <c r="JD9" s="17">
        <f t="shared" si="4"/>
        <v>0</v>
      </c>
      <c r="JE9" s="17">
        <f t="shared" si="4"/>
        <v>0</v>
      </c>
      <c r="JF9" s="17">
        <f t="shared" si="4"/>
        <v>0</v>
      </c>
      <c r="JG9" s="17">
        <f t="shared" si="4"/>
        <v>0</v>
      </c>
      <c r="JH9" s="17">
        <f t="shared" si="4"/>
        <v>0</v>
      </c>
      <c r="JI9" s="17">
        <f t="shared" si="4"/>
        <v>0</v>
      </c>
      <c r="JJ9" s="17">
        <f t="shared" si="4"/>
        <v>0</v>
      </c>
      <c r="JK9" s="17">
        <f t="shared" si="4"/>
        <v>0</v>
      </c>
      <c r="JL9" s="17">
        <f t="shared" si="4"/>
        <v>0</v>
      </c>
      <c r="JM9" s="17">
        <f t="shared" si="4"/>
        <v>0</v>
      </c>
      <c r="JN9" s="17">
        <f t="shared" si="4"/>
        <v>0</v>
      </c>
      <c r="JO9" s="17">
        <f t="shared" si="4"/>
        <v>0</v>
      </c>
      <c r="JP9" s="17">
        <f t="shared" si="4"/>
        <v>0</v>
      </c>
      <c r="JQ9" s="17">
        <f t="shared" si="4"/>
        <v>0</v>
      </c>
      <c r="JR9" s="17">
        <f t="shared" si="4"/>
        <v>0</v>
      </c>
      <c r="JS9" s="17">
        <f t="shared" si="4"/>
        <v>0</v>
      </c>
      <c r="JT9" s="17">
        <f t="shared" si="4"/>
        <v>0</v>
      </c>
      <c r="JU9" s="17">
        <f t="shared" si="4"/>
        <v>0</v>
      </c>
      <c r="JV9" s="17">
        <f t="shared" si="4"/>
        <v>0</v>
      </c>
      <c r="JW9" s="17">
        <f t="shared" si="4"/>
        <v>0</v>
      </c>
      <c r="JX9" s="17">
        <f t="shared" si="4"/>
        <v>0</v>
      </c>
      <c r="JY9" s="17">
        <f t="shared" si="4"/>
        <v>0</v>
      </c>
      <c r="JZ9" s="17">
        <f t="shared" si="4"/>
        <v>0</v>
      </c>
      <c r="KA9" s="17">
        <f t="shared" si="4"/>
        <v>0</v>
      </c>
      <c r="KB9" s="17">
        <f t="shared" si="4"/>
        <v>0</v>
      </c>
      <c r="KC9" s="17">
        <f t="shared" ref="KC9:KV9" si="5">SUM(KC6:KC8)</f>
        <v>0</v>
      </c>
      <c r="KD9" s="17">
        <f t="shared" si="5"/>
        <v>0</v>
      </c>
      <c r="KE9" s="17">
        <f t="shared" si="5"/>
        <v>0</v>
      </c>
      <c r="KF9" s="17">
        <f t="shared" si="5"/>
        <v>0</v>
      </c>
      <c r="KG9" s="17">
        <f t="shared" si="5"/>
        <v>0</v>
      </c>
      <c r="KH9" s="17">
        <f t="shared" si="5"/>
        <v>0</v>
      </c>
      <c r="KI9" s="17">
        <f t="shared" si="5"/>
        <v>0</v>
      </c>
      <c r="KJ9" s="17">
        <f t="shared" si="5"/>
        <v>0</v>
      </c>
      <c r="KK9" s="17">
        <f t="shared" si="5"/>
        <v>0</v>
      </c>
      <c r="KL9" s="17">
        <f t="shared" si="5"/>
        <v>0</v>
      </c>
      <c r="KM9" s="17">
        <f t="shared" si="5"/>
        <v>0</v>
      </c>
      <c r="KN9" s="17">
        <f t="shared" si="5"/>
        <v>0</v>
      </c>
      <c r="KO9" s="17">
        <f t="shared" si="5"/>
        <v>0</v>
      </c>
      <c r="KP9" s="17">
        <f t="shared" si="5"/>
        <v>0</v>
      </c>
      <c r="KQ9" s="17">
        <f t="shared" si="5"/>
        <v>0</v>
      </c>
      <c r="KR9" s="17">
        <f t="shared" si="5"/>
        <v>0</v>
      </c>
      <c r="KS9" s="17">
        <f t="shared" si="5"/>
        <v>0</v>
      </c>
      <c r="KT9" s="17">
        <f t="shared" si="5"/>
        <v>0</v>
      </c>
      <c r="KU9" s="17">
        <f t="shared" si="5"/>
        <v>0</v>
      </c>
      <c r="KV9" s="17">
        <f t="shared" si="5"/>
        <v>0</v>
      </c>
      <c r="KW9" s="17">
        <f t="shared" ref="KW9:ND9" si="6">SUM(KW6:KW8)</f>
        <v>0</v>
      </c>
      <c r="KX9" s="17">
        <f t="shared" si="6"/>
        <v>0</v>
      </c>
      <c r="KY9" s="17">
        <f t="shared" si="6"/>
        <v>0</v>
      </c>
      <c r="KZ9" s="17">
        <f t="shared" si="6"/>
        <v>0</v>
      </c>
      <c r="LA9" s="17">
        <f t="shared" si="6"/>
        <v>0</v>
      </c>
      <c r="LB9" s="17">
        <f t="shared" si="6"/>
        <v>0</v>
      </c>
      <c r="LC9" s="17">
        <f t="shared" si="6"/>
        <v>0</v>
      </c>
      <c r="LD9" s="17">
        <f t="shared" si="6"/>
        <v>0</v>
      </c>
      <c r="LE9" s="17">
        <f t="shared" si="6"/>
        <v>0</v>
      </c>
      <c r="LF9" s="17">
        <f t="shared" si="6"/>
        <v>0</v>
      </c>
      <c r="LG9" s="17">
        <f t="shared" si="6"/>
        <v>0</v>
      </c>
      <c r="LH9" s="17">
        <f t="shared" si="6"/>
        <v>0</v>
      </c>
      <c r="LI9" s="17">
        <f t="shared" si="6"/>
        <v>0</v>
      </c>
      <c r="LJ9" s="17">
        <f t="shared" si="6"/>
        <v>0</v>
      </c>
      <c r="LK9" s="17">
        <f t="shared" si="6"/>
        <v>0</v>
      </c>
      <c r="LL9" s="17">
        <f t="shared" si="6"/>
        <v>0</v>
      </c>
      <c r="LM9" s="17">
        <f t="shared" si="6"/>
        <v>0</v>
      </c>
      <c r="LN9" s="17">
        <f t="shared" si="6"/>
        <v>0</v>
      </c>
      <c r="LO9" s="17">
        <f t="shared" si="6"/>
        <v>0</v>
      </c>
      <c r="LP9" s="17">
        <f t="shared" si="6"/>
        <v>0</v>
      </c>
      <c r="LQ9" s="17">
        <f t="shared" si="6"/>
        <v>0</v>
      </c>
      <c r="LR9" s="17">
        <f t="shared" si="6"/>
        <v>0</v>
      </c>
      <c r="LS9" s="17">
        <f t="shared" si="6"/>
        <v>0</v>
      </c>
      <c r="LT9" s="17">
        <f t="shared" si="6"/>
        <v>0</v>
      </c>
      <c r="LU9" s="17">
        <f t="shared" si="6"/>
        <v>0</v>
      </c>
      <c r="LV9" s="17">
        <f t="shared" si="6"/>
        <v>0</v>
      </c>
      <c r="LW9" s="17">
        <f t="shared" si="6"/>
        <v>0</v>
      </c>
      <c r="LX9" s="17">
        <f t="shared" si="6"/>
        <v>0</v>
      </c>
      <c r="LY9" s="17">
        <f t="shared" si="6"/>
        <v>0</v>
      </c>
      <c r="LZ9" s="17">
        <f t="shared" si="6"/>
        <v>0</v>
      </c>
      <c r="MA9" s="17">
        <f t="shared" si="6"/>
        <v>0</v>
      </c>
      <c r="MB9" s="17">
        <f t="shared" si="6"/>
        <v>0</v>
      </c>
      <c r="MC9" s="17">
        <f t="shared" si="6"/>
        <v>0</v>
      </c>
      <c r="MD9" s="17">
        <f t="shared" si="6"/>
        <v>0</v>
      </c>
      <c r="ME9" s="17">
        <f t="shared" si="6"/>
        <v>0</v>
      </c>
      <c r="MF9" s="17">
        <f t="shared" si="6"/>
        <v>0</v>
      </c>
      <c r="MG9" s="17">
        <f t="shared" si="6"/>
        <v>0</v>
      </c>
      <c r="MH9" s="17">
        <f t="shared" si="6"/>
        <v>0</v>
      </c>
      <c r="MI9" s="17">
        <f t="shared" si="6"/>
        <v>0</v>
      </c>
      <c r="MJ9" s="17">
        <f t="shared" si="6"/>
        <v>0</v>
      </c>
      <c r="MK9" s="17">
        <f t="shared" si="6"/>
        <v>0</v>
      </c>
      <c r="ML9" s="17">
        <f t="shared" si="6"/>
        <v>0</v>
      </c>
      <c r="MM9" s="17">
        <f t="shared" si="6"/>
        <v>0</v>
      </c>
      <c r="MN9" s="17">
        <f t="shared" si="6"/>
        <v>0</v>
      </c>
      <c r="MO9" s="17">
        <f t="shared" si="6"/>
        <v>0</v>
      </c>
      <c r="MP9" s="17">
        <f t="shared" si="6"/>
        <v>0</v>
      </c>
      <c r="MQ9" s="17">
        <f t="shared" si="6"/>
        <v>0</v>
      </c>
      <c r="MR9" s="17">
        <f t="shared" si="6"/>
        <v>0</v>
      </c>
      <c r="MS9" s="17">
        <f t="shared" si="6"/>
        <v>0</v>
      </c>
      <c r="MT9" s="17">
        <f t="shared" si="6"/>
        <v>0</v>
      </c>
      <c r="MU9" s="17">
        <f t="shared" si="6"/>
        <v>0</v>
      </c>
      <c r="MV9" s="17">
        <f t="shared" si="6"/>
        <v>0</v>
      </c>
      <c r="MW9" s="17">
        <f t="shared" si="6"/>
        <v>0</v>
      </c>
      <c r="MX9" s="17">
        <f t="shared" si="6"/>
        <v>0</v>
      </c>
      <c r="MY9" s="17">
        <f t="shared" si="6"/>
        <v>0</v>
      </c>
      <c r="MZ9" s="17">
        <f t="shared" si="6"/>
        <v>0</v>
      </c>
      <c r="NA9" s="17">
        <f t="shared" si="6"/>
        <v>0</v>
      </c>
      <c r="NB9" s="17">
        <f t="shared" si="6"/>
        <v>0</v>
      </c>
      <c r="NC9" s="17">
        <f t="shared" si="6"/>
        <v>0</v>
      </c>
      <c r="ND9" s="17">
        <f t="shared" si="6"/>
        <v>0</v>
      </c>
    </row>
    <row r="10" spans="1:369" s="49" customFormat="1" ht="21" customHeight="1" thickBot="1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7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40"/>
      <c r="AZ10" s="38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39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41"/>
      <c r="DC10" s="42"/>
      <c r="DD10" s="42"/>
      <c r="DE10" s="42"/>
      <c r="DF10" s="42"/>
      <c r="DG10" s="42"/>
      <c r="DH10" s="42"/>
      <c r="DI10" s="42"/>
      <c r="DJ10" s="42"/>
      <c r="DK10" s="42"/>
      <c r="DL10" s="42"/>
      <c r="DM10" s="42"/>
      <c r="DN10" s="42"/>
      <c r="DO10" s="42"/>
      <c r="DP10" s="42"/>
      <c r="DQ10" s="42"/>
      <c r="DR10" s="42"/>
      <c r="DS10" s="42"/>
      <c r="DT10" s="42"/>
      <c r="DU10" s="42"/>
      <c r="DV10" s="42"/>
      <c r="DW10" s="42"/>
      <c r="DX10" s="42"/>
      <c r="DY10" s="42"/>
      <c r="DZ10" s="42"/>
      <c r="EA10" s="42"/>
      <c r="EB10" s="42"/>
      <c r="EC10" s="42"/>
      <c r="ED10" s="42"/>
      <c r="EE10" s="42"/>
      <c r="EF10" s="42"/>
      <c r="EG10" s="42"/>
      <c r="EH10" s="42"/>
      <c r="EI10" s="42"/>
      <c r="EJ10" s="42"/>
      <c r="EK10" s="42"/>
      <c r="EL10" s="42"/>
      <c r="EM10" s="42"/>
      <c r="EN10" s="42"/>
      <c r="EO10" s="42"/>
      <c r="EP10" s="42"/>
      <c r="EQ10" s="42"/>
      <c r="ER10" s="42"/>
      <c r="ES10" s="42"/>
      <c r="ET10" s="42"/>
      <c r="EU10" s="42"/>
      <c r="EV10" s="42"/>
      <c r="EW10" s="42"/>
      <c r="EX10" s="42"/>
      <c r="EY10" s="42"/>
      <c r="EZ10" s="43"/>
      <c r="FA10" s="44"/>
      <c r="FB10" s="42"/>
      <c r="FC10" s="42"/>
      <c r="FD10" s="42"/>
      <c r="FE10" s="42"/>
      <c r="FF10" s="42"/>
      <c r="FG10" s="42"/>
      <c r="FH10" s="42"/>
      <c r="FI10" s="42"/>
      <c r="FJ10" s="42"/>
      <c r="FK10" s="42"/>
      <c r="FL10" s="42"/>
      <c r="FM10" s="42"/>
      <c r="FN10" s="42"/>
      <c r="FO10" s="42"/>
      <c r="FP10" s="42"/>
      <c r="FQ10" s="42"/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45"/>
      <c r="IN10" s="39"/>
      <c r="IO10" s="39"/>
      <c r="IP10" s="39"/>
      <c r="IQ10" s="39"/>
      <c r="IR10" s="46"/>
      <c r="IS10" s="46"/>
      <c r="IT10" s="46"/>
      <c r="IU10" s="46"/>
      <c r="IV10" s="46"/>
      <c r="IW10" s="46"/>
      <c r="IX10" s="46"/>
      <c r="IY10" s="46"/>
      <c r="IZ10" s="162"/>
      <c r="JA10" s="162"/>
      <c r="JB10" s="162"/>
      <c r="JC10" s="46"/>
      <c r="JD10" s="46"/>
      <c r="JE10" s="46"/>
      <c r="JF10" s="46"/>
      <c r="JG10" s="46"/>
      <c r="JH10" s="46"/>
      <c r="JI10" s="46"/>
      <c r="JJ10" s="46"/>
      <c r="JK10" s="46"/>
      <c r="JL10" s="46"/>
      <c r="JM10" s="162"/>
      <c r="JN10" s="162"/>
      <c r="JO10" s="162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</row>
    <row r="11" spans="1:369" s="49" customFormat="1" ht="21" customHeight="1" thickBot="1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7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40"/>
      <c r="AZ11" s="38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41"/>
      <c r="DC11" s="42"/>
      <c r="DD11" s="42"/>
      <c r="DE11" s="42"/>
      <c r="DF11" s="42"/>
      <c r="DG11" s="42"/>
      <c r="DH11" s="42"/>
      <c r="DI11" s="42"/>
      <c r="DJ11" s="42"/>
      <c r="DK11" s="42"/>
      <c r="DL11" s="42"/>
      <c r="DM11" s="42"/>
      <c r="DN11" s="42"/>
      <c r="DO11" s="42"/>
      <c r="DP11" s="42"/>
      <c r="DQ11" s="42"/>
      <c r="DR11" s="42"/>
      <c r="DS11" s="42"/>
      <c r="DT11" s="42"/>
      <c r="DU11" s="42"/>
      <c r="DV11" s="42"/>
      <c r="DW11" s="42"/>
      <c r="DX11" s="42"/>
      <c r="DY11" s="42"/>
      <c r="DZ11" s="42"/>
      <c r="EA11" s="42"/>
      <c r="EB11" s="42"/>
      <c r="EC11" s="42"/>
      <c r="ED11" s="42"/>
      <c r="EE11" s="42"/>
      <c r="EF11" s="42"/>
      <c r="EG11" s="42"/>
      <c r="EH11" s="42"/>
      <c r="EI11" s="42"/>
      <c r="EJ11" s="42"/>
      <c r="EK11" s="42"/>
      <c r="EL11" s="42"/>
      <c r="EM11" s="42"/>
      <c r="EN11" s="42"/>
      <c r="EO11" s="42"/>
      <c r="EP11" s="42"/>
      <c r="EQ11" s="42"/>
      <c r="ER11" s="42"/>
      <c r="ES11" s="42"/>
      <c r="ET11" s="42"/>
      <c r="EU11" s="42"/>
      <c r="EV11" s="42"/>
      <c r="EW11" s="42"/>
      <c r="EX11" s="42"/>
      <c r="EY11" s="42"/>
      <c r="EZ11" s="43"/>
      <c r="FA11" s="44"/>
      <c r="FB11" s="42"/>
      <c r="FC11" s="42"/>
      <c r="FD11" s="42"/>
      <c r="FE11" s="42"/>
      <c r="FF11" s="42"/>
      <c r="FG11" s="42"/>
      <c r="FH11" s="42"/>
      <c r="FI11" s="42"/>
      <c r="FJ11" s="42"/>
      <c r="FK11" s="42"/>
      <c r="FL11" s="42"/>
      <c r="FM11" s="42"/>
      <c r="FN11" s="42"/>
      <c r="FO11" s="42"/>
      <c r="FP11" s="42"/>
      <c r="FQ11" s="42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45"/>
      <c r="IN11" s="39"/>
      <c r="IO11" s="39"/>
      <c r="IP11" s="39"/>
      <c r="IQ11" s="39"/>
      <c r="IR11" s="46"/>
      <c r="IS11" s="46"/>
      <c r="IT11" s="46"/>
      <c r="IU11" s="46"/>
      <c r="IV11" s="46"/>
      <c r="IW11" s="46"/>
      <c r="IX11" s="46"/>
      <c r="IY11" s="46"/>
      <c r="IZ11" s="162"/>
      <c r="JA11" s="162"/>
      <c r="JB11" s="162"/>
      <c r="JC11" s="46"/>
      <c r="JD11" s="46"/>
      <c r="JE11" s="46"/>
      <c r="JF11" s="46"/>
      <c r="JG11" s="46"/>
      <c r="JH11" s="46"/>
      <c r="JI11" s="46"/>
      <c r="JJ11" s="46"/>
      <c r="JK11" s="46"/>
      <c r="JL11" s="46"/>
      <c r="JM11" s="162"/>
      <c r="JN11" s="162"/>
      <c r="JO11" s="162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</row>
    <row r="12" spans="1:369" s="49" customFormat="1" ht="21" customHeight="1" thickBot="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7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40"/>
      <c r="AZ12" s="38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41"/>
      <c r="DC12" s="42"/>
      <c r="DD12" s="42"/>
      <c r="DE12" s="42"/>
      <c r="DF12" s="42"/>
      <c r="DG12" s="42"/>
      <c r="DH12" s="42"/>
      <c r="DI12" s="42"/>
      <c r="DJ12" s="42"/>
      <c r="DK12" s="42"/>
      <c r="DL12" s="42"/>
      <c r="DM12" s="42"/>
      <c r="DN12" s="42"/>
      <c r="DO12" s="42"/>
      <c r="DP12" s="42"/>
      <c r="DQ12" s="42"/>
      <c r="DR12" s="42"/>
      <c r="DS12" s="42"/>
      <c r="DT12" s="42"/>
      <c r="DU12" s="42"/>
      <c r="DV12" s="42"/>
      <c r="DW12" s="42"/>
      <c r="DX12" s="42"/>
      <c r="DY12" s="42"/>
      <c r="DZ12" s="42"/>
      <c r="EA12" s="42"/>
      <c r="EB12" s="42"/>
      <c r="EC12" s="42"/>
      <c r="ED12" s="42"/>
      <c r="EE12" s="42"/>
      <c r="EF12" s="42"/>
      <c r="EG12" s="42"/>
      <c r="EH12" s="42"/>
      <c r="EI12" s="42"/>
      <c r="EJ12" s="42"/>
      <c r="EK12" s="42"/>
      <c r="EL12" s="42"/>
      <c r="EM12" s="42"/>
      <c r="EN12" s="42"/>
      <c r="EO12" s="42"/>
      <c r="EP12" s="42"/>
      <c r="EQ12" s="42"/>
      <c r="ER12" s="42"/>
      <c r="ES12" s="42"/>
      <c r="ET12" s="42"/>
      <c r="EU12" s="42"/>
      <c r="EV12" s="42"/>
      <c r="EW12" s="42"/>
      <c r="EX12" s="42"/>
      <c r="EY12" s="42"/>
      <c r="EZ12" s="43"/>
      <c r="FA12" s="44"/>
      <c r="FB12" s="42"/>
      <c r="FC12" s="42"/>
      <c r="FD12" s="42"/>
      <c r="FE12" s="42"/>
      <c r="FF12" s="42"/>
      <c r="FG12" s="42"/>
      <c r="FH12" s="42"/>
      <c r="FI12" s="42"/>
      <c r="FJ12" s="42"/>
      <c r="FK12" s="42"/>
      <c r="FL12" s="42"/>
      <c r="FM12" s="42"/>
      <c r="FN12" s="42"/>
      <c r="FO12" s="42"/>
      <c r="FP12" s="42"/>
      <c r="FQ12" s="42"/>
      <c r="FR12" s="42"/>
      <c r="FS12" s="42"/>
      <c r="FT12" s="42"/>
      <c r="FU12" s="42"/>
      <c r="FV12" s="42"/>
      <c r="FW12" s="42"/>
      <c r="FX12" s="42"/>
      <c r="FY12" s="42"/>
      <c r="FZ12" s="42"/>
      <c r="GA12" s="42"/>
      <c r="GB12" s="42"/>
      <c r="GC12" s="42"/>
      <c r="GD12" s="42"/>
      <c r="GE12" s="42"/>
      <c r="GF12" s="42"/>
      <c r="GG12" s="42"/>
      <c r="GH12" s="42"/>
      <c r="GI12" s="42"/>
      <c r="GJ12" s="42"/>
      <c r="GK12" s="42"/>
      <c r="GL12" s="42"/>
      <c r="GM12" s="42"/>
      <c r="GN12" s="42"/>
      <c r="GO12" s="42"/>
      <c r="GP12" s="42"/>
      <c r="GQ12" s="42"/>
      <c r="GR12" s="42"/>
      <c r="GS12" s="42"/>
      <c r="GT12" s="42"/>
      <c r="GU12" s="42"/>
      <c r="GV12" s="42"/>
      <c r="GW12" s="42"/>
      <c r="GX12" s="42"/>
      <c r="GY12" s="42"/>
      <c r="GZ12" s="42"/>
      <c r="HA12" s="42"/>
      <c r="HB12" s="42"/>
      <c r="HC12" s="42"/>
      <c r="HD12" s="42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45"/>
      <c r="IN12" s="39"/>
      <c r="IO12" s="39"/>
      <c r="IP12" s="39"/>
      <c r="IQ12" s="39"/>
      <c r="IR12" s="46"/>
      <c r="IS12" s="46"/>
      <c r="IT12" s="46"/>
      <c r="IU12" s="46"/>
      <c r="IV12" s="46"/>
      <c r="IW12" s="46"/>
      <c r="IX12" s="46"/>
      <c r="IY12" s="46"/>
      <c r="IZ12" s="162"/>
      <c r="JA12" s="162"/>
      <c r="JB12" s="162"/>
      <c r="JC12" s="46"/>
      <c r="JD12" s="46"/>
      <c r="JE12" s="46"/>
      <c r="JF12" s="46"/>
      <c r="JG12" s="46"/>
      <c r="JH12" s="46"/>
      <c r="JI12" s="46"/>
      <c r="JJ12" s="46"/>
      <c r="JK12" s="46"/>
      <c r="JL12" s="46"/>
      <c r="JM12" s="162"/>
      <c r="JN12" s="162"/>
      <c r="JO12" s="162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</row>
    <row r="13" spans="1:369" s="16" customFormat="1" ht="18" customHeight="1" thickTop="1" thickBot="1" x14ac:dyDescent="0.25">
      <c r="A13" s="2"/>
      <c r="B13" s="2"/>
      <c r="C13" s="2"/>
      <c r="D13" s="22"/>
      <c r="E13" s="22"/>
      <c r="F13" s="2"/>
      <c r="G13" s="2"/>
      <c r="H13" s="2"/>
      <c r="I13" s="2"/>
      <c r="J13" s="2"/>
      <c r="K13" s="2"/>
      <c r="L13" s="2"/>
      <c r="M13" s="2"/>
      <c r="N13" s="2"/>
      <c r="O13" s="3"/>
      <c r="P13" s="2"/>
      <c r="Q13" s="2"/>
      <c r="R13" s="4"/>
      <c r="S13" s="4"/>
      <c r="T13" s="4"/>
      <c r="U13" s="5"/>
      <c r="V13" s="4"/>
      <c r="W13" s="4"/>
      <c r="X13" s="4"/>
      <c r="Y13" s="4"/>
      <c r="Z13" s="4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9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11"/>
      <c r="IQ13" s="8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23"/>
      <c r="JD13" s="23"/>
      <c r="JE13" s="23"/>
      <c r="JF13" s="12"/>
      <c r="JG13" s="12"/>
      <c r="JH13" s="12"/>
      <c r="JI13" s="12"/>
      <c r="JJ13" s="12"/>
      <c r="JK13" s="12"/>
      <c r="JL13" s="12"/>
      <c r="JM13" s="12"/>
      <c r="JN13" s="23"/>
      <c r="JO13" s="23"/>
      <c r="JP13" s="2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4"/>
      <c r="KO13" s="14"/>
      <c r="KP13" s="14"/>
      <c r="KQ13" s="15"/>
      <c r="KR13" s="15"/>
      <c r="KS13" s="15"/>
      <c r="KT13" s="15"/>
      <c r="KU13" s="15"/>
      <c r="KV13" s="15"/>
      <c r="KW13" s="15"/>
      <c r="KX13" s="15"/>
      <c r="KY13" s="15"/>
      <c r="KZ13" s="15"/>
      <c r="LA13" s="15"/>
      <c r="LB13" s="15"/>
      <c r="LC13" s="15"/>
      <c r="LD13" s="15"/>
      <c r="LE13" s="15"/>
      <c r="LF13" s="15"/>
      <c r="LG13" s="15"/>
      <c r="LH13" s="15"/>
      <c r="LI13" s="15"/>
      <c r="LJ13" s="15"/>
      <c r="LK13" s="15"/>
      <c r="LL13" s="15"/>
      <c r="LM13" s="15"/>
      <c r="LN13" s="15"/>
      <c r="LO13" s="15"/>
      <c r="LP13" s="15"/>
      <c r="LQ13" s="15"/>
      <c r="LR13" s="15"/>
      <c r="LS13" s="15"/>
      <c r="LT13" s="15"/>
      <c r="LU13" s="15"/>
      <c r="LV13" s="15"/>
      <c r="LW13" s="15"/>
      <c r="LX13" s="14"/>
      <c r="LY13" s="14"/>
      <c r="LZ13" s="14"/>
      <c r="MA13" s="14"/>
      <c r="MB13" s="14"/>
      <c r="MC13" s="14"/>
      <c r="MD13" s="14"/>
      <c r="ME13" s="14"/>
      <c r="MF13" s="14"/>
      <c r="MG13" s="14"/>
      <c r="MH13" s="14"/>
      <c r="MI13" s="14"/>
      <c r="MJ13" s="14"/>
      <c r="MK13" s="14"/>
      <c r="ML13" s="14"/>
      <c r="MM13" s="14"/>
      <c r="MN13" s="14"/>
      <c r="MO13" s="14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</row>
    <row r="14" spans="1:369" s="18" customFormat="1" ht="27" customHeight="1" thickTop="1" thickBot="1" x14ac:dyDescent="0.25">
      <c r="A14" s="386" t="s">
        <v>116</v>
      </c>
      <c r="B14" s="387"/>
      <c r="C14" s="387"/>
      <c r="D14" s="387"/>
      <c r="E14" s="388"/>
      <c r="F14" s="17">
        <f>SUM(F10:F13)</f>
        <v>0</v>
      </c>
      <c r="G14" s="17">
        <f t="shared" ref="G14:BR14" si="7">SUM(G10:G13)</f>
        <v>0</v>
      </c>
      <c r="H14" s="17">
        <f t="shared" si="7"/>
        <v>0</v>
      </c>
      <c r="I14" s="17">
        <f t="shared" si="7"/>
        <v>0</v>
      </c>
      <c r="J14" s="17">
        <f t="shared" si="7"/>
        <v>0</v>
      </c>
      <c r="K14" s="17">
        <f t="shared" si="7"/>
        <v>0</v>
      </c>
      <c r="L14" s="17">
        <f t="shared" si="7"/>
        <v>0</v>
      </c>
      <c r="M14" s="17">
        <f t="shared" si="7"/>
        <v>0</v>
      </c>
      <c r="N14" s="17">
        <f t="shared" si="7"/>
        <v>0</v>
      </c>
      <c r="O14" s="17">
        <f t="shared" si="7"/>
        <v>0</v>
      </c>
      <c r="P14" s="17">
        <f t="shared" si="7"/>
        <v>0</v>
      </c>
      <c r="Q14" s="17">
        <f t="shared" si="7"/>
        <v>0</v>
      </c>
      <c r="R14" s="17">
        <f t="shared" si="7"/>
        <v>0</v>
      </c>
      <c r="S14" s="17">
        <f t="shared" si="7"/>
        <v>0</v>
      </c>
      <c r="T14" s="17">
        <f t="shared" si="7"/>
        <v>0</v>
      </c>
      <c r="U14" s="17">
        <f t="shared" si="7"/>
        <v>0</v>
      </c>
      <c r="V14" s="17">
        <f t="shared" si="7"/>
        <v>0</v>
      </c>
      <c r="W14" s="17">
        <f t="shared" si="7"/>
        <v>0</v>
      </c>
      <c r="X14" s="17">
        <f t="shared" si="7"/>
        <v>0</v>
      </c>
      <c r="Y14" s="17">
        <f t="shared" si="7"/>
        <v>0</v>
      </c>
      <c r="Z14" s="17">
        <f t="shared" si="7"/>
        <v>0</v>
      </c>
      <c r="AA14" s="17">
        <f t="shared" si="7"/>
        <v>0</v>
      </c>
      <c r="AB14" s="17">
        <f t="shared" si="7"/>
        <v>0</v>
      </c>
      <c r="AC14" s="17">
        <f t="shared" si="7"/>
        <v>0</v>
      </c>
      <c r="AD14" s="17">
        <f t="shared" si="7"/>
        <v>0</v>
      </c>
      <c r="AE14" s="17">
        <f t="shared" si="7"/>
        <v>0</v>
      </c>
      <c r="AF14" s="17">
        <f t="shared" si="7"/>
        <v>0</v>
      </c>
      <c r="AG14" s="17">
        <f t="shared" si="7"/>
        <v>0</v>
      </c>
      <c r="AH14" s="17">
        <f t="shared" si="7"/>
        <v>0</v>
      </c>
      <c r="AI14" s="17">
        <f t="shared" si="7"/>
        <v>0</v>
      </c>
      <c r="AJ14" s="17">
        <f t="shared" si="7"/>
        <v>0</v>
      </c>
      <c r="AK14" s="17">
        <f t="shared" si="7"/>
        <v>0</v>
      </c>
      <c r="AL14" s="17">
        <f t="shared" si="7"/>
        <v>0</v>
      </c>
      <c r="AM14" s="17">
        <f t="shared" si="7"/>
        <v>0</v>
      </c>
      <c r="AN14" s="17">
        <f t="shared" si="7"/>
        <v>0</v>
      </c>
      <c r="AO14" s="17">
        <f t="shared" si="7"/>
        <v>0</v>
      </c>
      <c r="AP14" s="17">
        <f t="shared" si="7"/>
        <v>0</v>
      </c>
      <c r="AQ14" s="17">
        <f t="shared" si="7"/>
        <v>0</v>
      </c>
      <c r="AR14" s="17">
        <f t="shared" si="7"/>
        <v>0</v>
      </c>
      <c r="AS14" s="17">
        <f t="shared" si="7"/>
        <v>0</v>
      </c>
      <c r="AT14" s="17">
        <f t="shared" si="7"/>
        <v>0</v>
      </c>
      <c r="AU14" s="17">
        <f t="shared" si="7"/>
        <v>0</v>
      </c>
      <c r="AV14" s="17">
        <f t="shared" si="7"/>
        <v>0</v>
      </c>
      <c r="AW14" s="17">
        <f t="shared" si="7"/>
        <v>0</v>
      </c>
      <c r="AX14" s="17">
        <f t="shared" si="7"/>
        <v>0</v>
      </c>
      <c r="AY14" s="17">
        <f t="shared" si="7"/>
        <v>0</v>
      </c>
      <c r="AZ14" s="17">
        <f t="shared" si="7"/>
        <v>0</v>
      </c>
      <c r="BA14" s="17">
        <f t="shared" si="7"/>
        <v>0</v>
      </c>
      <c r="BB14" s="17">
        <f t="shared" si="7"/>
        <v>0</v>
      </c>
      <c r="BC14" s="17">
        <f t="shared" si="7"/>
        <v>0</v>
      </c>
      <c r="BD14" s="17">
        <f t="shared" si="7"/>
        <v>0</v>
      </c>
      <c r="BE14" s="17">
        <f t="shared" si="7"/>
        <v>0</v>
      </c>
      <c r="BF14" s="17">
        <f t="shared" si="7"/>
        <v>0</v>
      </c>
      <c r="BG14" s="17">
        <f t="shared" si="7"/>
        <v>0</v>
      </c>
      <c r="BH14" s="17">
        <f t="shared" si="7"/>
        <v>0</v>
      </c>
      <c r="BI14" s="17">
        <f t="shared" si="7"/>
        <v>0</v>
      </c>
      <c r="BJ14" s="17">
        <f t="shared" si="7"/>
        <v>0</v>
      </c>
      <c r="BK14" s="17">
        <f t="shared" si="7"/>
        <v>0</v>
      </c>
      <c r="BL14" s="17">
        <f t="shared" si="7"/>
        <v>0</v>
      </c>
      <c r="BM14" s="17">
        <f t="shared" si="7"/>
        <v>0</v>
      </c>
      <c r="BN14" s="17">
        <f t="shared" si="7"/>
        <v>0</v>
      </c>
      <c r="BO14" s="17">
        <f t="shared" si="7"/>
        <v>0</v>
      </c>
      <c r="BP14" s="17">
        <f t="shared" si="7"/>
        <v>0</v>
      </c>
      <c r="BQ14" s="17">
        <f t="shared" si="7"/>
        <v>0</v>
      </c>
      <c r="BR14" s="17">
        <f t="shared" si="7"/>
        <v>0</v>
      </c>
      <c r="BS14" s="17">
        <f t="shared" ref="BS14:ED14" si="8">SUM(BS10:BS13)</f>
        <v>0</v>
      </c>
      <c r="BT14" s="17">
        <f t="shared" si="8"/>
        <v>0</v>
      </c>
      <c r="BU14" s="17">
        <f t="shared" si="8"/>
        <v>0</v>
      </c>
      <c r="BV14" s="17">
        <f t="shared" si="8"/>
        <v>0</v>
      </c>
      <c r="BW14" s="17">
        <f t="shared" si="8"/>
        <v>0</v>
      </c>
      <c r="BX14" s="17">
        <f t="shared" si="8"/>
        <v>0</v>
      </c>
      <c r="BY14" s="17">
        <f t="shared" si="8"/>
        <v>0</v>
      </c>
      <c r="BZ14" s="17">
        <f t="shared" si="8"/>
        <v>0</v>
      </c>
      <c r="CA14" s="17">
        <f t="shared" si="8"/>
        <v>0</v>
      </c>
      <c r="CB14" s="17">
        <f t="shared" si="8"/>
        <v>0</v>
      </c>
      <c r="CC14" s="17">
        <f t="shared" si="8"/>
        <v>0</v>
      </c>
      <c r="CD14" s="17">
        <f t="shared" si="8"/>
        <v>0</v>
      </c>
      <c r="CE14" s="17">
        <f t="shared" si="8"/>
        <v>0</v>
      </c>
      <c r="CF14" s="17">
        <f t="shared" si="8"/>
        <v>0</v>
      </c>
      <c r="CG14" s="17">
        <f t="shared" si="8"/>
        <v>0</v>
      </c>
      <c r="CH14" s="17">
        <f t="shared" si="8"/>
        <v>0</v>
      </c>
      <c r="CI14" s="17">
        <f t="shared" si="8"/>
        <v>0</v>
      </c>
      <c r="CJ14" s="17">
        <f t="shared" si="8"/>
        <v>0</v>
      </c>
      <c r="CK14" s="17">
        <f t="shared" si="8"/>
        <v>0</v>
      </c>
      <c r="CL14" s="17">
        <f t="shared" si="8"/>
        <v>0</v>
      </c>
      <c r="CM14" s="17">
        <f t="shared" si="8"/>
        <v>0</v>
      </c>
      <c r="CN14" s="17">
        <f t="shared" si="8"/>
        <v>0</v>
      </c>
      <c r="CO14" s="17">
        <f t="shared" si="8"/>
        <v>0</v>
      </c>
      <c r="CP14" s="17">
        <f t="shared" si="8"/>
        <v>0</v>
      </c>
      <c r="CQ14" s="17">
        <f t="shared" si="8"/>
        <v>0</v>
      </c>
      <c r="CR14" s="17">
        <f t="shared" si="8"/>
        <v>0</v>
      </c>
      <c r="CS14" s="17">
        <f t="shared" si="8"/>
        <v>0</v>
      </c>
      <c r="CT14" s="17">
        <f t="shared" si="8"/>
        <v>0</v>
      </c>
      <c r="CU14" s="17">
        <f t="shared" si="8"/>
        <v>0</v>
      </c>
      <c r="CV14" s="17">
        <f t="shared" si="8"/>
        <v>0</v>
      </c>
      <c r="CW14" s="17">
        <f t="shared" si="8"/>
        <v>0</v>
      </c>
      <c r="CX14" s="17">
        <f t="shared" si="8"/>
        <v>0</v>
      </c>
      <c r="CY14" s="17">
        <f t="shared" si="8"/>
        <v>0</v>
      </c>
      <c r="CZ14" s="17">
        <f t="shared" si="8"/>
        <v>0</v>
      </c>
      <c r="DA14" s="17">
        <f t="shared" si="8"/>
        <v>0</v>
      </c>
      <c r="DB14" s="17">
        <f t="shared" si="8"/>
        <v>0</v>
      </c>
      <c r="DC14" s="17">
        <f t="shared" si="8"/>
        <v>0</v>
      </c>
      <c r="DD14" s="17">
        <f t="shared" si="8"/>
        <v>0</v>
      </c>
      <c r="DE14" s="17">
        <f t="shared" si="8"/>
        <v>0</v>
      </c>
      <c r="DF14" s="17">
        <f t="shared" si="8"/>
        <v>0</v>
      </c>
      <c r="DG14" s="17">
        <f t="shared" si="8"/>
        <v>0</v>
      </c>
      <c r="DH14" s="17">
        <f t="shared" si="8"/>
        <v>0</v>
      </c>
      <c r="DI14" s="17">
        <f t="shared" si="8"/>
        <v>0</v>
      </c>
      <c r="DJ14" s="17">
        <f t="shared" si="8"/>
        <v>0</v>
      </c>
      <c r="DK14" s="17">
        <f t="shared" si="8"/>
        <v>0</v>
      </c>
      <c r="DL14" s="17">
        <f t="shared" si="8"/>
        <v>0</v>
      </c>
      <c r="DM14" s="17">
        <f t="shared" si="8"/>
        <v>0</v>
      </c>
      <c r="DN14" s="17">
        <f t="shared" si="8"/>
        <v>0</v>
      </c>
      <c r="DO14" s="17">
        <f t="shared" si="8"/>
        <v>0</v>
      </c>
      <c r="DP14" s="17">
        <f t="shared" si="8"/>
        <v>0</v>
      </c>
      <c r="DQ14" s="17">
        <f t="shared" si="8"/>
        <v>0</v>
      </c>
      <c r="DR14" s="17">
        <f t="shared" si="8"/>
        <v>0</v>
      </c>
      <c r="DS14" s="17">
        <f t="shared" si="8"/>
        <v>0</v>
      </c>
      <c r="DT14" s="17">
        <f t="shared" si="8"/>
        <v>0</v>
      </c>
      <c r="DU14" s="17">
        <f t="shared" si="8"/>
        <v>0</v>
      </c>
      <c r="DV14" s="17">
        <f t="shared" si="8"/>
        <v>0</v>
      </c>
      <c r="DW14" s="17">
        <f t="shared" si="8"/>
        <v>0</v>
      </c>
      <c r="DX14" s="17">
        <f t="shared" si="8"/>
        <v>0</v>
      </c>
      <c r="DY14" s="17">
        <f t="shared" si="8"/>
        <v>0</v>
      </c>
      <c r="DZ14" s="17">
        <f t="shared" si="8"/>
        <v>0</v>
      </c>
      <c r="EA14" s="17">
        <f t="shared" si="8"/>
        <v>0</v>
      </c>
      <c r="EB14" s="17">
        <f t="shared" si="8"/>
        <v>0</v>
      </c>
      <c r="EC14" s="17">
        <f t="shared" si="8"/>
        <v>0</v>
      </c>
      <c r="ED14" s="17">
        <f t="shared" si="8"/>
        <v>0</v>
      </c>
      <c r="EE14" s="17">
        <f t="shared" ref="EE14:GP14" si="9">SUM(EE10:EE13)</f>
        <v>0</v>
      </c>
      <c r="EF14" s="17">
        <f t="shared" si="9"/>
        <v>0</v>
      </c>
      <c r="EG14" s="17">
        <f t="shared" si="9"/>
        <v>0</v>
      </c>
      <c r="EH14" s="17">
        <f t="shared" si="9"/>
        <v>0</v>
      </c>
      <c r="EI14" s="17">
        <f t="shared" si="9"/>
        <v>0</v>
      </c>
      <c r="EJ14" s="17">
        <f t="shared" si="9"/>
        <v>0</v>
      </c>
      <c r="EK14" s="17">
        <f t="shared" si="9"/>
        <v>0</v>
      </c>
      <c r="EL14" s="17">
        <f t="shared" si="9"/>
        <v>0</v>
      </c>
      <c r="EM14" s="17">
        <f t="shared" si="9"/>
        <v>0</v>
      </c>
      <c r="EN14" s="17">
        <f t="shared" si="9"/>
        <v>0</v>
      </c>
      <c r="EO14" s="17">
        <f t="shared" si="9"/>
        <v>0</v>
      </c>
      <c r="EP14" s="17">
        <f t="shared" si="9"/>
        <v>0</v>
      </c>
      <c r="EQ14" s="17">
        <f t="shared" si="9"/>
        <v>0</v>
      </c>
      <c r="ER14" s="17">
        <f t="shared" si="9"/>
        <v>0</v>
      </c>
      <c r="ES14" s="17">
        <f t="shared" si="9"/>
        <v>0</v>
      </c>
      <c r="ET14" s="17">
        <f t="shared" si="9"/>
        <v>0</v>
      </c>
      <c r="EU14" s="17">
        <f t="shared" si="9"/>
        <v>0</v>
      </c>
      <c r="EV14" s="17">
        <f t="shared" si="9"/>
        <v>0</v>
      </c>
      <c r="EW14" s="17">
        <f t="shared" si="9"/>
        <v>0</v>
      </c>
      <c r="EX14" s="17">
        <f t="shared" si="9"/>
        <v>0</v>
      </c>
      <c r="EY14" s="17">
        <f t="shared" si="9"/>
        <v>0</v>
      </c>
      <c r="EZ14" s="17">
        <f t="shared" si="9"/>
        <v>0</v>
      </c>
      <c r="FA14" s="17">
        <f t="shared" si="9"/>
        <v>0</v>
      </c>
      <c r="FB14" s="17">
        <f t="shared" si="9"/>
        <v>0</v>
      </c>
      <c r="FC14" s="17">
        <f t="shared" si="9"/>
        <v>0</v>
      </c>
      <c r="FD14" s="17">
        <f t="shared" si="9"/>
        <v>0</v>
      </c>
      <c r="FE14" s="17">
        <f t="shared" si="9"/>
        <v>0</v>
      </c>
      <c r="FF14" s="17">
        <f t="shared" si="9"/>
        <v>0</v>
      </c>
      <c r="FG14" s="17">
        <f t="shared" si="9"/>
        <v>0</v>
      </c>
      <c r="FH14" s="17">
        <f t="shared" si="9"/>
        <v>0</v>
      </c>
      <c r="FI14" s="17">
        <f t="shared" si="9"/>
        <v>0</v>
      </c>
      <c r="FJ14" s="17">
        <f t="shared" si="9"/>
        <v>0</v>
      </c>
      <c r="FK14" s="17">
        <f t="shared" si="9"/>
        <v>0</v>
      </c>
      <c r="FL14" s="17">
        <f t="shared" si="9"/>
        <v>0</v>
      </c>
      <c r="FM14" s="17">
        <f t="shared" si="9"/>
        <v>0</v>
      </c>
      <c r="FN14" s="17">
        <f t="shared" si="9"/>
        <v>0</v>
      </c>
      <c r="FO14" s="17">
        <f t="shared" si="9"/>
        <v>0</v>
      </c>
      <c r="FP14" s="17">
        <f t="shared" si="9"/>
        <v>0</v>
      </c>
      <c r="FQ14" s="17">
        <f t="shared" si="9"/>
        <v>0</v>
      </c>
      <c r="FR14" s="17">
        <f t="shared" si="9"/>
        <v>0</v>
      </c>
      <c r="FS14" s="17">
        <f t="shared" si="9"/>
        <v>0</v>
      </c>
      <c r="FT14" s="17">
        <f t="shared" si="9"/>
        <v>0</v>
      </c>
      <c r="FU14" s="17">
        <f t="shared" si="9"/>
        <v>0</v>
      </c>
      <c r="FV14" s="17">
        <f t="shared" si="9"/>
        <v>0</v>
      </c>
      <c r="FW14" s="17">
        <f t="shared" si="9"/>
        <v>0</v>
      </c>
      <c r="FX14" s="17">
        <f t="shared" si="9"/>
        <v>0</v>
      </c>
      <c r="FY14" s="17">
        <f t="shared" si="9"/>
        <v>0</v>
      </c>
      <c r="FZ14" s="17">
        <f t="shared" si="9"/>
        <v>0</v>
      </c>
      <c r="GA14" s="17">
        <f t="shared" si="9"/>
        <v>0</v>
      </c>
      <c r="GB14" s="17">
        <f t="shared" si="9"/>
        <v>0</v>
      </c>
      <c r="GC14" s="17">
        <f t="shared" si="9"/>
        <v>0</v>
      </c>
      <c r="GD14" s="17">
        <f t="shared" si="9"/>
        <v>0</v>
      </c>
      <c r="GE14" s="17">
        <f t="shared" si="9"/>
        <v>0</v>
      </c>
      <c r="GF14" s="17">
        <f t="shared" si="9"/>
        <v>0</v>
      </c>
      <c r="GG14" s="17">
        <f t="shared" si="9"/>
        <v>0</v>
      </c>
      <c r="GH14" s="17">
        <f t="shared" si="9"/>
        <v>0</v>
      </c>
      <c r="GI14" s="17">
        <f t="shared" si="9"/>
        <v>0</v>
      </c>
      <c r="GJ14" s="17">
        <f t="shared" si="9"/>
        <v>0</v>
      </c>
      <c r="GK14" s="17">
        <f t="shared" si="9"/>
        <v>0</v>
      </c>
      <c r="GL14" s="17">
        <f t="shared" si="9"/>
        <v>0</v>
      </c>
      <c r="GM14" s="17">
        <f t="shared" si="9"/>
        <v>0</v>
      </c>
      <c r="GN14" s="17">
        <f t="shared" si="9"/>
        <v>0</v>
      </c>
      <c r="GO14" s="17">
        <f t="shared" si="9"/>
        <v>0</v>
      </c>
      <c r="GP14" s="17">
        <f t="shared" si="9"/>
        <v>0</v>
      </c>
      <c r="GQ14" s="17">
        <f t="shared" ref="GQ14:JB14" si="10">SUM(GQ10:GQ13)</f>
        <v>0</v>
      </c>
      <c r="GR14" s="17">
        <f t="shared" si="10"/>
        <v>0</v>
      </c>
      <c r="GS14" s="17">
        <f t="shared" si="10"/>
        <v>0</v>
      </c>
      <c r="GT14" s="17">
        <f t="shared" si="10"/>
        <v>0</v>
      </c>
      <c r="GU14" s="17">
        <f t="shared" si="10"/>
        <v>0</v>
      </c>
      <c r="GV14" s="17">
        <f t="shared" si="10"/>
        <v>0</v>
      </c>
      <c r="GW14" s="17">
        <f t="shared" si="10"/>
        <v>0</v>
      </c>
      <c r="GX14" s="17">
        <f t="shared" si="10"/>
        <v>0</v>
      </c>
      <c r="GY14" s="17">
        <f t="shared" si="10"/>
        <v>0</v>
      </c>
      <c r="GZ14" s="17">
        <f t="shared" si="10"/>
        <v>0</v>
      </c>
      <c r="HA14" s="17">
        <f t="shared" si="10"/>
        <v>0</v>
      </c>
      <c r="HB14" s="17">
        <f t="shared" si="10"/>
        <v>0</v>
      </c>
      <c r="HC14" s="17">
        <f t="shared" si="10"/>
        <v>0</v>
      </c>
      <c r="HD14" s="17">
        <f t="shared" si="10"/>
        <v>0</v>
      </c>
      <c r="HE14" s="17">
        <f t="shared" si="10"/>
        <v>0</v>
      </c>
      <c r="HF14" s="17">
        <f t="shared" si="10"/>
        <v>0</v>
      </c>
      <c r="HG14" s="17">
        <f t="shared" si="10"/>
        <v>0</v>
      </c>
      <c r="HH14" s="17">
        <f t="shared" si="10"/>
        <v>0</v>
      </c>
      <c r="HI14" s="17">
        <f t="shared" si="10"/>
        <v>0</v>
      </c>
      <c r="HJ14" s="17">
        <f t="shared" si="10"/>
        <v>0</v>
      </c>
      <c r="HK14" s="17">
        <f t="shared" si="10"/>
        <v>0</v>
      </c>
      <c r="HL14" s="17">
        <f t="shared" si="10"/>
        <v>0</v>
      </c>
      <c r="HM14" s="17">
        <f t="shared" si="10"/>
        <v>0</v>
      </c>
      <c r="HN14" s="17">
        <f t="shared" si="10"/>
        <v>0</v>
      </c>
      <c r="HO14" s="17">
        <f t="shared" si="10"/>
        <v>0</v>
      </c>
      <c r="HP14" s="17">
        <f t="shared" si="10"/>
        <v>0</v>
      </c>
      <c r="HQ14" s="17">
        <f t="shared" si="10"/>
        <v>0</v>
      </c>
      <c r="HR14" s="17">
        <f t="shared" si="10"/>
        <v>0</v>
      </c>
      <c r="HS14" s="17">
        <f t="shared" si="10"/>
        <v>0</v>
      </c>
      <c r="HT14" s="17">
        <f t="shared" si="10"/>
        <v>0</v>
      </c>
      <c r="HU14" s="17">
        <f t="shared" si="10"/>
        <v>0</v>
      </c>
      <c r="HV14" s="17">
        <f t="shared" si="10"/>
        <v>0</v>
      </c>
      <c r="HW14" s="17">
        <f t="shared" si="10"/>
        <v>0</v>
      </c>
      <c r="HX14" s="17">
        <f t="shared" si="10"/>
        <v>0</v>
      </c>
      <c r="HY14" s="17">
        <f t="shared" si="10"/>
        <v>0</v>
      </c>
      <c r="HZ14" s="17">
        <f t="shared" si="10"/>
        <v>0</v>
      </c>
      <c r="IA14" s="17">
        <f t="shared" si="10"/>
        <v>0</v>
      </c>
      <c r="IB14" s="17">
        <f t="shared" si="10"/>
        <v>0</v>
      </c>
      <c r="IC14" s="17">
        <f t="shared" si="10"/>
        <v>0</v>
      </c>
      <c r="ID14" s="17">
        <f t="shared" si="10"/>
        <v>0</v>
      </c>
      <c r="IE14" s="17">
        <f t="shared" si="10"/>
        <v>0</v>
      </c>
      <c r="IF14" s="17">
        <f t="shared" si="10"/>
        <v>0</v>
      </c>
      <c r="IG14" s="17">
        <f t="shared" si="10"/>
        <v>0</v>
      </c>
      <c r="IH14" s="17">
        <f t="shared" si="10"/>
        <v>0</v>
      </c>
      <c r="II14" s="17">
        <f t="shared" si="10"/>
        <v>0</v>
      </c>
      <c r="IJ14" s="17">
        <f t="shared" si="10"/>
        <v>0</v>
      </c>
      <c r="IK14" s="17">
        <f t="shared" si="10"/>
        <v>0</v>
      </c>
      <c r="IL14" s="17">
        <f t="shared" si="10"/>
        <v>0</v>
      </c>
      <c r="IM14" s="17">
        <f t="shared" si="10"/>
        <v>0</v>
      </c>
      <c r="IN14" s="17">
        <f t="shared" si="10"/>
        <v>0</v>
      </c>
      <c r="IO14" s="17">
        <f t="shared" si="10"/>
        <v>0</v>
      </c>
      <c r="IP14" s="17">
        <f t="shared" si="10"/>
        <v>0</v>
      </c>
      <c r="IQ14" s="17">
        <f t="shared" si="10"/>
        <v>0</v>
      </c>
      <c r="IR14" s="17">
        <f t="shared" si="10"/>
        <v>0</v>
      </c>
      <c r="IS14" s="17">
        <f t="shared" si="10"/>
        <v>0</v>
      </c>
      <c r="IT14" s="17">
        <f t="shared" si="10"/>
        <v>0</v>
      </c>
      <c r="IU14" s="17">
        <f t="shared" si="10"/>
        <v>0</v>
      </c>
      <c r="IV14" s="17">
        <f t="shared" si="10"/>
        <v>0</v>
      </c>
      <c r="IW14" s="17">
        <f t="shared" si="10"/>
        <v>0</v>
      </c>
      <c r="IX14" s="17">
        <f t="shared" si="10"/>
        <v>0</v>
      </c>
      <c r="IY14" s="17">
        <f t="shared" si="10"/>
        <v>0</v>
      </c>
      <c r="IZ14" s="17">
        <f t="shared" si="10"/>
        <v>0</v>
      </c>
      <c r="JA14" s="17">
        <f t="shared" si="10"/>
        <v>0</v>
      </c>
      <c r="JB14" s="17">
        <f t="shared" si="10"/>
        <v>0</v>
      </c>
      <c r="JC14" s="17">
        <f t="shared" ref="JC14:LN14" si="11">SUM(JC10:JC13)</f>
        <v>0</v>
      </c>
      <c r="JD14" s="17">
        <f t="shared" si="11"/>
        <v>0</v>
      </c>
      <c r="JE14" s="17">
        <f t="shared" si="11"/>
        <v>0</v>
      </c>
      <c r="JF14" s="17">
        <f t="shared" si="11"/>
        <v>0</v>
      </c>
      <c r="JG14" s="17">
        <f t="shared" si="11"/>
        <v>0</v>
      </c>
      <c r="JH14" s="17">
        <f t="shared" si="11"/>
        <v>0</v>
      </c>
      <c r="JI14" s="17">
        <f t="shared" si="11"/>
        <v>0</v>
      </c>
      <c r="JJ14" s="17">
        <f t="shared" si="11"/>
        <v>0</v>
      </c>
      <c r="JK14" s="17">
        <f t="shared" si="11"/>
        <v>0</v>
      </c>
      <c r="JL14" s="17">
        <f t="shared" si="11"/>
        <v>0</v>
      </c>
      <c r="JM14" s="17">
        <f t="shared" si="11"/>
        <v>0</v>
      </c>
      <c r="JN14" s="17">
        <f t="shared" si="11"/>
        <v>0</v>
      </c>
      <c r="JO14" s="17">
        <f t="shared" si="11"/>
        <v>0</v>
      </c>
      <c r="JP14" s="17">
        <f t="shared" si="11"/>
        <v>0</v>
      </c>
      <c r="JQ14" s="17">
        <f t="shared" si="11"/>
        <v>0</v>
      </c>
      <c r="JR14" s="17">
        <f t="shared" si="11"/>
        <v>0</v>
      </c>
      <c r="JS14" s="17">
        <f t="shared" si="11"/>
        <v>0</v>
      </c>
      <c r="JT14" s="17">
        <f t="shared" si="11"/>
        <v>0</v>
      </c>
      <c r="JU14" s="17">
        <f t="shared" si="11"/>
        <v>0</v>
      </c>
      <c r="JV14" s="17">
        <f t="shared" si="11"/>
        <v>0</v>
      </c>
      <c r="JW14" s="17">
        <f t="shared" si="11"/>
        <v>0</v>
      </c>
      <c r="JX14" s="17">
        <f t="shared" si="11"/>
        <v>0</v>
      </c>
      <c r="JY14" s="17">
        <f t="shared" si="11"/>
        <v>0</v>
      </c>
      <c r="JZ14" s="17">
        <f t="shared" si="11"/>
        <v>0</v>
      </c>
      <c r="KA14" s="17">
        <f t="shared" si="11"/>
        <v>0</v>
      </c>
      <c r="KB14" s="17">
        <f t="shared" si="11"/>
        <v>0</v>
      </c>
      <c r="KC14" s="17">
        <f t="shared" si="11"/>
        <v>0</v>
      </c>
      <c r="KD14" s="17">
        <f t="shared" si="11"/>
        <v>0</v>
      </c>
      <c r="KE14" s="17">
        <f t="shared" si="11"/>
        <v>0</v>
      </c>
      <c r="KF14" s="17">
        <f t="shared" si="11"/>
        <v>0</v>
      </c>
      <c r="KG14" s="17">
        <f t="shared" si="11"/>
        <v>0</v>
      </c>
      <c r="KH14" s="17">
        <f t="shared" si="11"/>
        <v>0</v>
      </c>
      <c r="KI14" s="17">
        <f t="shared" si="11"/>
        <v>0</v>
      </c>
      <c r="KJ14" s="17">
        <f t="shared" si="11"/>
        <v>0</v>
      </c>
      <c r="KK14" s="17">
        <f t="shared" si="11"/>
        <v>0</v>
      </c>
      <c r="KL14" s="17">
        <f t="shared" si="11"/>
        <v>0</v>
      </c>
      <c r="KM14" s="17">
        <f t="shared" si="11"/>
        <v>0</v>
      </c>
      <c r="KN14" s="17">
        <f t="shared" si="11"/>
        <v>0</v>
      </c>
      <c r="KO14" s="17">
        <f t="shared" si="11"/>
        <v>0</v>
      </c>
      <c r="KP14" s="17">
        <f t="shared" si="11"/>
        <v>0</v>
      </c>
      <c r="KQ14" s="17">
        <f t="shared" si="11"/>
        <v>0</v>
      </c>
      <c r="KR14" s="17">
        <f t="shared" si="11"/>
        <v>0</v>
      </c>
      <c r="KS14" s="17">
        <f t="shared" si="11"/>
        <v>0</v>
      </c>
      <c r="KT14" s="17">
        <f t="shared" si="11"/>
        <v>0</v>
      </c>
      <c r="KU14" s="17">
        <f t="shared" si="11"/>
        <v>0</v>
      </c>
      <c r="KV14" s="17">
        <f t="shared" si="11"/>
        <v>0</v>
      </c>
      <c r="KW14" s="17">
        <f t="shared" si="11"/>
        <v>0</v>
      </c>
      <c r="KX14" s="17">
        <f t="shared" si="11"/>
        <v>0</v>
      </c>
      <c r="KY14" s="17">
        <f t="shared" si="11"/>
        <v>0</v>
      </c>
      <c r="KZ14" s="17">
        <f t="shared" si="11"/>
        <v>0</v>
      </c>
      <c r="LA14" s="17">
        <f t="shared" si="11"/>
        <v>0</v>
      </c>
      <c r="LB14" s="17">
        <f t="shared" si="11"/>
        <v>0</v>
      </c>
      <c r="LC14" s="17">
        <f t="shared" si="11"/>
        <v>0</v>
      </c>
      <c r="LD14" s="17">
        <f t="shared" si="11"/>
        <v>0</v>
      </c>
      <c r="LE14" s="17">
        <f t="shared" si="11"/>
        <v>0</v>
      </c>
      <c r="LF14" s="17">
        <f t="shared" si="11"/>
        <v>0</v>
      </c>
      <c r="LG14" s="17">
        <f t="shared" si="11"/>
        <v>0</v>
      </c>
      <c r="LH14" s="17">
        <f t="shared" si="11"/>
        <v>0</v>
      </c>
      <c r="LI14" s="17">
        <f t="shared" si="11"/>
        <v>0</v>
      </c>
      <c r="LJ14" s="17">
        <f t="shared" si="11"/>
        <v>0</v>
      </c>
      <c r="LK14" s="17">
        <f t="shared" si="11"/>
        <v>0</v>
      </c>
      <c r="LL14" s="17">
        <f t="shared" si="11"/>
        <v>0</v>
      </c>
      <c r="LM14" s="17">
        <f t="shared" si="11"/>
        <v>0</v>
      </c>
      <c r="LN14" s="17">
        <f t="shared" si="11"/>
        <v>0</v>
      </c>
      <c r="LO14" s="17">
        <f t="shared" ref="LO14:ND14" si="12">SUM(LO10:LO13)</f>
        <v>0</v>
      </c>
      <c r="LP14" s="17">
        <f t="shared" si="12"/>
        <v>0</v>
      </c>
      <c r="LQ14" s="17">
        <f t="shared" si="12"/>
        <v>0</v>
      </c>
      <c r="LR14" s="17">
        <f t="shared" si="12"/>
        <v>0</v>
      </c>
      <c r="LS14" s="17">
        <f t="shared" si="12"/>
        <v>0</v>
      </c>
      <c r="LT14" s="17">
        <f t="shared" si="12"/>
        <v>0</v>
      </c>
      <c r="LU14" s="17">
        <f t="shared" si="12"/>
        <v>0</v>
      </c>
      <c r="LV14" s="17">
        <f t="shared" si="12"/>
        <v>0</v>
      </c>
      <c r="LW14" s="17">
        <f t="shared" si="12"/>
        <v>0</v>
      </c>
      <c r="LX14" s="17">
        <f t="shared" si="12"/>
        <v>0</v>
      </c>
      <c r="LY14" s="17">
        <f t="shared" si="12"/>
        <v>0</v>
      </c>
      <c r="LZ14" s="17">
        <f t="shared" si="12"/>
        <v>0</v>
      </c>
      <c r="MA14" s="17">
        <f t="shared" si="12"/>
        <v>0</v>
      </c>
      <c r="MB14" s="17">
        <f t="shared" si="12"/>
        <v>0</v>
      </c>
      <c r="MC14" s="17">
        <f t="shared" si="12"/>
        <v>0</v>
      </c>
      <c r="MD14" s="17">
        <f t="shared" si="12"/>
        <v>0</v>
      </c>
      <c r="ME14" s="17">
        <f t="shared" si="12"/>
        <v>0</v>
      </c>
      <c r="MF14" s="17">
        <f t="shared" si="12"/>
        <v>0</v>
      </c>
      <c r="MG14" s="17">
        <f t="shared" si="12"/>
        <v>0</v>
      </c>
      <c r="MH14" s="17">
        <f t="shared" si="12"/>
        <v>0</v>
      </c>
      <c r="MI14" s="17">
        <f t="shared" si="12"/>
        <v>0</v>
      </c>
      <c r="MJ14" s="17">
        <f t="shared" si="12"/>
        <v>0</v>
      </c>
      <c r="MK14" s="17">
        <f t="shared" si="12"/>
        <v>0</v>
      </c>
      <c r="ML14" s="17">
        <f t="shared" si="12"/>
        <v>0</v>
      </c>
      <c r="MM14" s="17">
        <f t="shared" si="12"/>
        <v>0</v>
      </c>
      <c r="MN14" s="17">
        <f t="shared" si="12"/>
        <v>0</v>
      </c>
      <c r="MO14" s="17">
        <f t="shared" si="12"/>
        <v>0</v>
      </c>
      <c r="MP14" s="17">
        <f t="shared" si="12"/>
        <v>0</v>
      </c>
      <c r="MQ14" s="17">
        <f t="shared" si="12"/>
        <v>0</v>
      </c>
      <c r="MR14" s="17">
        <f t="shared" si="12"/>
        <v>0</v>
      </c>
      <c r="MS14" s="17">
        <f t="shared" si="12"/>
        <v>0</v>
      </c>
      <c r="MT14" s="17">
        <f t="shared" si="12"/>
        <v>0</v>
      </c>
      <c r="MU14" s="17">
        <f t="shared" si="12"/>
        <v>0</v>
      </c>
      <c r="MV14" s="17">
        <f t="shared" si="12"/>
        <v>0</v>
      </c>
      <c r="MW14" s="17">
        <f t="shared" si="12"/>
        <v>0</v>
      </c>
      <c r="MX14" s="17">
        <f t="shared" si="12"/>
        <v>0</v>
      </c>
      <c r="MY14" s="17">
        <f t="shared" si="12"/>
        <v>0</v>
      </c>
      <c r="MZ14" s="17">
        <f t="shared" si="12"/>
        <v>0</v>
      </c>
      <c r="NA14" s="17">
        <f t="shared" si="12"/>
        <v>0</v>
      </c>
      <c r="NB14" s="17">
        <f t="shared" si="12"/>
        <v>0</v>
      </c>
      <c r="NC14" s="17">
        <f t="shared" si="12"/>
        <v>0</v>
      </c>
      <c r="ND14" s="17">
        <f t="shared" si="12"/>
        <v>0</v>
      </c>
    </row>
    <row r="15" spans="1:369" s="49" customFormat="1" ht="21" customHeight="1" thickBot="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66"/>
      <c r="S15" s="66"/>
      <c r="T15" s="66"/>
      <c r="U15" s="66"/>
      <c r="V15" s="66"/>
      <c r="W15" s="6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7"/>
      <c r="AM15" s="38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40"/>
      <c r="AZ15" s="38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  <c r="CC15" s="39"/>
      <c r="CD15" s="39"/>
      <c r="CE15" s="39"/>
      <c r="CF15" s="39"/>
      <c r="CG15" s="39"/>
      <c r="CH15" s="39"/>
      <c r="CI15" s="39"/>
      <c r="CJ15" s="39"/>
      <c r="CK15" s="39"/>
      <c r="CL15" s="39"/>
      <c r="CM15" s="39"/>
      <c r="CN15" s="39"/>
      <c r="CO15" s="39"/>
      <c r="CP15" s="39"/>
      <c r="CQ15" s="39"/>
      <c r="CR15" s="39"/>
      <c r="CS15" s="39"/>
      <c r="CT15" s="39"/>
      <c r="CU15" s="39"/>
      <c r="CV15" s="39"/>
      <c r="CW15" s="39"/>
      <c r="CX15" s="39"/>
      <c r="CY15" s="39"/>
      <c r="CZ15" s="39"/>
      <c r="DA15" s="39"/>
      <c r="DB15" s="41"/>
      <c r="DC15" s="42"/>
      <c r="DD15" s="42"/>
      <c r="DE15" s="42"/>
      <c r="DF15" s="42"/>
      <c r="DG15" s="42"/>
      <c r="DH15" s="42"/>
      <c r="DI15" s="42"/>
      <c r="DJ15" s="42"/>
      <c r="DK15" s="42"/>
      <c r="DL15" s="42"/>
      <c r="DM15" s="42"/>
      <c r="DN15" s="42"/>
      <c r="DO15" s="42"/>
      <c r="DP15" s="42"/>
      <c r="DQ15" s="42"/>
      <c r="DR15" s="42"/>
      <c r="DS15" s="42"/>
      <c r="DT15" s="42"/>
      <c r="DU15" s="42"/>
      <c r="DV15" s="42"/>
      <c r="DW15" s="42"/>
      <c r="DX15" s="42"/>
      <c r="DY15" s="42"/>
      <c r="DZ15" s="42"/>
      <c r="EA15" s="42"/>
      <c r="EB15" s="42"/>
      <c r="EC15" s="42"/>
      <c r="ED15" s="42"/>
      <c r="EE15" s="42"/>
      <c r="EF15" s="42"/>
      <c r="EG15" s="42"/>
      <c r="EH15" s="42"/>
      <c r="EI15" s="42"/>
      <c r="EJ15" s="42"/>
      <c r="EK15" s="42"/>
      <c r="EL15" s="42"/>
      <c r="EM15" s="42"/>
      <c r="EN15" s="42"/>
      <c r="EO15" s="42"/>
      <c r="EP15" s="42"/>
      <c r="EQ15" s="42"/>
      <c r="ER15" s="42"/>
      <c r="ES15" s="42"/>
      <c r="ET15" s="42"/>
      <c r="EU15" s="42"/>
      <c r="EV15" s="42"/>
      <c r="EW15" s="42"/>
      <c r="EX15" s="42"/>
      <c r="EY15" s="42"/>
      <c r="EZ15" s="43"/>
      <c r="FA15" s="44"/>
      <c r="FB15" s="42"/>
      <c r="FC15" s="42"/>
      <c r="FD15" s="42"/>
      <c r="FE15" s="42"/>
      <c r="FF15" s="42"/>
      <c r="FG15" s="42"/>
      <c r="FH15" s="42"/>
      <c r="FI15" s="42"/>
      <c r="FJ15" s="42"/>
      <c r="FK15" s="42"/>
      <c r="FL15" s="42"/>
      <c r="FM15" s="42"/>
      <c r="FN15" s="42"/>
      <c r="FO15" s="42"/>
      <c r="FP15" s="42"/>
      <c r="FQ15" s="42"/>
      <c r="FR15" s="42"/>
      <c r="FS15" s="42"/>
      <c r="FT15" s="42"/>
      <c r="FU15" s="42"/>
      <c r="FV15" s="42"/>
      <c r="FW15" s="42"/>
      <c r="FX15" s="42"/>
      <c r="FY15" s="42"/>
      <c r="FZ15" s="42"/>
      <c r="GA15" s="42"/>
      <c r="GB15" s="42"/>
      <c r="GC15" s="42"/>
      <c r="GD15" s="42"/>
      <c r="GE15" s="42"/>
      <c r="GF15" s="42"/>
      <c r="GG15" s="42"/>
      <c r="GH15" s="42"/>
      <c r="GI15" s="42"/>
      <c r="GJ15" s="42"/>
      <c r="GK15" s="42"/>
      <c r="GL15" s="42"/>
      <c r="GM15" s="42"/>
      <c r="GN15" s="42"/>
      <c r="GO15" s="42"/>
      <c r="GP15" s="42"/>
      <c r="GQ15" s="42"/>
      <c r="GR15" s="42"/>
      <c r="GS15" s="42"/>
      <c r="GT15" s="42"/>
      <c r="GU15" s="42"/>
      <c r="GV15" s="42"/>
      <c r="GW15" s="42"/>
      <c r="GX15" s="42"/>
      <c r="GY15" s="42"/>
      <c r="GZ15" s="42"/>
      <c r="HA15" s="42"/>
      <c r="HB15" s="42"/>
      <c r="HC15" s="42"/>
      <c r="HD15" s="42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45"/>
      <c r="IN15" s="39"/>
      <c r="IO15" s="39"/>
      <c r="IP15" s="39"/>
      <c r="IQ15" s="39"/>
      <c r="IR15" s="46"/>
      <c r="IS15" s="46"/>
      <c r="IT15" s="46"/>
      <c r="IU15" s="46"/>
      <c r="IV15" s="46"/>
      <c r="IW15" s="46"/>
      <c r="IX15" s="46"/>
      <c r="IY15" s="46"/>
      <c r="IZ15" s="67"/>
      <c r="JA15" s="67"/>
      <c r="JB15" s="67"/>
      <c r="JC15" s="46"/>
      <c r="JD15" s="46"/>
      <c r="JE15" s="46"/>
      <c r="JF15" s="46"/>
      <c r="JG15" s="46"/>
      <c r="JH15" s="46"/>
      <c r="JI15" s="46"/>
      <c r="JJ15" s="46"/>
      <c r="JK15" s="46"/>
      <c r="JL15" s="46"/>
      <c r="JM15" s="67"/>
      <c r="JN15" s="67"/>
      <c r="JO15" s="67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14"/>
      <c r="LY15" s="14"/>
      <c r="LZ15" s="14"/>
      <c r="MA15" s="14"/>
      <c r="MB15" s="14"/>
      <c r="MC15" s="14"/>
      <c r="MD15" s="14"/>
      <c r="ME15" s="14"/>
      <c r="MF15" s="14"/>
      <c r="MG15" s="14"/>
      <c r="MH15" s="14"/>
      <c r="MI15" s="14"/>
      <c r="MJ15" s="14"/>
      <c r="MK15" s="14"/>
      <c r="ML15" s="14"/>
      <c r="MM15" s="14"/>
      <c r="MN15" s="14"/>
      <c r="MO15" s="14"/>
      <c r="MP15" s="14"/>
      <c r="MQ15" s="14"/>
      <c r="MR15" s="14"/>
      <c r="MS15" s="14"/>
      <c r="MT15" s="14"/>
      <c r="MU15" s="14"/>
      <c r="MV15" s="14"/>
      <c r="MW15" s="14"/>
      <c r="MX15" s="14"/>
      <c r="MY15" s="14"/>
      <c r="MZ15" s="14"/>
      <c r="NA15" s="14"/>
      <c r="NB15" s="14"/>
      <c r="NC15" s="14"/>
      <c r="ND15" s="14"/>
    </row>
    <row r="16" spans="1:369" s="49" customFormat="1" ht="21" customHeight="1" x14ac:dyDescent="0.2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66"/>
      <c r="S16" s="66"/>
      <c r="T16" s="66"/>
      <c r="U16" s="66"/>
      <c r="V16" s="66"/>
      <c r="W16" s="6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7"/>
      <c r="AM16" s="38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40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41"/>
      <c r="DC16" s="42"/>
      <c r="DD16" s="42"/>
      <c r="DE16" s="42"/>
      <c r="DF16" s="42"/>
      <c r="DG16" s="42"/>
      <c r="DH16" s="42"/>
      <c r="DI16" s="42"/>
      <c r="DJ16" s="42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2"/>
      <c r="ES16" s="42"/>
      <c r="ET16" s="42"/>
      <c r="EU16" s="42"/>
      <c r="EV16" s="42"/>
      <c r="EW16" s="42"/>
      <c r="EX16" s="42"/>
      <c r="EY16" s="42"/>
      <c r="EZ16" s="43"/>
      <c r="FA16" s="44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2"/>
      <c r="GG16" s="42"/>
      <c r="GH16" s="42"/>
      <c r="GI16" s="42"/>
      <c r="GJ16" s="42"/>
      <c r="GK16" s="42"/>
      <c r="GL16" s="42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45"/>
      <c r="IN16" s="39"/>
      <c r="IO16" s="39"/>
      <c r="IP16" s="39"/>
      <c r="IQ16" s="39"/>
      <c r="IR16" s="46"/>
      <c r="IS16" s="46"/>
      <c r="IT16" s="46"/>
      <c r="IU16" s="46"/>
      <c r="IV16" s="46"/>
      <c r="IW16" s="46"/>
      <c r="IX16" s="46"/>
      <c r="IY16" s="46"/>
      <c r="IZ16" s="67"/>
      <c r="JA16" s="67"/>
      <c r="JB16" s="67"/>
      <c r="JC16" s="46"/>
      <c r="JD16" s="46"/>
      <c r="JE16" s="46"/>
      <c r="JF16" s="46"/>
      <c r="JG16" s="46"/>
      <c r="JH16" s="46"/>
      <c r="JI16" s="46"/>
      <c r="JJ16" s="46"/>
      <c r="JK16" s="46"/>
      <c r="JL16" s="46"/>
      <c r="JM16" s="67"/>
      <c r="JN16" s="67"/>
      <c r="JO16" s="67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14"/>
      <c r="LY16" s="14"/>
      <c r="LZ16" s="14"/>
      <c r="MA16" s="14"/>
      <c r="MB16" s="14"/>
      <c r="MC16" s="14"/>
      <c r="MD16" s="14"/>
      <c r="ME16" s="14"/>
      <c r="MF16" s="14"/>
      <c r="MG16" s="14"/>
      <c r="MH16" s="14"/>
      <c r="MI16" s="14"/>
      <c r="MJ16" s="14"/>
      <c r="MK16" s="14"/>
      <c r="ML16" s="14"/>
      <c r="MM16" s="14"/>
      <c r="MN16" s="14"/>
      <c r="MO16" s="14"/>
      <c r="MP16" s="14"/>
      <c r="MQ16" s="14"/>
      <c r="MR16" s="14"/>
      <c r="MS16" s="14"/>
      <c r="MT16" s="14"/>
      <c r="MU16" s="14"/>
      <c r="MV16" s="14"/>
      <c r="MW16" s="14"/>
      <c r="MX16" s="14"/>
      <c r="MY16" s="14"/>
      <c r="MZ16" s="14"/>
      <c r="NA16" s="14"/>
      <c r="NB16" s="14"/>
      <c r="NC16" s="14"/>
      <c r="ND16" s="14"/>
    </row>
    <row r="17" spans="1:368" s="18" customFormat="1" ht="32.25" customHeight="1" x14ac:dyDescent="0.2">
      <c r="A17" s="386" t="s">
        <v>117</v>
      </c>
      <c r="B17" s="387"/>
      <c r="C17" s="387"/>
      <c r="D17" s="387"/>
      <c r="E17" s="388"/>
      <c r="F17" s="17">
        <f>SUM(F15:F16)</f>
        <v>0</v>
      </c>
      <c r="G17" s="17">
        <f t="shared" ref="G17:BR17" si="13">SUM(G15:G16)</f>
        <v>0</v>
      </c>
      <c r="H17" s="17">
        <f t="shared" si="13"/>
        <v>0</v>
      </c>
      <c r="I17" s="17">
        <f t="shared" si="13"/>
        <v>0</v>
      </c>
      <c r="J17" s="17">
        <f t="shared" si="13"/>
        <v>0</v>
      </c>
      <c r="K17" s="17">
        <f t="shared" si="13"/>
        <v>0</v>
      </c>
      <c r="L17" s="17">
        <f t="shared" si="13"/>
        <v>0</v>
      </c>
      <c r="M17" s="17">
        <f t="shared" si="13"/>
        <v>0</v>
      </c>
      <c r="N17" s="17">
        <f t="shared" si="13"/>
        <v>0</v>
      </c>
      <c r="O17" s="17">
        <f t="shared" si="13"/>
        <v>0</v>
      </c>
      <c r="P17" s="17">
        <f t="shared" si="13"/>
        <v>0</v>
      </c>
      <c r="Q17" s="17">
        <f t="shared" si="13"/>
        <v>0</v>
      </c>
      <c r="R17" s="17">
        <f t="shared" si="13"/>
        <v>0</v>
      </c>
      <c r="S17" s="17">
        <f t="shared" si="13"/>
        <v>0</v>
      </c>
      <c r="T17" s="17">
        <f t="shared" si="13"/>
        <v>0</v>
      </c>
      <c r="U17" s="17">
        <f t="shared" si="13"/>
        <v>0</v>
      </c>
      <c r="V17" s="17">
        <f t="shared" si="13"/>
        <v>0</v>
      </c>
      <c r="W17" s="17">
        <f t="shared" si="13"/>
        <v>0</v>
      </c>
      <c r="X17" s="17">
        <f t="shared" si="13"/>
        <v>0</v>
      </c>
      <c r="Y17" s="17">
        <f t="shared" si="13"/>
        <v>0</v>
      </c>
      <c r="Z17" s="17">
        <f t="shared" si="13"/>
        <v>0</v>
      </c>
      <c r="AA17" s="17">
        <f t="shared" si="13"/>
        <v>0</v>
      </c>
      <c r="AB17" s="17">
        <f t="shared" si="13"/>
        <v>0</v>
      </c>
      <c r="AC17" s="17">
        <f t="shared" si="13"/>
        <v>0</v>
      </c>
      <c r="AD17" s="17">
        <f t="shared" si="13"/>
        <v>0</v>
      </c>
      <c r="AE17" s="17">
        <f t="shared" si="13"/>
        <v>0</v>
      </c>
      <c r="AF17" s="17">
        <f t="shared" si="13"/>
        <v>0</v>
      </c>
      <c r="AG17" s="17">
        <f t="shared" si="13"/>
        <v>0</v>
      </c>
      <c r="AH17" s="17">
        <f t="shared" si="13"/>
        <v>0</v>
      </c>
      <c r="AI17" s="17">
        <f t="shared" si="13"/>
        <v>0</v>
      </c>
      <c r="AJ17" s="17">
        <f t="shared" si="13"/>
        <v>0</v>
      </c>
      <c r="AK17" s="17">
        <f t="shared" si="13"/>
        <v>0</v>
      </c>
      <c r="AL17" s="17">
        <f t="shared" si="13"/>
        <v>0</v>
      </c>
      <c r="AM17" s="17">
        <f t="shared" si="13"/>
        <v>0</v>
      </c>
      <c r="AN17" s="17">
        <f t="shared" si="13"/>
        <v>0</v>
      </c>
      <c r="AO17" s="17">
        <f t="shared" si="13"/>
        <v>0</v>
      </c>
      <c r="AP17" s="17">
        <f t="shared" si="13"/>
        <v>0</v>
      </c>
      <c r="AQ17" s="17">
        <f t="shared" si="13"/>
        <v>0</v>
      </c>
      <c r="AR17" s="17">
        <f t="shared" si="13"/>
        <v>0</v>
      </c>
      <c r="AS17" s="17">
        <f t="shared" si="13"/>
        <v>0</v>
      </c>
      <c r="AT17" s="17">
        <f t="shared" si="13"/>
        <v>0</v>
      </c>
      <c r="AU17" s="17">
        <f t="shared" si="13"/>
        <v>0</v>
      </c>
      <c r="AV17" s="17">
        <f t="shared" si="13"/>
        <v>0</v>
      </c>
      <c r="AW17" s="17">
        <f t="shared" si="13"/>
        <v>0</v>
      </c>
      <c r="AX17" s="17">
        <f t="shared" si="13"/>
        <v>0</v>
      </c>
      <c r="AY17" s="17">
        <f t="shared" si="13"/>
        <v>0</v>
      </c>
      <c r="AZ17" s="17">
        <f t="shared" si="13"/>
        <v>0</v>
      </c>
      <c r="BA17" s="17">
        <f t="shared" si="13"/>
        <v>0</v>
      </c>
      <c r="BB17" s="17">
        <f t="shared" si="13"/>
        <v>0</v>
      </c>
      <c r="BC17" s="17">
        <f t="shared" si="13"/>
        <v>0</v>
      </c>
      <c r="BD17" s="17">
        <f t="shared" si="13"/>
        <v>0</v>
      </c>
      <c r="BE17" s="17">
        <f t="shared" si="13"/>
        <v>0</v>
      </c>
      <c r="BF17" s="17">
        <f t="shared" si="13"/>
        <v>0</v>
      </c>
      <c r="BG17" s="17">
        <f t="shared" si="13"/>
        <v>0</v>
      </c>
      <c r="BH17" s="17">
        <f t="shared" si="13"/>
        <v>0</v>
      </c>
      <c r="BI17" s="17">
        <f t="shared" si="13"/>
        <v>0</v>
      </c>
      <c r="BJ17" s="17">
        <f t="shared" si="13"/>
        <v>0</v>
      </c>
      <c r="BK17" s="17">
        <f t="shared" si="13"/>
        <v>0</v>
      </c>
      <c r="BL17" s="17">
        <f t="shared" si="13"/>
        <v>0</v>
      </c>
      <c r="BM17" s="17">
        <f t="shared" si="13"/>
        <v>0</v>
      </c>
      <c r="BN17" s="17">
        <f t="shared" si="13"/>
        <v>0</v>
      </c>
      <c r="BO17" s="17">
        <f t="shared" si="13"/>
        <v>0</v>
      </c>
      <c r="BP17" s="17">
        <f t="shared" si="13"/>
        <v>0</v>
      </c>
      <c r="BQ17" s="17">
        <f t="shared" si="13"/>
        <v>0</v>
      </c>
      <c r="BR17" s="17">
        <f t="shared" si="13"/>
        <v>0</v>
      </c>
      <c r="BS17" s="17">
        <f>SUM(BS15:BS16)</f>
        <v>0</v>
      </c>
      <c r="BT17" s="17">
        <f>SUM(BT15:BT16)</f>
        <v>0</v>
      </c>
      <c r="BU17" s="17">
        <f>SUM(BU15:BU16)</f>
        <v>0</v>
      </c>
      <c r="BV17" s="17">
        <f>SUM(BV15:BV16)</f>
        <v>0</v>
      </c>
      <c r="BW17" s="17">
        <f t="shared" ref="BW17:ED17" si="14">SUM(BW15:BW16)</f>
        <v>0</v>
      </c>
      <c r="BX17" s="17">
        <f t="shared" si="14"/>
        <v>0</v>
      </c>
      <c r="BY17" s="17">
        <f t="shared" si="14"/>
        <v>0</v>
      </c>
      <c r="BZ17" s="17">
        <f t="shared" si="14"/>
        <v>0</v>
      </c>
      <c r="CA17" s="17">
        <f t="shared" si="14"/>
        <v>0</v>
      </c>
      <c r="CB17" s="17">
        <f t="shared" si="14"/>
        <v>0</v>
      </c>
      <c r="CC17" s="17">
        <f t="shared" si="14"/>
        <v>0</v>
      </c>
      <c r="CD17" s="17">
        <f t="shared" si="14"/>
        <v>0</v>
      </c>
      <c r="CE17" s="17">
        <f t="shared" si="14"/>
        <v>0</v>
      </c>
      <c r="CF17" s="17">
        <f t="shared" si="14"/>
        <v>0</v>
      </c>
      <c r="CG17" s="17">
        <f t="shared" si="14"/>
        <v>0</v>
      </c>
      <c r="CH17" s="17">
        <f t="shared" si="14"/>
        <v>0</v>
      </c>
      <c r="CI17" s="17">
        <f t="shared" si="14"/>
        <v>0</v>
      </c>
      <c r="CJ17" s="17">
        <f t="shared" si="14"/>
        <v>0</v>
      </c>
      <c r="CK17" s="17">
        <f t="shared" si="14"/>
        <v>0</v>
      </c>
      <c r="CL17" s="17">
        <f t="shared" si="14"/>
        <v>0</v>
      </c>
      <c r="CM17" s="17">
        <f t="shared" si="14"/>
        <v>0</v>
      </c>
      <c r="CN17" s="17">
        <f t="shared" si="14"/>
        <v>0</v>
      </c>
      <c r="CO17" s="17">
        <f t="shared" si="14"/>
        <v>0</v>
      </c>
      <c r="CP17" s="17">
        <f t="shared" si="14"/>
        <v>0</v>
      </c>
      <c r="CQ17" s="17">
        <f t="shared" si="14"/>
        <v>0</v>
      </c>
      <c r="CR17" s="17">
        <f t="shared" si="14"/>
        <v>0</v>
      </c>
      <c r="CS17" s="17">
        <f t="shared" si="14"/>
        <v>0</v>
      </c>
      <c r="CT17" s="17">
        <f t="shared" si="14"/>
        <v>0</v>
      </c>
      <c r="CU17" s="17">
        <f t="shared" si="14"/>
        <v>0</v>
      </c>
      <c r="CV17" s="17">
        <f t="shared" si="14"/>
        <v>0</v>
      </c>
      <c r="CW17" s="17">
        <f t="shared" si="14"/>
        <v>0</v>
      </c>
      <c r="CX17" s="17">
        <f t="shared" si="14"/>
        <v>0</v>
      </c>
      <c r="CY17" s="17">
        <f t="shared" si="14"/>
        <v>0</v>
      </c>
      <c r="CZ17" s="17">
        <f t="shared" si="14"/>
        <v>0</v>
      </c>
      <c r="DA17" s="17">
        <f t="shared" si="14"/>
        <v>0</v>
      </c>
      <c r="DB17" s="17">
        <f t="shared" si="14"/>
        <v>0</v>
      </c>
      <c r="DC17" s="17">
        <f t="shared" si="14"/>
        <v>0</v>
      </c>
      <c r="DD17" s="17">
        <f t="shared" si="14"/>
        <v>0</v>
      </c>
      <c r="DE17" s="17">
        <f t="shared" si="14"/>
        <v>0</v>
      </c>
      <c r="DF17" s="17">
        <f t="shared" si="14"/>
        <v>0</v>
      </c>
      <c r="DG17" s="17">
        <f t="shared" si="14"/>
        <v>0</v>
      </c>
      <c r="DH17" s="17">
        <f t="shared" si="14"/>
        <v>0</v>
      </c>
      <c r="DI17" s="17">
        <f t="shared" si="14"/>
        <v>0</v>
      </c>
      <c r="DJ17" s="17">
        <f t="shared" si="14"/>
        <v>0</v>
      </c>
      <c r="DK17" s="17">
        <f t="shared" si="14"/>
        <v>0</v>
      </c>
      <c r="DL17" s="17">
        <f t="shared" si="14"/>
        <v>0</v>
      </c>
      <c r="DM17" s="17">
        <f t="shared" si="14"/>
        <v>0</v>
      </c>
      <c r="DN17" s="17">
        <f t="shared" si="14"/>
        <v>0</v>
      </c>
      <c r="DO17" s="17">
        <f t="shared" si="14"/>
        <v>0</v>
      </c>
      <c r="DP17" s="17">
        <f t="shared" si="14"/>
        <v>0</v>
      </c>
      <c r="DQ17" s="17">
        <f t="shared" si="14"/>
        <v>0</v>
      </c>
      <c r="DR17" s="17">
        <f t="shared" si="14"/>
        <v>0</v>
      </c>
      <c r="DS17" s="17">
        <f t="shared" si="14"/>
        <v>0</v>
      </c>
      <c r="DT17" s="17">
        <f t="shared" si="14"/>
        <v>0</v>
      </c>
      <c r="DU17" s="17">
        <f t="shared" si="14"/>
        <v>0</v>
      </c>
      <c r="DV17" s="17">
        <f t="shared" si="14"/>
        <v>0</v>
      </c>
      <c r="DW17" s="17">
        <f t="shared" si="14"/>
        <v>0</v>
      </c>
      <c r="DX17" s="17">
        <f t="shared" si="14"/>
        <v>0</v>
      </c>
      <c r="DY17" s="17">
        <f t="shared" si="14"/>
        <v>0</v>
      </c>
      <c r="DZ17" s="17">
        <f t="shared" si="14"/>
        <v>0</v>
      </c>
      <c r="EA17" s="17">
        <f t="shared" si="14"/>
        <v>0</v>
      </c>
      <c r="EB17" s="17">
        <f t="shared" si="14"/>
        <v>0</v>
      </c>
      <c r="EC17" s="17">
        <f t="shared" si="14"/>
        <v>0</v>
      </c>
      <c r="ED17" s="17">
        <f t="shared" si="14"/>
        <v>0</v>
      </c>
      <c r="EE17" s="17">
        <f t="shared" ref="EE17:GP17" si="15">SUM(EE15:EE16)</f>
        <v>0</v>
      </c>
      <c r="EF17" s="17">
        <f t="shared" si="15"/>
        <v>0</v>
      </c>
      <c r="EG17" s="17">
        <f t="shared" si="15"/>
        <v>0</v>
      </c>
      <c r="EH17" s="17">
        <f t="shared" si="15"/>
        <v>0</v>
      </c>
      <c r="EI17" s="17">
        <f t="shared" si="15"/>
        <v>0</v>
      </c>
      <c r="EJ17" s="17">
        <f t="shared" si="15"/>
        <v>0</v>
      </c>
      <c r="EK17" s="17">
        <f t="shared" si="15"/>
        <v>0</v>
      </c>
      <c r="EL17" s="17">
        <f t="shared" si="15"/>
        <v>0</v>
      </c>
      <c r="EM17" s="17">
        <f t="shared" si="15"/>
        <v>0</v>
      </c>
      <c r="EN17" s="17">
        <f t="shared" si="15"/>
        <v>0</v>
      </c>
      <c r="EO17" s="17">
        <f t="shared" si="15"/>
        <v>0</v>
      </c>
      <c r="EP17" s="17">
        <f t="shared" si="15"/>
        <v>0</v>
      </c>
      <c r="EQ17" s="17">
        <f t="shared" si="15"/>
        <v>0</v>
      </c>
      <c r="ER17" s="17">
        <f t="shared" si="15"/>
        <v>0</v>
      </c>
      <c r="ES17" s="17">
        <f t="shared" si="15"/>
        <v>0</v>
      </c>
      <c r="ET17" s="17">
        <f t="shared" si="15"/>
        <v>0</v>
      </c>
      <c r="EU17" s="17">
        <f t="shared" si="15"/>
        <v>0</v>
      </c>
      <c r="EV17" s="17">
        <f t="shared" si="15"/>
        <v>0</v>
      </c>
      <c r="EW17" s="17">
        <f t="shared" si="15"/>
        <v>0</v>
      </c>
      <c r="EX17" s="17">
        <f t="shared" si="15"/>
        <v>0</v>
      </c>
      <c r="EY17" s="17">
        <f t="shared" si="15"/>
        <v>0</v>
      </c>
      <c r="EZ17" s="17">
        <f t="shared" si="15"/>
        <v>0</v>
      </c>
      <c r="FA17" s="17">
        <f t="shared" si="15"/>
        <v>0</v>
      </c>
      <c r="FB17" s="17">
        <f t="shared" si="15"/>
        <v>0</v>
      </c>
      <c r="FC17" s="17">
        <f t="shared" si="15"/>
        <v>0</v>
      </c>
      <c r="FD17" s="17">
        <f t="shared" si="15"/>
        <v>0</v>
      </c>
      <c r="FE17" s="17">
        <f t="shared" si="15"/>
        <v>0</v>
      </c>
      <c r="FF17" s="17">
        <f t="shared" si="15"/>
        <v>0</v>
      </c>
      <c r="FG17" s="17">
        <f t="shared" si="15"/>
        <v>0</v>
      </c>
      <c r="FH17" s="17">
        <f t="shared" si="15"/>
        <v>0</v>
      </c>
      <c r="FI17" s="17">
        <f t="shared" si="15"/>
        <v>0</v>
      </c>
      <c r="FJ17" s="17">
        <f t="shared" si="15"/>
        <v>0</v>
      </c>
      <c r="FK17" s="17">
        <f t="shared" si="15"/>
        <v>0</v>
      </c>
      <c r="FL17" s="17">
        <f t="shared" si="15"/>
        <v>0</v>
      </c>
      <c r="FM17" s="17">
        <f t="shared" si="15"/>
        <v>0</v>
      </c>
      <c r="FN17" s="17">
        <f t="shared" si="15"/>
        <v>0</v>
      </c>
      <c r="FO17" s="17">
        <f t="shared" si="15"/>
        <v>0</v>
      </c>
      <c r="FP17" s="17">
        <f t="shared" si="15"/>
        <v>0</v>
      </c>
      <c r="FQ17" s="17">
        <f t="shared" si="15"/>
        <v>0</v>
      </c>
      <c r="FR17" s="17">
        <f t="shared" si="15"/>
        <v>0</v>
      </c>
      <c r="FS17" s="17">
        <f t="shared" si="15"/>
        <v>0</v>
      </c>
      <c r="FT17" s="17">
        <f t="shared" si="15"/>
        <v>0</v>
      </c>
      <c r="FU17" s="17">
        <f t="shared" si="15"/>
        <v>0</v>
      </c>
      <c r="FV17" s="17">
        <f t="shared" si="15"/>
        <v>0</v>
      </c>
      <c r="FW17" s="17">
        <f t="shared" si="15"/>
        <v>0</v>
      </c>
      <c r="FX17" s="17">
        <f t="shared" si="15"/>
        <v>0</v>
      </c>
      <c r="FY17" s="17">
        <f t="shared" si="15"/>
        <v>0</v>
      </c>
      <c r="FZ17" s="17">
        <f t="shared" si="15"/>
        <v>0</v>
      </c>
      <c r="GA17" s="17">
        <f t="shared" si="15"/>
        <v>0</v>
      </c>
      <c r="GB17" s="17">
        <f t="shared" si="15"/>
        <v>0</v>
      </c>
      <c r="GC17" s="17">
        <f t="shared" si="15"/>
        <v>0</v>
      </c>
      <c r="GD17" s="17">
        <f t="shared" si="15"/>
        <v>0</v>
      </c>
      <c r="GE17" s="17">
        <f t="shared" si="15"/>
        <v>0</v>
      </c>
      <c r="GF17" s="17">
        <f t="shared" si="15"/>
        <v>0</v>
      </c>
      <c r="GG17" s="17">
        <f t="shared" si="15"/>
        <v>0</v>
      </c>
      <c r="GH17" s="17">
        <f t="shared" si="15"/>
        <v>0</v>
      </c>
      <c r="GI17" s="17">
        <f t="shared" si="15"/>
        <v>0</v>
      </c>
      <c r="GJ17" s="17">
        <f t="shared" si="15"/>
        <v>0</v>
      </c>
      <c r="GK17" s="17">
        <f t="shared" si="15"/>
        <v>0</v>
      </c>
      <c r="GL17" s="17">
        <f t="shared" si="15"/>
        <v>0</v>
      </c>
      <c r="GM17" s="17">
        <f t="shared" si="15"/>
        <v>0</v>
      </c>
      <c r="GN17" s="17">
        <f t="shared" si="15"/>
        <v>0</v>
      </c>
      <c r="GO17" s="17">
        <f t="shared" si="15"/>
        <v>0</v>
      </c>
      <c r="GP17" s="17">
        <f t="shared" si="15"/>
        <v>0</v>
      </c>
      <c r="GQ17" s="17">
        <f t="shared" ref="GQ17:IQ17" si="16">SUM(GQ15:GQ16)</f>
        <v>0</v>
      </c>
      <c r="GR17" s="17">
        <f t="shared" si="16"/>
        <v>0</v>
      </c>
      <c r="GS17" s="17">
        <f t="shared" si="16"/>
        <v>0</v>
      </c>
      <c r="GT17" s="17">
        <f t="shared" si="16"/>
        <v>0</v>
      </c>
      <c r="GU17" s="17">
        <f t="shared" si="16"/>
        <v>0</v>
      </c>
      <c r="GV17" s="17">
        <f t="shared" si="16"/>
        <v>0</v>
      </c>
      <c r="GW17" s="17">
        <f t="shared" si="16"/>
        <v>0</v>
      </c>
      <c r="GX17" s="17">
        <f t="shared" si="16"/>
        <v>0</v>
      </c>
      <c r="GY17" s="17">
        <f t="shared" si="16"/>
        <v>0</v>
      </c>
      <c r="GZ17" s="17">
        <f t="shared" si="16"/>
        <v>0</v>
      </c>
      <c r="HA17" s="17">
        <f t="shared" si="16"/>
        <v>0</v>
      </c>
      <c r="HB17" s="17">
        <f t="shared" si="16"/>
        <v>0</v>
      </c>
      <c r="HC17" s="17">
        <f t="shared" si="16"/>
        <v>0</v>
      </c>
      <c r="HD17" s="17">
        <f t="shared" si="16"/>
        <v>0</v>
      </c>
      <c r="HE17" s="17">
        <f t="shared" si="16"/>
        <v>0</v>
      </c>
      <c r="HF17" s="17">
        <f t="shared" si="16"/>
        <v>0</v>
      </c>
      <c r="HG17" s="17">
        <f t="shared" si="16"/>
        <v>0</v>
      </c>
      <c r="HH17" s="17">
        <f t="shared" si="16"/>
        <v>0</v>
      </c>
      <c r="HI17" s="17">
        <f t="shared" si="16"/>
        <v>0</v>
      </c>
      <c r="HJ17" s="17">
        <f t="shared" si="16"/>
        <v>0</v>
      </c>
      <c r="HK17" s="17">
        <f t="shared" si="16"/>
        <v>0</v>
      </c>
      <c r="HL17" s="17">
        <f t="shared" si="16"/>
        <v>0</v>
      </c>
      <c r="HM17" s="17">
        <f t="shared" si="16"/>
        <v>0</v>
      </c>
      <c r="HN17" s="17">
        <f t="shared" si="16"/>
        <v>0</v>
      </c>
      <c r="HO17" s="17">
        <f t="shared" si="16"/>
        <v>0</v>
      </c>
      <c r="HP17" s="17">
        <f t="shared" si="16"/>
        <v>0</v>
      </c>
      <c r="HQ17" s="17">
        <f t="shared" si="16"/>
        <v>0</v>
      </c>
      <c r="HR17" s="17">
        <f t="shared" si="16"/>
        <v>0</v>
      </c>
      <c r="HS17" s="17">
        <f t="shared" si="16"/>
        <v>0</v>
      </c>
      <c r="HT17" s="17">
        <f t="shared" si="16"/>
        <v>0</v>
      </c>
      <c r="HU17" s="17">
        <f t="shared" si="16"/>
        <v>0</v>
      </c>
      <c r="HV17" s="17">
        <f t="shared" si="16"/>
        <v>0</v>
      </c>
      <c r="HW17" s="17">
        <f t="shared" si="16"/>
        <v>0</v>
      </c>
      <c r="HX17" s="17">
        <f t="shared" si="16"/>
        <v>0</v>
      </c>
      <c r="HY17" s="17">
        <f t="shared" si="16"/>
        <v>0</v>
      </c>
      <c r="HZ17" s="17">
        <f t="shared" si="16"/>
        <v>0</v>
      </c>
      <c r="IA17" s="17">
        <f t="shared" si="16"/>
        <v>0</v>
      </c>
      <c r="IB17" s="17">
        <f t="shared" si="16"/>
        <v>0</v>
      </c>
      <c r="IC17" s="17">
        <f t="shared" si="16"/>
        <v>0</v>
      </c>
      <c r="ID17" s="17">
        <f t="shared" si="16"/>
        <v>0</v>
      </c>
      <c r="IE17" s="17">
        <f t="shared" si="16"/>
        <v>0</v>
      </c>
      <c r="IF17" s="17">
        <f t="shared" si="16"/>
        <v>0</v>
      </c>
      <c r="IG17" s="17">
        <f t="shared" si="16"/>
        <v>0</v>
      </c>
      <c r="IH17" s="17">
        <f t="shared" si="16"/>
        <v>0</v>
      </c>
      <c r="II17" s="17">
        <f t="shared" si="16"/>
        <v>0</v>
      </c>
      <c r="IJ17" s="17">
        <f t="shared" si="16"/>
        <v>0</v>
      </c>
      <c r="IK17" s="17">
        <f t="shared" si="16"/>
        <v>0</v>
      </c>
      <c r="IL17" s="17">
        <f t="shared" si="16"/>
        <v>0</v>
      </c>
      <c r="IM17" s="17">
        <f t="shared" si="16"/>
        <v>0</v>
      </c>
      <c r="IN17" s="17">
        <f t="shared" si="16"/>
        <v>0</v>
      </c>
      <c r="IO17" s="17">
        <f t="shared" si="16"/>
        <v>0</v>
      </c>
      <c r="IP17" s="17">
        <f t="shared" si="16"/>
        <v>0</v>
      </c>
      <c r="IQ17" s="17">
        <f t="shared" si="16"/>
        <v>0</v>
      </c>
      <c r="IR17" s="17">
        <f t="shared" ref="IR17:KB17" si="17">SUM(IR15:IR16)</f>
        <v>0</v>
      </c>
      <c r="IS17" s="17">
        <f t="shared" si="17"/>
        <v>0</v>
      </c>
      <c r="IT17" s="17">
        <f t="shared" si="17"/>
        <v>0</v>
      </c>
      <c r="IU17" s="17">
        <f t="shared" si="17"/>
        <v>0</v>
      </c>
      <c r="IV17" s="17">
        <f t="shared" si="17"/>
        <v>0</v>
      </c>
      <c r="IW17" s="17">
        <f t="shared" si="17"/>
        <v>0</v>
      </c>
      <c r="IX17" s="17">
        <f t="shared" si="17"/>
        <v>0</v>
      </c>
      <c r="IY17" s="17">
        <f t="shared" si="17"/>
        <v>0</v>
      </c>
      <c r="IZ17" s="17">
        <f t="shared" si="17"/>
        <v>0</v>
      </c>
      <c r="JA17" s="17">
        <f t="shared" si="17"/>
        <v>0</v>
      </c>
      <c r="JB17" s="17">
        <f t="shared" si="17"/>
        <v>0</v>
      </c>
      <c r="JC17" s="17">
        <f t="shared" si="17"/>
        <v>0</v>
      </c>
      <c r="JD17" s="17">
        <f t="shared" si="17"/>
        <v>0</v>
      </c>
      <c r="JE17" s="17">
        <f t="shared" si="17"/>
        <v>0</v>
      </c>
      <c r="JF17" s="17">
        <f t="shared" si="17"/>
        <v>0</v>
      </c>
      <c r="JG17" s="17">
        <f t="shared" si="17"/>
        <v>0</v>
      </c>
      <c r="JH17" s="17">
        <f t="shared" si="17"/>
        <v>0</v>
      </c>
      <c r="JI17" s="17">
        <f t="shared" si="17"/>
        <v>0</v>
      </c>
      <c r="JJ17" s="17">
        <f t="shared" si="17"/>
        <v>0</v>
      </c>
      <c r="JK17" s="17">
        <f t="shared" si="17"/>
        <v>0</v>
      </c>
      <c r="JL17" s="17">
        <f t="shared" si="17"/>
        <v>0</v>
      </c>
      <c r="JM17" s="17">
        <f t="shared" si="17"/>
        <v>0</v>
      </c>
      <c r="JN17" s="17">
        <f t="shared" si="17"/>
        <v>0</v>
      </c>
      <c r="JO17" s="17">
        <f t="shared" si="17"/>
        <v>0</v>
      </c>
      <c r="JP17" s="17">
        <f t="shared" si="17"/>
        <v>0</v>
      </c>
      <c r="JQ17" s="17">
        <f t="shared" si="17"/>
        <v>0</v>
      </c>
      <c r="JR17" s="17">
        <f t="shared" si="17"/>
        <v>0</v>
      </c>
      <c r="JS17" s="17">
        <f t="shared" si="17"/>
        <v>0</v>
      </c>
      <c r="JT17" s="17">
        <f t="shared" si="17"/>
        <v>0</v>
      </c>
      <c r="JU17" s="17">
        <f t="shared" si="17"/>
        <v>0</v>
      </c>
      <c r="JV17" s="17">
        <f t="shared" si="17"/>
        <v>0</v>
      </c>
      <c r="JW17" s="17">
        <f t="shared" si="17"/>
        <v>0</v>
      </c>
      <c r="JX17" s="17">
        <f t="shared" si="17"/>
        <v>0</v>
      </c>
      <c r="JY17" s="17">
        <f t="shared" si="17"/>
        <v>0</v>
      </c>
      <c r="JZ17" s="17">
        <f t="shared" si="17"/>
        <v>0</v>
      </c>
      <c r="KA17" s="17">
        <f t="shared" si="17"/>
        <v>0</v>
      </c>
      <c r="KB17" s="17">
        <f t="shared" si="17"/>
        <v>0</v>
      </c>
      <c r="KC17" s="17">
        <f t="shared" ref="KC17:KW17" si="18">SUM(KC15:KC16)</f>
        <v>0</v>
      </c>
      <c r="KD17" s="17">
        <f t="shared" si="18"/>
        <v>0</v>
      </c>
      <c r="KE17" s="17">
        <f t="shared" si="18"/>
        <v>0</v>
      </c>
      <c r="KF17" s="17">
        <f t="shared" si="18"/>
        <v>0</v>
      </c>
      <c r="KG17" s="17">
        <f t="shared" si="18"/>
        <v>0</v>
      </c>
      <c r="KH17" s="17">
        <f t="shared" si="18"/>
        <v>0</v>
      </c>
      <c r="KI17" s="17">
        <f t="shared" si="18"/>
        <v>0</v>
      </c>
      <c r="KJ17" s="17">
        <f t="shared" si="18"/>
        <v>0</v>
      </c>
      <c r="KK17" s="17">
        <f t="shared" si="18"/>
        <v>0</v>
      </c>
      <c r="KL17" s="17">
        <f t="shared" si="18"/>
        <v>0</v>
      </c>
      <c r="KM17" s="17">
        <f t="shared" si="18"/>
        <v>0</v>
      </c>
      <c r="KN17" s="17">
        <f t="shared" si="18"/>
        <v>0</v>
      </c>
      <c r="KO17" s="17">
        <f t="shared" si="18"/>
        <v>0</v>
      </c>
      <c r="KP17" s="17">
        <f t="shared" si="18"/>
        <v>0</v>
      </c>
      <c r="KQ17" s="17">
        <f t="shared" si="18"/>
        <v>0</v>
      </c>
      <c r="KR17" s="17">
        <f t="shared" si="18"/>
        <v>0</v>
      </c>
      <c r="KS17" s="17">
        <f t="shared" si="18"/>
        <v>0</v>
      </c>
      <c r="KT17" s="17">
        <f t="shared" si="18"/>
        <v>0</v>
      </c>
      <c r="KU17" s="17">
        <f t="shared" si="18"/>
        <v>0</v>
      </c>
      <c r="KV17" s="17">
        <f t="shared" si="18"/>
        <v>0</v>
      </c>
      <c r="KW17" s="17">
        <f t="shared" si="18"/>
        <v>0</v>
      </c>
      <c r="KX17" s="17">
        <f t="shared" ref="KX17:ND17" si="19">SUM(KX15:KX16)</f>
        <v>0</v>
      </c>
      <c r="KY17" s="17">
        <f t="shared" si="19"/>
        <v>0</v>
      </c>
      <c r="KZ17" s="17">
        <f t="shared" si="19"/>
        <v>0</v>
      </c>
      <c r="LA17" s="17">
        <f t="shared" si="19"/>
        <v>0</v>
      </c>
      <c r="LB17" s="17">
        <f t="shared" si="19"/>
        <v>0</v>
      </c>
      <c r="LC17" s="17">
        <f t="shared" si="19"/>
        <v>0</v>
      </c>
      <c r="LD17" s="17">
        <f t="shared" si="19"/>
        <v>0</v>
      </c>
      <c r="LE17" s="17">
        <f t="shared" si="19"/>
        <v>0</v>
      </c>
      <c r="LF17" s="17">
        <f t="shared" si="19"/>
        <v>0</v>
      </c>
      <c r="LG17" s="17">
        <f t="shared" si="19"/>
        <v>0</v>
      </c>
      <c r="LH17" s="17">
        <f t="shared" si="19"/>
        <v>0</v>
      </c>
      <c r="LI17" s="17">
        <f t="shared" si="19"/>
        <v>0</v>
      </c>
      <c r="LJ17" s="17">
        <f t="shared" si="19"/>
        <v>0</v>
      </c>
      <c r="LK17" s="17">
        <f t="shared" si="19"/>
        <v>0</v>
      </c>
      <c r="LL17" s="17">
        <f t="shared" si="19"/>
        <v>0</v>
      </c>
      <c r="LM17" s="17">
        <f t="shared" si="19"/>
        <v>0</v>
      </c>
      <c r="LN17" s="17">
        <f t="shared" si="19"/>
        <v>0</v>
      </c>
      <c r="LO17" s="17">
        <f t="shared" si="19"/>
        <v>0</v>
      </c>
      <c r="LP17" s="17">
        <f t="shared" si="19"/>
        <v>0</v>
      </c>
      <c r="LQ17" s="17">
        <f t="shared" si="19"/>
        <v>0</v>
      </c>
      <c r="LR17" s="17">
        <f t="shared" si="19"/>
        <v>0</v>
      </c>
      <c r="LS17" s="17">
        <f t="shared" si="19"/>
        <v>0</v>
      </c>
      <c r="LT17" s="17">
        <f t="shared" si="19"/>
        <v>0</v>
      </c>
      <c r="LU17" s="17">
        <f t="shared" si="19"/>
        <v>0</v>
      </c>
      <c r="LV17" s="17">
        <f t="shared" si="19"/>
        <v>0</v>
      </c>
      <c r="LW17" s="17">
        <f t="shared" si="19"/>
        <v>0</v>
      </c>
      <c r="LX17" s="17">
        <f t="shared" si="19"/>
        <v>0</v>
      </c>
      <c r="LY17" s="17">
        <f t="shared" si="19"/>
        <v>0</v>
      </c>
      <c r="LZ17" s="17">
        <f t="shared" si="19"/>
        <v>0</v>
      </c>
      <c r="MA17" s="17">
        <f t="shared" si="19"/>
        <v>0</v>
      </c>
      <c r="MB17" s="17">
        <f t="shared" si="19"/>
        <v>0</v>
      </c>
      <c r="MC17" s="17">
        <f t="shared" si="19"/>
        <v>0</v>
      </c>
      <c r="MD17" s="17">
        <f t="shared" si="19"/>
        <v>0</v>
      </c>
      <c r="ME17" s="17">
        <f t="shared" si="19"/>
        <v>0</v>
      </c>
      <c r="MF17" s="17">
        <f t="shared" si="19"/>
        <v>0</v>
      </c>
      <c r="MG17" s="17">
        <f t="shared" si="19"/>
        <v>0</v>
      </c>
      <c r="MH17" s="17">
        <f t="shared" si="19"/>
        <v>0</v>
      </c>
      <c r="MI17" s="17">
        <f t="shared" si="19"/>
        <v>0</v>
      </c>
      <c r="MJ17" s="17">
        <f t="shared" si="19"/>
        <v>0</v>
      </c>
      <c r="MK17" s="17">
        <f t="shared" si="19"/>
        <v>0</v>
      </c>
      <c r="ML17" s="17">
        <f t="shared" si="19"/>
        <v>0</v>
      </c>
      <c r="MM17" s="17">
        <f t="shared" si="19"/>
        <v>0</v>
      </c>
      <c r="MN17" s="17">
        <f t="shared" si="19"/>
        <v>0</v>
      </c>
      <c r="MO17" s="17">
        <f t="shared" si="19"/>
        <v>0</v>
      </c>
      <c r="MP17" s="17">
        <f t="shared" si="19"/>
        <v>0</v>
      </c>
      <c r="MQ17" s="17">
        <f t="shared" si="19"/>
        <v>0</v>
      </c>
      <c r="MR17" s="17">
        <f t="shared" si="19"/>
        <v>0</v>
      </c>
      <c r="MS17" s="17">
        <f t="shared" si="19"/>
        <v>0</v>
      </c>
      <c r="MT17" s="17">
        <f t="shared" si="19"/>
        <v>0</v>
      </c>
      <c r="MU17" s="17">
        <f t="shared" si="19"/>
        <v>0</v>
      </c>
      <c r="MV17" s="17">
        <f t="shared" si="19"/>
        <v>0</v>
      </c>
      <c r="MW17" s="17">
        <f t="shared" si="19"/>
        <v>0</v>
      </c>
      <c r="MX17" s="17">
        <f t="shared" si="19"/>
        <v>0</v>
      </c>
      <c r="MY17" s="17">
        <f t="shared" si="19"/>
        <v>0</v>
      </c>
      <c r="MZ17" s="17">
        <f t="shared" si="19"/>
        <v>0</v>
      </c>
      <c r="NA17" s="17">
        <f t="shared" si="19"/>
        <v>0</v>
      </c>
      <c r="NB17" s="17">
        <f t="shared" si="19"/>
        <v>0</v>
      </c>
      <c r="NC17" s="17">
        <f t="shared" si="19"/>
        <v>0</v>
      </c>
      <c r="ND17" s="17">
        <f t="shared" si="19"/>
        <v>0</v>
      </c>
    </row>
    <row r="18" spans="1:368" s="31" customFormat="1" ht="37.5" customHeight="1" x14ac:dyDescent="0.2">
      <c r="A18" s="389" t="s">
        <v>118</v>
      </c>
      <c r="B18" s="390"/>
      <c r="C18" s="390"/>
      <c r="D18" s="390"/>
      <c r="E18" s="391"/>
      <c r="F18" s="30">
        <f t="shared" ref="F18:BQ18" si="20">F17+F14+F9</f>
        <v>0</v>
      </c>
      <c r="G18" s="30">
        <f t="shared" si="20"/>
        <v>0</v>
      </c>
      <c r="H18" s="30">
        <f t="shared" si="20"/>
        <v>0</v>
      </c>
      <c r="I18" s="30">
        <f t="shared" si="20"/>
        <v>0</v>
      </c>
      <c r="J18" s="30">
        <f t="shared" si="20"/>
        <v>0</v>
      </c>
      <c r="K18" s="30">
        <f t="shared" si="20"/>
        <v>0</v>
      </c>
      <c r="L18" s="30">
        <f t="shared" si="20"/>
        <v>0</v>
      </c>
      <c r="M18" s="30">
        <f t="shared" si="20"/>
        <v>0</v>
      </c>
      <c r="N18" s="30">
        <f t="shared" si="20"/>
        <v>0</v>
      </c>
      <c r="O18" s="30">
        <f t="shared" si="20"/>
        <v>0</v>
      </c>
      <c r="P18" s="30">
        <f t="shared" si="20"/>
        <v>0</v>
      </c>
      <c r="Q18" s="30">
        <f t="shared" si="20"/>
        <v>0</v>
      </c>
      <c r="R18" s="30">
        <f t="shared" si="20"/>
        <v>0</v>
      </c>
      <c r="S18" s="30">
        <f t="shared" si="20"/>
        <v>0</v>
      </c>
      <c r="T18" s="30">
        <f t="shared" si="20"/>
        <v>0</v>
      </c>
      <c r="U18" s="30">
        <f t="shared" si="20"/>
        <v>0</v>
      </c>
      <c r="V18" s="30">
        <f t="shared" si="20"/>
        <v>0</v>
      </c>
      <c r="W18" s="30">
        <f t="shared" si="20"/>
        <v>0</v>
      </c>
      <c r="X18" s="30">
        <f t="shared" si="20"/>
        <v>0</v>
      </c>
      <c r="Y18" s="30">
        <f t="shared" si="20"/>
        <v>0</v>
      </c>
      <c r="Z18" s="30">
        <f t="shared" si="20"/>
        <v>0</v>
      </c>
      <c r="AA18" s="30">
        <f t="shared" si="20"/>
        <v>0</v>
      </c>
      <c r="AB18" s="30">
        <f t="shared" si="20"/>
        <v>0</v>
      </c>
      <c r="AC18" s="30">
        <f t="shared" si="20"/>
        <v>0</v>
      </c>
      <c r="AD18" s="30">
        <f t="shared" si="20"/>
        <v>0</v>
      </c>
      <c r="AE18" s="30">
        <f t="shared" si="20"/>
        <v>0</v>
      </c>
      <c r="AF18" s="30">
        <f t="shared" si="20"/>
        <v>0</v>
      </c>
      <c r="AG18" s="30">
        <f t="shared" si="20"/>
        <v>0</v>
      </c>
      <c r="AH18" s="30">
        <f t="shared" si="20"/>
        <v>0</v>
      </c>
      <c r="AI18" s="30">
        <f t="shared" si="20"/>
        <v>0</v>
      </c>
      <c r="AJ18" s="30">
        <f t="shared" si="20"/>
        <v>0</v>
      </c>
      <c r="AK18" s="30">
        <f t="shared" si="20"/>
        <v>0</v>
      </c>
      <c r="AL18" s="30">
        <f t="shared" si="20"/>
        <v>0</v>
      </c>
      <c r="AM18" s="30">
        <f t="shared" si="20"/>
        <v>0</v>
      </c>
      <c r="AN18" s="30">
        <f t="shared" si="20"/>
        <v>0</v>
      </c>
      <c r="AO18" s="30">
        <f t="shared" si="20"/>
        <v>0</v>
      </c>
      <c r="AP18" s="30">
        <f t="shared" si="20"/>
        <v>0</v>
      </c>
      <c r="AQ18" s="30">
        <f t="shared" si="20"/>
        <v>0</v>
      </c>
      <c r="AR18" s="30">
        <f t="shared" si="20"/>
        <v>0</v>
      </c>
      <c r="AS18" s="30">
        <f t="shared" si="20"/>
        <v>0</v>
      </c>
      <c r="AT18" s="30">
        <f t="shared" si="20"/>
        <v>0</v>
      </c>
      <c r="AU18" s="30">
        <f t="shared" si="20"/>
        <v>0</v>
      </c>
      <c r="AV18" s="30">
        <f t="shared" si="20"/>
        <v>0</v>
      </c>
      <c r="AW18" s="30">
        <f t="shared" si="20"/>
        <v>0</v>
      </c>
      <c r="AX18" s="30">
        <f t="shared" si="20"/>
        <v>0</v>
      </c>
      <c r="AY18" s="30">
        <f t="shared" si="20"/>
        <v>0</v>
      </c>
      <c r="AZ18" s="30">
        <f t="shared" si="20"/>
        <v>0</v>
      </c>
      <c r="BA18" s="30">
        <f t="shared" si="20"/>
        <v>0</v>
      </c>
      <c r="BB18" s="30">
        <f t="shared" si="20"/>
        <v>0</v>
      </c>
      <c r="BC18" s="30">
        <f t="shared" si="20"/>
        <v>0</v>
      </c>
      <c r="BD18" s="30">
        <f t="shared" si="20"/>
        <v>0</v>
      </c>
      <c r="BE18" s="30">
        <f t="shared" si="20"/>
        <v>0</v>
      </c>
      <c r="BF18" s="30">
        <f t="shared" si="20"/>
        <v>0</v>
      </c>
      <c r="BG18" s="30">
        <f t="shared" si="20"/>
        <v>0</v>
      </c>
      <c r="BH18" s="30">
        <f t="shared" si="20"/>
        <v>0</v>
      </c>
      <c r="BI18" s="30">
        <f t="shared" si="20"/>
        <v>0</v>
      </c>
      <c r="BJ18" s="30">
        <f t="shared" si="20"/>
        <v>0</v>
      </c>
      <c r="BK18" s="30">
        <f t="shared" si="20"/>
        <v>0</v>
      </c>
      <c r="BL18" s="30">
        <f t="shared" si="20"/>
        <v>0</v>
      </c>
      <c r="BM18" s="30">
        <f t="shared" si="20"/>
        <v>0</v>
      </c>
      <c r="BN18" s="30">
        <f t="shared" si="20"/>
        <v>0</v>
      </c>
      <c r="BO18" s="30">
        <f t="shared" si="20"/>
        <v>0</v>
      </c>
      <c r="BP18" s="30">
        <f t="shared" si="20"/>
        <v>0</v>
      </c>
      <c r="BQ18" s="30">
        <f t="shared" si="20"/>
        <v>0</v>
      </c>
      <c r="BR18" s="30">
        <f>BR17+BR14+BR9</f>
        <v>0</v>
      </c>
      <c r="BS18" s="30">
        <f>BS17+BS14+BS9</f>
        <v>0</v>
      </c>
      <c r="BT18" s="30">
        <f>BT17+BT14+BT9</f>
        <v>0</v>
      </c>
      <c r="BU18" s="30">
        <f>BU17+BU14+BU9</f>
        <v>0</v>
      </c>
      <c r="BV18" s="30">
        <f>BV17+BV14+BV9</f>
        <v>0</v>
      </c>
      <c r="BW18" s="30">
        <f t="shared" ref="BW18:ED18" si="21">BW17+BW14+BW9</f>
        <v>0</v>
      </c>
      <c r="BX18" s="30">
        <f t="shared" si="21"/>
        <v>0</v>
      </c>
      <c r="BY18" s="30">
        <f t="shared" si="21"/>
        <v>0</v>
      </c>
      <c r="BZ18" s="30">
        <f t="shared" si="21"/>
        <v>0</v>
      </c>
      <c r="CA18" s="30">
        <f t="shared" si="21"/>
        <v>0</v>
      </c>
      <c r="CB18" s="30">
        <f t="shared" si="21"/>
        <v>0</v>
      </c>
      <c r="CC18" s="30">
        <f t="shared" si="21"/>
        <v>0</v>
      </c>
      <c r="CD18" s="30">
        <f t="shared" si="21"/>
        <v>0</v>
      </c>
      <c r="CE18" s="30">
        <f t="shared" si="21"/>
        <v>0</v>
      </c>
      <c r="CF18" s="30">
        <f t="shared" si="21"/>
        <v>0</v>
      </c>
      <c r="CG18" s="30">
        <f t="shared" si="21"/>
        <v>0</v>
      </c>
      <c r="CH18" s="30">
        <f t="shared" si="21"/>
        <v>0</v>
      </c>
      <c r="CI18" s="30">
        <f t="shared" si="21"/>
        <v>0</v>
      </c>
      <c r="CJ18" s="30">
        <f t="shared" si="21"/>
        <v>0</v>
      </c>
      <c r="CK18" s="30">
        <f t="shared" si="21"/>
        <v>0</v>
      </c>
      <c r="CL18" s="30">
        <f t="shared" si="21"/>
        <v>0</v>
      </c>
      <c r="CM18" s="30">
        <f t="shared" si="21"/>
        <v>0</v>
      </c>
      <c r="CN18" s="30">
        <f t="shared" si="21"/>
        <v>0</v>
      </c>
      <c r="CO18" s="30">
        <f t="shared" si="21"/>
        <v>0</v>
      </c>
      <c r="CP18" s="30">
        <f t="shared" si="21"/>
        <v>0</v>
      </c>
      <c r="CQ18" s="30">
        <f t="shared" si="21"/>
        <v>0</v>
      </c>
      <c r="CR18" s="30">
        <f t="shared" si="21"/>
        <v>0</v>
      </c>
      <c r="CS18" s="30">
        <f t="shared" si="21"/>
        <v>0</v>
      </c>
      <c r="CT18" s="30">
        <f t="shared" si="21"/>
        <v>0</v>
      </c>
      <c r="CU18" s="30">
        <f t="shared" si="21"/>
        <v>0</v>
      </c>
      <c r="CV18" s="30">
        <f t="shared" si="21"/>
        <v>0</v>
      </c>
      <c r="CW18" s="30">
        <f t="shared" si="21"/>
        <v>0</v>
      </c>
      <c r="CX18" s="30">
        <f t="shared" si="21"/>
        <v>0</v>
      </c>
      <c r="CY18" s="30">
        <f t="shared" si="21"/>
        <v>0</v>
      </c>
      <c r="CZ18" s="30">
        <f t="shared" si="21"/>
        <v>0</v>
      </c>
      <c r="DA18" s="30">
        <f t="shared" si="21"/>
        <v>0</v>
      </c>
      <c r="DB18" s="30">
        <f t="shared" si="21"/>
        <v>0</v>
      </c>
      <c r="DC18" s="30">
        <f t="shared" si="21"/>
        <v>0</v>
      </c>
      <c r="DD18" s="30">
        <f t="shared" si="21"/>
        <v>0</v>
      </c>
      <c r="DE18" s="30">
        <f t="shared" si="21"/>
        <v>0</v>
      </c>
      <c r="DF18" s="30">
        <f t="shared" si="21"/>
        <v>0</v>
      </c>
      <c r="DG18" s="30">
        <f t="shared" si="21"/>
        <v>0</v>
      </c>
      <c r="DH18" s="30">
        <f t="shared" si="21"/>
        <v>0</v>
      </c>
      <c r="DI18" s="30">
        <f t="shared" si="21"/>
        <v>0</v>
      </c>
      <c r="DJ18" s="30">
        <f t="shared" si="21"/>
        <v>0</v>
      </c>
      <c r="DK18" s="30">
        <f t="shared" si="21"/>
        <v>0</v>
      </c>
      <c r="DL18" s="30">
        <f t="shared" si="21"/>
        <v>0</v>
      </c>
      <c r="DM18" s="30">
        <f t="shared" si="21"/>
        <v>0</v>
      </c>
      <c r="DN18" s="30">
        <f t="shared" si="21"/>
        <v>0</v>
      </c>
      <c r="DO18" s="30">
        <f t="shared" si="21"/>
        <v>0</v>
      </c>
      <c r="DP18" s="30">
        <f t="shared" si="21"/>
        <v>0</v>
      </c>
      <c r="DQ18" s="30">
        <f t="shared" si="21"/>
        <v>0</v>
      </c>
      <c r="DR18" s="30">
        <f t="shared" si="21"/>
        <v>0</v>
      </c>
      <c r="DS18" s="30">
        <f t="shared" si="21"/>
        <v>0</v>
      </c>
      <c r="DT18" s="30">
        <f t="shared" si="21"/>
        <v>0</v>
      </c>
      <c r="DU18" s="30">
        <f t="shared" si="21"/>
        <v>0</v>
      </c>
      <c r="DV18" s="30">
        <f t="shared" si="21"/>
        <v>0</v>
      </c>
      <c r="DW18" s="30">
        <f t="shared" si="21"/>
        <v>0</v>
      </c>
      <c r="DX18" s="30">
        <f t="shared" si="21"/>
        <v>0</v>
      </c>
      <c r="DY18" s="30">
        <f t="shared" si="21"/>
        <v>0</v>
      </c>
      <c r="DZ18" s="30">
        <f t="shared" si="21"/>
        <v>0</v>
      </c>
      <c r="EA18" s="30">
        <f t="shared" si="21"/>
        <v>0</v>
      </c>
      <c r="EB18" s="30">
        <f t="shared" si="21"/>
        <v>0</v>
      </c>
      <c r="EC18" s="30">
        <f t="shared" si="21"/>
        <v>0</v>
      </c>
      <c r="ED18" s="30">
        <f t="shared" si="21"/>
        <v>0</v>
      </c>
      <c r="EE18" s="30">
        <f t="shared" ref="EE18:GP18" si="22">EE17+EE14+EE9</f>
        <v>0</v>
      </c>
      <c r="EF18" s="30">
        <f t="shared" si="22"/>
        <v>0</v>
      </c>
      <c r="EG18" s="30">
        <f t="shared" si="22"/>
        <v>0</v>
      </c>
      <c r="EH18" s="30">
        <f t="shared" si="22"/>
        <v>0</v>
      </c>
      <c r="EI18" s="30">
        <f t="shared" si="22"/>
        <v>0</v>
      </c>
      <c r="EJ18" s="30">
        <f t="shared" si="22"/>
        <v>0</v>
      </c>
      <c r="EK18" s="30">
        <f t="shared" si="22"/>
        <v>0</v>
      </c>
      <c r="EL18" s="30">
        <f t="shared" si="22"/>
        <v>0</v>
      </c>
      <c r="EM18" s="30">
        <f t="shared" si="22"/>
        <v>0</v>
      </c>
      <c r="EN18" s="30">
        <f t="shared" si="22"/>
        <v>0</v>
      </c>
      <c r="EO18" s="30">
        <f t="shared" si="22"/>
        <v>0</v>
      </c>
      <c r="EP18" s="30">
        <f t="shared" si="22"/>
        <v>0</v>
      </c>
      <c r="EQ18" s="30">
        <f t="shared" si="22"/>
        <v>0</v>
      </c>
      <c r="ER18" s="30">
        <f t="shared" si="22"/>
        <v>0</v>
      </c>
      <c r="ES18" s="30">
        <f t="shared" si="22"/>
        <v>0</v>
      </c>
      <c r="ET18" s="30">
        <f t="shared" si="22"/>
        <v>0</v>
      </c>
      <c r="EU18" s="30">
        <f t="shared" si="22"/>
        <v>0</v>
      </c>
      <c r="EV18" s="30">
        <f t="shared" si="22"/>
        <v>0</v>
      </c>
      <c r="EW18" s="30">
        <f t="shared" si="22"/>
        <v>0</v>
      </c>
      <c r="EX18" s="30">
        <f t="shared" si="22"/>
        <v>0</v>
      </c>
      <c r="EY18" s="30">
        <f t="shared" si="22"/>
        <v>0</v>
      </c>
      <c r="EZ18" s="30">
        <f t="shared" si="22"/>
        <v>0</v>
      </c>
      <c r="FA18" s="30">
        <f t="shared" si="22"/>
        <v>0</v>
      </c>
      <c r="FB18" s="30">
        <f t="shared" si="22"/>
        <v>0</v>
      </c>
      <c r="FC18" s="30">
        <f t="shared" si="22"/>
        <v>0</v>
      </c>
      <c r="FD18" s="30">
        <f t="shared" si="22"/>
        <v>0</v>
      </c>
      <c r="FE18" s="30">
        <f t="shared" si="22"/>
        <v>0</v>
      </c>
      <c r="FF18" s="30">
        <f t="shared" si="22"/>
        <v>0</v>
      </c>
      <c r="FG18" s="30">
        <f t="shared" si="22"/>
        <v>0</v>
      </c>
      <c r="FH18" s="30">
        <f t="shared" si="22"/>
        <v>0</v>
      </c>
      <c r="FI18" s="30">
        <f t="shared" si="22"/>
        <v>0</v>
      </c>
      <c r="FJ18" s="30">
        <f t="shared" si="22"/>
        <v>0</v>
      </c>
      <c r="FK18" s="30">
        <f t="shared" si="22"/>
        <v>0</v>
      </c>
      <c r="FL18" s="30">
        <f t="shared" si="22"/>
        <v>0</v>
      </c>
      <c r="FM18" s="30">
        <f t="shared" si="22"/>
        <v>0</v>
      </c>
      <c r="FN18" s="30">
        <f t="shared" si="22"/>
        <v>0</v>
      </c>
      <c r="FO18" s="30">
        <f t="shared" si="22"/>
        <v>0</v>
      </c>
      <c r="FP18" s="30">
        <f t="shared" si="22"/>
        <v>0</v>
      </c>
      <c r="FQ18" s="30">
        <f t="shared" si="22"/>
        <v>0</v>
      </c>
      <c r="FR18" s="30">
        <f t="shared" si="22"/>
        <v>0</v>
      </c>
      <c r="FS18" s="30">
        <f t="shared" si="22"/>
        <v>0</v>
      </c>
      <c r="FT18" s="30">
        <f t="shared" si="22"/>
        <v>0</v>
      </c>
      <c r="FU18" s="30">
        <f t="shared" si="22"/>
        <v>0</v>
      </c>
      <c r="FV18" s="30">
        <f t="shared" si="22"/>
        <v>0</v>
      </c>
      <c r="FW18" s="30">
        <f t="shared" si="22"/>
        <v>0</v>
      </c>
      <c r="FX18" s="30">
        <f t="shared" si="22"/>
        <v>0</v>
      </c>
      <c r="FY18" s="30">
        <f t="shared" si="22"/>
        <v>0</v>
      </c>
      <c r="FZ18" s="30">
        <f t="shared" si="22"/>
        <v>0</v>
      </c>
      <c r="GA18" s="30">
        <f t="shared" si="22"/>
        <v>0</v>
      </c>
      <c r="GB18" s="30">
        <f t="shared" si="22"/>
        <v>0</v>
      </c>
      <c r="GC18" s="30">
        <f t="shared" si="22"/>
        <v>0</v>
      </c>
      <c r="GD18" s="30">
        <f t="shared" si="22"/>
        <v>0</v>
      </c>
      <c r="GE18" s="30">
        <f t="shared" si="22"/>
        <v>0</v>
      </c>
      <c r="GF18" s="30">
        <f t="shared" si="22"/>
        <v>0</v>
      </c>
      <c r="GG18" s="30">
        <f t="shared" si="22"/>
        <v>0</v>
      </c>
      <c r="GH18" s="30">
        <f t="shared" si="22"/>
        <v>0</v>
      </c>
      <c r="GI18" s="30">
        <f t="shared" si="22"/>
        <v>0</v>
      </c>
      <c r="GJ18" s="30">
        <f t="shared" si="22"/>
        <v>0</v>
      </c>
      <c r="GK18" s="30">
        <f t="shared" si="22"/>
        <v>0</v>
      </c>
      <c r="GL18" s="30">
        <f t="shared" si="22"/>
        <v>0</v>
      </c>
      <c r="GM18" s="30">
        <f t="shared" si="22"/>
        <v>0</v>
      </c>
      <c r="GN18" s="30">
        <f t="shared" si="22"/>
        <v>0</v>
      </c>
      <c r="GO18" s="30">
        <f t="shared" si="22"/>
        <v>0</v>
      </c>
      <c r="GP18" s="30">
        <f t="shared" si="22"/>
        <v>0</v>
      </c>
      <c r="GQ18" s="30">
        <f t="shared" ref="GQ18:IQ18" si="23">GQ17+GQ14+GQ9</f>
        <v>0</v>
      </c>
      <c r="GR18" s="30">
        <f t="shared" si="23"/>
        <v>0</v>
      </c>
      <c r="GS18" s="30">
        <f t="shared" si="23"/>
        <v>0</v>
      </c>
      <c r="GT18" s="30">
        <f t="shared" si="23"/>
        <v>0</v>
      </c>
      <c r="GU18" s="30">
        <f t="shared" si="23"/>
        <v>0</v>
      </c>
      <c r="GV18" s="30">
        <f t="shared" si="23"/>
        <v>0</v>
      </c>
      <c r="GW18" s="30">
        <f t="shared" si="23"/>
        <v>0</v>
      </c>
      <c r="GX18" s="30">
        <f t="shared" si="23"/>
        <v>0</v>
      </c>
      <c r="GY18" s="30">
        <f t="shared" si="23"/>
        <v>0</v>
      </c>
      <c r="GZ18" s="30">
        <f t="shared" si="23"/>
        <v>0</v>
      </c>
      <c r="HA18" s="30">
        <f t="shared" si="23"/>
        <v>0</v>
      </c>
      <c r="HB18" s="30">
        <f t="shared" si="23"/>
        <v>0</v>
      </c>
      <c r="HC18" s="30">
        <f t="shared" si="23"/>
        <v>0</v>
      </c>
      <c r="HD18" s="30">
        <f t="shared" si="23"/>
        <v>0</v>
      </c>
      <c r="HE18" s="30">
        <f t="shared" si="23"/>
        <v>0</v>
      </c>
      <c r="HF18" s="30">
        <f t="shared" si="23"/>
        <v>0</v>
      </c>
      <c r="HG18" s="30">
        <f t="shared" si="23"/>
        <v>0</v>
      </c>
      <c r="HH18" s="30">
        <f t="shared" si="23"/>
        <v>0</v>
      </c>
      <c r="HI18" s="30">
        <f t="shared" si="23"/>
        <v>0</v>
      </c>
      <c r="HJ18" s="30">
        <f t="shared" si="23"/>
        <v>0</v>
      </c>
      <c r="HK18" s="30">
        <f t="shared" si="23"/>
        <v>0</v>
      </c>
      <c r="HL18" s="30">
        <f t="shared" si="23"/>
        <v>0</v>
      </c>
      <c r="HM18" s="30">
        <f t="shared" si="23"/>
        <v>0</v>
      </c>
      <c r="HN18" s="30">
        <f t="shared" si="23"/>
        <v>0</v>
      </c>
      <c r="HO18" s="30">
        <f t="shared" si="23"/>
        <v>0</v>
      </c>
      <c r="HP18" s="30">
        <f t="shared" si="23"/>
        <v>0</v>
      </c>
      <c r="HQ18" s="30">
        <f t="shared" si="23"/>
        <v>0</v>
      </c>
      <c r="HR18" s="30">
        <f t="shared" si="23"/>
        <v>0</v>
      </c>
      <c r="HS18" s="30">
        <f t="shared" si="23"/>
        <v>0</v>
      </c>
      <c r="HT18" s="30">
        <f t="shared" si="23"/>
        <v>0</v>
      </c>
      <c r="HU18" s="30">
        <f t="shared" si="23"/>
        <v>0</v>
      </c>
      <c r="HV18" s="30">
        <f t="shared" si="23"/>
        <v>0</v>
      </c>
      <c r="HW18" s="30">
        <f t="shared" si="23"/>
        <v>0</v>
      </c>
      <c r="HX18" s="30">
        <f t="shared" si="23"/>
        <v>0</v>
      </c>
      <c r="HY18" s="30">
        <f t="shared" si="23"/>
        <v>0</v>
      </c>
      <c r="HZ18" s="30">
        <f t="shared" si="23"/>
        <v>0</v>
      </c>
      <c r="IA18" s="30">
        <f t="shared" si="23"/>
        <v>0</v>
      </c>
      <c r="IB18" s="30">
        <f t="shared" si="23"/>
        <v>0</v>
      </c>
      <c r="IC18" s="30">
        <f t="shared" si="23"/>
        <v>0</v>
      </c>
      <c r="ID18" s="30">
        <f t="shared" si="23"/>
        <v>0</v>
      </c>
      <c r="IE18" s="30">
        <f t="shared" si="23"/>
        <v>0</v>
      </c>
      <c r="IF18" s="30">
        <f t="shared" si="23"/>
        <v>0</v>
      </c>
      <c r="IG18" s="30">
        <f t="shared" si="23"/>
        <v>0</v>
      </c>
      <c r="IH18" s="30">
        <f t="shared" si="23"/>
        <v>0</v>
      </c>
      <c r="II18" s="30">
        <f t="shared" si="23"/>
        <v>0</v>
      </c>
      <c r="IJ18" s="30">
        <f t="shared" si="23"/>
        <v>0</v>
      </c>
      <c r="IK18" s="30">
        <f t="shared" si="23"/>
        <v>0</v>
      </c>
      <c r="IL18" s="30">
        <f t="shared" si="23"/>
        <v>0</v>
      </c>
      <c r="IM18" s="30">
        <f t="shared" si="23"/>
        <v>0</v>
      </c>
      <c r="IN18" s="30">
        <f t="shared" si="23"/>
        <v>0</v>
      </c>
      <c r="IO18" s="30">
        <f t="shared" si="23"/>
        <v>0</v>
      </c>
      <c r="IP18" s="30">
        <f t="shared" si="23"/>
        <v>0</v>
      </c>
      <c r="IQ18" s="30">
        <f t="shared" si="23"/>
        <v>0</v>
      </c>
      <c r="IR18" s="30">
        <f t="shared" ref="IR18:KB18" si="24">IR17+IR14+IR9</f>
        <v>0</v>
      </c>
      <c r="IS18" s="30">
        <f t="shared" si="24"/>
        <v>0</v>
      </c>
      <c r="IT18" s="30">
        <f t="shared" si="24"/>
        <v>0</v>
      </c>
      <c r="IU18" s="30">
        <f t="shared" si="24"/>
        <v>0</v>
      </c>
      <c r="IV18" s="30">
        <f t="shared" si="24"/>
        <v>0</v>
      </c>
      <c r="IW18" s="30">
        <f t="shared" si="24"/>
        <v>0</v>
      </c>
      <c r="IX18" s="30">
        <f t="shared" si="24"/>
        <v>0</v>
      </c>
      <c r="IY18" s="30">
        <f t="shared" si="24"/>
        <v>0</v>
      </c>
      <c r="IZ18" s="30">
        <f t="shared" si="24"/>
        <v>0</v>
      </c>
      <c r="JA18" s="30">
        <f t="shared" si="24"/>
        <v>0</v>
      </c>
      <c r="JB18" s="30">
        <f t="shared" si="24"/>
        <v>0</v>
      </c>
      <c r="JC18" s="30">
        <f t="shared" si="24"/>
        <v>0</v>
      </c>
      <c r="JD18" s="30">
        <f t="shared" si="24"/>
        <v>0</v>
      </c>
      <c r="JE18" s="30">
        <f t="shared" si="24"/>
        <v>0</v>
      </c>
      <c r="JF18" s="30">
        <f t="shared" si="24"/>
        <v>0</v>
      </c>
      <c r="JG18" s="30">
        <f t="shared" si="24"/>
        <v>0</v>
      </c>
      <c r="JH18" s="30">
        <f t="shared" si="24"/>
        <v>0</v>
      </c>
      <c r="JI18" s="30">
        <f t="shared" si="24"/>
        <v>0</v>
      </c>
      <c r="JJ18" s="30">
        <f t="shared" si="24"/>
        <v>0</v>
      </c>
      <c r="JK18" s="30">
        <f t="shared" si="24"/>
        <v>0</v>
      </c>
      <c r="JL18" s="30">
        <f t="shared" si="24"/>
        <v>0</v>
      </c>
      <c r="JM18" s="30">
        <f t="shared" si="24"/>
        <v>0</v>
      </c>
      <c r="JN18" s="30">
        <f t="shared" si="24"/>
        <v>0</v>
      </c>
      <c r="JO18" s="30">
        <f t="shared" si="24"/>
        <v>0</v>
      </c>
      <c r="JP18" s="30">
        <f t="shared" si="24"/>
        <v>0</v>
      </c>
      <c r="JQ18" s="30">
        <f t="shared" si="24"/>
        <v>0</v>
      </c>
      <c r="JR18" s="30">
        <f t="shared" si="24"/>
        <v>0</v>
      </c>
      <c r="JS18" s="30">
        <f t="shared" si="24"/>
        <v>0</v>
      </c>
      <c r="JT18" s="30">
        <f t="shared" si="24"/>
        <v>0</v>
      </c>
      <c r="JU18" s="30">
        <f t="shared" si="24"/>
        <v>0</v>
      </c>
      <c r="JV18" s="30">
        <f t="shared" si="24"/>
        <v>0</v>
      </c>
      <c r="JW18" s="30">
        <f t="shared" si="24"/>
        <v>0</v>
      </c>
      <c r="JX18" s="30">
        <f t="shared" si="24"/>
        <v>0</v>
      </c>
      <c r="JY18" s="30">
        <f t="shared" si="24"/>
        <v>0</v>
      </c>
      <c r="JZ18" s="30">
        <f t="shared" si="24"/>
        <v>0</v>
      </c>
      <c r="KA18" s="30">
        <f t="shared" si="24"/>
        <v>0</v>
      </c>
      <c r="KB18" s="30">
        <f t="shared" si="24"/>
        <v>0</v>
      </c>
      <c r="KC18" s="30">
        <f t="shared" ref="KC18:KW18" si="25">KC17+KC14+KC9</f>
        <v>0</v>
      </c>
      <c r="KD18" s="30">
        <f t="shared" si="25"/>
        <v>0</v>
      </c>
      <c r="KE18" s="30">
        <f t="shared" si="25"/>
        <v>0</v>
      </c>
      <c r="KF18" s="30">
        <f t="shared" si="25"/>
        <v>0</v>
      </c>
      <c r="KG18" s="30">
        <f t="shared" si="25"/>
        <v>0</v>
      </c>
      <c r="KH18" s="30">
        <f t="shared" si="25"/>
        <v>0</v>
      </c>
      <c r="KI18" s="30">
        <f t="shared" si="25"/>
        <v>0</v>
      </c>
      <c r="KJ18" s="30">
        <f t="shared" si="25"/>
        <v>0</v>
      </c>
      <c r="KK18" s="30">
        <f t="shared" si="25"/>
        <v>0</v>
      </c>
      <c r="KL18" s="30">
        <f t="shared" si="25"/>
        <v>0</v>
      </c>
      <c r="KM18" s="30">
        <f t="shared" si="25"/>
        <v>0</v>
      </c>
      <c r="KN18" s="30">
        <f t="shared" si="25"/>
        <v>0</v>
      </c>
      <c r="KO18" s="30">
        <f t="shared" si="25"/>
        <v>0</v>
      </c>
      <c r="KP18" s="30">
        <f t="shared" si="25"/>
        <v>0</v>
      </c>
      <c r="KQ18" s="30">
        <f t="shared" si="25"/>
        <v>0</v>
      </c>
      <c r="KR18" s="30">
        <f t="shared" si="25"/>
        <v>0</v>
      </c>
      <c r="KS18" s="30">
        <f t="shared" si="25"/>
        <v>0</v>
      </c>
      <c r="KT18" s="30">
        <f t="shared" si="25"/>
        <v>0</v>
      </c>
      <c r="KU18" s="30">
        <f t="shared" si="25"/>
        <v>0</v>
      </c>
      <c r="KV18" s="30">
        <f t="shared" si="25"/>
        <v>0</v>
      </c>
      <c r="KW18" s="30">
        <f t="shared" si="25"/>
        <v>0</v>
      </c>
      <c r="KX18" s="30">
        <f t="shared" ref="KX18:ND18" si="26">KX17+KX14+KX9</f>
        <v>0</v>
      </c>
      <c r="KY18" s="30">
        <f t="shared" si="26"/>
        <v>0</v>
      </c>
      <c r="KZ18" s="30">
        <f t="shared" si="26"/>
        <v>0</v>
      </c>
      <c r="LA18" s="30">
        <f t="shared" si="26"/>
        <v>0</v>
      </c>
      <c r="LB18" s="30">
        <f t="shared" si="26"/>
        <v>0</v>
      </c>
      <c r="LC18" s="30">
        <f t="shared" si="26"/>
        <v>0</v>
      </c>
      <c r="LD18" s="30">
        <f t="shared" si="26"/>
        <v>0</v>
      </c>
      <c r="LE18" s="30">
        <f t="shared" si="26"/>
        <v>0</v>
      </c>
      <c r="LF18" s="30">
        <f t="shared" si="26"/>
        <v>0</v>
      </c>
      <c r="LG18" s="30">
        <f t="shared" si="26"/>
        <v>0</v>
      </c>
      <c r="LH18" s="30">
        <f t="shared" si="26"/>
        <v>0</v>
      </c>
      <c r="LI18" s="30">
        <f t="shared" si="26"/>
        <v>0</v>
      </c>
      <c r="LJ18" s="30">
        <f t="shared" si="26"/>
        <v>0</v>
      </c>
      <c r="LK18" s="30">
        <f t="shared" si="26"/>
        <v>0</v>
      </c>
      <c r="LL18" s="30">
        <f t="shared" si="26"/>
        <v>0</v>
      </c>
      <c r="LM18" s="30">
        <f t="shared" si="26"/>
        <v>0</v>
      </c>
      <c r="LN18" s="30">
        <f t="shared" si="26"/>
        <v>0</v>
      </c>
      <c r="LO18" s="30">
        <f t="shared" si="26"/>
        <v>0</v>
      </c>
      <c r="LP18" s="30">
        <f t="shared" si="26"/>
        <v>0</v>
      </c>
      <c r="LQ18" s="30">
        <f t="shared" si="26"/>
        <v>0</v>
      </c>
      <c r="LR18" s="30">
        <f t="shared" si="26"/>
        <v>0</v>
      </c>
      <c r="LS18" s="30">
        <f t="shared" si="26"/>
        <v>0</v>
      </c>
      <c r="LT18" s="30">
        <f t="shared" si="26"/>
        <v>0</v>
      </c>
      <c r="LU18" s="30">
        <f t="shared" si="26"/>
        <v>0</v>
      </c>
      <c r="LV18" s="30">
        <f t="shared" si="26"/>
        <v>0</v>
      </c>
      <c r="LW18" s="30">
        <f t="shared" si="26"/>
        <v>0</v>
      </c>
      <c r="LX18" s="30">
        <f t="shared" si="26"/>
        <v>0</v>
      </c>
      <c r="LY18" s="30">
        <f t="shared" si="26"/>
        <v>0</v>
      </c>
      <c r="LZ18" s="30">
        <f t="shared" si="26"/>
        <v>0</v>
      </c>
      <c r="MA18" s="30">
        <f t="shared" si="26"/>
        <v>0</v>
      </c>
      <c r="MB18" s="30">
        <f t="shared" si="26"/>
        <v>0</v>
      </c>
      <c r="MC18" s="30">
        <f t="shared" si="26"/>
        <v>0</v>
      </c>
      <c r="MD18" s="30">
        <f t="shared" si="26"/>
        <v>0</v>
      </c>
      <c r="ME18" s="30">
        <f t="shared" si="26"/>
        <v>0</v>
      </c>
      <c r="MF18" s="30">
        <f t="shared" si="26"/>
        <v>0</v>
      </c>
      <c r="MG18" s="30">
        <f t="shared" si="26"/>
        <v>0</v>
      </c>
      <c r="MH18" s="30">
        <f t="shared" si="26"/>
        <v>0</v>
      </c>
      <c r="MI18" s="30">
        <f t="shared" si="26"/>
        <v>0</v>
      </c>
      <c r="MJ18" s="30">
        <f t="shared" si="26"/>
        <v>0</v>
      </c>
      <c r="MK18" s="30">
        <f t="shared" si="26"/>
        <v>0</v>
      </c>
      <c r="ML18" s="30">
        <f t="shared" si="26"/>
        <v>0</v>
      </c>
      <c r="MM18" s="30">
        <f t="shared" si="26"/>
        <v>0</v>
      </c>
      <c r="MN18" s="30">
        <f t="shared" si="26"/>
        <v>0</v>
      </c>
      <c r="MO18" s="30">
        <f t="shared" si="26"/>
        <v>0</v>
      </c>
      <c r="MP18" s="30">
        <f t="shared" si="26"/>
        <v>0</v>
      </c>
      <c r="MQ18" s="30">
        <f t="shared" si="26"/>
        <v>0</v>
      </c>
      <c r="MR18" s="30">
        <f t="shared" si="26"/>
        <v>0</v>
      </c>
      <c r="MS18" s="30">
        <f t="shared" si="26"/>
        <v>0</v>
      </c>
      <c r="MT18" s="30">
        <f t="shared" si="26"/>
        <v>0</v>
      </c>
      <c r="MU18" s="30">
        <f t="shared" si="26"/>
        <v>0</v>
      </c>
      <c r="MV18" s="30">
        <f t="shared" si="26"/>
        <v>0</v>
      </c>
      <c r="MW18" s="30">
        <f t="shared" si="26"/>
        <v>0</v>
      </c>
      <c r="MX18" s="30">
        <f t="shared" si="26"/>
        <v>0</v>
      </c>
      <c r="MY18" s="30">
        <f t="shared" si="26"/>
        <v>0</v>
      </c>
      <c r="MZ18" s="30">
        <f t="shared" si="26"/>
        <v>0</v>
      </c>
      <c r="NA18" s="30">
        <f t="shared" si="26"/>
        <v>0</v>
      </c>
      <c r="NB18" s="30">
        <f t="shared" si="26"/>
        <v>0</v>
      </c>
      <c r="NC18" s="30">
        <f t="shared" si="26"/>
        <v>0</v>
      </c>
      <c r="ND18" s="30">
        <f t="shared" si="26"/>
        <v>0</v>
      </c>
    </row>
  </sheetData>
  <mergeCells count="188">
    <mergeCell ref="JP1:KB3"/>
    <mergeCell ref="A17:E17"/>
    <mergeCell ref="A18:E18"/>
    <mergeCell ref="A9:E9"/>
    <mergeCell ref="A14:E14"/>
    <mergeCell ref="JE4:JF4"/>
    <mergeCell ref="JX4:JY4"/>
    <mergeCell ref="JZ4:KB4"/>
    <mergeCell ref="IR3:JB3"/>
    <mergeCell ref="JC3:JO3"/>
    <mergeCell ref="JV4:JW4"/>
    <mergeCell ref="IR4:IS4"/>
    <mergeCell ref="IT4:IU4"/>
    <mergeCell ref="IV4:IW4"/>
    <mergeCell ref="IR1:JO2"/>
    <mergeCell ref="IX4:IY4"/>
    <mergeCell ref="JG4:JH4"/>
    <mergeCell ref="JI4:JJ4"/>
    <mergeCell ref="JK4:JL4"/>
    <mergeCell ref="JM4:JO4"/>
    <mergeCell ref="JP4:JQ4"/>
    <mergeCell ref="JR4:JS4"/>
    <mergeCell ref="JT4:JU4"/>
    <mergeCell ref="IZ4:JB4"/>
    <mergeCell ref="F2:G4"/>
    <mergeCell ref="H2:J4"/>
    <mergeCell ref="K2:L4"/>
    <mergeCell ref="M2:O4"/>
    <mergeCell ref="P2:Q4"/>
    <mergeCell ref="R2:U4"/>
    <mergeCell ref="DU4:DV4"/>
    <mergeCell ref="DW4:DX4"/>
    <mergeCell ref="DY4:EA4"/>
    <mergeCell ref="BJ4:BK4"/>
    <mergeCell ref="BL4:BN4"/>
    <mergeCell ref="AQ4:AR4"/>
    <mergeCell ref="AS4:AT4"/>
    <mergeCell ref="AU4:AV4"/>
    <mergeCell ref="AW4:AY4"/>
    <mergeCell ref="AZ4:BA4"/>
    <mergeCell ref="BB4:BC4"/>
    <mergeCell ref="BD4:BE4"/>
    <mergeCell ref="BF4:BG4"/>
    <mergeCell ref="BO4:BP4"/>
    <mergeCell ref="BQ4:BR4"/>
    <mergeCell ref="BS4:BT4"/>
    <mergeCell ref="BU4:BV4"/>
    <mergeCell ref="BW4:BX4"/>
    <mergeCell ref="A3:E4"/>
    <mergeCell ref="V1:W4"/>
    <mergeCell ref="X2:AL3"/>
    <mergeCell ref="AM2:AY3"/>
    <mergeCell ref="AZ2:BN3"/>
    <mergeCell ref="BO2:CA3"/>
    <mergeCell ref="CB2:CN3"/>
    <mergeCell ref="CO2:DA3"/>
    <mergeCell ref="DB2:DN3"/>
    <mergeCell ref="AF4:AG4"/>
    <mergeCell ref="AH4:AI4"/>
    <mergeCell ref="AJ4:AL4"/>
    <mergeCell ref="AM4:AN4"/>
    <mergeCell ref="A1:E2"/>
    <mergeCell ref="H1:L1"/>
    <mergeCell ref="M1:O1"/>
    <mergeCell ref="P1:Q1"/>
    <mergeCell ref="R1:U1"/>
    <mergeCell ref="BH4:BI4"/>
    <mergeCell ref="X4:Y4"/>
    <mergeCell ref="Z4:AA4"/>
    <mergeCell ref="AB4:AC4"/>
    <mergeCell ref="AD4:AE4"/>
    <mergeCell ref="AO4:AP4"/>
    <mergeCell ref="BY4:CA4"/>
    <mergeCell ref="CB4:CC4"/>
    <mergeCell ref="CD4:CE4"/>
    <mergeCell ref="CF4:CG4"/>
    <mergeCell ref="CH4:CI4"/>
    <mergeCell ref="CJ4:CK4"/>
    <mergeCell ref="CL4:CN4"/>
    <mergeCell ref="CO4:CP4"/>
    <mergeCell ref="CQ4:CR4"/>
    <mergeCell ref="DL4:DN4"/>
    <mergeCell ref="DO4:DP4"/>
    <mergeCell ref="DQ4:DR4"/>
    <mergeCell ref="FK4:FM4"/>
    <mergeCell ref="FN4:FO4"/>
    <mergeCell ref="FP4:FQ4"/>
    <mergeCell ref="FR4:FS4"/>
    <mergeCell ref="FT4:FU4"/>
    <mergeCell ref="FV4:FW4"/>
    <mergeCell ref="ED4:EE4"/>
    <mergeCell ref="EF4:EG4"/>
    <mergeCell ref="DS4:DT4"/>
    <mergeCell ref="ET4:EU4"/>
    <mergeCell ref="EV4:EW4"/>
    <mergeCell ref="EX4:EZ4"/>
    <mergeCell ref="EH4:EI4"/>
    <mergeCell ref="EJ4:EK4"/>
    <mergeCell ref="EL4:EM4"/>
    <mergeCell ref="EN4:EO4"/>
    <mergeCell ref="EP4:EQ4"/>
    <mergeCell ref="ER4:ES4"/>
    <mergeCell ref="CS4:CT4"/>
    <mergeCell ref="CU4:CV4"/>
    <mergeCell ref="CW4:CX4"/>
    <mergeCell ref="CY4:DA4"/>
    <mergeCell ref="DB4:DC4"/>
    <mergeCell ref="DD4:DE4"/>
    <mergeCell ref="DF4:DG4"/>
    <mergeCell ref="DH4:DI4"/>
    <mergeCell ref="DJ4:DK4"/>
    <mergeCell ref="DO2:EA3"/>
    <mergeCell ref="EB2:EZ3"/>
    <mergeCell ref="FA2:FM3"/>
    <mergeCell ref="FN2:FZ3"/>
    <mergeCell ref="GA2:GM3"/>
    <mergeCell ref="GN2:HD3"/>
    <mergeCell ref="HE2:IQ2"/>
    <mergeCell ref="HE3:HY3"/>
    <mergeCell ref="IA3:IM3"/>
    <mergeCell ref="IN3:IQ4"/>
    <mergeCell ref="HW4:HY4"/>
    <mergeCell ref="FA4:FB4"/>
    <mergeCell ref="FC4:FD4"/>
    <mergeCell ref="FE4:FF4"/>
    <mergeCell ref="FG4:FH4"/>
    <mergeCell ref="FI4:FJ4"/>
    <mergeCell ref="GZ4:HA4"/>
    <mergeCell ref="IA4:IC4"/>
    <mergeCell ref="IJ4:IM4"/>
    <mergeCell ref="FX4:FZ4"/>
    <mergeCell ref="GA4:GB4"/>
    <mergeCell ref="GC4:GD4"/>
    <mergeCell ref="GE4:GF4"/>
    <mergeCell ref="EB4:EC4"/>
    <mergeCell ref="JC4:JD4"/>
    <mergeCell ref="GG4:GH4"/>
    <mergeCell ref="GI4:GJ4"/>
    <mergeCell ref="GK4:GM4"/>
    <mergeCell ref="GN4:GO4"/>
    <mergeCell ref="GP4:GQ4"/>
    <mergeCell ref="GR4:GS4"/>
    <mergeCell ref="GT4:GU4"/>
    <mergeCell ref="GV4:GW4"/>
    <mergeCell ref="GX4:GY4"/>
    <mergeCell ref="HB4:HD4"/>
    <mergeCell ref="HE4:HG4"/>
    <mergeCell ref="HH4:HJ4"/>
    <mergeCell ref="HK4:HM4"/>
    <mergeCell ref="HN4:HP4"/>
    <mergeCell ref="HQ4:HS4"/>
    <mergeCell ref="HT4:HV4"/>
    <mergeCell ref="ID4:IF4"/>
    <mergeCell ref="IG4:II4"/>
    <mergeCell ref="KM4:KO4"/>
    <mergeCell ref="KY4:LD4"/>
    <mergeCell ref="LZ4:MA4"/>
    <mergeCell ref="MB4:MC4"/>
    <mergeCell ref="MD4:ME4"/>
    <mergeCell ref="KC4:KD4"/>
    <mergeCell ref="KE4:KG4"/>
    <mergeCell ref="KP4:KR4"/>
    <mergeCell ref="KS4:KU4"/>
    <mergeCell ref="KV4:KX4"/>
    <mergeCell ref="MF4:MG4"/>
    <mergeCell ref="MH4:MI4"/>
    <mergeCell ref="MJ4:MK4"/>
    <mergeCell ref="ML4:MM4"/>
    <mergeCell ref="MN4:MO4"/>
    <mergeCell ref="KC2:LD2"/>
    <mergeCell ref="LE2:LF2"/>
    <mergeCell ref="LG2:LH2"/>
    <mergeCell ref="LI2:LJ2"/>
    <mergeCell ref="LK2:LL2"/>
    <mergeCell ref="LM2:LY2"/>
    <mergeCell ref="LZ2:MO2"/>
    <mergeCell ref="KC3:LD3"/>
    <mergeCell ref="LE3:LF4"/>
    <mergeCell ref="LG3:LH4"/>
    <mergeCell ref="LI3:LJ4"/>
    <mergeCell ref="LK3:LL4"/>
    <mergeCell ref="LM3:LN4"/>
    <mergeCell ref="LO3:LS4"/>
    <mergeCell ref="LT3:LV4"/>
    <mergeCell ref="LW3:LX4"/>
    <mergeCell ref="LY3:LY5"/>
    <mergeCell ref="LZ3:MO3"/>
    <mergeCell ref="KH4:KL4"/>
  </mergeCells>
  <conditionalFormatting sqref="IR8:IY8">
    <cfRule type="cellIs" dxfId="8" priority="7" stopIfTrue="1" operator="between">
      <formula>"بنين"</formula>
      <formula>"بنين"</formula>
    </cfRule>
    <cfRule type="cellIs" dxfId="7" priority="8" stopIfTrue="1" operator="between">
      <formula>"بنات"</formula>
      <formula>"بنات"</formula>
    </cfRule>
    <cfRule type="cellIs" dxfId="6" priority="9" stopIfTrue="1" operator="between">
      <formula>"مختلطة"</formula>
      <formula>"مختلطة"</formula>
    </cfRule>
  </conditionalFormatting>
  <conditionalFormatting sqref="IR8:IY8">
    <cfRule type="cellIs" dxfId="5" priority="13" stopIfTrue="1" operator="between">
      <formula>"بنين"</formula>
      <formula>"بنين"</formula>
    </cfRule>
    <cfRule type="cellIs" dxfId="4" priority="14" stopIfTrue="1" operator="between">
      <formula>"بنات"</formula>
      <formula>"بنات"</formula>
    </cfRule>
    <cfRule type="cellIs" dxfId="3" priority="15" stopIfTrue="1" operator="between">
      <formula>"مختلطة"</formula>
      <formula>"مختلطة"</formula>
    </cfRule>
  </conditionalFormatting>
  <conditionalFormatting sqref="IR8:IY8">
    <cfRule type="cellIs" dxfId="2" priority="10" stopIfTrue="1" operator="between">
      <formula>"بنين"</formula>
      <formula>"بنين"</formula>
    </cfRule>
    <cfRule type="cellIs" dxfId="1" priority="11" stopIfTrue="1" operator="between">
      <formula>"بنات"</formula>
      <formula>"بنات"</formula>
    </cfRule>
    <cfRule type="cellIs" dxfId="0" priority="12" stopIfTrue="1" operator="between">
      <formula>"مختلطة"</formula>
      <formula>"مختلطة"</formula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AB51"/>
  <sheetViews>
    <sheetView rightToLeft="1" view="pageBreakPreview" zoomScale="80" zoomScaleNormal="59" zoomScaleSheetLayoutView="80" workbookViewId="0">
      <selection activeCell="Y13" sqref="Y13"/>
    </sheetView>
  </sheetViews>
  <sheetFormatPr defaultColWidth="7.5" defaultRowHeight="18" x14ac:dyDescent="0.25"/>
  <cols>
    <col min="1" max="1" width="3.75" style="21" customWidth="1"/>
    <col min="2" max="2" width="9.875" style="21" bestFit="1" customWidth="1"/>
    <col min="3" max="3" width="8.75" style="21" customWidth="1"/>
    <col min="4" max="4" width="8.875" style="21" customWidth="1"/>
    <col min="5" max="5" width="6.875" style="21" customWidth="1"/>
    <col min="6" max="6" width="8.25" style="21" customWidth="1"/>
    <col min="7" max="10" width="6.875" style="21" customWidth="1"/>
    <col min="11" max="11" width="8.125" style="21" customWidth="1"/>
    <col min="12" max="16" width="6.875" style="21" customWidth="1"/>
    <col min="17" max="17" width="8.875" style="21" customWidth="1"/>
    <col min="18" max="22" width="6.875" style="21" customWidth="1"/>
    <col min="23" max="23" width="8.5" style="21" customWidth="1"/>
    <col min="24" max="24" width="9.125" style="21" customWidth="1"/>
    <col min="25" max="26" width="6.875" style="21" customWidth="1"/>
    <col min="27" max="27" width="7.75" style="21" bestFit="1" customWidth="1"/>
    <col min="28" max="28" width="6.25" style="21" customWidth="1"/>
    <col min="29" max="29" width="6.75" style="21" bestFit="1" customWidth="1"/>
    <col min="30" max="30" width="6.875" style="21" customWidth="1"/>
    <col min="31" max="16384" width="7.5" style="21"/>
  </cols>
  <sheetData>
    <row r="1" spans="2:28" ht="25.5" customHeight="1" x14ac:dyDescent="0.25">
      <c r="B1" s="398" t="s">
        <v>0</v>
      </c>
      <c r="C1" s="398"/>
      <c r="D1" s="398"/>
      <c r="E1" s="398"/>
      <c r="F1" s="398"/>
      <c r="G1" s="398"/>
      <c r="H1" s="164"/>
      <c r="I1" s="164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403" t="s">
        <v>344</v>
      </c>
      <c r="U1" s="403"/>
      <c r="V1" s="403"/>
      <c r="W1" s="403"/>
      <c r="X1" s="165"/>
      <c r="Y1" s="165"/>
      <c r="Z1" s="165"/>
      <c r="AA1" s="165"/>
      <c r="AB1" s="165"/>
    </row>
    <row r="2" spans="2:28" x14ac:dyDescent="0.25">
      <c r="B2" s="398" t="s">
        <v>170</v>
      </c>
      <c r="C2" s="398"/>
      <c r="D2" s="398"/>
      <c r="E2" s="398"/>
      <c r="F2" s="398"/>
      <c r="G2" s="398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403" t="s">
        <v>293</v>
      </c>
      <c r="U2" s="403"/>
      <c r="V2" s="403"/>
      <c r="W2" s="403"/>
      <c r="X2" s="165"/>
      <c r="Y2" s="165"/>
      <c r="Z2" s="165"/>
      <c r="AA2" s="398"/>
      <c r="AB2" s="398"/>
    </row>
    <row r="3" spans="2:28" x14ac:dyDescent="0.25">
      <c r="B3" s="165"/>
      <c r="C3" s="165"/>
      <c r="D3" s="165"/>
      <c r="E3" s="165"/>
      <c r="F3" s="165"/>
      <c r="G3" s="165"/>
      <c r="H3" s="165"/>
      <c r="I3" s="398"/>
      <c r="J3" s="398"/>
      <c r="K3" s="398"/>
      <c r="L3" s="403" t="s">
        <v>171</v>
      </c>
      <c r="M3" s="403"/>
      <c r="N3" s="403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</row>
    <row r="4" spans="2:28" x14ac:dyDescent="0.25">
      <c r="B4" s="165"/>
      <c r="C4" s="165"/>
      <c r="D4" s="403" t="s">
        <v>363</v>
      </c>
      <c r="E4" s="403"/>
      <c r="F4" s="403"/>
      <c r="G4" s="403"/>
      <c r="H4" s="403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3"/>
      <c r="U4" s="403"/>
      <c r="V4" s="403"/>
      <c r="W4" s="403"/>
      <c r="X4" s="403"/>
      <c r="Y4" s="403"/>
      <c r="Z4" s="403"/>
      <c r="AA4" s="165"/>
      <c r="AB4" s="165"/>
    </row>
    <row r="5" spans="2:28" ht="18.75" thickBot="1" x14ac:dyDescent="0.3"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</row>
    <row r="6" spans="2:28" ht="57" customHeight="1" thickTop="1" thickBot="1" x14ac:dyDescent="0.3">
      <c r="B6" s="166" t="s">
        <v>172</v>
      </c>
      <c r="C6" s="404" t="s">
        <v>173</v>
      </c>
      <c r="D6" s="405"/>
      <c r="E6" s="405"/>
      <c r="F6" s="406"/>
      <c r="G6" s="407" t="s">
        <v>184</v>
      </c>
      <c r="H6" s="408"/>
      <c r="I6" s="409"/>
      <c r="J6" s="407" t="s">
        <v>185</v>
      </c>
      <c r="K6" s="408"/>
      <c r="L6" s="409"/>
      <c r="M6" s="407" t="s">
        <v>187</v>
      </c>
      <c r="N6" s="408"/>
      <c r="O6" s="409"/>
      <c r="P6" s="407" t="s">
        <v>188</v>
      </c>
      <c r="Q6" s="408"/>
      <c r="R6" s="409"/>
      <c r="S6" s="407" t="s">
        <v>189</v>
      </c>
      <c r="T6" s="408"/>
      <c r="U6" s="408"/>
      <c r="V6" s="407" t="s">
        <v>181</v>
      </c>
      <c r="W6" s="408"/>
      <c r="X6" s="409"/>
      <c r="Y6" s="407" t="s">
        <v>174</v>
      </c>
      <c r="Z6" s="410"/>
    </row>
    <row r="7" spans="2:28" ht="30" customHeight="1" thickTop="1" thickBot="1" x14ac:dyDescent="0.3">
      <c r="B7" s="167" t="s">
        <v>176</v>
      </c>
      <c r="C7" s="168" t="s">
        <v>68</v>
      </c>
      <c r="D7" s="168" t="s">
        <v>69</v>
      </c>
      <c r="E7" s="168" t="s">
        <v>177</v>
      </c>
      <c r="F7" s="168" t="s">
        <v>178</v>
      </c>
      <c r="G7" s="168" t="s">
        <v>68</v>
      </c>
      <c r="H7" s="168" t="s">
        <v>69</v>
      </c>
      <c r="I7" s="168" t="s">
        <v>178</v>
      </c>
      <c r="J7" s="168" t="s">
        <v>186</v>
      </c>
      <c r="K7" s="168" t="s">
        <v>69</v>
      </c>
      <c r="L7" s="168" t="s">
        <v>178</v>
      </c>
      <c r="M7" s="168" t="s">
        <v>186</v>
      </c>
      <c r="N7" s="168" t="s">
        <v>69</v>
      </c>
      <c r="O7" s="168" t="s">
        <v>178</v>
      </c>
      <c r="P7" s="168" t="s">
        <v>186</v>
      </c>
      <c r="Q7" s="168" t="s">
        <v>69</v>
      </c>
      <c r="R7" s="168" t="s">
        <v>178</v>
      </c>
      <c r="S7" s="168" t="s">
        <v>84</v>
      </c>
      <c r="T7" s="168" t="s">
        <v>85</v>
      </c>
      <c r="U7" s="168" t="s">
        <v>20</v>
      </c>
      <c r="V7" s="168" t="s">
        <v>84</v>
      </c>
      <c r="W7" s="168" t="s">
        <v>85</v>
      </c>
      <c r="X7" s="168" t="s">
        <v>20</v>
      </c>
      <c r="Y7" s="168" t="s">
        <v>179</v>
      </c>
      <c r="Z7" s="169" t="s">
        <v>77</v>
      </c>
    </row>
    <row r="8" spans="2:28" ht="30.75" customHeight="1" thickTop="1" thickBot="1" x14ac:dyDescent="0.3">
      <c r="B8" s="170" t="s">
        <v>182</v>
      </c>
      <c r="C8" s="168">
        <f>حضر!H30</f>
        <v>0</v>
      </c>
      <c r="D8" s="168">
        <f>حضر!I30</f>
        <v>0</v>
      </c>
      <c r="E8" s="168">
        <f>حضر!J30</f>
        <v>0</v>
      </c>
      <c r="F8" s="168">
        <f>SUM(C8:E8)</f>
        <v>0</v>
      </c>
      <c r="G8" s="168">
        <f>حضر!AJ30</f>
        <v>0</v>
      </c>
      <c r="H8" s="168">
        <f>حضر!AK30</f>
        <v>0</v>
      </c>
      <c r="I8" s="168">
        <f>SUM(G8:H8)</f>
        <v>0</v>
      </c>
      <c r="J8" s="168">
        <f>حضر!AW30</f>
        <v>0</v>
      </c>
      <c r="K8" s="168">
        <f>حضر!AX30</f>
        <v>0</v>
      </c>
      <c r="L8" s="168">
        <f>SUM(J8:K8)</f>
        <v>0</v>
      </c>
      <c r="M8" s="168">
        <f>حضر!EX30</f>
        <v>0</v>
      </c>
      <c r="N8" s="168">
        <f>حضر!EY30</f>
        <v>0</v>
      </c>
      <c r="O8" s="168">
        <f>SUM(M8:N8)</f>
        <v>0</v>
      </c>
      <c r="P8" s="168">
        <f>حضر!HB30</f>
        <v>0</v>
      </c>
      <c r="Q8" s="168">
        <f>حضر!HC30</f>
        <v>0</v>
      </c>
      <c r="R8" s="168">
        <f>SUM(P8:Q8)</f>
        <v>0</v>
      </c>
      <c r="S8" s="168">
        <f>حضر!IZ30</f>
        <v>0</v>
      </c>
      <c r="T8" s="168">
        <f>حضر!JA30</f>
        <v>0</v>
      </c>
      <c r="U8" s="168">
        <f>SUM(S8:T8)</f>
        <v>0</v>
      </c>
      <c r="V8" s="168">
        <f>حضر!JM30</f>
        <v>0</v>
      </c>
      <c r="W8" s="168">
        <f>حضر!JN30</f>
        <v>0</v>
      </c>
      <c r="X8" s="168">
        <f>SUM(V8:W8)</f>
        <v>0</v>
      </c>
      <c r="Y8" s="168">
        <f>حضر!P30</f>
        <v>0</v>
      </c>
      <c r="Z8" s="169">
        <f>حضر!Q30</f>
        <v>0</v>
      </c>
    </row>
    <row r="9" spans="2:28" ht="30.75" customHeight="1" thickTop="1" thickBot="1" x14ac:dyDescent="0.3">
      <c r="B9" s="170" t="s">
        <v>183</v>
      </c>
      <c r="C9" s="168">
        <f>ريف!H18</f>
        <v>0</v>
      </c>
      <c r="D9" s="168">
        <f>ريف!I18</f>
        <v>0</v>
      </c>
      <c r="E9" s="168">
        <f>ريف!J18</f>
        <v>0</v>
      </c>
      <c r="F9" s="168">
        <f>SUM(C9:E9)</f>
        <v>0</v>
      </c>
      <c r="G9" s="168">
        <f>ريف!AJ18</f>
        <v>0</v>
      </c>
      <c r="H9" s="168">
        <f>ريف!AK18</f>
        <v>0</v>
      </c>
      <c r="I9" s="168">
        <f>SUM(G9:H9)</f>
        <v>0</v>
      </c>
      <c r="J9" s="168">
        <f>ريف!AW18</f>
        <v>0</v>
      </c>
      <c r="K9" s="168">
        <f>ريف!AX18</f>
        <v>0</v>
      </c>
      <c r="L9" s="168">
        <f>SUM(J9:K9)</f>
        <v>0</v>
      </c>
      <c r="M9" s="168">
        <f>ريف!EX18</f>
        <v>0</v>
      </c>
      <c r="N9" s="168">
        <f>ريف!EY18</f>
        <v>0</v>
      </c>
      <c r="O9" s="168">
        <f>SUM(M9:N9)</f>
        <v>0</v>
      </c>
      <c r="P9" s="168">
        <f>ريف!HB18</f>
        <v>0</v>
      </c>
      <c r="Q9" s="168">
        <f>ريف!HC18</f>
        <v>0</v>
      </c>
      <c r="R9" s="168">
        <f>SUM(P9:Q9)</f>
        <v>0</v>
      </c>
      <c r="S9" s="168">
        <f>ريف!IZ18</f>
        <v>0</v>
      </c>
      <c r="T9" s="168">
        <f>ريف!JA18</f>
        <v>0</v>
      </c>
      <c r="U9" s="168">
        <f>SUM(S9:T9)</f>
        <v>0</v>
      </c>
      <c r="V9" s="168">
        <f>ريف!JM18</f>
        <v>0</v>
      </c>
      <c r="W9" s="168">
        <f>ريف!JN18</f>
        <v>0</v>
      </c>
      <c r="X9" s="168">
        <f>SUM(V9:W9)</f>
        <v>0</v>
      </c>
      <c r="Y9" s="168">
        <f>ريف!P18</f>
        <v>0</v>
      </c>
      <c r="Z9" s="169">
        <f>ريف!Q18</f>
        <v>0</v>
      </c>
    </row>
    <row r="10" spans="2:28" ht="30.75" customHeight="1" thickTop="1" thickBot="1" x14ac:dyDescent="0.3">
      <c r="B10" s="171" t="s">
        <v>20</v>
      </c>
      <c r="C10" s="172">
        <f>SUM(C8:C9)</f>
        <v>0</v>
      </c>
      <c r="D10" s="172">
        <f t="shared" ref="D10:Z10" si="0">SUM(D8:D9)</f>
        <v>0</v>
      </c>
      <c r="E10" s="172">
        <f t="shared" si="0"/>
        <v>0</v>
      </c>
      <c r="F10" s="172">
        <f t="shared" si="0"/>
        <v>0</v>
      </c>
      <c r="G10" s="172">
        <f t="shared" si="0"/>
        <v>0</v>
      </c>
      <c r="H10" s="172">
        <f t="shared" si="0"/>
        <v>0</v>
      </c>
      <c r="I10" s="172">
        <f t="shared" si="0"/>
        <v>0</v>
      </c>
      <c r="J10" s="172">
        <f t="shared" si="0"/>
        <v>0</v>
      </c>
      <c r="K10" s="172">
        <f t="shared" si="0"/>
        <v>0</v>
      </c>
      <c r="L10" s="172">
        <f t="shared" si="0"/>
        <v>0</v>
      </c>
      <c r="M10" s="172">
        <f t="shared" si="0"/>
        <v>0</v>
      </c>
      <c r="N10" s="172">
        <f t="shared" si="0"/>
        <v>0</v>
      </c>
      <c r="O10" s="172">
        <f t="shared" si="0"/>
        <v>0</v>
      </c>
      <c r="P10" s="172">
        <f t="shared" si="0"/>
        <v>0</v>
      </c>
      <c r="Q10" s="172">
        <f t="shared" si="0"/>
        <v>0</v>
      </c>
      <c r="R10" s="172">
        <f t="shared" si="0"/>
        <v>0</v>
      </c>
      <c r="S10" s="172">
        <f t="shared" si="0"/>
        <v>0</v>
      </c>
      <c r="T10" s="172">
        <f t="shared" si="0"/>
        <v>0</v>
      </c>
      <c r="U10" s="172">
        <f t="shared" si="0"/>
        <v>0</v>
      </c>
      <c r="V10" s="172">
        <f t="shared" si="0"/>
        <v>0</v>
      </c>
      <c r="W10" s="172">
        <f t="shared" si="0"/>
        <v>0</v>
      </c>
      <c r="X10" s="172">
        <f t="shared" si="0"/>
        <v>0</v>
      </c>
      <c r="Y10" s="172">
        <f t="shared" si="0"/>
        <v>0</v>
      </c>
      <c r="Z10" s="190">
        <f t="shared" si="0"/>
        <v>0</v>
      </c>
    </row>
    <row r="11" spans="2:28" ht="18.75" thickTop="1" x14ac:dyDescent="0.25">
      <c r="B11" s="165"/>
      <c r="C11" s="165"/>
      <c r="AB11" s="165"/>
    </row>
    <row r="12" spans="2:28" x14ac:dyDescent="0.25">
      <c r="N12" s="173" t="s">
        <v>352</v>
      </c>
    </row>
    <row r="13" spans="2:28" x14ac:dyDescent="0.25">
      <c r="J13" s="173" t="s">
        <v>364</v>
      </c>
      <c r="N13" s="173"/>
    </row>
    <row r="14" spans="2:28" ht="18.75" thickBot="1" x14ac:dyDescent="0.3"/>
    <row r="15" spans="2:28" ht="28.5" customHeight="1" thickTop="1" thickBot="1" x14ac:dyDescent="0.3">
      <c r="I15" s="448" t="s">
        <v>365</v>
      </c>
      <c r="J15" s="449"/>
      <c r="K15" s="449"/>
      <c r="L15" s="449"/>
      <c r="M15" s="449"/>
      <c r="N15" s="449"/>
      <c r="O15" s="449"/>
      <c r="P15" s="449"/>
      <c r="Q15" s="449"/>
      <c r="R15" s="450"/>
    </row>
    <row r="16" spans="2:28" ht="18.75" thickTop="1" x14ac:dyDescent="0.25">
      <c r="I16" s="176"/>
      <c r="J16" s="177" t="s">
        <v>214</v>
      </c>
      <c r="K16" s="451" t="s">
        <v>186</v>
      </c>
      <c r="L16" s="451"/>
      <c r="M16" s="451" t="s">
        <v>69</v>
      </c>
      <c r="N16" s="451"/>
      <c r="O16" s="451" t="s">
        <v>70</v>
      </c>
      <c r="P16" s="451"/>
      <c r="Q16" s="451" t="s">
        <v>20</v>
      </c>
      <c r="R16" s="451"/>
    </row>
    <row r="17" spans="2:23" ht="18.75" thickBot="1" x14ac:dyDescent="0.3">
      <c r="I17" s="178" t="s">
        <v>207</v>
      </c>
      <c r="J17" s="179"/>
      <c r="K17" s="452"/>
      <c r="L17" s="452"/>
      <c r="M17" s="452"/>
      <c r="N17" s="452"/>
      <c r="O17" s="452"/>
      <c r="P17" s="452"/>
      <c r="Q17" s="452"/>
      <c r="R17" s="452"/>
    </row>
    <row r="18" spans="2:23" ht="30.75" customHeight="1" thickTop="1" thickBot="1" x14ac:dyDescent="0.3">
      <c r="I18" s="402" t="s">
        <v>208</v>
      </c>
      <c r="J18" s="395"/>
      <c r="K18" s="401">
        <f>'مدارس التعليم الاساسية'!HE37</f>
        <v>6</v>
      </c>
      <c r="L18" s="395"/>
      <c r="M18" s="401">
        <f>'مدارس التعليم الاساسية'!HF37</f>
        <v>2</v>
      </c>
      <c r="N18" s="395"/>
      <c r="O18" s="401">
        <f>'مدارس التعليم الاساسية'!HG37</f>
        <v>0</v>
      </c>
      <c r="P18" s="395"/>
      <c r="Q18" s="401">
        <f t="shared" ref="Q18:Q23" si="1">SUM(K18:P18)</f>
        <v>8</v>
      </c>
      <c r="R18" s="397"/>
    </row>
    <row r="19" spans="2:23" ht="30.75" customHeight="1" thickTop="1" thickBot="1" x14ac:dyDescent="0.3">
      <c r="I19" s="399" t="s">
        <v>209</v>
      </c>
      <c r="J19" s="400"/>
      <c r="K19" s="401">
        <f>'مدارس التعليم الاساسية'!HH37</f>
        <v>5</v>
      </c>
      <c r="L19" s="395"/>
      <c r="M19" s="401">
        <f>'مدارس التعليم الاساسية'!HI37</f>
        <v>2</v>
      </c>
      <c r="N19" s="395"/>
      <c r="O19" s="401">
        <f>'مدارس التعليم الاساسية'!HJ37</f>
        <v>0</v>
      </c>
      <c r="P19" s="395"/>
      <c r="Q19" s="401">
        <f t="shared" si="1"/>
        <v>7</v>
      </c>
      <c r="R19" s="397"/>
    </row>
    <row r="20" spans="2:23" ht="30.75" customHeight="1" thickTop="1" thickBot="1" x14ac:dyDescent="0.3">
      <c r="I20" s="399" t="s">
        <v>210</v>
      </c>
      <c r="J20" s="400"/>
      <c r="K20" s="401">
        <f>'مدارس التعليم الاساسية'!HK37</f>
        <v>5</v>
      </c>
      <c r="L20" s="395"/>
      <c r="M20" s="401">
        <f>'مدارس التعليم الاساسية'!HL37</f>
        <v>2</v>
      </c>
      <c r="N20" s="395"/>
      <c r="O20" s="401">
        <f>'مدارس التعليم الاساسية'!HM37</f>
        <v>0</v>
      </c>
      <c r="P20" s="395"/>
      <c r="Q20" s="401">
        <f t="shared" si="1"/>
        <v>7</v>
      </c>
      <c r="R20" s="397"/>
    </row>
    <row r="21" spans="2:23" ht="30.75" customHeight="1" thickTop="1" thickBot="1" x14ac:dyDescent="0.3">
      <c r="I21" s="399" t="s">
        <v>162</v>
      </c>
      <c r="J21" s="400"/>
      <c r="K21" s="401">
        <f>'مدارس التعليم الاساسية'!HN37</f>
        <v>5</v>
      </c>
      <c r="L21" s="395"/>
      <c r="M21" s="401">
        <f>'مدارس التعليم الاساسية'!HO37</f>
        <v>1</v>
      </c>
      <c r="N21" s="395"/>
      <c r="O21" s="401">
        <f>'مدارس التعليم الاساسية'!HP37</f>
        <v>0</v>
      </c>
      <c r="P21" s="395"/>
      <c r="Q21" s="401">
        <f t="shared" si="1"/>
        <v>6</v>
      </c>
      <c r="R21" s="397"/>
    </row>
    <row r="22" spans="2:23" ht="30.75" customHeight="1" thickTop="1" thickBot="1" x14ac:dyDescent="0.3">
      <c r="I22" s="399" t="s">
        <v>163</v>
      </c>
      <c r="J22" s="400"/>
      <c r="K22" s="401">
        <f>'مدارس التعليم الاساسية'!HQ37</f>
        <v>6</v>
      </c>
      <c r="L22" s="395"/>
      <c r="M22" s="401">
        <f>'مدارس التعليم الاساسية'!HR37</f>
        <v>2</v>
      </c>
      <c r="N22" s="395"/>
      <c r="O22" s="401">
        <f>'مدارس التعليم الاساسية'!HS37</f>
        <v>0</v>
      </c>
      <c r="P22" s="395"/>
      <c r="Q22" s="401">
        <f t="shared" si="1"/>
        <v>8</v>
      </c>
      <c r="R22" s="397"/>
    </row>
    <row r="23" spans="2:23" ht="30.75" customHeight="1" thickTop="1" thickBot="1" x14ac:dyDescent="0.3">
      <c r="I23" s="399" t="s">
        <v>164</v>
      </c>
      <c r="J23" s="400"/>
      <c r="K23" s="401">
        <f>'مدارس التعليم الاساسية'!HT37</f>
        <v>6</v>
      </c>
      <c r="L23" s="395"/>
      <c r="M23" s="401">
        <f>'مدارس التعليم الاساسية'!HU37</f>
        <v>2</v>
      </c>
      <c r="N23" s="395"/>
      <c r="O23" s="401">
        <f>'مدارس التعليم الاساسية'!HV37</f>
        <v>0</v>
      </c>
      <c r="P23" s="395"/>
      <c r="Q23" s="401">
        <f t="shared" si="1"/>
        <v>8</v>
      </c>
      <c r="R23" s="397"/>
    </row>
    <row r="24" spans="2:23" ht="30.75" customHeight="1" thickTop="1" thickBot="1" x14ac:dyDescent="0.3">
      <c r="I24" s="411" t="s">
        <v>20</v>
      </c>
      <c r="J24" s="412"/>
      <c r="K24" s="413">
        <f>SUM(K18:L23)</f>
        <v>33</v>
      </c>
      <c r="L24" s="414"/>
      <c r="M24" s="413">
        <f>SUM(M18:N23)</f>
        <v>11</v>
      </c>
      <c r="N24" s="414"/>
      <c r="O24" s="413">
        <f>SUM(O18:P23)</f>
        <v>0</v>
      </c>
      <c r="P24" s="414"/>
      <c r="Q24" s="413">
        <f>SUM(Q18:R23)</f>
        <v>44</v>
      </c>
      <c r="R24" s="415"/>
    </row>
    <row r="25" spans="2:23" ht="30.75" customHeight="1" thickTop="1" thickBot="1" x14ac:dyDescent="0.3">
      <c r="I25" s="399" t="s">
        <v>211</v>
      </c>
      <c r="J25" s="400"/>
      <c r="K25" s="401">
        <f>'مدارس التعليم الاساسية'!IA37</f>
        <v>0</v>
      </c>
      <c r="L25" s="395"/>
      <c r="M25" s="401">
        <f>'مدارس التعليم الاساسية'!IB37</f>
        <v>0</v>
      </c>
      <c r="N25" s="395"/>
      <c r="O25" s="401">
        <f>'مدارس التعليم الاساسية'!IC37</f>
        <v>0</v>
      </c>
      <c r="P25" s="395"/>
      <c r="Q25" s="401">
        <f>SUM(K25:P25)</f>
        <v>0</v>
      </c>
      <c r="R25" s="397"/>
    </row>
    <row r="26" spans="2:23" ht="30.75" customHeight="1" thickTop="1" thickBot="1" x14ac:dyDescent="0.3">
      <c r="I26" s="399" t="s">
        <v>212</v>
      </c>
      <c r="J26" s="400"/>
      <c r="K26" s="401">
        <f>'مدارس التعليم الاساسية'!ID37</f>
        <v>0</v>
      </c>
      <c r="L26" s="395"/>
      <c r="M26" s="401">
        <f>'مدارس التعليم الاساسية'!IE37</f>
        <v>0</v>
      </c>
      <c r="N26" s="395"/>
      <c r="O26" s="401">
        <f>'مدارس التعليم الاساسية'!IF37</f>
        <v>0</v>
      </c>
      <c r="P26" s="395"/>
      <c r="Q26" s="401">
        <f>SUM(K26:P26)</f>
        <v>0</v>
      </c>
      <c r="R26" s="397"/>
    </row>
    <row r="27" spans="2:23" ht="30.75" customHeight="1" thickTop="1" thickBot="1" x14ac:dyDescent="0.3">
      <c r="I27" s="399" t="s">
        <v>213</v>
      </c>
      <c r="J27" s="400"/>
      <c r="K27" s="401">
        <f>'مدارس التعليم الاساسية'!IG37</f>
        <v>0</v>
      </c>
      <c r="L27" s="395"/>
      <c r="M27" s="401">
        <f>'مدارس التعليم الاساسية'!IH37</f>
        <v>0</v>
      </c>
      <c r="N27" s="395"/>
      <c r="O27" s="401">
        <f>'مدارس التعليم الاساسية'!II37</f>
        <v>0</v>
      </c>
      <c r="P27" s="395"/>
      <c r="Q27" s="401">
        <f>SUM(K27:P27)</f>
        <v>0</v>
      </c>
      <c r="R27" s="397"/>
    </row>
    <row r="28" spans="2:23" ht="30.75" customHeight="1" thickTop="1" thickBot="1" x14ac:dyDescent="0.3">
      <c r="I28" s="418" t="s">
        <v>20</v>
      </c>
      <c r="J28" s="419"/>
      <c r="K28" s="420">
        <f>SUM(K25:L27)</f>
        <v>0</v>
      </c>
      <c r="L28" s="419"/>
      <c r="M28" s="420">
        <f>SUM(M25:N27)</f>
        <v>0</v>
      </c>
      <c r="N28" s="419"/>
      <c r="O28" s="420">
        <f>SUM(O25:P27)</f>
        <v>0</v>
      </c>
      <c r="P28" s="419"/>
      <c r="Q28" s="420">
        <f>SUM(Q25:R27)</f>
        <v>0</v>
      </c>
      <c r="R28" s="421"/>
    </row>
    <row r="29" spans="2:23" ht="18.75" thickTop="1" x14ac:dyDescent="0.25"/>
    <row r="31" spans="2:23" x14ac:dyDescent="0.25">
      <c r="B31" s="398" t="s">
        <v>0</v>
      </c>
      <c r="C31" s="398"/>
      <c r="D31" s="398"/>
      <c r="E31" s="398"/>
      <c r="F31" s="398"/>
      <c r="G31" s="398"/>
      <c r="T31" s="403" t="s">
        <v>344</v>
      </c>
      <c r="U31" s="403"/>
      <c r="V31" s="403"/>
      <c r="W31" s="403"/>
    </row>
    <row r="32" spans="2:23" x14ac:dyDescent="0.25">
      <c r="B32" s="398" t="s">
        <v>170</v>
      </c>
      <c r="C32" s="398"/>
      <c r="D32" s="398"/>
      <c r="E32" s="398"/>
      <c r="F32" s="398"/>
      <c r="G32" s="398"/>
      <c r="T32" s="403" t="s">
        <v>293</v>
      </c>
      <c r="U32" s="403"/>
      <c r="V32" s="403"/>
      <c r="W32" s="403"/>
    </row>
    <row r="33" spans="4:24" x14ac:dyDescent="0.25">
      <c r="K33" s="182" t="s">
        <v>275</v>
      </c>
    </row>
    <row r="34" spans="4:24" x14ac:dyDescent="0.25">
      <c r="F34" s="441" t="s">
        <v>366</v>
      </c>
      <c r="G34" s="441"/>
      <c r="H34" s="441"/>
      <c r="I34" s="441"/>
      <c r="J34" s="441"/>
      <c r="K34" s="441"/>
      <c r="L34" s="441"/>
      <c r="M34" s="441"/>
      <c r="N34" s="441"/>
      <c r="O34" s="441"/>
      <c r="P34" s="441"/>
      <c r="Q34" s="441"/>
      <c r="R34" s="441"/>
    </row>
    <row r="35" spans="4:24" ht="18.75" thickBot="1" x14ac:dyDescent="0.3"/>
    <row r="36" spans="4:24" ht="39.75" customHeight="1" thickTop="1" thickBot="1" x14ac:dyDescent="0.3">
      <c r="D36" s="399" t="s">
        <v>276</v>
      </c>
      <c r="E36" s="440"/>
      <c r="F36" s="400"/>
      <c r="G36" s="424" t="s">
        <v>277</v>
      </c>
      <c r="H36" s="440"/>
      <c r="I36" s="400"/>
      <c r="J36" s="424" t="s">
        <v>278</v>
      </c>
      <c r="K36" s="440"/>
      <c r="L36" s="440"/>
      <c r="M36" s="400"/>
      <c r="N36" s="436" t="s">
        <v>279</v>
      </c>
      <c r="O36" s="437"/>
      <c r="P36" s="424" t="s">
        <v>280</v>
      </c>
      <c r="Q36" s="440"/>
      <c r="R36" s="440"/>
      <c r="S36" s="440"/>
      <c r="T36" s="440"/>
      <c r="U36" s="400"/>
      <c r="V36" s="438" t="s">
        <v>281</v>
      </c>
      <c r="W36" s="424" t="s">
        <v>288</v>
      </c>
      <c r="X36" s="425"/>
    </row>
    <row r="37" spans="4:24" ht="28.5" customHeight="1" thickTop="1" thickBot="1" x14ac:dyDescent="0.3">
      <c r="D37" s="455" t="s">
        <v>282</v>
      </c>
      <c r="E37" s="456"/>
      <c r="F37" s="457" t="s">
        <v>95</v>
      </c>
      <c r="G37" s="426" t="s">
        <v>283</v>
      </c>
      <c r="H37" s="426" t="s">
        <v>97</v>
      </c>
      <c r="I37" s="426" t="s">
        <v>290</v>
      </c>
      <c r="J37" s="426" t="s">
        <v>99</v>
      </c>
      <c r="K37" s="428" t="s">
        <v>100</v>
      </c>
      <c r="L37" s="429"/>
      <c r="M37" s="426" t="s">
        <v>101</v>
      </c>
      <c r="N37" s="394" t="s">
        <v>48</v>
      </c>
      <c r="O37" s="395"/>
      <c r="P37" s="224" t="s">
        <v>284</v>
      </c>
      <c r="Q37" s="432" t="s">
        <v>319</v>
      </c>
      <c r="R37" s="432" t="s">
        <v>315</v>
      </c>
      <c r="S37" s="432" t="s">
        <v>320</v>
      </c>
      <c r="T37" s="183" t="s">
        <v>285</v>
      </c>
      <c r="U37" s="434" t="s">
        <v>286</v>
      </c>
      <c r="V37" s="439"/>
      <c r="W37" s="426" t="s">
        <v>289</v>
      </c>
      <c r="X37" s="416" t="s">
        <v>110</v>
      </c>
    </row>
    <row r="38" spans="4:24" ht="71.25" customHeight="1" thickTop="1" thickBot="1" x14ac:dyDescent="0.3">
      <c r="D38" s="174" t="s">
        <v>317</v>
      </c>
      <c r="E38" s="184" t="s">
        <v>318</v>
      </c>
      <c r="F38" s="458"/>
      <c r="G38" s="427"/>
      <c r="H38" s="427"/>
      <c r="I38" s="427"/>
      <c r="J38" s="427"/>
      <c r="K38" s="430"/>
      <c r="L38" s="431"/>
      <c r="M38" s="427"/>
      <c r="N38" s="185" t="s">
        <v>86</v>
      </c>
      <c r="O38" s="185" t="s">
        <v>87</v>
      </c>
      <c r="P38" s="225" t="s">
        <v>291</v>
      </c>
      <c r="Q38" s="433"/>
      <c r="R38" s="433"/>
      <c r="S38" s="433"/>
      <c r="T38" s="186" t="s">
        <v>287</v>
      </c>
      <c r="U38" s="435"/>
      <c r="V38" s="427"/>
      <c r="W38" s="427"/>
      <c r="X38" s="417"/>
    </row>
    <row r="39" spans="4:24" ht="39.75" customHeight="1" thickTop="1" thickBot="1" x14ac:dyDescent="0.3">
      <c r="D39" s="174">
        <f>'مدارس التعليم الاساسية'!KP37</f>
        <v>0</v>
      </c>
      <c r="E39" s="175">
        <f>'مدارس التعليم الاساسية'!KQ37</f>
        <v>15</v>
      </c>
      <c r="F39" s="175">
        <v>0</v>
      </c>
      <c r="G39" s="175">
        <f>'مدارس التعليم الاساسية'!KS37</f>
        <v>10</v>
      </c>
      <c r="H39" s="175">
        <f>'مدارس التعليم الاساسية'!KT37</f>
        <v>4</v>
      </c>
      <c r="I39" s="175">
        <f>'مدارس التعليم الاساسية'!KU37</f>
        <v>1</v>
      </c>
      <c r="J39" s="175">
        <f>'مدارس التعليم الاساسية'!KV37</f>
        <v>12</v>
      </c>
      <c r="K39" s="422">
        <f>'مدارس التعليم الاساسية'!KW37</f>
        <v>2</v>
      </c>
      <c r="L39" s="423"/>
      <c r="M39" s="175">
        <f>'مدارس التعليم الاساسية'!KX37</f>
        <v>1</v>
      </c>
      <c r="N39" s="175">
        <f>'مدارس التعليم الاساسية'!KC37</f>
        <v>15</v>
      </c>
      <c r="O39" s="175">
        <f>'مدارس التعليم الاساسية'!KD37</f>
        <v>0</v>
      </c>
      <c r="P39" s="175">
        <f>'مدارس التعليم الاساسية'!KY37</f>
        <v>15</v>
      </c>
      <c r="Q39" s="175">
        <f>'مدارس التعليم الاساسية'!KZ37</f>
        <v>0</v>
      </c>
      <c r="R39" s="175">
        <f>'مدارس التعليم الاساسية'!LA37</f>
        <v>0</v>
      </c>
      <c r="S39" s="175">
        <f>'مدارس التعليم الاساسية'!LB37</f>
        <v>0</v>
      </c>
      <c r="T39" s="175">
        <f>'مدارس التعليم الاساسية'!LC37</f>
        <v>0</v>
      </c>
      <c r="U39" s="175">
        <f>'مدارس التعليم الاساسية'!LD37</f>
        <v>0</v>
      </c>
      <c r="V39" s="175">
        <f>SUM(P39:U39)</f>
        <v>15</v>
      </c>
      <c r="W39" s="175">
        <f>'مدارس التعليم الاساسية'!LM37</f>
        <v>13</v>
      </c>
      <c r="X39" s="180">
        <f>'مدارس التعليم الاساسية'!LY37</f>
        <v>8341</v>
      </c>
    </row>
    <row r="40" spans="4:24" ht="18.75" thickTop="1" x14ac:dyDescent="0.25"/>
    <row r="41" spans="4:24" ht="18.75" thickBot="1" x14ac:dyDescent="0.3">
      <c r="H41" s="187" t="s">
        <v>367</v>
      </c>
    </row>
    <row r="42" spans="4:24" ht="30.75" customHeight="1" thickTop="1" thickBot="1" x14ac:dyDescent="0.3">
      <c r="D42" s="399" t="s">
        <v>346</v>
      </c>
      <c r="E42" s="440"/>
      <c r="F42" s="440"/>
      <c r="G42" s="440"/>
      <c r="H42" s="440"/>
      <c r="I42" s="440"/>
      <c r="J42" s="440"/>
      <c r="K42" s="425"/>
      <c r="L42" s="440" t="s">
        <v>347</v>
      </c>
      <c r="M42" s="440"/>
      <c r="N42" s="440"/>
      <c r="O42" s="440"/>
      <c r="P42" s="440"/>
      <c r="Q42" s="440"/>
      <c r="R42" s="440"/>
      <c r="S42" s="440"/>
      <c r="T42" s="440"/>
      <c r="U42" s="440"/>
      <c r="V42" s="440"/>
      <c r="W42" s="425"/>
    </row>
    <row r="43" spans="4:24" ht="30" customHeight="1" thickTop="1" thickBot="1" x14ac:dyDescent="0.3">
      <c r="D43" s="443" t="s">
        <v>348</v>
      </c>
      <c r="E43" s="444"/>
      <c r="F43" s="453" t="s">
        <v>89</v>
      </c>
      <c r="G43" s="444"/>
      <c r="H43" s="453" t="s">
        <v>349</v>
      </c>
      <c r="I43" s="444"/>
      <c r="J43" s="453" t="s">
        <v>20</v>
      </c>
      <c r="K43" s="445"/>
      <c r="L43" s="454" t="s">
        <v>302</v>
      </c>
      <c r="M43" s="444"/>
      <c r="N43" s="443" t="s">
        <v>306</v>
      </c>
      <c r="O43" s="444"/>
      <c r="P43" s="443" t="s">
        <v>303</v>
      </c>
      <c r="Q43" s="444"/>
      <c r="R43" s="443" t="s">
        <v>304</v>
      </c>
      <c r="S43" s="444"/>
      <c r="T43" s="443" t="s">
        <v>305</v>
      </c>
      <c r="U43" s="444"/>
      <c r="V43" s="443" t="s">
        <v>20</v>
      </c>
      <c r="W43" s="445"/>
    </row>
    <row r="44" spans="4:24" ht="30" customHeight="1" thickTop="1" thickBot="1" x14ac:dyDescent="0.3">
      <c r="D44" s="446">
        <f>'مدارس التعليم الاساسية'!KE37</f>
        <v>2</v>
      </c>
      <c r="E44" s="423"/>
      <c r="F44" s="422">
        <f>'مدارس التعليم الاساسية'!KF37</f>
        <v>12</v>
      </c>
      <c r="G44" s="423"/>
      <c r="H44" s="422">
        <f>'مدارس التعليم الاساسية'!KG37</f>
        <v>1</v>
      </c>
      <c r="I44" s="423"/>
      <c r="J44" s="422">
        <f>H44+F44+D44</f>
        <v>15</v>
      </c>
      <c r="K44" s="442"/>
      <c r="L44" s="447">
        <f>'مدارس التعليم الاساسية'!KH37</f>
        <v>0</v>
      </c>
      <c r="M44" s="423"/>
      <c r="N44" s="422">
        <f>'مدارس التعليم الاساسية'!KI37</f>
        <v>1</v>
      </c>
      <c r="O44" s="423"/>
      <c r="P44" s="422">
        <f>'مدارس التعليم الاساسية'!KJ37</f>
        <v>8</v>
      </c>
      <c r="Q44" s="423"/>
      <c r="R44" s="422">
        <f>'مدارس التعليم الاساسية'!KK37</f>
        <v>5</v>
      </c>
      <c r="S44" s="423"/>
      <c r="T44" s="422">
        <f>'مدارس التعليم الاساسية'!KL37</f>
        <v>1</v>
      </c>
      <c r="U44" s="423"/>
      <c r="V44" s="422">
        <f>T44+R44+P44+N44+L44</f>
        <v>15</v>
      </c>
      <c r="W44" s="442"/>
    </row>
    <row r="45" spans="4:24" ht="18.75" thickTop="1" x14ac:dyDescent="0.25">
      <c r="M45" s="173" t="s">
        <v>223</v>
      </c>
    </row>
    <row r="46" spans="4:24" x14ac:dyDescent="0.25">
      <c r="J46" s="181" t="s">
        <v>368</v>
      </c>
    </row>
    <row r="47" spans="4:24" ht="18.75" thickBot="1" x14ac:dyDescent="0.3"/>
    <row r="48" spans="4:24" ht="30" customHeight="1" thickTop="1" thickBot="1" x14ac:dyDescent="0.3">
      <c r="F48" s="399" t="s">
        <v>55</v>
      </c>
      <c r="G48" s="400"/>
      <c r="H48" s="392" t="s">
        <v>221</v>
      </c>
      <c r="I48" s="393"/>
      <c r="J48" s="392" t="s">
        <v>57</v>
      </c>
      <c r="K48" s="393"/>
      <c r="L48" s="392" t="s">
        <v>58</v>
      </c>
      <c r="M48" s="393"/>
      <c r="N48" s="392" t="s">
        <v>224</v>
      </c>
      <c r="O48" s="393"/>
      <c r="P48" s="392" t="s">
        <v>60</v>
      </c>
      <c r="Q48" s="393"/>
      <c r="R48" s="392" t="s">
        <v>222</v>
      </c>
      <c r="S48" s="393"/>
      <c r="T48" s="392" t="s">
        <v>62</v>
      </c>
      <c r="U48" s="393"/>
      <c r="V48" s="392" t="s">
        <v>20</v>
      </c>
      <c r="W48" s="396"/>
    </row>
    <row r="49" spans="6:23" ht="19.5" thickTop="1" thickBot="1" x14ac:dyDescent="0.3">
      <c r="F49" s="174" t="s">
        <v>104</v>
      </c>
      <c r="G49" s="174" t="s">
        <v>83</v>
      </c>
      <c r="H49" s="394"/>
      <c r="I49" s="395"/>
      <c r="J49" s="394"/>
      <c r="K49" s="395"/>
      <c r="L49" s="394"/>
      <c r="M49" s="395"/>
      <c r="N49" s="394"/>
      <c r="O49" s="395"/>
      <c r="P49" s="394"/>
      <c r="Q49" s="395"/>
      <c r="R49" s="394"/>
      <c r="S49" s="395"/>
      <c r="T49" s="394"/>
      <c r="U49" s="395"/>
      <c r="V49" s="394"/>
      <c r="W49" s="397"/>
    </row>
    <row r="50" spans="6:23" ht="22.5" customHeight="1" thickTop="1" thickBot="1" x14ac:dyDescent="0.3">
      <c r="F50" s="174">
        <f>'مدارس التعليم الاساسية'!LZ37</f>
        <v>7</v>
      </c>
      <c r="G50" s="175">
        <f>'مدارس التعليم الاساسية'!MA37</f>
        <v>12</v>
      </c>
      <c r="H50" s="422">
        <f>'مدارس التعليم الاساسية'!MB37</f>
        <v>0</v>
      </c>
      <c r="I50" s="423"/>
      <c r="J50" s="422">
        <f>'مدارس التعليم الاساسية'!MD37</f>
        <v>6</v>
      </c>
      <c r="K50" s="423"/>
      <c r="L50" s="422">
        <f>'مدارس التعليم الاساسية'!MF37</f>
        <v>7</v>
      </c>
      <c r="M50" s="423"/>
      <c r="N50" s="422">
        <f>'مدارس التعليم الاساسية'!MH37</f>
        <v>6</v>
      </c>
      <c r="O50" s="423"/>
      <c r="P50" s="422">
        <f>'مدارس التعليم الاساسية'!MJ37</f>
        <v>0</v>
      </c>
      <c r="Q50" s="423"/>
      <c r="R50" s="422">
        <f>'مدارس التعليم الاساسية'!ML37</f>
        <v>0</v>
      </c>
      <c r="S50" s="423"/>
      <c r="T50" s="422">
        <f>'مدارس التعليم الاساسية'!MN37</f>
        <v>5</v>
      </c>
      <c r="U50" s="423"/>
      <c r="V50" s="422">
        <f>SUM(H50:U50)</f>
        <v>24</v>
      </c>
      <c r="W50" s="442"/>
    </row>
    <row r="51" spans="6:23" ht="18.75" thickTop="1" x14ac:dyDescent="0.25"/>
  </sheetData>
  <mergeCells count="143">
    <mergeCell ref="V44:W44"/>
    <mergeCell ref="R43:S43"/>
    <mergeCell ref="I15:R15"/>
    <mergeCell ref="K16:L17"/>
    <mergeCell ref="M16:N17"/>
    <mergeCell ref="O16:P17"/>
    <mergeCell ref="Q16:R17"/>
    <mergeCell ref="D43:E43"/>
    <mergeCell ref="F43:G43"/>
    <mergeCell ref="H43:I43"/>
    <mergeCell ref="J43:K43"/>
    <mergeCell ref="L43:M43"/>
    <mergeCell ref="N43:O43"/>
    <mergeCell ref="P43:Q43"/>
    <mergeCell ref="J36:M36"/>
    <mergeCell ref="D37:E37"/>
    <mergeCell ref="M19:N19"/>
    <mergeCell ref="O19:P19"/>
    <mergeCell ref="F37:F38"/>
    <mergeCell ref="G37:G38"/>
    <mergeCell ref="B32:G32"/>
    <mergeCell ref="D36:F36"/>
    <mergeCell ref="G36:I36"/>
    <mergeCell ref="D42:K42"/>
    <mergeCell ref="L42:W42"/>
    <mergeCell ref="F34:R34"/>
    <mergeCell ref="H37:H38"/>
    <mergeCell ref="I37:I38"/>
    <mergeCell ref="B31:G31"/>
    <mergeCell ref="K19:L19"/>
    <mergeCell ref="R50:S50"/>
    <mergeCell ref="T50:U50"/>
    <mergeCell ref="V50:W50"/>
    <mergeCell ref="H50:I50"/>
    <mergeCell ref="J50:K50"/>
    <mergeCell ref="L50:M50"/>
    <mergeCell ref="N50:O50"/>
    <mergeCell ref="P50:Q50"/>
    <mergeCell ref="T43:U43"/>
    <mergeCell ref="V43:W43"/>
    <mergeCell ref="D44:E44"/>
    <mergeCell ref="F44:G44"/>
    <mergeCell ref="H44:I44"/>
    <mergeCell ref="J44:K44"/>
    <mergeCell ref="L44:M44"/>
    <mergeCell ref="N44:O44"/>
    <mergeCell ref="P44:Q44"/>
    <mergeCell ref="R44:S44"/>
    <mergeCell ref="T44:U44"/>
    <mergeCell ref="I26:J26"/>
    <mergeCell ref="K26:L26"/>
    <mergeCell ref="M26:N26"/>
    <mergeCell ref="O26:P26"/>
    <mergeCell ref="Q26:R26"/>
    <mergeCell ref="I25:J25"/>
    <mergeCell ref="F48:G48"/>
    <mergeCell ref="T32:W32"/>
    <mergeCell ref="T31:W31"/>
    <mergeCell ref="K39:L39"/>
    <mergeCell ref="W36:X36"/>
    <mergeCell ref="J37:J38"/>
    <mergeCell ref="K37:L38"/>
    <mergeCell ref="M37:M38"/>
    <mergeCell ref="N37:O37"/>
    <mergeCell ref="Q37:Q38"/>
    <mergeCell ref="U37:U38"/>
    <mergeCell ref="N36:O36"/>
    <mergeCell ref="V36:V38"/>
    <mergeCell ref="R37:R38"/>
    <mergeCell ref="S37:S38"/>
    <mergeCell ref="P36:U36"/>
    <mergeCell ref="W37:W38"/>
    <mergeCell ref="X37:X38"/>
    <mergeCell ref="I27:J27"/>
    <mergeCell ref="K27:L27"/>
    <mergeCell ref="M27:N27"/>
    <mergeCell ref="O27:P27"/>
    <mergeCell ref="Q27:R27"/>
    <mergeCell ref="I28:J28"/>
    <mergeCell ref="K28:L28"/>
    <mergeCell ref="M28:N28"/>
    <mergeCell ref="O28:P28"/>
    <mergeCell ref="Q28:R28"/>
    <mergeCell ref="K22:L22"/>
    <mergeCell ref="M22:N22"/>
    <mergeCell ref="O22:P22"/>
    <mergeCell ref="Q22:R22"/>
    <mergeCell ref="I21:J21"/>
    <mergeCell ref="K21:L21"/>
    <mergeCell ref="M21:N21"/>
    <mergeCell ref="O21:P21"/>
    <mergeCell ref="K25:L25"/>
    <mergeCell ref="M25:N25"/>
    <mergeCell ref="O25:P25"/>
    <mergeCell ref="Q23:R23"/>
    <mergeCell ref="I24:J24"/>
    <mergeCell ref="K24:L24"/>
    <mergeCell ref="M24:N24"/>
    <mergeCell ref="O24:P24"/>
    <mergeCell ref="Q24:R24"/>
    <mergeCell ref="I23:J23"/>
    <mergeCell ref="K23:L23"/>
    <mergeCell ref="M23:N23"/>
    <mergeCell ref="O23:P23"/>
    <mergeCell ref="Q25:R25"/>
    <mergeCell ref="AA2:AB2"/>
    <mergeCell ref="I3:K3"/>
    <mergeCell ref="L3:N3"/>
    <mergeCell ref="T2:W2"/>
    <mergeCell ref="T1:W1"/>
    <mergeCell ref="D4:Z4"/>
    <mergeCell ref="C6:F6"/>
    <mergeCell ref="G6:I6"/>
    <mergeCell ref="J6:L6"/>
    <mergeCell ref="Y6:Z6"/>
    <mergeCell ref="M6:O6"/>
    <mergeCell ref="P6:R6"/>
    <mergeCell ref="S6:U6"/>
    <mergeCell ref="V6:X6"/>
    <mergeCell ref="H48:I49"/>
    <mergeCell ref="J48:K49"/>
    <mergeCell ref="L48:M49"/>
    <mergeCell ref="N48:O49"/>
    <mergeCell ref="P48:Q49"/>
    <mergeCell ref="R48:S49"/>
    <mergeCell ref="T48:U49"/>
    <mergeCell ref="V48:W49"/>
    <mergeCell ref="B1:G1"/>
    <mergeCell ref="B2:G2"/>
    <mergeCell ref="I20:J20"/>
    <mergeCell ref="K20:L20"/>
    <mergeCell ref="M20:N20"/>
    <mergeCell ref="O20:P20"/>
    <mergeCell ref="Q20:R20"/>
    <mergeCell ref="Q19:R19"/>
    <mergeCell ref="I19:J19"/>
    <mergeCell ref="I18:J18"/>
    <mergeCell ref="K18:L18"/>
    <mergeCell ref="M18:N18"/>
    <mergeCell ref="O18:P18"/>
    <mergeCell ref="Q18:R18"/>
    <mergeCell ref="Q21:R21"/>
    <mergeCell ref="I22:J22"/>
  </mergeCells>
  <printOptions horizontalCentered="1" verticalCentered="1"/>
  <pageMargins left="0.19685039370078741" right="0.19685039370078741" top="0.51181102362204722" bottom="0.31496062992125984" header="0.27559055118110237" footer="0.19685039370078741"/>
  <pageSetup paperSize="9" scale="70" fitToHeight="0" orientation="landscape" r:id="rId1"/>
  <rowBreaks count="1" manualBreakCount="1">
    <brk id="29" max="25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B1:AB49"/>
  <sheetViews>
    <sheetView rightToLeft="1" view="pageBreakPreview" topLeftCell="A34" zoomScale="70" zoomScaleNormal="60" zoomScaleSheetLayoutView="70" workbookViewId="0">
      <selection activeCell="F10" sqref="F10"/>
    </sheetView>
  </sheetViews>
  <sheetFormatPr defaultColWidth="7.125" defaultRowHeight="43.5" customHeight="1" x14ac:dyDescent="0.3"/>
  <cols>
    <col min="1" max="1" width="5.125" style="194" customWidth="1"/>
    <col min="2" max="2" width="9.875" style="194" bestFit="1" customWidth="1"/>
    <col min="3" max="3" width="11" style="194" customWidth="1"/>
    <col min="4" max="4" width="8.25" style="194" customWidth="1"/>
    <col min="5" max="5" width="8.875" style="194" customWidth="1"/>
    <col min="6" max="6" width="9.125" style="194" customWidth="1"/>
    <col min="7" max="7" width="9.375" style="194" customWidth="1"/>
    <col min="8" max="8" width="8.5" style="194" customWidth="1"/>
    <col min="9" max="9" width="11.125" style="194" customWidth="1"/>
    <col min="10" max="10" width="9.5" style="194" customWidth="1"/>
    <col min="11" max="11" width="10.125" style="194" customWidth="1"/>
    <col min="12" max="12" width="11" style="194" customWidth="1"/>
    <col min="13" max="13" width="9.625" style="194" customWidth="1"/>
    <col min="14" max="15" width="11" style="194" customWidth="1"/>
    <col min="16" max="16" width="10.125" style="194" bestFit="1" customWidth="1"/>
    <col min="17" max="17" width="9.875" style="194" customWidth="1"/>
    <col min="18" max="18" width="8.75" style="194" customWidth="1"/>
    <col min="19" max="19" width="8.875" style="194" customWidth="1"/>
    <col min="20" max="20" width="6.25" style="194" bestFit="1" customWidth="1"/>
    <col min="21" max="21" width="8.875" style="194" bestFit="1" customWidth="1"/>
    <col min="22" max="22" width="10.25" style="194" customWidth="1"/>
    <col min="23" max="23" width="8.25" style="194" customWidth="1"/>
    <col min="24" max="24" width="8.875" style="194" bestFit="1" customWidth="1"/>
    <col min="25" max="25" width="9" style="194" customWidth="1"/>
    <col min="26" max="26" width="8.125" style="194" customWidth="1"/>
    <col min="27" max="27" width="11" style="194" customWidth="1"/>
    <col min="28" max="28" width="7.875" style="194" customWidth="1"/>
    <col min="29" max="29" width="9" style="194" customWidth="1"/>
    <col min="30" max="30" width="12.25" style="194" customWidth="1"/>
    <col min="31" max="31" width="10.125" style="194" bestFit="1" customWidth="1"/>
    <col min="32" max="16384" width="7.125" style="194"/>
  </cols>
  <sheetData>
    <row r="1" spans="2:28" ht="43.5" customHeight="1" x14ac:dyDescent="0.3">
      <c r="B1" s="459" t="s">
        <v>0</v>
      </c>
      <c r="C1" s="459"/>
      <c r="D1" s="459"/>
      <c r="E1" s="459"/>
      <c r="F1" s="459"/>
      <c r="G1" s="459"/>
      <c r="H1" s="192"/>
      <c r="I1" s="192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460" t="s">
        <v>292</v>
      </c>
      <c r="W1" s="460"/>
      <c r="X1" s="460"/>
      <c r="Y1" s="460"/>
      <c r="Z1" s="193"/>
      <c r="AA1" s="193"/>
      <c r="AB1" s="193"/>
    </row>
    <row r="2" spans="2:28" ht="25.5" customHeight="1" x14ac:dyDescent="0.3">
      <c r="B2" s="459" t="s">
        <v>170</v>
      </c>
      <c r="C2" s="459"/>
      <c r="D2" s="459"/>
      <c r="E2" s="459"/>
      <c r="F2" s="459"/>
      <c r="G2" s="459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460" t="s">
        <v>321</v>
      </c>
      <c r="W2" s="460"/>
      <c r="X2" s="460"/>
      <c r="Y2" s="460"/>
      <c r="Z2" s="193"/>
      <c r="AA2" s="459"/>
      <c r="AB2" s="459"/>
    </row>
    <row r="3" spans="2:28" ht="43.5" customHeight="1" x14ac:dyDescent="0.3">
      <c r="B3" s="193"/>
      <c r="C3" s="193"/>
      <c r="D3" s="193"/>
      <c r="E3" s="193"/>
      <c r="F3" s="193"/>
      <c r="G3" s="193"/>
      <c r="H3" s="193"/>
      <c r="I3" s="459"/>
      <c r="J3" s="459"/>
      <c r="K3" s="459"/>
      <c r="L3" s="460" t="s">
        <v>171</v>
      </c>
      <c r="M3" s="460"/>
      <c r="N3" s="460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  <c r="AA3" s="193"/>
      <c r="AB3" s="193"/>
    </row>
    <row r="4" spans="2:28" ht="43.5" customHeight="1" x14ac:dyDescent="0.3">
      <c r="B4" s="193"/>
      <c r="C4" s="193"/>
      <c r="D4" s="460" t="s">
        <v>363</v>
      </c>
      <c r="E4" s="460"/>
      <c r="F4" s="460"/>
      <c r="G4" s="460"/>
      <c r="H4" s="460"/>
      <c r="I4" s="460"/>
      <c r="J4" s="460"/>
      <c r="K4" s="460"/>
      <c r="L4" s="460"/>
      <c r="M4" s="460"/>
      <c r="N4" s="460"/>
      <c r="O4" s="460"/>
      <c r="P4" s="460"/>
      <c r="Q4" s="460"/>
      <c r="R4" s="460"/>
      <c r="S4" s="460"/>
      <c r="T4" s="460"/>
      <c r="U4" s="460"/>
      <c r="V4" s="460"/>
      <c r="W4" s="460"/>
      <c r="X4" s="460"/>
      <c r="Y4" s="460"/>
      <c r="Z4" s="460"/>
      <c r="AA4" s="193"/>
      <c r="AB4" s="193"/>
    </row>
    <row r="5" spans="2:28" ht="21" thickBot="1" x14ac:dyDescent="0.35"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</row>
    <row r="6" spans="2:28" ht="70.5" customHeight="1" thickTop="1" thickBot="1" x14ac:dyDescent="0.35">
      <c r="B6" s="195" t="s">
        <v>172</v>
      </c>
      <c r="C6" s="464" t="s">
        <v>173</v>
      </c>
      <c r="D6" s="465"/>
      <c r="E6" s="465"/>
      <c r="F6" s="466"/>
      <c r="G6" s="461" t="s">
        <v>184</v>
      </c>
      <c r="H6" s="462"/>
      <c r="I6" s="467"/>
      <c r="J6" s="461" t="s">
        <v>185</v>
      </c>
      <c r="K6" s="462"/>
      <c r="L6" s="467"/>
      <c r="M6" s="461" t="s">
        <v>187</v>
      </c>
      <c r="N6" s="462"/>
      <c r="O6" s="467"/>
      <c r="P6" s="461" t="s">
        <v>188</v>
      </c>
      <c r="Q6" s="462"/>
      <c r="R6" s="467"/>
      <c r="S6" s="461" t="s">
        <v>189</v>
      </c>
      <c r="T6" s="462"/>
      <c r="U6" s="462"/>
      <c r="V6" s="461" t="s">
        <v>181</v>
      </c>
      <c r="W6" s="462"/>
      <c r="X6" s="462"/>
      <c r="Y6" s="461" t="s">
        <v>174</v>
      </c>
      <c r="Z6" s="463"/>
    </row>
    <row r="7" spans="2:28" ht="43.5" customHeight="1" thickTop="1" thickBot="1" x14ac:dyDescent="0.35">
      <c r="B7" s="196" t="s">
        <v>176</v>
      </c>
      <c r="C7" s="197" t="s">
        <v>68</v>
      </c>
      <c r="D7" s="197" t="s">
        <v>69</v>
      </c>
      <c r="E7" s="197" t="s">
        <v>177</v>
      </c>
      <c r="F7" s="197" t="s">
        <v>178</v>
      </c>
      <c r="G7" s="197" t="s">
        <v>68</v>
      </c>
      <c r="H7" s="197" t="s">
        <v>69</v>
      </c>
      <c r="I7" s="197" t="s">
        <v>178</v>
      </c>
      <c r="J7" s="197" t="s">
        <v>186</v>
      </c>
      <c r="K7" s="197" t="s">
        <v>69</v>
      </c>
      <c r="L7" s="197" t="s">
        <v>178</v>
      </c>
      <c r="M7" s="197" t="s">
        <v>186</v>
      </c>
      <c r="N7" s="197" t="s">
        <v>69</v>
      </c>
      <c r="O7" s="197" t="s">
        <v>178</v>
      </c>
      <c r="P7" s="197" t="s">
        <v>186</v>
      </c>
      <c r="Q7" s="197" t="s">
        <v>69</v>
      </c>
      <c r="R7" s="197" t="s">
        <v>178</v>
      </c>
      <c r="S7" s="197" t="s">
        <v>84</v>
      </c>
      <c r="T7" s="197" t="s">
        <v>85</v>
      </c>
      <c r="U7" s="197" t="s">
        <v>20</v>
      </c>
      <c r="V7" s="197" t="s">
        <v>84</v>
      </c>
      <c r="W7" s="197" t="s">
        <v>85</v>
      </c>
      <c r="X7" s="197" t="s">
        <v>20</v>
      </c>
      <c r="Y7" s="197" t="s">
        <v>179</v>
      </c>
      <c r="Z7" s="198" t="s">
        <v>77</v>
      </c>
    </row>
    <row r="8" spans="2:28" ht="43.5" customHeight="1" thickTop="1" thickBot="1" x14ac:dyDescent="0.35">
      <c r="B8" s="199" t="s">
        <v>182</v>
      </c>
      <c r="C8" s="197">
        <f>حضر!H21</f>
        <v>0</v>
      </c>
      <c r="D8" s="197">
        <f>حضر!I21</f>
        <v>0</v>
      </c>
      <c r="E8" s="197">
        <f>حضر!J21</f>
        <v>0</v>
      </c>
      <c r="F8" s="197">
        <f>SUM(C8:E8)</f>
        <v>0</v>
      </c>
      <c r="G8" s="197">
        <f>حضر!AJ21</f>
        <v>0</v>
      </c>
      <c r="H8" s="197">
        <f>حضر!AK21</f>
        <v>0</v>
      </c>
      <c r="I8" s="197">
        <f>SUM(G8:H8)</f>
        <v>0</v>
      </c>
      <c r="J8" s="197">
        <f>حضر!AW21</f>
        <v>0</v>
      </c>
      <c r="K8" s="197">
        <f>حضر!AX21</f>
        <v>0</v>
      </c>
      <c r="L8" s="197">
        <f>SUM(J8:K8)</f>
        <v>0</v>
      </c>
      <c r="M8" s="197">
        <f>حضر!EX21</f>
        <v>0</v>
      </c>
      <c r="N8" s="197">
        <f>حضر!EY21</f>
        <v>0</v>
      </c>
      <c r="O8" s="197">
        <f>SUM(M8:N8)</f>
        <v>0</v>
      </c>
      <c r="P8" s="197">
        <f>حضر!HB21</f>
        <v>0</v>
      </c>
      <c r="Q8" s="197">
        <f>حضر!HC21</f>
        <v>0</v>
      </c>
      <c r="R8" s="197">
        <f>SUM(P8:Q8)</f>
        <v>0</v>
      </c>
      <c r="S8" s="197">
        <f>حضر!IZ21</f>
        <v>0</v>
      </c>
      <c r="T8" s="197">
        <f>حضر!JA21</f>
        <v>0</v>
      </c>
      <c r="U8" s="197">
        <f>SUM(S8:T8)</f>
        <v>0</v>
      </c>
      <c r="V8" s="197">
        <f>حضر!JM21</f>
        <v>0</v>
      </c>
      <c r="W8" s="197">
        <f>حضر!JN21</f>
        <v>0</v>
      </c>
      <c r="X8" s="197">
        <f>SUM(V8:W8)</f>
        <v>0</v>
      </c>
      <c r="Y8" s="197">
        <f>حضر!P21</f>
        <v>0</v>
      </c>
      <c r="Z8" s="198">
        <f>حضر!Q21</f>
        <v>0</v>
      </c>
    </row>
    <row r="9" spans="2:28" ht="43.5" customHeight="1" thickTop="1" thickBot="1" x14ac:dyDescent="0.35">
      <c r="B9" s="199" t="s">
        <v>183</v>
      </c>
      <c r="C9" s="197">
        <f>ريف!H9</f>
        <v>0</v>
      </c>
      <c r="D9" s="197">
        <f>ريف!I9</f>
        <v>0</v>
      </c>
      <c r="E9" s="197">
        <f>ريف!J9</f>
        <v>0</v>
      </c>
      <c r="F9" s="197">
        <f>SUM(C9:E9)</f>
        <v>0</v>
      </c>
      <c r="G9" s="197">
        <f>ريف!AJ9</f>
        <v>0</v>
      </c>
      <c r="H9" s="197">
        <f>ريف!AK9</f>
        <v>0</v>
      </c>
      <c r="I9" s="197">
        <f>SUM(G9:H9)</f>
        <v>0</v>
      </c>
      <c r="J9" s="197">
        <f>ريف!AW9</f>
        <v>0</v>
      </c>
      <c r="K9" s="197">
        <f>ريف!AX9</f>
        <v>0</v>
      </c>
      <c r="L9" s="197">
        <f>SUM(J9:K9)</f>
        <v>0</v>
      </c>
      <c r="M9" s="197">
        <f>ريف!EX9</f>
        <v>0</v>
      </c>
      <c r="N9" s="197">
        <f>ريف!EY9</f>
        <v>0</v>
      </c>
      <c r="O9" s="197">
        <f>SUM(M9:N9)</f>
        <v>0</v>
      </c>
      <c r="P9" s="197">
        <f>ريف!HB9</f>
        <v>0</v>
      </c>
      <c r="Q9" s="197">
        <f>ريف!HC9</f>
        <v>0</v>
      </c>
      <c r="R9" s="197">
        <f>SUM(P9:Q9)</f>
        <v>0</v>
      </c>
      <c r="S9" s="197">
        <f>ريف!IZ9</f>
        <v>0</v>
      </c>
      <c r="T9" s="197">
        <f>ريف!JA9</f>
        <v>0</v>
      </c>
      <c r="U9" s="197">
        <f>SUM(S9:T9)</f>
        <v>0</v>
      </c>
      <c r="V9" s="197">
        <f>ريف!JM9</f>
        <v>0</v>
      </c>
      <c r="W9" s="197">
        <f>ريف!JN9</f>
        <v>0</v>
      </c>
      <c r="X9" s="197">
        <f>SUM(V9:W9)</f>
        <v>0</v>
      </c>
      <c r="Y9" s="197">
        <f>ريف!P9</f>
        <v>0</v>
      </c>
      <c r="Z9" s="198">
        <f>ريف!Q9</f>
        <v>0</v>
      </c>
    </row>
    <row r="10" spans="2:28" ht="43.5" customHeight="1" thickTop="1" thickBot="1" x14ac:dyDescent="0.35">
      <c r="B10" s="200" t="s">
        <v>20</v>
      </c>
      <c r="C10" s="201">
        <f>SUM(C8:C9)</f>
        <v>0</v>
      </c>
      <c r="D10" s="201">
        <f t="shared" ref="D10:Z10" si="0">SUM(D8:D9)</f>
        <v>0</v>
      </c>
      <c r="E10" s="201">
        <f t="shared" si="0"/>
        <v>0</v>
      </c>
      <c r="F10" s="201">
        <f t="shared" si="0"/>
        <v>0</v>
      </c>
      <c r="G10" s="201">
        <f t="shared" si="0"/>
        <v>0</v>
      </c>
      <c r="H10" s="201">
        <f t="shared" si="0"/>
        <v>0</v>
      </c>
      <c r="I10" s="201">
        <f t="shared" si="0"/>
        <v>0</v>
      </c>
      <c r="J10" s="201">
        <f t="shared" si="0"/>
        <v>0</v>
      </c>
      <c r="K10" s="201">
        <f t="shared" si="0"/>
        <v>0</v>
      </c>
      <c r="L10" s="201">
        <f t="shared" si="0"/>
        <v>0</v>
      </c>
      <c r="M10" s="201">
        <f t="shared" si="0"/>
        <v>0</v>
      </c>
      <c r="N10" s="201">
        <f t="shared" si="0"/>
        <v>0</v>
      </c>
      <c r="O10" s="201">
        <f t="shared" si="0"/>
        <v>0</v>
      </c>
      <c r="P10" s="201">
        <f t="shared" si="0"/>
        <v>0</v>
      </c>
      <c r="Q10" s="201">
        <f t="shared" si="0"/>
        <v>0</v>
      </c>
      <c r="R10" s="201">
        <f t="shared" si="0"/>
        <v>0</v>
      </c>
      <c r="S10" s="201">
        <f t="shared" si="0"/>
        <v>0</v>
      </c>
      <c r="T10" s="201">
        <f t="shared" si="0"/>
        <v>0</v>
      </c>
      <c r="U10" s="201">
        <f t="shared" si="0"/>
        <v>0</v>
      </c>
      <c r="V10" s="201">
        <f t="shared" si="0"/>
        <v>0</v>
      </c>
      <c r="W10" s="201">
        <f t="shared" si="0"/>
        <v>0</v>
      </c>
      <c r="X10" s="201">
        <f t="shared" si="0"/>
        <v>0</v>
      </c>
      <c r="Y10" s="201">
        <f t="shared" si="0"/>
        <v>0</v>
      </c>
      <c r="Z10" s="202">
        <f t="shared" si="0"/>
        <v>0</v>
      </c>
    </row>
    <row r="11" spans="2:28" ht="43.5" customHeight="1" thickTop="1" x14ac:dyDescent="0.3">
      <c r="B11" s="193"/>
      <c r="C11" s="193"/>
      <c r="AB11" s="193"/>
    </row>
    <row r="12" spans="2:28" ht="20.25" x14ac:dyDescent="0.3">
      <c r="L12" s="203" t="s">
        <v>352</v>
      </c>
    </row>
    <row r="13" spans="2:28" ht="20.25" x14ac:dyDescent="0.3">
      <c r="J13" s="203" t="s">
        <v>369</v>
      </c>
      <c r="L13" s="203"/>
    </row>
    <row r="14" spans="2:28" ht="21" thickBot="1" x14ac:dyDescent="0.35"/>
    <row r="15" spans="2:28" ht="43.5" customHeight="1" thickTop="1" thickBot="1" x14ac:dyDescent="0.35">
      <c r="I15" s="468" t="s">
        <v>365</v>
      </c>
      <c r="J15" s="469"/>
      <c r="K15" s="469"/>
      <c r="L15" s="469"/>
      <c r="M15" s="469"/>
      <c r="N15" s="469"/>
      <c r="O15" s="469"/>
      <c r="P15" s="469"/>
      <c r="Q15" s="469"/>
      <c r="R15" s="470"/>
    </row>
    <row r="16" spans="2:28" ht="60.75" customHeight="1" thickTop="1" x14ac:dyDescent="0.3">
      <c r="I16" s="204"/>
      <c r="J16" s="205" t="s">
        <v>214</v>
      </c>
      <c r="K16" s="473" t="s">
        <v>186</v>
      </c>
      <c r="L16" s="473"/>
      <c r="M16" s="473" t="s">
        <v>69</v>
      </c>
      <c r="N16" s="473"/>
      <c r="O16" s="473" t="s">
        <v>70</v>
      </c>
      <c r="P16" s="473"/>
      <c r="Q16" s="473" t="s">
        <v>20</v>
      </c>
      <c r="R16" s="475"/>
    </row>
    <row r="17" spans="2:24" ht="43.5" customHeight="1" thickBot="1" x14ac:dyDescent="0.35">
      <c r="I17" s="206" t="s">
        <v>207</v>
      </c>
      <c r="J17" s="207"/>
      <c r="K17" s="474"/>
      <c r="L17" s="474"/>
      <c r="M17" s="474"/>
      <c r="N17" s="474"/>
      <c r="O17" s="474"/>
      <c r="P17" s="474"/>
      <c r="Q17" s="474"/>
      <c r="R17" s="476"/>
    </row>
    <row r="18" spans="2:24" ht="43.5" customHeight="1" thickTop="1" thickBot="1" x14ac:dyDescent="0.35">
      <c r="I18" s="471" t="s">
        <v>208</v>
      </c>
      <c r="J18" s="472"/>
      <c r="K18" s="479">
        <f>'مدارس التعليم الاساسية'!HE25</f>
        <v>6</v>
      </c>
      <c r="L18" s="472"/>
      <c r="M18" s="479">
        <f>'مدارس التعليم الاساسية'!HF25</f>
        <v>2</v>
      </c>
      <c r="N18" s="472"/>
      <c r="O18" s="479">
        <f>'مدارس التعليم الاساسية'!HG25</f>
        <v>0</v>
      </c>
      <c r="P18" s="472"/>
      <c r="Q18" s="479">
        <f>SUM(K18:P18)</f>
        <v>8</v>
      </c>
      <c r="R18" s="482"/>
    </row>
    <row r="19" spans="2:24" ht="43.5" customHeight="1" thickTop="1" thickBot="1" x14ac:dyDescent="0.35">
      <c r="I19" s="477" t="s">
        <v>209</v>
      </c>
      <c r="J19" s="478"/>
      <c r="K19" s="480">
        <f>'مدارس التعليم الاساسية'!HH25</f>
        <v>5</v>
      </c>
      <c r="L19" s="481"/>
      <c r="M19" s="480">
        <f>'مدارس التعليم الاساسية'!HI25</f>
        <v>2</v>
      </c>
      <c r="N19" s="481"/>
      <c r="O19" s="480">
        <f>'مدارس التعليم الاساسية'!HJ25</f>
        <v>0</v>
      </c>
      <c r="P19" s="481"/>
      <c r="Q19" s="480">
        <f t="shared" ref="Q19:Q28" si="1">SUM(K19:P19)</f>
        <v>7</v>
      </c>
      <c r="R19" s="483"/>
    </row>
    <row r="20" spans="2:24" ht="43.5" customHeight="1" thickTop="1" thickBot="1" x14ac:dyDescent="0.35">
      <c r="I20" s="477" t="s">
        <v>210</v>
      </c>
      <c r="J20" s="478"/>
      <c r="K20" s="480">
        <f>'مدارس التعليم الاساسية'!HK25</f>
        <v>5</v>
      </c>
      <c r="L20" s="481"/>
      <c r="M20" s="480">
        <f>'مدارس التعليم الاساسية'!HL25</f>
        <v>2</v>
      </c>
      <c r="N20" s="481"/>
      <c r="O20" s="480">
        <f>'مدارس التعليم الاساسية'!HM25</f>
        <v>0</v>
      </c>
      <c r="P20" s="481"/>
      <c r="Q20" s="480">
        <f t="shared" si="1"/>
        <v>7</v>
      </c>
      <c r="R20" s="483"/>
    </row>
    <row r="21" spans="2:24" ht="43.5" customHeight="1" thickTop="1" thickBot="1" x14ac:dyDescent="0.35">
      <c r="I21" s="477" t="s">
        <v>162</v>
      </c>
      <c r="J21" s="478"/>
      <c r="K21" s="480">
        <f>'مدارس التعليم الاساسية'!HN25</f>
        <v>5</v>
      </c>
      <c r="L21" s="481"/>
      <c r="M21" s="480">
        <f>'مدارس التعليم الاساسية'!HO25</f>
        <v>1</v>
      </c>
      <c r="N21" s="481"/>
      <c r="O21" s="480">
        <f>'مدارس التعليم الاساسية'!HP25</f>
        <v>0</v>
      </c>
      <c r="P21" s="481"/>
      <c r="Q21" s="480">
        <f t="shared" si="1"/>
        <v>6</v>
      </c>
      <c r="R21" s="483"/>
    </row>
    <row r="22" spans="2:24" ht="43.5" customHeight="1" thickTop="1" thickBot="1" x14ac:dyDescent="0.35">
      <c r="I22" s="477" t="s">
        <v>163</v>
      </c>
      <c r="J22" s="478"/>
      <c r="K22" s="480">
        <f>'مدارس التعليم الاساسية'!HQ25</f>
        <v>6</v>
      </c>
      <c r="L22" s="481"/>
      <c r="M22" s="480">
        <f>'مدارس التعليم الاساسية'!HR25</f>
        <v>2</v>
      </c>
      <c r="N22" s="481"/>
      <c r="O22" s="480">
        <f>'مدارس التعليم الاساسية'!HS25</f>
        <v>0</v>
      </c>
      <c r="P22" s="481"/>
      <c r="Q22" s="480">
        <f t="shared" si="1"/>
        <v>8</v>
      </c>
      <c r="R22" s="483"/>
    </row>
    <row r="23" spans="2:24" ht="43.5" customHeight="1" thickTop="1" thickBot="1" x14ac:dyDescent="0.35">
      <c r="I23" s="477" t="s">
        <v>164</v>
      </c>
      <c r="J23" s="478"/>
      <c r="K23" s="480">
        <f>'مدارس التعليم الاساسية'!HT25</f>
        <v>6</v>
      </c>
      <c r="L23" s="481"/>
      <c r="M23" s="480">
        <f>'مدارس التعليم الاساسية'!HU25</f>
        <v>2</v>
      </c>
      <c r="N23" s="481"/>
      <c r="O23" s="480">
        <f>'مدارس التعليم الاساسية'!HV25</f>
        <v>0</v>
      </c>
      <c r="P23" s="481"/>
      <c r="Q23" s="480">
        <f t="shared" si="1"/>
        <v>8</v>
      </c>
      <c r="R23" s="483"/>
    </row>
    <row r="24" spans="2:24" ht="43.5" customHeight="1" thickTop="1" thickBot="1" x14ac:dyDescent="0.35">
      <c r="I24" s="484" t="s">
        <v>20</v>
      </c>
      <c r="J24" s="485"/>
      <c r="K24" s="486">
        <f>SUM(K18:K23)</f>
        <v>33</v>
      </c>
      <c r="L24" s="487"/>
      <c r="M24" s="486">
        <f>SUM(M18:M23)</f>
        <v>11</v>
      </c>
      <c r="N24" s="487"/>
      <c r="O24" s="486">
        <f>SUM(O18:O23)</f>
        <v>0</v>
      </c>
      <c r="P24" s="487"/>
      <c r="Q24" s="486">
        <f>SUM(K24:P24)</f>
        <v>44</v>
      </c>
      <c r="R24" s="488"/>
    </row>
    <row r="25" spans="2:24" ht="43.5" customHeight="1" thickTop="1" thickBot="1" x14ac:dyDescent="0.35">
      <c r="I25" s="477" t="s">
        <v>211</v>
      </c>
      <c r="J25" s="478"/>
      <c r="K25" s="480">
        <f>'مدارس التعليم الاساسية'!IA25</f>
        <v>0</v>
      </c>
      <c r="L25" s="481"/>
      <c r="M25" s="480">
        <f>'مدارس التعليم الاساسية'!IB25</f>
        <v>0</v>
      </c>
      <c r="N25" s="481"/>
      <c r="O25" s="480">
        <f>'مدارس التعليم الاساسية'!IC25</f>
        <v>0</v>
      </c>
      <c r="P25" s="481"/>
      <c r="Q25" s="480">
        <f t="shared" si="1"/>
        <v>0</v>
      </c>
      <c r="R25" s="483"/>
    </row>
    <row r="26" spans="2:24" ht="43.5" customHeight="1" thickTop="1" thickBot="1" x14ac:dyDescent="0.35">
      <c r="I26" s="477" t="s">
        <v>212</v>
      </c>
      <c r="J26" s="478"/>
      <c r="K26" s="480">
        <f>'مدارس التعليم الاساسية'!ID25</f>
        <v>0</v>
      </c>
      <c r="L26" s="481"/>
      <c r="M26" s="480">
        <f>'مدارس التعليم الاساسية'!IE25</f>
        <v>0</v>
      </c>
      <c r="N26" s="481"/>
      <c r="O26" s="480">
        <f>'مدارس التعليم الاساسية'!IF25</f>
        <v>0</v>
      </c>
      <c r="P26" s="481"/>
      <c r="Q26" s="480">
        <f t="shared" si="1"/>
        <v>0</v>
      </c>
      <c r="R26" s="483"/>
    </row>
    <row r="27" spans="2:24" ht="43.5" customHeight="1" thickTop="1" thickBot="1" x14ac:dyDescent="0.35">
      <c r="I27" s="477" t="s">
        <v>213</v>
      </c>
      <c r="J27" s="478"/>
      <c r="K27" s="480">
        <f>'مدارس التعليم الاساسية'!IG25</f>
        <v>0</v>
      </c>
      <c r="L27" s="481"/>
      <c r="M27" s="480">
        <f>'مدارس التعليم الاساسية'!IH25</f>
        <v>0</v>
      </c>
      <c r="N27" s="481"/>
      <c r="O27" s="480">
        <f>'مدارس التعليم الاساسية'!II25</f>
        <v>0</v>
      </c>
      <c r="P27" s="481"/>
      <c r="Q27" s="480">
        <f t="shared" si="1"/>
        <v>0</v>
      </c>
      <c r="R27" s="483"/>
    </row>
    <row r="28" spans="2:24" ht="43.5" customHeight="1" thickTop="1" thickBot="1" x14ac:dyDescent="0.35">
      <c r="I28" s="489" t="s">
        <v>20</v>
      </c>
      <c r="J28" s="490"/>
      <c r="K28" s="491">
        <f>SUM(K25:L27)</f>
        <v>0</v>
      </c>
      <c r="L28" s="490"/>
      <c r="M28" s="491">
        <f>SUM(M25:N27)</f>
        <v>0</v>
      </c>
      <c r="N28" s="490"/>
      <c r="O28" s="491">
        <f>SUM(O25:P27)</f>
        <v>0</v>
      </c>
      <c r="P28" s="490"/>
      <c r="Q28" s="491">
        <f t="shared" si="1"/>
        <v>0</v>
      </c>
      <c r="R28" s="492"/>
    </row>
    <row r="29" spans="2:24" ht="27" customHeight="1" thickTop="1" x14ac:dyDescent="0.3"/>
    <row r="30" spans="2:24" ht="33" customHeight="1" x14ac:dyDescent="0.3">
      <c r="B30" s="459" t="s">
        <v>0</v>
      </c>
      <c r="C30" s="459"/>
      <c r="D30" s="459"/>
      <c r="E30" s="459"/>
      <c r="F30" s="459"/>
      <c r="G30" s="459"/>
      <c r="U30" s="460" t="s">
        <v>292</v>
      </c>
      <c r="V30" s="460"/>
      <c r="W30" s="460"/>
      <c r="X30" s="460"/>
    </row>
    <row r="31" spans="2:24" ht="33" customHeight="1" x14ac:dyDescent="0.3">
      <c r="B31" s="459" t="s">
        <v>170</v>
      </c>
      <c r="C31" s="459"/>
      <c r="D31" s="459"/>
      <c r="E31" s="459"/>
      <c r="F31" s="459"/>
      <c r="G31" s="459"/>
      <c r="W31" s="222" t="s">
        <v>321</v>
      </c>
      <c r="X31" s="222"/>
    </row>
    <row r="32" spans="2:24" ht="33" customHeight="1" x14ac:dyDescent="0.3">
      <c r="K32" s="209" t="s">
        <v>275</v>
      </c>
    </row>
    <row r="33" spans="3:24" ht="33" customHeight="1" x14ac:dyDescent="0.3">
      <c r="F33" s="523" t="s">
        <v>366</v>
      </c>
      <c r="G33" s="523"/>
      <c r="H33" s="523"/>
      <c r="I33" s="523"/>
      <c r="J33" s="523"/>
      <c r="K33" s="523"/>
      <c r="L33" s="523"/>
      <c r="M33" s="523"/>
      <c r="N33" s="523"/>
      <c r="O33" s="523"/>
      <c r="P33" s="523"/>
      <c r="Q33" s="523"/>
      <c r="R33" s="523"/>
    </row>
    <row r="34" spans="3:24" ht="33" customHeight="1" thickBot="1" x14ac:dyDescent="0.35"/>
    <row r="35" spans="3:24" ht="42.75" customHeight="1" thickTop="1" thickBot="1" x14ac:dyDescent="0.35">
      <c r="C35" s="508" t="s">
        <v>276</v>
      </c>
      <c r="D35" s="509"/>
      <c r="E35" s="524"/>
      <c r="F35" s="506" t="s">
        <v>277</v>
      </c>
      <c r="G35" s="509"/>
      <c r="H35" s="524"/>
      <c r="I35" s="506" t="s">
        <v>278</v>
      </c>
      <c r="J35" s="509"/>
      <c r="K35" s="509"/>
      <c r="L35" s="524"/>
      <c r="M35" s="525" t="s">
        <v>279</v>
      </c>
      <c r="N35" s="526"/>
      <c r="O35" s="506" t="s">
        <v>280</v>
      </c>
      <c r="P35" s="509"/>
      <c r="Q35" s="509"/>
      <c r="R35" s="509"/>
      <c r="S35" s="509"/>
      <c r="T35" s="524"/>
      <c r="U35" s="504" t="s">
        <v>281</v>
      </c>
      <c r="V35" s="506" t="s">
        <v>288</v>
      </c>
      <c r="W35" s="507"/>
    </row>
    <row r="36" spans="3:24" ht="46.5" customHeight="1" thickTop="1" thickBot="1" x14ac:dyDescent="0.35">
      <c r="C36" s="529" t="s">
        <v>282</v>
      </c>
      <c r="D36" s="530"/>
      <c r="E36" s="515" t="s">
        <v>95</v>
      </c>
      <c r="F36" s="517" t="s">
        <v>283</v>
      </c>
      <c r="G36" s="517" t="s">
        <v>97</v>
      </c>
      <c r="H36" s="517" t="s">
        <v>290</v>
      </c>
      <c r="I36" s="517" t="s">
        <v>99</v>
      </c>
      <c r="J36" s="519" t="s">
        <v>100</v>
      </c>
      <c r="K36" s="520"/>
      <c r="L36" s="517" t="s">
        <v>101</v>
      </c>
      <c r="M36" s="531" t="s">
        <v>48</v>
      </c>
      <c r="N36" s="532"/>
      <c r="O36" s="211" t="s">
        <v>284</v>
      </c>
      <c r="P36" s="527" t="s">
        <v>319</v>
      </c>
      <c r="Q36" s="527" t="s">
        <v>315</v>
      </c>
      <c r="R36" s="527" t="s">
        <v>320</v>
      </c>
      <c r="S36" s="211" t="s">
        <v>285</v>
      </c>
      <c r="T36" s="533" t="s">
        <v>286</v>
      </c>
      <c r="U36" s="505"/>
      <c r="V36" s="500" t="s">
        <v>289</v>
      </c>
      <c r="W36" s="502" t="s">
        <v>110</v>
      </c>
    </row>
    <row r="37" spans="3:24" ht="55.5" customHeight="1" thickTop="1" thickBot="1" x14ac:dyDescent="0.35">
      <c r="C37" s="212" t="s">
        <v>317</v>
      </c>
      <c r="D37" s="213" t="s">
        <v>318</v>
      </c>
      <c r="E37" s="516"/>
      <c r="F37" s="518"/>
      <c r="G37" s="518"/>
      <c r="H37" s="518"/>
      <c r="I37" s="518"/>
      <c r="J37" s="521"/>
      <c r="K37" s="522"/>
      <c r="L37" s="518"/>
      <c r="M37" s="223" t="s">
        <v>86</v>
      </c>
      <c r="N37" s="223" t="s">
        <v>87</v>
      </c>
      <c r="O37" s="215" t="s">
        <v>291</v>
      </c>
      <c r="P37" s="528"/>
      <c r="Q37" s="528"/>
      <c r="R37" s="528"/>
      <c r="S37" s="215" t="s">
        <v>287</v>
      </c>
      <c r="T37" s="534"/>
      <c r="U37" s="501"/>
      <c r="V37" s="501"/>
      <c r="W37" s="503"/>
    </row>
    <row r="38" spans="3:24" ht="66.75" customHeight="1" thickTop="1" thickBot="1" x14ac:dyDescent="0.35">
      <c r="C38" s="216">
        <f>'مدارس التعليم الاساسية'!KP25</f>
        <v>0</v>
      </c>
      <c r="D38" s="216">
        <f>'مدارس التعليم الاساسية'!KQ25</f>
        <v>12</v>
      </c>
      <c r="E38" s="216">
        <v>0</v>
      </c>
      <c r="F38" s="217">
        <f>'مدارس التعليم الاساسية'!KS25</f>
        <v>10</v>
      </c>
      <c r="G38" s="217">
        <f>'مدارس التعليم الاساسية'!KT25</f>
        <v>2</v>
      </c>
      <c r="H38" s="217">
        <f>'مدارس التعليم الاساسية'!KU25</f>
        <v>0</v>
      </c>
      <c r="I38" s="217">
        <f>'مدارس التعليم الاساسية'!KV25</f>
        <v>9</v>
      </c>
      <c r="J38" s="498">
        <f>'مدارس التعليم الاساسية'!KW25</f>
        <v>2</v>
      </c>
      <c r="K38" s="499"/>
      <c r="L38" s="217">
        <f>'مدارس التعليم الاساسية'!KX25</f>
        <v>1</v>
      </c>
      <c r="M38" s="217">
        <f>'مدارس التعليم الاساسية'!KC25</f>
        <v>12</v>
      </c>
      <c r="N38" s="217">
        <f>'مدارس التعليم الاساسية'!KD25</f>
        <v>0</v>
      </c>
      <c r="O38" s="217">
        <f>'مدارس التعليم الاساسية'!KY25</f>
        <v>12</v>
      </c>
      <c r="P38" s="217">
        <f>'مدارس التعليم الاساسية'!KZ25</f>
        <v>0</v>
      </c>
      <c r="Q38" s="217">
        <f>'مدارس التعليم الاساسية'!LA25</f>
        <v>0</v>
      </c>
      <c r="R38" s="217">
        <f>'مدارس التعليم الاساسية'!LB25</f>
        <v>0</v>
      </c>
      <c r="S38" s="217">
        <f>'مدارس التعليم الاساسية'!LC25</f>
        <v>0</v>
      </c>
      <c r="T38" s="217">
        <f>'مدارس التعليم الاساسية'!LD25</f>
        <v>0</v>
      </c>
      <c r="U38" s="217">
        <f>'مدارس التعليم الاساسية'!P25</f>
        <v>12</v>
      </c>
      <c r="V38" s="217">
        <f>'مدارس التعليم الاساسية'!LM25</f>
        <v>11</v>
      </c>
      <c r="W38" s="218">
        <f>'مدارس التعليم الاساسية'!LY25</f>
        <v>6684</v>
      </c>
    </row>
    <row r="39" spans="3:24" ht="33" customHeight="1" thickTop="1" x14ac:dyDescent="0.3"/>
    <row r="40" spans="3:24" ht="43.5" customHeight="1" thickBot="1" x14ac:dyDescent="0.35">
      <c r="G40" s="219" t="s">
        <v>367</v>
      </c>
    </row>
    <row r="41" spans="3:24" ht="43.5" customHeight="1" thickTop="1" thickBot="1" x14ac:dyDescent="0.35">
      <c r="C41" s="508" t="s">
        <v>346</v>
      </c>
      <c r="D41" s="509"/>
      <c r="E41" s="509"/>
      <c r="F41" s="509"/>
      <c r="G41" s="509"/>
      <c r="H41" s="509"/>
      <c r="I41" s="509"/>
      <c r="J41" s="507"/>
      <c r="K41" s="508" t="s">
        <v>347</v>
      </c>
      <c r="L41" s="509"/>
      <c r="M41" s="509"/>
      <c r="N41" s="509"/>
      <c r="O41" s="509"/>
      <c r="P41" s="509"/>
      <c r="Q41" s="509"/>
      <c r="R41" s="509"/>
      <c r="S41" s="509"/>
      <c r="T41" s="509"/>
      <c r="U41" s="509"/>
      <c r="V41" s="507"/>
    </row>
    <row r="42" spans="3:24" ht="43.5" customHeight="1" thickTop="1" thickBot="1" x14ac:dyDescent="0.35">
      <c r="C42" s="510" t="s">
        <v>348</v>
      </c>
      <c r="D42" s="511"/>
      <c r="E42" s="512" t="s">
        <v>89</v>
      </c>
      <c r="F42" s="511"/>
      <c r="G42" s="512" t="s">
        <v>349</v>
      </c>
      <c r="H42" s="511"/>
      <c r="I42" s="512" t="s">
        <v>20</v>
      </c>
      <c r="J42" s="513"/>
      <c r="K42" s="510" t="s">
        <v>302</v>
      </c>
      <c r="L42" s="511"/>
      <c r="M42" s="510" t="s">
        <v>306</v>
      </c>
      <c r="N42" s="511"/>
      <c r="O42" s="510" t="s">
        <v>303</v>
      </c>
      <c r="P42" s="511"/>
      <c r="Q42" s="510" t="s">
        <v>304</v>
      </c>
      <c r="R42" s="511"/>
      <c r="S42" s="510" t="s">
        <v>305</v>
      </c>
      <c r="T42" s="511"/>
      <c r="U42" s="510" t="s">
        <v>20</v>
      </c>
      <c r="V42" s="535"/>
    </row>
    <row r="43" spans="3:24" ht="43.5" customHeight="1" thickTop="1" thickBot="1" x14ac:dyDescent="0.35">
      <c r="C43" s="537">
        <f>'مدارس التعليم الاساسية'!KE25</f>
        <v>2</v>
      </c>
      <c r="D43" s="499"/>
      <c r="E43" s="498">
        <f>'مدارس التعليم الاساسية'!KF25</f>
        <v>10</v>
      </c>
      <c r="F43" s="499"/>
      <c r="G43" s="498">
        <f>'مدارس التعليم الاساسية'!KG25</f>
        <v>0</v>
      </c>
      <c r="H43" s="499"/>
      <c r="I43" s="498">
        <f>G43+E43+C43</f>
        <v>12</v>
      </c>
      <c r="J43" s="499"/>
      <c r="K43" s="498">
        <f>'مدارس التعليم الاساسية'!KH25</f>
        <v>0</v>
      </c>
      <c r="L43" s="499"/>
      <c r="M43" s="498">
        <f>'مدارس التعليم الاساسية'!KI25</f>
        <v>1</v>
      </c>
      <c r="N43" s="499"/>
      <c r="O43" s="498">
        <f>'مدارس التعليم الاساسية'!KJ25</f>
        <v>6</v>
      </c>
      <c r="P43" s="499"/>
      <c r="Q43" s="498">
        <f>'مدارس التعليم الاساسية'!KK25</f>
        <v>4</v>
      </c>
      <c r="R43" s="499"/>
      <c r="S43" s="498">
        <f>'مدارس التعليم الاساسية'!KL25</f>
        <v>1</v>
      </c>
      <c r="T43" s="499"/>
      <c r="U43" s="498">
        <f>S43+Q43+O43+M43+K43</f>
        <v>12</v>
      </c>
      <c r="V43" s="536"/>
    </row>
    <row r="44" spans="3:24" ht="43.5" customHeight="1" thickTop="1" x14ac:dyDescent="0.3">
      <c r="Q44" s="203" t="s">
        <v>223</v>
      </c>
    </row>
    <row r="45" spans="3:24" ht="29.25" customHeight="1" x14ac:dyDescent="0.3">
      <c r="N45" s="220" t="s">
        <v>368</v>
      </c>
    </row>
    <row r="46" spans="3:24" ht="30" customHeight="1" thickBot="1" x14ac:dyDescent="0.35"/>
    <row r="47" spans="3:24" ht="43.5" customHeight="1" thickTop="1" thickBot="1" x14ac:dyDescent="0.35">
      <c r="G47" s="477" t="s">
        <v>55</v>
      </c>
      <c r="H47" s="478"/>
      <c r="I47" s="495" t="s">
        <v>221</v>
      </c>
      <c r="J47" s="478"/>
      <c r="K47" s="495" t="s">
        <v>57</v>
      </c>
      <c r="L47" s="478"/>
      <c r="M47" s="495" t="s">
        <v>58</v>
      </c>
      <c r="N47" s="478"/>
      <c r="O47" s="495" t="s">
        <v>224</v>
      </c>
      <c r="P47" s="478"/>
      <c r="Q47" s="495" t="s">
        <v>60</v>
      </c>
      <c r="R47" s="478"/>
      <c r="S47" s="495" t="s">
        <v>222</v>
      </c>
      <c r="T47" s="478"/>
      <c r="U47" s="495" t="s">
        <v>62</v>
      </c>
      <c r="V47" s="496"/>
      <c r="W47" s="495" t="s">
        <v>20</v>
      </c>
      <c r="X47" s="496"/>
    </row>
    <row r="48" spans="3:24" ht="43.5" customHeight="1" thickTop="1" thickBot="1" x14ac:dyDescent="0.35">
      <c r="G48" s="514">
        <f>'مدارس التعليم الاساسية'!LZ25</f>
        <v>5</v>
      </c>
      <c r="H48" s="497"/>
      <c r="I48" s="493">
        <f>'مدارس التعليم الاساسية'!MB25</f>
        <v>0</v>
      </c>
      <c r="J48" s="497"/>
      <c r="K48" s="493">
        <f>'مدارس التعليم الاساسية'!MD25</f>
        <v>5</v>
      </c>
      <c r="L48" s="497"/>
      <c r="M48" s="493">
        <f>'مدارس التعليم الاساسية'!MF25</f>
        <v>5</v>
      </c>
      <c r="N48" s="497"/>
      <c r="O48" s="493">
        <f>'مدارس التعليم الاساسية'!MH25</f>
        <v>5</v>
      </c>
      <c r="P48" s="497"/>
      <c r="Q48" s="493">
        <f>'مدارس التعليم الاساسية'!MJ25</f>
        <v>0</v>
      </c>
      <c r="R48" s="497"/>
      <c r="S48" s="493">
        <f>'مدارس التعليم الاساسية'!ML25</f>
        <v>0</v>
      </c>
      <c r="T48" s="497"/>
      <c r="U48" s="493">
        <f>'مدارس التعليم الاساسية'!MN25</f>
        <v>4</v>
      </c>
      <c r="V48" s="497"/>
      <c r="W48" s="493">
        <f>SUM(I48:V48)</f>
        <v>19</v>
      </c>
      <c r="X48" s="494"/>
    </row>
    <row r="49" ht="43.5" customHeight="1" thickTop="1" x14ac:dyDescent="0.3"/>
  </sheetData>
  <mergeCells count="143">
    <mergeCell ref="O42:P42"/>
    <mergeCell ref="Q42:R42"/>
    <mergeCell ref="S42:T42"/>
    <mergeCell ref="U42:V42"/>
    <mergeCell ref="U43:V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E36:E37"/>
    <mergeCell ref="F36:F37"/>
    <mergeCell ref="G36:G37"/>
    <mergeCell ref="H36:H37"/>
    <mergeCell ref="I36:I37"/>
    <mergeCell ref="J36:K37"/>
    <mergeCell ref="B30:G30"/>
    <mergeCell ref="B31:G31"/>
    <mergeCell ref="F33:R33"/>
    <mergeCell ref="C35:E35"/>
    <mergeCell ref="F35:H35"/>
    <mergeCell ref="I35:L35"/>
    <mergeCell ref="M35:N35"/>
    <mergeCell ref="Q36:Q37"/>
    <mergeCell ref="R36:R37"/>
    <mergeCell ref="O35:T35"/>
    <mergeCell ref="C36:D36"/>
    <mergeCell ref="L36:L37"/>
    <mergeCell ref="M36:N36"/>
    <mergeCell ref="P36:P37"/>
    <mergeCell ref="T36:T37"/>
    <mergeCell ref="G48:H48"/>
    <mergeCell ref="I48:J48"/>
    <mergeCell ref="K48:L48"/>
    <mergeCell ref="M48:N48"/>
    <mergeCell ref="O48:P48"/>
    <mergeCell ref="Q48:R48"/>
    <mergeCell ref="S48:T48"/>
    <mergeCell ref="G47:H47"/>
    <mergeCell ref="I47:J47"/>
    <mergeCell ref="K47:L47"/>
    <mergeCell ref="M47:N47"/>
    <mergeCell ref="O47:P47"/>
    <mergeCell ref="Q47:R47"/>
    <mergeCell ref="I28:J28"/>
    <mergeCell ref="K28:L28"/>
    <mergeCell ref="M28:N28"/>
    <mergeCell ref="O28:P28"/>
    <mergeCell ref="Q28:R28"/>
    <mergeCell ref="W48:X48"/>
    <mergeCell ref="S47:T47"/>
    <mergeCell ref="U47:V47"/>
    <mergeCell ref="W47:X47"/>
    <mergeCell ref="U48:V48"/>
    <mergeCell ref="U30:X30"/>
    <mergeCell ref="J38:K38"/>
    <mergeCell ref="V36:V37"/>
    <mergeCell ref="W36:W37"/>
    <mergeCell ref="U35:U37"/>
    <mergeCell ref="V35:W35"/>
    <mergeCell ref="C41:J41"/>
    <mergeCell ref="K41:V41"/>
    <mergeCell ref="C42:D42"/>
    <mergeCell ref="E42:F42"/>
    <mergeCell ref="G42:H42"/>
    <mergeCell ref="I42:J42"/>
    <mergeCell ref="K42:L42"/>
    <mergeCell ref="M42:N42"/>
    <mergeCell ref="I27:J27"/>
    <mergeCell ref="K27:L27"/>
    <mergeCell ref="M27:N27"/>
    <mergeCell ref="O27:P27"/>
    <mergeCell ref="Q27:R27"/>
    <mergeCell ref="I26:J26"/>
    <mergeCell ref="K26:L26"/>
    <mergeCell ref="M26:N26"/>
    <mergeCell ref="O26:P26"/>
    <mergeCell ref="Q26:R26"/>
    <mergeCell ref="I25:J25"/>
    <mergeCell ref="K25:L25"/>
    <mergeCell ref="M25:N25"/>
    <mergeCell ref="O25:P25"/>
    <mergeCell ref="Q25:R25"/>
    <mergeCell ref="I24:J24"/>
    <mergeCell ref="K24:L24"/>
    <mergeCell ref="M24:N24"/>
    <mergeCell ref="O24:P24"/>
    <mergeCell ref="Q24:R24"/>
    <mergeCell ref="I23:J23"/>
    <mergeCell ref="K23:L23"/>
    <mergeCell ref="M23:N23"/>
    <mergeCell ref="O23:P23"/>
    <mergeCell ref="Q23:R23"/>
    <mergeCell ref="I22:J22"/>
    <mergeCell ref="K22:L22"/>
    <mergeCell ref="M22:N22"/>
    <mergeCell ref="O22:P22"/>
    <mergeCell ref="Q22:R22"/>
    <mergeCell ref="I20:J20"/>
    <mergeCell ref="K20:L20"/>
    <mergeCell ref="M20:N20"/>
    <mergeCell ref="O20:P20"/>
    <mergeCell ref="Q20:R20"/>
    <mergeCell ref="I21:J21"/>
    <mergeCell ref="K21:L21"/>
    <mergeCell ref="M21:N21"/>
    <mergeCell ref="O21:P21"/>
    <mergeCell ref="Q21:R21"/>
    <mergeCell ref="I15:R15"/>
    <mergeCell ref="I18:J18"/>
    <mergeCell ref="K16:L17"/>
    <mergeCell ref="M16:N17"/>
    <mergeCell ref="O16:P17"/>
    <mergeCell ref="Q16:R17"/>
    <mergeCell ref="I19:J19"/>
    <mergeCell ref="K18:L18"/>
    <mergeCell ref="K19:L19"/>
    <mergeCell ref="M18:N18"/>
    <mergeCell ref="M19:N19"/>
    <mergeCell ref="O18:P18"/>
    <mergeCell ref="Q18:R18"/>
    <mergeCell ref="O19:P19"/>
    <mergeCell ref="Q19:R19"/>
    <mergeCell ref="B1:G1"/>
    <mergeCell ref="B2:G2"/>
    <mergeCell ref="AA2:AB2"/>
    <mergeCell ref="I3:K3"/>
    <mergeCell ref="L3:N3"/>
    <mergeCell ref="D4:Z4"/>
    <mergeCell ref="V6:X6"/>
    <mergeCell ref="Y6:Z6"/>
    <mergeCell ref="C6:F6"/>
    <mergeCell ref="G6:I6"/>
    <mergeCell ref="J6:L6"/>
    <mergeCell ref="M6:O6"/>
    <mergeCell ref="P6:R6"/>
    <mergeCell ref="S6:U6"/>
    <mergeCell ref="V1:Y1"/>
    <mergeCell ref="V2:Y2"/>
  </mergeCells>
  <printOptions horizontalCentered="1" verticalCentered="1"/>
  <pageMargins left="0.19685039370078741" right="0.19685039370078741" top="0.23622047244094491" bottom="0.19685039370078741" header="0.19685039370078741" footer="0.19685039370078741"/>
  <pageSetup paperSize="9" scale="49" orientation="landscape" horizontalDpi="300" verticalDpi="300" r:id="rId1"/>
  <rowBreaks count="1" manualBreakCount="1">
    <brk id="29" max="2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B1:AB50"/>
  <sheetViews>
    <sheetView rightToLeft="1" view="pageBreakPreview" zoomScale="60" zoomScaleNormal="60" workbookViewId="0">
      <selection activeCell="R24" sqref="R24:S24"/>
    </sheetView>
  </sheetViews>
  <sheetFormatPr defaultColWidth="7.75" defaultRowHeight="41.25" customHeight="1" x14ac:dyDescent="0.3"/>
  <cols>
    <col min="1" max="1" width="4.125" style="194" customWidth="1"/>
    <col min="2" max="2" width="11.25" style="194" customWidth="1"/>
    <col min="3" max="3" width="12.125" style="194" customWidth="1"/>
    <col min="4" max="4" width="12.875" style="194" customWidth="1"/>
    <col min="5" max="5" width="10.75" style="194" customWidth="1"/>
    <col min="6" max="6" width="11.25" style="194" customWidth="1"/>
    <col min="7" max="9" width="9.875" style="194" bestFit="1" customWidth="1"/>
    <col min="10" max="10" width="9.375" style="194" customWidth="1"/>
    <col min="11" max="11" width="9.875" style="194" bestFit="1" customWidth="1"/>
    <col min="12" max="12" width="11.375" style="194" customWidth="1"/>
    <col min="13" max="13" width="9.875" style="194" bestFit="1" customWidth="1"/>
    <col min="14" max="14" width="11" style="194" customWidth="1"/>
    <col min="15" max="15" width="9.875" style="194" customWidth="1"/>
    <col min="16" max="16" width="11.125" style="194" customWidth="1"/>
    <col min="17" max="17" width="10.25" style="194" customWidth="1"/>
    <col min="18" max="18" width="11.875" style="194" customWidth="1"/>
    <col min="19" max="19" width="11.625" style="194" customWidth="1"/>
    <col min="20" max="20" width="9.5" style="194" customWidth="1"/>
    <col min="21" max="21" width="12" style="194" customWidth="1"/>
    <col min="22" max="22" width="10.375" style="194" customWidth="1"/>
    <col min="23" max="23" width="10.125" style="194" customWidth="1"/>
    <col min="24" max="24" width="9.25" style="194" customWidth="1"/>
    <col min="25" max="25" width="8.625" style="194" customWidth="1"/>
    <col min="26" max="26" width="8.5" style="194" customWidth="1"/>
    <col min="27" max="27" width="7.375" style="194" customWidth="1"/>
    <col min="28" max="28" width="7" style="194" customWidth="1"/>
    <col min="29" max="29" width="7.75" style="194" customWidth="1"/>
    <col min="30" max="30" width="7.375" style="194" customWidth="1"/>
    <col min="31" max="16384" width="7.75" style="194"/>
  </cols>
  <sheetData>
    <row r="1" spans="2:28" ht="41.25" customHeight="1" x14ac:dyDescent="0.3">
      <c r="B1" s="459" t="s">
        <v>0</v>
      </c>
      <c r="C1" s="459"/>
      <c r="D1" s="459"/>
      <c r="E1" s="459"/>
      <c r="F1" s="459"/>
      <c r="G1" s="459"/>
      <c r="H1" s="192"/>
      <c r="I1" s="192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</row>
    <row r="2" spans="2:28" ht="41.25" customHeight="1" x14ac:dyDescent="0.3">
      <c r="B2" s="459" t="s">
        <v>170</v>
      </c>
      <c r="C2" s="459"/>
      <c r="D2" s="459"/>
      <c r="E2" s="459"/>
      <c r="F2" s="459"/>
      <c r="G2" s="459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460" t="s">
        <v>292</v>
      </c>
      <c r="X2" s="460"/>
      <c r="Y2" s="460"/>
      <c r="Z2" s="460"/>
      <c r="AA2" s="459"/>
      <c r="AB2" s="459"/>
    </row>
    <row r="3" spans="2:28" ht="41.25" customHeight="1" x14ac:dyDescent="0.3">
      <c r="B3" s="193"/>
      <c r="C3" s="193"/>
      <c r="D3" s="193"/>
      <c r="E3" s="193"/>
      <c r="F3" s="193"/>
      <c r="G3" s="193"/>
      <c r="H3" s="193"/>
      <c r="I3" s="459"/>
      <c r="J3" s="459"/>
      <c r="K3" s="459"/>
      <c r="L3" s="460" t="s">
        <v>171</v>
      </c>
      <c r="M3" s="460"/>
      <c r="N3" s="460"/>
      <c r="O3" s="193"/>
      <c r="P3" s="193"/>
      <c r="Q3" s="193"/>
      <c r="R3" s="193"/>
      <c r="S3" s="193"/>
      <c r="T3" s="193"/>
      <c r="U3" s="193"/>
      <c r="V3" s="193"/>
      <c r="W3" s="460" t="s">
        <v>294</v>
      </c>
      <c r="X3" s="460"/>
      <c r="Y3" s="460"/>
      <c r="Z3" s="460"/>
      <c r="AA3" s="193"/>
      <c r="AB3" s="193"/>
    </row>
    <row r="4" spans="2:28" ht="41.25" customHeight="1" x14ac:dyDescent="0.3">
      <c r="B4" s="193"/>
      <c r="C4" s="193"/>
      <c r="D4" s="460" t="s">
        <v>363</v>
      </c>
      <c r="E4" s="460"/>
      <c r="F4" s="460"/>
      <c r="G4" s="460"/>
      <c r="H4" s="460"/>
      <c r="I4" s="460"/>
      <c r="J4" s="460"/>
      <c r="K4" s="460"/>
      <c r="L4" s="460"/>
      <c r="M4" s="460"/>
      <c r="N4" s="460"/>
      <c r="O4" s="460"/>
      <c r="P4" s="460"/>
      <c r="Q4" s="460"/>
      <c r="R4" s="460"/>
      <c r="S4" s="460"/>
      <c r="T4" s="460"/>
      <c r="U4" s="460"/>
      <c r="V4" s="460"/>
      <c r="W4" s="460"/>
      <c r="X4" s="460"/>
      <c r="Y4" s="460"/>
      <c r="Z4" s="460"/>
      <c r="AA4" s="193"/>
      <c r="AB4" s="193"/>
    </row>
    <row r="5" spans="2:28" ht="41.25" customHeight="1" thickBot="1" x14ac:dyDescent="0.35">
      <c r="B5" s="193"/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  <c r="AA5" s="193"/>
      <c r="AB5" s="193"/>
    </row>
    <row r="6" spans="2:28" ht="70.5" customHeight="1" thickTop="1" thickBot="1" x14ac:dyDescent="0.35">
      <c r="B6" s="195" t="s">
        <v>172</v>
      </c>
      <c r="C6" s="464" t="s">
        <v>173</v>
      </c>
      <c r="D6" s="465"/>
      <c r="E6" s="465"/>
      <c r="F6" s="466"/>
      <c r="G6" s="461" t="s">
        <v>184</v>
      </c>
      <c r="H6" s="462"/>
      <c r="I6" s="467"/>
      <c r="J6" s="461" t="s">
        <v>185</v>
      </c>
      <c r="K6" s="462"/>
      <c r="L6" s="467"/>
      <c r="M6" s="461" t="s">
        <v>187</v>
      </c>
      <c r="N6" s="462"/>
      <c r="O6" s="467"/>
      <c r="P6" s="461" t="s">
        <v>188</v>
      </c>
      <c r="Q6" s="462"/>
      <c r="R6" s="467"/>
      <c r="S6" s="461" t="s">
        <v>189</v>
      </c>
      <c r="T6" s="462"/>
      <c r="U6" s="462"/>
      <c r="V6" s="461" t="s">
        <v>181</v>
      </c>
      <c r="W6" s="462"/>
      <c r="X6" s="462"/>
      <c r="Y6" s="461" t="s">
        <v>174</v>
      </c>
      <c r="Z6" s="463"/>
    </row>
    <row r="7" spans="2:28" ht="41.25" customHeight="1" thickTop="1" thickBot="1" x14ac:dyDescent="0.35">
      <c r="B7" s="196" t="s">
        <v>176</v>
      </c>
      <c r="C7" s="197" t="s">
        <v>68</v>
      </c>
      <c r="D7" s="197" t="s">
        <v>69</v>
      </c>
      <c r="E7" s="197" t="s">
        <v>177</v>
      </c>
      <c r="F7" s="197" t="s">
        <v>178</v>
      </c>
      <c r="G7" s="197" t="s">
        <v>68</v>
      </c>
      <c r="H7" s="197" t="s">
        <v>69</v>
      </c>
      <c r="I7" s="197" t="s">
        <v>178</v>
      </c>
      <c r="J7" s="197" t="s">
        <v>186</v>
      </c>
      <c r="K7" s="197" t="s">
        <v>69</v>
      </c>
      <c r="L7" s="197" t="s">
        <v>178</v>
      </c>
      <c r="M7" s="197" t="s">
        <v>186</v>
      </c>
      <c r="N7" s="197" t="s">
        <v>69</v>
      </c>
      <c r="O7" s="197" t="s">
        <v>178</v>
      </c>
      <c r="P7" s="197" t="s">
        <v>186</v>
      </c>
      <c r="Q7" s="197" t="s">
        <v>69</v>
      </c>
      <c r="R7" s="197" t="s">
        <v>178</v>
      </c>
      <c r="S7" s="197" t="s">
        <v>84</v>
      </c>
      <c r="T7" s="197" t="s">
        <v>85</v>
      </c>
      <c r="U7" s="197" t="s">
        <v>20</v>
      </c>
      <c r="V7" s="197" t="s">
        <v>84</v>
      </c>
      <c r="W7" s="197" t="s">
        <v>85</v>
      </c>
      <c r="X7" s="197" t="s">
        <v>20</v>
      </c>
      <c r="Y7" s="197" t="s">
        <v>179</v>
      </c>
      <c r="Z7" s="198" t="s">
        <v>77</v>
      </c>
    </row>
    <row r="8" spans="2:28" ht="56.25" customHeight="1" thickTop="1" thickBot="1" x14ac:dyDescent="0.35">
      <c r="B8" s="199" t="s">
        <v>182</v>
      </c>
      <c r="C8" s="197">
        <f>حضر!H25</f>
        <v>0</v>
      </c>
      <c r="D8" s="197">
        <f>حضر!I25</f>
        <v>0</v>
      </c>
      <c r="E8" s="197">
        <f>حضر!J25</f>
        <v>0</v>
      </c>
      <c r="F8" s="197">
        <f>SUM(C8:E8)</f>
        <v>0</v>
      </c>
      <c r="G8" s="197">
        <f>حضر!AJ25</f>
        <v>0</v>
      </c>
      <c r="H8" s="197">
        <f>حضر!AK25</f>
        <v>0</v>
      </c>
      <c r="I8" s="197">
        <f>SUM(G8:H8)</f>
        <v>0</v>
      </c>
      <c r="J8" s="197">
        <f>حضر!AW25</f>
        <v>0</v>
      </c>
      <c r="K8" s="197">
        <f>حضر!AX25</f>
        <v>0</v>
      </c>
      <c r="L8" s="197">
        <f>SUM(J8:K8)</f>
        <v>0</v>
      </c>
      <c r="M8" s="197">
        <f>حضر!EX25</f>
        <v>0</v>
      </c>
      <c r="N8" s="197">
        <f>حضر!EY25</f>
        <v>0</v>
      </c>
      <c r="O8" s="197">
        <f>SUM(M8:N8)</f>
        <v>0</v>
      </c>
      <c r="P8" s="197">
        <f>حضر!HB25</f>
        <v>0</v>
      </c>
      <c r="Q8" s="197">
        <f>حضر!HC25</f>
        <v>0</v>
      </c>
      <c r="R8" s="197">
        <f>SUM(P8:Q8)</f>
        <v>0</v>
      </c>
      <c r="S8" s="197">
        <f>حضر!IZ25</f>
        <v>0</v>
      </c>
      <c r="T8" s="197">
        <f>حضر!JA25</f>
        <v>0</v>
      </c>
      <c r="U8" s="197">
        <f>SUM(S8:T8)</f>
        <v>0</v>
      </c>
      <c r="V8" s="197">
        <f>حضر!JM25</f>
        <v>0</v>
      </c>
      <c r="W8" s="197">
        <f>حضر!JN25</f>
        <v>0</v>
      </c>
      <c r="X8" s="197">
        <f>SUM(V8:W8)</f>
        <v>0</v>
      </c>
      <c r="Y8" s="197">
        <f>حضر!P25</f>
        <v>0</v>
      </c>
      <c r="Z8" s="198">
        <f>حضر!Q25</f>
        <v>0</v>
      </c>
    </row>
    <row r="9" spans="2:28" ht="56.25" customHeight="1" thickTop="1" thickBot="1" x14ac:dyDescent="0.35">
      <c r="B9" s="199" t="s">
        <v>183</v>
      </c>
      <c r="C9" s="197">
        <f>ريف!H14</f>
        <v>0</v>
      </c>
      <c r="D9" s="197">
        <f>ريف!I14</f>
        <v>0</v>
      </c>
      <c r="E9" s="197">
        <f>ريف!J14</f>
        <v>0</v>
      </c>
      <c r="F9" s="197">
        <f>SUM(C9:E9)</f>
        <v>0</v>
      </c>
      <c r="G9" s="197">
        <f>ريف!AJ14</f>
        <v>0</v>
      </c>
      <c r="H9" s="197">
        <f>ريف!AK14</f>
        <v>0</v>
      </c>
      <c r="I9" s="197">
        <f>SUM(G9:H9)</f>
        <v>0</v>
      </c>
      <c r="J9" s="197">
        <f>ريف!AW14</f>
        <v>0</v>
      </c>
      <c r="K9" s="197">
        <f>ريف!AX14</f>
        <v>0</v>
      </c>
      <c r="L9" s="197">
        <f>SUM(J9:K9)</f>
        <v>0</v>
      </c>
      <c r="M9" s="197">
        <f>ريف!EX14</f>
        <v>0</v>
      </c>
      <c r="N9" s="197">
        <f>ريف!EY14</f>
        <v>0</v>
      </c>
      <c r="O9" s="197">
        <f>SUM(M9:N9)</f>
        <v>0</v>
      </c>
      <c r="P9" s="197">
        <f>ريف!FK14</f>
        <v>0</v>
      </c>
      <c r="Q9" s="197">
        <f>ريف!FL14</f>
        <v>0</v>
      </c>
      <c r="R9" s="197">
        <f>SUM(P9:Q9)</f>
        <v>0</v>
      </c>
      <c r="S9" s="197">
        <f>ريف!IZ14</f>
        <v>0</v>
      </c>
      <c r="T9" s="197">
        <f>ريف!JA14</f>
        <v>0</v>
      </c>
      <c r="U9" s="197">
        <f>SUM(S9:T9)</f>
        <v>0</v>
      </c>
      <c r="V9" s="197">
        <f>ريف!JM14</f>
        <v>0</v>
      </c>
      <c r="W9" s="197">
        <f>ريف!JN14</f>
        <v>0</v>
      </c>
      <c r="X9" s="197">
        <f>SUM(V9:W9)</f>
        <v>0</v>
      </c>
      <c r="Y9" s="197">
        <v>0</v>
      </c>
      <c r="Z9" s="198">
        <v>0</v>
      </c>
    </row>
    <row r="10" spans="2:28" ht="56.25" customHeight="1" thickTop="1" thickBot="1" x14ac:dyDescent="0.35">
      <c r="B10" s="200" t="s">
        <v>20</v>
      </c>
      <c r="C10" s="201">
        <f>SUM(C8:C9)</f>
        <v>0</v>
      </c>
      <c r="D10" s="201">
        <f t="shared" ref="D10:Z10" si="0">SUM(D8:D9)</f>
        <v>0</v>
      </c>
      <c r="E10" s="201">
        <f t="shared" si="0"/>
        <v>0</v>
      </c>
      <c r="F10" s="201">
        <f t="shared" si="0"/>
        <v>0</v>
      </c>
      <c r="G10" s="201">
        <f t="shared" si="0"/>
        <v>0</v>
      </c>
      <c r="H10" s="201">
        <f t="shared" si="0"/>
        <v>0</v>
      </c>
      <c r="I10" s="201">
        <f t="shared" si="0"/>
        <v>0</v>
      </c>
      <c r="J10" s="201">
        <f t="shared" si="0"/>
        <v>0</v>
      </c>
      <c r="K10" s="201">
        <f>SUM(K8:K9)</f>
        <v>0</v>
      </c>
      <c r="L10" s="201">
        <f t="shared" si="0"/>
        <v>0</v>
      </c>
      <c r="M10" s="201">
        <f t="shared" si="0"/>
        <v>0</v>
      </c>
      <c r="N10" s="201">
        <f t="shared" si="0"/>
        <v>0</v>
      </c>
      <c r="O10" s="201">
        <f t="shared" si="0"/>
        <v>0</v>
      </c>
      <c r="P10" s="201">
        <f t="shared" si="0"/>
        <v>0</v>
      </c>
      <c r="Q10" s="201">
        <f t="shared" si="0"/>
        <v>0</v>
      </c>
      <c r="R10" s="201">
        <f t="shared" si="0"/>
        <v>0</v>
      </c>
      <c r="S10" s="201">
        <f t="shared" si="0"/>
        <v>0</v>
      </c>
      <c r="T10" s="201">
        <f t="shared" si="0"/>
        <v>0</v>
      </c>
      <c r="U10" s="201">
        <f t="shared" si="0"/>
        <v>0</v>
      </c>
      <c r="V10" s="201">
        <f t="shared" si="0"/>
        <v>0</v>
      </c>
      <c r="W10" s="201">
        <f t="shared" si="0"/>
        <v>0</v>
      </c>
      <c r="X10" s="201">
        <f t="shared" si="0"/>
        <v>0</v>
      </c>
      <c r="Y10" s="201">
        <f t="shared" si="0"/>
        <v>0</v>
      </c>
      <c r="Z10" s="202">
        <f t="shared" si="0"/>
        <v>0</v>
      </c>
    </row>
    <row r="11" spans="2:28" ht="41.25" customHeight="1" thickTop="1" x14ac:dyDescent="0.3">
      <c r="B11" s="193"/>
      <c r="C11" s="193"/>
      <c r="AB11" s="193"/>
    </row>
    <row r="12" spans="2:28" ht="24.75" customHeight="1" x14ac:dyDescent="0.3">
      <c r="N12" s="203" t="s">
        <v>215</v>
      </c>
    </row>
    <row r="13" spans="2:28" ht="24.75" customHeight="1" x14ac:dyDescent="0.4">
      <c r="K13" s="191" t="s">
        <v>369</v>
      </c>
      <c r="N13" s="203"/>
    </row>
    <row r="14" spans="2:28" ht="24.75" customHeight="1" thickBot="1" x14ac:dyDescent="0.35"/>
    <row r="15" spans="2:28" ht="41.25" customHeight="1" thickTop="1" thickBot="1" x14ac:dyDescent="0.35">
      <c r="J15" s="538" t="s">
        <v>370</v>
      </c>
      <c r="K15" s="539"/>
      <c r="L15" s="539"/>
      <c r="M15" s="539"/>
      <c r="N15" s="539"/>
      <c r="O15" s="539"/>
      <c r="P15" s="539"/>
      <c r="Q15" s="539"/>
      <c r="R15" s="539"/>
      <c r="S15" s="540"/>
    </row>
    <row r="16" spans="2:28" ht="61.5" customHeight="1" thickTop="1" x14ac:dyDescent="0.3">
      <c r="J16" s="204"/>
      <c r="K16" s="205" t="s">
        <v>214</v>
      </c>
      <c r="L16" s="473" t="s">
        <v>186</v>
      </c>
      <c r="M16" s="473"/>
      <c r="N16" s="473" t="s">
        <v>69</v>
      </c>
      <c r="O16" s="473"/>
      <c r="P16" s="473" t="s">
        <v>70</v>
      </c>
      <c r="Q16" s="473"/>
      <c r="R16" s="473" t="s">
        <v>20</v>
      </c>
      <c r="S16" s="475"/>
    </row>
    <row r="17" spans="2:24" ht="41.25" customHeight="1" thickBot="1" x14ac:dyDescent="0.35">
      <c r="J17" s="206" t="s">
        <v>207</v>
      </c>
      <c r="K17" s="207"/>
      <c r="L17" s="474"/>
      <c r="M17" s="474"/>
      <c r="N17" s="474"/>
      <c r="O17" s="474"/>
      <c r="P17" s="474"/>
      <c r="Q17" s="474"/>
      <c r="R17" s="474"/>
      <c r="S17" s="476"/>
    </row>
    <row r="18" spans="2:24" ht="41.25" customHeight="1" thickTop="1" thickBot="1" x14ac:dyDescent="0.35">
      <c r="J18" s="471" t="s">
        <v>208</v>
      </c>
      <c r="K18" s="472"/>
      <c r="L18" s="480">
        <f>'مدارس التعليم الاساسية'!HE33</f>
        <v>0</v>
      </c>
      <c r="M18" s="481"/>
      <c r="N18" s="480">
        <f>'مدارس التعليم الاساسية'!HF33</f>
        <v>0</v>
      </c>
      <c r="O18" s="481"/>
      <c r="P18" s="480"/>
      <c r="Q18" s="481"/>
      <c r="R18" s="480">
        <f>SUM(L18:Q18)</f>
        <v>0</v>
      </c>
      <c r="S18" s="483"/>
    </row>
    <row r="19" spans="2:24" ht="41.25" customHeight="1" thickTop="1" thickBot="1" x14ac:dyDescent="0.35">
      <c r="J19" s="477" t="s">
        <v>209</v>
      </c>
      <c r="K19" s="478"/>
      <c r="L19" s="480">
        <f>'مدارس التعليم الاساسية'!HH33</f>
        <v>0</v>
      </c>
      <c r="M19" s="481"/>
      <c r="N19" s="480">
        <f>'مدارس التعليم الاساسية'!HI33</f>
        <v>0</v>
      </c>
      <c r="O19" s="481"/>
      <c r="P19" s="480"/>
      <c r="Q19" s="481"/>
      <c r="R19" s="480">
        <f t="shared" ref="R19:R28" si="1">SUM(L19:Q19)</f>
        <v>0</v>
      </c>
      <c r="S19" s="483"/>
    </row>
    <row r="20" spans="2:24" ht="41.25" customHeight="1" thickTop="1" thickBot="1" x14ac:dyDescent="0.35">
      <c r="J20" s="477" t="s">
        <v>210</v>
      </c>
      <c r="K20" s="478"/>
      <c r="L20" s="480">
        <f>'مدارس التعليم الاساسية'!HK33</f>
        <v>0</v>
      </c>
      <c r="M20" s="481"/>
      <c r="N20" s="480">
        <f>'مدارس التعليم الاساسية'!HL33</f>
        <v>0</v>
      </c>
      <c r="O20" s="481"/>
      <c r="P20" s="480"/>
      <c r="Q20" s="481"/>
      <c r="R20" s="480">
        <f t="shared" si="1"/>
        <v>0</v>
      </c>
      <c r="S20" s="483"/>
    </row>
    <row r="21" spans="2:24" ht="41.25" customHeight="1" thickTop="1" thickBot="1" x14ac:dyDescent="0.35">
      <c r="J21" s="477" t="s">
        <v>162</v>
      </c>
      <c r="K21" s="478"/>
      <c r="L21" s="480">
        <f>'مدارس التعليم الاساسية'!HN33</f>
        <v>0</v>
      </c>
      <c r="M21" s="481"/>
      <c r="N21" s="480">
        <f>'مدارس التعليم الاساسية'!HO33</f>
        <v>0</v>
      </c>
      <c r="O21" s="481"/>
      <c r="P21" s="480"/>
      <c r="Q21" s="481"/>
      <c r="R21" s="480">
        <f t="shared" si="1"/>
        <v>0</v>
      </c>
      <c r="S21" s="483"/>
    </row>
    <row r="22" spans="2:24" ht="41.25" customHeight="1" thickTop="1" thickBot="1" x14ac:dyDescent="0.35">
      <c r="J22" s="477" t="s">
        <v>163</v>
      </c>
      <c r="K22" s="478"/>
      <c r="L22" s="480">
        <f>'مدارس التعليم الاساسية'!HQ33</f>
        <v>0</v>
      </c>
      <c r="M22" s="481"/>
      <c r="N22" s="480">
        <f>'مدارس التعليم الاساسية'!HR33</f>
        <v>0</v>
      </c>
      <c r="O22" s="481"/>
      <c r="P22" s="480"/>
      <c r="Q22" s="481"/>
      <c r="R22" s="480">
        <f t="shared" si="1"/>
        <v>0</v>
      </c>
      <c r="S22" s="483"/>
    </row>
    <row r="23" spans="2:24" ht="41.25" customHeight="1" thickTop="1" thickBot="1" x14ac:dyDescent="0.35">
      <c r="J23" s="477" t="s">
        <v>164</v>
      </c>
      <c r="K23" s="478"/>
      <c r="L23" s="480">
        <f>'مدارس التعليم الاساسية'!HT33</f>
        <v>0</v>
      </c>
      <c r="M23" s="481"/>
      <c r="N23" s="480">
        <f>'مدارس التعليم الاساسية'!HU33</f>
        <v>0</v>
      </c>
      <c r="O23" s="481"/>
      <c r="P23" s="480"/>
      <c r="Q23" s="481"/>
      <c r="R23" s="480">
        <f t="shared" si="1"/>
        <v>0</v>
      </c>
      <c r="S23" s="483"/>
    </row>
    <row r="24" spans="2:24" ht="41.25" customHeight="1" thickTop="1" thickBot="1" x14ac:dyDescent="0.35">
      <c r="J24" s="541" t="s">
        <v>20</v>
      </c>
      <c r="K24" s="542"/>
      <c r="L24" s="543">
        <f>SUM(L18:M23)</f>
        <v>0</v>
      </c>
      <c r="M24" s="544"/>
      <c r="N24" s="543">
        <f>SUM(N18:O23)</f>
        <v>0</v>
      </c>
      <c r="O24" s="544"/>
      <c r="P24" s="543">
        <f>SUM(P18:Q23)</f>
        <v>0</v>
      </c>
      <c r="Q24" s="544"/>
      <c r="R24" s="543">
        <f t="shared" si="1"/>
        <v>0</v>
      </c>
      <c r="S24" s="545"/>
    </row>
    <row r="25" spans="2:24" ht="41.25" customHeight="1" thickTop="1" thickBot="1" x14ac:dyDescent="0.35">
      <c r="J25" s="477" t="s">
        <v>211</v>
      </c>
      <c r="K25" s="478"/>
      <c r="L25" s="495">
        <f>'مدارس التعليم الاساسية'!IA33</f>
        <v>0</v>
      </c>
      <c r="M25" s="478"/>
      <c r="N25" s="495">
        <f>'مدارس التعليم الاساسية'!IB33</f>
        <v>0</v>
      </c>
      <c r="O25" s="478"/>
      <c r="P25" s="495"/>
      <c r="Q25" s="478"/>
      <c r="R25" s="495">
        <f t="shared" si="1"/>
        <v>0</v>
      </c>
      <c r="S25" s="496"/>
    </row>
    <row r="26" spans="2:24" ht="41.25" customHeight="1" thickTop="1" thickBot="1" x14ac:dyDescent="0.35">
      <c r="J26" s="477" t="s">
        <v>212</v>
      </c>
      <c r="K26" s="478"/>
      <c r="L26" s="480">
        <f>'مدارس التعليم الاساسية'!ID33</f>
        <v>0</v>
      </c>
      <c r="M26" s="481"/>
      <c r="N26" s="480">
        <f>'مدارس التعليم الاساسية'!IE33</f>
        <v>0</v>
      </c>
      <c r="O26" s="481"/>
      <c r="P26" s="480"/>
      <c r="Q26" s="481"/>
      <c r="R26" s="480">
        <f t="shared" si="1"/>
        <v>0</v>
      </c>
      <c r="S26" s="483"/>
    </row>
    <row r="27" spans="2:24" ht="41.25" customHeight="1" thickTop="1" thickBot="1" x14ac:dyDescent="0.35">
      <c r="J27" s="477" t="s">
        <v>213</v>
      </c>
      <c r="K27" s="478"/>
      <c r="L27" s="480">
        <f>'مدارس التعليم الاساسية'!IG33</f>
        <v>0</v>
      </c>
      <c r="M27" s="481"/>
      <c r="N27" s="480">
        <f>'مدارس التعليم الاساسية'!IH33</f>
        <v>0</v>
      </c>
      <c r="O27" s="481"/>
      <c r="P27" s="480"/>
      <c r="Q27" s="481"/>
      <c r="R27" s="480">
        <f t="shared" si="1"/>
        <v>0</v>
      </c>
      <c r="S27" s="483"/>
    </row>
    <row r="28" spans="2:24" ht="41.25" customHeight="1" thickTop="1" thickBot="1" x14ac:dyDescent="0.35">
      <c r="J28" s="489" t="s">
        <v>20</v>
      </c>
      <c r="K28" s="490"/>
      <c r="L28" s="491">
        <f>SUM(L25:M27)</f>
        <v>0</v>
      </c>
      <c r="M28" s="490"/>
      <c r="N28" s="491">
        <f>SUM(N25:O27)</f>
        <v>0</v>
      </c>
      <c r="O28" s="490"/>
      <c r="P28" s="491">
        <f>SUM(P25:Q27)</f>
        <v>0</v>
      </c>
      <c r="Q28" s="490"/>
      <c r="R28" s="491">
        <f t="shared" si="1"/>
        <v>0</v>
      </c>
      <c r="S28" s="492"/>
    </row>
    <row r="29" spans="2:24" ht="24" customHeight="1" thickTop="1" x14ac:dyDescent="0.3"/>
    <row r="30" spans="2:24" ht="20.25" customHeight="1" x14ac:dyDescent="0.3"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</row>
    <row r="31" spans="2:24" ht="20.25" customHeight="1" x14ac:dyDescent="0.3">
      <c r="B31" s="459" t="s">
        <v>0</v>
      </c>
      <c r="C31" s="459"/>
      <c r="D31" s="459"/>
      <c r="E31" s="459"/>
      <c r="F31" s="459"/>
      <c r="G31" s="459"/>
      <c r="U31" s="460" t="s">
        <v>292</v>
      </c>
      <c r="V31" s="460"/>
      <c r="W31" s="460"/>
      <c r="X31" s="460"/>
    </row>
    <row r="32" spans="2:24" ht="20.25" customHeight="1" x14ac:dyDescent="0.3">
      <c r="B32" s="459" t="s">
        <v>170</v>
      </c>
      <c r="C32" s="459"/>
      <c r="D32" s="459"/>
      <c r="E32" s="459"/>
      <c r="F32" s="459"/>
      <c r="G32" s="459"/>
      <c r="U32" s="460" t="s">
        <v>294</v>
      </c>
      <c r="V32" s="460"/>
      <c r="W32" s="460"/>
      <c r="X32" s="460"/>
    </row>
    <row r="33" spans="3:24" ht="20.25" customHeight="1" x14ac:dyDescent="0.3">
      <c r="K33" s="209" t="s">
        <v>275</v>
      </c>
    </row>
    <row r="34" spans="3:24" ht="30" customHeight="1" x14ac:dyDescent="0.3">
      <c r="F34" s="523" t="s">
        <v>366</v>
      </c>
      <c r="G34" s="523"/>
      <c r="H34" s="523"/>
      <c r="I34" s="523"/>
      <c r="J34" s="523"/>
      <c r="K34" s="523"/>
      <c r="L34" s="523"/>
      <c r="M34" s="523"/>
      <c r="N34" s="523"/>
      <c r="O34" s="523"/>
      <c r="P34" s="523"/>
      <c r="Q34" s="523"/>
      <c r="R34" s="523"/>
    </row>
    <row r="35" spans="3:24" ht="33" customHeight="1" thickBot="1" x14ac:dyDescent="0.35"/>
    <row r="36" spans="3:24" ht="42.75" customHeight="1" thickTop="1" thickBot="1" x14ac:dyDescent="0.35">
      <c r="C36" s="508" t="s">
        <v>276</v>
      </c>
      <c r="D36" s="509"/>
      <c r="E36" s="524"/>
      <c r="F36" s="506" t="s">
        <v>277</v>
      </c>
      <c r="G36" s="509"/>
      <c r="H36" s="524"/>
      <c r="I36" s="506" t="s">
        <v>278</v>
      </c>
      <c r="J36" s="509"/>
      <c r="K36" s="509"/>
      <c r="L36" s="524"/>
      <c r="M36" s="525" t="s">
        <v>279</v>
      </c>
      <c r="N36" s="526"/>
      <c r="O36" s="506" t="s">
        <v>280</v>
      </c>
      <c r="P36" s="509"/>
      <c r="Q36" s="509"/>
      <c r="R36" s="509"/>
      <c r="S36" s="509"/>
      <c r="T36" s="524"/>
      <c r="U36" s="504" t="s">
        <v>281</v>
      </c>
      <c r="V36" s="506" t="s">
        <v>288</v>
      </c>
      <c r="W36" s="509"/>
      <c r="X36" s="210"/>
    </row>
    <row r="37" spans="3:24" ht="71.25" customHeight="1" thickTop="1" thickBot="1" x14ac:dyDescent="0.35">
      <c r="C37" s="529" t="s">
        <v>282</v>
      </c>
      <c r="D37" s="530"/>
      <c r="E37" s="515" t="s">
        <v>95</v>
      </c>
      <c r="F37" s="500" t="s">
        <v>283</v>
      </c>
      <c r="G37" s="500" t="s">
        <v>97</v>
      </c>
      <c r="H37" s="500" t="s">
        <v>290</v>
      </c>
      <c r="I37" s="500" t="s">
        <v>99</v>
      </c>
      <c r="J37" s="549" t="s">
        <v>100</v>
      </c>
      <c r="K37" s="550"/>
      <c r="L37" s="500" t="s">
        <v>101</v>
      </c>
      <c r="M37" s="525" t="s">
        <v>48</v>
      </c>
      <c r="N37" s="526"/>
      <c r="O37" s="211" t="s">
        <v>284</v>
      </c>
      <c r="P37" s="527" t="s">
        <v>319</v>
      </c>
      <c r="Q37" s="527" t="s">
        <v>315</v>
      </c>
      <c r="R37" s="527" t="s">
        <v>320</v>
      </c>
      <c r="S37" s="211" t="s">
        <v>285</v>
      </c>
      <c r="T37" s="533" t="s">
        <v>286</v>
      </c>
      <c r="U37" s="505"/>
      <c r="V37" s="500" t="s">
        <v>289</v>
      </c>
      <c r="W37" s="502" t="s">
        <v>110</v>
      </c>
    </row>
    <row r="38" spans="3:24" ht="81.75" customHeight="1" thickTop="1" thickBot="1" x14ac:dyDescent="0.35">
      <c r="C38" s="212" t="s">
        <v>317</v>
      </c>
      <c r="D38" s="213" t="s">
        <v>318</v>
      </c>
      <c r="E38" s="516"/>
      <c r="F38" s="501"/>
      <c r="G38" s="501"/>
      <c r="H38" s="501"/>
      <c r="I38" s="501"/>
      <c r="J38" s="551"/>
      <c r="K38" s="552"/>
      <c r="L38" s="501"/>
      <c r="M38" s="214" t="s">
        <v>86</v>
      </c>
      <c r="N38" s="214" t="s">
        <v>87</v>
      </c>
      <c r="O38" s="215" t="s">
        <v>291</v>
      </c>
      <c r="P38" s="528"/>
      <c r="Q38" s="528"/>
      <c r="R38" s="528"/>
      <c r="S38" s="215" t="s">
        <v>287</v>
      </c>
      <c r="T38" s="534"/>
      <c r="U38" s="501"/>
      <c r="V38" s="501"/>
      <c r="W38" s="503"/>
    </row>
    <row r="39" spans="3:24" ht="41.25" customHeight="1" thickTop="1" thickBot="1" x14ac:dyDescent="0.35">
      <c r="C39" s="216">
        <f>'مدارس التعليم الاساسية'!KP33</f>
        <v>0</v>
      </c>
      <c r="D39" s="217">
        <f>'مدارس التعليم الاساسية'!KQ33</f>
        <v>3</v>
      </c>
      <c r="E39" s="217">
        <f>'مدارس التعليم الاساسية'!KR33</f>
        <v>0</v>
      </c>
      <c r="F39" s="217">
        <f>'مدارس التعليم الاساسية'!KS33</f>
        <v>0</v>
      </c>
      <c r="G39" s="217">
        <f>'مدارس التعليم الاساسية'!KT33</f>
        <v>2</v>
      </c>
      <c r="H39" s="217">
        <f>'مدارس التعليم الاساسية'!KU33</f>
        <v>1</v>
      </c>
      <c r="I39" s="217">
        <f>'مدارس التعليم الاساسية'!KV33</f>
        <v>3</v>
      </c>
      <c r="J39" s="498">
        <f>'مدارس التعليم الاساسية'!KW33</f>
        <v>0</v>
      </c>
      <c r="K39" s="499"/>
      <c r="L39" s="217">
        <f>'مدارس التعليم الاساسية'!KX33</f>
        <v>0</v>
      </c>
      <c r="M39" s="217">
        <f>'مدارس التعليم الاساسية'!KC33</f>
        <v>3</v>
      </c>
      <c r="N39" s="217">
        <f>'مدارس التعليم الاساسية'!KD33</f>
        <v>0</v>
      </c>
      <c r="O39" s="217">
        <f>'مدارس التعليم الاساسية'!KY33</f>
        <v>3</v>
      </c>
      <c r="P39" s="217">
        <v>0</v>
      </c>
      <c r="Q39" s="217">
        <v>0</v>
      </c>
      <c r="R39" s="217">
        <v>0</v>
      </c>
      <c r="S39" s="217">
        <v>0</v>
      </c>
      <c r="T39" s="217">
        <v>0</v>
      </c>
      <c r="U39" s="217">
        <f>'مدارس التعليم الاساسية'!P33</f>
        <v>3</v>
      </c>
      <c r="V39" s="217">
        <f>'مدارس التعليم الاساسية'!LM33</f>
        <v>2</v>
      </c>
      <c r="W39" s="218">
        <f>'مدارس التعليم الاساسية'!LY33</f>
        <v>1657</v>
      </c>
    </row>
    <row r="40" spans="3:24" ht="41.25" customHeight="1" thickTop="1" x14ac:dyDescent="0.3"/>
    <row r="41" spans="3:24" ht="41.25" customHeight="1" thickBot="1" x14ac:dyDescent="0.35">
      <c r="G41" s="219" t="s">
        <v>367</v>
      </c>
    </row>
    <row r="42" spans="3:24" ht="41.25" customHeight="1" thickTop="1" thickBot="1" x14ac:dyDescent="0.35">
      <c r="C42" s="508" t="s">
        <v>346</v>
      </c>
      <c r="D42" s="509"/>
      <c r="E42" s="509"/>
      <c r="F42" s="509"/>
      <c r="G42" s="509"/>
      <c r="H42" s="509"/>
      <c r="I42" s="509"/>
      <c r="J42" s="507"/>
      <c r="K42" s="508" t="s">
        <v>347</v>
      </c>
      <c r="L42" s="509"/>
      <c r="M42" s="509"/>
      <c r="N42" s="509"/>
      <c r="O42" s="509"/>
      <c r="P42" s="509"/>
      <c r="Q42" s="509"/>
      <c r="R42" s="509"/>
      <c r="S42" s="509"/>
      <c r="T42" s="509"/>
      <c r="U42" s="509"/>
      <c r="V42" s="507"/>
    </row>
    <row r="43" spans="3:24" ht="41.25" customHeight="1" thickTop="1" thickBot="1" x14ac:dyDescent="0.35">
      <c r="C43" s="510" t="s">
        <v>348</v>
      </c>
      <c r="D43" s="511"/>
      <c r="E43" s="512" t="s">
        <v>89</v>
      </c>
      <c r="F43" s="511"/>
      <c r="G43" s="512" t="s">
        <v>349</v>
      </c>
      <c r="H43" s="511"/>
      <c r="I43" s="512" t="s">
        <v>20</v>
      </c>
      <c r="J43" s="513"/>
      <c r="K43" s="510" t="s">
        <v>302</v>
      </c>
      <c r="L43" s="511"/>
      <c r="M43" s="510" t="s">
        <v>306</v>
      </c>
      <c r="N43" s="511"/>
      <c r="O43" s="510" t="s">
        <v>303</v>
      </c>
      <c r="P43" s="511"/>
      <c r="Q43" s="510" t="s">
        <v>304</v>
      </c>
      <c r="R43" s="511"/>
      <c r="S43" s="510" t="s">
        <v>305</v>
      </c>
      <c r="T43" s="511"/>
      <c r="U43" s="510" t="s">
        <v>20</v>
      </c>
      <c r="V43" s="535"/>
    </row>
    <row r="44" spans="3:24" ht="41.25" customHeight="1" thickTop="1" thickBot="1" x14ac:dyDescent="0.35">
      <c r="C44" s="537">
        <f>'مدارس التعليم الاساسية'!KE33</f>
        <v>0</v>
      </c>
      <c r="D44" s="499"/>
      <c r="E44" s="498">
        <f>'مدارس التعليم الاساسية'!KF33</f>
        <v>2</v>
      </c>
      <c r="F44" s="499"/>
      <c r="G44" s="498">
        <f>'مدارس التعليم الاساسية'!KG33</f>
        <v>1</v>
      </c>
      <c r="H44" s="499"/>
      <c r="I44" s="498">
        <f>G44+E44+C44</f>
        <v>3</v>
      </c>
      <c r="J44" s="499"/>
      <c r="K44" s="498">
        <f>'مدارس التعليم الاساسية'!KH33</f>
        <v>0</v>
      </c>
      <c r="L44" s="499"/>
      <c r="M44" s="498">
        <f>'مدارس التعليم الاساسية'!KI33</f>
        <v>0</v>
      </c>
      <c r="N44" s="499"/>
      <c r="O44" s="498">
        <f>'مدارس التعليم الاساسية'!KJ33</f>
        <v>2</v>
      </c>
      <c r="P44" s="499"/>
      <c r="Q44" s="498">
        <f>'مدارس التعليم الاساسية'!KK33</f>
        <v>1</v>
      </c>
      <c r="R44" s="499"/>
      <c r="S44" s="498">
        <f>'مدارس التعليم الاساسية'!KL33</f>
        <v>0</v>
      </c>
      <c r="T44" s="499"/>
      <c r="U44" s="498">
        <f>S44+Q44+O44+M44+K44</f>
        <v>3</v>
      </c>
      <c r="V44" s="536"/>
    </row>
    <row r="45" spans="3:24" ht="30" customHeight="1" thickTop="1" x14ac:dyDescent="0.3">
      <c r="I45" s="203" t="s">
        <v>223</v>
      </c>
    </row>
    <row r="46" spans="3:24" ht="30" customHeight="1" x14ac:dyDescent="0.3">
      <c r="G46" s="220" t="s">
        <v>368</v>
      </c>
    </row>
    <row r="47" spans="3:24" ht="30" customHeight="1" thickBot="1" x14ac:dyDescent="0.35">
      <c r="W47" s="221"/>
    </row>
    <row r="48" spans="3:24" ht="41.25" customHeight="1" thickTop="1" thickBot="1" x14ac:dyDescent="0.35">
      <c r="D48" s="548" t="s">
        <v>55</v>
      </c>
      <c r="E48" s="546"/>
      <c r="F48" s="538" t="s">
        <v>221</v>
      </c>
      <c r="G48" s="540"/>
      <c r="H48" s="546" t="s">
        <v>57</v>
      </c>
      <c r="I48" s="546"/>
      <c r="J48" s="538" t="s">
        <v>58</v>
      </c>
      <c r="K48" s="540"/>
      <c r="L48" s="538" t="s">
        <v>224</v>
      </c>
      <c r="M48" s="540"/>
      <c r="N48" s="538" t="s">
        <v>60</v>
      </c>
      <c r="O48" s="540"/>
      <c r="P48" s="546" t="s">
        <v>222</v>
      </c>
      <c r="Q48" s="547"/>
      <c r="R48" s="538" t="s">
        <v>62</v>
      </c>
      <c r="S48" s="540"/>
      <c r="T48" s="546" t="s">
        <v>20</v>
      </c>
      <c r="U48" s="547"/>
    </row>
    <row r="49" spans="4:21" ht="41.25" customHeight="1" thickTop="1" thickBot="1" x14ac:dyDescent="0.35">
      <c r="D49" s="538">
        <f>'مدارس التعليم الاساسية'!LZ33</f>
        <v>2</v>
      </c>
      <c r="E49" s="539"/>
      <c r="F49" s="538">
        <f>'مدارس التعليم الاساسية'!MB33</f>
        <v>0</v>
      </c>
      <c r="G49" s="540"/>
      <c r="H49" s="539">
        <f>'مدارس التعليم الاساسية'!MD33</f>
        <v>1</v>
      </c>
      <c r="I49" s="540"/>
      <c r="J49" s="539">
        <f>'مدارس التعليم الاساسية'!MF33</f>
        <v>2</v>
      </c>
      <c r="K49" s="539"/>
      <c r="L49" s="538">
        <f>'مدارس التعليم الاساسية'!MH33</f>
        <v>1</v>
      </c>
      <c r="M49" s="540"/>
      <c r="N49" s="538">
        <f>'مدارس التعليم الاساسية'!MJ33</f>
        <v>0</v>
      </c>
      <c r="O49" s="540"/>
      <c r="P49" s="539">
        <f>'مدارس التعليم الاساسية'!ML33</f>
        <v>0</v>
      </c>
      <c r="Q49" s="540"/>
      <c r="R49" s="539">
        <f>'مدارس التعليم الاساسية'!MN33</f>
        <v>1</v>
      </c>
      <c r="S49" s="539"/>
      <c r="T49" s="538">
        <f>SUM(F49:S49)</f>
        <v>5</v>
      </c>
      <c r="U49" s="540"/>
    </row>
    <row r="50" spans="4:21" ht="41.25" customHeight="1" thickTop="1" x14ac:dyDescent="0.3"/>
  </sheetData>
  <mergeCells count="144">
    <mergeCell ref="V37:V38"/>
    <mergeCell ref="W37:W38"/>
    <mergeCell ref="U36:U38"/>
    <mergeCell ref="V36:W36"/>
    <mergeCell ref="U44:V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C37:D37"/>
    <mergeCell ref="H37:H38"/>
    <mergeCell ref="I37:I38"/>
    <mergeCell ref="J37:K38"/>
    <mergeCell ref="R49:S49"/>
    <mergeCell ref="T49:U49"/>
    <mergeCell ref="L18:M18"/>
    <mergeCell ref="N18:O18"/>
    <mergeCell ref="P18:Q18"/>
    <mergeCell ref="R18:S18"/>
    <mergeCell ref="C42:J42"/>
    <mergeCell ref="K42:V42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U31:X31"/>
    <mergeCell ref="U32:X32"/>
    <mergeCell ref="J39:K39"/>
    <mergeCell ref="L37:L38"/>
    <mergeCell ref="M37:N37"/>
    <mergeCell ref="P37:P38"/>
    <mergeCell ref="B31:G31"/>
    <mergeCell ref="B32:G32"/>
    <mergeCell ref="F34:R34"/>
    <mergeCell ref="C36:E36"/>
    <mergeCell ref="F36:H36"/>
    <mergeCell ref="I36:L36"/>
    <mergeCell ref="M36:N36"/>
    <mergeCell ref="R37:R38"/>
    <mergeCell ref="Q37:Q38"/>
    <mergeCell ref="O36:T36"/>
    <mergeCell ref="T37:T38"/>
    <mergeCell ref="J28:K28"/>
    <mergeCell ref="L28:M28"/>
    <mergeCell ref="N28:O28"/>
    <mergeCell ref="P28:Q28"/>
    <mergeCell ref="R28:S28"/>
    <mergeCell ref="P48:Q48"/>
    <mergeCell ref="R48:S48"/>
    <mergeCell ref="T48:U48"/>
    <mergeCell ref="D49:E49"/>
    <mergeCell ref="F49:G49"/>
    <mergeCell ref="H49:I49"/>
    <mergeCell ref="J49:K49"/>
    <mergeCell ref="L49:M49"/>
    <mergeCell ref="N49:O49"/>
    <mergeCell ref="P49:Q49"/>
    <mergeCell ref="D48:E48"/>
    <mergeCell ref="F48:G48"/>
    <mergeCell ref="H48:I48"/>
    <mergeCell ref="J48:K48"/>
    <mergeCell ref="L48:M48"/>
    <mergeCell ref="N48:O48"/>
    <mergeCell ref="E37:E38"/>
    <mergeCell ref="F37:F38"/>
    <mergeCell ref="G37:G38"/>
    <mergeCell ref="J27:K27"/>
    <mergeCell ref="L27:M27"/>
    <mergeCell ref="N27:O27"/>
    <mergeCell ref="P27:Q27"/>
    <mergeCell ref="R27:S27"/>
    <mergeCell ref="J26:K26"/>
    <mergeCell ref="L26:M26"/>
    <mergeCell ref="N26:O26"/>
    <mergeCell ref="P26:Q26"/>
    <mergeCell ref="R26:S26"/>
    <mergeCell ref="J25:K25"/>
    <mergeCell ref="L25:M25"/>
    <mergeCell ref="N25:O25"/>
    <mergeCell ref="P25:Q25"/>
    <mergeCell ref="R25:S25"/>
    <mergeCell ref="J24:K24"/>
    <mergeCell ref="L24:M24"/>
    <mergeCell ref="N24:O24"/>
    <mergeCell ref="P24:Q24"/>
    <mergeCell ref="R24:S24"/>
    <mergeCell ref="J23:K23"/>
    <mergeCell ref="L23:M23"/>
    <mergeCell ref="N23:O23"/>
    <mergeCell ref="P23:Q23"/>
    <mergeCell ref="R23:S23"/>
    <mergeCell ref="J22:K22"/>
    <mergeCell ref="L22:M22"/>
    <mergeCell ref="N22:O22"/>
    <mergeCell ref="P22:Q22"/>
    <mergeCell ref="R22:S22"/>
    <mergeCell ref="J20:K20"/>
    <mergeCell ref="L20:M20"/>
    <mergeCell ref="N20:O20"/>
    <mergeCell ref="P20:Q20"/>
    <mergeCell ref="R20:S20"/>
    <mergeCell ref="J21:K21"/>
    <mergeCell ref="L21:M21"/>
    <mergeCell ref="N21:O21"/>
    <mergeCell ref="P21:Q21"/>
    <mergeCell ref="R21:S21"/>
    <mergeCell ref="J19:K19"/>
    <mergeCell ref="L19:M19"/>
    <mergeCell ref="N19:O19"/>
    <mergeCell ref="P19:Q19"/>
    <mergeCell ref="R19:S19"/>
    <mergeCell ref="J15:S15"/>
    <mergeCell ref="L16:M17"/>
    <mergeCell ref="N16:O17"/>
    <mergeCell ref="P16:Q17"/>
    <mergeCell ref="R16:S17"/>
    <mergeCell ref="J18:K18"/>
    <mergeCell ref="C6:F6"/>
    <mergeCell ref="G6:I6"/>
    <mergeCell ref="J6:L6"/>
    <mergeCell ref="M6:O6"/>
    <mergeCell ref="P6:R6"/>
    <mergeCell ref="S6:U6"/>
    <mergeCell ref="B1:G1"/>
    <mergeCell ref="B2:G2"/>
    <mergeCell ref="AA2:AB2"/>
    <mergeCell ref="I3:K3"/>
    <mergeCell ref="L3:N3"/>
    <mergeCell ref="D4:Z4"/>
    <mergeCell ref="V6:X6"/>
    <mergeCell ref="Y6:Z6"/>
    <mergeCell ref="W2:Z2"/>
    <mergeCell ref="W3:Z3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48" orientation="landscape" horizontalDpi="300" verticalDpi="300" r:id="rId1"/>
  <rowBreaks count="1" manualBreakCount="1">
    <brk id="29" max="2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B1:AD135"/>
  <sheetViews>
    <sheetView rightToLeft="1" topLeftCell="B1" workbookViewId="0">
      <selection activeCell="B1" sqref="B1:G1"/>
    </sheetView>
  </sheetViews>
  <sheetFormatPr defaultColWidth="7.75" defaultRowHeight="38.25" customHeight="1" x14ac:dyDescent="0.35"/>
  <cols>
    <col min="1" max="1" width="7.75" style="25"/>
    <col min="2" max="2" width="8.875" style="25" customWidth="1"/>
    <col min="3" max="3" width="13" style="25" customWidth="1"/>
    <col min="4" max="9" width="9.875" style="25" bestFit="1" customWidth="1"/>
    <col min="10" max="10" width="9.375" style="25" customWidth="1"/>
    <col min="11" max="15" width="9.875" style="25" bestFit="1" customWidth="1"/>
    <col min="16" max="16" width="8.75" style="25" customWidth="1"/>
    <col min="17" max="17" width="10.625" style="25" customWidth="1"/>
    <col min="18" max="18" width="9.5" style="25" customWidth="1"/>
    <col min="19" max="19" width="9.875" style="25" bestFit="1" customWidth="1"/>
    <col min="20" max="20" width="10.25" style="25" customWidth="1"/>
    <col min="21" max="21" width="9" style="25" customWidth="1"/>
    <col min="22" max="22" width="10.625" style="25" customWidth="1"/>
    <col min="23" max="23" width="9.875" style="25" bestFit="1" customWidth="1"/>
    <col min="24" max="24" width="11" style="25" customWidth="1"/>
    <col min="25" max="25" width="9.5" style="25" customWidth="1"/>
    <col min="26" max="26" width="9" style="25" customWidth="1"/>
    <col min="27" max="27" width="10.5" style="25" customWidth="1"/>
    <col min="28" max="29" width="7.75" style="25"/>
    <col min="30" max="30" width="9.5" style="25" customWidth="1"/>
    <col min="31" max="16384" width="7.75" style="25"/>
  </cols>
  <sheetData>
    <row r="1" spans="2:30" ht="29.25" customHeight="1" x14ac:dyDescent="0.35">
      <c r="B1" s="561" t="s">
        <v>0</v>
      </c>
      <c r="C1" s="561"/>
      <c r="D1" s="561"/>
      <c r="E1" s="561"/>
      <c r="F1" s="561"/>
      <c r="G1" s="561"/>
      <c r="H1" s="68"/>
      <c r="I1" s="68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562" t="s">
        <v>292</v>
      </c>
      <c r="X1" s="562"/>
      <c r="Y1" s="562"/>
      <c r="Z1" s="562"/>
      <c r="AA1" s="69"/>
      <c r="AB1" s="69"/>
    </row>
    <row r="2" spans="2:30" ht="28.5" customHeight="1" x14ac:dyDescent="0.35">
      <c r="B2" s="561" t="s">
        <v>170</v>
      </c>
      <c r="C2" s="561"/>
      <c r="D2" s="561"/>
      <c r="E2" s="561"/>
      <c r="F2" s="561"/>
      <c r="G2" s="561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562" t="s">
        <v>295</v>
      </c>
      <c r="X2" s="562"/>
      <c r="Y2" s="562"/>
      <c r="Z2" s="562"/>
      <c r="AA2" s="561"/>
      <c r="AB2" s="561"/>
    </row>
    <row r="3" spans="2:30" ht="28.5" customHeight="1" x14ac:dyDescent="0.35">
      <c r="B3" s="69"/>
      <c r="C3" s="69"/>
      <c r="D3" s="69"/>
      <c r="E3" s="69"/>
      <c r="F3" s="69"/>
      <c r="G3" s="69"/>
      <c r="H3" s="69"/>
      <c r="I3" s="561"/>
      <c r="J3" s="561"/>
      <c r="K3" s="561"/>
      <c r="L3" s="562" t="s">
        <v>171</v>
      </c>
      <c r="M3" s="562"/>
      <c r="N3" s="562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</row>
    <row r="4" spans="2:30" ht="28.5" customHeight="1" x14ac:dyDescent="0.35">
      <c r="B4" s="69"/>
      <c r="C4" s="69"/>
      <c r="D4" s="562" t="s">
        <v>327</v>
      </c>
      <c r="E4" s="562"/>
      <c r="F4" s="562"/>
      <c r="G4" s="562"/>
      <c r="H4" s="562"/>
      <c r="I4" s="562"/>
      <c r="J4" s="562"/>
      <c r="K4" s="562"/>
      <c r="L4" s="562"/>
      <c r="M4" s="562"/>
      <c r="N4" s="562"/>
      <c r="O4" s="562"/>
      <c r="P4" s="562"/>
      <c r="Q4" s="562"/>
      <c r="R4" s="562"/>
      <c r="S4" s="562"/>
      <c r="T4" s="562"/>
      <c r="U4" s="562"/>
      <c r="V4" s="562"/>
      <c r="W4" s="562"/>
      <c r="X4" s="562"/>
      <c r="Y4" s="562"/>
      <c r="Z4" s="562"/>
      <c r="AA4" s="69"/>
      <c r="AB4" s="69"/>
    </row>
    <row r="5" spans="2:30" ht="28.5" customHeight="1" thickBot="1" x14ac:dyDescent="0.4"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</row>
    <row r="6" spans="2:30" ht="56.25" customHeight="1" thickTop="1" thickBot="1" x14ac:dyDescent="0.4">
      <c r="B6" s="70" t="s">
        <v>172</v>
      </c>
      <c r="C6" s="565" t="s">
        <v>173</v>
      </c>
      <c r="D6" s="566"/>
      <c r="E6" s="566"/>
      <c r="F6" s="568"/>
      <c r="G6" s="563" t="s">
        <v>184</v>
      </c>
      <c r="H6" s="564"/>
      <c r="I6" s="569"/>
      <c r="J6" s="563" t="s">
        <v>185</v>
      </c>
      <c r="K6" s="564"/>
      <c r="L6" s="569"/>
      <c r="M6" s="563" t="s">
        <v>187</v>
      </c>
      <c r="N6" s="564"/>
      <c r="O6" s="569"/>
      <c r="P6" s="563" t="s">
        <v>188</v>
      </c>
      <c r="Q6" s="564"/>
      <c r="R6" s="569"/>
      <c r="S6" s="563" t="s">
        <v>189</v>
      </c>
      <c r="T6" s="564"/>
      <c r="U6" s="564"/>
      <c r="V6" s="563" t="s">
        <v>181</v>
      </c>
      <c r="W6" s="564"/>
      <c r="X6" s="564"/>
      <c r="Y6" s="565" t="s">
        <v>174</v>
      </c>
      <c r="Z6" s="566"/>
      <c r="AA6" s="565" t="s">
        <v>175</v>
      </c>
      <c r="AB6" s="566"/>
      <c r="AC6" s="566"/>
      <c r="AD6" s="567"/>
    </row>
    <row r="7" spans="2:30" ht="47.25" customHeight="1" thickTop="1" thickBot="1" x14ac:dyDescent="0.4">
      <c r="B7" s="71" t="s">
        <v>176</v>
      </c>
      <c r="C7" s="72" t="s">
        <v>68</v>
      </c>
      <c r="D7" s="72" t="s">
        <v>69</v>
      </c>
      <c r="E7" s="72" t="s">
        <v>177</v>
      </c>
      <c r="F7" s="72" t="s">
        <v>178</v>
      </c>
      <c r="G7" s="72" t="s">
        <v>68</v>
      </c>
      <c r="H7" s="72" t="s">
        <v>69</v>
      </c>
      <c r="I7" s="72" t="s">
        <v>178</v>
      </c>
      <c r="J7" s="72" t="s">
        <v>186</v>
      </c>
      <c r="K7" s="72" t="s">
        <v>69</v>
      </c>
      <c r="L7" s="72" t="s">
        <v>178</v>
      </c>
      <c r="M7" s="72" t="s">
        <v>186</v>
      </c>
      <c r="N7" s="72" t="s">
        <v>69</v>
      </c>
      <c r="O7" s="72" t="s">
        <v>178</v>
      </c>
      <c r="P7" s="72" t="s">
        <v>186</v>
      </c>
      <c r="Q7" s="72" t="s">
        <v>69</v>
      </c>
      <c r="R7" s="72" t="s">
        <v>178</v>
      </c>
      <c r="S7" s="72" t="s">
        <v>84</v>
      </c>
      <c r="T7" s="72" t="s">
        <v>85</v>
      </c>
      <c r="U7" s="72" t="s">
        <v>20</v>
      </c>
      <c r="V7" s="72" t="s">
        <v>84</v>
      </c>
      <c r="W7" s="72" t="s">
        <v>85</v>
      </c>
      <c r="X7" s="72" t="s">
        <v>20</v>
      </c>
      <c r="Y7" s="72" t="s">
        <v>179</v>
      </c>
      <c r="Z7" s="72" t="s">
        <v>77</v>
      </c>
      <c r="AA7" s="72" t="s">
        <v>68</v>
      </c>
      <c r="AB7" s="72" t="s">
        <v>69</v>
      </c>
      <c r="AC7" s="72" t="s">
        <v>177</v>
      </c>
      <c r="AD7" s="73" t="s">
        <v>178</v>
      </c>
    </row>
    <row r="8" spans="2:30" ht="38.25" customHeight="1" thickTop="1" thickBot="1" x14ac:dyDescent="0.4">
      <c r="B8" s="74" t="s">
        <v>182</v>
      </c>
      <c r="C8" s="72"/>
      <c r="D8" s="72"/>
      <c r="E8" s="72"/>
      <c r="F8" s="72">
        <f>SUM(C8:E8)</f>
        <v>0</v>
      </c>
      <c r="G8" s="72"/>
      <c r="H8" s="72"/>
      <c r="I8" s="72"/>
      <c r="J8" s="72"/>
      <c r="K8" s="72"/>
      <c r="L8" s="72">
        <f>SUM(J8:K8)</f>
        <v>0</v>
      </c>
      <c r="M8" s="72"/>
      <c r="N8" s="72"/>
      <c r="O8" s="72">
        <f>SUM(M8:N8)</f>
        <v>0</v>
      </c>
      <c r="P8" s="72"/>
      <c r="Q8" s="72"/>
      <c r="R8" s="72">
        <f>SUM(P8:Q8)</f>
        <v>0</v>
      </c>
      <c r="S8" s="72"/>
      <c r="T8" s="72"/>
      <c r="U8" s="72">
        <f>SUM(S8:T8)</f>
        <v>0</v>
      </c>
      <c r="V8" s="72"/>
      <c r="W8" s="72"/>
      <c r="X8" s="72">
        <f>SUM(V8:W8)</f>
        <v>0</v>
      </c>
      <c r="Y8" s="72"/>
      <c r="Z8" s="72"/>
      <c r="AA8" s="72"/>
      <c r="AB8" s="72"/>
      <c r="AC8" s="72"/>
      <c r="AD8" s="73"/>
    </row>
    <row r="9" spans="2:30" ht="38.25" customHeight="1" thickTop="1" thickBot="1" x14ac:dyDescent="0.4">
      <c r="B9" s="74" t="s">
        <v>183</v>
      </c>
      <c r="C9" s="72">
        <f>'مدارس التعليم الاساسية'!H36</f>
        <v>0</v>
      </c>
      <c r="D9" s="72">
        <f>'مدارس التعليم الاساسية'!I36</f>
        <v>0</v>
      </c>
      <c r="E9" s="72">
        <f>'مدارس التعليم الاساسية'!J36</f>
        <v>0</v>
      </c>
      <c r="F9" s="72">
        <f>SUM(C9:E9)</f>
        <v>0</v>
      </c>
      <c r="G9" s="72">
        <f>'مدارس التعليم الاساسية'!AJ36</f>
        <v>0</v>
      </c>
      <c r="H9" s="72">
        <f>'مدارس التعليم الاساسية'!AK36</f>
        <v>0</v>
      </c>
      <c r="I9" s="72">
        <f>SUM(G9:H9)</f>
        <v>0</v>
      </c>
      <c r="J9" s="72">
        <f>'مدارس التعليم الاساسية'!AW36</f>
        <v>0</v>
      </c>
      <c r="K9" s="72">
        <f>'مدارس التعليم الاساسية'!AX36</f>
        <v>0</v>
      </c>
      <c r="L9" s="72">
        <f>SUM(J9:K9)</f>
        <v>0</v>
      </c>
      <c r="M9" s="72">
        <f>'مدارس التعليم الاساسية'!EX36</f>
        <v>0</v>
      </c>
      <c r="N9" s="72">
        <f>'مدارس التعليم الاساسية'!EY36</f>
        <v>0</v>
      </c>
      <c r="O9" s="72">
        <f>SUM(M9:N9)</f>
        <v>0</v>
      </c>
      <c r="P9" s="72">
        <f>'مدارس التعليم الاساسية'!HB36</f>
        <v>0</v>
      </c>
      <c r="Q9" s="72">
        <f>'مدارس التعليم الاساسية'!HC36</f>
        <v>0</v>
      </c>
      <c r="R9" s="72">
        <f>SUM(P9:Q9)</f>
        <v>0</v>
      </c>
      <c r="S9" s="72">
        <f>'مدارس التعليم الاساسية'!IZ36</f>
        <v>0</v>
      </c>
      <c r="T9" s="72">
        <f>'مدارس التعليم الاساسية'!JA36</f>
        <v>0</v>
      </c>
      <c r="U9" s="72">
        <f>SUM(S9:T9)</f>
        <v>0</v>
      </c>
      <c r="V9" s="72">
        <f>'مدارس التعليم الاساسية'!JM36</f>
        <v>0</v>
      </c>
      <c r="W9" s="72">
        <f>'مدارس التعليم الاساسية'!JN36</f>
        <v>0</v>
      </c>
      <c r="X9" s="72">
        <f>SUM(V9:W9)</f>
        <v>0</v>
      </c>
      <c r="Y9" s="72">
        <f>'مدارس التعليم الاساسية'!P36</f>
        <v>0</v>
      </c>
      <c r="Z9" s="72">
        <f>'مدارس التعليم الاساسية'!Q36</f>
        <v>0</v>
      </c>
      <c r="AA9" s="72">
        <v>0</v>
      </c>
      <c r="AB9" s="72">
        <v>0</v>
      </c>
      <c r="AC9" s="72">
        <v>0</v>
      </c>
      <c r="AD9" s="73">
        <v>0</v>
      </c>
    </row>
    <row r="10" spans="2:30" ht="38.25" customHeight="1" thickTop="1" thickBot="1" x14ac:dyDescent="0.4">
      <c r="B10" s="75" t="s">
        <v>20</v>
      </c>
      <c r="C10" s="76">
        <f>SUM(C8:C9)</f>
        <v>0</v>
      </c>
      <c r="D10" s="76">
        <f t="shared" ref="D10:AD10" si="0">SUM(D8:D9)</f>
        <v>0</v>
      </c>
      <c r="E10" s="76">
        <f t="shared" si="0"/>
        <v>0</v>
      </c>
      <c r="F10" s="76">
        <f t="shared" si="0"/>
        <v>0</v>
      </c>
      <c r="G10" s="76">
        <f t="shared" si="0"/>
        <v>0</v>
      </c>
      <c r="H10" s="76">
        <f t="shared" si="0"/>
        <v>0</v>
      </c>
      <c r="I10" s="76">
        <f t="shared" si="0"/>
        <v>0</v>
      </c>
      <c r="J10" s="76">
        <f t="shared" si="0"/>
        <v>0</v>
      </c>
      <c r="K10" s="76">
        <f t="shared" si="0"/>
        <v>0</v>
      </c>
      <c r="L10" s="76">
        <f t="shared" si="0"/>
        <v>0</v>
      </c>
      <c r="M10" s="76">
        <f t="shared" si="0"/>
        <v>0</v>
      </c>
      <c r="N10" s="76">
        <f t="shared" si="0"/>
        <v>0</v>
      </c>
      <c r="O10" s="76">
        <f t="shared" si="0"/>
        <v>0</v>
      </c>
      <c r="P10" s="76">
        <f t="shared" si="0"/>
        <v>0</v>
      </c>
      <c r="Q10" s="76">
        <f t="shared" si="0"/>
        <v>0</v>
      </c>
      <c r="R10" s="76">
        <f t="shared" si="0"/>
        <v>0</v>
      </c>
      <c r="S10" s="76">
        <f t="shared" si="0"/>
        <v>0</v>
      </c>
      <c r="T10" s="76">
        <f t="shared" si="0"/>
        <v>0</v>
      </c>
      <c r="U10" s="76">
        <f t="shared" si="0"/>
        <v>0</v>
      </c>
      <c r="V10" s="76">
        <f t="shared" si="0"/>
        <v>0</v>
      </c>
      <c r="W10" s="76">
        <f t="shared" si="0"/>
        <v>0</v>
      </c>
      <c r="X10" s="76">
        <f t="shared" si="0"/>
        <v>0</v>
      </c>
      <c r="Y10" s="76">
        <f t="shared" si="0"/>
        <v>0</v>
      </c>
      <c r="Z10" s="76">
        <f t="shared" si="0"/>
        <v>0</v>
      </c>
      <c r="AA10" s="76">
        <f t="shared" si="0"/>
        <v>0</v>
      </c>
      <c r="AB10" s="76">
        <f t="shared" si="0"/>
        <v>0</v>
      </c>
      <c r="AC10" s="76">
        <f t="shared" si="0"/>
        <v>0</v>
      </c>
      <c r="AD10" s="76">
        <f t="shared" si="0"/>
        <v>0</v>
      </c>
    </row>
    <row r="11" spans="2:30" ht="29.25" customHeight="1" thickTop="1" x14ac:dyDescent="0.35">
      <c r="B11" s="69"/>
      <c r="C11" s="69"/>
      <c r="AB11" s="69"/>
    </row>
    <row r="12" spans="2:30" ht="29.25" customHeight="1" x14ac:dyDescent="0.35">
      <c r="B12" s="69"/>
      <c r="C12" s="69"/>
      <c r="N12" s="562" t="s">
        <v>180</v>
      </c>
      <c r="O12" s="562"/>
      <c r="P12" s="562"/>
      <c r="AB12" s="69"/>
    </row>
    <row r="13" spans="2:30" ht="38.25" customHeight="1" x14ac:dyDescent="0.35">
      <c r="C13" s="561" t="s">
        <v>328</v>
      </c>
      <c r="D13" s="561"/>
      <c r="E13" s="561"/>
      <c r="F13" s="561"/>
      <c r="G13" s="561"/>
      <c r="H13" s="561"/>
      <c r="I13" s="561"/>
      <c r="J13" s="561"/>
      <c r="K13" s="561"/>
      <c r="L13" s="561"/>
      <c r="P13" s="561" t="s">
        <v>329</v>
      </c>
      <c r="Q13" s="561"/>
      <c r="R13" s="561"/>
      <c r="S13" s="561"/>
      <c r="T13" s="561"/>
      <c r="U13" s="561"/>
      <c r="V13" s="561"/>
      <c r="W13" s="561"/>
      <c r="X13" s="561"/>
      <c r="Y13" s="561"/>
    </row>
    <row r="14" spans="2:30" ht="38.25" customHeight="1" thickBot="1" x14ac:dyDescent="0.4"/>
    <row r="15" spans="2:30" ht="38.25" customHeight="1" thickTop="1" x14ac:dyDescent="0.35">
      <c r="D15" s="556"/>
      <c r="E15" s="556" t="s">
        <v>123</v>
      </c>
      <c r="F15" s="556" t="s">
        <v>124</v>
      </c>
      <c r="G15" s="556" t="s">
        <v>125</v>
      </c>
      <c r="H15" s="556" t="s">
        <v>126</v>
      </c>
      <c r="I15" s="556" t="s">
        <v>127</v>
      </c>
      <c r="J15" s="556" t="s">
        <v>128</v>
      </c>
      <c r="K15" s="556" t="s">
        <v>20</v>
      </c>
      <c r="Q15" s="556"/>
      <c r="R15" s="556" t="s">
        <v>130</v>
      </c>
      <c r="S15" s="556" t="s">
        <v>131</v>
      </c>
      <c r="T15" s="556" t="s">
        <v>132</v>
      </c>
      <c r="U15" s="556" t="s">
        <v>133</v>
      </c>
      <c r="V15" s="556" t="s">
        <v>134</v>
      </c>
      <c r="W15" s="556" t="s">
        <v>20</v>
      </c>
    </row>
    <row r="16" spans="2:30" ht="38.25" customHeight="1" thickBot="1" x14ac:dyDescent="0.4">
      <c r="D16" s="557"/>
      <c r="E16" s="557"/>
      <c r="F16" s="557"/>
      <c r="G16" s="557"/>
      <c r="H16" s="557"/>
      <c r="I16" s="557"/>
      <c r="J16" s="557"/>
      <c r="K16" s="557"/>
      <c r="Q16" s="557"/>
      <c r="R16" s="557"/>
      <c r="S16" s="557"/>
      <c r="T16" s="557"/>
      <c r="U16" s="557"/>
      <c r="V16" s="557"/>
      <c r="W16" s="557"/>
    </row>
    <row r="17" spans="3:27" ht="38.25" customHeight="1" thickTop="1" x14ac:dyDescent="0.35">
      <c r="D17" s="556" t="s">
        <v>68</v>
      </c>
      <c r="E17" s="556">
        <f>'مدارس التعليم الاساسية'!X36</f>
        <v>0</v>
      </c>
      <c r="F17" s="556">
        <f>'مدارس التعليم الاساسية'!Z36</f>
        <v>0</v>
      </c>
      <c r="G17" s="556">
        <f>'مدارس التعليم الاساسية'!AB36</f>
        <v>0</v>
      </c>
      <c r="H17" s="556">
        <f>'مدارس التعليم الاساسية'!AD36</f>
        <v>0</v>
      </c>
      <c r="I17" s="556">
        <f>'مدارس التعليم الاساسية'!AF36</f>
        <v>0</v>
      </c>
      <c r="J17" s="556">
        <f>'مدارس التعليم الاساسية'!AH36</f>
        <v>0</v>
      </c>
      <c r="K17" s="556">
        <f>SUM(E17:J17)</f>
        <v>0</v>
      </c>
      <c r="Q17" s="556" t="s">
        <v>68</v>
      </c>
      <c r="R17" s="556">
        <f>'مدارس التعليم الاساسية'!AM36</f>
        <v>0</v>
      </c>
      <c r="S17" s="556">
        <f>'مدارس التعليم الاساسية'!AO36</f>
        <v>0</v>
      </c>
      <c r="T17" s="556">
        <f>'مدارس التعليم الاساسية'!AQ36</f>
        <v>0</v>
      </c>
      <c r="U17" s="556">
        <f>'مدارس التعليم الاساسية'!AS36</f>
        <v>0</v>
      </c>
      <c r="V17" s="556">
        <f>'مدارس التعليم الاساسية'!AU36</f>
        <v>0</v>
      </c>
      <c r="W17" s="556">
        <f>SUM(R17:V17)</f>
        <v>0</v>
      </c>
    </row>
    <row r="18" spans="3:27" ht="38.25" customHeight="1" thickBot="1" x14ac:dyDescent="0.4">
      <c r="D18" s="557"/>
      <c r="E18" s="557"/>
      <c r="F18" s="557"/>
      <c r="G18" s="557"/>
      <c r="H18" s="557"/>
      <c r="I18" s="557"/>
      <c r="J18" s="557"/>
      <c r="K18" s="557"/>
      <c r="Q18" s="557"/>
      <c r="R18" s="557"/>
      <c r="S18" s="557"/>
      <c r="T18" s="557"/>
      <c r="U18" s="557"/>
      <c r="V18" s="557"/>
      <c r="W18" s="557"/>
    </row>
    <row r="19" spans="3:27" ht="38.25" customHeight="1" thickTop="1" x14ac:dyDescent="0.35">
      <c r="D19" s="556" t="s">
        <v>69</v>
      </c>
      <c r="E19" s="556">
        <f>'مدارس التعليم الاساسية'!Y36</f>
        <v>0</v>
      </c>
      <c r="F19" s="556">
        <f>'مدارس التعليم الاساسية'!AA36</f>
        <v>0</v>
      </c>
      <c r="G19" s="556">
        <f>'مدارس التعليم الاساسية'!AC36</f>
        <v>0</v>
      </c>
      <c r="H19" s="556">
        <f>'مدارس التعليم الاساسية'!AE36</f>
        <v>0</v>
      </c>
      <c r="I19" s="556">
        <f>'مدارس التعليم الاساسية'!AG36</f>
        <v>0</v>
      </c>
      <c r="J19" s="556">
        <f>'مدارس التعليم الاساسية'!AI36</f>
        <v>0</v>
      </c>
      <c r="K19" s="556">
        <f>SUM(E19:J19)</f>
        <v>0</v>
      </c>
      <c r="Q19" s="556" t="s">
        <v>69</v>
      </c>
      <c r="R19" s="556">
        <f>'مدارس التعليم الاساسية'!AN36</f>
        <v>0</v>
      </c>
      <c r="S19" s="556">
        <f>'مدارس التعليم الاساسية'!AP36</f>
        <v>0</v>
      </c>
      <c r="T19" s="556">
        <f>'مدارس التعليم الاساسية'!AR36</f>
        <v>0</v>
      </c>
      <c r="U19" s="556">
        <f>'مدارس التعليم الاساسية'!AT36</f>
        <v>0</v>
      </c>
      <c r="V19" s="556">
        <f>'مدارس التعليم الاساسية'!AV36</f>
        <v>0</v>
      </c>
      <c r="W19" s="556">
        <f>SUM(R19:V19)</f>
        <v>0</v>
      </c>
    </row>
    <row r="20" spans="3:27" ht="38.25" customHeight="1" thickBot="1" x14ac:dyDescent="0.4">
      <c r="D20" s="557"/>
      <c r="E20" s="557"/>
      <c r="F20" s="557"/>
      <c r="G20" s="557"/>
      <c r="H20" s="557"/>
      <c r="I20" s="557"/>
      <c r="J20" s="557"/>
      <c r="K20" s="557"/>
      <c r="Q20" s="557"/>
      <c r="R20" s="557"/>
      <c r="S20" s="557"/>
      <c r="T20" s="557"/>
      <c r="U20" s="557"/>
      <c r="V20" s="557"/>
      <c r="W20" s="557"/>
    </row>
    <row r="21" spans="3:27" ht="38.25" customHeight="1" thickTop="1" x14ac:dyDescent="0.35">
      <c r="D21" s="556" t="s">
        <v>20</v>
      </c>
      <c r="E21" s="556">
        <f>SUM(E17:E20)</f>
        <v>0</v>
      </c>
      <c r="F21" s="556">
        <f t="shared" ref="F21:K21" si="1">SUM(F17:F20)</f>
        <v>0</v>
      </c>
      <c r="G21" s="556">
        <f t="shared" si="1"/>
        <v>0</v>
      </c>
      <c r="H21" s="556">
        <f t="shared" si="1"/>
        <v>0</v>
      </c>
      <c r="I21" s="556">
        <f t="shared" si="1"/>
        <v>0</v>
      </c>
      <c r="J21" s="556">
        <f t="shared" si="1"/>
        <v>0</v>
      </c>
      <c r="K21" s="556">
        <f t="shared" si="1"/>
        <v>0</v>
      </c>
      <c r="Q21" s="556" t="s">
        <v>20</v>
      </c>
      <c r="R21" s="556">
        <f t="shared" ref="R21:W21" si="2">SUM(R17:R20)</f>
        <v>0</v>
      </c>
      <c r="S21" s="556">
        <f t="shared" si="2"/>
        <v>0</v>
      </c>
      <c r="T21" s="556">
        <f t="shared" si="2"/>
        <v>0</v>
      </c>
      <c r="U21" s="556">
        <f t="shared" si="2"/>
        <v>0</v>
      </c>
      <c r="V21" s="556">
        <f t="shared" si="2"/>
        <v>0</v>
      </c>
      <c r="W21" s="556">
        <f t="shared" si="2"/>
        <v>0</v>
      </c>
    </row>
    <row r="22" spans="3:27" ht="38.25" customHeight="1" thickBot="1" x14ac:dyDescent="0.4">
      <c r="D22" s="557"/>
      <c r="E22" s="557"/>
      <c r="F22" s="557"/>
      <c r="G22" s="557"/>
      <c r="H22" s="557"/>
      <c r="I22" s="557"/>
      <c r="J22" s="557"/>
      <c r="K22" s="557"/>
      <c r="Q22" s="557"/>
      <c r="R22" s="557"/>
      <c r="S22" s="557"/>
      <c r="T22" s="557"/>
      <c r="U22" s="557"/>
      <c r="V22" s="557"/>
      <c r="W22" s="557"/>
    </row>
    <row r="23" spans="3:27" ht="38.25" customHeight="1" thickTop="1" x14ac:dyDescent="0.35"/>
    <row r="24" spans="3:27" ht="38.25" customHeight="1" x14ac:dyDescent="0.35">
      <c r="D24" s="561" t="s">
        <v>0</v>
      </c>
      <c r="E24" s="561"/>
      <c r="F24" s="561"/>
      <c r="G24" s="561"/>
      <c r="H24" s="561"/>
      <c r="I24" s="561"/>
      <c r="V24" s="562" t="s">
        <v>292</v>
      </c>
      <c r="W24" s="562"/>
      <c r="X24" s="562"/>
      <c r="Y24" s="562"/>
    </row>
    <row r="25" spans="3:27" ht="23.25" customHeight="1" x14ac:dyDescent="0.35">
      <c r="D25" s="561" t="s">
        <v>170</v>
      </c>
      <c r="E25" s="561"/>
      <c r="F25" s="561"/>
      <c r="G25" s="561"/>
      <c r="H25" s="561"/>
      <c r="I25" s="561"/>
      <c r="V25" s="562" t="s">
        <v>295</v>
      </c>
      <c r="W25" s="562"/>
      <c r="X25" s="562"/>
      <c r="Y25" s="562"/>
    </row>
    <row r="26" spans="3:27" ht="23.25" customHeight="1" x14ac:dyDescent="0.35"/>
    <row r="27" spans="3:27" ht="23.25" customHeight="1" x14ac:dyDescent="0.35">
      <c r="N27" s="77" t="s">
        <v>205</v>
      </c>
    </row>
    <row r="28" spans="3:27" ht="23.25" customHeight="1" x14ac:dyDescent="0.35">
      <c r="J28" s="570" t="s">
        <v>330</v>
      </c>
      <c r="K28" s="570"/>
      <c r="L28" s="570"/>
      <c r="M28" s="570"/>
      <c r="N28" s="570"/>
      <c r="O28" s="570"/>
      <c r="P28" s="570"/>
      <c r="Q28" s="570"/>
      <c r="R28" s="570"/>
      <c r="S28" s="570"/>
      <c r="T28" s="570"/>
      <c r="U28" s="570"/>
      <c r="V28" s="570"/>
    </row>
    <row r="29" spans="3:27" ht="38.25" customHeight="1" thickBot="1" x14ac:dyDescent="0.4"/>
    <row r="30" spans="3:27" ht="38.25" customHeight="1" thickTop="1" x14ac:dyDescent="0.35">
      <c r="C30" s="571" t="s">
        <v>331</v>
      </c>
      <c r="D30" s="572"/>
      <c r="E30" s="572"/>
      <c r="F30" s="572"/>
      <c r="G30" s="572"/>
      <c r="H30" s="572"/>
      <c r="I30" s="572"/>
      <c r="J30" s="572"/>
      <c r="K30" s="572"/>
      <c r="L30" s="572"/>
      <c r="M30" s="572"/>
      <c r="N30" s="572"/>
      <c r="O30" s="572"/>
      <c r="P30" s="572"/>
      <c r="Q30" s="572"/>
      <c r="R30" s="573"/>
      <c r="S30" s="571" t="s">
        <v>332</v>
      </c>
      <c r="T30" s="572"/>
      <c r="U30" s="572"/>
      <c r="V30" s="572"/>
      <c r="W30" s="572"/>
      <c r="X30" s="572"/>
      <c r="Y30" s="572"/>
      <c r="Z30" s="572"/>
      <c r="AA30" s="573"/>
    </row>
    <row r="31" spans="3:27" ht="38.25" customHeight="1" thickBot="1" x14ac:dyDescent="0.4">
      <c r="C31" s="574"/>
      <c r="D31" s="575"/>
      <c r="E31" s="575"/>
      <c r="F31" s="575"/>
      <c r="G31" s="575"/>
      <c r="H31" s="575"/>
      <c r="I31" s="575"/>
      <c r="J31" s="575"/>
      <c r="K31" s="575"/>
      <c r="L31" s="575"/>
      <c r="M31" s="575"/>
      <c r="N31" s="575"/>
      <c r="O31" s="575"/>
      <c r="P31" s="575"/>
      <c r="Q31" s="575"/>
      <c r="R31" s="576"/>
      <c r="S31" s="574"/>
      <c r="T31" s="575"/>
      <c r="U31" s="575"/>
      <c r="V31" s="575"/>
      <c r="W31" s="575"/>
      <c r="X31" s="575"/>
      <c r="Y31" s="575"/>
      <c r="Z31" s="575"/>
      <c r="AA31" s="576"/>
    </row>
    <row r="32" spans="3:27" ht="60.75" customHeight="1" thickTop="1" thickBot="1" x14ac:dyDescent="0.4">
      <c r="C32" s="577"/>
      <c r="D32" s="579" t="s">
        <v>190</v>
      </c>
      <c r="E32" s="579"/>
      <c r="F32" s="579" t="s">
        <v>191</v>
      </c>
      <c r="G32" s="579"/>
      <c r="H32" s="579" t="s">
        <v>161</v>
      </c>
      <c r="I32" s="579"/>
      <c r="J32" s="579" t="s">
        <v>192</v>
      </c>
      <c r="K32" s="579"/>
      <c r="L32" s="579" t="s">
        <v>193</v>
      </c>
      <c r="M32" s="579"/>
      <c r="N32" s="579" t="s">
        <v>194</v>
      </c>
      <c r="O32" s="579"/>
      <c r="P32" s="579" t="s">
        <v>195</v>
      </c>
      <c r="Q32" s="579"/>
      <c r="R32" s="580"/>
      <c r="S32" s="581" t="s">
        <v>201</v>
      </c>
      <c r="T32" s="582"/>
      <c r="U32" s="581" t="s">
        <v>202</v>
      </c>
      <c r="V32" s="582"/>
      <c r="W32" s="581" t="s">
        <v>203</v>
      </c>
      <c r="X32" s="582"/>
      <c r="Y32" s="580" t="s">
        <v>204</v>
      </c>
      <c r="Z32" s="583"/>
      <c r="AA32" s="584"/>
    </row>
    <row r="33" spans="3:27" ht="38.25" customHeight="1" thickTop="1" thickBot="1" x14ac:dyDescent="0.4">
      <c r="C33" s="578"/>
      <c r="D33" s="137" t="s">
        <v>196</v>
      </c>
      <c r="E33" s="137" t="s">
        <v>197</v>
      </c>
      <c r="F33" s="137" t="s">
        <v>196</v>
      </c>
      <c r="G33" s="137" t="s">
        <v>197</v>
      </c>
      <c r="H33" s="137" t="s">
        <v>196</v>
      </c>
      <c r="I33" s="137" t="s">
        <v>197</v>
      </c>
      <c r="J33" s="137" t="s">
        <v>196</v>
      </c>
      <c r="K33" s="137" t="s">
        <v>197</v>
      </c>
      <c r="L33" s="137" t="s">
        <v>196</v>
      </c>
      <c r="M33" s="137" t="s">
        <v>197</v>
      </c>
      <c r="N33" s="137" t="s">
        <v>196</v>
      </c>
      <c r="O33" s="137" t="s">
        <v>197</v>
      </c>
      <c r="P33" s="137" t="s">
        <v>196</v>
      </c>
      <c r="Q33" s="137" t="s">
        <v>197</v>
      </c>
      <c r="R33" s="138" t="s">
        <v>165</v>
      </c>
      <c r="S33" s="137" t="s">
        <v>196</v>
      </c>
      <c r="T33" s="137" t="s">
        <v>197</v>
      </c>
      <c r="U33" s="137" t="s">
        <v>196</v>
      </c>
      <c r="V33" s="137" t="s">
        <v>197</v>
      </c>
      <c r="W33" s="137" t="s">
        <v>196</v>
      </c>
      <c r="X33" s="137" t="s">
        <v>197</v>
      </c>
      <c r="Y33" s="137" t="s">
        <v>196</v>
      </c>
      <c r="Z33" s="137" t="s">
        <v>197</v>
      </c>
      <c r="AA33" s="78" t="s">
        <v>20</v>
      </c>
    </row>
    <row r="34" spans="3:27" ht="38.25" customHeight="1" thickTop="1" thickBot="1" x14ac:dyDescent="0.4">
      <c r="C34" s="79" t="s">
        <v>123</v>
      </c>
      <c r="D34" s="137">
        <f>'مدارس التعليم الاساسية'!AZ36</f>
        <v>0</v>
      </c>
      <c r="E34" s="137">
        <f>'مدارس التعليم الاساسية'!BA36</f>
        <v>0</v>
      </c>
      <c r="F34" s="585"/>
      <c r="G34" s="586"/>
      <c r="H34" s="587"/>
      <c r="I34" s="586"/>
      <c r="J34" s="587"/>
      <c r="K34" s="586"/>
      <c r="L34" s="587"/>
      <c r="M34" s="586"/>
      <c r="N34" s="587"/>
      <c r="O34" s="585"/>
      <c r="P34" s="137">
        <f t="shared" ref="P34:Q39" si="3">N34+L34+J34+H34+F34+D34</f>
        <v>0</v>
      </c>
      <c r="Q34" s="137">
        <f t="shared" si="3"/>
        <v>0</v>
      </c>
      <c r="R34" s="138">
        <f>SUM(P34:Q34)</f>
        <v>0</v>
      </c>
      <c r="S34" s="80"/>
      <c r="T34" s="81"/>
      <c r="U34" s="81"/>
      <c r="V34" s="81"/>
      <c r="W34" s="81"/>
      <c r="X34" s="81"/>
      <c r="Y34" s="81"/>
      <c r="Z34" s="81"/>
      <c r="AA34" s="82"/>
    </row>
    <row r="35" spans="3:27" ht="38.25" customHeight="1" thickTop="1" thickBot="1" x14ac:dyDescent="0.4">
      <c r="C35" s="79" t="s">
        <v>198</v>
      </c>
      <c r="D35" s="137">
        <f>'مدارس التعليم الاساسية'!BB36</f>
        <v>0</v>
      </c>
      <c r="E35" s="137">
        <f>'مدارس التعليم الاساسية'!BC36</f>
        <v>0</v>
      </c>
      <c r="F35" s="585"/>
      <c r="G35" s="586"/>
      <c r="H35" s="587"/>
      <c r="I35" s="586"/>
      <c r="J35" s="587"/>
      <c r="K35" s="586"/>
      <c r="L35" s="587"/>
      <c r="M35" s="586"/>
      <c r="N35" s="587"/>
      <c r="O35" s="585"/>
      <c r="P35" s="137">
        <f t="shared" si="3"/>
        <v>0</v>
      </c>
      <c r="Q35" s="137">
        <f t="shared" si="3"/>
        <v>0</v>
      </c>
      <c r="R35" s="138">
        <f t="shared" ref="R35:R44" si="4">SUM(P35:Q35)</f>
        <v>0</v>
      </c>
      <c r="S35" s="80"/>
      <c r="T35" s="81"/>
      <c r="U35" s="81"/>
      <c r="V35" s="81"/>
      <c r="W35" s="81"/>
      <c r="X35" s="81"/>
      <c r="Y35" s="81"/>
      <c r="Z35" s="81"/>
      <c r="AA35" s="82"/>
    </row>
    <row r="36" spans="3:27" ht="38.25" customHeight="1" thickTop="1" thickBot="1" x14ac:dyDescent="0.4">
      <c r="C36" s="79" t="s">
        <v>125</v>
      </c>
      <c r="D36" s="137">
        <f>'مدارس التعليم الاساسية'!BD36</f>
        <v>0</v>
      </c>
      <c r="E36" s="137">
        <f>'مدارس التعليم الاساسية'!BE36</f>
        <v>0</v>
      </c>
      <c r="F36" s="137">
        <f>'مدارس التعليم الاساسية'!BO36</f>
        <v>0</v>
      </c>
      <c r="G36" s="137">
        <f>'مدارس التعليم الاساسية'!BP36</f>
        <v>0</v>
      </c>
      <c r="H36" s="585"/>
      <c r="I36" s="586"/>
      <c r="J36" s="587"/>
      <c r="K36" s="586"/>
      <c r="L36" s="587"/>
      <c r="M36" s="586"/>
      <c r="N36" s="587"/>
      <c r="O36" s="585"/>
      <c r="P36" s="137">
        <f t="shared" si="3"/>
        <v>0</v>
      </c>
      <c r="Q36" s="137">
        <f t="shared" si="3"/>
        <v>0</v>
      </c>
      <c r="R36" s="138">
        <f t="shared" si="4"/>
        <v>0</v>
      </c>
      <c r="S36" s="80"/>
      <c r="T36" s="81"/>
      <c r="U36" s="81"/>
      <c r="V36" s="81"/>
      <c r="W36" s="81"/>
      <c r="X36" s="81"/>
      <c r="Y36" s="81"/>
      <c r="Z36" s="81"/>
      <c r="AA36" s="82"/>
    </row>
    <row r="37" spans="3:27" ht="38.25" customHeight="1" thickTop="1" thickBot="1" x14ac:dyDescent="0.4">
      <c r="C37" s="79" t="s">
        <v>126</v>
      </c>
      <c r="D37" s="137">
        <f>'مدارس التعليم الاساسية'!BF36</f>
        <v>0</v>
      </c>
      <c r="E37" s="137">
        <f>'مدارس التعليم الاساسية'!BG36</f>
        <v>0</v>
      </c>
      <c r="F37" s="137">
        <f>'مدارس التعليم الاساسية'!BQ36</f>
        <v>0</v>
      </c>
      <c r="G37" s="137">
        <f>'مدارس التعليم الاساسية'!BR36</f>
        <v>0</v>
      </c>
      <c r="H37" s="137">
        <f>'مدارس التعليم الاساسية'!CB36</f>
        <v>0</v>
      </c>
      <c r="I37" s="137">
        <f>'مدارس التعليم الاساسية'!CC36</f>
        <v>0</v>
      </c>
      <c r="J37" s="585"/>
      <c r="K37" s="586"/>
      <c r="L37" s="587"/>
      <c r="M37" s="586"/>
      <c r="N37" s="587"/>
      <c r="O37" s="585"/>
      <c r="P37" s="137">
        <f t="shared" si="3"/>
        <v>0</v>
      </c>
      <c r="Q37" s="137">
        <f t="shared" si="3"/>
        <v>0</v>
      </c>
      <c r="R37" s="138">
        <f t="shared" si="4"/>
        <v>0</v>
      </c>
      <c r="S37" s="80"/>
      <c r="T37" s="81"/>
      <c r="U37" s="81"/>
      <c r="V37" s="81"/>
      <c r="W37" s="81"/>
      <c r="X37" s="81"/>
      <c r="Y37" s="81"/>
      <c r="Z37" s="81"/>
      <c r="AA37" s="82"/>
    </row>
    <row r="38" spans="3:27" ht="38.25" customHeight="1" thickTop="1" thickBot="1" x14ac:dyDescent="0.4">
      <c r="C38" s="79" t="s">
        <v>127</v>
      </c>
      <c r="D38" s="137">
        <f>'مدارس التعليم الاساسية'!BH36</f>
        <v>0</v>
      </c>
      <c r="E38" s="137">
        <f>'مدارس التعليم الاساسية'!BI36</f>
        <v>0</v>
      </c>
      <c r="F38" s="137">
        <f>'مدارس التعليم الاساسية'!BS36</f>
        <v>0</v>
      </c>
      <c r="G38" s="137">
        <f>'مدارس التعليم الاساسية'!BT36</f>
        <v>0</v>
      </c>
      <c r="H38" s="137">
        <f>'مدارس التعليم الاساسية'!CD36</f>
        <v>0</v>
      </c>
      <c r="I38" s="137">
        <f>'مدارس التعليم الاساسية'!CE36</f>
        <v>0</v>
      </c>
      <c r="J38" s="137">
        <f>'مدارس التعليم الاساسية'!CO36</f>
        <v>0</v>
      </c>
      <c r="K38" s="137">
        <f>'مدارس التعليم الاساسية'!CP36</f>
        <v>0</v>
      </c>
      <c r="L38" s="585"/>
      <c r="M38" s="586"/>
      <c r="N38" s="587"/>
      <c r="O38" s="585"/>
      <c r="P38" s="137">
        <f t="shared" si="3"/>
        <v>0</v>
      </c>
      <c r="Q38" s="137">
        <f t="shared" si="3"/>
        <v>0</v>
      </c>
      <c r="R38" s="138">
        <f t="shared" si="4"/>
        <v>0</v>
      </c>
      <c r="S38" s="80"/>
      <c r="T38" s="81"/>
      <c r="U38" s="81"/>
      <c r="V38" s="81"/>
      <c r="W38" s="81"/>
      <c r="X38" s="81"/>
      <c r="Y38" s="81"/>
      <c r="Z38" s="81"/>
      <c r="AA38" s="82"/>
    </row>
    <row r="39" spans="3:27" ht="38.25" customHeight="1" thickTop="1" thickBot="1" x14ac:dyDescent="0.4">
      <c r="C39" s="79" t="s">
        <v>128</v>
      </c>
      <c r="D39" s="137">
        <f>'مدارس التعليم الاساسية'!BJ36</f>
        <v>0</v>
      </c>
      <c r="E39" s="137">
        <f>'مدارس التعليم الاساسية'!BK36</f>
        <v>0</v>
      </c>
      <c r="F39" s="137">
        <f>'مدارس التعليم الاساسية'!BU36</f>
        <v>0</v>
      </c>
      <c r="G39" s="137">
        <f>'مدارس التعليم الاساسية'!BV36</f>
        <v>0</v>
      </c>
      <c r="H39" s="137">
        <f>'مدارس التعليم الاساسية'!CF36</f>
        <v>0</v>
      </c>
      <c r="I39" s="137">
        <f>'مدارس التعليم الاساسية'!CG36</f>
        <v>0</v>
      </c>
      <c r="J39" s="137">
        <f>'مدارس التعليم الاساسية'!CQ36</f>
        <v>0</v>
      </c>
      <c r="K39" s="137">
        <f>'مدارس التعليم الاساسية'!CR36</f>
        <v>0</v>
      </c>
      <c r="L39" s="137">
        <f>'مدارس التعليم الاساسية'!DB36</f>
        <v>0</v>
      </c>
      <c r="M39" s="137">
        <f>'مدارس التعليم الاساسية'!DC36</f>
        <v>0</v>
      </c>
      <c r="N39" s="585"/>
      <c r="O39" s="585"/>
      <c r="P39" s="137">
        <f t="shared" si="3"/>
        <v>0</v>
      </c>
      <c r="Q39" s="137">
        <f t="shared" si="3"/>
        <v>0</v>
      </c>
      <c r="R39" s="138">
        <f t="shared" si="4"/>
        <v>0</v>
      </c>
      <c r="S39" s="80"/>
      <c r="T39" s="81"/>
      <c r="U39" s="81"/>
      <c r="V39" s="81"/>
      <c r="W39" s="81"/>
      <c r="X39" s="81"/>
      <c r="Y39" s="81"/>
      <c r="Z39" s="81"/>
      <c r="AA39" s="82"/>
    </row>
    <row r="40" spans="3:27" ht="38.25" customHeight="1" thickTop="1" thickBot="1" x14ac:dyDescent="0.4">
      <c r="C40" s="79" t="s">
        <v>137</v>
      </c>
      <c r="D40" s="81"/>
      <c r="E40" s="81"/>
      <c r="F40" s="137">
        <f>'مدارس التعليم الاساسية'!BW36</f>
        <v>0</v>
      </c>
      <c r="G40" s="137">
        <f>'مدارس التعليم الاساسية'!BX36</f>
        <v>0</v>
      </c>
      <c r="H40" s="137">
        <f>'مدارس التعليم الاساسية'!CH36</f>
        <v>0</v>
      </c>
      <c r="I40" s="137">
        <f>'مدارس التعليم الاساسية'!CI36</f>
        <v>0</v>
      </c>
      <c r="J40" s="137">
        <f>'مدارس التعليم الاساسية'!CS36</f>
        <v>0</v>
      </c>
      <c r="K40" s="137">
        <f>'مدارس التعليم الاساسية'!CT36</f>
        <v>0</v>
      </c>
      <c r="L40" s="137">
        <f>'مدارس التعليم الاساسية'!DD36</f>
        <v>0</v>
      </c>
      <c r="M40" s="137">
        <f>'مدارس التعليم الاساسية'!DE36</f>
        <v>0</v>
      </c>
      <c r="N40" s="137">
        <f>'مدارس التعليم الاساسية'!DO36</f>
        <v>0</v>
      </c>
      <c r="O40" s="137">
        <f>'مدارس التعليم الاساسية'!DP36</f>
        <v>0</v>
      </c>
      <c r="P40" s="137">
        <f>N40+L40+J40+H40+F40+D40</f>
        <v>0</v>
      </c>
      <c r="Q40" s="137">
        <f>O40+M40+K40+I40+G40+E40</f>
        <v>0</v>
      </c>
      <c r="R40" s="138">
        <f t="shared" si="4"/>
        <v>0</v>
      </c>
      <c r="S40" s="80"/>
      <c r="T40" s="81"/>
      <c r="U40" s="81"/>
      <c r="V40" s="81"/>
      <c r="W40" s="81"/>
      <c r="X40" s="81"/>
      <c r="Y40" s="81"/>
      <c r="Z40" s="81"/>
      <c r="AA40" s="82"/>
    </row>
    <row r="41" spans="3:27" ht="38.25" customHeight="1" thickTop="1" thickBot="1" x14ac:dyDescent="0.4">
      <c r="C41" s="79" t="s">
        <v>130</v>
      </c>
      <c r="D41" s="81"/>
      <c r="E41" s="81"/>
      <c r="F41" s="81"/>
      <c r="G41" s="81"/>
      <c r="H41" s="137">
        <f>'مدارس التعليم الاساسية'!CJ36</f>
        <v>0</v>
      </c>
      <c r="I41" s="137">
        <f>'مدارس التعليم الاساسية'!CK36</f>
        <v>0</v>
      </c>
      <c r="J41" s="137">
        <f>'مدارس التعليم الاساسية'!CU36</f>
        <v>0</v>
      </c>
      <c r="K41" s="137">
        <f>'مدارس التعليم الاساسية'!CV36</f>
        <v>0</v>
      </c>
      <c r="L41" s="137">
        <f>'مدارس التعليم الاساسية'!DF36</f>
        <v>0</v>
      </c>
      <c r="M41" s="137">
        <f>'مدارس التعليم الاساسية'!DG36</f>
        <v>0</v>
      </c>
      <c r="N41" s="137">
        <f>'مدارس التعليم الاساسية'!DQ36</f>
        <v>0</v>
      </c>
      <c r="O41" s="137">
        <f>'مدارس التعليم الاساسية'!DR36</f>
        <v>0</v>
      </c>
      <c r="P41" s="137">
        <f t="shared" ref="P41:Q44" si="5">N41+L41+J41+H41+F41+D41</f>
        <v>0</v>
      </c>
      <c r="Q41" s="137">
        <f t="shared" si="5"/>
        <v>0</v>
      </c>
      <c r="R41" s="138">
        <f t="shared" si="4"/>
        <v>0</v>
      </c>
      <c r="S41" s="137">
        <f>'مدارس التعليم الاساسية'!FA36</f>
        <v>0</v>
      </c>
      <c r="T41" s="137">
        <f>'مدارس التعليم الاساسية'!FB36</f>
        <v>0</v>
      </c>
      <c r="U41" s="81"/>
      <c r="V41" s="81"/>
      <c r="W41" s="81"/>
      <c r="X41" s="81"/>
      <c r="Y41" s="137">
        <f>S41</f>
        <v>0</v>
      </c>
      <c r="Z41" s="137">
        <f>T41</f>
        <v>0</v>
      </c>
      <c r="AA41" s="78">
        <f>SUM(Y41:Z41)</f>
        <v>0</v>
      </c>
    </row>
    <row r="42" spans="3:27" ht="38.25" customHeight="1" thickTop="1" thickBot="1" x14ac:dyDescent="0.4">
      <c r="C42" s="79" t="s">
        <v>131</v>
      </c>
      <c r="D42" s="81"/>
      <c r="E42" s="81"/>
      <c r="F42" s="81"/>
      <c r="G42" s="81"/>
      <c r="H42" s="81"/>
      <c r="I42" s="81"/>
      <c r="J42" s="137">
        <f>'مدارس التعليم الاساسية'!CW36</f>
        <v>0</v>
      </c>
      <c r="K42" s="137">
        <f>'مدارس التعليم الاساسية'!CX36</f>
        <v>0</v>
      </c>
      <c r="L42" s="137">
        <f>'مدارس التعليم الاساسية'!DH36</f>
        <v>0</v>
      </c>
      <c r="M42" s="137">
        <f>'مدارس التعليم الاساسية'!DI36</f>
        <v>0</v>
      </c>
      <c r="N42" s="137">
        <f>'مدارس التعليم الاساسية'!DS36</f>
        <v>0</v>
      </c>
      <c r="O42" s="137">
        <f>'مدارس التعليم الاساسية'!DT36</f>
        <v>0</v>
      </c>
      <c r="P42" s="137">
        <f t="shared" si="5"/>
        <v>0</v>
      </c>
      <c r="Q42" s="137">
        <f t="shared" si="5"/>
        <v>0</v>
      </c>
      <c r="R42" s="138">
        <f t="shared" si="4"/>
        <v>0</v>
      </c>
      <c r="S42" s="137">
        <f>'مدارس التعليم الاساسية'!FC36</f>
        <v>0</v>
      </c>
      <c r="T42" s="137">
        <f>'مدارس التعليم الاساسية'!FD36</f>
        <v>0</v>
      </c>
      <c r="U42" s="137">
        <f>'مدارس التعليم الاساسية'!FN36</f>
        <v>0</v>
      </c>
      <c r="V42" s="137">
        <f>'مدارس التعليم الاساسية'!FO36</f>
        <v>0</v>
      </c>
      <c r="W42" s="81"/>
      <c r="X42" s="81"/>
      <c r="Y42" s="137">
        <f t="shared" ref="Y42:Z47" si="6">W42+U42+S42</f>
        <v>0</v>
      </c>
      <c r="Z42" s="137">
        <f t="shared" si="6"/>
        <v>0</v>
      </c>
      <c r="AA42" s="78">
        <f t="shared" ref="AA42:AA47" si="7">SUM(Y42:Z42)</f>
        <v>0</v>
      </c>
    </row>
    <row r="43" spans="3:27" ht="38.25" customHeight="1" thickTop="1" thickBot="1" x14ac:dyDescent="0.4">
      <c r="C43" s="79" t="s">
        <v>132</v>
      </c>
      <c r="D43" s="81"/>
      <c r="E43" s="81"/>
      <c r="F43" s="81"/>
      <c r="G43" s="81"/>
      <c r="H43" s="81"/>
      <c r="I43" s="81"/>
      <c r="J43" s="81"/>
      <c r="K43" s="81"/>
      <c r="L43" s="137">
        <f>'مدارس التعليم الاساسية'!DJ36</f>
        <v>0</v>
      </c>
      <c r="M43" s="137">
        <f>'مدارس التعليم الاساسية'!DK36</f>
        <v>0</v>
      </c>
      <c r="N43" s="137">
        <f>'مدارس التعليم الاساسية'!DU36</f>
        <v>0</v>
      </c>
      <c r="O43" s="137">
        <f>'مدارس التعليم الاساسية'!DV36</f>
        <v>0</v>
      </c>
      <c r="P43" s="137">
        <f t="shared" si="5"/>
        <v>0</v>
      </c>
      <c r="Q43" s="137">
        <f t="shared" si="5"/>
        <v>0</v>
      </c>
      <c r="R43" s="138">
        <f t="shared" si="4"/>
        <v>0</v>
      </c>
      <c r="S43" s="137">
        <f>'مدارس التعليم الاساسية'!FE36</f>
        <v>0</v>
      </c>
      <c r="T43" s="137">
        <f>'مدارس التعليم الاساسية'!FF36</f>
        <v>0</v>
      </c>
      <c r="U43" s="137">
        <f>'مدارس التعليم الاساسية'!FP36</f>
        <v>0</v>
      </c>
      <c r="V43" s="137">
        <f>'مدارس التعليم الاساسية'!FQ36</f>
        <v>0</v>
      </c>
      <c r="W43" s="137">
        <v>0</v>
      </c>
      <c r="X43" s="137">
        <v>0</v>
      </c>
      <c r="Y43" s="137">
        <f t="shared" si="6"/>
        <v>0</v>
      </c>
      <c r="Z43" s="137">
        <f t="shared" si="6"/>
        <v>0</v>
      </c>
      <c r="AA43" s="78">
        <f t="shared" si="7"/>
        <v>0</v>
      </c>
    </row>
    <row r="44" spans="3:27" ht="38.25" customHeight="1" thickTop="1" thickBot="1" x14ac:dyDescent="0.4">
      <c r="C44" s="79" t="s">
        <v>133</v>
      </c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137">
        <f>'مدارس التعليم الاساسية'!DW36</f>
        <v>0</v>
      </c>
      <c r="O44" s="137">
        <f>'مدارس التعليم الاساسية'!DX36</f>
        <v>0</v>
      </c>
      <c r="P44" s="137">
        <f t="shared" si="5"/>
        <v>0</v>
      </c>
      <c r="Q44" s="137">
        <f t="shared" si="5"/>
        <v>0</v>
      </c>
      <c r="R44" s="138">
        <f t="shared" si="4"/>
        <v>0</v>
      </c>
      <c r="S44" s="137">
        <f>'مدارس التعليم الاساسية'!FG36</f>
        <v>0</v>
      </c>
      <c r="T44" s="137">
        <f>'مدارس التعليم الاساسية'!FH36</f>
        <v>0</v>
      </c>
      <c r="U44" s="137">
        <f>'مدارس التعليم الاساسية'!FR36</f>
        <v>0</v>
      </c>
      <c r="V44" s="137">
        <f>'مدارس التعليم الاساسية'!FS36</f>
        <v>0</v>
      </c>
      <c r="W44" s="137">
        <v>0</v>
      </c>
      <c r="X44" s="137">
        <v>0</v>
      </c>
      <c r="Y44" s="137">
        <f t="shared" si="6"/>
        <v>0</v>
      </c>
      <c r="Z44" s="137">
        <f t="shared" si="6"/>
        <v>0</v>
      </c>
      <c r="AA44" s="78">
        <f t="shared" si="7"/>
        <v>0</v>
      </c>
    </row>
    <row r="45" spans="3:27" ht="38.25" customHeight="1" thickTop="1" thickBot="1" x14ac:dyDescent="0.4">
      <c r="C45" s="79" t="s">
        <v>134</v>
      </c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137">
        <f>'مدارس التعليم الاساسية'!FI36</f>
        <v>0</v>
      </c>
      <c r="T45" s="137">
        <f>'مدارس التعليم الاساسية'!FJ36</f>
        <v>0</v>
      </c>
      <c r="U45" s="137">
        <f>'مدارس التعليم الاساسية'!FT36</f>
        <v>0</v>
      </c>
      <c r="V45" s="137">
        <f>'مدارس التعليم الاساسية'!FU36</f>
        <v>0</v>
      </c>
      <c r="W45" s="137">
        <v>0</v>
      </c>
      <c r="X45" s="137">
        <v>0</v>
      </c>
      <c r="Y45" s="137">
        <f t="shared" si="6"/>
        <v>0</v>
      </c>
      <c r="Z45" s="137">
        <f t="shared" si="6"/>
        <v>0</v>
      </c>
      <c r="AA45" s="78">
        <f t="shared" si="7"/>
        <v>0</v>
      </c>
    </row>
    <row r="46" spans="3:27" ht="38.25" customHeight="1" thickTop="1" thickBot="1" x14ac:dyDescent="0.4">
      <c r="C46" s="79" t="s">
        <v>199</v>
      </c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137"/>
      <c r="T46" s="137"/>
      <c r="U46" s="137">
        <f>'مدارس التعليم الاساسية'!FV36</f>
        <v>0</v>
      </c>
      <c r="V46" s="137">
        <f>'مدارس التعليم الاساسية'!FW36</f>
        <v>0</v>
      </c>
      <c r="W46" s="137">
        <v>0</v>
      </c>
      <c r="X46" s="137">
        <v>0</v>
      </c>
      <c r="Y46" s="137">
        <f t="shared" si="6"/>
        <v>0</v>
      </c>
      <c r="Z46" s="137">
        <f t="shared" si="6"/>
        <v>0</v>
      </c>
      <c r="AA46" s="78">
        <f t="shared" si="7"/>
        <v>0</v>
      </c>
    </row>
    <row r="47" spans="3:27" ht="38.25" customHeight="1" thickTop="1" thickBot="1" x14ac:dyDescent="0.4">
      <c r="C47" s="79" t="s">
        <v>200</v>
      </c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137"/>
      <c r="T47" s="137"/>
      <c r="U47" s="137"/>
      <c r="V47" s="137"/>
      <c r="W47" s="137">
        <v>0</v>
      </c>
      <c r="X47" s="137">
        <v>0</v>
      </c>
      <c r="Y47" s="137">
        <f t="shared" si="6"/>
        <v>0</v>
      </c>
      <c r="Z47" s="137">
        <f t="shared" si="6"/>
        <v>0</v>
      </c>
      <c r="AA47" s="78">
        <f t="shared" si="7"/>
        <v>0</v>
      </c>
    </row>
    <row r="48" spans="3:27" ht="38.25" customHeight="1" thickTop="1" thickBot="1" x14ac:dyDescent="0.4">
      <c r="C48" s="32" t="s">
        <v>165</v>
      </c>
      <c r="D48" s="33">
        <f>SUM(D34:D45)</f>
        <v>0</v>
      </c>
      <c r="E48" s="33">
        <f t="shared" ref="E48:AA48" si="8">SUM(E34:E45)</f>
        <v>0</v>
      </c>
      <c r="F48" s="33">
        <f t="shared" si="8"/>
        <v>0</v>
      </c>
      <c r="G48" s="33">
        <f t="shared" si="8"/>
        <v>0</v>
      </c>
      <c r="H48" s="33">
        <f t="shared" si="8"/>
        <v>0</v>
      </c>
      <c r="I48" s="33">
        <f t="shared" si="8"/>
        <v>0</v>
      </c>
      <c r="J48" s="33">
        <f t="shared" si="8"/>
        <v>0</v>
      </c>
      <c r="K48" s="33">
        <f t="shared" si="8"/>
        <v>0</v>
      </c>
      <c r="L48" s="33">
        <f t="shared" si="8"/>
        <v>0</v>
      </c>
      <c r="M48" s="33">
        <f t="shared" si="8"/>
        <v>0</v>
      </c>
      <c r="N48" s="33">
        <f t="shared" si="8"/>
        <v>0</v>
      </c>
      <c r="O48" s="33">
        <f t="shared" si="8"/>
        <v>0</v>
      </c>
      <c r="P48" s="33">
        <f t="shared" si="8"/>
        <v>0</v>
      </c>
      <c r="Q48" s="33">
        <f t="shared" si="8"/>
        <v>0</v>
      </c>
      <c r="R48" s="33">
        <f t="shared" si="8"/>
        <v>0</v>
      </c>
      <c r="S48" s="33">
        <f t="shared" si="8"/>
        <v>0</v>
      </c>
      <c r="T48" s="33">
        <f t="shared" si="8"/>
        <v>0</v>
      </c>
      <c r="U48" s="33">
        <f t="shared" si="8"/>
        <v>0</v>
      </c>
      <c r="V48" s="33">
        <f t="shared" si="8"/>
        <v>0</v>
      </c>
      <c r="W48" s="33">
        <f>SUM(W34:W47)</f>
        <v>0</v>
      </c>
      <c r="X48" s="33">
        <f t="shared" si="8"/>
        <v>0</v>
      </c>
      <c r="Y48" s="33">
        <f t="shared" si="8"/>
        <v>0</v>
      </c>
      <c r="Z48" s="33">
        <f t="shared" si="8"/>
        <v>0</v>
      </c>
      <c r="AA48" s="33">
        <f t="shared" si="8"/>
        <v>0</v>
      </c>
    </row>
    <row r="49" spans="3:27" ht="38.25" customHeight="1" thickTop="1" x14ac:dyDescent="0.35"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</row>
    <row r="50" spans="3:27" ht="32.25" customHeight="1" x14ac:dyDescent="0.35">
      <c r="D50" s="588" t="s">
        <v>0</v>
      </c>
      <c r="E50" s="588"/>
      <c r="F50" s="588"/>
      <c r="G50" s="588"/>
      <c r="H50" s="588"/>
      <c r="I50" s="588"/>
      <c r="V50" s="562" t="s">
        <v>292</v>
      </c>
      <c r="W50" s="562"/>
      <c r="X50" s="562"/>
      <c r="Y50" s="562"/>
    </row>
    <row r="51" spans="3:27" ht="28.5" customHeight="1" x14ac:dyDescent="0.35">
      <c r="D51" s="561" t="s">
        <v>170</v>
      </c>
      <c r="E51" s="561"/>
      <c r="F51" s="561"/>
      <c r="G51" s="561"/>
      <c r="H51" s="561"/>
      <c r="I51" s="561"/>
      <c r="N51" s="77"/>
      <c r="V51" s="562" t="s">
        <v>295</v>
      </c>
      <c r="W51" s="562"/>
      <c r="X51" s="562"/>
      <c r="Y51" s="562"/>
    </row>
    <row r="52" spans="3:27" ht="28.5" customHeight="1" x14ac:dyDescent="0.35">
      <c r="N52" s="77" t="s">
        <v>215</v>
      </c>
    </row>
    <row r="53" spans="3:27" ht="28.5" customHeight="1" thickBot="1" x14ac:dyDescent="0.4"/>
    <row r="54" spans="3:27" ht="38.25" customHeight="1" thickTop="1" thickBot="1" x14ac:dyDescent="0.4">
      <c r="G54" s="589" t="s">
        <v>333</v>
      </c>
      <c r="H54" s="590"/>
      <c r="I54" s="590"/>
      <c r="J54" s="590"/>
      <c r="K54" s="590"/>
      <c r="L54" s="590"/>
      <c r="M54" s="590"/>
      <c r="N54" s="590"/>
      <c r="O54" s="590"/>
      <c r="P54" s="590"/>
      <c r="Q54" s="590"/>
      <c r="R54" s="590"/>
      <c r="S54" s="590"/>
      <c r="T54" s="590"/>
      <c r="U54" s="590"/>
      <c r="V54" s="591"/>
    </row>
    <row r="55" spans="3:27" ht="60.75" customHeight="1" thickTop="1" thickBot="1" x14ac:dyDescent="0.4">
      <c r="G55" s="83"/>
      <c r="H55" s="84" t="s">
        <v>214</v>
      </c>
      <c r="I55" s="592" t="s">
        <v>334</v>
      </c>
      <c r="J55" s="592"/>
      <c r="K55" s="592"/>
      <c r="L55" s="592"/>
      <c r="M55" s="592"/>
      <c r="N55" s="592"/>
      <c r="O55" s="592"/>
      <c r="P55" s="593"/>
      <c r="Q55" s="594" t="s">
        <v>335</v>
      </c>
      <c r="R55" s="595"/>
      <c r="S55" s="595"/>
      <c r="T55" s="595"/>
      <c r="U55" s="595"/>
      <c r="V55" s="596"/>
    </row>
    <row r="56" spans="3:27" ht="38.25" customHeight="1" thickTop="1" thickBot="1" x14ac:dyDescent="0.4">
      <c r="G56" s="85" t="s">
        <v>207</v>
      </c>
      <c r="H56" s="86"/>
      <c r="I56" s="597" t="s">
        <v>186</v>
      </c>
      <c r="J56" s="598"/>
      <c r="K56" s="599" t="s">
        <v>69</v>
      </c>
      <c r="L56" s="598"/>
      <c r="M56" s="599" t="s">
        <v>70</v>
      </c>
      <c r="N56" s="598"/>
      <c r="O56" s="599" t="s">
        <v>20</v>
      </c>
      <c r="P56" s="598"/>
      <c r="Q56" s="599" t="s">
        <v>68</v>
      </c>
      <c r="R56" s="598"/>
      <c r="S56" s="599" t="s">
        <v>69</v>
      </c>
      <c r="T56" s="598"/>
      <c r="U56" s="599" t="s">
        <v>20</v>
      </c>
      <c r="V56" s="600"/>
    </row>
    <row r="57" spans="3:27" ht="38.25" customHeight="1" thickTop="1" thickBot="1" x14ac:dyDescent="0.4">
      <c r="G57" s="601" t="s">
        <v>208</v>
      </c>
      <c r="H57" s="602"/>
      <c r="I57" s="558">
        <f>'مدارس التعليم الاساسية'!HE36</f>
        <v>0</v>
      </c>
      <c r="J57" s="559"/>
      <c r="K57" s="558">
        <f>'مدارس التعليم الاساسية'!HF36</f>
        <v>0</v>
      </c>
      <c r="L57" s="559"/>
      <c r="M57" s="558">
        <f>'مدارس التعليم الاساسية'!HG36</f>
        <v>0</v>
      </c>
      <c r="N57" s="559"/>
      <c r="O57" s="558">
        <f t="shared" ref="O57:O62" si="9">M57+K57+I57</f>
        <v>0</v>
      </c>
      <c r="P57" s="559"/>
      <c r="Q57" s="558" t="e">
        <f>'مدارس التعليم الاساسية'!#REF!</f>
        <v>#REF!</v>
      </c>
      <c r="R57" s="559"/>
      <c r="S57" s="558" t="e">
        <f>'مدارس التعليم الاساسية'!#REF!</f>
        <v>#REF!</v>
      </c>
      <c r="T57" s="559"/>
      <c r="U57" s="558" t="e">
        <f t="shared" ref="U57:U62" si="10">S57+Q57</f>
        <v>#REF!</v>
      </c>
      <c r="V57" s="560"/>
    </row>
    <row r="58" spans="3:27" ht="38.25" customHeight="1" thickTop="1" thickBot="1" x14ac:dyDescent="0.4">
      <c r="G58" s="601" t="s">
        <v>209</v>
      </c>
      <c r="H58" s="602"/>
      <c r="I58" s="558">
        <f>'مدارس التعليم الاساسية'!HH36</f>
        <v>0</v>
      </c>
      <c r="J58" s="559"/>
      <c r="K58" s="558">
        <f>'مدارس التعليم الاساسية'!HI36</f>
        <v>0</v>
      </c>
      <c r="L58" s="559"/>
      <c r="M58" s="558">
        <f>'مدارس التعليم الاساسية'!HJ36</f>
        <v>0</v>
      </c>
      <c r="N58" s="559"/>
      <c r="O58" s="558">
        <f t="shared" si="9"/>
        <v>0</v>
      </c>
      <c r="P58" s="559"/>
      <c r="Q58" s="558" t="e">
        <f>'مدارس التعليم الاساسية'!#REF!</f>
        <v>#REF!</v>
      </c>
      <c r="R58" s="559"/>
      <c r="S58" s="558" t="e">
        <f>'مدارس التعليم الاساسية'!#REF!</f>
        <v>#REF!</v>
      </c>
      <c r="T58" s="559"/>
      <c r="U58" s="558" t="e">
        <f t="shared" si="10"/>
        <v>#REF!</v>
      </c>
      <c r="V58" s="560"/>
    </row>
    <row r="59" spans="3:27" ht="38.25" customHeight="1" thickTop="1" thickBot="1" x14ac:dyDescent="0.4">
      <c r="G59" s="601" t="s">
        <v>210</v>
      </c>
      <c r="H59" s="602"/>
      <c r="I59" s="558">
        <f>'مدارس التعليم الاساسية'!HK36</f>
        <v>0</v>
      </c>
      <c r="J59" s="559"/>
      <c r="K59" s="558">
        <f>'مدارس التعليم الاساسية'!HL36</f>
        <v>0</v>
      </c>
      <c r="L59" s="559"/>
      <c r="M59" s="558">
        <f>'مدارس التعليم الاساسية'!HM36</f>
        <v>0</v>
      </c>
      <c r="N59" s="559"/>
      <c r="O59" s="558">
        <f t="shared" si="9"/>
        <v>0</v>
      </c>
      <c r="P59" s="559"/>
      <c r="Q59" s="558" t="e">
        <f>'مدارس التعليم الاساسية'!#REF!</f>
        <v>#REF!</v>
      </c>
      <c r="R59" s="559"/>
      <c r="S59" s="558" t="e">
        <f>'مدارس التعليم الاساسية'!#REF!</f>
        <v>#REF!</v>
      </c>
      <c r="T59" s="559"/>
      <c r="U59" s="558" t="e">
        <f t="shared" si="10"/>
        <v>#REF!</v>
      </c>
      <c r="V59" s="560"/>
    </row>
    <row r="60" spans="3:27" ht="38.25" customHeight="1" thickTop="1" thickBot="1" x14ac:dyDescent="0.4">
      <c r="G60" s="601" t="s">
        <v>162</v>
      </c>
      <c r="H60" s="602"/>
      <c r="I60" s="558">
        <f>'مدارس التعليم الاساسية'!HN36</f>
        <v>0</v>
      </c>
      <c r="J60" s="559"/>
      <c r="K60" s="558">
        <f>'مدارس التعليم الاساسية'!HO36</f>
        <v>0</v>
      </c>
      <c r="L60" s="559"/>
      <c r="M60" s="558">
        <f>'مدارس التعليم الاساسية'!HP36</f>
        <v>0</v>
      </c>
      <c r="N60" s="559"/>
      <c r="O60" s="558">
        <f t="shared" si="9"/>
        <v>0</v>
      </c>
      <c r="P60" s="559"/>
      <c r="Q60" s="558" t="e">
        <f>'مدارس التعليم الاساسية'!#REF!</f>
        <v>#REF!</v>
      </c>
      <c r="R60" s="559"/>
      <c r="S60" s="558" t="e">
        <f>'مدارس التعليم الاساسية'!#REF!</f>
        <v>#REF!</v>
      </c>
      <c r="T60" s="559"/>
      <c r="U60" s="558" t="e">
        <f t="shared" si="10"/>
        <v>#REF!</v>
      </c>
      <c r="V60" s="560"/>
    </row>
    <row r="61" spans="3:27" ht="38.25" customHeight="1" thickTop="1" thickBot="1" x14ac:dyDescent="0.4">
      <c r="G61" s="601" t="s">
        <v>163</v>
      </c>
      <c r="H61" s="602"/>
      <c r="I61" s="558">
        <f>'مدارس التعليم الاساسية'!HQ36</f>
        <v>0</v>
      </c>
      <c r="J61" s="559"/>
      <c r="K61" s="558">
        <f>'مدارس التعليم الاساسية'!HR36</f>
        <v>0</v>
      </c>
      <c r="L61" s="559"/>
      <c r="M61" s="558">
        <f>'مدارس التعليم الاساسية'!HS36</f>
        <v>0</v>
      </c>
      <c r="N61" s="559"/>
      <c r="O61" s="558">
        <f t="shared" si="9"/>
        <v>0</v>
      </c>
      <c r="P61" s="559"/>
      <c r="Q61" s="558" t="e">
        <f>'مدارس التعليم الاساسية'!#REF!</f>
        <v>#REF!</v>
      </c>
      <c r="R61" s="559"/>
      <c r="S61" s="558" t="e">
        <f>'مدارس التعليم الاساسية'!#REF!</f>
        <v>#REF!</v>
      </c>
      <c r="T61" s="559"/>
      <c r="U61" s="558" t="e">
        <f t="shared" si="10"/>
        <v>#REF!</v>
      </c>
      <c r="V61" s="560"/>
    </row>
    <row r="62" spans="3:27" ht="38.25" customHeight="1" thickTop="1" thickBot="1" x14ac:dyDescent="0.4">
      <c r="G62" s="601" t="s">
        <v>164</v>
      </c>
      <c r="H62" s="602"/>
      <c r="I62" s="558">
        <f>'مدارس التعليم الاساسية'!HT36</f>
        <v>0</v>
      </c>
      <c r="J62" s="559"/>
      <c r="K62" s="558">
        <f>'مدارس التعليم الاساسية'!HU36</f>
        <v>0</v>
      </c>
      <c r="L62" s="559"/>
      <c r="M62" s="558">
        <f>'مدارس التعليم الاساسية'!HV36</f>
        <v>0</v>
      </c>
      <c r="N62" s="559"/>
      <c r="O62" s="558">
        <f t="shared" si="9"/>
        <v>0</v>
      </c>
      <c r="P62" s="559"/>
      <c r="Q62" s="558" t="e">
        <f>'مدارس التعليم الاساسية'!#REF!</f>
        <v>#REF!</v>
      </c>
      <c r="R62" s="559"/>
      <c r="S62" s="558" t="e">
        <f>'مدارس التعليم الاساسية'!#REF!</f>
        <v>#REF!</v>
      </c>
      <c r="T62" s="559"/>
      <c r="U62" s="558" t="e">
        <f t="shared" si="10"/>
        <v>#REF!</v>
      </c>
      <c r="V62" s="560"/>
    </row>
    <row r="63" spans="3:27" ht="38.25" customHeight="1" thickTop="1" thickBot="1" x14ac:dyDescent="0.4">
      <c r="G63" s="601" t="s">
        <v>20</v>
      </c>
      <c r="H63" s="602"/>
      <c r="I63" s="558">
        <f>SUM(I57:J62)</f>
        <v>0</v>
      </c>
      <c r="J63" s="559"/>
      <c r="K63" s="558">
        <f>SUM(K57:L62)</f>
        <v>0</v>
      </c>
      <c r="L63" s="559"/>
      <c r="M63" s="558">
        <f>SUM(M57:N62)</f>
        <v>0</v>
      </c>
      <c r="N63" s="559"/>
      <c r="O63" s="558">
        <f t="shared" ref="O63:U63" si="11">SUM(O57:P62)</f>
        <v>0</v>
      </c>
      <c r="P63" s="559"/>
      <c r="Q63" s="558" t="e">
        <f t="shared" si="11"/>
        <v>#REF!</v>
      </c>
      <c r="R63" s="559"/>
      <c r="S63" s="558" t="e">
        <f t="shared" si="11"/>
        <v>#REF!</v>
      </c>
      <c r="T63" s="559"/>
      <c r="U63" s="558" t="e">
        <f t="shared" si="11"/>
        <v>#REF!</v>
      </c>
      <c r="V63" s="559"/>
    </row>
    <row r="64" spans="3:27" ht="38.25" customHeight="1" thickTop="1" thickBot="1" x14ac:dyDescent="0.4">
      <c r="G64" s="601" t="s">
        <v>211</v>
      </c>
      <c r="H64" s="602"/>
      <c r="I64" s="558">
        <f>'مدارس التعليم الاساسية'!IA36</f>
        <v>0</v>
      </c>
      <c r="J64" s="559"/>
      <c r="K64" s="558">
        <f>'مدارس التعليم الاساسية'!IB36</f>
        <v>0</v>
      </c>
      <c r="L64" s="559"/>
      <c r="M64" s="558">
        <f>'مدارس التعليم الاساسية'!IC36</f>
        <v>0</v>
      </c>
      <c r="N64" s="559"/>
      <c r="O64" s="558">
        <f>M64+K64+I64</f>
        <v>0</v>
      </c>
      <c r="P64" s="559"/>
      <c r="Q64" s="558" t="e">
        <f>'مدارس التعليم الاساسية'!#REF!</f>
        <v>#REF!</v>
      </c>
      <c r="R64" s="559"/>
      <c r="S64" s="558" t="e">
        <f>'مدارس التعليم الاساسية'!#REF!</f>
        <v>#REF!</v>
      </c>
      <c r="T64" s="559"/>
      <c r="U64" s="558" t="e">
        <f>S64+Q64</f>
        <v>#REF!</v>
      </c>
      <c r="V64" s="560"/>
    </row>
    <row r="65" spans="5:25" ht="38.25" customHeight="1" thickTop="1" thickBot="1" x14ac:dyDescent="0.4">
      <c r="G65" s="601" t="s">
        <v>212</v>
      </c>
      <c r="H65" s="602"/>
      <c r="I65" s="558">
        <f>'مدارس التعليم الاساسية'!ID36</f>
        <v>0</v>
      </c>
      <c r="J65" s="559"/>
      <c r="K65" s="558">
        <f>'مدارس التعليم الاساسية'!IE36</f>
        <v>0</v>
      </c>
      <c r="L65" s="559"/>
      <c r="M65" s="558">
        <f>'مدارس التعليم الاساسية'!IF36</f>
        <v>0</v>
      </c>
      <c r="N65" s="559"/>
      <c r="O65" s="558">
        <f>M65+K65+I65</f>
        <v>0</v>
      </c>
      <c r="P65" s="559"/>
      <c r="Q65" s="558" t="e">
        <f>'مدارس التعليم الاساسية'!#REF!</f>
        <v>#REF!</v>
      </c>
      <c r="R65" s="559"/>
      <c r="S65" s="558" t="e">
        <f>'مدارس التعليم الاساسية'!#REF!</f>
        <v>#REF!</v>
      </c>
      <c r="T65" s="559"/>
      <c r="U65" s="558" t="e">
        <f>S65+Q65</f>
        <v>#REF!</v>
      </c>
      <c r="V65" s="560"/>
    </row>
    <row r="66" spans="5:25" ht="38.25" customHeight="1" thickTop="1" thickBot="1" x14ac:dyDescent="0.4">
      <c r="G66" s="601" t="s">
        <v>213</v>
      </c>
      <c r="H66" s="602"/>
      <c r="I66" s="558">
        <f>'مدارس التعليم الاساسية'!IG36</f>
        <v>0</v>
      </c>
      <c r="J66" s="559"/>
      <c r="K66" s="558">
        <f>'مدارس التعليم الاساسية'!IH36</f>
        <v>0</v>
      </c>
      <c r="L66" s="559"/>
      <c r="M66" s="558">
        <f>'مدارس التعليم الاساسية'!II36</f>
        <v>0</v>
      </c>
      <c r="N66" s="559"/>
      <c r="O66" s="558">
        <f>M66+K66+I66</f>
        <v>0</v>
      </c>
      <c r="P66" s="559"/>
      <c r="Q66" s="558" t="e">
        <f>'مدارس التعليم الاساسية'!#REF!</f>
        <v>#REF!</v>
      </c>
      <c r="R66" s="559"/>
      <c r="S66" s="558" t="e">
        <f>'مدارس التعليم الاساسية'!#REF!</f>
        <v>#REF!</v>
      </c>
      <c r="T66" s="559"/>
      <c r="U66" s="558" t="e">
        <f>S66+Q66</f>
        <v>#REF!</v>
      </c>
      <c r="V66" s="560"/>
    </row>
    <row r="67" spans="5:25" ht="38.25" customHeight="1" thickTop="1" thickBot="1" x14ac:dyDescent="0.4">
      <c r="G67" s="615" t="s">
        <v>20</v>
      </c>
      <c r="H67" s="608"/>
      <c r="I67" s="607">
        <f>SUM(I64:I66)</f>
        <v>0</v>
      </c>
      <c r="J67" s="608"/>
      <c r="K67" s="607">
        <f>SUM(K64:K66)</f>
        <v>0</v>
      </c>
      <c r="L67" s="608"/>
      <c r="M67" s="607">
        <f>SUM(M64:M66)</f>
        <v>0</v>
      </c>
      <c r="N67" s="608"/>
      <c r="O67" s="607">
        <f>SUM(O64:O66)</f>
        <v>0</v>
      </c>
      <c r="P67" s="608"/>
      <c r="Q67" s="607" t="e">
        <f>SUM(Q64:Q66)</f>
        <v>#REF!</v>
      </c>
      <c r="R67" s="608"/>
      <c r="S67" s="607" t="e">
        <f>SUM(S64:S66)</f>
        <v>#REF!</v>
      </c>
      <c r="T67" s="608"/>
      <c r="U67" s="607" t="e">
        <f>SUM(U64:U66)</f>
        <v>#REF!</v>
      </c>
      <c r="V67" s="608"/>
    </row>
    <row r="68" spans="5:25" ht="38.25" customHeight="1" thickTop="1" x14ac:dyDescent="0.35"/>
    <row r="69" spans="5:25" ht="22.5" customHeight="1" x14ac:dyDescent="0.35">
      <c r="E69" s="561" t="s">
        <v>0</v>
      </c>
      <c r="F69" s="561"/>
      <c r="G69" s="561"/>
      <c r="H69" s="561"/>
      <c r="I69" s="561"/>
      <c r="J69" s="561"/>
      <c r="V69" s="562" t="s">
        <v>292</v>
      </c>
      <c r="W69" s="562"/>
      <c r="X69" s="562"/>
      <c r="Y69" s="562"/>
    </row>
    <row r="70" spans="5:25" ht="22.5" customHeight="1" x14ac:dyDescent="0.35">
      <c r="E70" s="561" t="s">
        <v>170</v>
      </c>
      <c r="F70" s="561"/>
      <c r="G70" s="561"/>
      <c r="H70" s="561"/>
      <c r="I70" s="561"/>
      <c r="J70" s="561"/>
      <c r="P70" s="77" t="s">
        <v>216</v>
      </c>
      <c r="V70" s="562" t="s">
        <v>295</v>
      </c>
      <c r="W70" s="562"/>
      <c r="X70" s="562"/>
      <c r="Y70" s="562"/>
    </row>
    <row r="71" spans="5:25" ht="22.5" customHeight="1" x14ac:dyDescent="0.35"/>
    <row r="72" spans="5:25" ht="22.5" customHeight="1" x14ac:dyDescent="0.35">
      <c r="I72" s="609" t="s">
        <v>341</v>
      </c>
      <c r="J72" s="609"/>
      <c r="K72" s="609"/>
      <c r="L72" s="609"/>
      <c r="M72" s="609"/>
      <c r="N72" s="609"/>
      <c r="O72" s="609"/>
      <c r="P72" s="609"/>
      <c r="Q72" s="609"/>
      <c r="R72" s="609"/>
      <c r="S72" s="609"/>
      <c r="T72" s="609"/>
      <c r="U72" s="609"/>
      <c r="V72" s="609"/>
      <c r="W72" s="609"/>
      <c r="X72" s="609"/>
      <c r="Y72" s="87"/>
    </row>
    <row r="73" spans="5:25" ht="22.5" customHeight="1" thickBot="1" x14ac:dyDescent="0.4">
      <c r="I73" s="88"/>
      <c r="J73" s="88"/>
      <c r="K73" s="136"/>
      <c r="L73" s="136"/>
      <c r="M73" s="136"/>
      <c r="N73" s="136"/>
      <c r="O73" s="136"/>
      <c r="P73" s="136"/>
      <c r="Q73" s="136"/>
      <c r="R73" s="88"/>
      <c r="S73" s="88"/>
      <c r="T73" s="88"/>
      <c r="U73" s="88"/>
      <c r="V73" s="87"/>
      <c r="W73" s="87"/>
      <c r="X73" s="87"/>
      <c r="Y73" s="87"/>
    </row>
    <row r="74" spans="5:25" ht="74.25" customHeight="1" thickTop="1" thickBot="1" x14ac:dyDescent="0.4">
      <c r="I74" s="589" t="s">
        <v>206</v>
      </c>
      <c r="J74" s="610"/>
      <c r="K74" s="611" t="s">
        <v>220</v>
      </c>
      <c r="L74" s="611"/>
      <c r="M74" s="611"/>
      <c r="N74" s="611"/>
      <c r="O74" s="611"/>
      <c r="P74" s="611"/>
      <c r="Q74" s="612" t="s">
        <v>342</v>
      </c>
      <c r="R74" s="613"/>
      <c r="S74" s="613"/>
      <c r="T74" s="613"/>
      <c r="U74" s="613"/>
      <c r="V74" s="613"/>
      <c r="W74" s="613"/>
      <c r="X74" s="613"/>
      <c r="Y74" s="614"/>
    </row>
    <row r="75" spans="5:25" ht="38.25" customHeight="1" thickTop="1" thickBot="1" x14ac:dyDescent="0.4">
      <c r="I75" s="603"/>
      <c r="J75" s="604"/>
      <c r="K75" s="605" t="s">
        <v>343</v>
      </c>
      <c r="L75" s="605"/>
      <c r="M75" s="605"/>
      <c r="N75" s="605"/>
      <c r="O75" s="605"/>
      <c r="P75" s="605"/>
      <c r="Q75" s="558" t="s">
        <v>217</v>
      </c>
      <c r="R75" s="559"/>
      <c r="S75" s="558" t="s">
        <v>218</v>
      </c>
      <c r="T75" s="559"/>
      <c r="U75" s="558" t="s">
        <v>219</v>
      </c>
      <c r="V75" s="559"/>
      <c r="W75" s="558" t="s">
        <v>20</v>
      </c>
      <c r="X75" s="606"/>
      <c r="Y75" s="560"/>
    </row>
    <row r="76" spans="5:25" ht="38.25" customHeight="1" thickTop="1" thickBot="1" x14ac:dyDescent="0.4">
      <c r="I76" s="618" t="s">
        <v>207</v>
      </c>
      <c r="J76" s="598"/>
      <c r="K76" s="617" t="s">
        <v>68</v>
      </c>
      <c r="L76" s="617"/>
      <c r="M76" s="617" t="s">
        <v>69</v>
      </c>
      <c r="N76" s="617"/>
      <c r="O76" s="617" t="s">
        <v>178</v>
      </c>
      <c r="P76" s="617"/>
      <c r="Q76" s="132" t="s">
        <v>68</v>
      </c>
      <c r="R76" s="132" t="s">
        <v>69</v>
      </c>
      <c r="S76" s="132" t="s">
        <v>68</v>
      </c>
      <c r="T76" s="132" t="s">
        <v>69</v>
      </c>
      <c r="U76" s="132" t="s">
        <v>68</v>
      </c>
      <c r="V76" s="132" t="s">
        <v>69</v>
      </c>
      <c r="W76" s="132" t="s">
        <v>68</v>
      </c>
      <c r="X76" s="132" t="s">
        <v>69</v>
      </c>
      <c r="Y76" s="89" t="s">
        <v>20</v>
      </c>
    </row>
    <row r="77" spans="5:25" ht="38.25" customHeight="1" thickTop="1" thickBot="1" x14ac:dyDescent="0.4">
      <c r="I77" s="616" t="s">
        <v>208</v>
      </c>
      <c r="J77" s="559"/>
      <c r="K77" s="617" t="e">
        <f>'مدارس التعليم الاساسية'!#REF!</f>
        <v>#REF!</v>
      </c>
      <c r="L77" s="617"/>
      <c r="M77" s="617" t="e">
        <f>'مدارس التعليم الاساسية'!#REF!</f>
        <v>#REF!</v>
      </c>
      <c r="N77" s="617"/>
      <c r="O77" s="617" t="e">
        <f t="shared" ref="O77:O82" si="12">M77+K77</f>
        <v>#REF!</v>
      </c>
      <c r="P77" s="617"/>
      <c r="Q77" s="132" t="e">
        <f>'مدارس التعليم الاساسية'!#REF!</f>
        <v>#REF!</v>
      </c>
      <c r="R77" s="132" t="e">
        <f>'مدارس التعليم الاساسية'!#REF!</f>
        <v>#REF!</v>
      </c>
      <c r="S77" s="132" t="e">
        <f>'مدارس التعليم الاساسية'!#REF!</f>
        <v>#REF!</v>
      </c>
      <c r="T77" s="132" t="e">
        <f>'مدارس التعليم الاساسية'!#REF!</f>
        <v>#REF!</v>
      </c>
      <c r="U77" s="132" t="e">
        <f>'مدارس التعليم الاساسية'!#REF!</f>
        <v>#REF!</v>
      </c>
      <c r="V77" s="132" t="e">
        <f>'مدارس التعليم الاساسية'!#REF!</f>
        <v>#REF!</v>
      </c>
      <c r="W77" s="132" t="e">
        <f t="shared" ref="W77:X82" si="13">U77+S77+Q77</f>
        <v>#REF!</v>
      </c>
      <c r="X77" s="132" t="e">
        <f t="shared" si="13"/>
        <v>#REF!</v>
      </c>
      <c r="Y77" s="89" t="e">
        <f t="shared" ref="Y77:Y82" si="14">SUM(W77:X77)</f>
        <v>#REF!</v>
      </c>
    </row>
    <row r="78" spans="5:25" ht="38.25" customHeight="1" thickTop="1" thickBot="1" x14ac:dyDescent="0.4">
      <c r="I78" s="616" t="s">
        <v>209</v>
      </c>
      <c r="J78" s="559"/>
      <c r="K78" s="617" t="e">
        <f>'مدارس التعليم الاساسية'!#REF!</f>
        <v>#REF!</v>
      </c>
      <c r="L78" s="617"/>
      <c r="M78" s="617" t="e">
        <f>'مدارس التعليم الاساسية'!#REF!</f>
        <v>#REF!</v>
      </c>
      <c r="N78" s="617"/>
      <c r="O78" s="617" t="e">
        <f t="shared" si="12"/>
        <v>#REF!</v>
      </c>
      <c r="P78" s="617"/>
      <c r="Q78" s="132" t="e">
        <f>'مدارس التعليم الاساسية'!#REF!</f>
        <v>#REF!</v>
      </c>
      <c r="R78" s="132" t="e">
        <f>'مدارس التعليم الاساسية'!#REF!</f>
        <v>#REF!</v>
      </c>
      <c r="S78" s="132" t="e">
        <f>'مدارس التعليم الاساسية'!#REF!</f>
        <v>#REF!</v>
      </c>
      <c r="T78" s="132" t="e">
        <f>'مدارس التعليم الاساسية'!#REF!</f>
        <v>#REF!</v>
      </c>
      <c r="U78" s="132" t="e">
        <f>'مدارس التعليم الاساسية'!#REF!</f>
        <v>#REF!</v>
      </c>
      <c r="V78" s="132" t="e">
        <f>'مدارس التعليم الاساسية'!#REF!</f>
        <v>#REF!</v>
      </c>
      <c r="W78" s="132" t="e">
        <f t="shared" si="13"/>
        <v>#REF!</v>
      </c>
      <c r="X78" s="132" t="e">
        <f t="shared" si="13"/>
        <v>#REF!</v>
      </c>
      <c r="Y78" s="89" t="e">
        <f t="shared" si="14"/>
        <v>#REF!</v>
      </c>
    </row>
    <row r="79" spans="5:25" ht="38.25" customHeight="1" thickTop="1" thickBot="1" x14ac:dyDescent="0.4">
      <c r="I79" s="616" t="s">
        <v>210</v>
      </c>
      <c r="J79" s="559"/>
      <c r="K79" s="617" t="e">
        <f>'مدارس التعليم الاساسية'!#REF!</f>
        <v>#REF!</v>
      </c>
      <c r="L79" s="617"/>
      <c r="M79" s="617" t="e">
        <f>'مدارس التعليم الاساسية'!#REF!</f>
        <v>#REF!</v>
      </c>
      <c r="N79" s="617"/>
      <c r="O79" s="617" t="e">
        <f t="shared" si="12"/>
        <v>#REF!</v>
      </c>
      <c r="P79" s="617"/>
      <c r="Q79" s="132" t="e">
        <f>'مدارس التعليم الاساسية'!#REF!</f>
        <v>#REF!</v>
      </c>
      <c r="R79" s="132" t="e">
        <f>'مدارس التعليم الاساسية'!#REF!</f>
        <v>#REF!</v>
      </c>
      <c r="S79" s="132" t="e">
        <f>'مدارس التعليم الاساسية'!#REF!</f>
        <v>#REF!</v>
      </c>
      <c r="T79" s="132" t="e">
        <f>'مدارس التعليم الاساسية'!#REF!</f>
        <v>#REF!</v>
      </c>
      <c r="U79" s="132" t="e">
        <f>'مدارس التعليم الاساسية'!#REF!</f>
        <v>#REF!</v>
      </c>
      <c r="V79" s="132" t="e">
        <f>'مدارس التعليم الاساسية'!#REF!</f>
        <v>#REF!</v>
      </c>
      <c r="W79" s="132" t="e">
        <f t="shared" si="13"/>
        <v>#REF!</v>
      </c>
      <c r="X79" s="132" t="e">
        <f t="shared" si="13"/>
        <v>#REF!</v>
      </c>
      <c r="Y79" s="89" t="e">
        <f t="shared" si="14"/>
        <v>#REF!</v>
      </c>
    </row>
    <row r="80" spans="5:25" ht="38.25" customHeight="1" thickTop="1" thickBot="1" x14ac:dyDescent="0.4">
      <c r="I80" s="616" t="s">
        <v>162</v>
      </c>
      <c r="J80" s="559"/>
      <c r="K80" s="617" t="e">
        <f>'مدارس التعليم الاساسية'!#REF!</f>
        <v>#REF!</v>
      </c>
      <c r="L80" s="617"/>
      <c r="M80" s="617" t="e">
        <f>'مدارس التعليم الاساسية'!#REF!</f>
        <v>#REF!</v>
      </c>
      <c r="N80" s="617"/>
      <c r="O80" s="617" t="e">
        <f t="shared" si="12"/>
        <v>#REF!</v>
      </c>
      <c r="P80" s="617"/>
      <c r="Q80" s="132" t="e">
        <f>'مدارس التعليم الاساسية'!#REF!</f>
        <v>#REF!</v>
      </c>
      <c r="R80" s="132" t="e">
        <f>'مدارس التعليم الاساسية'!#REF!</f>
        <v>#REF!</v>
      </c>
      <c r="S80" s="132" t="e">
        <f>'مدارس التعليم الاساسية'!#REF!</f>
        <v>#REF!</v>
      </c>
      <c r="T80" s="132" t="e">
        <f>'مدارس التعليم الاساسية'!#REF!</f>
        <v>#REF!</v>
      </c>
      <c r="U80" s="132" t="e">
        <f>'مدارس التعليم الاساسية'!#REF!</f>
        <v>#REF!</v>
      </c>
      <c r="V80" s="132" t="e">
        <f>'مدارس التعليم الاساسية'!#REF!</f>
        <v>#REF!</v>
      </c>
      <c r="W80" s="132" t="e">
        <f t="shared" si="13"/>
        <v>#REF!</v>
      </c>
      <c r="X80" s="132" t="e">
        <f t="shared" si="13"/>
        <v>#REF!</v>
      </c>
      <c r="Y80" s="89" t="e">
        <f t="shared" si="14"/>
        <v>#REF!</v>
      </c>
    </row>
    <row r="81" spans="4:26" ht="38.25" customHeight="1" thickTop="1" thickBot="1" x14ac:dyDescent="0.4">
      <c r="I81" s="616" t="s">
        <v>163</v>
      </c>
      <c r="J81" s="559"/>
      <c r="K81" s="617" t="e">
        <f>'مدارس التعليم الاساسية'!#REF!</f>
        <v>#REF!</v>
      </c>
      <c r="L81" s="617"/>
      <c r="M81" s="617" t="e">
        <f>'مدارس التعليم الاساسية'!#REF!</f>
        <v>#REF!</v>
      </c>
      <c r="N81" s="617"/>
      <c r="O81" s="617" t="e">
        <f t="shared" si="12"/>
        <v>#REF!</v>
      </c>
      <c r="P81" s="617"/>
      <c r="Q81" s="132" t="e">
        <f>'مدارس التعليم الاساسية'!#REF!</f>
        <v>#REF!</v>
      </c>
      <c r="R81" s="132" t="e">
        <f>'مدارس التعليم الاساسية'!#REF!</f>
        <v>#REF!</v>
      </c>
      <c r="S81" s="132" t="e">
        <f>'مدارس التعليم الاساسية'!#REF!</f>
        <v>#REF!</v>
      </c>
      <c r="T81" s="132" t="e">
        <f>'مدارس التعليم الاساسية'!#REF!</f>
        <v>#REF!</v>
      </c>
      <c r="U81" s="132" t="e">
        <f>'مدارس التعليم الاساسية'!#REF!</f>
        <v>#REF!</v>
      </c>
      <c r="V81" s="132" t="e">
        <f>'مدارس التعليم الاساسية'!#REF!</f>
        <v>#REF!</v>
      </c>
      <c r="W81" s="132" t="e">
        <f t="shared" si="13"/>
        <v>#REF!</v>
      </c>
      <c r="X81" s="132" t="e">
        <f t="shared" si="13"/>
        <v>#REF!</v>
      </c>
      <c r="Y81" s="89" t="e">
        <f t="shared" si="14"/>
        <v>#REF!</v>
      </c>
    </row>
    <row r="82" spans="4:26" ht="38.25" customHeight="1" thickTop="1" thickBot="1" x14ac:dyDescent="0.4">
      <c r="I82" s="616" t="s">
        <v>194</v>
      </c>
      <c r="J82" s="559"/>
      <c r="K82" s="617" t="e">
        <f>'مدارس التعليم الاساسية'!#REF!</f>
        <v>#REF!</v>
      </c>
      <c r="L82" s="617"/>
      <c r="M82" s="617" t="e">
        <f>'مدارس التعليم الاساسية'!#REF!</f>
        <v>#REF!</v>
      </c>
      <c r="N82" s="617"/>
      <c r="O82" s="617" t="e">
        <f t="shared" si="12"/>
        <v>#REF!</v>
      </c>
      <c r="P82" s="617"/>
      <c r="Q82" s="132" t="e">
        <f>'مدارس التعليم الاساسية'!#REF!</f>
        <v>#REF!</v>
      </c>
      <c r="R82" s="132" t="e">
        <f>'مدارس التعليم الاساسية'!#REF!</f>
        <v>#REF!</v>
      </c>
      <c r="S82" s="132" t="e">
        <f>'مدارس التعليم الاساسية'!#REF!</f>
        <v>#REF!</v>
      </c>
      <c r="T82" s="132" t="e">
        <f>'مدارس التعليم الاساسية'!#REF!</f>
        <v>#REF!</v>
      </c>
      <c r="U82" s="132" t="e">
        <f>'مدارس التعليم الاساسية'!#REF!</f>
        <v>#REF!</v>
      </c>
      <c r="V82" s="132" t="e">
        <f>'مدارس التعليم الاساسية'!#REF!</f>
        <v>#REF!</v>
      </c>
      <c r="W82" s="132" t="e">
        <f t="shared" si="13"/>
        <v>#REF!</v>
      </c>
      <c r="X82" s="132" t="e">
        <f t="shared" si="13"/>
        <v>#REF!</v>
      </c>
      <c r="Y82" s="89" t="e">
        <f t="shared" si="14"/>
        <v>#REF!</v>
      </c>
    </row>
    <row r="83" spans="4:26" ht="38.25" customHeight="1" thickTop="1" thickBot="1" x14ac:dyDescent="0.4">
      <c r="I83" s="619" t="s">
        <v>20</v>
      </c>
      <c r="J83" s="620"/>
      <c r="K83" s="621" t="e">
        <f>SUM(K77:L82)</f>
        <v>#REF!</v>
      </c>
      <c r="L83" s="621"/>
      <c r="M83" s="621" t="e">
        <f>SUM(M77:N82)</f>
        <v>#REF!</v>
      </c>
      <c r="N83" s="621"/>
      <c r="O83" s="621" t="e">
        <f>SUM(O77:P82)</f>
        <v>#REF!</v>
      </c>
      <c r="P83" s="621"/>
      <c r="Q83" s="135" t="e">
        <f t="shared" ref="Q83:Y83" si="15">SUM(Q77:Q82)</f>
        <v>#REF!</v>
      </c>
      <c r="R83" s="135" t="e">
        <f t="shared" si="15"/>
        <v>#REF!</v>
      </c>
      <c r="S83" s="135" t="e">
        <f t="shared" si="15"/>
        <v>#REF!</v>
      </c>
      <c r="T83" s="135" t="e">
        <f t="shared" si="15"/>
        <v>#REF!</v>
      </c>
      <c r="U83" s="135" t="e">
        <f t="shared" si="15"/>
        <v>#REF!</v>
      </c>
      <c r="V83" s="135" t="e">
        <f t="shared" si="15"/>
        <v>#REF!</v>
      </c>
      <c r="W83" s="135" t="e">
        <f t="shared" si="15"/>
        <v>#REF!</v>
      </c>
      <c r="X83" s="135" t="e">
        <f t="shared" si="15"/>
        <v>#REF!</v>
      </c>
      <c r="Y83" s="135" t="e">
        <f t="shared" si="15"/>
        <v>#REF!</v>
      </c>
    </row>
    <row r="84" spans="4:26" ht="38.25" customHeight="1" thickTop="1" thickBot="1" x14ac:dyDescent="0.4">
      <c r="I84" s="601" t="s">
        <v>211</v>
      </c>
      <c r="J84" s="602"/>
      <c r="K84" s="623" t="e">
        <f>'مدارس التعليم الاساسية'!#REF!</f>
        <v>#REF!</v>
      </c>
      <c r="L84" s="623"/>
      <c r="M84" s="623" t="e">
        <f>'مدارس التعليم الاساسية'!#REF!</f>
        <v>#REF!</v>
      </c>
      <c r="N84" s="623"/>
      <c r="O84" s="623" t="e">
        <f>M84+K84</f>
        <v>#REF!</v>
      </c>
      <c r="P84" s="623"/>
      <c r="Q84" s="134" t="e">
        <f>'مدارس التعليم الاساسية'!#REF!</f>
        <v>#REF!</v>
      </c>
      <c r="R84" s="134" t="e">
        <f>'مدارس التعليم الاساسية'!#REF!</f>
        <v>#REF!</v>
      </c>
      <c r="S84" s="134" t="e">
        <f>'مدارس التعليم الاساسية'!#REF!</f>
        <v>#REF!</v>
      </c>
      <c r="T84" s="134" t="e">
        <f>'مدارس التعليم الاساسية'!#REF!</f>
        <v>#REF!</v>
      </c>
      <c r="U84" s="134" t="e">
        <f>'مدارس التعليم الاساسية'!#REF!</f>
        <v>#REF!</v>
      </c>
      <c r="V84" s="134" t="e">
        <f>'مدارس التعليم الاساسية'!#REF!</f>
        <v>#REF!</v>
      </c>
      <c r="W84" s="134" t="e">
        <f t="shared" ref="W84:X87" si="16">U84+S84+Q84</f>
        <v>#REF!</v>
      </c>
      <c r="X84" s="134" t="e">
        <f t="shared" si="16"/>
        <v>#REF!</v>
      </c>
      <c r="Y84" s="90" t="e">
        <f>SUM(W84:X84)</f>
        <v>#REF!</v>
      </c>
    </row>
    <row r="85" spans="4:26" ht="38.25" customHeight="1" thickTop="1" thickBot="1" x14ac:dyDescent="0.4">
      <c r="I85" s="616" t="s">
        <v>212</v>
      </c>
      <c r="J85" s="559"/>
      <c r="K85" s="617" t="e">
        <f>'مدارس التعليم الاساسية'!#REF!</f>
        <v>#REF!</v>
      </c>
      <c r="L85" s="617"/>
      <c r="M85" s="617" t="e">
        <f>'مدارس التعليم الاساسية'!#REF!</f>
        <v>#REF!</v>
      </c>
      <c r="N85" s="617"/>
      <c r="O85" s="617" t="e">
        <f>M85+K85</f>
        <v>#REF!</v>
      </c>
      <c r="P85" s="617"/>
      <c r="Q85" s="132" t="e">
        <f>'مدارس التعليم الاساسية'!#REF!</f>
        <v>#REF!</v>
      </c>
      <c r="R85" s="132" t="e">
        <f>'مدارس التعليم الاساسية'!#REF!</f>
        <v>#REF!</v>
      </c>
      <c r="S85" s="132" t="e">
        <f>'مدارس التعليم الاساسية'!#REF!</f>
        <v>#REF!</v>
      </c>
      <c r="T85" s="132" t="e">
        <f>'مدارس التعليم الاساسية'!#REF!</f>
        <v>#REF!</v>
      </c>
      <c r="U85" s="132" t="e">
        <f>'مدارس التعليم الاساسية'!#REF!</f>
        <v>#REF!</v>
      </c>
      <c r="V85" s="132" t="e">
        <f>'مدارس التعليم الاساسية'!#REF!</f>
        <v>#REF!</v>
      </c>
      <c r="W85" s="132" t="e">
        <f t="shared" si="16"/>
        <v>#REF!</v>
      </c>
      <c r="X85" s="132" t="e">
        <f t="shared" si="16"/>
        <v>#REF!</v>
      </c>
      <c r="Y85" s="89" t="e">
        <f>SUM(W85:X85)</f>
        <v>#REF!</v>
      </c>
    </row>
    <row r="86" spans="4:26" ht="38.25" customHeight="1" thickTop="1" thickBot="1" x14ac:dyDescent="0.4">
      <c r="I86" s="616" t="s">
        <v>213</v>
      </c>
      <c r="J86" s="559"/>
      <c r="K86" s="617"/>
      <c r="L86" s="617"/>
      <c r="M86" s="617"/>
      <c r="N86" s="617"/>
      <c r="O86" s="617">
        <f>M86+K86</f>
        <v>0</v>
      </c>
      <c r="P86" s="617"/>
      <c r="Q86" s="132" t="e">
        <f>'مدارس التعليم الاساسية'!#REF!</f>
        <v>#REF!</v>
      </c>
      <c r="R86" s="132" t="e">
        <f>'مدارس التعليم الاساسية'!#REF!</f>
        <v>#REF!</v>
      </c>
      <c r="S86" s="132" t="e">
        <f>'مدارس التعليم الاساسية'!#REF!</f>
        <v>#REF!</v>
      </c>
      <c r="T86" s="132" t="e">
        <f>'مدارس التعليم الاساسية'!#REF!</f>
        <v>#REF!</v>
      </c>
      <c r="U86" s="132" t="e">
        <f>'مدارس التعليم الاساسية'!#REF!</f>
        <v>#REF!</v>
      </c>
      <c r="V86" s="132" t="e">
        <f>'مدارس التعليم الاساسية'!#REF!</f>
        <v>#REF!</v>
      </c>
      <c r="W86" s="132" t="e">
        <f t="shared" si="16"/>
        <v>#REF!</v>
      </c>
      <c r="X86" s="132" t="e">
        <f t="shared" si="16"/>
        <v>#REF!</v>
      </c>
      <c r="Y86" s="89" t="e">
        <f>SUM(W86:X86)</f>
        <v>#REF!</v>
      </c>
    </row>
    <row r="87" spans="4:26" ht="38.25" customHeight="1" thickTop="1" thickBot="1" x14ac:dyDescent="0.4">
      <c r="I87" s="615" t="s">
        <v>20</v>
      </c>
      <c r="J87" s="608"/>
      <c r="K87" s="622" t="e">
        <f>SUM(K84:L86)</f>
        <v>#REF!</v>
      </c>
      <c r="L87" s="622"/>
      <c r="M87" s="622" t="e">
        <f>SUM(M84:N86)</f>
        <v>#REF!</v>
      </c>
      <c r="N87" s="622"/>
      <c r="O87" s="622" t="e">
        <f>SUM(O84:P86)</f>
        <v>#REF!</v>
      </c>
      <c r="P87" s="622"/>
      <c r="Q87" s="133" t="e">
        <f t="shared" ref="Q87:V87" si="17">SUM(Q84:Q86)</f>
        <v>#REF!</v>
      </c>
      <c r="R87" s="133" t="e">
        <f t="shared" si="17"/>
        <v>#REF!</v>
      </c>
      <c r="S87" s="133" t="e">
        <f t="shared" si="17"/>
        <v>#REF!</v>
      </c>
      <c r="T87" s="133" t="e">
        <f t="shared" si="17"/>
        <v>#REF!</v>
      </c>
      <c r="U87" s="133" t="e">
        <f t="shared" si="17"/>
        <v>#REF!</v>
      </c>
      <c r="V87" s="133" t="e">
        <f t="shared" si="17"/>
        <v>#REF!</v>
      </c>
      <c r="W87" s="133" t="e">
        <f t="shared" si="16"/>
        <v>#REF!</v>
      </c>
      <c r="X87" s="133" t="e">
        <f t="shared" si="16"/>
        <v>#REF!</v>
      </c>
      <c r="Y87" s="142" t="e">
        <f>SUM(W87:X87)</f>
        <v>#REF!</v>
      </c>
    </row>
    <row r="88" spans="4:26" ht="38.25" customHeight="1" thickTop="1" x14ac:dyDescent="0.35">
      <c r="Q88" s="77" t="s">
        <v>223</v>
      </c>
    </row>
    <row r="89" spans="4:26" ht="38.25" customHeight="1" x14ac:dyDescent="0.35">
      <c r="N89" s="131" t="s">
        <v>336</v>
      </c>
    </row>
    <row r="90" spans="4:26" ht="38.25" customHeight="1" thickBot="1" x14ac:dyDescent="0.4"/>
    <row r="91" spans="4:26" ht="38.25" customHeight="1" thickTop="1" thickBot="1" x14ac:dyDescent="0.4">
      <c r="I91" s="558" t="s">
        <v>55</v>
      </c>
      <c r="J91" s="559"/>
      <c r="K91" s="558" t="s">
        <v>221</v>
      </c>
      <c r="L91" s="559"/>
      <c r="M91" s="558" t="s">
        <v>57</v>
      </c>
      <c r="N91" s="559"/>
      <c r="O91" s="558" t="s">
        <v>58</v>
      </c>
      <c r="P91" s="559"/>
      <c r="Q91" s="558" t="s">
        <v>224</v>
      </c>
      <c r="R91" s="559"/>
      <c r="S91" s="558" t="s">
        <v>60</v>
      </c>
      <c r="T91" s="559"/>
      <c r="U91" s="558" t="s">
        <v>222</v>
      </c>
      <c r="V91" s="559"/>
      <c r="W91" s="558" t="s">
        <v>62</v>
      </c>
      <c r="X91" s="560"/>
      <c r="Y91" s="558" t="s">
        <v>20</v>
      </c>
      <c r="Z91" s="560"/>
    </row>
    <row r="92" spans="4:26" ht="38.25" customHeight="1" thickTop="1" thickBot="1" x14ac:dyDescent="0.4">
      <c r="I92" s="607">
        <v>0</v>
      </c>
      <c r="J92" s="608"/>
      <c r="K92" s="607">
        <v>0</v>
      </c>
      <c r="L92" s="608"/>
      <c r="M92" s="607">
        <v>0</v>
      </c>
      <c r="N92" s="608"/>
      <c r="O92" s="607">
        <v>0</v>
      </c>
      <c r="P92" s="608"/>
      <c r="Q92" s="607">
        <v>0</v>
      </c>
      <c r="R92" s="608"/>
      <c r="S92" s="607">
        <v>0</v>
      </c>
      <c r="T92" s="608"/>
      <c r="U92" s="607">
        <v>0</v>
      </c>
      <c r="V92" s="608"/>
      <c r="W92" s="607">
        <v>0</v>
      </c>
      <c r="X92" s="608"/>
      <c r="Y92" s="558">
        <v>0</v>
      </c>
      <c r="Z92" s="560"/>
    </row>
    <row r="93" spans="4:26" ht="38.25" customHeight="1" thickTop="1" x14ac:dyDescent="0.35"/>
    <row r="94" spans="4:26" ht="27" customHeight="1" x14ac:dyDescent="0.35">
      <c r="D94" s="561" t="s">
        <v>0</v>
      </c>
      <c r="E94" s="561"/>
      <c r="F94" s="561"/>
      <c r="G94" s="561"/>
      <c r="H94" s="561"/>
      <c r="I94" s="561"/>
      <c r="M94" s="77" t="s">
        <v>225</v>
      </c>
      <c r="N94" s="77"/>
      <c r="O94" s="77"/>
      <c r="P94" s="77"/>
      <c r="Q94" s="77"/>
      <c r="V94" s="562" t="s">
        <v>292</v>
      </c>
      <c r="W94" s="562"/>
      <c r="X94" s="562"/>
      <c r="Y94" s="562"/>
    </row>
    <row r="95" spans="4:26" ht="27" customHeight="1" x14ac:dyDescent="0.35">
      <c r="D95" s="561" t="s">
        <v>170</v>
      </c>
      <c r="E95" s="561"/>
      <c r="F95" s="561"/>
      <c r="G95" s="561"/>
      <c r="H95" s="561"/>
      <c r="I95" s="561"/>
      <c r="M95" s="77"/>
      <c r="N95" s="77"/>
      <c r="O95" s="77"/>
      <c r="P95" s="77"/>
      <c r="Q95" s="77"/>
      <c r="V95" s="562" t="s">
        <v>295</v>
      </c>
      <c r="W95" s="562"/>
      <c r="X95" s="562"/>
      <c r="Y95" s="562"/>
    </row>
    <row r="96" spans="4:26" ht="33" customHeight="1" thickBot="1" x14ac:dyDescent="0.4">
      <c r="D96" s="561"/>
      <c r="E96" s="561"/>
      <c r="F96" s="561"/>
      <c r="G96" s="561"/>
      <c r="H96" s="561"/>
      <c r="I96" s="561"/>
      <c r="K96" s="624" t="s">
        <v>337</v>
      </c>
      <c r="L96" s="624"/>
      <c r="M96" s="624"/>
      <c r="N96" s="624"/>
      <c r="O96" s="624"/>
      <c r="P96" s="624"/>
      <c r="Q96" s="624"/>
      <c r="R96" s="624"/>
      <c r="S96" s="624"/>
      <c r="T96" s="624"/>
      <c r="U96" s="624"/>
      <c r="V96" s="624"/>
      <c r="W96" s="624"/>
      <c r="X96" s="624"/>
      <c r="Y96" s="624"/>
      <c r="Z96" s="624"/>
    </row>
    <row r="97" spans="3:26" ht="38.25" customHeight="1" thickTop="1" thickBot="1" x14ac:dyDescent="0.4">
      <c r="G97" s="625" t="s">
        <v>226</v>
      </c>
      <c r="H97" s="625"/>
      <c r="I97" s="625"/>
      <c r="J97" s="625"/>
      <c r="K97" s="625"/>
      <c r="L97" s="625"/>
      <c r="M97" s="625"/>
      <c r="N97" s="625"/>
      <c r="O97" s="625"/>
      <c r="P97" s="625"/>
      <c r="Q97" s="625"/>
      <c r="R97" s="625"/>
      <c r="S97" s="625"/>
      <c r="T97" s="625"/>
    </row>
    <row r="98" spans="3:26" ht="38.25" customHeight="1" thickTop="1" thickBot="1" x14ac:dyDescent="0.4">
      <c r="G98" s="625" t="s">
        <v>214</v>
      </c>
      <c r="H98" s="625"/>
      <c r="I98" s="625" t="s">
        <v>40</v>
      </c>
      <c r="J98" s="625"/>
      <c r="K98" s="625" t="s">
        <v>41</v>
      </c>
      <c r="L98" s="625"/>
      <c r="M98" s="625" t="s">
        <v>166</v>
      </c>
      <c r="N98" s="625"/>
      <c r="O98" s="625" t="s">
        <v>42</v>
      </c>
      <c r="P98" s="625"/>
      <c r="Q98" s="625" t="s">
        <v>227</v>
      </c>
      <c r="R98" s="625"/>
      <c r="S98" s="625" t="s">
        <v>20</v>
      </c>
      <c r="T98" s="625"/>
    </row>
    <row r="99" spans="3:26" ht="38.25" customHeight="1" thickTop="1" thickBot="1" x14ac:dyDescent="0.4">
      <c r="G99" s="625" t="s">
        <v>84</v>
      </c>
      <c r="H99" s="625"/>
      <c r="I99" s="625">
        <f>'مدارس التعليم الاساسية'!JP36</f>
        <v>0</v>
      </c>
      <c r="J99" s="625"/>
      <c r="K99" s="625">
        <f>'مدارس التعليم الاساسية'!JR36</f>
        <v>0</v>
      </c>
      <c r="L99" s="625"/>
      <c r="M99" s="625">
        <f>'مدارس التعليم الاساسية'!JV36</f>
        <v>0</v>
      </c>
      <c r="N99" s="625"/>
      <c r="O99" s="625">
        <f>'مدارس التعليم الاساسية'!JT36</f>
        <v>0</v>
      </c>
      <c r="P99" s="625"/>
      <c r="Q99" s="625">
        <f>'مدارس التعليم الاساسية'!JX36</f>
        <v>0</v>
      </c>
      <c r="R99" s="625"/>
      <c r="S99" s="625">
        <f>Q99+O99+M99+K99+I99</f>
        <v>0</v>
      </c>
      <c r="T99" s="625"/>
    </row>
    <row r="100" spans="3:26" ht="38.25" customHeight="1" thickTop="1" thickBot="1" x14ac:dyDescent="0.4">
      <c r="G100" s="625" t="s">
        <v>85</v>
      </c>
      <c r="H100" s="625"/>
      <c r="I100" s="625">
        <f>'مدارس التعليم الاساسية'!JQ36</f>
        <v>0</v>
      </c>
      <c r="J100" s="625"/>
      <c r="K100" s="625">
        <f>'مدارس التعليم الاساسية'!JS36</f>
        <v>0</v>
      </c>
      <c r="L100" s="625"/>
      <c r="M100" s="625">
        <f>'مدارس التعليم الاساسية'!JW36</f>
        <v>0</v>
      </c>
      <c r="N100" s="625"/>
      <c r="O100" s="625">
        <f>'مدارس التعليم الاساسية'!JU36</f>
        <v>0</v>
      </c>
      <c r="P100" s="625"/>
      <c r="Q100" s="625">
        <f>'مدارس التعليم الاساسية'!JY36</f>
        <v>0</v>
      </c>
      <c r="R100" s="625"/>
      <c r="S100" s="625">
        <f>Q100+O100+M100+K100+I100</f>
        <v>0</v>
      </c>
      <c r="T100" s="625"/>
    </row>
    <row r="101" spans="3:26" ht="38.25" customHeight="1" thickTop="1" thickBot="1" x14ac:dyDescent="0.4">
      <c r="G101" s="625" t="s">
        <v>20</v>
      </c>
      <c r="H101" s="625"/>
      <c r="I101" s="625">
        <f>SUM(I99:J100)</f>
        <v>0</v>
      </c>
      <c r="J101" s="625"/>
      <c r="K101" s="625">
        <f>SUM(K99:L100)</f>
        <v>0</v>
      </c>
      <c r="L101" s="625"/>
      <c r="M101" s="625">
        <f>SUM(M99:N100)</f>
        <v>0</v>
      </c>
      <c r="N101" s="625"/>
      <c r="O101" s="625">
        <f>SUM(O99:P100)</f>
        <v>0</v>
      </c>
      <c r="P101" s="625"/>
      <c r="Q101" s="625">
        <f>SUM(Q99:R100)</f>
        <v>0</v>
      </c>
      <c r="R101" s="625"/>
      <c r="S101" s="625">
        <f>SUM(S99:T100)</f>
        <v>0</v>
      </c>
      <c r="T101" s="625"/>
    </row>
    <row r="102" spans="3:26" ht="26.25" customHeight="1" thickTop="1" x14ac:dyDescent="0.35">
      <c r="G102" s="91"/>
      <c r="H102" s="91"/>
      <c r="I102" s="91"/>
      <c r="J102" s="91"/>
      <c r="K102" s="91"/>
      <c r="L102" s="77" t="s">
        <v>258</v>
      </c>
      <c r="M102" s="91"/>
      <c r="N102" s="91"/>
      <c r="O102" s="91"/>
      <c r="P102" s="91"/>
      <c r="Q102" s="91"/>
      <c r="R102" s="91"/>
      <c r="S102" s="91"/>
      <c r="T102" s="91"/>
    </row>
    <row r="103" spans="3:26" ht="17.25" customHeight="1" thickBot="1" x14ac:dyDescent="0.4"/>
    <row r="104" spans="3:26" ht="38.25" customHeight="1" thickTop="1" thickBot="1" x14ac:dyDescent="0.4">
      <c r="E104" s="632" t="s">
        <v>214</v>
      </c>
      <c r="F104" s="635" t="s">
        <v>241</v>
      </c>
      <c r="G104" s="636"/>
      <c r="H104" s="636"/>
      <c r="I104" s="636"/>
      <c r="J104" s="636"/>
      <c r="K104" s="636"/>
      <c r="L104" s="636"/>
      <c r="M104" s="636"/>
      <c r="N104" s="636"/>
      <c r="O104" s="636"/>
      <c r="P104" s="637"/>
      <c r="R104" s="632" t="s">
        <v>214</v>
      </c>
      <c r="S104" s="635" t="s">
        <v>242</v>
      </c>
      <c r="T104" s="636"/>
      <c r="U104" s="636"/>
      <c r="V104" s="636"/>
      <c r="W104" s="636"/>
      <c r="X104" s="636"/>
      <c r="Y104" s="636"/>
      <c r="Z104" s="637"/>
    </row>
    <row r="105" spans="3:26" ht="38.25" customHeight="1" thickTop="1" thickBot="1" x14ac:dyDescent="0.4">
      <c r="E105" s="633"/>
      <c r="F105" s="629" t="s">
        <v>236</v>
      </c>
      <c r="G105" s="629" t="s">
        <v>169</v>
      </c>
      <c r="H105" s="629" t="s">
        <v>168</v>
      </c>
      <c r="I105" s="630" t="s">
        <v>228</v>
      </c>
      <c r="J105" s="634" t="s">
        <v>229</v>
      </c>
      <c r="K105" s="634"/>
      <c r="L105" s="634" t="s">
        <v>230</v>
      </c>
      <c r="M105" s="634"/>
      <c r="N105" s="634"/>
      <c r="O105" s="634"/>
      <c r="P105" s="634" t="s">
        <v>20</v>
      </c>
      <c r="R105" s="633"/>
      <c r="S105" s="634" t="s">
        <v>239</v>
      </c>
      <c r="T105" s="634"/>
      <c r="U105" s="634" t="s">
        <v>240</v>
      </c>
      <c r="V105" s="634"/>
      <c r="W105" s="634"/>
      <c r="X105" s="634"/>
      <c r="Y105" s="665" t="s">
        <v>20</v>
      </c>
      <c r="Z105" s="665"/>
    </row>
    <row r="106" spans="3:26" ht="38.25" customHeight="1" thickTop="1" thickBot="1" x14ac:dyDescent="0.4">
      <c r="E106" s="633"/>
      <c r="F106" s="629"/>
      <c r="G106" s="629"/>
      <c r="H106" s="629"/>
      <c r="I106" s="631"/>
      <c r="J106" s="129" t="s">
        <v>232</v>
      </c>
      <c r="K106" s="129" t="s">
        <v>233</v>
      </c>
      <c r="L106" s="129" t="s">
        <v>45</v>
      </c>
      <c r="M106" s="129" t="s">
        <v>46</v>
      </c>
      <c r="N106" s="129" t="s">
        <v>47</v>
      </c>
      <c r="O106" s="129" t="s">
        <v>231</v>
      </c>
      <c r="P106" s="634"/>
      <c r="R106" s="633"/>
      <c r="S106" s="129" t="s">
        <v>237</v>
      </c>
      <c r="T106" s="129" t="s">
        <v>238</v>
      </c>
      <c r="U106" s="129" t="s">
        <v>45</v>
      </c>
      <c r="V106" s="129" t="s">
        <v>46</v>
      </c>
      <c r="W106" s="129" t="s">
        <v>47</v>
      </c>
      <c r="X106" s="129" t="s">
        <v>19</v>
      </c>
      <c r="Y106" s="665"/>
      <c r="Z106" s="665"/>
    </row>
    <row r="107" spans="3:26" ht="38.25" customHeight="1" thickTop="1" thickBot="1" x14ac:dyDescent="0.4">
      <c r="E107" s="26" t="s">
        <v>234</v>
      </c>
      <c r="F107" s="128" t="e">
        <f>'مدارس التعليم الاساسية'!#REF!</f>
        <v>#REF!</v>
      </c>
      <c r="G107" s="129" t="e">
        <f>'مدارس التعليم الاساسية'!#REF!</f>
        <v>#REF!</v>
      </c>
      <c r="H107" s="128" t="e">
        <f>'مدارس التعليم الاساسية'!#REF!</f>
        <v>#REF!</v>
      </c>
      <c r="I107" s="128" t="e">
        <f>'مدارس التعليم الاساسية'!#REF!</f>
        <v>#REF!</v>
      </c>
      <c r="J107" s="128" t="e">
        <f>'مدارس التعليم الاساسية'!#REF!</f>
        <v>#REF!</v>
      </c>
      <c r="K107" s="128" t="e">
        <f>'مدارس التعليم الاساسية'!#REF!</f>
        <v>#REF!</v>
      </c>
      <c r="L107" s="128">
        <v>0</v>
      </c>
      <c r="M107" s="128">
        <v>0</v>
      </c>
      <c r="N107" s="128">
        <v>0</v>
      </c>
      <c r="O107" s="128">
        <v>0</v>
      </c>
      <c r="P107" s="128" t="e">
        <f>SUM(F107:O107)</f>
        <v>#REF!</v>
      </c>
      <c r="R107" s="26" t="s">
        <v>234</v>
      </c>
      <c r="S107" s="128">
        <v>0</v>
      </c>
      <c r="T107" s="128">
        <v>0</v>
      </c>
      <c r="U107" s="128">
        <v>0</v>
      </c>
      <c r="V107" s="128">
        <v>0</v>
      </c>
      <c r="W107" s="128">
        <v>0</v>
      </c>
      <c r="X107" s="128">
        <v>0</v>
      </c>
      <c r="Y107" s="665">
        <v>0</v>
      </c>
      <c r="Z107" s="665"/>
    </row>
    <row r="108" spans="3:26" ht="38.25" customHeight="1" thickTop="1" thickBot="1" x14ac:dyDescent="0.4">
      <c r="E108" s="26" t="s">
        <v>235</v>
      </c>
      <c r="F108" s="128" t="e">
        <f>'مدارس التعليم الاساسية'!#REF!</f>
        <v>#REF!</v>
      </c>
      <c r="G108" s="129" t="e">
        <f>'مدارس التعليم الاساسية'!#REF!</f>
        <v>#REF!</v>
      </c>
      <c r="H108" s="128" t="e">
        <f>'مدارس التعليم الاساسية'!#REF!</f>
        <v>#REF!</v>
      </c>
      <c r="I108" s="128" t="e">
        <f>'مدارس التعليم الاساسية'!#REF!</f>
        <v>#REF!</v>
      </c>
      <c r="J108" s="128" t="e">
        <f>'مدارس التعليم الاساسية'!#REF!</f>
        <v>#REF!</v>
      </c>
      <c r="K108" s="128" t="e">
        <f>'مدارس التعليم الاساسية'!#REF!</f>
        <v>#REF!</v>
      </c>
      <c r="L108" s="128">
        <v>0</v>
      </c>
      <c r="M108" s="128">
        <v>0</v>
      </c>
      <c r="N108" s="128">
        <v>0</v>
      </c>
      <c r="O108" s="128">
        <v>0</v>
      </c>
      <c r="P108" s="128" t="e">
        <f>SUM(F108:O108)</f>
        <v>#REF!</v>
      </c>
      <c r="R108" s="26" t="s">
        <v>235</v>
      </c>
      <c r="S108" s="128">
        <v>0</v>
      </c>
      <c r="T108" s="128">
        <v>0</v>
      </c>
      <c r="U108" s="128">
        <v>0</v>
      </c>
      <c r="V108" s="128">
        <v>0</v>
      </c>
      <c r="W108" s="128">
        <v>0</v>
      </c>
      <c r="X108" s="128">
        <v>0</v>
      </c>
      <c r="Y108" s="665">
        <v>0</v>
      </c>
      <c r="Z108" s="665"/>
    </row>
    <row r="109" spans="3:26" ht="38.25" customHeight="1" thickTop="1" thickBot="1" x14ac:dyDescent="0.4">
      <c r="E109" s="27" t="s">
        <v>165</v>
      </c>
      <c r="F109" s="128" t="e">
        <f>SUM(F107:F108)</f>
        <v>#REF!</v>
      </c>
      <c r="G109" s="128" t="e">
        <f t="shared" ref="G109:P109" si="18">SUM(G107:G108)</f>
        <v>#REF!</v>
      </c>
      <c r="H109" s="128" t="e">
        <f t="shared" si="18"/>
        <v>#REF!</v>
      </c>
      <c r="I109" s="128" t="e">
        <f t="shared" si="18"/>
        <v>#REF!</v>
      </c>
      <c r="J109" s="128" t="e">
        <f t="shared" si="18"/>
        <v>#REF!</v>
      </c>
      <c r="K109" s="128" t="e">
        <f t="shared" si="18"/>
        <v>#REF!</v>
      </c>
      <c r="L109" s="128">
        <f t="shared" si="18"/>
        <v>0</v>
      </c>
      <c r="M109" s="128">
        <f t="shared" si="18"/>
        <v>0</v>
      </c>
      <c r="N109" s="128">
        <f t="shared" si="18"/>
        <v>0</v>
      </c>
      <c r="O109" s="128">
        <f t="shared" si="18"/>
        <v>0</v>
      </c>
      <c r="P109" s="128" t="e">
        <f t="shared" si="18"/>
        <v>#REF!</v>
      </c>
      <c r="R109" s="27" t="s">
        <v>165</v>
      </c>
      <c r="S109" s="128">
        <v>0</v>
      </c>
      <c r="T109" s="128">
        <v>0</v>
      </c>
      <c r="U109" s="128">
        <v>0</v>
      </c>
      <c r="V109" s="128">
        <v>0</v>
      </c>
      <c r="W109" s="128">
        <v>0</v>
      </c>
      <c r="X109" s="128">
        <v>0</v>
      </c>
      <c r="Y109" s="665">
        <v>0</v>
      </c>
      <c r="Z109" s="665"/>
    </row>
    <row r="110" spans="3:26" ht="38.25" customHeight="1" thickTop="1" x14ac:dyDescent="0.35">
      <c r="L110" s="77" t="s">
        <v>259</v>
      </c>
    </row>
    <row r="111" spans="3:26" ht="38.25" customHeight="1" thickBot="1" x14ac:dyDescent="0.4"/>
    <row r="112" spans="3:26" ht="41.25" customHeight="1" thickBot="1" x14ac:dyDescent="0.4">
      <c r="C112" s="626" t="s">
        <v>338</v>
      </c>
      <c r="D112" s="627"/>
      <c r="E112" s="627"/>
      <c r="F112" s="627"/>
      <c r="G112" s="627"/>
      <c r="H112" s="627"/>
      <c r="I112" s="627"/>
      <c r="J112" s="627"/>
      <c r="K112" s="627"/>
      <c r="L112" s="627"/>
      <c r="M112" s="627"/>
      <c r="N112" s="627"/>
      <c r="O112" s="627"/>
      <c r="P112" s="627"/>
      <c r="Q112" s="627"/>
      <c r="R112" s="627"/>
      <c r="S112" s="627"/>
      <c r="T112" s="627"/>
      <c r="U112" s="627"/>
      <c r="V112" s="627"/>
      <c r="W112" s="627"/>
      <c r="X112" s="627"/>
      <c r="Y112" s="628"/>
    </row>
    <row r="113" spans="2:25" s="28" customFormat="1" ht="107.25" thickBot="1" x14ac:dyDescent="0.4">
      <c r="C113" s="53" t="s">
        <v>214</v>
      </c>
      <c r="D113" s="54" t="s">
        <v>14</v>
      </c>
      <c r="E113" s="54" t="s">
        <v>15</v>
      </c>
      <c r="F113" s="54" t="s">
        <v>16</v>
      </c>
      <c r="G113" s="54" t="s">
        <v>243</v>
      </c>
      <c r="H113" s="54" t="s">
        <v>244</v>
      </c>
      <c r="I113" s="54" t="s">
        <v>245</v>
      </c>
      <c r="J113" s="54" t="s">
        <v>17</v>
      </c>
      <c r="K113" s="54" t="s">
        <v>246</v>
      </c>
      <c r="L113" s="54" t="s">
        <v>247</v>
      </c>
      <c r="M113" s="54" t="s">
        <v>248</v>
      </c>
      <c r="N113" s="54" t="s">
        <v>249</v>
      </c>
      <c r="O113" s="54" t="s">
        <v>250</v>
      </c>
      <c r="P113" s="54" t="s">
        <v>251</v>
      </c>
      <c r="Q113" s="54" t="s">
        <v>252</v>
      </c>
      <c r="R113" s="54" t="s">
        <v>253</v>
      </c>
      <c r="S113" s="54" t="s">
        <v>257</v>
      </c>
      <c r="T113" s="54" t="s">
        <v>254</v>
      </c>
      <c r="U113" s="92" t="s">
        <v>308</v>
      </c>
      <c r="V113" s="92" t="s">
        <v>309</v>
      </c>
      <c r="W113" s="92" t="s">
        <v>21</v>
      </c>
      <c r="X113" s="54" t="s">
        <v>255</v>
      </c>
      <c r="Y113" s="54" t="s">
        <v>256</v>
      </c>
    </row>
    <row r="114" spans="2:25" s="28" customFormat="1" ht="41.25" customHeight="1" thickTop="1" thickBot="1" x14ac:dyDescent="0.4">
      <c r="C114" s="29" t="s">
        <v>84</v>
      </c>
      <c r="D114" s="29">
        <v>0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f>SUM(D114:X114)</f>
        <v>0</v>
      </c>
    </row>
    <row r="115" spans="2:25" s="28" customFormat="1" ht="41.25" customHeight="1" thickTop="1" thickBot="1" x14ac:dyDescent="0.4">
      <c r="C115" s="29" t="s">
        <v>85</v>
      </c>
      <c r="D115" s="29">
        <v>0</v>
      </c>
      <c r="E115" s="29">
        <v>0</v>
      </c>
      <c r="F115" s="29">
        <v>0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  <c r="P115" s="29">
        <v>0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f>SUM(D115:X115)</f>
        <v>0</v>
      </c>
    </row>
    <row r="116" spans="2:25" s="28" customFormat="1" ht="41.25" customHeight="1" thickTop="1" thickBot="1" x14ac:dyDescent="0.4">
      <c r="C116" s="29" t="s">
        <v>178</v>
      </c>
      <c r="D116" s="29">
        <f>SUM(D114:D115)</f>
        <v>0</v>
      </c>
      <c r="E116" s="29">
        <f t="shared" ref="E116:X116" si="19">SUM(E114:E115)</f>
        <v>0</v>
      </c>
      <c r="F116" s="29">
        <f t="shared" si="19"/>
        <v>0</v>
      </c>
      <c r="G116" s="29">
        <f t="shared" si="19"/>
        <v>0</v>
      </c>
      <c r="H116" s="29">
        <f t="shared" si="19"/>
        <v>0</v>
      </c>
      <c r="I116" s="29">
        <f t="shared" si="19"/>
        <v>0</v>
      </c>
      <c r="J116" s="29">
        <f t="shared" si="19"/>
        <v>0</v>
      </c>
      <c r="K116" s="29">
        <f t="shared" si="19"/>
        <v>0</v>
      </c>
      <c r="L116" s="29">
        <f t="shared" si="19"/>
        <v>0</v>
      </c>
      <c r="M116" s="29">
        <f t="shared" si="19"/>
        <v>0</v>
      </c>
      <c r="N116" s="29">
        <f t="shared" si="19"/>
        <v>0</v>
      </c>
      <c r="O116" s="29">
        <f t="shared" si="19"/>
        <v>0</v>
      </c>
      <c r="P116" s="29">
        <f t="shared" si="19"/>
        <v>0</v>
      </c>
      <c r="Q116" s="29">
        <f t="shared" si="19"/>
        <v>0</v>
      </c>
      <c r="R116" s="29">
        <f t="shared" si="19"/>
        <v>0</v>
      </c>
      <c r="S116" s="29">
        <f t="shared" si="19"/>
        <v>0</v>
      </c>
      <c r="T116" s="29">
        <f t="shared" si="19"/>
        <v>0</v>
      </c>
      <c r="U116" s="130">
        <f t="shared" si="19"/>
        <v>0</v>
      </c>
      <c r="V116" s="130">
        <f t="shared" si="19"/>
        <v>0</v>
      </c>
      <c r="W116" s="130">
        <f t="shared" si="19"/>
        <v>0</v>
      </c>
      <c r="X116" s="29">
        <f t="shared" si="19"/>
        <v>0</v>
      </c>
      <c r="Y116" s="29">
        <f>SUM(D116:X116)</f>
        <v>0</v>
      </c>
    </row>
    <row r="117" spans="2:25" ht="41.25" customHeight="1" thickTop="1" x14ac:dyDescent="0.35">
      <c r="J117" s="77" t="s">
        <v>262</v>
      </c>
    </row>
    <row r="118" spans="2:25" ht="18.75" customHeight="1" thickBot="1" x14ac:dyDescent="0.4"/>
    <row r="119" spans="2:25" ht="41.25" customHeight="1" thickTop="1" thickBot="1" x14ac:dyDescent="0.4">
      <c r="C119" s="553" t="s">
        <v>339</v>
      </c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5"/>
    </row>
    <row r="120" spans="2:25" s="93" customFormat="1" ht="106.5" customHeight="1" thickTop="1" thickBot="1" x14ac:dyDescent="0.4">
      <c r="C120" s="94" t="s">
        <v>214</v>
      </c>
      <c r="D120" s="95" t="s">
        <v>14</v>
      </c>
      <c r="E120" s="95" t="s">
        <v>15</v>
      </c>
      <c r="F120" s="95" t="s">
        <v>13</v>
      </c>
      <c r="G120" s="95" t="s">
        <v>16</v>
      </c>
      <c r="H120" s="95" t="s">
        <v>243</v>
      </c>
      <c r="I120" s="95" t="s">
        <v>311</v>
      </c>
      <c r="J120" s="95" t="s">
        <v>312</v>
      </c>
      <c r="K120" s="95" t="s">
        <v>313</v>
      </c>
      <c r="L120" s="95" t="s">
        <v>246</v>
      </c>
      <c r="M120" s="95" t="s">
        <v>247</v>
      </c>
      <c r="N120" s="95" t="s">
        <v>260</v>
      </c>
      <c r="O120" s="95" t="s">
        <v>254</v>
      </c>
      <c r="P120" s="95" t="s">
        <v>261</v>
      </c>
      <c r="Q120" s="95" t="s">
        <v>18</v>
      </c>
      <c r="R120" s="95" t="s">
        <v>300</v>
      </c>
      <c r="S120" s="95" t="s">
        <v>314</v>
      </c>
      <c r="T120" s="95" t="s">
        <v>307</v>
      </c>
      <c r="U120" s="95" t="s">
        <v>309</v>
      </c>
      <c r="V120" s="95" t="s">
        <v>308</v>
      </c>
      <c r="W120" s="95" t="s">
        <v>238</v>
      </c>
      <c r="X120" s="95" t="s">
        <v>255</v>
      </c>
      <c r="Y120" s="95" t="s">
        <v>256</v>
      </c>
    </row>
    <row r="121" spans="2:25" ht="41.25" customHeight="1" thickTop="1" thickBot="1" x14ac:dyDescent="0.4">
      <c r="C121" s="128" t="s">
        <v>84</v>
      </c>
      <c r="D121" s="128" t="e">
        <f>'مدارس التعليم الاساسية'!#REF!</f>
        <v>#REF!</v>
      </c>
      <c r="E121" s="128" t="e">
        <f>'مدارس التعليم الاساسية'!#REF!</f>
        <v>#REF!</v>
      </c>
      <c r="F121" s="128" t="e">
        <f>'مدارس التعليم الاساسية'!#REF!</f>
        <v>#REF!</v>
      </c>
      <c r="G121" s="128">
        <v>0</v>
      </c>
      <c r="H121" s="128" t="e">
        <f>'مدارس التعليم الاساسية'!#REF!</f>
        <v>#REF!</v>
      </c>
      <c r="I121" s="128" t="e">
        <f>'مدارس التعليم الاساسية'!#REF!</f>
        <v>#REF!</v>
      </c>
      <c r="J121" s="128">
        <v>0</v>
      </c>
      <c r="K121" s="128">
        <v>0</v>
      </c>
      <c r="L121" s="128" t="e">
        <f>'مدارس التعليم الاساسية'!#REF!</f>
        <v>#REF!</v>
      </c>
      <c r="M121" s="128">
        <v>0</v>
      </c>
      <c r="N121" s="128">
        <v>0</v>
      </c>
      <c r="O121" s="128" t="e">
        <f>'مدارس التعليم الاساسية'!#REF!</f>
        <v>#REF!</v>
      </c>
      <c r="P121" s="128" t="e">
        <f>'مدارس التعليم الاساسية'!#REF!</f>
        <v>#REF!</v>
      </c>
      <c r="Q121" s="128">
        <v>0</v>
      </c>
      <c r="R121" s="128">
        <v>0</v>
      </c>
      <c r="S121" s="128">
        <v>0</v>
      </c>
      <c r="T121" s="128">
        <v>0</v>
      </c>
      <c r="U121" s="128">
        <v>0</v>
      </c>
      <c r="V121" s="128">
        <v>0</v>
      </c>
      <c r="W121" s="143" t="e">
        <f>'مدارس التعليم الاساسية'!#REF!</f>
        <v>#REF!</v>
      </c>
      <c r="X121" s="128" t="e">
        <f>'مدارس التعليم الاساسية'!#REF!</f>
        <v>#REF!</v>
      </c>
      <c r="Y121" s="128" t="e">
        <f>SUM(D121:X121)</f>
        <v>#REF!</v>
      </c>
    </row>
    <row r="122" spans="2:25" ht="41.25" customHeight="1" thickTop="1" thickBot="1" x14ac:dyDescent="0.4">
      <c r="C122" s="128" t="s">
        <v>85</v>
      </c>
      <c r="D122" s="128" t="e">
        <f>'مدارس التعليم الاساسية'!#REF!</f>
        <v>#REF!</v>
      </c>
      <c r="E122" s="128" t="e">
        <f>'مدارس التعليم الاساسية'!#REF!</f>
        <v>#REF!</v>
      </c>
      <c r="F122" s="128" t="e">
        <f>'مدارس التعليم الاساسية'!#REF!</f>
        <v>#REF!</v>
      </c>
      <c r="G122" s="128">
        <v>0</v>
      </c>
      <c r="H122" s="128" t="e">
        <f>'مدارس التعليم الاساسية'!#REF!</f>
        <v>#REF!</v>
      </c>
      <c r="I122" s="128" t="e">
        <f>'مدارس التعليم الاساسية'!#REF!</f>
        <v>#REF!</v>
      </c>
      <c r="J122" s="128">
        <v>0</v>
      </c>
      <c r="K122" s="128">
        <v>0</v>
      </c>
      <c r="L122" s="128" t="e">
        <f>'مدارس التعليم الاساسية'!#REF!</f>
        <v>#REF!</v>
      </c>
      <c r="M122" s="128">
        <v>0</v>
      </c>
      <c r="N122" s="128">
        <v>0</v>
      </c>
      <c r="O122" s="128" t="e">
        <f>'مدارس التعليم الاساسية'!#REF!</f>
        <v>#REF!</v>
      </c>
      <c r="P122" s="128" t="e">
        <f>'مدارس التعليم الاساسية'!#REF!</f>
        <v>#REF!</v>
      </c>
      <c r="Q122" s="128">
        <v>0</v>
      </c>
      <c r="R122" s="128">
        <v>0</v>
      </c>
      <c r="S122" s="128">
        <v>0</v>
      </c>
      <c r="T122" s="128">
        <v>0</v>
      </c>
      <c r="U122" s="128">
        <v>0</v>
      </c>
      <c r="V122" s="128">
        <v>0</v>
      </c>
      <c r="W122" s="143" t="e">
        <f>'مدارس التعليم الاساسية'!#REF!</f>
        <v>#REF!</v>
      </c>
      <c r="X122" s="128" t="e">
        <f>'مدارس التعليم الاساسية'!#REF!</f>
        <v>#REF!</v>
      </c>
      <c r="Y122" s="128" t="e">
        <f>SUM(D122:X122)</f>
        <v>#REF!</v>
      </c>
    </row>
    <row r="123" spans="2:25" ht="41.25" customHeight="1" thickTop="1" thickBot="1" x14ac:dyDescent="0.4">
      <c r="C123" s="128" t="s">
        <v>178</v>
      </c>
      <c r="D123" s="128" t="e">
        <f t="shared" ref="D123:Y123" si="20">SUM(D121:D122)</f>
        <v>#REF!</v>
      </c>
      <c r="E123" s="128" t="e">
        <f t="shared" si="20"/>
        <v>#REF!</v>
      </c>
      <c r="F123" s="128" t="e">
        <f t="shared" si="20"/>
        <v>#REF!</v>
      </c>
      <c r="G123" s="128">
        <f t="shared" si="20"/>
        <v>0</v>
      </c>
      <c r="H123" s="128" t="e">
        <f t="shared" si="20"/>
        <v>#REF!</v>
      </c>
      <c r="I123" s="128" t="e">
        <f t="shared" si="20"/>
        <v>#REF!</v>
      </c>
      <c r="J123" s="128">
        <f t="shared" si="20"/>
        <v>0</v>
      </c>
      <c r="K123" s="128">
        <f t="shared" si="20"/>
        <v>0</v>
      </c>
      <c r="L123" s="128" t="e">
        <f t="shared" si="20"/>
        <v>#REF!</v>
      </c>
      <c r="M123" s="128">
        <f t="shared" si="20"/>
        <v>0</v>
      </c>
      <c r="N123" s="128">
        <f t="shared" si="20"/>
        <v>0</v>
      </c>
      <c r="O123" s="128" t="e">
        <f t="shared" si="20"/>
        <v>#REF!</v>
      </c>
      <c r="P123" s="128" t="e">
        <f t="shared" si="20"/>
        <v>#REF!</v>
      </c>
      <c r="Q123" s="128">
        <f t="shared" si="20"/>
        <v>0</v>
      </c>
      <c r="R123" s="128">
        <f t="shared" si="20"/>
        <v>0</v>
      </c>
      <c r="S123" s="128">
        <f t="shared" si="20"/>
        <v>0</v>
      </c>
      <c r="T123" s="128">
        <f t="shared" si="20"/>
        <v>0</v>
      </c>
      <c r="U123" s="128">
        <f t="shared" si="20"/>
        <v>0</v>
      </c>
      <c r="V123" s="128">
        <f t="shared" si="20"/>
        <v>0</v>
      </c>
      <c r="W123" s="143" t="e">
        <f t="shared" si="20"/>
        <v>#REF!</v>
      </c>
      <c r="X123" s="128" t="e">
        <f t="shared" si="20"/>
        <v>#REF!</v>
      </c>
      <c r="Y123" s="128" t="e">
        <f t="shared" si="20"/>
        <v>#REF!</v>
      </c>
    </row>
    <row r="124" spans="2:25" ht="20.25" customHeight="1" thickTop="1" x14ac:dyDescent="0.35"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</row>
    <row r="125" spans="2:25" ht="23.25" customHeight="1" x14ac:dyDescent="0.35">
      <c r="V125" s="562" t="s">
        <v>292</v>
      </c>
      <c r="W125" s="562"/>
      <c r="X125" s="562"/>
      <c r="Y125" s="562"/>
    </row>
    <row r="126" spans="2:25" ht="23.25" customHeight="1" x14ac:dyDescent="0.35">
      <c r="B126" s="561" t="s">
        <v>0</v>
      </c>
      <c r="C126" s="561"/>
      <c r="D126" s="561"/>
      <c r="E126" s="561"/>
      <c r="F126" s="561"/>
      <c r="G126" s="561"/>
      <c r="V126" s="562" t="s">
        <v>295</v>
      </c>
      <c r="W126" s="562"/>
      <c r="X126" s="562"/>
      <c r="Y126" s="562"/>
    </row>
    <row r="127" spans="2:25" ht="23.25" customHeight="1" x14ac:dyDescent="0.35">
      <c r="B127" s="561" t="s">
        <v>170</v>
      </c>
      <c r="C127" s="561"/>
      <c r="D127" s="561"/>
      <c r="E127" s="561"/>
      <c r="F127" s="561"/>
      <c r="G127" s="561"/>
    </row>
    <row r="128" spans="2:25" ht="23.25" customHeight="1" x14ac:dyDescent="0.35">
      <c r="K128" s="96" t="s">
        <v>275</v>
      </c>
    </row>
    <row r="129" spans="2:22" ht="23.25" customHeight="1" x14ac:dyDescent="0.35">
      <c r="F129" s="648" t="s">
        <v>340</v>
      </c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</row>
    <row r="130" spans="2:22" ht="23.25" customHeight="1" thickBot="1" x14ac:dyDescent="0.4"/>
    <row r="131" spans="2:22" ht="42.75" customHeight="1" thickTop="1" thickBot="1" x14ac:dyDescent="0.4">
      <c r="B131" s="649" t="s">
        <v>276</v>
      </c>
      <c r="C131" s="583"/>
      <c r="D131" s="650"/>
      <c r="E131" s="580" t="s">
        <v>277</v>
      </c>
      <c r="F131" s="583"/>
      <c r="G131" s="650"/>
      <c r="H131" s="580" t="s">
        <v>278</v>
      </c>
      <c r="I131" s="583"/>
      <c r="J131" s="583"/>
      <c r="K131" s="650"/>
      <c r="L131" s="651" t="s">
        <v>279</v>
      </c>
      <c r="M131" s="652"/>
      <c r="N131" s="580" t="s">
        <v>280</v>
      </c>
      <c r="O131" s="583"/>
      <c r="P131" s="583"/>
      <c r="Q131" s="583"/>
      <c r="R131" s="583"/>
      <c r="S131" s="650"/>
      <c r="T131" s="663" t="s">
        <v>281</v>
      </c>
      <c r="U131" s="580" t="s">
        <v>288</v>
      </c>
      <c r="V131" s="584"/>
    </row>
    <row r="132" spans="2:22" ht="46.5" customHeight="1" thickTop="1" thickBot="1" x14ac:dyDescent="0.4">
      <c r="B132" s="653" t="s">
        <v>282</v>
      </c>
      <c r="C132" s="654"/>
      <c r="D132" s="638" t="s">
        <v>95</v>
      </c>
      <c r="E132" s="640" t="s">
        <v>283</v>
      </c>
      <c r="F132" s="640" t="s">
        <v>97</v>
      </c>
      <c r="G132" s="642" t="s">
        <v>290</v>
      </c>
      <c r="H132" s="640" t="s">
        <v>99</v>
      </c>
      <c r="I132" s="644" t="s">
        <v>100</v>
      </c>
      <c r="J132" s="645"/>
      <c r="K132" s="642" t="s">
        <v>101</v>
      </c>
      <c r="L132" s="657" t="s">
        <v>48</v>
      </c>
      <c r="M132" s="658"/>
      <c r="N132" s="97" t="s">
        <v>284</v>
      </c>
      <c r="O132" s="642" t="s">
        <v>319</v>
      </c>
      <c r="P132" s="642" t="s">
        <v>315</v>
      </c>
      <c r="Q132" s="642" t="s">
        <v>320</v>
      </c>
      <c r="R132" s="97" t="s">
        <v>285</v>
      </c>
      <c r="S132" s="640" t="s">
        <v>286</v>
      </c>
      <c r="T132" s="664"/>
      <c r="U132" s="659" t="s">
        <v>289</v>
      </c>
      <c r="V132" s="661" t="s">
        <v>110</v>
      </c>
    </row>
    <row r="133" spans="2:22" ht="63" customHeight="1" thickTop="1" thickBot="1" x14ac:dyDescent="0.4">
      <c r="B133" s="127" t="s">
        <v>317</v>
      </c>
      <c r="C133" s="141" t="s">
        <v>318</v>
      </c>
      <c r="D133" s="639"/>
      <c r="E133" s="641"/>
      <c r="F133" s="641"/>
      <c r="G133" s="643"/>
      <c r="H133" s="641"/>
      <c r="I133" s="646"/>
      <c r="J133" s="647"/>
      <c r="K133" s="643"/>
      <c r="L133" s="137" t="s">
        <v>86</v>
      </c>
      <c r="M133" s="99" t="s">
        <v>87</v>
      </c>
      <c r="N133" s="98" t="s">
        <v>291</v>
      </c>
      <c r="O133" s="643"/>
      <c r="P133" s="643"/>
      <c r="Q133" s="643"/>
      <c r="R133" s="98" t="s">
        <v>287</v>
      </c>
      <c r="S133" s="641"/>
      <c r="T133" s="660"/>
      <c r="U133" s="660"/>
      <c r="V133" s="662"/>
    </row>
    <row r="134" spans="2:22" ht="66.75" customHeight="1" thickTop="1" thickBot="1" x14ac:dyDescent="0.4">
      <c r="B134" s="32">
        <f>'مدارس التعليم الاساسية'!KP36</f>
        <v>0</v>
      </c>
      <c r="C134" s="33">
        <f>'مدارس التعليم الاساسية'!KQ36</f>
        <v>0</v>
      </c>
      <c r="D134" s="33">
        <f>'مدارس التعليم الاساسية'!KR36</f>
        <v>0</v>
      </c>
      <c r="E134" s="33">
        <f>'مدارس التعليم الاساسية'!KS36</f>
        <v>0</v>
      </c>
      <c r="F134" s="33">
        <f>'مدارس التعليم الاساسية'!KT36</f>
        <v>0</v>
      </c>
      <c r="G134" s="33">
        <f>'مدارس التعليم الاساسية'!KU36</f>
        <v>0</v>
      </c>
      <c r="H134" s="33">
        <f>'مدارس التعليم الاساسية'!KV36</f>
        <v>0</v>
      </c>
      <c r="I134" s="655">
        <f>'مدارس التعليم الاساسية'!KW36</f>
        <v>0</v>
      </c>
      <c r="J134" s="656"/>
      <c r="K134" s="33">
        <f>'مدارس التعليم الاساسية'!KX36</f>
        <v>0</v>
      </c>
      <c r="L134" s="33">
        <f>'مدارس التعليم الاساسية'!KC36</f>
        <v>0</v>
      </c>
      <c r="M134" s="33">
        <f>'مدارس التعليم الاساسية'!KD36</f>
        <v>0</v>
      </c>
      <c r="N134" s="33">
        <f>'مدارس التعليم الاساسية'!KY36</f>
        <v>0</v>
      </c>
      <c r="O134" s="33">
        <f>'مدارس التعليم الاساسية'!KZ36</f>
        <v>0</v>
      </c>
      <c r="P134" s="33">
        <f>'مدارس التعليم الاساسية'!LA36</f>
        <v>0</v>
      </c>
      <c r="Q134" s="33">
        <f>'مدارس التعليم الاساسية'!LB36</f>
        <v>0</v>
      </c>
      <c r="R134" s="33">
        <f>'مدارس التعليم الاساسية'!LC36</f>
        <v>0</v>
      </c>
      <c r="S134" s="33">
        <f>'مدارس التعليم الاساسية'!LD36</f>
        <v>0</v>
      </c>
      <c r="T134" s="33">
        <f>SUM(N134:S134)</f>
        <v>0</v>
      </c>
      <c r="U134" s="33">
        <f>'مدارس التعليم الاساسية'!LM36</f>
        <v>0</v>
      </c>
      <c r="V134" s="34">
        <f>'مدارس التعليم الاساسية'!LY36</f>
        <v>0</v>
      </c>
    </row>
    <row r="135" spans="2:22" ht="38.25" customHeight="1" thickTop="1" x14ac:dyDescent="0.35"/>
  </sheetData>
  <mergeCells count="368">
    <mergeCell ref="V125:Y125"/>
    <mergeCell ref="V126:Y126"/>
    <mergeCell ref="I134:J134"/>
    <mergeCell ref="W1:Z1"/>
    <mergeCell ref="W2:Z2"/>
    <mergeCell ref="V24:Y24"/>
    <mergeCell ref="V25:Y25"/>
    <mergeCell ref="V50:Y50"/>
    <mergeCell ref="V51:Y51"/>
    <mergeCell ref="V69:Y69"/>
    <mergeCell ref="V70:Y70"/>
    <mergeCell ref="V94:Y94"/>
    <mergeCell ref="K132:K133"/>
    <mergeCell ref="L132:M132"/>
    <mergeCell ref="O132:O133"/>
    <mergeCell ref="S132:S133"/>
    <mergeCell ref="U132:U133"/>
    <mergeCell ref="V132:V133"/>
    <mergeCell ref="T131:T133"/>
    <mergeCell ref="U131:V131"/>
    <mergeCell ref="Y105:Z106"/>
    <mergeCell ref="Y107:Z107"/>
    <mergeCell ref="Y108:Z108"/>
    <mergeCell ref="Y109:Z109"/>
    <mergeCell ref="D132:D133"/>
    <mergeCell ref="E132:E133"/>
    <mergeCell ref="F132:F133"/>
    <mergeCell ref="G132:G133"/>
    <mergeCell ref="H132:H133"/>
    <mergeCell ref="I132:J133"/>
    <mergeCell ref="B126:G126"/>
    <mergeCell ref="B127:G127"/>
    <mergeCell ref="F129:R129"/>
    <mergeCell ref="B131:D131"/>
    <mergeCell ref="E131:G131"/>
    <mergeCell ref="H131:K131"/>
    <mergeCell ref="L131:M131"/>
    <mergeCell ref="B132:C132"/>
    <mergeCell ref="P132:P133"/>
    <mergeCell ref="Q132:Q133"/>
    <mergeCell ref="N131:S131"/>
    <mergeCell ref="S101:T101"/>
    <mergeCell ref="G101:H101"/>
    <mergeCell ref="I101:J101"/>
    <mergeCell ref="K101:L101"/>
    <mergeCell ref="M101:N101"/>
    <mergeCell ref="O101:P101"/>
    <mergeCell ref="Q101:R101"/>
    <mergeCell ref="R104:R106"/>
    <mergeCell ref="F104:P104"/>
    <mergeCell ref="S104:Z104"/>
    <mergeCell ref="U105:X105"/>
    <mergeCell ref="C112:Y112"/>
    <mergeCell ref="S99:T99"/>
    <mergeCell ref="G100:H100"/>
    <mergeCell ref="I100:J100"/>
    <mergeCell ref="K100:L100"/>
    <mergeCell ref="M100:N100"/>
    <mergeCell ref="O100:P100"/>
    <mergeCell ref="Q100:R100"/>
    <mergeCell ref="S100:T100"/>
    <mergeCell ref="G99:H99"/>
    <mergeCell ref="I99:J99"/>
    <mergeCell ref="K99:L99"/>
    <mergeCell ref="M99:N99"/>
    <mergeCell ref="O99:P99"/>
    <mergeCell ref="Q99:R99"/>
    <mergeCell ref="G105:G106"/>
    <mergeCell ref="F105:F106"/>
    <mergeCell ref="H105:H106"/>
    <mergeCell ref="I105:I106"/>
    <mergeCell ref="E104:E106"/>
    <mergeCell ref="J105:K105"/>
    <mergeCell ref="L105:O105"/>
    <mergeCell ref="P105:P106"/>
    <mergeCell ref="S105:T105"/>
    <mergeCell ref="G97:T97"/>
    <mergeCell ref="G98:H98"/>
    <mergeCell ref="I98:J98"/>
    <mergeCell ref="K98:L98"/>
    <mergeCell ref="M98:N98"/>
    <mergeCell ref="O98:P98"/>
    <mergeCell ref="Q98:R98"/>
    <mergeCell ref="S98:T98"/>
    <mergeCell ref="W92:X92"/>
    <mergeCell ref="Y92:Z92"/>
    <mergeCell ref="D94:I94"/>
    <mergeCell ref="D95:I95"/>
    <mergeCell ref="D96:I96"/>
    <mergeCell ref="K96:Z96"/>
    <mergeCell ref="V95:Y95"/>
    <mergeCell ref="U91:V91"/>
    <mergeCell ref="W91:X91"/>
    <mergeCell ref="Y91:Z91"/>
    <mergeCell ref="I92:J92"/>
    <mergeCell ref="K92:L92"/>
    <mergeCell ref="M92:N92"/>
    <mergeCell ref="O92:P92"/>
    <mergeCell ref="Q92:R92"/>
    <mergeCell ref="S92:T92"/>
    <mergeCell ref="U92:V92"/>
    <mergeCell ref="I91:J91"/>
    <mergeCell ref="K91:L91"/>
    <mergeCell ref="M91:N91"/>
    <mergeCell ref="O91:P91"/>
    <mergeCell ref="Q91:R91"/>
    <mergeCell ref="S91:T91"/>
    <mergeCell ref="I86:J86"/>
    <mergeCell ref="K86:L86"/>
    <mergeCell ref="M86:N86"/>
    <mergeCell ref="O86:P86"/>
    <mergeCell ref="I87:J87"/>
    <mergeCell ref="K87:L87"/>
    <mergeCell ref="M87:N87"/>
    <mergeCell ref="O87:P87"/>
    <mergeCell ref="I84:J84"/>
    <mergeCell ref="K84:L84"/>
    <mergeCell ref="M84:N84"/>
    <mergeCell ref="O84:P84"/>
    <mergeCell ref="I85:J85"/>
    <mergeCell ref="K85:L85"/>
    <mergeCell ref="M85:N85"/>
    <mergeCell ref="O85:P85"/>
    <mergeCell ref="I82:J82"/>
    <mergeCell ref="K82:L82"/>
    <mergeCell ref="M82:N82"/>
    <mergeCell ref="O82:P82"/>
    <mergeCell ref="I83:J83"/>
    <mergeCell ref="K83:L83"/>
    <mergeCell ref="M83:N83"/>
    <mergeCell ref="O83:P83"/>
    <mergeCell ref="I80:J80"/>
    <mergeCell ref="K80:L80"/>
    <mergeCell ref="M80:N80"/>
    <mergeCell ref="O80:P80"/>
    <mergeCell ref="I81:J81"/>
    <mergeCell ref="K81:L81"/>
    <mergeCell ref="M81:N81"/>
    <mergeCell ref="O81:P81"/>
    <mergeCell ref="I78:J78"/>
    <mergeCell ref="K78:L78"/>
    <mergeCell ref="M78:N78"/>
    <mergeCell ref="O78:P78"/>
    <mergeCell ref="I79:J79"/>
    <mergeCell ref="K79:L79"/>
    <mergeCell ref="M79:N79"/>
    <mergeCell ref="O79:P79"/>
    <mergeCell ref="I76:J76"/>
    <mergeCell ref="K76:L76"/>
    <mergeCell ref="M76:N76"/>
    <mergeCell ref="O76:P76"/>
    <mergeCell ref="I77:J77"/>
    <mergeCell ref="K77:L77"/>
    <mergeCell ref="M77:N77"/>
    <mergeCell ref="O77:P77"/>
    <mergeCell ref="I75:J75"/>
    <mergeCell ref="K75:P75"/>
    <mergeCell ref="Q75:R75"/>
    <mergeCell ref="S75:T75"/>
    <mergeCell ref="U75:V75"/>
    <mergeCell ref="W75:Y75"/>
    <mergeCell ref="S67:T67"/>
    <mergeCell ref="U67:V67"/>
    <mergeCell ref="E69:J69"/>
    <mergeCell ref="E70:J70"/>
    <mergeCell ref="I72:X72"/>
    <mergeCell ref="I74:J74"/>
    <mergeCell ref="K74:P74"/>
    <mergeCell ref="Q74:Y74"/>
    <mergeCell ref="G67:H67"/>
    <mergeCell ref="I67:J67"/>
    <mergeCell ref="K67:L67"/>
    <mergeCell ref="M67:N67"/>
    <mergeCell ref="O67:P67"/>
    <mergeCell ref="Q67:R67"/>
    <mergeCell ref="S65:T65"/>
    <mergeCell ref="U65:V65"/>
    <mergeCell ref="G66:H66"/>
    <mergeCell ref="I66:J66"/>
    <mergeCell ref="K66:L66"/>
    <mergeCell ref="M66:N66"/>
    <mergeCell ref="O66:P66"/>
    <mergeCell ref="Q66:R66"/>
    <mergeCell ref="S66:T66"/>
    <mergeCell ref="U66:V66"/>
    <mergeCell ref="G65:H65"/>
    <mergeCell ref="I65:J65"/>
    <mergeCell ref="K65:L65"/>
    <mergeCell ref="M65:N65"/>
    <mergeCell ref="O65:P65"/>
    <mergeCell ref="Q65:R65"/>
    <mergeCell ref="S63:T63"/>
    <mergeCell ref="U63:V63"/>
    <mergeCell ref="G64:H64"/>
    <mergeCell ref="I64:J64"/>
    <mergeCell ref="K64:L64"/>
    <mergeCell ref="M64:N64"/>
    <mergeCell ref="O64:P64"/>
    <mergeCell ref="Q64:R64"/>
    <mergeCell ref="S64:T64"/>
    <mergeCell ref="U64:V64"/>
    <mergeCell ref="G63:H63"/>
    <mergeCell ref="I63:J63"/>
    <mergeCell ref="K63:L63"/>
    <mergeCell ref="M63:N63"/>
    <mergeCell ref="O63:P63"/>
    <mergeCell ref="Q63:R63"/>
    <mergeCell ref="S61:T61"/>
    <mergeCell ref="U61:V61"/>
    <mergeCell ref="G62:H62"/>
    <mergeCell ref="I62:J62"/>
    <mergeCell ref="K62:L62"/>
    <mergeCell ref="M62:N62"/>
    <mergeCell ref="O62:P62"/>
    <mergeCell ref="Q62:R62"/>
    <mergeCell ref="S62:T62"/>
    <mergeCell ref="U62:V62"/>
    <mergeCell ref="G61:H61"/>
    <mergeCell ref="I61:J61"/>
    <mergeCell ref="K61:L61"/>
    <mergeCell ref="M61:N61"/>
    <mergeCell ref="O61:P61"/>
    <mergeCell ref="Q61:R61"/>
    <mergeCell ref="G59:H59"/>
    <mergeCell ref="I59:J59"/>
    <mergeCell ref="K59:L59"/>
    <mergeCell ref="M59:N59"/>
    <mergeCell ref="O59:P59"/>
    <mergeCell ref="Q59:R59"/>
    <mergeCell ref="S59:T59"/>
    <mergeCell ref="U59:V59"/>
    <mergeCell ref="G60:H60"/>
    <mergeCell ref="I60:J60"/>
    <mergeCell ref="K60:L60"/>
    <mergeCell ref="M60:N60"/>
    <mergeCell ref="O60:P60"/>
    <mergeCell ref="Q60:R60"/>
    <mergeCell ref="S60:T60"/>
    <mergeCell ref="U60:V60"/>
    <mergeCell ref="I56:J56"/>
    <mergeCell ref="K56:L56"/>
    <mergeCell ref="M56:N56"/>
    <mergeCell ref="O56:P56"/>
    <mergeCell ref="Q56:R56"/>
    <mergeCell ref="S56:T56"/>
    <mergeCell ref="U56:V56"/>
    <mergeCell ref="G57:H57"/>
    <mergeCell ref="G58:H58"/>
    <mergeCell ref="I58:J58"/>
    <mergeCell ref="O58:P58"/>
    <mergeCell ref="K58:L58"/>
    <mergeCell ref="M58:N58"/>
    <mergeCell ref="Q58:R58"/>
    <mergeCell ref="S58:T58"/>
    <mergeCell ref="U58:V58"/>
    <mergeCell ref="F34:G35"/>
    <mergeCell ref="H34:I36"/>
    <mergeCell ref="J34:K37"/>
    <mergeCell ref="L34:M38"/>
    <mergeCell ref="N34:O39"/>
    <mergeCell ref="D50:I50"/>
    <mergeCell ref="D51:I51"/>
    <mergeCell ref="G54:V54"/>
    <mergeCell ref="I55:P55"/>
    <mergeCell ref="Q55:V55"/>
    <mergeCell ref="J28:V28"/>
    <mergeCell ref="C30:R31"/>
    <mergeCell ref="S30:AA31"/>
    <mergeCell ref="C32:C33"/>
    <mergeCell ref="D32:E32"/>
    <mergeCell ref="F32:G32"/>
    <mergeCell ref="H32:I32"/>
    <mergeCell ref="J32:K32"/>
    <mergeCell ref="L32:M32"/>
    <mergeCell ref="N32:O32"/>
    <mergeCell ref="P32:R32"/>
    <mergeCell ref="S32:T32"/>
    <mergeCell ref="U32:V32"/>
    <mergeCell ref="W32:X32"/>
    <mergeCell ref="Y32:AA32"/>
    <mergeCell ref="S21:S22"/>
    <mergeCell ref="T21:T22"/>
    <mergeCell ref="U21:U22"/>
    <mergeCell ref="V21:V22"/>
    <mergeCell ref="D24:I24"/>
    <mergeCell ref="D25:I25"/>
    <mergeCell ref="V19:V20"/>
    <mergeCell ref="D21:D22"/>
    <mergeCell ref="E21:E22"/>
    <mergeCell ref="F21:F22"/>
    <mergeCell ref="G21:G22"/>
    <mergeCell ref="H21:H22"/>
    <mergeCell ref="I21:I22"/>
    <mergeCell ref="J21:J22"/>
    <mergeCell ref="Q21:Q22"/>
    <mergeCell ref="R21:R22"/>
    <mergeCell ref="J19:J20"/>
    <mergeCell ref="Q19:Q20"/>
    <mergeCell ref="R19:R20"/>
    <mergeCell ref="S19:S20"/>
    <mergeCell ref="T19:T20"/>
    <mergeCell ref="U19:U20"/>
    <mergeCell ref="V17:V18"/>
    <mergeCell ref="D19:D20"/>
    <mergeCell ref="E19:E20"/>
    <mergeCell ref="F19:F20"/>
    <mergeCell ref="G19:G20"/>
    <mergeCell ref="H19:H20"/>
    <mergeCell ref="I19:I20"/>
    <mergeCell ref="E17:E18"/>
    <mergeCell ref="F17:F18"/>
    <mergeCell ref="G17:G18"/>
    <mergeCell ref="H17:H18"/>
    <mergeCell ref="I17:I18"/>
    <mergeCell ref="J17:J18"/>
    <mergeCell ref="Q17:Q18"/>
    <mergeCell ref="R17:R18"/>
    <mergeCell ref="G15:G16"/>
    <mergeCell ref="H15:H16"/>
    <mergeCell ref="I15:I16"/>
    <mergeCell ref="J15:J16"/>
    <mergeCell ref="Q15:Q16"/>
    <mergeCell ref="R15:R16"/>
    <mergeCell ref="S17:S18"/>
    <mergeCell ref="T17:T18"/>
    <mergeCell ref="U17:U18"/>
    <mergeCell ref="N12:P12"/>
    <mergeCell ref="C13:L13"/>
    <mergeCell ref="P13:Y13"/>
    <mergeCell ref="C6:F6"/>
    <mergeCell ref="G6:I6"/>
    <mergeCell ref="J6:L6"/>
    <mergeCell ref="M6:O6"/>
    <mergeCell ref="P6:R6"/>
    <mergeCell ref="S6:U6"/>
    <mergeCell ref="B1:G1"/>
    <mergeCell ref="B2:G2"/>
    <mergeCell ref="AA2:AB2"/>
    <mergeCell ref="I3:K3"/>
    <mergeCell ref="L3:N3"/>
    <mergeCell ref="D4:Z4"/>
    <mergeCell ref="V6:X6"/>
    <mergeCell ref="Y6:Z6"/>
    <mergeCell ref="AA6:AD6"/>
    <mergeCell ref="C119:X119"/>
    <mergeCell ref="W15:W16"/>
    <mergeCell ref="W17:W18"/>
    <mergeCell ref="W19:W20"/>
    <mergeCell ref="W21:W22"/>
    <mergeCell ref="K15:K16"/>
    <mergeCell ref="K17:K18"/>
    <mergeCell ref="K19:K20"/>
    <mergeCell ref="K21:K22"/>
    <mergeCell ref="I57:J57"/>
    <mergeCell ref="K57:L57"/>
    <mergeCell ref="M57:N57"/>
    <mergeCell ref="O57:P57"/>
    <mergeCell ref="Q57:R57"/>
    <mergeCell ref="S57:T57"/>
    <mergeCell ref="U57:V57"/>
    <mergeCell ref="V15:V16"/>
    <mergeCell ref="D17:D18"/>
    <mergeCell ref="S15:S16"/>
    <mergeCell ref="T15:T16"/>
    <mergeCell ref="U15:U16"/>
    <mergeCell ref="D15:D16"/>
    <mergeCell ref="E15:E16"/>
    <mergeCell ref="F15:F16"/>
  </mergeCells>
  <printOptions horizontalCentered="1" verticalCentered="1"/>
  <pageMargins left="0.19685039370078741" right="0.19685039370078741" top="0.19685039370078741" bottom="0.19685039370078741" header="0.23622047244094491" footer="0.19685039370078741"/>
  <pageSetup paperSize="9" scale="47" orientation="landscape" verticalDpi="0" r:id="rId1"/>
  <rowBreaks count="5" manualBreakCount="5">
    <brk id="23" max="16383" man="1"/>
    <brk id="49" max="16383" man="1"/>
    <brk id="68" max="29" man="1"/>
    <brk id="93" max="16383" man="1"/>
    <brk id="123" max="2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7</vt:i4>
      </vt:variant>
      <vt:variant>
        <vt:lpstr>نطاقات تمت تسميتها</vt:lpstr>
      </vt:variant>
      <vt:variant>
        <vt:i4>4</vt:i4>
      </vt:variant>
    </vt:vector>
  </HeadingPairs>
  <TitlesOfParts>
    <vt:vector size="11" baseType="lpstr">
      <vt:lpstr>مدارس التعليم الاساسية</vt:lpstr>
      <vt:lpstr>حضر</vt:lpstr>
      <vt:lpstr>ريف</vt:lpstr>
      <vt:lpstr>المحافظة الاساسي</vt:lpstr>
      <vt:lpstr>قضاء النجف</vt:lpstr>
      <vt:lpstr>قضاء الكوفة</vt:lpstr>
      <vt:lpstr>قضاء المناذرة</vt:lpstr>
      <vt:lpstr>'المحافظة الاساسي'!Print_Area</vt:lpstr>
      <vt:lpstr>'قضاء الكوفة'!Print_Area</vt:lpstr>
      <vt:lpstr>'قضاء المناذرة'!Print_Area</vt:lpstr>
      <vt:lpstr>'قضاء النجف'!Print_Area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2026-02-26T05:25:14Z</dcterms:modified>
</cp:coreProperties>
</file>