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ed\Desktop\مهم\‏‏‏‏الاحصاء السنوي  2026-2025\الابتدائي الكلي 2026-2025\"/>
    </mc:Choice>
  </mc:AlternateContent>
  <bookViews>
    <workbookView xWindow="0" yWindow="12" windowWidth="9300" windowHeight="8112" activeTab="1"/>
  </bookViews>
  <sheets>
    <sheet name="مدارس اليافعين" sheetId="1" r:id="rId1"/>
    <sheet name="استمارة اليافعين" sheetId="2" r:id="rId2"/>
    <sheet name="استمارة 11" sheetId="3" r:id="rId3"/>
    <sheet name="ورقة1" sheetId="4" r:id="rId4"/>
  </sheets>
  <definedNames>
    <definedName name="_xlnm._FilterDatabase" localSheetId="0" hidden="1">'مدارس اليافعين'!$A$5:$KY$22</definedName>
    <definedName name="_xlnm.Print_Area" localSheetId="2">'استمارة 11'!$A$1:$P$29</definedName>
    <definedName name="_xlnm.Print_Area" localSheetId="1">'استمارة اليافعين'!$A$1:$R$41</definedName>
    <definedName name="_xlnm.Print_Area" localSheetId="0">'مدارس اليافعين'!$A$1:$GH$22</definedName>
    <definedName name="_xlnm.Print_Area" localSheetId="3">ورقة1!$A$1:$S$40</definedName>
  </definedNames>
  <calcPr calcId="162913"/>
</workbook>
</file>

<file path=xl/calcChain.xml><?xml version="1.0" encoding="utf-8"?>
<calcChain xmlns="http://schemas.openxmlformats.org/spreadsheetml/2006/main">
  <c r="BI19" i="1" l="1"/>
  <c r="BK19" i="1" s="1"/>
  <c r="BJ19" i="1"/>
  <c r="BI20" i="1"/>
  <c r="BJ20" i="1"/>
  <c r="BI21" i="1"/>
  <c r="BJ21" i="1"/>
  <c r="BK21" i="1"/>
  <c r="AN19" i="1"/>
  <c r="AO19" i="1"/>
  <c r="AN20" i="1"/>
  <c r="AO20" i="1"/>
  <c r="AP20" i="1" s="1"/>
  <c r="AN21" i="1"/>
  <c r="AO21" i="1"/>
  <c r="AP21" i="1" s="1"/>
  <c r="AP19" i="1" l="1"/>
  <c r="BK20" i="1"/>
  <c r="JJ16" i="1"/>
  <c r="JC16" i="1"/>
  <c r="JE16" i="1" s="1"/>
  <c r="JD16" i="1"/>
  <c r="IR16" i="1"/>
  <c r="IS16" i="1"/>
  <c r="IT16" i="1"/>
  <c r="HW16" i="1"/>
  <c r="HX16" i="1"/>
  <c r="HJ16" i="1"/>
  <c r="HK16" i="1"/>
  <c r="GW16" i="1"/>
  <c r="GX16" i="1"/>
  <c r="GK16" i="1"/>
  <c r="GF16" i="1"/>
  <c r="GG16" i="1"/>
  <c r="FU16" i="1"/>
  <c r="FV16" i="1"/>
  <c r="FJ16" i="1"/>
  <c r="FL16" i="1" s="1"/>
  <c r="FK16" i="1"/>
  <c r="EY16" i="1"/>
  <c r="EZ16" i="1"/>
  <c r="FA16" i="1"/>
  <c r="EN16" i="1"/>
  <c r="EO16" i="1"/>
  <c r="EC16" i="1"/>
  <c r="EE16" i="1" s="1"/>
  <c r="ED16" i="1"/>
  <c r="DQ16" i="1"/>
  <c r="DR16" i="1"/>
  <c r="DS16" i="1"/>
  <c r="DT16" i="1" s="1"/>
  <c r="CY16" i="1"/>
  <c r="CZ16" i="1"/>
  <c r="DA16" i="1" s="1"/>
  <c r="CD16" i="1"/>
  <c r="CE16" i="1"/>
  <c r="CF16" i="1" s="1"/>
  <c r="BI16" i="1"/>
  <c r="BJ16" i="1"/>
  <c r="BK16" i="1" s="1"/>
  <c r="AN16" i="1"/>
  <c r="AO16" i="1"/>
  <c r="AP16" i="1" s="1"/>
  <c r="HL16" i="1" l="1"/>
  <c r="FW16" i="1"/>
  <c r="DB16" i="1"/>
  <c r="EP16" i="1"/>
  <c r="GH16" i="1"/>
  <c r="GY16" i="1"/>
  <c r="HY16" i="1"/>
  <c r="DC16" i="1"/>
  <c r="J24" i="3"/>
  <c r="K24" i="3"/>
  <c r="HJ9" i="1"/>
  <c r="HK9" i="1"/>
  <c r="HJ14" i="1"/>
  <c r="HK14" i="1"/>
  <c r="HJ15" i="1"/>
  <c r="HK15" i="1"/>
  <c r="HJ10" i="1"/>
  <c r="HK10" i="1"/>
  <c r="HL10" i="1" s="1"/>
  <c r="HJ7" i="1"/>
  <c r="HK7" i="1"/>
  <c r="HJ12" i="1"/>
  <c r="HK12" i="1"/>
  <c r="HJ11" i="1"/>
  <c r="HK11" i="1"/>
  <c r="HJ13" i="1"/>
  <c r="HK13" i="1"/>
  <c r="HJ8" i="1"/>
  <c r="HK8" i="1"/>
  <c r="HJ17" i="1"/>
  <c r="HK17" i="1"/>
  <c r="HJ18" i="1"/>
  <c r="HK18" i="1"/>
  <c r="HK6" i="1"/>
  <c r="HJ6" i="1"/>
  <c r="IR9" i="1"/>
  <c r="IS9" i="1"/>
  <c r="IR14" i="1"/>
  <c r="IS14" i="1"/>
  <c r="IR15" i="1"/>
  <c r="IS15" i="1"/>
  <c r="IR10" i="1"/>
  <c r="IS10" i="1"/>
  <c r="IT10" i="1" s="1"/>
  <c r="IR7" i="1"/>
  <c r="IS7" i="1"/>
  <c r="IR12" i="1"/>
  <c r="IS12" i="1"/>
  <c r="IR11" i="1"/>
  <c r="IS11" i="1"/>
  <c r="IR13" i="1"/>
  <c r="IS13" i="1"/>
  <c r="IR8" i="1"/>
  <c r="IS8" i="1"/>
  <c r="IR17" i="1"/>
  <c r="IS17" i="1"/>
  <c r="IR18" i="1"/>
  <c r="IS18" i="1"/>
  <c r="IS6" i="1"/>
  <c r="IR6" i="1"/>
  <c r="HW10" i="1"/>
  <c r="HY10" i="1" s="1"/>
  <c r="HX10" i="1"/>
  <c r="JC10" i="1"/>
  <c r="JD10" i="1"/>
  <c r="DD16" i="1" l="1"/>
  <c r="JE10" i="1"/>
  <c r="JJ13" i="1"/>
  <c r="JC13" i="1"/>
  <c r="JD13" i="1"/>
  <c r="HW13" i="1"/>
  <c r="HX13" i="1"/>
  <c r="HL13" i="1"/>
  <c r="GW13" i="1"/>
  <c r="GX13" i="1"/>
  <c r="GF13" i="1"/>
  <c r="GG13" i="1"/>
  <c r="GK13" i="1"/>
  <c r="FU13" i="1"/>
  <c r="FV13" i="1"/>
  <c r="FJ13" i="1"/>
  <c r="FK13" i="1"/>
  <c r="EY13" i="1"/>
  <c r="EZ13" i="1"/>
  <c r="EN13" i="1"/>
  <c r="EO13" i="1"/>
  <c r="EC13" i="1"/>
  <c r="ED13" i="1"/>
  <c r="DQ13" i="1"/>
  <c r="DR13" i="1"/>
  <c r="DS13" i="1"/>
  <c r="CY13" i="1"/>
  <c r="CZ13" i="1"/>
  <c r="CD13" i="1"/>
  <c r="CE13" i="1"/>
  <c r="BI13" i="1"/>
  <c r="BJ13" i="1"/>
  <c r="AN13" i="1"/>
  <c r="AO13" i="1"/>
  <c r="GW10" i="1"/>
  <c r="GX10" i="1"/>
  <c r="GF10" i="1"/>
  <c r="GG10" i="1"/>
  <c r="GK10" i="1"/>
  <c r="FU10" i="1"/>
  <c r="FV10" i="1"/>
  <c r="FJ10" i="1"/>
  <c r="FK10" i="1"/>
  <c r="EY10" i="1"/>
  <c r="EZ10" i="1"/>
  <c r="EN10" i="1"/>
  <c r="EO10" i="1"/>
  <c r="EC10" i="1"/>
  <c r="ED10" i="1"/>
  <c r="DQ10" i="1"/>
  <c r="DR10" i="1"/>
  <c r="DS10" i="1"/>
  <c r="CY10" i="1"/>
  <c r="CZ10" i="1"/>
  <c r="CD10" i="1"/>
  <c r="CE10" i="1"/>
  <c r="BI10" i="1"/>
  <c r="BJ10" i="1"/>
  <c r="AN10" i="1"/>
  <c r="AO10" i="1"/>
  <c r="JJ8" i="1"/>
  <c r="JC8" i="1"/>
  <c r="JD8" i="1"/>
  <c r="HW8" i="1"/>
  <c r="HX8" i="1"/>
  <c r="HW17" i="1"/>
  <c r="HX17" i="1"/>
  <c r="HL8" i="1"/>
  <c r="GW8" i="1"/>
  <c r="GX8" i="1"/>
  <c r="GK8" i="1"/>
  <c r="GF8" i="1"/>
  <c r="GG8" i="1"/>
  <c r="FU8" i="1"/>
  <c r="FV8" i="1"/>
  <c r="FJ8" i="1"/>
  <c r="FK8" i="1"/>
  <c r="EY8" i="1"/>
  <c r="EZ8" i="1"/>
  <c r="EN8" i="1"/>
  <c r="EO8" i="1"/>
  <c r="EC8" i="1"/>
  <c r="ED8" i="1"/>
  <c r="DQ8" i="1"/>
  <c r="DR8" i="1"/>
  <c r="DS8" i="1"/>
  <c r="CY8" i="1"/>
  <c r="CZ8" i="1"/>
  <c r="CD8" i="1"/>
  <c r="CE8" i="1"/>
  <c r="BI8" i="1"/>
  <c r="BJ8" i="1"/>
  <c r="AN8" i="1"/>
  <c r="AO8" i="1"/>
  <c r="JJ15" i="1"/>
  <c r="JC15" i="1"/>
  <c r="JD15" i="1"/>
  <c r="IT15" i="1"/>
  <c r="HW9" i="1"/>
  <c r="HX9" i="1"/>
  <c r="HW14" i="1"/>
  <c r="HX14" i="1"/>
  <c r="HW15" i="1"/>
  <c r="HX15" i="1"/>
  <c r="HL15" i="1"/>
  <c r="GW15" i="1"/>
  <c r="GX15" i="1"/>
  <c r="GK15" i="1"/>
  <c r="GF15" i="1"/>
  <c r="GG15" i="1"/>
  <c r="FU15" i="1"/>
  <c r="FV15" i="1"/>
  <c r="FJ15" i="1"/>
  <c r="FK15" i="1"/>
  <c r="EY15" i="1"/>
  <c r="EZ15" i="1"/>
  <c r="EN15" i="1"/>
  <c r="EO15" i="1"/>
  <c r="EC15" i="1"/>
  <c r="ED15" i="1"/>
  <c r="DQ15" i="1"/>
  <c r="DR15" i="1"/>
  <c r="DS15" i="1"/>
  <c r="CY15" i="1"/>
  <c r="CZ15" i="1"/>
  <c r="CD15" i="1"/>
  <c r="CE15" i="1"/>
  <c r="BI15" i="1"/>
  <c r="BJ15" i="1"/>
  <c r="AN15" i="1"/>
  <c r="AO15" i="1"/>
  <c r="KE22" i="1"/>
  <c r="KF22" i="1"/>
  <c r="KG22" i="1"/>
  <c r="KH22" i="1"/>
  <c r="KI22" i="1"/>
  <c r="KJ22" i="1"/>
  <c r="HY13" i="1" l="1"/>
  <c r="JE13" i="1"/>
  <c r="DA10" i="1"/>
  <c r="EE10" i="1"/>
  <c r="GY10" i="1"/>
  <c r="DA13" i="1"/>
  <c r="EP10" i="1"/>
  <c r="JE15" i="1"/>
  <c r="FL8" i="1"/>
  <c r="GH13" i="1"/>
  <c r="AP8" i="1"/>
  <c r="CF8" i="1"/>
  <c r="FL10" i="1"/>
  <c r="EE13" i="1"/>
  <c r="FA13" i="1"/>
  <c r="EE15" i="1"/>
  <c r="FA15" i="1"/>
  <c r="BK15" i="1"/>
  <c r="FW13" i="1"/>
  <c r="FA10" i="1"/>
  <c r="FL13" i="1"/>
  <c r="BK10" i="1"/>
  <c r="AP13" i="1"/>
  <c r="GY8" i="1"/>
  <c r="DT10" i="1"/>
  <c r="GH10" i="1"/>
  <c r="GH15" i="1"/>
  <c r="EE8" i="1"/>
  <c r="HY17" i="1"/>
  <c r="FW10" i="1"/>
  <c r="GY13" i="1"/>
  <c r="EP8" i="1"/>
  <c r="FW15" i="1"/>
  <c r="EP15" i="1"/>
  <c r="EP13" i="1"/>
  <c r="DT15" i="1"/>
  <c r="DT8" i="1"/>
  <c r="CF15" i="1"/>
  <c r="CF10" i="1"/>
  <c r="DB8" i="1"/>
  <c r="DC10" i="1"/>
  <c r="BK13" i="1"/>
  <c r="AP10" i="1"/>
  <c r="DC8" i="1"/>
  <c r="DD8" i="1" s="1"/>
  <c r="DB10" i="1"/>
  <c r="DB13" i="1"/>
  <c r="DC13" i="1"/>
  <c r="IT13" i="1"/>
  <c r="DT13" i="1"/>
  <c r="CF13" i="1"/>
  <c r="FL15" i="1"/>
  <c r="GY15" i="1"/>
  <c r="DC15" i="1"/>
  <c r="BK8" i="1"/>
  <c r="FA8" i="1"/>
  <c r="FW8" i="1"/>
  <c r="AP15" i="1"/>
  <c r="DB15" i="1"/>
  <c r="DA8" i="1"/>
  <c r="GH8" i="1"/>
  <c r="JE8" i="1"/>
  <c r="HY14" i="1"/>
  <c r="HY9" i="1"/>
  <c r="HY8" i="1"/>
  <c r="IT8" i="1"/>
  <c r="HY15" i="1"/>
  <c r="DA15" i="1"/>
  <c r="DD10" i="1" l="1"/>
  <c r="DD13" i="1"/>
  <c r="DD15" i="1"/>
  <c r="JJ9" i="1"/>
  <c r="JJ14" i="1"/>
  <c r="JJ17" i="1"/>
  <c r="JJ12" i="1"/>
  <c r="JJ11" i="1"/>
  <c r="JJ18" i="1"/>
  <c r="JJ7" i="1"/>
  <c r="JC9" i="1"/>
  <c r="JD9" i="1"/>
  <c r="JC14" i="1"/>
  <c r="JD14" i="1"/>
  <c r="JC17" i="1"/>
  <c r="JD17" i="1"/>
  <c r="JC12" i="1"/>
  <c r="JD12" i="1"/>
  <c r="JC11" i="1"/>
  <c r="JD11" i="1"/>
  <c r="JC18" i="1"/>
  <c r="JD18" i="1"/>
  <c r="JC7" i="1"/>
  <c r="JD7" i="1"/>
  <c r="HW12" i="1"/>
  <c r="HX12" i="1"/>
  <c r="HW11" i="1"/>
  <c r="HX11" i="1"/>
  <c r="HW18" i="1"/>
  <c r="HX18" i="1"/>
  <c r="HW7" i="1"/>
  <c r="HX7" i="1"/>
  <c r="GW9" i="1"/>
  <c r="GX9" i="1"/>
  <c r="GW14" i="1"/>
  <c r="GX14" i="1"/>
  <c r="GW17" i="1"/>
  <c r="GX17" i="1"/>
  <c r="GW12" i="1"/>
  <c r="GX12" i="1"/>
  <c r="GW11" i="1"/>
  <c r="GX11" i="1"/>
  <c r="GW18" i="1"/>
  <c r="GX18" i="1"/>
  <c r="GW7" i="1"/>
  <c r="GX7" i="1"/>
  <c r="GK9" i="1"/>
  <c r="GK14" i="1"/>
  <c r="GK17" i="1"/>
  <c r="GK12" i="1"/>
  <c r="GK11" i="1"/>
  <c r="GK18" i="1"/>
  <c r="GK7" i="1"/>
  <c r="GF9" i="1"/>
  <c r="GG9" i="1"/>
  <c r="GF14" i="1"/>
  <c r="GG14" i="1"/>
  <c r="GF17" i="1"/>
  <c r="GG17" i="1"/>
  <c r="GF12" i="1"/>
  <c r="GG12" i="1"/>
  <c r="GF11" i="1"/>
  <c r="GG11" i="1"/>
  <c r="GF18" i="1"/>
  <c r="GG18" i="1"/>
  <c r="GF7" i="1"/>
  <c r="GG7" i="1"/>
  <c r="FU9" i="1"/>
  <c r="FV9" i="1"/>
  <c r="FU14" i="1"/>
  <c r="FV14" i="1"/>
  <c r="FU17" i="1"/>
  <c r="FV17" i="1"/>
  <c r="FU12" i="1"/>
  <c r="FV12" i="1"/>
  <c r="FU11" i="1"/>
  <c r="FV11" i="1"/>
  <c r="FU18" i="1"/>
  <c r="FV18" i="1"/>
  <c r="FU7" i="1"/>
  <c r="FV7" i="1"/>
  <c r="FJ9" i="1"/>
  <c r="FK9" i="1"/>
  <c r="FJ14" i="1"/>
  <c r="FK14" i="1"/>
  <c r="FJ17" i="1"/>
  <c r="FK17" i="1"/>
  <c r="FJ12" i="1"/>
  <c r="FK12" i="1"/>
  <c r="FJ11" i="1"/>
  <c r="FK11" i="1"/>
  <c r="FJ18" i="1"/>
  <c r="FK18" i="1"/>
  <c r="FJ7" i="1"/>
  <c r="FK7" i="1"/>
  <c r="EY9" i="1"/>
  <c r="EZ9" i="1"/>
  <c r="EY14" i="1"/>
  <c r="EZ14" i="1"/>
  <c r="EY17" i="1"/>
  <c r="EZ17" i="1"/>
  <c r="EY12" i="1"/>
  <c r="EZ12" i="1"/>
  <c r="EY11" i="1"/>
  <c r="EZ11" i="1"/>
  <c r="EY18" i="1"/>
  <c r="EZ18" i="1"/>
  <c r="EY7" i="1"/>
  <c r="EZ7" i="1"/>
  <c r="EN9" i="1"/>
  <c r="EO9" i="1"/>
  <c r="EN14" i="1"/>
  <c r="EO14" i="1"/>
  <c r="EN17" i="1"/>
  <c r="EO17" i="1"/>
  <c r="EN12" i="1"/>
  <c r="EO12" i="1"/>
  <c r="EN11" i="1"/>
  <c r="EO11" i="1"/>
  <c r="EN18" i="1"/>
  <c r="EO18" i="1"/>
  <c r="EN7" i="1"/>
  <c r="EO7" i="1"/>
  <c r="EN6" i="1"/>
  <c r="EC9" i="1"/>
  <c r="ED9" i="1"/>
  <c r="EC14" i="1"/>
  <c r="ED14" i="1"/>
  <c r="EC17" i="1"/>
  <c r="ED17" i="1"/>
  <c r="EC12" i="1"/>
  <c r="ED12" i="1"/>
  <c r="EC11" i="1"/>
  <c r="ED11" i="1"/>
  <c r="EC18" i="1"/>
  <c r="ED18" i="1"/>
  <c r="EC7" i="1"/>
  <c r="ED7" i="1"/>
  <c r="DQ9" i="1"/>
  <c r="DR9" i="1"/>
  <c r="DS9" i="1"/>
  <c r="DQ14" i="1"/>
  <c r="DR14" i="1"/>
  <c r="DS14" i="1"/>
  <c r="DQ17" i="1"/>
  <c r="DR17" i="1"/>
  <c r="DS17" i="1"/>
  <c r="DQ12" i="1"/>
  <c r="DR12" i="1"/>
  <c r="DS12" i="1"/>
  <c r="DQ11" i="1"/>
  <c r="DR11" i="1"/>
  <c r="DS11" i="1"/>
  <c r="DQ18" i="1"/>
  <c r="DR18" i="1"/>
  <c r="DS18" i="1"/>
  <c r="DQ7" i="1"/>
  <c r="DR7" i="1"/>
  <c r="DS7" i="1"/>
  <c r="CY9" i="1"/>
  <c r="CZ9" i="1"/>
  <c r="CY14" i="1"/>
  <c r="CZ14" i="1"/>
  <c r="CY17" i="1"/>
  <c r="CZ17" i="1"/>
  <c r="CY12" i="1"/>
  <c r="CZ12" i="1"/>
  <c r="CY11" i="1"/>
  <c r="CZ11" i="1"/>
  <c r="CY18" i="1"/>
  <c r="CZ18" i="1"/>
  <c r="CY7" i="1"/>
  <c r="CZ7" i="1"/>
  <c r="CD9" i="1"/>
  <c r="CE9" i="1"/>
  <c r="CD14" i="1"/>
  <c r="CE14" i="1"/>
  <c r="CD17" i="1"/>
  <c r="CE17" i="1"/>
  <c r="CD12" i="1"/>
  <c r="CE12" i="1"/>
  <c r="CD11" i="1"/>
  <c r="CE11" i="1"/>
  <c r="CD18" i="1"/>
  <c r="CE18" i="1"/>
  <c r="CD7" i="1"/>
  <c r="CE7" i="1"/>
  <c r="BI9" i="1"/>
  <c r="BJ9" i="1"/>
  <c r="BI14" i="1"/>
  <c r="BJ14" i="1"/>
  <c r="BI17" i="1"/>
  <c r="BJ17" i="1"/>
  <c r="BI12" i="1"/>
  <c r="BJ12" i="1"/>
  <c r="BI11" i="1"/>
  <c r="BJ11" i="1"/>
  <c r="BI18" i="1"/>
  <c r="BJ18" i="1"/>
  <c r="BI7" i="1"/>
  <c r="BJ7" i="1"/>
  <c r="AN12" i="1"/>
  <c r="AO12" i="1"/>
  <c r="AN11" i="1"/>
  <c r="AO11" i="1"/>
  <c r="AN18" i="1"/>
  <c r="AO18" i="1"/>
  <c r="AN7" i="1"/>
  <c r="AO7" i="1"/>
  <c r="AN9" i="1"/>
  <c r="AO9" i="1"/>
  <c r="AN14" i="1"/>
  <c r="AO14" i="1"/>
  <c r="AN17" i="1"/>
  <c r="AO17" i="1"/>
  <c r="HY18" i="1" l="1"/>
  <c r="JE9" i="1"/>
  <c r="GH12" i="1"/>
  <c r="GY17" i="1"/>
  <c r="GY9" i="1"/>
  <c r="AP17" i="1"/>
  <c r="HL14" i="1"/>
  <c r="JE7" i="1"/>
  <c r="FL7" i="1"/>
  <c r="JE14" i="1"/>
  <c r="FA18" i="1"/>
  <c r="GH7" i="1"/>
  <c r="GH11" i="1"/>
  <c r="BK18" i="1"/>
  <c r="BK12" i="1"/>
  <c r="BK14" i="1"/>
  <c r="DA18" i="1"/>
  <c r="DA14" i="1"/>
  <c r="GH18" i="1"/>
  <c r="FA14" i="1"/>
  <c r="FW17" i="1"/>
  <c r="FW9" i="1"/>
  <c r="HL7" i="1"/>
  <c r="CF11" i="1"/>
  <c r="EP17" i="1"/>
  <c r="EP9" i="1"/>
  <c r="AP9" i="1"/>
  <c r="EE17" i="1"/>
  <c r="FL9" i="1"/>
  <c r="GH9" i="1"/>
  <c r="BK7" i="1"/>
  <c r="BK9" i="1"/>
  <c r="CF18" i="1"/>
  <c r="CF12" i="1"/>
  <c r="CF14" i="1"/>
  <c r="DC7" i="1"/>
  <c r="DC12" i="1"/>
  <c r="DT7" i="1"/>
  <c r="AP18" i="1"/>
  <c r="BK11" i="1"/>
  <c r="BK17" i="1"/>
  <c r="DA7" i="1"/>
  <c r="FA17" i="1"/>
  <c r="FA9" i="1"/>
  <c r="FL11" i="1"/>
  <c r="GH17" i="1"/>
  <c r="GY12" i="1"/>
  <c r="GY14" i="1"/>
  <c r="HL18" i="1"/>
  <c r="HY7" i="1"/>
  <c r="IT12" i="1"/>
  <c r="JE11" i="1"/>
  <c r="JE17" i="1"/>
  <c r="DC17" i="1"/>
  <c r="DC9" i="1"/>
  <c r="AP14" i="1"/>
  <c r="AP7" i="1"/>
  <c r="AP11" i="1"/>
  <c r="CF7" i="1"/>
  <c r="DA12" i="1"/>
  <c r="DA9" i="1"/>
  <c r="DT12" i="1"/>
  <c r="EE12" i="1"/>
  <c r="EE14" i="1"/>
  <c r="EP18" i="1"/>
  <c r="EP14" i="1"/>
  <c r="FL12" i="1"/>
  <c r="FL14" i="1"/>
  <c r="FW12" i="1"/>
  <c r="FW14" i="1"/>
  <c r="GH14" i="1"/>
  <c r="HL11" i="1"/>
  <c r="HL17" i="1"/>
  <c r="JE18" i="1"/>
  <c r="DT11" i="1"/>
  <c r="DT9" i="1"/>
  <c r="DC18" i="1"/>
  <c r="IT17" i="1"/>
  <c r="CF9" i="1"/>
  <c r="DA17" i="1"/>
  <c r="FW7" i="1"/>
  <c r="GY7" i="1"/>
  <c r="HL9" i="1"/>
  <c r="DA11" i="1"/>
  <c r="DB12" i="1"/>
  <c r="DC14" i="1"/>
  <c r="DT18" i="1"/>
  <c r="DT14" i="1"/>
  <c r="EE11" i="1"/>
  <c r="EP7" i="1"/>
  <c r="FA7" i="1"/>
  <c r="FL18" i="1"/>
  <c r="FL17" i="1"/>
  <c r="FW11" i="1"/>
  <c r="GY11" i="1"/>
  <c r="HL12" i="1"/>
  <c r="HY12" i="1"/>
  <c r="JE12" i="1"/>
  <c r="DC11" i="1"/>
  <c r="CF17" i="1"/>
  <c r="DB14" i="1"/>
  <c r="EE7" i="1"/>
  <c r="EP12" i="1"/>
  <c r="FA12" i="1"/>
  <c r="IT18" i="1"/>
  <c r="IT14" i="1"/>
  <c r="AP12" i="1"/>
  <c r="DB18" i="1"/>
  <c r="DT17" i="1"/>
  <c r="EE18" i="1"/>
  <c r="EE9" i="1"/>
  <c r="EP11" i="1"/>
  <c r="FA11" i="1"/>
  <c r="FW18" i="1"/>
  <c r="GY18" i="1"/>
  <c r="HY11" i="1"/>
  <c r="IT7" i="1"/>
  <c r="IT11" i="1"/>
  <c r="IT9" i="1"/>
  <c r="DB7" i="1"/>
  <c r="DB11" i="1"/>
  <c r="DB17" i="1"/>
  <c r="DB9" i="1"/>
  <c r="DD7" i="1" l="1"/>
  <c r="DD11" i="1"/>
  <c r="DD18" i="1"/>
  <c r="DD9" i="1"/>
  <c r="DD17" i="1"/>
  <c r="DD12" i="1"/>
  <c r="DD14" i="1"/>
  <c r="V22" i="1"/>
  <c r="H22" i="1" l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W22" i="1"/>
  <c r="E14" i="2" s="1"/>
  <c r="X22" i="1"/>
  <c r="Y22" i="1"/>
  <c r="E15" i="2" s="1"/>
  <c r="Z22" i="1"/>
  <c r="AA22" i="1"/>
  <c r="E16" i="2" s="1"/>
  <c r="AB22" i="1"/>
  <c r="AC22" i="1"/>
  <c r="E17" i="2" s="1"/>
  <c r="AD22" i="1"/>
  <c r="AE22" i="1"/>
  <c r="E18" i="2" s="1"/>
  <c r="AF22" i="1"/>
  <c r="AG22" i="1"/>
  <c r="E19" i="2" s="1"/>
  <c r="AH22" i="1"/>
  <c r="AI22" i="1"/>
  <c r="AJ22" i="1"/>
  <c r="AK22" i="1"/>
  <c r="AL22" i="1"/>
  <c r="AM22" i="1"/>
  <c r="AQ22" i="1"/>
  <c r="AR22" i="1"/>
  <c r="G14" i="2" s="1"/>
  <c r="AS22" i="1"/>
  <c r="AT22" i="1"/>
  <c r="G15" i="2" s="1"/>
  <c r="AU22" i="1"/>
  <c r="AV22" i="1"/>
  <c r="G16" i="2" s="1"/>
  <c r="AW22" i="1"/>
  <c r="AX22" i="1"/>
  <c r="G17" i="2" s="1"/>
  <c r="AY22" i="1"/>
  <c r="AZ22" i="1"/>
  <c r="G18" i="2" s="1"/>
  <c r="BA22" i="1"/>
  <c r="BB22" i="1"/>
  <c r="G19" i="2" s="1"/>
  <c r="BC22" i="1"/>
  <c r="BD22" i="1"/>
  <c r="BE22" i="1"/>
  <c r="BF22" i="1"/>
  <c r="BG22" i="1"/>
  <c r="BH22" i="1"/>
  <c r="BL22" i="1"/>
  <c r="BM22" i="1"/>
  <c r="BN22" i="1"/>
  <c r="BO22" i="1"/>
  <c r="BP22" i="1"/>
  <c r="BQ22" i="1"/>
  <c r="BR22" i="1"/>
  <c r="BS22" i="1"/>
  <c r="BT22" i="1"/>
  <c r="BU22" i="1"/>
  <c r="I18" i="2" s="1"/>
  <c r="BV22" i="1"/>
  <c r="BW22" i="1"/>
  <c r="I19" i="2" s="1"/>
  <c r="BX22" i="1"/>
  <c r="BY22" i="1"/>
  <c r="BZ22" i="1"/>
  <c r="CA22" i="1"/>
  <c r="CB22" i="1"/>
  <c r="CC22" i="1"/>
  <c r="CG22" i="1"/>
  <c r="CH22" i="1"/>
  <c r="K14" i="2" s="1"/>
  <c r="CI22" i="1"/>
  <c r="CJ22" i="1"/>
  <c r="K15" i="2" s="1"/>
  <c r="CK22" i="1"/>
  <c r="CL22" i="1"/>
  <c r="K16" i="2" s="1"/>
  <c r="CM22" i="1"/>
  <c r="CN22" i="1"/>
  <c r="K17" i="2" s="1"/>
  <c r="CO22" i="1"/>
  <c r="CP22" i="1"/>
  <c r="K18" i="2" s="1"/>
  <c r="CQ22" i="1"/>
  <c r="CR22" i="1"/>
  <c r="K19" i="2" s="1"/>
  <c r="CS22" i="1"/>
  <c r="CT22" i="1"/>
  <c r="CU22" i="1"/>
  <c r="CV22" i="1"/>
  <c r="CW22" i="1"/>
  <c r="CX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U22" i="1"/>
  <c r="DV22" i="1"/>
  <c r="E25" i="2" s="1"/>
  <c r="DW22" i="1"/>
  <c r="DX22" i="1"/>
  <c r="E26" i="2" s="1"/>
  <c r="DY22" i="1"/>
  <c r="DZ22" i="1"/>
  <c r="E27" i="2" s="1"/>
  <c r="EA22" i="1"/>
  <c r="EB22" i="1"/>
  <c r="E28" i="2" s="1"/>
  <c r="EF22" i="1"/>
  <c r="EG22" i="1"/>
  <c r="H25" i="2" s="1"/>
  <c r="EH22" i="1"/>
  <c r="EI22" i="1"/>
  <c r="H26" i="2" s="1"/>
  <c r="EJ22" i="1"/>
  <c r="EK22" i="1"/>
  <c r="H27" i="2" s="1"/>
  <c r="EL22" i="1"/>
  <c r="EM22" i="1"/>
  <c r="H28" i="2" s="1"/>
  <c r="EQ22" i="1"/>
  <c r="ER22" i="1"/>
  <c r="K25" i="2" s="1"/>
  <c r="ES22" i="1"/>
  <c r="ET22" i="1"/>
  <c r="K26" i="2" s="1"/>
  <c r="EU22" i="1"/>
  <c r="EV22" i="1"/>
  <c r="K27" i="2" s="1"/>
  <c r="EW22" i="1"/>
  <c r="EX22" i="1"/>
  <c r="K28" i="2" s="1"/>
  <c r="FB22" i="1"/>
  <c r="FC22" i="1"/>
  <c r="M25" i="2" s="1"/>
  <c r="FD22" i="1"/>
  <c r="FE22" i="1"/>
  <c r="M26" i="2" s="1"/>
  <c r="FF22" i="1"/>
  <c r="FG22" i="1"/>
  <c r="M27" i="2" s="1"/>
  <c r="FH22" i="1"/>
  <c r="FI22" i="1"/>
  <c r="M28" i="2" s="1"/>
  <c r="FM22" i="1"/>
  <c r="FN22" i="1"/>
  <c r="O25" i="2" s="1"/>
  <c r="FO22" i="1"/>
  <c r="FP22" i="1"/>
  <c r="O26" i="2" s="1"/>
  <c r="FQ22" i="1"/>
  <c r="FR22" i="1"/>
  <c r="O27" i="2" s="1"/>
  <c r="FS22" i="1"/>
  <c r="FT22" i="1"/>
  <c r="O28" i="2" s="1"/>
  <c r="FX22" i="1"/>
  <c r="FY22" i="1"/>
  <c r="FZ22" i="1"/>
  <c r="GA22" i="1"/>
  <c r="GB22" i="1"/>
  <c r="GC22" i="1"/>
  <c r="GD22" i="1"/>
  <c r="GE22" i="1"/>
  <c r="GI22" i="1"/>
  <c r="GJ22" i="1"/>
  <c r="GL22" i="1"/>
  <c r="GM22" i="1"/>
  <c r="GN22" i="1"/>
  <c r="GO22" i="1"/>
  <c r="GP22" i="1"/>
  <c r="GQ22" i="1"/>
  <c r="GR22" i="1"/>
  <c r="GS22" i="1"/>
  <c r="GT22" i="1"/>
  <c r="GU22" i="1"/>
  <c r="GV22" i="1"/>
  <c r="GZ22" i="1"/>
  <c r="HA22" i="1"/>
  <c r="HB22" i="1"/>
  <c r="HC22" i="1"/>
  <c r="HD22" i="1"/>
  <c r="HE22" i="1"/>
  <c r="HF22" i="1"/>
  <c r="HG22" i="1"/>
  <c r="I24" i="3" s="1"/>
  <c r="HM22" i="1"/>
  <c r="HN22" i="1"/>
  <c r="HO22" i="1"/>
  <c r="HP22" i="1"/>
  <c r="HQ22" i="1"/>
  <c r="HR22" i="1"/>
  <c r="HS22" i="1"/>
  <c r="HT22" i="1"/>
  <c r="HU22" i="1"/>
  <c r="HV22" i="1"/>
  <c r="HZ22" i="1"/>
  <c r="IA22" i="1"/>
  <c r="IB22" i="1"/>
  <c r="IC22" i="1"/>
  <c r="ID22" i="1"/>
  <c r="IE22" i="1"/>
  <c r="IF22" i="1"/>
  <c r="IG22" i="1"/>
  <c r="IH22" i="1"/>
  <c r="II22" i="1"/>
  <c r="IJ22" i="1"/>
  <c r="IK22" i="1"/>
  <c r="IL22" i="1"/>
  <c r="IM22" i="1"/>
  <c r="IN22" i="1"/>
  <c r="IO22" i="1"/>
  <c r="IU22" i="1"/>
  <c r="IV22" i="1"/>
  <c r="IW22" i="1"/>
  <c r="IX22" i="1"/>
  <c r="IY22" i="1"/>
  <c r="IZ22" i="1"/>
  <c r="JA22" i="1"/>
  <c r="JB22" i="1"/>
  <c r="JF22" i="1"/>
  <c r="JG22" i="1"/>
  <c r="JH22" i="1"/>
  <c r="JI22" i="1"/>
  <c r="JK22" i="1"/>
  <c r="JL22" i="1"/>
  <c r="JM22" i="1"/>
  <c r="JN22" i="1"/>
  <c r="JO22" i="1"/>
  <c r="JP22" i="1"/>
  <c r="JQ22" i="1"/>
  <c r="JR22" i="1"/>
  <c r="JS22" i="1"/>
  <c r="JT22" i="1"/>
  <c r="JU22" i="1"/>
  <c r="JV22" i="1"/>
  <c r="JW22" i="1"/>
  <c r="JX22" i="1"/>
  <c r="JY22" i="1"/>
  <c r="JZ22" i="1"/>
  <c r="KA22" i="1"/>
  <c r="KB22" i="1"/>
  <c r="KC22" i="1"/>
  <c r="KD22" i="1"/>
  <c r="KK22" i="1"/>
  <c r="KL22" i="1"/>
  <c r="KM22" i="1"/>
  <c r="KN22" i="1"/>
  <c r="KO22" i="1"/>
  <c r="KP22" i="1"/>
  <c r="KQ22" i="1"/>
  <c r="KR22" i="1"/>
  <c r="KS22" i="1"/>
  <c r="KT22" i="1"/>
  <c r="KU22" i="1"/>
  <c r="KV22" i="1"/>
  <c r="KW22" i="1"/>
  <c r="KX22" i="1"/>
  <c r="KY22" i="1"/>
  <c r="G22" i="1"/>
  <c r="GX6" i="1" l="1"/>
  <c r="GX22" i="1" s="1"/>
  <c r="GW6" i="1"/>
  <c r="GW22" i="1" s="1"/>
  <c r="HK22" i="1" l="1"/>
  <c r="HJ22" i="1"/>
  <c r="JJ6" i="1"/>
  <c r="JJ22" i="1" s="1"/>
  <c r="IP22" i="1" l="1"/>
  <c r="E18" i="3" s="1"/>
  <c r="G24" i="3" l="1"/>
  <c r="H24" i="3"/>
  <c r="E10" i="3" l="1"/>
  <c r="F10" i="3"/>
  <c r="E11" i="3"/>
  <c r="F11" i="3"/>
  <c r="E12" i="3"/>
  <c r="F12" i="3"/>
  <c r="E13" i="3"/>
  <c r="F13" i="3"/>
  <c r="E14" i="3"/>
  <c r="F14" i="3"/>
  <c r="E15" i="3"/>
  <c r="F15" i="3"/>
  <c r="F16" i="3"/>
  <c r="G16" i="3" s="1"/>
  <c r="E17" i="3"/>
  <c r="F17" i="3"/>
  <c r="K11" i="3"/>
  <c r="K12" i="3"/>
  <c r="B5" i="3"/>
  <c r="I5" i="3"/>
  <c r="D5" i="3"/>
  <c r="C5" i="3"/>
  <c r="E5" i="3"/>
  <c r="IR22" i="1"/>
  <c r="JD6" i="1"/>
  <c r="JD22" i="1" s="1"/>
  <c r="JC6" i="1"/>
  <c r="JC22" i="1" s="1"/>
  <c r="HX6" i="1"/>
  <c r="HX22" i="1" s="1"/>
  <c r="HW6" i="1"/>
  <c r="HW22" i="1" s="1"/>
  <c r="B24" i="3"/>
  <c r="C24" i="3"/>
  <c r="D24" i="3"/>
  <c r="E24" i="3"/>
  <c r="F24" i="3"/>
  <c r="B29" i="3"/>
  <c r="C29" i="3"/>
  <c r="D29" i="3"/>
  <c r="E29" i="3"/>
  <c r="F29" i="3"/>
  <c r="G29" i="3"/>
  <c r="H29" i="3"/>
  <c r="I29" i="3"/>
  <c r="J29" i="3"/>
  <c r="K29" i="3"/>
  <c r="D25" i="2"/>
  <c r="F25" i="2" s="1"/>
  <c r="D26" i="2"/>
  <c r="F26" i="2" s="1"/>
  <c r="D27" i="2"/>
  <c r="F27" i="2" s="1"/>
  <c r="D28" i="2"/>
  <c r="F28" i="2" s="1"/>
  <c r="G26" i="2"/>
  <c r="I26" i="2" s="1"/>
  <c r="G28" i="2"/>
  <c r="I28" i="2" s="1"/>
  <c r="J25" i="2"/>
  <c r="J26" i="2"/>
  <c r="J27" i="2"/>
  <c r="J28" i="2"/>
  <c r="L25" i="2"/>
  <c r="L26" i="2"/>
  <c r="L27" i="2"/>
  <c r="L28" i="2"/>
  <c r="N25" i="2"/>
  <c r="N26" i="2"/>
  <c r="N27" i="2"/>
  <c r="N28" i="2"/>
  <c r="FV6" i="1"/>
  <c r="FV22" i="1" s="1"/>
  <c r="FU6" i="1"/>
  <c r="FU22" i="1" s="1"/>
  <c r="FK6" i="1"/>
  <c r="FK22" i="1" s="1"/>
  <c r="FJ6" i="1"/>
  <c r="FJ22" i="1" s="1"/>
  <c r="EZ6" i="1"/>
  <c r="EZ22" i="1" s="1"/>
  <c r="EY6" i="1"/>
  <c r="EY22" i="1" s="1"/>
  <c r="EO6" i="1"/>
  <c r="EO22" i="1" s="1"/>
  <c r="EN22" i="1"/>
  <c r="ED6" i="1"/>
  <c r="ED22" i="1" s="1"/>
  <c r="EC6" i="1"/>
  <c r="Q26" i="2"/>
  <c r="Q27" i="2"/>
  <c r="Q28" i="2"/>
  <c r="Q25" i="2"/>
  <c r="E29" i="2"/>
  <c r="H29" i="2"/>
  <c r="K29" i="2"/>
  <c r="M29" i="2"/>
  <c r="O29" i="2"/>
  <c r="M24" i="3" l="1"/>
  <c r="E19" i="3"/>
  <c r="EC22" i="1"/>
  <c r="EE6" i="1"/>
  <c r="EE22" i="1" s="1"/>
  <c r="L24" i="3"/>
  <c r="IS22" i="1"/>
  <c r="IQ22" i="1"/>
  <c r="F18" i="3" s="1"/>
  <c r="G18" i="3" s="1"/>
  <c r="G27" i="2"/>
  <c r="I27" i="2" s="1"/>
  <c r="G25" i="2"/>
  <c r="I25" i="2" s="1"/>
  <c r="G12" i="3"/>
  <c r="FW6" i="1"/>
  <c r="FW22" i="1" s="1"/>
  <c r="K13" i="3"/>
  <c r="HY6" i="1"/>
  <c r="HY22" i="1" s="1"/>
  <c r="P25" i="2"/>
  <c r="R25" i="2" s="1"/>
  <c r="G15" i="3"/>
  <c r="P28" i="2"/>
  <c r="R28" i="2" s="1"/>
  <c r="P27" i="2"/>
  <c r="R27" i="2" s="1"/>
  <c r="P26" i="2"/>
  <c r="R26" i="2" s="1"/>
  <c r="D29" i="2"/>
  <c r="L29" i="2"/>
  <c r="N29" i="2"/>
  <c r="J29" i="2"/>
  <c r="G13" i="3"/>
  <c r="G11" i="3"/>
  <c r="G10" i="3"/>
  <c r="L29" i="3"/>
  <c r="G17" i="3"/>
  <c r="G14" i="3"/>
  <c r="M29" i="3"/>
  <c r="Q29" i="2"/>
  <c r="JE6" i="1"/>
  <c r="JE22" i="1" s="1"/>
  <c r="GY6" i="1"/>
  <c r="GY22" i="1" s="1"/>
  <c r="IT6" i="1"/>
  <c r="IT22" i="1" s="1"/>
  <c r="EP6" i="1"/>
  <c r="EP22" i="1" s="1"/>
  <c r="HL6" i="1"/>
  <c r="HL22" i="1" s="1"/>
  <c r="FL6" i="1"/>
  <c r="FL22" i="1" s="1"/>
  <c r="FA6" i="1"/>
  <c r="FA22" i="1" s="1"/>
  <c r="F29" i="2"/>
  <c r="F19" i="3" l="1"/>
  <c r="G19" i="3"/>
  <c r="G29" i="2"/>
  <c r="I29" i="2"/>
  <c r="N24" i="3"/>
  <c r="P29" i="2"/>
  <c r="N29" i="3"/>
  <c r="R29" i="2"/>
  <c r="F39" i="2"/>
  <c r="GK6" i="1" l="1"/>
  <c r="GK22" i="1" s="1"/>
  <c r="K38" i="2"/>
  <c r="K39" i="2"/>
  <c r="H9" i="2"/>
  <c r="J9" i="2"/>
  <c r="I14" i="2"/>
  <c r="I15" i="2"/>
  <c r="M15" i="2" s="1"/>
  <c r="I16" i="2"/>
  <c r="M16" i="2" s="1"/>
  <c r="I17" i="2"/>
  <c r="M17" i="2" s="1"/>
  <c r="M18" i="2"/>
  <c r="M19" i="2"/>
  <c r="C34" i="2"/>
  <c r="D34" i="2"/>
  <c r="E34" i="2"/>
  <c r="F34" i="2"/>
  <c r="G34" i="2"/>
  <c r="H34" i="2"/>
  <c r="I34" i="2"/>
  <c r="J34" i="2"/>
  <c r="K34" i="2"/>
  <c r="L34" i="2"/>
  <c r="M34" i="2"/>
  <c r="N34" i="2"/>
  <c r="F38" i="2"/>
  <c r="G38" i="2"/>
  <c r="G39" i="2"/>
  <c r="D9" i="2"/>
  <c r="C9" i="2"/>
  <c r="G9" i="2"/>
  <c r="F9" i="2"/>
  <c r="E9" i="2"/>
  <c r="GG6" i="1"/>
  <c r="GG22" i="1" s="1"/>
  <c r="GF6" i="1"/>
  <c r="GF22" i="1" s="1"/>
  <c r="DS6" i="1"/>
  <c r="DS22" i="1" s="1"/>
  <c r="DR6" i="1"/>
  <c r="DR22" i="1" s="1"/>
  <c r="DQ6" i="1"/>
  <c r="DQ22" i="1" s="1"/>
  <c r="CZ6" i="1"/>
  <c r="CZ22" i="1" s="1"/>
  <c r="CY6" i="1"/>
  <c r="CY22" i="1" s="1"/>
  <c r="CE6" i="1"/>
  <c r="CE22" i="1" s="1"/>
  <c r="CD6" i="1"/>
  <c r="CD22" i="1" s="1"/>
  <c r="BJ6" i="1"/>
  <c r="BJ22" i="1" s="1"/>
  <c r="BI6" i="1"/>
  <c r="BI22" i="1" s="1"/>
  <c r="AO6" i="1"/>
  <c r="AO22" i="1" s="1"/>
  <c r="AN6" i="1"/>
  <c r="AN22" i="1" s="1"/>
  <c r="E20" i="2"/>
  <c r="G20" i="2"/>
  <c r="K20" i="2"/>
  <c r="D14" i="2"/>
  <c r="D15" i="2"/>
  <c r="D16" i="2"/>
  <c r="D17" i="2"/>
  <c r="D18" i="2"/>
  <c r="D19" i="2"/>
  <c r="F14" i="2"/>
  <c r="F15" i="2"/>
  <c r="F16" i="2"/>
  <c r="F17" i="2"/>
  <c r="F18" i="2"/>
  <c r="F19" i="2"/>
  <c r="H14" i="2"/>
  <c r="H15" i="2"/>
  <c r="H16" i="2"/>
  <c r="H17" i="2"/>
  <c r="H18" i="2"/>
  <c r="H19" i="2"/>
  <c r="J14" i="2"/>
  <c r="J15" i="2"/>
  <c r="J16" i="2"/>
  <c r="J17" i="2"/>
  <c r="J18" i="2"/>
  <c r="J19" i="2"/>
  <c r="D38" i="2"/>
  <c r="D40" i="2" s="1"/>
  <c r="E38" i="2"/>
  <c r="E40" i="2" s="1"/>
  <c r="H39" i="2" l="1"/>
  <c r="L18" i="2"/>
  <c r="N18" i="2" s="1"/>
  <c r="L19" i="2"/>
  <c r="N19" i="2" s="1"/>
  <c r="L17" i="2"/>
  <c r="N17" i="2" s="1"/>
  <c r="L16" i="2"/>
  <c r="N16" i="2" s="1"/>
  <c r="L15" i="2"/>
  <c r="N15" i="2" s="1"/>
  <c r="F40" i="2"/>
  <c r="G40" i="2"/>
  <c r="H38" i="2"/>
  <c r="K40" i="2"/>
  <c r="DB6" i="1"/>
  <c r="DB22" i="1" s="1"/>
  <c r="DT6" i="1"/>
  <c r="DT22" i="1" s="1"/>
  <c r="I20" i="2"/>
  <c r="M20" i="2" s="1"/>
  <c r="M14" i="2"/>
  <c r="AP6" i="1"/>
  <c r="AP22" i="1" s="1"/>
  <c r="BK6" i="1"/>
  <c r="BK22" i="1" s="1"/>
  <c r="CF6" i="1"/>
  <c r="CF22" i="1" s="1"/>
  <c r="DA6" i="1"/>
  <c r="DA22" i="1" s="1"/>
  <c r="DC6" i="1"/>
  <c r="DC22" i="1" s="1"/>
  <c r="Q34" i="2"/>
  <c r="P34" i="2"/>
  <c r="O34" i="2"/>
  <c r="GH6" i="1"/>
  <c r="GH22" i="1" s="1"/>
  <c r="J20" i="2"/>
  <c r="H20" i="2"/>
  <c r="L14" i="2"/>
  <c r="F20" i="2"/>
  <c r="D20" i="2"/>
  <c r="N14" i="2" l="1"/>
  <c r="R34" i="2"/>
  <c r="H40" i="2"/>
  <c r="L20" i="2"/>
  <c r="N20" i="2" s="1"/>
  <c r="DD6" i="1"/>
  <c r="DD22" i="1" s="1"/>
</calcChain>
</file>

<file path=xl/sharedStrings.xml><?xml version="1.0" encoding="utf-8"?>
<sst xmlns="http://schemas.openxmlformats.org/spreadsheetml/2006/main" count="823" uniqueCount="235">
  <si>
    <t>ت</t>
  </si>
  <si>
    <t xml:space="preserve">الرقم الاحصائي </t>
  </si>
  <si>
    <t xml:space="preserve">اسم المدرسة </t>
  </si>
  <si>
    <t xml:space="preserve">القضاء </t>
  </si>
  <si>
    <t xml:space="preserve">الناحية </t>
  </si>
  <si>
    <t>بنون</t>
  </si>
  <si>
    <t>بنات</t>
  </si>
  <si>
    <t>مختلط</t>
  </si>
  <si>
    <t xml:space="preserve">حضر </t>
  </si>
  <si>
    <t xml:space="preserve">ريف </t>
  </si>
  <si>
    <t>جنس المدرسة</t>
  </si>
  <si>
    <t>بيئة المدرسة</t>
  </si>
  <si>
    <t>10 سنوات</t>
  </si>
  <si>
    <t>المجموع</t>
  </si>
  <si>
    <t>11 سنة</t>
  </si>
  <si>
    <t>12 سنة</t>
  </si>
  <si>
    <t>14 سنة</t>
  </si>
  <si>
    <t>13 سنة</t>
  </si>
  <si>
    <t>15 سنة</t>
  </si>
  <si>
    <t xml:space="preserve">عدد الشعب حسب الصف والجنس </t>
  </si>
  <si>
    <t xml:space="preserve">ذكور </t>
  </si>
  <si>
    <t>اناث</t>
  </si>
  <si>
    <t>مدير</t>
  </si>
  <si>
    <t>معاون</t>
  </si>
  <si>
    <t>مرشد تربوي</t>
  </si>
  <si>
    <t>معلم</t>
  </si>
  <si>
    <t>اعضاء الهيئة التعليمية حسب العنوان الوظيفي</t>
  </si>
  <si>
    <t>ذكور</t>
  </si>
  <si>
    <t xml:space="preserve">عدد التلامذة المسجلين في المرحلة الاولى  حسب العمر والجنس </t>
  </si>
  <si>
    <t>16 سنة</t>
  </si>
  <si>
    <t>17 سنة</t>
  </si>
  <si>
    <t>18 سنة</t>
  </si>
  <si>
    <t xml:space="preserve">عدد التلامذة المسجلين في المرحلة الثانية  حسب العمر والجنس </t>
  </si>
  <si>
    <t xml:space="preserve">عدد التلامذة المسجلين في المرحلة الثالثة  حسب العمر والجنس </t>
  </si>
  <si>
    <t>المرحلة الاولى</t>
  </si>
  <si>
    <t>المرحلة الثانية</t>
  </si>
  <si>
    <t>المرحلة الثالثة</t>
  </si>
  <si>
    <t>المرحلة الرابعة</t>
  </si>
  <si>
    <t xml:space="preserve">المرحلة الثالثة </t>
  </si>
  <si>
    <t xml:space="preserve">عدد التلامذة المسجلين في المرحلة الرابعة  حسب العمر والجنس </t>
  </si>
  <si>
    <t xml:space="preserve">وزارة التربية </t>
  </si>
  <si>
    <t>المديرية العامة للتخطيط التربوي</t>
  </si>
  <si>
    <t>مديرية الاحصاء</t>
  </si>
  <si>
    <t>موقع المدرسة :</t>
  </si>
  <si>
    <t xml:space="preserve">المحافظة : النجف الاشرف </t>
  </si>
  <si>
    <t>الموقع البيئي للمدرسة</t>
  </si>
  <si>
    <t>حضر</t>
  </si>
  <si>
    <t>ريف</t>
  </si>
  <si>
    <t>مختلطة</t>
  </si>
  <si>
    <t>مخصصة لليافعين</t>
  </si>
  <si>
    <t>صفوف مخصصة لليافعين</t>
  </si>
  <si>
    <t xml:space="preserve">عدد التلامذة حسب المرحلة والجنس والعمر </t>
  </si>
  <si>
    <t xml:space="preserve">الاعمار بالسنين </t>
  </si>
  <si>
    <t xml:space="preserve">المرحلة الاولى </t>
  </si>
  <si>
    <t>المجموع الكلي</t>
  </si>
  <si>
    <t xml:space="preserve"> المرحلة الثانية</t>
  </si>
  <si>
    <t>المدرسة</t>
  </si>
  <si>
    <t>عدد الشعب</t>
  </si>
  <si>
    <t>ملاك المدرسة الاداري والتعليمي</t>
  </si>
  <si>
    <t>الجنس</t>
  </si>
  <si>
    <t>عدد المحاضرين</t>
  </si>
  <si>
    <t>العدد</t>
  </si>
  <si>
    <t>النجف</t>
  </si>
  <si>
    <t>المركز</t>
  </si>
  <si>
    <t>المجموع الكلي لليافعين</t>
  </si>
  <si>
    <t>المديرية العامة لتربية في محافظة النجف الاشرف</t>
  </si>
  <si>
    <t>صفوف لليافعين</t>
  </si>
  <si>
    <t>المديرية العامة للتربية في محافظة النجف الاشرف</t>
  </si>
  <si>
    <t>قسم التخطيط التربوي</t>
  </si>
  <si>
    <t>شعبة الاحصاء</t>
  </si>
  <si>
    <t>مرشد</t>
  </si>
  <si>
    <t xml:space="preserve">بنون </t>
  </si>
  <si>
    <t>الفشل في الامتحان</t>
  </si>
  <si>
    <t>تجاوز ايام الغياب</t>
  </si>
  <si>
    <t>الاسباب الاخرى</t>
  </si>
  <si>
    <t>مجموع الراسبين</t>
  </si>
  <si>
    <t>الاستقلالية</t>
  </si>
  <si>
    <t>اصلية</t>
  </si>
  <si>
    <t>ضيف</t>
  </si>
  <si>
    <t>دوام المدرسة</t>
  </si>
  <si>
    <t>صباحا</t>
  </si>
  <si>
    <t>ظهرا</t>
  </si>
  <si>
    <t>صباحا وظهرا</t>
  </si>
  <si>
    <t>مساءا</t>
  </si>
  <si>
    <t>المرحلة 1</t>
  </si>
  <si>
    <t>المرحلة 2</t>
  </si>
  <si>
    <t>المرحلة 3</t>
  </si>
  <si>
    <t>المرحلة 4</t>
  </si>
  <si>
    <t>بنين</t>
  </si>
  <si>
    <t>6ـ 10</t>
  </si>
  <si>
    <t>11ـ15</t>
  </si>
  <si>
    <t>اقل من 30</t>
  </si>
  <si>
    <t>30ـ39</t>
  </si>
  <si>
    <t>40ـ49</t>
  </si>
  <si>
    <t>50ـ59</t>
  </si>
  <si>
    <t>اكثر من 59</t>
  </si>
  <si>
    <t>عدداعضاء الهيئة التعليمية حسب الخدمة</t>
  </si>
  <si>
    <t>عدداعضاء الهيئة التعليمية حسب العمر</t>
  </si>
  <si>
    <t>موظف اداري</t>
  </si>
  <si>
    <t>محاسب</t>
  </si>
  <si>
    <t>موظف خدمي</t>
  </si>
  <si>
    <t>فلاح</t>
  </si>
  <si>
    <t>حارس</t>
  </si>
  <si>
    <t>سائق</t>
  </si>
  <si>
    <t xml:space="preserve">المجموع </t>
  </si>
  <si>
    <t xml:space="preserve">الموظفون الاداريون والخدميون </t>
  </si>
  <si>
    <t>اعزب</t>
  </si>
  <si>
    <t>متزوج</t>
  </si>
  <si>
    <t>ارمل</t>
  </si>
  <si>
    <t>مطلق</t>
  </si>
  <si>
    <t>عدد اعضاء الهيئة التعليمية حسب الحالة الاجتماعية</t>
  </si>
  <si>
    <t>داخل القوة</t>
  </si>
  <si>
    <t xml:space="preserve">بعثة </t>
  </si>
  <si>
    <t>اجازة دراسية</t>
  </si>
  <si>
    <t>اجازة مصاحبة</t>
  </si>
  <si>
    <t>اجازة بدون راتب</t>
  </si>
  <si>
    <t>اجازة مرضية</t>
  </si>
  <si>
    <t>امومة</t>
  </si>
  <si>
    <t>منسب الى جهات اخرى</t>
  </si>
  <si>
    <t>مجموع الكلي</t>
  </si>
  <si>
    <t>عددالمعلمين</t>
  </si>
  <si>
    <t>عددالدورات المشاركين بها للعام الماضي</t>
  </si>
  <si>
    <t>الارشاد التربوي</t>
  </si>
  <si>
    <t>التغذية المدرسي</t>
  </si>
  <si>
    <t>خدمة الانترنت</t>
  </si>
  <si>
    <t>تدريس الحاسوب</t>
  </si>
  <si>
    <t>تدريس اللغات غيرالانكليزية</t>
  </si>
  <si>
    <t>نعم</t>
  </si>
  <si>
    <t>كلا</t>
  </si>
  <si>
    <t>التربية الخاصة</t>
  </si>
  <si>
    <t>الفنون الصناعية</t>
  </si>
  <si>
    <t>عددالرحلات ذات المقعدين</t>
  </si>
  <si>
    <t>عددالرحلات ذات المقعد</t>
  </si>
  <si>
    <t>عدد لوحات السبورات</t>
  </si>
  <si>
    <t>عددالحاسبات</t>
  </si>
  <si>
    <t>عددالطابعات</t>
  </si>
  <si>
    <t>عددالماسح الضوئي</t>
  </si>
  <si>
    <t>الصالح</t>
  </si>
  <si>
    <t>غيرالصالح</t>
  </si>
  <si>
    <t>المكتبة</t>
  </si>
  <si>
    <t>المختبر</t>
  </si>
  <si>
    <t>المجموع الكلي للطلبة اليافعين</t>
  </si>
  <si>
    <t xml:space="preserve">عدد المدارس المشمولة : </t>
  </si>
  <si>
    <t xml:space="preserve">هل المدرسة : </t>
  </si>
  <si>
    <t>تدريس اللغات الاجنبية عدا اللغة الانكليزية</t>
  </si>
  <si>
    <t>تدريس اللغات المحلية</t>
  </si>
  <si>
    <t>التغذية المدرسية</t>
  </si>
  <si>
    <t>غيرمزدوجة</t>
  </si>
  <si>
    <t>مزدوجة على نفسها</t>
  </si>
  <si>
    <t>مزدوجة مع اخرى</t>
  </si>
  <si>
    <t>مزدوجة مع نفسها ومع اخرى</t>
  </si>
  <si>
    <t>الكردي</t>
  </si>
  <si>
    <t>التركماني</t>
  </si>
  <si>
    <t>السرياني</t>
  </si>
  <si>
    <t xml:space="preserve">عدد اعضاء الهيئة التعليمية حسب الحالة الوظيفية : </t>
  </si>
  <si>
    <t>عدد اعضاء الهيئة التعليمية المشاركين في الدورات التدريبية للعام السابق :</t>
  </si>
  <si>
    <t xml:space="preserve">الحالة الوظيفية </t>
  </si>
  <si>
    <t>داخل قوة العمل</t>
  </si>
  <si>
    <t>خارج قوة العمل</t>
  </si>
  <si>
    <t>بعثة او زمالة دراسية</t>
  </si>
  <si>
    <t>اجازة مرضية طويلة</t>
  </si>
  <si>
    <t>اجازة امومة</t>
  </si>
  <si>
    <t>تنسيب الى جهات اخرى</t>
  </si>
  <si>
    <t xml:space="preserve">عدد اعضاء الهيئة التعليمية حسب سنوات الخدمة : </t>
  </si>
  <si>
    <t xml:space="preserve">خمس سنوات -  فأقل </t>
  </si>
  <si>
    <t xml:space="preserve"> 6ـ 10   </t>
  </si>
  <si>
    <t xml:space="preserve">11ـ15 </t>
  </si>
  <si>
    <t xml:space="preserve">عدد اعضاء الهيئة التعليمية حسب سنوات العمر : </t>
  </si>
  <si>
    <t xml:space="preserve"> 30ـ 39   </t>
  </si>
  <si>
    <t xml:space="preserve">40ـ49 </t>
  </si>
  <si>
    <t>50ـ 59</t>
  </si>
  <si>
    <t>60ـ فأكثر</t>
  </si>
  <si>
    <t>جدول رقم (( 2 ))</t>
  </si>
  <si>
    <t xml:space="preserve">الخشوع لليافعين </t>
  </si>
  <si>
    <t>عدد التلاميذ غير العراقيين</t>
  </si>
  <si>
    <t xml:space="preserve">المرحلة </t>
  </si>
  <si>
    <t xml:space="preserve"> 5سنوات فاقل</t>
  </si>
  <si>
    <t>الموقع</t>
  </si>
  <si>
    <t xml:space="preserve">الجديدة الثانية </t>
  </si>
  <si>
    <t>الناحية : المركز</t>
  </si>
  <si>
    <t>حرفي</t>
  </si>
  <si>
    <t>عدد الشعب التربية الخاصة</t>
  </si>
  <si>
    <t>عدد التلاميذ التربية الخاصة</t>
  </si>
  <si>
    <t>عدد معلمي التربية الخاصة</t>
  </si>
  <si>
    <t>نوع العوق فيزياوي</t>
  </si>
  <si>
    <t>اعلام الدين للمسرع</t>
  </si>
  <si>
    <t>مدينة العلم للمسرع</t>
  </si>
  <si>
    <t>حياة شرارة للمسرع</t>
  </si>
  <si>
    <t xml:space="preserve">القضاء : </t>
  </si>
  <si>
    <t xml:space="preserve">الناحية : </t>
  </si>
  <si>
    <t>الحيدرية</t>
  </si>
  <si>
    <t>ام ابيها للمسرع</t>
  </si>
  <si>
    <t>الحزام الاخضر</t>
  </si>
  <si>
    <t>الميلاد</t>
  </si>
  <si>
    <t>النبراس</t>
  </si>
  <si>
    <t>الكوفة</t>
  </si>
  <si>
    <t>مركز</t>
  </si>
  <si>
    <t>الشهب الثاقبة</t>
  </si>
  <si>
    <t>ميسان</t>
  </si>
  <si>
    <t>الوادي المقدس</t>
  </si>
  <si>
    <t>الجواهر</t>
  </si>
  <si>
    <t>ابي طالب</t>
  </si>
  <si>
    <t xml:space="preserve">الاستمارة الاحصائية لمدارس اليافعين للعام الدراسي ( 2024 - 2025 ) </t>
  </si>
  <si>
    <t>التاركون للعام الدراسي 2024 - 2025</t>
  </si>
  <si>
    <t>الناجحون للعام الدراسي 2023- 2024</t>
  </si>
  <si>
    <t>الراسبون لجميع الاسباب للعام 2023 ـ 2024</t>
  </si>
  <si>
    <t>نوع العوق بطيء التعلم</t>
  </si>
  <si>
    <t>وطن السلام</t>
  </si>
  <si>
    <t>الاقمار المنيرة</t>
  </si>
  <si>
    <t>السلام</t>
  </si>
  <si>
    <t>الرحيق</t>
  </si>
  <si>
    <t>الجمهورية</t>
  </si>
  <si>
    <t>البيت المعمور</t>
  </si>
  <si>
    <t xml:space="preserve">الجديدة الرابعة </t>
  </si>
  <si>
    <t>السمو</t>
  </si>
  <si>
    <t>الوفاء</t>
  </si>
  <si>
    <t>العلماء</t>
  </si>
  <si>
    <t>القضاء : النجف - الكوفة - المناذرة</t>
  </si>
  <si>
    <t>16-20</t>
  </si>
  <si>
    <t>اكثر21</t>
  </si>
  <si>
    <t>4-5سنوات</t>
  </si>
  <si>
    <t>مدارس اليافعين 2026-2025</t>
  </si>
  <si>
    <t xml:space="preserve">الاستمارة الاحصائية لمدارس اليافعين للعام الدراسي ( 2026 - 2025 ) </t>
  </si>
  <si>
    <t xml:space="preserve">التعليم الابتدائي ( اليافعين )  للعام الدراسي 2025 /2026 </t>
  </si>
  <si>
    <t>عدد الطلبة التاركين للعام 2026 ـ 2025</t>
  </si>
  <si>
    <t>عدد الطلبة الناجحين للعام 2025 ـ 2024</t>
  </si>
  <si>
    <t>عدد الطلبة الراسبين ( الفشل بالامتحان ) للعام 2025 ـ 2024</t>
  </si>
  <si>
    <t>عدد الطلبة الراسبين (تجاوز ايام الغياب ) للعام 2025 ـ 2024</t>
  </si>
  <si>
    <t>عدد الطلبة الراسبين ( الاسباب الاخرى ) للعام 2025 ـ 2024</t>
  </si>
  <si>
    <t>الناجحون للعام الدراسي 2024- 2025</t>
  </si>
  <si>
    <t>الراسبون لجميع الاسباب للعام 2024 ـ 2025</t>
  </si>
  <si>
    <t>الشيخ الكرباسي</t>
  </si>
  <si>
    <t>اليرموك</t>
  </si>
  <si>
    <t xml:space="preserve">  </t>
  </si>
  <si>
    <r>
      <rPr>
        <b/>
        <u/>
        <sz val="22"/>
        <color theme="1"/>
        <rFont val="Arial"/>
        <family val="2"/>
        <scheme val="minor"/>
      </rPr>
      <t xml:space="preserve">ملاحظة </t>
    </r>
    <r>
      <rPr>
        <b/>
        <sz val="22"/>
        <color theme="1"/>
        <rFont val="Arial"/>
        <family val="2"/>
        <scheme val="minor"/>
      </rPr>
      <t>: يوجد طلبة يافعين في اربعة عشر مدارس للتعليم المسرع 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</si>
</sst>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Arial"/>
      <family val="2"/>
      <charset val="178"/>
      <scheme val="minor"/>
    </font>
    <font>
      <b/>
      <sz val="22"/>
      <color theme="1"/>
      <name val="Arial"/>
      <family val="2"/>
      <charset val="178"/>
      <scheme val="minor"/>
    </font>
    <font>
      <sz val="22"/>
      <color theme="1"/>
      <name val="Arial"/>
      <family val="2"/>
      <charset val="178"/>
      <scheme val="minor"/>
    </font>
    <font>
      <sz val="24"/>
      <color theme="1"/>
      <name val="Arial"/>
      <family val="2"/>
      <charset val="178"/>
      <scheme val="minor"/>
    </font>
    <font>
      <b/>
      <sz val="24"/>
      <color theme="1"/>
      <name val="Arial"/>
      <family val="2"/>
      <charset val="178"/>
      <scheme val="minor"/>
    </font>
    <font>
      <b/>
      <sz val="26"/>
      <color theme="1"/>
      <name val="Arial"/>
      <family val="2"/>
      <charset val="178"/>
      <scheme val="minor"/>
    </font>
    <font>
      <b/>
      <sz val="18"/>
      <color theme="1"/>
      <name val="Arial"/>
      <family val="2"/>
      <charset val="178"/>
      <scheme val="minor"/>
    </font>
    <font>
      <b/>
      <sz val="18"/>
      <name val="Arial"/>
      <family val="2"/>
    </font>
    <font>
      <b/>
      <sz val="14"/>
      <name val="Arial"/>
      <family val="2"/>
    </font>
    <font>
      <sz val="18"/>
      <color theme="1"/>
      <name val="Arial"/>
      <family val="2"/>
      <charset val="178"/>
      <scheme val="minor"/>
    </font>
    <font>
      <b/>
      <sz val="11"/>
      <name val="Arial"/>
      <family val="2"/>
    </font>
    <font>
      <b/>
      <sz val="16"/>
      <name val="Arial"/>
      <family val="2"/>
    </font>
    <font>
      <b/>
      <sz val="14"/>
      <name val="Arial"/>
      <family val="2"/>
      <charset val="178"/>
    </font>
    <font>
      <sz val="14"/>
      <color theme="1"/>
      <name val="Arial"/>
      <family val="2"/>
      <charset val="178"/>
      <scheme val="minor"/>
    </font>
    <font>
      <b/>
      <sz val="12"/>
      <name val="Arial"/>
      <family val="2"/>
      <scheme val="minor"/>
    </font>
    <font>
      <b/>
      <sz val="10"/>
      <name val="Arial"/>
      <family val="2"/>
      <scheme val="minor"/>
    </font>
    <font>
      <b/>
      <sz val="14"/>
      <name val="Arial"/>
      <family val="2"/>
      <scheme val="minor"/>
    </font>
    <font>
      <b/>
      <sz val="9"/>
      <name val="Arial"/>
      <family val="2"/>
      <scheme val="minor"/>
    </font>
    <font>
      <b/>
      <sz val="8"/>
      <name val="Arial"/>
      <family val="2"/>
      <scheme val="minor"/>
    </font>
    <font>
      <sz val="12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2"/>
      <color rgb="FFFF0000"/>
      <name val="Arial"/>
      <family val="2"/>
      <scheme val="minor"/>
    </font>
    <font>
      <b/>
      <sz val="10"/>
      <name val="Arial"/>
      <family val="2"/>
    </font>
    <font>
      <b/>
      <sz val="22"/>
      <color theme="1"/>
      <name val="Arial"/>
      <family val="2"/>
      <scheme val="minor"/>
    </font>
    <font>
      <b/>
      <u/>
      <sz val="22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/>
      <top style="thick">
        <color auto="1"/>
      </top>
      <bottom style="double">
        <color auto="1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/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/>
      <diagonal/>
    </border>
    <border>
      <left style="thick">
        <color auto="1"/>
      </left>
      <right style="double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double">
        <color auto="1"/>
      </bottom>
      <diagonal/>
    </border>
    <border>
      <left style="double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double">
        <color auto="1"/>
      </top>
      <bottom style="double">
        <color auto="1"/>
      </bottom>
      <diagonal/>
    </border>
    <border>
      <left/>
      <right style="thick">
        <color auto="1"/>
      </right>
      <top/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 style="thin">
        <color rgb="FFFFC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FFC000"/>
      </right>
      <top style="thin">
        <color auto="1"/>
      </top>
      <bottom/>
      <diagonal/>
    </border>
    <border>
      <left/>
      <right style="thin">
        <color rgb="FFFFC000"/>
      </right>
      <top/>
      <bottom style="thin">
        <color auto="1"/>
      </bottom>
      <diagonal/>
    </border>
    <border>
      <left style="thin">
        <color rgb="FFFFC000"/>
      </left>
      <right/>
      <top style="thin">
        <color auto="1"/>
      </top>
      <bottom/>
      <diagonal/>
    </border>
    <border>
      <left style="thin">
        <color rgb="FFFFC000"/>
      </left>
      <right/>
      <top/>
      <bottom style="thin">
        <color auto="1"/>
      </bottom>
      <diagonal/>
    </border>
    <border>
      <left style="thin">
        <color rgb="FFFFC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FF0000"/>
      </right>
      <top style="thin">
        <color auto="1"/>
      </top>
      <bottom/>
      <diagonal/>
    </border>
    <border>
      <left/>
      <right style="thin">
        <color rgb="FFFF0000"/>
      </right>
      <top/>
      <bottom style="thin">
        <color auto="1"/>
      </bottom>
      <diagonal/>
    </border>
    <border>
      <left style="thin">
        <color auto="1"/>
      </left>
      <right style="thin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double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double">
        <color auto="1"/>
      </bottom>
      <diagonal/>
    </border>
    <border>
      <left style="thick">
        <color auto="1"/>
      </left>
      <right/>
      <top style="double">
        <color auto="1"/>
      </top>
      <bottom style="thick">
        <color auto="1"/>
      </bottom>
      <diagonal/>
    </border>
    <border>
      <left/>
      <right style="double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rgb="FFFF0000"/>
      </top>
      <bottom style="thin">
        <color auto="1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0" fontId="1" fillId="0" borderId="0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/>
    <xf numFmtId="0" fontId="3" fillId="0" borderId="0" xfId="0" applyFont="1" applyAlignment="1"/>
    <xf numFmtId="0" fontId="4" fillId="0" borderId="13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7" fillId="6" borderId="0" xfId="0" applyFont="1" applyFill="1" applyAlignment="1"/>
    <xf numFmtId="0" fontId="8" fillId="6" borderId="0" xfId="0" applyFont="1" applyFill="1" applyAlignment="1"/>
    <xf numFmtId="0" fontId="9" fillId="0" borderId="0" xfId="0" applyFont="1"/>
    <xf numFmtId="0" fontId="10" fillId="0" borderId="13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/>
    </xf>
    <xf numFmtId="0" fontId="9" fillId="0" borderId="0" xfId="0" applyFont="1" applyAlignment="1">
      <alignment vertical="top"/>
    </xf>
    <xf numFmtId="0" fontId="12" fillId="0" borderId="13" xfId="0" applyFont="1" applyFill="1" applyBorder="1" applyAlignment="1">
      <alignment horizontal="center" vertical="center" wrapText="1"/>
    </xf>
    <xf numFmtId="0" fontId="13" fillId="0" borderId="0" xfId="0" applyFont="1"/>
    <xf numFmtId="0" fontId="8" fillId="0" borderId="13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 shrinkToFit="1"/>
    </xf>
    <xf numFmtId="0" fontId="14" fillId="3" borderId="3" xfId="0" applyFont="1" applyFill="1" applyBorder="1" applyAlignment="1">
      <alignment horizontal="center" vertical="center" shrinkToFit="1"/>
    </xf>
    <xf numFmtId="0" fontId="15" fillId="3" borderId="7" xfId="0" applyFont="1" applyFill="1" applyBorder="1" applyAlignment="1">
      <alignment horizontal="center" vertical="center" shrinkToFit="1"/>
    </xf>
    <xf numFmtId="0" fontId="15" fillId="3" borderId="45" xfId="0" applyFont="1" applyFill="1" applyBorder="1" applyAlignment="1">
      <alignment horizontal="center" vertical="center" shrinkToFit="1"/>
    </xf>
    <xf numFmtId="0" fontId="15" fillId="3" borderId="43" xfId="0" applyFont="1" applyFill="1" applyBorder="1" applyAlignment="1">
      <alignment horizontal="center" vertical="center" shrinkToFit="1"/>
    </xf>
    <xf numFmtId="0" fontId="15" fillId="3" borderId="8" xfId="0" applyFont="1" applyFill="1" applyBorder="1" applyAlignment="1">
      <alignment horizontal="center" vertical="center" shrinkToFit="1"/>
    </xf>
    <xf numFmtId="0" fontId="15" fillId="3" borderId="48" xfId="0" applyFont="1" applyFill="1" applyBorder="1" applyAlignment="1">
      <alignment horizontal="center" vertical="center" shrinkToFit="1"/>
    </xf>
    <xf numFmtId="0" fontId="14" fillId="3" borderId="5" xfId="0" applyFont="1" applyFill="1" applyBorder="1" applyAlignment="1">
      <alignment horizontal="center" vertical="center" shrinkToFit="1"/>
    </xf>
    <xf numFmtId="0" fontId="14" fillId="3" borderId="6" xfId="0" applyFont="1" applyFill="1" applyBorder="1" applyAlignment="1">
      <alignment horizontal="center" vertical="center" shrinkToFit="1"/>
    </xf>
    <xf numFmtId="0" fontId="15" fillId="3" borderId="0" xfId="0" applyFont="1" applyFill="1" applyBorder="1" applyAlignment="1">
      <alignment horizontal="center" vertical="center" shrinkToFit="1"/>
    </xf>
    <xf numFmtId="0" fontId="14" fillId="3" borderId="51" xfId="0" applyFont="1" applyFill="1" applyBorder="1" applyAlignment="1">
      <alignment horizontal="center" vertical="center" shrinkToFit="1"/>
    </xf>
    <xf numFmtId="0" fontId="15" fillId="3" borderId="1" xfId="0" applyFont="1" applyFill="1" applyBorder="1" applyAlignment="1">
      <alignment horizontal="center" vertical="center" shrinkToFit="1"/>
    </xf>
    <xf numFmtId="0" fontId="18" fillId="3" borderId="1" xfId="0" applyFont="1" applyFill="1" applyBorder="1" applyAlignment="1">
      <alignment horizontal="center" vertical="center" wrapText="1" shrinkToFit="1"/>
    </xf>
    <xf numFmtId="0" fontId="15" fillId="3" borderId="11" xfId="0" applyFont="1" applyFill="1" applyBorder="1" applyAlignment="1">
      <alignment horizontal="center" vertical="center" shrinkToFit="1"/>
    </xf>
    <xf numFmtId="0" fontId="15" fillId="3" borderId="47" xfId="0" applyFont="1" applyFill="1" applyBorder="1" applyAlignment="1">
      <alignment horizontal="center" vertical="center" shrinkToFit="1"/>
    </xf>
    <xf numFmtId="0" fontId="15" fillId="3" borderId="42" xfId="0" applyFont="1" applyFill="1" applyBorder="1" applyAlignment="1">
      <alignment horizontal="center" vertical="center" shrinkToFit="1"/>
    </xf>
    <xf numFmtId="0" fontId="15" fillId="3" borderId="10" xfId="0" applyFont="1" applyFill="1" applyBorder="1" applyAlignment="1">
      <alignment horizontal="center" vertical="center" shrinkToFit="1"/>
    </xf>
    <xf numFmtId="0" fontId="15" fillId="3" borderId="50" xfId="0" applyFont="1" applyFill="1" applyBorder="1" applyAlignment="1">
      <alignment horizontal="center" vertical="center" shrinkToFit="1"/>
    </xf>
    <xf numFmtId="0" fontId="15" fillId="5" borderId="1" xfId="0" applyFont="1" applyFill="1" applyBorder="1" applyAlignment="1">
      <alignment horizontal="center" vertical="center" shrinkToFit="1"/>
    </xf>
    <xf numFmtId="0" fontId="14" fillId="9" borderId="1" xfId="0" applyFont="1" applyFill="1" applyBorder="1" applyAlignment="1">
      <alignment horizontal="center" vertical="center" shrinkToFit="1"/>
    </xf>
    <xf numFmtId="0" fontId="14" fillId="9" borderId="11" xfId="0" applyFont="1" applyFill="1" applyBorder="1" applyAlignment="1">
      <alignment horizontal="center" vertical="center" shrinkToFit="1"/>
    </xf>
    <xf numFmtId="0" fontId="14" fillId="9" borderId="47" xfId="0" applyFont="1" applyFill="1" applyBorder="1" applyAlignment="1">
      <alignment horizontal="center" vertical="center" shrinkToFit="1"/>
    </xf>
    <xf numFmtId="0" fontId="14" fillId="9" borderId="10" xfId="0" applyFont="1" applyFill="1" applyBorder="1" applyAlignment="1">
      <alignment horizontal="center" vertical="center" shrinkToFit="1"/>
    </xf>
    <xf numFmtId="0" fontId="14" fillId="9" borderId="50" xfId="0" applyFont="1" applyFill="1" applyBorder="1" applyAlignment="1">
      <alignment horizontal="center" vertical="center" shrinkToFit="1"/>
    </xf>
    <xf numFmtId="0" fontId="14" fillId="9" borderId="0" xfId="0" applyFont="1" applyFill="1" applyBorder="1" applyAlignment="1">
      <alignment horizontal="center" vertical="center" shrinkToFit="1"/>
    </xf>
    <xf numFmtId="0" fontId="19" fillId="9" borderId="1" xfId="0" applyFont="1" applyFill="1" applyBorder="1" applyAlignment="1">
      <alignment horizontal="center" vertical="center" shrinkToFit="1"/>
    </xf>
    <xf numFmtId="0" fontId="19" fillId="9" borderId="47" xfId="0" applyFont="1" applyFill="1" applyBorder="1" applyAlignment="1">
      <alignment horizontal="center" vertical="center" shrinkToFit="1"/>
    </xf>
    <xf numFmtId="0" fontId="19" fillId="9" borderId="10" xfId="0" applyFont="1" applyFill="1" applyBorder="1" applyAlignment="1">
      <alignment horizontal="center" vertical="center" shrinkToFit="1"/>
    </xf>
    <xf numFmtId="0" fontId="19" fillId="9" borderId="0" xfId="0" applyFont="1" applyFill="1" applyBorder="1" applyAlignment="1">
      <alignment horizontal="center" vertical="center" shrinkToFit="1"/>
    </xf>
    <xf numFmtId="0" fontId="14" fillId="4" borderId="1" xfId="0" applyFont="1" applyFill="1" applyBorder="1" applyAlignment="1">
      <alignment horizontal="center" vertical="center" shrinkToFit="1"/>
    </xf>
    <xf numFmtId="0" fontId="14" fillId="4" borderId="10" xfId="0" applyFont="1" applyFill="1" applyBorder="1" applyAlignment="1">
      <alignment horizontal="center" vertical="center" shrinkToFit="1"/>
    </xf>
    <xf numFmtId="0" fontId="14" fillId="4" borderId="0" xfId="0" applyFont="1" applyFill="1" applyBorder="1" applyAlignment="1">
      <alignment horizontal="center" vertical="center" shrinkToFit="1"/>
    </xf>
    <xf numFmtId="0" fontId="14" fillId="2" borderId="0" xfId="0" applyFont="1" applyFill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 shrinkToFit="1"/>
    </xf>
    <xf numFmtId="0" fontId="21" fillId="9" borderId="1" xfId="0" applyFont="1" applyFill="1" applyBorder="1" applyAlignment="1">
      <alignment horizontal="center" vertical="center" shrinkToFit="1"/>
    </xf>
    <xf numFmtId="0" fontId="20" fillId="9" borderId="11" xfId="0" applyFont="1" applyFill="1" applyBorder="1" applyAlignment="1">
      <alignment horizontal="center" vertical="center" shrinkToFit="1"/>
    </xf>
    <xf numFmtId="0" fontId="21" fillId="9" borderId="47" xfId="0" applyFont="1" applyFill="1" applyBorder="1" applyAlignment="1">
      <alignment horizontal="center" vertical="center" shrinkToFit="1"/>
    </xf>
    <xf numFmtId="0" fontId="21" fillId="9" borderId="10" xfId="0" applyFont="1" applyFill="1" applyBorder="1" applyAlignment="1">
      <alignment horizontal="center" vertical="center" shrinkToFit="1"/>
    </xf>
    <xf numFmtId="0" fontId="20" fillId="9" borderId="50" xfId="0" applyFont="1" applyFill="1" applyBorder="1" applyAlignment="1">
      <alignment horizontal="center" vertical="center" shrinkToFit="1"/>
    </xf>
    <xf numFmtId="0" fontId="21" fillId="9" borderId="0" xfId="0" applyFont="1" applyFill="1" applyBorder="1" applyAlignment="1">
      <alignment horizontal="center" vertical="center" shrinkToFit="1"/>
    </xf>
    <xf numFmtId="0" fontId="20" fillId="9" borderId="47" xfId="0" applyFont="1" applyFill="1" applyBorder="1" applyAlignment="1">
      <alignment horizontal="center" vertical="center" shrinkToFit="1"/>
    </xf>
    <xf numFmtId="0" fontId="20" fillId="9" borderId="10" xfId="0" applyFont="1" applyFill="1" applyBorder="1" applyAlignment="1">
      <alignment horizontal="center" vertical="center" shrinkToFit="1"/>
    </xf>
    <xf numFmtId="0" fontId="20" fillId="9" borderId="0" xfId="0" applyFont="1" applyFill="1" applyBorder="1" applyAlignment="1">
      <alignment horizontal="center" vertical="center" shrinkToFit="1"/>
    </xf>
    <xf numFmtId="0" fontId="22" fillId="0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3" fillId="0" borderId="0" xfId="0" applyFont="1"/>
    <xf numFmtId="0" fontId="14" fillId="3" borderId="7" xfId="0" applyFont="1" applyFill="1" applyBorder="1" applyAlignment="1">
      <alignment horizontal="center" vertical="center" shrinkToFit="1"/>
    </xf>
    <xf numFmtId="0" fontId="14" fillId="3" borderId="9" xfId="0" applyFont="1" applyFill="1" applyBorder="1" applyAlignment="1">
      <alignment horizontal="center" vertical="center" shrinkToFit="1"/>
    </xf>
    <xf numFmtId="0" fontId="14" fillId="3" borderId="5" xfId="0" applyFont="1" applyFill="1" applyBorder="1" applyAlignment="1">
      <alignment horizontal="center" vertical="center" shrinkToFit="1"/>
    </xf>
    <xf numFmtId="0" fontId="14" fillId="3" borderId="6" xfId="0" applyFont="1" applyFill="1" applyBorder="1" applyAlignment="1">
      <alignment horizontal="center" vertical="center" shrinkToFit="1"/>
    </xf>
    <xf numFmtId="0" fontId="14" fillId="3" borderId="2" xfId="0" applyFont="1" applyFill="1" applyBorder="1" applyAlignment="1">
      <alignment horizontal="center" vertical="center" shrinkToFit="1"/>
    </xf>
    <xf numFmtId="0" fontId="14" fillId="3" borderId="4" xfId="0" applyFont="1" applyFill="1" applyBorder="1" applyAlignment="1">
      <alignment horizontal="center" vertical="center" shrinkToFit="1"/>
    </xf>
    <xf numFmtId="0" fontId="17" fillId="3" borderId="7" xfId="0" applyFont="1" applyFill="1" applyBorder="1" applyAlignment="1">
      <alignment horizontal="center" vertical="center" wrapText="1" shrinkToFit="1"/>
    </xf>
    <xf numFmtId="0" fontId="17" fillId="3" borderId="9" xfId="0" applyFont="1" applyFill="1" applyBorder="1" applyAlignment="1">
      <alignment horizontal="center" vertical="center" wrapText="1" shrinkToFit="1"/>
    </xf>
    <xf numFmtId="0" fontId="17" fillId="3" borderId="5" xfId="0" applyFont="1" applyFill="1" applyBorder="1" applyAlignment="1">
      <alignment horizontal="center" vertical="center" wrapText="1" shrinkToFit="1"/>
    </xf>
    <xf numFmtId="0" fontId="17" fillId="3" borderId="6" xfId="0" applyFont="1" applyFill="1" applyBorder="1" applyAlignment="1">
      <alignment horizontal="center" vertical="center" wrapText="1" shrinkToFit="1"/>
    </xf>
    <xf numFmtId="0" fontId="17" fillId="3" borderId="2" xfId="0" applyFont="1" applyFill="1" applyBorder="1" applyAlignment="1">
      <alignment horizontal="center" vertical="center" wrapText="1" shrinkToFit="1"/>
    </xf>
    <xf numFmtId="0" fontId="17" fillId="3" borderId="4" xfId="0" applyFont="1" applyFill="1" applyBorder="1" applyAlignment="1">
      <alignment horizontal="center" vertical="center" wrapText="1" shrinkToFit="1"/>
    </xf>
    <xf numFmtId="0" fontId="15" fillId="3" borderId="10" xfId="0" applyFont="1" applyFill="1" applyBorder="1" applyAlignment="1">
      <alignment horizontal="center" vertical="center" shrinkToFit="1"/>
    </xf>
    <xf numFmtId="0" fontId="15" fillId="3" borderId="1" xfId="0" applyFont="1" applyFill="1" applyBorder="1" applyAlignment="1">
      <alignment horizontal="center" vertical="center" shrinkToFit="1"/>
    </xf>
    <xf numFmtId="0" fontId="15" fillId="3" borderId="11" xfId="0" applyFont="1" applyFill="1" applyBorder="1" applyAlignment="1">
      <alignment horizontal="center" vertical="center" shrinkToFit="1"/>
    </xf>
    <xf numFmtId="0" fontId="14" fillId="3" borderId="7" xfId="0" applyFont="1" applyFill="1" applyBorder="1" applyAlignment="1">
      <alignment horizontal="center" vertical="center" wrapText="1" shrinkToFit="1"/>
    </xf>
    <xf numFmtId="0" fontId="14" fillId="3" borderId="9" xfId="0" applyFont="1" applyFill="1" applyBorder="1" applyAlignment="1">
      <alignment horizontal="center" vertical="center" wrapText="1" shrinkToFit="1"/>
    </xf>
    <xf numFmtId="0" fontId="14" fillId="3" borderId="5" xfId="0" applyFont="1" applyFill="1" applyBorder="1" applyAlignment="1">
      <alignment horizontal="center" vertical="center" wrapText="1" shrinkToFit="1"/>
    </xf>
    <xf numFmtId="0" fontId="14" fillId="3" borderId="6" xfId="0" applyFont="1" applyFill="1" applyBorder="1" applyAlignment="1">
      <alignment horizontal="center" vertical="center" wrapText="1" shrinkToFit="1"/>
    </xf>
    <xf numFmtId="0" fontId="14" fillId="3" borderId="2" xfId="0" applyFont="1" applyFill="1" applyBorder="1" applyAlignment="1">
      <alignment horizontal="center" vertical="center" wrapText="1" shrinkToFit="1"/>
    </xf>
    <xf numFmtId="0" fontId="14" fillId="3" borderId="4" xfId="0" applyFont="1" applyFill="1" applyBorder="1" applyAlignment="1">
      <alignment horizontal="center" vertical="center" wrapText="1" shrinkToFit="1"/>
    </xf>
    <xf numFmtId="0" fontId="14" fillId="3" borderId="1" xfId="0" applyFont="1" applyFill="1" applyBorder="1" applyAlignment="1">
      <alignment horizontal="center" vertical="center" shrinkToFit="1"/>
    </xf>
    <xf numFmtId="0" fontId="15" fillId="3" borderId="12" xfId="0" applyFont="1" applyFill="1" applyBorder="1" applyAlignment="1">
      <alignment horizontal="center" vertical="center" shrinkToFit="1"/>
    </xf>
    <xf numFmtId="0" fontId="17" fillId="3" borderId="8" xfId="0" applyFont="1" applyFill="1" applyBorder="1" applyAlignment="1">
      <alignment horizontal="center" vertical="center" wrapText="1" shrinkToFit="1"/>
    </xf>
    <xf numFmtId="0" fontId="17" fillId="3" borderId="3" xfId="0" applyFont="1" applyFill="1" applyBorder="1" applyAlignment="1">
      <alignment horizontal="center" vertical="center" wrapText="1" shrinkToFit="1"/>
    </xf>
    <xf numFmtId="0" fontId="15" fillId="3" borderId="7" xfId="0" applyFont="1" applyFill="1" applyBorder="1" applyAlignment="1">
      <alignment horizontal="center" vertical="center" shrinkToFit="1"/>
    </xf>
    <xf numFmtId="0" fontId="15" fillId="3" borderId="8" xfId="0" applyFont="1" applyFill="1" applyBorder="1" applyAlignment="1">
      <alignment horizontal="center" vertical="center" shrinkToFit="1"/>
    </xf>
    <xf numFmtId="0" fontId="15" fillId="3" borderId="9" xfId="0" applyFont="1" applyFill="1" applyBorder="1" applyAlignment="1">
      <alignment horizontal="center" vertical="center" shrinkToFit="1"/>
    </xf>
    <xf numFmtId="0" fontId="15" fillId="3" borderId="5" xfId="0" applyFont="1" applyFill="1" applyBorder="1" applyAlignment="1">
      <alignment horizontal="center" vertical="center" shrinkToFit="1"/>
    </xf>
    <xf numFmtId="0" fontId="15" fillId="3" borderId="0" xfId="0" applyFont="1" applyFill="1" applyBorder="1" applyAlignment="1">
      <alignment horizontal="center" vertical="center" shrinkToFit="1"/>
    </xf>
    <xf numFmtId="0" fontId="15" fillId="3" borderId="6" xfId="0" applyFont="1" applyFill="1" applyBorder="1" applyAlignment="1">
      <alignment horizontal="center" vertical="center" shrinkToFit="1"/>
    </xf>
    <xf numFmtId="0" fontId="15" fillId="3" borderId="2" xfId="0" applyFont="1" applyFill="1" applyBorder="1" applyAlignment="1">
      <alignment horizontal="center" vertical="center" shrinkToFit="1"/>
    </xf>
    <xf numFmtId="0" fontId="15" fillId="3" borderId="3" xfId="0" applyFont="1" applyFill="1" applyBorder="1" applyAlignment="1">
      <alignment horizontal="center" vertical="center" shrinkToFit="1"/>
    </xf>
    <xf numFmtId="0" fontId="15" fillId="3" borderId="4" xfId="0" applyFont="1" applyFill="1" applyBorder="1" applyAlignment="1">
      <alignment horizontal="center" vertical="center" shrinkToFit="1"/>
    </xf>
    <xf numFmtId="0" fontId="14" fillId="3" borderId="46" xfId="0" applyFont="1" applyFill="1" applyBorder="1" applyAlignment="1">
      <alignment horizontal="center" vertical="center" shrinkToFit="1"/>
    </xf>
    <xf numFmtId="0" fontId="14" fillId="3" borderId="3" xfId="0" applyFont="1" applyFill="1" applyBorder="1" applyAlignment="1">
      <alignment horizontal="center" vertical="center" shrinkToFit="1"/>
    </xf>
    <xf numFmtId="0" fontId="14" fillId="3" borderId="44" xfId="0" applyFont="1" applyFill="1" applyBorder="1" applyAlignment="1">
      <alignment horizontal="center" vertical="center" shrinkToFit="1"/>
    </xf>
    <xf numFmtId="0" fontId="14" fillId="3" borderId="11" xfId="0" applyFont="1" applyFill="1" applyBorder="1" applyAlignment="1">
      <alignment horizontal="center" vertical="center" shrinkToFit="1"/>
    </xf>
    <xf numFmtId="0" fontId="14" fillId="3" borderId="12" xfId="0" applyFont="1" applyFill="1" applyBorder="1" applyAlignment="1">
      <alignment horizontal="center" vertical="center" shrinkToFit="1"/>
    </xf>
    <xf numFmtId="0" fontId="14" fillId="3" borderId="10" xfId="0" applyFont="1" applyFill="1" applyBorder="1" applyAlignment="1">
      <alignment horizontal="center" vertical="center" shrinkToFit="1"/>
    </xf>
    <xf numFmtId="0" fontId="14" fillId="3" borderId="8" xfId="0" applyFont="1" applyFill="1" applyBorder="1" applyAlignment="1">
      <alignment horizontal="center" vertical="center" shrinkToFit="1"/>
    </xf>
    <xf numFmtId="0" fontId="14" fillId="3" borderId="0" xfId="0" applyFont="1" applyFill="1" applyBorder="1" applyAlignment="1">
      <alignment horizontal="center" vertical="center" shrinkToFit="1"/>
    </xf>
    <xf numFmtId="0" fontId="14" fillId="3" borderId="51" xfId="0" applyFont="1" applyFill="1" applyBorder="1" applyAlignment="1">
      <alignment horizontal="center" vertical="center" shrinkToFit="1"/>
    </xf>
    <xf numFmtId="0" fontId="16" fillId="3" borderId="8" xfId="0" applyFont="1" applyFill="1" applyBorder="1" applyAlignment="1">
      <alignment horizontal="right" vertical="center" shrinkToFit="1"/>
    </xf>
    <xf numFmtId="0" fontId="16" fillId="3" borderId="9" xfId="0" applyFont="1" applyFill="1" applyBorder="1" applyAlignment="1">
      <alignment horizontal="right" vertical="center" shrinkToFit="1"/>
    </xf>
    <xf numFmtId="0" fontId="16" fillId="3" borderId="0" xfId="0" applyFont="1" applyFill="1" applyBorder="1" applyAlignment="1">
      <alignment horizontal="right" vertical="center" shrinkToFit="1"/>
    </xf>
    <xf numFmtId="0" fontId="16" fillId="3" borderId="6" xfId="0" applyFont="1" applyFill="1" applyBorder="1" applyAlignment="1">
      <alignment horizontal="right" vertical="center" shrinkToFit="1"/>
    </xf>
    <xf numFmtId="0" fontId="16" fillId="3" borderId="3" xfId="0" applyFont="1" applyFill="1" applyBorder="1" applyAlignment="1">
      <alignment horizontal="right" vertical="center" shrinkToFit="1"/>
    </xf>
    <xf numFmtId="0" fontId="16" fillId="3" borderId="4" xfId="0" applyFont="1" applyFill="1" applyBorder="1" applyAlignment="1">
      <alignment horizontal="right" vertical="center" shrinkToFit="1"/>
    </xf>
    <xf numFmtId="0" fontId="15" fillId="3" borderId="58" xfId="0" applyFont="1" applyFill="1" applyBorder="1" applyAlignment="1">
      <alignment horizontal="center" vertical="center" shrinkToFit="1"/>
    </xf>
    <xf numFmtId="0" fontId="15" fillId="3" borderId="59" xfId="0" applyFont="1" applyFill="1" applyBorder="1" applyAlignment="1">
      <alignment horizontal="center" vertical="center" shrinkToFit="1"/>
    </xf>
    <xf numFmtId="0" fontId="15" fillId="3" borderId="60" xfId="0" applyFont="1" applyFill="1" applyBorder="1" applyAlignment="1">
      <alignment horizontal="center" vertical="center" shrinkToFit="1"/>
    </xf>
    <xf numFmtId="0" fontId="15" fillId="3" borderId="61" xfId="0" applyFont="1" applyFill="1" applyBorder="1" applyAlignment="1">
      <alignment horizontal="center" vertical="center" shrinkToFit="1"/>
    </xf>
    <xf numFmtId="0" fontId="15" fillId="3" borderId="62" xfId="0" applyFont="1" applyFill="1" applyBorder="1" applyAlignment="1">
      <alignment horizontal="center" vertical="center" shrinkToFit="1"/>
    </xf>
    <xf numFmtId="0" fontId="15" fillId="3" borderId="63" xfId="0" applyFont="1" applyFill="1" applyBorder="1" applyAlignment="1">
      <alignment horizontal="center" vertical="center" shrinkToFit="1"/>
    </xf>
    <xf numFmtId="0" fontId="15" fillId="3" borderId="56" xfId="0" applyFont="1" applyFill="1" applyBorder="1" applyAlignment="1">
      <alignment horizontal="center" vertical="center" shrinkToFit="1"/>
    </xf>
    <xf numFmtId="0" fontId="15" fillId="3" borderId="57" xfId="0" applyFont="1" applyFill="1" applyBorder="1" applyAlignment="1">
      <alignment horizontal="center" vertical="center" shrinkToFit="1"/>
    </xf>
    <xf numFmtId="0" fontId="14" fillId="3" borderId="1" xfId="0" applyFont="1" applyFill="1" applyBorder="1" applyAlignment="1">
      <alignment horizontal="center" vertical="center" shrinkToFit="1" readingOrder="2"/>
    </xf>
    <xf numFmtId="0" fontId="14" fillId="3" borderId="49" xfId="0" applyFont="1" applyFill="1" applyBorder="1" applyAlignment="1">
      <alignment horizontal="center" vertical="center" shrinkToFit="1"/>
    </xf>
    <xf numFmtId="0" fontId="14" fillId="4" borderId="11" xfId="0" applyFont="1" applyFill="1" applyBorder="1" applyAlignment="1">
      <alignment horizontal="center" vertical="center" shrinkToFit="1"/>
    </xf>
    <xf numFmtId="0" fontId="14" fillId="4" borderId="12" xfId="0" applyFont="1" applyFill="1" applyBorder="1" applyAlignment="1">
      <alignment horizontal="center" vertical="center" shrinkToFit="1"/>
    </xf>
    <xf numFmtId="0" fontId="14" fillId="4" borderId="10" xfId="0" applyFont="1" applyFill="1" applyBorder="1" applyAlignment="1">
      <alignment horizontal="center" vertical="center" shrinkToFit="1"/>
    </xf>
    <xf numFmtId="0" fontId="14" fillId="8" borderId="5" xfId="0" applyFont="1" applyFill="1" applyBorder="1" applyAlignment="1">
      <alignment horizontal="center" vertical="center" shrinkToFit="1"/>
    </xf>
    <xf numFmtId="0" fontId="14" fillId="8" borderId="0" xfId="0" applyFont="1" applyFill="1" applyBorder="1" applyAlignment="1">
      <alignment horizontal="center" vertical="center" shrinkToFit="1"/>
    </xf>
    <xf numFmtId="0" fontId="14" fillId="8" borderId="6" xfId="0" applyFont="1" applyFill="1" applyBorder="1" applyAlignment="1">
      <alignment horizontal="center" vertical="center" shrinkToFit="1"/>
    </xf>
    <xf numFmtId="0" fontId="14" fillId="8" borderId="2" xfId="0" applyFont="1" applyFill="1" applyBorder="1" applyAlignment="1">
      <alignment horizontal="center" vertical="center" shrinkToFit="1"/>
    </xf>
    <xf numFmtId="0" fontId="14" fillId="8" borderId="3" xfId="0" applyFont="1" applyFill="1" applyBorder="1" applyAlignment="1">
      <alignment horizontal="center" vertical="center" shrinkToFit="1"/>
    </xf>
    <xf numFmtId="0" fontId="14" fillId="8" borderId="4" xfId="0" applyFont="1" applyFill="1" applyBorder="1" applyAlignment="1">
      <alignment horizontal="center" vertical="center" shrinkToFit="1"/>
    </xf>
    <xf numFmtId="0" fontId="14" fillId="3" borderId="5" xfId="0" applyFont="1" applyFill="1" applyBorder="1" applyAlignment="1">
      <alignment horizontal="center" vertical="top" shrinkToFit="1"/>
    </xf>
    <xf numFmtId="0" fontId="14" fillId="3" borderId="0" xfId="0" applyFont="1" applyFill="1" applyBorder="1" applyAlignment="1">
      <alignment horizontal="center" vertical="top" shrinkToFit="1"/>
    </xf>
    <xf numFmtId="0" fontId="14" fillId="3" borderId="6" xfId="0" applyFont="1" applyFill="1" applyBorder="1" applyAlignment="1">
      <alignment horizontal="center" vertical="top" shrinkToFit="1"/>
    </xf>
    <xf numFmtId="0" fontId="14" fillId="3" borderId="2" xfId="0" applyFont="1" applyFill="1" applyBorder="1" applyAlignment="1">
      <alignment horizontal="center" vertical="top" shrinkToFit="1"/>
    </xf>
    <xf numFmtId="0" fontId="14" fillId="3" borderId="3" xfId="0" applyFont="1" applyFill="1" applyBorder="1" applyAlignment="1">
      <alignment horizontal="center" vertical="top" shrinkToFit="1"/>
    </xf>
    <xf numFmtId="0" fontId="14" fillId="3" borderId="4" xfId="0" applyFont="1" applyFill="1" applyBorder="1" applyAlignment="1">
      <alignment horizontal="center" vertical="top" shrinkToFit="1"/>
    </xf>
    <xf numFmtId="0" fontId="14" fillId="3" borderId="8" xfId="0" applyFont="1" applyFill="1" applyBorder="1" applyAlignment="1">
      <alignment horizontal="center" vertical="center" wrapText="1" shrinkToFit="1"/>
    </xf>
    <xf numFmtId="0" fontId="14" fillId="3" borderId="0" xfId="0" applyFont="1" applyFill="1" applyBorder="1" applyAlignment="1">
      <alignment horizontal="center" vertical="center" wrapText="1" shrinkToFit="1"/>
    </xf>
    <xf numFmtId="0" fontId="14" fillId="3" borderId="3" xfId="0" applyFont="1" applyFill="1" applyBorder="1" applyAlignment="1">
      <alignment horizontal="center" vertical="center" wrapText="1" shrinkToFit="1"/>
    </xf>
    <xf numFmtId="0" fontId="15" fillId="3" borderId="52" xfId="0" applyFont="1" applyFill="1" applyBorder="1" applyAlignment="1">
      <alignment horizontal="center" vertical="center" shrinkToFit="1"/>
    </xf>
    <xf numFmtId="0" fontId="15" fillId="3" borderId="53" xfId="0" applyFont="1" applyFill="1" applyBorder="1" applyAlignment="1">
      <alignment horizontal="center" vertical="center" shrinkToFit="1"/>
    </xf>
    <xf numFmtId="0" fontId="15" fillId="3" borderId="54" xfId="0" applyFont="1" applyFill="1" applyBorder="1" applyAlignment="1">
      <alignment horizontal="center" vertical="center" shrinkToFit="1"/>
    </xf>
    <xf numFmtId="0" fontId="15" fillId="3" borderId="55" xfId="0" applyFont="1" applyFill="1" applyBorder="1" applyAlignment="1">
      <alignment horizontal="center" vertical="center" shrinkToFit="1"/>
    </xf>
    <xf numFmtId="0" fontId="14" fillId="3" borderId="71" xfId="0" applyFont="1" applyFill="1" applyBorder="1" applyAlignment="1">
      <alignment horizontal="center" vertical="center" shrinkToFit="1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right"/>
    </xf>
    <xf numFmtId="0" fontId="4" fillId="0" borderId="3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30" xfId="0" applyFont="1" applyBorder="1" applyAlignment="1">
      <alignment horizontal="right" vertical="center"/>
    </xf>
    <xf numFmtId="0" fontId="4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6" fillId="0" borderId="65" xfId="0" applyFont="1" applyBorder="1" applyAlignment="1">
      <alignment horizontal="right" vertical="center"/>
    </xf>
    <xf numFmtId="0" fontId="6" fillId="0" borderId="66" xfId="0" applyFont="1" applyBorder="1" applyAlignment="1">
      <alignment horizontal="right" vertical="center"/>
    </xf>
    <xf numFmtId="0" fontId="6" fillId="0" borderId="67" xfId="0" applyFont="1" applyBorder="1" applyAlignment="1">
      <alignment horizontal="right" vertical="center"/>
    </xf>
    <xf numFmtId="0" fontId="6" fillId="0" borderId="33" xfId="0" applyFont="1" applyBorder="1" applyAlignment="1">
      <alignment horizontal="right" vertical="center"/>
    </xf>
    <xf numFmtId="0" fontId="6" fillId="0" borderId="68" xfId="0" applyFont="1" applyBorder="1" applyAlignment="1">
      <alignment horizontal="right" vertical="center"/>
    </xf>
    <xf numFmtId="0" fontId="6" fillId="0" borderId="32" xfId="0" applyFont="1" applyBorder="1" applyAlignment="1">
      <alignment horizontal="right" vertical="center"/>
    </xf>
    <xf numFmtId="0" fontId="10" fillId="0" borderId="14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11" fillId="0" borderId="17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49" fontId="10" fillId="0" borderId="14" xfId="0" applyNumberFormat="1" applyFont="1" applyFill="1" applyBorder="1" applyAlignment="1">
      <alignment horizontal="center" vertical="center" wrapText="1"/>
    </xf>
    <xf numFmtId="49" fontId="10" fillId="0" borderId="15" xfId="0" applyNumberFormat="1" applyFont="1" applyFill="1" applyBorder="1" applyAlignment="1">
      <alignment horizontal="center" vertical="center" wrapText="1"/>
    </xf>
    <xf numFmtId="0" fontId="10" fillId="0" borderId="6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47623</xdr:colOff>
      <xdr:row>21</xdr:row>
      <xdr:rowOff>31750</xdr:rowOff>
    </xdr:from>
    <xdr:to>
      <xdr:col>3</xdr:col>
      <xdr:colOff>47625</xdr:colOff>
      <xdr:row>23</xdr:row>
      <xdr:rowOff>492125</xdr:rowOff>
    </xdr:to>
    <xdr:cxnSp macro="">
      <xdr:nvCxnSpPr>
        <xdr:cNvPr id="3" name="رابط مستقيم 2"/>
        <xdr:cNvCxnSpPr/>
      </xdr:nvCxnSpPr>
      <xdr:spPr>
        <a:xfrm flipH="1">
          <a:off x="11186080625" y="12811125"/>
          <a:ext cx="2460627" cy="14763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47623</xdr:colOff>
      <xdr:row>20</xdr:row>
      <xdr:rowOff>31750</xdr:rowOff>
    </xdr:from>
    <xdr:to>
      <xdr:col>3</xdr:col>
      <xdr:colOff>47625</xdr:colOff>
      <xdr:row>22</xdr:row>
      <xdr:rowOff>492125</xdr:rowOff>
    </xdr:to>
    <xdr:cxnSp macro="">
      <xdr:nvCxnSpPr>
        <xdr:cNvPr id="2" name="رابط مستقيم 1"/>
        <xdr:cNvCxnSpPr/>
      </xdr:nvCxnSpPr>
      <xdr:spPr>
        <a:xfrm flipH="1">
          <a:off x="11238223650" y="12671425"/>
          <a:ext cx="2447927" cy="147002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Y22"/>
  <sheetViews>
    <sheetView rightToLeft="1" zoomScaleNormal="100" zoomScaleSheetLayoutView="10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O10" sqref="O10"/>
    </sheetView>
  </sheetViews>
  <sheetFormatPr defaultColWidth="3.69921875" defaultRowHeight="15.6" x14ac:dyDescent="0.25"/>
  <cols>
    <col min="1" max="3" width="3.69921875" style="62"/>
    <col min="4" max="4" width="9.3984375" style="62" bestFit="1" customWidth="1"/>
    <col min="5" max="5" width="11.69921875" style="62" customWidth="1"/>
    <col min="6" max="6" width="10" style="62" customWidth="1"/>
    <col min="7" max="13" width="3.69921875" style="63"/>
    <col min="14" max="14" width="4.69921875" style="63" customWidth="1"/>
    <col min="15" max="19" width="3.69921875" style="63"/>
    <col min="20" max="20" width="5.19921875" style="63" bestFit="1" customWidth="1"/>
    <col min="21" max="21" width="5" style="63" customWidth="1"/>
    <col min="22" max="167" width="3.69921875" style="63"/>
    <col min="168" max="168" width="4.59765625" style="63" customWidth="1"/>
    <col min="169" max="265" width="3.69921875" style="63"/>
    <col min="266" max="266" width="4.69921875" style="63" customWidth="1"/>
    <col min="267" max="270" width="4.8984375" style="63" customWidth="1"/>
    <col min="271" max="16384" width="3.69921875" style="63"/>
  </cols>
  <sheetData>
    <row r="1" spans="1:311" s="30" customFormat="1" ht="15.75" customHeight="1" x14ac:dyDescent="0.25">
      <c r="A1" s="78" t="s">
        <v>65</v>
      </c>
      <c r="B1" s="118"/>
      <c r="C1" s="118"/>
      <c r="D1" s="118"/>
      <c r="E1" s="118"/>
      <c r="G1" s="113"/>
      <c r="H1" s="113"/>
      <c r="I1" s="113"/>
      <c r="J1" s="113"/>
      <c r="K1" s="113"/>
      <c r="L1" s="31"/>
      <c r="M1" s="31"/>
      <c r="N1" s="31"/>
      <c r="O1" s="31"/>
      <c r="P1" s="31"/>
      <c r="Q1" s="31"/>
      <c r="R1" s="31"/>
      <c r="S1" s="31"/>
      <c r="T1" s="113"/>
      <c r="U1" s="113"/>
      <c r="V1" s="91" t="s">
        <v>28</v>
      </c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 t="s">
        <v>32</v>
      </c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 t="s">
        <v>33</v>
      </c>
      <c r="BM1" s="91"/>
      <c r="BN1" s="91"/>
      <c r="BO1" s="91"/>
      <c r="BP1" s="91"/>
      <c r="BQ1" s="91"/>
      <c r="BR1" s="91"/>
      <c r="BS1" s="91"/>
      <c r="BT1" s="91"/>
      <c r="BU1" s="91"/>
      <c r="BV1" s="91"/>
      <c r="BW1" s="91"/>
      <c r="BX1" s="91"/>
      <c r="BY1" s="91"/>
      <c r="BZ1" s="91"/>
      <c r="CA1" s="91"/>
      <c r="CB1" s="91"/>
      <c r="CC1" s="91"/>
      <c r="CD1" s="91"/>
      <c r="CE1" s="91"/>
      <c r="CF1" s="91"/>
      <c r="CG1" s="91" t="s">
        <v>39</v>
      </c>
      <c r="CH1" s="91"/>
      <c r="CI1" s="91"/>
      <c r="CJ1" s="91"/>
      <c r="CK1" s="91"/>
      <c r="CL1" s="91"/>
      <c r="CM1" s="91"/>
      <c r="CN1" s="91"/>
      <c r="CO1" s="91"/>
      <c r="CP1" s="91"/>
      <c r="CQ1" s="91"/>
      <c r="CR1" s="91"/>
      <c r="CS1" s="91"/>
      <c r="CT1" s="91"/>
      <c r="CU1" s="91"/>
      <c r="CV1" s="91"/>
      <c r="CW1" s="91"/>
      <c r="CX1" s="91"/>
      <c r="CY1" s="91"/>
      <c r="CZ1" s="91"/>
      <c r="DA1" s="91"/>
      <c r="DB1" s="91" t="s">
        <v>141</v>
      </c>
      <c r="DC1" s="91"/>
      <c r="DD1" s="91"/>
      <c r="DE1" s="91" t="s">
        <v>19</v>
      </c>
      <c r="DF1" s="91"/>
      <c r="DG1" s="91"/>
      <c r="DH1" s="91"/>
      <c r="DI1" s="91"/>
      <c r="DJ1" s="91"/>
      <c r="DK1" s="91"/>
      <c r="DL1" s="91"/>
      <c r="DM1" s="91"/>
      <c r="DN1" s="91"/>
      <c r="DO1" s="91"/>
      <c r="DP1" s="91"/>
      <c r="DQ1" s="91"/>
      <c r="DR1" s="91"/>
      <c r="DS1" s="91"/>
      <c r="DT1" s="91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3"/>
      <c r="EG1" s="32"/>
      <c r="EH1" s="32"/>
      <c r="EI1" s="32"/>
      <c r="EJ1" s="32"/>
      <c r="EK1" s="32"/>
      <c r="EL1" s="32"/>
      <c r="EM1" s="32"/>
      <c r="EN1" s="32"/>
      <c r="EO1" s="32"/>
      <c r="EP1" s="34"/>
      <c r="EQ1" s="35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3"/>
      <c r="FC1" s="32"/>
      <c r="FD1" s="32"/>
      <c r="FE1" s="32"/>
      <c r="FF1" s="32"/>
      <c r="FG1" s="32"/>
      <c r="FH1" s="32"/>
      <c r="FI1" s="32"/>
      <c r="FJ1" s="32"/>
      <c r="FK1" s="32"/>
      <c r="FL1" s="34"/>
      <c r="FM1" s="35"/>
      <c r="FN1" s="32"/>
      <c r="FO1" s="32"/>
      <c r="FP1" s="32"/>
      <c r="FQ1" s="32"/>
      <c r="FR1" s="32"/>
      <c r="FS1" s="32"/>
      <c r="FT1" s="32"/>
      <c r="FU1" s="32"/>
      <c r="FV1" s="32"/>
      <c r="FW1" s="36"/>
      <c r="FX1" s="121" t="s">
        <v>26</v>
      </c>
      <c r="FY1" s="121"/>
      <c r="FZ1" s="121"/>
      <c r="GA1" s="121"/>
      <c r="GB1" s="121"/>
      <c r="GC1" s="121"/>
      <c r="GD1" s="121"/>
      <c r="GE1" s="121"/>
      <c r="GF1" s="121"/>
      <c r="GG1" s="121"/>
      <c r="GH1" s="122"/>
      <c r="GI1" s="78" t="s">
        <v>60</v>
      </c>
      <c r="GJ1" s="118"/>
      <c r="GK1" s="79"/>
    </row>
    <row r="2" spans="1:311" s="30" customFormat="1" ht="23.25" customHeight="1" x14ac:dyDescent="0.25">
      <c r="A2" s="80"/>
      <c r="B2" s="119"/>
      <c r="C2" s="119"/>
      <c r="D2" s="119"/>
      <c r="E2" s="119"/>
      <c r="G2" s="37"/>
      <c r="I2" s="38"/>
      <c r="J2" s="78" t="s">
        <v>11</v>
      </c>
      <c r="K2" s="79"/>
      <c r="L2" s="78" t="s">
        <v>79</v>
      </c>
      <c r="M2" s="118"/>
      <c r="N2" s="118"/>
      <c r="O2" s="79"/>
      <c r="P2" s="78" t="s">
        <v>76</v>
      </c>
      <c r="Q2" s="79"/>
      <c r="R2" s="78" t="s">
        <v>11</v>
      </c>
      <c r="S2" s="79"/>
      <c r="T2" s="37"/>
      <c r="U2" s="38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  <c r="BS2" s="91"/>
      <c r="BT2" s="91"/>
      <c r="BU2" s="91"/>
      <c r="BV2" s="91"/>
      <c r="BW2" s="91"/>
      <c r="BX2" s="91"/>
      <c r="BY2" s="91"/>
      <c r="BZ2" s="91"/>
      <c r="CA2" s="91"/>
      <c r="CB2" s="91"/>
      <c r="CC2" s="91"/>
      <c r="CD2" s="91"/>
      <c r="CE2" s="91"/>
      <c r="CF2" s="91"/>
      <c r="CG2" s="91"/>
      <c r="CH2" s="91"/>
      <c r="CI2" s="91"/>
      <c r="CJ2" s="91"/>
      <c r="CK2" s="91"/>
      <c r="CL2" s="91"/>
      <c r="CM2" s="91"/>
      <c r="CN2" s="91"/>
      <c r="CO2" s="91"/>
      <c r="CP2" s="91"/>
      <c r="CQ2" s="91"/>
      <c r="CR2" s="91"/>
      <c r="CS2" s="91"/>
      <c r="CT2" s="91"/>
      <c r="CU2" s="91"/>
      <c r="CV2" s="91"/>
      <c r="CW2" s="91"/>
      <c r="CX2" s="91"/>
      <c r="CY2" s="91"/>
      <c r="CZ2" s="91"/>
      <c r="DA2" s="91"/>
      <c r="DB2" s="91"/>
      <c r="DC2" s="91"/>
      <c r="DD2" s="91"/>
      <c r="DE2" s="91"/>
      <c r="DF2" s="91"/>
      <c r="DG2" s="91"/>
      <c r="DH2" s="91"/>
      <c r="DI2" s="91"/>
      <c r="DJ2" s="91"/>
      <c r="DK2" s="91"/>
      <c r="DL2" s="91"/>
      <c r="DM2" s="91"/>
      <c r="DN2" s="91"/>
      <c r="DO2" s="91"/>
      <c r="DP2" s="91"/>
      <c r="DQ2" s="91"/>
      <c r="DR2" s="91"/>
      <c r="DS2" s="91"/>
      <c r="DT2" s="92"/>
      <c r="DU2" s="155" t="s">
        <v>224</v>
      </c>
      <c r="DV2" s="156"/>
      <c r="DW2" s="156"/>
      <c r="DX2" s="156"/>
      <c r="DY2" s="156"/>
      <c r="DZ2" s="156"/>
      <c r="EA2" s="156"/>
      <c r="EB2" s="156"/>
      <c r="EC2" s="156"/>
      <c r="ED2" s="156"/>
      <c r="EE2" s="156"/>
      <c r="EF2" s="133" t="s">
        <v>225</v>
      </c>
      <c r="EG2" s="133"/>
      <c r="EH2" s="133"/>
      <c r="EI2" s="133"/>
      <c r="EJ2" s="133"/>
      <c r="EK2" s="133"/>
      <c r="EL2" s="133"/>
      <c r="EM2" s="133"/>
      <c r="EN2" s="133"/>
      <c r="EO2" s="133"/>
      <c r="EP2" s="133"/>
      <c r="EQ2" s="133" t="s">
        <v>226</v>
      </c>
      <c r="ER2" s="133"/>
      <c r="ES2" s="133"/>
      <c r="ET2" s="133"/>
      <c r="EU2" s="133"/>
      <c r="EV2" s="133"/>
      <c r="EW2" s="133"/>
      <c r="EX2" s="133"/>
      <c r="EY2" s="133"/>
      <c r="EZ2" s="133"/>
      <c r="FA2" s="133"/>
      <c r="FB2" s="133" t="s">
        <v>227</v>
      </c>
      <c r="FC2" s="133"/>
      <c r="FD2" s="133"/>
      <c r="FE2" s="133"/>
      <c r="FF2" s="133"/>
      <c r="FG2" s="133"/>
      <c r="FH2" s="133"/>
      <c r="FI2" s="133"/>
      <c r="FJ2" s="133"/>
      <c r="FK2" s="133"/>
      <c r="FL2" s="133"/>
      <c r="FM2" s="127" t="s">
        <v>228</v>
      </c>
      <c r="FN2" s="128"/>
      <c r="FO2" s="128"/>
      <c r="FP2" s="128"/>
      <c r="FQ2" s="128"/>
      <c r="FR2" s="128"/>
      <c r="FS2" s="128"/>
      <c r="FT2" s="128"/>
      <c r="FU2" s="128"/>
      <c r="FV2" s="128"/>
      <c r="FW2" s="129"/>
      <c r="FX2" s="123"/>
      <c r="FY2" s="123"/>
      <c r="FZ2" s="123"/>
      <c r="GA2" s="123"/>
      <c r="GB2" s="123"/>
      <c r="GC2" s="123"/>
      <c r="GD2" s="123"/>
      <c r="GE2" s="123"/>
      <c r="GF2" s="123"/>
      <c r="GG2" s="123"/>
      <c r="GH2" s="124"/>
      <c r="GI2" s="80"/>
      <c r="GJ2" s="119"/>
      <c r="GK2" s="81"/>
      <c r="GL2" s="78" t="s">
        <v>105</v>
      </c>
      <c r="GM2" s="118"/>
      <c r="GN2" s="118"/>
      <c r="GO2" s="118"/>
      <c r="GP2" s="118"/>
      <c r="GQ2" s="118"/>
      <c r="GR2" s="118"/>
      <c r="GS2" s="118"/>
      <c r="GT2" s="118"/>
      <c r="GU2" s="118"/>
      <c r="GV2" s="118"/>
      <c r="GW2" s="118"/>
      <c r="GX2" s="118"/>
      <c r="GY2" s="79"/>
      <c r="GZ2" s="78" t="s">
        <v>96</v>
      </c>
      <c r="HA2" s="118"/>
      <c r="HB2" s="118"/>
      <c r="HC2" s="118"/>
      <c r="HD2" s="118"/>
      <c r="HE2" s="118"/>
      <c r="HF2" s="118"/>
      <c r="HG2" s="118"/>
      <c r="HH2" s="118"/>
      <c r="HI2" s="118"/>
      <c r="HJ2" s="118"/>
      <c r="HK2" s="118"/>
      <c r="HL2" s="79"/>
      <c r="HM2" s="78" t="s">
        <v>97</v>
      </c>
      <c r="HN2" s="118"/>
      <c r="HO2" s="118"/>
      <c r="HP2" s="118"/>
      <c r="HQ2" s="118"/>
      <c r="HR2" s="118"/>
      <c r="HS2" s="118"/>
      <c r="HT2" s="118"/>
      <c r="HU2" s="118"/>
      <c r="HV2" s="118"/>
      <c r="HW2" s="118"/>
      <c r="HX2" s="118"/>
      <c r="HY2" s="79"/>
      <c r="IU2" s="99" t="s">
        <v>110</v>
      </c>
      <c r="IV2" s="99"/>
      <c r="IW2" s="99"/>
      <c r="IX2" s="99"/>
      <c r="IY2" s="99"/>
      <c r="IZ2" s="99"/>
      <c r="JA2" s="99"/>
      <c r="JB2" s="99"/>
      <c r="JC2" s="99"/>
      <c r="JD2" s="99"/>
      <c r="JE2" s="99"/>
      <c r="JF2" s="84" t="s">
        <v>121</v>
      </c>
      <c r="JG2" s="101"/>
      <c r="JH2" s="103" t="s">
        <v>174</v>
      </c>
      <c r="JI2" s="104"/>
      <c r="JJ2" s="105"/>
      <c r="JK2" s="93" t="s">
        <v>122</v>
      </c>
      <c r="JL2" s="94"/>
      <c r="JM2" s="93" t="s">
        <v>123</v>
      </c>
      <c r="JN2" s="94"/>
      <c r="JO2" s="93" t="s">
        <v>124</v>
      </c>
      <c r="JP2" s="94"/>
      <c r="JQ2" s="93" t="s">
        <v>125</v>
      </c>
      <c r="JR2" s="94"/>
      <c r="JS2" s="84" t="s">
        <v>126</v>
      </c>
      <c r="JT2" s="85"/>
      <c r="JU2" s="93" t="s">
        <v>129</v>
      </c>
      <c r="JV2" s="94"/>
      <c r="JW2" s="93" t="s">
        <v>181</v>
      </c>
      <c r="JX2" s="152"/>
      <c r="JY2" s="94"/>
      <c r="JZ2" s="93" t="s">
        <v>182</v>
      </c>
      <c r="KA2" s="94"/>
      <c r="KB2" s="93" t="s">
        <v>183</v>
      </c>
      <c r="KC2" s="94"/>
      <c r="KD2" s="93" t="s">
        <v>184</v>
      </c>
      <c r="KE2" s="94"/>
      <c r="KF2" s="93" t="s">
        <v>206</v>
      </c>
      <c r="KG2" s="94"/>
      <c r="KH2" s="84" t="s">
        <v>130</v>
      </c>
      <c r="KI2" s="85"/>
      <c r="KJ2" s="84" t="s">
        <v>131</v>
      </c>
      <c r="KK2" s="85"/>
      <c r="KL2" s="84" t="s">
        <v>132</v>
      </c>
      <c r="KM2" s="85"/>
      <c r="KN2" s="84" t="s">
        <v>133</v>
      </c>
      <c r="KO2" s="85"/>
      <c r="KP2" s="78" t="s">
        <v>134</v>
      </c>
      <c r="KQ2" s="79"/>
      <c r="KR2" s="78" t="s">
        <v>135</v>
      </c>
      <c r="KS2" s="79"/>
      <c r="KT2" s="84" t="s">
        <v>136</v>
      </c>
      <c r="KU2" s="85"/>
      <c r="KV2" s="78" t="s">
        <v>139</v>
      </c>
      <c r="KW2" s="79"/>
      <c r="KX2" s="78" t="s">
        <v>140</v>
      </c>
      <c r="KY2" s="79"/>
    </row>
    <row r="3" spans="1:311" s="39" customFormat="1" ht="21" customHeight="1" x14ac:dyDescent="0.25">
      <c r="A3" s="140" t="s">
        <v>221</v>
      </c>
      <c r="B3" s="141"/>
      <c r="C3" s="141"/>
      <c r="D3" s="141"/>
      <c r="E3" s="142"/>
      <c r="F3" s="30"/>
      <c r="G3" s="146" t="s">
        <v>10</v>
      </c>
      <c r="H3" s="147"/>
      <c r="I3" s="148"/>
      <c r="J3" s="80"/>
      <c r="K3" s="81"/>
      <c r="L3" s="80"/>
      <c r="M3" s="119"/>
      <c r="N3" s="119"/>
      <c r="O3" s="81"/>
      <c r="P3" s="80"/>
      <c r="Q3" s="81"/>
      <c r="R3" s="80"/>
      <c r="S3" s="81"/>
      <c r="T3" s="80" t="s">
        <v>56</v>
      </c>
      <c r="U3" s="8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91"/>
      <c r="CD3" s="91"/>
      <c r="CE3" s="91"/>
      <c r="CF3" s="91"/>
      <c r="CG3" s="91"/>
      <c r="CH3" s="91"/>
      <c r="CI3" s="91"/>
      <c r="CJ3" s="91"/>
      <c r="CK3" s="91"/>
      <c r="CL3" s="91"/>
      <c r="CM3" s="91"/>
      <c r="CN3" s="91"/>
      <c r="CO3" s="91"/>
      <c r="CP3" s="91"/>
      <c r="CQ3" s="91"/>
      <c r="CR3" s="91"/>
      <c r="CS3" s="91"/>
      <c r="CT3" s="91"/>
      <c r="CU3" s="91"/>
      <c r="CV3" s="91"/>
      <c r="CW3" s="91"/>
      <c r="CX3" s="91"/>
      <c r="CY3" s="91"/>
      <c r="CZ3" s="91"/>
      <c r="DA3" s="91"/>
      <c r="DB3" s="91"/>
      <c r="DC3" s="91"/>
      <c r="DD3" s="91"/>
      <c r="DE3" s="91"/>
      <c r="DF3" s="91"/>
      <c r="DG3" s="91"/>
      <c r="DH3" s="91"/>
      <c r="DI3" s="91"/>
      <c r="DJ3" s="91"/>
      <c r="DK3" s="91"/>
      <c r="DL3" s="91"/>
      <c r="DM3" s="91"/>
      <c r="DN3" s="91"/>
      <c r="DO3" s="91"/>
      <c r="DP3" s="91"/>
      <c r="DQ3" s="91"/>
      <c r="DR3" s="91"/>
      <c r="DS3" s="91"/>
      <c r="DT3" s="92"/>
      <c r="DU3" s="157"/>
      <c r="DV3" s="158"/>
      <c r="DW3" s="158"/>
      <c r="DX3" s="158"/>
      <c r="DY3" s="158"/>
      <c r="DZ3" s="158"/>
      <c r="EA3" s="158"/>
      <c r="EB3" s="158"/>
      <c r="EC3" s="158"/>
      <c r="ED3" s="158"/>
      <c r="EE3" s="158"/>
      <c r="EF3" s="134"/>
      <c r="EG3" s="134"/>
      <c r="EH3" s="134"/>
      <c r="EI3" s="134"/>
      <c r="EJ3" s="134"/>
      <c r="EK3" s="134"/>
      <c r="EL3" s="134"/>
      <c r="EM3" s="134"/>
      <c r="EN3" s="134"/>
      <c r="EO3" s="134"/>
      <c r="EP3" s="134"/>
      <c r="EQ3" s="134"/>
      <c r="ER3" s="134"/>
      <c r="ES3" s="134"/>
      <c r="ET3" s="134"/>
      <c r="EU3" s="134"/>
      <c r="EV3" s="134"/>
      <c r="EW3" s="134"/>
      <c r="EX3" s="134"/>
      <c r="EY3" s="134"/>
      <c r="EZ3" s="134"/>
      <c r="FA3" s="134"/>
      <c r="FB3" s="134"/>
      <c r="FC3" s="134"/>
      <c r="FD3" s="134"/>
      <c r="FE3" s="134"/>
      <c r="FF3" s="134"/>
      <c r="FG3" s="134"/>
      <c r="FH3" s="134"/>
      <c r="FI3" s="134"/>
      <c r="FJ3" s="134"/>
      <c r="FK3" s="134"/>
      <c r="FL3" s="134"/>
      <c r="FM3" s="130"/>
      <c r="FN3" s="131"/>
      <c r="FO3" s="131"/>
      <c r="FP3" s="131"/>
      <c r="FQ3" s="131"/>
      <c r="FR3" s="131"/>
      <c r="FS3" s="131"/>
      <c r="FT3" s="131"/>
      <c r="FU3" s="131"/>
      <c r="FV3" s="131"/>
      <c r="FW3" s="132"/>
      <c r="FX3" s="125"/>
      <c r="FY3" s="125"/>
      <c r="FZ3" s="125"/>
      <c r="GA3" s="125"/>
      <c r="GB3" s="125"/>
      <c r="GC3" s="125"/>
      <c r="GD3" s="125"/>
      <c r="GE3" s="125"/>
      <c r="GF3" s="125"/>
      <c r="GG3" s="125"/>
      <c r="GH3" s="126"/>
      <c r="GI3" s="80"/>
      <c r="GJ3" s="119"/>
      <c r="GK3" s="81"/>
      <c r="GL3" s="82"/>
      <c r="GM3" s="113"/>
      <c r="GN3" s="113"/>
      <c r="GO3" s="113"/>
      <c r="GP3" s="113"/>
      <c r="GQ3" s="113"/>
      <c r="GR3" s="113"/>
      <c r="GS3" s="113"/>
      <c r="GT3" s="113"/>
      <c r="GU3" s="113"/>
      <c r="GV3" s="113"/>
      <c r="GW3" s="113"/>
      <c r="GX3" s="113"/>
      <c r="GY3" s="83"/>
      <c r="GZ3" s="82"/>
      <c r="HA3" s="113"/>
      <c r="HB3" s="113"/>
      <c r="HC3" s="113"/>
      <c r="HD3" s="113"/>
      <c r="HE3" s="113"/>
      <c r="HF3" s="113"/>
      <c r="HG3" s="113"/>
      <c r="HH3" s="113"/>
      <c r="HI3" s="113"/>
      <c r="HJ3" s="113"/>
      <c r="HK3" s="113"/>
      <c r="HL3" s="83"/>
      <c r="HM3" s="82"/>
      <c r="HN3" s="113"/>
      <c r="HO3" s="113"/>
      <c r="HP3" s="113"/>
      <c r="HQ3" s="113"/>
      <c r="HR3" s="113"/>
      <c r="HS3" s="113"/>
      <c r="HT3" s="113"/>
      <c r="HU3" s="113"/>
      <c r="HV3" s="113"/>
      <c r="HW3" s="113"/>
      <c r="HX3" s="113"/>
      <c r="HY3" s="83"/>
      <c r="HZ3" s="103" t="s">
        <v>111</v>
      </c>
      <c r="IA3" s="105"/>
      <c r="IU3" s="99"/>
      <c r="IV3" s="99"/>
      <c r="IW3" s="99"/>
      <c r="IX3" s="99"/>
      <c r="IY3" s="99"/>
      <c r="IZ3" s="99"/>
      <c r="JA3" s="99"/>
      <c r="JB3" s="99"/>
      <c r="JC3" s="99"/>
      <c r="JD3" s="99"/>
      <c r="JE3" s="99"/>
      <c r="JF3" s="88"/>
      <c r="JG3" s="102"/>
      <c r="JH3" s="106"/>
      <c r="JI3" s="107"/>
      <c r="JJ3" s="108"/>
      <c r="JK3" s="95"/>
      <c r="JL3" s="96"/>
      <c r="JM3" s="95"/>
      <c r="JN3" s="96"/>
      <c r="JO3" s="95"/>
      <c r="JP3" s="96"/>
      <c r="JQ3" s="95"/>
      <c r="JR3" s="96"/>
      <c r="JS3" s="86"/>
      <c r="JT3" s="87"/>
      <c r="JU3" s="95"/>
      <c r="JV3" s="96"/>
      <c r="JW3" s="95"/>
      <c r="JX3" s="153"/>
      <c r="JY3" s="96"/>
      <c r="JZ3" s="95"/>
      <c r="KA3" s="96"/>
      <c r="KB3" s="95"/>
      <c r="KC3" s="96"/>
      <c r="KD3" s="95"/>
      <c r="KE3" s="96"/>
      <c r="KF3" s="95"/>
      <c r="KG3" s="96"/>
      <c r="KH3" s="86"/>
      <c r="KI3" s="87"/>
      <c r="KJ3" s="86"/>
      <c r="KK3" s="87"/>
      <c r="KL3" s="86"/>
      <c r="KM3" s="87"/>
      <c r="KN3" s="86"/>
      <c r="KO3" s="87"/>
      <c r="KP3" s="80"/>
      <c r="KQ3" s="81"/>
      <c r="KR3" s="80"/>
      <c r="KS3" s="81"/>
      <c r="KT3" s="86"/>
      <c r="KU3" s="87"/>
      <c r="KV3" s="80"/>
      <c r="KW3" s="81"/>
      <c r="KX3" s="80"/>
      <c r="KY3" s="81"/>
    </row>
    <row r="4" spans="1:311" s="30" customFormat="1" ht="29.25" customHeight="1" x14ac:dyDescent="0.25">
      <c r="A4" s="143"/>
      <c r="B4" s="144"/>
      <c r="C4" s="144"/>
      <c r="D4" s="144"/>
      <c r="E4" s="145"/>
      <c r="F4" s="31"/>
      <c r="G4" s="149"/>
      <c r="H4" s="150"/>
      <c r="I4" s="151"/>
      <c r="J4" s="82"/>
      <c r="K4" s="83"/>
      <c r="L4" s="82"/>
      <c r="M4" s="113"/>
      <c r="N4" s="113"/>
      <c r="O4" s="83"/>
      <c r="P4" s="82"/>
      <c r="Q4" s="83"/>
      <c r="R4" s="82"/>
      <c r="S4" s="83"/>
      <c r="T4" s="82"/>
      <c r="U4" s="83"/>
      <c r="V4" s="135" t="s">
        <v>12</v>
      </c>
      <c r="W4" s="135"/>
      <c r="X4" s="135" t="s">
        <v>14</v>
      </c>
      <c r="Y4" s="135"/>
      <c r="Z4" s="135" t="s">
        <v>15</v>
      </c>
      <c r="AA4" s="135"/>
      <c r="AB4" s="135" t="s">
        <v>17</v>
      </c>
      <c r="AC4" s="135"/>
      <c r="AD4" s="135" t="s">
        <v>16</v>
      </c>
      <c r="AE4" s="135"/>
      <c r="AF4" s="135" t="s">
        <v>18</v>
      </c>
      <c r="AG4" s="135"/>
      <c r="AH4" s="135" t="s">
        <v>29</v>
      </c>
      <c r="AI4" s="135"/>
      <c r="AJ4" s="135" t="s">
        <v>30</v>
      </c>
      <c r="AK4" s="135"/>
      <c r="AL4" s="135" t="s">
        <v>31</v>
      </c>
      <c r="AM4" s="135"/>
      <c r="AN4" s="99" t="s">
        <v>13</v>
      </c>
      <c r="AO4" s="99"/>
      <c r="AP4" s="99"/>
      <c r="AQ4" s="135" t="s">
        <v>12</v>
      </c>
      <c r="AR4" s="135"/>
      <c r="AS4" s="135" t="s">
        <v>14</v>
      </c>
      <c r="AT4" s="135"/>
      <c r="AU4" s="135" t="s">
        <v>15</v>
      </c>
      <c r="AV4" s="135"/>
      <c r="AW4" s="135" t="s">
        <v>17</v>
      </c>
      <c r="AX4" s="135"/>
      <c r="AY4" s="135" t="s">
        <v>16</v>
      </c>
      <c r="AZ4" s="135"/>
      <c r="BA4" s="135" t="s">
        <v>18</v>
      </c>
      <c r="BB4" s="135"/>
      <c r="BC4" s="135" t="s">
        <v>29</v>
      </c>
      <c r="BD4" s="135"/>
      <c r="BE4" s="135" t="s">
        <v>30</v>
      </c>
      <c r="BF4" s="135"/>
      <c r="BG4" s="135" t="s">
        <v>31</v>
      </c>
      <c r="BH4" s="135"/>
      <c r="BI4" s="99" t="s">
        <v>13</v>
      </c>
      <c r="BJ4" s="99"/>
      <c r="BK4" s="99"/>
      <c r="BL4" s="135" t="s">
        <v>12</v>
      </c>
      <c r="BM4" s="135"/>
      <c r="BN4" s="135" t="s">
        <v>14</v>
      </c>
      <c r="BO4" s="135"/>
      <c r="BP4" s="135" t="s">
        <v>15</v>
      </c>
      <c r="BQ4" s="135"/>
      <c r="BR4" s="135" t="s">
        <v>17</v>
      </c>
      <c r="BS4" s="135"/>
      <c r="BT4" s="135" t="s">
        <v>16</v>
      </c>
      <c r="BU4" s="135"/>
      <c r="BV4" s="135" t="s">
        <v>18</v>
      </c>
      <c r="BW4" s="135"/>
      <c r="BX4" s="135" t="s">
        <v>29</v>
      </c>
      <c r="BY4" s="135"/>
      <c r="BZ4" s="135" t="s">
        <v>30</v>
      </c>
      <c r="CA4" s="135"/>
      <c r="CB4" s="135" t="s">
        <v>31</v>
      </c>
      <c r="CC4" s="135"/>
      <c r="CD4" s="99" t="s">
        <v>13</v>
      </c>
      <c r="CE4" s="99"/>
      <c r="CF4" s="99"/>
      <c r="CG4" s="135" t="s">
        <v>12</v>
      </c>
      <c r="CH4" s="135"/>
      <c r="CI4" s="135" t="s">
        <v>14</v>
      </c>
      <c r="CJ4" s="135"/>
      <c r="CK4" s="135" t="s">
        <v>15</v>
      </c>
      <c r="CL4" s="135"/>
      <c r="CM4" s="135" t="s">
        <v>17</v>
      </c>
      <c r="CN4" s="135"/>
      <c r="CO4" s="135" t="s">
        <v>16</v>
      </c>
      <c r="CP4" s="135"/>
      <c r="CQ4" s="135" t="s">
        <v>18</v>
      </c>
      <c r="CR4" s="135"/>
      <c r="CS4" s="135" t="s">
        <v>29</v>
      </c>
      <c r="CT4" s="135"/>
      <c r="CU4" s="135" t="s">
        <v>30</v>
      </c>
      <c r="CV4" s="135"/>
      <c r="CW4" s="135" t="s">
        <v>31</v>
      </c>
      <c r="CX4" s="135"/>
      <c r="CY4" s="99" t="s">
        <v>13</v>
      </c>
      <c r="CZ4" s="99"/>
      <c r="DA4" s="99"/>
      <c r="DB4" s="99" t="s">
        <v>13</v>
      </c>
      <c r="DC4" s="99"/>
      <c r="DD4" s="99"/>
      <c r="DE4" s="99" t="s">
        <v>34</v>
      </c>
      <c r="DF4" s="99"/>
      <c r="DG4" s="99"/>
      <c r="DH4" s="99" t="s">
        <v>35</v>
      </c>
      <c r="DI4" s="99"/>
      <c r="DJ4" s="99"/>
      <c r="DK4" s="99" t="s">
        <v>36</v>
      </c>
      <c r="DL4" s="99"/>
      <c r="DM4" s="99"/>
      <c r="DN4" s="99" t="s">
        <v>37</v>
      </c>
      <c r="DO4" s="99"/>
      <c r="DP4" s="99"/>
      <c r="DQ4" s="99" t="s">
        <v>13</v>
      </c>
      <c r="DR4" s="99"/>
      <c r="DS4" s="99"/>
      <c r="DT4" s="99"/>
      <c r="DU4" s="82" t="s">
        <v>84</v>
      </c>
      <c r="DV4" s="83"/>
      <c r="DW4" s="82" t="s">
        <v>85</v>
      </c>
      <c r="DX4" s="83"/>
      <c r="DY4" s="82" t="s">
        <v>86</v>
      </c>
      <c r="DZ4" s="83"/>
      <c r="EA4" s="82" t="s">
        <v>87</v>
      </c>
      <c r="EB4" s="83"/>
      <c r="EC4" s="82" t="s">
        <v>13</v>
      </c>
      <c r="ED4" s="113"/>
      <c r="EE4" s="113"/>
      <c r="EF4" s="112" t="s">
        <v>84</v>
      </c>
      <c r="EG4" s="83"/>
      <c r="EH4" s="82" t="s">
        <v>85</v>
      </c>
      <c r="EI4" s="83"/>
      <c r="EJ4" s="82" t="s">
        <v>86</v>
      </c>
      <c r="EK4" s="83"/>
      <c r="EL4" s="82" t="s">
        <v>87</v>
      </c>
      <c r="EM4" s="83"/>
      <c r="EN4" s="159" t="s">
        <v>13</v>
      </c>
      <c r="EO4" s="159"/>
      <c r="EP4" s="159"/>
      <c r="EQ4" s="159" t="s">
        <v>84</v>
      </c>
      <c r="ER4" s="159"/>
      <c r="ES4" s="82" t="s">
        <v>85</v>
      </c>
      <c r="ET4" s="83"/>
      <c r="EU4" s="82" t="s">
        <v>86</v>
      </c>
      <c r="EV4" s="83"/>
      <c r="EW4" s="82" t="s">
        <v>87</v>
      </c>
      <c r="EX4" s="83"/>
      <c r="EY4" s="82" t="s">
        <v>13</v>
      </c>
      <c r="EZ4" s="113"/>
      <c r="FA4" s="113"/>
      <c r="FB4" s="112" t="s">
        <v>84</v>
      </c>
      <c r="FC4" s="83"/>
      <c r="FD4" s="82" t="s">
        <v>85</v>
      </c>
      <c r="FE4" s="83"/>
      <c r="FF4" s="82" t="s">
        <v>86</v>
      </c>
      <c r="FG4" s="83"/>
      <c r="FH4" s="82" t="s">
        <v>87</v>
      </c>
      <c r="FI4" s="83"/>
      <c r="FJ4" s="82" t="s">
        <v>13</v>
      </c>
      <c r="FK4" s="113"/>
      <c r="FL4" s="114"/>
      <c r="FM4" s="113" t="s">
        <v>84</v>
      </c>
      <c r="FN4" s="83"/>
      <c r="FO4" s="82" t="s">
        <v>85</v>
      </c>
      <c r="FP4" s="83"/>
      <c r="FQ4" s="82" t="s">
        <v>86</v>
      </c>
      <c r="FR4" s="83"/>
      <c r="FS4" s="82" t="s">
        <v>87</v>
      </c>
      <c r="FT4" s="83"/>
      <c r="FU4" s="82" t="s">
        <v>13</v>
      </c>
      <c r="FV4" s="113"/>
      <c r="FW4" s="136"/>
      <c r="FX4" s="117" t="s">
        <v>22</v>
      </c>
      <c r="FY4" s="99"/>
      <c r="FZ4" s="99" t="s">
        <v>23</v>
      </c>
      <c r="GA4" s="99"/>
      <c r="GB4" s="99" t="s">
        <v>25</v>
      </c>
      <c r="GC4" s="99"/>
      <c r="GD4" s="99" t="s">
        <v>24</v>
      </c>
      <c r="GE4" s="99"/>
      <c r="GF4" s="99" t="s">
        <v>13</v>
      </c>
      <c r="GG4" s="99"/>
      <c r="GH4" s="99"/>
      <c r="GI4" s="82"/>
      <c r="GJ4" s="113"/>
      <c r="GK4" s="83"/>
      <c r="GL4" s="120" t="s">
        <v>98</v>
      </c>
      <c r="GM4" s="120"/>
      <c r="GN4" s="120" t="s">
        <v>99</v>
      </c>
      <c r="GO4" s="120"/>
      <c r="GP4" s="120" t="s">
        <v>100</v>
      </c>
      <c r="GQ4" s="120"/>
      <c r="GR4" s="120" t="s">
        <v>180</v>
      </c>
      <c r="GS4" s="120"/>
      <c r="GT4" s="40" t="s">
        <v>101</v>
      </c>
      <c r="GU4" s="40" t="s">
        <v>102</v>
      </c>
      <c r="GV4" s="40" t="s">
        <v>103</v>
      </c>
      <c r="GW4" s="115" t="s">
        <v>104</v>
      </c>
      <c r="GX4" s="116"/>
      <c r="GY4" s="117"/>
      <c r="GZ4" s="100" t="s">
        <v>176</v>
      </c>
      <c r="HA4" s="90"/>
      <c r="HB4" s="92" t="s">
        <v>89</v>
      </c>
      <c r="HC4" s="90"/>
      <c r="HD4" s="92" t="s">
        <v>90</v>
      </c>
      <c r="HE4" s="90"/>
      <c r="HF4" s="92" t="s">
        <v>218</v>
      </c>
      <c r="HG4" s="90"/>
      <c r="HH4" s="92" t="s">
        <v>219</v>
      </c>
      <c r="HI4" s="90"/>
      <c r="HJ4" s="92" t="s">
        <v>13</v>
      </c>
      <c r="HK4" s="100"/>
      <c r="HL4" s="90"/>
      <c r="HM4" s="92" t="s">
        <v>91</v>
      </c>
      <c r="HN4" s="90"/>
      <c r="HO4" s="92" t="s">
        <v>92</v>
      </c>
      <c r="HP4" s="90"/>
      <c r="HQ4" s="92" t="s">
        <v>93</v>
      </c>
      <c r="HR4" s="90"/>
      <c r="HS4" s="92" t="s">
        <v>94</v>
      </c>
      <c r="HT4" s="90"/>
      <c r="HU4" s="92" t="s">
        <v>95</v>
      </c>
      <c r="HV4" s="90"/>
      <c r="HW4" s="115" t="s">
        <v>13</v>
      </c>
      <c r="HX4" s="116"/>
      <c r="HY4" s="117"/>
      <c r="HZ4" s="109"/>
      <c r="IA4" s="111"/>
      <c r="IB4" s="90" t="s">
        <v>112</v>
      </c>
      <c r="IC4" s="91"/>
      <c r="ID4" s="91" t="s">
        <v>113</v>
      </c>
      <c r="IE4" s="91"/>
      <c r="IF4" s="91" t="s">
        <v>114</v>
      </c>
      <c r="IG4" s="91"/>
      <c r="IH4" s="91" t="s">
        <v>115</v>
      </c>
      <c r="II4" s="91"/>
      <c r="IJ4" s="91" t="s">
        <v>116</v>
      </c>
      <c r="IK4" s="91"/>
      <c r="IL4" s="91" t="s">
        <v>117</v>
      </c>
      <c r="IM4" s="91"/>
      <c r="IN4" s="91" t="s">
        <v>118</v>
      </c>
      <c r="IO4" s="91"/>
      <c r="IP4" s="91" t="s">
        <v>220</v>
      </c>
      <c r="IQ4" s="91"/>
      <c r="IR4" s="92" t="s">
        <v>119</v>
      </c>
      <c r="IS4" s="100"/>
      <c r="IT4" s="90"/>
      <c r="IU4" s="91" t="s">
        <v>106</v>
      </c>
      <c r="IV4" s="91"/>
      <c r="IW4" s="91" t="s">
        <v>107</v>
      </c>
      <c r="IX4" s="91"/>
      <c r="IY4" s="91" t="s">
        <v>108</v>
      </c>
      <c r="IZ4" s="91"/>
      <c r="JA4" s="91" t="s">
        <v>109</v>
      </c>
      <c r="JB4" s="91"/>
      <c r="JC4" s="91" t="s">
        <v>104</v>
      </c>
      <c r="JD4" s="91"/>
      <c r="JE4" s="91"/>
      <c r="JF4" s="91" t="s">
        <v>120</v>
      </c>
      <c r="JG4" s="92"/>
      <c r="JH4" s="109"/>
      <c r="JI4" s="110"/>
      <c r="JJ4" s="111"/>
      <c r="JK4" s="97"/>
      <c r="JL4" s="98"/>
      <c r="JM4" s="97"/>
      <c r="JN4" s="98"/>
      <c r="JO4" s="97"/>
      <c r="JP4" s="98"/>
      <c r="JQ4" s="97"/>
      <c r="JR4" s="98"/>
      <c r="JS4" s="88"/>
      <c r="JT4" s="89"/>
      <c r="JU4" s="97"/>
      <c r="JV4" s="98"/>
      <c r="JW4" s="97"/>
      <c r="JX4" s="154"/>
      <c r="JY4" s="98"/>
      <c r="JZ4" s="97"/>
      <c r="KA4" s="98"/>
      <c r="KB4" s="97"/>
      <c r="KC4" s="98"/>
      <c r="KD4" s="97"/>
      <c r="KE4" s="98"/>
      <c r="KF4" s="97"/>
      <c r="KG4" s="98"/>
      <c r="KH4" s="88"/>
      <c r="KI4" s="89"/>
      <c r="KJ4" s="88"/>
      <c r="KK4" s="89"/>
      <c r="KL4" s="88"/>
      <c r="KM4" s="89"/>
      <c r="KN4" s="88"/>
      <c r="KO4" s="89"/>
      <c r="KP4" s="82"/>
      <c r="KQ4" s="83"/>
      <c r="KR4" s="82"/>
      <c r="KS4" s="83"/>
      <c r="KT4" s="88"/>
      <c r="KU4" s="89"/>
      <c r="KV4" s="82"/>
      <c r="KW4" s="83"/>
      <c r="KX4" s="82"/>
      <c r="KY4" s="83"/>
    </row>
    <row r="5" spans="1:311" s="39" customFormat="1" ht="56.25" customHeight="1" x14ac:dyDescent="0.25">
      <c r="A5" s="41" t="s">
        <v>3</v>
      </c>
      <c r="B5" s="41" t="s">
        <v>4</v>
      </c>
      <c r="C5" s="41" t="s">
        <v>0</v>
      </c>
      <c r="D5" s="41" t="s">
        <v>1</v>
      </c>
      <c r="E5" s="41" t="s">
        <v>2</v>
      </c>
      <c r="F5" s="41" t="s">
        <v>177</v>
      </c>
      <c r="G5" s="41" t="s">
        <v>5</v>
      </c>
      <c r="H5" s="41" t="s">
        <v>6</v>
      </c>
      <c r="I5" s="41" t="s">
        <v>7</v>
      </c>
      <c r="J5" s="41" t="s">
        <v>8</v>
      </c>
      <c r="K5" s="41" t="s">
        <v>9</v>
      </c>
      <c r="L5" s="41" t="s">
        <v>80</v>
      </c>
      <c r="M5" s="41" t="s">
        <v>81</v>
      </c>
      <c r="N5" s="42" t="s">
        <v>82</v>
      </c>
      <c r="O5" s="41" t="s">
        <v>83</v>
      </c>
      <c r="P5" s="41" t="s">
        <v>77</v>
      </c>
      <c r="Q5" s="41" t="s">
        <v>78</v>
      </c>
      <c r="R5" s="41" t="s">
        <v>46</v>
      </c>
      <c r="S5" s="41" t="s">
        <v>47</v>
      </c>
      <c r="T5" s="42" t="s">
        <v>49</v>
      </c>
      <c r="U5" s="42" t="s">
        <v>66</v>
      </c>
      <c r="V5" s="41" t="s">
        <v>5</v>
      </c>
      <c r="W5" s="41" t="s">
        <v>6</v>
      </c>
      <c r="X5" s="41" t="s">
        <v>5</v>
      </c>
      <c r="Y5" s="41" t="s">
        <v>6</v>
      </c>
      <c r="Z5" s="41" t="s">
        <v>5</v>
      </c>
      <c r="AA5" s="41" t="s">
        <v>6</v>
      </c>
      <c r="AB5" s="41" t="s">
        <v>5</v>
      </c>
      <c r="AC5" s="41" t="s">
        <v>6</v>
      </c>
      <c r="AD5" s="41" t="s">
        <v>5</v>
      </c>
      <c r="AE5" s="41" t="s">
        <v>6</v>
      </c>
      <c r="AF5" s="41" t="s">
        <v>5</v>
      </c>
      <c r="AG5" s="41" t="s">
        <v>6</v>
      </c>
      <c r="AH5" s="41" t="s">
        <v>5</v>
      </c>
      <c r="AI5" s="41" t="s">
        <v>6</v>
      </c>
      <c r="AJ5" s="41" t="s">
        <v>5</v>
      </c>
      <c r="AK5" s="41" t="s">
        <v>6</v>
      </c>
      <c r="AL5" s="41" t="s">
        <v>5</v>
      </c>
      <c r="AM5" s="41" t="s">
        <v>6</v>
      </c>
      <c r="AN5" s="41" t="s">
        <v>5</v>
      </c>
      <c r="AO5" s="41" t="s">
        <v>6</v>
      </c>
      <c r="AP5" s="41" t="s">
        <v>13</v>
      </c>
      <c r="AQ5" s="41" t="s">
        <v>5</v>
      </c>
      <c r="AR5" s="41" t="s">
        <v>6</v>
      </c>
      <c r="AS5" s="41" t="s">
        <v>5</v>
      </c>
      <c r="AT5" s="41" t="s">
        <v>6</v>
      </c>
      <c r="AU5" s="41" t="s">
        <v>5</v>
      </c>
      <c r="AV5" s="41" t="s">
        <v>6</v>
      </c>
      <c r="AW5" s="41" t="s">
        <v>5</v>
      </c>
      <c r="AX5" s="41" t="s">
        <v>6</v>
      </c>
      <c r="AY5" s="41" t="s">
        <v>5</v>
      </c>
      <c r="AZ5" s="41" t="s">
        <v>6</v>
      </c>
      <c r="BA5" s="41" t="s">
        <v>5</v>
      </c>
      <c r="BB5" s="41" t="s">
        <v>6</v>
      </c>
      <c r="BC5" s="41" t="s">
        <v>5</v>
      </c>
      <c r="BD5" s="41" t="s">
        <v>6</v>
      </c>
      <c r="BE5" s="41" t="s">
        <v>5</v>
      </c>
      <c r="BF5" s="41" t="s">
        <v>6</v>
      </c>
      <c r="BG5" s="41" t="s">
        <v>5</v>
      </c>
      <c r="BH5" s="41" t="s">
        <v>6</v>
      </c>
      <c r="BI5" s="41" t="s">
        <v>5</v>
      </c>
      <c r="BJ5" s="41" t="s">
        <v>6</v>
      </c>
      <c r="BK5" s="41" t="s">
        <v>13</v>
      </c>
      <c r="BL5" s="41" t="s">
        <v>5</v>
      </c>
      <c r="BM5" s="41" t="s">
        <v>6</v>
      </c>
      <c r="BN5" s="41" t="s">
        <v>5</v>
      </c>
      <c r="BO5" s="41" t="s">
        <v>6</v>
      </c>
      <c r="BP5" s="41" t="s">
        <v>5</v>
      </c>
      <c r="BQ5" s="41" t="s">
        <v>6</v>
      </c>
      <c r="BR5" s="41" t="s">
        <v>5</v>
      </c>
      <c r="BS5" s="41" t="s">
        <v>6</v>
      </c>
      <c r="BT5" s="41" t="s">
        <v>5</v>
      </c>
      <c r="BU5" s="41" t="s">
        <v>6</v>
      </c>
      <c r="BV5" s="41" t="s">
        <v>5</v>
      </c>
      <c r="BW5" s="41" t="s">
        <v>6</v>
      </c>
      <c r="BX5" s="41" t="s">
        <v>5</v>
      </c>
      <c r="BY5" s="41" t="s">
        <v>6</v>
      </c>
      <c r="BZ5" s="41" t="s">
        <v>5</v>
      </c>
      <c r="CA5" s="41" t="s">
        <v>6</v>
      </c>
      <c r="CB5" s="41" t="s">
        <v>5</v>
      </c>
      <c r="CC5" s="41" t="s">
        <v>6</v>
      </c>
      <c r="CD5" s="41" t="s">
        <v>5</v>
      </c>
      <c r="CE5" s="41" t="s">
        <v>6</v>
      </c>
      <c r="CF5" s="41" t="s">
        <v>13</v>
      </c>
      <c r="CG5" s="41" t="s">
        <v>5</v>
      </c>
      <c r="CH5" s="41" t="s">
        <v>6</v>
      </c>
      <c r="CI5" s="41" t="s">
        <v>5</v>
      </c>
      <c r="CJ5" s="41" t="s">
        <v>6</v>
      </c>
      <c r="CK5" s="41" t="s">
        <v>5</v>
      </c>
      <c r="CL5" s="41" t="s">
        <v>6</v>
      </c>
      <c r="CM5" s="41" t="s">
        <v>5</v>
      </c>
      <c r="CN5" s="41" t="s">
        <v>6</v>
      </c>
      <c r="CO5" s="41" t="s">
        <v>5</v>
      </c>
      <c r="CP5" s="41" t="s">
        <v>6</v>
      </c>
      <c r="CQ5" s="41" t="s">
        <v>5</v>
      </c>
      <c r="CR5" s="41" t="s">
        <v>6</v>
      </c>
      <c r="CS5" s="41" t="s">
        <v>5</v>
      </c>
      <c r="CT5" s="41" t="s">
        <v>6</v>
      </c>
      <c r="CU5" s="41" t="s">
        <v>5</v>
      </c>
      <c r="CV5" s="41" t="s">
        <v>6</v>
      </c>
      <c r="CW5" s="41" t="s">
        <v>5</v>
      </c>
      <c r="CX5" s="41" t="s">
        <v>6</v>
      </c>
      <c r="CY5" s="41" t="s">
        <v>5</v>
      </c>
      <c r="CZ5" s="41" t="s">
        <v>6</v>
      </c>
      <c r="DA5" s="41" t="s">
        <v>13</v>
      </c>
      <c r="DB5" s="41" t="s">
        <v>5</v>
      </c>
      <c r="DC5" s="41" t="s">
        <v>6</v>
      </c>
      <c r="DD5" s="41" t="s">
        <v>13</v>
      </c>
      <c r="DE5" s="41" t="s">
        <v>5</v>
      </c>
      <c r="DF5" s="41" t="s">
        <v>6</v>
      </c>
      <c r="DG5" s="41" t="s">
        <v>7</v>
      </c>
      <c r="DH5" s="41" t="s">
        <v>5</v>
      </c>
      <c r="DI5" s="41" t="s">
        <v>6</v>
      </c>
      <c r="DJ5" s="41" t="s">
        <v>7</v>
      </c>
      <c r="DK5" s="41" t="s">
        <v>5</v>
      </c>
      <c r="DL5" s="41" t="s">
        <v>6</v>
      </c>
      <c r="DM5" s="41" t="s">
        <v>7</v>
      </c>
      <c r="DN5" s="41" t="s">
        <v>5</v>
      </c>
      <c r="DO5" s="41" t="s">
        <v>6</v>
      </c>
      <c r="DP5" s="41" t="s">
        <v>7</v>
      </c>
      <c r="DQ5" s="41" t="s">
        <v>5</v>
      </c>
      <c r="DR5" s="41" t="s">
        <v>6</v>
      </c>
      <c r="DS5" s="41" t="s">
        <v>7</v>
      </c>
      <c r="DT5" s="41" t="s">
        <v>13</v>
      </c>
      <c r="DU5" s="41" t="s">
        <v>88</v>
      </c>
      <c r="DV5" s="41" t="s">
        <v>6</v>
      </c>
      <c r="DW5" s="41" t="s">
        <v>88</v>
      </c>
      <c r="DX5" s="41" t="s">
        <v>6</v>
      </c>
      <c r="DY5" s="41" t="s">
        <v>88</v>
      </c>
      <c r="DZ5" s="41" t="s">
        <v>6</v>
      </c>
      <c r="EA5" s="41" t="s">
        <v>88</v>
      </c>
      <c r="EB5" s="41" t="s">
        <v>6</v>
      </c>
      <c r="EC5" s="41" t="s">
        <v>88</v>
      </c>
      <c r="ED5" s="41" t="s">
        <v>6</v>
      </c>
      <c r="EE5" s="43" t="s">
        <v>13</v>
      </c>
      <c r="EF5" s="44" t="s">
        <v>88</v>
      </c>
      <c r="EG5" s="41" t="s">
        <v>6</v>
      </c>
      <c r="EH5" s="41" t="s">
        <v>88</v>
      </c>
      <c r="EI5" s="41" t="s">
        <v>6</v>
      </c>
      <c r="EJ5" s="41" t="s">
        <v>88</v>
      </c>
      <c r="EK5" s="41" t="s">
        <v>6</v>
      </c>
      <c r="EL5" s="41" t="s">
        <v>88</v>
      </c>
      <c r="EM5" s="41" t="s">
        <v>6</v>
      </c>
      <c r="EN5" s="41" t="s">
        <v>88</v>
      </c>
      <c r="EO5" s="41" t="s">
        <v>6</v>
      </c>
      <c r="EP5" s="41" t="s">
        <v>13</v>
      </c>
      <c r="EQ5" s="41" t="s">
        <v>88</v>
      </c>
      <c r="ER5" s="41" t="s">
        <v>6</v>
      </c>
      <c r="ES5" s="41" t="s">
        <v>88</v>
      </c>
      <c r="ET5" s="41" t="s">
        <v>6</v>
      </c>
      <c r="EU5" s="41" t="s">
        <v>88</v>
      </c>
      <c r="EV5" s="41" t="s">
        <v>6</v>
      </c>
      <c r="EW5" s="41" t="s">
        <v>88</v>
      </c>
      <c r="EX5" s="41" t="s">
        <v>6</v>
      </c>
      <c r="EY5" s="41" t="s">
        <v>88</v>
      </c>
      <c r="EZ5" s="41" t="s">
        <v>6</v>
      </c>
      <c r="FA5" s="43" t="s">
        <v>13</v>
      </c>
      <c r="FB5" s="44" t="s">
        <v>88</v>
      </c>
      <c r="FC5" s="41" t="s">
        <v>6</v>
      </c>
      <c r="FD5" s="41" t="s">
        <v>88</v>
      </c>
      <c r="FE5" s="41" t="s">
        <v>6</v>
      </c>
      <c r="FF5" s="41" t="s">
        <v>88</v>
      </c>
      <c r="FG5" s="41" t="s">
        <v>6</v>
      </c>
      <c r="FH5" s="41" t="s">
        <v>88</v>
      </c>
      <c r="FI5" s="41" t="s">
        <v>6</v>
      </c>
      <c r="FJ5" s="41" t="s">
        <v>88</v>
      </c>
      <c r="FK5" s="41" t="s">
        <v>6</v>
      </c>
      <c r="FL5" s="45" t="s">
        <v>13</v>
      </c>
      <c r="FM5" s="46" t="s">
        <v>88</v>
      </c>
      <c r="FN5" s="41" t="s">
        <v>6</v>
      </c>
      <c r="FO5" s="41" t="s">
        <v>88</v>
      </c>
      <c r="FP5" s="41" t="s">
        <v>6</v>
      </c>
      <c r="FQ5" s="41" t="s">
        <v>88</v>
      </c>
      <c r="FR5" s="41" t="s">
        <v>6</v>
      </c>
      <c r="FS5" s="41" t="s">
        <v>88</v>
      </c>
      <c r="FT5" s="41" t="s">
        <v>6</v>
      </c>
      <c r="FU5" s="41" t="s">
        <v>88</v>
      </c>
      <c r="FV5" s="41" t="s">
        <v>6</v>
      </c>
      <c r="FW5" s="47" t="s">
        <v>13</v>
      </c>
      <c r="FX5" s="46" t="s">
        <v>20</v>
      </c>
      <c r="FY5" s="41" t="s">
        <v>21</v>
      </c>
      <c r="FZ5" s="41" t="s">
        <v>20</v>
      </c>
      <c r="GA5" s="41" t="s">
        <v>21</v>
      </c>
      <c r="GB5" s="41" t="s">
        <v>20</v>
      </c>
      <c r="GC5" s="41" t="s">
        <v>21</v>
      </c>
      <c r="GD5" s="41" t="s">
        <v>20</v>
      </c>
      <c r="GE5" s="41" t="s">
        <v>21</v>
      </c>
      <c r="GF5" s="41" t="s">
        <v>20</v>
      </c>
      <c r="GG5" s="41" t="s">
        <v>21</v>
      </c>
      <c r="GH5" s="41" t="s">
        <v>13</v>
      </c>
      <c r="GI5" s="41" t="s">
        <v>20</v>
      </c>
      <c r="GJ5" s="41" t="s">
        <v>21</v>
      </c>
      <c r="GK5" s="41" t="s">
        <v>13</v>
      </c>
      <c r="GL5" s="41" t="s">
        <v>20</v>
      </c>
      <c r="GM5" s="41" t="s">
        <v>21</v>
      </c>
      <c r="GN5" s="41" t="s">
        <v>20</v>
      </c>
      <c r="GO5" s="41" t="s">
        <v>21</v>
      </c>
      <c r="GP5" s="41" t="s">
        <v>20</v>
      </c>
      <c r="GQ5" s="41" t="s">
        <v>21</v>
      </c>
      <c r="GR5" s="41" t="s">
        <v>20</v>
      </c>
      <c r="GS5" s="41" t="s">
        <v>21</v>
      </c>
      <c r="GT5" s="41" t="s">
        <v>20</v>
      </c>
      <c r="GU5" s="41" t="s">
        <v>20</v>
      </c>
      <c r="GV5" s="41" t="s">
        <v>20</v>
      </c>
      <c r="GW5" s="41" t="s">
        <v>20</v>
      </c>
      <c r="GX5" s="41" t="s">
        <v>21</v>
      </c>
      <c r="GY5" s="41" t="s">
        <v>13</v>
      </c>
      <c r="GZ5" s="41" t="s">
        <v>20</v>
      </c>
      <c r="HA5" s="41" t="s">
        <v>21</v>
      </c>
      <c r="HB5" s="41" t="s">
        <v>20</v>
      </c>
      <c r="HC5" s="41" t="s">
        <v>21</v>
      </c>
      <c r="HD5" s="41" t="s">
        <v>20</v>
      </c>
      <c r="HE5" s="41" t="s">
        <v>21</v>
      </c>
      <c r="HF5" s="41" t="s">
        <v>20</v>
      </c>
      <c r="HG5" s="41" t="s">
        <v>21</v>
      </c>
      <c r="HH5" s="41" t="s">
        <v>20</v>
      </c>
      <c r="HI5" s="41" t="s">
        <v>21</v>
      </c>
      <c r="HJ5" s="41" t="s">
        <v>20</v>
      </c>
      <c r="HK5" s="41" t="s">
        <v>21</v>
      </c>
      <c r="HL5" s="41" t="s">
        <v>13</v>
      </c>
      <c r="HM5" s="41" t="s">
        <v>20</v>
      </c>
      <c r="HN5" s="41" t="s">
        <v>21</v>
      </c>
      <c r="HO5" s="41" t="s">
        <v>20</v>
      </c>
      <c r="HP5" s="41" t="s">
        <v>21</v>
      </c>
      <c r="HQ5" s="41" t="s">
        <v>20</v>
      </c>
      <c r="HR5" s="41" t="s">
        <v>21</v>
      </c>
      <c r="HS5" s="41" t="s">
        <v>20</v>
      </c>
      <c r="HT5" s="41" t="s">
        <v>21</v>
      </c>
      <c r="HU5" s="41" t="s">
        <v>20</v>
      </c>
      <c r="HV5" s="41" t="s">
        <v>21</v>
      </c>
      <c r="HW5" s="41" t="s">
        <v>20</v>
      </c>
      <c r="HX5" s="41" t="s">
        <v>21</v>
      </c>
      <c r="HY5" s="41" t="s">
        <v>13</v>
      </c>
      <c r="HZ5" s="41" t="s">
        <v>20</v>
      </c>
      <c r="IA5" s="41" t="s">
        <v>21</v>
      </c>
      <c r="IB5" s="41" t="s">
        <v>20</v>
      </c>
      <c r="IC5" s="41" t="s">
        <v>21</v>
      </c>
      <c r="ID5" s="41" t="s">
        <v>20</v>
      </c>
      <c r="IE5" s="41" t="s">
        <v>21</v>
      </c>
      <c r="IF5" s="41" t="s">
        <v>20</v>
      </c>
      <c r="IG5" s="41" t="s">
        <v>21</v>
      </c>
      <c r="IH5" s="41" t="s">
        <v>20</v>
      </c>
      <c r="II5" s="41" t="s">
        <v>21</v>
      </c>
      <c r="IJ5" s="41" t="s">
        <v>20</v>
      </c>
      <c r="IK5" s="41" t="s">
        <v>21</v>
      </c>
      <c r="IL5" s="48" t="s">
        <v>20</v>
      </c>
      <c r="IM5" s="41" t="s">
        <v>21</v>
      </c>
      <c r="IN5" s="41" t="s">
        <v>20</v>
      </c>
      <c r="IO5" s="41" t="s">
        <v>21</v>
      </c>
      <c r="IP5" s="41" t="s">
        <v>20</v>
      </c>
      <c r="IQ5" s="41" t="s">
        <v>21</v>
      </c>
      <c r="IR5" s="41" t="s">
        <v>20</v>
      </c>
      <c r="IS5" s="41" t="s">
        <v>21</v>
      </c>
      <c r="IT5" s="41" t="s">
        <v>13</v>
      </c>
      <c r="IU5" s="41" t="s">
        <v>20</v>
      </c>
      <c r="IV5" s="41" t="s">
        <v>21</v>
      </c>
      <c r="IW5" s="41" t="s">
        <v>20</v>
      </c>
      <c r="IX5" s="41" t="s">
        <v>21</v>
      </c>
      <c r="IY5" s="41" t="s">
        <v>20</v>
      </c>
      <c r="IZ5" s="41" t="s">
        <v>21</v>
      </c>
      <c r="JA5" s="41" t="s">
        <v>20</v>
      </c>
      <c r="JB5" s="41" t="s">
        <v>21</v>
      </c>
      <c r="JC5" s="41" t="s">
        <v>20</v>
      </c>
      <c r="JD5" s="41" t="s">
        <v>21</v>
      </c>
      <c r="JE5" s="41" t="s">
        <v>13</v>
      </c>
      <c r="JF5" s="41" t="s">
        <v>20</v>
      </c>
      <c r="JG5" s="41" t="s">
        <v>21</v>
      </c>
      <c r="JH5" s="41" t="s">
        <v>88</v>
      </c>
      <c r="JI5" s="41" t="s">
        <v>6</v>
      </c>
      <c r="JJ5" s="41" t="s">
        <v>13</v>
      </c>
      <c r="JK5" s="41" t="s">
        <v>127</v>
      </c>
      <c r="JL5" s="41" t="s">
        <v>128</v>
      </c>
      <c r="JM5" s="41" t="s">
        <v>127</v>
      </c>
      <c r="JN5" s="41" t="s">
        <v>128</v>
      </c>
      <c r="JO5" s="41" t="s">
        <v>127</v>
      </c>
      <c r="JP5" s="41" t="s">
        <v>128</v>
      </c>
      <c r="JQ5" s="41" t="s">
        <v>127</v>
      </c>
      <c r="JR5" s="41" t="s">
        <v>128</v>
      </c>
      <c r="JS5" s="41" t="s">
        <v>127</v>
      </c>
      <c r="JT5" s="41" t="s">
        <v>128</v>
      </c>
      <c r="JU5" s="41" t="s">
        <v>127</v>
      </c>
      <c r="JV5" s="41" t="s">
        <v>128</v>
      </c>
      <c r="JW5" s="41" t="s">
        <v>5</v>
      </c>
      <c r="JX5" s="41" t="s">
        <v>6</v>
      </c>
      <c r="JY5" s="41" t="s">
        <v>7</v>
      </c>
      <c r="JZ5" s="41" t="s">
        <v>5</v>
      </c>
      <c r="KA5" s="41" t="s">
        <v>6</v>
      </c>
      <c r="KB5" s="41" t="s">
        <v>20</v>
      </c>
      <c r="KC5" s="41" t="s">
        <v>21</v>
      </c>
      <c r="KD5" s="41" t="s">
        <v>5</v>
      </c>
      <c r="KE5" s="41" t="s">
        <v>6</v>
      </c>
      <c r="KF5" s="41" t="s">
        <v>5</v>
      </c>
      <c r="KG5" s="41" t="s">
        <v>6</v>
      </c>
      <c r="KH5" s="41" t="s">
        <v>127</v>
      </c>
      <c r="KI5" s="41" t="s">
        <v>128</v>
      </c>
      <c r="KJ5" s="41" t="s">
        <v>137</v>
      </c>
      <c r="KK5" s="41" t="s">
        <v>138</v>
      </c>
      <c r="KL5" s="41" t="s">
        <v>137</v>
      </c>
      <c r="KM5" s="41" t="s">
        <v>138</v>
      </c>
      <c r="KN5" s="41" t="s">
        <v>137</v>
      </c>
      <c r="KO5" s="41" t="s">
        <v>138</v>
      </c>
      <c r="KP5" s="41" t="s">
        <v>137</v>
      </c>
      <c r="KQ5" s="41" t="s">
        <v>138</v>
      </c>
      <c r="KR5" s="41" t="s">
        <v>137</v>
      </c>
      <c r="KS5" s="41" t="s">
        <v>138</v>
      </c>
      <c r="KT5" s="41" t="s">
        <v>137</v>
      </c>
      <c r="KU5" s="41" t="s">
        <v>138</v>
      </c>
      <c r="KV5" s="41" t="s">
        <v>127</v>
      </c>
      <c r="KW5" s="41" t="s">
        <v>128</v>
      </c>
      <c r="KX5" s="41" t="s">
        <v>127</v>
      </c>
      <c r="KY5" s="41" t="s">
        <v>128</v>
      </c>
    </row>
    <row r="6" spans="1:311" s="74" customFormat="1" ht="19.5" customHeight="1" x14ac:dyDescent="0.25">
      <c r="A6" s="65" t="s">
        <v>62</v>
      </c>
      <c r="B6" s="65" t="s">
        <v>63</v>
      </c>
      <c r="C6" s="65">
        <v>1</v>
      </c>
      <c r="D6" s="65">
        <v>1400688</v>
      </c>
      <c r="E6" s="65" t="s">
        <v>173</v>
      </c>
      <c r="F6" s="65" t="s">
        <v>178</v>
      </c>
      <c r="G6" s="65">
        <v>1</v>
      </c>
      <c r="H6" s="65"/>
      <c r="I6" s="65"/>
      <c r="J6" s="65">
        <v>1</v>
      </c>
      <c r="K6" s="65"/>
      <c r="L6" s="65"/>
      <c r="M6" s="65">
        <v>1</v>
      </c>
      <c r="N6" s="65"/>
      <c r="O6" s="65"/>
      <c r="P6" s="65"/>
      <c r="Q6" s="65">
        <v>1</v>
      </c>
      <c r="R6" s="65">
        <v>1</v>
      </c>
      <c r="S6" s="65"/>
      <c r="T6" s="65">
        <v>1</v>
      </c>
      <c r="U6" s="65"/>
      <c r="V6" s="65">
        <v>5</v>
      </c>
      <c r="W6" s="65"/>
      <c r="X6" s="65">
        <v>14</v>
      </c>
      <c r="Y6" s="65"/>
      <c r="Z6" s="65">
        <v>4</v>
      </c>
      <c r="AA6" s="65"/>
      <c r="AB6" s="65">
        <v>3</v>
      </c>
      <c r="AC6" s="65"/>
      <c r="AD6" s="65">
        <v>1</v>
      </c>
      <c r="AE6" s="65"/>
      <c r="AF6" s="65"/>
      <c r="AG6" s="65"/>
      <c r="AH6" s="65"/>
      <c r="AI6" s="65"/>
      <c r="AJ6" s="65"/>
      <c r="AK6" s="65"/>
      <c r="AL6" s="65"/>
      <c r="AM6" s="65"/>
      <c r="AN6" s="65">
        <f>AL6+AJ6+AH6+AF6+AD6+AB6+Z6+X6+V6</f>
        <v>27</v>
      </c>
      <c r="AO6" s="65">
        <f>AM6+AK6+AI6+AG6+AE6+AC6+AA6+Y6+W6</f>
        <v>0</v>
      </c>
      <c r="AP6" s="65">
        <f>AO6+AN6</f>
        <v>27</v>
      </c>
      <c r="AQ6" s="65">
        <v>1</v>
      </c>
      <c r="AR6" s="65"/>
      <c r="AS6" s="65">
        <v>5</v>
      </c>
      <c r="AT6" s="65"/>
      <c r="AU6" s="65">
        <v>9</v>
      </c>
      <c r="AV6" s="65"/>
      <c r="AW6" s="65">
        <v>9</v>
      </c>
      <c r="AX6" s="65"/>
      <c r="AY6" s="65">
        <v>1</v>
      </c>
      <c r="AZ6" s="65"/>
      <c r="BA6" s="65">
        <v>1</v>
      </c>
      <c r="BB6" s="65"/>
      <c r="BC6" s="65"/>
      <c r="BD6" s="65"/>
      <c r="BE6" s="65"/>
      <c r="BF6" s="65"/>
      <c r="BG6" s="65"/>
      <c r="BH6" s="65"/>
      <c r="BI6" s="65">
        <f>BG6+BE6+BC6+BA6+AY6+AW6+AU6+AS6+AQ6</f>
        <v>26</v>
      </c>
      <c r="BJ6" s="65">
        <f>BH6+BF6+BD6+BB6+AZ6+AX6+AV6+AT6+AR6</f>
        <v>0</v>
      </c>
      <c r="BK6" s="65">
        <f>BJ6+BI6</f>
        <v>26</v>
      </c>
      <c r="BL6" s="65"/>
      <c r="BM6" s="65"/>
      <c r="BN6" s="65">
        <v>1</v>
      </c>
      <c r="BO6" s="65"/>
      <c r="BP6" s="65">
        <v>4</v>
      </c>
      <c r="BQ6" s="65"/>
      <c r="BR6" s="65">
        <v>13</v>
      </c>
      <c r="BS6" s="65"/>
      <c r="BT6" s="65">
        <v>8</v>
      </c>
      <c r="BU6" s="65"/>
      <c r="BV6" s="65">
        <v>1</v>
      </c>
      <c r="BW6" s="65"/>
      <c r="BX6" s="65"/>
      <c r="BY6" s="65"/>
      <c r="BZ6" s="65"/>
      <c r="CA6" s="65"/>
      <c r="CB6" s="65"/>
      <c r="CC6" s="65"/>
      <c r="CD6" s="65">
        <f>CB6+BZ6+BX6+BV6+BT6+BR6+BP6+BN6+BL6</f>
        <v>27</v>
      </c>
      <c r="CE6" s="65">
        <f>CC6+CA6+BY6+BW6+BU6+BS6+BQ6+BO6+BM6</f>
        <v>0</v>
      </c>
      <c r="CF6" s="65">
        <f>CE6+CD6</f>
        <v>27</v>
      </c>
      <c r="CG6" s="65"/>
      <c r="CH6" s="65"/>
      <c r="CI6" s="65"/>
      <c r="CJ6" s="65"/>
      <c r="CK6" s="65"/>
      <c r="CL6" s="65"/>
      <c r="CM6" s="65">
        <v>4</v>
      </c>
      <c r="CN6" s="65"/>
      <c r="CO6" s="65">
        <v>1</v>
      </c>
      <c r="CP6" s="65"/>
      <c r="CQ6" s="65">
        <v>6</v>
      </c>
      <c r="CR6" s="65"/>
      <c r="CS6" s="65"/>
      <c r="CT6" s="65"/>
      <c r="CU6" s="65"/>
      <c r="CV6" s="65"/>
      <c r="CW6" s="65"/>
      <c r="CX6" s="65"/>
      <c r="CY6" s="65">
        <f t="shared" ref="CY6:CZ8" si="0">CW6+CU6+CS6+CQ6+CO6+CM6+CK6+CI6+CG6</f>
        <v>11</v>
      </c>
      <c r="CZ6" s="65">
        <f t="shared" si="0"/>
        <v>0</v>
      </c>
      <c r="DA6" s="65">
        <f>CZ6+CY6</f>
        <v>11</v>
      </c>
      <c r="DB6" s="65">
        <f>CY6+CD6+BI6+AN6</f>
        <v>91</v>
      </c>
      <c r="DC6" s="65">
        <f>CZ6+AO6+BJ6+CE6</f>
        <v>0</v>
      </c>
      <c r="DD6" s="65">
        <f>DC6+DB6</f>
        <v>91</v>
      </c>
      <c r="DE6" s="65">
        <v>1</v>
      </c>
      <c r="DF6" s="65"/>
      <c r="DG6" s="65"/>
      <c r="DH6" s="65">
        <v>1</v>
      </c>
      <c r="DI6" s="65"/>
      <c r="DJ6" s="65"/>
      <c r="DK6" s="65">
        <v>1</v>
      </c>
      <c r="DL6" s="65"/>
      <c r="DM6" s="65"/>
      <c r="DN6" s="65">
        <v>1</v>
      </c>
      <c r="DO6" s="65"/>
      <c r="DP6" s="65"/>
      <c r="DQ6" s="65">
        <f t="shared" ref="DQ6:DS6" si="1">DN6+DK6+DH6+DE6</f>
        <v>4</v>
      </c>
      <c r="DR6" s="65">
        <f t="shared" si="1"/>
        <v>0</v>
      </c>
      <c r="DS6" s="65">
        <f t="shared" si="1"/>
        <v>0</v>
      </c>
      <c r="DT6" s="65">
        <f>DS6+DR6+DQ6</f>
        <v>4</v>
      </c>
      <c r="DU6" s="65">
        <v>5</v>
      </c>
      <c r="DV6" s="65"/>
      <c r="DW6" s="65">
        <v>6</v>
      </c>
      <c r="DX6" s="65"/>
      <c r="DY6" s="65">
        <v>4</v>
      </c>
      <c r="DZ6" s="65"/>
      <c r="EA6" s="65">
        <v>2</v>
      </c>
      <c r="EB6" s="65"/>
      <c r="EC6" s="65">
        <f t="shared" ref="EC6:ED8" si="2">EA6+DY6+DW6+DU6</f>
        <v>17</v>
      </c>
      <c r="ED6" s="65">
        <f t="shared" si="2"/>
        <v>0</v>
      </c>
      <c r="EE6" s="67">
        <f>SUM(EC6:ED6)</f>
        <v>17</v>
      </c>
      <c r="EF6" s="72">
        <v>23</v>
      </c>
      <c r="EG6" s="65"/>
      <c r="EH6" s="65">
        <v>23</v>
      </c>
      <c r="EI6" s="65"/>
      <c r="EJ6" s="65">
        <v>10</v>
      </c>
      <c r="EK6" s="65"/>
      <c r="EL6" s="65">
        <v>13</v>
      </c>
      <c r="EM6" s="65"/>
      <c r="EN6" s="65">
        <f t="shared" ref="EN6:EO8" si="3">EL6+EJ6+EH6+EF6</f>
        <v>69</v>
      </c>
      <c r="EO6" s="65">
        <f t="shared" si="3"/>
        <v>0</v>
      </c>
      <c r="EP6" s="65">
        <f>SUM(EN6:EO6)</f>
        <v>69</v>
      </c>
      <c r="EQ6" s="65">
        <v>27</v>
      </c>
      <c r="ER6" s="65"/>
      <c r="ES6" s="65">
        <v>16</v>
      </c>
      <c r="ET6" s="65"/>
      <c r="EU6" s="65">
        <v>20</v>
      </c>
      <c r="EV6" s="65"/>
      <c r="EW6" s="65">
        <v>11</v>
      </c>
      <c r="EX6" s="65"/>
      <c r="EY6" s="65">
        <f t="shared" ref="EY6:EZ8" si="4">EW6+EU6+ES6+EQ6</f>
        <v>74</v>
      </c>
      <c r="EZ6" s="65">
        <f t="shared" si="4"/>
        <v>0</v>
      </c>
      <c r="FA6" s="67">
        <f>SUM(EY6:EZ6)</f>
        <v>74</v>
      </c>
      <c r="FB6" s="72"/>
      <c r="FC6" s="65"/>
      <c r="FD6" s="65"/>
      <c r="FE6" s="65"/>
      <c r="FF6" s="65"/>
      <c r="FG6" s="65"/>
      <c r="FH6" s="65"/>
      <c r="FI6" s="65"/>
      <c r="FJ6" s="65">
        <f t="shared" ref="FJ6:FK8" si="5">FH6+FF6+FD6+FB6</f>
        <v>0</v>
      </c>
      <c r="FK6" s="65">
        <f t="shared" si="5"/>
        <v>0</v>
      </c>
      <c r="FL6" s="65">
        <f>SUM(FJ6:FK6)</f>
        <v>0</v>
      </c>
      <c r="FM6" s="73"/>
      <c r="FN6" s="65"/>
      <c r="FO6" s="65"/>
      <c r="FP6" s="65"/>
      <c r="FQ6" s="65"/>
      <c r="FR6" s="65"/>
      <c r="FS6" s="65"/>
      <c r="FT6" s="65"/>
      <c r="FU6" s="65">
        <f t="shared" ref="FU6:FV8" si="6">FS6+FQ6+FO6+FM6</f>
        <v>0</v>
      </c>
      <c r="FV6" s="65">
        <f t="shared" si="6"/>
        <v>0</v>
      </c>
      <c r="FW6" s="70">
        <f>SUM(FU6:FV6)</f>
        <v>0</v>
      </c>
      <c r="FX6" s="73">
        <v>1</v>
      </c>
      <c r="FY6" s="65"/>
      <c r="FZ6" s="65"/>
      <c r="GA6" s="65"/>
      <c r="GB6" s="65">
        <v>9</v>
      </c>
      <c r="GC6" s="65"/>
      <c r="GD6" s="65"/>
      <c r="GE6" s="65"/>
      <c r="GF6" s="65">
        <f t="shared" ref="GF6:GG8" si="7">GD6+GB6+FZ6+FX6</f>
        <v>10</v>
      </c>
      <c r="GG6" s="65">
        <f t="shared" si="7"/>
        <v>0</v>
      </c>
      <c r="GH6" s="65">
        <f>GG6+GF6</f>
        <v>10</v>
      </c>
      <c r="GI6" s="65"/>
      <c r="GJ6" s="65"/>
      <c r="GK6" s="65">
        <f>GJ6+GI6</f>
        <v>0</v>
      </c>
      <c r="GL6" s="65"/>
      <c r="GM6" s="65"/>
      <c r="GN6" s="65"/>
      <c r="GO6" s="65"/>
      <c r="GP6" s="65">
        <v>1</v>
      </c>
      <c r="GQ6" s="65"/>
      <c r="GR6" s="65"/>
      <c r="GS6" s="65"/>
      <c r="GT6" s="65"/>
      <c r="GU6" s="65"/>
      <c r="GV6" s="65"/>
      <c r="GW6" s="65">
        <f>GV6+GU6+GT6+GP6+GN6+GL6+GR6</f>
        <v>1</v>
      </c>
      <c r="GX6" s="65">
        <f>GQ6+GO6+GM6+GS6</f>
        <v>0</v>
      </c>
      <c r="GY6" s="65">
        <f>SUM(GW6:GX6)</f>
        <v>1</v>
      </c>
      <c r="GZ6" s="65"/>
      <c r="HA6" s="65"/>
      <c r="HB6" s="65">
        <v>1</v>
      </c>
      <c r="HC6" s="65"/>
      <c r="HD6" s="65">
        <v>2</v>
      </c>
      <c r="HE6" s="65"/>
      <c r="HF6" s="65">
        <v>7</v>
      </c>
      <c r="HG6" s="65"/>
      <c r="HH6" s="65"/>
      <c r="HI6" s="65"/>
      <c r="HJ6" s="65">
        <f t="shared" ref="HJ6:HK8" si="8">HD6+HB6+GZ6+HF6+HH6</f>
        <v>10</v>
      </c>
      <c r="HK6" s="65">
        <f t="shared" si="8"/>
        <v>0</v>
      </c>
      <c r="HL6" s="65">
        <f>SUM(HJ6:HK6)</f>
        <v>10</v>
      </c>
      <c r="HM6" s="65"/>
      <c r="HN6" s="65"/>
      <c r="HO6" s="65">
        <v>2</v>
      </c>
      <c r="HP6" s="65"/>
      <c r="HQ6" s="65">
        <v>3</v>
      </c>
      <c r="HR6" s="65"/>
      <c r="HS6" s="65">
        <v>5</v>
      </c>
      <c r="HT6" s="65"/>
      <c r="HU6" s="65"/>
      <c r="HV6" s="65"/>
      <c r="HW6" s="65">
        <f t="shared" ref="HW6:HX8" si="9">HU6+HS6+HQ6+HO6+HM6</f>
        <v>10</v>
      </c>
      <c r="HX6" s="65">
        <f t="shared" si="9"/>
        <v>0</v>
      </c>
      <c r="HY6" s="65">
        <f>SUM(HW6:HX6)</f>
        <v>10</v>
      </c>
      <c r="HZ6" s="65">
        <v>9</v>
      </c>
      <c r="IA6" s="65"/>
      <c r="IB6" s="65"/>
      <c r="IC6" s="65"/>
      <c r="ID6" s="65"/>
      <c r="IE6" s="65"/>
      <c r="IF6" s="65"/>
      <c r="IG6" s="65"/>
      <c r="IH6" s="65">
        <v>1</v>
      </c>
      <c r="II6" s="65"/>
      <c r="IJ6" s="65"/>
      <c r="IK6" s="65"/>
      <c r="IL6" s="65"/>
      <c r="IM6" s="65"/>
      <c r="IN6" s="65"/>
      <c r="IO6" s="65"/>
      <c r="IP6" s="65"/>
      <c r="IQ6" s="65"/>
      <c r="IR6" s="65">
        <f>IP6+HZ6+IN6+IJ6+IH6+IF6+ID6+IB6</f>
        <v>10</v>
      </c>
      <c r="IS6" s="65">
        <f>IQ6+IA6+IO6+IM6+IK6+II6+IG6+IE6+IC6</f>
        <v>0</v>
      </c>
      <c r="IT6" s="65">
        <f>SUM(IR6:IS6)</f>
        <v>10</v>
      </c>
      <c r="IU6" s="65"/>
      <c r="IV6" s="65"/>
      <c r="IW6" s="65">
        <v>10</v>
      </c>
      <c r="IX6" s="65"/>
      <c r="IY6" s="65"/>
      <c r="IZ6" s="65"/>
      <c r="JA6" s="65"/>
      <c r="JB6" s="65"/>
      <c r="JC6" s="65">
        <f t="shared" ref="JC6:JD8" si="10">JA6+IY6+IW6+IU6</f>
        <v>10</v>
      </c>
      <c r="JD6" s="65">
        <f t="shared" si="10"/>
        <v>0</v>
      </c>
      <c r="JE6" s="65">
        <f>SUM(JC6:JD6)</f>
        <v>10</v>
      </c>
      <c r="JF6" s="65">
        <v>3</v>
      </c>
      <c r="JG6" s="65"/>
      <c r="JH6" s="65">
        <v>3</v>
      </c>
      <c r="JI6" s="65"/>
      <c r="JJ6" s="65">
        <f>JI6+JH6</f>
        <v>3</v>
      </c>
      <c r="JK6" s="65"/>
      <c r="JL6" s="65">
        <v>1</v>
      </c>
      <c r="JM6" s="65"/>
      <c r="JN6" s="65">
        <v>1</v>
      </c>
      <c r="JO6" s="65"/>
      <c r="JP6" s="65">
        <v>1</v>
      </c>
      <c r="JQ6" s="65"/>
      <c r="JR6" s="65">
        <v>1</v>
      </c>
      <c r="JS6" s="65"/>
      <c r="JT6" s="65">
        <v>1</v>
      </c>
      <c r="JU6" s="65"/>
      <c r="JV6" s="65">
        <v>1</v>
      </c>
      <c r="JW6" s="65"/>
      <c r="JX6" s="65"/>
      <c r="JY6" s="65"/>
      <c r="JZ6" s="65"/>
      <c r="KA6" s="65"/>
      <c r="KB6" s="65"/>
      <c r="KC6" s="65"/>
      <c r="KD6" s="65"/>
      <c r="KE6" s="65"/>
      <c r="KF6" s="65"/>
      <c r="KG6" s="65"/>
      <c r="KH6" s="65"/>
      <c r="KI6" s="65">
        <v>1</v>
      </c>
      <c r="KJ6" s="65"/>
      <c r="KK6" s="65"/>
      <c r="KL6" s="65"/>
      <c r="KM6" s="65"/>
      <c r="KN6" s="65">
        <v>6</v>
      </c>
      <c r="KO6" s="65">
        <v>12</v>
      </c>
      <c r="KP6" s="65">
        <v>1</v>
      </c>
      <c r="KQ6" s="65"/>
      <c r="KR6" s="65">
        <v>1</v>
      </c>
      <c r="KS6" s="65">
        <v>2</v>
      </c>
      <c r="KT6" s="65"/>
      <c r="KU6" s="65"/>
      <c r="KV6" s="65"/>
      <c r="KW6" s="65">
        <v>1</v>
      </c>
      <c r="KX6" s="65"/>
      <c r="KY6" s="65">
        <v>1</v>
      </c>
    </row>
    <row r="7" spans="1:311" s="74" customFormat="1" ht="19.5" customHeight="1" x14ac:dyDescent="0.25">
      <c r="A7" s="65" t="s">
        <v>62</v>
      </c>
      <c r="B7" s="65" t="s">
        <v>63</v>
      </c>
      <c r="C7" s="65"/>
      <c r="D7" s="65"/>
      <c r="E7" s="65" t="s">
        <v>186</v>
      </c>
      <c r="F7" s="65" t="s">
        <v>216</v>
      </c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>
        <v>1</v>
      </c>
      <c r="V7" s="65">
        <v>2</v>
      </c>
      <c r="W7" s="65"/>
      <c r="X7" s="65">
        <v>4</v>
      </c>
      <c r="Y7" s="65"/>
      <c r="Z7" s="65">
        <v>3</v>
      </c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>
        <f>AL7+AJ7+AH7+AF7+AD7+AB7+Z7+X7+V7</f>
        <v>9</v>
      </c>
      <c r="AO7" s="65">
        <f>AM7+AK7+AI7+AG7+AE7+AC7+AA7+Y7+W7</f>
        <v>0</v>
      </c>
      <c r="AP7" s="65">
        <f>AO7+AN7</f>
        <v>9</v>
      </c>
      <c r="AQ7" s="65"/>
      <c r="AR7" s="65"/>
      <c r="AS7" s="65">
        <v>4</v>
      </c>
      <c r="AT7" s="65"/>
      <c r="AU7" s="65">
        <v>9</v>
      </c>
      <c r="AV7" s="65"/>
      <c r="AW7" s="65">
        <v>1</v>
      </c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>
        <f>BG7+BE7+BC7+BA7+AY7+AW7+AU7+AS7+AQ7</f>
        <v>14</v>
      </c>
      <c r="BJ7" s="65">
        <f>BH7+BF7+BD7+BB7+AZ7+AX7+AV7+AT7+AR7</f>
        <v>0</v>
      </c>
      <c r="BK7" s="65">
        <f>BJ7+BI7</f>
        <v>14</v>
      </c>
      <c r="BL7" s="65"/>
      <c r="BM7" s="65"/>
      <c r="BN7" s="65"/>
      <c r="BO7" s="65"/>
      <c r="BP7" s="65">
        <v>2</v>
      </c>
      <c r="BQ7" s="65"/>
      <c r="BR7" s="65">
        <v>6</v>
      </c>
      <c r="BS7" s="65"/>
      <c r="BT7" s="65">
        <v>2</v>
      </c>
      <c r="BU7" s="65"/>
      <c r="BV7" s="65"/>
      <c r="BW7" s="65"/>
      <c r="BX7" s="65"/>
      <c r="BY7" s="65"/>
      <c r="BZ7" s="65"/>
      <c r="CA7" s="65"/>
      <c r="CB7" s="65"/>
      <c r="CC7" s="65"/>
      <c r="CD7" s="65">
        <f>CB7+BZ7+BX7+BV7+BT7+BR7+BP7+BN7+BL7</f>
        <v>10</v>
      </c>
      <c r="CE7" s="65">
        <f>CC7+CA7+BY7+BW7+BU7+BS7+BQ7+BO7+BM7</f>
        <v>0</v>
      </c>
      <c r="CF7" s="65">
        <f>CE7+CD7</f>
        <v>10</v>
      </c>
      <c r="CG7" s="65"/>
      <c r="CH7" s="65"/>
      <c r="CI7" s="65"/>
      <c r="CJ7" s="65"/>
      <c r="CK7" s="65"/>
      <c r="CL7" s="65"/>
      <c r="CM7" s="65">
        <v>8</v>
      </c>
      <c r="CN7" s="65"/>
      <c r="CO7" s="65">
        <v>3</v>
      </c>
      <c r="CP7" s="65"/>
      <c r="CQ7" s="65"/>
      <c r="CR7" s="65"/>
      <c r="CS7" s="65"/>
      <c r="CT7" s="65"/>
      <c r="CU7" s="65"/>
      <c r="CV7" s="65"/>
      <c r="CW7" s="65"/>
      <c r="CX7" s="65"/>
      <c r="CY7" s="65">
        <f t="shared" si="0"/>
        <v>11</v>
      </c>
      <c r="CZ7" s="65">
        <f t="shared" si="0"/>
        <v>0</v>
      </c>
      <c r="DA7" s="65">
        <f>CZ7+CY7</f>
        <v>11</v>
      </c>
      <c r="DB7" s="65">
        <f>CY7+CD7+BI7+AN7</f>
        <v>44</v>
      </c>
      <c r="DC7" s="65">
        <f>CZ7+AO7+BJ7+CE7</f>
        <v>0</v>
      </c>
      <c r="DD7" s="65">
        <f>DC7+DB7</f>
        <v>44</v>
      </c>
      <c r="DE7" s="65">
        <v>1</v>
      </c>
      <c r="DF7" s="65"/>
      <c r="DG7" s="65"/>
      <c r="DH7" s="65">
        <v>1</v>
      </c>
      <c r="DI7" s="65"/>
      <c r="DJ7" s="65"/>
      <c r="DK7" s="65">
        <v>1</v>
      </c>
      <c r="DL7" s="65"/>
      <c r="DM7" s="65"/>
      <c r="DN7" s="65">
        <v>1</v>
      </c>
      <c r="DO7" s="65"/>
      <c r="DP7" s="65"/>
      <c r="DQ7" s="65">
        <f t="shared" ref="DQ7:DS8" si="11">DN7+DK7+DH7+DE7</f>
        <v>4</v>
      </c>
      <c r="DR7" s="65">
        <f t="shared" si="11"/>
        <v>0</v>
      </c>
      <c r="DS7" s="65">
        <f t="shared" si="11"/>
        <v>0</v>
      </c>
      <c r="DT7" s="65">
        <f>DS7+DR7+DQ7</f>
        <v>4</v>
      </c>
      <c r="DU7" s="65"/>
      <c r="DV7" s="65"/>
      <c r="DW7" s="65"/>
      <c r="DX7" s="65"/>
      <c r="DY7" s="65"/>
      <c r="DZ7" s="65"/>
      <c r="EA7" s="65"/>
      <c r="EB7" s="65"/>
      <c r="EC7" s="65">
        <f t="shared" si="2"/>
        <v>0</v>
      </c>
      <c r="ED7" s="65">
        <f t="shared" si="2"/>
        <v>0</v>
      </c>
      <c r="EE7" s="67">
        <f>SUM(EC7:ED7)</f>
        <v>0</v>
      </c>
      <c r="EF7" s="72">
        <v>12</v>
      </c>
      <c r="EG7" s="65"/>
      <c r="EH7" s="65">
        <v>9</v>
      </c>
      <c r="EI7" s="65"/>
      <c r="EJ7" s="65">
        <v>11</v>
      </c>
      <c r="EK7" s="65"/>
      <c r="EL7" s="65"/>
      <c r="EM7" s="65"/>
      <c r="EN7" s="65">
        <f t="shared" si="3"/>
        <v>32</v>
      </c>
      <c r="EO7" s="65">
        <f t="shared" si="3"/>
        <v>0</v>
      </c>
      <c r="EP7" s="65">
        <f>SUM(EN7:EO7)</f>
        <v>32</v>
      </c>
      <c r="EQ7" s="65">
        <v>7</v>
      </c>
      <c r="ER7" s="65"/>
      <c r="ES7" s="65">
        <v>1</v>
      </c>
      <c r="ET7" s="65"/>
      <c r="EU7" s="65"/>
      <c r="EV7" s="65"/>
      <c r="EW7" s="65"/>
      <c r="EX7" s="65"/>
      <c r="EY7" s="65">
        <f t="shared" si="4"/>
        <v>8</v>
      </c>
      <c r="EZ7" s="65">
        <f t="shared" si="4"/>
        <v>0</v>
      </c>
      <c r="FA7" s="67">
        <f>SUM(EY7:EZ7)</f>
        <v>8</v>
      </c>
      <c r="FB7" s="72"/>
      <c r="FC7" s="65"/>
      <c r="FD7" s="65"/>
      <c r="FE7" s="65"/>
      <c r="FF7" s="65"/>
      <c r="FG7" s="65"/>
      <c r="FH7" s="65"/>
      <c r="FI7" s="65"/>
      <c r="FJ7" s="65">
        <f t="shared" si="5"/>
        <v>0</v>
      </c>
      <c r="FK7" s="65">
        <f t="shared" si="5"/>
        <v>0</v>
      </c>
      <c r="FL7" s="65">
        <f>SUM(FJ7:FK7)</f>
        <v>0</v>
      </c>
      <c r="FM7" s="73"/>
      <c r="FN7" s="65"/>
      <c r="FO7" s="65"/>
      <c r="FP7" s="65"/>
      <c r="FQ7" s="65"/>
      <c r="FR7" s="65"/>
      <c r="FS7" s="65"/>
      <c r="FT7" s="65"/>
      <c r="FU7" s="65">
        <f t="shared" si="6"/>
        <v>0</v>
      </c>
      <c r="FV7" s="65">
        <f t="shared" si="6"/>
        <v>0</v>
      </c>
      <c r="FW7" s="70">
        <f>SUM(FU7:FV7)</f>
        <v>0</v>
      </c>
      <c r="FX7" s="73"/>
      <c r="FY7" s="65"/>
      <c r="FZ7" s="65"/>
      <c r="GA7" s="65"/>
      <c r="GB7" s="65"/>
      <c r="GC7" s="65"/>
      <c r="GD7" s="65"/>
      <c r="GE7" s="65"/>
      <c r="GF7" s="65">
        <f t="shared" si="7"/>
        <v>0</v>
      </c>
      <c r="GG7" s="65">
        <f t="shared" si="7"/>
        <v>0</v>
      </c>
      <c r="GH7" s="65">
        <f>GG7+GF7</f>
        <v>0</v>
      </c>
      <c r="GI7" s="65"/>
      <c r="GJ7" s="65"/>
      <c r="GK7" s="65">
        <f>GJ7+GI7</f>
        <v>0</v>
      </c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>
        <f>GV7+GU7+GT7+GP7+GN7+GL7+GR7</f>
        <v>0</v>
      </c>
      <c r="GX7" s="65">
        <f>GQ7+GO7+GM7+GS7</f>
        <v>0</v>
      </c>
      <c r="GY7" s="65">
        <f>SUM(GW7:GX7)</f>
        <v>0</v>
      </c>
      <c r="GZ7" s="65"/>
      <c r="HA7" s="65"/>
      <c r="HB7" s="65"/>
      <c r="HC7" s="65"/>
      <c r="HD7" s="65"/>
      <c r="HE7" s="65"/>
      <c r="HF7" s="65"/>
      <c r="HG7" s="65"/>
      <c r="HH7" s="65"/>
      <c r="HI7" s="65"/>
      <c r="HJ7" s="65">
        <f t="shared" si="8"/>
        <v>0</v>
      </c>
      <c r="HK7" s="65">
        <f t="shared" si="8"/>
        <v>0</v>
      </c>
      <c r="HL7" s="65">
        <f>SUM(HJ7:HK7)</f>
        <v>0</v>
      </c>
      <c r="HM7" s="65"/>
      <c r="HN7" s="65"/>
      <c r="HO7" s="65"/>
      <c r="HP7" s="65"/>
      <c r="HQ7" s="65"/>
      <c r="HR7" s="65"/>
      <c r="HS7" s="65"/>
      <c r="HT7" s="65"/>
      <c r="HU7" s="65"/>
      <c r="HV7" s="65"/>
      <c r="HW7" s="65">
        <f t="shared" si="9"/>
        <v>0</v>
      </c>
      <c r="HX7" s="65">
        <f t="shared" si="9"/>
        <v>0</v>
      </c>
      <c r="HY7" s="65">
        <f>SUM(HW7:HX7)</f>
        <v>0</v>
      </c>
      <c r="HZ7" s="65"/>
      <c r="IA7" s="65"/>
      <c r="IB7" s="65"/>
      <c r="IC7" s="65"/>
      <c r="ID7" s="65"/>
      <c r="IE7" s="65"/>
      <c r="IF7" s="65"/>
      <c r="IG7" s="65"/>
      <c r="IH7" s="65"/>
      <c r="II7" s="65"/>
      <c r="IJ7" s="65"/>
      <c r="IK7" s="65"/>
      <c r="IL7" s="65"/>
      <c r="IM7" s="65"/>
      <c r="IN7" s="65"/>
      <c r="IO7" s="65"/>
      <c r="IP7" s="65"/>
      <c r="IQ7" s="65"/>
      <c r="IR7" s="65">
        <f>IP7+HZ7+IN7+IJ7+IH7+IF7+ID7+IB7</f>
        <v>0</v>
      </c>
      <c r="IS7" s="65">
        <f>IQ7+IA7+IO7+IM7+IK7+II7+IG7+IE7+IC7</f>
        <v>0</v>
      </c>
      <c r="IT7" s="65">
        <f>SUM(IR7:IS7)</f>
        <v>0</v>
      </c>
      <c r="IU7" s="65"/>
      <c r="IV7" s="65"/>
      <c r="IW7" s="65"/>
      <c r="IX7" s="65"/>
      <c r="IY7" s="65"/>
      <c r="IZ7" s="65"/>
      <c r="JA7" s="65"/>
      <c r="JB7" s="65"/>
      <c r="JC7" s="65">
        <f t="shared" si="10"/>
        <v>0</v>
      </c>
      <c r="JD7" s="65">
        <f t="shared" si="10"/>
        <v>0</v>
      </c>
      <c r="JE7" s="65">
        <f>SUM(JC7:JD7)</f>
        <v>0</v>
      </c>
      <c r="JF7" s="65"/>
      <c r="JG7" s="65"/>
      <c r="JH7" s="65"/>
      <c r="JI7" s="65"/>
      <c r="JJ7" s="65">
        <f>JI7+JH7</f>
        <v>0</v>
      </c>
      <c r="JK7" s="65"/>
      <c r="JL7" s="65"/>
      <c r="JM7" s="65"/>
      <c r="JN7" s="65"/>
      <c r="JO7" s="65"/>
      <c r="JP7" s="65"/>
      <c r="JQ7" s="65"/>
      <c r="JR7" s="65"/>
      <c r="JS7" s="65"/>
      <c r="JT7" s="65"/>
      <c r="JU7" s="65"/>
      <c r="JV7" s="65"/>
      <c r="JW7" s="65"/>
      <c r="JX7" s="65"/>
      <c r="JY7" s="65"/>
      <c r="JZ7" s="65"/>
      <c r="KA7" s="65"/>
      <c r="KB7" s="65"/>
      <c r="KC7" s="65"/>
      <c r="KD7" s="65"/>
      <c r="KE7" s="65"/>
      <c r="KF7" s="65"/>
      <c r="KG7" s="65"/>
      <c r="KH7" s="65"/>
      <c r="KI7" s="65"/>
      <c r="KJ7" s="65"/>
      <c r="KK7" s="65"/>
      <c r="KL7" s="65"/>
      <c r="KM7" s="65"/>
      <c r="KN7" s="65"/>
      <c r="KO7" s="65"/>
      <c r="KP7" s="65"/>
      <c r="KQ7" s="65"/>
      <c r="KR7" s="65"/>
      <c r="KS7" s="65"/>
      <c r="KT7" s="65"/>
      <c r="KU7" s="65"/>
      <c r="KV7" s="65"/>
      <c r="KW7" s="65"/>
      <c r="KX7" s="65"/>
      <c r="KY7" s="65"/>
    </row>
    <row r="8" spans="1:311" s="71" customFormat="1" ht="19.5" customHeight="1" x14ac:dyDescent="0.25">
      <c r="A8" s="65" t="s">
        <v>62</v>
      </c>
      <c r="B8" s="65" t="s">
        <v>63</v>
      </c>
      <c r="C8" s="66"/>
      <c r="D8" s="66"/>
      <c r="E8" s="65" t="s">
        <v>208</v>
      </c>
      <c r="F8" s="66" t="s">
        <v>209</v>
      </c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>
        <v>1</v>
      </c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5">
        <f t="shared" ref="AN8" si="12">AL8+AJ8+AH8+AF8+AD8+AB8+Z8+X8+V8</f>
        <v>0</v>
      </c>
      <c r="AO8" s="65">
        <f t="shared" ref="AO8" si="13">AM8+AK8+AI8+AG8+AE8+AC8+AA8+Y8+W8</f>
        <v>0</v>
      </c>
      <c r="AP8" s="65">
        <f t="shared" ref="AP8" si="14">AO8+AN8</f>
        <v>0</v>
      </c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5">
        <f t="shared" ref="BI8" si="15">BG8+BE8+BC8+BA8+AY8+AW8+AU8+AS8+AQ8</f>
        <v>0</v>
      </c>
      <c r="BJ8" s="65">
        <f t="shared" ref="BJ8" si="16">BH8+BF8+BD8+BB8+AZ8+AX8+AV8+AT8+AR8</f>
        <v>0</v>
      </c>
      <c r="BK8" s="65">
        <f t="shared" ref="BK8" si="17">BJ8+BI8</f>
        <v>0</v>
      </c>
      <c r="BL8" s="66"/>
      <c r="BM8" s="66"/>
      <c r="BN8" s="66"/>
      <c r="BO8" s="66"/>
      <c r="BP8" s="66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5">
        <f t="shared" ref="CD8" si="18">CB8+BZ8+BX8+BV8+BT8+BR8+BP8+BN8+BL8</f>
        <v>0</v>
      </c>
      <c r="CE8" s="65">
        <f t="shared" ref="CE8" si="19">CC8+CA8+BY8+BW8+BU8+BS8+BQ8+BO8+BM8</f>
        <v>0</v>
      </c>
      <c r="CF8" s="65">
        <f t="shared" ref="CF8" si="20">CE8+CD8</f>
        <v>0</v>
      </c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66"/>
      <c r="CT8" s="66"/>
      <c r="CU8" s="66"/>
      <c r="CV8" s="66"/>
      <c r="CW8" s="66"/>
      <c r="CX8" s="66"/>
      <c r="CY8" s="65">
        <f t="shared" si="0"/>
        <v>0</v>
      </c>
      <c r="CZ8" s="65">
        <f t="shared" si="0"/>
        <v>0</v>
      </c>
      <c r="DA8" s="65">
        <f>CZ8+CY8</f>
        <v>0</v>
      </c>
      <c r="DB8" s="65">
        <f>CY8+CD8+BI8+AN8</f>
        <v>0</v>
      </c>
      <c r="DC8" s="65">
        <f>CZ8+AO8+BJ8+CE8</f>
        <v>0</v>
      </c>
      <c r="DD8" s="65">
        <f>DC8+DB8</f>
        <v>0</v>
      </c>
      <c r="DE8" s="66"/>
      <c r="DF8" s="66"/>
      <c r="DG8" s="66"/>
      <c r="DH8" s="66"/>
      <c r="DI8" s="66"/>
      <c r="DJ8" s="66"/>
      <c r="DK8" s="66"/>
      <c r="DL8" s="66"/>
      <c r="DM8" s="66"/>
      <c r="DN8" s="66"/>
      <c r="DO8" s="66"/>
      <c r="DP8" s="66"/>
      <c r="DQ8" s="65">
        <f t="shared" si="11"/>
        <v>0</v>
      </c>
      <c r="DR8" s="65">
        <f t="shared" si="11"/>
        <v>0</v>
      </c>
      <c r="DS8" s="65">
        <f t="shared" si="11"/>
        <v>0</v>
      </c>
      <c r="DT8" s="65">
        <f>DS8+DR8+DQ8</f>
        <v>0</v>
      </c>
      <c r="DU8" s="66"/>
      <c r="DV8" s="66"/>
      <c r="DW8" s="66"/>
      <c r="DX8" s="66"/>
      <c r="DY8" s="66"/>
      <c r="DZ8" s="66"/>
      <c r="EA8" s="66"/>
      <c r="EB8" s="66"/>
      <c r="EC8" s="65">
        <f t="shared" si="2"/>
        <v>0</v>
      </c>
      <c r="ED8" s="65">
        <f t="shared" si="2"/>
        <v>0</v>
      </c>
      <c r="EE8" s="67">
        <f>SUM(EC8:ED8)</f>
        <v>0</v>
      </c>
      <c r="EF8" s="68"/>
      <c r="EG8" s="66"/>
      <c r="EH8" s="66"/>
      <c r="EI8" s="66">
        <v>2</v>
      </c>
      <c r="EJ8" s="66"/>
      <c r="EK8" s="66"/>
      <c r="EL8" s="66"/>
      <c r="EM8" s="66"/>
      <c r="EN8" s="65">
        <f t="shared" si="3"/>
        <v>0</v>
      </c>
      <c r="EO8" s="65">
        <f t="shared" si="3"/>
        <v>2</v>
      </c>
      <c r="EP8" s="65">
        <f>SUM(EN8:EO8)</f>
        <v>2</v>
      </c>
      <c r="EQ8" s="66"/>
      <c r="ER8" s="66"/>
      <c r="ES8" s="66"/>
      <c r="ET8" s="66"/>
      <c r="EU8" s="66"/>
      <c r="EV8" s="66"/>
      <c r="EW8" s="66"/>
      <c r="EX8" s="66"/>
      <c r="EY8" s="65">
        <f t="shared" si="4"/>
        <v>0</v>
      </c>
      <c r="EZ8" s="65">
        <f t="shared" si="4"/>
        <v>0</v>
      </c>
      <c r="FA8" s="67">
        <f>SUM(EY8:EZ8)</f>
        <v>0</v>
      </c>
      <c r="FB8" s="68"/>
      <c r="FC8" s="66"/>
      <c r="FD8" s="66"/>
      <c r="FE8" s="66"/>
      <c r="FF8" s="66"/>
      <c r="FG8" s="66"/>
      <c r="FH8" s="66"/>
      <c r="FI8" s="66"/>
      <c r="FJ8" s="65">
        <f t="shared" si="5"/>
        <v>0</v>
      </c>
      <c r="FK8" s="65">
        <f t="shared" si="5"/>
        <v>0</v>
      </c>
      <c r="FL8" s="65">
        <f>SUM(FJ8:FK8)</f>
        <v>0</v>
      </c>
      <c r="FM8" s="69"/>
      <c r="FN8" s="66"/>
      <c r="FO8" s="66"/>
      <c r="FP8" s="66"/>
      <c r="FQ8" s="66"/>
      <c r="FR8" s="66"/>
      <c r="FS8" s="66"/>
      <c r="FT8" s="66"/>
      <c r="FU8" s="65">
        <f t="shared" si="6"/>
        <v>0</v>
      </c>
      <c r="FV8" s="65">
        <f t="shared" si="6"/>
        <v>0</v>
      </c>
      <c r="FW8" s="70">
        <f>SUM(FU8:FV8)</f>
        <v>0</v>
      </c>
      <c r="FX8" s="69"/>
      <c r="FY8" s="66"/>
      <c r="FZ8" s="66"/>
      <c r="GA8" s="66"/>
      <c r="GB8" s="66"/>
      <c r="GC8" s="66"/>
      <c r="GD8" s="66"/>
      <c r="GE8" s="66"/>
      <c r="GF8" s="65">
        <f t="shared" si="7"/>
        <v>0</v>
      </c>
      <c r="GG8" s="65">
        <f t="shared" si="7"/>
        <v>0</v>
      </c>
      <c r="GH8" s="65">
        <f>GG8+GF8</f>
        <v>0</v>
      </c>
      <c r="GI8" s="66"/>
      <c r="GJ8" s="66"/>
      <c r="GK8" s="65">
        <f>GJ8+GI8</f>
        <v>0</v>
      </c>
      <c r="GL8" s="66"/>
      <c r="GM8" s="66"/>
      <c r="GN8" s="66"/>
      <c r="GO8" s="66"/>
      <c r="GP8" s="66"/>
      <c r="GQ8" s="66"/>
      <c r="GR8" s="66"/>
      <c r="GS8" s="66"/>
      <c r="GT8" s="66"/>
      <c r="GU8" s="66"/>
      <c r="GV8" s="66"/>
      <c r="GW8" s="65">
        <f>GV8+GU8+GT8+GP8+GN8+GL8+GR8</f>
        <v>0</v>
      </c>
      <c r="GX8" s="65">
        <f>GQ8+GO8+GM8+GS8</f>
        <v>0</v>
      </c>
      <c r="GY8" s="65">
        <f>SUM(GW8:GX8)</f>
        <v>0</v>
      </c>
      <c r="GZ8" s="66"/>
      <c r="HA8" s="66"/>
      <c r="HB8" s="66"/>
      <c r="HC8" s="66"/>
      <c r="HD8" s="66"/>
      <c r="HE8" s="66"/>
      <c r="HF8" s="66"/>
      <c r="HG8" s="66"/>
      <c r="HH8" s="66"/>
      <c r="HI8" s="66"/>
      <c r="HJ8" s="65">
        <f t="shared" si="8"/>
        <v>0</v>
      </c>
      <c r="HK8" s="65">
        <f t="shared" si="8"/>
        <v>0</v>
      </c>
      <c r="HL8" s="65">
        <f>SUM(HJ8:HK8)</f>
        <v>0</v>
      </c>
      <c r="HM8" s="66"/>
      <c r="HN8" s="66"/>
      <c r="HO8" s="66"/>
      <c r="HP8" s="66"/>
      <c r="HQ8" s="66"/>
      <c r="HR8" s="66"/>
      <c r="HS8" s="66"/>
      <c r="HT8" s="66"/>
      <c r="HU8" s="66"/>
      <c r="HV8" s="66"/>
      <c r="HW8" s="65">
        <f t="shared" si="9"/>
        <v>0</v>
      </c>
      <c r="HX8" s="65">
        <f t="shared" si="9"/>
        <v>0</v>
      </c>
      <c r="HY8" s="65">
        <f>SUM(HW8:HX8)</f>
        <v>0</v>
      </c>
      <c r="HZ8" s="66"/>
      <c r="IA8" s="66"/>
      <c r="IB8" s="66"/>
      <c r="IC8" s="66"/>
      <c r="ID8" s="66"/>
      <c r="IE8" s="66"/>
      <c r="IF8" s="66"/>
      <c r="IG8" s="66"/>
      <c r="IH8" s="66"/>
      <c r="II8" s="66"/>
      <c r="IJ8" s="66"/>
      <c r="IK8" s="66"/>
      <c r="IL8" s="66"/>
      <c r="IM8" s="66"/>
      <c r="IN8" s="66"/>
      <c r="IO8" s="66"/>
      <c r="IP8" s="65"/>
      <c r="IQ8" s="65"/>
      <c r="IR8" s="65">
        <f>IP8+HZ8+IN8+IJ8+IH8+IF8+ID8+IB8</f>
        <v>0</v>
      </c>
      <c r="IS8" s="65">
        <f>IQ8+IA8+IO8+IM8+IK8+II8+IG8+IE8+IC8</f>
        <v>0</v>
      </c>
      <c r="IT8" s="65">
        <f>SUM(IR8:IS8)</f>
        <v>0</v>
      </c>
      <c r="IU8" s="66"/>
      <c r="IV8" s="66"/>
      <c r="IW8" s="66"/>
      <c r="IX8" s="66"/>
      <c r="IY8" s="66"/>
      <c r="IZ8" s="66"/>
      <c r="JA8" s="66"/>
      <c r="JB8" s="66"/>
      <c r="JC8" s="65">
        <f t="shared" si="10"/>
        <v>0</v>
      </c>
      <c r="JD8" s="65">
        <f t="shared" si="10"/>
        <v>0</v>
      </c>
      <c r="JE8" s="65">
        <f>SUM(JC8:JD8)</f>
        <v>0</v>
      </c>
      <c r="JF8" s="66"/>
      <c r="JG8" s="66"/>
      <c r="JH8" s="66"/>
      <c r="JI8" s="66"/>
      <c r="JJ8" s="65">
        <f>JI8+JH8</f>
        <v>0</v>
      </c>
      <c r="JK8" s="66"/>
      <c r="JL8" s="66"/>
      <c r="JM8" s="66"/>
      <c r="JN8" s="66"/>
      <c r="JO8" s="66"/>
      <c r="JP8" s="66"/>
      <c r="JQ8" s="66"/>
      <c r="JR8" s="66"/>
      <c r="JS8" s="66"/>
      <c r="JT8" s="66"/>
      <c r="JU8" s="66"/>
      <c r="JV8" s="66"/>
      <c r="JW8" s="66"/>
      <c r="JX8" s="66"/>
      <c r="JY8" s="66"/>
      <c r="JZ8" s="66"/>
      <c r="KA8" s="66"/>
      <c r="KB8" s="66"/>
      <c r="KC8" s="66"/>
      <c r="KD8" s="66"/>
      <c r="KE8" s="66"/>
      <c r="KF8" s="66"/>
      <c r="KG8" s="66"/>
      <c r="KH8" s="66"/>
      <c r="KI8" s="66"/>
      <c r="KJ8" s="66"/>
      <c r="KK8" s="66"/>
      <c r="KL8" s="66"/>
      <c r="KM8" s="66"/>
      <c r="KN8" s="66"/>
      <c r="KO8" s="66"/>
      <c r="KP8" s="66"/>
      <c r="KQ8" s="66"/>
      <c r="KR8" s="66"/>
      <c r="KS8" s="66"/>
      <c r="KT8" s="66"/>
      <c r="KU8" s="66"/>
      <c r="KV8" s="66"/>
      <c r="KW8" s="66"/>
      <c r="KX8" s="66"/>
      <c r="KY8" s="66"/>
    </row>
    <row r="9" spans="1:311" s="74" customFormat="1" ht="19.5" customHeight="1" x14ac:dyDescent="0.25">
      <c r="A9" s="65" t="s">
        <v>62</v>
      </c>
      <c r="B9" s="65" t="s">
        <v>63</v>
      </c>
      <c r="C9" s="65"/>
      <c r="D9" s="65"/>
      <c r="E9" s="65" t="s">
        <v>185</v>
      </c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>
        <v>1</v>
      </c>
      <c r="V9" s="65">
        <v>3</v>
      </c>
      <c r="W9" s="65"/>
      <c r="X9" s="65">
        <v>6</v>
      </c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>
        <f t="shared" ref="AN9:AN14" si="21">AL9+AJ9+AH9+AF9+AD9+AB9+Z9+X9+V9</f>
        <v>9</v>
      </c>
      <c r="AO9" s="65">
        <f t="shared" ref="AO9:AO14" si="22">AM9+AK9+AI9+AG9+AE9+AC9+AA9+Y9+W9</f>
        <v>0</v>
      </c>
      <c r="AP9" s="65">
        <f t="shared" ref="AP9:AP14" si="23">AO9+AN9</f>
        <v>9</v>
      </c>
      <c r="AQ9" s="65"/>
      <c r="AR9" s="65"/>
      <c r="AS9" s="65">
        <v>4</v>
      </c>
      <c r="AT9" s="65"/>
      <c r="AU9" s="65">
        <v>6</v>
      </c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>
        <f t="shared" ref="BI9:BI18" si="24">BG9+BE9+BC9+BA9+AY9+AW9+AU9+AS9+AQ9</f>
        <v>10</v>
      </c>
      <c r="BJ9" s="65">
        <f t="shared" ref="BJ9:BJ18" si="25">BH9+BF9+BD9+BB9+AZ9+AX9+AV9+AT9+AR9</f>
        <v>0</v>
      </c>
      <c r="BK9" s="65">
        <f t="shared" ref="BK9:BK18" si="26">BJ9+BI9</f>
        <v>10</v>
      </c>
      <c r="BL9" s="65"/>
      <c r="BM9" s="65"/>
      <c r="BN9" s="65">
        <v>2</v>
      </c>
      <c r="BO9" s="65"/>
      <c r="BP9" s="65">
        <v>2</v>
      </c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>
        <f t="shared" ref="CD9:CD18" si="27">CB9+BZ9+BX9+BV9+BT9+BR9+BP9+BN9+BL9</f>
        <v>4</v>
      </c>
      <c r="CE9" s="65">
        <f t="shared" ref="CE9:CE18" si="28">CC9+CA9+BY9+BW9+BU9+BS9+BQ9+BO9+BM9</f>
        <v>0</v>
      </c>
      <c r="CF9" s="65">
        <f t="shared" ref="CF9:CF18" si="29">CE9+CD9</f>
        <v>4</v>
      </c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>
        <f t="shared" ref="CY9:CY18" si="30">CW9+CU9+CS9+CQ9+CO9+CM9+CK9+CI9+CG9</f>
        <v>0</v>
      </c>
      <c r="CZ9" s="65">
        <f t="shared" ref="CZ9:CZ18" si="31">CX9+CV9+CT9+CR9+CP9+CN9+CL9+CJ9+CH9</f>
        <v>0</v>
      </c>
      <c r="DA9" s="65">
        <f t="shared" ref="DA9:DA18" si="32">CZ9+CY9</f>
        <v>0</v>
      </c>
      <c r="DB9" s="65">
        <f t="shared" ref="DB9:DB18" si="33">CY9+CD9+BI9+AN9</f>
        <v>23</v>
      </c>
      <c r="DC9" s="65">
        <f t="shared" ref="DC9:DC18" si="34">CZ9+AO9+BJ9+CE9</f>
        <v>0</v>
      </c>
      <c r="DD9" s="65">
        <f t="shared" ref="DD9:DD18" si="35">DC9+DB9</f>
        <v>23</v>
      </c>
      <c r="DE9" s="65">
        <v>1</v>
      </c>
      <c r="DF9" s="65"/>
      <c r="DG9" s="65"/>
      <c r="DH9" s="65">
        <v>1</v>
      </c>
      <c r="DI9" s="65"/>
      <c r="DJ9" s="65"/>
      <c r="DK9" s="65">
        <v>1</v>
      </c>
      <c r="DL9" s="65"/>
      <c r="DM9" s="65"/>
      <c r="DN9" s="65"/>
      <c r="DO9" s="65"/>
      <c r="DP9" s="65"/>
      <c r="DQ9" s="65">
        <f t="shared" ref="DQ9:DQ18" si="36">DN9+DK9+DH9+DE9</f>
        <v>3</v>
      </c>
      <c r="DR9" s="65">
        <f t="shared" ref="DR9:DR18" si="37">DO9+DL9+DI9+DF9</f>
        <v>0</v>
      </c>
      <c r="DS9" s="65">
        <f t="shared" ref="DS9:DS18" si="38">DP9+DM9+DJ9+DG9</f>
        <v>0</v>
      </c>
      <c r="DT9" s="65">
        <f t="shared" ref="DT9:DT18" si="39">DS9+DR9+DQ9</f>
        <v>3</v>
      </c>
      <c r="DU9" s="65">
        <v>7</v>
      </c>
      <c r="DV9" s="65"/>
      <c r="DW9" s="65">
        <v>1</v>
      </c>
      <c r="DX9" s="65"/>
      <c r="DY9" s="65">
        <v>2</v>
      </c>
      <c r="DZ9" s="65"/>
      <c r="EA9" s="65"/>
      <c r="EB9" s="65"/>
      <c r="EC9" s="65">
        <f t="shared" ref="EC9:EC18" si="40">EA9+DY9+DW9+DU9</f>
        <v>10</v>
      </c>
      <c r="ED9" s="65">
        <f t="shared" ref="ED9:ED18" si="41">EB9+DZ9+DX9+DV9</f>
        <v>0</v>
      </c>
      <c r="EE9" s="67">
        <f t="shared" ref="EE9:EE18" si="42">SUM(EC9:ED9)</f>
        <v>10</v>
      </c>
      <c r="EF9" s="72">
        <v>10</v>
      </c>
      <c r="EG9" s="65"/>
      <c r="EH9" s="65">
        <v>6</v>
      </c>
      <c r="EI9" s="65"/>
      <c r="EJ9" s="65">
        <v>8</v>
      </c>
      <c r="EK9" s="65"/>
      <c r="EL9" s="65"/>
      <c r="EM9" s="65"/>
      <c r="EN9" s="65">
        <f t="shared" ref="EN9:EN18" si="43">EL9+EJ9+EH9+EF9</f>
        <v>24</v>
      </c>
      <c r="EO9" s="65">
        <f t="shared" ref="EO9:EO18" si="44">EM9+EK9+EI9+EG9</f>
        <v>0</v>
      </c>
      <c r="EP9" s="65">
        <f t="shared" ref="EP9:EP18" si="45">SUM(EN9:EO9)</f>
        <v>24</v>
      </c>
      <c r="EQ9" s="65">
        <v>4</v>
      </c>
      <c r="ER9" s="65"/>
      <c r="ES9" s="65">
        <v>5</v>
      </c>
      <c r="ET9" s="65"/>
      <c r="EU9" s="65">
        <v>2</v>
      </c>
      <c r="EV9" s="65"/>
      <c r="EW9" s="65"/>
      <c r="EX9" s="65"/>
      <c r="EY9" s="65">
        <f t="shared" ref="EY9:EY18" si="46">EW9+EU9+ES9+EQ9</f>
        <v>11</v>
      </c>
      <c r="EZ9" s="65">
        <f t="shared" ref="EZ9:EZ18" si="47">EX9+EV9+ET9+ER9</f>
        <v>0</v>
      </c>
      <c r="FA9" s="67">
        <f t="shared" ref="FA9:FA18" si="48">SUM(EY9:EZ9)</f>
        <v>11</v>
      </c>
      <c r="FB9" s="72"/>
      <c r="FC9" s="65"/>
      <c r="FD9" s="65"/>
      <c r="FE9" s="65"/>
      <c r="FF9" s="65"/>
      <c r="FG9" s="65"/>
      <c r="FH9" s="65"/>
      <c r="FI9" s="65"/>
      <c r="FJ9" s="65">
        <f t="shared" ref="FJ9:FJ18" si="49">FH9+FF9+FD9+FB9</f>
        <v>0</v>
      </c>
      <c r="FK9" s="65">
        <f t="shared" ref="FK9:FK18" si="50">FI9+FG9+FE9+FC9</f>
        <v>0</v>
      </c>
      <c r="FL9" s="65">
        <f t="shared" ref="FL9:FL18" si="51">SUM(FJ9:FK9)</f>
        <v>0</v>
      </c>
      <c r="FM9" s="73"/>
      <c r="FN9" s="65"/>
      <c r="FO9" s="65"/>
      <c r="FP9" s="65"/>
      <c r="FQ9" s="65"/>
      <c r="FR9" s="65"/>
      <c r="FS9" s="65"/>
      <c r="FT9" s="65"/>
      <c r="FU9" s="65">
        <f t="shared" ref="FU9:FU18" si="52">FS9+FQ9+FO9+FM9</f>
        <v>0</v>
      </c>
      <c r="FV9" s="65">
        <f t="shared" ref="FV9:FV18" si="53">FT9+FR9+FP9+FN9</f>
        <v>0</v>
      </c>
      <c r="FW9" s="70">
        <f t="shared" ref="FW9:FW18" si="54">SUM(FU9:FV9)</f>
        <v>0</v>
      </c>
      <c r="FX9" s="73"/>
      <c r="FY9" s="65"/>
      <c r="FZ9" s="65"/>
      <c r="GA9" s="65"/>
      <c r="GB9" s="65"/>
      <c r="GC9" s="65"/>
      <c r="GD9" s="65"/>
      <c r="GE9" s="65"/>
      <c r="GF9" s="65">
        <f t="shared" ref="GF9:GF18" si="55">GD9+GB9+FZ9+FX9</f>
        <v>0</v>
      </c>
      <c r="GG9" s="65">
        <f t="shared" ref="GG9:GG18" si="56">GE9+GC9+GA9+FY9</f>
        <v>0</v>
      </c>
      <c r="GH9" s="65">
        <f t="shared" ref="GH9:GH18" si="57">GG9+GF9</f>
        <v>0</v>
      </c>
      <c r="GI9" s="65"/>
      <c r="GJ9" s="65"/>
      <c r="GK9" s="65">
        <f t="shared" ref="GK9:GK18" si="58">GJ9+GI9</f>
        <v>0</v>
      </c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>
        <f t="shared" ref="GW9:GW18" si="59">GV9+GU9+GT9+GP9+GN9+GL9+GR9</f>
        <v>0</v>
      </c>
      <c r="GX9" s="65">
        <f t="shared" ref="GX9:GX18" si="60">GQ9+GO9+GM9+GS9</f>
        <v>0</v>
      </c>
      <c r="GY9" s="65">
        <f t="shared" ref="GY9:GY18" si="61">SUM(GW9:GX9)</f>
        <v>0</v>
      </c>
      <c r="GZ9" s="65"/>
      <c r="HA9" s="65"/>
      <c r="HB9" s="65"/>
      <c r="HC9" s="65"/>
      <c r="HD9" s="65"/>
      <c r="HE9" s="65"/>
      <c r="HF9" s="65"/>
      <c r="HG9" s="65"/>
      <c r="HH9" s="65"/>
      <c r="HI9" s="65"/>
      <c r="HJ9" s="65">
        <f t="shared" ref="HJ9:HJ18" si="62">HD9+HB9+GZ9+HF9+HH9</f>
        <v>0</v>
      </c>
      <c r="HK9" s="65">
        <f t="shared" ref="HK9:HK18" si="63">HE9+HC9+HA9+HG9+HI9</f>
        <v>0</v>
      </c>
      <c r="HL9" s="65">
        <f t="shared" ref="HL9:HL18" si="64">SUM(HJ9:HK9)</f>
        <v>0</v>
      </c>
      <c r="HM9" s="65"/>
      <c r="HN9" s="65"/>
      <c r="HO9" s="65"/>
      <c r="HP9" s="65"/>
      <c r="HQ9" s="65"/>
      <c r="HR9" s="65"/>
      <c r="HS9" s="65"/>
      <c r="HT9" s="65"/>
      <c r="HU9" s="65"/>
      <c r="HV9" s="65"/>
      <c r="HW9" s="65">
        <f t="shared" ref="HW9:HW15" si="65">HU9+HS9+HQ9+HO9+HM9</f>
        <v>0</v>
      </c>
      <c r="HX9" s="65">
        <f t="shared" ref="HX9:HX15" si="66">HV9+HT9+HR9+HP9+HN9</f>
        <v>0</v>
      </c>
      <c r="HY9" s="65">
        <f t="shared" ref="HY9:HY15" si="67">SUM(HW9:HX9)</f>
        <v>0</v>
      </c>
      <c r="HZ9" s="65"/>
      <c r="IA9" s="65"/>
      <c r="IB9" s="65"/>
      <c r="IC9" s="65"/>
      <c r="ID9" s="65"/>
      <c r="IE9" s="65"/>
      <c r="IF9" s="65"/>
      <c r="IG9" s="65"/>
      <c r="IH9" s="65"/>
      <c r="II9" s="65"/>
      <c r="IJ9" s="65"/>
      <c r="IK9" s="65"/>
      <c r="IL9" s="65"/>
      <c r="IM9" s="65"/>
      <c r="IN9" s="65"/>
      <c r="IO9" s="65"/>
      <c r="IP9" s="65"/>
      <c r="IQ9" s="65"/>
      <c r="IR9" s="65">
        <f t="shared" ref="IR9:IR18" si="68">IP9+HZ9+IN9+IJ9+IH9+IF9+ID9+IB9</f>
        <v>0</v>
      </c>
      <c r="IS9" s="65">
        <f t="shared" ref="IS9:IS18" si="69">IQ9+IA9+IO9+IM9+IK9+II9+IG9+IE9+IC9</f>
        <v>0</v>
      </c>
      <c r="IT9" s="65">
        <f t="shared" ref="IT9:IT18" si="70">SUM(IR9:IS9)</f>
        <v>0</v>
      </c>
      <c r="IU9" s="65"/>
      <c r="IV9" s="65"/>
      <c r="IW9" s="65"/>
      <c r="IX9" s="65"/>
      <c r="IY9" s="65"/>
      <c r="IZ9" s="65"/>
      <c r="JA9" s="65"/>
      <c r="JB9" s="65"/>
      <c r="JC9" s="65">
        <f t="shared" ref="JC9:JC18" si="71">JA9+IY9+IW9+IU9</f>
        <v>0</v>
      </c>
      <c r="JD9" s="65">
        <f t="shared" ref="JD9:JD18" si="72">JB9+IZ9+IX9+IV9</f>
        <v>0</v>
      </c>
      <c r="JE9" s="65">
        <f t="shared" ref="JE9:JE18" si="73">SUM(JC9:JD9)</f>
        <v>0</v>
      </c>
      <c r="JF9" s="65"/>
      <c r="JG9" s="65"/>
      <c r="JH9" s="65"/>
      <c r="JI9" s="65"/>
      <c r="JJ9" s="65">
        <f t="shared" ref="JJ9:JJ18" si="74">JI9+JH9</f>
        <v>0</v>
      </c>
      <c r="JK9" s="65"/>
      <c r="JL9" s="65"/>
      <c r="JM9" s="65"/>
      <c r="JN9" s="65"/>
      <c r="JO9" s="65"/>
      <c r="JP9" s="65"/>
      <c r="JQ9" s="65"/>
      <c r="JR9" s="65"/>
      <c r="JS9" s="65"/>
      <c r="JT9" s="65"/>
      <c r="JU9" s="65"/>
      <c r="JV9" s="65"/>
      <c r="JW9" s="65"/>
      <c r="JX9" s="65"/>
      <c r="JY9" s="65"/>
      <c r="JZ9" s="65"/>
      <c r="KA9" s="65"/>
      <c r="KB9" s="65"/>
      <c r="KC9" s="65"/>
      <c r="KD9" s="65"/>
      <c r="KE9" s="65"/>
      <c r="KF9" s="65"/>
      <c r="KG9" s="65"/>
      <c r="KH9" s="65"/>
      <c r="KI9" s="65"/>
      <c r="KJ9" s="65"/>
      <c r="KK9" s="65"/>
      <c r="KL9" s="65"/>
      <c r="KM9" s="65"/>
      <c r="KN9" s="65"/>
      <c r="KO9" s="65"/>
      <c r="KP9" s="65"/>
      <c r="KQ9" s="65"/>
      <c r="KR9" s="65"/>
      <c r="KS9" s="65"/>
      <c r="KT9" s="65"/>
      <c r="KU9" s="65"/>
      <c r="KV9" s="65"/>
      <c r="KW9" s="65"/>
      <c r="KX9" s="65"/>
      <c r="KY9" s="65"/>
    </row>
    <row r="10" spans="1:311" s="54" customFormat="1" ht="19.5" customHeight="1" x14ac:dyDescent="0.25">
      <c r="A10" s="49" t="s">
        <v>62</v>
      </c>
      <c r="B10" s="49" t="s">
        <v>63</v>
      </c>
      <c r="C10" s="49"/>
      <c r="D10" s="49"/>
      <c r="E10" s="49" t="s">
        <v>212</v>
      </c>
      <c r="F10" s="49" t="s">
        <v>213</v>
      </c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>
        <v>1</v>
      </c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>
        <f t="shared" ref="AN10" si="75">AL10+AJ10+AH10+AF10+AD10+AB10+Z10+X10+V10</f>
        <v>0</v>
      </c>
      <c r="AO10" s="49">
        <f t="shared" ref="AO10" si="76">AM10+AK10+AI10+AG10+AE10+AC10+AA10+Y10+W10</f>
        <v>0</v>
      </c>
      <c r="AP10" s="49">
        <f t="shared" ref="AP10" si="77">AO10+AN10</f>
        <v>0</v>
      </c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>
        <f t="shared" ref="BI10" si="78">BG10+BE10+BC10+BA10+AY10+AW10+AU10+AS10+AQ10</f>
        <v>0</v>
      </c>
      <c r="BJ10" s="49">
        <f t="shared" ref="BJ10" si="79">BH10+BF10+BD10+BB10+AZ10+AX10+AV10+AT10+AR10</f>
        <v>0</v>
      </c>
      <c r="BK10" s="49">
        <f t="shared" ref="BK10" si="80">BJ10+BI10</f>
        <v>0</v>
      </c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>
        <f t="shared" ref="CD10" si="81">CB10+BZ10+BX10+BV10+BT10+BR10+BP10+BN10+BL10</f>
        <v>0</v>
      </c>
      <c r="CE10" s="49">
        <f t="shared" ref="CE10" si="82">CC10+CA10+BY10+BW10+BU10+BS10+BQ10+BO10+BM10</f>
        <v>0</v>
      </c>
      <c r="CF10" s="49">
        <f t="shared" ref="CF10" si="83">CE10+CD10</f>
        <v>0</v>
      </c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>
        <f t="shared" ref="CY10" si="84">CW10+CU10+CS10+CQ10+CO10+CM10+CK10+CI10+CG10</f>
        <v>0</v>
      </c>
      <c r="CZ10" s="49">
        <f t="shared" ref="CZ10" si="85">CX10+CV10+CT10+CR10+CP10+CN10+CL10+CJ10+CH10</f>
        <v>0</v>
      </c>
      <c r="DA10" s="49">
        <f t="shared" ref="DA10" si="86">CZ10+CY10</f>
        <v>0</v>
      </c>
      <c r="DB10" s="49">
        <f t="shared" ref="DB10" si="87">CY10+CD10+BI10+AN10</f>
        <v>0</v>
      </c>
      <c r="DC10" s="49">
        <f t="shared" ref="DC10" si="88">CZ10+AO10+BJ10+CE10</f>
        <v>0</v>
      </c>
      <c r="DD10" s="49">
        <f t="shared" ref="DD10" si="89">DC10+DB10</f>
        <v>0</v>
      </c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>
        <f t="shared" ref="DQ10" si="90">DN10+DK10+DH10+DE10</f>
        <v>0</v>
      </c>
      <c r="DR10" s="49">
        <f t="shared" ref="DR10" si="91">DO10+DL10+DI10+DF10</f>
        <v>0</v>
      </c>
      <c r="DS10" s="49">
        <f t="shared" ref="DS10" si="92">DP10+DM10+DJ10+DG10</f>
        <v>0</v>
      </c>
      <c r="DT10" s="49">
        <f t="shared" ref="DT10" si="93">DS10+DR10+DQ10</f>
        <v>0</v>
      </c>
      <c r="DU10" s="49"/>
      <c r="DV10" s="49"/>
      <c r="DW10" s="49"/>
      <c r="DX10" s="49"/>
      <c r="DY10" s="49"/>
      <c r="DZ10" s="49"/>
      <c r="EA10" s="49"/>
      <c r="EB10" s="49"/>
      <c r="EC10" s="49">
        <f t="shared" ref="EC10" si="94">EA10+DY10+DW10+DU10</f>
        <v>0</v>
      </c>
      <c r="ED10" s="49">
        <f t="shared" ref="ED10" si="95">EB10+DZ10+DX10+DV10</f>
        <v>0</v>
      </c>
      <c r="EE10" s="50">
        <f t="shared" ref="EE10" si="96">SUM(EC10:ED10)</f>
        <v>0</v>
      </c>
      <c r="EF10" s="51"/>
      <c r="EG10" s="49">
        <v>13</v>
      </c>
      <c r="EH10" s="49"/>
      <c r="EI10" s="49"/>
      <c r="EJ10" s="49"/>
      <c r="EK10" s="49"/>
      <c r="EL10" s="49"/>
      <c r="EM10" s="49"/>
      <c r="EN10" s="49">
        <f t="shared" ref="EN10" si="97">EL10+EJ10+EH10+EF10</f>
        <v>0</v>
      </c>
      <c r="EO10" s="49">
        <f t="shared" ref="EO10" si="98">EM10+EK10+EI10+EG10</f>
        <v>13</v>
      </c>
      <c r="EP10" s="49">
        <f t="shared" ref="EP10" si="99">SUM(EN10:EO10)</f>
        <v>13</v>
      </c>
      <c r="EQ10" s="49"/>
      <c r="ER10" s="49">
        <v>3</v>
      </c>
      <c r="ES10" s="49"/>
      <c r="ET10" s="49"/>
      <c r="EU10" s="49"/>
      <c r="EV10" s="49"/>
      <c r="EW10" s="49"/>
      <c r="EX10" s="49"/>
      <c r="EY10" s="49">
        <f t="shared" ref="EY10" si="100">EW10+EU10+ES10+EQ10</f>
        <v>0</v>
      </c>
      <c r="EZ10" s="49">
        <f t="shared" ref="EZ10" si="101">EX10+EV10+ET10+ER10</f>
        <v>3</v>
      </c>
      <c r="FA10" s="50">
        <f t="shared" ref="FA10" si="102">SUM(EY10:EZ10)</f>
        <v>3</v>
      </c>
      <c r="FB10" s="51"/>
      <c r="FC10" s="49">
        <v>3</v>
      </c>
      <c r="FD10" s="49"/>
      <c r="FE10" s="49"/>
      <c r="FF10" s="49"/>
      <c r="FG10" s="49"/>
      <c r="FH10" s="49"/>
      <c r="FI10" s="49"/>
      <c r="FJ10" s="49">
        <f t="shared" ref="FJ10" si="103">FH10+FF10+FD10+FB10</f>
        <v>0</v>
      </c>
      <c r="FK10" s="49">
        <f t="shared" ref="FK10" si="104">FI10+FG10+FE10+FC10</f>
        <v>3</v>
      </c>
      <c r="FL10" s="49">
        <f t="shared" ref="FL10" si="105">SUM(FJ10:FK10)</f>
        <v>3</v>
      </c>
      <c r="FM10" s="52"/>
      <c r="FN10" s="49"/>
      <c r="FO10" s="49"/>
      <c r="FP10" s="49"/>
      <c r="FQ10" s="49"/>
      <c r="FR10" s="49"/>
      <c r="FS10" s="49"/>
      <c r="FT10" s="49"/>
      <c r="FU10" s="49">
        <f t="shared" ref="FU10:FV12" si="106">FS10+FQ10+FO10+FM10</f>
        <v>0</v>
      </c>
      <c r="FV10" s="49">
        <f t="shared" si="106"/>
        <v>0</v>
      </c>
      <c r="FW10" s="53">
        <f>SUM(FU10:FV10)</f>
        <v>0</v>
      </c>
      <c r="FX10" s="52"/>
      <c r="FY10" s="49"/>
      <c r="FZ10" s="49"/>
      <c r="GA10" s="49"/>
      <c r="GB10" s="49"/>
      <c r="GC10" s="49"/>
      <c r="GD10" s="49"/>
      <c r="GE10" s="49"/>
      <c r="GF10" s="49">
        <f t="shared" ref="GF10:GG12" si="107">GD10+GB10+FZ10+FX10</f>
        <v>0</v>
      </c>
      <c r="GG10" s="49">
        <f t="shared" si="107"/>
        <v>0</v>
      </c>
      <c r="GH10" s="49">
        <f>GG10+GF10</f>
        <v>0</v>
      </c>
      <c r="GI10" s="49"/>
      <c r="GJ10" s="49"/>
      <c r="GK10" s="49">
        <f>GJ10+GI10</f>
        <v>0</v>
      </c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>
        <f>GV10+GU10+GT10+GP10+GN10+GL10+GR10</f>
        <v>0</v>
      </c>
      <c r="GX10" s="49">
        <f>GQ10+GO10+GM10+GS10</f>
        <v>0</v>
      </c>
      <c r="GY10" s="49">
        <f>SUM(GW10:GX10)</f>
        <v>0</v>
      </c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>
        <f t="shared" ref="HJ10:HK13" si="108">HD10+HB10+GZ10+HF10+HH10</f>
        <v>0</v>
      </c>
      <c r="HK10" s="49">
        <f t="shared" si="108"/>
        <v>0</v>
      </c>
      <c r="HL10" s="49">
        <f>SUM(HJ10:HK10)</f>
        <v>0</v>
      </c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>
        <f t="shared" ref="HW10" si="109">HU10+HS10+HQ10+HO10+HM10</f>
        <v>0</v>
      </c>
      <c r="HX10" s="49">
        <f t="shared" ref="HX10" si="110">HV10+HT10+HR10+HP10+HN10</f>
        <v>0</v>
      </c>
      <c r="HY10" s="49">
        <f t="shared" ref="HY10" si="111">SUM(HW10:HX10)</f>
        <v>0</v>
      </c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>
        <f>IP10+HZ10+IN10+IJ10+IH10+IF10+ID10+IB10</f>
        <v>0</v>
      </c>
      <c r="IS10" s="49">
        <f>IQ10+IA10+IO10+IM10+IK10+II10+IG10+IE10+IC10</f>
        <v>0</v>
      </c>
      <c r="IT10" s="49">
        <f>SUM(IR10:IS10)</f>
        <v>0</v>
      </c>
      <c r="IU10" s="49"/>
      <c r="IV10" s="49"/>
      <c r="IW10" s="49"/>
      <c r="IX10" s="49"/>
      <c r="IY10" s="49"/>
      <c r="IZ10" s="49"/>
      <c r="JA10" s="49"/>
      <c r="JB10" s="49"/>
      <c r="JC10" s="49">
        <f t="shared" ref="JC10:JD12" si="112">JA10+IY10+IW10+IU10</f>
        <v>0</v>
      </c>
      <c r="JD10" s="49">
        <f t="shared" si="112"/>
        <v>0</v>
      </c>
      <c r="JE10" s="49">
        <f>SUM(JC10:JD10)</f>
        <v>0</v>
      </c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49"/>
      <c r="KU10" s="49"/>
      <c r="KV10" s="49"/>
      <c r="KW10" s="49"/>
      <c r="KX10" s="49"/>
      <c r="KY10" s="49"/>
    </row>
    <row r="11" spans="1:311" s="71" customFormat="1" ht="19.5" customHeight="1" x14ac:dyDescent="0.25">
      <c r="A11" s="65" t="s">
        <v>62</v>
      </c>
      <c r="B11" s="65" t="s">
        <v>63</v>
      </c>
      <c r="C11" s="66"/>
      <c r="D11" s="66">
        <v>1400812</v>
      </c>
      <c r="E11" s="65" t="s">
        <v>192</v>
      </c>
      <c r="F11" s="66" t="s">
        <v>193</v>
      </c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>
        <v>1</v>
      </c>
      <c r="V11" s="66"/>
      <c r="W11" s="66">
        <v>5</v>
      </c>
      <c r="X11" s="66"/>
      <c r="Y11" s="66">
        <v>4</v>
      </c>
      <c r="Z11" s="66"/>
      <c r="AA11" s="66">
        <v>5</v>
      </c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5">
        <f>AL11+AJ11+AH11+AF11+AD11+AB11+Z11+X11+V11</f>
        <v>0</v>
      </c>
      <c r="AO11" s="65">
        <f>AM11+AK11+AI11+AG11+AE11+AC11+AA11+Y11+W11</f>
        <v>14</v>
      </c>
      <c r="AP11" s="65">
        <f>AO11+AN11</f>
        <v>14</v>
      </c>
      <c r="AQ11" s="66"/>
      <c r="AR11" s="66"/>
      <c r="AS11" s="66"/>
      <c r="AT11" s="66">
        <v>1</v>
      </c>
      <c r="AU11" s="66"/>
      <c r="AV11" s="66">
        <v>1</v>
      </c>
      <c r="AW11" s="66"/>
      <c r="AX11" s="66">
        <v>2</v>
      </c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5">
        <f>BG11+BE11+BC11+BA11+AY11+AW11+AU11+AS11+AQ11</f>
        <v>0</v>
      </c>
      <c r="BJ11" s="65">
        <f>BH11+BF11+BD11+BB11+AZ11+AX11+AV11+AT11+AR11</f>
        <v>4</v>
      </c>
      <c r="BK11" s="65">
        <f>BJ11+BI11</f>
        <v>4</v>
      </c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5">
        <f>CB11+BZ11+BX11+BV11+BT11+BR11+BP11+BN11+BL11</f>
        <v>0</v>
      </c>
      <c r="CE11" s="65">
        <f>CC11+CA11+BY11+BW11+BU11+BS11+BQ11+BO11+BM11</f>
        <v>0</v>
      </c>
      <c r="CF11" s="65">
        <f>CE11+CD11</f>
        <v>0</v>
      </c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5">
        <f>CW11+CU11+CS11+CQ11+CO11+CM11+CK11+CI11+CG11</f>
        <v>0</v>
      </c>
      <c r="CZ11" s="65">
        <f>CX11+CV11+CT11+CR11+CP11+CN11+CL11+CJ11+CH11</f>
        <v>0</v>
      </c>
      <c r="DA11" s="65">
        <f>CZ11+CY11</f>
        <v>0</v>
      </c>
      <c r="DB11" s="65">
        <f>CY11+CD11+BI11+AN11</f>
        <v>0</v>
      </c>
      <c r="DC11" s="65">
        <f>CZ11+AO11+BJ11+CE11</f>
        <v>18</v>
      </c>
      <c r="DD11" s="65">
        <f>DC11+DB11</f>
        <v>18</v>
      </c>
      <c r="DE11" s="66"/>
      <c r="DF11" s="66">
        <v>1</v>
      </c>
      <c r="DG11" s="66"/>
      <c r="DH11" s="66"/>
      <c r="DI11" s="66">
        <v>1</v>
      </c>
      <c r="DJ11" s="66"/>
      <c r="DK11" s="66"/>
      <c r="DL11" s="66"/>
      <c r="DM11" s="66"/>
      <c r="DN11" s="66"/>
      <c r="DO11" s="66"/>
      <c r="DP11" s="66"/>
      <c r="DQ11" s="65">
        <f t="shared" ref="DQ11:DS12" si="113">DN11+DK11+DH11+DE11</f>
        <v>0</v>
      </c>
      <c r="DR11" s="65">
        <f t="shared" si="113"/>
        <v>2</v>
      </c>
      <c r="DS11" s="65">
        <f t="shared" si="113"/>
        <v>0</v>
      </c>
      <c r="DT11" s="65">
        <f>DS11+DR11+DQ11</f>
        <v>2</v>
      </c>
      <c r="DU11" s="66"/>
      <c r="DV11" s="66">
        <v>2</v>
      </c>
      <c r="DW11" s="66"/>
      <c r="DX11" s="66">
        <v>1</v>
      </c>
      <c r="DY11" s="66"/>
      <c r="DZ11" s="66"/>
      <c r="EA11" s="66"/>
      <c r="EB11" s="66"/>
      <c r="EC11" s="65">
        <f>EA11+DY11+DW11+DU11</f>
        <v>0</v>
      </c>
      <c r="ED11" s="65">
        <f>EB11+DZ11+DX11+DV11</f>
        <v>3</v>
      </c>
      <c r="EE11" s="67">
        <f>SUM(EC11:ED11)</f>
        <v>3</v>
      </c>
      <c r="EF11" s="68"/>
      <c r="EG11" s="66">
        <v>2</v>
      </c>
      <c r="EH11" s="66"/>
      <c r="EI11" s="66">
        <v>6</v>
      </c>
      <c r="EJ11" s="66"/>
      <c r="EK11" s="66"/>
      <c r="EL11" s="66"/>
      <c r="EM11" s="66"/>
      <c r="EN11" s="65">
        <f>EL11+EJ11+EH11+EF11</f>
        <v>0</v>
      </c>
      <c r="EO11" s="65">
        <f>EM11+EK11+EI11+EG11</f>
        <v>8</v>
      </c>
      <c r="EP11" s="65">
        <f>SUM(EN11:EO11)</f>
        <v>8</v>
      </c>
      <c r="EQ11" s="66"/>
      <c r="ER11" s="66">
        <v>11</v>
      </c>
      <c r="ES11" s="66"/>
      <c r="ET11" s="66">
        <v>2</v>
      </c>
      <c r="EU11" s="66"/>
      <c r="EV11" s="66"/>
      <c r="EW11" s="66"/>
      <c r="EX11" s="66"/>
      <c r="EY11" s="65">
        <f>EW11+EU11+ES11+EQ11</f>
        <v>0</v>
      </c>
      <c r="EZ11" s="65">
        <f>EX11+EV11+ET11+ER11</f>
        <v>13</v>
      </c>
      <c r="FA11" s="67">
        <f>SUM(EY11:EZ11)</f>
        <v>13</v>
      </c>
      <c r="FB11" s="68"/>
      <c r="FC11" s="66"/>
      <c r="FD11" s="66"/>
      <c r="FE11" s="66"/>
      <c r="FF11" s="66"/>
      <c r="FG11" s="66"/>
      <c r="FH11" s="66"/>
      <c r="FI11" s="66"/>
      <c r="FJ11" s="65">
        <f>FH11+FF11+FD11+FB11</f>
        <v>0</v>
      </c>
      <c r="FK11" s="65">
        <f>FI11+FG11+FE11+FC11</f>
        <v>0</v>
      </c>
      <c r="FL11" s="65">
        <f>SUM(FJ11:FK11)</f>
        <v>0</v>
      </c>
      <c r="FM11" s="69"/>
      <c r="FN11" s="66"/>
      <c r="FO11" s="66"/>
      <c r="FP11" s="66"/>
      <c r="FQ11" s="66"/>
      <c r="FR11" s="66"/>
      <c r="FS11" s="66"/>
      <c r="FT11" s="66"/>
      <c r="FU11" s="65">
        <f t="shared" si="106"/>
        <v>0</v>
      </c>
      <c r="FV11" s="65">
        <f t="shared" si="106"/>
        <v>0</v>
      </c>
      <c r="FW11" s="70">
        <f>SUM(FU11:FV11)</f>
        <v>0</v>
      </c>
      <c r="FX11" s="69"/>
      <c r="FY11" s="66"/>
      <c r="FZ11" s="66"/>
      <c r="GA11" s="66"/>
      <c r="GB11" s="66"/>
      <c r="GC11" s="66"/>
      <c r="GD11" s="66"/>
      <c r="GE11" s="66"/>
      <c r="GF11" s="65">
        <f t="shared" si="107"/>
        <v>0</v>
      </c>
      <c r="GG11" s="65">
        <f t="shared" si="107"/>
        <v>0</v>
      </c>
      <c r="GH11" s="65">
        <f>GG11+GF11</f>
        <v>0</v>
      </c>
      <c r="GI11" s="66"/>
      <c r="GJ11" s="66"/>
      <c r="GK11" s="65">
        <f>GJ11+GI11</f>
        <v>0</v>
      </c>
      <c r="GL11" s="66"/>
      <c r="GM11" s="66"/>
      <c r="GN11" s="66"/>
      <c r="GO11" s="66"/>
      <c r="GP11" s="66"/>
      <c r="GQ11" s="66"/>
      <c r="GR11" s="66"/>
      <c r="GS11" s="66"/>
      <c r="GT11" s="66"/>
      <c r="GU11" s="66"/>
      <c r="GV11" s="66"/>
      <c r="GW11" s="65">
        <f>GV11+GU11+GT11+GP11+GN11+GL11+GR11</f>
        <v>0</v>
      </c>
      <c r="GX11" s="65">
        <f>GQ11+GO11+GM11+GS11</f>
        <v>0</v>
      </c>
      <c r="GY11" s="65">
        <f>SUM(GW11:GX11)</f>
        <v>0</v>
      </c>
      <c r="GZ11" s="66"/>
      <c r="HA11" s="66"/>
      <c r="HB11" s="66"/>
      <c r="HC11" s="66"/>
      <c r="HD11" s="66"/>
      <c r="HE11" s="66"/>
      <c r="HF11" s="66"/>
      <c r="HG11" s="66"/>
      <c r="HH11" s="66"/>
      <c r="HI11" s="66"/>
      <c r="HJ11" s="65">
        <f t="shared" si="108"/>
        <v>0</v>
      </c>
      <c r="HK11" s="65">
        <f t="shared" si="108"/>
        <v>0</v>
      </c>
      <c r="HL11" s="65">
        <f>SUM(HJ11:HK11)</f>
        <v>0</v>
      </c>
      <c r="HM11" s="66"/>
      <c r="HN11" s="66"/>
      <c r="HO11" s="66"/>
      <c r="HP11" s="66"/>
      <c r="HQ11" s="66"/>
      <c r="HR11" s="66"/>
      <c r="HS11" s="66"/>
      <c r="HT11" s="66"/>
      <c r="HU11" s="66"/>
      <c r="HV11" s="66"/>
      <c r="HW11" s="65">
        <f>HU11+HS11+HQ11+HO11+HM11</f>
        <v>0</v>
      </c>
      <c r="HX11" s="65">
        <f>HV11+HT11+HR11+HP11+HN11</f>
        <v>0</v>
      </c>
      <c r="HY11" s="65">
        <f>SUM(HW11:HX11)</f>
        <v>0</v>
      </c>
      <c r="HZ11" s="66"/>
      <c r="IA11" s="66"/>
      <c r="IB11" s="66"/>
      <c r="IC11" s="66"/>
      <c r="ID11" s="66"/>
      <c r="IE11" s="66"/>
      <c r="IF11" s="66"/>
      <c r="IG11" s="66"/>
      <c r="IH11" s="66"/>
      <c r="II11" s="66"/>
      <c r="IJ11" s="66"/>
      <c r="IK11" s="66"/>
      <c r="IL11" s="66"/>
      <c r="IM11" s="66"/>
      <c r="IN11" s="66"/>
      <c r="IO11" s="66"/>
      <c r="IP11" s="65"/>
      <c r="IQ11" s="65"/>
      <c r="IR11" s="65">
        <f>IP11+HZ11+IN11+IJ11+IH11+IF11+ID11+IB11</f>
        <v>0</v>
      </c>
      <c r="IS11" s="65">
        <f>IQ11+IA11+IO11+IM11+IK11+II11+IG11+IE11+IC11</f>
        <v>0</v>
      </c>
      <c r="IT11" s="65">
        <f>SUM(IR11:IS11)</f>
        <v>0</v>
      </c>
      <c r="IU11" s="66"/>
      <c r="IV11" s="66"/>
      <c r="IW11" s="66"/>
      <c r="IX11" s="66"/>
      <c r="IY11" s="66"/>
      <c r="IZ11" s="66"/>
      <c r="JA11" s="66"/>
      <c r="JB11" s="66"/>
      <c r="JC11" s="65">
        <f t="shared" si="112"/>
        <v>0</v>
      </c>
      <c r="JD11" s="65">
        <f t="shared" si="112"/>
        <v>0</v>
      </c>
      <c r="JE11" s="65">
        <f>SUM(JC11:JD11)</f>
        <v>0</v>
      </c>
      <c r="JF11" s="66"/>
      <c r="JG11" s="66"/>
      <c r="JH11" s="66"/>
      <c r="JI11" s="66"/>
      <c r="JJ11" s="65">
        <f>JI11+JH11</f>
        <v>0</v>
      </c>
      <c r="JK11" s="66"/>
      <c r="JL11" s="66"/>
      <c r="JM11" s="66"/>
      <c r="JN11" s="66"/>
      <c r="JO11" s="66"/>
      <c r="JP11" s="66"/>
      <c r="JQ11" s="66"/>
      <c r="JR11" s="66"/>
      <c r="JS11" s="66"/>
      <c r="JT11" s="66"/>
      <c r="JU11" s="66"/>
      <c r="JV11" s="66"/>
      <c r="JW11" s="66"/>
      <c r="JX11" s="66"/>
      <c r="JY11" s="66"/>
      <c r="JZ11" s="66"/>
      <c r="KA11" s="66"/>
      <c r="KB11" s="66"/>
      <c r="KC11" s="66"/>
      <c r="KD11" s="66"/>
      <c r="KE11" s="66"/>
      <c r="KF11" s="66"/>
      <c r="KG11" s="66"/>
      <c r="KH11" s="66"/>
      <c r="KI11" s="66"/>
      <c r="KJ11" s="66"/>
      <c r="KK11" s="66"/>
      <c r="KL11" s="66"/>
      <c r="KM11" s="66"/>
      <c r="KN11" s="66"/>
      <c r="KO11" s="66"/>
      <c r="KP11" s="66"/>
      <c r="KQ11" s="66"/>
      <c r="KR11" s="66"/>
      <c r="KS11" s="66"/>
      <c r="KT11" s="66"/>
      <c r="KU11" s="66"/>
      <c r="KV11" s="66"/>
      <c r="KW11" s="66"/>
      <c r="KX11" s="66"/>
      <c r="KY11" s="66"/>
    </row>
    <row r="12" spans="1:311" s="71" customFormat="1" ht="19.5" customHeight="1" x14ac:dyDescent="0.25">
      <c r="A12" s="65" t="s">
        <v>62</v>
      </c>
      <c r="B12" s="65" t="s">
        <v>196</v>
      </c>
      <c r="C12" s="66"/>
      <c r="D12" s="66">
        <v>1400962</v>
      </c>
      <c r="E12" s="65" t="s">
        <v>200</v>
      </c>
      <c r="F12" s="66" t="s">
        <v>201</v>
      </c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>
        <v>1</v>
      </c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5">
        <f>AL12+AJ12+AH12+AF12+AD12+AB12+Z12+X12+V12</f>
        <v>0</v>
      </c>
      <c r="AO12" s="65">
        <f>AM12+AK12+AI12+AG12+AE12+AC12+AA12+Y12+W12</f>
        <v>0</v>
      </c>
      <c r="AP12" s="65">
        <f>AO12+AN12</f>
        <v>0</v>
      </c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5">
        <f>BG12+BE12+BC12+BA12+AY12+AW12+AU12+AS12+AQ12</f>
        <v>0</v>
      </c>
      <c r="BJ12" s="65">
        <f>BH12+BF12+BD12+BB12+AZ12+AX12+AV12+AT12+AR12</f>
        <v>0</v>
      </c>
      <c r="BK12" s="65">
        <f>BJ12+BI12</f>
        <v>0</v>
      </c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5">
        <f>CB12+BZ12+BX12+BV12+BT12+BR12+BP12+BN12+BL12</f>
        <v>0</v>
      </c>
      <c r="CE12" s="65">
        <f>CC12+CA12+BY12+BW12+BU12+BS12+BQ12+BO12+BM12</f>
        <v>0</v>
      </c>
      <c r="CF12" s="65">
        <f>CE12+CD12</f>
        <v>0</v>
      </c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5">
        <f>CW12+CU12+CS12+CQ12+CO12+CM12+CK12+CI12+CG12</f>
        <v>0</v>
      </c>
      <c r="CZ12" s="65">
        <f>CX12+CV12+CT12+CR12+CP12+CN12+CL12+CJ12+CH12</f>
        <v>0</v>
      </c>
      <c r="DA12" s="65">
        <f>CZ12+CY12</f>
        <v>0</v>
      </c>
      <c r="DB12" s="65">
        <f>CY12+CD12+BI12+AN12</f>
        <v>0</v>
      </c>
      <c r="DC12" s="65">
        <f>CZ12+AO12+BJ12+CE12</f>
        <v>0</v>
      </c>
      <c r="DD12" s="65">
        <f>DC12+DB12</f>
        <v>0</v>
      </c>
      <c r="DE12" s="66"/>
      <c r="DF12" s="66"/>
      <c r="DG12" s="66"/>
      <c r="DH12" s="66"/>
      <c r="DI12" s="66"/>
      <c r="DJ12" s="66"/>
      <c r="DK12" s="66"/>
      <c r="DL12" s="66"/>
      <c r="DM12" s="66"/>
      <c r="DN12" s="66"/>
      <c r="DO12" s="66"/>
      <c r="DP12" s="66"/>
      <c r="DQ12" s="65">
        <f t="shared" si="113"/>
        <v>0</v>
      </c>
      <c r="DR12" s="65">
        <f t="shared" si="113"/>
        <v>0</v>
      </c>
      <c r="DS12" s="65">
        <f t="shared" si="113"/>
        <v>0</v>
      </c>
      <c r="DT12" s="65">
        <f>DS12+DR12+DQ12</f>
        <v>0</v>
      </c>
      <c r="DU12" s="66"/>
      <c r="DV12" s="66"/>
      <c r="DW12" s="66"/>
      <c r="DX12" s="66"/>
      <c r="DY12" s="66"/>
      <c r="DZ12" s="66"/>
      <c r="EA12" s="66"/>
      <c r="EB12" s="66"/>
      <c r="EC12" s="65">
        <f>EA12+DY12+DW12+DU12</f>
        <v>0</v>
      </c>
      <c r="ED12" s="65">
        <f>EB12+DZ12+DX12+DV12</f>
        <v>0</v>
      </c>
      <c r="EE12" s="67">
        <f>SUM(EC12:ED12)</f>
        <v>0</v>
      </c>
      <c r="EF12" s="68"/>
      <c r="EG12" s="66"/>
      <c r="EH12" s="66"/>
      <c r="EI12" s="66">
        <v>10</v>
      </c>
      <c r="EJ12" s="66"/>
      <c r="EK12" s="66"/>
      <c r="EL12" s="66"/>
      <c r="EM12" s="66"/>
      <c r="EN12" s="65">
        <f>EL12+EJ12+EH12+EF12</f>
        <v>0</v>
      </c>
      <c r="EO12" s="65">
        <f>EM12+EK12+EI12+EG12</f>
        <v>10</v>
      </c>
      <c r="EP12" s="65">
        <f>SUM(EN12:EO12)</f>
        <v>10</v>
      </c>
      <c r="EQ12" s="66"/>
      <c r="ER12" s="66"/>
      <c r="ES12" s="66"/>
      <c r="ET12" s="66">
        <v>3</v>
      </c>
      <c r="EU12" s="66"/>
      <c r="EV12" s="66"/>
      <c r="EW12" s="66"/>
      <c r="EX12" s="66"/>
      <c r="EY12" s="65">
        <f>EW12+EU12+ES12+EQ12</f>
        <v>0</v>
      </c>
      <c r="EZ12" s="65">
        <f>EX12+EV12+ET12+ER12</f>
        <v>3</v>
      </c>
      <c r="FA12" s="67">
        <f>SUM(EY12:EZ12)</f>
        <v>3</v>
      </c>
      <c r="FB12" s="68"/>
      <c r="FC12" s="66"/>
      <c r="FD12" s="66"/>
      <c r="FE12" s="66"/>
      <c r="FF12" s="66"/>
      <c r="FG12" s="66"/>
      <c r="FH12" s="66"/>
      <c r="FI12" s="66"/>
      <c r="FJ12" s="65">
        <f>FH12+FF12+FD12+FB12</f>
        <v>0</v>
      </c>
      <c r="FK12" s="65">
        <f>FI12+FG12+FE12+FC12</f>
        <v>0</v>
      </c>
      <c r="FL12" s="65">
        <f>SUM(FJ12:FK12)</f>
        <v>0</v>
      </c>
      <c r="FM12" s="69"/>
      <c r="FN12" s="66"/>
      <c r="FO12" s="66"/>
      <c r="FP12" s="66"/>
      <c r="FQ12" s="66"/>
      <c r="FR12" s="66"/>
      <c r="FS12" s="66"/>
      <c r="FT12" s="66"/>
      <c r="FU12" s="65">
        <f t="shared" si="106"/>
        <v>0</v>
      </c>
      <c r="FV12" s="65">
        <f t="shared" si="106"/>
        <v>0</v>
      </c>
      <c r="FW12" s="70">
        <f>SUM(FU12:FV12)</f>
        <v>0</v>
      </c>
      <c r="FX12" s="69"/>
      <c r="FY12" s="66"/>
      <c r="FZ12" s="66"/>
      <c r="GA12" s="66"/>
      <c r="GB12" s="66"/>
      <c r="GC12" s="66"/>
      <c r="GD12" s="66"/>
      <c r="GE12" s="66"/>
      <c r="GF12" s="65">
        <f t="shared" si="107"/>
        <v>0</v>
      </c>
      <c r="GG12" s="65">
        <f t="shared" si="107"/>
        <v>0</v>
      </c>
      <c r="GH12" s="65">
        <f>GG12+GF12</f>
        <v>0</v>
      </c>
      <c r="GI12" s="66"/>
      <c r="GJ12" s="66"/>
      <c r="GK12" s="65">
        <f>GJ12+GI12</f>
        <v>0</v>
      </c>
      <c r="GL12" s="66"/>
      <c r="GM12" s="66"/>
      <c r="GN12" s="66"/>
      <c r="GO12" s="66"/>
      <c r="GP12" s="66"/>
      <c r="GQ12" s="66"/>
      <c r="GR12" s="66"/>
      <c r="GS12" s="66"/>
      <c r="GT12" s="66"/>
      <c r="GU12" s="66"/>
      <c r="GV12" s="66"/>
      <c r="GW12" s="65">
        <f>GV12+GU12+GT12+GP12+GN12+GL12+GR12</f>
        <v>0</v>
      </c>
      <c r="GX12" s="65">
        <f>GQ12+GO12+GM12+GS12</f>
        <v>0</v>
      </c>
      <c r="GY12" s="65">
        <f>SUM(GW12:GX12)</f>
        <v>0</v>
      </c>
      <c r="GZ12" s="66"/>
      <c r="HA12" s="66"/>
      <c r="HB12" s="66"/>
      <c r="HC12" s="66"/>
      <c r="HD12" s="66"/>
      <c r="HE12" s="66"/>
      <c r="HF12" s="66"/>
      <c r="HG12" s="66"/>
      <c r="HH12" s="66"/>
      <c r="HI12" s="66"/>
      <c r="HJ12" s="65">
        <f t="shared" si="108"/>
        <v>0</v>
      </c>
      <c r="HK12" s="65">
        <f t="shared" si="108"/>
        <v>0</v>
      </c>
      <c r="HL12" s="65">
        <f>SUM(HJ12:HK12)</f>
        <v>0</v>
      </c>
      <c r="HM12" s="66"/>
      <c r="HN12" s="66"/>
      <c r="HO12" s="66"/>
      <c r="HP12" s="66"/>
      <c r="HQ12" s="66"/>
      <c r="HR12" s="66"/>
      <c r="HS12" s="66"/>
      <c r="HT12" s="66"/>
      <c r="HU12" s="66"/>
      <c r="HV12" s="66"/>
      <c r="HW12" s="65">
        <f>HU12+HS12+HQ12+HO12+HM12</f>
        <v>0</v>
      </c>
      <c r="HX12" s="65">
        <f>HV12+HT12+HR12+HP12+HN12</f>
        <v>0</v>
      </c>
      <c r="HY12" s="65">
        <f>SUM(HW12:HX12)</f>
        <v>0</v>
      </c>
      <c r="HZ12" s="66"/>
      <c r="IA12" s="66"/>
      <c r="IB12" s="66"/>
      <c r="IC12" s="66"/>
      <c r="ID12" s="66"/>
      <c r="IE12" s="66"/>
      <c r="IF12" s="66"/>
      <c r="IG12" s="66"/>
      <c r="IH12" s="66"/>
      <c r="II12" s="66"/>
      <c r="IJ12" s="66"/>
      <c r="IK12" s="66"/>
      <c r="IL12" s="66"/>
      <c r="IM12" s="66"/>
      <c r="IN12" s="66"/>
      <c r="IO12" s="66"/>
      <c r="IP12" s="65"/>
      <c r="IQ12" s="65"/>
      <c r="IR12" s="65">
        <f>IP12+HZ12+IN12+IJ12+IH12+IF12+ID12+IB12</f>
        <v>0</v>
      </c>
      <c r="IS12" s="65">
        <f>IQ12+IA12+IO12+IM12+IK12+II12+IG12+IE12+IC12</f>
        <v>0</v>
      </c>
      <c r="IT12" s="65">
        <f>SUM(IR12:IS12)</f>
        <v>0</v>
      </c>
      <c r="IU12" s="66"/>
      <c r="IV12" s="66"/>
      <c r="IW12" s="66"/>
      <c r="IX12" s="66"/>
      <c r="IY12" s="66"/>
      <c r="IZ12" s="66"/>
      <c r="JA12" s="66"/>
      <c r="JB12" s="66"/>
      <c r="JC12" s="65">
        <f t="shared" si="112"/>
        <v>0</v>
      </c>
      <c r="JD12" s="65">
        <f t="shared" si="112"/>
        <v>0</v>
      </c>
      <c r="JE12" s="65">
        <f>SUM(JC12:JD12)</f>
        <v>0</v>
      </c>
      <c r="JF12" s="66"/>
      <c r="JG12" s="66"/>
      <c r="JH12" s="66"/>
      <c r="JI12" s="66"/>
      <c r="JJ12" s="65">
        <f>JI12+JH12</f>
        <v>0</v>
      </c>
      <c r="JK12" s="66"/>
      <c r="JL12" s="66"/>
      <c r="JM12" s="66"/>
      <c r="JN12" s="66"/>
      <c r="JO12" s="66"/>
      <c r="JP12" s="66"/>
      <c r="JQ12" s="66"/>
      <c r="JR12" s="66"/>
      <c r="JS12" s="66"/>
      <c r="JT12" s="66"/>
      <c r="JU12" s="66"/>
      <c r="JV12" s="66"/>
      <c r="JW12" s="66"/>
      <c r="JX12" s="66"/>
      <c r="JY12" s="66"/>
      <c r="JZ12" s="66"/>
      <c r="KA12" s="66"/>
      <c r="KB12" s="66"/>
      <c r="KC12" s="66"/>
      <c r="KD12" s="66"/>
      <c r="KE12" s="66"/>
      <c r="KF12" s="66"/>
      <c r="KG12" s="66"/>
      <c r="KH12" s="66"/>
      <c r="KI12" s="66"/>
      <c r="KJ12" s="66"/>
      <c r="KK12" s="66"/>
      <c r="KL12" s="66"/>
      <c r="KM12" s="66"/>
      <c r="KN12" s="66"/>
      <c r="KO12" s="66"/>
      <c r="KP12" s="66"/>
      <c r="KQ12" s="66"/>
      <c r="KR12" s="66"/>
      <c r="KS12" s="66"/>
      <c r="KT12" s="66"/>
      <c r="KU12" s="66"/>
      <c r="KV12" s="66"/>
      <c r="KW12" s="66"/>
      <c r="KX12" s="66"/>
      <c r="KY12" s="66"/>
    </row>
    <row r="13" spans="1:311" s="71" customFormat="1" ht="19.5" customHeight="1" x14ac:dyDescent="0.25">
      <c r="A13" s="65" t="s">
        <v>62</v>
      </c>
      <c r="B13" s="65" t="s">
        <v>63</v>
      </c>
      <c r="C13" s="66"/>
      <c r="D13" s="66"/>
      <c r="E13" s="65" t="s">
        <v>214</v>
      </c>
      <c r="F13" s="66" t="s">
        <v>215</v>
      </c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>
        <v>1</v>
      </c>
      <c r="V13" s="66">
        <v>1</v>
      </c>
      <c r="W13" s="66"/>
      <c r="X13" s="66">
        <v>4</v>
      </c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5">
        <f t="shared" ref="AN13" si="114">AL13+AJ13+AH13+AF13+AD13+AB13+Z13+X13+V13</f>
        <v>5</v>
      </c>
      <c r="AO13" s="65">
        <f t="shared" ref="AO13" si="115">AM13+AK13+AI13+AG13+AE13+AC13+AA13+Y13+W13</f>
        <v>0</v>
      </c>
      <c r="AP13" s="65">
        <f t="shared" ref="AP13" si="116">AO13+AN13</f>
        <v>5</v>
      </c>
      <c r="AQ13" s="66"/>
      <c r="AR13" s="66"/>
      <c r="AS13" s="66">
        <v>2</v>
      </c>
      <c r="AT13" s="66"/>
      <c r="AU13" s="66">
        <v>3</v>
      </c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5">
        <f t="shared" ref="BI13" si="117">BG13+BE13+BC13+BA13+AY13+AW13+AU13+AS13+AQ13</f>
        <v>5</v>
      </c>
      <c r="BJ13" s="65">
        <f t="shared" ref="BJ13" si="118">BH13+BF13+BD13+BB13+AZ13+AX13+AV13+AT13+AR13</f>
        <v>0</v>
      </c>
      <c r="BK13" s="65">
        <f t="shared" ref="BK13" si="119">BJ13+BI13</f>
        <v>5</v>
      </c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5">
        <f t="shared" ref="CD13" si="120">CB13+BZ13+BX13+BV13+BT13+BR13+BP13+BN13+BL13</f>
        <v>0</v>
      </c>
      <c r="CE13" s="65">
        <f t="shared" ref="CE13" si="121">CC13+CA13+BY13+BW13+BU13+BS13+BQ13+BO13+BM13</f>
        <v>0</v>
      </c>
      <c r="CF13" s="65">
        <f t="shared" ref="CF13" si="122">CE13+CD13</f>
        <v>0</v>
      </c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5">
        <f t="shared" ref="CY13" si="123">CW13+CU13+CS13+CQ13+CO13+CM13+CK13+CI13+CG13</f>
        <v>0</v>
      </c>
      <c r="CZ13" s="65">
        <f t="shared" ref="CZ13" si="124">CX13+CV13+CT13+CR13+CP13+CN13+CL13+CJ13+CH13</f>
        <v>0</v>
      </c>
      <c r="DA13" s="65">
        <f t="shared" ref="DA13" si="125">CZ13+CY13</f>
        <v>0</v>
      </c>
      <c r="DB13" s="65">
        <f t="shared" ref="DB13" si="126">CY13+CD13+BI13+AN13</f>
        <v>10</v>
      </c>
      <c r="DC13" s="65">
        <f t="shared" ref="DC13" si="127">CZ13+AO13+BJ13+CE13</f>
        <v>0</v>
      </c>
      <c r="DD13" s="65">
        <f t="shared" ref="DD13" si="128">DC13+DB13</f>
        <v>10</v>
      </c>
      <c r="DE13" s="66">
        <v>1</v>
      </c>
      <c r="DF13" s="66"/>
      <c r="DG13" s="66"/>
      <c r="DH13" s="66">
        <v>1</v>
      </c>
      <c r="DI13" s="66"/>
      <c r="DJ13" s="66"/>
      <c r="DK13" s="66"/>
      <c r="DL13" s="66"/>
      <c r="DM13" s="66"/>
      <c r="DN13" s="66"/>
      <c r="DO13" s="66"/>
      <c r="DP13" s="66"/>
      <c r="DQ13" s="65">
        <f t="shared" ref="DQ13" si="129">DN13+DK13+DH13+DE13</f>
        <v>2</v>
      </c>
      <c r="DR13" s="65">
        <f t="shared" ref="DR13" si="130">DO13+DL13+DI13+DF13</f>
        <v>0</v>
      </c>
      <c r="DS13" s="65">
        <f t="shared" ref="DS13" si="131">DP13+DM13+DJ13+DG13</f>
        <v>0</v>
      </c>
      <c r="DT13" s="65">
        <f t="shared" ref="DT13" si="132">DS13+DR13+DQ13</f>
        <v>2</v>
      </c>
      <c r="DU13" s="66"/>
      <c r="DV13" s="66"/>
      <c r="DW13" s="66"/>
      <c r="DX13" s="66"/>
      <c r="DY13" s="66"/>
      <c r="DZ13" s="66"/>
      <c r="EA13" s="66"/>
      <c r="EB13" s="66"/>
      <c r="EC13" s="65">
        <f t="shared" ref="EC13" si="133">EA13+DY13+DW13+DU13</f>
        <v>0</v>
      </c>
      <c r="ED13" s="65">
        <f t="shared" ref="ED13" si="134">EB13+DZ13+DX13+DV13</f>
        <v>0</v>
      </c>
      <c r="EE13" s="67">
        <f t="shared" ref="EE13" si="135">SUM(EC13:ED13)</f>
        <v>0</v>
      </c>
      <c r="EF13" s="68">
        <v>5</v>
      </c>
      <c r="EG13" s="66"/>
      <c r="EH13" s="66">
        <v>4</v>
      </c>
      <c r="EI13" s="66"/>
      <c r="EJ13" s="66"/>
      <c r="EK13" s="66"/>
      <c r="EL13" s="66"/>
      <c r="EM13" s="66"/>
      <c r="EN13" s="65">
        <f t="shared" ref="EN13" si="136">EL13+EJ13+EH13+EF13</f>
        <v>9</v>
      </c>
      <c r="EO13" s="65">
        <f t="shared" ref="EO13" si="137">EM13+EK13+EI13+EG13</f>
        <v>0</v>
      </c>
      <c r="EP13" s="65">
        <f t="shared" ref="EP13" si="138">SUM(EN13:EO13)</f>
        <v>9</v>
      </c>
      <c r="EQ13" s="66">
        <v>3</v>
      </c>
      <c r="ER13" s="66"/>
      <c r="ES13" s="66"/>
      <c r="ET13" s="66"/>
      <c r="EU13" s="66"/>
      <c r="EV13" s="66"/>
      <c r="EW13" s="66"/>
      <c r="EX13" s="66"/>
      <c r="EY13" s="65">
        <f t="shared" ref="EY13" si="139">EW13+EU13+ES13+EQ13</f>
        <v>3</v>
      </c>
      <c r="EZ13" s="65">
        <f t="shared" ref="EZ13" si="140">EX13+EV13+ET13+ER13</f>
        <v>0</v>
      </c>
      <c r="FA13" s="67">
        <f t="shared" ref="FA13" si="141">SUM(EY13:EZ13)</f>
        <v>3</v>
      </c>
      <c r="FB13" s="68"/>
      <c r="FC13" s="66"/>
      <c r="FD13" s="66"/>
      <c r="FE13" s="66"/>
      <c r="FF13" s="66"/>
      <c r="FG13" s="66"/>
      <c r="FH13" s="66"/>
      <c r="FI13" s="66"/>
      <c r="FJ13" s="65">
        <f t="shared" ref="FJ13" si="142">FH13+FF13+FD13+FB13</f>
        <v>0</v>
      </c>
      <c r="FK13" s="65">
        <f t="shared" ref="FK13" si="143">FI13+FG13+FE13+FC13</f>
        <v>0</v>
      </c>
      <c r="FL13" s="65">
        <f t="shared" ref="FL13" si="144">SUM(FJ13:FK13)</f>
        <v>0</v>
      </c>
      <c r="FM13" s="69"/>
      <c r="FN13" s="66"/>
      <c r="FO13" s="66"/>
      <c r="FP13" s="66"/>
      <c r="FQ13" s="66"/>
      <c r="FR13" s="66"/>
      <c r="FS13" s="66"/>
      <c r="FT13" s="66"/>
      <c r="FU13" s="65">
        <f t="shared" ref="FU13" si="145">FS13+FQ13+FO13+FM13</f>
        <v>0</v>
      </c>
      <c r="FV13" s="65">
        <f t="shared" ref="FV13" si="146">FT13+FR13+FP13+FN13</f>
        <v>0</v>
      </c>
      <c r="FW13" s="70">
        <f t="shared" ref="FW13" si="147">SUM(FU13:FV13)</f>
        <v>0</v>
      </c>
      <c r="FX13" s="69"/>
      <c r="FY13" s="66"/>
      <c r="FZ13" s="66"/>
      <c r="GA13" s="66"/>
      <c r="GB13" s="66"/>
      <c r="GC13" s="66"/>
      <c r="GD13" s="66"/>
      <c r="GE13" s="66"/>
      <c r="GF13" s="65">
        <f t="shared" ref="GF13" si="148">GD13+GB13+FZ13+FX13</f>
        <v>0</v>
      </c>
      <c r="GG13" s="65">
        <f t="shared" ref="GG13" si="149">GE13+GC13+GA13+FY13</f>
        <v>0</v>
      </c>
      <c r="GH13" s="65">
        <f t="shared" ref="GH13" si="150">GG13+GF13</f>
        <v>0</v>
      </c>
      <c r="GI13" s="66"/>
      <c r="GJ13" s="66"/>
      <c r="GK13" s="65">
        <f t="shared" ref="GK13" si="151">GJ13+GI13</f>
        <v>0</v>
      </c>
      <c r="GL13" s="66"/>
      <c r="GM13" s="66"/>
      <c r="GN13" s="66"/>
      <c r="GO13" s="66"/>
      <c r="GP13" s="66"/>
      <c r="GQ13" s="66"/>
      <c r="GR13" s="66"/>
      <c r="GS13" s="66"/>
      <c r="GT13" s="66"/>
      <c r="GU13" s="66"/>
      <c r="GV13" s="66"/>
      <c r="GW13" s="65">
        <f t="shared" ref="GW13" si="152">GV13+GU13+GT13+GP13+GN13+GL13+GR13</f>
        <v>0</v>
      </c>
      <c r="GX13" s="65">
        <f t="shared" ref="GX13" si="153">GQ13+GO13+GM13+GS13</f>
        <v>0</v>
      </c>
      <c r="GY13" s="65">
        <f t="shared" ref="GY13" si="154">SUM(GW13:GX13)</f>
        <v>0</v>
      </c>
      <c r="GZ13" s="66"/>
      <c r="HA13" s="66"/>
      <c r="HB13" s="66"/>
      <c r="HC13" s="66"/>
      <c r="HD13" s="66"/>
      <c r="HE13" s="66"/>
      <c r="HF13" s="66"/>
      <c r="HG13" s="66"/>
      <c r="HH13" s="66"/>
      <c r="HI13" s="66"/>
      <c r="HJ13" s="65">
        <f t="shared" si="108"/>
        <v>0</v>
      </c>
      <c r="HK13" s="65">
        <f t="shared" si="108"/>
        <v>0</v>
      </c>
      <c r="HL13" s="65">
        <f t="shared" ref="HL13" si="155">SUM(HJ13:HK13)</f>
        <v>0</v>
      </c>
      <c r="HM13" s="66"/>
      <c r="HN13" s="66"/>
      <c r="HO13" s="66"/>
      <c r="HP13" s="66"/>
      <c r="HQ13" s="66"/>
      <c r="HR13" s="66"/>
      <c r="HS13" s="66"/>
      <c r="HT13" s="66"/>
      <c r="HU13" s="66"/>
      <c r="HV13" s="66"/>
      <c r="HW13" s="65">
        <f t="shared" ref="HW13" si="156">HU13+HS13+HQ13+HO13+HM13</f>
        <v>0</v>
      </c>
      <c r="HX13" s="65">
        <f t="shared" ref="HX13" si="157">HV13+HT13+HR13+HP13+HN13</f>
        <v>0</v>
      </c>
      <c r="HY13" s="65">
        <f t="shared" ref="HY13" si="158">SUM(HW13:HX13)</f>
        <v>0</v>
      </c>
      <c r="HZ13" s="66"/>
      <c r="IA13" s="66"/>
      <c r="IB13" s="66"/>
      <c r="IC13" s="66"/>
      <c r="ID13" s="66"/>
      <c r="IE13" s="66"/>
      <c r="IF13" s="66"/>
      <c r="IG13" s="66"/>
      <c r="IH13" s="66"/>
      <c r="II13" s="66"/>
      <c r="IJ13" s="66"/>
      <c r="IK13" s="66"/>
      <c r="IL13" s="66"/>
      <c r="IM13" s="66"/>
      <c r="IN13" s="66"/>
      <c r="IO13" s="66"/>
      <c r="IP13" s="65"/>
      <c r="IQ13" s="65"/>
      <c r="IR13" s="65">
        <f>IP13+HZ13+IN13+IJ13+IH13+IF13+ID13+IB13</f>
        <v>0</v>
      </c>
      <c r="IS13" s="65">
        <f>IQ13+IA13+IO13+IM13+IK13+II13+IG13+IE13+IC13</f>
        <v>0</v>
      </c>
      <c r="IT13" s="65">
        <f t="shared" ref="IT13" si="159">SUM(IR13:IS13)</f>
        <v>0</v>
      </c>
      <c r="IU13" s="66"/>
      <c r="IV13" s="66"/>
      <c r="IW13" s="66"/>
      <c r="IX13" s="66"/>
      <c r="IY13" s="66"/>
      <c r="IZ13" s="66"/>
      <c r="JA13" s="66"/>
      <c r="JB13" s="66"/>
      <c r="JC13" s="65">
        <f t="shared" ref="JC13" si="160">JA13+IY13+IW13+IU13</f>
        <v>0</v>
      </c>
      <c r="JD13" s="65">
        <f t="shared" ref="JD13" si="161">JB13+IZ13+IX13+IV13</f>
        <v>0</v>
      </c>
      <c r="JE13" s="65">
        <f t="shared" ref="JE13" si="162">SUM(JC13:JD13)</f>
        <v>0</v>
      </c>
      <c r="JF13" s="66"/>
      <c r="JG13" s="66"/>
      <c r="JH13" s="66"/>
      <c r="JI13" s="66"/>
      <c r="JJ13" s="65">
        <f>JI13+JH13</f>
        <v>0</v>
      </c>
      <c r="JK13" s="66"/>
      <c r="JL13" s="66"/>
      <c r="JM13" s="66"/>
      <c r="JN13" s="66"/>
      <c r="JO13" s="66"/>
      <c r="JP13" s="66"/>
      <c r="JQ13" s="66"/>
      <c r="JR13" s="66"/>
      <c r="JS13" s="66"/>
      <c r="JT13" s="66"/>
      <c r="JU13" s="66"/>
      <c r="JV13" s="66"/>
      <c r="JW13" s="66"/>
      <c r="JX13" s="66"/>
      <c r="JY13" s="66"/>
      <c r="JZ13" s="66"/>
      <c r="KA13" s="66"/>
      <c r="KB13" s="66"/>
      <c r="KC13" s="66"/>
      <c r="KD13" s="66"/>
      <c r="KE13" s="66"/>
      <c r="KF13" s="66"/>
      <c r="KG13" s="66"/>
      <c r="KH13" s="66"/>
      <c r="KI13" s="66"/>
      <c r="KJ13" s="66"/>
      <c r="KK13" s="66"/>
      <c r="KL13" s="66"/>
      <c r="KM13" s="66"/>
      <c r="KN13" s="66"/>
      <c r="KO13" s="66"/>
      <c r="KP13" s="66"/>
      <c r="KQ13" s="66"/>
      <c r="KR13" s="66"/>
      <c r="KS13" s="66"/>
      <c r="KT13" s="66"/>
      <c r="KU13" s="66"/>
      <c r="KV13" s="66"/>
      <c r="KW13" s="66"/>
      <c r="KX13" s="66"/>
      <c r="KY13" s="66"/>
    </row>
    <row r="14" spans="1:311" s="74" customFormat="1" ht="19.5" customHeight="1" x14ac:dyDescent="0.25">
      <c r="A14" s="65" t="s">
        <v>62</v>
      </c>
      <c r="B14" s="65" t="s">
        <v>63</v>
      </c>
      <c r="C14" s="65"/>
      <c r="D14" s="65"/>
      <c r="E14" s="65" t="s">
        <v>187</v>
      </c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>
        <v>1</v>
      </c>
      <c r="V14" s="65"/>
      <c r="W14" s="65">
        <v>6</v>
      </c>
      <c r="X14" s="65"/>
      <c r="Y14" s="65">
        <v>2</v>
      </c>
      <c r="Z14" s="65"/>
      <c r="AA14" s="65">
        <v>3</v>
      </c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>
        <f t="shared" si="21"/>
        <v>0</v>
      </c>
      <c r="AO14" s="65">
        <f t="shared" si="22"/>
        <v>11</v>
      </c>
      <c r="AP14" s="65">
        <f t="shared" si="23"/>
        <v>11</v>
      </c>
      <c r="AQ14" s="65"/>
      <c r="AR14" s="65"/>
      <c r="AS14" s="65"/>
      <c r="AT14" s="65">
        <v>1</v>
      </c>
      <c r="AU14" s="65"/>
      <c r="AV14" s="65">
        <v>8</v>
      </c>
      <c r="AW14" s="65"/>
      <c r="AX14" s="65">
        <v>5</v>
      </c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>
        <f t="shared" si="24"/>
        <v>0</v>
      </c>
      <c r="BJ14" s="65">
        <f t="shared" si="25"/>
        <v>14</v>
      </c>
      <c r="BK14" s="65">
        <f t="shared" si="26"/>
        <v>14</v>
      </c>
      <c r="BL14" s="65"/>
      <c r="BM14" s="65"/>
      <c r="BN14" s="65"/>
      <c r="BO14" s="65"/>
      <c r="BP14" s="65"/>
      <c r="BQ14" s="65"/>
      <c r="BR14" s="65"/>
      <c r="BS14" s="65">
        <v>6</v>
      </c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>
        <f t="shared" si="27"/>
        <v>0</v>
      </c>
      <c r="CE14" s="65">
        <f t="shared" si="28"/>
        <v>6</v>
      </c>
      <c r="CF14" s="65">
        <f t="shared" si="29"/>
        <v>6</v>
      </c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>
        <f t="shared" si="30"/>
        <v>0</v>
      </c>
      <c r="CZ14" s="65">
        <f t="shared" si="31"/>
        <v>0</v>
      </c>
      <c r="DA14" s="65">
        <f t="shared" si="32"/>
        <v>0</v>
      </c>
      <c r="DB14" s="65">
        <f t="shared" si="33"/>
        <v>0</v>
      </c>
      <c r="DC14" s="65">
        <f t="shared" si="34"/>
        <v>31</v>
      </c>
      <c r="DD14" s="65">
        <f t="shared" si="35"/>
        <v>31</v>
      </c>
      <c r="DE14" s="65"/>
      <c r="DF14" s="65">
        <v>1</v>
      </c>
      <c r="DG14" s="65"/>
      <c r="DH14" s="65"/>
      <c r="DI14" s="65">
        <v>1</v>
      </c>
      <c r="DJ14" s="65"/>
      <c r="DK14" s="65"/>
      <c r="DL14" s="65">
        <v>1</v>
      </c>
      <c r="DM14" s="65"/>
      <c r="DN14" s="65"/>
      <c r="DO14" s="65"/>
      <c r="DP14" s="65"/>
      <c r="DQ14" s="65">
        <f t="shared" si="36"/>
        <v>0</v>
      </c>
      <c r="DR14" s="65">
        <f t="shared" si="37"/>
        <v>3</v>
      </c>
      <c r="DS14" s="65">
        <f t="shared" si="38"/>
        <v>0</v>
      </c>
      <c r="DT14" s="65">
        <f t="shared" si="39"/>
        <v>3</v>
      </c>
      <c r="DU14" s="65"/>
      <c r="DV14" s="65">
        <v>1</v>
      </c>
      <c r="DW14" s="65"/>
      <c r="DX14" s="65">
        <v>1</v>
      </c>
      <c r="DY14" s="65"/>
      <c r="DZ14" s="65"/>
      <c r="EA14" s="65"/>
      <c r="EB14" s="65"/>
      <c r="EC14" s="65">
        <f t="shared" si="40"/>
        <v>0</v>
      </c>
      <c r="ED14" s="65">
        <f t="shared" si="41"/>
        <v>2</v>
      </c>
      <c r="EE14" s="67">
        <f t="shared" si="42"/>
        <v>2</v>
      </c>
      <c r="EF14" s="72"/>
      <c r="EG14" s="65">
        <v>13</v>
      </c>
      <c r="EH14" s="65"/>
      <c r="EI14" s="65">
        <v>6</v>
      </c>
      <c r="EJ14" s="65"/>
      <c r="EK14" s="65"/>
      <c r="EL14" s="65"/>
      <c r="EM14" s="65"/>
      <c r="EN14" s="65">
        <f t="shared" si="43"/>
        <v>0</v>
      </c>
      <c r="EO14" s="65">
        <f t="shared" si="44"/>
        <v>19</v>
      </c>
      <c r="EP14" s="65">
        <f t="shared" si="45"/>
        <v>19</v>
      </c>
      <c r="EQ14" s="65"/>
      <c r="ER14" s="65">
        <v>7</v>
      </c>
      <c r="ES14" s="65"/>
      <c r="ET14" s="65">
        <v>4</v>
      </c>
      <c r="EU14" s="65"/>
      <c r="EV14" s="65"/>
      <c r="EW14" s="65"/>
      <c r="EX14" s="65"/>
      <c r="EY14" s="65">
        <f t="shared" si="46"/>
        <v>0</v>
      </c>
      <c r="EZ14" s="65">
        <f t="shared" si="47"/>
        <v>11</v>
      </c>
      <c r="FA14" s="67">
        <f t="shared" si="48"/>
        <v>11</v>
      </c>
      <c r="FB14" s="72"/>
      <c r="FC14" s="65"/>
      <c r="FD14" s="65"/>
      <c r="FE14" s="65"/>
      <c r="FF14" s="65"/>
      <c r="FG14" s="65"/>
      <c r="FH14" s="65"/>
      <c r="FI14" s="65"/>
      <c r="FJ14" s="65">
        <f t="shared" si="49"/>
        <v>0</v>
      </c>
      <c r="FK14" s="65">
        <f t="shared" si="50"/>
        <v>0</v>
      </c>
      <c r="FL14" s="65">
        <f t="shared" si="51"/>
        <v>0</v>
      </c>
      <c r="FM14" s="73"/>
      <c r="FN14" s="65"/>
      <c r="FO14" s="65"/>
      <c r="FP14" s="65"/>
      <c r="FQ14" s="65"/>
      <c r="FR14" s="65"/>
      <c r="FS14" s="65"/>
      <c r="FT14" s="65"/>
      <c r="FU14" s="65">
        <f t="shared" si="52"/>
        <v>0</v>
      </c>
      <c r="FV14" s="65">
        <f t="shared" si="53"/>
        <v>0</v>
      </c>
      <c r="FW14" s="70">
        <f t="shared" si="54"/>
        <v>0</v>
      </c>
      <c r="FX14" s="73"/>
      <c r="FY14" s="65"/>
      <c r="FZ14" s="65"/>
      <c r="GA14" s="65"/>
      <c r="GB14" s="65"/>
      <c r="GC14" s="65"/>
      <c r="GD14" s="65"/>
      <c r="GE14" s="65"/>
      <c r="GF14" s="65">
        <f t="shared" si="55"/>
        <v>0</v>
      </c>
      <c r="GG14" s="65">
        <f t="shared" si="56"/>
        <v>0</v>
      </c>
      <c r="GH14" s="65">
        <f t="shared" si="57"/>
        <v>0</v>
      </c>
      <c r="GI14" s="65"/>
      <c r="GJ14" s="65"/>
      <c r="GK14" s="65">
        <f t="shared" si="58"/>
        <v>0</v>
      </c>
      <c r="GL14" s="65"/>
      <c r="GM14" s="65"/>
      <c r="GN14" s="65"/>
      <c r="GO14" s="65"/>
      <c r="GP14" s="65"/>
      <c r="GQ14" s="65"/>
      <c r="GR14" s="65"/>
      <c r="GS14" s="65"/>
      <c r="GT14" s="65"/>
      <c r="GU14" s="65"/>
      <c r="GV14" s="65"/>
      <c r="GW14" s="65">
        <f t="shared" si="59"/>
        <v>0</v>
      </c>
      <c r="GX14" s="65">
        <f t="shared" si="60"/>
        <v>0</v>
      </c>
      <c r="GY14" s="65">
        <f t="shared" si="61"/>
        <v>0</v>
      </c>
      <c r="GZ14" s="65"/>
      <c r="HA14" s="65"/>
      <c r="HB14" s="65"/>
      <c r="HC14" s="65"/>
      <c r="HD14" s="65"/>
      <c r="HE14" s="65"/>
      <c r="HF14" s="65"/>
      <c r="HG14" s="65"/>
      <c r="HH14" s="65"/>
      <c r="HI14" s="65"/>
      <c r="HJ14" s="65">
        <f t="shared" si="62"/>
        <v>0</v>
      </c>
      <c r="HK14" s="65">
        <f t="shared" si="63"/>
        <v>0</v>
      </c>
      <c r="HL14" s="65">
        <f t="shared" si="64"/>
        <v>0</v>
      </c>
      <c r="HM14" s="65"/>
      <c r="HN14" s="65"/>
      <c r="HO14" s="65"/>
      <c r="HP14" s="65"/>
      <c r="HQ14" s="65"/>
      <c r="HR14" s="65"/>
      <c r="HS14" s="65"/>
      <c r="HT14" s="65"/>
      <c r="HU14" s="65"/>
      <c r="HV14" s="65"/>
      <c r="HW14" s="65">
        <f t="shared" si="65"/>
        <v>0</v>
      </c>
      <c r="HX14" s="65">
        <f t="shared" si="66"/>
        <v>0</v>
      </c>
      <c r="HY14" s="65">
        <f t="shared" si="67"/>
        <v>0</v>
      </c>
      <c r="HZ14" s="65"/>
      <c r="IA14" s="65"/>
      <c r="IB14" s="65"/>
      <c r="IC14" s="65"/>
      <c r="ID14" s="65"/>
      <c r="IE14" s="65"/>
      <c r="IF14" s="65"/>
      <c r="IG14" s="65"/>
      <c r="IH14" s="65"/>
      <c r="II14" s="65"/>
      <c r="IJ14" s="65"/>
      <c r="IK14" s="65"/>
      <c r="IL14" s="65"/>
      <c r="IM14" s="65"/>
      <c r="IN14" s="65"/>
      <c r="IO14" s="65"/>
      <c r="IP14" s="65"/>
      <c r="IQ14" s="65"/>
      <c r="IR14" s="65">
        <f t="shared" si="68"/>
        <v>0</v>
      </c>
      <c r="IS14" s="65">
        <f t="shared" si="69"/>
        <v>0</v>
      </c>
      <c r="IT14" s="65">
        <f t="shared" si="70"/>
        <v>0</v>
      </c>
      <c r="IU14" s="65"/>
      <c r="IV14" s="65"/>
      <c r="IW14" s="65"/>
      <c r="IX14" s="65"/>
      <c r="IY14" s="65"/>
      <c r="IZ14" s="65"/>
      <c r="JA14" s="65"/>
      <c r="JB14" s="65"/>
      <c r="JC14" s="65">
        <f t="shared" si="71"/>
        <v>0</v>
      </c>
      <c r="JD14" s="65">
        <f t="shared" si="72"/>
        <v>0</v>
      </c>
      <c r="JE14" s="65">
        <f t="shared" si="73"/>
        <v>0</v>
      </c>
      <c r="JF14" s="65"/>
      <c r="JG14" s="65"/>
      <c r="JH14" s="65"/>
      <c r="JI14" s="65"/>
      <c r="JJ14" s="65">
        <f t="shared" si="74"/>
        <v>0</v>
      </c>
      <c r="JK14" s="65"/>
      <c r="JL14" s="65"/>
      <c r="JM14" s="65"/>
      <c r="JN14" s="65"/>
      <c r="JO14" s="65"/>
      <c r="JP14" s="65"/>
      <c r="JQ14" s="65"/>
      <c r="JR14" s="65"/>
      <c r="JS14" s="65"/>
      <c r="JT14" s="65"/>
      <c r="JU14" s="65"/>
      <c r="JV14" s="65"/>
      <c r="JW14" s="65"/>
      <c r="JX14" s="65"/>
      <c r="JY14" s="65"/>
      <c r="JZ14" s="65"/>
      <c r="KA14" s="65"/>
      <c r="KB14" s="65"/>
      <c r="KC14" s="65"/>
      <c r="KD14" s="65"/>
      <c r="KE14" s="65"/>
      <c r="KF14" s="65"/>
      <c r="KG14" s="65"/>
      <c r="KH14" s="65"/>
      <c r="KI14" s="65"/>
      <c r="KJ14" s="65"/>
      <c r="KK14" s="65"/>
      <c r="KL14" s="65"/>
      <c r="KM14" s="65"/>
      <c r="KN14" s="65"/>
      <c r="KO14" s="65"/>
      <c r="KP14" s="65"/>
      <c r="KQ14" s="65"/>
      <c r="KR14" s="65"/>
      <c r="KS14" s="65"/>
      <c r="KT14" s="65"/>
      <c r="KU14" s="65"/>
      <c r="KV14" s="65"/>
      <c r="KW14" s="65"/>
      <c r="KX14" s="65"/>
      <c r="KY14" s="65"/>
    </row>
    <row r="15" spans="1:311" s="74" customFormat="1" ht="19.5" customHeight="1" x14ac:dyDescent="0.25">
      <c r="A15" s="65" t="s">
        <v>62</v>
      </c>
      <c r="B15" s="65" t="s">
        <v>63</v>
      </c>
      <c r="C15" s="65"/>
      <c r="D15" s="65"/>
      <c r="E15" s="65" t="s">
        <v>207</v>
      </c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>
        <v>1</v>
      </c>
      <c r="V15" s="65"/>
      <c r="W15" s="65">
        <v>4</v>
      </c>
      <c r="X15" s="65"/>
      <c r="Y15" s="65">
        <v>3</v>
      </c>
      <c r="Z15" s="65"/>
      <c r="AA15" s="65">
        <v>1</v>
      </c>
      <c r="AB15" s="65"/>
      <c r="AC15" s="65">
        <v>1</v>
      </c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>
        <f t="shared" ref="AN15" si="163">AL15+AJ15+AH15+AF15+AD15+AB15+Z15+X15+V15</f>
        <v>0</v>
      </c>
      <c r="AO15" s="65">
        <f t="shared" ref="AO15" si="164">AM15+AK15+AI15+AG15+AE15+AC15+AA15+Y15+W15</f>
        <v>9</v>
      </c>
      <c r="AP15" s="65">
        <f t="shared" ref="AP15" si="165">AO15+AN15</f>
        <v>9</v>
      </c>
      <c r="AQ15" s="65"/>
      <c r="AR15" s="65"/>
      <c r="AS15" s="65"/>
      <c r="AT15" s="65">
        <v>3</v>
      </c>
      <c r="AU15" s="65"/>
      <c r="AV15" s="65">
        <v>4</v>
      </c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>
        <f t="shared" ref="BI15" si="166">BG15+BE15+BC15+BA15+AY15+AW15+AU15+AS15+AQ15</f>
        <v>0</v>
      </c>
      <c r="BJ15" s="65">
        <f t="shared" ref="BJ15" si="167">BH15+BF15+BD15+BB15+AZ15+AX15+AV15+AT15+AR15</f>
        <v>7</v>
      </c>
      <c r="BK15" s="65">
        <f t="shared" ref="BK15" si="168">BJ15+BI15</f>
        <v>7</v>
      </c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>
        <f t="shared" ref="CD15" si="169">CB15+BZ15+BX15+BV15+BT15+BR15+BP15+BN15+BL15</f>
        <v>0</v>
      </c>
      <c r="CE15" s="65">
        <f t="shared" ref="CE15" si="170">CC15+CA15+BY15+BW15+BU15+BS15+BQ15+BO15+BM15</f>
        <v>0</v>
      </c>
      <c r="CF15" s="65">
        <f t="shared" ref="CF15" si="171">CE15+CD15</f>
        <v>0</v>
      </c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>
        <f t="shared" ref="CY15" si="172">CW15+CU15+CS15+CQ15+CO15+CM15+CK15+CI15+CG15</f>
        <v>0</v>
      </c>
      <c r="CZ15" s="65">
        <f t="shared" ref="CZ15" si="173">CX15+CV15+CT15+CR15+CP15+CN15+CL15+CJ15+CH15</f>
        <v>0</v>
      </c>
      <c r="DA15" s="65">
        <f t="shared" ref="DA15" si="174">CZ15+CY15</f>
        <v>0</v>
      </c>
      <c r="DB15" s="65">
        <f t="shared" ref="DB15" si="175">CY15+CD15+BI15+AN15</f>
        <v>0</v>
      </c>
      <c r="DC15" s="65">
        <f t="shared" ref="DC15" si="176">CZ15+AO15+BJ15+CE15</f>
        <v>16</v>
      </c>
      <c r="DD15" s="65">
        <f t="shared" ref="DD15" si="177">DC15+DB15</f>
        <v>16</v>
      </c>
      <c r="DE15" s="65"/>
      <c r="DF15" s="65">
        <v>1</v>
      </c>
      <c r="DG15" s="65"/>
      <c r="DH15" s="65"/>
      <c r="DI15" s="65">
        <v>1</v>
      </c>
      <c r="DJ15" s="65"/>
      <c r="DK15" s="65"/>
      <c r="DL15" s="65"/>
      <c r="DM15" s="65"/>
      <c r="DN15" s="65"/>
      <c r="DO15" s="65"/>
      <c r="DP15" s="65"/>
      <c r="DQ15" s="65">
        <f t="shared" ref="DQ15" si="178">DN15+DK15+DH15+DE15</f>
        <v>0</v>
      </c>
      <c r="DR15" s="65">
        <f t="shared" ref="DR15" si="179">DO15+DL15+DI15+DF15</f>
        <v>2</v>
      </c>
      <c r="DS15" s="65">
        <f t="shared" ref="DS15" si="180">DP15+DM15+DJ15+DG15</f>
        <v>0</v>
      </c>
      <c r="DT15" s="65">
        <f t="shared" ref="DT15" si="181">DS15+DR15+DQ15</f>
        <v>2</v>
      </c>
      <c r="DU15" s="65"/>
      <c r="DV15" s="65">
        <v>5</v>
      </c>
      <c r="DW15" s="65"/>
      <c r="DX15" s="65">
        <v>1</v>
      </c>
      <c r="DY15" s="65"/>
      <c r="DZ15" s="65"/>
      <c r="EA15" s="65"/>
      <c r="EB15" s="65"/>
      <c r="EC15" s="65">
        <f t="shared" ref="EC15" si="182">EA15+DY15+DW15+DU15</f>
        <v>0</v>
      </c>
      <c r="ED15" s="65">
        <f t="shared" ref="ED15" si="183">EB15+DZ15+DX15+DV15</f>
        <v>6</v>
      </c>
      <c r="EE15" s="67">
        <f t="shared" ref="EE15" si="184">SUM(EC15:ED15)</f>
        <v>6</v>
      </c>
      <c r="EF15" s="72"/>
      <c r="EG15" s="65">
        <v>8</v>
      </c>
      <c r="EH15" s="65"/>
      <c r="EI15" s="65">
        <v>1</v>
      </c>
      <c r="EJ15" s="65"/>
      <c r="EK15" s="65"/>
      <c r="EL15" s="65"/>
      <c r="EM15" s="65"/>
      <c r="EN15" s="65">
        <f t="shared" ref="EN15" si="185">EL15+EJ15+EH15+EF15</f>
        <v>0</v>
      </c>
      <c r="EO15" s="65">
        <f t="shared" ref="EO15" si="186">EM15+EK15+EI15+EG15</f>
        <v>9</v>
      </c>
      <c r="EP15" s="65">
        <f t="shared" ref="EP15" si="187">SUM(EN15:EO15)</f>
        <v>9</v>
      </c>
      <c r="EQ15" s="65"/>
      <c r="ER15" s="65">
        <v>9</v>
      </c>
      <c r="ES15" s="65"/>
      <c r="ET15" s="65">
        <v>2</v>
      </c>
      <c r="EU15" s="65"/>
      <c r="EV15" s="65"/>
      <c r="EW15" s="65"/>
      <c r="EX15" s="65"/>
      <c r="EY15" s="65">
        <f t="shared" ref="EY15" si="188">EW15+EU15+ES15+EQ15</f>
        <v>0</v>
      </c>
      <c r="EZ15" s="65">
        <f t="shared" ref="EZ15" si="189">EX15+EV15+ET15+ER15</f>
        <v>11</v>
      </c>
      <c r="FA15" s="67">
        <f t="shared" ref="FA15" si="190">SUM(EY15:EZ15)</f>
        <v>11</v>
      </c>
      <c r="FB15" s="72"/>
      <c r="FC15" s="65"/>
      <c r="FD15" s="65"/>
      <c r="FE15" s="65"/>
      <c r="FF15" s="65"/>
      <c r="FG15" s="65"/>
      <c r="FH15" s="65"/>
      <c r="FI15" s="65"/>
      <c r="FJ15" s="65">
        <f t="shared" ref="FJ15" si="191">FH15+FF15+FD15+FB15</f>
        <v>0</v>
      </c>
      <c r="FK15" s="65">
        <f t="shared" ref="FK15" si="192">FI15+FG15+FE15+FC15</f>
        <v>0</v>
      </c>
      <c r="FL15" s="65">
        <f t="shared" ref="FL15" si="193">SUM(FJ15:FK15)</f>
        <v>0</v>
      </c>
      <c r="FM15" s="73"/>
      <c r="FN15" s="65"/>
      <c r="FO15" s="65"/>
      <c r="FP15" s="65"/>
      <c r="FQ15" s="65"/>
      <c r="FR15" s="65"/>
      <c r="FS15" s="65"/>
      <c r="FT15" s="65"/>
      <c r="FU15" s="65">
        <f t="shared" ref="FU15:FV15" si="194">FS15+FQ15+FO15+FM15</f>
        <v>0</v>
      </c>
      <c r="FV15" s="65">
        <f t="shared" si="194"/>
        <v>0</v>
      </c>
      <c r="FW15" s="70">
        <f>SUM(FU15:FV15)</f>
        <v>0</v>
      </c>
      <c r="FX15" s="73"/>
      <c r="FY15" s="65"/>
      <c r="FZ15" s="65"/>
      <c r="GA15" s="65"/>
      <c r="GB15" s="65"/>
      <c r="GC15" s="65"/>
      <c r="GD15" s="65"/>
      <c r="GE15" s="65"/>
      <c r="GF15" s="65">
        <f t="shared" ref="GF15:GG15" si="195">GD15+GB15+FZ15+FX15</f>
        <v>0</v>
      </c>
      <c r="GG15" s="65">
        <f t="shared" si="195"/>
        <v>0</v>
      </c>
      <c r="GH15" s="65">
        <f>GG15+GF15</f>
        <v>0</v>
      </c>
      <c r="GI15" s="65"/>
      <c r="GJ15" s="65"/>
      <c r="GK15" s="65">
        <f>GJ15+GI15</f>
        <v>0</v>
      </c>
      <c r="GL15" s="65"/>
      <c r="GM15" s="65"/>
      <c r="GN15" s="65"/>
      <c r="GO15" s="65"/>
      <c r="GP15" s="65"/>
      <c r="GQ15" s="65"/>
      <c r="GR15" s="65"/>
      <c r="GS15" s="65"/>
      <c r="GT15" s="65"/>
      <c r="GU15" s="65"/>
      <c r="GV15" s="65"/>
      <c r="GW15" s="65">
        <f>GV15+GU15+GT15+GP15+GN15+GL15+GR15</f>
        <v>0</v>
      </c>
      <c r="GX15" s="65">
        <f>GQ15+GO15+GM15+GS15</f>
        <v>0</v>
      </c>
      <c r="GY15" s="65">
        <f>SUM(GW15:GX15)</f>
        <v>0</v>
      </c>
      <c r="GZ15" s="65"/>
      <c r="HA15" s="65"/>
      <c r="HB15" s="65"/>
      <c r="HC15" s="65"/>
      <c r="HD15" s="65"/>
      <c r="HE15" s="65"/>
      <c r="HF15" s="65"/>
      <c r="HG15" s="65"/>
      <c r="HH15" s="65"/>
      <c r="HI15" s="65"/>
      <c r="HJ15" s="65">
        <f t="shared" si="62"/>
        <v>0</v>
      </c>
      <c r="HK15" s="65">
        <f t="shared" si="63"/>
        <v>0</v>
      </c>
      <c r="HL15" s="65">
        <f>SUM(HJ15:HK15)</f>
        <v>0</v>
      </c>
      <c r="HM15" s="65"/>
      <c r="HN15" s="65"/>
      <c r="HO15" s="65"/>
      <c r="HP15" s="65"/>
      <c r="HQ15" s="65"/>
      <c r="HR15" s="65"/>
      <c r="HS15" s="65"/>
      <c r="HT15" s="65"/>
      <c r="HU15" s="65"/>
      <c r="HV15" s="65"/>
      <c r="HW15" s="65">
        <f t="shared" si="65"/>
        <v>0</v>
      </c>
      <c r="HX15" s="65">
        <f t="shared" si="66"/>
        <v>0</v>
      </c>
      <c r="HY15" s="65">
        <f t="shared" si="67"/>
        <v>0</v>
      </c>
      <c r="HZ15" s="65"/>
      <c r="IA15" s="65"/>
      <c r="IB15" s="65"/>
      <c r="IC15" s="65"/>
      <c r="ID15" s="65"/>
      <c r="IE15" s="65"/>
      <c r="IF15" s="65"/>
      <c r="IG15" s="65"/>
      <c r="IH15" s="65"/>
      <c r="II15" s="65"/>
      <c r="IJ15" s="65"/>
      <c r="IK15" s="65"/>
      <c r="IL15" s="65"/>
      <c r="IM15" s="65"/>
      <c r="IN15" s="65"/>
      <c r="IO15" s="65"/>
      <c r="IP15" s="65"/>
      <c r="IQ15" s="65"/>
      <c r="IR15" s="65">
        <f t="shared" si="68"/>
        <v>0</v>
      </c>
      <c r="IS15" s="65">
        <f t="shared" si="69"/>
        <v>0</v>
      </c>
      <c r="IT15" s="65">
        <f>SUM(IR15:IS15)</f>
        <v>0</v>
      </c>
      <c r="IU15" s="65"/>
      <c r="IV15" s="65"/>
      <c r="IW15" s="65"/>
      <c r="IX15" s="65"/>
      <c r="IY15" s="65"/>
      <c r="IZ15" s="65"/>
      <c r="JA15" s="65"/>
      <c r="JB15" s="65"/>
      <c r="JC15" s="65">
        <f t="shared" ref="JC15:JD15" si="196">JA15+IY15+IW15+IU15</f>
        <v>0</v>
      </c>
      <c r="JD15" s="65">
        <f t="shared" si="196"/>
        <v>0</v>
      </c>
      <c r="JE15" s="65">
        <f>SUM(JC15:JD15)</f>
        <v>0</v>
      </c>
      <c r="JF15" s="65"/>
      <c r="JG15" s="65"/>
      <c r="JH15" s="65"/>
      <c r="JI15" s="65"/>
      <c r="JJ15" s="65">
        <f>JI15+JH15</f>
        <v>0</v>
      </c>
      <c r="JK15" s="65"/>
      <c r="JL15" s="65"/>
      <c r="JM15" s="65"/>
      <c r="JN15" s="65"/>
      <c r="JO15" s="65"/>
      <c r="JP15" s="65"/>
      <c r="JQ15" s="65"/>
      <c r="JR15" s="65"/>
      <c r="JS15" s="65"/>
      <c r="JT15" s="65"/>
      <c r="JU15" s="65"/>
      <c r="JV15" s="65"/>
      <c r="JW15" s="65"/>
      <c r="JX15" s="65"/>
      <c r="JY15" s="65"/>
      <c r="JZ15" s="65"/>
      <c r="KA15" s="65"/>
      <c r="KB15" s="65"/>
      <c r="KC15" s="65"/>
      <c r="KD15" s="65"/>
      <c r="KE15" s="65"/>
      <c r="KF15" s="65"/>
      <c r="KG15" s="65"/>
      <c r="KH15" s="65"/>
      <c r="KI15" s="65"/>
      <c r="KJ15" s="65"/>
      <c r="KK15" s="65"/>
      <c r="KL15" s="65"/>
      <c r="KM15" s="65"/>
      <c r="KN15" s="65"/>
      <c r="KO15" s="65"/>
      <c r="KP15" s="65"/>
      <c r="KQ15" s="65"/>
      <c r="KR15" s="65"/>
      <c r="KS15" s="65"/>
      <c r="KT15" s="65"/>
      <c r="KU15" s="65"/>
      <c r="KV15" s="65"/>
      <c r="KW15" s="65"/>
      <c r="KX15" s="65"/>
      <c r="KY15" s="65"/>
    </row>
    <row r="16" spans="1:311" s="74" customFormat="1" ht="19.5" customHeight="1" x14ac:dyDescent="0.25">
      <c r="A16" s="65" t="s">
        <v>62</v>
      </c>
      <c r="B16" s="65" t="s">
        <v>63</v>
      </c>
      <c r="C16" s="65"/>
      <c r="D16" s="65"/>
      <c r="E16" s="65" t="s">
        <v>231</v>
      </c>
      <c r="F16" s="65" t="s">
        <v>232</v>
      </c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>
        <v>1</v>
      </c>
      <c r="V16" s="65">
        <v>6</v>
      </c>
      <c r="W16" s="65"/>
      <c r="X16" s="65">
        <v>13</v>
      </c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>
        <f t="shared" ref="AN16" si="197">AL16+AJ16+AH16+AF16+AD16+AB16+Z16+X16+V16</f>
        <v>19</v>
      </c>
      <c r="AO16" s="65">
        <f t="shared" ref="AO16" si="198">AM16+AK16+AI16+AG16+AE16+AC16+AA16+Y16+W16</f>
        <v>0</v>
      </c>
      <c r="AP16" s="65">
        <f t="shared" ref="AP16" si="199">AO16+AN16</f>
        <v>19</v>
      </c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>
        <f t="shared" ref="BI16" si="200">BG16+BE16+BC16+BA16+AY16+AW16+AU16+AS16+AQ16</f>
        <v>0</v>
      </c>
      <c r="BJ16" s="65">
        <f t="shared" ref="BJ16" si="201">BH16+BF16+BD16+BB16+AZ16+AX16+AV16+AT16+AR16</f>
        <v>0</v>
      </c>
      <c r="BK16" s="65">
        <f t="shared" ref="BK16" si="202">BJ16+BI16</f>
        <v>0</v>
      </c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>
        <f t="shared" ref="CD16" si="203">CB16+BZ16+BX16+BV16+BT16+BR16+BP16+BN16+BL16</f>
        <v>0</v>
      </c>
      <c r="CE16" s="65">
        <f t="shared" ref="CE16" si="204">CC16+CA16+BY16+BW16+BU16+BS16+BQ16+BO16+BM16</f>
        <v>0</v>
      </c>
      <c r="CF16" s="65">
        <f t="shared" ref="CF16" si="205">CE16+CD16</f>
        <v>0</v>
      </c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>
        <f t="shared" ref="CY16" si="206">CW16+CU16+CS16+CQ16+CO16+CM16+CK16+CI16+CG16</f>
        <v>0</v>
      </c>
      <c r="CZ16" s="65">
        <f t="shared" ref="CZ16" si="207">CX16+CV16+CT16+CR16+CP16+CN16+CL16+CJ16+CH16</f>
        <v>0</v>
      </c>
      <c r="DA16" s="65">
        <f t="shared" ref="DA16" si="208">CZ16+CY16</f>
        <v>0</v>
      </c>
      <c r="DB16" s="65">
        <f t="shared" ref="DB16" si="209">CY16+CD16+BI16+AN16</f>
        <v>19</v>
      </c>
      <c r="DC16" s="65">
        <f t="shared" ref="DC16" si="210">CZ16+AO16+BJ16+CE16</f>
        <v>0</v>
      </c>
      <c r="DD16" s="65">
        <f t="shared" ref="DD16" si="211">DC16+DB16</f>
        <v>19</v>
      </c>
      <c r="DE16" s="65">
        <v>1</v>
      </c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>
        <f t="shared" ref="DQ16" si="212">DN16+DK16+DH16+DE16</f>
        <v>1</v>
      </c>
      <c r="DR16" s="65">
        <f t="shared" ref="DR16" si="213">DO16+DL16+DI16+DF16</f>
        <v>0</v>
      </c>
      <c r="DS16" s="65">
        <f t="shared" ref="DS16" si="214">DP16+DM16+DJ16+DG16</f>
        <v>0</v>
      </c>
      <c r="DT16" s="65">
        <f t="shared" ref="DT16" si="215">DS16+DR16+DQ16</f>
        <v>1</v>
      </c>
      <c r="DU16" s="65"/>
      <c r="DV16" s="65"/>
      <c r="DW16" s="65"/>
      <c r="DX16" s="65"/>
      <c r="DY16" s="65"/>
      <c r="DZ16" s="65"/>
      <c r="EA16" s="65"/>
      <c r="EB16" s="65"/>
      <c r="EC16" s="65">
        <f t="shared" ref="EC16" si="216">EA16+DY16+DW16+DU16</f>
        <v>0</v>
      </c>
      <c r="ED16" s="65">
        <f t="shared" ref="ED16" si="217">EB16+DZ16+DX16+DV16</f>
        <v>0</v>
      </c>
      <c r="EE16" s="67">
        <f t="shared" ref="EE16" si="218">SUM(EC16:ED16)</f>
        <v>0</v>
      </c>
      <c r="EF16" s="72"/>
      <c r="EG16" s="65"/>
      <c r="EH16" s="65"/>
      <c r="EI16" s="65"/>
      <c r="EJ16" s="65"/>
      <c r="EK16" s="65"/>
      <c r="EL16" s="65"/>
      <c r="EM16" s="65"/>
      <c r="EN16" s="65">
        <f t="shared" ref="EN16" si="219">EL16+EJ16+EH16+EF16</f>
        <v>0</v>
      </c>
      <c r="EO16" s="65">
        <f t="shared" ref="EO16" si="220">EM16+EK16+EI16+EG16</f>
        <v>0</v>
      </c>
      <c r="EP16" s="65">
        <f t="shared" ref="EP16" si="221">SUM(EN16:EO16)</f>
        <v>0</v>
      </c>
      <c r="EQ16" s="65"/>
      <c r="ER16" s="65"/>
      <c r="ES16" s="65"/>
      <c r="ET16" s="65"/>
      <c r="EU16" s="65"/>
      <c r="EV16" s="65"/>
      <c r="EW16" s="65"/>
      <c r="EX16" s="65"/>
      <c r="EY16" s="65">
        <f t="shared" ref="EY16" si="222">EW16+EU16+ES16+EQ16</f>
        <v>0</v>
      </c>
      <c r="EZ16" s="65">
        <f t="shared" ref="EZ16" si="223">EX16+EV16+ET16+ER16</f>
        <v>0</v>
      </c>
      <c r="FA16" s="67">
        <f t="shared" ref="FA16" si="224">SUM(EY16:EZ16)</f>
        <v>0</v>
      </c>
      <c r="FB16" s="72"/>
      <c r="FC16" s="65"/>
      <c r="FD16" s="65"/>
      <c r="FE16" s="65"/>
      <c r="FF16" s="65"/>
      <c r="FG16" s="65"/>
      <c r="FH16" s="65"/>
      <c r="FI16" s="65"/>
      <c r="FJ16" s="65">
        <f t="shared" ref="FJ16" si="225">FH16+FF16+FD16+FB16</f>
        <v>0</v>
      </c>
      <c r="FK16" s="65">
        <f t="shared" ref="FK16" si="226">FI16+FG16+FE16+FC16</f>
        <v>0</v>
      </c>
      <c r="FL16" s="65">
        <f t="shared" ref="FL16" si="227">SUM(FJ16:FK16)</f>
        <v>0</v>
      </c>
      <c r="FM16" s="73"/>
      <c r="FN16" s="65"/>
      <c r="FO16" s="65"/>
      <c r="FP16" s="65"/>
      <c r="FQ16" s="65"/>
      <c r="FR16" s="65"/>
      <c r="FS16" s="65"/>
      <c r="FT16" s="65"/>
      <c r="FU16" s="65">
        <f t="shared" ref="FU16" si="228">FS16+FQ16+FO16+FM16</f>
        <v>0</v>
      </c>
      <c r="FV16" s="65">
        <f t="shared" ref="FV16" si="229">FT16+FR16+FP16+FN16</f>
        <v>0</v>
      </c>
      <c r="FW16" s="70">
        <f>SUM(FU16:FV16)</f>
        <v>0</v>
      </c>
      <c r="FX16" s="73"/>
      <c r="FY16" s="65"/>
      <c r="FZ16" s="65"/>
      <c r="GA16" s="65"/>
      <c r="GB16" s="65"/>
      <c r="GC16" s="65"/>
      <c r="GD16" s="65"/>
      <c r="GE16" s="65"/>
      <c r="GF16" s="65">
        <f t="shared" ref="GF16" si="230">GD16+GB16+FZ16+FX16</f>
        <v>0</v>
      </c>
      <c r="GG16" s="65">
        <f t="shared" ref="GG16" si="231">GE16+GC16+GA16+FY16</f>
        <v>0</v>
      </c>
      <c r="GH16" s="65">
        <f>GG16+GF16</f>
        <v>0</v>
      </c>
      <c r="GI16" s="65"/>
      <c r="GJ16" s="65"/>
      <c r="GK16" s="65">
        <f>GJ16+GI16</f>
        <v>0</v>
      </c>
      <c r="GL16" s="65"/>
      <c r="GM16" s="65"/>
      <c r="GN16" s="65"/>
      <c r="GO16" s="65"/>
      <c r="GP16" s="65"/>
      <c r="GQ16" s="65"/>
      <c r="GR16" s="65"/>
      <c r="GS16" s="65"/>
      <c r="GT16" s="65"/>
      <c r="GU16" s="65"/>
      <c r="GV16" s="65"/>
      <c r="GW16" s="65">
        <f>GV16+GU16+GT16+GP16+GN16+GL16+GR16</f>
        <v>0</v>
      </c>
      <c r="GX16" s="65">
        <f>GQ16+GO16+GM16+GS16</f>
        <v>0</v>
      </c>
      <c r="GY16" s="65">
        <f>SUM(GW16:GX16)</f>
        <v>0</v>
      </c>
      <c r="GZ16" s="65"/>
      <c r="HA16" s="65"/>
      <c r="HB16" s="65"/>
      <c r="HC16" s="65"/>
      <c r="HD16" s="65"/>
      <c r="HE16" s="65"/>
      <c r="HF16" s="65"/>
      <c r="HG16" s="65"/>
      <c r="HH16" s="65"/>
      <c r="HI16" s="65"/>
      <c r="HJ16" s="65">
        <f t="shared" ref="HJ16" si="232">HD16+HB16+GZ16+HF16+HH16</f>
        <v>0</v>
      </c>
      <c r="HK16" s="65">
        <f t="shared" ref="HK16" si="233">HE16+HC16+HA16+HG16+HI16</f>
        <v>0</v>
      </c>
      <c r="HL16" s="65">
        <f>SUM(HJ16:HK16)</f>
        <v>0</v>
      </c>
      <c r="HM16" s="65"/>
      <c r="HN16" s="65"/>
      <c r="HO16" s="65"/>
      <c r="HP16" s="65"/>
      <c r="HQ16" s="65"/>
      <c r="HR16" s="65"/>
      <c r="HS16" s="65"/>
      <c r="HT16" s="65"/>
      <c r="HU16" s="65"/>
      <c r="HV16" s="65"/>
      <c r="HW16" s="65">
        <f t="shared" ref="HW16" si="234">HU16+HS16+HQ16+HO16+HM16</f>
        <v>0</v>
      </c>
      <c r="HX16" s="65">
        <f t="shared" ref="HX16" si="235">HV16+HT16+HR16+HP16+HN16</f>
        <v>0</v>
      </c>
      <c r="HY16" s="65">
        <f t="shared" ref="HY16" si="236">SUM(HW16:HX16)</f>
        <v>0</v>
      </c>
      <c r="HZ16" s="65"/>
      <c r="IA16" s="65"/>
      <c r="IB16" s="65"/>
      <c r="IC16" s="65"/>
      <c r="ID16" s="65"/>
      <c r="IE16" s="65"/>
      <c r="IF16" s="65"/>
      <c r="IG16" s="65"/>
      <c r="IH16" s="65"/>
      <c r="II16" s="65"/>
      <c r="IJ16" s="65"/>
      <c r="IK16" s="65"/>
      <c r="IL16" s="65"/>
      <c r="IM16" s="65"/>
      <c r="IN16" s="65"/>
      <c r="IO16" s="65"/>
      <c r="IP16" s="65"/>
      <c r="IQ16" s="65"/>
      <c r="IR16" s="65">
        <f t="shared" ref="IR16" si="237">IP16+HZ16+IN16+IJ16+IH16+IF16+ID16+IB16</f>
        <v>0</v>
      </c>
      <c r="IS16" s="65">
        <f t="shared" ref="IS16" si="238">IQ16+IA16+IO16+IM16+IK16+II16+IG16+IE16+IC16</f>
        <v>0</v>
      </c>
      <c r="IT16" s="65">
        <f>SUM(IR16:IS16)</f>
        <v>0</v>
      </c>
      <c r="IU16" s="65"/>
      <c r="IV16" s="65"/>
      <c r="IW16" s="65"/>
      <c r="IX16" s="65"/>
      <c r="IY16" s="65"/>
      <c r="IZ16" s="65"/>
      <c r="JA16" s="65"/>
      <c r="JB16" s="65"/>
      <c r="JC16" s="65">
        <f t="shared" ref="JC16" si="239">JA16+IY16+IW16+IU16</f>
        <v>0</v>
      </c>
      <c r="JD16" s="65">
        <f t="shared" ref="JD16" si="240">JB16+IZ16+IX16+IV16</f>
        <v>0</v>
      </c>
      <c r="JE16" s="65">
        <f>SUM(JC16:JD16)</f>
        <v>0</v>
      </c>
      <c r="JF16" s="65"/>
      <c r="JG16" s="65"/>
      <c r="JH16" s="65"/>
      <c r="JI16" s="65"/>
      <c r="JJ16" s="65">
        <f>JI16+JH16</f>
        <v>0</v>
      </c>
      <c r="JK16" s="65"/>
      <c r="JL16" s="65"/>
      <c r="JM16" s="65"/>
      <c r="JN16" s="65"/>
      <c r="JO16" s="65"/>
      <c r="JP16" s="65"/>
      <c r="JQ16" s="65"/>
      <c r="JR16" s="65"/>
      <c r="JS16" s="65"/>
      <c r="JT16" s="65"/>
      <c r="JU16" s="65"/>
      <c r="JV16" s="65"/>
      <c r="JW16" s="65"/>
      <c r="JX16" s="65"/>
      <c r="JY16" s="65"/>
      <c r="JZ16" s="65"/>
      <c r="KA16" s="65"/>
      <c r="KB16" s="65"/>
      <c r="KC16" s="65"/>
      <c r="KD16" s="65"/>
      <c r="KE16" s="65"/>
      <c r="KF16" s="65"/>
      <c r="KG16" s="65"/>
      <c r="KH16" s="65"/>
      <c r="KI16" s="65"/>
      <c r="KJ16" s="65"/>
      <c r="KK16" s="65"/>
      <c r="KL16" s="65"/>
      <c r="KM16" s="65"/>
      <c r="KN16" s="65"/>
      <c r="KO16" s="65"/>
      <c r="KP16" s="65"/>
      <c r="KQ16" s="65"/>
      <c r="KR16" s="65"/>
      <c r="KS16" s="65"/>
      <c r="KT16" s="65"/>
      <c r="KU16" s="65"/>
      <c r="KV16" s="65"/>
      <c r="KW16" s="65"/>
      <c r="KX16" s="65"/>
      <c r="KY16" s="65"/>
    </row>
    <row r="17" spans="1:311" s="71" customFormat="1" ht="19.5" customHeight="1" x14ac:dyDescent="0.25">
      <c r="A17" s="65" t="s">
        <v>62</v>
      </c>
      <c r="B17" s="65" t="s">
        <v>190</v>
      </c>
      <c r="C17" s="66"/>
      <c r="D17" s="66">
        <v>1400729</v>
      </c>
      <c r="E17" s="65" t="s">
        <v>191</v>
      </c>
      <c r="F17" s="66" t="s">
        <v>233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>
        <v>1</v>
      </c>
      <c r="V17" s="66"/>
      <c r="W17" s="66"/>
      <c r="X17" s="66">
        <v>3</v>
      </c>
      <c r="Y17" s="66"/>
      <c r="Z17" s="66">
        <v>1</v>
      </c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5">
        <f>AL17+AJ17+AH17+AF17+AD17+AB17+Z17+X17+V17</f>
        <v>4</v>
      </c>
      <c r="AO17" s="65">
        <f>AM17+AK17+AI17+AG17+AE17+AC17+AA17+Y17+W17</f>
        <v>0</v>
      </c>
      <c r="AP17" s="65">
        <f>AO17+AN17</f>
        <v>4</v>
      </c>
      <c r="AQ17" s="66"/>
      <c r="AR17" s="66"/>
      <c r="AS17" s="66"/>
      <c r="AT17" s="66"/>
      <c r="AU17" s="66">
        <v>7</v>
      </c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5">
        <f>BG17+BE17+BC17+BA17+AY17+AW17+AU17+AS17+AQ17</f>
        <v>7</v>
      </c>
      <c r="BJ17" s="65">
        <f>BH17+BF17+BD17+BB17+AZ17+AX17+AV17+AT17+AR17</f>
        <v>0</v>
      </c>
      <c r="BK17" s="65">
        <f>BJ17+BI17</f>
        <v>7</v>
      </c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5">
        <f>CB17+BZ17+BX17+BV17+BT17+BR17+BP17+BN17+BL17</f>
        <v>0</v>
      </c>
      <c r="CE17" s="65">
        <f>CC17+CA17+BY17+BW17+BU17+BS17+BQ17+BO17+BM17</f>
        <v>0</v>
      </c>
      <c r="CF17" s="65">
        <f>CE17+CD17</f>
        <v>0</v>
      </c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5">
        <f>CW17+CU17+CS17+CQ17+CO17+CM17+CK17+CI17+CG17</f>
        <v>0</v>
      </c>
      <c r="CZ17" s="65">
        <f>CX17+CV17+CT17+CR17+CP17+CN17+CL17+CJ17+CH17</f>
        <v>0</v>
      </c>
      <c r="DA17" s="65">
        <f>CZ17+CY17</f>
        <v>0</v>
      </c>
      <c r="DB17" s="65">
        <f>CY17+CD17+BI17+AN17</f>
        <v>11</v>
      </c>
      <c r="DC17" s="65">
        <f>CZ17+AO17+BJ17+CE17</f>
        <v>0</v>
      </c>
      <c r="DD17" s="65">
        <f>DC17+DB17</f>
        <v>11</v>
      </c>
      <c r="DE17" s="66">
        <v>1</v>
      </c>
      <c r="DF17" s="66"/>
      <c r="DG17" s="66"/>
      <c r="DH17" s="66">
        <v>1</v>
      </c>
      <c r="DI17" s="66"/>
      <c r="DJ17" s="66"/>
      <c r="DK17" s="66"/>
      <c r="DL17" s="66"/>
      <c r="DM17" s="66"/>
      <c r="DN17" s="66"/>
      <c r="DO17" s="66"/>
      <c r="DP17" s="66"/>
      <c r="DQ17" s="65">
        <f t="shared" ref="DQ17:DS17" si="241">DN17+DK17+DH17+DE17</f>
        <v>2</v>
      </c>
      <c r="DR17" s="65">
        <f t="shared" si="241"/>
        <v>0</v>
      </c>
      <c r="DS17" s="65">
        <f t="shared" si="241"/>
        <v>0</v>
      </c>
      <c r="DT17" s="65">
        <f>DS17+DR17+DQ17</f>
        <v>2</v>
      </c>
      <c r="DU17" s="66"/>
      <c r="DV17" s="66"/>
      <c r="DW17" s="66"/>
      <c r="DX17" s="66"/>
      <c r="DY17" s="66"/>
      <c r="DZ17" s="66"/>
      <c r="EA17" s="66"/>
      <c r="EB17" s="66"/>
      <c r="EC17" s="65">
        <f>EA17+DY17+DW17+DU17</f>
        <v>0</v>
      </c>
      <c r="ED17" s="65">
        <f>EB17+DZ17+DX17+DV17</f>
        <v>0</v>
      </c>
      <c r="EE17" s="67">
        <f>SUM(EC17:ED17)</f>
        <v>0</v>
      </c>
      <c r="EF17" s="68">
        <v>4</v>
      </c>
      <c r="EG17" s="66"/>
      <c r="EH17" s="66">
        <v>3</v>
      </c>
      <c r="EI17" s="66"/>
      <c r="EJ17" s="66">
        <v>9</v>
      </c>
      <c r="EK17" s="66"/>
      <c r="EL17" s="66"/>
      <c r="EM17" s="66"/>
      <c r="EN17" s="65">
        <f>EL17+EJ17+EH17+EF17</f>
        <v>16</v>
      </c>
      <c r="EO17" s="65">
        <f>EM17+EK17+EI17+EG17</f>
        <v>0</v>
      </c>
      <c r="EP17" s="65">
        <f>SUM(EN17:EO17)</f>
        <v>16</v>
      </c>
      <c r="EQ17" s="66">
        <v>4</v>
      </c>
      <c r="ER17" s="66"/>
      <c r="ES17" s="66">
        <v>8</v>
      </c>
      <c r="ET17" s="66"/>
      <c r="EU17" s="66"/>
      <c r="EV17" s="66"/>
      <c r="EW17" s="66"/>
      <c r="EX17" s="66"/>
      <c r="EY17" s="65">
        <f>EW17+EU17+ES17+EQ17</f>
        <v>12</v>
      </c>
      <c r="EZ17" s="65">
        <f>EX17+EV17+ET17+ER17</f>
        <v>0</v>
      </c>
      <c r="FA17" s="67">
        <f>SUM(EY17:EZ17)</f>
        <v>12</v>
      </c>
      <c r="FB17" s="68"/>
      <c r="FC17" s="66"/>
      <c r="FD17" s="66"/>
      <c r="FE17" s="66"/>
      <c r="FF17" s="66"/>
      <c r="FG17" s="66"/>
      <c r="FH17" s="66"/>
      <c r="FI17" s="66"/>
      <c r="FJ17" s="65">
        <f>FH17+FF17+FD17+FB17</f>
        <v>0</v>
      </c>
      <c r="FK17" s="65">
        <f>FI17+FG17+FE17+FC17</f>
        <v>0</v>
      </c>
      <c r="FL17" s="65">
        <f>SUM(FJ17:FK17)</f>
        <v>0</v>
      </c>
      <c r="FM17" s="69"/>
      <c r="FN17" s="66"/>
      <c r="FO17" s="66"/>
      <c r="FP17" s="66"/>
      <c r="FQ17" s="66"/>
      <c r="FR17" s="66"/>
      <c r="FS17" s="66"/>
      <c r="FT17" s="66"/>
      <c r="FU17" s="65">
        <f>FS17+FQ17+FO17+FM17</f>
        <v>0</v>
      </c>
      <c r="FV17" s="65">
        <f>FT17+FR17+FP17+FN17</f>
        <v>0</v>
      </c>
      <c r="FW17" s="70">
        <f>SUM(FU17:FV17)</f>
        <v>0</v>
      </c>
      <c r="FX17" s="69"/>
      <c r="FY17" s="66"/>
      <c r="FZ17" s="66"/>
      <c r="GA17" s="66"/>
      <c r="GB17" s="66"/>
      <c r="GC17" s="66"/>
      <c r="GD17" s="66"/>
      <c r="GE17" s="66"/>
      <c r="GF17" s="65">
        <f>GD17+GB17+FZ17+FX17</f>
        <v>0</v>
      </c>
      <c r="GG17" s="65">
        <f>GE17+GC17+GA17+FY17</f>
        <v>0</v>
      </c>
      <c r="GH17" s="65">
        <f>GG17+GF17</f>
        <v>0</v>
      </c>
      <c r="GI17" s="66"/>
      <c r="GJ17" s="66"/>
      <c r="GK17" s="65">
        <f>GJ17+GI17</f>
        <v>0</v>
      </c>
      <c r="GL17" s="66"/>
      <c r="GM17" s="66"/>
      <c r="GN17" s="66"/>
      <c r="GO17" s="66"/>
      <c r="GP17" s="66"/>
      <c r="GQ17" s="66"/>
      <c r="GR17" s="66"/>
      <c r="GS17" s="66"/>
      <c r="GT17" s="66"/>
      <c r="GU17" s="66"/>
      <c r="GV17" s="66"/>
      <c r="GW17" s="65">
        <f>GV17+GU17+GT17+GP17+GN17+GL17+GR17</f>
        <v>0</v>
      </c>
      <c r="GX17" s="65">
        <f>GQ17+GO17+GM17+GS17</f>
        <v>0</v>
      </c>
      <c r="GY17" s="65">
        <f>SUM(GW17:GX17)</f>
        <v>0</v>
      </c>
      <c r="GZ17" s="66"/>
      <c r="HA17" s="66"/>
      <c r="HB17" s="66"/>
      <c r="HC17" s="66"/>
      <c r="HD17" s="66"/>
      <c r="HE17" s="66"/>
      <c r="HF17" s="66"/>
      <c r="HG17" s="66"/>
      <c r="HH17" s="66"/>
      <c r="HI17" s="66"/>
      <c r="HJ17" s="65">
        <f t="shared" si="62"/>
        <v>0</v>
      </c>
      <c r="HK17" s="65">
        <f t="shared" si="63"/>
        <v>0</v>
      </c>
      <c r="HL17" s="65">
        <f>SUM(HJ17:HK17)</f>
        <v>0</v>
      </c>
      <c r="HM17" s="66"/>
      <c r="HN17" s="66"/>
      <c r="HO17" s="66"/>
      <c r="HP17" s="66"/>
      <c r="HQ17" s="66"/>
      <c r="HR17" s="66"/>
      <c r="HS17" s="66"/>
      <c r="HT17" s="66"/>
      <c r="HU17" s="66"/>
      <c r="HV17" s="66"/>
      <c r="HW17" s="65">
        <f t="shared" ref="HW17" si="242">HU17+HS17+HQ17+HO17+HM17</f>
        <v>0</v>
      </c>
      <c r="HX17" s="65">
        <f t="shared" ref="HX17" si="243">HV17+HT17+HR17+HP17+HN17</f>
        <v>0</v>
      </c>
      <c r="HY17" s="65">
        <f t="shared" ref="HY17" si="244">SUM(HW17:HX17)</f>
        <v>0</v>
      </c>
      <c r="HZ17" s="66"/>
      <c r="IA17" s="66"/>
      <c r="IB17" s="66"/>
      <c r="IC17" s="66"/>
      <c r="ID17" s="66"/>
      <c r="IE17" s="66"/>
      <c r="IF17" s="66"/>
      <c r="IG17" s="66"/>
      <c r="IH17" s="66"/>
      <c r="II17" s="66"/>
      <c r="IJ17" s="66"/>
      <c r="IK17" s="66"/>
      <c r="IL17" s="66"/>
      <c r="IM17" s="66"/>
      <c r="IN17" s="66"/>
      <c r="IO17" s="66"/>
      <c r="IP17" s="65"/>
      <c r="IQ17" s="65"/>
      <c r="IR17" s="65">
        <f t="shared" si="68"/>
        <v>0</v>
      </c>
      <c r="IS17" s="65">
        <f t="shared" si="69"/>
        <v>0</v>
      </c>
      <c r="IT17" s="65">
        <f>SUM(IR17:IS17)</f>
        <v>0</v>
      </c>
      <c r="IU17" s="66"/>
      <c r="IV17" s="66"/>
      <c r="IW17" s="66"/>
      <c r="IX17" s="66"/>
      <c r="IY17" s="66"/>
      <c r="IZ17" s="66"/>
      <c r="JA17" s="66"/>
      <c r="JB17" s="66"/>
      <c r="JC17" s="65">
        <f>JA17+IY17+IW17+IU17</f>
        <v>0</v>
      </c>
      <c r="JD17" s="65">
        <f>JB17+IZ17+IX17+IV17</f>
        <v>0</v>
      </c>
      <c r="JE17" s="65">
        <f>SUM(JC17:JD17)</f>
        <v>0</v>
      </c>
      <c r="JF17" s="66"/>
      <c r="JG17" s="66"/>
      <c r="JH17" s="66"/>
      <c r="JI17" s="66"/>
      <c r="JJ17" s="65">
        <f>JI17+JH17</f>
        <v>0</v>
      </c>
      <c r="JK17" s="66"/>
      <c r="JL17" s="66"/>
      <c r="JM17" s="66"/>
      <c r="JN17" s="66"/>
      <c r="JO17" s="66"/>
      <c r="JP17" s="66"/>
      <c r="JQ17" s="66"/>
      <c r="JR17" s="66"/>
      <c r="JS17" s="66"/>
      <c r="JT17" s="66"/>
      <c r="JU17" s="66"/>
      <c r="JV17" s="66"/>
      <c r="JW17" s="66"/>
      <c r="JX17" s="66"/>
      <c r="JY17" s="66"/>
      <c r="JZ17" s="66"/>
      <c r="KA17" s="66"/>
      <c r="KB17" s="66"/>
      <c r="KC17" s="66"/>
      <c r="KD17" s="66"/>
      <c r="KE17" s="66"/>
      <c r="KF17" s="66"/>
      <c r="KG17" s="66"/>
      <c r="KH17" s="66"/>
      <c r="KI17" s="66"/>
      <c r="KJ17" s="66"/>
      <c r="KK17" s="66"/>
      <c r="KL17" s="66"/>
      <c r="KM17" s="66"/>
      <c r="KN17" s="66"/>
      <c r="KO17" s="66"/>
      <c r="KP17" s="66"/>
      <c r="KQ17" s="66"/>
      <c r="KR17" s="66"/>
      <c r="KS17" s="66"/>
      <c r="KT17" s="66"/>
      <c r="KU17" s="66"/>
      <c r="KV17" s="66"/>
      <c r="KW17" s="66"/>
      <c r="KX17" s="66"/>
      <c r="KY17" s="66"/>
    </row>
    <row r="18" spans="1:311" s="71" customFormat="1" ht="19.5" customHeight="1" x14ac:dyDescent="0.25">
      <c r="A18" s="65" t="s">
        <v>62</v>
      </c>
      <c r="B18" s="65" t="s">
        <v>190</v>
      </c>
      <c r="C18" s="66"/>
      <c r="D18" s="66">
        <v>1400728</v>
      </c>
      <c r="E18" s="65" t="s">
        <v>194</v>
      </c>
      <c r="F18" s="66" t="s">
        <v>190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>
        <v>1</v>
      </c>
      <c r="V18" s="66"/>
      <c r="W18" s="66"/>
      <c r="X18" s="66"/>
      <c r="Y18" s="66">
        <v>1</v>
      </c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5">
        <f t="shared" ref="AN18" si="245">AL18+AJ18+AH18+AF18+AD18+AB18+Z18+X18+V18</f>
        <v>0</v>
      </c>
      <c r="AO18" s="65">
        <f t="shared" ref="AO18" si="246">AM18+AK18+AI18+AG18+AE18+AC18+AA18+Y18+W18</f>
        <v>1</v>
      </c>
      <c r="AP18" s="65">
        <f t="shared" ref="AP18" si="247">AO18+AN18</f>
        <v>1</v>
      </c>
      <c r="AQ18" s="66"/>
      <c r="AR18" s="66"/>
      <c r="AS18" s="66"/>
      <c r="AT18" s="66"/>
      <c r="AU18" s="66"/>
      <c r="AV18" s="66">
        <v>2</v>
      </c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5">
        <f t="shared" si="24"/>
        <v>0</v>
      </c>
      <c r="BJ18" s="65">
        <f t="shared" si="25"/>
        <v>2</v>
      </c>
      <c r="BK18" s="65">
        <f t="shared" si="26"/>
        <v>2</v>
      </c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  <c r="CC18" s="66"/>
      <c r="CD18" s="65">
        <f t="shared" si="27"/>
        <v>0</v>
      </c>
      <c r="CE18" s="65">
        <f t="shared" si="28"/>
        <v>0</v>
      </c>
      <c r="CF18" s="65">
        <f t="shared" si="29"/>
        <v>0</v>
      </c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/>
      <c r="CR18" s="66"/>
      <c r="CS18" s="66"/>
      <c r="CT18" s="66"/>
      <c r="CU18" s="66"/>
      <c r="CV18" s="66"/>
      <c r="CW18" s="66"/>
      <c r="CX18" s="66"/>
      <c r="CY18" s="65">
        <f t="shared" si="30"/>
        <v>0</v>
      </c>
      <c r="CZ18" s="65">
        <f t="shared" si="31"/>
        <v>0</v>
      </c>
      <c r="DA18" s="65">
        <f t="shared" si="32"/>
        <v>0</v>
      </c>
      <c r="DB18" s="65">
        <f t="shared" si="33"/>
        <v>0</v>
      </c>
      <c r="DC18" s="65">
        <f t="shared" si="34"/>
        <v>3</v>
      </c>
      <c r="DD18" s="65">
        <f t="shared" si="35"/>
        <v>3</v>
      </c>
      <c r="DE18" s="66"/>
      <c r="DF18" s="66"/>
      <c r="DG18" s="66"/>
      <c r="DH18" s="66"/>
      <c r="DI18" s="66"/>
      <c r="DJ18" s="66"/>
      <c r="DK18" s="66"/>
      <c r="DL18" s="66"/>
      <c r="DM18" s="66"/>
      <c r="DN18" s="66"/>
      <c r="DO18" s="66"/>
      <c r="DP18" s="66"/>
      <c r="DQ18" s="65">
        <f t="shared" si="36"/>
        <v>0</v>
      </c>
      <c r="DR18" s="65">
        <f t="shared" si="37"/>
        <v>0</v>
      </c>
      <c r="DS18" s="65">
        <f t="shared" si="38"/>
        <v>0</v>
      </c>
      <c r="DT18" s="65">
        <f t="shared" si="39"/>
        <v>0</v>
      </c>
      <c r="DU18" s="66"/>
      <c r="DV18" s="66"/>
      <c r="DW18" s="66"/>
      <c r="DX18" s="66"/>
      <c r="DY18" s="66"/>
      <c r="DZ18" s="66"/>
      <c r="EA18" s="66"/>
      <c r="EB18" s="66"/>
      <c r="EC18" s="65">
        <f t="shared" si="40"/>
        <v>0</v>
      </c>
      <c r="ED18" s="65">
        <f t="shared" si="41"/>
        <v>0</v>
      </c>
      <c r="EE18" s="67">
        <f t="shared" si="42"/>
        <v>0</v>
      </c>
      <c r="EF18" s="68"/>
      <c r="EG18" s="66">
        <v>2</v>
      </c>
      <c r="EH18" s="66"/>
      <c r="EI18" s="66">
        <v>1</v>
      </c>
      <c r="EJ18" s="66"/>
      <c r="EK18" s="66"/>
      <c r="EL18" s="66"/>
      <c r="EM18" s="66"/>
      <c r="EN18" s="65">
        <f t="shared" si="43"/>
        <v>0</v>
      </c>
      <c r="EO18" s="65">
        <f t="shared" si="44"/>
        <v>3</v>
      </c>
      <c r="EP18" s="65">
        <f t="shared" si="45"/>
        <v>3</v>
      </c>
      <c r="EQ18" s="66"/>
      <c r="ER18" s="66">
        <v>9</v>
      </c>
      <c r="ES18" s="66"/>
      <c r="ET18" s="66">
        <v>1</v>
      </c>
      <c r="EU18" s="66"/>
      <c r="EV18" s="66"/>
      <c r="EW18" s="66"/>
      <c r="EX18" s="66"/>
      <c r="EY18" s="65">
        <f t="shared" si="46"/>
        <v>0</v>
      </c>
      <c r="EZ18" s="65">
        <f t="shared" si="47"/>
        <v>10</v>
      </c>
      <c r="FA18" s="67">
        <f t="shared" si="48"/>
        <v>10</v>
      </c>
      <c r="FB18" s="68"/>
      <c r="FC18" s="66"/>
      <c r="FD18" s="66"/>
      <c r="FE18" s="66"/>
      <c r="FF18" s="66"/>
      <c r="FG18" s="66"/>
      <c r="FH18" s="66"/>
      <c r="FI18" s="66"/>
      <c r="FJ18" s="65">
        <f t="shared" si="49"/>
        <v>0</v>
      </c>
      <c r="FK18" s="65">
        <f t="shared" si="50"/>
        <v>0</v>
      </c>
      <c r="FL18" s="65">
        <f t="shared" si="51"/>
        <v>0</v>
      </c>
      <c r="FM18" s="69"/>
      <c r="FN18" s="66"/>
      <c r="FO18" s="66"/>
      <c r="FP18" s="66"/>
      <c r="FQ18" s="66"/>
      <c r="FR18" s="66"/>
      <c r="FS18" s="66"/>
      <c r="FT18" s="66"/>
      <c r="FU18" s="65">
        <f t="shared" si="52"/>
        <v>0</v>
      </c>
      <c r="FV18" s="65">
        <f t="shared" si="53"/>
        <v>0</v>
      </c>
      <c r="FW18" s="70">
        <f t="shared" si="54"/>
        <v>0</v>
      </c>
      <c r="FX18" s="69"/>
      <c r="FY18" s="66"/>
      <c r="FZ18" s="66"/>
      <c r="GA18" s="66"/>
      <c r="GB18" s="66"/>
      <c r="GC18" s="66"/>
      <c r="GD18" s="66"/>
      <c r="GE18" s="66"/>
      <c r="GF18" s="65">
        <f t="shared" si="55"/>
        <v>0</v>
      </c>
      <c r="GG18" s="65">
        <f t="shared" si="56"/>
        <v>0</v>
      </c>
      <c r="GH18" s="65">
        <f t="shared" si="57"/>
        <v>0</v>
      </c>
      <c r="GI18" s="66"/>
      <c r="GJ18" s="66"/>
      <c r="GK18" s="65">
        <f t="shared" si="58"/>
        <v>0</v>
      </c>
      <c r="GL18" s="66"/>
      <c r="GM18" s="66"/>
      <c r="GN18" s="66"/>
      <c r="GO18" s="66"/>
      <c r="GP18" s="66"/>
      <c r="GQ18" s="66"/>
      <c r="GR18" s="66"/>
      <c r="GS18" s="66"/>
      <c r="GT18" s="66"/>
      <c r="GU18" s="66"/>
      <c r="GV18" s="66"/>
      <c r="GW18" s="65">
        <f t="shared" si="59"/>
        <v>0</v>
      </c>
      <c r="GX18" s="65">
        <f t="shared" si="60"/>
        <v>0</v>
      </c>
      <c r="GY18" s="65">
        <f t="shared" si="61"/>
        <v>0</v>
      </c>
      <c r="GZ18" s="66"/>
      <c r="HA18" s="66"/>
      <c r="HB18" s="66"/>
      <c r="HC18" s="66"/>
      <c r="HD18" s="66"/>
      <c r="HE18" s="66"/>
      <c r="HF18" s="66"/>
      <c r="HG18" s="66"/>
      <c r="HH18" s="66"/>
      <c r="HI18" s="66"/>
      <c r="HJ18" s="65">
        <f t="shared" si="62"/>
        <v>0</v>
      </c>
      <c r="HK18" s="65">
        <f t="shared" si="63"/>
        <v>0</v>
      </c>
      <c r="HL18" s="65">
        <f t="shared" si="64"/>
        <v>0</v>
      </c>
      <c r="HM18" s="66"/>
      <c r="HN18" s="66"/>
      <c r="HO18" s="66"/>
      <c r="HP18" s="66"/>
      <c r="HQ18" s="66"/>
      <c r="HR18" s="66"/>
      <c r="HS18" s="66"/>
      <c r="HT18" s="66"/>
      <c r="HU18" s="66"/>
      <c r="HV18" s="66"/>
      <c r="HW18" s="65">
        <f t="shared" ref="HW18" si="248">HU18+HS18+HQ18+HO18+HM18</f>
        <v>0</v>
      </c>
      <c r="HX18" s="65">
        <f t="shared" ref="HX18" si="249">HV18+HT18+HR18+HP18+HN18</f>
        <v>0</v>
      </c>
      <c r="HY18" s="65">
        <f t="shared" ref="HY18" si="250">SUM(HW18:HX18)</f>
        <v>0</v>
      </c>
      <c r="HZ18" s="66"/>
      <c r="IA18" s="66"/>
      <c r="IB18" s="66"/>
      <c r="IC18" s="66"/>
      <c r="ID18" s="66"/>
      <c r="IE18" s="66"/>
      <c r="IF18" s="66"/>
      <c r="IG18" s="66"/>
      <c r="IH18" s="66"/>
      <c r="II18" s="66"/>
      <c r="IJ18" s="66"/>
      <c r="IK18" s="66"/>
      <c r="IL18" s="66"/>
      <c r="IM18" s="66"/>
      <c r="IN18" s="66"/>
      <c r="IO18" s="66"/>
      <c r="IP18" s="65"/>
      <c r="IQ18" s="65"/>
      <c r="IR18" s="65">
        <f t="shared" si="68"/>
        <v>0</v>
      </c>
      <c r="IS18" s="65">
        <f t="shared" si="69"/>
        <v>0</v>
      </c>
      <c r="IT18" s="65">
        <f t="shared" si="70"/>
        <v>0</v>
      </c>
      <c r="IU18" s="66"/>
      <c r="IV18" s="66"/>
      <c r="IW18" s="66"/>
      <c r="IX18" s="66"/>
      <c r="IY18" s="66"/>
      <c r="IZ18" s="66"/>
      <c r="JA18" s="66"/>
      <c r="JB18" s="66"/>
      <c r="JC18" s="65">
        <f t="shared" si="71"/>
        <v>0</v>
      </c>
      <c r="JD18" s="65">
        <f t="shared" si="72"/>
        <v>0</v>
      </c>
      <c r="JE18" s="65">
        <f t="shared" si="73"/>
        <v>0</v>
      </c>
      <c r="JF18" s="66"/>
      <c r="JG18" s="66"/>
      <c r="JH18" s="66"/>
      <c r="JI18" s="66"/>
      <c r="JJ18" s="65">
        <f t="shared" si="74"/>
        <v>0</v>
      </c>
      <c r="JK18" s="66"/>
      <c r="JL18" s="66"/>
      <c r="JM18" s="66"/>
      <c r="JN18" s="66"/>
      <c r="JO18" s="66"/>
      <c r="JP18" s="66"/>
      <c r="JQ18" s="66"/>
      <c r="JR18" s="66"/>
      <c r="JS18" s="66"/>
      <c r="JT18" s="66"/>
      <c r="JU18" s="66"/>
      <c r="JV18" s="66"/>
      <c r="JW18" s="66"/>
      <c r="JX18" s="66"/>
      <c r="JY18" s="66"/>
      <c r="JZ18" s="66"/>
      <c r="KA18" s="66"/>
      <c r="KB18" s="66"/>
      <c r="KC18" s="66"/>
      <c r="KD18" s="66"/>
      <c r="KE18" s="66"/>
      <c r="KF18" s="66"/>
      <c r="KG18" s="66"/>
      <c r="KH18" s="66"/>
      <c r="KI18" s="66"/>
      <c r="KJ18" s="66"/>
      <c r="KK18" s="66"/>
      <c r="KL18" s="66"/>
      <c r="KM18" s="66"/>
      <c r="KN18" s="66"/>
      <c r="KO18" s="66"/>
      <c r="KP18" s="66"/>
      <c r="KQ18" s="66"/>
      <c r="KR18" s="66"/>
      <c r="KS18" s="66"/>
      <c r="KT18" s="66"/>
      <c r="KU18" s="66"/>
      <c r="KV18" s="66"/>
      <c r="KW18" s="66"/>
      <c r="KX18" s="66"/>
      <c r="KY18" s="66"/>
    </row>
    <row r="19" spans="1:311" s="58" customFormat="1" ht="19.5" customHeight="1" x14ac:dyDescent="0.25">
      <c r="A19" s="49" t="s">
        <v>195</v>
      </c>
      <c r="B19" s="49" t="s">
        <v>196</v>
      </c>
      <c r="C19" s="55"/>
      <c r="D19" s="55">
        <v>1400738</v>
      </c>
      <c r="E19" s="49" t="s">
        <v>197</v>
      </c>
      <c r="F19" s="55" t="s">
        <v>198</v>
      </c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>
        <v>1</v>
      </c>
      <c r="V19" s="55"/>
      <c r="W19" s="55">
        <v>3</v>
      </c>
      <c r="X19" s="55"/>
      <c r="Y19" s="55">
        <v>6</v>
      </c>
      <c r="Z19" s="55"/>
      <c r="AA19" s="55">
        <v>4</v>
      </c>
      <c r="AB19" s="55"/>
      <c r="AC19" s="55">
        <v>1</v>
      </c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65">
        <f t="shared" ref="AN19:AN21" si="251">AL19+AJ19+AH19+AF19+AD19+AB19+Z19+X19+V19</f>
        <v>0</v>
      </c>
      <c r="AO19" s="65">
        <f t="shared" ref="AO19:AO21" si="252">AM19+AK19+AI19+AG19+AE19+AC19+AA19+Y19+W19</f>
        <v>14</v>
      </c>
      <c r="AP19" s="65">
        <f t="shared" ref="AP19:AP21" si="253">AO19+AN19</f>
        <v>14</v>
      </c>
      <c r="AQ19" s="55"/>
      <c r="AR19" s="55"/>
      <c r="AS19" s="55"/>
      <c r="AT19" s="55">
        <v>3</v>
      </c>
      <c r="AU19" s="55"/>
      <c r="AV19" s="55">
        <v>1</v>
      </c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65">
        <f t="shared" ref="BI19:BI21" si="254">BG19+BE19+BC19+BA19+AY19+AW19+AU19+AS19+AQ19</f>
        <v>0</v>
      </c>
      <c r="BJ19" s="65">
        <f t="shared" ref="BJ19:BJ21" si="255">BH19+BF19+BD19+BB19+AZ19+AX19+AV19+AT19+AR19</f>
        <v>4</v>
      </c>
      <c r="BK19" s="65">
        <f t="shared" ref="BK19:BK21" si="256">BJ19+BI19</f>
        <v>4</v>
      </c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49">
        <v>0</v>
      </c>
      <c r="CE19" s="49">
        <v>0</v>
      </c>
      <c r="CF19" s="49">
        <v>0</v>
      </c>
      <c r="CG19" s="55"/>
      <c r="CH19" s="55"/>
      <c r="CI19" s="55"/>
      <c r="CJ19" s="55"/>
      <c r="CK19" s="55"/>
      <c r="CL19" s="55"/>
      <c r="CM19" s="55"/>
      <c r="CN19" s="55"/>
      <c r="CO19" s="55"/>
      <c r="CP19" s="55"/>
      <c r="CQ19" s="55"/>
      <c r="CR19" s="55"/>
      <c r="CS19" s="55"/>
      <c r="CT19" s="55"/>
      <c r="CU19" s="55"/>
      <c r="CV19" s="55"/>
      <c r="CW19" s="55"/>
      <c r="CX19" s="55"/>
      <c r="CY19" s="49">
        <v>0</v>
      </c>
      <c r="CZ19" s="49">
        <v>0</v>
      </c>
      <c r="DA19" s="49">
        <v>0</v>
      </c>
      <c r="DB19" s="49">
        <v>0</v>
      </c>
      <c r="DC19" s="49">
        <v>18</v>
      </c>
      <c r="DD19" s="49">
        <v>18</v>
      </c>
      <c r="DE19" s="55"/>
      <c r="DF19" s="55"/>
      <c r="DG19" s="55"/>
      <c r="DH19" s="55"/>
      <c r="DI19" s="55"/>
      <c r="DJ19" s="55"/>
      <c r="DK19" s="55"/>
      <c r="DL19" s="55"/>
      <c r="DM19" s="55"/>
      <c r="DN19" s="55"/>
      <c r="DO19" s="55"/>
      <c r="DP19" s="55"/>
      <c r="DQ19" s="49">
        <v>0</v>
      </c>
      <c r="DR19" s="49">
        <v>0</v>
      </c>
      <c r="DS19" s="49">
        <v>0</v>
      </c>
      <c r="DT19" s="49">
        <v>0</v>
      </c>
      <c r="DU19" s="55"/>
      <c r="DV19" s="55">
        <v>5</v>
      </c>
      <c r="DW19" s="55"/>
      <c r="DX19" s="55"/>
      <c r="DY19" s="55"/>
      <c r="DZ19" s="55"/>
      <c r="EA19" s="55"/>
      <c r="EB19" s="55"/>
      <c r="EC19" s="49">
        <v>0</v>
      </c>
      <c r="ED19" s="49">
        <v>5</v>
      </c>
      <c r="EE19" s="50">
        <v>5</v>
      </c>
      <c r="EF19" s="56"/>
      <c r="EG19" s="55">
        <v>5</v>
      </c>
      <c r="EH19" s="55"/>
      <c r="EI19" s="55">
        <v>6</v>
      </c>
      <c r="EJ19" s="55"/>
      <c r="EK19" s="55"/>
      <c r="EL19" s="55"/>
      <c r="EM19" s="55"/>
      <c r="EN19" s="49">
        <v>0</v>
      </c>
      <c r="EO19" s="49">
        <v>11</v>
      </c>
      <c r="EP19" s="49">
        <v>11</v>
      </c>
      <c r="EQ19" s="55"/>
      <c r="ER19" s="55">
        <v>9</v>
      </c>
      <c r="ES19" s="55"/>
      <c r="ET19" s="55"/>
      <c r="EU19" s="55"/>
      <c r="EV19" s="55"/>
      <c r="EW19" s="55"/>
      <c r="EX19" s="55"/>
      <c r="EY19" s="49">
        <v>0</v>
      </c>
      <c r="EZ19" s="49">
        <v>9</v>
      </c>
      <c r="FA19" s="50">
        <v>9</v>
      </c>
      <c r="FB19" s="56"/>
      <c r="FC19" s="55"/>
      <c r="FD19" s="55"/>
      <c r="FE19" s="55"/>
      <c r="FF19" s="55"/>
      <c r="FG19" s="55"/>
      <c r="FH19" s="55"/>
      <c r="FI19" s="55"/>
      <c r="FJ19" s="49">
        <v>0</v>
      </c>
      <c r="FK19" s="49">
        <v>0</v>
      </c>
      <c r="FL19" s="49">
        <v>0</v>
      </c>
      <c r="FM19" s="57"/>
      <c r="FN19" s="55"/>
      <c r="FO19" s="55"/>
      <c r="FP19" s="55"/>
      <c r="FQ19" s="55"/>
      <c r="FR19" s="55"/>
      <c r="FS19" s="55"/>
      <c r="FT19" s="55"/>
      <c r="FU19" s="49">
        <v>0</v>
      </c>
      <c r="FV19" s="49">
        <v>0</v>
      </c>
      <c r="FW19" s="53">
        <v>0</v>
      </c>
      <c r="FX19" s="57"/>
      <c r="FY19" s="55"/>
      <c r="FZ19" s="55"/>
      <c r="GA19" s="55"/>
      <c r="GB19" s="55"/>
      <c r="GC19" s="55"/>
      <c r="GD19" s="55"/>
      <c r="GE19" s="55"/>
      <c r="GF19" s="49">
        <v>0</v>
      </c>
      <c r="GG19" s="49">
        <v>0</v>
      </c>
      <c r="GH19" s="49">
        <v>0</v>
      </c>
      <c r="GI19" s="55"/>
      <c r="GJ19" s="55"/>
      <c r="GK19" s="49">
        <v>0</v>
      </c>
      <c r="GL19" s="55"/>
      <c r="GM19" s="55"/>
      <c r="GN19" s="55"/>
      <c r="GO19" s="55"/>
      <c r="GP19" s="55"/>
      <c r="GQ19" s="55"/>
      <c r="GR19" s="55"/>
      <c r="GS19" s="55"/>
      <c r="GT19" s="55"/>
      <c r="GU19" s="55"/>
      <c r="GV19" s="55"/>
      <c r="GW19" s="49">
        <v>0</v>
      </c>
      <c r="GX19" s="49">
        <v>0</v>
      </c>
      <c r="GY19" s="49">
        <v>0</v>
      </c>
      <c r="GZ19" s="55"/>
      <c r="HA19" s="55"/>
      <c r="HB19" s="55"/>
      <c r="HC19" s="55"/>
      <c r="HD19" s="55"/>
      <c r="HE19" s="55"/>
      <c r="HF19" s="55"/>
      <c r="HG19" s="55"/>
      <c r="HH19" s="55"/>
      <c r="HI19" s="55"/>
      <c r="HJ19" s="49">
        <v>0</v>
      </c>
      <c r="HK19" s="49">
        <v>0</v>
      </c>
      <c r="HL19" s="49">
        <v>0</v>
      </c>
      <c r="HM19" s="55"/>
      <c r="HN19" s="55"/>
      <c r="HO19" s="55"/>
      <c r="HP19" s="55"/>
      <c r="HQ19" s="55"/>
      <c r="HR19" s="55"/>
      <c r="HS19" s="55"/>
      <c r="HT19" s="55"/>
      <c r="HU19" s="55"/>
      <c r="HV19" s="55"/>
      <c r="HW19" s="49">
        <v>0</v>
      </c>
      <c r="HX19" s="49">
        <v>0</v>
      </c>
      <c r="HY19" s="49">
        <v>0</v>
      </c>
      <c r="HZ19" s="55"/>
      <c r="IA19" s="55"/>
      <c r="IB19" s="55"/>
      <c r="IC19" s="55"/>
      <c r="ID19" s="55"/>
      <c r="IE19" s="55"/>
      <c r="IF19" s="55"/>
      <c r="IG19" s="55"/>
      <c r="IH19" s="55"/>
      <c r="II19" s="55"/>
      <c r="IJ19" s="55"/>
      <c r="IK19" s="55"/>
      <c r="IL19" s="55"/>
      <c r="IM19" s="55"/>
      <c r="IN19" s="55"/>
      <c r="IO19" s="55"/>
      <c r="IP19" s="49"/>
      <c r="IQ19" s="49"/>
      <c r="IR19" s="49">
        <v>0</v>
      </c>
      <c r="IS19" s="49">
        <v>0</v>
      </c>
      <c r="IT19" s="49">
        <v>0</v>
      </c>
      <c r="IU19" s="55"/>
      <c r="IV19" s="55"/>
      <c r="IW19" s="55"/>
      <c r="IX19" s="55"/>
      <c r="IY19" s="55"/>
      <c r="IZ19" s="55"/>
      <c r="JA19" s="55"/>
      <c r="JB19" s="55"/>
      <c r="JC19" s="49">
        <v>0</v>
      </c>
      <c r="JD19" s="49">
        <v>0</v>
      </c>
      <c r="JE19" s="49">
        <v>0</v>
      </c>
      <c r="JF19" s="55"/>
      <c r="JG19" s="55"/>
      <c r="JH19" s="55"/>
      <c r="JI19" s="55"/>
      <c r="JJ19" s="49">
        <v>0</v>
      </c>
      <c r="JK19" s="55"/>
      <c r="JL19" s="55"/>
      <c r="JM19" s="55"/>
      <c r="JN19" s="55"/>
      <c r="JO19" s="55"/>
      <c r="JP19" s="55"/>
      <c r="JQ19" s="55"/>
      <c r="JR19" s="55"/>
      <c r="JS19" s="55"/>
      <c r="JT19" s="55"/>
      <c r="JU19" s="55"/>
      <c r="JV19" s="55"/>
      <c r="JW19" s="55"/>
      <c r="JX19" s="55"/>
      <c r="JY19" s="55"/>
      <c r="JZ19" s="55"/>
      <c r="KA19" s="55"/>
      <c r="KB19" s="55"/>
      <c r="KC19" s="55"/>
      <c r="KD19" s="55"/>
      <c r="KE19" s="55"/>
      <c r="KF19" s="55"/>
      <c r="KG19" s="55"/>
      <c r="KH19" s="55"/>
      <c r="KI19" s="55"/>
      <c r="KJ19" s="55"/>
      <c r="KK19" s="55"/>
      <c r="KL19" s="55"/>
      <c r="KM19" s="55"/>
      <c r="KN19" s="55"/>
      <c r="KO19" s="55"/>
      <c r="KP19" s="55"/>
      <c r="KQ19" s="55"/>
      <c r="KR19" s="55"/>
      <c r="KS19" s="55"/>
      <c r="KT19" s="55"/>
      <c r="KU19" s="55"/>
      <c r="KV19" s="55"/>
      <c r="KW19" s="55"/>
      <c r="KX19" s="55"/>
      <c r="KY19" s="55"/>
    </row>
    <row r="20" spans="1:311" s="58" customFormat="1" ht="19.5" customHeight="1" x14ac:dyDescent="0.25">
      <c r="A20" s="49" t="s">
        <v>195</v>
      </c>
      <c r="B20" s="49" t="s">
        <v>196</v>
      </c>
      <c r="C20" s="55"/>
      <c r="D20" s="55"/>
      <c r="E20" s="49" t="s">
        <v>210</v>
      </c>
      <c r="F20" s="55" t="s">
        <v>211</v>
      </c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>
        <v>1</v>
      </c>
      <c r="V20" s="55">
        <v>8</v>
      </c>
      <c r="W20" s="55"/>
      <c r="X20" s="55">
        <v>4</v>
      </c>
      <c r="Y20" s="55"/>
      <c r="Z20" s="55"/>
      <c r="AA20" s="55"/>
      <c r="AB20" s="55">
        <v>1</v>
      </c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65">
        <f t="shared" si="251"/>
        <v>13</v>
      </c>
      <c r="AO20" s="65">
        <f t="shared" si="252"/>
        <v>0</v>
      </c>
      <c r="AP20" s="65">
        <f t="shared" si="253"/>
        <v>13</v>
      </c>
      <c r="AQ20" s="55"/>
      <c r="AR20" s="55"/>
      <c r="AS20" s="55">
        <v>2</v>
      </c>
      <c r="AT20" s="55"/>
      <c r="AU20" s="55">
        <v>3</v>
      </c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65">
        <f t="shared" si="254"/>
        <v>5</v>
      </c>
      <c r="BJ20" s="65">
        <f t="shared" si="255"/>
        <v>0</v>
      </c>
      <c r="BK20" s="65">
        <f t="shared" si="256"/>
        <v>5</v>
      </c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49">
        <v>0</v>
      </c>
      <c r="CE20" s="49">
        <v>0</v>
      </c>
      <c r="CF20" s="49">
        <v>0</v>
      </c>
      <c r="CG20" s="55"/>
      <c r="CH20" s="55"/>
      <c r="CI20" s="55"/>
      <c r="CJ20" s="55"/>
      <c r="CK20" s="55"/>
      <c r="CL20" s="55"/>
      <c r="CM20" s="55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5"/>
      <c r="CY20" s="49">
        <v>0</v>
      </c>
      <c r="CZ20" s="49">
        <v>0</v>
      </c>
      <c r="DA20" s="49">
        <v>0</v>
      </c>
      <c r="DB20" s="49">
        <v>18</v>
      </c>
      <c r="DC20" s="49">
        <v>0</v>
      </c>
      <c r="DD20" s="49">
        <v>18</v>
      </c>
      <c r="DE20" s="55">
        <v>1</v>
      </c>
      <c r="DF20" s="55"/>
      <c r="DG20" s="55"/>
      <c r="DH20" s="55">
        <v>1</v>
      </c>
      <c r="DI20" s="55"/>
      <c r="DJ20" s="55"/>
      <c r="DK20" s="55"/>
      <c r="DL20" s="55"/>
      <c r="DM20" s="55"/>
      <c r="DN20" s="55"/>
      <c r="DO20" s="55"/>
      <c r="DP20" s="55"/>
      <c r="DQ20" s="49">
        <v>2</v>
      </c>
      <c r="DR20" s="49">
        <v>0</v>
      </c>
      <c r="DS20" s="49">
        <v>0</v>
      </c>
      <c r="DT20" s="49">
        <v>2</v>
      </c>
      <c r="DU20" s="55"/>
      <c r="DV20" s="55"/>
      <c r="DW20" s="55"/>
      <c r="DX20" s="55"/>
      <c r="DY20" s="55"/>
      <c r="DZ20" s="55"/>
      <c r="EA20" s="55"/>
      <c r="EB20" s="55"/>
      <c r="EC20" s="49">
        <v>0</v>
      </c>
      <c r="ED20" s="49">
        <v>0</v>
      </c>
      <c r="EE20" s="50">
        <v>0</v>
      </c>
      <c r="EF20" s="56">
        <v>5</v>
      </c>
      <c r="EG20" s="55"/>
      <c r="EH20" s="55"/>
      <c r="EI20" s="55"/>
      <c r="EJ20" s="55"/>
      <c r="EK20" s="55"/>
      <c r="EL20" s="55"/>
      <c r="EM20" s="55"/>
      <c r="EN20" s="49">
        <v>5</v>
      </c>
      <c r="EO20" s="49">
        <v>0</v>
      </c>
      <c r="EP20" s="49">
        <v>5</v>
      </c>
      <c r="EQ20" s="55">
        <v>4</v>
      </c>
      <c r="ER20" s="55"/>
      <c r="ES20" s="55"/>
      <c r="ET20" s="55"/>
      <c r="EU20" s="55"/>
      <c r="EV20" s="55"/>
      <c r="EW20" s="55"/>
      <c r="EX20" s="55"/>
      <c r="EY20" s="49">
        <v>4</v>
      </c>
      <c r="EZ20" s="49">
        <v>0</v>
      </c>
      <c r="FA20" s="50">
        <v>4</v>
      </c>
      <c r="FB20" s="56"/>
      <c r="FC20" s="55"/>
      <c r="FD20" s="55"/>
      <c r="FE20" s="55"/>
      <c r="FF20" s="55"/>
      <c r="FG20" s="55"/>
      <c r="FH20" s="55"/>
      <c r="FI20" s="55"/>
      <c r="FJ20" s="49">
        <v>0</v>
      </c>
      <c r="FK20" s="49">
        <v>0</v>
      </c>
      <c r="FL20" s="49">
        <v>0</v>
      </c>
      <c r="FM20" s="57"/>
      <c r="FN20" s="55"/>
      <c r="FO20" s="55"/>
      <c r="FP20" s="55"/>
      <c r="FQ20" s="55"/>
      <c r="FR20" s="55"/>
      <c r="FS20" s="55"/>
      <c r="FT20" s="55"/>
      <c r="FU20" s="49">
        <v>0</v>
      </c>
      <c r="FV20" s="49">
        <v>0</v>
      </c>
      <c r="FW20" s="53">
        <v>0</v>
      </c>
      <c r="FX20" s="57"/>
      <c r="FY20" s="55"/>
      <c r="FZ20" s="55"/>
      <c r="GA20" s="55"/>
      <c r="GB20" s="55"/>
      <c r="GC20" s="55"/>
      <c r="GD20" s="55"/>
      <c r="GE20" s="55"/>
      <c r="GF20" s="49">
        <v>0</v>
      </c>
      <c r="GG20" s="49">
        <v>0</v>
      </c>
      <c r="GH20" s="49">
        <v>0</v>
      </c>
      <c r="GI20" s="55"/>
      <c r="GJ20" s="55"/>
      <c r="GK20" s="49">
        <v>0</v>
      </c>
      <c r="GL20" s="55"/>
      <c r="GM20" s="55"/>
      <c r="GN20" s="55"/>
      <c r="GO20" s="55"/>
      <c r="GP20" s="55"/>
      <c r="GQ20" s="55"/>
      <c r="GR20" s="55"/>
      <c r="GS20" s="55"/>
      <c r="GT20" s="55"/>
      <c r="GU20" s="55"/>
      <c r="GV20" s="55"/>
      <c r="GW20" s="49">
        <v>0</v>
      </c>
      <c r="GX20" s="49">
        <v>0</v>
      </c>
      <c r="GY20" s="49">
        <v>0</v>
      </c>
      <c r="GZ20" s="55"/>
      <c r="HA20" s="55"/>
      <c r="HB20" s="55"/>
      <c r="HC20" s="55"/>
      <c r="HD20" s="55"/>
      <c r="HE20" s="55"/>
      <c r="HF20" s="55"/>
      <c r="HG20" s="55"/>
      <c r="HH20" s="55"/>
      <c r="HI20" s="55"/>
      <c r="HJ20" s="49">
        <v>0</v>
      </c>
      <c r="HK20" s="49">
        <v>0</v>
      </c>
      <c r="HL20" s="49">
        <v>0</v>
      </c>
      <c r="HM20" s="55"/>
      <c r="HN20" s="55"/>
      <c r="HO20" s="55"/>
      <c r="HP20" s="55"/>
      <c r="HQ20" s="55"/>
      <c r="HR20" s="55"/>
      <c r="HS20" s="55"/>
      <c r="HT20" s="55"/>
      <c r="HU20" s="55"/>
      <c r="HV20" s="55"/>
      <c r="HW20" s="49">
        <v>0</v>
      </c>
      <c r="HX20" s="49">
        <v>0</v>
      </c>
      <c r="HY20" s="49">
        <v>0</v>
      </c>
      <c r="HZ20" s="55"/>
      <c r="IA20" s="55"/>
      <c r="IB20" s="55"/>
      <c r="IC20" s="55"/>
      <c r="ID20" s="55"/>
      <c r="IE20" s="55"/>
      <c r="IF20" s="55"/>
      <c r="IG20" s="55"/>
      <c r="IH20" s="55"/>
      <c r="II20" s="55"/>
      <c r="IJ20" s="55"/>
      <c r="IK20" s="55"/>
      <c r="IL20" s="55"/>
      <c r="IM20" s="55"/>
      <c r="IN20" s="55"/>
      <c r="IO20" s="55"/>
      <c r="IP20" s="49"/>
      <c r="IQ20" s="49"/>
      <c r="IR20" s="49">
        <v>0</v>
      </c>
      <c r="IS20" s="49">
        <v>0</v>
      </c>
      <c r="IT20" s="49">
        <v>0</v>
      </c>
      <c r="IU20" s="55"/>
      <c r="IV20" s="55"/>
      <c r="IW20" s="55"/>
      <c r="IX20" s="55"/>
      <c r="IY20" s="55"/>
      <c r="IZ20" s="55"/>
      <c r="JA20" s="55"/>
      <c r="JB20" s="55"/>
      <c r="JC20" s="49">
        <v>0</v>
      </c>
      <c r="JD20" s="49">
        <v>0</v>
      </c>
      <c r="JE20" s="49">
        <v>0</v>
      </c>
      <c r="JF20" s="55"/>
      <c r="JG20" s="55"/>
      <c r="JH20" s="55"/>
      <c r="JI20" s="55"/>
      <c r="JJ20" s="49">
        <v>0</v>
      </c>
      <c r="JK20" s="55"/>
      <c r="JL20" s="55"/>
      <c r="JM20" s="55"/>
      <c r="JN20" s="55"/>
      <c r="JO20" s="55"/>
      <c r="JP20" s="55"/>
      <c r="JQ20" s="55"/>
      <c r="JR20" s="55"/>
      <c r="JS20" s="55"/>
      <c r="JT20" s="55"/>
      <c r="JU20" s="55"/>
      <c r="JV20" s="55"/>
      <c r="JW20" s="55"/>
      <c r="JX20" s="55"/>
      <c r="JY20" s="55"/>
      <c r="JZ20" s="55"/>
      <c r="KA20" s="55"/>
      <c r="KB20" s="55"/>
      <c r="KC20" s="55"/>
      <c r="KD20" s="55"/>
      <c r="KE20" s="55"/>
      <c r="KF20" s="55"/>
      <c r="KG20" s="55"/>
      <c r="KH20" s="55"/>
      <c r="KI20" s="55"/>
      <c r="KJ20" s="55"/>
      <c r="KK20" s="55"/>
      <c r="KL20" s="55"/>
      <c r="KM20" s="55"/>
      <c r="KN20" s="55"/>
      <c r="KO20" s="55"/>
      <c r="KP20" s="55"/>
      <c r="KQ20" s="55"/>
      <c r="KR20" s="55"/>
      <c r="KS20" s="55"/>
      <c r="KT20" s="55"/>
      <c r="KU20" s="55"/>
      <c r="KV20" s="55"/>
      <c r="KW20" s="55"/>
      <c r="KX20" s="55"/>
      <c r="KY20" s="55"/>
    </row>
    <row r="21" spans="1:311" s="58" customFormat="1" ht="19.5" customHeight="1" x14ac:dyDescent="0.25">
      <c r="A21" s="49" t="s">
        <v>195</v>
      </c>
      <c r="B21" s="49" t="s">
        <v>196</v>
      </c>
      <c r="C21" s="55"/>
      <c r="D21" s="55"/>
      <c r="E21" s="49" t="s">
        <v>199</v>
      </c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>
        <v>1</v>
      </c>
      <c r="V21" s="55"/>
      <c r="W21" s="55">
        <v>5</v>
      </c>
      <c r="X21" s="55"/>
      <c r="Y21" s="55">
        <v>4</v>
      </c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65">
        <f t="shared" si="251"/>
        <v>0</v>
      </c>
      <c r="AO21" s="65">
        <f t="shared" si="252"/>
        <v>9</v>
      </c>
      <c r="AP21" s="65">
        <f t="shared" si="253"/>
        <v>9</v>
      </c>
      <c r="AQ21" s="55"/>
      <c r="AR21" s="55"/>
      <c r="AS21" s="55"/>
      <c r="AT21" s="55">
        <v>2</v>
      </c>
      <c r="AU21" s="55"/>
      <c r="AV21" s="55">
        <v>1</v>
      </c>
      <c r="AW21" s="55"/>
      <c r="AX21" s="55">
        <v>1</v>
      </c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65">
        <f t="shared" si="254"/>
        <v>0</v>
      </c>
      <c r="BJ21" s="65">
        <f t="shared" si="255"/>
        <v>4</v>
      </c>
      <c r="BK21" s="65">
        <f t="shared" si="256"/>
        <v>4</v>
      </c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49">
        <v>0</v>
      </c>
      <c r="CE21" s="49">
        <v>0</v>
      </c>
      <c r="CF21" s="49">
        <v>0</v>
      </c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49">
        <v>0</v>
      </c>
      <c r="CZ21" s="49">
        <v>0</v>
      </c>
      <c r="DA21" s="49">
        <v>0</v>
      </c>
      <c r="DB21" s="49">
        <v>0</v>
      </c>
      <c r="DC21" s="49">
        <v>13</v>
      </c>
      <c r="DD21" s="49">
        <v>13</v>
      </c>
      <c r="DE21" s="55"/>
      <c r="DF21" s="55">
        <v>1</v>
      </c>
      <c r="DG21" s="55"/>
      <c r="DH21" s="55"/>
      <c r="DI21" s="55">
        <v>1</v>
      </c>
      <c r="DJ21" s="55"/>
      <c r="DK21" s="55"/>
      <c r="DL21" s="55"/>
      <c r="DM21" s="55"/>
      <c r="DN21" s="55"/>
      <c r="DO21" s="55"/>
      <c r="DP21" s="55"/>
      <c r="DQ21" s="49">
        <v>0</v>
      </c>
      <c r="DR21" s="49">
        <v>2</v>
      </c>
      <c r="DS21" s="49">
        <v>0</v>
      </c>
      <c r="DT21" s="49">
        <v>2</v>
      </c>
      <c r="DU21" s="55"/>
      <c r="DV21" s="55">
        <v>2</v>
      </c>
      <c r="DW21" s="55"/>
      <c r="DX21" s="55"/>
      <c r="DY21" s="55"/>
      <c r="DZ21" s="55"/>
      <c r="EA21" s="55"/>
      <c r="EB21" s="55"/>
      <c r="EC21" s="49">
        <v>0</v>
      </c>
      <c r="ED21" s="49">
        <v>2</v>
      </c>
      <c r="EE21" s="50">
        <v>2</v>
      </c>
      <c r="EF21" s="56"/>
      <c r="EG21" s="55">
        <v>5</v>
      </c>
      <c r="EH21" s="55"/>
      <c r="EI21" s="55">
        <v>9</v>
      </c>
      <c r="EJ21" s="55"/>
      <c r="EK21" s="55"/>
      <c r="EL21" s="55"/>
      <c r="EM21" s="55"/>
      <c r="EN21" s="49">
        <v>0</v>
      </c>
      <c r="EO21" s="49">
        <v>14</v>
      </c>
      <c r="EP21" s="49">
        <v>14</v>
      </c>
      <c r="EQ21" s="55"/>
      <c r="ER21" s="55">
        <v>1</v>
      </c>
      <c r="ES21" s="55"/>
      <c r="ET21" s="55">
        <v>1</v>
      </c>
      <c r="EU21" s="55"/>
      <c r="EV21" s="55"/>
      <c r="EW21" s="55"/>
      <c r="EX21" s="55"/>
      <c r="EY21" s="49">
        <v>0</v>
      </c>
      <c r="EZ21" s="49">
        <v>2</v>
      </c>
      <c r="FA21" s="50">
        <v>2</v>
      </c>
      <c r="FB21" s="56"/>
      <c r="FC21" s="55">
        <v>8</v>
      </c>
      <c r="FD21" s="55"/>
      <c r="FE21" s="55">
        <v>3</v>
      </c>
      <c r="FF21" s="55"/>
      <c r="FG21" s="55"/>
      <c r="FH21" s="55"/>
      <c r="FI21" s="55"/>
      <c r="FJ21" s="49">
        <v>0</v>
      </c>
      <c r="FK21" s="49">
        <v>11</v>
      </c>
      <c r="FL21" s="49">
        <v>11</v>
      </c>
      <c r="FM21" s="57"/>
      <c r="FN21" s="55"/>
      <c r="FO21" s="55"/>
      <c r="FP21" s="55"/>
      <c r="FQ21" s="55"/>
      <c r="FR21" s="55"/>
      <c r="FS21" s="55"/>
      <c r="FT21" s="55"/>
      <c r="FU21" s="49">
        <v>0</v>
      </c>
      <c r="FV21" s="49">
        <v>0</v>
      </c>
      <c r="FW21" s="53">
        <v>0</v>
      </c>
      <c r="FX21" s="57"/>
      <c r="FY21" s="55"/>
      <c r="FZ21" s="55"/>
      <c r="GA21" s="55"/>
      <c r="GB21" s="55"/>
      <c r="GC21" s="55"/>
      <c r="GD21" s="55"/>
      <c r="GE21" s="55"/>
      <c r="GF21" s="49">
        <v>0</v>
      </c>
      <c r="GG21" s="49">
        <v>0</v>
      </c>
      <c r="GH21" s="49">
        <v>0</v>
      </c>
      <c r="GI21" s="55"/>
      <c r="GJ21" s="55"/>
      <c r="GK21" s="49">
        <v>0</v>
      </c>
      <c r="GL21" s="55"/>
      <c r="GM21" s="55"/>
      <c r="GN21" s="55"/>
      <c r="GO21" s="55"/>
      <c r="GP21" s="55"/>
      <c r="GQ21" s="55"/>
      <c r="GR21" s="55"/>
      <c r="GS21" s="55"/>
      <c r="GT21" s="55"/>
      <c r="GU21" s="55"/>
      <c r="GV21" s="55"/>
      <c r="GW21" s="49">
        <v>0</v>
      </c>
      <c r="GX21" s="49">
        <v>0</v>
      </c>
      <c r="GY21" s="49">
        <v>0</v>
      </c>
      <c r="GZ21" s="55"/>
      <c r="HA21" s="55"/>
      <c r="HB21" s="55"/>
      <c r="HC21" s="55"/>
      <c r="HD21" s="55"/>
      <c r="HE21" s="55"/>
      <c r="HF21" s="55"/>
      <c r="HG21" s="55"/>
      <c r="HH21" s="55"/>
      <c r="HI21" s="55"/>
      <c r="HJ21" s="49">
        <v>0</v>
      </c>
      <c r="HK21" s="49">
        <v>0</v>
      </c>
      <c r="HL21" s="49">
        <v>0</v>
      </c>
      <c r="HM21" s="55"/>
      <c r="HN21" s="55"/>
      <c r="HO21" s="55"/>
      <c r="HP21" s="55"/>
      <c r="HQ21" s="55"/>
      <c r="HR21" s="55"/>
      <c r="HS21" s="55"/>
      <c r="HT21" s="55"/>
      <c r="HU21" s="55"/>
      <c r="HV21" s="55"/>
      <c r="HW21" s="49">
        <v>0</v>
      </c>
      <c r="HX21" s="49">
        <v>0</v>
      </c>
      <c r="HY21" s="49">
        <v>0</v>
      </c>
      <c r="HZ21" s="55"/>
      <c r="IA21" s="55"/>
      <c r="IB21" s="55"/>
      <c r="IC21" s="55"/>
      <c r="ID21" s="55"/>
      <c r="IE21" s="55"/>
      <c r="IF21" s="55"/>
      <c r="IG21" s="55"/>
      <c r="IH21" s="55"/>
      <c r="II21" s="55"/>
      <c r="IJ21" s="55"/>
      <c r="IK21" s="55"/>
      <c r="IL21" s="55"/>
      <c r="IM21" s="55"/>
      <c r="IN21" s="55"/>
      <c r="IO21" s="55"/>
      <c r="IP21" s="49"/>
      <c r="IQ21" s="49"/>
      <c r="IR21" s="49">
        <v>0</v>
      </c>
      <c r="IS21" s="49">
        <v>0</v>
      </c>
      <c r="IT21" s="49">
        <v>0</v>
      </c>
      <c r="IU21" s="55"/>
      <c r="IV21" s="55"/>
      <c r="IW21" s="55"/>
      <c r="IX21" s="55"/>
      <c r="IY21" s="55"/>
      <c r="IZ21" s="55"/>
      <c r="JA21" s="55"/>
      <c r="JB21" s="55"/>
      <c r="JC21" s="49">
        <v>0</v>
      </c>
      <c r="JD21" s="49">
        <v>0</v>
      </c>
      <c r="JE21" s="49">
        <v>0</v>
      </c>
      <c r="JF21" s="55"/>
      <c r="JG21" s="55"/>
      <c r="JH21" s="55"/>
      <c r="JI21" s="55"/>
      <c r="JJ21" s="49">
        <v>0</v>
      </c>
      <c r="JK21" s="55"/>
      <c r="JL21" s="55"/>
      <c r="JM21" s="55"/>
      <c r="JN21" s="55"/>
      <c r="JO21" s="55"/>
      <c r="JP21" s="55"/>
      <c r="JQ21" s="55"/>
      <c r="JR21" s="55"/>
      <c r="JS21" s="55"/>
      <c r="JT21" s="55"/>
      <c r="JU21" s="55"/>
      <c r="JV21" s="55"/>
      <c r="JW21" s="55"/>
      <c r="JX21" s="55"/>
      <c r="JY21" s="55"/>
      <c r="JZ21" s="55"/>
      <c r="KA21" s="55"/>
      <c r="KB21" s="55"/>
      <c r="KC21" s="55"/>
      <c r="KD21" s="55"/>
      <c r="KE21" s="55"/>
      <c r="KF21" s="55"/>
      <c r="KG21" s="55"/>
      <c r="KH21" s="55"/>
      <c r="KI21" s="55"/>
      <c r="KJ21" s="55"/>
      <c r="KK21" s="55"/>
      <c r="KL21" s="55"/>
      <c r="KM21" s="55"/>
      <c r="KN21" s="55"/>
      <c r="KO21" s="55"/>
      <c r="KP21" s="55"/>
      <c r="KQ21" s="55"/>
      <c r="KR21" s="55"/>
      <c r="KS21" s="55"/>
      <c r="KT21" s="55"/>
      <c r="KU21" s="55"/>
      <c r="KV21" s="55"/>
      <c r="KW21" s="55"/>
      <c r="KX21" s="55"/>
      <c r="KY21" s="55"/>
    </row>
    <row r="22" spans="1:311" s="61" customFormat="1" ht="26.25" customHeight="1" x14ac:dyDescent="0.25">
      <c r="A22" s="59"/>
      <c r="B22" s="137" t="s">
        <v>64</v>
      </c>
      <c r="C22" s="138"/>
      <c r="D22" s="138"/>
      <c r="E22" s="139"/>
      <c r="F22" s="60"/>
      <c r="G22" s="59">
        <f t="shared" ref="G22:BR22" si="257">SUM(G6:G21)</f>
        <v>1</v>
      </c>
      <c r="H22" s="59">
        <f t="shared" si="257"/>
        <v>0</v>
      </c>
      <c r="I22" s="59">
        <f t="shared" si="257"/>
        <v>0</v>
      </c>
      <c r="J22" s="59">
        <f t="shared" si="257"/>
        <v>1</v>
      </c>
      <c r="K22" s="59">
        <f t="shared" si="257"/>
        <v>0</v>
      </c>
      <c r="L22" s="59">
        <f t="shared" si="257"/>
        <v>0</v>
      </c>
      <c r="M22" s="59">
        <f t="shared" si="257"/>
        <v>1</v>
      </c>
      <c r="N22" s="59">
        <f t="shared" si="257"/>
        <v>0</v>
      </c>
      <c r="O22" s="59">
        <f t="shared" si="257"/>
        <v>0</v>
      </c>
      <c r="P22" s="59">
        <f t="shared" si="257"/>
        <v>0</v>
      </c>
      <c r="Q22" s="59">
        <f t="shared" si="257"/>
        <v>1</v>
      </c>
      <c r="R22" s="59">
        <f t="shared" si="257"/>
        <v>1</v>
      </c>
      <c r="S22" s="59">
        <f t="shared" si="257"/>
        <v>0</v>
      </c>
      <c r="T22" s="59">
        <f t="shared" si="257"/>
        <v>1</v>
      </c>
      <c r="U22" s="59">
        <f t="shared" si="257"/>
        <v>15</v>
      </c>
      <c r="V22" s="59">
        <f t="shared" si="257"/>
        <v>25</v>
      </c>
      <c r="W22" s="59">
        <f t="shared" si="257"/>
        <v>23</v>
      </c>
      <c r="X22" s="59">
        <f t="shared" si="257"/>
        <v>48</v>
      </c>
      <c r="Y22" s="59">
        <f t="shared" si="257"/>
        <v>20</v>
      </c>
      <c r="Z22" s="59">
        <f t="shared" si="257"/>
        <v>8</v>
      </c>
      <c r="AA22" s="59">
        <f t="shared" si="257"/>
        <v>13</v>
      </c>
      <c r="AB22" s="59">
        <f t="shared" si="257"/>
        <v>4</v>
      </c>
      <c r="AC22" s="59">
        <f t="shared" si="257"/>
        <v>2</v>
      </c>
      <c r="AD22" s="59">
        <f t="shared" si="257"/>
        <v>1</v>
      </c>
      <c r="AE22" s="59">
        <f t="shared" si="257"/>
        <v>0</v>
      </c>
      <c r="AF22" s="59">
        <f t="shared" si="257"/>
        <v>0</v>
      </c>
      <c r="AG22" s="59">
        <f t="shared" si="257"/>
        <v>0</v>
      </c>
      <c r="AH22" s="59">
        <f t="shared" si="257"/>
        <v>0</v>
      </c>
      <c r="AI22" s="59">
        <f t="shared" si="257"/>
        <v>0</v>
      </c>
      <c r="AJ22" s="59">
        <f t="shared" si="257"/>
        <v>0</v>
      </c>
      <c r="AK22" s="59">
        <f t="shared" si="257"/>
        <v>0</v>
      </c>
      <c r="AL22" s="59">
        <f t="shared" si="257"/>
        <v>0</v>
      </c>
      <c r="AM22" s="59">
        <f t="shared" si="257"/>
        <v>0</v>
      </c>
      <c r="AN22" s="59">
        <f t="shared" si="257"/>
        <v>86</v>
      </c>
      <c r="AO22" s="59">
        <f t="shared" si="257"/>
        <v>58</v>
      </c>
      <c r="AP22" s="59">
        <f t="shared" si="257"/>
        <v>144</v>
      </c>
      <c r="AQ22" s="59">
        <f t="shared" si="257"/>
        <v>1</v>
      </c>
      <c r="AR22" s="59">
        <f t="shared" si="257"/>
        <v>0</v>
      </c>
      <c r="AS22" s="59">
        <f t="shared" si="257"/>
        <v>17</v>
      </c>
      <c r="AT22" s="59">
        <f t="shared" si="257"/>
        <v>10</v>
      </c>
      <c r="AU22" s="59">
        <f t="shared" si="257"/>
        <v>37</v>
      </c>
      <c r="AV22" s="59">
        <f t="shared" si="257"/>
        <v>17</v>
      </c>
      <c r="AW22" s="59">
        <f t="shared" si="257"/>
        <v>10</v>
      </c>
      <c r="AX22" s="59">
        <f t="shared" si="257"/>
        <v>8</v>
      </c>
      <c r="AY22" s="59">
        <f t="shared" si="257"/>
        <v>1</v>
      </c>
      <c r="AZ22" s="59">
        <f t="shared" si="257"/>
        <v>0</v>
      </c>
      <c r="BA22" s="59">
        <f t="shared" si="257"/>
        <v>1</v>
      </c>
      <c r="BB22" s="59">
        <f t="shared" si="257"/>
        <v>0</v>
      </c>
      <c r="BC22" s="59">
        <f t="shared" si="257"/>
        <v>0</v>
      </c>
      <c r="BD22" s="59">
        <f t="shared" si="257"/>
        <v>0</v>
      </c>
      <c r="BE22" s="59">
        <f t="shared" si="257"/>
        <v>0</v>
      </c>
      <c r="BF22" s="59">
        <f t="shared" si="257"/>
        <v>0</v>
      </c>
      <c r="BG22" s="59">
        <f t="shared" si="257"/>
        <v>0</v>
      </c>
      <c r="BH22" s="59">
        <f t="shared" si="257"/>
        <v>0</v>
      </c>
      <c r="BI22" s="59">
        <f t="shared" si="257"/>
        <v>67</v>
      </c>
      <c r="BJ22" s="59">
        <f t="shared" si="257"/>
        <v>35</v>
      </c>
      <c r="BK22" s="59">
        <f t="shared" si="257"/>
        <v>102</v>
      </c>
      <c r="BL22" s="59">
        <f t="shared" si="257"/>
        <v>0</v>
      </c>
      <c r="BM22" s="59">
        <f t="shared" si="257"/>
        <v>0</v>
      </c>
      <c r="BN22" s="59">
        <f t="shared" si="257"/>
        <v>3</v>
      </c>
      <c r="BO22" s="59">
        <f t="shared" si="257"/>
        <v>0</v>
      </c>
      <c r="BP22" s="59">
        <f t="shared" si="257"/>
        <v>8</v>
      </c>
      <c r="BQ22" s="59">
        <f t="shared" si="257"/>
        <v>0</v>
      </c>
      <c r="BR22" s="59">
        <f t="shared" si="257"/>
        <v>19</v>
      </c>
      <c r="BS22" s="59">
        <f t="shared" ref="BS22:ED22" si="258">SUM(BS6:BS21)</f>
        <v>6</v>
      </c>
      <c r="BT22" s="59">
        <f t="shared" si="258"/>
        <v>10</v>
      </c>
      <c r="BU22" s="59">
        <f t="shared" si="258"/>
        <v>0</v>
      </c>
      <c r="BV22" s="59">
        <f t="shared" si="258"/>
        <v>1</v>
      </c>
      <c r="BW22" s="59">
        <f t="shared" si="258"/>
        <v>0</v>
      </c>
      <c r="BX22" s="59">
        <f t="shared" si="258"/>
        <v>0</v>
      </c>
      <c r="BY22" s="59">
        <f t="shared" si="258"/>
        <v>0</v>
      </c>
      <c r="BZ22" s="59">
        <f t="shared" si="258"/>
        <v>0</v>
      </c>
      <c r="CA22" s="59">
        <f t="shared" si="258"/>
        <v>0</v>
      </c>
      <c r="CB22" s="59">
        <f t="shared" si="258"/>
        <v>0</v>
      </c>
      <c r="CC22" s="59">
        <f t="shared" si="258"/>
        <v>0</v>
      </c>
      <c r="CD22" s="59">
        <f t="shared" si="258"/>
        <v>41</v>
      </c>
      <c r="CE22" s="59">
        <f t="shared" si="258"/>
        <v>6</v>
      </c>
      <c r="CF22" s="59">
        <f t="shared" si="258"/>
        <v>47</v>
      </c>
      <c r="CG22" s="59">
        <f t="shared" si="258"/>
        <v>0</v>
      </c>
      <c r="CH22" s="59">
        <f t="shared" si="258"/>
        <v>0</v>
      </c>
      <c r="CI22" s="59">
        <f t="shared" si="258"/>
        <v>0</v>
      </c>
      <c r="CJ22" s="59">
        <f t="shared" si="258"/>
        <v>0</v>
      </c>
      <c r="CK22" s="59">
        <f t="shared" si="258"/>
        <v>0</v>
      </c>
      <c r="CL22" s="59">
        <f t="shared" si="258"/>
        <v>0</v>
      </c>
      <c r="CM22" s="59">
        <f t="shared" si="258"/>
        <v>12</v>
      </c>
      <c r="CN22" s="59">
        <f t="shared" si="258"/>
        <v>0</v>
      </c>
      <c r="CO22" s="59">
        <f t="shared" si="258"/>
        <v>4</v>
      </c>
      <c r="CP22" s="59">
        <f t="shared" si="258"/>
        <v>0</v>
      </c>
      <c r="CQ22" s="59">
        <f t="shared" si="258"/>
        <v>6</v>
      </c>
      <c r="CR22" s="59">
        <f t="shared" si="258"/>
        <v>0</v>
      </c>
      <c r="CS22" s="59">
        <f t="shared" si="258"/>
        <v>0</v>
      </c>
      <c r="CT22" s="59">
        <f t="shared" si="258"/>
        <v>0</v>
      </c>
      <c r="CU22" s="59">
        <f t="shared" si="258"/>
        <v>0</v>
      </c>
      <c r="CV22" s="59">
        <f t="shared" si="258"/>
        <v>0</v>
      </c>
      <c r="CW22" s="59">
        <f t="shared" si="258"/>
        <v>0</v>
      </c>
      <c r="CX22" s="59">
        <f t="shared" si="258"/>
        <v>0</v>
      </c>
      <c r="CY22" s="59">
        <f t="shared" si="258"/>
        <v>22</v>
      </c>
      <c r="CZ22" s="59">
        <f t="shared" si="258"/>
        <v>0</v>
      </c>
      <c r="DA22" s="59">
        <f t="shared" si="258"/>
        <v>22</v>
      </c>
      <c r="DB22" s="59">
        <f t="shared" si="258"/>
        <v>216</v>
      </c>
      <c r="DC22" s="59">
        <f t="shared" si="258"/>
        <v>99</v>
      </c>
      <c r="DD22" s="59">
        <f t="shared" si="258"/>
        <v>315</v>
      </c>
      <c r="DE22" s="59">
        <f t="shared" si="258"/>
        <v>7</v>
      </c>
      <c r="DF22" s="59">
        <f t="shared" si="258"/>
        <v>4</v>
      </c>
      <c r="DG22" s="59">
        <f t="shared" si="258"/>
        <v>0</v>
      </c>
      <c r="DH22" s="59">
        <f t="shared" si="258"/>
        <v>6</v>
      </c>
      <c r="DI22" s="59">
        <f t="shared" si="258"/>
        <v>4</v>
      </c>
      <c r="DJ22" s="59">
        <f t="shared" si="258"/>
        <v>0</v>
      </c>
      <c r="DK22" s="59">
        <f t="shared" si="258"/>
        <v>3</v>
      </c>
      <c r="DL22" s="59">
        <f t="shared" si="258"/>
        <v>1</v>
      </c>
      <c r="DM22" s="59">
        <f t="shared" si="258"/>
        <v>0</v>
      </c>
      <c r="DN22" s="59">
        <f t="shared" si="258"/>
        <v>2</v>
      </c>
      <c r="DO22" s="59">
        <f t="shared" si="258"/>
        <v>0</v>
      </c>
      <c r="DP22" s="59">
        <f t="shared" si="258"/>
        <v>0</v>
      </c>
      <c r="DQ22" s="59">
        <f t="shared" si="258"/>
        <v>18</v>
      </c>
      <c r="DR22" s="59">
        <f t="shared" si="258"/>
        <v>9</v>
      </c>
      <c r="DS22" s="59">
        <f t="shared" si="258"/>
        <v>0</v>
      </c>
      <c r="DT22" s="59">
        <f t="shared" si="258"/>
        <v>27</v>
      </c>
      <c r="DU22" s="59">
        <f t="shared" si="258"/>
        <v>12</v>
      </c>
      <c r="DV22" s="59">
        <f t="shared" si="258"/>
        <v>15</v>
      </c>
      <c r="DW22" s="59">
        <f t="shared" si="258"/>
        <v>7</v>
      </c>
      <c r="DX22" s="59">
        <f t="shared" si="258"/>
        <v>3</v>
      </c>
      <c r="DY22" s="59">
        <f t="shared" si="258"/>
        <v>6</v>
      </c>
      <c r="DZ22" s="59">
        <f t="shared" si="258"/>
        <v>0</v>
      </c>
      <c r="EA22" s="59">
        <f t="shared" si="258"/>
        <v>2</v>
      </c>
      <c r="EB22" s="59">
        <f t="shared" si="258"/>
        <v>0</v>
      </c>
      <c r="EC22" s="59">
        <f t="shared" si="258"/>
        <v>27</v>
      </c>
      <c r="ED22" s="59">
        <f t="shared" si="258"/>
        <v>18</v>
      </c>
      <c r="EE22" s="59">
        <f t="shared" ref="EE22:GP22" si="259">SUM(EE6:EE21)</f>
        <v>45</v>
      </c>
      <c r="EF22" s="59">
        <f t="shared" si="259"/>
        <v>59</v>
      </c>
      <c r="EG22" s="59">
        <f t="shared" si="259"/>
        <v>48</v>
      </c>
      <c r="EH22" s="59">
        <f t="shared" si="259"/>
        <v>45</v>
      </c>
      <c r="EI22" s="59">
        <f t="shared" si="259"/>
        <v>41</v>
      </c>
      <c r="EJ22" s="59">
        <f t="shared" si="259"/>
        <v>38</v>
      </c>
      <c r="EK22" s="59">
        <f t="shared" si="259"/>
        <v>0</v>
      </c>
      <c r="EL22" s="59">
        <f t="shared" si="259"/>
        <v>13</v>
      </c>
      <c r="EM22" s="59">
        <f t="shared" si="259"/>
        <v>0</v>
      </c>
      <c r="EN22" s="59">
        <f t="shared" si="259"/>
        <v>155</v>
      </c>
      <c r="EO22" s="59">
        <f t="shared" si="259"/>
        <v>89</v>
      </c>
      <c r="EP22" s="59">
        <f t="shared" si="259"/>
        <v>244</v>
      </c>
      <c r="EQ22" s="59">
        <f t="shared" si="259"/>
        <v>49</v>
      </c>
      <c r="ER22" s="59">
        <f t="shared" si="259"/>
        <v>49</v>
      </c>
      <c r="ES22" s="59">
        <f t="shared" si="259"/>
        <v>30</v>
      </c>
      <c r="ET22" s="59">
        <f t="shared" si="259"/>
        <v>13</v>
      </c>
      <c r="EU22" s="59">
        <f t="shared" si="259"/>
        <v>22</v>
      </c>
      <c r="EV22" s="59">
        <f t="shared" si="259"/>
        <v>0</v>
      </c>
      <c r="EW22" s="59">
        <f t="shared" si="259"/>
        <v>11</v>
      </c>
      <c r="EX22" s="59">
        <f t="shared" si="259"/>
        <v>0</v>
      </c>
      <c r="EY22" s="59">
        <f t="shared" si="259"/>
        <v>112</v>
      </c>
      <c r="EZ22" s="59">
        <f t="shared" si="259"/>
        <v>62</v>
      </c>
      <c r="FA22" s="59">
        <f t="shared" si="259"/>
        <v>174</v>
      </c>
      <c r="FB22" s="59">
        <f t="shared" si="259"/>
        <v>0</v>
      </c>
      <c r="FC22" s="59">
        <f t="shared" si="259"/>
        <v>11</v>
      </c>
      <c r="FD22" s="59">
        <f t="shared" si="259"/>
        <v>0</v>
      </c>
      <c r="FE22" s="59">
        <f t="shared" si="259"/>
        <v>3</v>
      </c>
      <c r="FF22" s="59">
        <f t="shared" si="259"/>
        <v>0</v>
      </c>
      <c r="FG22" s="59">
        <f t="shared" si="259"/>
        <v>0</v>
      </c>
      <c r="FH22" s="59">
        <f t="shared" si="259"/>
        <v>0</v>
      </c>
      <c r="FI22" s="59">
        <f t="shared" si="259"/>
        <v>0</v>
      </c>
      <c r="FJ22" s="59">
        <f t="shared" si="259"/>
        <v>0</v>
      </c>
      <c r="FK22" s="59">
        <f t="shared" si="259"/>
        <v>14</v>
      </c>
      <c r="FL22" s="59">
        <f t="shared" si="259"/>
        <v>14</v>
      </c>
      <c r="FM22" s="59">
        <f t="shared" si="259"/>
        <v>0</v>
      </c>
      <c r="FN22" s="59">
        <f t="shared" si="259"/>
        <v>0</v>
      </c>
      <c r="FO22" s="59">
        <f t="shared" si="259"/>
        <v>0</v>
      </c>
      <c r="FP22" s="59">
        <f t="shared" si="259"/>
        <v>0</v>
      </c>
      <c r="FQ22" s="59">
        <f t="shared" si="259"/>
        <v>0</v>
      </c>
      <c r="FR22" s="59">
        <f t="shared" si="259"/>
        <v>0</v>
      </c>
      <c r="FS22" s="59">
        <f t="shared" si="259"/>
        <v>0</v>
      </c>
      <c r="FT22" s="59">
        <f t="shared" si="259"/>
        <v>0</v>
      </c>
      <c r="FU22" s="59">
        <f t="shared" si="259"/>
        <v>0</v>
      </c>
      <c r="FV22" s="59">
        <f t="shared" si="259"/>
        <v>0</v>
      </c>
      <c r="FW22" s="59">
        <f t="shared" si="259"/>
        <v>0</v>
      </c>
      <c r="FX22" s="59">
        <f t="shared" si="259"/>
        <v>1</v>
      </c>
      <c r="FY22" s="59">
        <f t="shared" si="259"/>
        <v>0</v>
      </c>
      <c r="FZ22" s="59">
        <f t="shared" si="259"/>
        <v>0</v>
      </c>
      <c r="GA22" s="59">
        <f t="shared" si="259"/>
        <v>0</v>
      </c>
      <c r="GB22" s="59">
        <f t="shared" si="259"/>
        <v>9</v>
      </c>
      <c r="GC22" s="59">
        <f t="shared" si="259"/>
        <v>0</v>
      </c>
      <c r="GD22" s="59">
        <f t="shared" si="259"/>
        <v>0</v>
      </c>
      <c r="GE22" s="59">
        <f t="shared" si="259"/>
        <v>0</v>
      </c>
      <c r="GF22" s="59">
        <f t="shared" si="259"/>
        <v>10</v>
      </c>
      <c r="GG22" s="59">
        <f t="shared" si="259"/>
        <v>0</v>
      </c>
      <c r="GH22" s="59">
        <f t="shared" si="259"/>
        <v>10</v>
      </c>
      <c r="GI22" s="59">
        <f t="shared" si="259"/>
        <v>0</v>
      </c>
      <c r="GJ22" s="59">
        <f t="shared" si="259"/>
        <v>0</v>
      </c>
      <c r="GK22" s="59">
        <f t="shared" si="259"/>
        <v>0</v>
      </c>
      <c r="GL22" s="59">
        <f t="shared" si="259"/>
        <v>0</v>
      </c>
      <c r="GM22" s="59">
        <f t="shared" si="259"/>
        <v>0</v>
      </c>
      <c r="GN22" s="59">
        <f t="shared" si="259"/>
        <v>0</v>
      </c>
      <c r="GO22" s="59">
        <f t="shared" si="259"/>
        <v>0</v>
      </c>
      <c r="GP22" s="59">
        <f t="shared" si="259"/>
        <v>1</v>
      </c>
      <c r="GQ22" s="59">
        <f t="shared" ref="GQ22:HG22" si="260">SUM(GQ6:GQ21)</f>
        <v>0</v>
      </c>
      <c r="GR22" s="59">
        <f t="shared" si="260"/>
        <v>0</v>
      </c>
      <c r="GS22" s="59">
        <f t="shared" si="260"/>
        <v>0</v>
      </c>
      <c r="GT22" s="59">
        <f t="shared" si="260"/>
        <v>0</v>
      </c>
      <c r="GU22" s="59">
        <f t="shared" si="260"/>
        <v>0</v>
      </c>
      <c r="GV22" s="59">
        <f t="shared" si="260"/>
        <v>0</v>
      </c>
      <c r="GW22" s="59">
        <f t="shared" si="260"/>
        <v>1</v>
      </c>
      <c r="GX22" s="59">
        <f t="shared" si="260"/>
        <v>0</v>
      </c>
      <c r="GY22" s="59">
        <f t="shared" si="260"/>
        <v>1</v>
      </c>
      <c r="GZ22" s="59">
        <f t="shared" si="260"/>
        <v>0</v>
      </c>
      <c r="HA22" s="59">
        <f t="shared" si="260"/>
        <v>0</v>
      </c>
      <c r="HB22" s="59">
        <f t="shared" si="260"/>
        <v>1</v>
      </c>
      <c r="HC22" s="59">
        <f t="shared" si="260"/>
        <v>0</v>
      </c>
      <c r="HD22" s="59">
        <f t="shared" si="260"/>
        <v>2</v>
      </c>
      <c r="HE22" s="59">
        <f t="shared" si="260"/>
        <v>0</v>
      </c>
      <c r="HF22" s="59">
        <f t="shared" si="260"/>
        <v>7</v>
      </c>
      <c r="HG22" s="59">
        <f t="shared" si="260"/>
        <v>0</v>
      </c>
      <c r="HH22" s="59"/>
      <c r="HI22" s="59"/>
      <c r="HJ22" s="59">
        <f t="shared" ref="HJ22:IO22" si="261">SUM(HJ6:HJ21)</f>
        <v>10</v>
      </c>
      <c r="HK22" s="59">
        <f t="shared" si="261"/>
        <v>0</v>
      </c>
      <c r="HL22" s="59">
        <f t="shared" si="261"/>
        <v>10</v>
      </c>
      <c r="HM22" s="59">
        <f t="shared" si="261"/>
        <v>0</v>
      </c>
      <c r="HN22" s="59">
        <f t="shared" si="261"/>
        <v>0</v>
      </c>
      <c r="HO22" s="59">
        <f t="shared" si="261"/>
        <v>2</v>
      </c>
      <c r="HP22" s="59">
        <f t="shared" si="261"/>
        <v>0</v>
      </c>
      <c r="HQ22" s="59">
        <f t="shared" si="261"/>
        <v>3</v>
      </c>
      <c r="HR22" s="59">
        <f t="shared" si="261"/>
        <v>0</v>
      </c>
      <c r="HS22" s="59">
        <f t="shared" si="261"/>
        <v>5</v>
      </c>
      <c r="HT22" s="59">
        <f t="shared" si="261"/>
        <v>0</v>
      </c>
      <c r="HU22" s="59">
        <f t="shared" si="261"/>
        <v>0</v>
      </c>
      <c r="HV22" s="59">
        <f t="shared" si="261"/>
        <v>0</v>
      </c>
      <c r="HW22" s="59">
        <f t="shared" si="261"/>
        <v>10</v>
      </c>
      <c r="HX22" s="59">
        <f t="shared" si="261"/>
        <v>0</v>
      </c>
      <c r="HY22" s="59">
        <f t="shared" si="261"/>
        <v>10</v>
      </c>
      <c r="HZ22" s="59">
        <f t="shared" si="261"/>
        <v>9</v>
      </c>
      <c r="IA22" s="59">
        <f t="shared" si="261"/>
        <v>0</v>
      </c>
      <c r="IB22" s="59">
        <f t="shared" si="261"/>
        <v>0</v>
      </c>
      <c r="IC22" s="59">
        <f t="shared" si="261"/>
        <v>0</v>
      </c>
      <c r="ID22" s="59">
        <f t="shared" si="261"/>
        <v>0</v>
      </c>
      <c r="IE22" s="59">
        <f t="shared" si="261"/>
        <v>0</v>
      </c>
      <c r="IF22" s="59">
        <f t="shared" si="261"/>
        <v>0</v>
      </c>
      <c r="IG22" s="59">
        <f t="shared" si="261"/>
        <v>0</v>
      </c>
      <c r="IH22" s="59">
        <f t="shared" si="261"/>
        <v>1</v>
      </c>
      <c r="II22" s="59">
        <f t="shared" si="261"/>
        <v>0</v>
      </c>
      <c r="IJ22" s="59">
        <f t="shared" si="261"/>
        <v>0</v>
      </c>
      <c r="IK22" s="59">
        <f t="shared" si="261"/>
        <v>0</v>
      </c>
      <c r="IL22" s="59">
        <f t="shared" si="261"/>
        <v>0</v>
      </c>
      <c r="IM22" s="59">
        <f t="shared" si="261"/>
        <v>0</v>
      </c>
      <c r="IN22" s="59">
        <f t="shared" si="261"/>
        <v>0</v>
      </c>
      <c r="IO22" s="59">
        <f t="shared" si="261"/>
        <v>0</v>
      </c>
      <c r="IP22" s="59">
        <f t="shared" ref="IP22:JU22" si="262">SUM(IP6:IP21)</f>
        <v>0</v>
      </c>
      <c r="IQ22" s="59">
        <f t="shared" si="262"/>
        <v>0</v>
      </c>
      <c r="IR22" s="59">
        <f t="shared" si="262"/>
        <v>10</v>
      </c>
      <c r="IS22" s="59">
        <f t="shared" si="262"/>
        <v>0</v>
      </c>
      <c r="IT22" s="59">
        <f t="shared" si="262"/>
        <v>10</v>
      </c>
      <c r="IU22" s="59">
        <f t="shared" si="262"/>
        <v>0</v>
      </c>
      <c r="IV22" s="59">
        <f t="shared" si="262"/>
        <v>0</v>
      </c>
      <c r="IW22" s="59">
        <f t="shared" si="262"/>
        <v>10</v>
      </c>
      <c r="IX22" s="59">
        <f t="shared" si="262"/>
        <v>0</v>
      </c>
      <c r="IY22" s="59">
        <f t="shared" si="262"/>
        <v>0</v>
      </c>
      <c r="IZ22" s="59">
        <f t="shared" si="262"/>
        <v>0</v>
      </c>
      <c r="JA22" s="59">
        <f t="shared" si="262"/>
        <v>0</v>
      </c>
      <c r="JB22" s="59">
        <f t="shared" si="262"/>
        <v>0</v>
      </c>
      <c r="JC22" s="59">
        <f t="shared" si="262"/>
        <v>10</v>
      </c>
      <c r="JD22" s="59">
        <f t="shared" si="262"/>
        <v>0</v>
      </c>
      <c r="JE22" s="59">
        <f t="shared" si="262"/>
        <v>10</v>
      </c>
      <c r="JF22" s="59">
        <f t="shared" si="262"/>
        <v>3</v>
      </c>
      <c r="JG22" s="59">
        <f t="shared" si="262"/>
        <v>0</v>
      </c>
      <c r="JH22" s="59">
        <f t="shared" si="262"/>
        <v>3</v>
      </c>
      <c r="JI22" s="59">
        <f t="shared" si="262"/>
        <v>0</v>
      </c>
      <c r="JJ22" s="59">
        <f t="shared" si="262"/>
        <v>3</v>
      </c>
      <c r="JK22" s="59">
        <f t="shared" si="262"/>
        <v>0</v>
      </c>
      <c r="JL22" s="59">
        <f t="shared" si="262"/>
        <v>1</v>
      </c>
      <c r="JM22" s="59">
        <f t="shared" si="262"/>
        <v>0</v>
      </c>
      <c r="JN22" s="59">
        <f t="shared" si="262"/>
        <v>1</v>
      </c>
      <c r="JO22" s="59">
        <f t="shared" si="262"/>
        <v>0</v>
      </c>
      <c r="JP22" s="59">
        <f t="shared" si="262"/>
        <v>1</v>
      </c>
      <c r="JQ22" s="59">
        <f t="shared" si="262"/>
        <v>0</v>
      </c>
      <c r="JR22" s="59">
        <f t="shared" si="262"/>
        <v>1</v>
      </c>
      <c r="JS22" s="59">
        <f t="shared" si="262"/>
        <v>0</v>
      </c>
      <c r="JT22" s="59">
        <f t="shared" si="262"/>
        <v>1</v>
      </c>
      <c r="JU22" s="59">
        <f t="shared" si="262"/>
        <v>0</v>
      </c>
      <c r="JV22" s="59">
        <f t="shared" ref="JV22:KY22" si="263">SUM(JV6:JV21)</f>
        <v>1</v>
      </c>
      <c r="JW22" s="59">
        <f t="shared" si="263"/>
        <v>0</v>
      </c>
      <c r="JX22" s="59">
        <f t="shared" si="263"/>
        <v>0</v>
      </c>
      <c r="JY22" s="59">
        <f t="shared" si="263"/>
        <v>0</v>
      </c>
      <c r="JZ22" s="59">
        <f t="shared" si="263"/>
        <v>0</v>
      </c>
      <c r="KA22" s="59">
        <f t="shared" si="263"/>
        <v>0</v>
      </c>
      <c r="KB22" s="59">
        <f t="shared" si="263"/>
        <v>0</v>
      </c>
      <c r="KC22" s="59">
        <f t="shared" si="263"/>
        <v>0</v>
      </c>
      <c r="KD22" s="59">
        <f t="shared" si="263"/>
        <v>0</v>
      </c>
      <c r="KE22" s="59">
        <f t="shared" si="263"/>
        <v>0</v>
      </c>
      <c r="KF22" s="59">
        <f t="shared" si="263"/>
        <v>0</v>
      </c>
      <c r="KG22" s="59">
        <f t="shared" si="263"/>
        <v>0</v>
      </c>
      <c r="KH22" s="59">
        <f t="shared" si="263"/>
        <v>0</v>
      </c>
      <c r="KI22" s="59">
        <f t="shared" si="263"/>
        <v>1</v>
      </c>
      <c r="KJ22" s="59">
        <f t="shared" si="263"/>
        <v>0</v>
      </c>
      <c r="KK22" s="59">
        <f t="shared" si="263"/>
        <v>0</v>
      </c>
      <c r="KL22" s="59">
        <f t="shared" si="263"/>
        <v>0</v>
      </c>
      <c r="KM22" s="59">
        <f t="shared" si="263"/>
        <v>0</v>
      </c>
      <c r="KN22" s="59">
        <f t="shared" si="263"/>
        <v>6</v>
      </c>
      <c r="KO22" s="59">
        <f t="shared" si="263"/>
        <v>12</v>
      </c>
      <c r="KP22" s="59">
        <f t="shared" si="263"/>
        <v>1</v>
      </c>
      <c r="KQ22" s="59">
        <f t="shared" si="263"/>
        <v>0</v>
      </c>
      <c r="KR22" s="59">
        <f t="shared" si="263"/>
        <v>1</v>
      </c>
      <c r="KS22" s="59">
        <f t="shared" si="263"/>
        <v>2</v>
      </c>
      <c r="KT22" s="59">
        <f t="shared" si="263"/>
        <v>0</v>
      </c>
      <c r="KU22" s="59">
        <f t="shared" si="263"/>
        <v>0</v>
      </c>
      <c r="KV22" s="59">
        <f t="shared" si="263"/>
        <v>0</v>
      </c>
      <c r="KW22" s="59">
        <f t="shared" si="263"/>
        <v>1</v>
      </c>
      <c r="KX22" s="59">
        <f t="shared" si="263"/>
        <v>0</v>
      </c>
      <c r="KY22" s="59">
        <f t="shared" si="263"/>
        <v>1</v>
      </c>
    </row>
  </sheetData>
  <autoFilter ref="A5:KY22"/>
  <mergeCells count="159">
    <mergeCell ref="DW4:DX4"/>
    <mergeCell ref="DY4:DZ4"/>
    <mergeCell ref="EA4:EB4"/>
    <mergeCell ref="DU2:EE3"/>
    <mergeCell ref="EC4:EE4"/>
    <mergeCell ref="DU4:DV4"/>
    <mergeCell ref="GF4:GH4"/>
    <mergeCell ref="EQ2:FA3"/>
    <mergeCell ref="EQ4:ER4"/>
    <mergeCell ref="ES4:ET4"/>
    <mergeCell ref="EU4:EV4"/>
    <mergeCell ref="EW4:EX4"/>
    <mergeCell ref="EY4:FA4"/>
    <mergeCell ref="EF2:EP3"/>
    <mergeCell ref="EF4:EG4"/>
    <mergeCell ref="EH4:EI4"/>
    <mergeCell ref="EJ4:EK4"/>
    <mergeCell ref="EL4:EM4"/>
    <mergeCell ref="EN4:EP4"/>
    <mergeCell ref="BT4:BU4"/>
    <mergeCell ref="BV4:BW4"/>
    <mergeCell ref="BX4:BY4"/>
    <mergeCell ref="BZ4:CA4"/>
    <mergeCell ref="CB4:CC4"/>
    <mergeCell ref="CD4:CF4"/>
    <mergeCell ref="CG4:CH4"/>
    <mergeCell ref="AF4:AG4"/>
    <mergeCell ref="X4:Y4"/>
    <mergeCell ref="Z4:AA4"/>
    <mergeCell ref="AB4:AC4"/>
    <mergeCell ref="AQ4:AR4"/>
    <mergeCell ref="AS4:AT4"/>
    <mergeCell ref="AU4:AV4"/>
    <mergeCell ref="J2:K4"/>
    <mergeCell ref="R2:S4"/>
    <mergeCell ref="P2:Q4"/>
    <mergeCell ref="L2:O4"/>
    <mergeCell ref="T3:U4"/>
    <mergeCell ref="V1:AP3"/>
    <mergeCell ref="AD4:AE4"/>
    <mergeCell ref="V4:W4"/>
    <mergeCell ref="AN4:AP4"/>
    <mergeCell ref="FM4:FN4"/>
    <mergeCell ref="FO4:FP4"/>
    <mergeCell ref="FQ4:FR4"/>
    <mergeCell ref="FS4:FT4"/>
    <mergeCell ref="FU4:FW4"/>
    <mergeCell ref="FX4:FY4"/>
    <mergeCell ref="FZ4:GA4"/>
    <mergeCell ref="B22:E22"/>
    <mergeCell ref="A1:E2"/>
    <mergeCell ref="A3:E4"/>
    <mergeCell ref="G3:I4"/>
    <mergeCell ref="G1:K1"/>
    <mergeCell ref="T1:U1"/>
    <mergeCell ref="AQ1:BK3"/>
    <mergeCell ref="BA4:BB4"/>
    <mergeCell ref="BC4:BD4"/>
    <mergeCell ref="BE4:BF4"/>
    <mergeCell ref="BG4:BH4"/>
    <mergeCell ref="BI4:BK4"/>
    <mergeCell ref="AW4:AX4"/>
    <mergeCell ref="AY4:AZ4"/>
    <mergeCell ref="AH4:AI4"/>
    <mergeCell ref="AJ4:AK4"/>
    <mergeCell ref="AL4:AM4"/>
    <mergeCell ref="FB2:FL3"/>
    <mergeCell ref="DE1:DT3"/>
    <mergeCell ref="BL1:CF3"/>
    <mergeCell ref="DQ4:DT4"/>
    <mergeCell ref="CQ4:CR4"/>
    <mergeCell ref="CS4:CT4"/>
    <mergeCell ref="CU4:CV4"/>
    <mergeCell ref="CW4:CX4"/>
    <mergeCell ref="DE4:DG4"/>
    <mergeCell ref="DH4:DJ4"/>
    <mergeCell ref="DK4:DM4"/>
    <mergeCell ref="DN4:DP4"/>
    <mergeCell ref="DB1:DD3"/>
    <mergeCell ref="DB4:DD4"/>
    <mergeCell ref="CG1:DA3"/>
    <mergeCell ref="BL4:BM4"/>
    <mergeCell ref="CI4:CJ4"/>
    <mergeCell ref="CK4:CL4"/>
    <mergeCell ref="CM4:CN4"/>
    <mergeCell ref="CO4:CP4"/>
    <mergeCell ref="CY4:DA4"/>
    <mergeCell ref="BN4:BO4"/>
    <mergeCell ref="BP4:BQ4"/>
    <mergeCell ref="BR4:BS4"/>
    <mergeCell ref="FB4:FC4"/>
    <mergeCell ref="FD4:FE4"/>
    <mergeCell ref="FF4:FG4"/>
    <mergeCell ref="FH4:FI4"/>
    <mergeCell ref="FJ4:FL4"/>
    <mergeCell ref="HU4:HV4"/>
    <mergeCell ref="HW4:HY4"/>
    <mergeCell ref="GI1:GK4"/>
    <mergeCell ref="GZ2:HL3"/>
    <mergeCell ref="HM2:HY3"/>
    <mergeCell ref="GL4:GM4"/>
    <mergeCell ref="GN4:GO4"/>
    <mergeCell ref="GP4:GQ4"/>
    <mergeCell ref="GW4:GY4"/>
    <mergeCell ref="GL2:GY3"/>
    <mergeCell ref="HM4:HN4"/>
    <mergeCell ref="GD4:GE4"/>
    <mergeCell ref="FX1:GH3"/>
    <mergeCell ref="HJ4:HL4"/>
    <mergeCell ref="GZ4:HA4"/>
    <mergeCell ref="HB4:HC4"/>
    <mergeCell ref="HD4:HE4"/>
    <mergeCell ref="FM2:FW3"/>
    <mergeCell ref="HF4:HG4"/>
    <mergeCell ref="GB4:GC4"/>
    <mergeCell ref="KJ2:KK4"/>
    <mergeCell ref="IR4:IT4"/>
    <mergeCell ref="JF2:JG3"/>
    <mergeCell ref="IU2:JE3"/>
    <mergeCell ref="IW4:IX4"/>
    <mergeCell ref="IY4:IZ4"/>
    <mergeCell ref="JA4:JB4"/>
    <mergeCell ref="JH2:JJ4"/>
    <mergeCell ref="HO4:HP4"/>
    <mergeCell ref="HQ4:HR4"/>
    <mergeCell ref="HS4:HT4"/>
    <mergeCell ref="KF2:KG4"/>
    <mergeCell ref="JK2:JL4"/>
    <mergeCell ref="HZ3:IA4"/>
    <mergeCell ref="HH4:HI4"/>
    <mergeCell ref="GR4:GS4"/>
    <mergeCell ref="JZ2:KA4"/>
    <mergeCell ref="KB2:KC4"/>
    <mergeCell ref="KD2:KE4"/>
    <mergeCell ref="JW2:JY4"/>
    <mergeCell ref="KV2:KW4"/>
    <mergeCell ref="KX2:KY4"/>
    <mergeCell ref="KL2:KM4"/>
    <mergeCell ref="KN2:KO4"/>
    <mergeCell ref="KP2:KQ4"/>
    <mergeCell ref="KR2:KS4"/>
    <mergeCell ref="KT2:KU4"/>
    <mergeCell ref="IB4:IC4"/>
    <mergeCell ref="IU4:IV4"/>
    <mergeCell ref="IN4:IO4"/>
    <mergeCell ref="IP4:IQ4"/>
    <mergeCell ref="JF4:JG4"/>
    <mergeCell ref="ID4:IE4"/>
    <mergeCell ref="IF4:IG4"/>
    <mergeCell ref="IH4:II4"/>
    <mergeCell ref="IJ4:IK4"/>
    <mergeCell ref="IL4:IM4"/>
    <mergeCell ref="JC4:JE4"/>
    <mergeCell ref="JM2:JN4"/>
    <mergeCell ref="JO2:JP4"/>
    <mergeCell ref="JQ2:JR4"/>
    <mergeCell ref="JS2:JT4"/>
    <mergeCell ref="JU2:JV4"/>
    <mergeCell ref="KH2:KI4"/>
  </mergeCells>
  <pageMargins left="0.7" right="0.7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B1:R41"/>
  <sheetViews>
    <sheetView rightToLeft="1" tabSelected="1" view="pageBreakPreview" topLeftCell="A13" zoomScale="60" workbookViewId="0">
      <selection activeCell="H10" sqref="H10"/>
    </sheetView>
  </sheetViews>
  <sheetFormatPr defaultColWidth="9" defaultRowHeight="27.6" x14ac:dyDescent="0.45"/>
  <cols>
    <col min="1" max="1" width="9" style="2"/>
    <col min="2" max="2" width="15.09765625" style="2" customWidth="1"/>
    <col min="3" max="3" width="17" style="2" customWidth="1"/>
    <col min="4" max="4" width="13.69921875" style="2" customWidth="1"/>
    <col min="5" max="5" width="11.69921875" style="2" customWidth="1"/>
    <col min="6" max="6" width="14" style="2" customWidth="1"/>
    <col min="7" max="7" width="12.3984375" style="2" customWidth="1"/>
    <col min="8" max="8" width="13" style="2" customWidth="1"/>
    <col min="9" max="9" width="14.09765625" style="2" customWidth="1"/>
    <col min="10" max="10" width="14.3984375" style="2" customWidth="1"/>
    <col min="11" max="11" width="16.8984375" style="2" customWidth="1"/>
    <col min="12" max="12" width="12.09765625" style="2" customWidth="1"/>
    <col min="13" max="13" width="11.09765625" style="2" customWidth="1"/>
    <col min="14" max="14" width="14.19921875" style="2" customWidth="1"/>
    <col min="15" max="15" width="11.19921875" style="2" customWidth="1"/>
    <col min="16" max="16" width="10.8984375" style="2" customWidth="1"/>
    <col min="17" max="17" width="9.59765625" style="2" bestFit="1" customWidth="1"/>
    <col min="18" max="18" width="12.8984375" style="2" bestFit="1" customWidth="1"/>
    <col min="19" max="16384" width="9" style="2"/>
  </cols>
  <sheetData>
    <row r="1" spans="3:18" s="5" customFormat="1" ht="51.75" customHeight="1" x14ac:dyDescent="0.5">
      <c r="C1" s="6"/>
      <c r="D1" s="6" t="s">
        <v>40</v>
      </c>
      <c r="M1" s="181" t="s">
        <v>67</v>
      </c>
      <c r="N1" s="181"/>
      <c r="O1" s="181"/>
      <c r="P1" s="181"/>
      <c r="Q1" s="181"/>
      <c r="R1" s="181"/>
    </row>
    <row r="2" spans="3:18" s="5" customFormat="1" ht="30" x14ac:dyDescent="0.5">
      <c r="C2" s="181" t="s">
        <v>41</v>
      </c>
      <c r="D2" s="181"/>
      <c r="E2" s="181"/>
      <c r="F2" s="181"/>
      <c r="M2" s="185" t="s">
        <v>68</v>
      </c>
      <c r="N2" s="185"/>
      <c r="O2" s="185"/>
      <c r="P2" s="185"/>
      <c r="Q2" s="185"/>
      <c r="R2" s="185"/>
    </row>
    <row r="3" spans="3:18" s="5" customFormat="1" ht="30" x14ac:dyDescent="0.5">
      <c r="C3" s="6"/>
      <c r="D3" s="6" t="s">
        <v>42</v>
      </c>
      <c r="M3" s="185" t="s">
        <v>69</v>
      </c>
      <c r="N3" s="185"/>
      <c r="O3" s="185"/>
      <c r="P3" s="185"/>
      <c r="Q3" s="185"/>
      <c r="R3" s="185"/>
    </row>
    <row r="4" spans="3:18" s="5" customFormat="1" ht="42.75" customHeight="1" x14ac:dyDescent="0.5">
      <c r="C4" s="185" t="s">
        <v>222</v>
      </c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7"/>
    </row>
    <row r="5" spans="3:18" s="5" customFormat="1" ht="42.75" customHeight="1" x14ac:dyDescent="0.5">
      <c r="C5" s="6" t="s">
        <v>43</v>
      </c>
      <c r="D5" s="8"/>
      <c r="E5" s="6" t="s">
        <v>44</v>
      </c>
      <c r="I5" s="6" t="s">
        <v>217</v>
      </c>
      <c r="L5" s="6" t="s">
        <v>179</v>
      </c>
    </row>
    <row r="6" spans="3:18" ht="41.25" customHeight="1" thickBot="1" x14ac:dyDescent="0.55000000000000004">
      <c r="E6" s="1"/>
      <c r="F6" s="3"/>
      <c r="G6" s="1"/>
      <c r="I6" s="1"/>
      <c r="K6" s="1"/>
    </row>
    <row r="7" spans="3:18" s="5" customFormat="1" ht="54.75" customHeight="1" thickTop="1" thickBot="1" x14ac:dyDescent="0.55000000000000004">
      <c r="C7" s="177" t="s">
        <v>45</v>
      </c>
      <c r="D7" s="176"/>
      <c r="E7" s="177" t="s">
        <v>10</v>
      </c>
      <c r="F7" s="184"/>
      <c r="G7" s="176"/>
      <c r="H7" s="183" t="s">
        <v>56</v>
      </c>
      <c r="I7" s="183"/>
      <c r="J7" s="183"/>
      <c r="K7" s="183"/>
      <c r="L7" s="183"/>
    </row>
    <row r="8" spans="3:18" s="5" customFormat="1" ht="54.75" customHeight="1" thickTop="1" thickBot="1" x14ac:dyDescent="0.55000000000000004">
      <c r="C8" s="9" t="s">
        <v>46</v>
      </c>
      <c r="D8" s="9" t="s">
        <v>47</v>
      </c>
      <c r="E8" s="9" t="s">
        <v>5</v>
      </c>
      <c r="F8" s="9" t="s">
        <v>6</v>
      </c>
      <c r="G8" s="9" t="s">
        <v>48</v>
      </c>
      <c r="H8" s="183" t="s">
        <v>49</v>
      </c>
      <c r="I8" s="183"/>
      <c r="J8" s="183" t="s">
        <v>50</v>
      </c>
      <c r="K8" s="183"/>
      <c r="L8" s="183"/>
    </row>
    <row r="9" spans="3:18" s="5" customFormat="1" ht="54.75" customHeight="1" thickTop="1" thickBot="1" x14ac:dyDescent="0.55000000000000004">
      <c r="C9" s="9">
        <f>'مدارس اليافعين'!J22</f>
        <v>1</v>
      </c>
      <c r="D9" s="9">
        <f>'مدارس اليافعين'!K22</f>
        <v>0</v>
      </c>
      <c r="E9" s="9">
        <f>'مدارس اليافعين'!G22</f>
        <v>1</v>
      </c>
      <c r="F9" s="9">
        <f>'مدارس اليافعين'!H22</f>
        <v>0</v>
      </c>
      <c r="G9" s="9">
        <f>'مدارس اليافعين'!I22</f>
        <v>0</v>
      </c>
      <c r="H9" s="183">
        <f>'مدارس اليافعين'!T22</f>
        <v>1</v>
      </c>
      <c r="I9" s="183"/>
      <c r="J9" s="183">
        <f>'مدارس اليافعين'!U22</f>
        <v>15</v>
      </c>
      <c r="K9" s="183"/>
      <c r="L9" s="183"/>
    </row>
    <row r="10" spans="3:18" ht="46.5" customHeight="1" thickTop="1" x14ac:dyDescent="0.5">
      <c r="C10" s="77" t="s">
        <v>234</v>
      </c>
    </row>
    <row r="11" spans="3:18" ht="45" customHeight="1" thickBot="1" x14ac:dyDescent="0.65">
      <c r="C11" s="174" t="s">
        <v>51</v>
      </c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</row>
    <row r="12" spans="3:18" s="5" customFormat="1" ht="52.5" customHeight="1" thickTop="1" thickBot="1" x14ac:dyDescent="0.55000000000000004">
      <c r="C12" s="188" t="s">
        <v>52</v>
      </c>
      <c r="D12" s="177" t="s">
        <v>53</v>
      </c>
      <c r="E12" s="176"/>
      <c r="F12" s="177" t="s">
        <v>55</v>
      </c>
      <c r="G12" s="176"/>
      <c r="H12" s="177" t="s">
        <v>38</v>
      </c>
      <c r="I12" s="176"/>
      <c r="J12" s="177" t="s">
        <v>37</v>
      </c>
      <c r="K12" s="176"/>
      <c r="L12" s="177" t="s">
        <v>54</v>
      </c>
      <c r="M12" s="184"/>
      <c r="N12" s="176"/>
    </row>
    <row r="13" spans="3:18" s="5" customFormat="1" ht="52.5" customHeight="1" thickTop="1" thickBot="1" x14ac:dyDescent="0.55000000000000004">
      <c r="C13" s="189"/>
      <c r="D13" s="9" t="s">
        <v>5</v>
      </c>
      <c r="E13" s="9" t="s">
        <v>6</v>
      </c>
      <c r="F13" s="9" t="s">
        <v>5</v>
      </c>
      <c r="G13" s="9" t="s">
        <v>6</v>
      </c>
      <c r="H13" s="9" t="s">
        <v>5</v>
      </c>
      <c r="I13" s="9" t="s">
        <v>6</v>
      </c>
      <c r="J13" s="9" t="s">
        <v>5</v>
      </c>
      <c r="K13" s="9" t="s">
        <v>6</v>
      </c>
      <c r="L13" s="9" t="s">
        <v>5</v>
      </c>
      <c r="M13" s="9" t="s">
        <v>6</v>
      </c>
      <c r="N13" s="9" t="s">
        <v>13</v>
      </c>
    </row>
    <row r="14" spans="3:18" s="5" customFormat="1" ht="52.5" customHeight="1" thickTop="1" thickBot="1" x14ac:dyDescent="0.55000000000000004">
      <c r="C14" s="9">
        <v>10</v>
      </c>
      <c r="D14" s="9">
        <f>'مدارس اليافعين'!V22</f>
        <v>25</v>
      </c>
      <c r="E14" s="9">
        <f>'مدارس اليافعين'!W22</f>
        <v>23</v>
      </c>
      <c r="F14" s="9">
        <f>'مدارس اليافعين'!AQ22</f>
        <v>1</v>
      </c>
      <c r="G14" s="29">
        <f>'مدارس اليافعين'!AR22</f>
        <v>0</v>
      </c>
      <c r="H14" s="9">
        <f>'مدارس اليافعين'!BL22</f>
        <v>0</v>
      </c>
      <c r="I14" s="9">
        <f>'مدارس اليافعين'!BM22</f>
        <v>0</v>
      </c>
      <c r="J14" s="9">
        <f>'مدارس اليافعين'!CG22</f>
        <v>0</v>
      </c>
      <c r="K14" s="29">
        <f>'مدارس اليافعين'!CH22</f>
        <v>0</v>
      </c>
      <c r="L14" s="9">
        <f>J14+H14+F14+D14</f>
        <v>26</v>
      </c>
      <c r="M14" s="9">
        <f>K14+I14+G14+E14</f>
        <v>23</v>
      </c>
      <c r="N14" s="9">
        <f>SUM(L14:M14)</f>
        <v>49</v>
      </c>
    </row>
    <row r="15" spans="3:18" s="5" customFormat="1" ht="52.5" customHeight="1" thickTop="1" thickBot="1" x14ac:dyDescent="0.55000000000000004">
      <c r="C15" s="9">
        <v>11</v>
      </c>
      <c r="D15" s="9">
        <f>'مدارس اليافعين'!X22</f>
        <v>48</v>
      </c>
      <c r="E15" s="9">
        <f>'مدارس اليافعين'!Y22</f>
        <v>20</v>
      </c>
      <c r="F15" s="9">
        <f>'مدارس اليافعين'!AS22</f>
        <v>17</v>
      </c>
      <c r="G15" s="29">
        <f>'مدارس اليافعين'!AT22</f>
        <v>10</v>
      </c>
      <c r="H15" s="9">
        <f>'مدارس اليافعين'!BN22</f>
        <v>3</v>
      </c>
      <c r="I15" s="9">
        <f>'مدارس اليافعين'!BO22</f>
        <v>0</v>
      </c>
      <c r="J15" s="9">
        <f>'مدارس اليافعين'!CI22</f>
        <v>0</v>
      </c>
      <c r="K15" s="29">
        <f>'مدارس اليافعين'!CJ22</f>
        <v>0</v>
      </c>
      <c r="L15" s="9">
        <f t="shared" ref="L15:L20" si="0">J15+H15+F15+D15</f>
        <v>68</v>
      </c>
      <c r="M15" s="9">
        <f t="shared" ref="M15:M20" si="1">K15+I15+G15+E15</f>
        <v>30</v>
      </c>
      <c r="N15" s="9">
        <f t="shared" ref="N15:N20" si="2">SUM(L15:M15)</f>
        <v>98</v>
      </c>
    </row>
    <row r="16" spans="3:18" s="5" customFormat="1" ht="52.5" customHeight="1" thickTop="1" thickBot="1" x14ac:dyDescent="0.55000000000000004">
      <c r="C16" s="9">
        <v>12</v>
      </c>
      <c r="D16" s="9">
        <f>'مدارس اليافعين'!Z22</f>
        <v>8</v>
      </c>
      <c r="E16" s="9">
        <f>'مدارس اليافعين'!AA22</f>
        <v>13</v>
      </c>
      <c r="F16" s="9">
        <f>'مدارس اليافعين'!AU22</f>
        <v>37</v>
      </c>
      <c r="G16" s="29">
        <f>'مدارس اليافعين'!AV22</f>
        <v>17</v>
      </c>
      <c r="H16" s="9">
        <f>'مدارس اليافعين'!BP22</f>
        <v>8</v>
      </c>
      <c r="I16" s="9">
        <f>'مدارس اليافعين'!BQ22</f>
        <v>0</v>
      </c>
      <c r="J16" s="9">
        <f>'مدارس اليافعين'!CK22</f>
        <v>0</v>
      </c>
      <c r="K16" s="29">
        <f>'مدارس اليافعين'!CL22</f>
        <v>0</v>
      </c>
      <c r="L16" s="9">
        <f t="shared" si="0"/>
        <v>53</v>
      </c>
      <c r="M16" s="9">
        <f t="shared" si="1"/>
        <v>30</v>
      </c>
      <c r="N16" s="9">
        <f t="shared" si="2"/>
        <v>83</v>
      </c>
    </row>
    <row r="17" spans="2:18" s="5" customFormat="1" ht="52.5" customHeight="1" thickTop="1" thickBot="1" x14ac:dyDescent="0.55000000000000004">
      <c r="C17" s="9">
        <v>13</v>
      </c>
      <c r="D17" s="9">
        <f>'مدارس اليافعين'!AB22</f>
        <v>4</v>
      </c>
      <c r="E17" s="76">
        <f>'مدارس اليافعين'!AC22</f>
        <v>2</v>
      </c>
      <c r="F17" s="9">
        <f>'مدارس اليافعين'!AW22</f>
        <v>10</v>
      </c>
      <c r="G17" s="29">
        <f>'مدارس اليافعين'!AX22</f>
        <v>8</v>
      </c>
      <c r="H17" s="9">
        <f>'مدارس اليافعين'!BR22</f>
        <v>19</v>
      </c>
      <c r="I17" s="9">
        <f>'مدارس اليافعين'!BS22</f>
        <v>6</v>
      </c>
      <c r="J17" s="9">
        <f>'مدارس اليافعين'!CM22</f>
        <v>12</v>
      </c>
      <c r="K17" s="29">
        <f>'مدارس اليافعين'!CN22</f>
        <v>0</v>
      </c>
      <c r="L17" s="9">
        <f t="shared" si="0"/>
        <v>45</v>
      </c>
      <c r="M17" s="9">
        <f t="shared" si="1"/>
        <v>16</v>
      </c>
      <c r="N17" s="9">
        <f t="shared" si="2"/>
        <v>61</v>
      </c>
    </row>
    <row r="18" spans="2:18" s="5" customFormat="1" ht="52.5" customHeight="1" thickTop="1" thickBot="1" x14ac:dyDescent="0.55000000000000004">
      <c r="C18" s="9">
        <v>14</v>
      </c>
      <c r="D18" s="9">
        <f>'مدارس اليافعين'!AD22</f>
        <v>1</v>
      </c>
      <c r="E18" s="76">
        <f>'مدارس اليافعين'!AE22</f>
        <v>0</v>
      </c>
      <c r="F18" s="9">
        <f>'مدارس اليافعين'!AY22</f>
        <v>1</v>
      </c>
      <c r="G18" s="76">
        <f>'مدارس اليافعين'!AZ22</f>
        <v>0</v>
      </c>
      <c r="H18" s="9">
        <f>'مدارس اليافعين'!BT22</f>
        <v>10</v>
      </c>
      <c r="I18" s="76">
        <f>'مدارس اليافعين'!BU22</f>
        <v>0</v>
      </c>
      <c r="J18" s="9">
        <f>'مدارس اليافعين'!CO22</f>
        <v>4</v>
      </c>
      <c r="K18" s="76">
        <f>'مدارس اليافعين'!CP22</f>
        <v>0</v>
      </c>
      <c r="L18" s="9">
        <f t="shared" si="0"/>
        <v>16</v>
      </c>
      <c r="M18" s="9">
        <f t="shared" si="1"/>
        <v>0</v>
      </c>
      <c r="N18" s="9">
        <f t="shared" si="2"/>
        <v>16</v>
      </c>
    </row>
    <row r="19" spans="2:18" s="5" customFormat="1" ht="52.5" customHeight="1" thickTop="1" thickBot="1" x14ac:dyDescent="0.55000000000000004">
      <c r="C19" s="9">
        <v>15</v>
      </c>
      <c r="D19" s="9">
        <f>'مدارس اليافعين'!AF22</f>
        <v>0</v>
      </c>
      <c r="E19" s="76">
        <f>'مدارس اليافعين'!AG22</f>
        <v>0</v>
      </c>
      <c r="F19" s="9">
        <f>'مدارس اليافعين'!BA22</f>
        <v>1</v>
      </c>
      <c r="G19" s="76">
        <f>'مدارس اليافعين'!BB22</f>
        <v>0</v>
      </c>
      <c r="H19" s="9">
        <f>'مدارس اليافعين'!BV22</f>
        <v>1</v>
      </c>
      <c r="I19" s="76">
        <f>'مدارس اليافعين'!BW22</f>
        <v>0</v>
      </c>
      <c r="J19" s="9">
        <f>'مدارس اليافعين'!CQ22</f>
        <v>6</v>
      </c>
      <c r="K19" s="76">
        <f>'مدارس اليافعين'!CR22</f>
        <v>0</v>
      </c>
      <c r="L19" s="9">
        <f t="shared" si="0"/>
        <v>8</v>
      </c>
      <c r="M19" s="9">
        <f t="shared" si="1"/>
        <v>0</v>
      </c>
      <c r="N19" s="9">
        <f t="shared" si="2"/>
        <v>8</v>
      </c>
    </row>
    <row r="20" spans="2:18" s="5" customFormat="1" ht="52.5" customHeight="1" thickTop="1" thickBot="1" x14ac:dyDescent="0.55000000000000004">
      <c r="C20" s="9" t="s">
        <v>13</v>
      </c>
      <c r="D20" s="9">
        <f t="shared" ref="D20:K20" si="3">SUM(D14:D19)</f>
        <v>86</v>
      </c>
      <c r="E20" s="9">
        <f t="shared" si="3"/>
        <v>58</v>
      </c>
      <c r="F20" s="9">
        <f t="shared" si="3"/>
        <v>67</v>
      </c>
      <c r="G20" s="9">
        <f t="shared" si="3"/>
        <v>35</v>
      </c>
      <c r="H20" s="9">
        <f t="shared" si="3"/>
        <v>41</v>
      </c>
      <c r="I20" s="9">
        <f t="shared" si="3"/>
        <v>6</v>
      </c>
      <c r="J20" s="9">
        <f t="shared" si="3"/>
        <v>22</v>
      </c>
      <c r="K20" s="9">
        <f t="shared" si="3"/>
        <v>0</v>
      </c>
      <c r="L20" s="9">
        <f t="shared" si="0"/>
        <v>216</v>
      </c>
      <c r="M20" s="9">
        <f t="shared" si="1"/>
        <v>99</v>
      </c>
      <c r="N20" s="9">
        <f t="shared" si="2"/>
        <v>315</v>
      </c>
    </row>
    <row r="21" spans="2:18" ht="28.5" customHeight="1" thickTop="1" thickBot="1" x14ac:dyDescent="0.5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2:18" ht="39.75" customHeight="1" thickTop="1" thickBot="1" x14ac:dyDescent="0.5">
      <c r="B22" s="197" t="s">
        <v>175</v>
      </c>
      <c r="C22" s="198"/>
      <c r="D22" s="166" t="s">
        <v>203</v>
      </c>
      <c r="E22" s="167"/>
      <c r="F22" s="168"/>
      <c r="G22" s="166" t="s">
        <v>229</v>
      </c>
      <c r="H22" s="167"/>
      <c r="I22" s="172"/>
      <c r="J22" s="178" t="s">
        <v>230</v>
      </c>
      <c r="K22" s="179"/>
      <c r="L22" s="179"/>
      <c r="M22" s="179"/>
      <c r="N22" s="179"/>
      <c r="O22" s="180"/>
      <c r="P22" s="160" t="s">
        <v>75</v>
      </c>
      <c r="Q22" s="161"/>
      <c r="R22" s="162"/>
    </row>
    <row r="23" spans="2:18" ht="39.75" customHeight="1" thickTop="1" thickBot="1" x14ac:dyDescent="0.5">
      <c r="B23" s="199"/>
      <c r="C23" s="200"/>
      <c r="D23" s="169"/>
      <c r="E23" s="170"/>
      <c r="F23" s="171"/>
      <c r="G23" s="169"/>
      <c r="H23" s="170"/>
      <c r="I23" s="173"/>
      <c r="J23" s="175" t="s">
        <v>72</v>
      </c>
      <c r="K23" s="176"/>
      <c r="L23" s="177" t="s">
        <v>73</v>
      </c>
      <c r="M23" s="176"/>
      <c r="N23" s="177" t="s">
        <v>74</v>
      </c>
      <c r="O23" s="176"/>
      <c r="P23" s="163"/>
      <c r="Q23" s="164"/>
      <c r="R23" s="165"/>
    </row>
    <row r="24" spans="2:18" ht="39.75" customHeight="1" thickTop="1" thickBot="1" x14ac:dyDescent="0.5">
      <c r="B24" s="201"/>
      <c r="C24" s="202"/>
      <c r="D24" s="27" t="s">
        <v>71</v>
      </c>
      <c r="E24" s="27" t="s">
        <v>6</v>
      </c>
      <c r="F24" s="27" t="s">
        <v>13</v>
      </c>
      <c r="G24" s="27" t="s">
        <v>71</v>
      </c>
      <c r="H24" s="27" t="s">
        <v>6</v>
      </c>
      <c r="I24" s="11" t="s">
        <v>13</v>
      </c>
      <c r="J24" s="15" t="s">
        <v>71</v>
      </c>
      <c r="K24" s="14" t="s">
        <v>6</v>
      </c>
      <c r="L24" s="14" t="s">
        <v>71</v>
      </c>
      <c r="M24" s="14" t="s">
        <v>6</v>
      </c>
      <c r="N24" s="14" t="s">
        <v>71</v>
      </c>
      <c r="O24" s="14" t="s">
        <v>6</v>
      </c>
      <c r="P24" s="14" t="s">
        <v>71</v>
      </c>
      <c r="Q24" s="14" t="s">
        <v>6</v>
      </c>
      <c r="R24" s="11" t="s">
        <v>13</v>
      </c>
    </row>
    <row r="25" spans="2:18" ht="39.75" customHeight="1" thickTop="1" thickBot="1" x14ac:dyDescent="0.5">
      <c r="B25" s="190" t="s">
        <v>34</v>
      </c>
      <c r="C25" s="191"/>
      <c r="D25" s="27">
        <f>'مدارس اليافعين'!DU22</f>
        <v>12</v>
      </c>
      <c r="E25" s="64">
        <f>'مدارس اليافعين'!DV22</f>
        <v>15</v>
      </c>
      <c r="F25" s="27">
        <f>SUM(D25:E25)</f>
        <v>27</v>
      </c>
      <c r="G25" s="27">
        <f>'مدارس اليافعين'!EF22</f>
        <v>59</v>
      </c>
      <c r="H25" s="64">
        <f>'مدارس اليافعين'!EG22</f>
        <v>48</v>
      </c>
      <c r="I25" s="11">
        <f t="shared" ref="I25:I28" si="4">SUM(G25:H25)</f>
        <v>107</v>
      </c>
      <c r="J25" s="15">
        <f>'مدارس اليافعين'!EQ22</f>
        <v>49</v>
      </c>
      <c r="K25" s="15">
        <f>'مدارس اليافعين'!ER22</f>
        <v>49</v>
      </c>
      <c r="L25" s="14">
        <f>'مدارس اليافعين'!FB22</f>
        <v>0</v>
      </c>
      <c r="M25" s="64">
        <f>'مدارس اليافعين'!FC22</f>
        <v>11</v>
      </c>
      <c r="N25" s="14">
        <f>'مدارس اليافعين'!FM22</f>
        <v>0</v>
      </c>
      <c r="O25" s="64">
        <f>'مدارس اليافعين'!FN22</f>
        <v>0</v>
      </c>
      <c r="P25" s="14">
        <f>N25+L25+J25</f>
        <v>49</v>
      </c>
      <c r="Q25" s="14">
        <f>O25+M25+K25</f>
        <v>60</v>
      </c>
      <c r="R25" s="11">
        <f t="shared" ref="R25:R28" si="5">SUM(P25:Q25)</f>
        <v>109</v>
      </c>
    </row>
    <row r="26" spans="2:18" ht="39.75" customHeight="1" thickTop="1" thickBot="1" x14ac:dyDescent="0.5">
      <c r="B26" s="190" t="s">
        <v>35</v>
      </c>
      <c r="C26" s="191"/>
      <c r="D26" s="27">
        <f>'مدارس اليافعين'!DW22</f>
        <v>7</v>
      </c>
      <c r="E26" s="64">
        <f>'مدارس اليافعين'!DX22</f>
        <v>3</v>
      </c>
      <c r="F26" s="27">
        <f t="shared" ref="F26:F28" si="6">SUM(D26:E26)</f>
        <v>10</v>
      </c>
      <c r="G26" s="27">
        <f>'مدارس اليافعين'!EH22</f>
        <v>45</v>
      </c>
      <c r="H26" s="64">
        <f>'مدارس اليافعين'!EI22</f>
        <v>41</v>
      </c>
      <c r="I26" s="11">
        <f t="shared" si="4"/>
        <v>86</v>
      </c>
      <c r="J26" s="15">
        <f>'مدارس اليافعين'!ES22</f>
        <v>30</v>
      </c>
      <c r="K26" s="15">
        <f>'مدارس اليافعين'!ET22</f>
        <v>13</v>
      </c>
      <c r="L26" s="14">
        <f>'مدارس اليافعين'!FD22</f>
        <v>0</v>
      </c>
      <c r="M26" s="64">
        <f>'مدارس اليافعين'!FE22</f>
        <v>3</v>
      </c>
      <c r="N26" s="14">
        <f>'مدارس اليافعين'!FO22</f>
        <v>0</v>
      </c>
      <c r="O26" s="64">
        <f>'مدارس اليافعين'!FP22</f>
        <v>0</v>
      </c>
      <c r="P26" s="14">
        <f t="shared" ref="P26:P28" si="7">N26+L26+J26</f>
        <v>30</v>
      </c>
      <c r="Q26" s="14">
        <f t="shared" ref="Q26:Q28" si="8">O26+M26+K26</f>
        <v>16</v>
      </c>
      <c r="R26" s="11">
        <f t="shared" si="5"/>
        <v>46</v>
      </c>
    </row>
    <row r="27" spans="2:18" ht="39.75" customHeight="1" thickTop="1" thickBot="1" x14ac:dyDescent="0.5">
      <c r="B27" s="190" t="s">
        <v>36</v>
      </c>
      <c r="C27" s="191"/>
      <c r="D27" s="27">
        <f>'مدارس اليافعين'!DY22</f>
        <v>6</v>
      </c>
      <c r="E27" s="64">
        <f>'مدارس اليافعين'!DZ22</f>
        <v>0</v>
      </c>
      <c r="F27" s="27">
        <f t="shared" si="6"/>
        <v>6</v>
      </c>
      <c r="G27" s="27">
        <f>'مدارس اليافعين'!EJ22</f>
        <v>38</v>
      </c>
      <c r="H27" s="64">
        <f>'مدارس اليافعين'!EK22</f>
        <v>0</v>
      </c>
      <c r="I27" s="11">
        <f t="shared" si="4"/>
        <v>38</v>
      </c>
      <c r="J27" s="15">
        <f>'مدارس اليافعين'!EU22</f>
        <v>22</v>
      </c>
      <c r="K27" s="15">
        <f>'مدارس اليافعين'!EV22</f>
        <v>0</v>
      </c>
      <c r="L27" s="14">
        <f>'مدارس اليافعين'!FF22</f>
        <v>0</v>
      </c>
      <c r="M27" s="64">
        <f>'مدارس اليافعين'!FG22</f>
        <v>0</v>
      </c>
      <c r="N27" s="14">
        <f>'مدارس اليافعين'!FQ22</f>
        <v>0</v>
      </c>
      <c r="O27" s="64">
        <f>'مدارس اليافعين'!FR22</f>
        <v>0</v>
      </c>
      <c r="P27" s="14">
        <f t="shared" si="7"/>
        <v>22</v>
      </c>
      <c r="Q27" s="14">
        <f t="shared" si="8"/>
        <v>0</v>
      </c>
      <c r="R27" s="11">
        <f t="shared" si="5"/>
        <v>22</v>
      </c>
    </row>
    <row r="28" spans="2:18" ht="39.75" customHeight="1" thickTop="1" thickBot="1" x14ac:dyDescent="0.5">
      <c r="B28" s="190" t="s">
        <v>37</v>
      </c>
      <c r="C28" s="191"/>
      <c r="D28" s="27">
        <f>'مدارس اليافعين'!EA22</f>
        <v>2</v>
      </c>
      <c r="E28" s="64">
        <f>'مدارس اليافعين'!EB22</f>
        <v>0</v>
      </c>
      <c r="F28" s="27">
        <f t="shared" si="6"/>
        <v>2</v>
      </c>
      <c r="G28" s="27">
        <f>'مدارس اليافعين'!EL22</f>
        <v>13</v>
      </c>
      <c r="H28" s="64">
        <f>'مدارس اليافعين'!EM22</f>
        <v>0</v>
      </c>
      <c r="I28" s="11">
        <f t="shared" si="4"/>
        <v>13</v>
      </c>
      <c r="J28" s="15">
        <f>'مدارس اليافعين'!EW22</f>
        <v>11</v>
      </c>
      <c r="K28" s="15">
        <f>'مدارس اليافعين'!EX22</f>
        <v>0</v>
      </c>
      <c r="L28" s="14">
        <f>'مدارس اليافعين'!FH22</f>
        <v>0</v>
      </c>
      <c r="M28" s="64">
        <f>'مدارس اليافعين'!FI22</f>
        <v>0</v>
      </c>
      <c r="N28" s="14">
        <f>'مدارس اليافعين'!FS22</f>
        <v>0</v>
      </c>
      <c r="O28" s="64">
        <f>'مدارس اليافعين'!FT22</f>
        <v>0</v>
      </c>
      <c r="P28" s="14">
        <f t="shared" si="7"/>
        <v>11</v>
      </c>
      <c r="Q28" s="14">
        <f t="shared" si="8"/>
        <v>0</v>
      </c>
      <c r="R28" s="11">
        <f t="shared" si="5"/>
        <v>11</v>
      </c>
    </row>
    <row r="29" spans="2:18" ht="39.75" customHeight="1" thickTop="1" thickBot="1" x14ac:dyDescent="0.5">
      <c r="B29" s="192" t="s">
        <v>13</v>
      </c>
      <c r="C29" s="193"/>
      <c r="D29" s="12">
        <f>SUM(D25:D28)</f>
        <v>27</v>
      </c>
      <c r="E29" s="12">
        <f t="shared" ref="E29:R29" si="9">SUM(E25:E28)</f>
        <v>18</v>
      </c>
      <c r="F29" s="12">
        <f t="shared" si="9"/>
        <v>45</v>
      </c>
      <c r="G29" s="12">
        <f t="shared" si="9"/>
        <v>155</v>
      </c>
      <c r="H29" s="12">
        <f t="shared" si="9"/>
        <v>89</v>
      </c>
      <c r="I29" s="13">
        <f t="shared" si="9"/>
        <v>244</v>
      </c>
      <c r="J29" s="16">
        <f t="shared" si="9"/>
        <v>112</v>
      </c>
      <c r="K29" s="12">
        <f t="shared" si="9"/>
        <v>62</v>
      </c>
      <c r="L29" s="12">
        <f t="shared" si="9"/>
        <v>0</v>
      </c>
      <c r="M29" s="12">
        <f t="shared" si="9"/>
        <v>14</v>
      </c>
      <c r="N29" s="12">
        <f t="shared" si="9"/>
        <v>0</v>
      </c>
      <c r="O29" s="12">
        <f t="shared" si="9"/>
        <v>0</v>
      </c>
      <c r="P29" s="12">
        <f t="shared" si="9"/>
        <v>112</v>
      </c>
      <c r="Q29" s="12">
        <f t="shared" si="9"/>
        <v>76</v>
      </c>
      <c r="R29" s="13">
        <f t="shared" si="9"/>
        <v>188</v>
      </c>
    </row>
    <row r="30" spans="2:18" ht="28.5" customHeight="1" thickTop="1" x14ac:dyDescent="0.45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2:18" ht="24" customHeight="1" thickBot="1" x14ac:dyDescent="0.5"/>
    <row r="32" spans="2:18" s="5" customFormat="1" ht="62.25" customHeight="1" thickTop="1" thickBot="1" x14ac:dyDescent="0.55000000000000004">
      <c r="B32" s="194" t="s">
        <v>57</v>
      </c>
      <c r="C32" s="186" t="s">
        <v>53</v>
      </c>
      <c r="D32" s="179"/>
      <c r="E32" s="180"/>
      <c r="F32" s="186" t="s">
        <v>35</v>
      </c>
      <c r="G32" s="179"/>
      <c r="H32" s="180"/>
      <c r="I32" s="186" t="s">
        <v>36</v>
      </c>
      <c r="J32" s="179"/>
      <c r="K32" s="180"/>
      <c r="L32" s="186" t="s">
        <v>37</v>
      </c>
      <c r="M32" s="179"/>
      <c r="N32" s="180"/>
      <c r="O32" s="186" t="s">
        <v>13</v>
      </c>
      <c r="P32" s="179"/>
      <c r="Q32" s="179"/>
      <c r="R32" s="187"/>
    </row>
    <row r="33" spans="2:18" s="5" customFormat="1" ht="62.25" customHeight="1" thickTop="1" thickBot="1" x14ac:dyDescent="0.55000000000000004">
      <c r="B33" s="195"/>
      <c r="C33" s="10" t="s">
        <v>5</v>
      </c>
      <c r="D33" s="10" t="s">
        <v>6</v>
      </c>
      <c r="E33" s="10" t="s">
        <v>7</v>
      </c>
      <c r="F33" s="10" t="s">
        <v>5</v>
      </c>
      <c r="G33" s="10" t="s">
        <v>6</v>
      </c>
      <c r="H33" s="10" t="s">
        <v>7</v>
      </c>
      <c r="I33" s="10" t="s">
        <v>5</v>
      </c>
      <c r="J33" s="10" t="s">
        <v>6</v>
      </c>
      <c r="K33" s="10" t="s">
        <v>7</v>
      </c>
      <c r="L33" s="9" t="s">
        <v>5</v>
      </c>
      <c r="M33" s="9" t="s">
        <v>6</v>
      </c>
      <c r="N33" s="9" t="s">
        <v>7</v>
      </c>
      <c r="O33" s="9" t="s">
        <v>5</v>
      </c>
      <c r="P33" s="9" t="s">
        <v>6</v>
      </c>
      <c r="Q33" s="9" t="s">
        <v>7</v>
      </c>
      <c r="R33" s="11" t="s">
        <v>13</v>
      </c>
    </row>
    <row r="34" spans="2:18" s="5" customFormat="1" ht="62.25" customHeight="1" thickTop="1" thickBot="1" x14ac:dyDescent="0.55000000000000004">
      <c r="B34" s="196"/>
      <c r="C34" s="12">
        <f>'مدارس اليافعين'!DE22</f>
        <v>7</v>
      </c>
      <c r="D34" s="12">
        <f>'مدارس اليافعين'!DF22</f>
        <v>4</v>
      </c>
      <c r="E34" s="12">
        <f>'مدارس اليافعين'!DG22</f>
        <v>0</v>
      </c>
      <c r="F34" s="12">
        <f>'مدارس اليافعين'!DH22</f>
        <v>6</v>
      </c>
      <c r="G34" s="12">
        <f>'مدارس اليافعين'!DI22</f>
        <v>4</v>
      </c>
      <c r="H34" s="12">
        <f>'مدارس اليافعين'!DJ22</f>
        <v>0</v>
      </c>
      <c r="I34" s="12">
        <f>'مدارس اليافعين'!DK22</f>
        <v>3</v>
      </c>
      <c r="J34" s="12">
        <f>'مدارس اليافعين'!DL22</f>
        <v>1</v>
      </c>
      <c r="K34" s="12">
        <f>'مدارس اليافعين'!DM22</f>
        <v>0</v>
      </c>
      <c r="L34" s="12">
        <f>'مدارس اليافعين'!DN22</f>
        <v>2</v>
      </c>
      <c r="M34" s="12">
        <f>'مدارس اليافعين'!DO22</f>
        <v>0</v>
      </c>
      <c r="N34" s="12">
        <f>'مدارس اليافعين'!DP22</f>
        <v>0</v>
      </c>
      <c r="O34" s="12">
        <f>L34+I34+F34+C34</f>
        <v>18</v>
      </c>
      <c r="P34" s="12">
        <f>M34+J34+G34+D34</f>
        <v>9</v>
      </c>
      <c r="Q34" s="12">
        <f>N34+K34+H34+E34</f>
        <v>0</v>
      </c>
      <c r="R34" s="13">
        <f>SUM(O34:Q34)</f>
        <v>27</v>
      </c>
    </row>
    <row r="35" spans="2:18" ht="30" customHeight="1" thickTop="1" x14ac:dyDescent="0.45"/>
    <row r="36" spans="2:18" s="5" customFormat="1" ht="45" customHeight="1" thickBot="1" x14ac:dyDescent="0.55000000000000004">
      <c r="C36" s="182" t="s">
        <v>58</v>
      </c>
      <c r="D36" s="182"/>
      <c r="E36" s="182"/>
      <c r="F36" s="182"/>
      <c r="G36" s="182"/>
      <c r="J36" s="164" t="s">
        <v>60</v>
      </c>
      <c r="K36" s="164"/>
    </row>
    <row r="37" spans="2:18" s="5" customFormat="1" ht="45" customHeight="1" thickTop="1" thickBot="1" x14ac:dyDescent="0.55000000000000004">
      <c r="C37" s="9" t="s">
        <v>59</v>
      </c>
      <c r="D37" s="9" t="s">
        <v>22</v>
      </c>
      <c r="E37" s="9" t="s">
        <v>23</v>
      </c>
      <c r="F37" s="9" t="s">
        <v>25</v>
      </c>
      <c r="G37" s="9" t="s">
        <v>70</v>
      </c>
      <c r="H37" s="9" t="s">
        <v>13</v>
      </c>
      <c r="J37" s="9" t="s">
        <v>59</v>
      </c>
      <c r="K37" s="9" t="s">
        <v>61</v>
      </c>
    </row>
    <row r="38" spans="2:18" s="5" customFormat="1" ht="45" customHeight="1" thickTop="1" thickBot="1" x14ac:dyDescent="0.55000000000000004">
      <c r="C38" s="9" t="s">
        <v>27</v>
      </c>
      <c r="D38" s="9">
        <f>'مدارس اليافعين'!FX22</f>
        <v>1</v>
      </c>
      <c r="E38" s="9">
        <f>'مدارس اليافعين'!FZ22</f>
        <v>0</v>
      </c>
      <c r="F38" s="9">
        <f>'مدارس اليافعين'!GB22</f>
        <v>9</v>
      </c>
      <c r="G38" s="9">
        <f>'مدارس اليافعين'!GD22</f>
        <v>0</v>
      </c>
      <c r="H38" s="9">
        <f>G38+F38+E38+D38</f>
        <v>10</v>
      </c>
      <c r="J38" s="9" t="s">
        <v>27</v>
      </c>
      <c r="K38" s="9">
        <f>'مدارس اليافعين'!GI22</f>
        <v>0</v>
      </c>
    </row>
    <row r="39" spans="2:18" s="5" customFormat="1" ht="45" customHeight="1" thickTop="1" thickBot="1" x14ac:dyDescent="0.55000000000000004">
      <c r="C39" s="9" t="s">
        <v>21</v>
      </c>
      <c r="D39" s="9">
        <v>0</v>
      </c>
      <c r="E39" s="9">
        <v>0</v>
      </c>
      <c r="F39" s="27">
        <f>'مدارس اليافعين'!GC22</f>
        <v>0</v>
      </c>
      <c r="G39" s="9">
        <f>'مدارس اليافعين'!GE22</f>
        <v>0</v>
      </c>
      <c r="H39" s="9">
        <f t="shared" ref="H39:H40" si="10">G39+F39+E39+D39</f>
        <v>0</v>
      </c>
      <c r="J39" s="9" t="s">
        <v>21</v>
      </c>
      <c r="K39" s="9">
        <f>'مدارس اليافعين'!GJ22</f>
        <v>0</v>
      </c>
    </row>
    <row r="40" spans="2:18" s="5" customFormat="1" ht="45" customHeight="1" thickTop="1" thickBot="1" x14ac:dyDescent="0.55000000000000004">
      <c r="C40" s="9" t="s">
        <v>13</v>
      </c>
      <c r="D40" s="9">
        <f>SUM(D38:D39)</f>
        <v>1</v>
      </c>
      <c r="E40" s="9">
        <f t="shared" ref="E40:G40" si="11">SUM(E38:E39)</f>
        <v>0</v>
      </c>
      <c r="F40" s="9">
        <f t="shared" si="11"/>
        <v>9</v>
      </c>
      <c r="G40" s="9">
        <f t="shared" si="11"/>
        <v>0</v>
      </c>
      <c r="H40" s="9">
        <f t="shared" si="10"/>
        <v>10</v>
      </c>
      <c r="J40" s="9" t="s">
        <v>13</v>
      </c>
      <c r="K40" s="9">
        <f>K39+K38</f>
        <v>0</v>
      </c>
    </row>
    <row r="41" spans="2:18" ht="28.2" thickTop="1" x14ac:dyDescent="0.45"/>
  </sheetData>
  <mergeCells count="40">
    <mergeCell ref="L32:N32"/>
    <mergeCell ref="C12:C13"/>
    <mergeCell ref="D12:E12"/>
    <mergeCell ref="F12:G12"/>
    <mergeCell ref="H12:I12"/>
    <mergeCell ref="J12:K12"/>
    <mergeCell ref="B28:C28"/>
    <mergeCell ref="B29:C29"/>
    <mergeCell ref="B32:B34"/>
    <mergeCell ref="C32:E32"/>
    <mergeCell ref="F32:H32"/>
    <mergeCell ref="I32:K32"/>
    <mergeCell ref="B26:C26"/>
    <mergeCell ref="B25:C25"/>
    <mergeCell ref="B27:C27"/>
    <mergeCell ref="B22:C24"/>
    <mergeCell ref="M1:R1"/>
    <mergeCell ref="J36:K36"/>
    <mergeCell ref="C36:G36"/>
    <mergeCell ref="C2:F2"/>
    <mergeCell ref="J8:L8"/>
    <mergeCell ref="H7:L7"/>
    <mergeCell ref="J9:L9"/>
    <mergeCell ref="C7:D7"/>
    <mergeCell ref="E7:G7"/>
    <mergeCell ref="C4:N4"/>
    <mergeCell ref="M2:R2"/>
    <mergeCell ref="M3:R3"/>
    <mergeCell ref="L12:N12"/>
    <mergeCell ref="H8:I8"/>
    <mergeCell ref="H9:I9"/>
    <mergeCell ref="O32:R32"/>
    <mergeCell ref="P22:R23"/>
    <mergeCell ref="D22:F23"/>
    <mergeCell ref="G22:I23"/>
    <mergeCell ref="C11:N11"/>
    <mergeCell ref="J23:K23"/>
    <mergeCell ref="L23:M23"/>
    <mergeCell ref="N23:O23"/>
    <mergeCell ref="J22:O22"/>
  </mergeCells>
  <pageMargins left="0.19685039370078741" right="0.19685039370078741" top="0.32" bottom="0.35433070866141736" header="0.2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B1:O30"/>
  <sheetViews>
    <sheetView rightToLeft="1" view="pageBreakPreview" zoomScale="90" zoomScaleNormal="100" zoomScaleSheetLayoutView="90" workbookViewId="0">
      <selection activeCell="A8" sqref="A8"/>
    </sheetView>
  </sheetViews>
  <sheetFormatPr defaultRowHeight="13.8" x14ac:dyDescent="0.25"/>
  <cols>
    <col min="4" max="4" width="7.59765625" customWidth="1"/>
  </cols>
  <sheetData>
    <row r="1" spans="2:15" ht="22.8" x14ac:dyDescent="0.4">
      <c r="B1" s="17"/>
      <c r="C1" s="17"/>
      <c r="D1" s="17"/>
      <c r="E1" s="17"/>
      <c r="F1" s="17"/>
      <c r="G1" s="18" t="s">
        <v>172</v>
      </c>
      <c r="H1" s="17"/>
      <c r="I1" s="17"/>
      <c r="J1" s="17"/>
      <c r="K1" s="17"/>
      <c r="L1" s="17"/>
      <c r="M1" s="17"/>
      <c r="N1" s="17"/>
      <c r="O1" s="17"/>
    </row>
    <row r="2" spans="2:15" ht="17.399999999999999" x14ac:dyDescent="0.3">
      <c r="F2" s="18" t="s">
        <v>223</v>
      </c>
    </row>
    <row r="3" spans="2:15" ht="23.4" thickBot="1" x14ac:dyDescent="0.45">
      <c r="B3" s="19" t="s">
        <v>142</v>
      </c>
      <c r="F3" s="17"/>
      <c r="K3" s="19" t="s">
        <v>143</v>
      </c>
    </row>
    <row r="4" spans="2:15" ht="63.75" customHeight="1" thickTop="1" thickBot="1" x14ac:dyDescent="0.3">
      <c r="B4" s="20" t="s">
        <v>122</v>
      </c>
      <c r="C4" s="20" t="s">
        <v>125</v>
      </c>
      <c r="D4" s="20" t="s">
        <v>124</v>
      </c>
      <c r="E4" s="75" t="s">
        <v>144</v>
      </c>
      <c r="F4" s="203" t="s">
        <v>145</v>
      </c>
      <c r="G4" s="204"/>
      <c r="H4" s="205"/>
      <c r="I4" s="20" t="s">
        <v>146</v>
      </c>
      <c r="K4" s="20" t="s">
        <v>147</v>
      </c>
      <c r="L4" s="20" t="s">
        <v>148</v>
      </c>
      <c r="M4" s="20" t="s">
        <v>149</v>
      </c>
      <c r="N4" s="20" t="s">
        <v>150</v>
      </c>
    </row>
    <row r="5" spans="2:15" ht="15" thickTop="1" thickBot="1" x14ac:dyDescent="0.3">
      <c r="B5" s="206">
        <f>'مدارس اليافعين'!JK22</f>
        <v>0</v>
      </c>
      <c r="C5" s="206">
        <f>'مدارس اليافعين'!JQ22</f>
        <v>0</v>
      </c>
      <c r="D5" s="206">
        <f>'مدارس اليافعين'!JO22</f>
        <v>0</v>
      </c>
      <c r="E5" s="206">
        <f>'مدارس اليافعين'!JS22</f>
        <v>0</v>
      </c>
      <c r="F5" s="20" t="s">
        <v>151</v>
      </c>
      <c r="G5" s="20" t="s">
        <v>152</v>
      </c>
      <c r="H5" s="20" t="s">
        <v>153</v>
      </c>
      <c r="I5" s="206">
        <f>'مدارس اليافعين'!JM22</f>
        <v>0</v>
      </c>
      <c r="K5" s="208"/>
      <c r="L5" s="208"/>
      <c r="M5" s="206">
        <v>1</v>
      </c>
      <c r="N5" s="208"/>
    </row>
    <row r="6" spans="2:15" ht="24" thickTop="1" thickBot="1" x14ac:dyDescent="0.3">
      <c r="B6" s="207"/>
      <c r="C6" s="207"/>
      <c r="D6" s="207"/>
      <c r="E6" s="207"/>
      <c r="F6" s="21">
        <v>0</v>
      </c>
      <c r="G6" s="21">
        <v>0</v>
      </c>
      <c r="H6" s="21">
        <v>0</v>
      </c>
      <c r="I6" s="207"/>
      <c r="K6" s="209"/>
      <c r="L6" s="209"/>
      <c r="M6" s="207"/>
      <c r="N6" s="209"/>
    </row>
    <row r="7" spans="2:15" ht="14.4" thickTop="1" x14ac:dyDescent="0.25"/>
    <row r="8" spans="2:15" ht="23.4" thickBot="1" x14ac:dyDescent="0.45">
      <c r="B8" s="19" t="s">
        <v>154</v>
      </c>
      <c r="I8" s="19" t="s">
        <v>155</v>
      </c>
    </row>
    <row r="9" spans="2:15" ht="24" customHeight="1" thickTop="1" thickBot="1" x14ac:dyDescent="0.3">
      <c r="B9" s="203" t="s">
        <v>156</v>
      </c>
      <c r="C9" s="204"/>
      <c r="D9" s="205"/>
      <c r="E9" s="20" t="s">
        <v>27</v>
      </c>
      <c r="F9" s="20" t="s">
        <v>21</v>
      </c>
      <c r="G9" s="20" t="s">
        <v>13</v>
      </c>
    </row>
    <row r="10" spans="2:15" ht="25.5" customHeight="1" thickTop="1" thickBot="1" x14ac:dyDescent="0.3">
      <c r="B10" s="203" t="s">
        <v>157</v>
      </c>
      <c r="C10" s="204"/>
      <c r="D10" s="205"/>
      <c r="E10" s="25">
        <f>'مدارس اليافعين'!HZ22</f>
        <v>9</v>
      </c>
      <c r="F10" s="25">
        <f>'مدارس اليافعين'!IA22</f>
        <v>0</v>
      </c>
      <c r="G10" s="25">
        <f>SUM(E10:F10)</f>
        <v>9</v>
      </c>
      <c r="I10" s="203" t="s">
        <v>59</v>
      </c>
      <c r="J10" s="205"/>
      <c r="K10" s="203" t="s">
        <v>120</v>
      </c>
      <c r="L10" s="205"/>
    </row>
    <row r="11" spans="2:15" ht="18.600000000000001" thickTop="1" thickBot="1" x14ac:dyDescent="0.3">
      <c r="B11" s="208" t="s">
        <v>158</v>
      </c>
      <c r="C11" s="203" t="s">
        <v>159</v>
      </c>
      <c r="D11" s="205"/>
      <c r="E11" s="25">
        <f>'مدارس اليافعين'!IB22</f>
        <v>0</v>
      </c>
      <c r="F11" s="25">
        <f>'مدارس اليافعين'!IC22</f>
        <v>0</v>
      </c>
      <c r="G11" s="25">
        <f t="shared" ref="G11:G18" si="0">SUM(E11:F11)</f>
        <v>0</v>
      </c>
      <c r="I11" s="203" t="s">
        <v>27</v>
      </c>
      <c r="J11" s="205"/>
      <c r="K11" s="203">
        <f>'مدارس اليافعين'!JF22</f>
        <v>3</v>
      </c>
      <c r="L11" s="205"/>
    </row>
    <row r="12" spans="2:15" ht="18.600000000000001" thickTop="1" thickBot="1" x14ac:dyDescent="0.3">
      <c r="B12" s="212"/>
      <c r="C12" s="203" t="s">
        <v>113</v>
      </c>
      <c r="D12" s="205"/>
      <c r="E12" s="25">
        <f>'مدارس اليافعين'!ID22</f>
        <v>0</v>
      </c>
      <c r="F12" s="25">
        <f>'مدارس اليافعين'!IE22</f>
        <v>0</v>
      </c>
      <c r="G12" s="25">
        <f t="shared" si="0"/>
        <v>0</v>
      </c>
      <c r="I12" s="203" t="s">
        <v>21</v>
      </c>
      <c r="J12" s="205"/>
      <c r="K12" s="203">
        <f>'مدارس اليافعين'!JG22</f>
        <v>0</v>
      </c>
      <c r="L12" s="205"/>
    </row>
    <row r="13" spans="2:15" ht="18.600000000000001" thickTop="1" thickBot="1" x14ac:dyDescent="0.3">
      <c r="B13" s="212"/>
      <c r="C13" s="203" t="s">
        <v>114</v>
      </c>
      <c r="D13" s="205"/>
      <c r="E13" s="25">
        <f>'مدارس اليافعين'!IF22</f>
        <v>0</v>
      </c>
      <c r="F13" s="25">
        <f>'مدارس اليافعين'!IG22</f>
        <v>0</v>
      </c>
      <c r="G13" s="25">
        <f t="shared" si="0"/>
        <v>0</v>
      </c>
      <c r="I13" s="203" t="s">
        <v>13</v>
      </c>
      <c r="J13" s="205"/>
      <c r="K13" s="203">
        <f>K11+K12</f>
        <v>3</v>
      </c>
      <c r="L13" s="205"/>
    </row>
    <row r="14" spans="2:15" ht="18.600000000000001" thickTop="1" thickBot="1" x14ac:dyDescent="0.3">
      <c r="B14" s="212"/>
      <c r="C14" s="203" t="s">
        <v>115</v>
      </c>
      <c r="D14" s="205"/>
      <c r="E14" s="25">
        <f>'مدارس اليافعين'!IH22</f>
        <v>1</v>
      </c>
      <c r="F14" s="25">
        <f>'مدارس اليافعين'!II22</f>
        <v>0</v>
      </c>
      <c r="G14" s="25">
        <f t="shared" si="0"/>
        <v>1</v>
      </c>
    </row>
    <row r="15" spans="2:15" ht="18.600000000000001" thickTop="1" thickBot="1" x14ac:dyDescent="0.3">
      <c r="B15" s="212"/>
      <c r="C15" s="203" t="s">
        <v>160</v>
      </c>
      <c r="D15" s="205"/>
      <c r="E15" s="25">
        <f>'مدارس اليافعين'!IJ22</f>
        <v>0</v>
      </c>
      <c r="F15" s="25">
        <f>'مدارس اليافعين'!IK22</f>
        <v>0</v>
      </c>
      <c r="G15" s="25">
        <f t="shared" si="0"/>
        <v>0</v>
      </c>
    </row>
    <row r="16" spans="2:15" ht="18.600000000000001" thickTop="1" thickBot="1" x14ac:dyDescent="0.3">
      <c r="B16" s="212"/>
      <c r="C16" s="203" t="s">
        <v>161</v>
      </c>
      <c r="D16" s="205"/>
      <c r="E16" s="26"/>
      <c r="F16" s="25">
        <f>'مدارس اليافعين'!IM22</f>
        <v>0</v>
      </c>
      <c r="G16" s="25">
        <f t="shared" si="0"/>
        <v>0</v>
      </c>
    </row>
    <row r="17" spans="2:14" ht="18.600000000000001" thickTop="1" thickBot="1" x14ac:dyDescent="0.3">
      <c r="B17" s="212"/>
      <c r="C17" s="203" t="s">
        <v>162</v>
      </c>
      <c r="D17" s="205"/>
      <c r="E17" s="25">
        <f>'مدارس اليافعين'!IN22</f>
        <v>0</v>
      </c>
      <c r="F17" s="25">
        <f>'مدارس اليافعين'!IO22</f>
        <v>0</v>
      </c>
      <c r="G17" s="25">
        <f t="shared" si="0"/>
        <v>0</v>
      </c>
    </row>
    <row r="18" spans="2:14" ht="18.600000000000001" thickTop="1" thickBot="1" x14ac:dyDescent="0.3">
      <c r="B18" s="209"/>
      <c r="C18" s="203" t="s">
        <v>220</v>
      </c>
      <c r="D18" s="205"/>
      <c r="E18" s="25">
        <f>'مدارس اليافعين'!IP22</f>
        <v>0</v>
      </c>
      <c r="F18" s="25">
        <f>'مدارس اليافعين'!IQ22</f>
        <v>0</v>
      </c>
      <c r="G18" s="25">
        <f t="shared" si="0"/>
        <v>0</v>
      </c>
    </row>
    <row r="19" spans="2:14" ht="18.600000000000001" thickTop="1" thickBot="1" x14ac:dyDescent="0.3">
      <c r="B19" s="203" t="s">
        <v>54</v>
      </c>
      <c r="C19" s="204"/>
      <c r="D19" s="205"/>
      <c r="E19" s="25">
        <f>E18+E10+E17+E15+E14+E13+E12+E11</f>
        <v>10</v>
      </c>
      <c r="F19" s="25">
        <f t="shared" ref="F19:G19" si="1">F18+F10+F17+F15+F14+F13+F12+F11</f>
        <v>0</v>
      </c>
      <c r="G19" s="25">
        <f t="shared" si="1"/>
        <v>10</v>
      </c>
    </row>
    <row r="20" spans="2:14" ht="14.4" thickTop="1" x14ac:dyDescent="0.25"/>
    <row r="21" spans="2:14" ht="23.4" thickBot="1" x14ac:dyDescent="0.3">
      <c r="B21" s="22" t="s">
        <v>163</v>
      </c>
    </row>
    <row r="22" spans="2:14" ht="18" customHeight="1" thickTop="1" thickBot="1" x14ac:dyDescent="0.3">
      <c r="B22" s="203" t="s">
        <v>164</v>
      </c>
      <c r="C22" s="205"/>
      <c r="D22" s="210" t="s">
        <v>165</v>
      </c>
      <c r="E22" s="211"/>
      <c r="F22" s="203" t="s">
        <v>166</v>
      </c>
      <c r="G22" s="205"/>
      <c r="H22" s="203" t="s">
        <v>218</v>
      </c>
      <c r="I22" s="205"/>
      <c r="J22" s="203" t="s">
        <v>219</v>
      </c>
      <c r="K22" s="205"/>
      <c r="L22" s="203" t="s">
        <v>104</v>
      </c>
      <c r="M22" s="204"/>
      <c r="N22" s="205"/>
    </row>
    <row r="23" spans="2:14" ht="18" customHeight="1" thickTop="1" thickBot="1" x14ac:dyDescent="0.3">
      <c r="B23" s="20" t="s">
        <v>27</v>
      </c>
      <c r="C23" s="20" t="s">
        <v>21</v>
      </c>
      <c r="D23" s="20" t="s">
        <v>27</v>
      </c>
      <c r="E23" s="20" t="s">
        <v>21</v>
      </c>
      <c r="F23" s="20" t="s">
        <v>27</v>
      </c>
      <c r="G23" s="20" t="s">
        <v>21</v>
      </c>
      <c r="H23" s="20" t="s">
        <v>27</v>
      </c>
      <c r="I23" s="20" t="s">
        <v>21</v>
      </c>
      <c r="J23" s="20" t="s">
        <v>27</v>
      </c>
      <c r="K23" s="20" t="s">
        <v>21</v>
      </c>
      <c r="L23" s="20" t="s">
        <v>27</v>
      </c>
      <c r="M23" s="20" t="s">
        <v>21</v>
      </c>
      <c r="N23" s="20" t="s">
        <v>13</v>
      </c>
    </row>
    <row r="24" spans="2:14" s="24" customFormat="1" ht="24" customHeight="1" thickTop="1" thickBot="1" x14ac:dyDescent="0.35">
      <c r="B24" s="23">
        <f>'مدارس اليافعين'!GZ22</f>
        <v>0</v>
      </c>
      <c r="C24" s="23">
        <f>'مدارس اليافعين'!HA22</f>
        <v>0</v>
      </c>
      <c r="D24" s="23">
        <f>'مدارس اليافعين'!HB22</f>
        <v>1</v>
      </c>
      <c r="E24" s="23">
        <f>'مدارس اليافعين'!HC22</f>
        <v>0</v>
      </c>
      <c r="F24" s="23">
        <f>'مدارس اليافعين'!HD22</f>
        <v>2</v>
      </c>
      <c r="G24" s="23">
        <f>'مدارس اليافعين'!HE22</f>
        <v>0</v>
      </c>
      <c r="H24" s="23">
        <f>'مدارس اليافعين'!HF22</f>
        <v>7</v>
      </c>
      <c r="I24" s="23">
        <f>'مدارس اليافعين'!HG22</f>
        <v>0</v>
      </c>
      <c r="J24" s="23">
        <f>'مدارس اليافعين'!HH22</f>
        <v>0</v>
      </c>
      <c r="K24" s="23">
        <f>'مدارس اليافعين'!HI22</f>
        <v>0</v>
      </c>
      <c r="L24" s="23">
        <f>F24+D24+B24+H24+J24</f>
        <v>10</v>
      </c>
      <c r="M24" s="23">
        <f>G24+E24+C24+I24+K24</f>
        <v>0</v>
      </c>
      <c r="N24" s="23">
        <f>SUM(L24:M24)</f>
        <v>10</v>
      </c>
    </row>
    <row r="25" spans="2:14" ht="14.4" thickTop="1" x14ac:dyDescent="0.25"/>
    <row r="26" spans="2:14" ht="23.4" thickBot="1" x14ac:dyDescent="0.3">
      <c r="B26" s="22" t="s">
        <v>167</v>
      </c>
    </row>
    <row r="27" spans="2:14" ht="15" thickTop="1" thickBot="1" x14ac:dyDescent="0.3">
      <c r="B27" s="203" t="s">
        <v>91</v>
      </c>
      <c r="C27" s="205"/>
      <c r="D27" s="210" t="s">
        <v>168</v>
      </c>
      <c r="E27" s="211"/>
      <c r="F27" s="203" t="s">
        <v>169</v>
      </c>
      <c r="G27" s="205"/>
      <c r="H27" s="203" t="s">
        <v>170</v>
      </c>
      <c r="I27" s="205"/>
      <c r="J27" s="203" t="s">
        <v>171</v>
      </c>
      <c r="K27" s="205"/>
      <c r="L27" s="203" t="s">
        <v>13</v>
      </c>
      <c r="M27" s="204"/>
      <c r="N27" s="205"/>
    </row>
    <row r="28" spans="2:14" ht="15" thickTop="1" thickBot="1" x14ac:dyDescent="0.3">
      <c r="B28" s="20" t="s">
        <v>27</v>
      </c>
      <c r="C28" s="20" t="s">
        <v>21</v>
      </c>
      <c r="D28" s="20" t="s">
        <v>27</v>
      </c>
      <c r="E28" s="20" t="s">
        <v>21</v>
      </c>
      <c r="F28" s="20" t="s">
        <v>27</v>
      </c>
      <c r="G28" s="20" t="s">
        <v>21</v>
      </c>
      <c r="H28" s="20" t="s">
        <v>27</v>
      </c>
      <c r="I28" s="20" t="s">
        <v>21</v>
      </c>
      <c r="J28" s="20" t="s">
        <v>27</v>
      </c>
      <c r="K28" s="20" t="s">
        <v>21</v>
      </c>
      <c r="L28" s="20" t="s">
        <v>27</v>
      </c>
      <c r="M28" s="20" t="s">
        <v>21</v>
      </c>
      <c r="N28" s="20" t="s">
        <v>13</v>
      </c>
    </row>
    <row r="29" spans="2:14" s="24" customFormat="1" ht="22.5" customHeight="1" thickTop="1" thickBot="1" x14ac:dyDescent="0.35">
      <c r="B29" s="23">
        <f>'مدارس اليافعين'!HM22</f>
        <v>0</v>
      </c>
      <c r="C29" s="23">
        <f>'مدارس اليافعين'!HN22</f>
        <v>0</v>
      </c>
      <c r="D29" s="23">
        <f>'مدارس اليافعين'!HO22</f>
        <v>2</v>
      </c>
      <c r="E29" s="23">
        <f>'مدارس اليافعين'!HP22</f>
        <v>0</v>
      </c>
      <c r="F29" s="23">
        <f>'مدارس اليافعين'!HQ22</f>
        <v>3</v>
      </c>
      <c r="G29" s="23">
        <f>'مدارس اليافعين'!HR22</f>
        <v>0</v>
      </c>
      <c r="H29" s="23">
        <f>'مدارس اليافعين'!HS22</f>
        <v>5</v>
      </c>
      <c r="I29" s="23">
        <f>'مدارس اليافعين'!HT22</f>
        <v>0</v>
      </c>
      <c r="J29" s="23">
        <f>'مدارس اليافعين'!HU22</f>
        <v>0</v>
      </c>
      <c r="K29" s="23">
        <f>'مدارس اليافعين'!HV22</f>
        <v>0</v>
      </c>
      <c r="L29" s="23">
        <f>J29+H29+F29+D29+B29</f>
        <v>10</v>
      </c>
      <c r="M29" s="23">
        <f>K29+I29+G29+E29+C29</f>
        <v>0</v>
      </c>
      <c r="N29" s="23">
        <f>SUM(L29:M29)</f>
        <v>10</v>
      </c>
    </row>
    <row r="30" spans="2:14" ht="14.4" thickTop="1" x14ac:dyDescent="0.25"/>
  </sheetData>
  <mergeCells count="42">
    <mergeCell ref="L22:N22"/>
    <mergeCell ref="B27:C27"/>
    <mergeCell ref="D27:E27"/>
    <mergeCell ref="F27:G27"/>
    <mergeCell ref="H27:I27"/>
    <mergeCell ref="J27:K27"/>
    <mergeCell ref="L27:N27"/>
    <mergeCell ref="H22:I22"/>
    <mergeCell ref="F22:G22"/>
    <mergeCell ref="J22:K22"/>
    <mergeCell ref="C18:D18"/>
    <mergeCell ref="B19:D19"/>
    <mergeCell ref="B22:C22"/>
    <mergeCell ref="D22:E22"/>
    <mergeCell ref="B11:B18"/>
    <mergeCell ref="C11:D11"/>
    <mergeCell ref="C14:D14"/>
    <mergeCell ref="C15:D15"/>
    <mergeCell ref="C16:D16"/>
    <mergeCell ref="C13:D13"/>
    <mergeCell ref="C17:D17"/>
    <mergeCell ref="C12:D12"/>
    <mergeCell ref="I12:J12"/>
    <mergeCell ref="K12:L12"/>
    <mergeCell ref="I13:J13"/>
    <mergeCell ref="K13:L13"/>
    <mergeCell ref="M5:M6"/>
    <mergeCell ref="N5:N6"/>
    <mergeCell ref="B9:D9"/>
    <mergeCell ref="I11:J11"/>
    <mergeCell ref="K11:L11"/>
    <mergeCell ref="B10:D10"/>
    <mergeCell ref="I10:J10"/>
    <mergeCell ref="K10:L10"/>
    <mergeCell ref="I5:I6"/>
    <mergeCell ref="K5:K6"/>
    <mergeCell ref="L5:L6"/>
    <mergeCell ref="F4:H4"/>
    <mergeCell ref="B5:B6"/>
    <mergeCell ref="C5:C6"/>
    <mergeCell ref="D5:D6"/>
    <mergeCell ref="E5:E6"/>
  </mergeCells>
  <printOptions horizontalCentered="1" verticalCentered="1"/>
  <pageMargins left="0.3" right="0.33" top="0.23" bottom="0.2" header="0.2" footer="0.2"/>
  <pageSetup paperSize="9" scale="90" orientation="landscape" horizontalDpi="300" verticalDpi="300" r:id="rId1"/>
  <colBreaks count="1" manualBreakCount="1">
    <brk id="1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0"/>
  <sheetViews>
    <sheetView rightToLeft="1" view="pageBreakPreview" topLeftCell="A28" zoomScale="60" zoomScaleNormal="55" workbookViewId="0">
      <selection activeCell="I38" sqref="I38"/>
    </sheetView>
  </sheetViews>
  <sheetFormatPr defaultColWidth="9" defaultRowHeight="27.6" x14ac:dyDescent="0.45"/>
  <cols>
    <col min="1" max="1" width="9" style="2"/>
    <col min="2" max="2" width="15.09765625" style="2" customWidth="1"/>
    <col min="3" max="3" width="17" style="2" customWidth="1"/>
    <col min="4" max="4" width="13.69921875" style="2" customWidth="1"/>
    <col min="5" max="5" width="11.69921875" style="2" customWidth="1"/>
    <col min="6" max="6" width="14" style="2" customWidth="1"/>
    <col min="7" max="7" width="12.3984375" style="2" customWidth="1"/>
    <col min="8" max="8" width="13" style="2" customWidth="1"/>
    <col min="9" max="9" width="14.09765625" style="2" customWidth="1"/>
    <col min="10" max="11" width="14.3984375" style="2" customWidth="1"/>
    <col min="12" max="12" width="12.09765625" style="2" customWidth="1"/>
    <col min="13" max="13" width="11.09765625" style="2" customWidth="1"/>
    <col min="14" max="14" width="14.19921875" style="2" customWidth="1"/>
    <col min="15" max="15" width="11.19921875" style="2" customWidth="1"/>
    <col min="16" max="16" width="10.8984375" style="2" customWidth="1"/>
    <col min="17" max="17" width="9.59765625" style="2" bestFit="1" customWidth="1"/>
    <col min="18" max="18" width="15.5" style="2" customWidth="1"/>
    <col min="19" max="19" width="4.8984375" style="2" customWidth="1"/>
    <col min="20" max="16384" width="9" style="2"/>
  </cols>
  <sheetData>
    <row r="1" spans="3:18" s="5" customFormat="1" ht="51.75" customHeight="1" x14ac:dyDescent="0.5">
      <c r="C1" s="6"/>
      <c r="D1" s="6" t="s">
        <v>40</v>
      </c>
      <c r="M1" s="181" t="s">
        <v>67</v>
      </c>
      <c r="N1" s="181"/>
      <c r="O1" s="181"/>
      <c r="P1" s="181"/>
      <c r="Q1" s="181"/>
      <c r="R1" s="181"/>
    </row>
    <row r="2" spans="3:18" s="5" customFormat="1" ht="30" x14ac:dyDescent="0.5">
      <c r="C2" s="181" t="s">
        <v>41</v>
      </c>
      <c r="D2" s="181"/>
      <c r="E2" s="181"/>
      <c r="F2" s="181"/>
      <c r="M2" s="185" t="s">
        <v>68</v>
      </c>
      <c r="N2" s="185"/>
      <c r="O2" s="185"/>
      <c r="P2" s="185"/>
      <c r="Q2" s="185"/>
      <c r="R2" s="185"/>
    </row>
    <row r="3" spans="3:18" s="5" customFormat="1" ht="30" x14ac:dyDescent="0.5">
      <c r="C3" s="6"/>
      <c r="D3" s="6" t="s">
        <v>42</v>
      </c>
      <c r="M3" s="185" t="s">
        <v>69</v>
      </c>
      <c r="N3" s="185"/>
      <c r="O3" s="185"/>
      <c r="P3" s="185"/>
      <c r="Q3" s="185"/>
      <c r="R3" s="185"/>
    </row>
    <row r="4" spans="3:18" s="5" customFormat="1" ht="42.75" customHeight="1" x14ac:dyDescent="0.5">
      <c r="C4" s="185" t="s">
        <v>202</v>
      </c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7"/>
    </row>
    <row r="5" spans="3:18" s="5" customFormat="1" ht="42.75" customHeight="1" x14ac:dyDescent="0.5">
      <c r="C5" s="6" t="s">
        <v>43</v>
      </c>
      <c r="D5" s="8"/>
      <c r="E5" s="6" t="s">
        <v>44</v>
      </c>
      <c r="I5" s="6" t="s">
        <v>188</v>
      </c>
      <c r="L5" s="6" t="s">
        <v>189</v>
      </c>
    </row>
    <row r="6" spans="3:18" ht="28.8" thickBot="1" x14ac:dyDescent="0.55000000000000004">
      <c r="E6" s="1"/>
      <c r="F6" s="3"/>
      <c r="G6" s="1"/>
      <c r="I6" s="1"/>
      <c r="K6" s="1"/>
    </row>
    <row r="7" spans="3:18" s="5" customFormat="1" ht="54.75" customHeight="1" thickTop="1" thickBot="1" x14ac:dyDescent="0.55000000000000004">
      <c r="C7" s="177" t="s">
        <v>45</v>
      </c>
      <c r="D7" s="176"/>
      <c r="E7" s="177" t="s">
        <v>10</v>
      </c>
      <c r="F7" s="184"/>
      <c r="G7" s="176"/>
      <c r="H7" s="183" t="s">
        <v>56</v>
      </c>
      <c r="I7" s="183"/>
      <c r="J7" s="183"/>
      <c r="K7" s="183"/>
      <c r="L7" s="183"/>
    </row>
    <row r="8" spans="3:18" s="5" customFormat="1" ht="54.75" customHeight="1" thickTop="1" thickBot="1" x14ac:dyDescent="0.55000000000000004">
      <c r="C8" s="28" t="s">
        <v>46</v>
      </c>
      <c r="D8" s="28" t="s">
        <v>47</v>
      </c>
      <c r="E8" s="28" t="s">
        <v>5</v>
      </c>
      <c r="F8" s="28" t="s">
        <v>6</v>
      </c>
      <c r="G8" s="28" t="s">
        <v>48</v>
      </c>
      <c r="H8" s="183" t="s">
        <v>49</v>
      </c>
      <c r="I8" s="183"/>
      <c r="J8" s="183" t="s">
        <v>50</v>
      </c>
      <c r="K8" s="183"/>
      <c r="L8" s="183"/>
    </row>
    <row r="9" spans="3:18" s="5" customFormat="1" ht="54.75" customHeight="1" thickTop="1" thickBot="1" x14ac:dyDescent="0.55000000000000004">
      <c r="C9" s="28"/>
      <c r="D9" s="28"/>
      <c r="E9" s="28"/>
      <c r="F9" s="28"/>
      <c r="G9" s="28"/>
      <c r="H9" s="183"/>
      <c r="I9" s="183"/>
      <c r="J9" s="183"/>
      <c r="K9" s="183"/>
      <c r="L9" s="183"/>
    </row>
    <row r="10" spans="3:18" ht="45" customHeight="1" thickTop="1" thickBot="1" x14ac:dyDescent="0.65">
      <c r="C10" s="174" t="s">
        <v>51</v>
      </c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</row>
    <row r="11" spans="3:18" s="5" customFormat="1" ht="52.5" customHeight="1" thickTop="1" thickBot="1" x14ac:dyDescent="0.55000000000000004">
      <c r="C11" s="188" t="s">
        <v>52</v>
      </c>
      <c r="D11" s="177" t="s">
        <v>53</v>
      </c>
      <c r="E11" s="176"/>
      <c r="F11" s="177" t="s">
        <v>55</v>
      </c>
      <c r="G11" s="176"/>
      <c r="H11" s="177" t="s">
        <v>38</v>
      </c>
      <c r="I11" s="176"/>
      <c r="J11" s="177" t="s">
        <v>37</v>
      </c>
      <c r="K11" s="176"/>
      <c r="L11" s="177" t="s">
        <v>54</v>
      </c>
      <c r="M11" s="184"/>
      <c r="N11" s="176"/>
    </row>
    <row r="12" spans="3:18" s="5" customFormat="1" ht="52.5" customHeight="1" thickTop="1" thickBot="1" x14ac:dyDescent="0.55000000000000004">
      <c r="C12" s="189"/>
      <c r="D12" s="28" t="s">
        <v>5</v>
      </c>
      <c r="E12" s="28" t="s">
        <v>6</v>
      </c>
      <c r="F12" s="28" t="s">
        <v>5</v>
      </c>
      <c r="G12" s="28" t="s">
        <v>6</v>
      </c>
      <c r="H12" s="28" t="s">
        <v>5</v>
      </c>
      <c r="I12" s="28" t="s">
        <v>6</v>
      </c>
      <c r="J12" s="28" t="s">
        <v>5</v>
      </c>
      <c r="K12" s="28" t="s">
        <v>6</v>
      </c>
      <c r="L12" s="28" t="s">
        <v>5</v>
      </c>
      <c r="M12" s="28" t="s">
        <v>6</v>
      </c>
      <c r="N12" s="28" t="s">
        <v>13</v>
      </c>
    </row>
    <row r="13" spans="3:18" s="5" customFormat="1" ht="52.5" customHeight="1" thickTop="1" thickBot="1" x14ac:dyDescent="0.55000000000000004">
      <c r="C13" s="28">
        <v>10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 spans="3:18" s="5" customFormat="1" ht="52.5" customHeight="1" thickTop="1" thickBot="1" x14ac:dyDescent="0.55000000000000004">
      <c r="C14" s="28">
        <v>11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</row>
    <row r="15" spans="3:18" s="5" customFormat="1" ht="52.5" customHeight="1" thickTop="1" thickBot="1" x14ac:dyDescent="0.55000000000000004">
      <c r="C15" s="28">
        <v>12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3:18" s="5" customFormat="1" ht="52.5" customHeight="1" thickTop="1" thickBot="1" x14ac:dyDescent="0.55000000000000004">
      <c r="C16" s="28">
        <v>13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</row>
    <row r="17" spans="2:18" s="5" customFormat="1" ht="52.5" customHeight="1" thickTop="1" thickBot="1" x14ac:dyDescent="0.55000000000000004">
      <c r="C17" s="28">
        <v>14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</row>
    <row r="18" spans="2:18" s="5" customFormat="1" ht="52.5" customHeight="1" thickTop="1" thickBot="1" x14ac:dyDescent="0.55000000000000004">
      <c r="C18" s="28">
        <v>15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</row>
    <row r="19" spans="2:18" s="5" customFormat="1" ht="52.5" customHeight="1" thickTop="1" thickBot="1" x14ac:dyDescent="0.55000000000000004">
      <c r="C19" s="28" t="s">
        <v>13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</row>
    <row r="20" spans="2:18" ht="28.5" customHeight="1" thickTop="1" thickBot="1" x14ac:dyDescent="0.5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2:18" ht="39.75" customHeight="1" thickTop="1" thickBot="1" x14ac:dyDescent="0.5">
      <c r="B21" s="197" t="s">
        <v>175</v>
      </c>
      <c r="C21" s="198"/>
      <c r="D21" s="166" t="s">
        <v>203</v>
      </c>
      <c r="E21" s="167"/>
      <c r="F21" s="168"/>
      <c r="G21" s="166" t="s">
        <v>204</v>
      </c>
      <c r="H21" s="167"/>
      <c r="I21" s="172"/>
      <c r="J21" s="178" t="s">
        <v>205</v>
      </c>
      <c r="K21" s="179"/>
      <c r="L21" s="179"/>
      <c r="M21" s="179"/>
      <c r="N21" s="179"/>
      <c r="O21" s="180"/>
      <c r="P21" s="160" t="s">
        <v>75</v>
      </c>
      <c r="Q21" s="161"/>
      <c r="R21" s="162"/>
    </row>
    <row r="22" spans="2:18" ht="39.75" customHeight="1" thickTop="1" thickBot="1" x14ac:dyDescent="0.5">
      <c r="B22" s="199"/>
      <c r="C22" s="200"/>
      <c r="D22" s="169"/>
      <c r="E22" s="170"/>
      <c r="F22" s="171"/>
      <c r="G22" s="169"/>
      <c r="H22" s="170"/>
      <c r="I22" s="173"/>
      <c r="J22" s="175" t="s">
        <v>72</v>
      </c>
      <c r="K22" s="176"/>
      <c r="L22" s="177" t="s">
        <v>73</v>
      </c>
      <c r="M22" s="176"/>
      <c r="N22" s="177" t="s">
        <v>74</v>
      </c>
      <c r="O22" s="176"/>
      <c r="P22" s="163"/>
      <c r="Q22" s="164"/>
      <c r="R22" s="165"/>
    </row>
    <row r="23" spans="2:18" ht="39.75" customHeight="1" thickTop="1" thickBot="1" x14ac:dyDescent="0.5">
      <c r="B23" s="201"/>
      <c r="C23" s="202"/>
      <c r="D23" s="28" t="s">
        <v>71</v>
      </c>
      <c r="E23" s="28" t="s">
        <v>6</v>
      </c>
      <c r="F23" s="28" t="s">
        <v>13</v>
      </c>
      <c r="G23" s="28" t="s">
        <v>71</v>
      </c>
      <c r="H23" s="28" t="s">
        <v>6</v>
      </c>
      <c r="I23" s="11" t="s">
        <v>13</v>
      </c>
      <c r="J23" s="15" t="s">
        <v>71</v>
      </c>
      <c r="K23" s="28" t="s">
        <v>6</v>
      </c>
      <c r="L23" s="28" t="s">
        <v>71</v>
      </c>
      <c r="M23" s="28" t="s">
        <v>6</v>
      </c>
      <c r="N23" s="28" t="s">
        <v>71</v>
      </c>
      <c r="O23" s="28" t="s">
        <v>6</v>
      </c>
      <c r="P23" s="28" t="s">
        <v>71</v>
      </c>
      <c r="Q23" s="28" t="s">
        <v>6</v>
      </c>
      <c r="R23" s="11" t="s">
        <v>13</v>
      </c>
    </row>
    <row r="24" spans="2:18" ht="39.75" customHeight="1" thickTop="1" thickBot="1" x14ac:dyDescent="0.5">
      <c r="B24" s="190" t="s">
        <v>34</v>
      </c>
      <c r="C24" s="191"/>
      <c r="D24" s="28"/>
      <c r="E24" s="28"/>
      <c r="F24" s="28"/>
      <c r="G24" s="28"/>
      <c r="H24" s="28"/>
      <c r="I24" s="11"/>
      <c r="J24" s="15"/>
      <c r="K24" s="28"/>
      <c r="L24" s="28"/>
      <c r="M24" s="28"/>
      <c r="N24" s="28"/>
      <c r="O24" s="28"/>
      <c r="P24" s="28"/>
      <c r="Q24" s="28"/>
      <c r="R24" s="11"/>
    </row>
    <row r="25" spans="2:18" ht="39.75" customHeight="1" thickTop="1" thickBot="1" x14ac:dyDescent="0.5">
      <c r="B25" s="190" t="s">
        <v>35</v>
      </c>
      <c r="C25" s="191"/>
      <c r="D25" s="28"/>
      <c r="E25" s="28"/>
      <c r="F25" s="28"/>
      <c r="G25" s="28"/>
      <c r="H25" s="28"/>
      <c r="I25" s="11"/>
      <c r="J25" s="15"/>
      <c r="K25" s="28"/>
      <c r="L25" s="28"/>
      <c r="M25" s="28"/>
      <c r="N25" s="28"/>
      <c r="O25" s="28"/>
      <c r="P25" s="28"/>
      <c r="Q25" s="28"/>
      <c r="R25" s="11"/>
    </row>
    <row r="26" spans="2:18" ht="39.75" customHeight="1" thickTop="1" thickBot="1" x14ac:dyDescent="0.5">
      <c r="B26" s="190" t="s">
        <v>36</v>
      </c>
      <c r="C26" s="191"/>
      <c r="D26" s="28"/>
      <c r="E26" s="28"/>
      <c r="F26" s="28"/>
      <c r="G26" s="28"/>
      <c r="H26" s="28"/>
      <c r="I26" s="11"/>
      <c r="J26" s="15"/>
      <c r="K26" s="28"/>
      <c r="L26" s="28"/>
      <c r="M26" s="28"/>
      <c r="N26" s="28"/>
      <c r="O26" s="28"/>
      <c r="P26" s="28"/>
      <c r="Q26" s="28"/>
      <c r="R26" s="11"/>
    </row>
    <row r="27" spans="2:18" ht="39.75" customHeight="1" thickTop="1" thickBot="1" x14ac:dyDescent="0.5">
      <c r="B27" s="190" t="s">
        <v>37</v>
      </c>
      <c r="C27" s="191"/>
      <c r="D27" s="28"/>
      <c r="E27" s="28"/>
      <c r="F27" s="28"/>
      <c r="G27" s="28"/>
      <c r="H27" s="28"/>
      <c r="I27" s="11"/>
      <c r="J27" s="15"/>
      <c r="K27" s="28"/>
      <c r="L27" s="28"/>
      <c r="M27" s="28"/>
      <c r="N27" s="28"/>
      <c r="O27" s="28"/>
      <c r="P27" s="28"/>
      <c r="Q27" s="28"/>
      <c r="R27" s="11"/>
    </row>
    <row r="28" spans="2:18" ht="39.75" customHeight="1" thickTop="1" thickBot="1" x14ac:dyDescent="0.5">
      <c r="B28" s="192" t="s">
        <v>13</v>
      </c>
      <c r="C28" s="193"/>
      <c r="D28" s="12"/>
      <c r="E28" s="12"/>
      <c r="F28" s="12"/>
      <c r="G28" s="12"/>
      <c r="H28" s="12"/>
      <c r="I28" s="13"/>
      <c r="J28" s="16"/>
      <c r="K28" s="12"/>
      <c r="L28" s="12"/>
      <c r="M28" s="12"/>
      <c r="N28" s="12"/>
      <c r="O28" s="12"/>
      <c r="P28" s="12"/>
      <c r="Q28" s="12"/>
      <c r="R28" s="13"/>
    </row>
    <row r="29" spans="2:18" ht="28.5" customHeight="1" thickTop="1" x14ac:dyDescent="0.45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2:18" ht="24" customHeight="1" thickBot="1" x14ac:dyDescent="0.5"/>
    <row r="31" spans="2:18" s="5" customFormat="1" ht="62.25" customHeight="1" thickTop="1" thickBot="1" x14ac:dyDescent="0.55000000000000004">
      <c r="B31" s="194" t="s">
        <v>57</v>
      </c>
      <c r="C31" s="186" t="s">
        <v>53</v>
      </c>
      <c r="D31" s="179"/>
      <c r="E31" s="180"/>
      <c r="F31" s="186" t="s">
        <v>35</v>
      </c>
      <c r="G31" s="179"/>
      <c r="H31" s="180"/>
      <c r="I31" s="186" t="s">
        <v>36</v>
      </c>
      <c r="J31" s="179"/>
      <c r="K31" s="180"/>
      <c r="L31" s="186" t="s">
        <v>37</v>
      </c>
      <c r="M31" s="179"/>
      <c r="N31" s="180"/>
      <c r="O31" s="186" t="s">
        <v>13</v>
      </c>
      <c r="P31" s="179"/>
      <c r="Q31" s="179"/>
      <c r="R31" s="187"/>
    </row>
    <row r="32" spans="2:18" s="5" customFormat="1" ht="62.25" customHeight="1" thickTop="1" thickBot="1" x14ac:dyDescent="0.55000000000000004">
      <c r="B32" s="195"/>
      <c r="C32" s="10" t="s">
        <v>5</v>
      </c>
      <c r="D32" s="10" t="s">
        <v>6</v>
      </c>
      <c r="E32" s="10" t="s">
        <v>7</v>
      </c>
      <c r="F32" s="10" t="s">
        <v>5</v>
      </c>
      <c r="G32" s="10" t="s">
        <v>6</v>
      </c>
      <c r="H32" s="10" t="s">
        <v>7</v>
      </c>
      <c r="I32" s="10" t="s">
        <v>5</v>
      </c>
      <c r="J32" s="10" t="s">
        <v>6</v>
      </c>
      <c r="K32" s="10" t="s">
        <v>7</v>
      </c>
      <c r="L32" s="28" t="s">
        <v>5</v>
      </c>
      <c r="M32" s="28" t="s">
        <v>6</v>
      </c>
      <c r="N32" s="28" t="s">
        <v>7</v>
      </c>
      <c r="O32" s="28" t="s">
        <v>5</v>
      </c>
      <c r="P32" s="28" t="s">
        <v>6</v>
      </c>
      <c r="Q32" s="28" t="s">
        <v>7</v>
      </c>
      <c r="R32" s="11" t="s">
        <v>13</v>
      </c>
    </row>
    <row r="33" spans="2:18" s="5" customFormat="1" ht="62.25" customHeight="1" thickTop="1" thickBot="1" x14ac:dyDescent="0.55000000000000004">
      <c r="B33" s="196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3"/>
    </row>
    <row r="34" spans="2:18" ht="28.2" thickTop="1" x14ac:dyDescent="0.45"/>
    <row r="35" spans="2:18" s="5" customFormat="1" ht="30.6" thickBot="1" x14ac:dyDescent="0.55000000000000004">
      <c r="C35" s="182" t="s">
        <v>58</v>
      </c>
      <c r="D35" s="182"/>
      <c r="E35" s="182"/>
      <c r="F35" s="182"/>
      <c r="G35" s="182"/>
      <c r="J35" s="164" t="s">
        <v>60</v>
      </c>
      <c r="K35" s="164"/>
    </row>
    <row r="36" spans="2:18" s="5" customFormat="1" ht="45" customHeight="1" thickTop="1" thickBot="1" x14ac:dyDescent="0.55000000000000004">
      <c r="C36" s="28" t="s">
        <v>59</v>
      </c>
      <c r="D36" s="28" t="s">
        <v>22</v>
      </c>
      <c r="E36" s="28" t="s">
        <v>23</v>
      </c>
      <c r="F36" s="28" t="s">
        <v>25</v>
      </c>
      <c r="G36" s="28" t="s">
        <v>70</v>
      </c>
      <c r="H36" s="28" t="s">
        <v>13</v>
      </c>
      <c r="J36" s="28" t="s">
        <v>59</v>
      </c>
      <c r="K36" s="28" t="s">
        <v>61</v>
      </c>
    </row>
    <row r="37" spans="2:18" s="5" customFormat="1" ht="45" customHeight="1" thickTop="1" thickBot="1" x14ac:dyDescent="0.55000000000000004">
      <c r="C37" s="28" t="s">
        <v>27</v>
      </c>
      <c r="D37" s="28"/>
      <c r="E37" s="28"/>
      <c r="F37" s="28"/>
      <c r="G37" s="28"/>
      <c r="H37" s="28"/>
      <c r="J37" s="28" t="s">
        <v>27</v>
      </c>
      <c r="K37" s="28"/>
    </row>
    <row r="38" spans="2:18" s="5" customFormat="1" ht="45" customHeight="1" thickTop="1" thickBot="1" x14ac:dyDescent="0.55000000000000004">
      <c r="C38" s="28" t="s">
        <v>21</v>
      </c>
      <c r="D38" s="28"/>
      <c r="E38" s="28"/>
      <c r="F38" s="28"/>
      <c r="G38" s="28"/>
      <c r="H38" s="28"/>
      <c r="J38" s="28" t="s">
        <v>21</v>
      </c>
      <c r="K38" s="28"/>
    </row>
    <row r="39" spans="2:18" s="5" customFormat="1" ht="45" customHeight="1" thickTop="1" thickBot="1" x14ac:dyDescent="0.55000000000000004">
      <c r="C39" s="28" t="s">
        <v>13</v>
      </c>
      <c r="D39" s="28"/>
      <c r="E39" s="28"/>
      <c r="F39" s="28"/>
      <c r="G39" s="28"/>
      <c r="H39" s="28"/>
      <c r="J39" s="28" t="s">
        <v>13</v>
      </c>
      <c r="K39" s="28"/>
    </row>
    <row r="40" spans="2:18" ht="14.25" customHeight="1" thickTop="1" x14ac:dyDescent="0.45"/>
  </sheetData>
  <mergeCells count="40">
    <mergeCell ref="C35:G35"/>
    <mergeCell ref="J35:K35"/>
    <mergeCell ref="B31:B33"/>
    <mergeCell ref="C31:E31"/>
    <mergeCell ref="L11:N11"/>
    <mergeCell ref="B21:C23"/>
    <mergeCell ref="D21:F22"/>
    <mergeCell ref="G21:I22"/>
    <mergeCell ref="J21:O21"/>
    <mergeCell ref="B24:C24"/>
    <mergeCell ref="B25:C25"/>
    <mergeCell ref="B26:C26"/>
    <mergeCell ref="B27:C27"/>
    <mergeCell ref="B28:C28"/>
    <mergeCell ref="F31:H31"/>
    <mergeCell ref="I31:K31"/>
    <mergeCell ref="L31:N31"/>
    <mergeCell ref="O31:R31"/>
    <mergeCell ref="P21:R22"/>
    <mergeCell ref="J22:K22"/>
    <mergeCell ref="L22:M22"/>
    <mergeCell ref="N22:O22"/>
    <mergeCell ref="H8:I8"/>
    <mergeCell ref="J8:L8"/>
    <mergeCell ref="H9:I9"/>
    <mergeCell ref="J9:L9"/>
    <mergeCell ref="C10:N10"/>
    <mergeCell ref="C11:C12"/>
    <mergeCell ref="D11:E11"/>
    <mergeCell ref="F11:G11"/>
    <mergeCell ref="H11:I11"/>
    <mergeCell ref="J11:K11"/>
    <mergeCell ref="C7:D7"/>
    <mergeCell ref="E7:G7"/>
    <mergeCell ref="H7:L7"/>
    <mergeCell ref="M1:R1"/>
    <mergeCell ref="C2:F2"/>
    <mergeCell ref="M2:R2"/>
    <mergeCell ref="M3:R3"/>
    <mergeCell ref="C4:N4"/>
  </mergeCells>
  <printOptions horizontalCentered="1" verticalCentered="1"/>
  <pageMargins left="0.23622047244094491" right="0.2" top="0.51181102362204722" bottom="0.47244094488188981" header="0.31496062992125984" footer="0.31496062992125984"/>
  <pageSetup paperSize="9" scale="4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مدارس اليافعين</vt:lpstr>
      <vt:lpstr>استمارة اليافعين</vt:lpstr>
      <vt:lpstr>استمارة 11</vt:lpstr>
      <vt:lpstr>ورقة1</vt:lpstr>
      <vt:lpstr>'استمارة 11'!Print_Area</vt:lpstr>
      <vt:lpstr>'استمارة اليافعين'!Print_Area</vt:lpstr>
      <vt:lpstr>'مدارس اليافعين'!Print_Area</vt:lpstr>
      <vt:lpstr>ورقة1!Print_Area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</dc:creator>
  <cp:lastModifiedBy>Mohammed</cp:lastModifiedBy>
  <cp:lastPrinted>2026-02-02T10:50:20Z</cp:lastPrinted>
  <dcterms:created xsi:type="dcterms:W3CDTF">2010-01-18T05:54:12Z</dcterms:created>
  <dcterms:modified xsi:type="dcterms:W3CDTF">2026-04-18T10:35:33Z</dcterms:modified>
</cp:coreProperties>
</file>