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0188" yWindow="-12" windowWidth="10320" windowHeight="8148" tabRatio="945" activeTab="1"/>
  </bookViews>
  <sheets>
    <sheet name="التعليم المسرع" sheetId="7" r:id="rId1"/>
    <sheet name="المحافظة" sheetId="3" r:id="rId2"/>
    <sheet name="قضاء النجف" sheetId="4" r:id="rId3"/>
    <sheet name="مركزالنجف" sheetId="8" r:id="rId4"/>
    <sheet name="الحيدرية" sheetId="9" r:id="rId5"/>
    <sheet name="الرضوية" sheetId="18" r:id="rId6"/>
    <sheet name="قضاء الكوفة" sheetId="5" r:id="rId7"/>
    <sheet name="مركزالكوفة" sheetId="10" r:id="rId8"/>
    <sheet name="العباسية" sheetId="11" r:id="rId9"/>
    <sheet name="الحرية" sheetId="12" r:id="rId10"/>
    <sheet name="قضاء المناذرة" sheetId="6" r:id="rId11"/>
    <sheet name="مركزالمناذرة" sheetId="13" r:id="rId12"/>
    <sheet name="الحيرة" sheetId="14" r:id="rId13"/>
    <sheet name="قضاءالمشخاب" sheetId="17" r:id="rId14"/>
    <sheet name="المشخاب" sheetId="15" r:id="rId15"/>
    <sheet name="القادسية" sheetId="16" r:id="rId16"/>
  </sheets>
  <definedNames>
    <definedName name="_xlnm._FilterDatabase" localSheetId="0" hidden="1">'التعليم المسرع'!$A$5:$JE$36</definedName>
    <definedName name="_xlnm.Print_Area" localSheetId="9">الحرية!$A$1:$P$70</definedName>
    <definedName name="_xlnm.Print_Area" localSheetId="4">الحيدرية!$A$1:$P$68</definedName>
    <definedName name="_xlnm.Print_Area" localSheetId="8">العباسية!$A$1:$P$70</definedName>
    <definedName name="_xlnm.Print_Area" localSheetId="15">القادسية!$A$1:$P$68</definedName>
    <definedName name="_xlnm.Print_Area" localSheetId="1">المحافظة!$A$1:$P$71</definedName>
    <definedName name="_xlnm.Print_Area" localSheetId="14">المشخاب!$A$1:$P$69</definedName>
    <definedName name="_xlnm.Print_Area" localSheetId="6">'قضاء الكوفة'!$A$1:$P$69</definedName>
    <definedName name="_xlnm.Print_Area" localSheetId="10">'قضاء المناذرة'!$A$1:$P$71</definedName>
    <definedName name="_xlnm.Print_Area" localSheetId="2">'قضاء النجف'!$A$1:$P$69</definedName>
    <definedName name="_xlnm.Print_Area" localSheetId="13">قضاءالمشخاب!$A$1:$P$69</definedName>
    <definedName name="_xlnm.Print_Area" localSheetId="7">مركزالكوفة!$A$1:$P$68</definedName>
    <definedName name="_xlnm.Print_Area" localSheetId="11">مركزالمناذرة!$A$1:$P$70</definedName>
    <definedName name="_xlnm.Print_Area" localSheetId="3">مركزالنجف!$A$1:$P$69</definedName>
  </definedNames>
  <calcPr calcId="162913"/>
  <fileRecoveryPr autoRecover="0"/>
</workbook>
</file>

<file path=xl/calcChain.xml><?xml version="1.0" encoding="utf-8"?>
<calcChain xmlns="http://schemas.openxmlformats.org/spreadsheetml/2006/main">
  <c r="CZ32" i="7" l="1"/>
  <c r="CY32" i="7"/>
  <c r="CX32" i="7"/>
  <c r="CZ31" i="7"/>
  <c r="DA31" i="7" s="1"/>
  <c r="CY31" i="7"/>
  <c r="CX31" i="7"/>
  <c r="CZ35" i="7"/>
  <c r="CY35" i="7"/>
  <c r="CX35" i="7"/>
  <c r="CZ34" i="7"/>
  <c r="CY34" i="7"/>
  <c r="CX34" i="7"/>
  <c r="CZ33" i="7"/>
  <c r="CY33" i="7"/>
  <c r="CX33" i="7"/>
  <c r="AO35" i="7"/>
  <c r="AO34" i="7"/>
  <c r="AO33" i="7"/>
  <c r="AO32" i="7"/>
  <c r="AO31" i="7"/>
  <c r="IB27" i="7"/>
  <c r="IC27" i="7"/>
  <c r="GW27" i="7"/>
  <c r="GX27" i="7"/>
  <c r="GN27" i="7"/>
  <c r="GO27" i="7"/>
  <c r="FU27" i="7"/>
  <c r="FV27" i="7"/>
  <c r="FW27" i="7" s="1"/>
  <c r="ER27" i="7"/>
  <c r="ES27" i="7"/>
  <c r="FC27" i="7"/>
  <c r="FD27" i="7"/>
  <c r="FE27" i="7" s="1"/>
  <c r="EI27" i="7"/>
  <c r="EJ27" i="7"/>
  <c r="DZ27" i="7"/>
  <c r="EA27" i="7"/>
  <c r="DQ27" i="7"/>
  <c r="DR27" i="7"/>
  <c r="DH27" i="7"/>
  <c r="DI27" i="7"/>
  <c r="CX27" i="7"/>
  <c r="CY27" i="7"/>
  <c r="CZ27" i="7"/>
  <c r="BX27" i="7"/>
  <c r="BY27" i="7"/>
  <c r="BZ27" i="7"/>
  <c r="CA27" i="7"/>
  <c r="CB27" i="7"/>
  <c r="CC27" i="7"/>
  <c r="CD27" i="7"/>
  <c r="CE27" i="7"/>
  <c r="CF27" i="7"/>
  <c r="CG27" i="7"/>
  <c r="CH27" i="7"/>
  <c r="CI27" i="7"/>
  <c r="CJ27" i="7"/>
  <c r="CK27" i="7"/>
  <c r="AM27" i="7"/>
  <c r="AN27" i="7"/>
  <c r="BD27" i="7"/>
  <c r="BE27" i="7"/>
  <c r="BU27" i="7"/>
  <c r="BV27" i="7"/>
  <c r="BW35" i="7"/>
  <c r="BW34" i="7"/>
  <c r="BW33" i="7"/>
  <c r="BW32" i="7"/>
  <c r="BW31" i="7"/>
  <c r="BF35" i="7"/>
  <c r="BF34" i="7"/>
  <c r="BF33" i="7"/>
  <c r="BF32" i="7"/>
  <c r="BF31" i="7"/>
  <c r="DS27" i="7" l="1"/>
  <c r="ET27" i="7"/>
  <c r="AO27" i="7"/>
  <c r="GP27" i="7"/>
  <c r="CM27" i="7"/>
  <c r="DJ27" i="7"/>
  <c r="BF27" i="7"/>
  <c r="CL27" i="7"/>
  <c r="DA33" i="7"/>
  <c r="EK27" i="7"/>
  <c r="DA34" i="7"/>
  <c r="EB27" i="7"/>
  <c r="ID27" i="7"/>
  <c r="DA27" i="7"/>
  <c r="GY27" i="7"/>
  <c r="DA32" i="7"/>
  <c r="BW27" i="7"/>
  <c r="DA35" i="7"/>
  <c r="BE30" i="7"/>
  <c r="BD30" i="7"/>
  <c r="IC30" i="7"/>
  <c r="IB30" i="7"/>
  <c r="HR30" i="7"/>
  <c r="HQ30" i="7"/>
  <c r="GX30" i="7"/>
  <c r="GW30" i="7"/>
  <c r="GO30" i="7"/>
  <c r="GN30" i="7"/>
  <c r="FV30" i="7"/>
  <c r="FU30" i="7"/>
  <c r="FD30" i="7"/>
  <c r="FC30" i="7"/>
  <c r="ES30" i="7"/>
  <c r="ER30" i="7"/>
  <c r="EJ30" i="7"/>
  <c r="EI30" i="7"/>
  <c r="EA30" i="7"/>
  <c r="DZ30" i="7"/>
  <c r="DR30" i="7"/>
  <c r="DQ30" i="7"/>
  <c r="DI30" i="7"/>
  <c r="DH30" i="7"/>
  <c r="CZ30" i="7"/>
  <c r="CY30" i="7"/>
  <c r="CX30" i="7"/>
  <c r="CK30" i="7"/>
  <c r="CJ30" i="7"/>
  <c r="CI30" i="7"/>
  <c r="CH30" i="7"/>
  <c r="CG30" i="7"/>
  <c r="CF30" i="7"/>
  <c r="CE30" i="7"/>
  <c r="CD30" i="7"/>
  <c r="CC30" i="7"/>
  <c r="CB30" i="7"/>
  <c r="CA30" i="7"/>
  <c r="BZ30" i="7"/>
  <c r="BY30" i="7"/>
  <c r="BX30" i="7"/>
  <c r="BV30" i="7"/>
  <c r="BU30" i="7"/>
  <c r="AN30" i="7"/>
  <c r="AM30" i="7"/>
  <c r="IC29" i="7"/>
  <c r="IB29" i="7"/>
  <c r="HR29" i="7"/>
  <c r="HQ29" i="7"/>
  <c r="GX29" i="7"/>
  <c r="GW29" i="7"/>
  <c r="GO29" i="7"/>
  <c r="GN29" i="7"/>
  <c r="FD29" i="7"/>
  <c r="FC29" i="7"/>
  <c r="ES29" i="7"/>
  <c r="ER29" i="7"/>
  <c r="EJ29" i="7"/>
  <c r="EI29" i="7"/>
  <c r="EA29" i="7"/>
  <c r="DZ29" i="7"/>
  <c r="DR29" i="7"/>
  <c r="DQ29" i="7"/>
  <c r="DI29" i="7"/>
  <c r="DH29" i="7"/>
  <c r="CZ29" i="7"/>
  <c r="CY29" i="7"/>
  <c r="CX29" i="7"/>
  <c r="CK29" i="7"/>
  <c r="CJ29" i="7"/>
  <c r="CI29" i="7"/>
  <c r="CH29" i="7"/>
  <c r="CG29" i="7"/>
  <c r="CF29" i="7"/>
  <c r="CE29" i="7"/>
  <c r="CD29" i="7"/>
  <c r="CC29" i="7"/>
  <c r="CB29" i="7"/>
  <c r="CA29" i="7"/>
  <c r="BZ29" i="7"/>
  <c r="BY29" i="7"/>
  <c r="BX29" i="7"/>
  <c r="BV29" i="7"/>
  <c r="BU29" i="7"/>
  <c r="BE29" i="7"/>
  <c r="BD29" i="7"/>
  <c r="AN29" i="7"/>
  <c r="AM29" i="7"/>
  <c r="IC28" i="7"/>
  <c r="IB28" i="7"/>
  <c r="HR28" i="7"/>
  <c r="HQ28" i="7"/>
  <c r="GX28" i="7"/>
  <c r="GW28" i="7"/>
  <c r="GO28" i="7"/>
  <c r="GN28" i="7"/>
  <c r="FV28" i="7"/>
  <c r="FU28" i="7"/>
  <c r="FD28" i="7"/>
  <c r="FC28" i="7"/>
  <c r="ES28" i="7"/>
  <c r="ER28" i="7"/>
  <c r="EJ28" i="7"/>
  <c r="EI28" i="7"/>
  <c r="EA28" i="7"/>
  <c r="DZ28" i="7"/>
  <c r="DR28" i="7"/>
  <c r="DQ28" i="7"/>
  <c r="DI28" i="7"/>
  <c r="DH28" i="7"/>
  <c r="CZ28" i="7"/>
  <c r="CY28" i="7"/>
  <c r="CX28" i="7"/>
  <c r="CK28" i="7"/>
  <c r="CJ28" i="7"/>
  <c r="CI28" i="7"/>
  <c r="CH28" i="7"/>
  <c r="CG28" i="7"/>
  <c r="CF28" i="7"/>
  <c r="CE28" i="7"/>
  <c r="CD28" i="7"/>
  <c r="CC28" i="7"/>
  <c r="CB28" i="7"/>
  <c r="CA28" i="7"/>
  <c r="BZ28" i="7"/>
  <c r="BY28" i="7"/>
  <c r="BX28" i="7"/>
  <c r="BV28" i="7"/>
  <c r="BU28" i="7"/>
  <c r="BE28" i="7"/>
  <c r="BD28" i="7"/>
  <c r="AN28" i="7"/>
  <c r="AM28" i="7"/>
  <c r="IC26" i="7"/>
  <c r="IB26" i="7"/>
  <c r="HR26" i="7"/>
  <c r="HQ26" i="7"/>
  <c r="GX26" i="7"/>
  <c r="GW26" i="7"/>
  <c r="GO26" i="7"/>
  <c r="GN26" i="7"/>
  <c r="FV26" i="7"/>
  <c r="FU26" i="7"/>
  <c r="FD26" i="7"/>
  <c r="FC26" i="7"/>
  <c r="ES26" i="7"/>
  <c r="ER26" i="7"/>
  <c r="EJ26" i="7"/>
  <c r="EI26" i="7"/>
  <c r="EA26" i="7"/>
  <c r="DZ26" i="7"/>
  <c r="DR26" i="7"/>
  <c r="DQ26" i="7"/>
  <c r="DI26" i="7"/>
  <c r="DH26" i="7"/>
  <c r="CZ26" i="7"/>
  <c r="CY26" i="7"/>
  <c r="CX26" i="7"/>
  <c r="CK26" i="7"/>
  <c r="CJ26" i="7"/>
  <c r="CI26" i="7"/>
  <c r="CH26" i="7"/>
  <c r="CG26" i="7"/>
  <c r="CF26" i="7"/>
  <c r="CE26" i="7"/>
  <c r="CD26" i="7"/>
  <c r="CC26" i="7"/>
  <c r="CB26" i="7"/>
  <c r="CA26" i="7"/>
  <c r="BZ26" i="7"/>
  <c r="BY26" i="7"/>
  <c r="BX26" i="7"/>
  <c r="BV26" i="7"/>
  <c r="BU26" i="7"/>
  <c r="BE26" i="7"/>
  <c r="BD26" i="7"/>
  <c r="AN26" i="7"/>
  <c r="AM26" i="7"/>
  <c r="IC25" i="7"/>
  <c r="IB25" i="7"/>
  <c r="HR25" i="7"/>
  <c r="HQ25" i="7"/>
  <c r="GX25" i="7"/>
  <c r="GW25" i="7"/>
  <c r="GO25" i="7"/>
  <c r="GN25" i="7"/>
  <c r="FV25" i="7"/>
  <c r="FU25" i="7"/>
  <c r="FD25" i="7"/>
  <c r="FC25" i="7"/>
  <c r="ES25" i="7"/>
  <c r="ER25" i="7"/>
  <c r="EJ25" i="7"/>
  <c r="EI25" i="7"/>
  <c r="EA25" i="7"/>
  <c r="DZ25" i="7"/>
  <c r="DR25" i="7"/>
  <c r="DQ25" i="7"/>
  <c r="DI25" i="7"/>
  <c r="DH25" i="7"/>
  <c r="CZ25" i="7"/>
  <c r="CY25" i="7"/>
  <c r="CX25" i="7"/>
  <c r="CK25" i="7"/>
  <c r="CJ25" i="7"/>
  <c r="CI25" i="7"/>
  <c r="CH25" i="7"/>
  <c r="CG25" i="7"/>
  <c r="CF25" i="7"/>
  <c r="CE25" i="7"/>
  <c r="CD25" i="7"/>
  <c r="CC25" i="7"/>
  <c r="CB25" i="7"/>
  <c r="CA25" i="7"/>
  <c r="BZ25" i="7"/>
  <c r="BY25" i="7"/>
  <c r="BX25" i="7"/>
  <c r="BV25" i="7"/>
  <c r="BU25" i="7"/>
  <c r="BE25" i="7"/>
  <c r="BD25" i="7"/>
  <c r="AN25" i="7"/>
  <c r="AM25" i="7"/>
  <c r="IC24" i="7"/>
  <c r="IB24" i="7"/>
  <c r="HR24" i="7"/>
  <c r="GX24" i="7"/>
  <c r="GW24" i="7"/>
  <c r="GO24" i="7"/>
  <c r="GN24" i="7"/>
  <c r="FV24" i="7"/>
  <c r="FU24" i="7"/>
  <c r="FD24" i="7"/>
  <c r="FC24" i="7"/>
  <c r="ES24" i="7"/>
  <c r="ER24" i="7"/>
  <c r="EJ24" i="7"/>
  <c r="EI24" i="7"/>
  <c r="EA24" i="7"/>
  <c r="DZ24" i="7"/>
  <c r="DR24" i="7"/>
  <c r="DQ24" i="7"/>
  <c r="DI24" i="7"/>
  <c r="DH24" i="7"/>
  <c r="CZ24" i="7"/>
  <c r="CY24" i="7"/>
  <c r="CX24" i="7"/>
  <c r="CK24" i="7"/>
  <c r="CJ24" i="7"/>
  <c r="CI24" i="7"/>
  <c r="CH24" i="7"/>
  <c r="CG24" i="7"/>
  <c r="CF24" i="7"/>
  <c r="CE24" i="7"/>
  <c r="CD24" i="7"/>
  <c r="CC24" i="7"/>
  <c r="CB24" i="7"/>
  <c r="CA24" i="7"/>
  <c r="BZ24" i="7"/>
  <c r="BY24" i="7"/>
  <c r="BX24" i="7"/>
  <c r="BV24" i="7"/>
  <c r="BU24" i="7"/>
  <c r="BE24" i="7"/>
  <c r="BD24" i="7"/>
  <c r="AN24" i="7"/>
  <c r="AM24" i="7"/>
  <c r="CN27" i="7" l="1"/>
  <c r="DJ24" i="7"/>
  <c r="ET24" i="7"/>
  <c r="GY24" i="7"/>
  <c r="BF25" i="7"/>
  <c r="AO28" i="7"/>
  <c r="DJ25" i="7"/>
  <c r="DJ26" i="7"/>
  <c r="ET26" i="7"/>
  <c r="FW26" i="7"/>
  <c r="GY26" i="7"/>
  <c r="ID28" i="7"/>
  <c r="BF29" i="7"/>
  <c r="FE25" i="7"/>
  <c r="ID26" i="7"/>
  <c r="DA29" i="7"/>
  <c r="BW30" i="7"/>
  <c r="DJ28" i="7"/>
  <c r="ET28" i="7"/>
  <c r="DJ30" i="7"/>
  <c r="BW24" i="7"/>
  <c r="BW28" i="7"/>
  <c r="GY28" i="7"/>
  <c r="FE24" i="7"/>
  <c r="GP24" i="7"/>
  <c r="DS25" i="7"/>
  <c r="DA28" i="7"/>
  <c r="AO30" i="7"/>
  <c r="EB24" i="7"/>
  <c r="FW24" i="7"/>
  <c r="ID24" i="7"/>
  <c r="BF28" i="7"/>
  <c r="EB28" i="7"/>
  <c r="CL24" i="7"/>
  <c r="CL25" i="7"/>
  <c r="CL28" i="7"/>
  <c r="CM24" i="7"/>
  <c r="AO25" i="7"/>
  <c r="BW25" i="7"/>
  <c r="DA25" i="7"/>
  <c r="EB25" i="7"/>
  <c r="ET25" i="7"/>
  <c r="CL26" i="7"/>
  <c r="DA26" i="7"/>
  <c r="DS26" i="7"/>
  <c r="EK26" i="7"/>
  <c r="FE26" i="7"/>
  <c r="GP26" i="7"/>
  <c r="HS26" i="7"/>
  <c r="BF24" i="7"/>
  <c r="DA24" i="7"/>
  <c r="FW25" i="7"/>
  <c r="GY25" i="7"/>
  <c r="ID25" i="7"/>
  <c r="BF26" i="7"/>
  <c r="CM26" i="7"/>
  <c r="FE28" i="7"/>
  <c r="GP28" i="7"/>
  <c r="ET29" i="7"/>
  <c r="GP29" i="7"/>
  <c r="HS29" i="7"/>
  <c r="CM30" i="7"/>
  <c r="AO24" i="7"/>
  <c r="EK24" i="7"/>
  <c r="CM25" i="7"/>
  <c r="GP25" i="7"/>
  <c r="HS25" i="7"/>
  <c r="AO26" i="7"/>
  <c r="BW26" i="7"/>
  <c r="CM28" i="7"/>
  <c r="FW28" i="7"/>
  <c r="HS28" i="7"/>
  <c r="DS29" i="7"/>
  <c r="EK29" i="7"/>
  <c r="DS30" i="7"/>
  <c r="EK30" i="7"/>
  <c r="FE30" i="7"/>
  <c r="GP30" i="7"/>
  <c r="HS30" i="7"/>
  <c r="BF30" i="7"/>
  <c r="EK28" i="7"/>
  <c r="DS28" i="7"/>
  <c r="EB26" i="7"/>
  <c r="EK25" i="7"/>
  <c r="DS24" i="7"/>
  <c r="CL30" i="7"/>
  <c r="CN30" i="7" s="1"/>
  <c r="DA30" i="7"/>
  <c r="EB30" i="7"/>
  <c r="ET30" i="7"/>
  <c r="FW30" i="7"/>
  <c r="GY30" i="7"/>
  <c r="ID30" i="7"/>
  <c r="AO29" i="7"/>
  <c r="BW29" i="7"/>
  <c r="DJ29" i="7"/>
  <c r="EB29" i="7"/>
  <c r="CL29" i="7"/>
  <c r="CM29" i="7"/>
  <c r="FE29" i="7"/>
  <c r="GY29" i="7"/>
  <c r="ID29" i="7"/>
  <c r="CN28" i="7" l="1"/>
  <c r="CN25" i="7"/>
  <c r="CN26" i="7"/>
  <c r="CN24" i="7"/>
  <c r="CN29" i="7"/>
  <c r="IB19" i="7"/>
  <c r="IC19" i="7"/>
  <c r="HQ19" i="7"/>
  <c r="HR19" i="7"/>
  <c r="GW19" i="7"/>
  <c r="GX19" i="7"/>
  <c r="GN19" i="7"/>
  <c r="GO19" i="7"/>
  <c r="FC19" i="7"/>
  <c r="FD19" i="7"/>
  <c r="ER19" i="7"/>
  <c r="ES19" i="7"/>
  <c r="EI19" i="7"/>
  <c r="EJ19" i="7"/>
  <c r="DZ19" i="7"/>
  <c r="EA19" i="7"/>
  <c r="DQ19" i="7"/>
  <c r="DR19" i="7"/>
  <c r="DQ20" i="7"/>
  <c r="DR20" i="7"/>
  <c r="DQ21" i="7"/>
  <c r="DR21" i="7"/>
  <c r="DQ22" i="7"/>
  <c r="DR22" i="7"/>
  <c r="DQ23" i="7"/>
  <c r="DR23" i="7"/>
  <c r="DH19" i="7"/>
  <c r="DI19" i="7"/>
  <c r="CX19" i="7"/>
  <c r="CY19" i="7"/>
  <c r="CZ19" i="7"/>
  <c r="AM19" i="7"/>
  <c r="AN19" i="7"/>
  <c r="BU19" i="7"/>
  <c r="BV19" i="7"/>
  <c r="BX19" i="7"/>
  <c r="BY19" i="7"/>
  <c r="BZ19" i="7"/>
  <c r="CA19" i="7"/>
  <c r="CB19" i="7"/>
  <c r="CC19" i="7"/>
  <c r="CD19" i="7"/>
  <c r="CE19" i="7"/>
  <c r="CF19" i="7"/>
  <c r="CG19" i="7"/>
  <c r="CH19" i="7"/>
  <c r="CI19" i="7"/>
  <c r="CJ19" i="7"/>
  <c r="CK19" i="7"/>
  <c r="BD19" i="7"/>
  <c r="BE19" i="7"/>
  <c r="BF19" i="7" s="1"/>
  <c r="GY19" i="7" l="1"/>
  <c r="ID19" i="7"/>
  <c r="GP19" i="7"/>
  <c r="EB19" i="7"/>
  <c r="DS20" i="7"/>
  <c r="AO19" i="7"/>
  <c r="EK19" i="7"/>
  <c r="CM19" i="7"/>
  <c r="CL19" i="7"/>
  <c r="DS23" i="7"/>
  <c r="DJ19" i="7"/>
  <c r="FE19" i="7"/>
  <c r="HS19" i="7"/>
  <c r="DS22" i="7"/>
  <c r="DS19" i="7"/>
  <c r="ET19" i="7"/>
  <c r="BW19" i="7"/>
  <c r="DA19" i="7"/>
  <c r="DS21" i="7"/>
  <c r="CN19" i="7" l="1"/>
  <c r="HR27" i="7"/>
  <c r="HQ27" i="7"/>
  <c r="HR23" i="7"/>
  <c r="HQ23" i="7"/>
  <c r="HR22" i="7"/>
  <c r="HQ22" i="7"/>
  <c r="HR21" i="7"/>
  <c r="HQ21" i="7"/>
  <c r="HR20" i="7"/>
  <c r="HQ20" i="7"/>
  <c r="HQ6" i="7"/>
  <c r="HR6" i="7"/>
  <c r="HQ7" i="7"/>
  <c r="HR7" i="7"/>
  <c r="HQ8" i="7"/>
  <c r="HR8" i="7"/>
  <c r="HQ9" i="7"/>
  <c r="HR9" i="7"/>
  <c r="HQ11" i="7"/>
  <c r="HR11" i="7"/>
  <c r="HQ12" i="7"/>
  <c r="HR12" i="7"/>
  <c r="HQ13" i="7"/>
  <c r="HR13" i="7"/>
  <c r="HQ14" i="7"/>
  <c r="HR14" i="7"/>
  <c r="HQ15" i="7"/>
  <c r="HR15" i="7"/>
  <c r="HQ16" i="7"/>
  <c r="HR16" i="7"/>
  <c r="HQ17" i="7"/>
  <c r="HR17" i="7"/>
  <c r="HQ18" i="7"/>
  <c r="HR18" i="7"/>
  <c r="HQ10" i="7"/>
  <c r="HR10" i="7"/>
  <c r="HS21" i="7" l="1"/>
  <c r="HS23" i="7"/>
  <c r="HS20" i="7"/>
  <c r="HS22" i="7"/>
  <c r="HS27" i="7"/>
  <c r="ES17" i="7" l="1"/>
  <c r="ER17" i="7"/>
  <c r="EJ17" i="7"/>
  <c r="EI17" i="7"/>
  <c r="BU23" i="7"/>
  <c r="ET17" i="7" l="1"/>
  <c r="EK17" i="7"/>
  <c r="CK17" i="7"/>
  <c r="CJ17" i="7"/>
  <c r="CI17" i="7"/>
  <c r="CH17" i="7"/>
  <c r="CG17" i="7"/>
  <c r="CF17" i="7"/>
  <c r="CE17" i="7"/>
  <c r="CD17" i="7"/>
  <c r="CC17" i="7"/>
  <c r="CB17" i="7"/>
  <c r="CA17" i="7"/>
  <c r="BZ17" i="7"/>
  <c r="BY17" i="7"/>
  <c r="BX17" i="7"/>
  <c r="GX17" i="7"/>
  <c r="GW17" i="7"/>
  <c r="GN17" i="7"/>
  <c r="GO17" i="7"/>
  <c r="FC17" i="7"/>
  <c r="FD17" i="7"/>
  <c r="BU17" i="7"/>
  <c r="BV17" i="7"/>
  <c r="AN17" i="7"/>
  <c r="AM17" i="7"/>
  <c r="BE17" i="7"/>
  <c r="BD17" i="7"/>
  <c r="GP17" i="7" l="1"/>
  <c r="FE17" i="7"/>
  <c r="CL17" i="7"/>
  <c r="BW17" i="7"/>
  <c r="BF17" i="7"/>
  <c r="AO17" i="7"/>
  <c r="GY17" i="7"/>
  <c r="CM17" i="7"/>
  <c r="CN17" i="7" l="1"/>
  <c r="BX15" i="7"/>
  <c r="BY15" i="7"/>
  <c r="BZ15" i="7"/>
  <c r="CA15" i="7"/>
  <c r="CB15" i="7"/>
  <c r="CC15" i="7"/>
  <c r="CD15" i="7"/>
  <c r="CE15" i="7"/>
  <c r="CF15" i="7"/>
  <c r="CG15" i="7"/>
  <c r="CH15" i="7"/>
  <c r="CI15" i="7"/>
  <c r="CJ15" i="7"/>
  <c r="CK15" i="7"/>
  <c r="BX16" i="7"/>
  <c r="BY16" i="7"/>
  <c r="BZ16" i="7"/>
  <c r="CA16" i="7"/>
  <c r="CB16" i="7"/>
  <c r="CC16" i="7"/>
  <c r="CD16" i="7"/>
  <c r="CE16" i="7"/>
  <c r="CF16" i="7"/>
  <c r="CG16" i="7"/>
  <c r="CH16" i="7"/>
  <c r="CI16" i="7"/>
  <c r="CJ16" i="7"/>
  <c r="CK16" i="7"/>
  <c r="CX17" i="7" l="1"/>
  <c r="CY17" i="7"/>
  <c r="CZ17" i="7"/>
  <c r="DI17" i="7"/>
  <c r="DH17" i="7"/>
  <c r="DQ17" i="7"/>
  <c r="DR17" i="7"/>
  <c r="DZ17" i="7"/>
  <c r="EA17" i="7"/>
  <c r="DS17" i="7" l="1"/>
  <c r="DJ17" i="7"/>
  <c r="EB17" i="7"/>
  <c r="DA17" i="7"/>
  <c r="IC17" i="7"/>
  <c r="IB17" i="7"/>
  <c r="ID17" i="7" l="1"/>
  <c r="HS17" i="7"/>
  <c r="IB16" i="7"/>
  <c r="IC16" i="7"/>
  <c r="GW16" i="7"/>
  <c r="GX16" i="7"/>
  <c r="GN16" i="7"/>
  <c r="GO16" i="7"/>
  <c r="FU16" i="7"/>
  <c r="FV16" i="7"/>
  <c r="FC16" i="7"/>
  <c r="FD16" i="7"/>
  <c r="ER16" i="7"/>
  <c r="ES16" i="7"/>
  <c r="EI16" i="7"/>
  <c r="EJ16" i="7"/>
  <c r="DZ16" i="7"/>
  <c r="EA16" i="7"/>
  <c r="DQ16" i="7"/>
  <c r="DR16" i="7"/>
  <c r="DH16" i="7"/>
  <c r="DI16" i="7"/>
  <c r="CX16" i="7"/>
  <c r="CY16" i="7"/>
  <c r="CZ16" i="7"/>
  <c r="CL16" i="7"/>
  <c r="CM16" i="7"/>
  <c r="BU16" i="7"/>
  <c r="BV16" i="7"/>
  <c r="BD16" i="7"/>
  <c r="BE16" i="7"/>
  <c r="AM16" i="7"/>
  <c r="AN16" i="7"/>
  <c r="FE16" i="7" l="1"/>
  <c r="EK16" i="7"/>
  <c r="FW16" i="7"/>
  <c r="BW16" i="7"/>
  <c r="BF16" i="7"/>
  <c r="GP16" i="7"/>
  <c r="ET16" i="7"/>
  <c r="DS16" i="7"/>
  <c r="HS16" i="7"/>
  <c r="GY16" i="7"/>
  <c r="DA16" i="7"/>
  <c r="AO16" i="7"/>
  <c r="CN16" i="7"/>
  <c r="DJ16" i="7"/>
  <c r="EB16" i="7"/>
  <c r="ID16" i="7"/>
  <c r="IB15" i="7"/>
  <c r="IC15" i="7"/>
  <c r="GW15" i="7"/>
  <c r="GX15" i="7"/>
  <c r="GN15" i="7"/>
  <c r="GO15" i="7"/>
  <c r="FU15" i="7"/>
  <c r="FV15" i="7"/>
  <c r="FC15" i="7"/>
  <c r="FD15" i="7"/>
  <c r="ER15" i="7"/>
  <c r="ES15" i="7"/>
  <c r="EI15" i="7"/>
  <c r="EJ15" i="7"/>
  <c r="DZ15" i="7"/>
  <c r="EA15" i="7"/>
  <c r="DQ15" i="7"/>
  <c r="DR15" i="7"/>
  <c r="DH15" i="7"/>
  <c r="DI15" i="7"/>
  <c r="CX15" i="7"/>
  <c r="CY15" i="7"/>
  <c r="CZ15" i="7"/>
  <c r="CL15" i="7"/>
  <c r="CM15" i="7"/>
  <c r="BU15" i="7"/>
  <c r="BV15" i="7"/>
  <c r="BD15" i="7"/>
  <c r="BE15" i="7"/>
  <c r="AM15" i="7"/>
  <c r="AN15" i="7"/>
  <c r="ET15" i="7" l="1"/>
  <c r="FW15" i="7"/>
  <c r="GY15" i="7"/>
  <c r="ID15" i="7"/>
  <c r="EK15" i="7"/>
  <c r="AO15" i="7"/>
  <c r="BW15" i="7"/>
  <c r="BF15" i="7"/>
  <c r="CN15" i="7"/>
  <c r="FE15" i="7"/>
  <c r="GP15" i="7"/>
  <c r="DS15" i="7"/>
  <c r="DA15" i="7"/>
  <c r="DJ15" i="7"/>
  <c r="EB15" i="7"/>
  <c r="HS15" i="7"/>
  <c r="FV23" i="7" l="1"/>
  <c r="FU23" i="7"/>
  <c r="FV22" i="7"/>
  <c r="FU22" i="7"/>
  <c r="FV21" i="7"/>
  <c r="FU21" i="7"/>
  <c r="FV20" i="7"/>
  <c r="FU20" i="7"/>
  <c r="FW23" i="7" l="1"/>
  <c r="FW21" i="7"/>
  <c r="FW22" i="7"/>
  <c r="FW20" i="7"/>
  <c r="IB14" i="7"/>
  <c r="IC14" i="7"/>
  <c r="IB18" i="7"/>
  <c r="IC18" i="7"/>
  <c r="GW14" i="7"/>
  <c r="GX14" i="7"/>
  <c r="GW18" i="7"/>
  <c r="GX18" i="7"/>
  <c r="GN14" i="7"/>
  <c r="GO14" i="7"/>
  <c r="GN18" i="7"/>
  <c r="GO18" i="7"/>
  <c r="FU14" i="7"/>
  <c r="FV14" i="7"/>
  <c r="FU18" i="7"/>
  <c r="FV18" i="7"/>
  <c r="FC14" i="7"/>
  <c r="FD14" i="7"/>
  <c r="FC18" i="7"/>
  <c r="FD18" i="7"/>
  <c r="ER14" i="7"/>
  <c r="ES14" i="7"/>
  <c r="ER18" i="7"/>
  <c r="ES18" i="7"/>
  <c r="EI14" i="7"/>
  <c r="EJ14" i="7"/>
  <c r="EI18" i="7"/>
  <c r="EJ18" i="7"/>
  <c r="DZ14" i="7"/>
  <c r="EA14" i="7"/>
  <c r="DZ18" i="7"/>
  <c r="EA18" i="7"/>
  <c r="DQ14" i="7"/>
  <c r="DR14" i="7"/>
  <c r="DQ18" i="7"/>
  <c r="DR18" i="7"/>
  <c r="DH14" i="7"/>
  <c r="DI14" i="7"/>
  <c r="DH18" i="7"/>
  <c r="DI18" i="7"/>
  <c r="CX14" i="7"/>
  <c r="CY14" i="7"/>
  <c r="CZ14" i="7"/>
  <c r="CX18" i="7"/>
  <c r="CY18" i="7"/>
  <c r="CZ18" i="7"/>
  <c r="BX14" i="7"/>
  <c r="BY14" i="7"/>
  <c r="BZ14" i="7"/>
  <c r="CA14" i="7"/>
  <c r="CB14" i="7"/>
  <c r="CC14" i="7"/>
  <c r="CD14" i="7"/>
  <c r="CE14" i="7"/>
  <c r="CF14" i="7"/>
  <c r="CG14" i="7"/>
  <c r="CH14" i="7"/>
  <c r="CI14" i="7"/>
  <c r="CJ14" i="7"/>
  <c r="CK14" i="7"/>
  <c r="BX18" i="7"/>
  <c r="BY18" i="7"/>
  <c r="BZ18" i="7"/>
  <c r="CA18" i="7"/>
  <c r="CB18" i="7"/>
  <c r="CC18" i="7"/>
  <c r="CD18" i="7"/>
  <c r="CE18" i="7"/>
  <c r="CF18" i="7"/>
  <c r="CG18" i="7"/>
  <c r="CH18" i="7"/>
  <c r="CI18" i="7"/>
  <c r="CJ18" i="7"/>
  <c r="CK18" i="7"/>
  <c r="BU14" i="7"/>
  <c r="BV14" i="7"/>
  <c r="BU18" i="7"/>
  <c r="BV18" i="7"/>
  <c r="BD14" i="7"/>
  <c r="BE14" i="7"/>
  <c r="BD18" i="7"/>
  <c r="BE18" i="7"/>
  <c r="AM14" i="7"/>
  <c r="AN14" i="7"/>
  <c r="AM18" i="7"/>
  <c r="AN18" i="7"/>
  <c r="FE14" i="7" l="1"/>
  <c r="GP14" i="7"/>
  <c r="EB18" i="7"/>
  <c r="ET18" i="7"/>
  <c r="GY14" i="7"/>
  <c r="ID14" i="7"/>
  <c r="FE18" i="7"/>
  <c r="DS14" i="7"/>
  <c r="EK14" i="7"/>
  <c r="FW14" i="7"/>
  <c r="BF18" i="7"/>
  <c r="DJ18" i="7"/>
  <c r="AO18" i="7"/>
  <c r="BW18" i="7"/>
  <c r="DJ14" i="7"/>
  <c r="HS14" i="7"/>
  <c r="ET14" i="7"/>
  <c r="EK18" i="7"/>
  <c r="AO14" i="7"/>
  <c r="BW14" i="7"/>
  <c r="CM14" i="7"/>
  <c r="EB14" i="7"/>
  <c r="DA14" i="7"/>
  <c r="DS18" i="7"/>
  <c r="FW18" i="7"/>
  <c r="BF14" i="7"/>
  <c r="GY18" i="7"/>
  <c r="CL18" i="7"/>
  <c r="ID18" i="7"/>
  <c r="HS18" i="7"/>
  <c r="GP18" i="7"/>
  <c r="DA18" i="7"/>
  <c r="CM18" i="7"/>
  <c r="CL14" i="7"/>
  <c r="CN14" i="7" l="1"/>
  <c r="CN18" i="7"/>
  <c r="FU7" i="7" l="1"/>
  <c r="FV7" i="7"/>
  <c r="FU8" i="7"/>
  <c r="FV8" i="7"/>
  <c r="FU9" i="7"/>
  <c r="FV9" i="7"/>
  <c r="FU10" i="7"/>
  <c r="FV10" i="7"/>
  <c r="FU11" i="7"/>
  <c r="FV11" i="7"/>
  <c r="FU12" i="7"/>
  <c r="FV12" i="7"/>
  <c r="FU6" i="7"/>
  <c r="FV6" i="7"/>
  <c r="FW8" i="7" l="1"/>
  <c r="FW12" i="7"/>
  <c r="FW11" i="7"/>
  <c r="FW7" i="7"/>
  <c r="FW9" i="7"/>
  <c r="FW10" i="7"/>
  <c r="DZ7" i="7"/>
  <c r="EA7" i="7"/>
  <c r="DZ8" i="7"/>
  <c r="EA8" i="7"/>
  <c r="DZ9" i="7"/>
  <c r="EA9" i="7"/>
  <c r="DZ10" i="7"/>
  <c r="EA10" i="7"/>
  <c r="DZ11" i="7"/>
  <c r="EA11" i="7"/>
  <c r="DZ12" i="7"/>
  <c r="EA12" i="7"/>
  <c r="DZ13" i="7"/>
  <c r="EA13" i="7"/>
  <c r="EB13" i="7" l="1"/>
  <c r="EB10" i="7"/>
  <c r="EB12" i="7"/>
  <c r="EB11" i="7"/>
  <c r="EB9" i="7"/>
  <c r="EB8" i="7"/>
  <c r="EB7" i="7"/>
  <c r="M22" i="6" l="1"/>
  <c r="M20" i="6"/>
  <c r="I31" i="9"/>
  <c r="N19" i="4"/>
  <c r="I29" i="9"/>
  <c r="M67" i="18"/>
  <c r="L67" i="18"/>
  <c r="K67" i="18"/>
  <c r="J67" i="18"/>
  <c r="I67" i="18"/>
  <c r="H67" i="18"/>
  <c r="F67" i="18"/>
  <c r="E67" i="18"/>
  <c r="C67" i="18"/>
  <c r="B67" i="18"/>
  <c r="M65" i="18"/>
  <c r="L65" i="18"/>
  <c r="K65" i="18"/>
  <c r="J65" i="18"/>
  <c r="I65" i="18"/>
  <c r="H65" i="18"/>
  <c r="F65" i="18"/>
  <c r="E65" i="18"/>
  <c r="C65" i="18"/>
  <c r="B65" i="18"/>
  <c r="M63" i="18"/>
  <c r="L63" i="18"/>
  <c r="K63" i="18"/>
  <c r="J63" i="18"/>
  <c r="I63" i="18"/>
  <c r="H63" i="18"/>
  <c r="F63" i="18"/>
  <c r="E63" i="18"/>
  <c r="C63" i="18"/>
  <c r="B63" i="18"/>
  <c r="H54" i="18"/>
  <c r="G54" i="18"/>
  <c r="F54" i="18"/>
  <c r="E54" i="18"/>
  <c r="D54" i="18"/>
  <c r="C54" i="18"/>
  <c r="H52" i="18"/>
  <c r="G52" i="18"/>
  <c r="F52" i="18"/>
  <c r="E52" i="18"/>
  <c r="D52" i="18"/>
  <c r="C52" i="18"/>
  <c r="H50" i="18"/>
  <c r="G50" i="18"/>
  <c r="F50" i="18"/>
  <c r="E50" i="18"/>
  <c r="D50" i="18"/>
  <c r="C50" i="18"/>
  <c r="H48" i="18"/>
  <c r="G48" i="18"/>
  <c r="F48" i="18"/>
  <c r="E48" i="18"/>
  <c r="D48" i="18"/>
  <c r="C48" i="18"/>
  <c r="H46" i="18"/>
  <c r="G46" i="18"/>
  <c r="F46" i="18"/>
  <c r="E46" i="18"/>
  <c r="D46" i="18"/>
  <c r="C46" i="18"/>
  <c r="H44" i="18"/>
  <c r="G44" i="18"/>
  <c r="F44" i="18"/>
  <c r="E44" i="18"/>
  <c r="D44" i="18"/>
  <c r="C44" i="18"/>
  <c r="H42" i="18"/>
  <c r="G42" i="18"/>
  <c r="F42" i="18"/>
  <c r="E42" i="18"/>
  <c r="D42" i="18"/>
  <c r="C42" i="18"/>
  <c r="I31" i="18"/>
  <c r="H31" i="18"/>
  <c r="G31" i="18"/>
  <c r="F31" i="18"/>
  <c r="E31" i="18"/>
  <c r="D31" i="18"/>
  <c r="C31" i="18"/>
  <c r="I29" i="18"/>
  <c r="H29" i="18"/>
  <c r="G29" i="18"/>
  <c r="F29" i="18"/>
  <c r="E29" i="18"/>
  <c r="D29" i="18"/>
  <c r="C29" i="18"/>
  <c r="E22" i="18"/>
  <c r="D22" i="18"/>
  <c r="C22" i="18"/>
  <c r="L21" i="18"/>
  <c r="K21" i="18"/>
  <c r="J21" i="18"/>
  <c r="E20" i="18"/>
  <c r="D20" i="18"/>
  <c r="C20" i="18"/>
  <c r="L19" i="18"/>
  <c r="K19" i="18"/>
  <c r="J19" i="18"/>
  <c r="E18" i="18"/>
  <c r="D18" i="18"/>
  <c r="C18" i="18"/>
  <c r="N21" i="4" l="1"/>
  <c r="N23" i="4" s="1"/>
  <c r="N21" i="5"/>
  <c r="N19" i="5"/>
  <c r="M24" i="6"/>
  <c r="L23" i="18"/>
  <c r="G33" i="18"/>
  <c r="M21" i="18"/>
  <c r="D65" i="18"/>
  <c r="K23" i="18"/>
  <c r="J48" i="18"/>
  <c r="C33" i="18"/>
  <c r="E24" i="18"/>
  <c r="F56" i="18"/>
  <c r="J50" i="18"/>
  <c r="D63" i="18"/>
  <c r="O65" i="18"/>
  <c r="N65" i="18"/>
  <c r="N67" i="18"/>
  <c r="C24" i="18"/>
  <c r="F22" i="18"/>
  <c r="J54" i="18"/>
  <c r="D67" i="18"/>
  <c r="D56" i="18"/>
  <c r="F33" i="18"/>
  <c r="H56" i="18"/>
  <c r="J52" i="18"/>
  <c r="J44" i="18"/>
  <c r="I33" i="18"/>
  <c r="E33" i="18"/>
  <c r="J31" i="18"/>
  <c r="I54" i="18"/>
  <c r="D33" i="18"/>
  <c r="H33" i="18"/>
  <c r="M19" i="18"/>
  <c r="O63" i="18"/>
  <c r="O67" i="18"/>
  <c r="N63" i="18"/>
  <c r="G65" i="18"/>
  <c r="G63" i="18"/>
  <c r="G67" i="18"/>
  <c r="D24" i="18"/>
  <c r="F20" i="18"/>
  <c r="G56" i="18"/>
  <c r="I42" i="18"/>
  <c r="I46" i="18"/>
  <c r="I50" i="18"/>
  <c r="K50" i="18" s="1"/>
  <c r="E56" i="18"/>
  <c r="I52" i="18"/>
  <c r="C56" i="18"/>
  <c r="J23" i="18"/>
  <c r="F18" i="18"/>
  <c r="J29" i="18"/>
  <c r="J42" i="18"/>
  <c r="I44" i="18"/>
  <c r="J46" i="18"/>
  <c r="I48" i="18"/>
  <c r="N23" i="5" l="1"/>
  <c r="M23" i="18"/>
  <c r="K54" i="18"/>
  <c r="K48" i="18"/>
  <c r="P65" i="18"/>
  <c r="K52" i="18"/>
  <c r="P67" i="18"/>
  <c r="F24" i="18"/>
  <c r="J56" i="18"/>
  <c r="K44" i="18"/>
  <c r="K42" i="18"/>
  <c r="J33" i="18"/>
  <c r="K46" i="18"/>
  <c r="P63" i="18"/>
  <c r="I56" i="18"/>
  <c r="K56" i="18" l="1"/>
  <c r="F13" i="18" l="1"/>
  <c r="G13" i="18"/>
  <c r="H13" i="18"/>
  <c r="C13" i="18"/>
  <c r="G8" i="18"/>
  <c r="L8" i="18"/>
  <c r="IC23" i="7"/>
  <c r="IB23" i="7"/>
  <c r="GX23" i="7"/>
  <c r="GW23" i="7"/>
  <c r="GO23" i="7"/>
  <c r="GN23" i="7"/>
  <c r="FD23" i="7"/>
  <c r="FC23" i="7"/>
  <c r="ES23" i="7"/>
  <c r="ER23" i="7"/>
  <c r="EJ23" i="7"/>
  <c r="EI23" i="7"/>
  <c r="EA23" i="7"/>
  <c r="DZ23" i="7"/>
  <c r="DI23" i="7"/>
  <c r="DH23" i="7"/>
  <c r="CZ23" i="7"/>
  <c r="CY23" i="7"/>
  <c r="CX23" i="7"/>
  <c r="CK23" i="7"/>
  <c r="CJ23" i="7"/>
  <c r="CI23" i="7"/>
  <c r="CH23" i="7"/>
  <c r="CG23" i="7"/>
  <c r="CF23" i="7"/>
  <c r="CE23" i="7"/>
  <c r="CD23" i="7"/>
  <c r="CC23" i="7"/>
  <c r="CB23" i="7"/>
  <c r="CA23" i="7"/>
  <c r="BZ23" i="7"/>
  <c r="BY23" i="7"/>
  <c r="BX23" i="7"/>
  <c r="BV23" i="7"/>
  <c r="BE23" i="7"/>
  <c r="BD23" i="7"/>
  <c r="AN23" i="7"/>
  <c r="AM23" i="7"/>
  <c r="K13" i="18" l="1"/>
  <c r="L13" i="18"/>
  <c r="GY23" i="7"/>
  <c r="B13" i="18"/>
  <c r="B8" i="18"/>
  <c r="ET23" i="7"/>
  <c r="CM23" i="7"/>
  <c r="DJ23" i="7"/>
  <c r="BW23" i="7"/>
  <c r="ID23" i="7"/>
  <c r="GP23" i="7"/>
  <c r="FE23" i="7"/>
  <c r="EK23" i="7"/>
  <c r="EB23" i="7"/>
  <c r="DA23" i="7"/>
  <c r="BF23" i="7"/>
  <c r="CL23" i="7"/>
  <c r="AO23" i="7"/>
  <c r="M19" i="17"/>
  <c r="M13" i="18" l="1"/>
  <c r="CN23" i="7"/>
  <c r="I29" i="10"/>
  <c r="I31" i="10"/>
  <c r="N20" i="3"/>
  <c r="I31" i="5"/>
  <c r="I29" i="5"/>
  <c r="N22" i="3" l="1"/>
  <c r="N24" i="3" s="1"/>
  <c r="M21" i="17"/>
  <c r="M23" i="17" s="1"/>
  <c r="I32" i="3"/>
  <c r="C30" i="3"/>
  <c r="I30" i="3"/>
  <c r="E30" i="3"/>
  <c r="M64" i="8" l="1"/>
  <c r="M66" i="8"/>
  <c r="M68" i="8"/>
  <c r="K64" i="8"/>
  <c r="K66" i="8"/>
  <c r="K68" i="8"/>
  <c r="L68" i="8"/>
  <c r="L66" i="8"/>
  <c r="L64" i="8"/>
  <c r="J68" i="8"/>
  <c r="J64" i="8"/>
  <c r="H63" i="16"/>
  <c r="I63" i="16"/>
  <c r="H65" i="16"/>
  <c r="I65" i="16"/>
  <c r="H67" i="16"/>
  <c r="I67" i="16"/>
  <c r="J63" i="16"/>
  <c r="K63" i="16"/>
  <c r="J65" i="16"/>
  <c r="K65" i="16"/>
  <c r="K67" i="16"/>
  <c r="L63" i="16"/>
  <c r="M63" i="16"/>
  <c r="L65" i="16"/>
  <c r="M65" i="16"/>
  <c r="L67" i="16"/>
  <c r="M67" i="16"/>
  <c r="I64" i="15"/>
  <c r="H66" i="15"/>
  <c r="I68" i="15"/>
  <c r="J64" i="15"/>
  <c r="K64" i="15"/>
  <c r="J68" i="15"/>
  <c r="K68" i="15"/>
  <c r="L64" i="15"/>
  <c r="M66" i="15"/>
  <c r="L68" i="15"/>
  <c r="O67" i="16" l="1"/>
  <c r="O63" i="16"/>
  <c r="N63" i="16"/>
  <c r="O65" i="16"/>
  <c r="N65" i="16"/>
  <c r="L66" i="17"/>
  <c r="L66" i="15"/>
  <c r="M68" i="17"/>
  <c r="M68" i="15"/>
  <c r="O68" i="15" s="1"/>
  <c r="M64" i="17"/>
  <c r="M64" i="15"/>
  <c r="O64" i="15" s="1"/>
  <c r="K66" i="17"/>
  <c r="K66" i="15"/>
  <c r="J68" i="17"/>
  <c r="J67" i="16"/>
  <c r="N67" i="16" s="1"/>
  <c r="I66" i="17"/>
  <c r="I66" i="15"/>
  <c r="J66" i="17"/>
  <c r="J66" i="15"/>
  <c r="J64" i="17"/>
  <c r="H68" i="17"/>
  <c r="H68" i="15"/>
  <c r="N68" i="15" s="1"/>
  <c r="H64" i="17"/>
  <c r="H64" i="15"/>
  <c r="N64" i="15" s="1"/>
  <c r="I68" i="17"/>
  <c r="I64" i="17"/>
  <c r="L68" i="17"/>
  <c r="L64" i="17"/>
  <c r="K68" i="17"/>
  <c r="K64" i="17"/>
  <c r="M66" i="17"/>
  <c r="H66" i="17"/>
  <c r="N66" i="15" l="1"/>
  <c r="N64" i="17"/>
  <c r="O64" i="17"/>
  <c r="N68" i="17"/>
  <c r="O66" i="15"/>
  <c r="O66" i="17"/>
  <c r="O68" i="17"/>
  <c r="N66" i="17"/>
  <c r="E64" i="13"/>
  <c r="E66" i="13"/>
  <c r="E68" i="13"/>
  <c r="H64" i="13"/>
  <c r="I64" i="13"/>
  <c r="H66" i="13"/>
  <c r="I66" i="13"/>
  <c r="H68" i="13"/>
  <c r="I68" i="13"/>
  <c r="J64" i="13"/>
  <c r="K64" i="13"/>
  <c r="J66" i="13"/>
  <c r="K66" i="13"/>
  <c r="J68" i="13"/>
  <c r="K68" i="13"/>
  <c r="L66" i="13"/>
  <c r="M66" i="13"/>
  <c r="L68" i="13"/>
  <c r="M68" i="13"/>
  <c r="O68" i="13" l="1"/>
  <c r="N68" i="13"/>
  <c r="N66" i="13"/>
  <c r="O66" i="13"/>
  <c r="M64" i="13" l="1"/>
  <c r="O64" i="13" s="1"/>
  <c r="L64" i="13"/>
  <c r="N64" i="13" s="1"/>
  <c r="H65" i="12" l="1"/>
  <c r="I65" i="12"/>
  <c r="H67" i="12"/>
  <c r="I67" i="12"/>
  <c r="H69" i="12"/>
  <c r="I69" i="12"/>
  <c r="J65" i="12"/>
  <c r="K65" i="12"/>
  <c r="J67" i="12"/>
  <c r="K67" i="12"/>
  <c r="J69" i="12"/>
  <c r="K69" i="12"/>
  <c r="L65" i="12"/>
  <c r="M65" i="12"/>
  <c r="L67" i="12"/>
  <c r="M67" i="12"/>
  <c r="L69" i="12"/>
  <c r="M69" i="12"/>
  <c r="C64" i="4"/>
  <c r="C68" i="4"/>
  <c r="H63" i="9"/>
  <c r="I63" i="9"/>
  <c r="H65" i="9"/>
  <c r="I65" i="9"/>
  <c r="H67" i="9"/>
  <c r="I67" i="9"/>
  <c r="K63" i="9"/>
  <c r="J65" i="9"/>
  <c r="K65" i="9"/>
  <c r="K67" i="9"/>
  <c r="L63" i="9"/>
  <c r="M63" i="9"/>
  <c r="L65" i="9"/>
  <c r="M65" i="9"/>
  <c r="L67" i="9"/>
  <c r="M67" i="9"/>
  <c r="I64" i="8"/>
  <c r="O64" i="8" s="1"/>
  <c r="H66" i="8"/>
  <c r="I68" i="8"/>
  <c r="O68" i="8" s="1"/>
  <c r="H63" i="10"/>
  <c r="I63" i="10"/>
  <c r="H65" i="10"/>
  <c r="I65" i="10"/>
  <c r="H67" i="10"/>
  <c r="I67" i="10"/>
  <c r="J63" i="10"/>
  <c r="K63" i="10"/>
  <c r="J65" i="10"/>
  <c r="K65" i="10"/>
  <c r="J67" i="10"/>
  <c r="K67" i="10"/>
  <c r="L63" i="10"/>
  <c r="M63" i="10"/>
  <c r="L65" i="10"/>
  <c r="M65" i="10"/>
  <c r="L67" i="10"/>
  <c r="M67" i="10"/>
  <c r="H65" i="11"/>
  <c r="I65" i="11"/>
  <c r="H67" i="11"/>
  <c r="I67" i="11"/>
  <c r="H69" i="11"/>
  <c r="I69" i="11"/>
  <c r="J65" i="11"/>
  <c r="K65" i="11"/>
  <c r="J67" i="11"/>
  <c r="K67" i="11"/>
  <c r="J69" i="11"/>
  <c r="K69" i="11"/>
  <c r="L65" i="11"/>
  <c r="M65" i="11"/>
  <c r="L67" i="11"/>
  <c r="M67" i="11"/>
  <c r="L69" i="11"/>
  <c r="M69" i="11"/>
  <c r="O69" i="11" l="1"/>
  <c r="O65" i="11"/>
  <c r="O65" i="10"/>
  <c r="N67" i="12"/>
  <c r="K66" i="4"/>
  <c r="O67" i="9"/>
  <c r="N69" i="11"/>
  <c r="N65" i="10"/>
  <c r="M68" i="4"/>
  <c r="O65" i="12"/>
  <c r="O67" i="11"/>
  <c r="O63" i="10"/>
  <c r="M64" i="4"/>
  <c r="N65" i="12"/>
  <c r="H31" i="14"/>
  <c r="E31" i="14"/>
  <c r="D31" i="14"/>
  <c r="L68" i="6"/>
  <c r="L65" i="14"/>
  <c r="N67" i="11"/>
  <c r="D29" i="14"/>
  <c r="M70" i="6"/>
  <c r="M67" i="14"/>
  <c r="M66" i="6"/>
  <c r="M63" i="14"/>
  <c r="K68" i="6"/>
  <c r="K65" i="14"/>
  <c r="I70" i="6"/>
  <c r="I67" i="14"/>
  <c r="I66" i="6"/>
  <c r="I63" i="14"/>
  <c r="O65" i="9"/>
  <c r="O67" i="12"/>
  <c r="I31" i="14"/>
  <c r="C31" i="14"/>
  <c r="L70" i="6"/>
  <c r="L67" i="14"/>
  <c r="L66" i="6"/>
  <c r="L63" i="14"/>
  <c r="N65" i="11"/>
  <c r="N67" i="10"/>
  <c r="N63" i="10"/>
  <c r="J68" i="4"/>
  <c r="J67" i="9"/>
  <c r="N67" i="9" s="1"/>
  <c r="J64" i="4"/>
  <c r="J63" i="9"/>
  <c r="N63" i="9" s="1"/>
  <c r="N65" i="9"/>
  <c r="N69" i="12"/>
  <c r="C29" i="14"/>
  <c r="M68" i="6"/>
  <c r="M65" i="14"/>
  <c r="K70" i="6"/>
  <c r="K67" i="14"/>
  <c r="K66" i="6"/>
  <c r="K63" i="14"/>
  <c r="I68" i="6"/>
  <c r="I65" i="14"/>
  <c r="O67" i="10"/>
  <c r="O63" i="9"/>
  <c r="O69" i="12"/>
  <c r="H68" i="4"/>
  <c r="H68" i="8"/>
  <c r="N68" i="8" s="1"/>
  <c r="P68" i="8" s="1"/>
  <c r="G31" i="14"/>
  <c r="E29" i="14"/>
  <c r="F31" i="14"/>
  <c r="J70" i="6"/>
  <c r="J67" i="14"/>
  <c r="J68" i="6"/>
  <c r="J65" i="14"/>
  <c r="J66" i="6"/>
  <c r="J63" i="14"/>
  <c r="H70" i="6"/>
  <c r="H67" i="14"/>
  <c r="H68" i="6"/>
  <c r="H65" i="14"/>
  <c r="H66" i="6"/>
  <c r="H63" i="14"/>
  <c r="I66" i="4"/>
  <c r="I66" i="8"/>
  <c r="O66" i="8" s="1"/>
  <c r="H64" i="4"/>
  <c r="H64" i="8"/>
  <c r="N64" i="8" s="1"/>
  <c r="P64" i="8" s="1"/>
  <c r="J66" i="4"/>
  <c r="J66" i="8"/>
  <c r="N66" i="8" s="1"/>
  <c r="L66" i="4"/>
  <c r="L68" i="5"/>
  <c r="L64" i="5"/>
  <c r="M68" i="5"/>
  <c r="F69" i="3"/>
  <c r="F65" i="3"/>
  <c r="K68" i="5"/>
  <c r="K64" i="5"/>
  <c r="L66" i="5"/>
  <c r="H68" i="5"/>
  <c r="H64" i="5"/>
  <c r="M64" i="5"/>
  <c r="J66" i="5"/>
  <c r="I66" i="5"/>
  <c r="H66" i="4"/>
  <c r="C66" i="4"/>
  <c r="I68" i="4"/>
  <c r="H66" i="5"/>
  <c r="M66" i="5"/>
  <c r="I68" i="5"/>
  <c r="I64" i="5"/>
  <c r="O65" i="14" l="1"/>
  <c r="O68" i="6"/>
  <c r="O66" i="6"/>
  <c r="N66" i="4"/>
  <c r="M69" i="3"/>
  <c r="K67" i="3"/>
  <c r="K66" i="5"/>
  <c r="O66" i="5" s="1"/>
  <c r="M65" i="3"/>
  <c r="O67" i="14"/>
  <c r="F67" i="3"/>
  <c r="N66" i="5"/>
  <c r="O70" i="6"/>
  <c r="O64" i="5"/>
  <c r="N66" i="6"/>
  <c r="N70" i="6"/>
  <c r="N68" i="6"/>
  <c r="O63" i="14"/>
  <c r="J69" i="3"/>
  <c r="J68" i="5"/>
  <c r="N68" i="5" s="1"/>
  <c r="O68" i="5"/>
  <c r="M67" i="3"/>
  <c r="M66" i="4"/>
  <c r="O66" i="4" s="1"/>
  <c r="L69" i="3"/>
  <c r="L68" i="4"/>
  <c r="N68" i="4" s="1"/>
  <c r="K69" i="3"/>
  <c r="K68" i="4"/>
  <c r="O68" i="4" s="1"/>
  <c r="L65" i="3"/>
  <c r="L64" i="4"/>
  <c r="N64" i="4" s="1"/>
  <c r="K65" i="3"/>
  <c r="K64" i="4"/>
  <c r="H69" i="3"/>
  <c r="N67" i="14"/>
  <c r="N65" i="14"/>
  <c r="N63" i="14"/>
  <c r="J65" i="3"/>
  <c r="J64" i="5"/>
  <c r="N64" i="5" s="1"/>
  <c r="P66" i="8"/>
  <c r="H65" i="3"/>
  <c r="I67" i="3"/>
  <c r="J67" i="3"/>
  <c r="I65" i="3"/>
  <c r="I64" i="4"/>
  <c r="I69" i="3"/>
  <c r="E67" i="3"/>
  <c r="H67" i="3"/>
  <c r="E69" i="3"/>
  <c r="L67" i="3"/>
  <c r="BX8" i="7"/>
  <c r="BZ8" i="7"/>
  <c r="ES22" i="7"/>
  <c r="ER22" i="7"/>
  <c r="ES21" i="7"/>
  <c r="ER21" i="7"/>
  <c r="ES20" i="7"/>
  <c r="ER20" i="7"/>
  <c r="ES13" i="7"/>
  <c r="ER13" i="7"/>
  <c r="ES12" i="7"/>
  <c r="ER12" i="7"/>
  <c r="ES11" i="7"/>
  <c r="ER11" i="7"/>
  <c r="ES10" i="7"/>
  <c r="ER10" i="7"/>
  <c r="ES9" i="7"/>
  <c r="ER9" i="7"/>
  <c r="ES8" i="7"/>
  <c r="ER8" i="7"/>
  <c r="ES7" i="7"/>
  <c r="ER7" i="7"/>
  <c r="ES6" i="7"/>
  <c r="ER6" i="7"/>
  <c r="EJ22" i="7"/>
  <c r="EI22" i="7"/>
  <c r="EJ21" i="7"/>
  <c r="EI21" i="7"/>
  <c r="EJ20" i="7"/>
  <c r="EI20" i="7"/>
  <c r="EJ13" i="7"/>
  <c r="EI13" i="7"/>
  <c r="EJ12" i="7"/>
  <c r="EI12" i="7"/>
  <c r="EJ11" i="7"/>
  <c r="EI11" i="7"/>
  <c r="EJ10" i="7"/>
  <c r="EI10" i="7"/>
  <c r="EJ9" i="7"/>
  <c r="EI9" i="7"/>
  <c r="EJ8" i="7"/>
  <c r="EI8" i="7"/>
  <c r="EJ7" i="7"/>
  <c r="EI7" i="7"/>
  <c r="EJ6" i="7"/>
  <c r="EI6" i="7"/>
  <c r="P66" i="4" l="1"/>
  <c r="P68" i="4"/>
  <c r="O64" i="4"/>
  <c r="P64" i="4" s="1"/>
  <c r="O67" i="3"/>
  <c r="O65" i="3"/>
  <c r="N69" i="3"/>
  <c r="O69" i="3"/>
  <c r="N65" i="3"/>
  <c r="N67" i="3"/>
  <c r="EK8" i="7"/>
  <c r="EK10" i="7"/>
  <c r="EK12" i="7"/>
  <c r="EK22" i="7"/>
  <c r="ET12" i="7"/>
  <c r="ET22" i="7"/>
  <c r="EK7" i="7"/>
  <c r="EK9" i="7"/>
  <c r="EK11" i="7"/>
  <c r="EK13" i="7"/>
  <c r="ET13" i="7"/>
  <c r="ET21" i="7"/>
  <c r="EK21" i="7"/>
  <c r="ET7" i="7"/>
  <c r="ET8" i="7"/>
  <c r="ET9" i="7"/>
  <c r="ET10" i="7"/>
  <c r="ET11" i="7"/>
  <c r="ET6" i="7"/>
  <c r="ET20" i="7"/>
  <c r="EK6" i="7"/>
  <c r="EK20" i="7"/>
  <c r="BV9" i="7"/>
  <c r="E45" i="6" l="1"/>
  <c r="F45" i="6"/>
  <c r="E47" i="6"/>
  <c r="F47" i="6"/>
  <c r="E49" i="6"/>
  <c r="F49" i="6"/>
  <c r="E51" i="6"/>
  <c r="F51" i="6"/>
  <c r="E53" i="6"/>
  <c r="F53" i="6"/>
  <c r="E55" i="6"/>
  <c r="F55" i="6"/>
  <c r="E57" i="6"/>
  <c r="F57" i="6"/>
  <c r="G45" i="6"/>
  <c r="H45" i="6"/>
  <c r="G47" i="6"/>
  <c r="H47" i="6"/>
  <c r="G49" i="6"/>
  <c r="H49" i="6"/>
  <c r="G51" i="6"/>
  <c r="H51" i="6"/>
  <c r="G53" i="6"/>
  <c r="H53" i="6"/>
  <c r="G55" i="6"/>
  <c r="H55" i="6"/>
  <c r="G57" i="6"/>
  <c r="H57" i="6"/>
  <c r="C19" i="6"/>
  <c r="D19" i="6"/>
  <c r="E19" i="6"/>
  <c r="C21" i="6"/>
  <c r="D21" i="6"/>
  <c r="E21" i="6"/>
  <c r="C23" i="6"/>
  <c r="D23" i="6"/>
  <c r="E23" i="6"/>
  <c r="B66" i="6"/>
  <c r="C66" i="6"/>
  <c r="B68" i="6"/>
  <c r="C68" i="6"/>
  <c r="B70" i="6"/>
  <c r="C70" i="6"/>
  <c r="E66" i="6"/>
  <c r="F66" i="6"/>
  <c r="E68" i="6"/>
  <c r="F68" i="6"/>
  <c r="E70" i="6"/>
  <c r="F70" i="6"/>
  <c r="J20" i="6"/>
  <c r="J22" i="6"/>
  <c r="K20" i="6"/>
  <c r="K22" i="6"/>
  <c r="L20" i="6"/>
  <c r="L22" i="6"/>
  <c r="D31" i="6"/>
  <c r="D33" i="6"/>
  <c r="C31" i="6"/>
  <c r="C33" i="6"/>
  <c r="F31" i="6"/>
  <c r="F33" i="6"/>
  <c r="E31" i="6"/>
  <c r="E33" i="6"/>
  <c r="G31" i="6"/>
  <c r="G33" i="6"/>
  <c r="H31" i="6"/>
  <c r="H33" i="6"/>
  <c r="I31" i="6"/>
  <c r="I33" i="6"/>
  <c r="N20" i="6" l="1"/>
  <c r="N22" i="6"/>
  <c r="G70" i="6"/>
  <c r="G66" i="6"/>
  <c r="D68" i="6"/>
  <c r="G68" i="6"/>
  <c r="D70" i="6"/>
  <c r="D66" i="6"/>
  <c r="F68" i="15"/>
  <c r="F66" i="15"/>
  <c r="F64" i="15"/>
  <c r="C68" i="15"/>
  <c r="C66" i="15"/>
  <c r="C64" i="15"/>
  <c r="F67" i="14"/>
  <c r="F65" i="14"/>
  <c r="F63" i="14"/>
  <c r="C67" i="14"/>
  <c r="C65" i="14"/>
  <c r="C63" i="14"/>
  <c r="F68" i="13"/>
  <c r="G68" i="13" s="1"/>
  <c r="F66" i="13"/>
  <c r="G66" i="13" s="1"/>
  <c r="F64" i="13"/>
  <c r="G64" i="13" s="1"/>
  <c r="C68" i="13"/>
  <c r="C66" i="13"/>
  <c r="C64" i="13"/>
  <c r="F69" i="12"/>
  <c r="F67" i="12"/>
  <c r="F65" i="12"/>
  <c r="C69" i="12"/>
  <c r="C67" i="12"/>
  <c r="C65" i="12"/>
  <c r="B65" i="12"/>
  <c r="C69" i="11"/>
  <c r="B69" i="11"/>
  <c r="C67" i="11"/>
  <c r="B67" i="11"/>
  <c r="C65" i="11"/>
  <c r="B65" i="11"/>
  <c r="F69" i="11"/>
  <c r="E69" i="11"/>
  <c r="F67" i="11"/>
  <c r="E67" i="11"/>
  <c r="F65" i="11"/>
  <c r="E65" i="11"/>
  <c r="F67" i="10"/>
  <c r="F65" i="10"/>
  <c r="F63" i="10"/>
  <c r="C67" i="10"/>
  <c r="C65" i="10"/>
  <c r="C63" i="10"/>
  <c r="F68" i="5"/>
  <c r="F66" i="5"/>
  <c r="F64" i="5"/>
  <c r="C68" i="5"/>
  <c r="C66" i="5"/>
  <c r="C64" i="5"/>
  <c r="B68" i="5"/>
  <c r="F67" i="9"/>
  <c r="F65" i="9"/>
  <c r="F63" i="9"/>
  <c r="C67" i="9"/>
  <c r="C65" i="9"/>
  <c r="C63" i="9"/>
  <c r="C68" i="8"/>
  <c r="C66" i="8"/>
  <c r="C64" i="8"/>
  <c r="F68" i="8"/>
  <c r="F66" i="8"/>
  <c r="F64" i="8"/>
  <c r="F68" i="4"/>
  <c r="F66" i="4"/>
  <c r="F64" i="4"/>
  <c r="H13" i="17"/>
  <c r="L8" i="17"/>
  <c r="C46" i="17"/>
  <c r="C54" i="17"/>
  <c r="D43" i="11"/>
  <c r="IC22" i="7"/>
  <c r="IB22" i="7"/>
  <c r="IC21" i="7"/>
  <c r="IB21" i="7"/>
  <c r="IC20" i="7"/>
  <c r="IB20" i="7"/>
  <c r="IB7" i="7"/>
  <c r="IC7" i="7"/>
  <c r="IB8" i="7"/>
  <c r="IC8" i="7"/>
  <c r="IB9" i="7"/>
  <c r="IC9" i="7"/>
  <c r="IB10" i="7"/>
  <c r="IC10" i="7"/>
  <c r="IB11" i="7"/>
  <c r="IC11" i="7"/>
  <c r="IB12" i="7"/>
  <c r="IC12" i="7"/>
  <c r="IB13" i="7"/>
  <c r="IC13" i="7"/>
  <c r="IC6" i="7"/>
  <c r="IB6" i="7"/>
  <c r="HS11" i="7" l="1"/>
  <c r="HS8" i="7"/>
  <c r="D68" i="5"/>
  <c r="G69" i="11"/>
  <c r="D67" i="11"/>
  <c r="D65" i="12"/>
  <c r="G67" i="11"/>
  <c r="D65" i="11"/>
  <c r="D69" i="11"/>
  <c r="G65" i="11"/>
  <c r="D54" i="17"/>
  <c r="D50" i="17"/>
  <c r="D46" i="17"/>
  <c r="D42" i="17"/>
  <c r="C50" i="17"/>
  <c r="C42" i="17"/>
  <c r="D52" i="17"/>
  <c r="D48" i="17"/>
  <c r="D44" i="17"/>
  <c r="G8" i="17"/>
  <c r="G13" i="17"/>
  <c r="C52" i="17"/>
  <c r="C48" i="17"/>
  <c r="C44" i="17"/>
  <c r="C13" i="17"/>
  <c r="F13" i="17"/>
  <c r="C57" i="6"/>
  <c r="C55" i="6"/>
  <c r="C53" i="6"/>
  <c r="C51" i="6"/>
  <c r="C49" i="6"/>
  <c r="C47" i="6"/>
  <c r="C45" i="6"/>
  <c r="G9" i="6"/>
  <c r="G14" i="6"/>
  <c r="B13" i="17"/>
  <c r="I30" i="17"/>
  <c r="H30" i="17"/>
  <c r="G30" i="17"/>
  <c r="E30" i="17"/>
  <c r="F30" i="17"/>
  <c r="C30" i="17"/>
  <c r="D30" i="17"/>
  <c r="L21" i="17"/>
  <c r="K21" i="17"/>
  <c r="J21" i="17"/>
  <c r="F67" i="16"/>
  <c r="F66" i="17"/>
  <c r="F64" i="17"/>
  <c r="C67" i="16"/>
  <c r="C66" i="17"/>
  <c r="C63" i="16"/>
  <c r="E22" i="17"/>
  <c r="C22" i="17"/>
  <c r="D20" i="17"/>
  <c r="E18" i="17"/>
  <c r="C18" i="17"/>
  <c r="G54" i="17"/>
  <c r="G52" i="17"/>
  <c r="G50" i="17"/>
  <c r="G48" i="17"/>
  <c r="G46" i="17"/>
  <c r="G44" i="17"/>
  <c r="G42" i="17"/>
  <c r="E54" i="17"/>
  <c r="E52" i="17"/>
  <c r="E50" i="17"/>
  <c r="E48" i="17"/>
  <c r="E46" i="17"/>
  <c r="E44" i="17"/>
  <c r="E42" i="17"/>
  <c r="C65" i="16"/>
  <c r="F63" i="16"/>
  <c r="ID11" i="7"/>
  <c r="ID20" i="7"/>
  <c r="ID22" i="7"/>
  <c r="D57" i="6"/>
  <c r="D55" i="6"/>
  <c r="D53" i="6"/>
  <c r="D51" i="6"/>
  <c r="D49" i="6"/>
  <c r="D47" i="6"/>
  <c r="D45" i="6"/>
  <c r="L9" i="6"/>
  <c r="C14" i="6"/>
  <c r="H14" i="6"/>
  <c r="F14" i="6"/>
  <c r="I32" i="17"/>
  <c r="H32" i="17"/>
  <c r="G32" i="17"/>
  <c r="E32" i="17"/>
  <c r="F32" i="17"/>
  <c r="C32" i="17"/>
  <c r="D32" i="17"/>
  <c r="L19" i="17"/>
  <c r="K19" i="17"/>
  <c r="J19" i="17"/>
  <c r="E68" i="17"/>
  <c r="E66" i="17"/>
  <c r="E64" i="17"/>
  <c r="B68" i="17"/>
  <c r="B66" i="17"/>
  <c r="B64" i="17"/>
  <c r="D22" i="17"/>
  <c r="E20" i="17"/>
  <c r="C20" i="17"/>
  <c r="D18" i="17"/>
  <c r="H54" i="17"/>
  <c r="H52" i="17"/>
  <c r="H50" i="17"/>
  <c r="H48" i="17"/>
  <c r="H46" i="17"/>
  <c r="H44" i="17"/>
  <c r="H42" i="17"/>
  <c r="F54" i="17"/>
  <c r="F52" i="17"/>
  <c r="F50" i="17"/>
  <c r="F48" i="17"/>
  <c r="F46" i="17"/>
  <c r="F44" i="17"/>
  <c r="F42" i="17"/>
  <c r="ID9" i="7"/>
  <c r="ID6" i="7"/>
  <c r="ID12" i="7"/>
  <c r="ID21" i="7"/>
  <c r="ID13" i="7"/>
  <c r="F65" i="16"/>
  <c r="HS9" i="7"/>
  <c r="ID7" i="7"/>
  <c r="HS13" i="7"/>
  <c r="ID8" i="7"/>
  <c r="HS10" i="7"/>
  <c r="HS12" i="7"/>
  <c r="ID10" i="7"/>
  <c r="N21" i="17" l="1"/>
  <c r="N19" i="17"/>
  <c r="HS7" i="7"/>
  <c r="G64" i="17"/>
  <c r="G66" i="17"/>
  <c r="D66" i="17"/>
  <c r="P67" i="11"/>
  <c r="J42" i="17"/>
  <c r="K23" i="17"/>
  <c r="I46" i="17"/>
  <c r="I54" i="17"/>
  <c r="F56" i="17"/>
  <c r="J46" i="17"/>
  <c r="J50" i="17"/>
  <c r="J54" i="17"/>
  <c r="HS6" i="7"/>
  <c r="I50" i="17"/>
  <c r="C56" i="17"/>
  <c r="B8" i="17"/>
  <c r="D56" i="17"/>
  <c r="J44" i="17"/>
  <c r="J48" i="17"/>
  <c r="J52" i="17"/>
  <c r="F20" i="17"/>
  <c r="I44" i="17"/>
  <c r="I48" i="17"/>
  <c r="I52" i="17"/>
  <c r="H56" i="17"/>
  <c r="J23" i="17"/>
  <c r="J32" i="17"/>
  <c r="C64" i="17"/>
  <c r="D64" i="17" s="1"/>
  <c r="C68" i="17"/>
  <c r="D68" i="17" s="1"/>
  <c r="F68" i="17"/>
  <c r="G68" i="17" s="1"/>
  <c r="L23" i="17"/>
  <c r="C34" i="17"/>
  <c r="E34" i="17"/>
  <c r="G34" i="17"/>
  <c r="B14" i="6"/>
  <c r="B9" i="6"/>
  <c r="I42" i="17"/>
  <c r="E56" i="17"/>
  <c r="G56" i="17"/>
  <c r="C24" i="17"/>
  <c r="F18" i="17"/>
  <c r="E24" i="17"/>
  <c r="D24" i="17"/>
  <c r="F22" i="17"/>
  <c r="D34" i="17"/>
  <c r="F34" i="17"/>
  <c r="H34" i="17"/>
  <c r="I34" i="17"/>
  <c r="J30" i="17"/>
  <c r="P65" i="11"/>
  <c r="P69" i="11"/>
  <c r="GO22" i="7"/>
  <c r="GN22" i="7"/>
  <c r="GO21" i="7"/>
  <c r="GN21" i="7"/>
  <c r="GO20" i="7"/>
  <c r="GN20" i="7"/>
  <c r="GN7" i="7"/>
  <c r="GO7" i="7"/>
  <c r="GN8" i="7"/>
  <c r="GO8" i="7"/>
  <c r="GN9" i="7"/>
  <c r="GO9" i="7"/>
  <c r="GN10" i="7"/>
  <c r="GO10" i="7"/>
  <c r="GN11" i="7"/>
  <c r="GO11" i="7"/>
  <c r="GN12" i="7"/>
  <c r="GO12" i="7"/>
  <c r="GN13" i="7"/>
  <c r="GO13" i="7"/>
  <c r="GO6" i="7"/>
  <c r="GN6" i="7"/>
  <c r="GX22" i="7"/>
  <c r="GW22" i="7"/>
  <c r="GX21" i="7"/>
  <c r="GW21" i="7"/>
  <c r="GX20" i="7"/>
  <c r="GW20" i="7"/>
  <c r="GW7" i="7"/>
  <c r="GX7" i="7"/>
  <c r="GW8" i="7"/>
  <c r="GX8" i="7"/>
  <c r="GW9" i="7"/>
  <c r="GX9" i="7"/>
  <c r="GW10" i="7"/>
  <c r="GX10" i="7"/>
  <c r="GW11" i="7"/>
  <c r="GX11" i="7"/>
  <c r="GW12" i="7"/>
  <c r="GX12" i="7"/>
  <c r="GW13" i="7"/>
  <c r="GX13" i="7"/>
  <c r="GX6" i="7"/>
  <c r="GW6" i="7"/>
  <c r="FU13" i="7"/>
  <c r="FV13" i="7"/>
  <c r="FD22" i="7"/>
  <c r="FC22" i="7"/>
  <c r="FD21" i="7"/>
  <c r="FC21" i="7"/>
  <c r="FD20" i="7"/>
  <c r="FC20" i="7"/>
  <c r="FC7" i="7"/>
  <c r="FD7" i="7"/>
  <c r="FC8" i="7"/>
  <c r="FD8" i="7"/>
  <c r="FC9" i="7"/>
  <c r="FD9" i="7"/>
  <c r="FC10" i="7"/>
  <c r="FD10" i="7"/>
  <c r="FC11" i="7"/>
  <c r="FD11" i="7"/>
  <c r="FC12" i="7"/>
  <c r="FD12" i="7"/>
  <c r="FC13" i="7"/>
  <c r="FD13" i="7"/>
  <c r="FD6" i="7"/>
  <c r="FC6" i="7"/>
  <c r="DR13" i="7"/>
  <c r="DQ13" i="7"/>
  <c r="DR12" i="7"/>
  <c r="DQ12" i="7"/>
  <c r="DR11" i="7"/>
  <c r="DQ11" i="7"/>
  <c r="DR10" i="7"/>
  <c r="DQ10" i="7"/>
  <c r="DR9" i="7"/>
  <c r="DQ9" i="7"/>
  <c r="DR8" i="7"/>
  <c r="DQ8" i="7"/>
  <c r="DR7" i="7"/>
  <c r="DQ7" i="7"/>
  <c r="DR6" i="7"/>
  <c r="DQ6" i="7"/>
  <c r="DI22" i="7"/>
  <c r="DH22" i="7"/>
  <c r="DI21" i="7"/>
  <c r="DH21" i="7"/>
  <c r="DI20" i="7"/>
  <c r="DH20" i="7"/>
  <c r="DI13" i="7"/>
  <c r="DH13" i="7"/>
  <c r="DI12" i="7"/>
  <c r="DH12" i="7"/>
  <c r="DI11" i="7"/>
  <c r="DH11" i="7"/>
  <c r="DI10" i="7"/>
  <c r="DH10" i="7"/>
  <c r="DI9" i="7"/>
  <c r="DH9" i="7"/>
  <c r="DI8" i="7"/>
  <c r="DH8" i="7"/>
  <c r="DI7" i="7"/>
  <c r="DH7" i="7"/>
  <c r="DI6" i="7"/>
  <c r="DH6" i="7"/>
  <c r="EA22" i="7"/>
  <c r="DZ22" i="7"/>
  <c r="EA21" i="7"/>
  <c r="DZ21" i="7"/>
  <c r="EA20" i="7"/>
  <c r="DZ20" i="7"/>
  <c r="EA6" i="7"/>
  <c r="DZ6" i="7"/>
  <c r="CX7" i="7"/>
  <c r="CY7" i="7"/>
  <c r="CZ7" i="7"/>
  <c r="CX8" i="7"/>
  <c r="CY8" i="7"/>
  <c r="CZ8" i="7"/>
  <c r="CX9" i="7"/>
  <c r="CY9" i="7"/>
  <c r="CZ9" i="7"/>
  <c r="CX10" i="7"/>
  <c r="CY10" i="7"/>
  <c r="CZ10" i="7"/>
  <c r="CX11" i="7"/>
  <c r="CY11" i="7"/>
  <c r="CZ11" i="7"/>
  <c r="CX12" i="7"/>
  <c r="CY12" i="7"/>
  <c r="CZ12" i="7"/>
  <c r="CX13" i="7"/>
  <c r="CY13" i="7"/>
  <c r="CZ13" i="7"/>
  <c r="CX20" i="7"/>
  <c r="CY20" i="7"/>
  <c r="CZ20" i="7"/>
  <c r="CX21" i="7"/>
  <c r="CY21" i="7"/>
  <c r="CZ21" i="7"/>
  <c r="CX22" i="7"/>
  <c r="CY22" i="7"/>
  <c r="CZ22" i="7"/>
  <c r="CY6" i="7"/>
  <c r="CZ6" i="7"/>
  <c r="CX6" i="7"/>
  <c r="K14" i="6" l="1"/>
  <c r="K13" i="14"/>
  <c r="L14" i="6"/>
  <c r="L13" i="14"/>
  <c r="K46" i="17"/>
  <c r="K42" i="17"/>
  <c r="L13" i="17"/>
  <c r="K54" i="17"/>
  <c r="K44" i="17"/>
  <c r="K52" i="17"/>
  <c r="K48" i="17"/>
  <c r="P68" i="17"/>
  <c r="P64" i="17"/>
  <c r="K50" i="17"/>
  <c r="GY7" i="7"/>
  <c r="J56" i="17"/>
  <c r="P66" i="17"/>
  <c r="I56" i="17"/>
  <c r="J34" i="17"/>
  <c r="DJ21" i="7"/>
  <c r="GY6" i="7"/>
  <c r="F24" i="17"/>
  <c r="N23" i="17"/>
  <c r="DJ10" i="7"/>
  <c r="GP6" i="7"/>
  <c r="FW6" i="7"/>
  <c r="FE6" i="7"/>
  <c r="EB6" i="7"/>
  <c r="DA6" i="7"/>
  <c r="EB22" i="7"/>
  <c r="DS11" i="7"/>
  <c r="DS13" i="7"/>
  <c r="FE13" i="7"/>
  <c r="FE9" i="7"/>
  <c r="GY13" i="7"/>
  <c r="GY9" i="7"/>
  <c r="GY22" i="7"/>
  <c r="DJ22" i="7"/>
  <c r="FE22" i="7"/>
  <c r="GP22" i="7"/>
  <c r="GY20" i="7"/>
  <c r="GY10" i="7"/>
  <c r="GY8" i="7"/>
  <c r="GY21" i="7"/>
  <c r="GP11" i="7"/>
  <c r="GP21" i="7"/>
  <c r="GP20" i="7"/>
  <c r="GP10" i="7"/>
  <c r="FW13" i="7"/>
  <c r="FE20" i="7"/>
  <c r="FE21" i="7"/>
  <c r="FE12" i="7"/>
  <c r="FE10" i="7"/>
  <c r="FE8" i="7"/>
  <c r="DS10" i="7"/>
  <c r="DJ12" i="7"/>
  <c r="DJ20" i="7"/>
  <c r="EB20" i="7"/>
  <c r="EB21" i="7"/>
  <c r="DA11" i="7"/>
  <c r="DA21" i="7"/>
  <c r="DA12" i="7"/>
  <c r="DA8" i="7"/>
  <c r="DA22" i="7"/>
  <c r="DA13" i="7"/>
  <c r="DA9" i="7"/>
  <c r="DJ11" i="7"/>
  <c r="DJ13" i="7"/>
  <c r="DS12" i="7"/>
  <c r="GY11" i="7"/>
  <c r="DA10" i="7"/>
  <c r="GP9" i="7"/>
  <c r="DJ7" i="7"/>
  <c r="DJ9" i="7"/>
  <c r="DS7" i="7"/>
  <c r="DS9" i="7"/>
  <c r="FE11" i="7"/>
  <c r="GY12" i="7"/>
  <c r="GP12" i="7"/>
  <c r="GP7" i="7"/>
  <c r="GP8" i="7"/>
  <c r="DA20" i="7"/>
  <c r="DA7" i="7"/>
  <c r="DJ6" i="7"/>
  <c r="DJ8" i="7"/>
  <c r="DS6" i="7"/>
  <c r="DS8" i="7"/>
  <c r="FE7" i="7"/>
  <c r="GP13" i="7"/>
  <c r="K13" i="17" l="1"/>
  <c r="M13" i="17" s="1"/>
  <c r="K56" i="17"/>
  <c r="CK22" i="7" l="1"/>
  <c r="CJ22" i="7"/>
  <c r="CI22" i="7"/>
  <c r="CH22" i="7"/>
  <c r="CG22" i="7"/>
  <c r="CF22" i="7"/>
  <c r="CE22" i="7"/>
  <c r="CD22" i="7"/>
  <c r="CC22" i="7"/>
  <c r="CB22" i="7"/>
  <c r="CA22" i="7"/>
  <c r="BZ22" i="7"/>
  <c r="BY22" i="7"/>
  <c r="BX22" i="7"/>
  <c r="CK21" i="7"/>
  <c r="CJ21" i="7"/>
  <c r="CI21" i="7"/>
  <c r="CH21" i="7"/>
  <c r="CG21" i="7"/>
  <c r="CF21" i="7"/>
  <c r="CE21" i="7"/>
  <c r="CD21" i="7"/>
  <c r="CC21" i="7"/>
  <c r="CB21" i="7"/>
  <c r="CA21" i="7"/>
  <c r="BZ21" i="7"/>
  <c r="BY21" i="7"/>
  <c r="BX21" i="7"/>
  <c r="CK20" i="7"/>
  <c r="CJ20" i="7"/>
  <c r="CI20" i="7"/>
  <c r="CH20" i="7"/>
  <c r="CG20" i="7"/>
  <c r="CF20" i="7"/>
  <c r="CE20" i="7"/>
  <c r="CD20" i="7"/>
  <c r="CC20" i="7"/>
  <c r="CB20" i="7"/>
  <c r="CA20" i="7"/>
  <c r="BZ20" i="7"/>
  <c r="BY20" i="7"/>
  <c r="BX20" i="7"/>
  <c r="BX7" i="7"/>
  <c r="BY7" i="7"/>
  <c r="BZ7" i="7"/>
  <c r="CA7" i="7"/>
  <c r="CB7" i="7"/>
  <c r="CC7" i="7"/>
  <c r="CD7" i="7"/>
  <c r="CE7" i="7"/>
  <c r="CF7" i="7"/>
  <c r="CG7" i="7"/>
  <c r="CH7" i="7"/>
  <c r="CI7" i="7"/>
  <c r="CJ7" i="7"/>
  <c r="CK7" i="7"/>
  <c r="BY8" i="7"/>
  <c r="CA8" i="7"/>
  <c r="CB8" i="7"/>
  <c r="CC8" i="7"/>
  <c r="CD8" i="7"/>
  <c r="CE8" i="7"/>
  <c r="CF8" i="7"/>
  <c r="CG8" i="7"/>
  <c r="CH8" i="7"/>
  <c r="CI8" i="7"/>
  <c r="CJ8" i="7"/>
  <c r="CK8" i="7"/>
  <c r="BX9" i="7"/>
  <c r="BY9" i="7"/>
  <c r="BZ9" i="7"/>
  <c r="CA9" i="7"/>
  <c r="CB9" i="7"/>
  <c r="CC9" i="7"/>
  <c r="CD9" i="7"/>
  <c r="CE9" i="7"/>
  <c r="CF9" i="7"/>
  <c r="CG9" i="7"/>
  <c r="CH9" i="7"/>
  <c r="CI9" i="7"/>
  <c r="CJ9" i="7"/>
  <c r="CK9" i="7"/>
  <c r="BX10" i="7"/>
  <c r="BY10" i="7"/>
  <c r="BZ10" i="7"/>
  <c r="CA10" i="7"/>
  <c r="CB10" i="7"/>
  <c r="CC10" i="7"/>
  <c r="CD10" i="7"/>
  <c r="CE10" i="7"/>
  <c r="CF10" i="7"/>
  <c r="CG10" i="7"/>
  <c r="CH10" i="7"/>
  <c r="CI10" i="7"/>
  <c r="CJ10" i="7"/>
  <c r="CK10" i="7"/>
  <c r="BX11" i="7"/>
  <c r="BY11" i="7"/>
  <c r="BZ11" i="7"/>
  <c r="CA11" i="7"/>
  <c r="CB11" i="7"/>
  <c r="CC11" i="7"/>
  <c r="CD11" i="7"/>
  <c r="CE11" i="7"/>
  <c r="CF11" i="7"/>
  <c r="CG11" i="7"/>
  <c r="CH11" i="7"/>
  <c r="CI11" i="7"/>
  <c r="CJ11" i="7"/>
  <c r="CK11" i="7"/>
  <c r="BX12" i="7"/>
  <c r="BY12" i="7"/>
  <c r="BZ12" i="7"/>
  <c r="CA12" i="7"/>
  <c r="CB12" i="7"/>
  <c r="CC12" i="7"/>
  <c r="CD12" i="7"/>
  <c r="CE12" i="7"/>
  <c r="CF12" i="7"/>
  <c r="CG12" i="7"/>
  <c r="CH12" i="7"/>
  <c r="CI12" i="7"/>
  <c r="CJ12" i="7"/>
  <c r="CK12" i="7"/>
  <c r="BX13" i="7"/>
  <c r="BY13" i="7"/>
  <c r="BZ13" i="7"/>
  <c r="CA13" i="7"/>
  <c r="CB13" i="7"/>
  <c r="CC13" i="7"/>
  <c r="CD13" i="7"/>
  <c r="CE13" i="7"/>
  <c r="CF13" i="7"/>
  <c r="CG13" i="7"/>
  <c r="CH13" i="7"/>
  <c r="CI13" i="7"/>
  <c r="CJ13" i="7"/>
  <c r="CK13" i="7"/>
  <c r="BY6" i="7"/>
  <c r="BZ6" i="7"/>
  <c r="CA6" i="7"/>
  <c r="CB6" i="7"/>
  <c r="CC6" i="7"/>
  <c r="CD6" i="7"/>
  <c r="CE6" i="7"/>
  <c r="CF6" i="7"/>
  <c r="CG6" i="7"/>
  <c r="CH6" i="7"/>
  <c r="CI6" i="7"/>
  <c r="CJ6" i="7"/>
  <c r="CK6" i="7"/>
  <c r="BX6" i="7"/>
  <c r="BV22" i="7"/>
  <c r="BU22" i="7"/>
  <c r="BV21" i="7"/>
  <c r="BU21" i="7"/>
  <c r="BV20" i="7"/>
  <c r="BU20" i="7"/>
  <c r="BV13" i="7"/>
  <c r="BU13" i="7"/>
  <c r="BV12" i="7"/>
  <c r="BU12" i="7"/>
  <c r="BV11" i="7"/>
  <c r="BU11" i="7"/>
  <c r="BV10" i="7"/>
  <c r="BU10" i="7"/>
  <c r="BU9" i="7"/>
  <c r="BV8" i="7"/>
  <c r="BU8" i="7"/>
  <c r="BV7" i="7"/>
  <c r="BU7" i="7"/>
  <c r="BV6" i="7"/>
  <c r="BU6" i="7"/>
  <c r="BE22" i="7"/>
  <c r="BD22" i="7"/>
  <c r="BE21" i="7"/>
  <c r="BD21" i="7"/>
  <c r="BE20" i="7"/>
  <c r="BD20" i="7"/>
  <c r="BE13" i="7"/>
  <c r="BD13" i="7"/>
  <c r="BE12" i="7"/>
  <c r="BD12" i="7"/>
  <c r="BE11" i="7"/>
  <c r="BD11" i="7"/>
  <c r="BE10" i="7"/>
  <c r="BD10" i="7"/>
  <c r="BE9" i="7"/>
  <c r="BD9" i="7"/>
  <c r="BE8" i="7"/>
  <c r="BD8" i="7"/>
  <c r="BE7" i="7"/>
  <c r="BD7" i="7"/>
  <c r="BE6" i="7"/>
  <c r="BD6" i="7"/>
  <c r="AN22" i="7"/>
  <c r="AM22" i="7"/>
  <c r="AN21" i="7"/>
  <c r="AM21" i="7"/>
  <c r="AN20" i="7"/>
  <c r="AM20" i="7"/>
  <c r="AM7" i="7"/>
  <c r="AN7" i="7"/>
  <c r="AM8" i="7"/>
  <c r="AN8" i="7"/>
  <c r="AM9" i="7"/>
  <c r="AN9" i="7"/>
  <c r="AM10" i="7"/>
  <c r="AN10" i="7"/>
  <c r="AM11" i="7"/>
  <c r="AN11" i="7"/>
  <c r="AM12" i="7"/>
  <c r="AN12" i="7"/>
  <c r="AM13" i="7"/>
  <c r="AN13" i="7"/>
  <c r="AN6" i="7"/>
  <c r="AM6" i="7"/>
  <c r="AO22" i="7" l="1"/>
  <c r="AO21" i="7"/>
  <c r="BF21" i="7"/>
  <c r="BF8" i="7"/>
  <c r="AO6" i="7"/>
  <c r="AO11" i="7"/>
  <c r="CM22" i="7"/>
  <c r="BF22" i="7"/>
  <c r="BW12" i="7"/>
  <c r="BW21" i="7"/>
  <c r="BW13" i="7"/>
  <c r="BW22" i="7"/>
  <c r="CM13" i="7"/>
  <c r="CM12" i="7"/>
  <c r="CM10" i="7"/>
  <c r="CM8" i="7"/>
  <c r="BW11" i="7"/>
  <c r="BW20" i="7"/>
  <c r="CM6" i="7"/>
  <c r="CL8" i="7"/>
  <c r="BF9" i="7"/>
  <c r="BF13" i="7"/>
  <c r="BF7" i="7"/>
  <c r="BF20" i="7"/>
  <c r="CL20" i="7"/>
  <c r="CL21" i="7"/>
  <c r="CL22" i="7"/>
  <c r="AO20" i="7"/>
  <c r="CM20" i="7"/>
  <c r="CM21" i="7"/>
  <c r="CM11" i="7"/>
  <c r="AO10" i="7"/>
  <c r="CL13" i="7"/>
  <c r="CL12" i="7"/>
  <c r="CL11" i="7"/>
  <c r="CL10" i="7"/>
  <c r="CL9" i="7"/>
  <c r="BW9" i="7"/>
  <c r="AO13" i="7"/>
  <c r="AO8" i="7"/>
  <c r="BF11" i="7"/>
  <c r="BW8" i="7"/>
  <c r="BW10" i="7"/>
  <c r="CL7" i="7"/>
  <c r="AO12" i="7"/>
  <c r="AO9" i="7"/>
  <c r="AO7" i="7"/>
  <c r="BF10" i="7"/>
  <c r="BF12" i="7"/>
  <c r="BW7" i="7"/>
  <c r="CM9" i="7"/>
  <c r="CM7" i="7"/>
  <c r="BF6" i="7"/>
  <c r="BW6" i="7"/>
  <c r="CL6" i="7"/>
  <c r="CN7" i="7" l="1"/>
  <c r="CN10" i="7"/>
  <c r="CN13" i="7"/>
  <c r="CN8" i="7"/>
  <c r="CN22" i="7"/>
  <c r="CN12" i="7"/>
  <c r="CN11" i="7"/>
  <c r="CN20" i="7"/>
  <c r="CN21" i="7"/>
  <c r="CN6" i="7"/>
  <c r="CN9" i="7"/>
  <c r="IA36" i="7" l="1"/>
  <c r="F43" i="11" l="1"/>
  <c r="E45" i="11"/>
  <c r="F45" i="11"/>
  <c r="E47" i="11"/>
  <c r="F47" i="11"/>
  <c r="F49" i="11"/>
  <c r="E51" i="11"/>
  <c r="F51" i="11"/>
  <c r="E53" i="11"/>
  <c r="F53" i="11"/>
  <c r="F55" i="11"/>
  <c r="H43" i="11"/>
  <c r="H45" i="11"/>
  <c r="H47" i="11"/>
  <c r="G49" i="11"/>
  <c r="H49" i="11"/>
  <c r="H51" i="11"/>
  <c r="G53" i="11"/>
  <c r="H55" i="11"/>
  <c r="G55" i="11"/>
  <c r="G51" i="11"/>
  <c r="G47" i="11"/>
  <c r="G45" i="11"/>
  <c r="G43" i="11"/>
  <c r="E55" i="11"/>
  <c r="E49" i="11"/>
  <c r="E43" i="11"/>
  <c r="H53" i="11" l="1"/>
  <c r="H57" i="11" s="1"/>
  <c r="I32" i="15"/>
  <c r="I30" i="15"/>
  <c r="H32" i="15"/>
  <c r="H30" i="15"/>
  <c r="G32" i="15"/>
  <c r="G30" i="15"/>
  <c r="F32" i="15"/>
  <c r="F30" i="15"/>
  <c r="E32" i="15"/>
  <c r="E30" i="15"/>
  <c r="D32" i="15"/>
  <c r="C32" i="15"/>
  <c r="C30" i="15"/>
  <c r="L21" i="15"/>
  <c r="L19" i="15"/>
  <c r="K21" i="15"/>
  <c r="K19" i="15"/>
  <c r="B68" i="15"/>
  <c r="D68" i="15" s="1"/>
  <c r="B66" i="15"/>
  <c r="D66" i="15" s="1"/>
  <c r="B64" i="15"/>
  <c r="D64" i="15" s="1"/>
  <c r="D18" i="15"/>
  <c r="E18" i="15"/>
  <c r="D20" i="15"/>
  <c r="E20" i="15"/>
  <c r="D22" i="15"/>
  <c r="E22" i="15"/>
  <c r="C22" i="15"/>
  <c r="C20" i="15"/>
  <c r="C18" i="15"/>
  <c r="H42" i="15"/>
  <c r="H44" i="15"/>
  <c r="H46" i="15"/>
  <c r="H48" i="15"/>
  <c r="H50" i="15"/>
  <c r="H52" i="15"/>
  <c r="H54" i="15"/>
  <c r="G54" i="15"/>
  <c r="G52" i="15"/>
  <c r="G50" i="15"/>
  <c r="G48" i="15"/>
  <c r="G46" i="15"/>
  <c r="G44" i="15"/>
  <c r="G42" i="15"/>
  <c r="F42" i="15"/>
  <c r="F44" i="15"/>
  <c r="F46" i="15"/>
  <c r="F48" i="15"/>
  <c r="F50" i="15"/>
  <c r="F52" i="15"/>
  <c r="F54" i="15"/>
  <c r="E54" i="15"/>
  <c r="E52" i="15"/>
  <c r="E50" i="15"/>
  <c r="E48" i="15"/>
  <c r="E46" i="15"/>
  <c r="E44" i="15"/>
  <c r="E42" i="15"/>
  <c r="I29" i="14"/>
  <c r="H29" i="14"/>
  <c r="G29" i="14"/>
  <c r="F29" i="14"/>
  <c r="L21" i="14"/>
  <c r="L19" i="14"/>
  <c r="K21" i="14"/>
  <c r="K19" i="14"/>
  <c r="E67" i="14"/>
  <c r="G67" i="14" s="1"/>
  <c r="E65" i="14"/>
  <c r="G65" i="14" s="1"/>
  <c r="E63" i="14"/>
  <c r="G63" i="14" s="1"/>
  <c r="B67" i="14"/>
  <c r="D67" i="14" s="1"/>
  <c r="B65" i="14"/>
  <c r="D65" i="14" s="1"/>
  <c r="B63" i="14"/>
  <c r="D63" i="14" s="1"/>
  <c r="D18" i="14"/>
  <c r="E18" i="14"/>
  <c r="D20" i="14"/>
  <c r="E20" i="14"/>
  <c r="D22" i="14"/>
  <c r="E22" i="14"/>
  <c r="C22" i="14"/>
  <c r="C20" i="14"/>
  <c r="C18" i="14"/>
  <c r="H42" i="14"/>
  <c r="H44" i="14"/>
  <c r="H46" i="14"/>
  <c r="H48" i="14"/>
  <c r="H50" i="14"/>
  <c r="H52" i="14"/>
  <c r="H54" i="14"/>
  <c r="G54" i="14"/>
  <c r="G52" i="14"/>
  <c r="G50" i="14"/>
  <c r="G48" i="14"/>
  <c r="G46" i="14"/>
  <c r="G44" i="14"/>
  <c r="G42" i="14"/>
  <c r="F42" i="14"/>
  <c r="F44" i="14"/>
  <c r="F46" i="14"/>
  <c r="F48" i="14"/>
  <c r="F50" i="14"/>
  <c r="F52" i="14"/>
  <c r="F54" i="14"/>
  <c r="E54" i="14"/>
  <c r="E52" i="14"/>
  <c r="E50" i="14"/>
  <c r="E48" i="14"/>
  <c r="E46" i="14"/>
  <c r="E44" i="14"/>
  <c r="E42" i="14"/>
  <c r="D42" i="14"/>
  <c r="D44" i="14"/>
  <c r="D46" i="14"/>
  <c r="D48" i="14"/>
  <c r="D50" i="14"/>
  <c r="D52" i="14"/>
  <c r="D54" i="14"/>
  <c r="C54" i="14"/>
  <c r="C52" i="14"/>
  <c r="C50" i="14"/>
  <c r="C48" i="14"/>
  <c r="C46" i="14"/>
  <c r="C44" i="14"/>
  <c r="C42" i="14"/>
  <c r="I32" i="13"/>
  <c r="I30" i="13"/>
  <c r="H32" i="13"/>
  <c r="H30" i="13"/>
  <c r="G32" i="13"/>
  <c r="G30" i="13"/>
  <c r="F32" i="13"/>
  <c r="F30" i="13"/>
  <c r="E32" i="13"/>
  <c r="E30" i="13"/>
  <c r="D32" i="13"/>
  <c r="C32" i="13"/>
  <c r="C30" i="13"/>
  <c r="L21" i="13"/>
  <c r="L19" i="13"/>
  <c r="K21" i="13"/>
  <c r="K19" i="13"/>
  <c r="B68" i="13"/>
  <c r="D68" i="13" s="1"/>
  <c r="B66" i="13"/>
  <c r="D66" i="13" s="1"/>
  <c r="B64" i="13"/>
  <c r="D64" i="13" s="1"/>
  <c r="D18" i="13"/>
  <c r="E18" i="13"/>
  <c r="D20" i="13"/>
  <c r="E20" i="13"/>
  <c r="D22" i="13"/>
  <c r="E22" i="13"/>
  <c r="C22" i="13"/>
  <c r="C20" i="13"/>
  <c r="C18" i="13"/>
  <c r="H43" i="13"/>
  <c r="H45" i="13"/>
  <c r="H47" i="13"/>
  <c r="H49" i="13"/>
  <c r="H51" i="13"/>
  <c r="H53" i="13"/>
  <c r="H55" i="13"/>
  <c r="G55" i="13"/>
  <c r="G53" i="13"/>
  <c r="G51" i="13"/>
  <c r="G49" i="13"/>
  <c r="G47" i="13"/>
  <c r="G45" i="13"/>
  <c r="G43" i="13"/>
  <c r="F45" i="13"/>
  <c r="F47" i="13"/>
  <c r="F49" i="13"/>
  <c r="F51" i="13"/>
  <c r="F53" i="13"/>
  <c r="F55" i="13"/>
  <c r="E55" i="13"/>
  <c r="E53" i="13"/>
  <c r="E51" i="13"/>
  <c r="E49" i="13"/>
  <c r="E47" i="13"/>
  <c r="E45" i="13"/>
  <c r="E43" i="13"/>
  <c r="D43" i="13"/>
  <c r="D45" i="13"/>
  <c r="D47" i="13"/>
  <c r="D49" i="13"/>
  <c r="D51" i="13"/>
  <c r="D53" i="13"/>
  <c r="D55" i="13"/>
  <c r="C55" i="13"/>
  <c r="C53" i="13"/>
  <c r="C51" i="13"/>
  <c r="C49" i="13"/>
  <c r="C47" i="13"/>
  <c r="C45" i="13"/>
  <c r="C43" i="13"/>
  <c r="I32" i="12"/>
  <c r="I30" i="12"/>
  <c r="H32" i="12"/>
  <c r="H30" i="12"/>
  <c r="G32" i="12"/>
  <c r="G30" i="12"/>
  <c r="F32" i="12"/>
  <c r="F30" i="12"/>
  <c r="E32" i="12"/>
  <c r="E30" i="12"/>
  <c r="D32" i="12"/>
  <c r="C32" i="12"/>
  <c r="C30" i="12"/>
  <c r="L21" i="12"/>
  <c r="L19" i="12"/>
  <c r="K21" i="12"/>
  <c r="K19" i="12"/>
  <c r="E69" i="12"/>
  <c r="G69" i="12" s="1"/>
  <c r="E67" i="12"/>
  <c r="G67" i="12" s="1"/>
  <c r="E65" i="12"/>
  <c r="G65" i="12" s="1"/>
  <c r="B69" i="12"/>
  <c r="D69" i="12" s="1"/>
  <c r="B67" i="12"/>
  <c r="D67" i="12" s="1"/>
  <c r="D18" i="12"/>
  <c r="E18" i="12"/>
  <c r="D20" i="12"/>
  <c r="E20" i="12"/>
  <c r="D22" i="12"/>
  <c r="E22" i="12"/>
  <c r="C22" i="12"/>
  <c r="C20" i="12"/>
  <c r="C18" i="12"/>
  <c r="H43" i="12"/>
  <c r="H45" i="12"/>
  <c r="H47" i="12"/>
  <c r="H49" i="12"/>
  <c r="H51" i="12"/>
  <c r="H53" i="12"/>
  <c r="H55" i="12"/>
  <c r="G55" i="12"/>
  <c r="G53" i="12"/>
  <c r="G51" i="12"/>
  <c r="G49" i="12"/>
  <c r="G47" i="12"/>
  <c r="G45" i="12"/>
  <c r="G43" i="12"/>
  <c r="F43" i="12"/>
  <c r="F45" i="12"/>
  <c r="F47" i="12"/>
  <c r="F49" i="12"/>
  <c r="F51" i="12"/>
  <c r="F53" i="12"/>
  <c r="F55" i="12"/>
  <c r="E55" i="12"/>
  <c r="E53" i="12"/>
  <c r="E51" i="12"/>
  <c r="E49" i="12"/>
  <c r="E47" i="12"/>
  <c r="E45" i="12"/>
  <c r="E43" i="12"/>
  <c r="D43" i="12"/>
  <c r="D45" i="12"/>
  <c r="D47" i="12"/>
  <c r="D49" i="12"/>
  <c r="D51" i="12"/>
  <c r="D53" i="12"/>
  <c r="D55" i="12"/>
  <c r="C55" i="12"/>
  <c r="C53" i="12"/>
  <c r="C51" i="12"/>
  <c r="C49" i="12"/>
  <c r="C47" i="12"/>
  <c r="C45" i="12"/>
  <c r="C43" i="12"/>
  <c r="I32" i="11"/>
  <c r="I30" i="11"/>
  <c r="H32" i="11"/>
  <c r="H30" i="11"/>
  <c r="G32" i="11"/>
  <c r="G30" i="11"/>
  <c r="F32" i="11"/>
  <c r="F30" i="11"/>
  <c r="E32" i="11"/>
  <c r="E30" i="11"/>
  <c r="C32" i="11"/>
  <c r="C30" i="11"/>
  <c r="D32" i="11"/>
  <c r="M21" i="11"/>
  <c r="M19" i="11"/>
  <c r="L21" i="11"/>
  <c r="L19" i="11"/>
  <c r="D18" i="11"/>
  <c r="E18" i="11"/>
  <c r="D20" i="11"/>
  <c r="E20" i="11"/>
  <c r="D22" i="11"/>
  <c r="E22" i="11"/>
  <c r="C22" i="11"/>
  <c r="C20" i="11"/>
  <c r="C18" i="11"/>
  <c r="F57" i="11"/>
  <c r="J43" i="11"/>
  <c r="D47" i="11"/>
  <c r="D49" i="11"/>
  <c r="J49" i="11" s="1"/>
  <c r="D51" i="11"/>
  <c r="J51" i="11" s="1"/>
  <c r="D53" i="11"/>
  <c r="D55" i="11"/>
  <c r="C55" i="11"/>
  <c r="I55" i="11" s="1"/>
  <c r="C53" i="11"/>
  <c r="I53" i="11" s="1"/>
  <c r="C51" i="11"/>
  <c r="I51" i="11" s="1"/>
  <c r="C49" i="11"/>
  <c r="I49" i="11" s="1"/>
  <c r="C47" i="11"/>
  <c r="C45" i="11"/>
  <c r="I45" i="11" s="1"/>
  <c r="C43" i="11"/>
  <c r="H31" i="10"/>
  <c r="H29" i="10"/>
  <c r="E31" i="10"/>
  <c r="E29" i="10"/>
  <c r="G31" i="10"/>
  <c r="G29" i="10"/>
  <c r="C31" i="10"/>
  <c r="C29" i="10"/>
  <c r="D31" i="10"/>
  <c r="K21" i="10"/>
  <c r="K19" i="10"/>
  <c r="H42" i="10"/>
  <c r="H44" i="10"/>
  <c r="H46" i="10"/>
  <c r="H48" i="10"/>
  <c r="H50" i="10"/>
  <c r="H52" i="10"/>
  <c r="H54" i="10"/>
  <c r="G54" i="10"/>
  <c r="G52" i="10"/>
  <c r="G50" i="10"/>
  <c r="G48" i="10"/>
  <c r="G46" i="10"/>
  <c r="G44" i="10"/>
  <c r="G42" i="10"/>
  <c r="F42" i="10"/>
  <c r="F44" i="10"/>
  <c r="F46" i="10"/>
  <c r="E54" i="10"/>
  <c r="E52" i="10"/>
  <c r="E50" i="10"/>
  <c r="E48" i="10"/>
  <c r="E46" i="10"/>
  <c r="E44" i="10"/>
  <c r="E42" i="10"/>
  <c r="D52" i="10"/>
  <c r="D54" i="10"/>
  <c r="C54" i="10"/>
  <c r="E67" i="10"/>
  <c r="G67" i="10" s="1"/>
  <c r="E65" i="10"/>
  <c r="G65" i="10" s="1"/>
  <c r="E63" i="10"/>
  <c r="G63" i="10" s="1"/>
  <c r="B67" i="10"/>
  <c r="D67" i="10" s="1"/>
  <c r="B65" i="10"/>
  <c r="D65" i="10" s="1"/>
  <c r="B63" i="10"/>
  <c r="D63" i="10" s="1"/>
  <c r="D18" i="10"/>
  <c r="E18" i="10"/>
  <c r="D20" i="10"/>
  <c r="E20" i="10"/>
  <c r="D22" i="10"/>
  <c r="E22" i="10"/>
  <c r="C22" i="10"/>
  <c r="C20" i="10"/>
  <c r="C18" i="10"/>
  <c r="H31" i="9"/>
  <c r="G31" i="9"/>
  <c r="F31" i="9"/>
  <c r="E31" i="9"/>
  <c r="C31" i="9"/>
  <c r="C29" i="9"/>
  <c r="D31" i="9"/>
  <c r="M21" i="9"/>
  <c r="M19" i="9"/>
  <c r="L21" i="9"/>
  <c r="L19" i="9"/>
  <c r="H42" i="9"/>
  <c r="H44" i="9"/>
  <c r="H46" i="9"/>
  <c r="H48" i="9"/>
  <c r="H50" i="9"/>
  <c r="H52" i="9"/>
  <c r="H54" i="9"/>
  <c r="G54" i="9"/>
  <c r="G52" i="9"/>
  <c r="G50" i="9"/>
  <c r="G48" i="9"/>
  <c r="G46" i="9"/>
  <c r="G44" i="9"/>
  <c r="G42" i="9"/>
  <c r="F42" i="9"/>
  <c r="F44" i="9"/>
  <c r="F46" i="9"/>
  <c r="F48" i="9"/>
  <c r="F50" i="9"/>
  <c r="F52" i="9"/>
  <c r="F54" i="9"/>
  <c r="E54" i="9"/>
  <c r="E52" i="9"/>
  <c r="E50" i="9"/>
  <c r="E48" i="9"/>
  <c r="E46" i="9"/>
  <c r="E44" i="9"/>
  <c r="D42" i="9"/>
  <c r="D44" i="9"/>
  <c r="D46" i="9"/>
  <c r="D48" i="9"/>
  <c r="D50" i="9"/>
  <c r="D52" i="9"/>
  <c r="D54" i="9"/>
  <c r="C54" i="9"/>
  <c r="C52" i="9"/>
  <c r="C50" i="9"/>
  <c r="C48" i="9"/>
  <c r="C46" i="9"/>
  <c r="C44" i="9"/>
  <c r="C42" i="9"/>
  <c r="E67" i="9"/>
  <c r="G67" i="9" s="1"/>
  <c r="E65" i="9"/>
  <c r="G65" i="9" s="1"/>
  <c r="E63" i="9"/>
  <c r="G63" i="9" s="1"/>
  <c r="B67" i="9"/>
  <c r="D67" i="9" s="1"/>
  <c r="B65" i="9"/>
  <c r="D65" i="9" s="1"/>
  <c r="B63" i="9"/>
  <c r="D63" i="9" s="1"/>
  <c r="D18" i="9"/>
  <c r="E18" i="9"/>
  <c r="D20" i="9"/>
  <c r="E20" i="9"/>
  <c r="D22" i="9"/>
  <c r="E22" i="9"/>
  <c r="C22" i="9"/>
  <c r="C20" i="9"/>
  <c r="C18" i="9"/>
  <c r="I29" i="8"/>
  <c r="H31" i="8"/>
  <c r="H29" i="8"/>
  <c r="G31" i="8"/>
  <c r="G29" i="8"/>
  <c r="F31" i="8"/>
  <c r="F29" i="8"/>
  <c r="E29" i="8"/>
  <c r="C31" i="8"/>
  <c r="C29" i="8"/>
  <c r="D31" i="8"/>
  <c r="M21" i="8"/>
  <c r="M19" i="8"/>
  <c r="L21" i="8"/>
  <c r="L19" i="8"/>
  <c r="E68" i="8"/>
  <c r="G68" i="8" s="1"/>
  <c r="E66" i="8"/>
  <c r="G66" i="8" s="1"/>
  <c r="E64" i="8"/>
  <c r="G64" i="8" s="1"/>
  <c r="B68" i="8"/>
  <c r="D68" i="8" s="1"/>
  <c r="B66" i="8"/>
  <c r="D66" i="8" s="1"/>
  <c r="B64" i="8"/>
  <c r="D64" i="8" s="1"/>
  <c r="E22" i="8"/>
  <c r="E20" i="8"/>
  <c r="D22" i="8"/>
  <c r="C22" i="8"/>
  <c r="H42" i="8"/>
  <c r="H44" i="8"/>
  <c r="H46" i="8"/>
  <c r="H48" i="8"/>
  <c r="H50" i="8"/>
  <c r="H52" i="8"/>
  <c r="H54" i="8"/>
  <c r="G54" i="8"/>
  <c r="G52" i="8"/>
  <c r="G50" i="8"/>
  <c r="G48" i="8"/>
  <c r="G46" i="8"/>
  <c r="G44" i="8"/>
  <c r="G42" i="8"/>
  <c r="F42" i="8"/>
  <c r="F44" i="8"/>
  <c r="F46" i="8"/>
  <c r="F48" i="8"/>
  <c r="F50" i="8"/>
  <c r="F52" i="8"/>
  <c r="F54" i="8"/>
  <c r="E54" i="8"/>
  <c r="E52" i="8"/>
  <c r="E50" i="8"/>
  <c r="E48" i="8"/>
  <c r="E46" i="8"/>
  <c r="E44" i="8"/>
  <c r="E42" i="8"/>
  <c r="D42" i="8"/>
  <c r="D44" i="8"/>
  <c r="D46" i="8"/>
  <c r="D48" i="8"/>
  <c r="D50" i="8"/>
  <c r="D52" i="8"/>
  <c r="D54" i="8"/>
  <c r="C54" i="8"/>
  <c r="C52" i="8"/>
  <c r="C50" i="8"/>
  <c r="C48" i="8"/>
  <c r="C46" i="8"/>
  <c r="C44" i="8"/>
  <c r="C42" i="8"/>
  <c r="M13" i="14"/>
  <c r="G57" i="11"/>
  <c r="P68" i="15" l="1"/>
  <c r="P67" i="12"/>
  <c r="P63" i="14"/>
  <c r="P64" i="15"/>
  <c r="P65" i="14"/>
  <c r="P67" i="14"/>
  <c r="P68" i="13"/>
  <c r="P64" i="13"/>
  <c r="P69" i="12"/>
  <c r="P67" i="10"/>
  <c r="P63" i="10"/>
  <c r="P65" i="10"/>
  <c r="P67" i="9"/>
  <c r="P65" i="9"/>
  <c r="P63" i="9"/>
  <c r="C34" i="15"/>
  <c r="I54" i="8"/>
  <c r="J53" i="11"/>
  <c r="K53" i="11" s="1"/>
  <c r="I53" i="12"/>
  <c r="L23" i="15"/>
  <c r="G33" i="8"/>
  <c r="C34" i="11"/>
  <c r="H34" i="12"/>
  <c r="C34" i="13"/>
  <c r="H33" i="14"/>
  <c r="I46" i="9"/>
  <c r="M23" i="11"/>
  <c r="F18" i="12"/>
  <c r="I46" i="8"/>
  <c r="F34" i="15"/>
  <c r="F34" i="13"/>
  <c r="I33" i="9"/>
  <c r="I44" i="8"/>
  <c r="I52" i="8"/>
  <c r="I47" i="12"/>
  <c r="I55" i="12"/>
  <c r="I50" i="14"/>
  <c r="I45" i="12"/>
  <c r="J43" i="12"/>
  <c r="C34" i="12"/>
  <c r="L23" i="14"/>
  <c r="F18" i="15"/>
  <c r="C56" i="9"/>
  <c r="J48" i="9"/>
  <c r="G56" i="9"/>
  <c r="H56" i="9"/>
  <c r="C33" i="9"/>
  <c r="E24" i="11"/>
  <c r="I34" i="12"/>
  <c r="C57" i="13"/>
  <c r="F20" i="13"/>
  <c r="E34" i="13"/>
  <c r="G34" i="13"/>
  <c r="J32" i="13"/>
  <c r="G56" i="14"/>
  <c r="E56" i="15"/>
  <c r="E34" i="15"/>
  <c r="G34" i="15"/>
  <c r="J32" i="15"/>
  <c r="G34" i="11"/>
  <c r="E57" i="12"/>
  <c r="F22" i="15"/>
  <c r="G33" i="10"/>
  <c r="H33" i="10"/>
  <c r="C57" i="11"/>
  <c r="L23" i="12"/>
  <c r="I44" i="14"/>
  <c r="I52" i="14"/>
  <c r="J50" i="14"/>
  <c r="J42" i="14"/>
  <c r="E56" i="14"/>
  <c r="F18" i="14"/>
  <c r="M23" i="9"/>
  <c r="F22" i="11"/>
  <c r="F20" i="14"/>
  <c r="C57" i="12"/>
  <c r="G56" i="8"/>
  <c r="F33" i="8"/>
  <c r="H33" i="8"/>
  <c r="C24" i="10"/>
  <c r="J51" i="12"/>
  <c r="F22" i="12"/>
  <c r="E24" i="12"/>
  <c r="E34" i="12"/>
  <c r="I43" i="13"/>
  <c r="I51" i="13"/>
  <c r="G57" i="13"/>
  <c r="H57" i="13"/>
  <c r="F22" i="14"/>
  <c r="F56" i="15"/>
  <c r="E24" i="15"/>
  <c r="J50" i="8"/>
  <c r="D56" i="8"/>
  <c r="F56" i="8"/>
  <c r="L23" i="8"/>
  <c r="F18" i="9"/>
  <c r="F22" i="9"/>
  <c r="D24" i="9"/>
  <c r="I54" i="9"/>
  <c r="G56" i="10"/>
  <c r="C33" i="10"/>
  <c r="E33" i="10"/>
  <c r="F18" i="11"/>
  <c r="L23" i="11"/>
  <c r="F34" i="11"/>
  <c r="G57" i="12"/>
  <c r="I51" i="12"/>
  <c r="C24" i="13"/>
  <c r="J42" i="9"/>
  <c r="I54" i="10"/>
  <c r="H56" i="10"/>
  <c r="E34" i="11"/>
  <c r="J32" i="11"/>
  <c r="H57" i="12"/>
  <c r="F22" i="13"/>
  <c r="L23" i="13"/>
  <c r="H34" i="13"/>
  <c r="I33" i="14"/>
  <c r="H56" i="15"/>
  <c r="H34" i="15"/>
  <c r="I34" i="11"/>
  <c r="E33" i="14"/>
  <c r="C33" i="8"/>
  <c r="J31" i="9"/>
  <c r="J32" i="12"/>
  <c r="K23" i="14"/>
  <c r="L23" i="9"/>
  <c r="K23" i="12"/>
  <c r="E24" i="13"/>
  <c r="F20" i="9"/>
  <c r="C24" i="15"/>
  <c r="F20" i="15"/>
  <c r="E24" i="10"/>
  <c r="E24" i="14"/>
  <c r="F22" i="10"/>
  <c r="F20" i="11"/>
  <c r="D24" i="12"/>
  <c r="D24" i="13"/>
  <c r="F20" i="10"/>
  <c r="F20" i="12"/>
  <c r="D24" i="14"/>
  <c r="H56" i="8"/>
  <c r="J44" i="9"/>
  <c r="I44" i="9"/>
  <c r="I52" i="9"/>
  <c r="J50" i="9"/>
  <c r="J53" i="12"/>
  <c r="I53" i="13"/>
  <c r="I49" i="13"/>
  <c r="I48" i="14"/>
  <c r="I54" i="14"/>
  <c r="J48" i="14"/>
  <c r="H56" i="14"/>
  <c r="E56" i="8"/>
  <c r="I48" i="8"/>
  <c r="J42" i="8"/>
  <c r="J52" i="8"/>
  <c r="J44" i="8"/>
  <c r="I50" i="9"/>
  <c r="J54" i="8"/>
  <c r="I49" i="12"/>
  <c r="I55" i="13"/>
  <c r="J49" i="13"/>
  <c r="I46" i="14"/>
  <c r="C56" i="14"/>
  <c r="J52" i="9"/>
  <c r="J46" i="14"/>
  <c r="J46" i="8"/>
  <c r="I50" i="8"/>
  <c r="J47" i="12"/>
  <c r="I47" i="13"/>
  <c r="J51" i="13"/>
  <c r="G56" i="15"/>
  <c r="J52" i="14"/>
  <c r="J44" i="14"/>
  <c r="J54" i="14"/>
  <c r="J53" i="13"/>
  <c r="J45" i="13"/>
  <c r="J55" i="13"/>
  <c r="F34" i="12"/>
  <c r="J49" i="12"/>
  <c r="J45" i="12"/>
  <c r="J55" i="12"/>
  <c r="D24" i="11"/>
  <c r="J55" i="11"/>
  <c r="K55" i="11" s="1"/>
  <c r="J47" i="11"/>
  <c r="E57" i="11"/>
  <c r="K51" i="11"/>
  <c r="F18" i="10"/>
  <c r="J54" i="9"/>
  <c r="J46" i="9"/>
  <c r="I48" i="9"/>
  <c r="E24" i="9"/>
  <c r="F22" i="8"/>
  <c r="K23" i="15"/>
  <c r="I34" i="15"/>
  <c r="D24" i="15"/>
  <c r="D56" i="14"/>
  <c r="G33" i="14"/>
  <c r="C24" i="14"/>
  <c r="I42" i="14"/>
  <c r="F56" i="14"/>
  <c r="E57" i="13"/>
  <c r="K23" i="13"/>
  <c r="I34" i="13"/>
  <c r="F18" i="13"/>
  <c r="D57" i="13"/>
  <c r="J47" i="13"/>
  <c r="I45" i="13"/>
  <c r="D57" i="12"/>
  <c r="G34" i="12"/>
  <c r="C24" i="12"/>
  <c r="I43" i="12"/>
  <c r="F57" i="12"/>
  <c r="K49" i="11"/>
  <c r="I47" i="11"/>
  <c r="C24" i="11"/>
  <c r="H34" i="11"/>
  <c r="I43" i="11"/>
  <c r="K43" i="11" s="1"/>
  <c r="E56" i="10"/>
  <c r="K23" i="10"/>
  <c r="D24" i="10"/>
  <c r="I33" i="10"/>
  <c r="D56" i="9"/>
  <c r="C24" i="9"/>
  <c r="F56" i="9"/>
  <c r="J48" i="8"/>
  <c r="C56" i="8"/>
  <c r="I42" i="8"/>
  <c r="M23" i="8"/>
  <c r="K50" i="14" l="1"/>
  <c r="K45" i="12"/>
  <c r="K45" i="13"/>
  <c r="K55" i="12"/>
  <c r="K49" i="13"/>
  <c r="K48" i="9"/>
  <c r="K46" i="8"/>
  <c r="K54" i="8"/>
  <c r="K49" i="12"/>
  <c r="K52" i="9"/>
  <c r="K51" i="12"/>
  <c r="K53" i="12"/>
  <c r="I57" i="11"/>
  <c r="K51" i="13"/>
  <c r="K44" i="9"/>
  <c r="K52" i="8"/>
  <c r="K43" i="12"/>
  <c r="K46" i="9"/>
  <c r="I56" i="14"/>
  <c r="K44" i="14"/>
  <c r="K47" i="12"/>
  <c r="I57" i="12"/>
  <c r="K44" i="8"/>
  <c r="K42" i="14"/>
  <c r="K50" i="8"/>
  <c r="K54" i="9"/>
  <c r="K53" i="13"/>
  <c r="J56" i="8"/>
  <c r="F24" i="13"/>
  <c r="K52" i="14"/>
  <c r="I56" i="8"/>
  <c r="F24" i="12"/>
  <c r="F24" i="9"/>
  <c r="F24" i="10"/>
  <c r="K50" i="9"/>
  <c r="I57" i="13"/>
  <c r="F24" i="14"/>
  <c r="K48" i="14"/>
  <c r="F24" i="11"/>
  <c r="F24" i="15"/>
  <c r="K46" i="14"/>
  <c r="K54" i="14"/>
  <c r="K48" i="8"/>
  <c r="K42" i="8"/>
  <c r="K47" i="13"/>
  <c r="K55" i="13"/>
  <c r="K47" i="11"/>
  <c r="J56" i="9"/>
  <c r="J56" i="14"/>
  <c r="J57" i="12"/>
  <c r="K56" i="14" l="1"/>
  <c r="K57" i="12"/>
  <c r="K56" i="8"/>
  <c r="C31" i="5"/>
  <c r="G44" i="4"/>
  <c r="G13" i="16"/>
  <c r="H13" i="16"/>
  <c r="C13" i="16"/>
  <c r="G8" i="16"/>
  <c r="L8" i="16"/>
  <c r="C42" i="16"/>
  <c r="D42" i="16"/>
  <c r="C44" i="16"/>
  <c r="D44" i="16"/>
  <c r="C46" i="16"/>
  <c r="D46" i="16"/>
  <c r="C48" i="16"/>
  <c r="D48" i="16"/>
  <c r="C50" i="16"/>
  <c r="D50" i="16"/>
  <c r="C52" i="16"/>
  <c r="D52" i="16"/>
  <c r="C54" i="16"/>
  <c r="D54" i="16"/>
  <c r="E42" i="16"/>
  <c r="F42" i="16"/>
  <c r="E44" i="16"/>
  <c r="F44" i="16"/>
  <c r="E46" i="16"/>
  <c r="F46" i="16"/>
  <c r="E48" i="16"/>
  <c r="F48" i="16"/>
  <c r="E50" i="16"/>
  <c r="F50" i="16"/>
  <c r="E52" i="16"/>
  <c r="F52" i="16"/>
  <c r="E54" i="16"/>
  <c r="F54" i="16"/>
  <c r="G42" i="16"/>
  <c r="H42" i="16"/>
  <c r="G44" i="16"/>
  <c r="H44" i="16"/>
  <c r="G46" i="16"/>
  <c r="H46" i="16"/>
  <c r="G48" i="16"/>
  <c r="H48" i="16"/>
  <c r="G50" i="16"/>
  <c r="H50" i="16"/>
  <c r="G52" i="16"/>
  <c r="H52" i="16"/>
  <c r="G54" i="16"/>
  <c r="H54" i="16"/>
  <c r="C18" i="16"/>
  <c r="D18" i="16"/>
  <c r="E18" i="16"/>
  <c r="C20" i="16"/>
  <c r="D20" i="16"/>
  <c r="E20" i="16"/>
  <c r="C22" i="16"/>
  <c r="D22" i="16"/>
  <c r="E22" i="16"/>
  <c r="B63" i="16"/>
  <c r="D63" i="16" s="1"/>
  <c r="B65" i="16"/>
  <c r="D65" i="16" s="1"/>
  <c r="B67" i="16"/>
  <c r="D67" i="16" s="1"/>
  <c r="E63" i="16"/>
  <c r="G63" i="16" s="1"/>
  <c r="E65" i="16"/>
  <c r="G65" i="16" s="1"/>
  <c r="E67" i="16"/>
  <c r="G67" i="16" s="1"/>
  <c r="J19" i="16"/>
  <c r="J21" i="16"/>
  <c r="K19" i="16"/>
  <c r="K21" i="16"/>
  <c r="L19" i="16"/>
  <c r="L21" i="16"/>
  <c r="D29" i="16"/>
  <c r="D31" i="16"/>
  <c r="C29" i="16"/>
  <c r="C31" i="16"/>
  <c r="F29" i="16"/>
  <c r="F31" i="16"/>
  <c r="E29" i="16"/>
  <c r="E31" i="16"/>
  <c r="G13" i="15"/>
  <c r="H13" i="15"/>
  <c r="C13" i="15"/>
  <c r="G8" i="15"/>
  <c r="L8" i="15"/>
  <c r="C42" i="15"/>
  <c r="D42" i="15"/>
  <c r="C44" i="15"/>
  <c r="I44" i="15" s="1"/>
  <c r="D44" i="15"/>
  <c r="J44" i="15" s="1"/>
  <c r="C46" i="15"/>
  <c r="I46" i="15" s="1"/>
  <c r="D46" i="15"/>
  <c r="J46" i="15" s="1"/>
  <c r="C48" i="15"/>
  <c r="I48" i="15" s="1"/>
  <c r="D48" i="15"/>
  <c r="J48" i="15" s="1"/>
  <c r="C50" i="15"/>
  <c r="I50" i="15" s="1"/>
  <c r="D50" i="15"/>
  <c r="J50" i="15" s="1"/>
  <c r="C52" i="15"/>
  <c r="I52" i="15" s="1"/>
  <c r="D52" i="15"/>
  <c r="J52" i="15" s="1"/>
  <c r="C54" i="15"/>
  <c r="I54" i="15" s="1"/>
  <c r="D54" i="15"/>
  <c r="J54" i="15" s="1"/>
  <c r="E64" i="15"/>
  <c r="G64" i="15" s="1"/>
  <c r="E66" i="15"/>
  <c r="G66" i="15" s="1"/>
  <c r="E68" i="15"/>
  <c r="G68" i="15" s="1"/>
  <c r="J19" i="15"/>
  <c r="J21" i="15"/>
  <c r="M21" i="15" s="1"/>
  <c r="D30" i="15"/>
  <c r="G13" i="14"/>
  <c r="H13" i="14"/>
  <c r="C13" i="14"/>
  <c r="L8" i="14"/>
  <c r="J19" i="14"/>
  <c r="J21" i="14"/>
  <c r="M21" i="14" s="1"/>
  <c r="C33" i="14"/>
  <c r="G13" i="13"/>
  <c r="H13" i="13"/>
  <c r="C13" i="13"/>
  <c r="G8" i="13"/>
  <c r="L8" i="13"/>
  <c r="F43" i="13"/>
  <c r="P66" i="13"/>
  <c r="J21" i="13"/>
  <c r="M21" i="13" s="1"/>
  <c r="D30" i="13"/>
  <c r="G13" i="12"/>
  <c r="H13" i="12"/>
  <c r="C13" i="12"/>
  <c r="G8" i="12"/>
  <c r="L8" i="12"/>
  <c r="J19" i="12"/>
  <c r="J21" i="12"/>
  <c r="M21" i="12" s="1"/>
  <c r="L19" i="5"/>
  <c r="D30" i="12"/>
  <c r="D31" i="5"/>
  <c r="C20" i="5"/>
  <c r="G13" i="11"/>
  <c r="H13" i="11"/>
  <c r="C13" i="11"/>
  <c r="G8" i="11"/>
  <c r="L8" i="11"/>
  <c r="D45" i="11"/>
  <c r="K19" i="11"/>
  <c r="K21" i="11"/>
  <c r="N21" i="11" s="1"/>
  <c r="G13" i="10"/>
  <c r="H13" i="10"/>
  <c r="C13" i="10"/>
  <c r="L8" i="10"/>
  <c r="C42" i="10"/>
  <c r="D42" i="10"/>
  <c r="C44" i="10"/>
  <c r="I44" i="10" s="1"/>
  <c r="D44" i="10"/>
  <c r="J44" i="10" s="1"/>
  <c r="C46" i="10"/>
  <c r="I46" i="10" s="1"/>
  <c r="D46" i="10"/>
  <c r="J46" i="10" s="1"/>
  <c r="C48" i="10"/>
  <c r="I48" i="10" s="1"/>
  <c r="D48" i="10"/>
  <c r="C50" i="10"/>
  <c r="I50" i="10" s="1"/>
  <c r="D50" i="10"/>
  <c r="C52" i="10"/>
  <c r="I52" i="10" s="1"/>
  <c r="E45" i="5"/>
  <c r="E49" i="5"/>
  <c r="F48" i="10"/>
  <c r="F50" i="10"/>
  <c r="E53" i="5"/>
  <c r="F52" i="10"/>
  <c r="J52" i="10" s="1"/>
  <c r="F54" i="10"/>
  <c r="J54" i="10" s="1"/>
  <c r="K54" i="10" s="1"/>
  <c r="H43" i="5"/>
  <c r="H47" i="5"/>
  <c r="H51" i="5"/>
  <c r="H55" i="5"/>
  <c r="E22" i="5"/>
  <c r="J21" i="10"/>
  <c r="L21" i="5"/>
  <c r="L19" i="10"/>
  <c r="L21" i="10"/>
  <c r="D29" i="10"/>
  <c r="D33" i="10" s="1"/>
  <c r="G31" i="5"/>
  <c r="G13" i="9"/>
  <c r="H13" i="9"/>
  <c r="C13" i="9"/>
  <c r="G8" i="9"/>
  <c r="L8" i="9"/>
  <c r="C50" i="4"/>
  <c r="E42" i="9"/>
  <c r="H46" i="4"/>
  <c r="K19" i="9"/>
  <c r="K21" i="9"/>
  <c r="N21" i="9" s="1"/>
  <c r="M19" i="4"/>
  <c r="D29" i="9"/>
  <c r="D33" i="9" s="1"/>
  <c r="F29" i="9"/>
  <c r="E29" i="9"/>
  <c r="E33" i="9" s="1"/>
  <c r="G29" i="9"/>
  <c r="G33" i="9" s="1"/>
  <c r="H29" i="9"/>
  <c r="H33" i="9" s="1"/>
  <c r="C42" i="4"/>
  <c r="D52" i="4"/>
  <c r="E52" i="4"/>
  <c r="G48" i="4"/>
  <c r="L21" i="4"/>
  <c r="F13" i="8"/>
  <c r="H13" i="8"/>
  <c r="C13" i="8"/>
  <c r="G8" i="8"/>
  <c r="L8" i="8"/>
  <c r="D44" i="4"/>
  <c r="C46" i="4"/>
  <c r="D48" i="4"/>
  <c r="C54" i="4"/>
  <c r="E44" i="4"/>
  <c r="F44" i="4"/>
  <c r="E48" i="4"/>
  <c r="H42" i="4"/>
  <c r="H50" i="4"/>
  <c r="G52" i="4"/>
  <c r="H54" i="4"/>
  <c r="D18" i="8"/>
  <c r="E18" i="8"/>
  <c r="D20" i="8"/>
  <c r="D22" i="4"/>
  <c r="E22" i="4"/>
  <c r="B66" i="4"/>
  <c r="D66" i="4" s="1"/>
  <c r="E64" i="4"/>
  <c r="G64" i="4" s="1"/>
  <c r="E68" i="4"/>
  <c r="G68" i="4" s="1"/>
  <c r="K19" i="8"/>
  <c r="K21" i="8"/>
  <c r="N21" i="8" s="1"/>
  <c r="D29" i="8"/>
  <c r="E31" i="8"/>
  <c r="I31" i="8"/>
  <c r="I33" i="8" s="1"/>
  <c r="P63" i="16" l="1"/>
  <c r="P67" i="16"/>
  <c r="P65" i="16"/>
  <c r="P66" i="15"/>
  <c r="P65" i="12"/>
  <c r="L23" i="5"/>
  <c r="M21" i="16"/>
  <c r="E24" i="16"/>
  <c r="I52" i="16"/>
  <c r="I48" i="16"/>
  <c r="I44" i="16"/>
  <c r="E33" i="16"/>
  <c r="J54" i="16"/>
  <c r="J50" i="16"/>
  <c r="C56" i="16"/>
  <c r="G8" i="4"/>
  <c r="J30" i="12"/>
  <c r="D34" i="12"/>
  <c r="J34" i="12" s="1"/>
  <c r="G13" i="4"/>
  <c r="G13" i="8"/>
  <c r="B8" i="9"/>
  <c r="B13" i="9"/>
  <c r="K19" i="5"/>
  <c r="J19" i="10"/>
  <c r="J23" i="10" s="1"/>
  <c r="B13" i="10"/>
  <c r="B8" i="10"/>
  <c r="B13" i="11"/>
  <c r="B8" i="11"/>
  <c r="M19" i="12"/>
  <c r="M23" i="12" s="1"/>
  <c r="J23" i="12"/>
  <c r="B13" i="12"/>
  <c r="B8" i="12"/>
  <c r="J30" i="13"/>
  <c r="D34" i="13"/>
  <c r="J34" i="13" s="1"/>
  <c r="D33" i="14"/>
  <c r="J29" i="14"/>
  <c r="M19" i="14"/>
  <c r="M23" i="14" s="1"/>
  <c r="J23" i="14"/>
  <c r="B13" i="14"/>
  <c r="B8" i="14"/>
  <c r="M21" i="10"/>
  <c r="J46" i="16"/>
  <c r="J42" i="16"/>
  <c r="K23" i="9"/>
  <c r="N19" i="9"/>
  <c r="N23" i="9" s="1"/>
  <c r="K23" i="11"/>
  <c r="N19" i="11"/>
  <c r="N23" i="11" s="1"/>
  <c r="B13" i="8"/>
  <c r="B8" i="8"/>
  <c r="G8" i="5"/>
  <c r="G8" i="10"/>
  <c r="G8" i="14"/>
  <c r="D33" i="16"/>
  <c r="J23" i="16"/>
  <c r="D56" i="16"/>
  <c r="J29" i="8"/>
  <c r="D33" i="8"/>
  <c r="K23" i="8"/>
  <c r="N19" i="8"/>
  <c r="N23" i="8" s="1"/>
  <c r="J19" i="13"/>
  <c r="B8" i="13"/>
  <c r="B13" i="13"/>
  <c r="D34" i="15"/>
  <c r="J34" i="15" s="1"/>
  <c r="J30" i="15"/>
  <c r="J23" i="15"/>
  <c r="M19" i="15"/>
  <c r="M23" i="15" s="1"/>
  <c r="B13" i="15"/>
  <c r="B8" i="15"/>
  <c r="B8" i="16"/>
  <c r="B13" i="16"/>
  <c r="C13" i="4"/>
  <c r="C33" i="16"/>
  <c r="D30" i="11"/>
  <c r="D29" i="5"/>
  <c r="H31" i="16"/>
  <c r="H29" i="16"/>
  <c r="F33" i="16"/>
  <c r="I31" i="16"/>
  <c r="G31" i="16"/>
  <c r="I29" i="16"/>
  <c r="G29" i="16"/>
  <c r="M19" i="16"/>
  <c r="K23" i="16"/>
  <c r="L23" i="16"/>
  <c r="F22" i="16"/>
  <c r="F20" i="16"/>
  <c r="D24" i="16"/>
  <c r="F18" i="16"/>
  <c r="C24" i="16"/>
  <c r="G56" i="16"/>
  <c r="H56" i="16"/>
  <c r="K46" i="10"/>
  <c r="J52" i="16"/>
  <c r="J48" i="16"/>
  <c r="I54" i="16"/>
  <c r="I50" i="16"/>
  <c r="I46" i="16"/>
  <c r="K48" i="15"/>
  <c r="K54" i="15"/>
  <c r="K46" i="15"/>
  <c r="F56" i="16"/>
  <c r="J44" i="16"/>
  <c r="K52" i="15"/>
  <c r="K44" i="15"/>
  <c r="E56" i="16"/>
  <c r="I42" i="16"/>
  <c r="J42" i="15"/>
  <c r="D56" i="15"/>
  <c r="J56" i="15" s="1"/>
  <c r="K50" i="15"/>
  <c r="I42" i="15"/>
  <c r="C56" i="15"/>
  <c r="I56" i="15" s="1"/>
  <c r="K44" i="10"/>
  <c r="J45" i="11"/>
  <c r="K45" i="11" s="1"/>
  <c r="D57" i="11"/>
  <c r="J57" i="11" s="1"/>
  <c r="K57" i="11" s="1"/>
  <c r="J29" i="9"/>
  <c r="F33" i="9"/>
  <c r="J33" i="9" s="1"/>
  <c r="E56" i="9"/>
  <c r="I56" i="9" s="1"/>
  <c r="K56" i="9" s="1"/>
  <c r="I42" i="9"/>
  <c r="K42" i="9" s="1"/>
  <c r="D24" i="8"/>
  <c r="J43" i="13"/>
  <c r="K43" i="13" s="1"/>
  <c r="F57" i="13"/>
  <c r="J57" i="13" s="1"/>
  <c r="K57" i="13" s="1"/>
  <c r="F31" i="10"/>
  <c r="J31" i="10" s="1"/>
  <c r="F29" i="10"/>
  <c r="L23" i="10"/>
  <c r="J31" i="8"/>
  <c r="E33" i="8"/>
  <c r="F33" i="14"/>
  <c r="J31" i="14"/>
  <c r="K52" i="10"/>
  <c r="F56" i="10"/>
  <c r="J50" i="10"/>
  <c r="K50" i="10" s="1"/>
  <c r="J48" i="10"/>
  <c r="K48" i="10" s="1"/>
  <c r="J42" i="10"/>
  <c r="D56" i="10"/>
  <c r="I42" i="10"/>
  <c r="C56" i="10"/>
  <c r="I56" i="10" s="1"/>
  <c r="C20" i="4"/>
  <c r="C20" i="8"/>
  <c r="F20" i="8" s="1"/>
  <c r="C18" i="4"/>
  <c r="C18" i="8"/>
  <c r="E24" i="8"/>
  <c r="C29" i="5"/>
  <c r="D49" i="5"/>
  <c r="G29" i="5"/>
  <c r="M19" i="5"/>
  <c r="B66" i="5"/>
  <c r="D66" i="5" s="1"/>
  <c r="D20" i="5"/>
  <c r="C18" i="5"/>
  <c r="G53" i="5"/>
  <c r="G49" i="5"/>
  <c r="G45" i="5"/>
  <c r="F53" i="5"/>
  <c r="F49" i="5"/>
  <c r="F45" i="5"/>
  <c r="C55" i="5"/>
  <c r="C51" i="5"/>
  <c r="C47" i="5"/>
  <c r="C43" i="5"/>
  <c r="H31" i="5"/>
  <c r="F31" i="5"/>
  <c r="E68" i="5"/>
  <c r="G68" i="5" s="1"/>
  <c r="C22" i="5"/>
  <c r="E18" i="5"/>
  <c r="G51" i="5"/>
  <c r="G43" i="5"/>
  <c r="G55" i="5"/>
  <c r="G47" i="5"/>
  <c r="C29" i="4"/>
  <c r="K19" i="4"/>
  <c r="I29" i="4"/>
  <c r="C31" i="4"/>
  <c r="E54" i="4"/>
  <c r="E50" i="4"/>
  <c r="E46" i="4"/>
  <c r="E42" i="4"/>
  <c r="F48" i="4"/>
  <c r="F52" i="4"/>
  <c r="F29" i="4"/>
  <c r="D29" i="4"/>
  <c r="K21" i="4"/>
  <c r="D54" i="4"/>
  <c r="L13" i="16"/>
  <c r="E66" i="4"/>
  <c r="G66" i="4" s="1"/>
  <c r="E20" i="4"/>
  <c r="D18" i="4"/>
  <c r="M21" i="4"/>
  <c r="H52" i="4"/>
  <c r="H44" i="4"/>
  <c r="D50" i="4"/>
  <c r="L8" i="4"/>
  <c r="H13" i="4"/>
  <c r="H31" i="4"/>
  <c r="F31" i="4"/>
  <c r="D31" i="4"/>
  <c r="L19" i="4"/>
  <c r="B68" i="4"/>
  <c r="D68" i="4" s="1"/>
  <c r="B64" i="4"/>
  <c r="D64" i="4" s="1"/>
  <c r="C22" i="4"/>
  <c r="E18" i="4"/>
  <c r="G54" i="4"/>
  <c r="G50" i="4"/>
  <c r="G46" i="4"/>
  <c r="G42" i="4"/>
  <c r="F54" i="4"/>
  <c r="F50" i="4"/>
  <c r="F46" i="4"/>
  <c r="F42" i="4"/>
  <c r="C52" i="4"/>
  <c r="B64" i="5"/>
  <c r="D64" i="5" s="1"/>
  <c r="F55" i="5"/>
  <c r="F51" i="5"/>
  <c r="F47" i="5"/>
  <c r="F43" i="5"/>
  <c r="C53" i="5"/>
  <c r="C49" i="5"/>
  <c r="C45" i="5"/>
  <c r="B13" i="5"/>
  <c r="E64" i="5"/>
  <c r="G64" i="5" s="1"/>
  <c r="D22" i="5"/>
  <c r="D53" i="5"/>
  <c r="D45" i="5"/>
  <c r="C13" i="5"/>
  <c r="H29" i="5"/>
  <c r="F29" i="5"/>
  <c r="M21" i="5"/>
  <c r="K21" i="5"/>
  <c r="E66" i="5"/>
  <c r="G66" i="5" s="1"/>
  <c r="E20" i="5"/>
  <c r="D18" i="5"/>
  <c r="H53" i="5"/>
  <c r="H49" i="5"/>
  <c r="H45" i="5"/>
  <c r="E43" i="5"/>
  <c r="D55" i="5"/>
  <c r="D51" i="5"/>
  <c r="D47" i="5"/>
  <c r="D43" i="5"/>
  <c r="L8" i="5"/>
  <c r="H13" i="5"/>
  <c r="O19" i="5" l="1"/>
  <c r="O21" i="4"/>
  <c r="O19" i="4"/>
  <c r="O21" i="5"/>
  <c r="P68" i="6"/>
  <c r="P66" i="6"/>
  <c r="P66" i="5"/>
  <c r="P64" i="5"/>
  <c r="P68" i="5"/>
  <c r="M23" i="5"/>
  <c r="M23" i="16"/>
  <c r="G33" i="16"/>
  <c r="K48" i="16"/>
  <c r="D25" i="6"/>
  <c r="K44" i="16"/>
  <c r="J33" i="14"/>
  <c r="K54" i="16"/>
  <c r="C24" i="8"/>
  <c r="F24" i="8" s="1"/>
  <c r="K52" i="16"/>
  <c r="I56" i="16"/>
  <c r="E24" i="5"/>
  <c r="K50" i="16"/>
  <c r="M19" i="10"/>
  <c r="M23" i="10" s="1"/>
  <c r="J33" i="8"/>
  <c r="J56" i="16"/>
  <c r="K46" i="16"/>
  <c r="J23" i="13"/>
  <c r="M19" i="13"/>
  <c r="M23" i="13" s="1"/>
  <c r="F24" i="16"/>
  <c r="H33" i="16"/>
  <c r="K42" i="16"/>
  <c r="J30" i="11"/>
  <c r="D34" i="11"/>
  <c r="J34" i="11" s="1"/>
  <c r="G32" i="3"/>
  <c r="D32" i="3"/>
  <c r="J29" i="16"/>
  <c r="I33" i="16"/>
  <c r="J31" i="16"/>
  <c r="F18" i="8"/>
  <c r="K56" i="15"/>
  <c r="K42" i="15"/>
  <c r="G29" i="4"/>
  <c r="G30" i="3"/>
  <c r="E29" i="4"/>
  <c r="F30" i="3"/>
  <c r="J29" i="10"/>
  <c r="F33" i="10"/>
  <c r="J33" i="10" s="1"/>
  <c r="I31" i="4"/>
  <c r="E31" i="4"/>
  <c r="E32" i="3"/>
  <c r="C32" i="3"/>
  <c r="K42" i="10"/>
  <c r="J56" i="10"/>
  <c r="K56" i="10" s="1"/>
  <c r="G13" i="5"/>
  <c r="E25" i="6"/>
  <c r="E55" i="5"/>
  <c r="E29" i="5"/>
  <c r="E31" i="5"/>
  <c r="H32" i="3"/>
  <c r="E47" i="5"/>
  <c r="F32" i="3"/>
  <c r="E51" i="5"/>
  <c r="H30" i="3"/>
  <c r="H29" i="4"/>
  <c r="G31" i="4"/>
  <c r="D20" i="4"/>
  <c r="H48" i="4"/>
  <c r="C48" i="4"/>
  <c r="D42" i="4"/>
  <c r="D46" i="4"/>
  <c r="C44" i="4"/>
  <c r="B13" i="4"/>
  <c r="B8" i="4"/>
  <c r="D30" i="3"/>
  <c r="O23" i="5" l="1"/>
  <c r="J30" i="3"/>
  <c r="J32" i="3"/>
  <c r="P70" i="6"/>
  <c r="K56" i="16"/>
  <c r="J33" i="16"/>
  <c r="K13" i="16" l="1"/>
  <c r="M13" i="16" s="1"/>
  <c r="L13" i="15" l="1"/>
  <c r="L13" i="13"/>
  <c r="K13" i="15"/>
  <c r="K13" i="12"/>
  <c r="L13" i="12"/>
  <c r="K13" i="9"/>
  <c r="L13" i="8"/>
  <c r="K13" i="10"/>
  <c r="K13" i="11"/>
  <c r="K13" i="8"/>
  <c r="L13" i="11"/>
  <c r="K20" i="3"/>
  <c r="D19" i="3"/>
  <c r="C14" i="3"/>
  <c r="L22" i="3"/>
  <c r="M20" i="3"/>
  <c r="B69" i="3"/>
  <c r="D44" i="3"/>
  <c r="G52" i="3"/>
  <c r="G69" i="3"/>
  <c r="F48" i="3"/>
  <c r="B65" i="3"/>
  <c r="K22" i="3"/>
  <c r="G44" i="3"/>
  <c r="G9" i="3"/>
  <c r="E48" i="3"/>
  <c r="E65" i="3"/>
  <c r="G65" i="3" s="1"/>
  <c r="F44" i="3"/>
  <c r="G56" i="3"/>
  <c r="F46" i="3"/>
  <c r="M22" i="3"/>
  <c r="E56" i="3"/>
  <c r="E19" i="3"/>
  <c r="L20" i="3"/>
  <c r="F54" i="3"/>
  <c r="B67" i="3"/>
  <c r="C67" i="3"/>
  <c r="C56" i="3"/>
  <c r="D48" i="3"/>
  <c r="E44" i="3"/>
  <c r="H46" i="3"/>
  <c r="C23" i="3"/>
  <c r="D56" i="3"/>
  <c r="E52" i="3"/>
  <c r="H14" i="3"/>
  <c r="C54" i="3"/>
  <c r="F50" i="3"/>
  <c r="G46" i="3"/>
  <c r="H54" i="3"/>
  <c r="G14" i="3"/>
  <c r="C65" i="3"/>
  <c r="C48" i="3"/>
  <c r="G54" i="3"/>
  <c r="D52" i="3"/>
  <c r="G48" i="3"/>
  <c r="C69" i="3"/>
  <c r="D50" i="3"/>
  <c r="E46" i="3"/>
  <c r="H56" i="3"/>
  <c r="C52" i="3"/>
  <c r="H50" i="3"/>
  <c r="C21" i="3"/>
  <c r="H48" i="3"/>
  <c r="G67" i="3"/>
  <c r="C44" i="3"/>
  <c r="D46" i="3"/>
  <c r="H52" i="3"/>
  <c r="E23" i="3"/>
  <c r="E54" i="3"/>
  <c r="D21" i="3"/>
  <c r="F52" i="3"/>
  <c r="G50" i="3"/>
  <c r="E21" i="3"/>
  <c r="B14" i="3"/>
  <c r="D54" i="3"/>
  <c r="E50" i="3"/>
  <c r="H44" i="3"/>
  <c r="C19" i="3"/>
  <c r="L9" i="3"/>
  <c r="F56" i="3"/>
  <c r="C46" i="3"/>
  <c r="D23" i="3"/>
  <c r="C50" i="3"/>
  <c r="F13" i="16"/>
  <c r="F13" i="15"/>
  <c r="F13" i="14"/>
  <c r="F13" i="13"/>
  <c r="F13" i="12"/>
  <c r="F13" i="11"/>
  <c r="F13" i="10"/>
  <c r="F13" i="9"/>
  <c r="O22" i="3" l="1"/>
  <c r="O20" i="3"/>
  <c r="D69" i="3"/>
  <c r="D65" i="3"/>
  <c r="D67" i="3"/>
  <c r="P67" i="3"/>
  <c r="P65" i="3"/>
  <c r="K13" i="13"/>
  <c r="M13" i="13" s="1"/>
  <c r="M13" i="15"/>
  <c r="M13" i="12"/>
  <c r="M13" i="8"/>
  <c r="M13" i="11"/>
  <c r="L13" i="4"/>
  <c r="L13" i="9"/>
  <c r="M13" i="9" s="1"/>
  <c r="L13" i="10"/>
  <c r="M13" i="10" s="1"/>
  <c r="K13" i="4"/>
  <c r="K13" i="5"/>
  <c r="O24" i="3" l="1"/>
  <c r="P69" i="3"/>
  <c r="F13" i="4"/>
  <c r="L13" i="5"/>
  <c r="M13" i="5" s="1"/>
  <c r="M13" i="4"/>
  <c r="L14" i="3"/>
  <c r="F13" i="5"/>
  <c r="B8" i="5"/>
  <c r="K14" i="3"/>
  <c r="I35" i="6"/>
  <c r="H35" i="6"/>
  <c r="G35" i="6"/>
  <c r="F35" i="6"/>
  <c r="E35" i="6"/>
  <c r="D35" i="6"/>
  <c r="C35" i="6"/>
  <c r="J33" i="6"/>
  <c r="J31" i="6"/>
  <c r="L24" i="6"/>
  <c r="J24" i="6"/>
  <c r="H59" i="6"/>
  <c r="G59" i="6"/>
  <c r="F59" i="6"/>
  <c r="E59" i="6"/>
  <c r="D59" i="6"/>
  <c r="C59" i="6"/>
  <c r="J57" i="6"/>
  <c r="I57" i="6"/>
  <c r="J55" i="6"/>
  <c r="I55" i="6"/>
  <c r="J53" i="6"/>
  <c r="I53" i="6"/>
  <c r="J51" i="6"/>
  <c r="I51" i="6"/>
  <c r="J49" i="6"/>
  <c r="I49" i="6"/>
  <c r="J47" i="6"/>
  <c r="I47" i="6"/>
  <c r="J45" i="6"/>
  <c r="I45" i="6"/>
  <c r="C25" i="6"/>
  <c r="F23" i="6"/>
  <c r="F21" i="6"/>
  <c r="F19" i="6"/>
  <c r="M14" i="6"/>
  <c r="I33" i="5"/>
  <c r="H33" i="5"/>
  <c r="G33" i="5"/>
  <c r="F33" i="5"/>
  <c r="E33" i="5"/>
  <c r="D33" i="5"/>
  <c r="C33" i="5"/>
  <c r="J31" i="5"/>
  <c r="J29" i="5"/>
  <c r="K23" i="5"/>
  <c r="H57" i="5"/>
  <c r="G57" i="5"/>
  <c r="F57" i="5"/>
  <c r="E57" i="5"/>
  <c r="D57" i="5"/>
  <c r="C57" i="5"/>
  <c r="J55" i="5"/>
  <c r="I55" i="5"/>
  <c r="J53" i="5"/>
  <c r="I53" i="5"/>
  <c r="J51" i="5"/>
  <c r="I51" i="5"/>
  <c r="J49" i="5"/>
  <c r="I49" i="5"/>
  <c r="J47" i="5"/>
  <c r="I47" i="5"/>
  <c r="J45" i="5"/>
  <c r="I45" i="5"/>
  <c r="J43" i="5"/>
  <c r="I43" i="5"/>
  <c r="D24" i="5"/>
  <c r="C24" i="5"/>
  <c r="F22" i="5"/>
  <c r="F20" i="5"/>
  <c r="F18" i="5"/>
  <c r="I33" i="4"/>
  <c r="H33" i="4"/>
  <c r="G33" i="4"/>
  <c r="F33" i="4"/>
  <c r="E33" i="4"/>
  <c r="D33" i="4"/>
  <c r="C33" i="4"/>
  <c r="J31" i="4"/>
  <c r="J29" i="4"/>
  <c r="M23" i="4"/>
  <c r="L23" i="4"/>
  <c r="K23" i="4"/>
  <c r="H56" i="4"/>
  <c r="G56" i="4"/>
  <c r="F56" i="4"/>
  <c r="E56" i="4"/>
  <c r="D56" i="4"/>
  <c r="C56" i="4"/>
  <c r="J54" i="4"/>
  <c r="I54" i="4"/>
  <c r="J52" i="4"/>
  <c r="I52" i="4"/>
  <c r="J50" i="4"/>
  <c r="I50" i="4"/>
  <c r="J48" i="4"/>
  <c r="I48" i="4"/>
  <c r="J46" i="4"/>
  <c r="I46" i="4"/>
  <c r="J44" i="4"/>
  <c r="I44" i="4"/>
  <c r="J42" i="4"/>
  <c r="I42" i="4"/>
  <c r="E24" i="4"/>
  <c r="D24" i="4"/>
  <c r="C24" i="4"/>
  <c r="F22" i="4"/>
  <c r="F20" i="4"/>
  <c r="F18" i="4"/>
  <c r="D34" i="3"/>
  <c r="E34" i="3"/>
  <c r="F34" i="3"/>
  <c r="G34" i="3"/>
  <c r="H34" i="3"/>
  <c r="I34" i="3"/>
  <c r="C34" i="3"/>
  <c r="L24" i="3"/>
  <c r="M24" i="3"/>
  <c r="K24" i="3"/>
  <c r="J46" i="3"/>
  <c r="J48" i="3"/>
  <c r="J50" i="3"/>
  <c r="J52" i="3"/>
  <c r="J54" i="3"/>
  <c r="J56" i="3"/>
  <c r="I46" i="3"/>
  <c r="I48" i="3"/>
  <c r="I50" i="3"/>
  <c r="I52" i="3"/>
  <c r="I54" i="3"/>
  <c r="I56" i="3"/>
  <c r="J44" i="3"/>
  <c r="I44" i="3"/>
  <c r="H58" i="3"/>
  <c r="G58" i="3"/>
  <c r="F58" i="3"/>
  <c r="E58" i="3"/>
  <c r="D58" i="3"/>
  <c r="C58" i="3"/>
  <c r="F21" i="3"/>
  <c r="F23" i="3"/>
  <c r="F19" i="3"/>
  <c r="C25" i="3"/>
  <c r="D25" i="3"/>
  <c r="E25" i="3"/>
  <c r="F24" i="4" l="1"/>
  <c r="K45" i="5"/>
  <c r="K49" i="5"/>
  <c r="K53" i="5"/>
  <c r="F24" i="5"/>
  <c r="M14" i="3"/>
  <c r="F14" i="3"/>
  <c r="B9" i="3"/>
  <c r="I57" i="5"/>
  <c r="K50" i="3"/>
  <c r="K44" i="4"/>
  <c r="K48" i="4"/>
  <c r="K52" i="4"/>
  <c r="K44" i="3"/>
  <c r="K52" i="3"/>
  <c r="J34" i="3"/>
  <c r="J59" i="6"/>
  <c r="I58" i="3"/>
  <c r="K56" i="3"/>
  <c r="K48" i="3"/>
  <c r="F25" i="3"/>
  <c r="J58" i="3"/>
  <c r="K54" i="3"/>
  <c r="K46" i="3"/>
  <c r="I56" i="4"/>
  <c r="J56" i="4"/>
  <c r="K42" i="4"/>
  <c r="K46" i="4"/>
  <c r="K50" i="4"/>
  <c r="K54" i="4"/>
  <c r="O23" i="4"/>
  <c r="J57" i="5"/>
  <c r="K43" i="5"/>
  <c r="K47" i="5"/>
  <c r="K51" i="5"/>
  <c r="K55" i="5"/>
  <c r="F25" i="6"/>
  <c r="K47" i="6"/>
  <c r="K51" i="6"/>
  <c r="K55" i="6"/>
  <c r="I59" i="6"/>
  <c r="K45" i="6"/>
  <c r="K49" i="6"/>
  <c r="K53" i="6"/>
  <c r="K57" i="6"/>
  <c r="N24" i="6"/>
  <c r="J35" i="6"/>
  <c r="J33" i="5"/>
  <c r="J33" i="4"/>
  <c r="K59" i="6" l="1"/>
  <c r="K57" i="5"/>
  <c r="K56" i="4"/>
  <c r="K58" i="3"/>
</calcChain>
</file>

<file path=xl/sharedStrings.xml><?xml version="1.0" encoding="utf-8"?>
<sst xmlns="http://schemas.openxmlformats.org/spreadsheetml/2006/main" count="2059" uniqueCount="283">
  <si>
    <t>الناحية</t>
  </si>
  <si>
    <t>اسم المحافظة</t>
  </si>
  <si>
    <t xml:space="preserve">القضاء </t>
  </si>
  <si>
    <t>الاصلية</t>
  </si>
  <si>
    <t>الضيف</t>
  </si>
  <si>
    <t>الموقع البيئي للمدرسة</t>
  </si>
  <si>
    <t>جنس المدرسة</t>
  </si>
  <si>
    <t xml:space="preserve">عدد اعضاء الهيئة التعليمية </t>
  </si>
  <si>
    <t>حضر</t>
  </si>
  <si>
    <t>ريف</t>
  </si>
  <si>
    <t>بنون</t>
  </si>
  <si>
    <t>بنات</t>
  </si>
  <si>
    <t>مختلط</t>
  </si>
  <si>
    <t>ذكور</t>
  </si>
  <si>
    <t>اناث</t>
  </si>
  <si>
    <t>المجموع</t>
  </si>
  <si>
    <t>المرحلة</t>
  </si>
  <si>
    <t>المرحلة الاولى</t>
  </si>
  <si>
    <t>المرحلة الثانية</t>
  </si>
  <si>
    <t>المرحلة الثالثة</t>
  </si>
  <si>
    <t>عدد الشعب حسب المرحلة والجنس</t>
  </si>
  <si>
    <t>12سنة</t>
  </si>
  <si>
    <t>13سنة</t>
  </si>
  <si>
    <t>14سنة</t>
  </si>
  <si>
    <t>15سنة</t>
  </si>
  <si>
    <t>16سنة</t>
  </si>
  <si>
    <t>17سنة</t>
  </si>
  <si>
    <t>18سنة</t>
  </si>
  <si>
    <t>العمر</t>
  </si>
  <si>
    <t>المجموع الكلي</t>
  </si>
  <si>
    <t>عدد اعضاء الهيئة التعليمية حسب العنوان الوظيفي</t>
  </si>
  <si>
    <t>العنوان</t>
  </si>
  <si>
    <t>دور المعلمين والمعلمات</t>
  </si>
  <si>
    <t>الدراسة الاعدادية</t>
  </si>
  <si>
    <t>المدارس المهنية</t>
  </si>
  <si>
    <t>معاهد اعداد المعلمين والمعلمات</t>
  </si>
  <si>
    <t>جامعية تربوية</t>
  </si>
  <si>
    <t>جامعية اخرى</t>
  </si>
  <si>
    <t>اخرى</t>
  </si>
  <si>
    <t>عدد اعضاء الهيئة التعليمية حسب الشهادة</t>
  </si>
  <si>
    <t>اعلى شهادة تم الحصول عليها</t>
  </si>
  <si>
    <t>محافظة النجف الاشرف</t>
  </si>
  <si>
    <t>النجف</t>
  </si>
  <si>
    <t>عدد المدرسة</t>
  </si>
  <si>
    <t>مدير</t>
  </si>
  <si>
    <t>معاون</t>
  </si>
  <si>
    <t>معلم</t>
  </si>
  <si>
    <t>مجموع</t>
  </si>
  <si>
    <t>الكوفة</t>
  </si>
  <si>
    <t>المركز/ الحيدرية</t>
  </si>
  <si>
    <t>المركز/ العباسية/ الحرية</t>
  </si>
  <si>
    <t>المناذرة</t>
  </si>
  <si>
    <t>خلاصة قضاء المناذرة لمدارس التعليم المسرع</t>
  </si>
  <si>
    <t>خلاصة قضاء النجف لمدارس التعليم المسرع</t>
  </si>
  <si>
    <t>خلاصة قضاء الكوفة لمدارس التعليم المسرع</t>
  </si>
  <si>
    <t xml:space="preserve">وزارة التربية </t>
  </si>
  <si>
    <t>المديرية العامة للتربية في محافظة النجف الاشرف</t>
  </si>
  <si>
    <t>بيئة المدرسة</t>
  </si>
  <si>
    <t xml:space="preserve">دوام المدرسة </t>
  </si>
  <si>
    <t xml:space="preserve">استقلالية المدرسة </t>
  </si>
  <si>
    <t>نوع الازدواج</t>
  </si>
  <si>
    <t>هل المدرسة فتح جديد</t>
  </si>
  <si>
    <t xml:space="preserve">عدد الشعب حسب الصف والجنس </t>
  </si>
  <si>
    <t>اعضاء الهيئة التعليمية حسب العنوان الوظيفي</t>
  </si>
  <si>
    <t>الموظفون الاداريون والخدميون حسب العنوان الوظيفي</t>
  </si>
  <si>
    <t>عدد الهيئة التعليمية حسب الجنسية</t>
  </si>
  <si>
    <t>عدد اعضاء الهيئة التعليمية حسب الحالة الوظيفية</t>
  </si>
  <si>
    <t>التجهيزات والاثاث  :-</t>
  </si>
  <si>
    <t>الحاسبات  :-</t>
  </si>
  <si>
    <t>داخل القوة العمل</t>
  </si>
  <si>
    <t>خارج القوة العمل</t>
  </si>
  <si>
    <t>عدد المعلمين</t>
  </si>
  <si>
    <t>هل المدرسة مشمولة بالارشاد التربوي</t>
  </si>
  <si>
    <t>هل المدرسة مشمولة بالحاسوب</t>
  </si>
  <si>
    <t>هل المدرسة مشمولة باللغات الاجنبية</t>
  </si>
  <si>
    <t>اللغات</t>
  </si>
  <si>
    <t>عدد الرحلات المزدوجة (ذات المقعدين) الصالحة</t>
  </si>
  <si>
    <t>عدد الرحلات (ذات المقعد الواحد) الصالحة</t>
  </si>
  <si>
    <t>عدد لوحات الكتابة (السبورات) الصالحة</t>
  </si>
  <si>
    <t>عدد الحاسبات الالكترونية  (كومبيوتر)</t>
  </si>
  <si>
    <t>عدد الطابعات</t>
  </si>
  <si>
    <t>عدد الماسحات الضوئية  (سكنرات)</t>
  </si>
  <si>
    <t>مرشد تربوي</t>
  </si>
  <si>
    <t>موظف ادارة</t>
  </si>
  <si>
    <t>محاسب</t>
  </si>
  <si>
    <t>امين مكتبة</t>
  </si>
  <si>
    <t>موظف خدمات</t>
  </si>
  <si>
    <t>فلاح</t>
  </si>
  <si>
    <t>حارس</t>
  </si>
  <si>
    <t>عراقية</t>
  </si>
  <si>
    <t>عربية</t>
  </si>
  <si>
    <t>اجنبية</t>
  </si>
  <si>
    <t>بعثة او زمالة دراسية</t>
  </si>
  <si>
    <t>اجازة دراسية</t>
  </si>
  <si>
    <t>اجازة مصاحبة</t>
  </si>
  <si>
    <t>اجازة بدون راتب</t>
  </si>
  <si>
    <t>اجازة مرضية طويلة</t>
  </si>
  <si>
    <t>اجازة امومة</t>
  </si>
  <si>
    <t>منسب الى جهة اخرى</t>
  </si>
  <si>
    <t xml:space="preserve">اعدادية </t>
  </si>
  <si>
    <t>دور معلمين</t>
  </si>
  <si>
    <t>دبلوم تعليمي</t>
  </si>
  <si>
    <t>مدارس مهنية</t>
  </si>
  <si>
    <t>دبلوم عام</t>
  </si>
  <si>
    <t xml:space="preserve">بكلوريوس عام </t>
  </si>
  <si>
    <t>بكلوريوس تعليمية</t>
  </si>
  <si>
    <t>فرنسي</t>
  </si>
  <si>
    <t>روسي</t>
  </si>
  <si>
    <t>اسباني</t>
  </si>
  <si>
    <t>كردي</t>
  </si>
  <si>
    <t xml:space="preserve">الناحية </t>
  </si>
  <si>
    <t>ت</t>
  </si>
  <si>
    <t xml:space="preserve">الرقم الاحصائي </t>
  </si>
  <si>
    <t xml:space="preserve">اسم المدرسة </t>
  </si>
  <si>
    <t xml:space="preserve">حضر </t>
  </si>
  <si>
    <t xml:space="preserve">ريف </t>
  </si>
  <si>
    <t xml:space="preserve">صباحا </t>
  </si>
  <si>
    <t>ظهرا</t>
  </si>
  <si>
    <t>صباحا وظهرا</t>
  </si>
  <si>
    <t>مساءا</t>
  </si>
  <si>
    <t xml:space="preserve">اصلية </t>
  </si>
  <si>
    <t>ضيف</t>
  </si>
  <si>
    <t>غير مزدوجة</t>
  </si>
  <si>
    <t>مع نفسها</t>
  </si>
  <si>
    <t>مع اخرى</t>
  </si>
  <si>
    <t>مع نفسها ومع اخرى</t>
  </si>
  <si>
    <t xml:space="preserve">ذكور </t>
  </si>
  <si>
    <t>كلا</t>
  </si>
  <si>
    <t>نعم</t>
  </si>
  <si>
    <t>المركز</t>
  </si>
  <si>
    <t>مدينة العلم</t>
  </si>
  <si>
    <t>الاقمار المنيرة</t>
  </si>
  <si>
    <t>اعلام الدين</t>
  </si>
  <si>
    <t>البيت المعمور</t>
  </si>
  <si>
    <t>الركن اليماني</t>
  </si>
  <si>
    <t>الحزام الاخضر</t>
  </si>
  <si>
    <t>الجواهر</t>
  </si>
  <si>
    <t>الحيدرية</t>
  </si>
  <si>
    <t>النبراس</t>
  </si>
  <si>
    <t>ام ابيها</t>
  </si>
  <si>
    <t>الكنز</t>
  </si>
  <si>
    <t>الرحيق</t>
  </si>
  <si>
    <t>الوادي المقدس</t>
  </si>
  <si>
    <t>الشهب الثاقبة</t>
  </si>
  <si>
    <t>مركز الكوفة</t>
  </si>
  <si>
    <t>العباسية</t>
  </si>
  <si>
    <t>زنة العرش</t>
  </si>
  <si>
    <t>الحرية</t>
  </si>
  <si>
    <t>الازل</t>
  </si>
  <si>
    <t>الحيرة</t>
  </si>
  <si>
    <t>يثرب</t>
  </si>
  <si>
    <t>المشخاب</t>
  </si>
  <si>
    <t>القادسية</t>
  </si>
  <si>
    <t>عدد اعضاء الهيئة التعليمية حسب الحالة الاجتماعية</t>
  </si>
  <si>
    <t>اعزب</t>
  </si>
  <si>
    <t>متزوج</t>
  </si>
  <si>
    <t>مطلق</t>
  </si>
  <si>
    <t>ارمل</t>
  </si>
  <si>
    <t>عدد المعلمين المشاركين بدورات تربوية للعام الماضي</t>
  </si>
  <si>
    <t xml:space="preserve">المجموع الكلي </t>
  </si>
  <si>
    <t xml:space="preserve">المرحلة الثانية </t>
  </si>
  <si>
    <t xml:space="preserve">الهيئة التعليمية حسب الشهادة والجنس </t>
  </si>
  <si>
    <t>خلاصة مدارس التعليم المسرع</t>
  </si>
  <si>
    <t>ناحية الحيدرية</t>
  </si>
  <si>
    <t>ناحية العباسية</t>
  </si>
  <si>
    <t xml:space="preserve">المناذرة </t>
  </si>
  <si>
    <t xml:space="preserve"> النجف الاشرف</t>
  </si>
  <si>
    <t>النجف الاشرف</t>
  </si>
  <si>
    <t>خلاصة محافظة النجف الاشرف لمدارس التعليم المسرع</t>
  </si>
  <si>
    <t>ناحية الحرية</t>
  </si>
  <si>
    <t>مركز  المناذرة</t>
  </si>
  <si>
    <t>ناحية الحيرة</t>
  </si>
  <si>
    <t>ناحية المشخاب</t>
  </si>
  <si>
    <t>ناحية القادسية</t>
  </si>
  <si>
    <t>مركز النجف</t>
  </si>
  <si>
    <t>1400962</t>
  </si>
  <si>
    <t>مدرسة مسرع</t>
  </si>
  <si>
    <t>صف مسرع في مدرسة</t>
  </si>
  <si>
    <t>نوع صفوف المسرع</t>
  </si>
  <si>
    <t>الجديد</t>
  </si>
  <si>
    <t>قسم التخطيط التربوي</t>
  </si>
  <si>
    <t>مركزالمناذرة / الحيرة</t>
  </si>
  <si>
    <t>مركزالمشخاب + القادسية</t>
  </si>
  <si>
    <t>اقرب نقطة</t>
  </si>
  <si>
    <t>مجموع الراسبين</t>
  </si>
  <si>
    <t>الفشل بألامتحان</t>
  </si>
  <si>
    <t>تجاوز الغياب</t>
  </si>
  <si>
    <t>اسباب الاخرى</t>
  </si>
  <si>
    <t>مركز المشخاب</t>
  </si>
  <si>
    <t xml:space="preserve">المركز </t>
  </si>
  <si>
    <t xml:space="preserve"> النجف / الكوفة / المناذرة / المشخاب</t>
  </si>
  <si>
    <t>الجنائن المعلقة</t>
  </si>
  <si>
    <t xml:space="preserve">الجمهورية -قرب اولاد الحسن مع مدرسة الصحابة الابتدائية </t>
  </si>
  <si>
    <t>حي ميسان - مع متوسطة الوداد للبنات</t>
  </si>
  <si>
    <t xml:space="preserve">حي النصر - قرب صيدلية زمزم -  مع مدرسة جنة المعلى </t>
  </si>
  <si>
    <t xml:space="preserve">الجديدة الرابعة - قرب اعدادية الصناعة مع مدرسة الوطن الابتدائية </t>
  </si>
  <si>
    <t xml:space="preserve">قرب تقاطع العسكريين - حي العلماء مع مدرسة مصطفى جواد الابتدائية </t>
  </si>
  <si>
    <t xml:space="preserve">حي السلام - مع مدرسة الدعاء المستجاب الابتدائية </t>
  </si>
  <si>
    <t>حي الانصار - مع م . الفارس العربي للبنين</t>
  </si>
  <si>
    <t>الجديدة الرابعة - قرب سوق الحديقة مع م . النهروان للبنين</t>
  </si>
  <si>
    <t>الجديدة الثالثة - مقابل متنزه حي المعلمين مع م . الخنساء للبنات</t>
  </si>
  <si>
    <t xml:space="preserve">حي الميلاد - مع مدرسة اليعقوبي </t>
  </si>
  <si>
    <t xml:space="preserve">حي ابو طالب - مع مدرسة الاعتماد </t>
  </si>
  <si>
    <t xml:space="preserve">مع م . المنارة للبنات </t>
  </si>
  <si>
    <t xml:space="preserve">المزارع - مع مدرسة محمد تقي الخوئي </t>
  </si>
  <si>
    <t xml:space="preserve">مركز الناحية - مع مدرسة عابس الشاكري </t>
  </si>
  <si>
    <t>الرضوية مع مدرسة الوتر للبنين</t>
  </si>
  <si>
    <t xml:space="preserve">حي الفرات - مع اعدادية الكوفة المركزية للبنين </t>
  </si>
  <si>
    <t xml:space="preserve">مركز العباسية مع مدرسة زرقاء اليمامة </t>
  </si>
  <si>
    <t>الرضوية</t>
  </si>
  <si>
    <t>ناحية الرضوية</t>
  </si>
  <si>
    <t>كاتب</t>
  </si>
  <si>
    <t>استضافة</t>
  </si>
  <si>
    <t>المدير</t>
  </si>
  <si>
    <t>رقم الموبايل</t>
  </si>
  <si>
    <t>المديرية العامة للتربية في النجف الاشرف</t>
  </si>
  <si>
    <t xml:space="preserve">علي عبيد اسماعيل </t>
  </si>
  <si>
    <t>سعد طارق سعد</t>
  </si>
  <si>
    <t>نسيم كريم عباس</t>
  </si>
  <si>
    <t>غسق مجيد حميد</t>
  </si>
  <si>
    <t>سحر موسى سلمان</t>
  </si>
  <si>
    <t>ايمان علي صيهود</t>
  </si>
  <si>
    <t>انعام نعمه منسي</t>
  </si>
  <si>
    <t xml:space="preserve">محمد خلف جابر </t>
  </si>
  <si>
    <t xml:space="preserve">انور صباح هاشم </t>
  </si>
  <si>
    <t xml:space="preserve">محمد عبد الرزاق ابراهيم </t>
  </si>
  <si>
    <t>خلود محسن متعب</t>
  </si>
  <si>
    <t xml:space="preserve">زينب زيدان حسان </t>
  </si>
  <si>
    <t>البقعة المباركة للتعليم المسرع</t>
  </si>
  <si>
    <t>امير عباس علي</t>
  </si>
  <si>
    <t>الانجم الزاهرة للتعليم المسرع</t>
  </si>
  <si>
    <t>زينب كامل راهي</t>
  </si>
  <si>
    <t>الطارق للتعليم المسرع</t>
  </si>
  <si>
    <t>عبدالحسين عبدالجواد صاحب</t>
  </si>
  <si>
    <t>الرواسي للتعليم المسرع</t>
  </si>
  <si>
    <t>عقيل كامل عبدالزهرة</t>
  </si>
  <si>
    <t>هل توجد مكتبة</t>
  </si>
  <si>
    <t xml:space="preserve">نعم </t>
  </si>
  <si>
    <t>حرفي</t>
  </si>
  <si>
    <t>السمو</t>
  </si>
  <si>
    <t>حياة شرارة</t>
  </si>
  <si>
    <t>رشا مهدي بنية</t>
  </si>
  <si>
    <t>مزارع اليرموك / مع مدرسة الافاضة</t>
  </si>
  <si>
    <t>وسام هادي علي</t>
  </si>
  <si>
    <t>ضياء العلم للتعليم المسرع</t>
  </si>
  <si>
    <t>فاطمة عباس سلمان</t>
  </si>
  <si>
    <t xml:space="preserve">مرشد </t>
  </si>
  <si>
    <t>مرشد</t>
  </si>
  <si>
    <t>حسنين علي مسلم</t>
  </si>
  <si>
    <t>وطن السلام</t>
  </si>
  <si>
    <t>اسراء حكيم نوري</t>
  </si>
  <si>
    <t>ابواب الامل</t>
  </si>
  <si>
    <t>طريق الامل</t>
  </si>
  <si>
    <t>سايق</t>
  </si>
  <si>
    <t>اسراء مصطفى محسن</t>
  </si>
  <si>
    <t>هيفاء منعم شاكر</t>
  </si>
  <si>
    <t>حيدر محسن صبر</t>
  </si>
  <si>
    <t>حميدة جاسم محمد</t>
  </si>
  <si>
    <t>ضيف على اعدادية المربد</t>
  </si>
  <si>
    <t>الوفاء - ضيف على الولاية</t>
  </si>
  <si>
    <t>هاجر</t>
  </si>
  <si>
    <t>صبيحة مهدي حميدي</t>
  </si>
  <si>
    <t xml:space="preserve">حي النداء </t>
  </si>
  <si>
    <t>4-5سنوات</t>
  </si>
  <si>
    <t>عدد التلاميذ التاركين حسب الصف والجنس للعام 2026 / 2025</t>
  </si>
  <si>
    <t>التعليم المسرع  2026/2025</t>
  </si>
  <si>
    <t xml:space="preserve">البيانات الاحصائية لمدارس التعليم المسرع للعام الدراسي 2026/2025 </t>
  </si>
  <si>
    <t>التاركين للعام الدراسي2026/2025</t>
  </si>
  <si>
    <t>عدد التلاميذ الناجحين حسب الصف والجنس للعام الدراسي 2025 / 2024</t>
  </si>
  <si>
    <t>عدد التلامذة الراسبين (الفشل بالامتحان ) لعام 2025 /2024</t>
  </si>
  <si>
    <t>عدد التلامذة الراسبين ( تجاوز الغياب )لعام 2025 /2024</t>
  </si>
  <si>
    <t>عدد التلامذة الراسبين ( الاسباب الاخري )لعام 2021 /2024</t>
  </si>
  <si>
    <t>الناجحون للعام الدراسي 2025/2024</t>
  </si>
  <si>
    <t>الراسبون لجميع الاسباب للعام الدراسي 2025/2024</t>
  </si>
  <si>
    <t>الشيخ الكرباسي</t>
  </si>
  <si>
    <t xml:space="preserve">النخيل </t>
  </si>
  <si>
    <t>كرار ابراهيم حطاب</t>
  </si>
  <si>
    <t>حي الوفاء / مع ثانوية الشفق</t>
  </si>
  <si>
    <t>حسين سحاب عاشور</t>
  </si>
  <si>
    <t>مع مدرسة القائم</t>
  </si>
  <si>
    <t>صلاح نوري غاوي</t>
  </si>
  <si>
    <t>زمن احمد جودي</t>
  </si>
  <si>
    <t xml:space="preserve">كوفة - شارع المعمل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</si>
</sst>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Arial"/>
      <family val="2"/>
      <charset val="178"/>
      <scheme val="minor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14"/>
      <name val="Arial"/>
      <family val="2"/>
      <scheme val="minor"/>
    </font>
    <font>
      <b/>
      <sz val="14"/>
      <name val="Arial"/>
      <family val="2"/>
    </font>
    <font>
      <sz val="14"/>
      <name val="Arial"/>
      <family val="2"/>
      <scheme val="minor"/>
    </font>
    <font>
      <b/>
      <sz val="12"/>
      <name val="Arial"/>
      <family val="2"/>
      <scheme val="minor"/>
    </font>
    <font>
      <b/>
      <sz val="16"/>
      <name val="Arial"/>
      <family val="2"/>
      <scheme val="minor"/>
    </font>
    <font>
      <sz val="16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7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ck">
        <color auto="1"/>
      </right>
      <top/>
      <bottom style="double">
        <color auto="1"/>
      </bottom>
      <diagonal/>
    </border>
    <border>
      <left style="thick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auto="1"/>
      </left>
      <right style="double">
        <color auto="1"/>
      </right>
      <top style="thick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thick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auto="1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auto="1"/>
      </bottom>
      <diagonal/>
    </border>
    <border>
      <left/>
      <right style="thick">
        <color indexed="64"/>
      </right>
      <top style="double">
        <color indexed="64"/>
      </top>
      <bottom/>
      <diagonal/>
    </border>
    <border>
      <left/>
      <right style="thick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auto="1"/>
      </right>
      <top style="double">
        <color indexed="64"/>
      </top>
      <bottom/>
      <diagonal/>
    </border>
    <border>
      <left style="thick">
        <color auto="1"/>
      </left>
      <right style="thick">
        <color auto="1"/>
      </right>
      <top/>
      <bottom style="double">
        <color auto="1"/>
      </bottom>
      <diagonal/>
    </border>
    <border>
      <left style="double">
        <color indexed="64"/>
      </left>
      <right/>
      <top/>
      <bottom style="thick">
        <color auto="1"/>
      </bottom>
      <diagonal/>
    </border>
    <border>
      <left/>
      <right style="double">
        <color auto="1"/>
      </right>
      <top/>
      <bottom style="thick">
        <color auto="1"/>
      </bottom>
      <diagonal/>
    </border>
    <border>
      <left/>
      <right style="double">
        <color auto="1"/>
      </right>
      <top style="thick">
        <color auto="1"/>
      </top>
      <bottom style="thick">
        <color auto="1"/>
      </bottom>
      <diagonal/>
    </border>
    <border>
      <left style="thick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auto="1"/>
      </right>
      <top/>
      <bottom/>
      <diagonal/>
    </border>
    <border>
      <left style="double">
        <color indexed="64"/>
      </left>
      <right style="thick">
        <color auto="1"/>
      </right>
      <top/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double">
        <color auto="1"/>
      </bottom>
      <diagonal/>
    </border>
    <border>
      <left style="double">
        <color indexed="64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double">
        <color auto="1"/>
      </bottom>
      <diagonal/>
    </border>
    <border>
      <left style="thick">
        <color auto="1"/>
      </left>
      <right/>
      <top style="double">
        <color indexed="64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thick">
        <color indexed="64"/>
      </left>
      <right/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54">
    <xf numFmtId="0" fontId="0" fillId="0" borderId="0" xfId="0"/>
    <xf numFmtId="0" fontId="1" fillId="0" borderId="0" xfId="0" applyFont="1" applyAlignment="1">
      <alignment readingOrder="2"/>
    </xf>
    <xf numFmtId="0" fontId="1" fillId="0" borderId="4" xfId="0" applyFont="1" applyBorder="1" applyAlignment="1">
      <alignment horizontal="center" readingOrder="2"/>
    </xf>
    <xf numFmtId="0" fontId="1" fillId="0" borderId="6" xfId="0" applyFont="1" applyBorder="1" applyAlignment="1">
      <alignment horizontal="center" readingOrder="2"/>
    </xf>
    <xf numFmtId="0" fontId="1" fillId="0" borderId="17" xfId="0" applyFont="1" applyBorder="1" applyAlignment="1">
      <alignment horizontal="center" readingOrder="2"/>
    </xf>
    <xf numFmtId="0" fontId="1" fillId="0" borderId="18" xfId="0" applyFont="1" applyBorder="1" applyAlignment="1">
      <alignment horizontal="center" readingOrder="2"/>
    </xf>
    <xf numFmtId="0" fontId="1" fillId="0" borderId="19" xfId="0" applyFont="1" applyBorder="1" applyAlignment="1">
      <alignment horizontal="center" readingOrder="2"/>
    </xf>
    <xf numFmtId="0" fontId="1" fillId="0" borderId="5" xfId="0" applyFont="1" applyBorder="1" applyAlignment="1">
      <alignment horizontal="center" readingOrder="2"/>
    </xf>
    <xf numFmtId="0" fontId="2" fillId="0" borderId="0" xfId="0" applyFont="1" applyAlignment="1">
      <alignment readingOrder="2"/>
    </xf>
    <xf numFmtId="0" fontId="3" fillId="0" borderId="0" xfId="0" applyFont="1" applyAlignment="1">
      <alignment readingOrder="2"/>
    </xf>
    <xf numFmtId="0" fontId="3" fillId="0" borderId="4" xfId="0" applyFont="1" applyBorder="1" applyAlignment="1">
      <alignment horizontal="center" readingOrder="2"/>
    </xf>
    <xf numFmtId="0" fontId="3" fillId="0" borderId="6" xfId="0" applyFont="1" applyBorder="1" applyAlignment="1">
      <alignment horizontal="center" readingOrder="2"/>
    </xf>
    <xf numFmtId="0" fontId="3" fillId="0" borderId="17" xfId="0" applyFont="1" applyBorder="1" applyAlignment="1">
      <alignment horizontal="center" readingOrder="2"/>
    </xf>
    <xf numFmtId="0" fontId="3" fillId="0" borderId="18" xfId="0" applyFont="1" applyBorder="1" applyAlignment="1">
      <alignment horizontal="center" readingOrder="2"/>
    </xf>
    <xf numFmtId="0" fontId="3" fillId="0" borderId="19" xfId="0" applyFont="1" applyBorder="1" applyAlignment="1">
      <alignment horizontal="center" readingOrder="2"/>
    </xf>
    <xf numFmtId="0" fontId="3" fillId="0" borderId="5" xfId="0" applyFont="1" applyBorder="1" applyAlignment="1">
      <alignment horizontal="center" readingOrder="2"/>
    </xf>
    <xf numFmtId="0" fontId="3" fillId="0" borderId="7" xfId="0" applyFont="1" applyBorder="1" applyAlignment="1">
      <alignment horizontal="center" readingOrder="2"/>
    </xf>
    <xf numFmtId="0" fontId="3" fillId="0" borderId="9" xfId="0" applyFont="1" applyBorder="1" applyAlignment="1">
      <alignment horizontal="center" readingOrder="2"/>
    </xf>
    <xf numFmtId="0" fontId="3" fillId="0" borderId="14" xfId="0" applyFont="1" applyBorder="1" applyAlignment="1">
      <alignment horizontal="center" readingOrder="2"/>
    </xf>
    <xf numFmtId="0" fontId="3" fillId="0" borderId="15" xfId="0" applyFont="1" applyBorder="1" applyAlignment="1">
      <alignment horizontal="center" readingOrder="2"/>
    </xf>
    <xf numFmtId="0" fontId="3" fillId="0" borderId="16" xfId="0" applyFont="1" applyBorder="1" applyAlignment="1">
      <alignment horizontal="center" readingOrder="2"/>
    </xf>
    <xf numFmtId="0" fontId="3" fillId="0" borderId="8" xfId="0" applyFont="1" applyBorder="1" applyAlignment="1">
      <alignment horizontal="center" readingOrder="2"/>
    </xf>
    <xf numFmtId="0" fontId="3" fillId="0" borderId="4" xfId="0" applyFont="1" applyBorder="1" applyAlignment="1">
      <alignment horizontal="center" vertical="center" readingOrder="2"/>
    </xf>
    <xf numFmtId="0" fontId="3" fillId="0" borderId="5" xfId="0" applyFont="1" applyBorder="1" applyAlignment="1">
      <alignment horizontal="center" vertical="center" readingOrder="2"/>
    </xf>
    <xf numFmtId="0" fontId="3" fillId="0" borderId="7" xfId="0" applyFont="1" applyBorder="1" applyAlignment="1">
      <alignment horizontal="center" vertical="center" readingOrder="2"/>
    </xf>
    <xf numFmtId="0" fontId="3" fillId="0" borderId="8" xfId="0" applyFont="1" applyBorder="1" applyAlignment="1">
      <alignment horizontal="center" vertical="center" readingOrder="2"/>
    </xf>
    <xf numFmtId="0" fontId="4" fillId="0" borderId="0" xfId="0" applyFont="1" applyAlignment="1">
      <alignment readingOrder="2"/>
    </xf>
    <xf numFmtId="0" fontId="3" fillId="0" borderId="0" xfId="0" applyFont="1" applyBorder="1" applyAlignment="1">
      <alignment horizontal="center" vertical="center" readingOrder="2"/>
    </xf>
    <xf numFmtId="0" fontId="3" fillId="0" borderId="0" xfId="0" applyFont="1" applyAlignment="1">
      <alignment horizontal="center" readingOrder="2"/>
    </xf>
    <xf numFmtId="0" fontId="3" fillId="0" borderId="14" xfId="0" applyFont="1" applyBorder="1" applyAlignment="1">
      <alignment horizontal="center" vertical="center" readingOrder="2"/>
    </xf>
    <xf numFmtId="0" fontId="3" fillId="0" borderId="15" xfId="0" applyFont="1" applyBorder="1" applyAlignment="1">
      <alignment horizontal="center" vertical="center" readingOrder="2"/>
    </xf>
    <xf numFmtId="0" fontId="3" fillId="0" borderId="0" xfId="0" applyFont="1" applyAlignment="1">
      <alignment vertical="center" readingOrder="2"/>
    </xf>
    <xf numFmtId="0" fontId="3" fillId="0" borderId="0" xfId="0" applyFont="1" applyAlignment="1">
      <alignment horizontal="center" vertical="center" readingOrder="2"/>
    </xf>
    <xf numFmtId="0" fontId="3" fillId="0" borderId="9" xfId="0" applyFont="1" applyBorder="1" applyAlignment="1">
      <alignment horizontal="center" vertical="center" readingOrder="2"/>
    </xf>
    <xf numFmtId="0" fontId="3" fillId="0" borderId="16" xfId="0" applyFont="1" applyBorder="1" applyAlignment="1">
      <alignment horizontal="center" vertical="center" readingOrder="2"/>
    </xf>
    <xf numFmtId="0" fontId="5" fillId="0" borderId="0" xfId="0" applyFont="1" applyAlignment="1">
      <alignment horizontal="center" vertical="center" readingOrder="2"/>
    </xf>
    <xf numFmtId="0" fontId="4" fillId="0" borderId="0" xfId="0" applyFont="1" applyAlignment="1">
      <alignment vertical="center" readingOrder="2"/>
    </xf>
    <xf numFmtId="0" fontId="3" fillId="0" borderId="6" xfId="0" applyFont="1" applyBorder="1" applyAlignment="1">
      <alignment horizontal="center" vertical="center" readingOrder="2"/>
    </xf>
    <xf numFmtId="0" fontId="3" fillId="0" borderId="17" xfId="0" applyFont="1" applyBorder="1" applyAlignment="1">
      <alignment horizontal="center" vertical="center" readingOrder="2"/>
    </xf>
    <xf numFmtId="0" fontId="3" fillId="0" borderId="18" xfId="0" applyFont="1" applyBorder="1" applyAlignment="1">
      <alignment horizontal="center" vertical="center" readingOrder="2"/>
    </xf>
    <xf numFmtId="0" fontId="3" fillId="0" borderId="19" xfId="0" applyFont="1" applyBorder="1" applyAlignment="1">
      <alignment horizontal="center" vertical="center" readingOrder="2"/>
    </xf>
    <xf numFmtId="0" fontId="3" fillId="0" borderId="2" xfId="0" applyFont="1" applyBorder="1" applyAlignment="1">
      <alignment horizontal="center" vertical="center" readingOrder="2"/>
    </xf>
    <xf numFmtId="0" fontId="3" fillId="0" borderId="61" xfId="0" applyFont="1" applyBorder="1" applyAlignment="1">
      <alignment horizontal="center" vertical="center" readingOrder="2"/>
    </xf>
    <xf numFmtId="0" fontId="5" fillId="0" borderId="0" xfId="0" applyFont="1" applyAlignment="1">
      <alignment readingOrder="2"/>
    </xf>
    <xf numFmtId="0" fontId="3" fillId="0" borderId="14" xfId="0" applyFont="1" applyBorder="1" applyAlignment="1">
      <alignment horizontal="center" vertical="center" readingOrder="2"/>
    </xf>
    <xf numFmtId="0" fontId="3" fillId="0" borderId="16" xfId="0" applyFont="1" applyBorder="1" applyAlignment="1">
      <alignment horizontal="center" vertical="center" readingOrder="2"/>
    </xf>
    <xf numFmtId="0" fontId="3" fillId="0" borderId="14" xfId="0" applyFont="1" applyBorder="1" applyAlignment="1">
      <alignment horizontal="center" vertical="center" readingOrder="2"/>
    </xf>
    <xf numFmtId="0" fontId="3" fillId="0" borderId="15" xfId="0" applyFont="1" applyBorder="1" applyAlignment="1">
      <alignment horizontal="center" vertical="center" readingOrder="2"/>
    </xf>
    <xf numFmtId="0" fontId="3" fillId="0" borderId="71" xfId="0" applyFont="1" applyBorder="1" applyAlignment="1">
      <alignment horizontal="center" vertical="center" readingOrder="2"/>
    </xf>
    <xf numFmtId="0" fontId="3" fillId="0" borderId="73" xfId="0" applyFont="1" applyBorder="1" applyAlignment="1">
      <alignment horizontal="center" vertical="center" readingOrder="2"/>
    </xf>
    <xf numFmtId="0" fontId="1" fillId="0" borderId="71" xfId="0" applyFont="1" applyBorder="1" applyAlignment="1">
      <alignment horizontal="center" vertical="center" readingOrder="2"/>
    </xf>
    <xf numFmtId="0" fontId="1" fillId="0" borderId="73" xfId="0" applyFont="1" applyBorder="1" applyAlignment="1">
      <alignment horizontal="center" vertical="center" readingOrder="2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left" vertical="top" readingOrder="2"/>
    </xf>
    <xf numFmtId="0" fontId="3" fillId="0" borderId="0" xfId="0" applyFont="1" applyBorder="1" applyAlignment="1">
      <alignment horizontal="right" vertical="center" readingOrder="2"/>
    </xf>
    <xf numFmtId="0" fontId="3" fillId="0" borderId="7" xfId="0" applyFont="1" applyBorder="1" applyAlignment="1">
      <alignment horizontal="center" vertical="center" readingOrder="2"/>
    </xf>
    <xf numFmtId="0" fontId="3" fillId="0" borderId="8" xfId="0" applyFont="1" applyBorder="1" applyAlignment="1">
      <alignment horizontal="center" vertical="center" readingOrder="2"/>
    </xf>
    <xf numFmtId="0" fontId="3" fillId="0" borderId="4" xfId="0" applyFont="1" applyBorder="1" applyAlignment="1">
      <alignment horizontal="center" vertical="center" readingOrder="2"/>
    </xf>
    <xf numFmtId="0" fontId="3" fillId="0" borderId="5" xfId="0" applyFont="1" applyBorder="1" applyAlignment="1">
      <alignment horizontal="center" vertical="center" readingOrder="2"/>
    </xf>
    <xf numFmtId="0" fontId="3" fillId="0" borderId="14" xfId="0" applyFont="1" applyBorder="1" applyAlignment="1">
      <alignment horizontal="center" vertical="center" readingOrder="2"/>
    </xf>
    <xf numFmtId="0" fontId="5" fillId="0" borderId="7" xfId="0" applyFont="1" applyBorder="1" applyAlignment="1">
      <alignment horizontal="center" vertical="center" readingOrder="2"/>
    </xf>
    <xf numFmtId="0" fontId="5" fillId="0" borderId="9" xfId="0" applyFont="1" applyBorder="1" applyAlignment="1">
      <alignment horizontal="center" vertical="center" readingOrder="2"/>
    </xf>
    <xf numFmtId="0" fontId="7" fillId="15" borderId="0" xfId="0" applyFont="1" applyFill="1" applyBorder="1" applyAlignment="1">
      <alignment horizontal="center" vertical="center" shrinkToFit="1" readingOrder="2"/>
    </xf>
    <xf numFmtId="0" fontId="7" fillId="9" borderId="0" xfId="0" applyFont="1" applyFill="1" applyBorder="1" applyAlignment="1">
      <alignment horizontal="center" vertical="center" shrinkToFit="1" readingOrder="2"/>
    </xf>
    <xf numFmtId="0" fontId="7" fillId="2" borderId="46" xfId="0" applyFont="1" applyFill="1" applyBorder="1" applyAlignment="1">
      <alignment horizontal="center" vertical="center" shrinkToFit="1" readingOrder="2"/>
    </xf>
    <xf numFmtId="0" fontId="7" fillId="2" borderId="0" xfId="0" applyFont="1" applyFill="1" applyBorder="1" applyAlignment="1">
      <alignment horizontal="center" vertical="center" shrinkToFit="1" readingOrder="2"/>
    </xf>
    <xf numFmtId="0" fontId="9" fillId="0" borderId="0" xfId="0" applyFont="1"/>
    <xf numFmtId="0" fontId="7" fillId="3" borderId="0" xfId="0" applyFont="1" applyFill="1" applyBorder="1" applyAlignment="1">
      <alignment horizontal="center" vertical="center" shrinkToFit="1" readingOrder="2"/>
    </xf>
    <xf numFmtId="0" fontId="7" fillId="4" borderId="0" xfId="0" applyFont="1" applyFill="1" applyBorder="1" applyAlignment="1">
      <alignment horizontal="center" vertical="center" shrinkToFit="1" readingOrder="2"/>
    </xf>
    <xf numFmtId="0" fontId="7" fillId="5" borderId="0" xfId="0" applyFont="1" applyFill="1" applyBorder="1" applyAlignment="1">
      <alignment horizontal="center" vertical="center" shrinkToFit="1" readingOrder="2"/>
    </xf>
    <xf numFmtId="0" fontId="7" fillId="6" borderId="0" xfId="0" applyFont="1" applyFill="1" applyBorder="1" applyAlignment="1">
      <alignment horizontal="center" vertical="center" shrinkToFit="1" readingOrder="2"/>
    </xf>
    <xf numFmtId="0" fontId="7" fillId="7" borderId="0" xfId="0" applyFont="1" applyFill="1" applyBorder="1" applyAlignment="1">
      <alignment horizontal="center" vertical="center" shrinkToFit="1" readingOrder="2"/>
    </xf>
    <xf numFmtId="0" fontId="7" fillId="4" borderId="52" xfId="0" applyFont="1" applyFill="1" applyBorder="1" applyAlignment="1">
      <alignment horizontal="center" vertical="center" shrinkToFit="1" readingOrder="2"/>
    </xf>
    <xf numFmtId="0" fontId="7" fillId="0" borderId="0" xfId="0" applyFont="1" applyBorder="1" applyAlignment="1">
      <alignment horizontal="center" vertical="center" shrinkToFit="1" readingOrder="2"/>
    </xf>
    <xf numFmtId="0" fontId="7" fillId="10" borderId="0" xfId="0" applyFont="1" applyFill="1" applyBorder="1" applyAlignment="1">
      <alignment horizontal="center" vertical="center" shrinkToFit="1" readingOrder="2"/>
    </xf>
    <xf numFmtId="0" fontId="7" fillId="12" borderId="0" xfId="0" applyFont="1" applyFill="1" applyBorder="1" applyAlignment="1">
      <alignment horizontal="center" vertical="center" shrinkToFit="1" readingOrder="2"/>
    </xf>
    <xf numFmtId="0" fontId="7" fillId="11" borderId="0" xfId="0" applyFont="1" applyFill="1" applyBorder="1" applyAlignment="1">
      <alignment horizontal="center" vertical="center" shrinkToFit="1" readingOrder="2"/>
    </xf>
    <xf numFmtId="0" fontId="7" fillId="14" borderId="0" xfId="0" applyFont="1" applyFill="1" applyBorder="1" applyAlignment="1">
      <alignment horizontal="center" vertical="center" shrinkToFit="1" readingOrder="2"/>
    </xf>
    <xf numFmtId="0" fontId="11" fillId="2" borderId="46" xfId="0" applyFont="1" applyFill="1" applyBorder="1" applyAlignment="1">
      <alignment horizontal="center" vertical="center" shrinkToFit="1" readingOrder="2"/>
    </xf>
    <xf numFmtId="0" fontId="7" fillId="8" borderId="0" xfId="0" applyFont="1" applyFill="1" applyBorder="1" applyAlignment="1">
      <alignment horizontal="center" vertical="center" shrinkToFit="1" readingOrder="2"/>
    </xf>
    <xf numFmtId="0" fontId="12" fillId="0" borderId="0" xfId="0" applyFont="1"/>
    <xf numFmtId="0" fontId="11" fillId="13" borderId="0" xfId="0" applyFont="1" applyFill="1" applyBorder="1" applyAlignment="1">
      <alignment horizontal="center" vertical="center" shrinkToFit="1" readingOrder="2"/>
    </xf>
    <xf numFmtId="0" fontId="7" fillId="2" borderId="51" xfId="0" applyFont="1" applyFill="1" applyBorder="1" applyAlignment="1">
      <alignment horizontal="center" vertical="center" shrinkToFit="1" readingOrder="2"/>
    </xf>
    <xf numFmtId="0" fontId="7" fillId="13" borderId="45" xfId="0" applyFont="1" applyFill="1" applyBorder="1" applyAlignment="1">
      <alignment vertical="center" shrinkToFit="1" readingOrder="2"/>
    </xf>
    <xf numFmtId="0" fontId="7" fillId="13" borderId="0" xfId="0" applyFont="1" applyFill="1" applyBorder="1" applyAlignment="1">
      <alignment vertical="center" shrinkToFit="1" readingOrder="2"/>
    </xf>
    <xf numFmtId="0" fontId="7" fillId="13" borderId="53" xfId="0" applyFont="1" applyFill="1" applyBorder="1" applyAlignment="1">
      <alignment vertical="center" shrinkToFit="1" readingOrder="2"/>
    </xf>
    <xf numFmtId="0" fontId="7" fillId="13" borderId="54" xfId="0" applyFont="1" applyFill="1" applyBorder="1" applyAlignment="1">
      <alignment vertical="center" shrinkToFit="1" readingOrder="2"/>
    </xf>
    <xf numFmtId="0" fontId="8" fillId="13" borderId="0" xfId="0" applyFont="1" applyFill="1" applyBorder="1" applyAlignment="1">
      <alignment horizontal="center" wrapText="1" shrinkToFit="1" readingOrder="2"/>
    </xf>
    <xf numFmtId="0" fontId="10" fillId="13" borderId="46" xfId="0" applyFont="1" applyFill="1" applyBorder="1" applyAlignment="1">
      <alignment horizontal="center" vertical="center" wrapText="1" shrinkToFit="1" readingOrder="2"/>
    </xf>
    <xf numFmtId="0" fontId="7" fillId="13" borderId="46" xfId="0" applyFont="1" applyFill="1" applyBorder="1" applyAlignment="1">
      <alignment horizontal="center" vertical="center" textRotation="90" shrinkToFit="1" readingOrder="2"/>
    </xf>
    <xf numFmtId="0" fontId="7" fillId="13" borderId="46" xfId="0" applyFont="1" applyFill="1" applyBorder="1" applyAlignment="1">
      <alignment horizontal="center" vertical="center" textRotation="90" wrapText="1" shrinkToFit="1" readingOrder="2"/>
    </xf>
    <xf numFmtId="0" fontId="7" fillId="13" borderId="46" xfId="0" applyFont="1" applyFill="1" applyBorder="1" applyAlignment="1">
      <alignment vertical="center" textRotation="90" shrinkToFit="1" readingOrder="2"/>
    </xf>
    <xf numFmtId="0" fontId="11" fillId="13" borderId="46" xfId="0" applyFont="1" applyFill="1" applyBorder="1" applyAlignment="1">
      <alignment horizontal="center" vertical="center" wrapText="1" shrinkToFit="1" readingOrder="2"/>
    </xf>
    <xf numFmtId="0" fontId="7" fillId="13" borderId="46" xfId="0" applyFont="1" applyFill="1" applyBorder="1" applyAlignment="1">
      <alignment horizontal="center" vertical="center" shrinkToFit="1" readingOrder="2"/>
    </xf>
    <xf numFmtId="0" fontId="7" fillId="13" borderId="51" xfId="0" applyFont="1" applyFill="1" applyBorder="1" applyAlignment="1">
      <alignment horizontal="center" vertical="center" shrinkToFit="1" readingOrder="2"/>
    </xf>
    <xf numFmtId="0" fontId="7" fillId="13" borderId="51" xfId="0" applyFont="1" applyFill="1" applyBorder="1" applyAlignment="1">
      <alignment horizontal="center" vertical="center" wrapText="1" shrinkToFit="1" readingOrder="2"/>
    </xf>
    <xf numFmtId="0" fontId="7" fillId="13" borderId="0" xfId="0" applyFont="1" applyFill="1" applyBorder="1" applyAlignment="1">
      <alignment horizontal="center" vertical="center" shrinkToFit="1" readingOrder="2"/>
    </xf>
    <xf numFmtId="0" fontId="7" fillId="13" borderId="54" xfId="0" applyFont="1" applyFill="1" applyBorder="1" applyAlignment="1">
      <alignment horizontal="center" vertical="center" shrinkToFit="1" readingOrder="2"/>
    </xf>
    <xf numFmtId="0" fontId="7" fillId="13" borderId="45" xfId="0" applyFont="1" applyFill="1" applyBorder="1" applyAlignment="1">
      <alignment horizontal="center" vertical="center" wrapText="1" shrinkToFit="1" readingOrder="2"/>
    </xf>
    <xf numFmtId="0" fontId="7" fillId="13" borderId="0" xfId="0" applyFont="1" applyFill="1" applyBorder="1" applyAlignment="1">
      <alignment horizontal="center" vertical="center" wrapText="1" shrinkToFit="1" readingOrder="2"/>
    </xf>
    <xf numFmtId="0" fontId="7" fillId="13" borderId="54" xfId="0" applyFont="1" applyFill="1" applyBorder="1" applyAlignment="1">
      <alignment horizontal="center" vertical="center" wrapText="1" shrinkToFit="1" readingOrder="2"/>
    </xf>
    <xf numFmtId="0" fontId="7" fillId="13" borderId="46" xfId="0" applyFont="1" applyFill="1" applyBorder="1" applyAlignment="1">
      <alignment horizontal="center" vertical="center" wrapText="1" shrinkToFit="1" readingOrder="2"/>
    </xf>
    <xf numFmtId="0" fontId="7" fillId="13" borderId="48" xfId="0" applyFont="1" applyFill="1" applyBorder="1" applyAlignment="1">
      <alignment horizontal="center" vertical="center" shrinkToFit="1" readingOrder="2"/>
    </xf>
    <xf numFmtId="0" fontId="8" fillId="13" borderId="46" xfId="0" applyFont="1" applyFill="1" applyBorder="1" applyAlignment="1">
      <alignment horizontal="center" vertical="center" textRotation="90" wrapText="1" shrinkToFit="1" readingOrder="2"/>
    </xf>
    <xf numFmtId="0" fontId="7" fillId="2" borderId="0" xfId="0" applyFont="1" applyFill="1" applyAlignment="1">
      <alignment horizontal="center" vertical="center" shrinkToFit="1" readingOrder="2"/>
    </xf>
    <xf numFmtId="0" fontId="7" fillId="2" borderId="46" xfId="0" applyNumberFormat="1" applyFont="1" applyFill="1" applyBorder="1" applyAlignment="1">
      <alignment horizontal="center" vertical="center" shrinkToFit="1" readingOrder="2"/>
    </xf>
    <xf numFmtId="0" fontId="11" fillId="2" borderId="0" xfId="0" applyFont="1" applyFill="1" applyBorder="1" applyAlignment="1">
      <alignment horizontal="center" vertical="center" shrinkToFit="1" readingOrder="2"/>
    </xf>
    <xf numFmtId="0" fontId="11" fillId="14" borderId="49" xfId="0" applyFont="1" applyFill="1" applyBorder="1" applyAlignment="1">
      <alignment horizontal="center" vertical="center" shrinkToFit="1" readingOrder="2"/>
    </xf>
    <xf numFmtId="0" fontId="11" fillId="14" borderId="0" xfId="0" applyFont="1" applyFill="1" applyBorder="1" applyAlignment="1">
      <alignment horizontal="center" vertical="center" shrinkToFit="1" readingOrder="2"/>
    </xf>
    <xf numFmtId="0" fontId="11" fillId="14" borderId="53" xfId="0" applyFont="1" applyFill="1" applyBorder="1" applyAlignment="1">
      <alignment horizontal="center" vertical="center" shrinkToFit="1" readingOrder="2"/>
    </xf>
    <xf numFmtId="0" fontId="11" fillId="14" borderId="54" xfId="0" applyFont="1" applyFill="1" applyBorder="1" applyAlignment="1">
      <alignment horizontal="center" vertical="center" shrinkToFit="1" readingOrder="2"/>
    </xf>
    <xf numFmtId="0" fontId="7" fillId="13" borderId="48" xfId="0" applyFont="1" applyFill="1" applyBorder="1" applyAlignment="1">
      <alignment horizontal="center" vertical="center" shrinkToFit="1" readingOrder="2"/>
    </xf>
    <xf numFmtId="0" fontId="7" fillId="13" borderId="52" xfId="0" applyFont="1" applyFill="1" applyBorder="1" applyAlignment="1">
      <alignment horizontal="center" vertical="center" shrinkToFit="1" readingOrder="2"/>
    </xf>
    <xf numFmtId="0" fontId="7" fillId="13" borderId="58" xfId="0" applyFont="1" applyFill="1" applyBorder="1" applyAlignment="1">
      <alignment horizontal="center" vertical="center" shrinkToFit="1" readingOrder="2"/>
    </xf>
    <xf numFmtId="0" fontId="7" fillId="13" borderId="44" xfId="0" applyFont="1" applyFill="1" applyBorder="1" applyAlignment="1">
      <alignment horizontal="center" vertical="center" shrinkToFit="1" readingOrder="2"/>
    </xf>
    <xf numFmtId="0" fontId="7" fillId="13" borderId="45" xfId="0" applyFont="1" applyFill="1" applyBorder="1" applyAlignment="1">
      <alignment horizontal="center" vertical="center" shrinkToFit="1" readingOrder="2"/>
    </xf>
    <xf numFmtId="0" fontId="7" fillId="13" borderId="47" xfId="0" applyFont="1" applyFill="1" applyBorder="1" applyAlignment="1">
      <alignment horizontal="center" vertical="center" shrinkToFit="1" readingOrder="2"/>
    </xf>
    <xf numFmtId="0" fontId="7" fillId="13" borderId="53" xfId="0" applyFont="1" applyFill="1" applyBorder="1" applyAlignment="1">
      <alignment horizontal="center" vertical="center" shrinkToFit="1" readingOrder="2"/>
    </xf>
    <xf numFmtId="0" fontId="7" fillId="13" borderId="54" xfId="0" applyFont="1" applyFill="1" applyBorder="1" applyAlignment="1">
      <alignment horizontal="center" vertical="center" shrinkToFit="1" readingOrder="2"/>
    </xf>
    <xf numFmtId="0" fontId="7" fillId="13" borderId="55" xfId="0" applyFont="1" applyFill="1" applyBorder="1" applyAlignment="1">
      <alignment horizontal="center" vertical="center" shrinkToFit="1" readingOrder="2"/>
    </xf>
    <xf numFmtId="49" fontId="7" fillId="13" borderId="56" xfId="0" applyNumberFormat="1" applyFont="1" applyFill="1" applyBorder="1" applyAlignment="1">
      <alignment horizontal="center" vertical="center" wrapText="1" shrinkToFit="1" readingOrder="2"/>
    </xf>
    <xf numFmtId="49" fontId="7" fillId="13" borderId="51" xfId="0" applyNumberFormat="1" applyFont="1" applyFill="1" applyBorder="1" applyAlignment="1">
      <alignment horizontal="center" vertical="center" wrapText="1" shrinkToFit="1" readingOrder="2"/>
    </xf>
    <xf numFmtId="49" fontId="7" fillId="13" borderId="46" xfId="0" applyNumberFormat="1" applyFont="1" applyFill="1" applyBorder="1" applyAlignment="1">
      <alignment horizontal="center" vertical="center" shrinkToFit="1" readingOrder="2"/>
    </xf>
    <xf numFmtId="0" fontId="7" fillId="13" borderId="56" xfId="0" applyFont="1" applyFill="1" applyBorder="1" applyAlignment="1">
      <alignment horizontal="center" vertical="center" wrapText="1" shrinkToFit="1" readingOrder="2"/>
    </xf>
    <xf numFmtId="0" fontId="7" fillId="13" borderId="51" xfId="0" applyFont="1" applyFill="1" applyBorder="1" applyAlignment="1">
      <alignment horizontal="center" vertical="center" wrapText="1" shrinkToFit="1" readingOrder="2"/>
    </xf>
    <xf numFmtId="0" fontId="7" fillId="13" borderId="46" xfId="0" applyFont="1" applyFill="1" applyBorder="1" applyAlignment="1">
      <alignment horizontal="center" vertical="center" shrinkToFit="1" readingOrder="2"/>
    </xf>
    <xf numFmtId="0" fontId="8" fillId="13" borderId="44" xfId="0" applyFont="1" applyFill="1" applyBorder="1" applyAlignment="1">
      <alignment horizontal="center" vertical="center" textRotation="90" wrapText="1" shrinkToFit="1" readingOrder="2"/>
    </xf>
    <xf numFmtId="0" fontId="8" fillId="13" borderId="47" xfId="0" applyFont="1" applyFill="1" applyBorder="1" applyAlignment="1">
      <alignment horizontal="center" vertical="center" textRotation="90" wrapText="1" shrinkToFit="1" readingOrder="2"/>
    </xf>
    <xf numFmtId="0" fontId="8" fillId="13" borderId="53" xfId="0" applyFont="1" applyFill="1" applyBorder="1" applyAlignment="1">
      <alignment horizontal="center" vertical="center" textRotation="90" wrapText="1" shrinkToFit="1" readingOrder="2"/>
    </xf>
    <xf numFmtId="0" fontId="8" fillId="13" borderId="55" xfId="0" applyFont="1" applyFill="1" applyBorder="1" applyAlignment="1">
      <alignment horizontal="center" vertical="center" textRotation="90" wrapText="1" shrinkToFit="1" readingOrder="2"/>
    </xf>
    <xf numFmtId="0" fontId="8" fillId="13" borderId="56" xfId="0" applyFont="1" applyFill="1" applyBorder="1" applyAlignment="1">
      <alignment horizontal="center" wrapText="1" shrinkToFit="1" readingOrder="2"/>
    </xf>
    <xf numFmtId="0" fontId="8" fillId="13" borderId="57" xfId="0" applyFont="1" applyFill="1" applyBorder="1" applyAlignment="1">
      <alignment horizontal="center" wrapText="1" shrinkToFit="1" readingOrder="2"/>
    </xf>
    <xf numFmtId="0" fontId="8" fillId="13" borderId="51" xfId="0" applyFont="1" applyFill="1" applyBorder="1" applyAlignment="1">
      <alignment horizontal="center" wrapText="1" shrinkToFit="1" readingOrder="2"/>
    </xf>
    <xf numFmtId="0" fontId="8" fillId="13" borderId="46" xfId="0" applyFont="1" applyFill="1" applyBorder="1" applyAlignment="1">
      <alignment horizontal="center" vertical="center" textRotation="90" wrapText="1" shrinkToFit="1" readingOrder="2"/>
    </xf>
    <xf numFmtId="0" fontId="8" fillId="13" borderId="48" xfId="0" applyFont="1" applyFill="1" applyBorder="1" applyAlignment="1">
      <alignment horizontal="center" vertical="center" textRotation="90" wrapText="1" shrinkToFit="1" readingOrder="2"/>
    </xf>
    <xf numFmtId="0" fontId="8" fillId="13" borderId="52" xfId="0" applyFont="1" applyFill="1" applyBorder="1" applyAlignment="1">
      <alignment horizontal="center" vertical="center" textRotation="90" wrapText="1" shrinkToFit="1" readingOrder="2"/>
    </xf>
    <xf numFmtId="0" fontId="8" fillId="13" borderId="58" xfId="0" applyFont="1" applyFill="1" applyBorder="1" applyAlignment="1">
      <alignment horizontal="center" vertical="center" textRotation="90" wrapText="1" shrinkToFit="1" readingOrder="2"/>
    </xf>
    <xf numFmtId="0" fontId="7" fillId="13" borderId="57" xfId="0" applyFont="1" applyFill="1" applyBorder="1" applyAlignment="1">
      <alignment horizontal="center" vertical="center" wrapText="1" shrinkToFit="1" readingOrder="2"/>
    </xf>
    <xf numFmtId="0" fontId="7" fillId="13" borderId="48" xfId="0" applyFont="1" applyFill="1" applyBorder="1" applyAlignment="1">
      <alignment horizontal="center" vertical="center" wrapText="1" shrinkToFit="1" readingOrder="2"/>
    </xf>
    <xf numFmtId="0" fontId="7" fillId="13" borderId="58" xfId="0" applyFont="1" applyFill="1" applyBorder="1" applyAlignment="1">
      <alignment horizontal="center" vertical="center" wrapText="1" shrinkToFit="1" readingOrder="2"/>
    </xf>
    <xf numFmtId="0" fontId="7" fillId="13" borderId="46" xfId="0" applyFont="1" applyFill="1" applyBorder="1" applyAlignment="1">
      <alignment horizontal="center" vertical="center" wrapText="1" shrinkToFit="1" readingOrder="2"/>
    </xf>
    <xf numFmtId="0" fontId="7" fillId="13" borderId="44" xfId="0" applyFont="1" applyFill="1" applyBorder="1" applyAlignment="1">
      <alignment horizontal="center" vertical="center" wrapText="1" shrinkToFit="1" readingOrder="2"/>
    </xf>
    <xf numFmtId="0" fontId="7" fillId="13" borderId="47" xfId="0" applyFont="1" applyFill="1" applyBorder="1" applyAlignment="1">
      <alignment horizontal="center" vertical="center" wrapText="1" shrinkToFit="1" readingOrder="2"/>
    </xf>
    <xf numFmtId="0" fontId="7" fillId="13" borderId="53" xfId="0" applyFont="1" applyFill="1" applyBorder="1" applyAlignment="1">
      <alignment horizontal="center" vertical="center" wrapText="1" shrinkToFit="1" readingOrder="2"/>
    </xf>
    <xf numFmtId="0" fontId="7" fillId="13" borderId="55" xfId="0" applyFont="1" applyFill="1" applyBorder="1" applyAlignment="1">
      <alignment horizontal="center" vertical="center" wrapText="1" shrinkToFit="1" readingOrder="2"/>
    </xf>
    <xf numFmtId="0" fontId="7" fillId="13" borderId="49" xfId="0" applyFont="1" applyFill="1" applyBorder="1" applyAlignment="1">
      <alignment horizontal="center" vertical="center" shrinkToFit="1" readingOrder="2"/>
    </xf>
    <xf numFmtId="0" fontId="7" fillId="13" borderId="0" xfId="0" applyFont="1" applyFill="1" applyBorder="1" applyAlignment="1">
      <alignment horizontal="center" vertical="center" shrinkToFit="1" readingOrder="2"/>
    </xf>
    <xf numFmtId="0" fontId="7" fillId="13" borderId="50" xfId="0" applyFont="1" applyFill="1" applyBorder="1" applyAlignment="1">
      <alignment horizontal="center" vertical="center" shrinkToFit="1" readingOrder="2"/>
    </xf>
    <xf numFmtId="0" fontId="7" fillId="13" borderId="56" xfId="0" applyFont="1" applyFill="1" applyBorder="1" applyAlignment="1">
      <alignment horizontal="center" vertical="center" shrinkToFit="1" readingOrder="2"/>
    </xf>
    <xf numFmtId="0" fontId="7" fillId="13" borderId="51" xfId="0" applyFont="1" applyFill="1" applyBorder="1" applyAlignment="1">
      <alignment horizontal="center" vertical="center" shrinkToFit="1" readingOrder="2"/>
    </xf>
    <xf numFmtId="0" fontId="7" fillId="13" borderId="57" xfId="0" applyFont="1" applyFill="1" applyBorder="1" applyAlignment="1">
      <alignment horizontal="center" vertical="center" shrinkToFit="1" readingOrder="2"/>
    </xf>
    <xf numFmtId="49" fontId="7" fillId="13" borderId="48" xfId="0" applyNumberFormat="1" applyFont="1" applyFill="1" applyBorder="1" applyAlignment="1">
      <alignment horizontal="center" vertical="center" wrapText="1" shrinkToFit="1" readingOrder="2"/>
    </xf>
    <xf numFmtId="49" fontId="7" fillId="13" borderId="58" xfId="0" applyNumberFormat="1" applyFont="1" applyFill="1" applyBorder="1" applyAlignment="1">
      <alignment horizontal="center" vertical="center" wrapText="1" shrinkToFit="1" readingOrder="2"/>
    </xf>
    <xf numFmtId="0" fontId="7" fillId="13" borderId="45" xfId="0" applyFont="1" applyFill="1" applyBorder="1" applyAlignment="1">
      <alignment horizontal="center" vertical="center" wrapText="1" shrinkToFit="1" readingOrder="2"/>
    </xf>
    <xf numFmtId="0" fontId="7" fillId="13" borderId="49" xfId="0" applyFont="1" applyFill="1" applyBorder="1" applyAlignment="1">
      <alignment horizontal="center" vertical="center" wrapText="1" shrinkToFit="1" readingOrder="2"/>
    </xf>
    <xf numFmtId="0" fontId="7" fillId="13" borderId="0" xfId="0" applyFont="1" applyFill="1" applyBorder="1" applyAlignment="1">
      <alignment horizontal="center" vertical="center" wrapText="1" shrinkToFit="1" readingOrder="2"/>
    </xf>
    <xf numFmtId="0" fontId="7" fillId="13" borderId="54" xfId="0" applyFont="1" applyFill="1" applyBorder="1" applyAlignment="1">
      <alignment horizontal="center" vertical="center" wrapText="1" shrinkToFit="1" readingOrder="2"/>
    </xf>
    <xf numFmtId="0" fontId="7" fillId="13" borderId="48" xfId="0" applyFont="1" applyFill="1" applyBorder="1" applyAlignment="1">
      <alignment horizontal="center" vertical="center" textRotation="90" shrinkToFit="1" readingOrder="2"/>
    </xf>
    <xf numFmtId="0" fontId="7" fillId="13" borderId="52" xfId="0" applyFont="1" applyFill="1" applyBorder="1" applyAlignment="1">
      <alignment horizontal="center" vertical="center" textRotation="90" shrinkToFit="1" readingOrder="2"/>
    </xf>
    <xf numFmtId="0" fontId="7" fillId="13" borderId="50" xfId="0" applyFont="1" applyFill="1" applyBorder="1" applyAlignment="1">
      <alignment horizontal="center" vertical="center" wrapText="1" shrinkToFit="1" readingOrder="2"/>
    </xf>
    <xf numFmtId="0" fontId="3" fillId="0" borderId="43" xfId="0" applyFont="1" applyBorder="1" applyAlignment="1">
      <alignment horizontal="center" vertical="center" readingOrder="2"/>
    </xf>
    <xf numFmtId="0" fontId="3" fillId="0" borderId="31" xfId="0" applyFont="1" applyBorder="1" applyAlignment="1">
      <alignment horizontal="center" vertical="center" readingOrder="2"/>
    </xf>
    <xf numFmtId="0" fontId="3" fillId="0" borderId="59" xfId="0" applyFont="1" applyBorder="1" applyAlignment="1">
      <alignment horizontal="center" vertical="center" readingOrder="2"/>
    </xf>
    <xf numFmtId="0" fontId="3" fillId="0" borderId="13" xfId="0" applyFont="1" applyBorder="1" applyAlignment="1">
      <alignment horizontal="center" vertical="center" readingOrder="2"/>
    </xf>
    <xf numFmtId="0" fontId="3" fillId="0" borderId="16" xfId="0" applyFont="1" applyBorder="1" applyAlignment="1">
      <alignment horizontal="center" vertical="center" readingOrder="2"/>
    </xf>
    <xf numFmtId="0" fontId="3" fillId="0" borderId="1" xfId="0" applyFont="1" applyBorder="1" applyAlignment="1">
      <alignment horizontal="center" vertical="center" readingOrder="2"/>
    </xf>
    <xf numFmtId="0" fontId="3" fillId="0" borderId="3" xfId="0" applyFont="1" applyBorder="1" applyAlignment="1">
      <alignment horizontal="center" vertical="center" readingOrder="2"/>
    </xf>
    <xf numFmtId="0" fontId="3" fillId="0" borderId="22" xfId="0" applyFont="1" applyBorder="1" applyAlignment="1">
      <alignment horizontal="center" vertical="center" readingOrder="2"/>
    </xf>
    <xf numFmtId="0" fontId="3" fillId="0" borderId="20" xfId="0" applyFont="1" applyBorder="1" applyAlignment="1">
      <alignment horizontal="center" vertical="center" readingOrder="2"/>
    </xf>
    <xf numFmtId="0" fontId="3" fillId="0" borderId="2" xfId="0" applyFont="1" applyBorder="1" applyAlignment="1">
      <alignment horizontal="center" vertical="center" readingOrder="2"/>
    </xf>
    <xf numFmtId="0" fontId="3" fillId="0" borderId="23" xfId="0" applyFont="1" applyBorder="1" applyAlignment="1">
      <alignment horizontal="center" vertical="center" readingOrder="2"/>
    </xf>
    <xf numFmtId="0" fontId="3" fillId="0" borderId="11" xfId="0" applyFont="1" applyBorder="1" applyAlignment="1">
      <alignment horizontal="center" vertical="center" readingOrder="2"/>
    </xf>
    <xf numFmtId="0" fontId="3" fillId="0" borderId="25" xfId="0" applyFont="1" applyBorder="1" applyAlignment="1">
      <alignment horizontal="center" vertical="center" readingOrder="2"/>
    </xf>
    <xf numFmtId="0" fontId="3" fillId="0" borderId="27" xfId="0" applyFont="1" applyBorder="1" applyAlignment="1">
      <alignment horizontal="center" vertical="center" readingOrder="2"/>
    </xf>
    <xf numFmtId="0" fontId="3" fillId="0" borderId="26" xfId="0" applyFont="1" applyBorder="1" applyAlignment="1">
      <alignment horizontal="center" vertical="center" readingOrder="2"/>
    </xf>
    <xf numFmtId="0" fontId="3" fillId="0" borderId="28" xfId="0" applyFont="1" applyBorder="1" applyAlignment="1">
      <alignment horizontal="center" vertical="center" readingOrder="2"/>
    </xf>
    <xf numFmtId="0" fontId="3" fillId="0" borderId="35" xfId="0" applyFont="1" applyBorder="1" applyAlignment="1">
      <alignment horizontal="center" vertical="center" readingOrder="2"/>
    </xf>
    <xf numFmtId="0" fontId="3" fillId="0" borderId="24" xfId="0" applyFont="1" applyBorder="1" applyAlignment="1">
      <alignment horizontal="center" vertical="center" readingOrder="2"/>
    </xf>
    <xf numFmtId="0" fontId="3" fillId="0" borderId="12" xfId="0" applyFont="1" applyBorder="1" applyAlignment="1">
      <alignment horizontal="center" vertical="center" readingOrder="2"/>
    </xf>
    <xf numFmtId="0" fontId="3" fillId="0" borderId="36" xfId="0" applyFont="1" applyBorder="1" applyAlignment="1">
      <alignment horizontal="center" vertical="center" readingOrder="2"/>
    </xf>
    <xf numFmtId="0" fontId="5" fillId="0" borderId="0" xfId="0" applyFont="1" applyAlignment="1">
      <alignment horizontal="center" readingOrder="2"/>
    </xf>
    <xf numFmtId="0" fontId="3" fillId="0" borderId="0" xfId="0" applyFont="1" applyAlignment="1">
      <alignment horizontal="center" readingOrder="2"/>
    </xf>
    <xf numFmtId="0" fontId="6" fillId="0" borderId="1" xfId="0" applyFont="1" applyBorder="1" applyAlignment="1">
      <alignment horizontal="center" vertical="center" readingOrder="2"/>
    </xf>
    <xf numFmtId="0" fontId="6" fillId="0" borderId="2" xfId="0" applyFont="1" applyBorder="1" applyAlignment="1">
      <alignment horizontal="center" vertical="center" readingOrder="2"/>
    </xf>
    <xf numFmtId="0" fontId="6" fillId="0" borderId="3" xfId="0" applyFont="1" applyBorder="1" applyAlignment="1">
      <alignment horizontal="center" vertical="center" readingOrder="2"/>
    </xf>
    <xf numFmtId="0" fontId="3" fillId="0" borderId="29" xfId="0" applyFont="1" applyBorder="1" applyAlignment="1">
      <alignment horizontal="center" vertical="center" readingOrder="2"/>
    </xf>
    <xf numFmtId="0" fontId="3" fillId="0" borderId="35" xfId="0" applyFont="1" applyBorder="1" applyAlignment="1">
      <alignment horizontal="center" vertical="center" wrapText="1" readingOrder="2"/>
    </xf>
    <xf numFmtId="0" fontId="3" fillId="0" borderId="14" xfId="0" applyFont="1" applyBorder="1" applyAlignment="1">
      <alignment horizontal="center" vertical="center" wrapText="1" readingOrder="2"/>
    </xf>
    <xf numFmtId="0" fontId="3" fillId="0" borderId="37" xfId="0" applyFont="1" applyBorder="1" applyAlignment="1">
      <alignment horizontal="center" vertical="center" readingOrder="2"/>
    </xf>
    <xf numFmtId="0" fontId="3" fillId="0" borderId="71" xfId="0" applyFont="1" applyBorder="1" applyAlignment="1">
      <alignment horizontal="center" vertical="center" readingOrder="2"/>
    </xf>
    <xf numFmtId="0" fontId="3" fillId="0" borderId="72" xfId="0" applyFont="1" applyBorder="1" applyAlignment="1">
      <alignment horizontal="center" vertical="center" readingOrder="2"/>
    </xf>
    <xf numFmtId="0" fontId="3" fillId="0" borderId="8" xfId="0" applyFont="1" applyBorder="1" applyAlignment="1">
      <alignment horizontal="center" vertical="center" readingOrder="2"/>
    </xf>
    <xf numFmtId="0" fontId="3" fillId="0" borderId="73" xfId="0" applyFont="1" applyBorder="1" applyAlignment="1">
      <alignment horizontal="center" vertical="center" readingOrder="2"/>
    </xf>
    <xf numFmtId="0" fontId="3" fillId="0" borderId="7" xfId="0" applyFont="1" applyBorder="1" applyAlignment="1">
      <alignment horizontal="center" vertical="center" readingOrder="2"/>
    </xf>
    <xf numFmtId="0" fontId="3" fillId="0" borderId="4" xfId="0" applyFont="1" applyBorder="1" applyAlignment="1">
      <alignment horizontal="center" vertical="center" readingOrder="2"/>
    </xf>
    <xf numFmtId="0" fontId="3" fillId="0" borderId="5" xfId="0" applyFont="1" applyBorder="1" applyAlignment="1">
      <alignment horizontal="center" vertical="center" readingOrder="2"/>
    </xf>
    <xf numFmtId="0" fontId="3" fillId="0" borderId="6" xfId="0" applyFont="1" applyBorder="1" applyAlignment="1">
      <alignment horizontal="center" vertical="center" readingOrder="2"/>
    </xf>
    <xf numFmtId="0" fontId="3" fillId="0" borderId="14" xfId="0" applyFont="1" applyBorder="1" applyAlignment="1">
      <alignment horizontal="center" vertical="center" readingOrder="2"/>
    </xf>
    <xf numFmtId="0" fontId="3" fillId="0" borderId="15" xfId="0" applyFont="1" applyBorder="1" applyAlignment="1">
      <alignment horizontal="center" vertical="center" readingOrder="2"/>
    </xf>
    <xf numFmtId="0" fontId="3" fillId="0" borderId="38" xfId="0" applyFont="1" applyBorder="1" applyAlignment="1">
      <alignment horizontal="center" vertical="center" readingOrder="2"/>
    </xf>
    <xf numFmtId="0" fontId="3" fillId="0" borderId="70" xfId="0" applyFont="1" applyBorder="1" applyAlignment="1">
      <alignment horizontal="center" vertical="center" readingOrder="2"/>
    </xf>
    <xf numFmtId="0" fontId="3" fillId="0" borderId="32" xfId="0" applyFont="1" applyBorder="1" applyAlignment="1">
      <alignment horizontal="center" vertical="center" readingOrder="2"/>
    </xf>
    <xf numFmtId="0" fontId="3" fillId="0" borderId="69" xfId="0" applyFont="1" applyBorder="1" applyAlignment="1">
      <alignment horizontal="center" vertical="center" readingOrder="2"/>
    </xf>
    <xf numFmtId="0" fontId="3" fillId="0" borderId="21" xfId="0" applyFont="1" applyBorder="1" applyAlignment="1">
      <alignment horizontal="center" vertical="center" readingOrder="2"/>
    </xf>
    <xf numFmtId="0" fontId="3" fillId="0" borderId="40" xfId="0" applyFont="1" applyBorder="1" applyAlignment="1">
      <alignment horizontal="center" vertical="center" readingOrder="2"/>
    </xf>
    <xf numFmtId="0" fontId="3" fillId="0" borderId="68" xfId="0" applyFont="1" applyBorder="1" applyAlignment="1">
      <alignment horizontal="center" vertical="center" readingOrder="2"/>
    </xf>
    <xf numFmtId="0" fontId="3" fillId="0" borderId="5" xfId="0" applyFont="1" applyBorder="1" applyAlignment="1">
      <alignment horizontal="center" vertical="center" wrapText="1" readingOrder="2"/>
    </xf>
    <xf numFmtId="0" fontId="3" fillId="0" borderId="71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readingOrder="2"/>
    </xf>
    <xf numFmtId="0" fontId="3" fillId="0" borderId="1" xfId="0" applyFont="1" applyBorder="1" applyAlignment="1">
      <alignment horizontal="center" readingOrder="2"/>
    </xf>
    <xf numFmtId="0" fontId="3" fillId="0" borderId="3" xfId="0" applyFont="1" applyBorder="1" applyAlignment="1">
      <alignment horizontal="center" readingOrder="2"/>
    </xf>
    <xf numFmtId="0" fontId="3" fillId="0" borderId="2" xfId="0" applyFont="1" applyBorder="1" applyAlignment="1">
      <alignment horizontal="center" readingOrder="2"/>
    </xf>
    <xf numFmtId="0" fontId="3" fillId="0" borderId="4" xfId="0" applyFont="1" applyBorder="1" applyAlignment="1">
      <alignment horizontal="center" vertical="center" wrapText="1" readingOrder="2"/>
    </xf>
    <xf numFmtId="0" fontId="3" fillId="0" borderId="72" xfId="0" applyFont="1" applyBorder="1" applyAlignment="1">
      <alignment horizontal="center" vertical="center" wrapText="1" readingOrder="2"/>
    </xf>
    <xf numFmtId="0" fontId="3" fillId="0" borderId="63" xfId="0" applyFont="1" applyBorder="1" applyAlignment="1">
      <alignment horizontal="center" vertical="center" readingOrder="2"/>
    </xf>
    <xf numFmtId="0" fontId="3" fillId="0" borderId="64" xfId="0" applyFont="1" applyBorder="1" applyAlignment="1">
      <alignment horizontal="center" vertical="center" readingOrder="2"/>
    </xf>
    <xf numFmtId="0" fontId="3" fillId="0" borderId="65" xfId="0" applyFont="1" applyBorder="1" applyAlignment="1">
      <alignment horizontal="center" vertical="center" readingOrder="2"/>
    </xf>
    <xf numFmtId="0" fontId="3" fillId="0" borderId="62" xfId="0" applyFont="1" applyBorder="1" applyAlignment="1">
      <alignment horizontal="center" vertical="center" readingOrder="2"/>
    </xf>
    <xf numFmtId="0" fontId="3" fillId="0" borderId="30" xfId="0" applyFont="1" applyBorder="1" applyAlignment="1">
      <alignment horizontal="center" vertical="center" readingOrder="2"/>
    </xf>
    <xf numFmtId="0" fontId="3" fillId="0" borderId="10" xfId="0" applyFont="1" applyBorder="1" applyAlignment="1">
      <alignment horizontal="center" vertical="center" readingOrder="2"/>
    </xf>
    <xf numFmtId="0" fontId="3" fillId="0" borderId="67" xfId="0" applyFont="1" applyBorder="1" applyAlignment="1">
      <alignment horizontal="center" vertical="center" readingOrder="2"/>
    </xf>
    <xf numFmtId="0" fontId="3" fillId="0" borderId="66" xfId="0" applyFont="1" applyBorder="1" applyAlignment="1">
      <alignment horizontal="center" vertical="center" readingOrder="2"/>
    </xf>
    <xf numFmtId="0" fontId="3" fillId="0" borderId="60" xfId="0" applyFont="1" applyBorder="1" applyAlignment="1">
      <alignment horizontal="center" vertical="center" readingOrder="2"/>
    </xf>
    <xf numFmtId="0" fontId="1" fillId="0" borderId="5" xfId="0" applyFont="1" applyBorder="1" applyAlignment="1">
      <alignment horizontal="center" vertical="center" wrapText="1" readingOrder="2"/>
    </xf>
    <xf numFmtId="0" fontId="1" fillId="0" borderId="71" xfId="0" applyFont="1" applyBorder="1" applyAlignment="1">
      <alignment horizontal="center" vertical="center" wrapText="1" readingOrder="2"/>
    </xf>
    <xf numFmtId="0" fontId="1" fillId="0" borderId="21" xfId="0" applyFont="1" applyBorder="1" applyAlignment="1">
      <alignment horizontal="center" vertical="center" wrapText="1" readingOrder="2"/>
    </xf>
    <xf numFmtId="0" fontId="1" fillId="0" borderId="14" xfId="0" applyFont="1" applyBorder="1" applyAlignment="1">
      <alignment horizontal="center" vertical="center" wrapText="1" readingOrder="2"/>
    </xf>
    <xf numFmtId="0" fontId="3" fillId="0" borderId="21" xfId="0" applyFont="1" applyBorder="1" applyAlignment="1">
      <alignment horizontal="center" vertical="center" wrapText="1" readingOrder="2"/>
    </xf>
    <xf numFmtId="0" fontId="3" fillId="0" borderId="42" xfId="0" applyFont="1" applyBorder="1" applyAlignment="1">
      <alignment horizontal="center" vertical="center" readingOrder="2"/>
    </xf>
    <xf numFmtId="0" fontId="3" fillId="0" borderId="34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readingOrder="2"/>
    </xf>
    <xf numFmtId="0" fontId="1" fillId="0" borderId="3" xfId="0" applyFont="1" applyBorder="1" applyAlignment="1">
      <alignment horizontal="center" readingOrder="2"/>
    </xf>
    <xf numFmtId="0" fontId="1" fillId="0" borderId="71" xfId="0" applyFont="1" applyBorder="1" applyAlignment="1">
      <alignment horizontal="center" vertical="center" readingOrder="2"/>
    </xf>
    <xf numFmtId="0" fontId="1" fillId="0" borderId="8" xfId="0" applyFont="1" applyBorder="1" applyAlignment="1">
      <alignment horizontal="center" vertical="center" readingOrder="2"/>
    </xf>
    <xf numFmtId="0" fontId="1" fillId="0" borderId="73" xfId="0" applyFont="1" applyBorder="1" applyAlignment="1">
      <alignment horizontal="center" vertical="center" readingOrder="2"/>
    </xf>
    <xf numFmtId="0" fontId="1" fillId="0" borderId="72" xfId="0" applyFont="1" applyBorder="1" applyAlignment="1">
      <alignment horizontal="center" vertical="center" readingOrder="2"/>
    </xf>
    <xf numFmtId="0" fontId="1" fillId="0" borderId="0" xfId="0" applyFont="1" applyAlignment="1">
      <alignment horizontal="center" readingOrder="2"/>
    </xf>
    <xf numFmtId="0" fontId="1" fillId="0" borderId="4" xfId="0" applyFont="1" applyBorder="1" applyAlignment="1">
      <alignment horizontal="center" vertical="center" readingOrder="2"/>
    </xf>
    <xf numFmtId="0" fontId="1" fillId="0" borderId="5" xfId="0" applyFont="1" applyBorder="1" applyAlignment="1">
      <alignment horizontal="center" vertical="center" readingOrder="2"/>
    </xf>
    <xf numFmtId="0" fontId="1" fillId="0" borderId="2" xfId="0" applyFont="1" applyBorder="1" applyAlignment="1">
      <alignment horizontal="center" readingOrder="2"/>
    </xf>
    <xf numFmtId="0" fontId="1" fillId="0" borderId="6" xfId="0" applyFont="1" applyBorder="1" applyAlignment="1">
      <alignment horizontal="center" vertical="center" readingOrder="2"/>
    </xf>
    <xf numFmtId="0" fontId="1" fillId="0" borderId="9" xfId="0" applyFont="1" applyBorder="1" applyAlignment="1">
      <alignment horizontal="center" vertical="center" readingOrder="2"/>
    </xf>
    <xf numFmtId="0" fontId="1" fillId="0" borderId="7" xfId="0" applyFont="1" applyBorder="1" applyAlignment="1">
      <alignment horizontal="center" vertical="center" readingOrder="2"/>
    </xf>
    <xf numFmtId="0" fontId="1" fillId="0" borderId="4" xfId="0" applyFont="1" applyBorder="1" applyAlignment="1">
      <alignment horizontal="center" vertical="center" wrapText="1" readingOrder="2"/>
    </xf>
    <xf numFmtId="0" fontId="1" fillId="0" borderId="72" xfId="0" applyFont="1" applyBorder="1" applyAlignment="1">
      <alignment horizontal="center" vertical="center" wrapText="1" readingOrder="2"/>
    </xf>
    <xf numFmtId="0" fontId="3" fillId="0" borderId="39" xfId="0" applyFont="1" applyBorder="1" applyAlignment="1">
      <alignment horizontal="center" vertical="center" readingOrder="2"/>
    </xf>
    <xf numFmtId="0" fontId="3" fillId="0" borderId="33" xfId="0" applyFont="1" applyBorder="1" applyAlignment="1">
      <alignment horizontal="center" vertical="center" readingOrder="2"/>
    </xf>
    <xf numFmtId="0" fontId="3" fillId="0" borderId="41" xfId="0" applyFont="1" applyBorder="1" applyAlignment="1">
      <alignment horizontal="center" vertical="center" readingOrder="2"/>
    </xf>
    <xf numFmtId="0" fontId="3" fillId="0" borderId="61" xfId="0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2"/>
    </xf>
    <xf numFmtId="0" fontId="5" fillId="0" borderId="2" xfId="0" applyFont="1" applyBorder="1" applyAlignment="1">
      <alignment horizontal="center" vertical="center" readingOrder="2"/>
    </xf>
    <xf numFmtId="0" fontId="5" fillId="0" borderId="3" xfId="0" applyFont="1" applyBorder="1" applyAlignment="1">
      <alignment horizontal="center" vertical="center" readingOrder="2"/>
    </xf>
    <xf numFmtId="0" fontId="3" fillId="0" borderId="74" xfId="0" applyFont="1" applyBorder="1" applyAlignment="1">
      <alignment horizontal="center" vertical="center" readingOrder="2"/>
    </xf>
    <xf numFmtId="0" fontId="3" fillId="0" borderId="75" xfId="0" applyFont="1" applyBorder="1" applyAlignment="1">
      <alignment horizontal="center" vertical="center" readingOrder="2"/>
    </xf>
  </cellXfs>
  <cellStyles count="1">
    <cellStyle name="Normal" xfId="0" builtinId="0"/>
  </cellStyles>
  <dxfs count="105"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JE756"/>
  <sheetViews>
    <sheetView rightToLeft="1" zoomScale="70" zoomScaleNormal="7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B35" sqref="B6:B35"/>
    </sheetView>
  </sheetViews>
  <sheetFormatPr defaultColWidth="9.09765625" defaultRowHeight="24.75" customHeight="1" x14ac:dyDescent="0.25"/>
  <cols>
    <col min="1" max="1" width="8" style="65" bestFit="1" customWidth="1"/>
    <col min="2" max="2" width="13.19921875" style="65" customWidth="1"/>
    <col min="3" max="3" width="4.69921875" style="65" customWidth="1"/>
    <col min="4" max="4" width="10.8984375" style="65" customWidth="1"/>
    <col min="5" max="5" width="21.5" style="65" customWidth="1"/>
    <col min="6" max="6" width="18.3984375" style="65" customWidth="1"/>
    <col min="7" max="7" width="24.8984375" style="65" customWidth="1"/>
    <col min="8" max="8" width="6.296875" style="67" customWidth="1"/>
    <col min="9" max="9" width="5.796875" style="67" customWidth="1"/>
    <col min="10" max="10" width="5.8984375" style="67" bestFit="1" customWidth="1"/>
    <col min="11" max="11" width="7.09765625" style="68" customWidth="1"/>
    <col min="12" max="12" width="6.69921875" style="68" customWidth="1"/>
    <col min="13" max="13" width="6.796875" style="69" bestFit="1" customWidth="1"/>
    <col min="14" max="14" width="6.8984375" style="69" customWidth="1"/>
    <col min="15" max="15" width="9.296875" style="69" bestFit="1" customWidth="1"/>
    <col min="16" max="16" width="7" style="69" customWidth="1"/>
    <col min="17" max="17" width="7.69921875" style="70" customWidth="1"/>
    <col min="18" max="19" width="7.09765625" style="70" customWidth="1"/>
    <col min="20" max="22" width="5.09765625" style="71" customWidth="1"/>
    <col min="23" max="23" width="7.09765625" style="71" bestFit="1" customWidth="1"/>
    <col min="24" max="24" width="4.296875" style="71" bestFit="1" customWidth="1"/>
    <col min="25" max="25" width="5.69921875" style="72" bestFit="1" customWidth="1"/>
    <col min="26" max="26" width="5.8984375" style="68" customWidth="1"/>
    <col min="27" max="27" width="5.69921875" style="68" bestFit="1" customWidth="1"/>
    <col min="28" max="28" width="4.69921875" style="68" bestFit="1" customWidth="1"/>
    <col min="29" max="29" width="5" style="68" bestFit="1" customWidth="1"/>
    <col min="30" max="30" width="4.69921875" style="68" bestFit="1" customWidth="1"/>
    <col min="31" max="31" width="5" style="68" bestFit="1" customWidth="1"/>
    <col min="32" max="32" width="4.69921875" style="68" bestFit="1" customWidth="1"/>
    <col min="33" max="33" width="5" style="68" bestFit="1" customWidth="1"/>
    <col min="34" max="34" width="4.69921875" style="68" bestFit="1" customWidth="1"/>
    <col min="35" max="35" width="5" style="68" bestFit="1" customWidth="1"/>
    <col min="36" max="36" width="4.69921875" style="68" bestFit="1" customWidth="1"/>
    <col min="37" max="37" width="5" style="68" bestFit="1" customWidth="1"/>
    <col min="38" max="38" width="4.69921875" style="68" bestFit="1" customWidth="1"/>
    <col min="39" max="40" width="5.69921875" style="68" bestFit="1" customWidth="1"/>
    <col min="41" max="41" width="7.796875" style="68" bestFit="1" customWidth="1"/>
    <col min="42" max="42" width="5" style="79" bestFit="1" customWidth="1"/>
    <col min="43" max="43" width="4.69921875" style="79" bestFit="1" customWidth="1"/>
    <col min="44" max="44" width="5" style="79" bestFit="1" customWidth="1"/>
    <col min="45" max="45" width="4.69921875" style="79" bestFit="1" customWidth="1"/>
    <col min="46" max="46" width="5" style="79" bestFit="1" customWidth="1"/>
    <col min="47" max="47" width="4.69921875" style="79" bestFit="1" customWidth="1"/>
    <col min="48" max="48" width="5" style="79" bestFit="1" customWidth="1"/>
    <col min="49" max="49" width="4.69921875" style="79" bestFit="1" customWidth="1"/>
    <col min="50" max="50" width="5" style="79" bestFit="1" customWidth="1"/>
    <col min="51" max="51" width="4.69921875" style="79" bestFit="1" customWidth="1"/>
    <col min="52" max="52" width="5" style="79" bestFit="1" customWidth="1"/>
    <col min="53" max="53" width="4.69921875" style="79" bestFit="1" customWidth="1"/>
    <col min="54" max="54" width="5" style="79" bestFit="1" customWidth="1"/>
    <col min="55" max="55" width="4.69921875" style="79" bestFit="1" customWidth="1"/>
    <col min="56" max="57" width="5.69921875" style="79" bestFit="1" customWidth="1"/>
    <col min="58" max="58" width="7.796875" style="79" bestFit="1" customWidth="1"/>
    <col min="59" max="59" width="5" style="63" bestFit="1" customWidth="1"/>
    <col min="60" max="60" width="4.69921875" style="63" bestFit="1" customWidth="1"/>
    <col min="61" max="61" width="5" style="63" bestFit="1" customWidth="1"/>
    <col min="62" max="62" width="4.69921875" style="63" bestFit="1" customWidth="1"/>
    <col min="63" max="63" width="5" style="63" bestFit="1" customWidth="1"/>
    <col min="64" max="64" width="4.69921875" style="63" bestFit="1" customWidth="1"/>
    <col min="65" max="65" width="5.69921875" style="63" bestFit="1" customWidth="1"/>
    <col min="66" max="66" width="4.69921875" style="63" bestFit="1" customWidth="1"/>
    <col min="67" max="67" width="5.69921875" style="63" bestFit="1" customWidth="1"/>
    <col min="68" max="68" width="4.69921875" style="63" bestFit="1" customWidth="1"/>
    <col min="69" max="69" width="5.69921875" style="63" bestFit="1" customWidth="1"/>
    <col min="70" max="70" width="4.69921875" style="63" bestFit="1" customWidth="1"/>
    <col min="71" max="71" width="5" style="63" bestFit="1" customWidth="1"/>
    <col min="72" max="72" width="4.69921875" style="63" bestFit="1" customWidth="1"/>
    <col min="73" max="74" width="5.69921875" style="63" bestFit="1" customWidth="1"/>
    <col min="75" max="75" width="7.796875" style="63" bestFit="1" customWidth="1"/>
    <col min="76" max="80" width="5.69921875" style="73" bestFit="1" customWidth="1"/>
    <col min="81" max="81" width="5.8984375" style="73" customWidth="1"/>
    <col min="82" max="82" width="5.69921875" style="73" bestFit="1" customWidth="1"/>
    <col min="83" max="83" width="4.69921875" style="73" bestFit="1" customWidth="1"/>
    <col min="84" max="86" width="5.69921875" style="73" bestFit="1" customWidth="1"/>
    <col min="87" max="87" width="6" style="73" customWidth="1"/>
    <col min="88" max="88" width="5.69921875" style="73" bestFit="1" customWidth="1"/>
    <col min="89" max="89" width="5.796875" style="73" customWidth="1"/>
    <col min="90" max="90" width="7.09765625" style="62" bestFit="1" customWidth="1"/>
    <col min="91" max="91" width="7" style="62" customWidth="1"/>
    <col min="92" max="92" width="9.796875" style="62" customWidth="1"/>
    <col min="93" max="93" width="5" style="74" bestFit="1" customWidth="1"/>
    <col min="94" max="94" width="4.69921875" style="74" bestFit="1" customWidth="1"/>
    <col min="95" max="95" width="5.8984375" style="74" bestFit="1" customWidth="1"/>
    <col min="96" max="96" width="5" style="74" bestFit="1" customWidth="1"/>
    <col min="97" max="97" width="4.69921875" style="74" bestFit="1" customWidth="1"/>
    <col min="98" max="98" width="5.8984375" style="74" bestFit="1" customWidth="1"/>
    <col min="99" max="99" width="5.3984375" style="74" customWidth="1"/>
    <col min="100" max="100" width="5.296875" style="74" customWidth="1"/>
    <col min="101" max="101" width="5.8984375" style="74" bestFit="1" customWidth="1"/>
    <col min="102" max="102" width="6.296875" style="74" customWidth="1"/>
    <col min="103" max="103" width="5.8984375" style="74" customWidth="1"/>
    <col min="104" max="104" width="5.8984375" style="74" bestFit="1" customWidth="1"/>
    <col min="105" max="105" width="7.796875" style="74" bestFit="1" customWidth="1"/>
    <col min="106" max="106" width="5" style="68" bestFit="1" customWidth="1"/>
    <col min="107" max="107" width="4.69921875" style="68" bestFit="1" customWidth="1"/>
    <col min="108" max="108" width="5" style="68" bestFit="1" customWidth="1"/>
    <col min="109" max="109" width="4.69921875" style="68" bestFit="1" customWidth="1"/>
    <col min="110" max="110" width="5.69921875" style="68" bestFit="1" customWidth="1"/>
    <col min="111" max="111" width="4.69921875" style="68" bestFit="1" customWidth="1"/>
    <col min="112" max="112" width="5.69921875" style="68" bestFit="1" customWidth="1"/>
    <col min="113" max="113" width="4.69921875" style="68" bestFit="1" customWidth="1"/>
    <col min="114" max="114" width="7.796875" style="68" bestFit="1" customWidth="1"/>
    <col min="115" max="115" width="5.69921875" style="75" bestFit="1" customWidth="1"/>
    <col min="116" max="116" width="4.69921875" style="75" bestFit="1" customWidth="1"/>
    <col min="117" max="117" width="5.69921875" style="75" bestFit="1" customWidth="1"/>
    <col min="118" max="118" width="4.69921875" style="75" bestFit="1" customWidth="1"/>
    <col min="119" max="119" width="5.69921875" style="75" customWidth="1"/>
    <col min="120" max="122" width="5.69921875" style="75" bestFit="1" customWidth="1"/>
    <col min="123" max="123" width="7.796875" style="75" bestFit="1" customWidth="1"/>
    <col min="124" max="124" width="5" style="76" bestFit="1" customWidth="1"/>
    <col min="125" max="125" width="4.69921875" style="76" bestFit="1" customWidth="1"/>
    <col min="126" max="126" width="5" style="76" bestFit="1" customWidth="1"/>
    <col min="127" max="127" width="4.69921875" style="76" bestFit="1" customWidth="1"/>
    <col min="128" max="128" width="5.69921875" style="76" bestFit="1" customWidth="1"/>
    <col min="129" max="129" width="4.69921875" style="76" bestFit="1" customWidth="1"/>
    <col min="130" max="130" width="5.69921875" style="76" bestFit="1" customWidth="1"/>
    <col min="131" max="131" width="4.69921875" style="76" bestFit="1" customWidth="1"/>
    <col min="132" max="132" width="6.09765625" style="76" customWidth="1"/>
    <col min="133" max="133" width="5" style="76" bestFit="1" customWidth="1"/>
    <col min="134" max="134" width="4.69921875" style="76" bestFit="1" customWidth="1"/>
    <col min="135" max="135" width="5" style="76" bestFit="1" customWidth="1"/>
    <col min="136" max="136" width="4.69921875" style="76" bestFit="1" customWidth="1"/>
    <col min="137" max="137" width="5.69921875" style="76" bestFit="1" customWidth="1"/>
    <col min="138" max="138" width="4.69921875" style="76" bestFit="1" customWidth="1"/>
    <col min="139" max="140" width="5.69921875" style="76" bestFit="1" customWidth="1"/>
    <col min="141" max="141" width="7.796875" style="76" bestFit="1" customWidth="1"/>
    <col min="142" max="142" width="5" style="76" bestFit="1" customWidth="1"/>
    <col min="143" max="143" width="4.69921875" style="76" bestFit="1" customWidth="1"/>
    <col min="144" max="144" width="5" style="76" bestFit="1" customWidth="1"/>
    <col min="145" max="145" width="4.69921875" style="76" bestFit="1" customWidth="1"/>
    <col min="146" max="146" width="5" style="76" bestFit="1" customWidth="1"/>
    <col min="147" max="147" width="4.69921875" style="76" bestFit="1" customWidth="1"/>
    <col min="148" max="148" width="5" style="76" bestFit="1" customWidth="1"/>
    <col min="149" max="149" width="4.69921875" style="76" bestFit="1" customWidth="1"/>
    <col min="150" max="150" width="7.796875" style="76" bestFit="1" customWidth="1"/>
    <col min="151" max="151" width="5.69921875" style="70" bestFit="1" customWidth="1"/>
    <col min="152" max="152" width="4.296875" style="70" bestFit="1" customWidth="1"/>
    <col min="153" max="153" width="5.69921875" style="70" bestFit="1" customWidth="1"/>
    <col min="154" max="154" width="4.296875" style="70" bestFit="1" customWidth="1"/>
    <col min="155" max="155" width="5.69921875" style="70" bestFit="1" customWidth="1"/>
    <col min="156" max="156" width="4.296875" style="70" bestFit="1" customWidth="1"/>
    <col min="157" max="157" width="5.69921875" style="70" bestFit="1" customWidth="1"/>
    <col min="158" max="158" width="4.296875" style="70" bestFit="1" customWidth="1"/>
    <col min="159" max="159" width="8" style="70" customWidth="1"/>
    <col min="160" max="160" width="9" style="70" customWidth="1"/>
    <col min="161" max="161" width="7.796875" style="70" customWidth="1"/>
    <col min="162" max="169" width="6.3984375" style="73" customWidth="1"/>
    <col min="170" max="179" width="6.3984375" style="79" customWidth="1"/>
    <col min="180" max="180" width="5.69921875" style="79" bestFit="1" customWidth="1"/>
    <col min="181" max="181" width="4.296875" style="79" bestFit="1" customWidth="1"/>
    <col min="182" max="182" width="5.69921875" style="79" bestFit="1" customWidth="1"/>
    <col min="183" max="183" width="5.69921875" style="79" customWidth="1"/>
    <col min="184" max="184" width="5.69921875" style="79" bestFit="1" customWidth="1"/>
    <col min="185" max="185" width="5.19921875" style="79" customWidth="1"/>
    <col min="186" max="186" width="5" style="79" bestFit="1" customWidth="1"/>
    <col min="187" max="187" width="4.296875" style="79" bestFit="1" customWidth="1"/>
    <col min="188" max="188" width="5.69921875" style="79" bestFit="1" customWidth="1"/>
    <col min="189" max="189" width="4.296875" style="79" bestFit="1" customWidth="1"/>
    <col min="190" max="190" width="5.69921875" style="79" bestFit="1" customWidth="1"/>
    <col min="191" max="191" width="5.796875" style="79" customWidth="1"/>
    <col min="192" max="192" width="5.69921875" style="79" bestFit="1" customWidth="1"/>
    <col min="193" max="193" width="4.296875" style="79" bestFit="1" customWidth="1"/>
    <col min="194" max="194" width="5.69921875" style="79" bestFit="1" customWidth="1"/>
    <col min="195" max="195" width="4.296875" style="79" bestFit="1" customWidth="1"/>
    <col min="196" max="196" width="5.69921875" style="79" bestFit="1" customWidth="1"/>
    <col min="197" max="197" width="5.796875" style="79" customWidth="1"/>
    <col min="198" max="198" width="6.296875" style="79" customWidth="1"/>
    <col min="199" max="199" width="5" style="63" bestFit="1" customWidth="1"/>
    <col min="200" max="200" width="4.296875" style="63" bestFit="1" customWidth="1"/>
    <col min="201" max="201" width="5" style="73" bestFit="1" customWidth="1"/>
    <col min="202" max="202" width="4.296875" style="73" bestFit="1" customWidth="1"/>
    <col min="203" max="203" width="5" style="73" bestFit="1" customWidth="1"/>
    <col min="204" max="204" width="4.296875" style="73" bestFit="1" customWidth="1"/>
    <col min="205" max="205" width="5" style="73" bestFit="1" customWidth="1"/>
    <col min="206" max="206" width="4.296875" style="73" bestFit="1" customWidth="1"/>
    <col min="207" max="207" width="7.796875" style="73" bestFit="1" customWidth="1"/>
    <col min="208" max="208" width="5" style="77" bestFit="1" customWidth="1"/>
    <col min="209" max="209" width="4.296875" style="77" bestFit="1" customWidth="1"/>
    <col min="210" max="210" width="5" style="77" bestFit="1" customWidth="1"/>
    <col min="211" max="211" width="4.296875" style="77" bestFit="1" customWidth="1"/>
    <col min="212" max="212" width="5" style="77" bestFit="1" customWidth="1"/>
    <col min="213" max="213" width="4.296875" style="77" bestFit="1" customWidth="1"/>
    <col min="214" max="214" width="5" style="77" bestFit="1" customWidth="1"/>
    <col min="215" max="215" width="4.296875" style="77" bestFit="1" customWidth="1"/>
    <col min="216" max="216" width="5" style="77" bestFit="1" customWidth="1"/>
    <col min="217" max="217" width="4.296875" style="77" bestFit="1" customWidth="1"/>
    <col min="218" max="218" width="5" style="77" bestFit="1" customWidth="1"/>
    <col min="219" max="219" width="4.296875" style="77" bestFit="1" customWidth="1"/>
    <col min="220" max="220" width="6.69921875" style="77" customWidth="1"/>
    <col min="221" max="221" width="5" style="77" bestFit="1" customWidth="1"/>
    <col min="222" max="222" width="4.296875" style="77" bestFit="1" customWidth="1"/>
    <col min="223" max="223" width="5" style="77" bestFit="1" customWidth="1"/>
    <col min="224" max="224" width="4.296875" style="77" bestFit="1" customWidth="1"/>
    <col min="225" max="225" width="5" style="77" bestFit="1" customWidth="1"/>
    <col min="226" max="226" width="6.296875" style="77" customWidth="1"/>
    <col min="227" max="227" width="7.796875" style="77" bestFit="1" customWidth="1"/>
    <col min="228" max="228" width="5.69921875" style="79" bestFit="1" customWidth="1"/>
    <col min="229" max="229" width="4.296875" style="79" bestFit="1" customWidth="1"/>
    <col min="230" max="230" width="5.69921875" style="79" bestFit="1" customWidth="1"/>
    <col min="231" max="231" width="4.296875" style="79" bestFit="1" customWidth="1"/>
    <col min="232" max="232" width="5.69921875" style="79" bestFit="1" customWidth="1"/>
    <col min="233" max="233" width="4.296875" style="79" bestFit="1" customWidth="1"/>
    <col min="234" max="234" width="5.69921875" style="79" bestFit="1" customWidth="1"/>
    <col min="235" max="235" width="4.296875" style="79" bestFit="1" customWidth="1"/>
    <col min="236" max="236" width="5.69921875" style="79" bestFit="1" customWidth="1"/>
    <col min="237" max="237" width="4.69921875" style="79" customWidth="1"/>
    <col min="238" max="238" width="8.8984375" style="79" customWidth="1"/>
    <col min="239" max="239" width="6.296875" style="79" customWidth="1"/>
    <col min="240" max="240" width="6.8984375" style="79" customWidth="1"/>
    <col min="241" max="250" width="7.19921875" style="73" customWidth="1"/>
    <col min="251" max="251" width="8.8984375" style="65" customWidth="1"/>
    <col min="252" max="252" width="9" style="65" customWidth="1"/>
    <col min="253" max="253" width="8.19921875" style="65" customWidth="1"/>
    <col min="254" max="254" width="10.19921875" style="65" customWidth="1"/>
    <col min="255" max="255" width="8.19921875" style="65" customWidth="1"/>
    <col min="256" max="256" width="10.8984375" style="65" customWidth="1"/>
    <col min="257" max="257" width="7" style="65" customWidth="1"/>
    <col min="258" max="258" width="7.796875" style="65" customWidth="1"/>
    <col min="259" max="259" width="29.19921875" style="96" customWidth="1"/>
    <col min="260" max="260" width="29.19921875" style="81" customWidth="1"/>
    <col min="261" max="261" width="41.19921875" style="96" customWidth="1"/>
    <col min="262" max="264" width="9.09765625" style="73"/>
    <col min="265" max="265" width="2.69921875" style="73" bestFit="1" customWidth="1"/>
    <col min="266" max="16384" width="9.09765625" style="73"/>
  </cols>
  <sheetData>
    <row r="1" spans="1:261" s="96" customFormat="1" ht="24.75" customHeight="1" x14ac:dyDescent="0.25">
      <c r="A1" s="114" t="s">
        <v>215</v>
      </c>
      <c r="B1" s="115"/>
      <c r="C1" s="115"/>
      <c r="D1" s="115"/>
      <c r="E1" s="115"/>
      <c r="F1" s="114" t="s">
        <v>178</v>
      </c>
      <c r="G1" s="116"/>
      <c r="H1" s="125" t="s">
        <v>6</v>
      </c>
      <c r="I1" s="125"/>
      <c r="J1" s="125"/>
      <c r="K1" s="125" t="s">
        <v>57</v>
      </c>
      <c r="L1" s="125"/>
      <c r="M1" s="114" t="s">
        <v>58</v>
      </c>
      <c r="N1" s="115"/>
      <c r="O1" s="115"/>
      <c r="P1" s="116"/>
      <c r="Q1" s="141" t="s">
        <v>59</v>
      </c>
      <c r="R1" s="142"/>
      <c r="S1" s="98"/>
      <c r="T1" s="114" t="s">
        <v>60</v>
      </c>
      <c r="U1" s="115"/>
      <c r="V1" s="115"/>
      <c r="W1" s="116"/>
      <c r="X1" s="157" t="s">
        <v>61</v>
      </c>
      <c r="Y1" s="125" t="s">
        <v>17</v>
      </c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 t="s">
        <v>18</v>
      </c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  <c r="BG1" s="125" t="s">
        <v>19</v>
      </c>
      <c r="BH1" s="125"/>
      <c r="BI1" s="125"/>
      <c r="BJ1" s="125"/>
      <c r="BK1" s="125"/>
      <c r="BL1" s="125"/>
      <c r="BM1" s="125"/>
      <c r="BN1" s="125"/>
      <c r="BO1" s="125"/>
      <c r="BP1" s="125"/>
      <c r="BQ1" s="125"/>
      <c r="BR1" s="125"/>
      <c r="BS1" s="125"/>
      <c r="BT1" s="125"/>
      <c r="BU1" s="125"/>
      <c r="BV1" s="125"/>
      <c r="BW1" s="125"/>
      <c r="BX1" s="115" t="s">
        <v>159</v>
      </c>
      <c r="BY1" s="115"/>
      <c r="BZ1" s="115"/>
      <c r="CA1" s="115"/>
      <c r="CB1" s="115"/>
      <c r="CC1" s="115"/>
      <c r="CD1" s="115"/>
      <c r="CE1" s="115"/>
      <c r="CF1" s="115"/>
      <c r="CG1" s="115"/>
      <c r="CH1" s="115"/>
      <c r="CI1" s="115"/>
      <c r="CJ1" s="115"/>
      <c r="CK1" s="115"/>
      <c r="CL1" s="115"/>
      <c r="CM1" s="115"/>
      <c r="CN1" s="116"/>
      <c r="CO1" s="125" t="s">
        <v>62</v>
      </c>
      <c r="CP1" s="125"/>
      <c r="CQ1" s="125"/>
      <c r="CR1" s="125"/>
      <c r="CS1" s="125"/>
      <c r="CT1" s="125"/>
      <c r="CU1" s="125"/>
      <c r="CV1" s="125"/>
      <c r="CW1" s="125"/>
      <c r="CX1" s="125"/>
      <c r="CY1" s="125"/>
      <c r="CZ1" s="125"/>
      <c r="DA1" s="125"/>
      <c r="DB1" s="140" t="s">
        <v>264</v>
      </c>
      <c r="DC1" s="140"/>
      <c r="DD1" s="140"/>
      <c r="DE1" s="140"/>
      <c r="DF1" s="140"/>
      <c r="DG1" s="140"/>
      <c r="DH1" s="140"/>
      <c r="DI1" s="140"/>
      <c r="DJ1" s="140"/>
      <c r="DK1" s="141" t="s">
        <v>268</v>
      </c>
      <c r="DL1" s="153"/>
      <c r="DM1" s="153"/>
      <c r="DN1" s="153"/>
      <c r="DO1" s="153"/>
      <c r="DP1" s="153"/>
      <c r="DQ1" s="153"/>
      <c r="DR1" s="153"/>
      <c r="DS1" s="142"/>
      <c r="DT1" s="125" t="s">
        <v>269</v>
      </c>
      <c r="DU1" s="125"/>
      <c r="DV1" s="125"/>
      <c r="DW1" s="125"/>
      <c r="DX1" s="125"/>
      <c r="DY1" s="125"/>
      <c r="DZ1" s="125"/>
      <c r="EA1" s="125"/>
      <c r="EB1" s="125"/>
      <c r="EC1" s="125" t="s">
        <v>270</v>
      </c>
      <c r="ED1" s="125"/>
      <c r="EE1" s="125"/>
      <c r="EF1" s="125"/>
      <c r="EG1" s="125"/>
      <c r="EH1" s="125"/>
      <c r="EI1" s="125"/>
      <c r="EJ1" s="125"/>
      <c r="EK1" s="125"/>
      <c r="EL1" s="125" t="s">
        <v>271</v>
      </c>
      <c r="EM1" s="125"/>
      <c r="EN1" s="125"/>
      <c r="EO1" s="125"/>
      <c r="EP1" s="125"/>
      <c r="EQ1" s="125"/>
      <c r="ER1" s="125"/>
      <c r="ES1" s="125"/>
      <c r="ET1" s="125"/>
      <c r="EU1" s="114" t="s">
        <v>63</v>
      </c>
      <c r="EV1" s="115"/>
      <c r="EW1" s="115"/>
      <c r="EX1" s="115"/>
      <c r="EY1" s="115"/>
      <c r="EZ1" s="115"/>
      <c r="FA1" s="115"/>
      <c r="FB1" s="115"/>
      <c r="FC1" s="115"/>
      <c r="FD1" s="115"/>
      <c r="FE1" s="116"/>
      <c r="FF1" s="111" t="s">
        <v>64</v>
      </c>
      <c r="FG1" s="111"/>
      <c r="FH1" s="111"/>
      <c r="FI1" s="111"/>
      <c r="FJ1" s="111"/>
      <c r="FK1" s="111"/>
      <c r="FL1" s="111"/>
      <c r="FM1" s="111"/>
      <c r="FN1" s="111"/>
      <c r="FO1" s="111"/>
      <c r="FP1" s="111"/>
      <c r="FQ1" s="111"/>
      <c r="FR1" s="111"/>
      <c r="FS1" s="111"/>
      <c r="FT1" s="111"/>
      <c r="FU1" s="111"/>
      <c r="FV1" s="111"/>
      <c r="FW1" s="111"/>
      <c r="FX1" s="145" t="s">
        <v>161</v>
      </c>
      <c r="FY1" s="146"/>
      <c r="FZ1" s="146"/>
      <c r="GA1" s="146"/>
      <c r="GB1" s="146"/>
      <c r="GC1" s="146"/>
      <c r="GD1" s="146"/>
      <c r="GE1" s="146"/>
      <c r="GF1" s="146"/>
      <c r="GG1" s="146"/>
      <c r="GH1" s="146"/>
      <c r="GI1" s="146"/>
      <c r="GJ1" s="146"/>
      <c r="GK1" s="146"/>
      <c r="GL1" s="146"/>
      <c r="GM1" s="146"/>
      <c r="GN1" s="146"/>
      <c r="GO1" s="146"/>
      <c r="GP1" s="147"/>
      <c r="GQ1" s="111" t="s">
        <v>65</v>
      </c>
      <c r="GR1" s="111"/>
      <c r="GS1" s="111"/>
      <c r="GT1" s="111"/>
      <c r="GU1" s="111"/>
      <c r="GV1" s="111"/>
      <c r="GW1" s="111"/>
      <c r="GX1" s="111"/>
      <c r="GY1" s="111"/>
      <c r="GZ1" s="114" t="s">
        <v>66</v>
      </c>
      <c r="HA1" s="115"/>
      <c r="HB1" s="115"/>
      <c r="HC1" s="115"/>
      <c r="HD1" s="115"/>
      <c r="HE1" s="115"/>
      <c r="HF1" s="115"/>
      <c r="HG1" s="115"/>
      <c r="HH1" s="115"/>
      <c r="HI1" s="115"/>
      <c r="HJ1" s="115"/>
      <c r="HK1" s="115"/>
      <c r="HL1" s="115"/>
      <c r="HM1" s="115"/>
      <c r="HN1" s="115"/>
      <c r="HO1" s="115"/>
      <c r="HP1" s="115"/>
      <c r="HQ1" s="115"/>
      <c r="HR1" s="115"/>
      <c r="HS1" s="116"/>
      <c r="HT1" s="114" t="s">
        <v>153</v>
      </c>
      <c r="HU1" s="115"/>
      <c r="HV1" s="115"/>
      <c r="HW1" s="115"/>
      <c r="HX1" s="115"/>
      <c r="HY1" s="115"/>
      <c r="HZ1" s="115"/>
      <c r="IA1" s="115"/>
      <c r="IB1" s="115"/>
      <c r="IC1" s="115"/>
      <c r="ID1" s="116"/>
      <c r="IE1" s="141" t="s">
        <v>158</v>
      </c>
      <c r="IF1" s="153"/>
      <c r="IH1" s="83"/>
      <c r="II1" s="83"/>
      <c r="IJ1" s="83"/>
      <c r="IK1" s="83"/>
      <c r="IL1" s="84"/>
      <c r="IM1" s="84"/>
      <c r="IP1" s="116"/>
      <c r="IQ1" s="94"/>
      <c r="IR1" s="93"/>
      <c r="IS1" s="93"/>
      <c r="IT1" s="93"/>
      <c r="IU1" s="93"/>
      <c r="IV1" s="93"/>
      <c r="IZ1" s="81"/>
    </row>
    <row r="2" spans="1:261" s="96" customFormat="1" ht="24.75" customHeight="1" x14ac:dyDescent="0.3">
      <c r="A2" s="145"/>
      <c r="B2" s="146"/>
      <c r="C2" s="146"/>
      <c r="D2" s="146"/>
      <c r="E2" s="146"/>
      <c r="F2" s="145"/>
      <c r="G2" s="147"/>
      <c r="H2" s="125"/>
      <c r="I2" s="125"/>
      <c r="J2" s="125"/>
      <c r="K2" s="125"/>
      <c r="L2" s="125"/>
      <c r="M2" s="145"/>
      <c r="N2" s="146"/>
      <c r="O2" s="146"/>
      <c r="P2" s="147"/>
      <c r="Q2" s="154"/>
      <c r="R2" s="159"/>
      <c r="S2" s="99"/>
      <c r="T2" s="145"/>
      <c r="U2" s="146"/>
      <c r="V2" s="146"/>
      <c r="W2" s="147"/>
      <c r="X2" s="158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5"/>
      <c r="AP2" s="125"/>
      <c r="AQ2" s="125"/>
      <c r="AR2" s="125"/>
      <c r="AS2" s="125"/>
      <c r="AT2" s="125"/>
      <c r="AU2" s="125"/>
      <c r="AV2" s="125"/>
      <c r="AW2" s="125"/>
      <c r="AX2" s="125"/>
      <c r="AY2" s="125"/>
      <c r="AZ2" s="125"/>
      <c r="BA2" s="125"/>
      <c r="BB2" s="125"/>
      <c r="BC2" s="125"/>
      <c r="BD2" s="125"/>
      <c r="BE2" s="125"/>
      <c r="BF2" s="125"/>
      <c r="BG2" s="125"/>
      <c r="BH2" s="125"/>
      <c r="BI2" s="125"/>
      <c r="BJ2" s="125"/>
      <c r="BK2" s="125"/>
      <c r="BL2" s="125"/>
      <c r="BM2" s="125"/>
      <c r="BN2" s="125"/>
      <c r="BO2" s="125"/>
      <c r="BP2" s="125"/>
      <c r="BQ2" s="125"/>
      <c r="BR2" s="125"/>
      <c r="BS2" s="125"/>
      <c r="BT2" s="125"/>
      <c r="BU2" s="125"/>
      <c r="BV2" s="125"/>
      <c r="BW2" s="125"/>
      <c r="BX2" s="146"/>
      <c r="BY2" s="146"/>
      <c r="BZ2" s="146"/>
      <c r="CA2" s="146"/>
      <c r="CB2" s="146"/>
      <c r="CC2" s="146"/>
      <c r="CD2" s="146"/>
      <c r="CE2" s="146"/>
      <c r="CF2" s="146"/>
      <c r="CG2" s="146"/>
      <c r="CH2" s="146"/>
      <c r="CI2" s="146"/>
      <c r="CJ2" s="146"/>
      <c r="CK2" s="146"/>
      <c r="CL2" s="146"/>
      <c r="CM2" s="146"/>
      <c r="CN2" s="147"/>
      <c r="CO2" s="125"/>
      <c r="CP2" s="125"/>
      <c r="CQ2" s="125"/>
      <c r="CR2" s="125"/>
      <c r="CS2" s="125"/>
      <c r="CT2" s="125"/>
      <c r="CU2" s="125"/>
      <c r="CV2" s="125"/>
      <c r="CW2" s="125"/>
      <c r="CX2" s="125"/>
      <c r="CY2" s="125"/>
      <c r="CZ2" s="125"/>
      <c r="DA2" s="125"/>
      <c r="DB2" s="140"/>
      <c r="DC2" s="140"/>
      <c r="DD2" s="140"/>
      <c r="DE2" s="140"/>
      <c r="DF2" s="140"/>
      <c r="DG2" s="140"/>
      <c r="DH2" s="140"/>
      <c r="DI2" s="140"/>
      <c r="DJ2" s="140"/>
      <c r="DK2" s="154"/>
      <c r="DL2" s="155"/>
      <c r="DM2" s="155"/>
      <c r="DN2" s="155"/>
      <c r="DO2" s="155"/>
      <c r="DP2" s="155"/>
      <c r="DQ2" s="155"/>
      <c r="DR2" s="155"/>
      <c r="DS2" s="159"/>
      <c r="DT2" s="125"/>
      <c r="DU2" s="125"/>
      <c r="DV2" s="125"/>
      <c r="DW2" s="125"/>
      <c r="DX2" s="125"/>
      <c r="DY2" s="125"/>
      <c r="DZ2" s="125"/>
      <c r="EA2" s="125"/>
      <c r="EB2" s="125"/>
      <c r="EC2" s="125"/>
      <c r="ED2" s="125"/>
      <c r="EE2" s="125"/>
      <c r="EF2" s="125"/>
      <c r="EG2" s="125"/>
      <c r="EH2" s="125"/>
      <c r="EI2" s="125"/>
      <c r="EJ2" s="125"/>
      <c r="EK2" s="125"/>
      <c r="EL2" s="125"/>
      <c r="EM2" s="125"/>
      <c r="EN2" s="125"/>
      <c r="EO2" s="125"/>
      <c r="EP2" s="125"/>
      <c r="EQ2" s="125"/>
      <c r="ER2" s="125"/>
      <c r="ES2" s="125"/>
      <c r="ET2" s="125"/>
      <c r="EU2" s="145"/>
      <c r="EV2" s="146"/>
      <c r="EW2" s="146"/>
      <c r="EX2" s="146"/>
      <c r="EY2" s="146"/>
      <c r="EZ2" s="146"/>
      <c r="FA2" s="146"/>
      <c r="FB2" s="146"/>
      <c r="FC2" s="146"/>
      <c r="FD2" s="146"/>
      <c r="FE2" s="147"/>
      <c r="FF2" s="112"/>
      <c r="FG2" s="112"/>
      <c r="FH2" s="112"/>
      <c r="FI2" s="112"/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112"/>
      <c r="FU2" s="112"/>
      <c r="FV2" s="112"/>
      <c r="FW2" s="112"/>
      <c r="FX2" s="145"/>
      <c r="FY2" s="146"/>
      <c r="FZ2" s="146"/>
      <c r="GA2" s="146"/>
      <c r="GB2" s="146"/>
      <c r="GC2" s="146"/>
      <c r="GD2" s="146"/>
      <c r="GE2" s="146"/>
      <c r="GF2" s="146"/>
      <c r="GG2" s="146"/>
      <c r="GH2" s="146"/>
      <c r="GI2" s="146"/>
      <c r="GJ2" s="146"/>
      <c r="GK2" s="146"/>
      <c r="GL2" s="146"/>
      <c r="GM2" s="146"/>
      <c r="GN2" s="146"/>
      <c r="GO2" s="146"/>
      <c r="GP2" s="147"/>
      <c r="GQ2" s="112"/>
      <c r="GR2" s="112"/>
      <c r="GS2" s="112"/>
      <c r="GT2" s="112"/>
      <c r="GU2" s="112"/>
      <c r="GV2" s="112"/>
      <c r="GW2" s="112"/>
      <c r="GX2" s="112"/>
      <c r="GY2" s="112"/>
      <c r="GZ2" s="117"/>
      <c r="HA2" s="118"/>
      <c r="HB2" s="118"/>
      <c r="HC2" s="118"/>
      <c r="HD2" s="118"/>
      <c r="HE2" s="118"/>
      <c r="HF2" s="118"/>
      <c r="HG2" s="118"/>
      <c r="HH2" s="118"/>
      <c r="HI2" s="118"/>
      <c r="HJ2" s="118"/>
      <c r="HK2" s="118"/>
      <c r="HL2" s="118"/>
      <c r="HM2" s="118"/>
      <c r="HN2" s="118"/>
      <c r="HO2" s="118"/>
      <c r="HP2" s="118"/>
      <c r="HQ2" s="118"/>
      <c r="HR2" s="118"/>
      <c r="HS2" s="119"/>
      <c r="HT2" s="145"/>
      <c r="HU2" s="146"/>
      <c r="HV2" s="146"/>
      <c r="HW2" s="146"/>
      <c r="HX2" s="146"/>
      <c r="HY2" s="146"/>
      <c r="HZ2" s="146"/>
      <c r="IA2" s="146"/>
      <c r="IB2" s="146"/>
      <c r="IC2" s="146"/>
      <c r="ID2" s="147"/>
      <c r="IE2" s="154"/>
      <c r="IF2" s="155"/>
      <c r="IG2" s="85"/>
      <c r="IH2" s="86"/>
      <c r="II2" s="86"/>
      <c r="IJ2" s="86"/>
      <c r="IK2" s="86"/>
      <c r="IL2" s="86"/>
      <c r="IM2" s="86"/>
      <c r="IN2" s="97"/>
      <c r="IO2" s="97"/>
      <c r="IP2" s="119"/>
      <c r="IQ2" s="130" t="s">
        <v>67</v>
      </c>
      <c r="IR2" s="131"/>
      <c r="IS2" s="132"/>
      <c r="IT2" s="130" t="s">
        <v>68</v>
      </c>
      <c r="IU2" s="131"/>
      <c r="IV2" s="132"/>
      <c r="IW2" s="87"/>
      <c r="IX2" s="87"/>
      <c r="IZ2" s="81"/>
    </row>
    <row r="3" spans="1:261" s="96" customFormat="1" ht="24.75" customHeight="1" x14ac:dyDescent="0.25">
      <c r="A3" s="107" t="s">
        <v>265</v>
      </c>
      <c r="B3" s="108"/>
      <c r="C3" s="108"/>
      <c r="D3" s="108"/>
      <c r="E3" s="108"/>
      <c r="F3" s="145"/>
      <c r="G3" s="147"/>
      <c r="H3" s="125"/>
      <c r="I3" s="125"/>
      <c r="J3" s="125"/>
      <c r="K3" s="125"/>
      <c r="L3" s="125"/>
      <c r="M3" s="145"/>
      <c r="N3" s="146"/>
      <c r="O3" s="146"/>
      <c r="P3" s="147"/>
      <c r="Q3" s="154"/>
      <c r="R3" s="159"/>
      <c r="S3" s="99"/>
      <c r="T3" s="145"/>
      <c r="U3" s="146"/>
      <c r="V3" s="146"/>
      <c r="W3" s="147"/>
      <c r="X3" s="158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18"/>
      <c r="BY3" s="118"/>
      <c r="BZ3" s="118"/>
      <c r="CA3" s="118"/>
      <c r="CB3" s="118"/>
      <c r="CC3" s="118"/>
      <c r="CD3" s="118"/>
      <c r="CE3" s="118"/>
      <c r="CF3" s="118"/>
      <c r="CG3" s="118"/>
      <c r="CH3" s="118"/>
      <c r="CI3" s="118"/>
      <c r="CJ3" s="118"/>
      <c r="CK3" s="118"/>
      <c r="CL3" s="118"/>
      <c r="CM3" s="118"/>
      <c r="CN3" s="119"/>
      <c r="CO3" s="125"/>
      <c r="CP3" s="125"/>
      <c r="CQ3" s="125"/>
      <c r="CR3" s="125"/>
      <c r="CS3" s="125"/>
      <c r="CT3" s="125"/>
      <c r="CU3" s="125"/>
      <c r="CV3" s="125"/>
      <c r="CW3" s="125"/>
      <c r="CX3" s="125"/>
      <c r="CY3" s="125"/>
      <c r="CZ3" s="125"/>
      <c r="DA3" s="125"/>
      <c r="DB3" s="140"/>
      <c r="DC3" s="140"/>
      <c r="DD3" s="140"/>
      <c r="DE3" s="140"/>
      <c r="DF3" s="140"/>
      <c r="DG3" s="140"/>
      <c r="DH3" s="140"/>
      <c r="DI3" s="140"/>
      <c r="DJ3" s="140"/>
      <c r="DK3" s="143"/>
      <c r="DL3" s="156"/>
      <c r="DM3" s="156"/>
      <c r="DN3" s="156"/>
      <c r="DO3" s="156"/>
      <c r="DP3" s="156"/>
      <c r="DQ3" s="156"/>
      <c r="DR3" s="156"/>
      <c r="DS3" s="144"/>
      <c r="DT3" s="125"/>
      <c r="DU3" s="125"/>
      <c r="DV3" s="125"/>
      <c r="DW3" s="125"/>
      <c r="DX3" s="125"/>
      <c r="DY3" s="125"/>
      <c r="DZ3" s="125"/>
      <c r="EA3" s="125"/>
      <c r="EB3" s="125"/>
      <c r="EC3" s="125"/>
      <c r="ED3" s="125"/>
      <c r="EE3" s="125"/>
      <c r="EF3" s="125"/>
      <c r="EG3" s="125"/>
      <c r="EH3" s="125"/>
      <c r="EI3" s="125"/>
      <c r="EJ3" s="125"/>
      <c r="EK3" s="125"/>
      <c r="EL3" s="125"/>
      <c r="EM3" s="125"/>
      <c r="EN3" s="125"/>
      <c r="EO3" s="125"/>
      <c r="EP3" s="125"/>
      <c r="EQ3" s="125"/>
      <c r="ER3" s="125"/>
      <c r="ES3" s="125"/>
      <c r="ET3" s="125"/>
      <c r="EU3" s="117"/>
      <c r="EV3" s="118"/>
      <c r="EW3" s="118"/>
      <c r="EX3" s="118"/>
      <c r="EY3" s="118"/>
      <c r="EZ3" s="118"/>
      <c r="FA3" s="118"/>
      <c r="FB3" s="118"/>
      <c r="FC3" s="118"/>
      <c r="FD3" s="118"/>
      <c r="FE3" s="119"/>
      <c r="FF3" s="113"/>
      <c r="FG3" s="113"/>
      <c r="FH3" s="113"/>
      <c r="FI3" s="113"/>
      <c r="FJ3" s="113"/>
      <c r="FK3" s="113"/>
      <c r="FL3" s="113"/>
      <c r="FM3" s="113"/>
      <c r="FN3" s="113"/>
      <c r="FO3" s="113"/>
      <c r="FP3" s="113"/>
      <c r="FQ3" s="113"/>
      <c r="FR3" s="113"/>
      <c r="FS3" s="113"/>
      <c r="FT3" s="113"/>
      <c r="FU3" s="113"/>
      <c r="FV3" s="113"/>
      <c r="FW3" s="113"/>
      <c r="FX3" s="117"/>
      <c r="FY3" s="118"/>
      <c r="FZ3" s="118"/>
      <c r="GA3" s="118"/>
      <c r="GB3" s="118"/>
      <c r="GC3" s="118"/>
      <c r="GD3" s="118"/>
      <c r="GE3" s="118"/>
      <c r="GF3" s="118"/>
      <c r="GG3" s="118"/>
      <c r="GH3" s="118"/>
      <c r="GI3" s="118"/>
      <c r="GJ3" s="118"/>
      <c r="GK3" s="118"/>
      <c r="GL3" s="118"/>
      <c r="GM3" s="118"/>
      <c r="GN3" s="118"/>
      <c r="GO3" s="118"/>
      <c r="GP3" s="119"/>
      <c r="GQ3" s="113"/>
      <c r="GR3" s="113"/>
      <c r="GS3" s="113"/>
      <c r="GT3" s="113"/>
      <c r="GU3" s="113"/>
      <c r="GV3" s="113"/>
      <c r="GW3" s="113"/>
      <c r="GX3" s="113"/>
      <c r="GY3" s="113"/>
      <c r="GZ3" s="141" t="s">
        <v>69</v>
      </c>
      <c r="HA3" s="142"/>
      <c r="HB3" s="148" t="s">
        <v>70</v>
      </c>
      <c r="HC3" s="150"/>
      <c r="HD3" s="150"/>
      <c r="HE3" s="150"/>
      <c r="HF3" s="150"/>
      <c r="HG3" s="150"/>
      <c r="HH3" s="150"/>
      <c r="HI3" s="150"/>
      <c r="HJ3" s="150"/>
      <c r="HK3" s="150"/>
      <c r="HL3" s="150"/>
      <c r="HM3" s="150"/>
      <c r="HN3" s="150"/>
      <c r="HO3" s="150"/>
      <c r="HP3" s="149"/>
      <c r="HQ3" s="114" t="s">
        <v>15</v>
      </c>
      <c r="HR3" s="115"/>
      <c r="HS3" s="116"/>
      <c r="HT3" s="117"/>
      <c r="HU3" s="118"/>
      <c r="HV3" s="118"/>
      <c r="HW3" s="118"/>
      <c r="HX3" s="118"/>
      <c r="HY3" s="118"/>
      <c r="HZ3" s="118"/>
      <c r="IA3" s="118"/>
      <c r="IB3" s="118"/>
      <c r="IC3" s="118"/>
      <c r="ID3" s="119"/>
      <c r="IE3" s="143"/>
      <c r="IF3" s="156"/>
      <c r="IG3" s="140" t="s">
        <v>72</v>
      </c>
      <c r="IH3" s="140"/>
      <c r="II3" s="140" t="s">
        <v>73</v>
      </c>
      <c r="IJ3" s="140"/>
      <c r="IK3" s="140" t="s">
        <v>74</v>
      </c>
      <c r="IL3" s="140"/>
      <c r="IM3" s="123" t="s">
        <v>75</v>
      </c>
      <c r="IN3" s="137"/>
      <c r="IO3" s="137"/>
      <c r="IP3" s="124"/>
      <c r="IQ3" s="134" t="s">
        <v>76</v>
      </c>
      <c r="IR3" s="134" t="s">
        <v>77</v>
      </c>
      <c r="IS3" s="133" t="s">
        <v>78</v>
      </c>
      <c r="IT3" s="133" t="s">
        <v>79</v>
      </c>
      <c r="IU3" s="133" t="s">
        <v>80</v>
      </c>
      <c r="IV3" s="133" t="s">
        <v>81</v>
      </c>
      <c r="IW3" s="126" t="s">
        <v>236</v>
      </c>
      <c r="IX3" s="127"/>
      <c r="IZ3" s="81"/>
    </row>
    <row r="4" spans="1:261" s="96" customFormat="1" ht="29.25" customHeight="1" x14ac:dyDescent="0.25">
      <c r="A4" s="109"/>
      <c r="B4" s="110"/>
      <c r="C4" s="110"/>
      <c r="D4" s="110"/>
      <c r="E4" s="110"/>
      <c r="F4" s="117"/>
      <c r="G4" s="119"/>
      <c r="H4" s="125"/>
      <c r="I4" s="125"/>
      <c r="J4" s="125"/>
      <c r="K4" s="125"/>
      <c r="L4" s="125"/>
      <c r="M4" s="117"/>
      <c r="N4" s="118"/>
      <c r="O4" s="118"/>
      <c r="P4" s="119"/>
      <c r="Q4" s="143"/>
      <c r="R4" s="144"/>
      <c r="S4" s="100"/>
      <c r="T4" s="117"/>
      <c r="U4" s="118"/>
      <c r="V4" s="118"/>
      <c r="W4" s="119"/>
      <c r="X4" s="158"/>
      <c r="Y4" s="125">
        <v>12</v>
      </c>
      <c r="Z4" s="125"/>
      <c r="AA4" s="125">
        <v>13</v>
      </c>
      <c r="AB4" s="125"/>
      <c r="AC4" s="125">
        <v>14</v>
      </c>
      <c r="AD4" s="125"/>
      <c r="AE4" s="125">
        <v>15</v>
      </c>
      <c r="AF4" s="125"/>
      <c r="AG4" s="125">
        <v>16</v>
      </c>
      <c r="AH4" s="125"/>
      <c r="AI4" s="125">
        <v>17</v>
      </c>
      <c r="AJ4" s="125"/>
      <c r="AK4" s="125">
        <v>18</v>
      </c>
      <c r="AL4" s="125"/>
      <c r="AM4" s="125" t="s">
        <v>15</v>
      </c>
      <c r="AN4" s="125"/>
      <c r="AO4" s="125"/>
      <c r="AP4" s="125">
        <v>12</v>
      </c>
      <c r="AQ4" s="125"/>
      <c r="AR4" s="125">
        <v>13</v>
      </c>
      <c r="AS4" s="125"/>
      <c r="AT4" s="125">
        <v>14</v>
      </c>
      <c r="AU4" s="125"/>
      <c r="AV4" s="125">
        <v>15</v>
      </c>
      <c r="AW4" s="125"/>
      <c r="AX4" s="125">
        <v>16</v>
      </c>
      <c r="AY4" s="125"/>
      <c r="AZ4" s="125">
        <v>17</v>
      </c>
      <c r="BA4" s="125"/>
      <c r="BB4" s="125">
        <v>18</v>
      </c>
      <c r="BC4" s="125"/>
      <c r="BD4" s="125" t="s">
        <v>15</v>
      </c>
      <c r="BE4" s="125"/>
      <c r="BF4" s="125"/>
      <c r="BG4" s="148">
        <v>12</v>
      </c>
      <c r="BH4" s="149"/>
      <c r="BI4" s="148">
        <v>13</v>
      </c>
      <c r="BJ4" s="149"/>
      <c r="BK4" s="148">
        <v>14</v>
      </c>
      <c r="BL4" s="149"/>
      <c r="BM4" s="148">
        <v>15</v>
      </c>
      <c r="BN4" s="149"/>
      <c r="BO4" s="148">
        <v>16</v>
      </c>
      <c r="BP4" s="149"/>
      <c r="BQ4" s="148">
        <v>17</v>
      </c>
      <c r="BR4" s="149"/>
      <c r="BS4" s="148">
        <v>18</v>
      </c>
      <c r="BT4" s="149"/>
      <c r="BU4" s="125" t="s">
        <v>15</v>
      </c>
      <c r="BV4" s="125"/>
      <c r="BW4" s="125"/>
      <c r="BX4" s="148">
        <v>12</v>
      </c>
      <c r="BY4" s="149"/>
      <c r="BZ4" s="148">
        <v>13</v>
      </c>
      <c r="CA4" s="149"/>
      <c r="CB4" s="148">
        <v>14</v>
      </c>
      <c r="CC4" s="149"/>
      <c r="CD4" s="148">
        <v>15</v>
      </c>
      <c r="CE4" s="149"/>
      <c r="CF4" s="148">
        <v>16</v>
      </c>
      <c r="CG4" s="149"/>
      <c r="CH4" s="148">
        <v>17</v>
      </c>
      <c r="CI4" s="149"/>
      <c r="CJ4" s="148">
        <v>18</v>
      </c>
      <c r="CK4" s="149"/>
      <c r="CL4" s="148" t="s">
        <v>29</v>
      </c>
      <c r="CM4" s="150"/>
      <c r="CN4" s="149"/>
      <c r="CO4" s="148" t="s">
        <v>17</v>
      </c>
      <c r="CP4" s="150"/>
      <c r="CQ4" s="149"/>
      <c r="CR4" s="148" t="s">
        <v>160</v>
      </c>
      <c r="CS4" s="150"/>
      <c r="CT4" s="149"/>
      <c r="CU4" s="125" t="s">
        <v>19</v>
      </c>
      <c r="CV4" s="125"/>
      <c r="CW4" s="125"/>
      <c r="CX4" s="125" t="s">
        <v>15</v>
      </c>
      <c r="CY4" s="125"/>
      <c r="CZ4" s="125"/>
      <c r="DA4" s="125"/>
      <c r="DB4" s="125" t="s">
        <v>17</v>
      </c>
      <c r="DC4" s="125"/>
      <c r="DD4" s="125" t="s">
        <v>18</v>
      </c>
      <c r="DE4" s="125"/>
      <c r="DF4" s="125" t="s">
        <v>19</v>
      </c>
      <c r="DG4" s="125"/>
      <c r="DH4" s="125" t="s">
        <v>15</v>
      </c>
      <c r="DI4" s="125"/>
      <c r="DJ4" s="125"/>
      <c r="DK4" s="125" t="s">
        <v>17</v>
      </c>
      <c r="DL4" s="125"/>
      <c r="DM4" s="125" t="s">
        <v>18</v>
      </c>
      <c r="DN4" s="125"/>
      <c r="DO4" s="125" t="s">
        <v>19</v>
      </c>
      <c r="DP4" s="125"/>
      <c r="DQ4" s="125" t="s">
        <v>15</v>
      </c>
      <c r="DR4" s="125"/>
      <c r="DS4" s="125"/>
      <c r="DT4" s="125" t="s">
        <v>17</v>
      </c>
      <c r="DU4" s="125"/>
      <c r="DV4" s="125" t="s">
        <v>18</v>
      </c>
      <c r="DW4" s="125"/>
      <c r="DX4" s="125" t="s">
        <v>19</v>
      </c>
      <c r="DY4" s="125"/>
      <c r="DZ4" s="125" t="s">
        <v>15</v>
      </c>
      <c r="EA4" s="125"/>
      <c r="EB4" s="125"/>
      <c r="EC4" s="125" t="s">
        <v>17</v>
      </c>
      <c r="ED4" s="125"/>
      <c r="EE4" s="125" t="s">
        <v>18</v>
      </c>
      <c r="EF4" s="125"/>
      <c r="EG4" s="125" t="s">
        <v>19</v>
      </c>
      <c r="EH4" s="125"/>
      <c r="EI4" s="125" t="s">
        <v>15</v>
      </c>
      <c r="EJ4" s="125"/>
      <c r="EK4" s="125"/>
      <c r="EL4" s="125" t="s">
        <v>17</v>
      </c>
      <c r="EM4" s="125"/>
      <c r="EN4" s="125" t="s">
        <v>18</v>
      </c>
      <c r="EO4" s="125"/>
      <c r="EP4" s="125" t="s">
        <v>19</v>
      </c>
      <c r="EQ4" s="125"/>
      <c r="ER4" s="125" t="s">
        <v>15</v>
      </c>
      <c r="ES4" s="125"/>
      <c r="ET4" s="125"/>
      <c r="EU4" s="125" t="s">
        <v>44</v>
      </c>
      <c r="EV4" s="125"/>
      <c r="EW4" s="125" t="s">
        <v>45</v>
      </c>
      <c r="EX4" s="125"/>
      <c r="EY4" s="125" t="s">
        <v>46</v>
      </c>
      <c r="EZ4" s="125"/>
      <c r="FA4" s="125" t="s">
        <v>82</v>
      </c>
      <c r="FB4" s="125"/>
      <c r="FC4" s="125" t="s">
        <v>15</v>
      </c>
      <c r="FD4" s="125"/>
      <c r="FE4" s="125"/>
      <c r="FF4" s="125" t="s">
        <v>83</v>
      </c>
      <c r="FG4" s="125"/>
      <c r="FH4" s="125" t="s">
        <v>84</v>
      </c>
      <c r="FI4" s="125"/>
      <c r="FJ4" s="125" t="s">
        <v>211</v>
      </c>
      <c r="FK4" s="125"/>
      <c r="FL4" s="125" t="s">
        <v>85</v>
      </c>
      <c r="FM4" s="125"/>
      <c r="FN4" s="123" t="s">
        <v>86</v>
      </c>
      <c r="FO4" s="124"/>
      <c r="FP4" s="123" t="s">
        <v>238</v>
      </c>
      <c r="FQ4" s="124"/>
      <c r="FR4" s="93" t="s">
        <v>87</v>
      </c>
      <c r="FS4" s="93" t="s">
        <v>88</v>
      </c>
      <c r="FT4" s="93" t="s">
        <v>253</v>
      </c>
      <c r="FU4" s="148" t="s">
        <v>15</v>
      </c>
      <c r="FV4" s="150"/>
      <c r="FW4" s="149"/>
      <c r="FX4" s="125" t="s">
        <v>99</v>
      </c>
      <c r="FY4" s="125"/>
      <c r="FZ4" s="125" t="s">
        <v>100</v>
      </c>
      <c r="GA4" s="125"/>
      <c r="GB4" s="125" t="s">
        <v>101</v>
      </c>
      <c r="GC4" s="125"/>
      <c r="GD4" s="125" t="s">
        <v>102</v>
      </c>
      <c r="GE4" s="125"/>
      <c r="GF4" s="125" t="s">
        <v>103</v>
      </c>
      <c r="GG4" s="125"/>
      <c r="GH4" s="125" t="s">
        <v>105</v>
      </c>
      <c r="GI4" s="125"/>
      <c r="GJ4" s="125" t="s">
        <v>104</v>
      </c>
      <c r="GK4" s="125"/>
      <c r="GL4" s="125" t="s">
        <v>38</v>
      </c>
      <c r="GM4" s="125"/>
      <c r="GN4" s="148" t="s">
        <v>15</v>
      </c>
      <c r="GO4" s="149"/>
      <c r="GP4" s="111" t="s">
        <v>15</v>
      </c>
      <c r="GQ4" s="148" t="s">
        <v>89</v>
      </c>
      <c r="GR4" s="149"/>
      <c r="GS4" s="148" t="s">
        <v>90</v>
      </c>
      <c r="GT4" s="149"/>
      <c r="GU4" s="148" t="s">
        <v>91</v>
      </c>
      <c r="GV4" s="149"/>
      <c r="GW4" s="148" t="s">
        <v>15</v>
      </c>
      <c r="GX4" s="150"/>
      <c r="GY4" s="149"/>
      <c r="GZ4" s="143"/>
      <c r="HA4" s="144"/>
      <c r="HB4" s="123" t="s">
        <v>92</v>
      </c>
      <c r="HC4" s="124"/>
      <c r="HD4" s="123" t="s">
        <v>93</v>
      </c>
      <c r="HE4" s="124"/>
      <c r="HF4" s="123" t="s">
        <v>94</v>
      </c>
      <c r="HG4" s="124"/>
      <c r="HH4" s="123" t="s">
        <v>95</v>
      </c>
      <c r="HI4" s="124"/>
      <c r="HJ4" s="123" t="s">
        <v>96</v>
      </c>
      <c r="HK4" s="124"/>
      <c r="HL4" s="95" t="s">
        <v>97</v>
      </c>
      <c r="HM4" s="123" t="s">
        <v>98</v>
      </c>
      <c r="HN4" s="124"/>
      <c r="HO4" s="123" t="s">
        <v>263</v>
      </c>
      <c r="HP4" s="124"/>
      <c r="HQ4" s="117"/>
      <c r="HR4" s="118"/>
      <c r="HS4" s="119"/>
      <c r="HT4" s="125" t="s">
        <v>154</v>
      </c>
      <c r="HU4" s="125"/>
      <c r="HV4" s="122" t="s">
        <v>155</v>
      </c>
      <c r="HW4" s="122"/>
      <c r="HX4" s="122" t="s">
        <v>156</v>
      </c>
      <c r="HY4" s="122"/>
      <c r="HZ4" s="122" t="s">
        <v>157</v>
      </c>
      <c r="IA4" s="122"/>
      <c r="IB4" s="122" t="s">
        <v>15</v>
      </c>
      <c r="IC4" s="122"/>
      <c r="ID4" s="151" t="s">
        <v>29</v>
      </c>
      <c r="IE4" s="120" t="s">
        <v>71</v>
      </c>
      <c r="IF4" s="121"/>
      <c r="IG4" s="140"/>
      <c r="IH4" s="140"/>
      <c r="II4" s="140"/>
      <c r="IJ4" s="140"/>
      <c r="IK4" s="140"/>
      <c r="IL4" s="140"/>
      <c r="IM4" s="138" t="s">
        <v>106</v>
      </c>
      <c r="IN4" s="138" t="s">
        <v>107</v>
      </c>
      <c r="IO4" s="138" t="s">
        <v>108</v>
      </c>
      <c r="IP4" s="138" t="s">
        <v>109</v>
      </c>
      <c r="IQ4" s="135"/>
      <c r="IR4" s="135"/>
      <c r="IS4" s="133"/>
      <c r="IT4" s="133"/>
      <c r="IU4" s="133"/>
      <c r="IV4" s="133"/>
      <c r="IW4" s="128"/>
      <c r="IX4" s="129"/>
      <c r="IZ4" s="81"/>
    </row>
    <row r="5" spans="1:261" s="96" customFormat="1" ht="49.8" customHeight="1" x14ac:dyDescent="0.25">
      <c r="A5" s="93" t="s">
        <v>2</v>
      </c>
      <c r="B5" s="93" t="s">
        <v>110</v>
      </c>
      <c r="C5" s="93" t="s">
        <v>111</v>
      </c>
      <c r="D5" s="93" t="s">
        <v>112</v>
      </c>
      <c r="E5" s="93" t="s">
        <v>113</v>
      </c>
      <c r="F5" s="88" t="s">
        <v>177</v>
      </c>
      <c r="G5" s="101" t="s">
        <v>176</v>
      </c>
      <c r="H5" s="93" t="s">
        <v>10</v>
      </c>
      <c r="I5" s="93" t="s">
        <v>11</v>
      </c>
      <c r="J5" s="93" t="s">
        <v>12</v>
      </c>
      <c r="K5" s="93" t="s">
        <v>114</v>
      </c>
      <c r="L5" s="93" t="s">
        <v>115</v>
      </c>
      <c r="M5" s="93" t="s">
        <v>116</v>
      </c>
      <c r="N5" s="93" t="s">
        <v>117</v>
      </c>
      <c r="O5" s="101" t="s">
        <v>118</v>
      </c>
      <c r="P5" s="93" t="s">
        <v>119</v>
      </c>
      <c r="Q5" s="93" t="s">
        <v>120</v>
      </c>
      <c r="R5" s="93" t="s">
        <v>121</v>
      </c>
      <c r="S5" s="93" t="s">
        <v>212</v>
      </c>
      <c r="T5" s="89" t="s">
        <v>122</v>
      </c>
      <c r="U5" s="89" t="s">
        <v>123</v>
      </c>
      <c r="V5" s="89" t="s">
        <v>124</v>
      </c>
      <c r="W5" s="90" t="s">
        <v>125</v>
      </c>
      <c r="X5" s="91" t="s">
        <v>179</v>
      </c>
      <c r="Y5" s="93" t="s">
        <v>10</v>
      </c>
      <c r="Z5" s="94" t="s">
        <v>11</v>
      </c>
      <c r="AA5" s="93" t="s">
        <v>10</v>
      </c>
      <c r="AB5" s="93" t="s">
        <v>11</v>
      </c>
      <c r="AC5" s="93" t="s">
        <v>10</v>
      </c>
      <c r="AD5" s="93" t="s">
        <v>11</v>
      </c>
      <c r="AE5" s="93" t="s">
        <v>10</v>
      </c>
      <c r="AF5" s="93" t="s">
        <v>11</v>
      </c>
      <c r="AG5" s="93" t="s">
        <v>10</v>
      </c>
      <c r="AH5" s="93" t="s">
        <v>11</v>
      </c>
      <c r="AI5" s="93" t="s">
        <v>10</v>
      </c>
      <c r="AJ5" s="93" t="s">
        <v>11</v>
      </c>
      <c r="AK5" s="93" t="s">
        <v>10</v>
      </c>
      <c r="AL5" s="93" t="s">
        <v>11</v>
      </c>
      <c r="AM5" s="93" t="s">
        <v>10</v>
      </c>
      <c r="AN5" s="93" t="s">
        <v>11</v>
      </c>
      <c r="AO5" s="93" t="s">
        <v>15</v>
      </c>
      <c r="AP5" s="93" t="s">
        <v>10</v>
      </c>
      <c r="AQ5" s="93" t="s">
        <v>11</v>
      </c>
      <c r="AR5" s="93" t="s">
        <v>10</v>
      </c>
      <c r="AS5" s="93" t="s">
        <v>11</v>
      </c>
      <c r="AT5" s="93" t="s">
        <v>10</v>
      </c>
      <c r="AU5" s="93" t="s">
        <v>11</v>
      </c>
      <c r="AV5" s="93" t="s">
        <v>10</v>
      </c>
      <c r="AW5" s="93" t="s">
        <v>11</v>
      </c>
      <c r="AX5" s="93" t="s">
        <v>10</v>
      </c>
      <c r="AY5" s="93" t="s">
        <v>11</v>
      </c>
      <c r="AZ5" s="93" t="s">
        <v>10</v>
      </c>
      <c r="BA5" s="93" t="s">
        <v>11</v>
      </c>
      <c r="BB5" s="93" t="s">
        <v>10</v>
      </c>
      <c r="BC5" s="93" t="s">
        <v>11</v>
      </c>
      <c r="BD5" s="93" t="s">
        <v>10</v>
      </c>
      <c r="BE5" s="93" t="s">
        <v>11</v>
      </c>
      <c r="BF5" s="93" t="s">
        <v>15</v>
      </c>
      <c r="BG5" s="93" t="s">
        <v>10</v>
      </c>
      <c r="BH5" s="93" t="s">
        <v>11</v>
      </c>
      <c r="BI5" s="93" t="s">
        <v>10</v>
      </c>
      <c r="BJ5" s="93" t="s">
        <v>11</v>
      </c>
      <c r="BK5" s="93" t="s">
        <v>10</v>
      </c>
      <c r="BL5" s="93" t="s">
        <v>11</v>
      </c>
      <c r="BM5" s="93" t="s">
        <v>10</v>
      </c>
      <c r="BN5" s="93" t="s">
        <v>11</v>
      </c>
      <c r="BO5" s="93" t="s">
        <v>10</v>
      </c>
      <c r="BP5" s="93" t="s">
        <v>11</v>
      </c>
      <c r="BQ5" s="93" t="s">
        <v>10</v>
      </c>
      <c r="BR5" s="93" t="s">
        <v>11</v>
      </c>
      <c r="BS5" s="93" t="s">
        <v>10</v>
      </c>
      <c r="BT5" s="93" t="s">
        <v>11</v>
      </c>
      <c r="BU5" s="93" t="s">
        <v>10</v>
      </c>
      <c r="BV5" s="93" t="s">
        <v>11</v>
      </c>
      <c r="BW5" s="93" t="s">
        <v>15</v>
      </c>
      <c r="BX5" s="93" t="s">
        <v>10</v>
      </c>
      <c r="BY5" s="93" t="s">
        <v>11</v>
      </c>
      <c r="BZ5" s="93" t="s">
        <v>10</v>
      </c>
      <c r="CA5" s="93" t="s">
        <v>11</v>
      </c>
      <c r="CB5" s="93" t="s">
        <v>10</v>
      </c>
      <c r="CC5" s="93" t="s">
        <v>11</v>
      </c>
      <c r="CD5" s="93" t="s">
        <v>10</v>
      </c>
      <c r="CE5" s="93" t="s">
        <v>11</v>
      </c>
      <c r="CF5" s="93" t="s">
        <v>10</v>
      </c>
      <c r="CG5" s="93" t="s">
        <v>11</v>
      </c>
      <c r="CH5" s="93" t="s">
        <v>10</v>
      </c>
      <c r="CI5" s="93" t="s">
        <v>11</v>
      </c>
      <c r="CJ5" s="93" t="s">
        <v>10</v>
      </c>
      <c r="CK5" s="93" t="s">
        <v>11</v>
      </c>
      <c r="CL5" s="93" t="s">
        <v>10</v>
      </c>
      <c r="CM5" s="93" t="s">
        <v>11</v>
      </c>
      <c r="CN5" s="93" t="s">
        <v>15</v>
      </c>
      <c r="CO5" s="93" t="s">
        <v>10</v>
      </c>
      <c r="CP5" s="93" t="s">
        <v>11</v>
      </c>
      <c r="CQ5" s="93" t="s">
        <v>12</v>
      </c>
      <c r="CR5" s="93" t="s">
        <v>10</v>
      </c>
      <c r="CS5" s="93" t="s">
        <v>11</v>
      </c>
      <c r="CT5" s="93" t="s">
        <v>12</v>
      </c>
      <c r="CU5" s="93" t="s">
        <v>10</v>
      </c>
      <c r="CV5" s="93" t="s">
        <v>11</v>
      </c>
      <c r="CW5" s="93" t="s">
        <v>12</v>
      </c>
      <c r="CX5" s="93" t="s">
        <v>10</v>
      </c>
      <c r="CY5" s="93" t="s">
        <v>11</v>
      </c>
      <c r="CZ5" s="93" t="s">
        <v>12</v>
      </c>
      <c r="DA5" s="93" t="s">
        <v>15</v>
      </c>
      <c r="DB5" s="93" t="s">
        <v>10</v>
      </c>
      <c r="DC5" s="93" t="s">
        <v>11</v>
      </c>
      <c r="DD5" s="93" t="s">
        <v>10</v>
      </c>
      <c r="DE5" s="93" t="s">
        <v>11</v>
      </c>
      <c r="DF5" s="93" t="s">
        <v>10</v>
      </c>
      <c r="DG5" s="93" t="s">
        <v>11</v>
      </c>
      <c r="DH5" s="93" t="s">
        <v>10</v>
      </c>
      <c r="DI5" s="93" t="s">
        <v>11</v>
      </c>
      <c r="DJ5" s="93" t="s">
        <v>15</v>
      </c>
      <c r="DK5" s="93" t="s">
        <v>10</v>
      </c>
      <c r="DL5" s="93" t="s">
        <v>11</v>
      </c>
      <c r="DM5" s="93" t="s">
        <v>10</v>
      </c>
      <c r="DN5" s="93" t="s">
        <v>11</v>
      </c>
      <c r="DO5" s="93" t="s">
        <v>10</v>
      </c>
      <c r="DP5" s="93" t="s">
        <v>11</v>
      </c>
      <c r="DQ5" s="93" t="s">
        <v>10</v>
      </c>
      <c r="DR5" s="93" t="s">
        <v>11</v>
      </c>
      <c r="DS5" s="93" t="s">
        <v>15</v>
      </c>
      <c r="DT5" s="93" t="s">
        <v>10</v>
      </c>
      <c r="DU5" s="93" t="s">
        <v>11</v>
      </c>
      <c r="DV5" s="93" t="s">
        <v>10</v>
      </c>
      <c r="DW5" s="93" t="s">
        <v>11</v>
      </c>
      <c r="DX5" s="93" t="s">
        <v>10</v>
      </c>
      <c r="DY5" s="93" t="s">
        <v>11</v>
      </c>
      <c r="DZ5" s="93" t="s">
        <v>10</v>
      </c>
      <c r="EA5" s="93" t="s">
        <v>11</v>
      </c>
      <c r="EB5" s="93" t="s">
        <v>15</v>
      </c>
      <c r="EC5" s="93" t="s">
        <v>10</v>
      </c>
      <c r="ED5" s="93" t="s">
        <v>11</v>
      </c>
      <c r="EE5" s="93" t="s">
        <v>10</v>
      </c>
      <c r="EF5" s="93" t="s">
        <v>11</v>
      </c>
      <c r="EG5" s="93" t="s">
        <v>10</v>
      </c>
      <c r="EH5" s="93" t="s">
        <v>11</v>
      </c>
      <c r="EI5" s="93" t="s">
        <v>10</v>
      </c>
      <c r="EJ5" s="93" t="s">
        <v>11</v>
      </c>
      <c r="EK5" s="93" t="s">
        <v>15</v>
      </c>
      <c r="EL5" s="93" t="s">
        <v>10</v>
      </c>
      <c r="EM5" s="93" t="s">
        <v>11</v>
      </c>
      <c r="EN5" s="93" t="s">
        <v>10</v>
      </c>
      <c r="EO5" s="93" t="s">
        <v>11</v>
      </c>
      <c r="EP5" s="93" t="s">
        <v>10</v>
      </c>
      <c r="EQ5" s="93" t="s">
        <v>11</v>
      </c>
      <c r="ER5" s="93" t="s">
        <v>10</v>
      </c>
      <c r="ES5" s="93" t="s">
        <v>11</v>
      </c>
      <c r="ET5" s="93" t="s">
        <v>15</v>
      </c>
      <c r="EU5" s="93" t="s">
        <v>126</v>
      </c>
      <c r="EV5" s="93" t="s">
        <v>14</v>
      </c>
      <c r="EW5" s="93" t="s">
        <v>126</v>
      </c>
      <c r="EX5" s="93" t="s">
        <v>14</v>
      </c>
      <c r="EY5" s="93" t="s">
        <v>126</v>
      </c>
      <c r="EZ5" s="93" t="s">
        <v>14</v>
      </c>
      <c r="FA5" s="93" t="s">
        <v>126</v>
      </c>
      <c r="FB5" s="93" t="s">
        <v>14</v>
      </c>
      <c r="FC5" s="93" t="s">
        <v>126</v>
      </c>
      <c r="FD5" s="93" t="s">
        <v>14</v>
      </c>
      <c r="FE5" s="93" t="s">
        <v>15</v>
      </c>
      <c r="FF5" s="93" t="s">
        <v>13</v>
      </c>
      <c r="FG5" s="93" t="s">
        <v>14</v>
      </c>
      <c r="FH5" s="93" t="s">
        <v>13</v>
      </c>
      <c r="FI5" s="93" t="s">
        <v>14</v>
      </c>
      <c r="FJ5" s="93" t="s">
        <v>13</v>
      </c>
      <c r="FK5" s="93" t="s">
        <v>14</v>
      </c>
      <c r="FL5" s="93" t="s">
        <v>13</v>
      </c>
      <c r="FM5" s="93" t="s">
        <v>14</v>
      </c>
      <c r="FN5" s="93" t="s">
        <v>13</v>
      </c>
      <c r="FO5" s="93" t="s">
        <v>14</v>
      </c>
      <c r="FP5" s="93" t="s">
        <v>13</v>
      </c>
      <c r="FQ5" s="93" t="s">
        <v>14</v>
      </c>
      <c r="FR5" s="93" t="s">
        <v>13</v>
      </c>
      <c r="FS5" s="93" t="s">
        <v>13</v>
      </c>
      <c r="FT5" s="93" t="s">
        <v>13</v>
      </c>
      <c r="FU5" s="93" t="s">
        <v>13</v>
      </c>
      <c r="FV5" s="93" t="s">
        <v>14</v>
      </c>
      <c r="FW5" s="93" t="s">
        <v>15</v>
      </c>
      <c r="FX5" s="93" t="s">
        <v>126</v>
      </c>
      <c r="FY5" s="93" t="s">
        <v>14</v>
      </c>
      <c r="FZ5" s="93" t="s">
        <v>126</v>
      </c>
      <c r="GA5" s="93" t="s">
        <v>14</v>
      </c>
      <c r="GB5" s="93" t="s">
        <v>126</v>
      </c>
      <c r="GC5" s="93" t="s">
        <v>14</v>
      </c>
      <c r="GD5" s="93" t="s">
        <v>13</v>
      </c>
      <c r="GE5" s="93" t="s">
        <v>14</v>
      </c>
      <c r="GF5" s="93" t="s">
        <v>126</v>
      </c>
      <c r="GG5" s="93" t="s">
        <v>14</v>
      </c>
      <c r="GH5" s="93" t="s">
        <v>126</v>
      </c>
      <c r="GI5" s="93" t="s">
        <v>14</v>
      </c>
      <c r="GJ5" s="93" t="s">
        <v>126</v>
      </c>
      <c r="GK5" s="93" t="s">
        <v>14</v>
      </c>
      <c r="GL5" s="93" t="s">
        <v>126</v>
      </c>
      <c r="GM5" s="93" t="s">
        <v>14</v>
      </c>
      <c r="GN5" s="93" t="s">
        <v>126</v>
      </c>
      <c r="GO5" s="93" t="s">
        <v>14</v>
      </c>
      <c r="GP5" s="113"/>
      <c r="GQ5" s="93" t="s">
        <v>13</v>
      </c>
      <c r="GR5" s="93" t="s">
        <v>14</v>
      </c>
      <c r="GS5" s="93" t="s">
        <v>13</v>
      </c>
      <c r="GT5" s="93" t="s">
        <v>14</v>
      </c>
      <c r="GU5" s="93" t="s">
        <v>13</v>
      </c>
      <c r="GV5" s="93" t="s">
        <v>14</v>
      </c>
      <c r="GW5" s="93" t="s">
        <v>13</v>
      </c>
      <c r="GX5" s="93" t="s">
        <v>14</v>
      </c>
      <c r="GY5" s="93" t="s">
        <v>15</v>
      </c>
      <c r="GZ5" s="93" t="s">
        <v>13</v>
      </c>
      <c r="HA5" s="93" t="s">
        <v>14</v>
      </c>
      <c r="HB5" s="93" t="s">
        <v>13</v>
      </c>
      <c r="HC5" s="93" t="s">
        <v>14</v>
      </c>
      <c r="HD5" s="93" t="s">
        <v>13</v>
      </c>
      <c r="HE5" s="93" t="s">
        <v>14</v>
      </c>
      <c r="HF5" s="93" t="s">
        <v>13</v>
      </c>
      <c r="HG5" s="93" t="s">
        <v>14</v>
      </c>
      <c r="HH5" s="93" t="s">
        <v>13</v>
      </c>
      <c r="HI5" s="93" t="s">
        <v>14</v>
      </c>
      <c r="HJ5" s="93" t="s">
        <v>13</v>
      </c>
      <c r="HK5" s="93" t="s">
        <v>14</v>
      </c>
      <c r="HL5" s="93" t="s">
        <v>14</v>
      </c>
      <c r="HM5" s="93" t="s">
        <v>13</v>
      </c>
      <c r="HN5" s="93" t="s">
        <v>14</v>
      </c>
      <c r="HO5" s="93" t="s">
        <v>13</v>
      </c>
      <c r="HP5" s="93" t="s">
        <v>14</v>
      </c>
      <c r="HQ5" s="93" t="s">
        <v>13</v>
      </c>
      <c r="HR5" s="93" t="s">
        <v>14</v>
      </c>
      <c r="HS5" s="93" t="s">
        <v>15</v>
      </c>
      <c r="HT5" s="93" t="s">
        <v>126</v>
      </c>
      <c r="HU5" s="93" t="s">
        <v>14</v>
      </c>
      <c r="HV5" s="93" t="s">
        <v>126</v>
      </c>
      <c r="HW5" s="93" t="s">
        <v>14</v>
      </c>
      <c r="HX5" s="93" t="s">
        <v>126</v>
      </c>
      <c r="HY5" s="93" t="s">
        <v>14</v>
      </c>
      <c r="HZ5" s="93" t="s">
        <v>126</v>
      </c>
      <c r="IA5" s="93" t="s">
        <v>14</v>
      </c>
      <c r="IB5" s="93" t="s">
        <v>126</v>
      </c>
      <c r="IC5" s="93" t="s">
        <v>14</v>
      </c>
      <c r="ID5" s="152"/>
      <c r="IE5" s="93" t="s">
        <v>126</v>
      </c>
      <c r="IF5" s="93" t="s">
        <v>14</v>
      </c>
      <c r="IG5" s="102" t="s">
        <v>128</v>
      </c>
      <c r="IH5" s="102" t="s">
        <v>127</v>
      </c>
      <c r="II5" s="102" t="s">
        <v>128</v>
      </c>
      <c r="IJ5" s="102" t="s">
        <v>127</v>
      </c>
      <c r="IK5" s="102" t="s">
        <v>128</v>
      </c>
      <c r="IL5" s="102" t="s">
        <v>127</v>
      </c>
      <c r="IM5" s="139"/>
      <c r="IN5" s="139"/>
      <c r="IO5" s="139"/>
      <c r="IP5" s="139"/>
      <c r="IQ5" s="136"/>
      <c r="IR5" s="136"/>
      <c r="IS5" s="133"/>
      <c r="IT5" s="133"/>
      <c r="IU5" s="133"/>
      <c r="IV5" s="133"/>
      <c r="IW5" s="103" t="s">
        <v>237</v>
      </c>
      <c r="IX5" s="103" t="s">
        <v>127</v>
      </c>
      <c r="IY5" s="101" t="s">
        <v>213</v>
      </c>
      <c r="IZ5" s="92" t="s">
        <v>214</v>
      </c>
      <c r="JA5" s="101" t="s">
        <v>183</v>
      </c>
    </row>
    <row r="6" spans="1:261" s="65" customFormat="1" ht="24.75" customHeight="1" x14ac:dyDescent="0.25">
      <c r="A6" s="64">
        <v>1</v>
      </c>
      <c r="B6" s="64">
        <v>1</v>
      </c>
      <c r="C6" s="64">
        <v>1</v>
      </c>
      <c r="D6" s="64">
        <v>1400724</v>
      </c>
      <c r="E6" s="64" t="s">
        <v>130</v>
      </c>
      <c r="F6" s="64"/>
      <c r="G6" s="64">
        <v>1</v>
      </c>
      <c r="H6" s="64">
        <v>1</v>
      </c>
      <c r="I6" s="64"/>
      <c r="J6" s="64"/>
      <c r="K6" s="64">
        <v>1</v>
      </c>
      <c r="L6" s="64"/>
      <c r="M6" s="64"/>
      <c r="N6" s="64">
        <v>1</v>
      </c>
      <c r="O6" s="64"/>
      <c r="P6" s="64"/>
      <c r="Q6" s="64"/>
      <c r="R6" s="64">
        <v>1</v>
      </c>
      <c r="S6" s="64"/>
      <c r="T6" s="64"/>
      <c r="U6" s="64"/>
      <c r="V6" s="64">
        <v>1</v>
      </c>
      <c r="W6" s="64"/>
      <c r="X6" s="64"/>
      <c r="Y6" s="64">
        <v>5</v>
      </c>
      <c r="Z6" s="82"/>
      <c r="AA6" s="64">
        <v>9</v>
      </c>
      <c r="AB6" s="64"/>
      <c r="AC6" s="64">
        <v>13</v>
      </c>
      <c r="AD6" s="64"/>
      <c r="AE6" s="64">
        <v>6</v>
      </c>
      <c r="AF6" s="64"/>
      <c r="AG6" s="64">
        <v>9</v>
      </c>
      <c r="AH6" s="64"/>
      <c r="AI6" s="64">
        <v>8</v>
      </c>
      <c r="AJ6" s="64"/>
      <c r="AK6" s="64">
        <v>4</v>
      </c>
      <c r="AL6" s="64"/>
      <c r="AM6" s="64">
        <f>AK6+AI6+AG6+AE6+AC6+AA6+Y6</f>
        <v>54</v>
      </c>
      <c r="AN6" s="64">
        <f>AL6+AJ6+AH6+AF6+AD6+AB6+Z6</f>
        <v>0</v>
      </c>
      <c r="AO6" s="64">
        <f>AN6+AM6</f>
        <v>54</v>
      </c>
      <c r="AP6" s="64"/>
      <c r="AQ6" s="64"/>
      <c r="AR6" s="64">
        <v>2</v>
      </c>
      <c r="AS6" s="64"/>
      <c r="AT6" s="64">
        <v>10</v>
      </c>
      <c r="AU6" s="64"/>
      <c r="AV6" s="64">
        <v>12</v>
      </c>
      <c r="AW6" s="64"/>
      <c r="AX6" s="64">
        <v>13</v>
      </c>
      <c r="AY6" s="64"/>
      <c r="AZ6" s="64">
        <v>8</v>
      </c>
      <c r="BA6" s="64"/>
      <c r="BB6" s="64">
        <v>6</v>
      </c>
      <c r="BC6" s="64"/>
      <c r="BD6" s="64">
        <f t="shared" ref="BD6:BD13" si="0">BB6+AZ6+AX6+AV6+AT6+AR6+AP6</f>
        <v>51</v>
      </c>
      <c r="BE6" s="64">
        <f t="shared" ref="BE6:BE13" si="1">BC6+BA6+AY6+AW6+AU6+AS6+AQ6</f>
        <v>0</v>
      </c>
      <c r="BF6" s="64">
        <f t="shared" ref="BF6:BF13" si="2">BE6+BD6</f>
        <v>51</v>
      </c>
      <c r="BG6" s="64">
        <v>1</v>
      </c>
      <c r="BH6" s="64"/>
      <c r="BI6" s="64">
        <v>1</v>
      </c>
      <c r="BJ6" s="64"/>
      <c r="BK6" s="64">
        <v>12</v>
      </c>
      <c r="BL6" s="64"/>
      <c r="BM6" s="64">
        <v>19</v>
      </c>
      <c r="BN6" s="64"/>
      <c r="BO6" s="64">
        <v>33</v>
      </c>
      <c r="BP6" s="64"/>
      <c r="BQ6" s="64">
        <v>31</v>
      </c>
      <c r="BR6" s="64"/>
      <c r="BS6" s="64">
        <v>30</v>
      </c>
      <c r="BT6" s="64"/>
      <c r="BU6" s="64">
        <f t="shared" ref="BU6:BU13" si="3">BS6+BQ6+BO6+BM6+BK6+BI6+BG6</f>
        <v>127</v>
      </c>
      <c r="BV6" s="64">
        <f t="shared" ref="BV6:BV13" si="4">BT6+BR6+BP6+BN6+BL6+BJ6+BH6</f>
        <v>0</v>
      </c>
      <c r="BW6" s="64">
        <f t="shared" ref="BW6:BW13" si="5">BV6+BU6</f>
        <v>127</v>
      </c>
      <c r="BX6" s="64">
        <f>BG6+AP6+Y6</f>
        <v>6</v>
      </c>
      <c r="BY6" s="64">
        <f t="shared" ref="BY6:CK6" si="6">BH6+AQ6+Z6</f>
        <v>0</v>
      </c>
      <c r="BZ6" s="64">
        <f t="shared" si="6"/>
        <v>12</v>
      </c>
      <c r="CA6" s="64">
        <f t="shared" si="6"/>
        <v>0</v>
      </c>
      <c r="CB6" s="64">
        <f t="shared" si="6"/>
        <v>35</v>
      </c>
      <c r="CC6" s="64">
        <f t="shared" si="6"/>
        <v>0</v>
      </c>
      <c r="CD6" s="64">
        <f t="shared" si="6"/>
        <v>37</v>
      </c>
      <c r="CE6" s="64">
        <f t="shared" si="6"/>
        <v>0</v>
      </c>
      <c r="CF6" s="64">
        <f t="shared" si="6"/>
        <v>55</v>
      </c>
      <c r="CG6" s="64">
        <f t="shared" si="6"/>
        <v>0</v>
      </c>
      <c r="CH6" s="64">
        <f t="shared" si="6"/>
        <v>47</v>
      </c>
      <c r="CI6" s="64">
        <f t="shared" si="6"/>
        <v>0</v>
      </c>
      <c r="CJ6" s="64">
        <f t="shared" si="6"/>
        <v>40</v>
      </c>
      <c r="CK6" s="64">
        <f t="shared" si="6"/>
        <v>0</v>
      </c>
      <c r="CL6" s="64">
        <f t="shared" ref="CL6:CL13" si="7">CJ6+CH6+CF6+CD6+CB6+BZ6+BX6</f>
        <v>232</v>
      </c>
      <c r="CM6" s="64">
        <f t="shared" ref="CM6:CM13" si="8">CK6+CI6+CG6+CE6+CC6+CA6+BY6</f>
        <v>0</v>
      </c>
      <c r="CN6" s="64">
        <f t="shared" ref="CN6:CN13" si="9">CM6+CL6</f>
        <v>232</v>
      </c>
      <c r="CO6" s="64">
        <v>2</v>
      </c>
      <c r="CP6" s="64"/>
      <c r="CQ6" s="64"/>
      <c r="CR6" s="64">
        <v>2</v>
      </c>
      <c r="CS6" s="64"/>
      <c r="CT6" s="64"/>
      <c r="CU6" s="64">
        <v>4</v>
      </c>
      <c r="CV6" s="64"/>
      <c r="CW6" s="64"/>
      <c r="CX6" s="64">
        <f>CU6+CR6+CO6</f>
        <v>8</v>
      </c>
      <c r="CY6" s="64">
        <f t="shared" ref="CY6:CZ6" si="10">CV6+CS6+CP6</f>
        <v>0</v>
      </c>
      <c r="CZ6" s="64">
        <f t="shared" si="10"/>
        <v>0</v>
      </c>
      <c r="DA6" s="64">
        <f>CZ6+CY6+CX6</f>
        <v>8</v>
      </c>
      <c r="DB6" s="64">
        <v>23</v>
      </c>
      <c r="DC6" s="64"/>
      <c r="DD6" s="64"/>
      <c r="DE6" s="64"/>
      <c r="DF6" s="64"/>
      <c r="DG6" s="64"/>
      <c r="DH6" s="64">
        <f t="shared" ref="DH6:DH13" si="11">DF6+DD6+DB6</f>
        <v>23</v>
      </c>
      <c r="DI6" s="64">
        <f t="shared" ref="DI6:DI13" si="12">DG6+DE6+DC6</f>
        <v>0</v>
      </c>
      <c r="DJ6" s="64">
        <f t="shared" ref="DJ6:DJ13" si="13">DI6+DH6</f>
        <v>23</v>
      </c>
      <c r="DK6" s="64">
        <v>31</v>
      </c>
      <c r="DL6" s="64"/>
      <c r="DM6" s="64">
        <v>39</v>
      </c>
      <c r="DN6" s="64"/>
      <c r="DO6" s="64">
        <v>66</v>
      </c>
      <c r="DP6" s="64"/>
      <c r="DQ6" s="64">
        <f t="shared" ref="DQ6:DQ13" si="14">DO6+DM6+DK6</f>
        <v>136</v>
      </c>
      <c r="DR6" s="64">
        <f t="shared" ref="DR6:DR13" si="15">DP6+DN6+DL6</f>
        <v>0</v>
      </c>
      <c r="DS6" s="64">
        <f t="shared" ref="DS6:DS13" si="16">DR6+DQ6</f>
        <v>136</v>
      </c>
      <c r="DT6" s="64">
        <v>11</v>
      </c>
      <c r="DU6" s="64"/>
      <c r="DV6" s="64">
        <v>12</v>
      </c>
      <c r="DW6" s="64"/>
      <c r="DX6" s="64">
        <v>20</v>
      </c>
      <c r="DY6" s="64"/>
      <c r="DZ6" s="64">
        <f>DX6+DV6+DT6</f>
        <v>43</v>
      </c>
      <c r="EA6" s="64">
        <f>DY6+DW6+DU6</f>
        <v>0</v>
      </c>
      <c r="EB6" s="64">
        <f>EA6+DZ6</f>
        <v>43</v>
      </c>
      <c r="EC6" s="64"/>
      <c r="ED6" s="64"/>
      <c r="EE6" s="64"/>
      <c r="EF6" s="64"/>
      <c r="EG6" s="64"/>
      <c r="EH6" s="64"/>
      <c r="EI6" s="64">
        <f>EG6+EE6+EC6</f>
        <v>0</v>
      </c>
      <c r="EJ6" s="64">
        <f>EH6+EF6+ED6</f>
        <v>0</v>
      </c>
      <c r="EK6" s="64">
        <f>EJ6+EI6</f>
        <v>0</v>
      </c>
      <c r="EL6" s="64"/>
      <c r="EM6" s="64"/>
      <c r="EN6" s="64"/>
      <c r="EO6" s="64"/>
      <c r="EP6" s="64"/>
      <c r="EQ6" s="64"/>
      <c r="ER6" s="64">
        <f>EP6+EN6+EL6</f>
        <v>0</v>
      </c>
      <c r="ES6" s="64">
        <f>EQ6+EO6+EM6</f>
        <v>0</v>
      </c>
      <c r="ET6" s="64">
        <f>ES6+ER6</f>
        <v>0</v>
      </c>
      <c r="EU6" s="64">
        <v>1</v>
      </c>
      <c r="EV6" s="64"/>
      <c r="EW6" s="64">
        <v>1</v>
      </c>
      <c r="EX6" s="64"/>
      <c r="EY6" s="64">
        <v>4</v>
      </c>
      <c r="EZ6" s="64">
        <v>1</v>
      </c>
      <c r="FA6" s="64"/>
      <c r="FB6" s="64"/>
      <c r="FC6" s="64">
        <f>FA6+EY6+EW6+EU6</f>
        <v>6</v>
      </c>
      <c r="FD6" s="64">
        <f>FB6+EZ6+EX6+EV6</f>
        <v>1</v>
      </c>
      <c r="FE6" s="64">
        <f>FD6+FC6</f>
        <v>7</v>
      </c>
      <c r="FF6" s="64"/>
      <c r="FG6" s="64"/>
      <c r="FH6" s="64"/>
      <c r="FI6" s="64"/>
      <c r="FJ6" s="64"/>
      <c r="FK6" s="64"/>
      <c r="FL6" s="64"/>
      <c r="FM6" s="64"/>
      <c r="FN6" s="64">
        <v>2</v>
      </c>
      <c r="FO6" s="64"/>
      <c r="FP6" s="64"/>
      <c r="FQ6" s="64"/>
      <c r="FR6" s="64"/>
      <c r="FS6" s="64"/>
      <c r="FT6" s="64"/>
      <c r="FU6" s="64">
        <f>FT6+FS6+FR6+FN6+FL6+FH6+FF6+FP6+FJ6</f>
        <v>2</v>
      </c>
      <c r="FV6" s="64">
        <f>FO6+FM6+FI6+FG6+FK6+FQ6</f>
        <v>0</v>
      </c>
      <c r="FW6" s="64">
        <f>FV6+FU6</f>
        <v>2</v>
      </c>
      <c r="FX6" s="64"/>
      <c r="FY6" s="64"/>
      <c r="FZ6" s="64"/>
      <c r="GA6" s="64"/>
      <c r="GB6" s="64">
        <v>3</v>
      </c>
      <c r="GC6" s="64">
        <v>1</v>
      </c>
      <c r="GD6" s="64"/>
      <c r="GE6" s="64"/>
      <c r="GF6" s="64"/>
      <c r="GG6" s="64"/>
      <c r="GH6" s="64">
        <v>2</v>
      </c>
      <c r="GI6" s="64"/>
      <c r="GJ6" s="64">
        <v>1</v>
      </c>
      <c r="GK6" s="64"/>
      <c r="GL6" s="64"/>
      <c r="GM6" s="64"/>
      <c r="GN6" s="64">
        <f>GL6+GJ6+GH6+GF6+GD6+GB6+FZ6+FX6</f>
        <v>6</v>
      </c>
      <c r="GO6" s="64">
        <f>GM6+GK6+GI6+GG6+GE6+GC6+GA6+FY6</f>
        <v>1</v>
      </c>
      <c r="GP6" s="64">
        <f>GO6+GN6</f>
        <v>7</v>
      </c>
      <c r="GQ6" s="64">
        <v>6</v>
      </c>
      <c r="GR6" s="64">
        <v>1</v>
      </c>
      <c r="GS6" s="64"/>
      <c r="GT6" s="64"/>
      <c r="GU6" s="64"/>
      <c r="GV6" s="64"/>
      <c r="GW6" s="64">
        <f>GU6+GS6+GQ6</f>
        <v>6</v>
      </c>
      <c r="GX6" s="64">
        <f>GV6+GT6+GR6</f>
        <v>1</v>
      </c>
      <c r="GY6" s="64">
        <f>GX6+GW6</f>
        <v>7</v>
      </c>
      <c r="GZ6" s="64">
        <v>5</v>
      </c>
      <c r="HA6" s="64">
        <v>1</v>
      </c>
      <c r="HB6" s="64"/>
      <c r="HC6" s="64"/>
      <c r="HD6" s="64"/>
      <c r="HE6" s="64"/>
      <c r="HF6" s="64"/>
      <c r="HG6" s="64"/>
      <c r="HH6" s="64"/>
      <c r="HI6" s="64"/>
      <c r="HJ6" s="64"/>
      <c r="HK6" s="64"/>
      <c r="HL6" s="64"/>
      <c r="HM6" s="64"/>
      <c r="HN6" s="64"/>
      <c r="HO6" s="64">
        <v>1</v>
      </c>
      <c r="HP6" s="64"/>
      <c r="HQ6" s="64">
        <f t="shared" ref="HQ6:HQ9" si="17">HO6+GZ6+HM6+HJ6+HH6+HF6+HD6+HB6</f>
        <v>6</v>
      </c>
      <c r="HR6" s="64">
        <f t="shared" ref="HR6:HR9" si="18">HP6+HA6+HN6+HL6+HK6+HI6+HG6+HE6+HC6</f>
        <v>1</v>
      </c>
      <c r="HS6" s="64">
        <f>HR6+HQ6</f>
        <v>7</v>
      </c>
      <c r="HT6" s="64"/>
      <c r="HU6" s="64"/>
      <c r="HV6" s="64">
        <v>6</v>
      </c>
      <c r="HW6" s="64">
        <v>1</v>
      </c>
      <c r="HX6" s="64"/>
      <c r="HY6" s="64"/>
      <c r="HZ6" s="64"/>
      <c r="IA6" s="64"/>
      <c r="IB6" s="64">
        <f>HZ6+HX6+HV6+HT6</f>
        <v>6</v>
      </c>
      <c r="IC6" s="64">
        <f>IA6+HY6+HW6+HU6</f>
        <v>1</v>
      </c>
      <c r="ID6" s="64">
        <f>IC6+IB6</f>
        <v>7</v>
      </c>
      <c r="IE6" s="64"/>
      <c r="IF6" s="64"/>
      <c r="IG6" s="64"/>
      <c r="IH6" s="64">
        <v>1</v>
      </c>
      <c r="II6" s="64"/>
      <c r="IJ6" s="64">
        <v>1</v>
      </c>
      <c r="IK6" s="64"/>
      <c r="IL6" s="64">
        <v>1</v>
      </c>
      <c r="IM6" s="64"/>
      <c r="IN6" s="64"/>
      <c r="IO6" s="64"/>
      <c r="IP6" s="64"/>
      <c r="IQ6" s="64"/>
      <c r="IR6" s="64"/>
      <c r="IS6" s="64">
        <v>8</v>
      </c>
      <c r="IT6" s="64">
        <v>1</v>
      </c>
      <c r="IU6" s="64">
        <v>3</v>
      </c>
      <c r="IV6" s="64"/>
      <c r="IW6" s="64"/>
      <c r="IX6" s="64">
        <v>1</v>
      </c>
      <c r="IY6" s="64" t="s">
        <v>217</v>
      </c>
      <c r="IZ6" s="78">
        <v>7801262206</v>
      </c>
      <c r="JA6" s="64" t="s">
        <v>196</v>
      </c>
    </row>
    <row r="7" spans="1:261" s="65" customFormat="1" ht="24.75" customHeight="1" x14ac:dyDescent="0.25">
      <c r="A7" s="64">
        <v>1</v>
      </c>
      <c r="B7" s="64">
        <v>1</v>
      </c>
      <c r="C7" s="64">
        <v>2</v>
      </c>
      <c r="D7" s="64">
        <v>1400725</v>
      </c>
      <c r="E7" s="64" t="s">
        <v>131</v>
      </c>
      <c r="F7" s="64"/>
      <c r="G7" s="64">
        <v>1</v>
      </c>
      <c r="H7" s="64"/>
      <c r="I7" s="64">
        <v>1</v>
      </c>
      <c r="J7" s="64"/>
      <c r="K7" s="64">
        <v>1</v>
      </c>
      <c r="L7" s="64"/>
      <c r="M7" s="64"/>
      <c r="N7" s="64">
        <v>1</v>
      </c>
      <c r="O7" s="64"/>
      <c r="P7" s="64"/>
      <c r="Q7" s="64"/>
      <c r="R7" s="64">
        <v>1</v>
      </c>
      <c r="S7" s="64"/>
      <c r="T7" s="64"/>
      <c r="U7" s="64"/>
      <c r="V7" s="64">
        <v>1</v>
      </c>
      <c r="W7" s="64"/>
      <c r="X7" s="64"/>
      <c r="Y7" s="64"/>
      <c r="Z7" s="82">
        <v>2</v>
      </c>
      <c r="AA7" s="64"/>
      <c r="AB7" s="64">
        <v>1</v>
      </c>
      <c r="AC7" s="64"/>
      <c r="AD7" s="64"/>
      <c r="AE7" s="64"/>
      <c r="AF7" s="64">
        <v>1</v>
      </c>
      <c r="AG7" s="64"/>
      <c r="AH7" s="64"/>
      <c r="AI7" s="64"/>
      <c r="AJ7" s="64"/>
      <c r="AK7" s="64"/>
      <c r="AL7" s="64"/>
      <c r="AM7" s="64">
        <f t="shared" ref="AM7:AM13" si="19">AK7+AI7+AG7+AE7+AC7+AA7+Y7</f>
        <v>0</v>
      </c>
      <c r="AN7" s="64">
        <f t="shared" ref="AN7:AN13" si="20">AL7+AJ7+AH7+AF7+AD7+AB7+Z7</f>
        <v>4</v>
      </c>
      <c r="AO7" s="64">
        <f t="shared" ref="AO7:AO13" si="21">AN7+AM7</f>
        <v>4</v>
      </c>
      <c r="AP7" s="64"/>
      <c r="AQ7" s="64"/>
      <c r="AR7" s="64"/>
      <c r="AS7" s="64">
        <v>1</v>
      </c>
      <c r="AT7" s="64"/>
      <c r="AU7" s="64">
        <v>5</v>
      </c>
      <c r="AV7" s="64"/>
      <c r="AW7" s="64">
        <v>2</v>
      </c>
      <c r="AX7" s="64"/>
      <c r="AY7" s="64">
        <v>3</v>
      </c>
      <c r="AZ7" s="64"/>
      <c r="BA7" s="64">
        <v>2</v>
      </c>
      <c r="BB7" s="64"/>
      <c r="BC7" s="64">
        <v>2</v>
      </c>
      <c r="BD7" s="64">
        <f t="shared" si="0"/>
        <v>0</v>
      </c>
      <c r="BE7" s="64">
        <f t="shared" si="1"/>
        <v>15</v>
      </c>
      <c r="BF7" s="64">
        <f t="shared" si="2"/>
        <v>15</v>
      </c>
      <c r="BG7" s="64"/>
      <c r="BH7" s="64"/>
      <c r="BI7" s="64"/>
      <c r="BJ7" s="64"/>
      <c r="BK7" s="64"/>
      <c r="BL7" s="64">
        <v>5</v>
      </c>
      <c r="BM7" s="64"/>
      <c r="BN7" s="64">
        <v>2</v>
      </c>
      <c r="BO7" s="64"/>
      <c r="BP7" s="64">
        <v>7</v>
      </c>
      <c r="BQ7" s="64"/>
      <c r="BR7" s="64">
        <v>5</v>
      </c>
      <c r="BS7" s="64"/>
      <c r="BT7" s="64">
        <v>4</v>
      </c>
      <c r="BU7" s="64">
        <f t="shared" si="3"/>
        <v>0</v>
      </c>
      <c r="BV7" s="64">
        <f t="shared" si="4"/>
        <v>23</v>
      </c>
      <c r="BW7" s="64">
        <f t="shared" si="5"/>
        <v>23</v>
      </c>
      <c r="BX7" s="64">
        <f t="shared" ref="BX7:BX13" si="22">BG7+AP7+Y7</f>
        <v>0</v>
      </c>
      <c r="BY7" s="64">
        <f t="shared" ref="BY7:BY13" si="23">BH7+AQ7+Z7</f>
        <v>2</v>
      </c>
      <c r="BZ7" s="64">
        <f t="shared" ref="BZ7:BZ13" si="24">BI7+AR7+AA7</f>
        <v>0</v>
      </c>
      <c r="CA7" s="64">
        <f t="shared" ref="CA7:CA13" si="25">BJ7+AS7+AB7</f>
        <v>2</v>
      </c>
      <c r="CB7" s="64">
        <f t="shared" ref="CB7:CB13" si="26">BK7+AT7+AC7</f>
        <v>0</v>
      </c>
      <c r="CC7" s="64">
        <f t="shared" ref="CC7:CC13" si="27">BL7+AU7+AD7</f>
        <v>10</v>
      </c>
      <c r="CD7" s="64">
        <f t="shared" ref="CD7:CD13" si="28">BM7+AV7+AE7</f>
        <v>0</v>
      </c>
      <c r="CE7" s="64">
        <f t="shared" ref="CE7:CE13" si="29">BN7+AW7+AF7</f>
        <v>5</v>
      </c>
      <c r="CF7" s="64">
        <f t="shared" ref="CF7:CF13" si="30">BO7+AX7+AG7</f>
        <v>0</v>
      </c>
      <c r="CG7" s="64">
        <f t="shared" ref="CG7:CG13" si="31">BP7+AY7+AH7</f>
        <v>10</v>
      </c>
      <c r="CH7" s="64">
        <f t="shared" ref="CH7:CH13" si="32">BQ7+AZ7+AI7</f>
        <v>0</v>
      </c>
      <c r="CI7" s="64">
        <f t="shared" ref="CI7:CI13" si="33">BR7+BA7+AJ7</f>
        <v>7</v>
      </c>
      <c r="CJ7" s="64">
        <f t="shared" ref="CJ7:CJ13" si="34">BS7+BB7+AK7</f>
        <v>0</v>
      </c>
      <c r="CK7" s="64">
        <f t="shared" ref="CK7:CK13" si="35">BT7+BC7+AL7</f>
        <v>6</v>
      </c>
      <c r="CL7" s="64">
        <f t="shared" si="7"/>
        <v>0</v>
      </c>
      <c r="CM7" s="64">
        <f t="shared" si="8"/>
        <v>42</v>
      </c>
      <c r="CN7" s="64">
        <f t="shared" si="9"/>
        <v>42</v>
      </c>
      <c r="CO7" s="64"/>
      <c r="CP7" s="64">
        <v>1</v>
      </c>
      <c r="CQ7" s="64"/>
      <c r="CR7" s="64"/>
      <c r="CS7" s="64">
        <v>1</v>
      </c>
      <c r="CT7" s="64"/>
      <c r="CU7" s="64"/>
      <c r="CV7" s="64">
        <v>1</v>
      </c>
      <c r="CW7" s="64"/>
      <c r="CX7" s="64">
        <f t="shared" ref="CX7:CX22" si="36">CU7+CR7+CO7</f>
        <v>0</v>
      </c>
      <c r="CY7" s="64">
        <f t="shared" ref="CY7:CY22" si="37">CV7+CS7+CP7</f>
        <v>3</v>
      </c>
      <c r="CZ7" s="64">
        <f t="shared" ref="CZ7:CZ22" si="38">CW7+CT7+CQ7</f>
        <v>0</v>
      </c>
      <c r="DA7" s="64">
        <f t="shared" ref="DA7:DA22" si="39">CZ7+CY7+CX7</f>
        <v>3</v>
      </c>
      <c r="DB7" s="64"/>
      <c r="DC7" s="64">
        <v>1</v>
      </c>
      <c r="DD7" s="64"/>
      <c r="DE7" s="64"/>
      <c r="DF7" s="64"/>
      <c r="DG7" s="64">
        <v>7</v>
      </c>
      <c r="DH7" s="64">
        <f t="shared" si="11"/>
        <v>0</v>
      </c>
      <c r="DI7" s="64">
        <f t="shared" si="12"/>
        <v>8</v>
      </c>
      <c r="DJ7" s="64">
        <f t="shared" si="13"/>
        <v>8</v>
      </c>
      <c r="DK7" s="64"/>
      <c r="DL7" s="64">
        <v>4</v>
      </c>
      <c r="DM7" s="64"/>
      <c r="DN7" s="64">
        <v>10</v>
      </c>
      <c r="DO7" s="64"/>
      <c r="DP7" s="64">
        <v>28</v>
      </c>
      <c r="DQ7" s="64">
        <f t="shared" si="14"/>
        <v>0</v>
      </c>
      <c r="DR7" s="64">
        <f t="shared" si="15"/>
        <v>42</v>
      </c>
      <c r="DS7" s="64">
        <f t="shared" si="16"/>
        <v>42</v>
      </c>
      <c r="DT7" s="64"/>
      <c r="DU7" s="64">
        <v>6</v>
      </c>
      <c r="DV7" s="64"/>
      <c r="DW7" s="64">
        <v>5</v>
      </c>
      <c r="DX7" s="64"/>
      <c r="DY7" s="64">
        <v>10</v>
      </c>
      <c r="DZ7" s="64">
        <f t="shared" ref="DZ7:DZ13" si="40">DX7+DV7+DT7</f>
        <v>0</v>
      </c>
      <c r="EA7" s="64">
        <f t="shared" ref="EA7:EA13" si="41">DY7+DW7+DU7</f>
        <v>21</v>
      </c>
      <c r="EB7" s="64">
        <f t="shared" ref="EB7:EB13" si="42">EA7+DZ7</f>
        <v>21</v>
      </c>
      <c r="EC7" s="64"/>
      <c r="ED7" s="64"/>
      <c r="EE7" s="64"/>
      <c r="EF7" s="64"/>
      <c r="EG7" s="64"/>
      <c r="EH7" s="64"/>
      <c r="EI7" s="64">
        <f t="shared" ref="EI7:EI13" si="43">EG7+EE7+EC7</f>
        <v>0</v>
      </c>
      <c r="EJ7" s="64">
        <f t="shared" ref="EJ7:EJ13" si="44">EH7+EF7+ED7</f>
        <v>0</v>
      </c>
      <c r="EK7" s="64">
        <f t="shared" ref="EK7:EK13" si="45">EJ7+EI7</f>
        <v>0</v>
      </c>
      <c r="EL7" s="64"/>
      <c r="EM7" s="64"/>
      <c r="EN7" s="64"/>
      <c r="EO7" s="64"/>
      <c r="EP7" s="64"/>
      <c r="EQ7" s="64"/>
      <c r="ER7" s="64">
        <f t="shared" ref="ER7:ER13" si="46">EP7+EN7+EL7</f>
        <v>0</v>
      </c>
      <c r="ES7" s="64">
        <f t="shared" ref="ES7:ES13" si="47">EQ7+EO7+EM7</f>
        <v>0</v>
      </c>
      <c r="ET7" s="64">
        <f t="shared" ref="ET7:ET13" si="48">ES7+ER7</f>
        <v>0</v>
      </c>
      <c r="EU7" s="64"/>
      <c r="EV7" s="64">
        <v>1</v>
      </c>
      <c r="EW7" s="64"/>
      <c r="EX7" s="64"/>
      <c r="EY7" s="64"/>
      <c r="EZ7" s="64">
        <v>2</v>
      </c>
      <c r="FA7" s="64"/>
      <c r="FB7" s="64"/>
      <c r="FC7" s="64">
        <f t="shared" ref="FC7:FC13" si="49">FA7+EY7+EW7+EU7</f>
        <v>0</v>
      </c>
      <c r="FD7" s="64">
        <f t="shared" ref="FD7:FD13" si="50">FB7+EZ7+EX7+EV7</f>
        <v>3</v>
      </c>
      <c r="FE7" s="64">
        <f t="shared" ref="FE7:FE13" si="51">FD7+FC7</f>
        <v>3</v>
      </c>
      <c r="FF7" s="64"/>
      <c r="FG7" s="64"/>
      <c r="FH7" s="64"/>
      <c r="FI7" s="64"/>
      <c r="FJ7" s="64"/>
      <c r="FK7" s="64"/>
      <c r="FL7" s="64"/>
      <c r="FM7" s="64"/>
      <c r="FN7" s="64"/>
      <c r="FO7" s="64">
        <v>1</v>
      </c>
      <c r="FP7" s="64"/>
      <c r="FQ7" s="64"/>
      <c r="FR7" s="64"/>
      <c r="FS7" s="64"/>
      <c r="FT7" s="64"/>
      <c r="FU7" s="64">
        <f t="shared" ref="FU7:FU12" si="52">FT7+FS7+FR7+FN7+FL7+FH7+FF7+FP7+FJ7</f>
        <v>0</v>
      </c>
      <c r="FV7" s="64">
        <f t="shared" ref="FV7:FV12" si="53">FO7+FM7+FI7+FG7+FK7+FQ7</f>
        <v>1</v>
      </c>
      <c r="FW7" s="64">
        <f t="shared" ref="FW7:FW12" si="54">FV7+FU7</f>
        <v>1</v>
      </c>
      <c r="FX7" s="64"/>
      <c r="FY7" s="64"/>
      <c r="FZ7" s="64"/>
      <c r="GA7" s="64"/>
      <c r="GB7" s="64"/>
      <c r="GC7" s="64"/>
      <c r="GD7" s="64"/>
      <c r="GE7" s="64"/>
      <c r="GF7" s="64"/>
      <c r="GG7" s="64"/>
      <c r="GH7" s="64"/>
      <c r="GI7" s="64">
        <v>3</v>
      </c>
      <c r="GJ7" s="64"/>
      <c r="GK7" s="64"/>
      <c r="GL7" s="64"/>
      <c r="GM7" s="64"/>
      <c r="GN7" s="64">
        <f t="shared" ref="GN7:GN13" si="55">GL7+GJ7+GH7+GF7+GD7+GB7+FZ7+FX7</f>
        <v>0</v>
      </c>
      <c r="GO7" s="64">
        <f t="shared" ref="GO7:GO13" si="56">GM7+GK7+GI7+GG7+GE7+GC7+GA7+FY7</f>
        <v>3</v>
      </c>
      <c r="GP7" s="64">
        <f t="shared" ref="GP7:GP13" si="57">GO7+GN7</f>
        <v>3</v>
      </c>
      <c r="GQ7" s="64"/>
      <c r="GR7" s="64">
        <v>3</v>
      </c>
      <c r="GS7" s="64"/>
      <c r="GT7" s="64"/>
      <c r="GU7" s="64"/>
      <c r="GV7" s="64"/>
      <c r="GW7" s="64">
        <f t="shared" ref="GW7:GW13" si="58">GU7+GS7+GQ7</f>
        <v>0</v>
      </c>
      <c r="GX7" s="64">
        <f t="shared" ref="GX7:GX13" si="59">GV7+GT7+GR7</f>
        <v>3</v>
      </c>
      <c r="GY7" s="64">
        <f t="shared" ref="GY7:GY13" si="60">GX7+GW7</f>
        <v>3</v>
      </c>
      <c r="GZ7" s="64"/>
      <c r="HA7" s="64">
        <v>3</v>
      </c>
      <c r="HB7" s="64"/>
      <c r="HC7" s="64"/>
      <c r="HD7" s="64"/>
      <c r="HE7" s="64"/>
      <c r="HF7" s="64"/>
      <c r="HG7" s="64"/>
      <c r="HH7" s="64"/>
      <c r="HI7" s="64"/>
      <c r="HJ7" s="64"/>
      <c r="HK7" s="64"/>
      <c r="HL7" s="64"/>
      <c r="HM7" s="64"/>
      <c r="HN7" s="64"/>
      <c r="HO7" s="64"/>
      <c r="HP7" s="64"/>
      <c r="HQ7" s="64">
        <f t="shared" si="17"/>
        <v>0</v>
      </c>
      <c r="HR7" s="64">
        <f t="shared" si="18"/>
        <v>3</v>
      </c>
      <c r="HS7" s="64">
        <f t="shared" ref="HS7:HS13" si="61">HR7+HQ7</f>
        <v>3</v>
      </c>
      <c r="HT7" s="64"/>
      <c r="HU7" s="64"/>
      <c r="HV7" s="64"/>
      <c r="HW7" s="64">
        <v>3</v>
      </c>
      <c r="HX7" s="64"/>
      <c r="HY7" s="64"/>
      <c r="HZ7" s="64"/>
      <c r="IA7" s="64"/>
      <c r="IB7" s="64">
        <f t="shared" ref="IB7:IB13" si="62">HZ7+HX7+HV7+HT7</f>
        <v>0</v>
      </c>
      <c r="IC7" s="64">
        <f t="shared" ref="IC7:IC13" si="63">IA7+HY7+HW7+HU7</f>
        <v>3</v>
      </c>
      <c r="ID7" s="64">
        <f t="shared" ref="ID7:ID13" si="64">IC7+IB7</f>
        <v>3</v>
      </c>
      <c r="IE7" s="64"/>
      <c r="IF7" s="64">
        <v>1</v>
      </c>
      <c r="IG7" s="64"/>
      <c r="IH7" s="64">
        <v>1</v>
      </c>
      <c r="II7" s="64"/>
      <c r="IJ7" s="64">
        <v>1</v>
      </c>
      <c r="IK7" s="64"/>
      <c r="IL7" s="64">
        <v>1</v>
      </c>
      <c r="IM7" s="64"/>
      <c r="IN7" s="64"/>
      <c r="IO7" s="64"/>
      <c r="IP7" s="64"/>
      <c r="IQ7" s="64">
        <v>52</v>
      </c>
      <c r="IR7" s="64">
        <v>10</v>
      </c>
      <c r="IS7" s="64">
        <v>7</v>
      </c>
      <c r="IT7" s="64">
        <v>1</v>
      </c>
      <c r="IU7" s="64">
        <v>1</v>
      </c>
      <c r="IV7" s="64"/>
      <c r="IW7" s="64"/>
      <c r="IX7" s="64">
        <v>1</v>
      </c>
      <c r="IY7" s="64" t="s">
        <v>254</v>
      </c>
      <c r="IZ7" s="78">
        <v>7812422149</v>
      </c>
      <c r="JA7" s="64" t="s">
        <v>197</v>
      </c>
    </row>
    <row r="8" spans="1:261" s="65" customFormat="1" ht="24.75" customHeight="1" x14ac:dyDescent="0.25">
      <c r="A8" s="64">
        <v>1</v>
      </c>
      <c r="B8" s="64">
        <v>1</v>
      </c>
      <c r="C8" s="64">
        <v>3</v>
      </c>
      <c r="D8" s="64">
        <v>1400726</v>
      </c>
      <c r="E8" s="64" t="s">
        <v>132</v>
      </c>
      <c r="F8" s="64"/>
      <c r="G8" s="64">
        <v>1</v>
      </c>
      <c r="H8" s="64">
        <v>1</v>
      </c>
      <c r="I8" s="64"/>
      <c r="J8" s="64"/>
      <c r="K8" s="64">
        <v>1</v>
      </c>
      <c r="L8" s="64"/>
      <c r="M8" s="64"/>
      <c r="N8" s="64">
        <v>1</v>
      </c>
      <c r="O8" s="64"/>
      <c r="P8" s="64"/>
      <c r="Q8" s="64"/>
      <c r="R8" s="64">
        <v>1</v>
      </c>
      <c r="S8" s="64"/>
      <c r="T8" s="64"/>
      <c r="U8" s="64"/>
      <c r="V8" s="64">
        <v>1</v>
      </c>
      <c r="W8" s="64"/>
      <c r="X8" s="64"/>
      <c r="Y8" s="64">
        <v>5</v>
      </c>
      <c r="Z8" s="82"/>
      <c r="AA8" s="64">
        <v>7</v>
      </c>
      <c r="AB8" s="64"/>
      <c r="AC8" s="64">
        <v>10</v>
      </c>
      <c r="AD8" s="64"/>
      <c r="AE8" s="64">
        <v>8</v>
      </c>
      <c r="AF8" s="64"/>
      <c r="AG8" s="64">
        <v>1</v>
      </c>
      <c r="AH8" s="64"/>
      <c r="AI8" s="64">
        <v>1</v>
      </c>
      <c r="AJ8" s="64"/>
      <c r="AK8" s="64"/>
      <c r="AL8" s="64"/>
      <c r="AM8" s="64">
        <f t="shared" si="19"/>
        <v>32</v>
      </c>
      <c r="AN8" s="64">
        <f t="shared" si="20"/>
        <v>0</v>
      </c>
      <c r="AO8" s="64">
        <f t="shared" si="21"/>
        <v>32</v>
      </c>
      <c r="AP8" s="64">
        <v>6</v>
      </c>
      <c r="AQ8" s="82"/>
      <c r="AR8" s="64">
        <v>8</v>
      </c>
      <c r="AS8" s="64"/>
      <c r="AT8" s="64">
        <v>11</v>
      </c>
      <c r="AU8" s="64"/>
      <c r="AV8" s="64">
        <v>5</v>
      </c>
      <c r="AW8" s="64"/>
      <c r="AX8" s="64">
        <v>16</v>
      </c>
      <c r="AY8" s="64"/>
      <c r="AZ8" s="64">
        <v>3</v>
      </c>
      <c r="BA8" s="64"/>
      <c r="BB8" s="64">
        <v>2</v>
      </c>
      <c r="BC8" s="64"/>
      <c r="BD8" s="64">
        <f t="shared" si="0"/>
        <v>51</v>
      </c>
      <c r="BE8" s="64">
        <f t="shared" si="1"/>
        <v>0</v>
      </c>
      <c r="BF8" s="64">
        <f t="shared" si="2"/>
        <v>51</v>
      </c>
      <c r="BG8" s="64"/>
      <c r="BH8" s="64"/>
      <c r="BI8" s="64">
        <v>3</v>
      </c>
      <c r="BJ8" s="64"/>
      <c r="BK8" s="64">
        <v>3</v>
      </c>
      <c r="BL8" s="64"/>
      <c r="BM8" s="64">
        <v>11</v>
      </c>
      <c r="BN8" s="64"/>
      <c r="BO8" s="64">
        <v>15</v>
      </c>
      <c r="BP8" s="64"/>
      <c r="BQ8" s="64">
        <v>5</v>
      </c>
      <c r="BR8" s="64"/>
      <c r="BS8" s="64">
        <v>7</v>
      </c>
      <c r="BT8" s="64"/>
      <c r="BU8" s="64">
        <f t="shared" si="3"/>
        <v>44</v>
      </c>
      <c r="BV8" s="64">
        <f t="shared" si="4"/>
        <v>0</v>
      </c>
      <c r="BW8" s="64">
        <f t="shared" si="5"/>
        <v>44</v>
      </c>
      <c r="BX8" s="64">
        <f t="shared" si="22"/>
        <v>11</v>
      </c>
      <c r="BY8" s="64">
        <f t="shared" si="23"/>
        <v>0</v>
      </c>
      <c r="BZ8" s="64">
        <f t="shared" si="24"/>
        <v>18</v>
      </c>
      <c r="CA8" s="64">
        <f t="shared" si="25"/>
        <v>0</v>
      </c>
      <c r="CB8" s="64">
        <f t="shared" si="26"/>
        <v>24</v>
      </c>
      <c r="CC8" s="64">
        <f t="shared" si="27"/>
        <v>0</v>
      </c>
      <c r="CD8" s="64">
        <f t="shared" si="28"/>
        <v>24</v>
      </c>
      <c r="CE8" s="64">
        <f t="shared" si="29"/>
        <v>0</v>
      </c>
      <c r="CF8" s="64">
        <f t="shared" si="30"/>
        <v>32</v>
      </c>
      <c r="CG8" s="64">
        <f t="shared" si="31"/>
        <v>0</v>
      </c>
      <c r="CH8" s="64">
        <f t="shared" si="32"/>
        <v>9</v>
      </c>
      <c r="CI8" s="64">
        <f t="shared" si="33"/>
        <v>0</v>
      </c>
      <c r="CJ8" s="64">
        <f t="shared" si="34"/>
        <v>9</v>
      </c>
      <c r="CK8" s="64">
        <f t="shared" si="35"/>
        <v>0</v>
      </c>
      <c r="CL8" s="64">
        <f t="shared" si="7"/>
        <v>127</v>
      </c>
      <c r="CM8" s="64">
        <f t="shared" si="8"/>
        <v>0</v>
      </c>
      <c r="CN8" s="64">
        <f t="shared" si="9"/>
        <v>127</v>
      </c>
      <c r="CO8" s="64">
        <v>2</v>
      </c>
      <c r="CP8" s="64"/>
      <c r="CQ8" s="64"/>
      <c r="CR8" s="64">
        <v>2</v>
      </c>
      <c r="CS8" s="64"/>
      <c r="CT8" s="64"/>
      <c r="CU8" s="64">
        <v>2</v>
      </c>
      <c r="CV8" s="64"/>
      <c r="CW8" s="64"/>
      <c r="CX8" s="64">
        <f t="shared" si="36"/>
        <v>6</v>
      </c>
      <c r="CY8" s="64">
        <f t="shared" si="37"/>
        <v>0</v>
      </c>
      <c r="CZ8" s="64">
        <f t="shared" si="38"/>
        <v>0</v>
      </c>
      <c r="DA8" s="64">
        <f t="shared" si="39"/>
        <v>6</v>
      </c>
      <c r="DB8" s="64">
        <v>10</v>
      </c>
      <c r="DC8" s="64"/>
      <c r="DD8" s="64">
        <v>8</v>
      </c>
      <c r="DE8" s="64"/>
      <c r="DF8" s="64">
        <v>25</v>
      </c>
      <c r="DG8" s="64"/>
      <c r="DH8" s="64">
        <f t="shared" si="11"/>
        <v>43</v>
      </c>
      <c r="DI8" s="64">
        <f t="shared" si="12"/>
        <v>0</v>
      </c>
      <c r="DJ8" s="64">
        <f t="shared" si="13"/>
        <v>43</v>
      </c>
      <c r="DK8" s="64">
        <v>16</v>
      </c>
      <c r="DL8" s="64"/>
      <c r="DM8" s="64">
        <v>20</v>
      </c>
      <c r="DN8" s="64"/>
      <c r="DO8" s="64">
        <v>32</v>
      </c>
      <c r="DP8" s="64"/>
      <c r="DQ8" s="64">
        <f t="shared" si="14"/>
        <v>68</v>
      </c>
      <c r="DR8" s="64">
        <f t="shared" si="15"/>
        <v>0</v>
      </c>
      <c r="DS8" s="64">
        <f t="shared" si="16"/>
        <v>68</v>
      </c>
      <c r="DT8" s="64">
        <v>5</v>
      </c>
      <c r="DU8" s="64"/>
      <c r="DV8" s="64">
        <v>4</v>
      </c>
      <c r="DW8" s="64"/>
      <c r="DX8" s="64">
        <v>1</v>
      </c>
      <c r="DY8" s="64"/>
      <c r="DZ8" s="64">
        <f t="shared" si="40"/>
        <v>10</v>
      </c>
      <c r="EA8" s="64">
        <f t="shared" si="41"/>
        <v>0</v>
      </c>
      <c r="EB8" s="64">
        <f t="shared" si="42"/>
        <v>10</v>
      </c>
      <c r="EC8" s="64"/>
      <c r="ED8" s="64"/>
      <c r="EE8" s="64"/>
      <c r="EF8" s="64"/>
      <c r="EG8" s="64"/>
      <c r="EH8" s="64"/>
      <c r="EI8" s="64">
        <f t="shared" si="43"/>
        <v>0</v>
      </c>
      <c r="EJ8" s="64">
        <f t="shared" si="44"/>
        <v>0</v>
      </c>
      <c r="EK8" s="64">
        <f t="shared" si="45"/>
        <v>0</v>
      </c>
      <c r="EL8" s="64"/>
      <c r="EM8" s="64"/>
      <c r="EN8" s="64"/>
      <c r="EO8" s="64"/>
      <c r="EP8" s="64"/>
      <c r="EQ8" s="64"/>
      <c r="ER8" s="64">
        <f t="shared" si="46"/>
        <v>0</v>
      </c>
      <c r="ES8" s="64">
        <f t="shared" si="47"/>
        <v>0</v>
      </c>
      <c r="ET8" s="64">
        <f t="shared" si="48"/>
        <v>0</v>
      </c>
      <c r="EU8" s="64">
        <v>1</v>
      </c>
      <c r="EV8" s="64"/>
      <c r="EW8" s="64"/>
      <c r="EX8" s="64"/>
      <c r="EY8" s="64">
        <v>3</v>
      </c>
      <c r="EZ8" s="64">
        <v>1</v>
      </c>
      <c r="FA8" s="64"/>
      <c r="FB8" s="64"/>
      <c r="FC8" s="64">
        <f t="shared" si="49"/>
        <v>4</v>
      </c>
      <c r="FD8" s="64">
        <f t="shared" si="50"/>
        <v>1</v>
      </c>
      <c r="FE8" s="64">
        <f t="shared" si="51"/>
        <v>5</v>
      </c>
      <c r="FF8" s="64"/>
      <c r="FG8" s="64"/>
      <c r="FH8" s="64"/>
      <c r="FI8" s="64"/>
      <c r="FJ8" s="64"/>
      <c r="FK8" s="64"/>
      <c r="FL8" s="64"/>
      <c r="FM8" s="64"/>
      <c r="FN8" s="64">
        <v>2</v>
      </c>
      <c r="FO8" s="64"/>
      <c r="FP8" s="64"/>
      <c r="FQ8" s="64"/>
      <c r="FR8" s="64"/>
      <c r="FS8" s="64"/>
      <c r="FT8" s="64"/>
      <c r="FU8" s="64">
        <f t="shared" si="52"/>
        <v>2</v>
      </c>
      <c r="FV8" s="64">
        <f t="shared" si="53"/>
        <v>0</v>
      </c>
      <c r="FW8" s="64">
        <f t="shared" si="54"/>
        <v>2</v>
      </c>
      <c r="FX8" s="64"/>
      <c r="FY8" s="64"/>
      <c r="FZ8" s="64"/>
      <c r="GA8" s="64"/>
      <c r="GB8" s="64">
        <v>3</v>
      </c>
      <c r="GC8" s="64">
        <v>1</v>
      </c>
      <c r="GD8" s="64"/>
      <c r="GE8" s="64"/>
      <c r="GF8" s="64"/>
      <c r="GG8" s="64"/>
      <c r="GH8" s="64">
        <v>1</v>
      </c>
      <c r="GI8" s="64"/>
      <c r="GJ8" s="64"/>
      <c r="GK8" s="64"/>
      <c r="GL8" s="64"/>
      <c r="GM8" s="64"/>
      <c r="GN8" s="64">
        <f t="shared" si="55"/>
        <v>4</v>
      </c>
      <c r="GO8" s="64">
        <f t="shared" si="56"/>
        <v>1</v>
      </c>
      <c r="GP8" s="64">
        <f t="shared" si="57"/>
        <v>5</v>
      </c>
      <c r="GQ8" s="64">
        <v>4</v>
      </c>
      <c r="GR8" s="64">
        <v>1</v>
      </c>
      <c r="GS8" s="64"/>
      <c r="GT8" s="64"/>
      <c r="GU8" s="64"/>
      <c r="GV8" s="64"/>
      <c r="GW8" s="64">
        <f t="shared" si="58"/>
        <v>4</v>
      </c>
      <c r="GX8" s="64">
        <f t="shared" si="59"/>
        <v>1</v>
      </c>
      <c r="GY8" s="64">
        <f t="shared" si="60"/>
        <v>5</v>
      </c>
      <c r="GZ8" s="64">
        <v>4</v>
      </c>
      <c r="HA8" s="64">
        <v>1</v>
      </c>
      <c r="HB8" s="64"/>
      <c r="HC8" s="64"/>
      <c r="HD8" s="64"/>
      <c r="HE8" s="64"/>
      <c r="HF8" s="64"/>
      <c r="HG8" s="64"/>
      <c r="HH8" s="64"/>
      <c r="HI8" s="64"/>
      <c r="HJ8" s="64"/>
      <c r="HK8" s="64"/>
      <c r="HL8" s="64"/>
      <c r="HM8" s="64"/>
      <c r="HN8" s="64"/>
      <c r="HO8" s="64"/>
      <c r="HP8" s="64"/>
      <c r="HQ8" s="64">
        <f t="shared" si="17"/>
        <v>4</v>
      </c>
      <c r="HR8" s="64">
        <f t="shared" si="18"/>
        <v>1</v>
      </c>
      <c r="HS8" s="64">
        <f t="shared" si="61"/>
        <v>5</v>
      </c>
      <c r="HT8" s="64"/>
      <c r="HU8" s="64"/>
      <c r="HV8" s="64">
        <v>4</v>
      </c>
      <c r="HW8" s="64">
        <v>1</v>
      </c>
      <c r="HX8" s="64"/>
      <c r="HY8" s="64"/>
      <c r="HZ8" s="64"/>
      <c r="IA8" s="64"/>
      <c r="IB8" s="64">
        <f t="shared" si="62"/>
        <v>4</v>
      </c>
      <c r="IC8" s="64">
        <f t="shared" si="63"/>
        <v>1</v>
      </c>
      <c r="ID8" s="64">
        <f t="shared" si="64"/>
        <v>5</v>
      </c>
      <c r="IE8" s="64"/>
      <c r="IF8" s="64"/>
      <c r="IG8" s="64">
        <v>1</v>
      </c>
      <c r="IH8" s="64"/>
      <c r="II8" s="64"/>
      <c r="IJ8" s="64">
        <v>1</v>
      </c>
      <c r="IK8" s="64"/>
      <c r="IL8" s="64">
        <v>1</v>
      </c>
      <c r="IM8" s="64"/>
      <c r="IN8" s="64"/>
      <c r="IO8" s="64"/>
      <c r="IP8" s="64"/>
      <c r="IQ8" s="64"/>
      <c r="IR8" s="64"/>
      <c r="IS8" s="64"/>
      <c r="IT8" s="64">
        <v>1</v>
      </c>
      <c r="IU8" s="64">
        <v>2</v>
      </c>
      <c r="IV8" s="64"/>
      <c r="IW8" s="64"/>
      <c r="IX8" s="64">
        <v>1</v>
      </c>
      <c r="IY8" s="64" t="s">
        <v>276</v>
      </c>
      <c r="IZ8" s="78">
        <v>7810640813</v>
      </c>
      <c r="JA8" s="64" t="s">
        <v>198</v>
      </c>
    </row>
    <row r="9" spans="1:261" s="65" customFormat="1" ht="24.75" customHeight="1" x14ac:dyDescent="0.25">
      <c r="A9" s="64">
        <v>1</v>
      </c>
      <c r="B9" s="64">
        <v>1</v>
      </c>
      <c r="C9" s="64">
        <v>4</v>
      </c>
      <c r="D9" s="64">
        <v>1400727</v>
      </c>
      <c r="E9" s="64" t="s">
        <v>133</v>
      </c>
      <c r="F9" s="64"/>
      <c r="G9" s="64">
        <v>1</v>
      </c>
      <c r="H9" s="64"/>
      <c r="I9" s="64">
        <v>1</v>
      </c>
      <c r="J9" s="64"/>
      <c r="K9" s="64">
        <v>1</v>
      </c>
      <c r="L9" s="64"/>
      <c r="M9" s="64"/>
      <c r="N9" s="64">
        <v>1</v>
      </c>
      <c r="O9" s="64"/>
      <c r="P9" s="64"/>
      <c r="Q9" s="64"/>
      <c r="R9" s="64">
        <v>1</v>
      </c>
      <c r="S9" s="64"/>
      <c r="T9" s="64"/>
      <c r="U9" s="64"/>
      <c r="V9" s="64">
        <v>1</v>
      </c>
      <c r="W9" s="64"/>
      <c r="X9" s="64"/>
      <c r="Y9" s="64"/>
      <c r="Z9" s="82">
        <v>15</v>
      </c>
      <c r="AA9" s="64"/>
      <c r="AB9" s="64">
        <v>9</v>
      </c>
      <c r="AC9" s="64"/>
      <c r="AD9" s="64">
        <v>12</v>
      </c>
      <c r="AE9" s="64"/>
      <c r="AF9" s="64">
        <v>3</v>
      </c>
      <c r="AG9" s="64"/>
      <c r="AH9" s="64">
        <v>3</v>
      </c>
      <c r="AI9" s="64"/>
      <c r="AJ9" s="64">
        <v>3</v>
      </c>
      <c r="AK9" s="64"/>
      <c r="AL9" s="64"/>
      <c r="AM9" s="64">
        <f t="shared" si="19"/>
        <v>0</v>
      </c>
      <c r="AN9" s="64">
        <f t="shared" si="20"/>
        <v>45</v>
      </c>
      <c r="AO9" s="64">
        <f t="shared" si="21"/>
        <v>45</v>
      </c>
      <c r="AP9" s="64"/>
      <c r="AQ9" s="64">
        <v>8</v>
      </c>
      <c r="AR9" s="64"/>
      <c r="AS9" s="64">
        <v>9</v>
      </c>
      <c r="AT9" s="64"/>
      <c r="AU9" s="64">
        <v>7</v>
      </c>
      <c r="AV9" s="64"/>
      <c r="AW9" s="64">
        <v>5</v>
      </c>
      <c r="AX9" s="64"/>
      <c r="AY9" s="64">
        <v>3</v>
      </c>
      <c r="AZ9" s="64"/>
      <c r="BA9" s="64">
        <v>2</v>
      </c>
      <c r="BB9" s="64"/>
      <c r="BC9" s="64"/>
      <c r="BD9" s="64">
        <f t="shared" si="0"/>
        <v>0</v>
      </c>
      <c r="BE9" s="64">
        <f t="shared" si="1"/>
        <v>34</v>
      </c>
      <c r="BF9" s="64">
        <f t="shared" si="2"/>
        <v>34</v>
      </c>
      <c r="BG9" s="64"/>
      <c r="BH9" s="64">
        <v>4</v>
      </c>
      <c r="BI9" s="64"/>
      <c r="BJ9" s="64">
        <v>9</v>
      </c>
      <c r="BK9" s="64"/>
      <c r="BL9" s="64">
        <v>5</v>
      </c>
      <c r="BM9" s="64"/>
      <c r="BN9" s="64">
        <v>3</v>
      </c>
      <c r="BO9" s="64"/>
      <c r="BP9" s="64">
        <v>7</v>
      </c>
      <c r="BQ9" s="64"/>
      <c r="BR9" s="64">
        <v>2</v>
      </c>
      <c r="BS9" s="64"/>
      <c r="BT9" s="64">
        <v>2</v>
      </c>
      <c r="BU9" s="64">
        <f t="shared" si="3"/>
        <v>0</v>
      </c>
      <c r="BV9" s="64">
        <f t="shared" si="4"/>
        <v>32</v>
      </c>
      <c r="BW9" s="64">
        <f t="shared" si="5"/>
        <v>32</v>
      </c>
      <c r="BX9" s="64">
        <f t="shared" si="22"/>
        <v>0</v>
      </c>
      <c r="BY9" s="64">
        <f t="shared" si="23"/>
        <v>27</v>
      </c>
      <c r="BZ9" s="64">
        <f t="shared" si="24"/>
        <v>0</v>
      </c>
      <c r="CA9" s="64">
        <f t="shared" si="25"/>
        <v>27</v>
      </c>
      <c r="CB9" s="64">
        <f t="shared" si="26"/>
        <v>0</v>
      </c>
      <c r="CC9" s="64">
        <f t="shared" si="27"/>
        <v>24</v>
      </c>
      <c r="CD9" s="64">
        <f t="shared" si="28"/>
        <v>0</v>
      </c>
      <c r="CE9" s="64">
        <f t="shared" si="29"/>
        <v>11</v>
      </c>
      <c r="CF9" s="64">
        <f t="shared" si="30"/>
        <v>0</v>
      </c>
      <c r="CG9" s="64">
        <f t="shared" si="31"/>
        <v>13</v>
      </c>
      <c r="CH9" s="64">
        <f t="shared" si="32"/>
        <v>0</v>
      </c>
      <c r="CI9" s="64">
        <f t="shared" si="33"/>
        <v>7</v>
      </c>
      <c r="CJ9" s="64">
        <f t="shared" si="34"/>
        <v>0</v>
      </c>
      <c r="CK9" s="64">
        <f t="shared" si="35"/>
        <v>2</v>
      </c>
      <c r="CL9" s="64">
        <f t="shared" si="7"/>
        <v>0</v>
      </c>
      <c r="CM9" s="64">
        <f t="shared" si="8"/>
        <v>111</v>
      </c>
      <c r="CN9" s="64">
        <f t="shared" si="9"/>
        <v>111</v>
      </c>
      <c r="CO9" s="64"/>
      <c r="CP9" s="64">
        <v>1</v>
      </c>
      <c r="CQ9" s="64"/>
      <c r="CR9" s="64"/>
      <c r="CS9" s="64">
        <v>1</v>
      </c>
      <c r="CT9" s="64"/>
      <c r="CU9" s="64"/>
      <c r="CV9" s="64">
        <v>1</v>
      </c>
      <c r="CW9" s="64"/>
      <c r="CX9" s="64">
        <f t="shared" si="36"/>
        <v>0</v>
      </c>
      <c r="CY9" s="64">
        <f t="shared" si="37"/>
        <v>3</v>
      </c>
      <c r="CZ9" s="64">
        <f t="shared" si="38"/>
        <v>0</v>
      </c>
      <c r="DA9" s="64">
        <f t="shared" si="39"/>
        <v>3</v>
      </c>
      <c r="DB9" s="64"/>
      <c r="DC9" s="64">
        <v>4</v>
      </c>
      <c r="DD9" s="64"/>
      <c r="DE9" s="64">
        <v>2</v>
      </c>
      <c r="DF9" s="64"/>
      <c r="DG9" s="64">
        <v>5</v>
      </c>
      <c r="DH9" s="64">
        <f t="shared" si="11"/>
        <v>0</v>
      </c>
      <c r="DI9" s="64">
        <f t="shared" si="12"/>
        <v>11</v>
      </c>
      <c r="DJ9" s="64">
        <f t="shared" si="13"/>
        <v>11</v>
      </c>
      <c r="DK9" s="64"/>
      <c r="DL9" s="64">
        <v>22</v>
      </c>
      <c r="DM9" s="64"/>
      <c r="DN9" s="64">
        <v>23</v>
      </c>
      <c r="DO9" s="64"/>
      <c r="DP9" s="64">
        <v>31</v>
      </c>
      <c r="DQ9" s="64">
        <f t="shared" si="14"/>
        <v>0</v>
      </c>
      <c r="DR9" s="64">
        <f t="shared" si="15"/>
        <v>76</v>
      </c>
      <c r="DS9" s="64">
        <f t="shared" si="16"/>
        <v>76</v>
      </c>
      <c r="DT9" s="64"/>
      <c r="DU9" s="64">
        <v>14</v>
      </c>
      <c r="DV9" s="64"/>
      <c r="DW9" s="64">
        <v>6</v>
      </c>
      <c r="DX9" s="64"/>
      <c r="DY9" s="64">
        <v>3</v>
      </c>
      <c r="DZ9" s="64">
        <f t="shared" si="40"/>
        <v>0</v>
      </c>
      <c r="EA9" s="64">
        <f t="shared" si="41"/>
        <v>23</v>
      </c>
      <c r="EB9" s="64">
        <f t="shared" si="42"/>
        <v>23</v>
      </c>
      <c r="EC9" s="64"/>
      <c r="ED9" s="64"/>
      <c r="EE9" s="64"/>
      <c r="EF9" s="64"/>
      <c r="EG9" s="64"/>
      <c r="EH9" s="64"/>
      <c r="EI9" s="64">
        <f t="shared" si="43"/>
        <v>0</v>
      </c>
      <c r="EJ9" s="64">
        <f t="shared" si="44"/>
        <v>0</v>
      </c>
      <c r="EK9" s="64">
        <f t="shared" si="45"/>
        <v>0</v>
      </c>
      <c r="EL9" s="64"/>
      <c r="EM9" s="64"/>
      <c r="EN9" s="64"/>
      <c r="EO9" s="64"/>
      <c r="EP9" s="64"/>
      <c r="EQ9" s="64"/>
      <c r="ER9" s="64">
        <f t="shared" si="46"/>
        <v>0</v>
      </c>
      <c r="ES9" s="64">
        <f t="shared" si="47"/>
        <v>0</v>
      </c>
      <c r="ET9" s="64">
        <f t="shared" si="48"/>
        <v>0</v>
      </c>
      <c r="EU9" s="64"/>
      <c r="EV9" s="64">
        <v>1</v>
      </c>
      <c r="EW9" s="64"/>
      <c r="EX9" s="64">
        <v>1</v>
      </c>
      <c r="EY9" s="64"/>
      <c r="EZ9" s="64">
        <v>5</v>
      </c>
      <c r="FA9" s="64"/>
      <c r="FB9" s="64"/>
      <c r="FC9" s="64">
        <f t="shared" si="49"/>
        <v>0</v>
      </c>
      <c r="FD9" s="64">
        <f t="shared" si="50"/>
        <v>7</v>
      </c>
      <c r="FE9" s="64">
        <f t="shared" si="51"/>
        <v>7</v>
      </c>
      <c r="FF9" s="64"/>
      <c r="FG9" s="64"/>
      <c r="FH9" s="64"/>
      <c r="FI9" s="64"/>
      <c r="FJ9" s="64"/>
      <c r="FK9" s="64"/>
      <c r="FL9" s="64"/>
      <c r="FM9" s="64"/>
      <c r="FN9" s="64"/>
      <c r="FO9" s="64">
        <v>1</v>
      </c>
      <c r="FP9" s="64"/>
      <c r="FQ9" s="64"/>
      <c r="FR9" s="64"/>
      <c r="FS9" s="64"/>
      <c r="FT9" s="64"/>
      <c r="FU9" s="64">
        <f t="shared" si="52"/>
        <v>0</v>
      </c>
      <c r="FV9" s="64">
        <f t="shared" si="53"/>
        <v>1</v>
      </c>
      <c r="FW9" s="64">
        <f t="shared" si="54"/>
        <v>1</v>
      </c>
      <c r="FX9" s="64"/>
      <c r="FY9" s="64"/>
      <c r="FZ9" s="64"/>
      <c r="GA9" s="64"/>
      <c r="GB9" s="64"/>
      <c r="GC9" s="64">
        <v>2</v>
      </c>
      <c r="GD9" s="64"/>
      <c r="GE9" s="64"/>
      <c r="GF9" s="64"/>
      <c r="GG9" s="64"/>
      <c r="GH9" s="64"/>
      <c r="GI9" s="64">
        <v>4</v>
      </c>
      <c r="GJ9" s="64"/>
      <c r="GK9" s="64">
        <v>1</v>
      </c>
      <c r="GL9" s="64"/>
      <c r="GM9" s="64"/>
      <c r="GN9" s="64">
        <f t="shared" si="55"/>
        <v>0</v>
      </c>
      <c r="GO9" s="64">
        <f t="shared" si="56"/>
        <v>7</v>
      </c>
      <c r="GP9" s="64">
        <f t="shared" si="57"/>
        <v>7</v>
      </c>
      <c r="GQ9" s="64"/>
      <c r="GR9" s="64">
        <v>7</v>
      </c>
      <c r="GS9" s="64"/>
      <c r="GT9" s="64"/>
      <c r="GU9" s="64"/>
      <c r="GV9" s="64"/>
      <c r="GW9" s="64">
        <f t="shared" si="58"/>
        <v>0</v>
      </c>
      <c r="GX9" s="64">
        <f t="shared" si="59"/>
        <v>7</v>
      </c>
      <c r="GY9" s="64">
        <f t="shared" si="60"/>
        <v>7</v>
      </c>
      <c r="GZ9" s="64"/>
      <c r="HA9" s="64">
        <v>7</v>
      </c>
      <c r="HB9" s="64"/>
      <c r="HC9" s="64"/>
      <c r="HD9" s="64"/>
      <c r="HE9" s="64"/>
      <c r="HF9" s="64"/>
      <c r="HG9" s="64"/>
      <c r="HH9" s="64"/>
      <c r="HI9" s="64"/>
      <c r="HJ9" s="64"/>
      <c r="HK9" s="64"/>
      <c r="HL9" s="64"/>
      <c r="HM9" s="64"/>
      <c r="HN9" s="64"/>
      <c r="HO9" s="64"/>
      <c r="HP9" s="64"/>
      <c r="HQ9" s="64">
        <f t="shared" si="17"/>
        <v>0</v>
      </c>
      <c r="HR9" s="64">
        <f t="shared" si="18"/>
        <v>7</v>
      </c>
      <c r="HS9" s="64">
        <f t="shared" si="61"/>
        <v>7</v>
      </c>
      <c r="HT9" s="64"/>
      <c r="HU9" s="64">
        <v>2</v>
      </c>
      <c r="HV9" s="64"/>
      <c r="HW9" s="64">
        <v>5</v>
      </c>
      <c r="HX9" s="64"/>
      <c r="HY9" s="64"/>
      <c r="HZ9" s="64"/>
      <c r="IA9" s="64"/>
      <c r="IB9" s="64">
        <f t="shared" si="62"/>
        <v>0</v>
      </c>
      <c r="IC9" s="64">
        <f t="shared" si="63"/>
        <v>7</v>
      </c>
      <c r="ID9" s="64">
        <f t="shared" si="64"/>
        <v>7</v>
      </c>
      <c r="IE9" s="64"/>
      <c r="IF9" s="64"/>
      <c r="IG9" s="64"/>
      <c r="IH9" s="64">
        <v>1</v>
      </c>
      <c r="II9" s="64"/>
      <c r="IJ9" s="64">
        <v>1</v>
      </c>
      <c r="IK9" s="64"/>
      <c r="IL9" s="64">
        <v>1</v>
      </c>
      <c r="IM9" s="64"/>
      <c r="IN9" s="64"/>
      <c r="IO9" s="64"/>
      <c r="IP9" s="64"/>
      <c r="IQ9" s="64"/>
      <c r="IR9" s="64"/>
      <c r="IS9" s="64"/>
      <c r="IT9" s="64">
        <v>1</v>
      </c>
      <c r="IU9" s="64">
        <v>1</v>
      </c>
      <c r="IV9" s="64">
        <v>1</v>
      </c>
      <c r="IW9" s="64"/>
      <c r="IX9" s="64">
        <v>1</v>
      </c>
      <c r="IY9" s="64" t="s">
        <v>255</v>
      </c>
      <c r="IZ9" s="78">
        <v>7804303945</v>
      </c>
      <c r="JA9" s="64" t="s">
        <v>195</v>
      </c>
    </row>
    <row r="10" spans="1:261" s="65" customFormat="1" ht="24.75" customHeight="1" x14ac:dyDescent="0.25">
      <c r="A10" s="64">
        <v>1</v>
      </c>
      <c r="B10" s="64">
        <v>1</v>
      </c>
      <c r="C10" s="64">
        <v>5</v>
      </c>
      <c r="D10" s="64">
        <v>1400810</v>
      </c>
      <c r="E10" s="64" t="s">
        <v>134</v>
      </c>
      <c r="F10" s="64"/>
      <c r="G10" s="64">
        <v>1</v>
      </c>
      <c r="H10" s="64">
        <v>1</v>
      </c>
      <c r="I10" s="64"/>
      <c r="J10" s="64"/>
      <c r="K10" s="64">
        <v>1</v>
      </c>
      <c r="L10" s="64"/>
      <c r="M10" s="64"/>
      <c r="N10" s="64">
        <v>1</v>
      </c>
      <c r="O10" s="64"/>
      <c r="P10" s="64"/>
      <c r="Q10" s="64"/>
      <c r="R10" s="64">
        <v>1</v>
      </c>
      <c r="S10" s="64"/>
      <c r="T10" s="64"/>
      <c r="U10" s="64"/>
      <c r="V10" s="64">
        <v>1</v>
      </c>
      <c r="W10" s="64"/>
      <c r="X10" s="64"/>
      <c r="Y10" s="64">
        <v>12</v>
      </c>
      <c r="Z10" s="82"/>
      <c r="AA10" s="64">
        <v>21</v>
      </c>
      <c r="AB10" s="64"/>
      <c r="AC10" s="64">
        <v>20</v>
      </c>
      <c r="AD10" s="64"/>
      <c r="AE10" s="64">
        <v>15</v>
      </c>
      <c r="AF10" s="64"/>
      <c r="AG10" s="65">
        <v>7</v>
      </c>
      <c r="AH10" s="64"/>
      <c r="AI10" s="64">
        <v>2</v>
      </c>
      <c r="AJ10" s="64"/>
      <c r="AK10" s="64">
        <v>4</v>
      </c>
      <c r="AL10" s="64"/>
      <c r="AM10" s="64">
        <f t="shared" si="19"/>
        <v>81</v>
      </c>
      <c r="AN10" s="64">
        <f t="shared" si="20"/>
        <v>0</v>
      </c>
      <c r="AO10" s="64">
        <f t="shared" si="21"/>
        <v>81</v>
      </c>
      <c r="AP10" s="64"/>
      <c r="AQ10" s="64"/>
      <c r="AR10" s="64">
        <v>1</v>
      </c>
      <c r="AS10" s="64"/>
      <c r="AT10" s="64">
        <v>9</v>
      </c>
      <c r="AU10" s="64"/>
      <c r="AV10" s="64">
        <v>13</v>
      </c>
      <c r="AW10" s="64"/>
      <c r="AX10" s="64">
        <v>10</v>
      </c>
      <c r="AY10" s="64"/>
      <c r="AZ10" s="64">
        <v>11</v>
      </c>
      <c r="BA10" s="64"/>
      <c r="BB10" s="64">
        <v>8</v>
      </c>
      <c r="BC10" s="64"/>
      <c r="BD10" s="64">
        <f t="shared" si="0"/>
        <v>52</v>
      </c>
      <c r="BE10" s="64">
        <f t="shared" si="1"/>
        <v>0</v>
      </c>
      <c r="BF10" s="64">
        <f t="shared" si="2"/>
        <v>52</v>
      </c>
      <c r="BG10" s="64"/>
      <c r="BH10" s="64"/>
      <c r="BI10" s="64">
        <v>1</v>
      </c>
      <c r="BJ10" s="64"/>
      <c r="BK10" s="64">
        <v>4</v>
      </c>
      <c r="BL10" s="64"/>
      <c r="BM10" s="64">
        <v>12</v>
      </c>
      <c r="BN10" s="64"/>
      <c r="BO10" s="64">
        <v>21</v>
      </c>
      <c r="BP10" s="64"/>
      <c r="BQ10" s="64">
        <v>10</v>
      </c>
      <c r="BR10" s="64"/>
      <c r="BS10" s="64">
        <v>6</v>
      </c>
      <c r="BT10" s="64"/>
      <c r="BU10" s="64">
        <f t="shared" si="3"/>
        <v>54</v>
      </c>
      <c r="BV10" s="64">
        <f t="shared" si="4"/>
        <v>0</v>
      </c>
      <c r="BW10" s="64">
        <f t="shared" si="5"/>
        <v>54</v>
      </c>
      <c r="BX10" s="64">
        <f t="shared" si="22"/>
        <v>12</v>
      </c>
      <c r="BY10" s="64">
        <f t="shared" si="23"/>
        <v>0</v>
      </c>
      <c r="BZ10" s="64">
        <f t="shared" si="24"/>
        <v>23</v>
      </c>
      <c r="CA10" s="64">
        <f t="shared" si="25"/>
        <v>0</v>
      </c>
      <c r="CB10" s="64">
        <f t="shared" si="26"/>
        <v>33</v>
      </c>
      <c r="CC10" s="64">
        <f t="shared" si="27"/>
        <v>0</v>
      </c>
      <c r="CD10" s="64">
        <f t="shared" si="28"/>
        <v>40</v>
      </c>
      <c r="CE10" s="64">
        <f t="shared" si="29"/>
        <v>0</v>
      </c>
      <c r="CF10" s="64">
        <f t="shared" si="30"/>
        <v>38</v>
      </c>
      <c r="CG10" s="64">
        <f t="shared" si="31"/>
        <v>0</v>
      </c>
      <c r="CH10" s="64">
        <f t="shared" si="32"/>
        <v>23</v>
      </c>
      <c r="CI10" s="64">
        <f t="shared" si="33"/>
        <v>0</v>
      </c>
      <c r="CJ10" s="64">
        <f t="shared" si="34"/>
        <v>18</v>
      </c>
      <c r="CK10" s="64">
        <f t="shared" si="35"/>
        <v>0</v>
      </c>
      <c r="CL10" s="64">
        <f t="shared" si="7"/>
        <v>187</v>
      </c>
      <c r="CM10" s="64">
        <f t="shared" si="8"/>
        <v>0</v>
      </c>
      <c r="CN10" s="64">
        <f t="shared" si="9"/>
        <v>187</v>
      </c>
      <c r="CO10" s="64">
        <v>2</v>
      </c>
      <c r="CP10" s="64"/>
      <c r="CQ10" s="64"/>
      <c r="CR10" s="64">
        <v>2</v>
      </c>
      <c r="CS10" s="64"/>
      <c r="CT10" s="64"/>
      <c r="CU10" s="64">
        <v>2</v>
      </c>
      <c r="CV10" s="64"/>
      <c r="CW10" s="64"/>
      <c r="CX10" s="64">
        <f t="shared" si="36"/>
        <v>6</v>
      </c>
      <c r="CY10" s="64">
        <f t="shared" si="37"/>
        <v>0</v>
      </c>
      <c r="CZ10" s="64">
        <f t="shared" si="38"/>
        <v>0</v>
      </c>
      <c r="DA10" s="64">
        <f t="shared" si="39"/>
        <v>6</v>
      </c>
      <c r="DB10" s="64"/>
      <c r="DC10" s="64"/>
      <c r="DD10" s="64"/>
      <c r="DE10" s="64"/>
      <c r="DF10" s="64"/>
      <c r="DG10" s="64"/>
      <c r="DH10" s="64">
        <f t="shared" si="11"/>
        <v>0</v>
      </c>
      <c r="DI10" s="64">
        <f t="shared" si="12"/>
        <v>0</v>
      </c>
      <c r="DJ10" s="64">
        <f t="shared" si="13"/>
        <v>0</v>
      </c>
      <c r="DK10" s="64">
        <v>29</v>
      </c>
      <c r="DL10" s="64"/>
      <c r="DM10" s="64">
        <v>27</v>
      </c>
      <c r="DN10" s="64"/>
      <c r="DO10" s="64">
        <v>51</v>
      </c>
      <c r="DP10" s="64"/>
      <c r="DQ10" s="64">
        <f t="shared" si="14"/>
        <v>107</v>
      </c>
      <c r="DR10" s="64">
        <f t="shared" si="15"/>
        <v>0</v>
      </c>
      <c r="DS10" s="64">
        <f t="shared" si="16"/>
        <v>107</v>
      </c>
      <c r="DT10" s="64">
        <v>40</v>
      </c>
      <c r="DU10" s="64"/>
      <c r="DV10" s="64">
        <v>4</v>
      </c>
      <c r="DW10" s="64"/>
      <c r="DX10" s="64">
        <v>11</v>
      </c>
      <c r="DY10" s="64"/>
      <c r="DZ10" s="64">
        <f t="shared" si="40"/>
        <v>55</v>
      </c>
      <c r="EA10" s="64">
        <f t="shared" si="41"/>
        <v>0</v>
      </c>
      <c r="EB10" s="64">
        <f t="shared" si="42"/>
        <v>55</v>
      </c>
      <c r="EC10" s="64"/>
      <c r="ED10" s="64"/>
      <c r="EE10" s="64"/>
      <c r="EF10" s="64"/>
      <c r="EG10" s="64"/>
      <c r="EH10" s="64"/>
      <c r="EI10" s="64">
        <f t="shared" si="43"/>
        <v>0</v>
      </c>
      <c r="EJ10" s="64">
        <f t="shared" si="44"/>
        <v>0</v>
      </c>
      <c r="EK10" s="64">
        <f t="shared" si="45"/>
        <v>0</v>
      </c>
      <c r="EL10" s="64"/>
      <c r="EM10" s="64"/>
      <c r="EN10" s="64"/>
      <c r="EO10" s="64"/>
      <c r="EP10" s="64"/>
      <c r="EQ10" s="64"/>
      <c r="ER10" s="64">
        <f t="shared" si="46"/>
        <v>0</v>
      </c>
      <c r="ES10" s="64">
        <f t="shared" si="47"/>
        <v>0</v>
      </c>
      <c r="ET10" s="64">
        <f t="shared" si="48"/>
        <v>0</v>
      </c>
      <c r="EU10" s="64">
        <v>1</v>
      </c>
      <c r="EV10" s="64"/>
      <c r="EW10" s="64">
        <v>1</v>
      </c>
      <c r="EX10" s="64"/>
      <c r="EY10" s="64">
        <v>5</v>
      </c>
      <c r="EZ10" s="64"/>
      <c r="FA10" s="64"/>
      <c r="FB10" s="64"/>
      <c r="FC10" s="64">
        <f t="shared" si="49"/>
        <v>7</v>
      </c>
      <c r="FD10" s="64">
        <f t="shared" si="50"/>
        <v>0</v>
      </c>
      <c r="FE10" s="64">
        <f t="shared" si="51"/>
        <v>7</v>
      </c>
      <c r="FF10" s="64"/>
      <c r="FG10" s="64"/>
      <c r="FH10" s="64"/>
      <c r="FI10" s="64"/>
      <c r="FJ10" s="64"/>
      <c r="FK10" s="64"/>
      <c r="FL10" s="64"/>
      <c r="FM10" s="64"/>
      <c r="FN10" s="64">
        <v>1</v>
      </c>
      <c r="FO10" s="64"/>
      <c r="FP10" s="64"/>
      <c r="FQ10" s="64"/>
      <c r="FR10" s="64"/>
      <c r="FS10" s="64"/>
      <c r="FT10" s="64"/>
      <c r="FU10" s="64">
        <f t="shared" si="52"/>
        <v>1</v>
      </c>
      <c r="FV10" s="64">
        <f t="shared" si="53"/>
        <v>0</v>
      </c>
      <c r="FW10" s="64">
        <f t="shared" si="54"/>
        <v>1</v>
      </c>
      <c r="FX10" s="64"/>
      <c r="FY10" s="64"/>
      <c r="FZ10" s="64"/>
      <c r="GA10" s="64"/>
      <c r="GB10" s="64">
        <v>3</v>
      </c>
      <c r="GC10" s="64"/>
      <c r="GD10" s="64"/>
      <c r="GE10" s="64"/>
      <c r="GF10" s="64"/>
      <c r="GG10" s="64"/>
      <c r="GH10" s="64">
        <v>4</v>
      </c>
      <c r="GI10" s="64"/>
      <c r="GJ10" s="64"/>
      <c r="GK10" s="64"/>
      <c r="GL10" s="64"/>
      <c r="GM10" s="64"/>
      <c r="GN10" s="64">
        <f t="shared" si="55"/>
        <v>7</v>
      </c>
      <c r="GO10" s="64">
        <f t="shared" si="56"/>
        <v>0</v>
      </c>
      <c r="GP10" s="64">
        <f t="shared" si="57"/>
        <v>7</v>
      </c>
      <c r="GQ10" s="64">
        <v>7</v>
      </c>
      <c r="GR10" s="64"/>
      <c r="GS10" s="64"/>
      <c r="GT10" s="64"/>
      <c r="GU10" s="64"/>
      <c r="GV10" s="64"/>
      <c r="GW10" s="64">
        <f t="shared" si="58"/>
        <v>7</v>
      </c>
      <c r="GX10" s="64">
        <f t="shared" si="59"/>
        <v>0</v>
      </c>
      <c r="GY10" s="64">
        <f t="shared" si="60"/>
        <v>7</v>
      </c>
      <c r="GZ10" s="64">
        <v>6</v>
      </c>
      <c r="HA10" s="64"/>
      <c r="HB10" s="64"/>
      <c r="HC10" s="64"/>
      <c r="HD10" s="64"/>
      <c r="HE10" s="64"/>
      <c r="HF10" s="64"/>
      <c r="HG10" s="64"/>
      <c r="HH10" s="64"/>
      <c r="HI10" s="64"/>
      <c r="HJ10" s="64">
        <v>1</v>
      </c>
      <c r="HK10" s="64"/>
      <c r="HL10" s="64"/>
      <c r="HM10" s="64"/>
      <c r="HN10" s="64"/>
      <c r="HO10" s="64"/>
      <c r="HP10" s="64"/>
      <c r="HQ10" s="64">
        <f>HO10+GZ10+HM10+HJ10+HH10+HF10+HD10+HB10</f>
        <v>7</v>
      </c>
      <c r="HR10" s="64">
        <f>HP10+HA10+HN10+HL10+HK10+HI10+HG10+HE10+HC10</f>
        <v>0</v>
      </c>
      <c r="HS10" s="64">
        <f t="shared" si="61"/>
        <v>7</v>
      </c>
      <c r="HT10" s="64"/>
      <c r="HU10" s="64"/>
      <c r="HV10" s="64">
        <v>7</v>
      </c>
      <c r="HW10" s="64"/>
      <c r="HX10" s="64"/>
      <c r="HY10" s="64"/>
      <c r="HZ10" s="64"/>
      <c r="IA10" s="64"/>
      <c r="IB10" s="64">
        <f t="shared" si="62"/>
        <v>7</v>
      </c>
      <c r="IC10" s="64">
        <f t="shared" si="63"/>
        <v>0</v>
      </c>
      <c r="ID10" s="64">
        <f t="shared" si="64"/>
        <v>7</v>
      </c>
      <c r="IE10" s="64">
        <v>6</v>
      </c>
      <c r="IF10" s="64"/>
      <c r="IG10" s="64"/>
      <c r="IH10" s="64">
        <v>1</v>
      </c>
      <c r="II10" s="64"/>
      <c r="IJ10" s="64">
        <v>1</v>
      </c>
      <c r="IK10" s="64"/>
      <c r="IL10" s="64">
        <v>1</v>
      </c>
      <c r="IM10" s="64"/>
      <c r="IN10" s="64"/>
      <c r="IO10" s="64"/>
      <c r="IP10" s="64"/>
      <c r="IQ10" s="64"/>
      <c r="IR10" s="64"/>
      <c r="IS10" s="64"/>
      <c r="IT10" s="64">
        <v>1</v>
      </c>
      <c r="IU10" s="64">
        <v>2</v>
      </c>
      <c r="IV10" s="64"/>
      <c r="IW10" s="64"/>
      <c r="IX10" s="64">
        <v>1</v>
      </c>
      <c r="IY10" s="64" t="s">
        <v>218</v>
      </c>
      <c r="IZ10" s="78">
        <v>7807478284</v>
      </c>
      <c r="JA10" s="64" t="s">
        <v>199</v>
      </c>
    </row>
    <row r="11" spans="1:261" s="65" customFormat="1" ht="24.75" customHeight="1" x14ac:dyDescent="0.25">
      <c r="A11" s="64">
        <v>1</v>
      </c>
      <c r="B11" s="64">
        <v>1</v>
      </c>
      <c r="C11" s="64">
        <v>6</v>
      </c>
      <c r="D11" s="64">
        <v>1400811</v>
      </c>
      <c r="E11" s="64" t="s">
        <v>191</v>
      </c>
      <c r="F11" s="64"/>
      <c r="G11" s="64">
        <v>1</v>
      </c>
      <c r="H11" s="64"/>
      <c r="I11" s="64">
        <v>1</v>
      </c>
      <c r="J11" s="64"/>
      <c r="K11" s="64">
        <v>1</v>
      </c>
      <c r="L11" s="64"/>
      <c r="M11" s="64"/>
      <c r="N11" s="64">
        <v>1</v>
      </c>
      <c r="O11" s="64"/>
      <c r="P11" s="64"/>
      <c r="Q11" s="64"/>
      <c r="R11" s="64">
        <v>1</v>
      </c>
      <c r="S11" s="64"/>
      <c r="T11" s="64"/>
      <c r="U11" s="64"/>
      <c r="V11" s="64">
        <v>1</v>
      </c>
      <c r="W11" s="64"/>
      <c r="X11" s="64"/>
      <c r="Y11" s="64"/>
      <c r="Z11" s="82">
        <v>7</v>
      </c>
      <c r="AA11" s="64"/>
      <c r="AB11" s="64">
        <v>5</v>
      </c>
      <c r="AC11" s="64"/>
      <c r="AD11" s="64">
        <v>5</v>
      </c>
      <c r="AE11" s="64"/>
      <c r="AF11" s="64">
        <v>3</v>
      </c>
      <c r="AG11" s="64"/>
      <c r="AH11" s="64">
        <v>5</v>
      </c>
      <c r="AI11" s="64"/>
      <c r="AJ11" s="64">
        <v>5</v>
      </c>
      <c r="AK11" s="64"/>
      <c r="AL11" s="64">
        <v>5</v>
      </c>
      <c r="AM11" s="64">
        <f t="shared" si="19"/>
        <v>0</v>
      </c>
      <c r="AN11" s="64">
        <f t="shared" si="20"/>
        <v>35</v>
      </c>
      <c r="AO11" s="64">
        <f t="shared" si="21"/>
        <v>35</v>
      </c>
      <c r="AP11" s="64"/>
      <c r="AQ11" s="64">
        <v>2</v>
      </c>
      <c r="AR11" s="64"/>
      <c r="AS11" s="64">
        <v>5</v>
      </c>
      <c r="AT11" s="64"/>
      <c r="AU11" s="64">
        <v>10</v>
      </c>
      <c r="AV11" s="64"/>
      <c r="AW11" s="64">
        <v>5</v>
      </c>
      <c r="AX11" s="64"/>
      <c r="AY11" s="64">
        <v>7</v>
      </c>
      <c r="AZ11" s="64"/>
      <c r="BA11" s="64">
        <v>5</v>
      </c>
      <c r="BB11" s="64"/>
      <c r="BC11" s="64">
        <v>5</v>
      </c>
      <c r="BD11" s="64">
        <f t="shared" si="0"/>
        <v>0</v>
      </c>
      <c r="BE11" s="64">
        <f t="shared" si="1"/>
        <v>39</v>
      </c>
      <c r="BF11" s="64">
        <f t="shared" si="2"/>
        <v>39</v>
      </c>
      <c r="BG11" s="64"/>
      <c r="BH11" s="64">
        <v>4</v>
      </c>
      <c r="BI11" s="64"/>
      <c r="BJ11" s="64">
        <v>4</v>
      </c>
      <c r="BK11" s="64"/>
      <c r="BL11" s="64">
        <v>4</v>
      </c>
      <c r="BM11" s="64"/>
      <c r="BN11" s="64">
        <v>7</v>
      </c>
      <c r="BO11" s="64"/>
      <c r="BP11" s="64">
        <v>9</v>
      </c>
      <c r="BQ11" s="64"/>
      <c r="BR11" s="64">
        <v>4</v>
      </c>
      <c r="BS11" s="64"/>
      <c r="BT11" s="64">
        <v>5</v>
      </c>
      <c r="BU11" s="64">
        <f t="shared" si="3"/>
        <v>0</v>
      </c>
      <c r="BV11" s="64">
        <f t="shared" si="4"/>
        <v>37</v>
      </c>
      <c r="BW11" s="64">
        <f t="shared" si="5"/>
        <v>37</v>
      </c>
      <c r="BX11" s="64">
        <f t="shared" si="22"/>
        <v>0</v>
      </c>
      <c r="BY11" s="64">
        <f t="shared" si="23"/>
        <v>13</v>
      </c>
      <c r="BZ11" s="64">
        <f t="shared" si="24"/>
        <v>0</v>
      </c>
      <c r="CA11" s="64">
        <f t="shared" si="25"/>
        <v>14</v>
      </c>
      <c r="CB11" s="64">
        <f t="shared" si="26"/>
        <v>0</v>
      </c>
      <c r="CC11" s="64">
        <f t="shared" si="27"/>
        <v>19</v>
      </c>
      <c r="CD11" s="64">
        <f t="shared" si="28"/>
        <v>0</v>
      </c>
      <c r="CE11" s="64">
        <f t="shared" si="29"/>
        <v>15</v>
      </c>
      <c r="CF11" s="64">
        <f t="shared" si="30"/>
        <v>0</v>
      </c>
      <c r="CG11" s="64">
        <f t="shared" si="31"/>
        <v>21</v>
      </c>
      <c r="CH11" s="64">
        <f t="shared" si="32"/>
        <v>0</v>
      </c>
      <c r="CI11" s="64">
        <f t="shared" si="33"/>
        <v>14</v>
      </c>
      <c r="CJ11" s="64">
        <f t="shared" si="34"/>
        <v>0</v>
      </c>
      <c r="CK11" s="64">
        <f t="shared" si="35"/>
        <v>15</v>
      </c>
      <c r="CL11" s="64">
        <f t="shared" si="7"/>
        <v>0</v>
      </c>
      <c r="CM11" s="64">
        <f t="shared" si="8"/>
        <v>111</v>
      </c>
      <c r="CN11" s="64">
        <f t="shared" si="9"/>
        <v>111</v>
      </c>
      <c r="CO11" s="64"/>
      <c r="CP11" s="64">
        <v>2</v>
      </c>
      <c r="CQ11" s="64"/>
      <c r="CR11" s="64"/>
      <c r="CS11" s="64">
        <v>2</v>
      </c>
      <c r="CT11" s="64"/>
      <c r="CU11" s="64"/>
      <c r="CV11" s="64">
        <v>2</v>
      </c>
      <c r="CW11" s="64"/>
      <c r="CX11" s="64">
        <f t="shared" si="36"/>
        <v>0</v>
      </c>
      <c r="CY11" s="64">
        <f t="shared" si="37"/>
        <v>6</v>
      </c>
      <c r="CZ11" s="64">
        <f t="shared" si="38"/>
        <v>0</v>
      </c>
      <c r="DA11" s="64">
        <f t="shared" si="39"/>
        <v>6</v>
      </c>
      <c r="DB11" s="64"/>
      <c r="DC11" s="64">
        <v>1</v>
      </c>
      <c r="DD11" s="64"/>
      <c r="DE11" s="64">
        <v>5</v>
      </c>
      <c r="DF11" s="64"/>
      <c r="DG11" s="64">
        <v>4</v>
      </c>
      <c r="DH11" s="64">
        <f t="shared" si="11"/>
        <v>0</v>
      </c>
      <c r="DI11" s="64">
        <f t="shared" si="12"/>
        <v>10</v>
      </c>
      <c r="DJ11" s="64">
        <f t="shared" si="13"/>
        <v>10</v>
      </c>
      <c r="DK11" s="64"/>
      <c r="DL11" s="64">
        <v>11</v>
      </c>
      <c r="DM11" s="64"/>
      <c r="DN11" s="64">
        <v>20</v>
      </c>
      <c r="DO11" s="64"/>
      <c r="DP11" s="64">
        <v>34</v>
      </c>
      <c r="DQ11" s="64">
        <f t="shared" si="14"/>
        <v>0</v>
      </c>
      <c r="DR11" s="64">
        <f t="shared" si="15"/>
        <v>65</v>
      </c>
      <c r="DS11" s="64">
        <f t="shared" si="16"/>
        <v>65</v>
      </c>
      <c r="DT11" s="64"/>
      <c r="DU11" s="64">
        <v>3</v>
      </c>
      <c r="DV11" s="64"/>
      <c r="DW11" s="64">
        <v>11</v>
      </c>
      <c r="DX11" s="64"/>
      <c r="DY11" s="64"/>
      <c r="DZ11" s="64">
        <f t="shared" si="40"/>
        <v>0</v>
      </c>
      <c r="EA11" s="64">
        <f t="shared" si="41"/>
        <v>14</v>
      </c>
      <c r="EB11" s="64">
        <f t="shared" si="42"/>
        <v>14</v>
      </c>
      <c r="EC11" s="64"/>
      <c r="ED11" s="64"/>
      <c r="EE11" s="64"/>
      <c r="EF11" s="64"/>
      <c r="EG11" s="64"/>
      <c r="EH11" s="64"/>
      <c r="EI11" s="64">
        <f t="shared" si="43"/>
        <v>0</v>
      </c>
      <c r="EJ11" s="64">
        <f t="shared" si="44"/>
        <v>0</v>
      </c>
      <c r="EK11" s="64">
        <f t="shared" si="45"/>
        <v>0</v>
      </c>
      <c r="EL11" s="64"/>
      <c r="EM11" s="64"/>
      <c r="EN11" s="64"/>
      <c r="EO11" s="64"/>
      <c r="EP11" s="64"/>
      <c r="EQ11" s="64"/>
      <c r="ER11" s="64">
        <f t="shared" si="46"/>
        <v>0</v>
      </c>
      <c r="ES11" s="64">
        <f t="shared" si="47"/>
        <v>0</v>
      </c>
      <c r="ET11" s="64">
        <f t="shared" si="48"/>
        <v>0</v>
      </c>
      <c r="EU11" s="64"/>
      <c r="EV11" s="64">
        <v>1</v>
      </c>
      <c r="EW11" s="64"/>
      <c r="EX11" s="64"/>
      <c r="EY11" s="64"/>
      <c r="EZ11" s="64">
        <v>7</v>
      </c>
      <c r="FA11" s="64"/>
      <c r="FB11" s="64"/>
      <c r="FC11" s="64">
        <f t="shared" si="49"/>
        <v>0</v>
      </c>
      <c r="FD11" s="64">
        <f t="shared" si="50"/>
        <v>8</v>
      </c>
      <c r="FE11" s="64">
        <f t="shared" si="51"/>
        <v>8</v>
      </c>
      <c r="FF11" s="64"/>
      <c r="FG11" s="64"/>
      <c r="FH11" s="64"/>
      <c r="FI11" s="64"/>
      <c r="FJ11" s="64"/>
      <c r="FK11" s="64"/>
      <c r="FL11" s="64"/>
      <c r="FM11" s="64"/>
      <c r="FN11" s="64"/>
      <c r="FO11" s="64">
        <v>1</v>
      </c>
      <c r="FP11" s="64"/>
      <c r="FQ11" s="64"/>
      <c r="FR11" s="64"/>
      <c r="FS11" s="64"/>
      <c r="FT11" s="64"/>
      <c r="FU11" s="64">
        <f t="shared" si="52"/>
        <v>0</v>
      </c>
      <c r="FV11" s="64">
        <f t="shared" si="53"/>
        <v>1</v>
      </c>
      <c r="FW11" s="64">
        <f t="shared" si="54"/>
        <v>1</v>
      </c>
      <c r="FX11" s="64"/>
      <c r="FY11" s="64"/>
      <c r="FZ11" s="64"/>
      <c r="GA11" s="64"/>
      <c r="GB11" s="64"/>
      <c r="GC11" s="64">
        <v>2</v>
      </c>
      <c r="GD11" s="64"/>
      <c r="GE11" s="64"/>
      <c r="GF11" s="64"/>
      <c r="GG11" s="64"/>
      <c r="GH11" s="64"/>
      <c r="GI11" s="64">
        <v>6</v>
      </c>
      <c r="GJ11" s="64"/>
      <c r="GK11" s="64"/>
      <c r="GL11" s="64"/>
      <c r="GM11" s="64"/>
      <c r="GN11" s="64">
        <f t="shared" si="55"/>
        <v>0</v>
      </c>
      <c r="GO11" s="64">
        <f t="shared" si="56"/>
        <v>8</v>
      </c>
      <c r="GP11" s="64">
        <f t="shared" si="57"/>
        <v>8</v>
      </c>
      <c r="GQ11" s="64"/>
      <c r="GR11" s="64">
        <v>8</v>
      </c>
      <c r="GS11" s="64"/>
      <c r="GT11" s="64"/>
      <c r="GU11" s="64"/>
      <c r="GV11" s="64"/>
      <c r="GW11" s="64">
        <f t="shared" si="58"/>
        <v>0</v>
      </c>
      <c r="GX11" s="64">
        <f t="shared" si="59"/>
        <v>8</v>
      </c>
      <c r="GY11" s="64">
        <f t="shared" si="60"/>
        <v>8</v>
      </c>
      <c r="GZ11" s="64"/>
      <c r="HA11" s="64">
        <v>8</v>
      </c>
      <c r="HB11" s="64"/>
      <c r="HC11" s="64"/>
      <c r="HD11" s="64"/>
      <c r="HE11" s="64"/>
      <c r="HF11" s="64"/>
      <c r="HG11" s="64"/>
      <c r="HH11" s="64"/>
      <c r="HI11" s="64"/>
      <c r="HJ11" s="64"/>
      <c r="HK11" s="64"/>
      <c r="HL11" s="64"/>
      <c r="HM11" s="64"/>
      <c r="HN11" s="64"/>
      <c r="HO11" s="64"/>
      <c r="HP11" s="64"/>
      <c r="HQ11" s="64">
        <f t="shared" ref="HQ11:HQ18" si="65">HO11+GZ11+HM11+HJ11+HH11+HF11+HD11+HB11</f>
        <v>0</v>
      </c>
      <c r="HR11" s="64">
        <f t="shared" ref="HR11:HR18" si="66">HP11+HA11+HN11+HL11+HK11+HI11+HG11+HE11+HC11</f>
        <v>8</v>
      </c>
      <c r="HS11" s="64">
        <f t="shared" si="61"/>
        <v>8</v>
      </c>
      <c r="HT11" s="64"/>
      <c r="HU11" s="64"/>
      <c r="HV11" s="64"/>
      <c r="HW11" s="64">
        <v>7</v>
      </c>
      <c r="HX11" s="64"/>
      <c r="HY11" s="64"/>
      <c r="HZ11" s="64"/>
      <c r="IA11" s="64">
        <v>1</v>
      </c>
      <c r="IB11" s="64">
        <f t="shared" si="62"/>
        <v>0</v>
      </c>
      <c r="IC11" s="64">
        <f t="shared" si="63"/>
        <v>8</v>
      </c>
      <c r="ID11" s="64">
        <f t="shared" si="64"/>
        <v>8</v>
      </c>
      <c r="IE11" s="64"/>
      <c r="IF11" s="64">
        <v>3</v>
      </c>
      <c r="IG11" s="64"/>
      <c r="IH11" s="64">
        <v>1</v>
      </c>
      <c r="II11" s="64"/>
      <c r="IJ11" s="64">
        <v>1</v>
      </c>
      <c r="IK11" s="64"/>
      <c r="IL11" s="64">
        <v>1</v>
      </c>
      <c r="IM11" s="64"/>
      <c r="IN11" s="64"/>
      <c r="IO11" s="64"/>
      <c r="IP11" s="64"/>
      <c r="IQ11" s="64">
        <v>50</v>
      </c>
      <c r="IR11" s="64"/>
      <c r="IS11" s="64">
        <v>5</v>
      </c>
      <c r="IT11" s="64">
        <v>2</v>
      </c>
      <c r="IU11" s="64">
        <v>2</v>
      </c>
      <c r="IV11" s="64"/>
      <c r="IW11" s="64"/>
      <c r="IX11" s="64">
        <v>1</v>
      </c>
      <c r="IY11" s="64" t="s">
        <v>219</v>
      </c>
      <c r="IZ11" s="78">
        <v>7828100829</v>
      </c>
      <c r="JA11" s="64" t="s">
        <v>200</v>
      </c>
    </row>
    <row r="12" spans="1:261" s="65" customFormat="1" ht="24.75" customHeight="1" x14ac:dyDescent="0.25">
      <c r="A12" s="64">
        <v>1</v>
      </c>
      <c r="B12" s="64">
        <v>1</v>
      </c>
      <c r="C12" s="64">
        <v>7</v>
      </c>
      <c r="D12" s="64">
        <v>1400812</v>
      </c>
      <c r="E12" s="64" t="s">
        <v>135</v>
      </c>
      <c r="F12" s="64"/>
      <c r="G12" s="64">
        <v>1</v>
      </c>
      <c r="H12" s="64"/>
      <c r="I12" s="64">
        <v>1</v>
      </c>
      <c r="J12" s="64"/>
      <c r="K12" s="64">
        <v>1</v>
      </c>
      <c r="L12" s="64"/>
      <c r="M12" s="64"/>
      <c r="N12" s="64">
        <v>1</v>
      </c>
      <c r="O12" s="64"/>
      <c r="P12" s="64"/>
      <c r="Q12" s="64"/>
      <c r="R12" s="64">
        <v>1</v>
      </c>
      <c r="S12" s="64"/>
      <c r="T12" s="64"/>
      <c r="U12" s="64"/>
      <c r="V12" s="64">
        <v>1</v>
      </c>
      <c r="W12" s="64"/>
      <c r="X12" s="64"/>
      <c r="Y12" s="64"/>
      <c r="Z12" s="64">
        <v>3</v>
      </c>
      <c r="AA12" s="64"/>
      <c r="AB12" s="64">
        <v>4</v>
      </c>
      <c r="AC12" s="64"/>
      <c r="AD12" s="64">
        <v>3</v>
      </c>
      <c r="AE12" s="64"/>
      <c r="AF12" s="64">
        <v>4</v>
      </c>
      <c r="AG12" s="64"/>
      <c r="AH12" s="64">
        <v>4</v>
      </c>
      <c r="AI12" s="64"/>
      <c r="AJ12" s="64">
        <v>4</v>
      </c>
      <c r="AK12" s="64"/>
      <c r="AL12" s="64">
        <v>2</v>
      </c>
      <c r="AM12" s="64">
        <f t="shared" si="19"/>
        <v>0</v>
      </c>
      <c r="AN12" s="64">
        <f t="shared" si="20"/>
        <v>24</v>
      </c>
      <c r="AO12" s="64">
        <f t="shared" si="21"/>
        <v>24</v>
      </c>
      <c r="AP12" s="64"/>
      <c r="AQ12" s="64"/>
      <c r="AR12" s="64"/>
      <c r="AS12" s="64">
        <v>2</v>
      </c>
      <c r="AT12" s="64"/>
      <c r="AU12" s="64">
        <v>7</v>
      </c>
      <c r="AV12" s="64"/>
      <c r="AW12" s="64">
        <v>5</v>
      </c>
      <c r="AX12" s="64"/>
      <c r="AY12" s="64">
        <v>10</v>
      </c>
      <c r="AZ12" s="64"/>
      <c r="BA12" s="64">
        <v>11</v>
      </c>
      <c r="BB12" s="64"/>
      <c r="BC12" s="64">
        <v>9</v>
      </c>
      <c r="BD12" s="64">
        <f t="shared" si="0"/>
        <v>0</v>
      </c>
      <c r="BE12" s="64">
        <f t="shared" si="1"/>
        <v>44</v>
      </c>
      <c r="BF12" s="64">
        <f t="shared" si="2"/>
        <v>44</v>
      </c>
      <c r="BG12" s="64"/>
      <c r="BH12" s="64"/>
      <c r="BI12" s="64"/>
      <c r="BJ12" s="64">
        <v>1</v>
      </c>
      <c r="BK12" s="64"/>
      <c r="BL12" s="64">
        <v>3</v>
      </c>
      <c r="BM12" s="64"/>
      <c r="BN12" s="64">
        <v>5</v>
      </c>
      <c r="BO12" s="64"/>
      <c r="BP12" s="64">
        <v>8</v>
      </c>
      <c r="BQ12" s="64"/>
      <c r="BR12" s="64">
        <v>7</v>
      </c>
      <c r="BS12" s="64"/>
      <c r="BT12" s="64">
        <v>10</v>
      </c>
      <c r="BU12" s="64">
        <f t="shared" si="3"/>
        <v>0</v>
      </c>
      <c r="BV12" s="64">
        <f t="shared" si="4"/>
        <v>34</v>
      </c>
      <c r="BW12" s="64">
        <f t="shared" si="5"/>
        <v>34</v>
      </c>
      <c r="BX12" s="64">
        <f t="shared" si="22"/>
        <v>0</v>
      </c>
      <c r="BY12" s="64">
        <f t="shared" si="23"/>
        <v>3</v>
      </c>
      <c r="BZ12" s="64">
        <f t="shared" si="24"/>
        <v>0</v>
      </c>
      <c r="CA12" s="64">
        <f t="shared" si="25"/>
        <v>7</v>
      </c>
      <c r="CB12" s="64">
        <f t="shared" si="26"/>
        <v>0</v>
      </c>
      <c r="CC12" s="64">
        <f t="shared" si="27"/>
        <v>13</v>
      </c>
      <c r="CD12" s="64">
        <f t="shared" si="28"/>
        <v>0</v>
      </c>
      <c r="CE12" s="64">
        <f t="shared" si="29"/>
        <v>14</v>
      </c>
      <c r="CF12" s="64">
        <f t="shared" si="30"/>
        <v>0</v>
      </c>
      <c r="CG12" s="64">
        <f t="shared" si="31"/>
        <v>22</v>
      </c>
      <c r="CH12" s="64">
        <f t="shared" si="32"/>
        <v>0</v>
      </c>
      <c r="CI12" s="64">
        <f t="shared" si="33"/>
        <v>22</v>
      </c>
      <c r="CJ12" s="64">
        <f t="shared" si="34"/>
        <v>0</v>
      </c>
      <c r="CK12" s="64">
        <f t="shared" si="35"/>
        <v>21</v>
      </c>
      <c r="CL12" s="64">
        <f t="shared" si="7"/>
        <v>0</v>
      </c>
      <c r="CM12" s="64">
        <f t="shared" si="8"/>
        <v>102</v>
      </c>
      <c r="CN12" s="64">
        <f t="shared" si="9"/>
        <v>102</v>
      </c>
      <c r="CO12" s="64"/>
      <c r="CP12" s="64">
        <v>1</v>
      </c>
      <c r="CQ12" s="64"/>
      <c r="CR12" s="64"/>
      <c r="CS12" s="64">
        <v>2</v>
      </c>
      <c r="CT12" s="64"/>
      <c r="CU12" s="64"/>
      <c r="CV12" s="64">
        <v>1</v>
      </c>
      <c r="CW12" s="64"/>
      <c r="CX12" s="64">
        <f t="shared" si="36"/>
        <v>0</v>
      </c>
      <c r="CY12" s="64">
        <f t="shared" si="37"/>
        <v>4</v>
      </c>
      <c r="CZ12" s="64">
        <f t="shared" si="38"/>
        <v>0</v>
      </c>
      <c r="DA12" s="64">
        <f t="shared" si="39"/>
        <v>4</v>
      </c>
      <c r="DB12" s="64"/>
      <c r="DC12" s="64">
        <v>13</v>
      </c>
      <c r="DD12" s="64"/>
      <c r="DE12" s="64">
        <v>15</v>
      </c>
      <c r="DF12" s="64"/>
      <c r="DG12" s="64">
        <v>7</v>
      </c>
      <c r="DH12" s="64">
        <f t="shared" si="11"/>
        <v>0</v>
      </c>
      <c r="DI12" s="64">
        <f t="shared" si="12"/>
        <v>35</v>
      </c>
      <c r="DJ12" s="64">
        <f t="shared" si="13"/>
        <v>35</v>
      </c>
      <c r="DK12" s="64"/>
      <c r="DL12" s="64">
        <v>18</v>
      </c>
      <c r="DM12" s="64"/>
      <c r="DN12" s="64">
        <v>24</v>
      </c>
      <c r="DO12" s="64"/>
      <c r="DP12" s="64">
        <v>33</v>
      </c>
      <c r="DQ12" s="64">
        <f t="shared" si="14"/>
        <v>0</v>
      </c>
      <c r="DR12" s="64">
        <f t="shared" si="15"/>
        <v>75</v>
      </c>
      <c r="DS12" s="64">
        <f t="shared" si="16"/>
        <v>75</v>
      </c>
      <c r="DT12" s="64"/>
      <c r="DU12" s="64">
        <v>15</v>
      </c>
      <c r="DV12" s="64"/>
      <c r="DW12" s="64">
        <v>25</v>
      </c>
      <c r="DX12" s="64"/>
      <c r="DY12" s="64">
        <v>14</v>
      </c>
      <c r="DZ12" s="64">
        <f t="shared" si="40"/>
        <v>0</v>
      </c>
      <c r="EA12" s="64">
        <f t="shared" si="41"/>
        <v>54</v>
      </c>
      <c r="EB12" s="64">
        <f t="shared" si="42"/>
        <v>54</v>
      </c>
      <c r="EC12" s="64"/>
      <c r="ED12" s="64"/>
      <c r="EE12" s="64"/>
      <c r="EF12" s="64"/>
      <c r="EG12" s="64"/>
      <c r="EH12" s="64"/>
      <c r="EI12" s="64">
        <f t="shared" si="43"/>
        <v>0</v>
      </c>
      <c r="EJ12" s="64">
        <f t="shared" si="44"/>
        <v>0</v>
      </c>
      <c r="EK12" s="64">
        <f t="shared" si="45"/>
        <v>0</v>
      </c>
      <c r="EL12" s="64"/>
      <c r="EM12" s="64"/>
      <c r="EN12" s="64"/>
      <c r="EO12" s="64"/>
      <c r="EP12" s="64"/>
      <c r="EQ12" s="64"/>
      <c r="ER12" s="64">
        <f t="shared" si="46"/>
        <v>0</v>
      </c>
      <c r="ES12" s="64">
        <f t="shared" si="47"/>
        <v>0</v>
      </c>
      <c r="ET12" s="64">
        <f t="shared" si="48"/>
        <v>0</v>
      </c>
      <c r="EU12" s="64"/>
      <c r="EV12" s="64">
        <v>1</v>
      </c>
      <c r="EW12" s="64"/>
      <c r="EX12" s="64">
        <v>1</v>
      </c>
      <c r="EY12" s="64"/>
      <c r="EZ12" s="64">
        <v>3</v>
      </c>
      <c r="FA12" s="64"/>
      <c r="FB12" s="64"/>
      <c r="FC12" s="64">
        <f t="shared" si="49"/>
        <v>0</v>
      </c>
      <c r="FD12" s="64">
        <f t="shared" si="50"/>
        <v>5</v>
      </c>
      <c r="FE12" s="64">
        <f t="shared" si="51"/>
        <v>5</v>
      </c>
      <c r="FF12" s="64"/>
      <c r="FG12" s="64"/>
      <c r="FH12" s="64"/>
      <c r="FI12" s="64"/>
      <c r="FJ12" s="64"/>
      <c r="FK12" s="64"/>
      <c r="FL12" s="64"/>
      <c r="FM12" s="64"/>
      <c r="FN12" s="64"/>
      <c r="FO12" s="64">
        <v>1</v>
      </c>
      <c r="FP12" s="64"/>
      <c r="FQ12" s="64"/>
      <c r="FR12" s="64"/>
      <c r="FS12" s="64"/>
      <c r="FT12" s="64"/>
      <c r="FU12" s="64">
        <f t="shared" si="52"/>
        <v>0</v>
      </c>
      <c r="FV12" s="64">
        <f t="shared" si="53"/>
        <v>1</v>
      </c>
      <c r="FW12" s="64">
        <f t="shared" si="54"/>
        <v>1</v>
      </c>
      <c r="FX12" s="64"/>
      <c r="FY12" s="64"/>
      <c r="FZ12" s="64"/>
      <c r="GA12" s="64"/>
      <c r="GB12" s="64"/>
      <c r="GC12" s="64">
        <v>1</v>
      </c>
      <c r="GD12" s="64"/>
      <c r="GE12" s="64"/>
      <c r="GF12" s="64"/>
      <c r="GG12" s="64"/>
      <c r="GH12" s="64"/>
      <c r="GI12" s="64">
        <v>3</v>
      </c>
      <c r="GJ12" s="64"/>
      <c r="GK12" s="64"/>
      <c r="GL12" s="64"/>
      <c r="GM12" s="64">
        <v>1</v>
      </c>
      <c r="GN12" s="64">
        <f t="shared" si="55"/>
        <v>0</v>
      </c>
      <c r="GO12" s="64">
        <f t="shared" si="56"/>
        <v>5</v>
      </c>
      <c r="GP12" s="64">
        <f t="shared" si="57"/>
        <v>5</v>
      </c>
      <c r="GQ12" s="64"/>
      <c r="GR12" s="64">
        <v>5</v>
      </c>
      <c r="GS12" s="64"/>
      <c r="GT12" s="64"/>
      <c r="GU12" s="64"/>
      <c r="GV12" s="64"/>
      <c r="GW12" s="64">
        <f t="shared" si="58"/>
        <v>0</v>
      </c>
      <c r="GX12" s="64">
        <f t="shared" si="59"/>
        <v>5</v>
      </c>
      <c r="GY12" s="64">
        <f t="shared" si="60"/>
        <v>5</v>
      </c>
      <c r="GZ12" s="64"/>
      <c r="HA12" s="64">
        <v>4</v>
      </c>
      <c r="HB12" s="64"/>
      <c r="HC12" s="64"/>
      <c r="HD12" s="64"/>
      <c r="HE12" s="64"/>
      <c r="HF12" s="64"/>
      <c r="HG12" s="64"/>
      <c r="HH12" s="64"/>
      <c r="HI12" s="64"/>
      <c r="HJ12" s="64"/>
      <c r="HK12" s="64"/>
      <c r="HL12" s="64">
        <v>1</v>
      </c>
      <c r="HM12" s="64"/>
      <c r="HN12" s="64"/>
      <c r="HO12" s="64"/>
      <c r="HP12" s="64"/>
      <c r="HQ12" s="64">
        <f t="shared" si="65"/>
        <v>0</v>
      </c>
      <c r="HR12" s="64">
        <f t="shared" si="66"/>
        <v>5</v>
      </c>
      <c r="HS12" s="64">
        <f t="shared" si="61"/>
        <v>5</v>
      </c>
      <c r="HT12" s="64"/>
      <c r="HU12" s="64"/>
      <c r="HV12" s="64"/>
      <c r="HW12" s="64">
        <v>5</v>
      </c>
      <c r="HX12" s="64"/>
      <c r="HY12" s="64"/>
      <c r="HZ12" s="64"/>
      <c r="IA12" s="64"/>
      <c r="IB12" s="64">
        <f t="shared" si="62"/>
        <v>0</v>
      </c>
      <c r="IC12" s="64">
        <f t="shared" si="63"/>
        <v>5</v>
      </c>
      <c r="ID12" s="64">
        <f t="shared" si="64"/>
        <v>5</v>
      </c>
      <c r="IE12" s="64"/>
      <c r="IF12" s="64"/>
      <c r="IG12" s="64"/>
      <c r="IH12" s="64">
        <v>1</v>
      </c>
      <c r="II12" s="64"/>
      <c r="IJ12" s="64">
        <v>1</v>
      </c>
      <c r="IK12" s="64"/>
      <c r="IL12" s="64">
        <v>1</v>
      </c>
      <c r="IM12" s="64"/>
      <c r="IN12" s="64"/>
      <c r="IO12" s="64"/>
      <c r="IP12" s="64"/>
      <c r="IQ12" s="64"/>
      <c r="IR12" s="64"/>
      <c r="IS12" s="64"/>
      <c r="IT12" s="64">
        <v>1</v>
      </c>
      <c r="IU12" s="64">
        <v>1</v>
      </c>
      <c r="IV12" s="64"/>
      <c r="IW12" s="64"/>
      <c r="IX12" s="64">
        <v>1</v>
      </c>
      <c r="IY12" s="64" t="s">
        <v>220</v>
      </c>
      <c r="IZ12" s="78">
        <v>7840007696</v>
      </c>
      <c r="JA12" s="64" t="s">
        <v>201</v>
      </c>
    </row>
    <row r="13" spans="1:261" s="65" customFormat="1" ht="24.75" customHeight="1" x14ac:dyDescent="0.25">
      <c r="A13" s="64">
        <v>1</v>
      </c>
      <c r="B13" s="64">
        <v>1</v>
      </c>
      <c r="C13" s="64">
        <v>8</v>
      </c>
      <c r="D13" s="64" t="s">
        <v>175</v>
      </c>
      <c r="E13" s="64" t="s">
        <v>136</v>
      </c>
      <c r="F13" s="64"/>
      <c r="G13" s="64">
        <v>1</v>
      </c>
      <c r="H13" s="64"/>
      <c r="I13" s="64">
        <v>1</v>
      </c>
      <c r="J13" s="64"/>
      <c r="K13" s="64">
        <v>1</v>
      </c>
      <c r="L13" s="64"/>
      <c r="M13" s="64"/>
      <c r="N13" s="64">
        <v>1</v>
      </c>
      <c r="O13" s="64"/>
      <c r="P13" s="64"/>
      <c r="Q13" s="64"/>
      <c r="R13" s="64">
        <v>1</v>
      </c>
      <c r="S13" s="64"/>
      <c r="T13" s="64"/>
      <c r="U13" s="64"/>
      <c r="V13" s="64">
        <v>1</v>
      </c>
      <c r="W13" s="64"/>
      <c r="X13" s="64"/>
      <c r="Y13" s="64"/>
      <c r="Z13" s="82">
        <v>10</v>
      </c>
      <c r="AA13" s="64"/>
      <c r="AB13" s="64">
        <v>3</v>
      </c>
      <c r="AC13" s="64"/>
      <c r="AD13" s="64">
        <v>3</v>
      </c>
      <c r="AE13" s="64"/>
      <c r="AF13" s="64">
        <v>1</v>
      </c>
      <c r="AG13" s="64"/>
      <c r="AH13" s="64">
        <v>2</v>
      </c>
      <c r="AI13" s="64"/>
      <c r="AJ13" s="64"/>
      <c r="AK13" s="64"/>
      <c r="AL13" s="64">
        <v>3</v>
      </c>
      <c r="AM13" s="64">
        <f t="shared" si="19"/>
        <v>0</v>
      </c>
      <c r="AN13" s="64">
        <f t="shared" si="20"/>
        <v>22</v>
      </c>
      <c r="AO13" s="64">
        <f t="shared" si="21"/>
        <v>22</v>
      </c>
      <c r="AP13" s="64"/>
      <c r="AQ13" s="64">
        <v>6</v>
      </c>
      <c r="AR13" s="64"/>
      <c r="AS13" s="64">
        <v>3</v>
      </c>
      <c r="AT13" s="64"/>
      <c r="AU13" s="64">
        <v>5</v>
      </c>
      <c r="AV13" s="64"/>
      <c r="AW13" s="64">
        <v>6</v>
      </c>
      <c r="AX13" s="64"/>
      <c r="AY13" s="64">
        <v>3</v>
      </c>
      <c r="AZ13" s="64"/>
      <c r="BA13" s="64">
        <v>6</v>
      </c>
      <c r="BB13" s="64"/>
      <c r="BC13" s="64">
        <v>3</v>
      </c>
      <c r="BD13" s="64">
        <f t="shared" si="0"/>
        <v>0</v>
      </c>
      <c r="BE13" s="64">
        <f t="shared" si="1"/>
        <v>32</v>
      </c>
      <c r="BF13" s="64">
        <f t="shared" si="2"/>
        <v>32</v>
      </c>
      <c r="BG13" s="64"/>
      <c r="BH13" s="64">
        <v>7</v>
      </c>
      <c r="BI13" s="64"/>
      <c r="BJ13" s="64">
        <v>7</v>
      </c>
      <c r="BK13" s="64"/>
      <c r="BL13" s="64">
        <v>13</v>
      </c>
      <c r="BM13" s="64"/>
      <c r="BN13" s="64">
        <v>13</v>
      </c>
      <c r="BO13" s="64"/>
      <c r="BP13" s="64">
        <v>13</v>
      </c>
      <c r="BQ13" s="64"/>
      <c r="BR13" s="64">
        <v>5</v>
      </c>
      <c r="BS13" s="64"/>
      <c r="BT13" s="64">
        <v>13</v>
      </c>
      <c r="BU13" s="64">
        <f t="shared" si="3"/>
        <v>0</v>
      </c>
      <c r="BV13" s="64">
        <f t="shared" si="4"/>
        <v>71</v>
      </c>
      <c r="BW13" s="64">
        <f t="shared" si="5"/>
        <v>71</v>
      </c>
      <c r="BX13" s="64">
        <f t="shared" si="22"/>
        <v>0</v>
      </c>
      <c r="BY13" s="64">
        <f t="shared" si="23"/>
        <v>23</v>
      </c>
      <c r="BZ13" s="64">
        <f t="shared" si="24"/>
        <v>0</v>
      </c>
      <c r="CA13" s="64">
        <f t="shared" si="25"/>
        <v>13</v>
      </c>
      <c r="CB13" s="64">
        <f t="shared" si="26"/>
        <v>0</v>
      </c>
      <c r="CC13" s="64">
        <f t="shared" si="27"/>
        <v>21</v>
      </c>
      <c r="CD13" s="64">
        <f t="shared" si="28"/>
        <v>0</v>
      </c>
      <c r="CE13" s="64">
        <f t="shared" si="29"/>
        <v>20</v>
      </c>
      <c r="CF13" s="64">
        <f t="shared" si="30"/>
        <v>0</v>
      </c>
      <c r="CG13" s="64">
        <f t="shared" si="31"/>
        <v>18</v>
      </c>
      <c r="CH13" s="64">
        <f t="shared" si="32"/>
        <v>0</v>
      </c>
      <c r="CI13" s="64">
        <f t="shared" si="33"/>
        <v>11</v>
      </c>
      <c r="CJ13" s="64">
        <f t="shared" si="34"/>
        <v>0</v>
      </c>
      <c r="CK13" s="64">
        <f t="shared" si="35"/>
        <v>19</v>
      </c>
      <c r="CL13" s="64">
        <f t="shared" si="7"/>
        <v>0</v>
      </c>
      <c r="CM13" s="64">
        <f t="shared" si="8"/>
        <v>125</v>
      </c>
      <c r="CN13" s="64">
        <f t="shared" si="9"/>
        <v>125</v>
      </c>
      <c r="CO13" s="64"/>
      <c r="CP13" s="64">
        <v>1</v>
      </c>
      <c r="CQ13" s="64"/>
      <c r="CR13" s="64"/>
      <c r="CS13" s="64">
        <v>1</v>
      </c>
      <c r="CT13" s="64"/>
      <c r="CU13" s="64"/>
      <c r="CV13" s="64">
        <v>2</v>
      </c>
      <c r="CW13" s="64"/>
      <c r="CX13" s="64">
        <f t="shared" si="36"/>
        <v>0</v>
      </c>
      <c r="CY13" s="64">
        <f t="shared" si="37"/>
        <v>4</v>
      </c>
      <c r="CZ13" s="64">
        <f t="shared" si="38"/>
        <v>0</v>
      </c>
      <c r="DA13" s="64">
        <f t="shared" si="39"/>
        <v>4</v>
      </c>
      <c r="DB13" s="64"/>
      <c r="DC13" s="64"/>
      <c r="DD13" s="64"/>
      <c r="DE13" s="64"/>
      <c r="DF13" s="64"/>
      <c r="DG13" s="64"/>
      <c r="DH13" s="64">
        <f t="shared" si="11"/>
        <v>0</v>
      </c>
      <c r="DI13" s="64">
        <f t="shared" si="12"/>
        <v>0</v>
      </c>
      <c r="DJ13" s="64">
        <f t="shared" si="13"/>
        <v>0</v>
      </c>
      <c r="DK13" s="64"/>
      <c r="DL13" s="64">
        <v>12</v>
      </c>
      <c r="DM13" s="64"/>
      <c r="DN13" s="64">
        <v>18</v>
      </c>
      <c r="DO13" s="64"/>
      <c r="DP13" s="64">
        <v>55</v>
      </c>
      <c r="DQ13" s="64">
        <f t="shared" si="14"/>
        <v>0</v>
      </c>
      <c r="DR13" s="64">
        <f t="shared" si="15"/>
        <v>85</v>
      </c>
      <c r="DS13" s="64">
        <f t="shared" si="16"/>
        <v>85</v>
      </c>
      <c r="DT13" s="64"/>
      <c r="DU13" s="64">
        <v>8</v>
      </c>
      <c r="DV13" s="64"/>
      <c r="DW13" s="64">
        <v>9</v>
      </c>
      <c r="DX13" s="64"/>
      <c r="DY13" s="64">
        <v>40</v>
      </c>
      <c r="DZ13" s="64">
        <f t="shared" si="40"/>
        <v>0</v>
      </c>
      <c r="EA13" s="64">
        <f t="shared" si="41"/>
        <v>57</v>
      </c>
      <c r="EB13" s="64">
        <f t="shared" si="42"/>
        <v>57</v>
      </c>
      <c r="EC13" s="64"/>
      <c r="ED13" s="64"/>
      <c r="EE13" s="64"/>
      <c r="EF13" s="64"/>
      <c r="EG13" s="64"/>
      <c r="EH13" s="64"/>
      <c r="EI13" s="64">
        <f t="shared" si="43"/>
        <v>0</v>
      </c>
      <c r="EJ13" s="64">
        <f t="shared" si="44"/>
        <v>0</v>
      </c>
      <c r="EK13" s="64">
        <f t="shared" si="45"/>
        <v>0</v>
      </c>
      <c r="EL13" s="64"/>
      <c r="EM13" s="64"/>
      <c r="EN13" s="64"/>
      <c r="EO13" s="64"/>
      <c r="EP13" s="64"/>
      <c r="EQ13" s="64"/>
      <c r="ER13" s="64">
        <f t="shared" si="46"/>
        <v>0</v>
      </c>
      <c r="ES13" s="64">
        <f t="shared" si="47"/>
        <v>0</v>
      </c>
      <c r="ET13" s="64">
        <f t="shared" si="48"/>
        <v>0</v>
      </c>
      <c r="EU13" s="64"/>
      <c r="EV13" s="64">
        <v>1</v>
      </c>
      <c r="EW13" s="64"/>
      <c r="EX13" s="64">
        <v>1</v>
      </c>
      <c r="EY13" s="64"/>
      <c r="EZ13" s="64">
        <v>7</v>
      </c>
      <c r="FA13" s="64"/>
      <c r="FB13" s="64">
        <v>1</v>
      </c>
      <c r="FC13" s="64">
        <f t="shared" si="49"/>
        <v>0</v>
      </c>
      <c r="FD13" s="64">
        <f t="shared" si="50"/>
        <v>10</v>
      </c>
      <c r="FE13" s="64">
        <f t="shared" si="51"/>
        <v>10</v>
      </c>
      <c r="FF13" s="64"/>
      <c r="FG13" s="64"/>
      <c r="FH13" s="64"/>
      <c r="FI13" s="64"/>
      <c r="FJ13" s="64"/>
      <c r="FK13" s="64"/>
      <c r="FL13" s="64"/>
      <c r="FM13" s="64"/>
      <c r="FN13" s="64"/>
      <c r="FO13" s="64"/>
      <c r="FP13" s="64"/>
      <c r="FQ13" s="64"/>
      <c r="FR13" s="64"/>
      <c r="FS13" s="64"/>
      <c r="FT13" s="64"/>
      <c r="FU13" s="64">
        <f t="shared" ref="FU13" si="67">FT13+FS13+FR13+FN13+FL13+FH13+FF13</f>
        <v>0</v>
      </c>
      <c r="FV13" s="64">
        <f t="shared" ref="FV13" si="68">FO13+FM13+FI13+FG13</f>
        <v>0</v>
      </c>
      <c r="FW13" s="64">
        <f t="shared" ref="FW13" si="69">FV13+FU13</f>
        <v>0</v>
      </c>
      <c r="FX13" s="64"/>
      <c r="FY13" s="64"/>
      <c r="FZ13" s="64"/>
      <c r="GA13" s="64"/>
      <c r="GB13" s="64"/>
      <c r="GC13" s="64">
        <v>2</v>
      </c>
      <c r="GD13" s="64"/>
      <c r="GE13" s="64"/>
      <c r="GF13" s="64"/>
      <c r="GG13" s="64">
        <v>1</v>
      </c>
      <c r="GH13" s="64"/>
      <c r="GI13" s="64">
        <v>7</v>
      </c>
      <c r="GJ13" s="64"/>
      <c r="GK13" s="64"/>
      <c r="GL13" s="64"/>
      <c r="GM13" s="64"/>
      <c r="GN13" s="64">
        <f t="shared" si="55"/>
        <v>0</v>
      </c>
      <c r="GO13" s="64">
        <f t="shared" si="56"/>
        <v>10</v>
      </c>
      <c r="GP13" s="64">
        <f t="shared" si="57"/>
        <v>10</v>
      </c>
      <c r="GQ13" s="64"/>
      <c r="GR13" s="64">
        <v>10</v>
      </c>
      <c r="GS13" s="64"/>
      <c r="GT13" s="64"/>
      <c r="GU13" s="64"/>
      <c r="GV13" s="64"/>
      <c r="GW13" s="64">
        <f t="shared" si="58"/>
        <v>0</v>
      </c>
      <c r="GX13" s="64">
        <f t="shared" si="59"/>
        <v>10</v>
      </c>
      <c r="GY13" s="64">
        <f t="shared" si="60"/>
        <v>10</v>
      </c>
      <c r="GZ13" s="64"/>
      <c r="HA13" s="64">
        <v>7</v>
      </c>
      <c r="HB13" s="64"/>
      <c r="HC13" s="64"/>
      <c r="HD13" s="64"/>
      <c r="HE13" s="64"/>
      <c r="HF13" s="64"/>
      <c r="HG13" s="64"/>
      <c r="HH13" s="64"/>
      <c r="HI13" s="64"/>
      <c r="HJ13" s="64"/>
      <c r="HK13" s="64">
        <v>1</v>
      </c>
      <c r="HL13" s="64"/>
      <c r="HM13" s="64"/>
      <c r="HN13" s="64"/>
      <c r="HO13" s="64"/>
      <c r="HP13" s="64">
        <v>2</v>
      </c>
      <c r="HQ13" s="64">
        <f t="shared" si="65"/>
        <v>0</v>
      </c>
      <c r="HR13" s="64">
        <f t="shared" si="66"/>
        <v>10</v>
      </c>
      <c r="HS13" s="64">
        <f t="shared" si="61"/>
        <v>10</v>
      </c>
      <c r="HT13" s="64"/>
      <c r="HU13" s="64"/>
      <c r="HV13" s="64"/>
      <c r="HW13" s="64">
        <v>9</v>
      </c>
      <c r="HX13" s="64"/>
      <c r="HY13" s="64"/>
      <c r="HZ13" s="64"/>
      <c r="IA13" s="64">
        <v>1</v>
      </c>
      <c r="IB13" s="64">
        <f t="shared" si="62"/>
        <v>0</v>
      </c>
      <c r="IC13" s="64">
        <f t="shared" si="63"/>
        <v>10</v>
      </c>
      <c r="ID13" s="64">
        <f t="shared" si="64"/>
        <v>10</v>
      </c>
      <c r="IE13" s="64"/>
      <c r="IF13" s="64"/>
      <c r="IG13" s="64">
        <v>1</v>
      </c>
      <c r="IH13" s="64"/>
      <c r="II13" s="64"/>
      <c r="IJ13" s="64">
        <v>1</v>
      </c>
      <c r="IK13" s="64"/>
      <c r="IL13" s="64">
        <v>1</v>
      </c>
      <c r="IM13" s="64"/>
      <c r="IN13" s="64"/>
      <c r="IO13" s="64"/>
      <c r="IP13" s="64"/>
      <c r="IQ13" s="64">
        <v>45</v>
      </c>
      <c r="IR13" s="64"/>
      <c r="IS13" s="64">
        <v>5</v>
      </c>
      <c r="IT13" s="64">
        <v>1</v>
      </c>
      <c r="IU13" s="64">
        <v>1</v>
      </c>
      <c r="IV13" s="64"/>
      <c r="IW13" s="64"/>
      <c r="IX13" s="64">
        <v>1</v>
      </c>
      <c r="IY13" s="64" t="s">
        <v>221</v>
      </c>
      <c r="IZ13" s="78">
        <v>7811776202</v>
      </c>
      <c r="JA13" s="64" t="s">
        <v>202</v>
      </c>
    </row>
    <row r="14" spans="1:261" s="65" customFormat="1" ht="24.75" customHeight="1" x14ac:dyDescent="0.25">
      <c r="A14" s="64">
        <v>1</v>
      </c>
      <c r="B14" s="64">
        <v>1</v>
      </c>
      <c r="C14" s="64">
        <v>9</v>
      </c>
      <c r="D14" s="105">
        <v>1400813</v>
      </c>
      <c r="E14" s="64" t="s">
        <v>239</v>
      </c>
      <c r="F14" s="64"/>
      <c r="G14" s="64">
        <v>1</v>
      </c>
      <c r="H14" s="64">
        <v>1</v>
      </c>
      <c r="I14" s="64"/>
      <c r="J14" s="64"/>
      <c r="K14" s="64">
        <v>1</v>
      </c>
      <c r="L14" s="64"/>
      <c r="M14" s="64"/>
      <c r="N14" s="64">
        <v>1</v>
      </c>
      <c r="O14" s="64"/>
      <c r="P14" s="64"/>
      <c r="Q14" s="64"/>
      <c r="R14" s="64">
        <v>1</v>
      </c>
      <c r="S14" s="64"/>
      <c r="T14" s="64"/>
      <c r="U14" s="64"/>
      <c r="V14" s="64">
        <v>1</v>
      </c>
      <c r="W14" s="64"/>
      <c r="X14" s="64"/>
      <c r="Y14" s="64">
        <v>5</v>
      </c>
      <c r="Z14" s="82"/>
      <c r="AA14" s="64">
        <v>8</v>
      </c>
      <c r="AB14" s="64"/>
      <c r="AC14" s="64">
        <v>12</v>
      </c>
      <c r="AD14" s="64"/>
      <c r="AE14" s="64">
        <v>16</v>
      </c>
      <c r="AF14" s="64"/>
      <c r="AG14" s="64"/>
      <c r="AH14" s="64"/>
      <c r="AI14" s="64"/>
      <c r="AJ14" s="64"/>
      <c r="AK14" s="64"/>
      <c r="AL14" s="64"/>
      <c r="AM14" s="64">
        <f t="shared" ref="AM14:AM18" si="70">AK14+AI14+AG14+AE14+AC14+AA14+Y14</f>
        <v>41</v>
      </c>
      <c r="AN14" s="64">
        <f t="shared" ref="AN14:AN18" si="71">AL14+AJ14+AH14+AF14+AD14+AB14+Z14</f>
        <v>0</v>
      </c>
      <c r="AO14" s="64">
        <f t="shared" ref="AO14:AO18" si="72">AN14+AM14</f>
        <v>41</v>
      </c>
      <c r="AP14" s="64"/>
      <c r="AQ14" s="64"/>
      <c r="AR14" s="64">
        <v>4</v>
      </c>
      <c r="AS14" s="64"/>
      <c r="AT14" s="64">
        <v>5</v>
      </c>
      <c r="AU14" s="64"/>
      <c r="AV14" s="64">
        <v>21</v>
      </c>
      <c r="AW14" s="64"/>
      <c r="AX14" s="64"/>
      <c r="AY14" s="64"/>
      <c r="AZ14" s="64"/>
      <c r="BA14" s="64"/>
      <c r="BB14" s="64"/>
      <c r="BC14" s="64"/>
      <c r="BD14" s="64">
        <f t="shared" ref="BD14:BD18" si="73">BB14+AZ14+AX14+AV14+AT14+AR14+AP14</f>
        <v>30</v>
      </c>
      <c r="BE14" s="64">
        <f t="shared" ref="BE14:BE18" si="74">BC14+BA14+AY14+AW14+AU14+AS14+AQ14</f>
        <v>0</v>
      </c>
      <c r="BF14" s="64">
        <f t="shared" ref="BF14:BF18" si="75">BE14+BD14</f>
        <v>30</v>
      </c>
      <c r="BG14" s="64">
        <v>4</v>
      </c>
      <c r="BH14" s="64"/>
      <c r="BI14" s="64">
        <v>14</v>
      </c>
      <c r="BJ14" s="64"/>
      <c r="BK14" s="64">
        <v>20</v>
      </c>
      <c r="BL14" s="64"/>
      <c r="BM14" s="64">
        <v>20</v>
      </c>
      <c r="BN14" s="64"/>
      <c r="BO14" s="64">
        <v>5</v>
      </c>
      <c r="BP14" s="64"/>
      <c r="BQ14" s="64">
        <v>5</v>
      </c>
      <c r="BR14" s="64"/>
      <c r="BS14" s="64"/>
      <c r="BT14" s="64"/>
      <c r="BU14" s="64">
        <f t="shared" ref="BU14:BU18" si="76">BS14+BQ14+BO14+BM14+BK14+BI14+BG14</f>
        <v>68</v>
      </c>
      <c r="BV14" s="64">
        <f t="shared" ref="BV14:BV18" si="77">BT14+BR14+BP14+BN14+BL14+BJ14+BH14</f>
        <v>0</v>
      </c>
      <c r="BW14" s="64">
        <f t="shared" ref="BW14:BW18" si="78">BV14+BU14</f>
        <v>68</v>
      </c>
      <c r="BX14" s="64">
        <f t="shared" ref="BX14:BX18" si="79">BG14+AP14+Y14</f>
        <v>9</v>
      </c>
      <c r="BY14" s="64">
        <f t="shared" ref="BY14:BY18" si="80">BH14+AQ14+Z14</f>
        <v>0</v>
      </c>
      <c r="BZ14" s="64">
        <f t="shared" ref="BZ14:BZ18" si="81">BI14+AR14+AA14</f>
        <v>26</v>
      </c>
      <c r="CA14" s="64">
        <f t="shared" ref="CA14:CA18" si="82">BJ14+AS14+AB14</f>
        <v>0</v>
      </c>
      <c r="CB14" s="64">
        <f t="shared" ref="CB14:CB18" si="83">BK14+AT14+AC14</f>
        <v>37</v>
      </c>
      <c r="CC14" s="64">
        <f t="shared" ref="CC14:CC18" si="84">BL14+AU14+AD14</f>
        <v>0</v>
      </c>
      <c r="CD14" s="64">
        <f t="shared" ref="CD14:CD18" si="85">BM14+AV14+AE14</f>
        <v>57</v>
      </c>
      <c r="CE14" s="64">
        <f t="shared" ref="CE14:CE18" si="86">BN14+AW14+AF14</f>
        <v>0</v>
      </c>
      <c r="CF14" s="64">
        <f t="shared" ref="CF14:CF18" si="87">BO14+AX14+AG14</f>
        <v>5</v>
      </c>
      <c r="CG14" s="64">
        <f t="shared" ref="CG14:CG18" si="88">BP14+AY14+AH14</f>
        <v>0</v>
      </c>
      <c r="CH14" s="64">
        <f t="shared" ref="CH14:CH18" si="89">BQ14+AZ14+AI14</f>
        <v>5</v>
      </c>
      <c r="CI14" s="64">
        <f t="shared" ref="CI14:CI18" si="90">BR14+BA14+AJ14</f>
        <v>0</v>
      </c>
      <c r="CJ14" s="64">
        <f t="shared" ref="CJ14:CJ18" si="91">BS14+BB14+AK14</f>
        <v>0</v>
      </c>
      <c r="CK14" s="64">
        <f t="shared" ref="CK14:CK18" si="92">BT14+BC14+AL14</f>
        <v>0</v>
      </c>
      <c r="CL14" s="64">
        <f t="shared" ref="CL14:CL18" si="93">CJ14+CH14+CF14+CD14+CB14+BZ14+BX14</f>
        <v>139</v>
      </c>
      <c r="CM14" s="64">
        <f t="shared" ref="CM14:CM18" si="94">CK14+CI14+CG14+CE14+CC14+CA14+BY14</f>
        <v>0</v>
      </c>
      <c r="CN14" s="64">
        <f t="shared" ref="CN14:CN18" si="95">CM14+CL14</f>
        <v>139</v>
      </c>
      <c r="CO14" s="64">
        <v>2</v>
      </c>
      <c r="CP14" s="64"/>
      <c r="CQ14" s="64"/>
      <c r="CR14" s="64">
        <v>2</v>
      </c>
      <c r="CS14" s="64"/>
      <c r="CT14" s="64"/>
      <c r="CU14" s="64">
        <v>3</v>
      </c>
      <c r="CV14" s="64"/>
      <c r="CW14" s="64"/>
      <c r="CX14" s="64">
        <f t="shared" ref="CX14:CX18" si="96">CU14+CR14+CO14</f>
        <v>7</v>
      </c>
      <c r="CY14" s="64">
        <f t="shared" ref="CY14:CY18" si="97">CV14+CS14+CP14</f>
        <v>0</v>
      </c>
      <c r="CZ14" s="64">
        <f t="shared" ref="CZ14:CZ18" si="98">CW14+CT14+CQ14</f>
        <v>0</v>
      </c>
      <c r="DA14" s="64">
        <f t="shared" ref="DA14:DA18" si="99">CZ14+CY14+CX14</f>
        <v>7</v>
      </c>
      <c r="DB14" s="64">
        <v>7</v>
      </c>
      <c r="DC14" s="64"/>
      <c r="DD14" s="64">
        <v>5</v>
      </c>
      <c r="DE14" s="64"/>
      <c r="DF14" s="64">
        <v>17</v>
      </c>
      <c r="DG14" s="64"/>
      <c r="DH14" s="64">
        <f t="shared" ref="DH14:DH18" si="100">DF14+DD14+DB14</f>
        <v>29</v>
      </c>
      <c r="DI14" s="64">
        <f t="shared" ref="DI14:DI18" si="101">DG14+DE14+DC14</f>
        <v>0</v>
      </c>
      <c r="DJ14" s="64">
        <f t="shared" ref="DJ14:DJ18" si="102">DI14+DH14</f>
        <v>29</v>
      </c>
      <c r="DK14" s="64">
        <v>5</v>
      </c>
      <c r="DL14" s="64"/>
      <c r="DM14" s="64">
        <v>19</v>
      </c>
      <c r="DN14" s="64"/>
      <c r="DO14" s="64">
        <v>48</v>
      </c>
      <c r="DP14" s="64"/>
      <c r="DQ14" s="64">
        <f t="shared" ref="DQ14:DQ18" si="103">DO14+DM14+DK14</f>
        <v>72</v>
      </c>
      <c r="DR14" s="64">
        <f t="shared" ref="DR14:DR18" si="104">DP14+DN14+DL14</f>
        <v>0</v>
      </c>
      <c r="DS14" s="64">
        <f t="shared" ref="DS14:DS18" si="105">DR14+DQ14</f>
        <v>72</v>
      </c>
      <c r="DT14" s="64">
        <v>11</v>
      </c>
      <c r="DU14" s="64"/>
      <c r="DV14" s="64">
        <v>8</v>
      </c>
      <c r="DW14" s="64"/>
      <c r="DX14" s="64">
        <v>35</v>
      </c>
      <c r="DY14" s="64"/>
      <c r="DZ14" s="64">
        <f t="shared" ref="DZ14:DZ18" si="106">DX14+DV14+DT14</f>
        <v>54</v>
      </c>
      <c r="EA14" s="64">
        <f t="shared" ref="EA14:EA18" si="107">DY14+DW14+DU14</f>
        <v>0</v>
      </c>
      <c r="EB14" s="64">
        <f t="shared" ref="EB14:EB18" si="108">EA14+DZ14</f>
        <v>54</v>
      </c>
      <c r="EC14" s="64"/>
      <c r="ED14" s="64"/>
      <c r="EE14" s="64"/>
      <c r="EF14" s="64"/>
      <c r="EG14" s="64"/>
      <c r="EH14" s="64"/>
      <c r="EI14" s="64">
        <f t="shared" ref="EI14:EI18" si="109">EG14+EE14+EC14</f>
        <v>0</v>
      </c>
      <c r="EJ14" s="64">
        <f t="shared" ref="EJ14:EJ18" si="110">EH14+EF14+ED14</f>
        <v>0</v>
      </c>
      <c r="EK14" s="64">
        <f t="shared" ref="EK14:EK18" si="111">EJ14+EI14</f>
        <v>0</v>
      </c>
      <c r="EL14" s="64"/>
      <c r="EM14" s="64"/>
      <c r="EN14" s="64"/>
      <c r="EO14" s="64"/>
      <c r="EP14" s="64"/>
      <c r="EQ14" s="64"/>
      <c r="ER14" s="64">
        <f t="shared" ref="ER14:ER18" si="112">EP14+EN14+EL14</f>
        <v>0</v>
      </c>
      <c r="ES14" s="64">
        <f t="shared" ref="ES14:ES18" si="113">EQ14+EO14+EM14</f>
        <v>0</v>
      </c>
      <c r="ET14" s="64">
        <f t="shared" ref="ET14:ET18" si="114">ES14+ER14</f>
        <v>0</v>
      </c>
      <c r="EU14" s="64">
        <v>1</v>
      </c>
      <c r="EV14" s="64"/>
      <c r="EW14" s="64">
        <v>1</v>
      </c>
      <c r="EX14" s="64"/>
      <c r="EY14" s="64"/>
      <c r="EZ14" s="64"/>
      <c r="FA14" s="64"/>
      <c r="FB14" s="64"/>
      <c r="FC14" s="64">
        <f t="shared" ref="FC14:FC18" si="115">FA14+EY14+EW14+EU14</f>
        <v>2</v>
      </c>
      <c r="FD14" s="64">
        <f t="shared" ref="FD14:FD18" si="116">FB14+EZ14+EX14+EV14</f>
        <v>0</v>
      </c>
      <c r="FE14" s="64">
        <f t="shared" ref="FE14:FE18" si="117">FD14+FC14</f>
        <v>2</v>
      </c>
      <c r="FF14" s="64"/>
      <c r="FG14" s="64"/>
      <c r="FH14" s="64"/>
      <c r="FI14" s="64"/>
      <c r="FJ14" s="64"/>
      <c r="FK14" s="64"/>
      <c r="FL14" s="64"/>
      <c r="FM14" s="64"/>
      <c r="FN14" s="64"/>
      <c r="FO14" s="64"/>
      <c r="FP14" s="64"/>
      <c r="FQ14" s="64"/>
      <c r="FR14" s="64"/>
      <c r="FS14" s="64"/>
      <c r="FT14" s="64"/>
      <c r="FU14" s="64">
        <f t="shared" ref="FU14:FU18" si="118">FT14+FS14+FR14+FN14+FL14+FH14+FF14</f>
        <v>0</v>
      </c>
      <c r="FV14" s="64">
        <f t="shared" ref="FV14:FV18" si="119">FO14+FM14+FI14+FG14</f>
        <v>0</v>
      </c>
      <c r="FW14" s="64">
        <f t="shared" ref="FW14:FW18" si="120">FV14+FU14</f>
        <v>0</v>
      </c>
      <c r="FX14" s="64"/>
      <c r="FY14" s="64"/>
      <c r="FZ14" s="64"/>
      <c r="GA14" s="64"/>
      <c r="GB14" s="64">
        <v>1</v>
      </c>
      <c r="GC14" s="64"/>
      <c r="GD14" s="64"/>
      <c r="GE14" s="64"/>
      <c r="GF14" s="64"/>
      <c r="GG14" s="64"/>
      <c r="GH14" s="64"/>
      <c r="GI14" s="64"/>
      <c r="GJ14" s="64">
        <v>1</v>
      </c>
      <c r="GK14" s="64"/>
      <c r="GL14" s="64"/>
      <c r="GM14" s="64"/>
      <c r="GN14" s="64">
        <f t="shared" ref="GN14:GN18" si="121">GL14+GJ14+GH14+GF14+GD14+GB14+FZ14+FX14</f>
        <v>2</v>
      </c>
      <c r="GO14" s="64">
        <f t="shared" ref="GO14:GO18" si="122">GM14+GK14+GI14+GG14+GE14+GC14+GA14+FY14</f>
        <v>0</v>
      </c>
      <c r="GP14" s="64">
        <f t="shared" ref="GP14:GP18" si="123">GO14+GN14</f>
        <v>2</v>
      </c>
      <c r="GQ14" s="64">
        <v>2</v>
      </c>
      <c r="GR14" s="64"/>
      <c r="GS14" s="64"/>
      <c r="GT14" s="64"/>
      <c r="GU14" s="64"/>
      <c r="GV14" s="64"/>
      <c r="GW14" s="64">
        <f t="shared" ref="GW14:GW18" si="124">GU14+GS14+GQ14</f>
        <v>2</v>
      </c>
      <c r="GX14" s="64">
        <f t="shared" ref="GX14:GX18" si="125">GV14+GT14+GR14</f>
        <v>0</v>
      </c>
      <c r="GY14" s="64">
        <f t="shared" ref="GY14:GY18" si="126">GX14+GW14</f>
        <v>2</v>
      </c>
      <c r="GZ14" s="64">
        <v>2</v>
      </c>
      <c r="HA14" s="64"/>
      <c r="HB14" s="64"/>
      <c r="HC14" s="64"/>
      <c r="HD14" s="64"/>
      <c r="HE14" s="64"/>
      <c r="HF14" s="64"/>
      <c r="HG14" s="64"/>
      <c r="HH14" s="64"/>
      <c r="HI14" s="64"/>
      <c r="HJ14" s="64"/>
      <c r="HK14" s="64"/>
      <c r="HL14" s="64"/>
      <c r="HM14" s="64"/>
      <c r="HN14" s="64"/>
      <c r="HO14" s="64"/>
      <c r="HP14" s="64"/>
      <c r="HQ14" s="64">
        <f t="shared" si="65"/>
        <v>2</v>
      </c>
      <c r="HR14" s="64">
        <f t="shared" si="66"/>
        <v>0</v>
      </c>
      <c r="HS14" s="64">
        <f t="shared" ref="HS14:HS18" si="127">HR14+HQ14</f>
        <v>2</v>
      </c>
      <c r="HT14" s="64"/>
      <c r="HU14" s="64"/>
      <c r="HV14" s="64">
        <v>2</v>
      </c>
      <c r="HW14" s="64"/>
      <c r="HX14" s="64"/>
      <c r="HY14" s="64"/>
      <c r="HZ14" s="64"/>
      <c r="IA14" s="64"/>
      <c r="IB14" s="64">
        <f t="shared" ref="IB14:IB18" si="128">HZ14+HX14+HV14+HT14</f>
        <v>2</v>
      </c>
      <c r="IC14" s="64">
        <f t="shared" ref="IC14:IC18" si="129">IA14+HY14+HW14+HU14</f>
        <v>0</v>
      </c>
      <c r="ID14" s="64">
        <f t="shared" ref="ID14:ID18" si="130">IC14+IB14</f>
        <v>2</v>
      </c>
      <c r="IE14" s="64"/>
      <c r="IF14" s="64"/>
      <c r="IG14" s="64"/>
      <c r="IH14" s="64">
        <v>1</v>
      </c>
      <c r="II14" s="64"/>
      <c r="IJ14" s="64">
        <v>1</v>
      </c>
      <c r="IK14" s="64"/>
      <c r="IL14" s="64">
        <v>1</v>
      </c>
      <c r="IM14" s="64"/>
      <c r="IN14" s="64"/>
      <c r="IO14" s="64"/>
      <c r="IP14" s="64"/>
      <c r="IQ14" s="64"/>
      <c r="IR14" s="64"/>
      <c r="IS14" s="64"/>
      <c r="IT14" s="64"/>
      <c r="IU14" s="64">
        <v>1</v>
      </c>
      <c r="IV14" s="64"/>
      <c r="IW14" s="64"/>
      <c r="IX14" s="64">
        <v>1</v>
      </c>
      <c r="IY14" s="64" t="s">
        <v>248</v>
      </c>
      <c r="IZ14" s="78">
        <v>7805874243</v>
      </c>
      <c r="JA14" s="64" t="s">
        <v>277</v>
      </c>
    </row>
    <row r="15" spans="1:261" s="65" customFormat="1" ht="24.75" customHeight="1" x14ac:dyDescent="0.25">
      <c r="A15" s="64">
        <v>1</v>
      </c>
      <c r="B15" s="64">
        <v>1</v>
      </c>
      <c r="C15" s="64">
        <v>10</v>
      </c>
      <c r="D15" s="64">
        <v>1401613</v>
      </c>
      <c r="E15" s="64" t="s">
        <v>251</v>
      </c>
      <c r="F15" s="64"/>
      <c r="G15" s="64">
        <v>1</v>
      </c>
      <c r="H15" s="64"/>
      <c r="I15" s="64">
        <v>1</v>
      </c>
      <c r="J15" s="64"/>
      <c r="K15" s="64">
        <v>1</v>
      </c>
      <c r="L15" s="64"/>
      <c r="M15" s="64"/>
      <c r="N15" s="64">
        <v>1</v>
      </c>
      <c r="O15" s="64"/>
      <c r="P15" s="64"/>
      <c r="Q15" s="64"/>
      <c r="R15" s="64">
        <v>1</v>
      </c>
      <c r="S15" s="64"/>
      <c r="T15" s="64"/>
      <c r="U15" s="64"/>
      <c r="V15" s="64">
        <v>1</v>
      </c>
      <c r="W15" s="64"/>
      <c r="X15" s="64"/>
      <c r="Y15" s="64"/>
      <c r="Z15" s="82">
        <v>4</v>
      </c>
      <c r="AA15" s="64"/>
      <c r="AB15" s="64">
        <v>2</v>
      </c>
      <c r="AC15" s="64"/>
      <c r="AD15" s="64">
        <v>3</v>
      </c>
      <c r="AE15" s="64"/>
      <c r="AF15" s="64"/>
      <c r="AG15" s="64"/>
      <c r="AH15" s="64">
        <v>3</v>
      </c>
      <c r="AI15" s="64"/>
      <c r="AJ15" s="64">
        <v>2</v>
      </c>
      <c r="AK15" s="64"/>
      <c r="AL15" s="64"/>
      <c r="AM15" s="64">
        <f t="shared" ref="AM15" si="131">AK15+AI15+AG15+AE15+AC15+AA15+Y15</f>
        <v>0</v>
      </c>
      <c r="AN15" s="64">
        <f t="shared" ref="AN15" si="132">AL15+AJ15+AH15+AF15+AD15+AB15+Z15</f>
        <v>14</v>
      </c>
      <c r="AO15" s="64">
        <f t="shared" ref="AO15" si="133">AN15+AM15</f>
        <v>14</v>
      </c>
      <c r="AP15" s="64"/>
      <c r="AQ15" s="64"/>
      <c r="AR15" s="64"/>
      <c r="AS15" s="64">
        <v>5</v>
      </c>
      <c r="AT15" s="64"/>
      <c r="AU15" s="64">
        <v>4</v>
      </c>
      <c r="AV15" s="64"/>
      <c r="AW15" s="64">
        <v>4</v>
      </c>
      <c r="AX15" s="64"/>
      <c r="AY15" s="64">
        <v>9</v>
      </c>
      <c r="AZ15" s="64"/>
      <c r="BA15" s="64">
        <v>4</v>
      </c>
      <c r="BB15" s="64"/>
      <c r="BC15" s="64">
        <v>3</v>
      </c>
      <c r="BD15" s="64">
        <f t="shared" ref="BD15" si="134">BB15+AZ15+AX15+AV15+AT15+AR15+AP15</f>
        <v>0</v>
      </c>
      <c r="BE15" s="64">
        <f t="shared" ref="BE15" si="135">BC15+BA15+AY15+AW15+AU15+AS15+AQ15</f>
        <v>29</v>
      </c>
      <c r="BF15" s="64">
        <f t="shared" ref="BF15" si="136">BE15+BD15</f>
        <v>29</v>
      </c>
      <c r="BG15" s="64"/>
      <c r="BH15" s="64"/>
      <c r="BI15" s="64"/>
      <c r="BJ15" s="64">
        <v>2</v>
      </c>
      <c r="BK15" s="64"/>
      <c r="BL15" s="64">
        <v>4</v>
      </c>
      <c r="BM15" s="64"/>
      <c r="BN15" s="64">
        <v>5</v>
      </c>
      <c r="BO15" s="64"/>
      <c r="BP15" s="64">
        <v>6</v>
      </c>
      <c r="BQ15" s="64"/>
      <c r="BR15" s="64">
        <v>2</v>
      </c>
      <c r="BS15" s="64"/>
      <c r="BT15" s="64">
        <v>2</v>
      </c>
      <c r="BU15" s="64">
        <f t="shared" ref="BU15" si="137">BS15+BQ15+BO15+BM15+BK15+BI15+BG15</f>
        <v>0</v>
      </c>
      <c r="BV15" s="64">
        <f t="shared" ref="BV15" si="138">BT15+BR15+BP15+BN15+BL15+BJ15+BH15</f>
        <v>21</v>
      </c>
      <c r="BW15" s="64">
        <f t="shared" ref="BW15" si="139">BV15+BU15</f>
        <v>21</v>
      </c>
      <c r="BX15" s="64">
        <f t="shared" ref="BX15:BX16" si="140">BG15+AP15+Y15</f>
        <v>0</v>
      </c>
      <c r="BY15" s="64">
        <f t="shared" ref="BY15:BY16" si="141">BH15+AQ15+Z15</f>
        <v>4</v>
      </c>
      <c r="BZ15" s="64">
        <f t="shared" ref="BZ15:BZ16" si="142">BI15+AR15+AA15</f>
        <v>0</v>
      </c>
      <c r="CA15" s="64">
        <f t="shared" ref="CA15:CA16" si="143">BJ15+AS15+AB15</f>
        <v>9</v>
      </c>
      <c r="CB15" s="64">
        <f t="shared" ref="CB15:CB16" si="144">BK15+AT15+AC15</f>
        <v>0</v>
      </c>
      <c r="CC15" s="64">
        <f t="shared" ref="CC15:CC16" si="145">BL15+AU15+AD15</f>
        <v>11</v>
      </c>
      <c r="CD15" s="64">
        <f t="shared" ref="CD15:CD16" si="146">BM15+AV15+AE15</f>
        <v>0</v>
      </c>
      <c r="CE15" s="64">
        <f t="shared" ref="CE15:CE16" si="147">BN15+AW15+AF15</f>
        <v>9</v>
      </c>
      <c r="CF15" s="64">
        <f t="shared" ref="CF15:CF16" si="148">BO15+AX15+AG15</f>
        <v>0</v>
      </c>
      <c r="CG15" s="64">
        <f t="shared" ref="CG15:CG16" si="149">BP15+AY15+AH15</f>
        <v>18</v>
      </c>
      <c r="CH15" s="64">
        <f t="shared" ref="CH15:CH16" si="150">BQ15+AZ15+AI15</f>
        <v>0</v>
      </c>
      <c r="CI15" s="64">
        <f t="shared" ref="CI15:CI16" si="151">BR15+BA15+AJ15</f>
        <v>8</v>
      </c>
      <c r="CJ15" s="64">
        <f t="shared" ref="CJ15:CJ16" si="152">BS15+BB15+AK15</f>
        <v>0</v>
      </c>
      <c r="CK15" s="64">
        <f t="shared" ref="CK15:CK16" si="153">BT15+BC15+AL15</f>
        <v>5</v>
      </c>
      <c r="CL15" s="64">
        <f t="shared" ref="CL15" si="154">CJ15+CH15+CF15+CD15+CB15+BZ15+BX15</f>
        <v>0</v>
      </c>
      <c r="CM15" s="64">
        <f t="shared" ref="CM15" si="155">CK15+CI15+CG15+CE15+CC15+CA15+BY15</f>
        <v>64</v>
      </c>
      <c r="CN15" s="64">
        <f t="shared" ref="CN15" si="156">CM15+CL15</f>
        <v>64</v>
      </c>
      <c r="CO15" s="64"/>
      <c r="CP15" s="64">
        <v>1</v>
      </c>
      <c r="CQ15" s="64"/>
      <c r="CR15" s="64"/>
      <c r="CS15" s="64">
        <v>2</v>
      </c>
      <c r="CT15" s="64"/>
      <c r="CU15" s="64"/>
      <c r="CV15" s="64">
        <v>1</v>
      </c>
      <c r="CW15" s="64"/>
      <c r="CX15" s="64">
        <f t="shared" ref="CX15" si="157">CU15+CR15+CO15</f>
        <v>0</v>
      </c>
      <c r="CY15" s="64">
        <f t="shared" ref="CY15" si="158">CV15+CS15+CP15</f>
        <v>4</v>
      </c>
      <c r="CZ15" s="64">
        <f t="shared" ref="CZ15" si="159">CW15+CT15+CQ15</f>
        <v>0</v>
      </c>
      <c r="DA15" s="64">
        <f t="shared" ref="DA15" si="160">CZ15+CY15+CX15</f>
        <v>4</v>
      </c>
      <c r="DB15" s="64"/>
      <c r="DC15" s="64"/>
      <c r="DD15" s="64"/>
      <c r="DE15" s="64"/>
      <c r="DF15" s="64"/>
      <c r="DG15" s="64"/>
      <c r="DH15" s="64">
        <f t="shared" ref="DH15" si="161">DF15+DD15+DB15</f>
        <v>0</v>
      </c>
      <c r="DI15" s="64">
        <f t="shared" ref="DI15" si="162">DG15+DE15+DC15</f>
        <v>0</v>
      </c>
      <c r="DJ15" s="64">
        <f t="shared" ref="DJ15" si="163">DI15+DH15</f>
        <v>0</v>
      </c>
      <c r="DK15" s="64"/>
      <c r="DL15" s="64">
        <v>8</v>
      </c>
      <c r="DM15" s="64"/>
      <c r="DN15" s="64">
        <v>7</v>
      </c>
      <c r="DO15" s="64"/>
      <c r="DP15" s="64">
        <v>30</v>
      </c>
      <c r="DQ15" s="64">
        <f t="shared" ref="DQ15" si="164">DO15+DM15+DK15</f>
        <v>0</v>
      </c>
      <c r="DR15" s="64">
        <f t="shared" ref="DR15" si="165">DP15+DN15+DL15</f>
        <v>45</v>
      </c>
      <c r="DS15" s="64">
        <f t="shared" ref="DS15" si="166">DR15+DQ15</f>
        <v>45</v>
      </c>
      <c r="DT15" s="64"/>
      <c r="DU15" s="64">
        <v>7</v>
      </c>
      <c r="DV15" s="64"/>
      <c r="DW15" s="64">
        <v>8</v>
      </c>
      <c r="DX15" s="64"/>
      <c r="DY15" s="64">
        <v>9</v>
      </c>
      <c r="DZ15" s="64">
        <f t="shared" ref="DZ15" si="167">DX15+DV15+DT15</f>
        <v>0</v>
      </c>
      <c r="EA15" s="64">
        <f t="shared" ref="EA15" si="168">DY15+DW15+DU15</f>
        <v>24</v>
      </c>
      <c r="EB15" s="64">
        <f t="shared" ref="EB15" si="169">EA15+DZ15</f>
        <v>24</v>
      </c>
      <c r="EC15" s="64"/>
      <c r="ED15" s="64"/>
      <c r="EE15" s="64"/>
      <c r="EF15" s="64"/>
      <c r="EG15" s="64"/>
      <c r="EH15" s="64"/>
      <c r="EI15" s="64">
        <f t="shared" ref="EI15" si="170">EG15+EE15+EC15</f>
        <v>0</v>
      </c>
      <c r="EJ15" s="64">
        <f t="shared" ref="EJ15" si="171">EH15+EF15+ED15</f>
        <v>0</v>
      </c>
      <c r="EK15" s="64">
        <f t="shared" ref="EK15" si="172">EJ15+EI15</f>
        <v>0</v>
      </c>
      <c r="EL15" s="64"/>
      <c r="EM15" s="64"/>
      <c r="EN15" s="64"/>
      <c r="EO15" s="64"/>
      <c r="EP15" s="64"/>
      <c r="EQ15" s="64"/>
      <c r="ER15" s="64">
        <f t="shared" ref="ER15" si="173">EP15+EN15+EL15</f>
        <v>0</v>
      </c>
      <c r="ES15" s="64">
        <f t="shared" ref="ES15" si="174">EQ15+EO15+EM15</f>
        <v>0</v>
      </c>
      <c r="ET15" s="64">
        <f t="shared" ref="ET15" si="175">ES15+ER15</f>
        <v>0</v>
      </c>
      <c r="EU15" s="64"/>
      <c r="EV15" s="64">
        <v>1</v>
      </c>
      <c r="EW15" s="64"/>
      <c r="EX15" s="64"/>
      <c r="EY15" s="64"/>
      <c r="EZ15" s="64"/>
      <c r="FA15" s="64"/>
      <c r="FB15" s="64"/>
      <c r="FC15" s="64">
        <f t="shared" ref="FC15" si="176">FA15+EY15+EW15+EU15</f>
        <v>0</v>
      </c>
      <c r="FD15" s="64">
        <f t="shared" ref="FD15" si="177">FB15+EZ15+EX15+EV15</f>
        <v>1</v>
      </c>
      <c r="FE15" s="64">
        <f t="shared" ref="FE15" si="178">FD15+FC15</f>
        <v>1</v>
      </c>
      <c r="FF15" s="64"/>
      <c r="FG15" s="64"/>
      <c r="FH15" s="64"/>
      <c r="FI15" s="64"/>
      <c r="FJ15" s="64"/>
      <c r="FK15" s="64"/>
      <c r="FL15" s="64"/>
      <c r="FM15" s="64"/>
      <c r="FN15" s="64"/>
      <c r="FO15" s="64"/>
      <c r="FP15" s="64"/>
      <c r="FQ15" s="64"/>
      <c r="FR15" s="64"/>
      <c r="FS15" s="64"/>
      <c r="FT15" s="64"/>
      <c r="FU15" s="64">
        <f t="shared" ref="FU15" si="179">FT15+FS15+FR15+FN15+FL15+FH15+FF15</f>
        <v>0</v>
      </c>
      <c r="FV15" s="64">
        <f t="shared" ref="FV15" si="180">FO15+FM15+FI15+FG15</f>
        <v>0</v>
      </c>
      <c r="FW15" s="64">
        <f t="shared" ref="FW15" si="181">FV15+FU15</f>
        <v>0</v>
      </c>
      <c r="FX15" s="64"/>
      <c r="FY15" s="64"/>
      <c r="FZ15" s="64"/>
      <c r="GA15" s="64"/>
      <c r="GB15" s="64"/>
      <c r="GC15" s="64"/>
      <c r="GD15" s="64"/>
      <c r="GE15" s="64"/>
      <c r="GF15" s="64"/>
      <c r="GG15" s="64"/>
      <c r="GH15" s="64"/>
      <c r="GI15" s="64">
        <v>1</v>
      </c>
      <c r="GJ15" s="64"/>
      <c r="GK15" s="64"/>
      <c r="GL15" s="64"/>
      <c r="GM15" s="64"/>
      <c r="GN15" s="64">
        <f t="shared" ref="GN15" si="182">GL15+GJ15+GH15+GF15+GD15+GB15+FZ15+FX15</f>
        <v>0</v>
      </c>
      <c r="GO15" s="64">
        <f t="shared" ref="GO15" si="183">GM15+GK15+GI15+GG15+GE15+GC15+GA15+FY15</f>
        <v>1</v>
      </c>
      <c r="GP15" s="64">
        <f t="shared" ref="GP15" si="184">GO15+GN15</f>
        <v>1</v>
      </c>
      <c r="GQ15" s="64"/>
      <c r="GR15" s="64">
        <v>1</v>
      </c>
      <c r="GS15" s="64"/>
      <c r="GT15" s="64"/>
      <c r="GU15" s="64"/>
      <c r="GV15" s="64"/>
      <c r="GW15" s="64">
        <f t="shared" ref="GW15" si="185">GU15+GS15+GQ15</f>
        <v>0</v>
      </c>
      <c r="GX15" s="64">
        <f t="shared" ref="GX15" si="186">GV15+GT15+GR15</f>
        <v>1</v>
      </c>
      <c r="GY15" s="64">
        <f t="shared" ref="GY15" si="187">GX15+GW15</f>
        <v>1</v>
      </c>
      <c r="GZ15" s="64"/>
      <c r="HA15" s="64">
        <v>1</v>
      </c>
      <c r="HB15" s="64"/>
      <c r="HC15" s="64"/>
      <c r="HD15" s="64"/>
      <c r="HE15" s="64"/>
      <c r="HF15" s="64"/>
      <c r="HG15" s="64"/>
      <c r="HH15" s="64"/>
      <c r="HI15" s="64"/>
      <c r="HJ15" s="64"/>
      <c r="HK15" s="64"/>
      <c r="HL15" s="64"/>
      <c r="HM15" s="64"/>
      <c r="HN15" s="64"/>
      <c r="HO15" s="64"/>
      <c r="HP15" s="64"/>
      <c r="HQ15" s="64">
        <f t="shared" si="65"/>
        <v>0</v>
      </c>
      <c r="HR15" s="64">
        <f t="shared" si="66"/>
        <v>1</v>
      </c>
      <c r="HS15" s="64">
        <f t="shared" ref="HS15" si="188">HR15+HQ15</f>
        <v>1</v>
      </c>
      <c r="HT15" s="64"/>
      <c r="HU15" s="64"/>
      <c r="HV15" s="64"/>
      <c r="HW15" s="64"/>
      <c r="HX15" s="64"/>
      <c r="HY15" s="64"/>
      <c r="HZ15" s="64"/>
      <c r="IA15" s="64">
        <v>1</v>
      </c>
      <c r="IB15" s="64">
        <f t="shared" ref="IB15" si="189">HZ15+HX15+HV15+HT15</f>
        <v>0</v>
      </c>
      <c r="IC15" s="64">
        <f t="shared" ref="IC15" si="190">IA15+HY15+HW15+HU15</f>
        <v>1</v>
      </c>
      <c r="ID15" s="64">
        <f t="shared" ref="ID15" si="191">IC15+IB15</f>
        <v>1</v>
      </c>
      <c r="IE15" s="64"/>
      <c r="IF15" s="64"/>
      <c r="IG15" s="64"/>
      <c r="IH15" s="64">
        <v>1</v>
      </c>
      <c r="II15" s="64"/>
      <c r="IJ15" s="64">
        <v>1</v>
      </c>
      <c r="IK15" s="64"/>
      <c r="IL15" s="64">
        <v>1</v>
      </c>
      <c r="IM15" s="64"/>
      <c r="IN15" s="64"/>
      <c r="IO15" s="64"/>
      <c r="IP15" s="64"/>
      <c r="IQ15" s="64">
        <v>32</v>
      </c>
      <c r="IR15" s="64"/>
      <c r="IS15" s="64">
        <v>4</v>
      </c>
      <c r="IT15" s="64"/>
      <c r="IU15" s="64"/>
      <c r="IV15" s="64"/>
      <c r="IW15" s="64"/>
      <c r="IX15" s="64">
        <v>1</v>
      </c>
      <c r="IY15" s="64" t="s">
        <v>261</v>
      </c>
      <c r="IZ15" s="78">
        <v>7837973367</v>
      </c>
      <c r="JA15" s="64" t="s">
        <v>262</v>
      </c>
    </row>
    <row r="16" spans="1:261" s="65" customFormat="1" ht="24.75" customHeight="1" x14ac:dyDescent="0.25">
      <c r="A16" s="64">
        <v>1</v>
      </c>
      <c r="B16" s="64">
        <v>1</v>
      </c>
      <c r="C16" s="64">
        <v>11</v>
      </c>
      <c r="D16" s="64">
        <v>1401614</v>
      </c>
      <c r="E16" s="64" t="s">
        <v>252</v>
      </c>
      <c r="F16" s="64"/>
      <c r="G16" s="64">
        <v>1</v>
      </c>
      <c r="H16" s="64">
        <v>1</v>
      </c>
      <c r="I16" s="64"/>
      <c r="J16" s="64"/>
      <c r="K16" s="64">
        <v>1</v>
      </c>
      <c r="L16" s="64"/>
      <c r="M16" s="64"/>
      <c r="N16" s="64">
        <v>1</v>
      </c>
      <c r="O16" s="64"/>
      <c r="P16" s="64"/>
      <c r="Q16" s="64"/>
      <c r="R16" s="64">
        <v>1</v>
      </c>
      <c r="S16" s="64"/>
      <c r="T16" s="64"/>
      <c r="U16" s="64"/>
      <c r="V16" s="64">
        <v>1</v>
      </c>
      <c r="W16" s="64"/>
      <c r="X16" s="64"/>
      <c r="Y16" s="64">
        <v>28</v>
      </c>
      <c r="Z16" s="82"/>
      <c r="AA16" s="64">
        <v>23</v>
      </c>
      <c r="AB16" s="64"/>
      <c r="AC16" s="64">
        <v>24</v>
      </c>
      <c r="AD16" s="64"/>
      <c r="AE16" s="64">
        <v>13</v>
      </c>
      <c r="AF16" s="64"/>
      <c r="AG16" s="64">
        <v>11</v>
      </c>
      <c r="AH16" s="64"/>
      <c r="AI16" s="64">
        <v>3</v>
      </c>
      <c r="AJ16" s="64"/>
      <c r="AK16" s="64"/>
      <c r="AL16" s="64"/>
      <c r="AM16" s="64">
        <f t="shared" ref="AM16" si="192">AK16+AI16+AG16+AE16+AC16+AA16+Y16</f>
        <v>102</v>
      </c>
      <c r="AN16" s="64">
        <f t="shared" ref="AN16" si="193">AL16+AJ16+AH16+AF16+AD16+AB16+Z16</f>
        <v>0</v>
      </c>
      <c r="AO16" s="64">
        <f t="shared" ref="AO16" si="194">AN16+AM16</f>
        <v>102</v>
      </c>
      <c r="AP16" s="64">
        <v>1</v>
      </c>
      <c r="AQ16" s="64"/>
      <c r="AR16" s="64">
        <v>6</v>
      </c>
      <c r="AS16" s="64"/>
      <c r="AT16" s="64">
        <v>6</v>
      </c>
      <c r="AU16" s="64"/>
      <c r="AV16" s="64">
        <v>1</v>
      </c>
      <c r="AW16" s="64"/>
      <c r="AX16" s="64">
        <v>2</v>
      </c>
      <c r="AY16" s="64"/>
      <c r="AZ16" s="64">
        <v>1</v>
      </c>
      <c r="BA16" s="64"/>
      <c r="BB16" s="64">
        <v>1</v>
      </c>
      <c r="BC16" s="64"/>
      <c r="BD16" s="64">
        <f t="shared" ref="BD16" si="195">BB16+AZ16+AX16+AV16+AT16+AR16+AP16</f>
        <v>18</v>
      </c>
      <c r="BE16" s="64">
        <f t="shared" ref="BE16" si="196">BC16+BA16+AY16+AW16+AU16+AS16+AQ16</f>
        <v>0</v>
      </c>
      <c r="BF16" s="64">
        <f t="shared" ref="BF16" si="197">BE16+BD16</f>
        <v>18</v>
      </c>
      <c r="BG16" s="64"/>
      <c r="BH16" s="64"/>
      <c r="BI16" s="64">
        <v>9</v>
      </c>
      <c r="BJ16" s="64"/>
      <c r="BK16" s="64">
        <v>13</v>
      </c>
      <c r="BL16" s="64"/>
      <c r="BM16" s="64">
        <v>21</v>
      </c>
      <c r="BN16" s="64"/>
      <c r="BO16" s="64">
        <v>23</v>
      </c>
      <c r="BP16" s="64"/>
      <c r="BQ16" s="64">
        <v>10</v>
      </c>
      <c r="BR16" s="64"/>
      <c r="BS16" s="64">
        <v>4</v>
      </c>
      <c r="BT16" s="64"/>
      <c r="BU16" s="64">
        <f t="shared" ref="BU16" si="198">BS16+BQ16+BO16+BM16+BK16+BI16+BG16</f>
        <v>80</v>
      </c>
      <c r="BV16" s="64">
        <f t="shared" ref="BV16" si="199">BT16+BR16+BP16+BN16+BL16+BJ16+BH16</f>
        <v>0</v>
      </c>
      <c r="BW16" s="64">
        <f t="shared" ref="BW16" si="200">BV16+BU16</f>
        <v>80</v>
      </c>
      <c r="BX16" s="64">
        <f t="shared" si="140"/>
        <v>29</v>
      </c>
      <c r="BY16" s="64">
        <f t="shared" si="141"/>
        <v>0</v>
      </c>
      <c r="BZ16" s="64">
        <f t="shared" si="142"/>
        <v>38</v>
      </c>
      <c r="CA16" s="64">
        <f t="shared" si="143"/>
        <v>0</v>
      </c>
      <c r="CB16" s="64">
        <f t="shared" si="144"/>
        <v>43</v>
      </c>
      <c r="CC16" s="64">
        <f t="shared" si="145"/>
        <v>0</v>
      </c>
      <c r="CD16" s="64">
        <f t="shared" si="146"/>
        <v>35</v>
      </c>
      <c r="CE16" s="64">
        <f t="shared" si="147"/>
        <v>0</v>
      </c>
      <c r="CF16" s="64">
        <f t="shared" si="148"/>
        <v>36</v>
      </c>
      <c r="CG16" s="64">
        <f t="shared" si="149"/>
        <v>0</v>
      </c>
      <c r="CH16" s="64">
        <f t="shared" si="150"/>
        <v>14</v>
      </c>
      <c r="CI16" s="64">
        <f t="shared" si="151"/>
        <v>0</v>
      </c>
      <c r="CJ16" s="64">
        <f t="shared" si="152"/>
        <v>5</v>
      </c>
      <c r="CK16" s="64">
        <f t="shared" si="153"/>
        <v>0</v>
      </c>
      <c r="CL16" s="64">
        <f t="shared" ref="CL16" si="201">CJ16+CH16+CF16+CD16+CB16+BZ16+BX16</f>
        <v>200</v>
      </c>
      <c r="CM16" s="64">
        <f t="shared" ref="CM16" si="202">CK16+CI16+CG16+CE16+CC16+CA16+BY16</f>
        <v>0</v>
      </c>
      <c r="CN16" s="64">
        <f t="shared" ref="CN16" si="203">CM16+CL16</f>
        <v>200</v>
      </c>
      <c r="CO16" s="64">
        <v>3</v>
      </c>
      <c r="CP16" s="64"/>
      <c r="CQ16" s="64"/>
      <c r="CR16" s="64">
        <v>1</v>
      </c>
      <c r="CS16" s="64"/>
      <c r="CT16" s="64"/>
      <c r="CU16" s="64">
        <v>3</v>
      </c>
      <c r="CV16" s="64"/>
      <c r="CW16" s="64"/>
      <c r="CX16" s="64">
        <f t="shared" ref="CX16" si="204">CU16+CR16+CO16</f>
        <v>7</v>
      </c>
      <c r="CY16" s="64">
        <f t="shared" ref="CY16" si="205">CV16+CS16+CP16</f>
        <v>0</v>
      </c>
      <c r="CZ16" s="64">
        <f t="shared" ref="CZ16" si="206">CW16+CT16+CQ16</f>
        <v>0</v>
      </c>
      <c r="DA16" s="64">
        <f t="shared" ref="DA16" si="207">CZ16+CY16+CX16</f>
        <v>7</v>
      </c>
      <c r="DB16" s="64"/>
      <c r="DC16" s="64"/>
      <c r="DD16" s="64"/>
      <c r="DE16" s="64"/>
      <c r="DF16" s="64"/>
      <c r="DG16" s="64"/>
      <c r="DH16" s="64">
        <f t="shared" ref="DH16" si="208">DF16+DD16+DB16</f>
        <v>0</v>
      </c>
      <c r="DI16" s="64">
        <f t="shared" ref="DI16" si="209">DG16+DE16+DC16</f>
        <v>0</v>
      </c>
      <c r="DJ16" s="64">
        <f t="shared" ref="DJ16" si="210">DI16+DH16</f>
        <v>0</v>
      </c>
      <c r="DK16" s="64">
        <v>16</v>
      </c>
      <c r="DL16" s="64"/>
      <c r="DM16" s="64">
        <v>20</v>
      </c>
      <c r="DN16" s="64"/>
      <c r="DO16" s="64">
        <v>34</v>
      </c>
      <c r="DP16" s="64"/>
      <c r="DQ16" s="64">
        <f t="shared" ref="DQ16" si="211">DO16+DM16+DK16</f>
        <v>70</v>
      </c>
      <c r="DR16" s="64">
        <f t="shared" ref="DR16" si="212">DP16+DN16+DL16</f>
        <v>0</v>
      </c>
      <c r="DS16" s="64">
        <f t="shared" ref="DS16" si="213">DR16+DQ16</f>
        <v>70</v>
      </c>
      <c r="DT16" s="64">
        <v>3</v>
      </c>
      <c r="DU16" s="64"/>
      <c r="DV16" s="64"/>
      <c r="DW16" s="64"/>
      <c r="DX16" s="64">
        <v>34</v>
      </c>
      <c r="DY16" s="64"/>
      <c r="DZ16" s="64">
        <f t="shared" ref="DZ16" si="214">DX16+DV16+DT16</f>
        <v>37</v>
      </c>
      <c r="EA16" s="64">
        <f t="shared" ref="EA16" si="215">DY16+DW16+DU16</f>
        <v>0</v>
      </c>
      <c r="EB16" s="64">
        <f t="shared" ref="EB16" si="216">EA16+DZ16</f>
        <v>37</v>
      </c>
      <c r="EC16" s="64"/>
      <c r="ED16" s="64"/>
      <c r="EE16" s="64"/>
      <c r="EF16" s="64"/>
      <c r="EG16" s="64"/>
      <c r="EH16" s="64"/>
      <c r="EI16" s="64">
        <f t="shared" ref="EI16" si="217">EG16+EE16+EC16</f>
        <v>0</v>
      </c>
      <c r="EJ16" s="64">
        <f t="shared" ref="EJ16" si="218">EH16+EF16+ED16</f>
        <v>0</v>
      </c>
      <c r="EK16" s="64">
        <f t="shared" ref="EK16" si="219">EJ16+EI16</f>
        <v>0</v>
      </c>
      <c r="EL16" s="64"/>
      <c r="EM16" s="64"/>
      <c r="EN16" s="64"/>
      <c r="EO16" s="64"/>
      <c r="EP16" s="64"/>
      <c r="EQ16" s="64"/>
      <c r="ER16" s="64">
        <f t="shared" ref="ER16" si="220">EP16+EN16+EL16</f>
        <v>0</v>
      </c>
      <c r="ES16" s="64">
        <f t="shared" ref="ES16" si="221">EQ16+EO16+EM16</f>
        <v>0</v>
      </c>
      <c r="ET16" s="64">
        <f t="shared" ref="ET16" si="222">ES16+ER16</f>
        <v>0</v>
      </c>
      <c r="EU16" s="64">
        <v>1</v>
      </c>
      <c r="EV16" s="64"/>
      <c r="EW16" s="64"/>
      <c r="EX16" s="64"/>
      <c r="EY16" s="64"/>
      <c r="EZ16" s="64"/>
      <c r="FA16" s="64"/>
      <c r="FB16" s="64"/>
      <c r="FC16" s="64">
        <f t="shared" ref="FC16" si="223">FA16+EY16+EW16+EU16</f>
        <v>1</v>
      </c>
      <c r="FD16" s="64">
        <f t="shared" ref="FD16" si="224">FB16+EZ16+EX16+EV16</f>
        <v>0</v>
      </c>
      <c r="FE16" s="64">
        <f t="shared" ref="FE16" si="225">FD16+FC16</f>
        <v>1</v>
      </c>
      <c r="FF16" s="64"/>
      <c r="FG16" s="64"/>
      <c r="FH16" s="64"/>
      <c r="FI16" s="64"/>
      <c r="FJ16" s="64"/>
      <c r="FK16" s="64"/>
      <c r="FL16" s="64"/>
      <c r="FM16" s="64"/>
      <c r="FN16" s="64"/>
      <c r="FO16" s="64"/>
      <c r="FP16" s="64"/>
      <c r="FQ16" s="64"/>
      <c r="FR16" s="64"/>
      <c r="FS16" s="64"/>
      <c r="FT16" s="64"/>
      <c r="FU16" s="64">
        <f t="shared" ref="FU16" si="226">FT16+FS16+FR16+FN16+FL16+FH16+FF16</f>
        <v>0</v>
      </c>
      <c r="FV16" s="64">
        <f t="shared" ref="FV16" si="227">FO16+FM16+FI16+FG16</f>
        <v>0</v>
      </c>
      <c r="FW16" s="64">
        <f t="shared" ref="FW16" si="228">FV16+FU16</f>
        <v>0</v>
      </c>
      <c r="FX16" s="64"/>
      <c r="FY16" s="64"/>
      <c r="FZ16" s="64"/>
      <c r="GA16" s="64"/>
      <c r="GB16" s="64">
        <v>1</v>
      </c>
      <c r="GC16" s="64"/>
      <c r="GD16" s="64"/>
      <c r="GE16" s="64"/>
      <c r="GF16" s="64"/>
      <c r="GG16" s="64"/>
      <c r="GH16" s="64"/>
      <c r="GI16" s="64"/>
      <c r="GJ16" s="64"/>
      <c r="GK16" s="64"/>
      <c r="GL16" s="64"/>
      <c r="GM16" s="64"/>
      <c r="GN16" s="64">
        <f t="shared" ref="GN16" si="229">GL16+GJ16+GH16+GF16+GD16+GB16+FZ16+FX16</f>
        <v>1</v>
      </c>
      <c r="GO16" s="64">
        <f t="shared" ref="GO16" si="230">GM16+GK16+GI16+GG16+GE16+GC16+GA16+FY16</f>
        <v>0</v>
      </c>
      <c r="GP16" s="64">
        <f t="shared" ref="GP16" si="231">GO16+GN16</f>
        <v>1</v>
      </c>
      <c r="GQ16" s="64">
        <v>1</v>
      </c>
      <c r="GR16" s="64"/>
      <c r="GS16" s="64"/>
      <c r="GT16" s="64"/>
      <c r="GU16" s="64"/>
      <c r="GV16" s="64"/>
      <c r="GW16" s="64">
        <f t="shared" ref="GW16" si="232">GU16+GS16+GQ16</f>
        <v>1</v>
      </c>
      <c r="GX16" s="64">
        <f t="shared" ref="GX16" si="233">GV16+GT16+GR16</f>
        <v>0</v>
      </c>
      <c r="GY16" s="64">
        <f t="shared" ref="GY16" si="234">GX16+GW16</f>
        <v>1</v>
      </c>
      <c r="GZ16" s="64">
        <v>1</v>
      </c>
      <c r="HA16" s="64"/>
      <c r="HB16" s="64"/>
      <c r="HC16" s="64"/>
      <c r="HD16" s="64"/>
      <c r="HE16" s="64"/>
      <c r="HF16" s="64"/>
      <c r="HG16" s="64"/>
      <c r="HH16" s="64"/>
      <c r="HI16" s="64"/>
      <c r="HJ16" s="64"/>
      <c r="HK16" s="64"/>
      <c r="HL16" s="64"/>
      <c r="HM16" s="64"/>
      <c r="HN16" s="64"/>
      <c r="HO16" s="64"/>
      <c r="HP16" s="64"/>
      <c r="HQ16" s="64">
        <f t="shared" si="65"/>
        <v>1</v>
      </c>
      <c r="HR16" s="64">
        <f t="shared" si="66"/>
        <v>0</v>
      </c>
      <c r="HS16" s="64">
        <f t="shared" ref="HS16" si="235">HR16+HQ16</f>
        <v>1</v>
      </c>
      <c r="HT16" s="64"/>
      <c r="HU16" s="64"/>
      <c r="HV16" s="64">
        <v>1</v>
      </c>
      <c r="HW16" s="64"/>
      <c r="HX16" s="64"/>
      <c r="HY16" s="64"/>
      <c r="HZ16" s="64"/>
      <c r="IA16" s="64"/>
      <c r="IB16" s="64">
        <f t="shared" ref="IB16" si="236">HZ16+HX16+HV16+HT16</f>
        <v>1</v>
      </c>
      <c r="IC16" s="64">
        <f t="shared" ref="IC16" si="237">IA16+HY16+HW16+HU16</f>
        <v>0</v>
      </c>
      <c r="ID16" s="64">
        <f t="shared" ref="ID16" si="238">IC16+IB16</f>
        <v>1</v>
      </c>
      <c r="IE16" s="64">
        <v>1</v>
      </c>
      <c r="IF16" s="64"/>
      <c r="IG16" s="64"/>
      <c r="IH16" s="64">
        <v>1</v>
      </c>
      <c r="II16" s="64"/>
      <c r="IJ16" s="64">
        <v>1</v>
      </c>
      <c r="IK16" s="64"/>
      <c r="IL16" s="64">
        <v>1</v>
      </c>
      <c r="IM16" s="64"/>
      <c r="IN16" s="64"/>
      <c r="IO16" s="64"/>
      <c r="IP16" s="64"/>
      <c r="IQ16" s="64">
        <v>95</v>
      </c>
      <c r="IR16" s="64"/>
      <c r="IS16" s="64">
        <v>24</v>
      </c>
      <c r="IT16" s="64"/>
      <c r="IU16" s="64"/>
      <c r="IV16" s="64"/>
      <c r="IW16" s="64"/>
      <c r="IX16" s="64">
        <v>1</v>
      </c>
      <c r="IY16" s="64" t="s">
        <v>256</v>
      </c>
      <c r="IZ16" s="78">
        <v>7715895507</v>
      </c>
      <c r="JA16" s="64"/>
    </row>
    <row r="17" spans="1:265" s="65" customFormat="1" ht="24.75" customHeight="1" x14ac:dyDescent="0.25">
      <c r="A17" s="64">
        <v>1</v>
      </c>
      <c r="B17" s="64">
        <v>1</v>
      </c>
      <c r="C17" s="64">
        <v>21</v>
      </c>
      <c r="D17" s="64">
        <v>1401616</v>
      </c>
      <c r="E17" s="64" t="s">
        <v>249</v>
      </c>
      <c r="F17" s="64"/>
      <c r="G17" s="64">
        <v>1</v>
      </c>
      <c r="H17" s="64"/>
      <c r="I17" s="64">
        <v>1</v>
      </c>
      <c r="J17" s="64"/>
      <c r="K17" s="64">
        <v>1</v>
      </c>
      <c r="L17" s="64"/>
      <c r="M17" s="64"/>
      <c r="N17" s="64">
        <v>1</v>
      </c>
      <c r="O17" s="64"/>
      <c r="P17" s="64"/>
      <c r="Q17" s="64"/>
      <c r="R17" s="64">
        <v>1</v>
      </c>
      <c r="S17" s="64"/>
      <c r="T17" s="64"/>
      <c r="U17" s="64"/>
      <c r="V17" s="64">
        <v>1</v>
      </c>
      <c r="W17" s="64"/>
      <c r="X17" s="64"/>
      <c r="Y17" s="64"/>
      <c r="Z17" s="82"/>
      <c r="AA17" s="64"/>
      <c r="AB17" s="64">
        <v>4</v>
      </c>
      <c r="AC17" s="64"/>
      <c r="AD17" s="64">
        <v>6</v>
      </c>
      <c r="AE17" s="64"/>
      <c r="AF17" s="64">
        <v>3</v>
      </c>
      <c r="AG17" s="64"/>
      <c r="AH17" s="64">
        <v>3</v>
      </c>
      <c r="AI17" s="64"/>
      <c r="AJ17" s="64">
        <v>3</v>
      </c>
      <c r="AK17" s="64"/>
      <c r="AL17" s="64">
        <v>1</v>
      </c>
      <c r="AM17" s="64">
        <f>AK17+AI17+AG17+AE17+AC17+AA17+Y17</f>
        <v>0</v>
      </c>
      <c r="AN17" s="64">
        <f>AL17+AJ17+AH17+AF17+AD17+AB17+Z17</f>
        <v>20</v>
      </c>
      <c r="AO17" s="64">
        <f>AN17+AM17</f>
        <v>20</v>
      </c>
      <c r="AP17" s="64"/>
      <c r="AQ17" s="64"/>
      <c r="AR17" s="64"/>
      <c r="AS17" s="64">
        <v>2</v>
      </c>
      <c r="AT17" s="64"/>
      <c r="AU17" s="64">
        <v>2</v>
      </c>
      <c r="AV17" s="64"/>
      <c r="AW17" s="64">
        <v>3</v>
      </c>
      <c r="AX17" s="64"/>
      <c r="AY17" s="64">
        <v>1</v>
      </c>
      <c r="AZ17" s="64"/>
      <c r="BA17" s="64">
        <v>3</v>
      </c>
      <c r="BB17" s="64"/>
      <c r="BC17" s="64">
        <v>1</v>
      </c>
      <c r="BD17" s="64">
        <f>BB17+AZ17+AX17+AV17+AT17+AR17+AP17</f>
        <v>0</v>
      </c>
      <c r="BE17" s="64">
        <f>BC17+BA17+AY17+AW17+AU17+AS17+AQ17</f>
        <v>12</v>
      </c>
      <c r="BF17" s="64">
        <f>BE17+BD17</f>
        <v>12</v>
      </c>
      <c r="BG17" s="64"/>
      <c r="BH17" s="64"/>
      <c r="BI17" s="64"/>
      <c r="BJ17" s="64"/>
      <c r="BK17" s="64"/>
      <c r="BL17" s="64">
        <v>1</v>
      </c>
      <c r="BM17" s="64"/>
      <c r="BN17" s="64">
        <v>4</v>
      </c>
      <c r="BO17" s="64"/>
      <c r="BP17" s="64">
        <v>8</v>
      </c>
      <c r="BQ17" s="64"/>
      <c r="BR17" s="64">
        <v>8</v>
      </c>
      <c r="BS17" s="64"/>
      <c r="BT17" s="64">
        <v>5</v>
      </c>
      <c r="BU17" s="64">
        <f t="shared" ref="BU17" si="239">BS17+BQ17+BO17+BM17+BK17+BI17+BG17</f>
        <v>0</v>
      </c>
      <c r="BV17" s="64">
        <f t="shared" ref="BV17" si="240">BT17+BR17+BP17+BN17+BL17+BJ17+BH17</f>
        <v>26</v>
      </c>
      <c r="BW17" s="64">
        <f t="shared" ref="BW17" si="241">BV17+BU17</f>
        <v>26</v>
      </c>
      <c r="BX17" s="64">
        <f t="shared" ref="BX17:CK17" si="242">BG17+AP17+Y17</f>
        <v>0</v>
      </c>
      <c r="BY17" s="64">
        <f t="shared" si="242"/>
        <v>0</v>
      </c>
      <c r="BZ17" s="64">
        <f t="shared" si="242"/>
        <v>0</v>
      </c>
      <c r="CA17" s="64">
        <f t="shared" si="242"/>
        <v>6</v>
      </c>
      <c r="CB17" s="64">
        <f t="shared" si="242"/>
        <v>0</v>
      </c>
      <c r="CC17" s="64">
        <f t="shared" si="242"/>
        <v>9</v>
      </c>
      <c r="CD17" s="64">
        <f t="shared" si="242"/>
        <v>0</v>
      </c>
      <c r="CE17" s="64">
        <f t="shared" si="242"/>
        <v>10</v>
      </c>
      <c r="CF17" s="64">
        <f t="shared" si="242"/>
        <v>0</v>
      </c>
      <c r="CG17" s="64">
        <f t="shared" si="242"/>
        <v>12</v>
      </c>
      <c r="CH17" s="64">
        <f t="shared" si="242"/>
        <v>0</v>
      </c>
      <c r="CI17" s="64">
        <f t="shared" si="242"/>
        <v>14</v>
      </c>
      <c r="CJ17" s="64">
        <f t="shared" si="242"/>
        <v>0</v>
      </c>
      <c r="CK17" s="64">
        <f t="shared" si="242"/>
        <v>7</v>
      </c>
      <c r="CL17" s="64">
        <f>CJ17+CH17+CF17+CD17+CB17+BZ17+BX17</f>
        <v>0</v>
      </c>
      <c r="CM17" s="64">
        <f>CK17+CI17+CG17+CE17+CC17+CA17+BY17</f>
        <v>58</v>
      </c>
      <c r="CN17" s="64">
        <f>CM17+CL17</f>
        <v>58</v>
      </c>
      <c r="CO17" s="64"/>
      <c r="CP17" s="64">
        <v>1</v>
      </c>
      <c r="CQ17" s="64"/>
      <c r="CR17" s="64"/>
      <c r="CS17" s="64">
        <v>1</v>
      </c>
      <c r="CT17" s="64"/>
      <c r="CU17" s="64"/>
      <c r="CV17" s="64">
        <v>1</v>
      </c>
      <c r="CW17" s="64"/>
      <c r="CX17" s="64">
        <f t="shared" ref="CX17" si="243">CU17+CR17+CO17</f>
        <v>0</v>
      </c>
      <c r="CY17" s="64">
        <f t="shared" ref="CY17" si="244">CV17+CS17+CP17</f>
        <v>3</v>
      </c>
      <c r="CZ17" s="64">
        <f t="shared" ref="CZ17" si="245">CW17+CT17+CQ17</f>
        <v>0</v>
      </c>
      <c r="DA17" s="64">
        <f t="shared" ref="DA17" si="246">CZ17+CY17+CX17</f>
        <v>3</v>
      </c>
      <c r="DB17" s="64"/>
      <c r="DC17" s="64">
        <v>3</v>
      </c>
      <c r="DD17" s="64"/>
      <c r="DE17" s="64">
        <v>6</v>
      </c>
      <c r="DF17" s="64"/>
      <c r="DG17" s="64">
        <v>15</v>
      </c>
      <c r="DH17" s="64">
        <f t="shared" ref="DH17" si="247">DF17+DD17+DB17</f>
        <v>0</v>
      </c>
      <c r="DI17" s="64">
        <f t="shared" ref="DI17" si="248">DG17+DE17+DC17</f>
        <v>24</v>
      </c>
      <c r="DJ17" s="64">
        <f t="shared" ref="DJ17" si="249">DI17+DH17</f>
        <v>24</v>
      </c>
      <c r="DK17" s="64"/>
      <c r="DL17" s="64">
        <v>4</v>
      </c>
      <c r="DM17" s="64"/>
      <c r="DN17" s="64">
        <v>2</v>
      </c>
      <c r="DO17" s="64"/>
      <c r="DP17" s="64">
        <v>25</v>
      </c>
      <c r="DQ17" s="64">
        <f t="shared" ref="DQ17" si="250">DO17+DM17+DK17</f>
        <v>0</v>
      </c>
      <c r="DR17" s="64">
        <f t="shared" ref="DR17" si="251">DP17+DN17+DL17</f>
        <v>31</v>
      </c>
      <c r="DS17" s="64">
        <f t="shared" ref="DS17" si="252">DR17+DQ17</f>
        <v>31</v>
      </c>
      <c r="DT17" s="64"/>
      <c r="DU17" s="64">
        <v>8</v>
      </c>
      <c r="DV17" s="64"/>
      <c r="DW17" s="64">
        <v>10</v>
      </c>
      <c r="DX17" s="64"/>
      <c r="DY17" s="64">
        <v>24</v>
      </c>
      <c r="DZ17" s="64">
        <f t="shared" ref="DZ17" si="253">DX17+DV17+DT17</f>
        <v>0</v>
      </c>
      <c r="EA17" s="64">
        <f t="shared" ref="EA17" si="254">DY17+DW17+DU17</f>
        <v>42</v>
      </c>
      <c r="EB17" s="64">
        <f t="shared" ref="EB17" si="255">EA17+DZ17</f>
        <v>42</v>
      </c>
      <c r="EC17" s="64"/>
      <c r="ED17" s="64"/>
      <c r="EE17" s="64"/>
      <c r="EF17" s="64"/>
      <c r="EG17" s="64"/>
      <c r="EH17" s="64"/>
      <c r="EI17" s="64">
        <f t="shared" ref="EI17" si="256">EG17+EE17+EC17</f>
        <v>0</v>
      </c>
      <c r="EJ17" s="64">
        <f t="shared" ref="EJ17" si="257">EH17+EF17+ED17</f>
        <v>0</v>
      </c>
      <c r="EK17" s="64">
        <f t="shared" ref="EK17" si="258">EJ17+EI17</f>
        <v>0</v>
      </c>
      <c r="EL17" s="64"/>
      <c r="EM17" s="64"/>
      <c r="EN17" s="64"/>
      <c r="EO17" s="64"/>
      <c r="EP17" s="64"/>
      <c r="EQ17" s="64"/>
      <c r="ER17" s="64">
        <f t="shared" ref="ER17" si="259">EP17+EN17+EL17</f>
        <v>0</v>
      </c>
      <c r="ES17" s="64">
        <f t="shared" ref="ES17" si="260">EQ17+EO17+EM17</f>
        <v>0</v>
      </c>
      <c r="ET17" s="64">
        <f t="shared" ref="ET17" si="261">ES17+ER17</f>
        <v>0</v>
      </c>
      <c r="EU17" s="64"/>
      <c r="EV17" s="64">
        <v>1</v>
      </c>
      <c r="EW17" s="64"/>
      <c r="EX17" s="64"/>
      <c r="EY17" s="64"/>
      <c r="EZ17" s="64"/>
      <c r="FA17" s="64"/>
      <c r="FB17" s="64"/>
      <c r="FC17" s="64">
        <f t="shared" ref="FC17" si="262">FA17+EY17+EW17+EU17</f>
        <v>0</v>
      </c>
      <c r="FD17" s="64">
        <f t="shared" ref="FD17" si="263">FB17+EZ17+EX17+EV17</f>
        <v>1</v>
      </c>
      <c r="FE17" s="64">
        <f t="shared" ref="FE17" si="264">FD17+FC17</f>
        <v>1</v>
      </c>
      <c r="FF17" s="64"/>
      <c r="FG17" s="64"/>
      <c r="FH17" s="64"/>
      <c r="FI17" s="64"/>
      <c r="FJ17" s="64"/>
      <c r="FK17" s="64"/>
      <c r="FL17" s="64"/>
      <c r="FM17" s="64"/>
      <c r="FN17" s="64"/>
      <c r="FO17" s="64"/>
      <c r="FP17" s="64"/>
      <c r="FQ17" s="64"/>
      <c r="FR17" s="64"/>
      <c r="FS17" s="64"/>
      <c r="FT17" s="64"/>
      <c r="FU17" s="64"/>
      <c r="FV17" s="64"/>
      <c r="FW17" s="64"/>
      <c r="FX17" s="64"/>
      <c r="FY17" s="64"/>
      <c r="FZ17" s="64"/>
      <c r="GA17" s="64"/>
      <c r="GB17" s="64"/>
      <c r="GC17" s="64">
        <v>1</v>
      </c>
      <c r="GD17" s="64"/>
      <c r="GE17" s="64"/>
      <c r="GF17" s="64"/>
      <c r="GG17" s="64"/>
      <c r="GH17" s="64"/>
      <c r="GI17" s="64"/>
      <c r="GJ17" s="64"/>
      <c r="GK17" s="64"/>
      <c r="GL17" s="64"/>
      <c r="GM17" s="64"/>
      <c r="GN17" s="64">
        <f t="shared" ref="GN17" si="265">GL17+GJ17+GH17+GF17+GD17+GB17+FZ17+FX17</f>
        <v>0</v>
      </c>
      <c r="GO17" s="64">
        <f t="shared" ref="GO17" si="266">GM17+GK17+GI17+GG17+GE17+GC17+GA17+FY17</f>
        <v>1</v>
      </c>
      <c r="GP17" s="64">
        <f t="shared" ref="GP17" si="267">GO17+GN17</f>
        <v>1</v>
      </c>
      <c r="GQ17" s="64"/>
      <c r="GR17" s="64">
        <v>1</v>
      </c>
      <c r="GS17" s="64"/>
      <c r="GT17" s="64"/>
      <c r="GU17" s="64"/>
      <c r="GV17" s="64"/>
      <c r="GW17" s="64">
        <f t="shared" ref="GW17" si="268">GU17+GS17+GQ17</f>
        <v>0</v>
      </c>
      <c r="GX17" s="64">
        <f t="shared" ref="GX17" si="269">GV17+GT17+GR17</f>
        <v>1</v>
      </c>
      <c r="GY17" s="64">
        <f t="shared" ref="GY17" si="270">GX17+GW17</f>
        <v>1</v>
      </c>
      <c r="GZ17" s="64"/>
      <c r="HA17" s="64">
        <v>1</v>
      </c>
      <c r="HB17" s="64"/>
      <c r="HC17" s="64"/>
      <c r="HD17" s="64"/>
      <c r="HE17" s="64"/>
      <c r="HF17" s="64"/>
      <c r="HG17" s="64"/>
      <c r="HH17" s="64"/>
      <c r="HI17" s="64"/>
      <c r="HJ17" s="64"/>
      <c r="HK17" s="64"/>
      <c r="HL17" s="64"/>
      <c r="HM17" s="64"/>
      <c r="HN17" s="64"/>
      <c r="HO17" s="64"/>
      <c r="HP17" s="64"/>
      <c r="HQ17" s="64">
        <f t="shared" si="65"/>
        <v>0</v>
      </c>
      <c r="HR17" s="64">
        <f t="shared" si="66"/>
        <v>1</v>
      </c>
      <c r="HS17" s="64">
        <f>HR17+HQ17</f>
        <v>1</v>
      </c>
      <c r="HT17" s="64"/>
      <c r="HU17" s="64"/>
      <c r="HV17" s="64"/>
      <c r="HW17" s="64"/>
      <c r="HX17" s="64"/>
      <c r="HY17" s="64">
        <v>1</v>
      </c>
      <c r="HZ17" s="64"/>
      <c r="IA17" s="64"/>
      <c r="IB17" s="64">
        <f t="shared" ref="IB17" si="271">HZ17+HX17+HV17+HT17</f>
        <v>0</v>
      </c>
      <c r="IC17" s="64">
        <f t="shared" ref="IC17" si="272">IA17+HY17+HW17+HU17</f>
        <v>1</v>
      </c>
      <c r="ID17" s="64">
        <f t="shared" ref="ID17" si="273">IC17+IB17</f>
        <v>1</v>
      </c>
      <c r="IE17" s="64"/>
      <c r="IF17" s="64"/>
      <c r="IG17" s="64"/>
      <c r="IH17" s="64">
        <v>1</v>
      </c>
      <c r="II17" s="64"/>
      <c r="IJ17" s="64">
        <v>1</v>
      </c>
      <c r="IK17" s="64"/>
      <c r="IL17" s="64">
        <v>1</v>
      </c>
      <c r="IM17" s="64"/>
      <c r="IN17" s="64"/>
      <c r="IO17" s="64"/>
      <c r="IP17" s="64"/>
      <c r="IQ17" s="64"/>
      <c r="IR17" s="64"/>
      <c r="IS17" s="64"/>
      <c r="IT17" s="64"/>
      <c r="IU17" s="64">
        <v>1</v>
      </c>
      <c r="IV17" s="64"/>
      <c r="IW17" s="64"/>
      <c r="IX17" s="64">
        <v>1</v>
      </c>
      <c r="IY17" s="64" t="s">
        <v>250</v>
      </c>
      <c r="IZ17" s="78">
        <v>7808247774</v>
      </c>
      <c r="JA17" s="64" t="s">
        <v>259</v>
      </c>
    </row>
    <row r="18" spans="1:265" s="65" customFormat="1" ht="24.75" customHeight="1" x14ac:dyDescent="0.25">
      <c r="A18" s="64">
        <v>1</v>
      </c>
      <c r="B18" s="64">
        <v>1</v>
      </c>
      <c r="C18" s="64">
        <v>12</v>
      </c>
      <c r="D18" s="105">
        <v>1401494</v>
      </c>
      <c r="E18" s="64" t="s">
        <v>240</v>
      </c>
      <c r="F18" s="64"/>
      <c r="G18" s="64">
        <v>1</v>
      </c>
      <c r="H18" s="64"/>
      <c r="I18" s="64">
        <v>1</v>
      </c>
      <c r="J18" s="64"/>
      <c r="K18" s="64"/>
      <c r="L18" s="64">
        <v>1</v>
      </c>
      <c r="M18" s="64"/>
      <c r="N18" s="64">
        <v>1</v>
      </c>
      <c r="O18" s="64"/>
      <c r="P18" s="64"/>
      <c r="Q18" s="64"/>
      <c r="R18" s="64">
        <v>1</v>
      </c>
      <c r="S18" s="64"/>
      <c r="T18" s="64"/>
      <c r="U18" s="64"/>
      <c r="V18" s="64">
        <v>1</v>
      </c>
      <c r="W18" s="64"/>
      <c r="X18" s="64"/>
      <c r="Y18" s="64"/>
      <c r="Z18" s="82">
        <v>5</v>
      </c>
      <c r="AA18" s="64"/>
      <c r="AB18" s="64">
        <v>2</v>
      </c>
      <c r="AC18" s="64"/>
      <c r="AD18" s="64">
        <v>3</v>
      </c>
      <c r="AE18" s="64"/>
      <c r="AF18" s="64">
        <v>3</v>
      </c>
      <c r="AG18" s="64"/>
      <c r="AH18" s="64"/>
      <c r="AI18" s="64"/>
      <c r="AJ18" s="64">
        <v>1</v>
      </c>
      <c r="AK18" s="64"/>
      <c r="AL18" s="64">
        <v>3</v>
      </c>
      <c r="AM18" s="64">
        <f t="shared" si="70"/>
        <v>0</v>
      </c>
      <c r="AN18" s="64">
        <f t="shared" si="71"/>
        <v>17</v>
      </c>
      <c r="AO18" s="64">
        <f t="shared" si="72"/>
        <v>17</v>
      </c>
      <c r="AP18" s="64"/>
      <c r="AQ18" s="64">
        <v>1</v>
      </c>
      <c r="AR18" s="64"/>
      <c r="AS18" s="64">
        <v>1</v>
      </c>
      <c r="AT18" s="64"/>
      <c r="AU18" s="64">
        <v>4</v>
      </c>
      <c r="AV18" s="64"/>
      <c r="AW18" s="64">
        <v>5</v>
      </c>
      <c r="AX18" s="64"/>
      <c r="AY18" s="64">
        <v>8</v>
      </c>
      <c r="AZ18" s="64"/>
      <c r="BA18" s="64">
        <v>4</v>
      </c>
      <c r="BB18" s="64"/>
      <c r="BC18" s="64">
        <v>4</v>
      </c>
      <c r="BD18" s="64">
        <f t="shared" si="73"/>
        <v>0</v>
      </c>
      <c r="BE18" s="64">
        <f t="shared" si="74"/>
        <v>27</v>
      </c>
      <c r="BF18" s="64">
        <f t="shared" si="75"/>
        <v>27</v>
      </c>
      <c r="BG18" s="64"/>
      <c r="BH18" s="64">
        <v>1</v>
      </c>
      <c r="BI18" s="64"/>
      <c r="BJ18" s="64">
        <v>1</v>
      </c>
      <c r="BK18" s="64"/>
      <c r="BL18" s="64">
        <v>4</v>
      </c>
      <c r="BM18" s="64"/>
      <c r="BN18" s="64">
        <v>4</v>
      </c>
      <c r="BO18" s="64"/>
      <c r="BP18" s="64">
        <v>2</v>
      </c>
      <c r="BQ18" s="64"/>
      <c r="BR18" s="64">
        <v>2</v>
      </c>
      <c r="BS18" s="64"/>
      <c r="BT18" s="64">
        <v>8</v>
      </c>
      <c r="BU18" s="64">
        <f t="shared" si="76"/>
        <v>0</v>
      </c>
      <c r="BV18" s="64">
        <f t="shared" si="77"/>
        <v>22</v>
      </c>
      <c r="BW18" s="64">
        <f t="shared" si="78"/>
        <v>22</v>
      </c>
      <c r="BX18" s="64">
        <f t="shared" si="79"/>
        <v>0</v>
      </c>
      <c r="BY18" s="64">
        <f t="shared" si="80"/>
        <v>7</v>
      </c>
      <c r="BZ18" s="64">
        <f t="shared" si="81"/>
        <v>0</v>
      </c>
      <c r="CA18" s="64">
        <f t="shared" si="82"/>
        <v>4</v>
      </c>
      <c r="CB18" s="64">
        <f t="shared" si="83"/>
        <v>0</v>
      </c>
      <c r="CC18" s="64">
        <f t="shared" si="84"/>
        <v>11</v>
      </c>
      <c r="CD18" s="64">
        <f t="shared" si="85"/>
        <v>0</v>
      </c>
      <c r="CE18" s="64">
        <f t="shared" si="86"/>
        <v>12</v>
      </c>
      <c r="CF18" s="64">
        <f t="shared" si="87"/>
        <v>0</v>
      </c>
      <c r="CG18" s="64">
        <f t="shared" si="88"/>
        <v>10</v>
      </c>
      <c r="CH18" s="64">
        <f t="shared" si="89"/>
        <v>0</v>
      </c>
      <c r="CI18" s="64">
        <f t="shared" si="90"/>
        <v>7</v>
      </c>
      <c r="CJ18" s="64">
        <f t="shared" si="91"/>
        <v>0</v>
      </c>
      <c r="CK18" s="64">
        <f t="shared" si="92"/>
        <v>15</v>
      </c>
      <c r="CL18" s="64">
        <f t="shared" si="93"/>
        <v>0</v>
      </c>
      <c r="CM18" s="64">
        <f t="shared" si="94"/>
        <v>66</v>
      </c>
      <c r="CN18" s="64">
        <f t="shared" si="95"/>
        <v>66</v>
      </c>
      <c r="CO18" s="64"/>
      <c r="CP18" s="64">
        <v>1</v>
      </c>
      <c r="CQ18" s="64"/>
      <c r="CR18" s="64"/>
      <c r="CS18" s="64">
        <v>1</v>
      </c>
      <c r="CT18" s="64"/>
      <c r="CU18" s="64"/>
      <c r="CV18" s="64">
        <v>1</v>
      </c>
      <c r="CW18" s="64"/>
      <c r="CX18" s="64">
        <f t="shared" si="96"/>
        <v>0</v>
      </c>
      <c r="CY18" s="64">
        <f t="shared" si="97"/>
        <v>3</v>
      </c>
      <c r="CZ18" s="64">
        <f t="shared" si="98"/>
        <v>0</v>
      </c>
      <c r="DA18" s="64">
        <f t="shared" si="99"/>
        <v>3</v>
      </c>
      <c r="DB18" s="64"/>
      <c r="DC18" s="64">
        <v>5</v>
      </c>
      <c r="DD18" s="64"/>
      <c r="DE18" s="64">
        <v>2</v>
      </c>
      <c r="DF18" s="64"/>
      <c r="DG18" s="64">
        <v>6</v>
      </c>
      <c r="DH18" s="64">
        <f t="shared" si="100"/>
        <v>0</v>
      </c>
      <c r="DI18" s="64">
        <f t="shared" si="101"/>
        <v>13</v>
      </c>
      <c r="DJ18" s="64">
        <f t="shared" si="102"/>
        <v>13</v>
      </c>
      <c r="DK18" s="64"/>
      <c r="DL18" s="64">
        <v>17</v>
      </c>
      <c r="DM18" s="64"/>
      <c r="DN18" s="64">
        <v>14</v>
      </c>
      <c r="DO18" s="64"/>
      <c r="DP18" s="64">
        <v>28</v>
      </c>
      <c r="DQ18" s="64">
        <f t="shared" si="103"/>
        <v>0</v>
      </c>
      <c r="DR18" s="64">
        <f t="shared" si="104"/>
        <v>59</v>
      </c>
      <c r="DS18" s="64">
        <f t="shared" si="105"/>
        <v>59</v>
      </c>
      <c r="DT18" s="64"/>
      <c r="DU18" s="64">
        <v>22</v>
      </c>
      <c r="DV18" s="64"/>
      <c r="DW18" s="64">
        <v>14</v>
      </c>
      <c r="DX18" s="64"/>
      <c r="DY18" s="64">
        <v>17</v>
      </c>
      <c r="DZ18" s="64">
        <f t="shared" si="106"/>
        <v>0</v>
      </c>
      <c r="EA18" s="64">
        <f t="shared" si="107"/>
        <v>53</v>
      </c>
      <c r="EB18" s="64">
        <f t="shared" si="108"/>
        <v>53</v>
      </c>
      <c r="EC18" s="64"/>
      <c r="ED18" s="64"/>
      <c r="EE18" s="64"/>
      <c r="EF18" s="64"/>
      <c r="EG18" s="64"/>
      <c r="EH18" s="64"/>
      <c r="EI18" s="64">
        <f t="shared" si="109"/>
        <v>0</v>
      </c>
      <c r="EJ18" s="64">
        <f t="shared" si="110"/>
        <v>0</v>
      </c>
      <c r="EK18" s="64">
        <f t="shared" si="111"/>
        <v>0</v>
      </c>
      <c r="EL18" s="64"/>
      <c r="EM18" s="64"/>
      <c r="EN18" s="64"/>
      <c r="EO18" s="64"/>
      <c r="EP18" s="64"/>
      <c r="EQ18" s="64"/>
      <c r="ER18" s="64">
        <f t="shared" si="112"/>
        <v>0</v>
      </c>
      <c r="ES18" s="64">
        <f t="shared" si="113"/>
        <v>0</v>
      </c>
      <c r="ET18" s="64">
        <f t="shared" si="114"/>
        <v>0</v>
      </c>
      <c r="EU18" s="64"/>
      <c r="EV18" s="64">
        <v>1</v>
      </c>
      <c r="EW18" s="64"/>
      <c r="EX18" s="64"/>
      <c r="EY18" s="64"/>
      <c r="EZ18" s="64">
        <v>5</v>
      </c>
      <c r="FA18" s="64"/>
      <c r="FB18" s="64"/>
      <c r="FC18" s="64">
        <f t="shared" si="115"/>
        <v>0</v>
      </c>
      <c r="FD18" s="64">
        <f t="shared" si="116"/>
        <v>6</v>
      </c>
      <c r="FE18" s="64">
        <f t="shared" si="117"/>
        <v>6</v>
      </c>
      <c r="FF18" s="64"/>
      <c r="FG18" s="64"/>
      <c r="FH18" s="64"/>
      <c r="FI18" s="64"/>
      <c r="FJ18" s="64"/>
      <c r="FK18" s="64"/>
      <c r="FL18" s="64"/>
      <c r="FM18" s="64"/>
      <c r="FN18" s="64"/>
      <c r="FO18" s="64"/>
      <c r="FP18" s="64"/>
      <c r="FQ18" s="64"/>
      <c r="FR18" s="64"/>
      <c r="FS18" s="64"/>
      <c r="FT18" s="64"/>
      <c r="FU18" s="64">
        <f t="shared" si="118"/>
        <v>0</v>
      </c>
      <c r="FV18" s="64">
        <f t="shared" si="119"/>
        <v>0</v>
      </c>
      <c r="FW18" s="64">
        <f t="shared" si="120"/>
        <v>0</v>
      </c>
      <c r="FX18" s="64"/>
      <c r="FY18" s="64"/>
      <c r="FZ18" s="64"/>
      <c r="GA18" s="64"/>
      <c r="GB18" s="64"/>
      <c r="GC18" s="64">
        <v>1</v>
      </c>
      <c r="GD18" s="64"/>
      <c r="GE18" s="64"/>
      <c r="GF18" s="64"/>
      <c r="GG18" s="64"/>
      <c r="GH18" s="64"/>
      <c r="GI18" s="64">
        <v>3</v>
      </c>
      <c r="GJ18" s="64"/>
      <c r="GK18" s="64">
        <v>2</v>
      </c>
      <c r="GL18" s="64"/>
      <c r="GM18" s="64"/>
      <c r="GN18" s="64">
        <f t="shared" si="121"/>
        <v>0</v>
      </c>
      <c r="GO18" s="64">
        <f t="shared" si="122"/>
        <v>6</v>
      </c>
      <c r="GP18" s="64">
        <f t="shared" si="123"/>
        <v>6</v>
      </c>
      <c r="GQ18" s="64"/>
      <c r="GR18" s="64">
        <v>6</v>
      </c>
      <c r="GS18" s="64"/>
      <c r="GT18" s="64"/>
      <c r="GU18" s="64"/>
      <c r="GV18" s="64"/>
      <c r="GW18" s="64">
        <f t="shared" si="124"/>
        <v>0</v>
      </c>
      <c r="GX18" s="64">
        <f t="shared" si="125"/>
        <v>6</v>
      </c>
      <c r="GY18" s="64">
        <f t="shared" si="126"/>
        <v>6</v>
      </c>
      <c r="GZ18" s="64"/>
      <c r="HA18" s="64">
        <v>6</v>
      </c>
      <c r="HB18" s="64"/>
      <c r="HC18" s="64"/>
      <c r="HD18" s="64"/>
      <c r="HE18" s="64"/>
      <c r="HF18" s="64"/>
      <c r="HG18" s="64"/>
      <c r="HH18" s="64"/>
      <c r="HI18" s="64"/>
      <c r="HJ18" s="64"/>
      <c r="HK18" s="64"/>
      <c r="HL18" s="64"/>
      <c r="HM18" s="64"/>
      <c r="HN18" s="64"/>
      <c r="HO18" s="64"/>
      <c r="HP18" s="64"/>
      <c r="HQ18" s="64">
        <f t="shared" si="65"/>
        <v>0</v>
      </c>
      <c r="HR18" s="64">
        <f t="shared" si="66"/>
        <v>6</v>
      </c>
      <c r="HS18" s="64">
        <f t="shared" si="127"/>
        <v>6</v>
      </c>
      <c r="HT18" s="64"/>
      <c r="HU18" s="64">
        <v>1</v>
      </c>
      <c r="HV18" s="64"/>
      <c r="HW18" s="64">
        <v>5</v>
      </c>
      <c r="HX18" s="64"/>
      <c r="HY18" s="64"/>
      <c r="HZ18" s="64"/>
      <c r="IA18" s="64"/>
      <c r="IB18" s="64">
        <f t="shared" si="128"/>
        <v>0</v>
      </c>
      <c r="IC18" s="64">
        <f t="shared" si="129"/>
        <v>6</v>
      </c>
      <c r="ID18" s="64">
        <f t="shared" si="130"/>
        <v>6</v>
      </c>
      <c r="IE18" s="64"/>
      <c r="IF18" s="64">
        <v>6</v>
      </c>
      <c r="IG18" s="64"/>
      <c r="IH18" s="64">
        <v>1</v>
      </c>
      <c r="II18" s="64"/>
      <c r="IJ18" s="64">
        <v>1</v>
      </c>
      <c r="IK18" s="64"/>
      <c r="IL18" s="64">
        <v>1</v>
      </c>
      <c r="IM18" s="64"/>
      <c r="IN18" s="64"/>
      <c r="IO18" s="64"/>
      <c r="IP18" s="64"/>
      <c r="IQ18" s="64">
        <v>200</v>
      </c>
      <c r="IR18" s="64"/>
      <c r="IS18" s="64">
        <v>12</v>
      </c>
      <c r="IT18" s="64"/>
      <c r="IU18" s="64"/>
      <c r="IV18" s="64"/>
      <c r="IW18" s="64"/>
      <c r="IX18" s="64">
        <v>1</v>
      </c>
      <c r="IY18" s="64" t="s">
        <v>241</v>
      </c>
      <c r="IZ18" s="78">
        <v>7816032430</v>
      </c>
      <c r="JA18" s="64" t="s">
        <v>242</v>
      </c>
    </row>
    <row r="19" spans="1:265" s="65" customFormat="1" ht="24.75" customHeight="1" x14ac:dyDescent="0.25">
      <c r="A19" s="64">
        <v>1</v>
      </c>
      <c r="B19" s="64">
        <v>1</v>
      </c>
      <c r="C19" s="64">
        <v>13</v>
      </c>
      <c r="D19" s="64">
        <v>1401710</v>
      </c>
      <c r="E19" s="64" t="s">
        <v>274</v>
      </c>
      <c r="F19" s="64"/>
      <c r="G19" s="64">
        <v>1</v>
      </c>
      <c r="H19" s="64">
        <v>1</v>
      </c>
      <c r="I19" s="64"/>
      <c r="J19" s="64"/>
      <c r="K19" s="64">
        <v>1</v>
      </c>
      <c r="L19" s="64"/>
      <c r="M19" s="64"/>
      <c r="N19" s="64">
        <v>1</v>
      </c>
      <c r="O19" s="64"/>
      <c r="P19" s="64"/>
      <c r="Q19" s="64"/>
      <c r="R19" s="64">
        <v>1</v>
      </c>
      <c r="S19" s="64"/>
      <c r="T19" s="64"/>
      <c r="U19" s="64"/>
      <c r="V19" s="64">
        <v>1</v>
      </c>
      <c r="W19" s="64"/>
      <c r="X19" s="64">
        <v>1</v>
      </c>
      <c r="Y19" s="64">
        <v>6</v>
      </c>
      <c r="Z19" s="82"/>
      <c r="AA19" s="64">
        <v>13</v>
      </c>
      <c r="AB19" s="64"/>
      <c r="AC19" s="64">
        <v>11</v>
      </c>
      <c r="AD19" s="64"/>
      <c r="AE19" s="64">
        <v>8</v>
      </c>
      <c r="AF19" s="64"/>
      <c r="AG19" s="64">
        <v>8</v>
      </c>
      <c r="AH19" s="64"/>
      <c r="AI19" s="64">
        <v>2</v>
      </c>
      <c r="AJ19" s="64"/>
      <c r="AK19" s="64"/>
      <c r="AL19" s="64"/>
      <c r="AM19" s="64">
        <f t="shared" ref="AM19" si="274">AK19+AI19+AG19+AE19+AC19+AA19+Y19</f>
        <v>48</v>
      </c>
      <c r="AN19" s="64">
        <f t="shared" ref="AN19" si="275">AL19+AJ19+AH19+AF19+AD19+AB19+Z19</f>
        <v>0</v>
      </c>
      <c r="AO19" s="64">
        <f t="shared" ref="AO19" si="276">AN19+AM19</f>
        <v>48</v>
      </c>
      <c r="AP19" s="64">
        <v>1</v>
      </c>
      <c r="AQ19" s="64"/>
      <c r="AR19" s="64">
        <v>7</v>
      </c>
      <c r="AS19" s="64"/>
      <c r="AT19" s="64">
        <v>5</v>
      </c>
      <c r="AU19" s="64"/>
      <c r="AV19" s="64">
        <v>10</v>
      </c>
      <c r="AW19" s="64"/>
      <c r="AX19" s="64">
        <v>6</v>
      </c>
      <c r="AY19" s="64"/>
      <c r="AZ19" s="64">
        <v>2</v>
      </c>
      <c r="BA19" s="64"/>
      <c r="BB19" s="64">
        <v>4</v>
      </c>
      <c r="BC19" s="64"/>
      <c r="BD19" s="64">
        <f t="shared" ref="BD19" si="277">BB19+AZ19+AX19+AV19+AT19+AR19+AP19</f>
        <v>35</v>
      </c>
      <c r="BE19" s="64">
        <f t="shared" ref="BE19" si="278">BC19+BA19+AY19+AW19+AU19+AS19+AQ19</f>
        <v>0</v>
      </c>
      <c r="BF19" s="64">
        <f t="shared" ref="BF19" si="279">BE19+BD19</f>
        <v>35</v>
      </c>
      <c r="BG19" s="64">
        <v>2</v>
      </c>
      <c r="BH19" s="64"/>
      <c r="BI19" s="64">
        <v>5</v>
      </c>
      <c r="BJ19" s="64"/>
      <c r="BK19" s="64">
        <v>6</v>
      </c>
      <c r="BL19" s="64"/>
      <c r="BM19" s="64">
        <v>15</v>
      </c>
      <c r="BN19" s="64"/>
      <c r="BO19" s="64">
        <v>19</v>
      </c>
      <c r="BP19" s="64"/>
      <c r="BQ19" s="64">
        <v>3</v>
      </c>
      <c r="BR19" s="64"/>
      <c r="BS19" s="64">
        <v>3</v>
      </c>
      <c r="BT19" s="64"/>
      <c r="BU19" s="64">
        <f t="shared" ref="BU19" si="280">BS19+BQ19+BO19+BM19+BK19+BI19+BG19</f>
        <v>53</v>
      </c>
      <c r="BV19" s="64">
        <f t="shared" ref="BV19" si="281">BT19+BR19+BP19+BN19+BL19+BJ19+BH19</f>
        <v>0</v>
      </c>
      <c r="BW19" s="64">
        <f t="shared" ref="BW19" si="282">BV19+BU19</f>
        <v>53</v>
      </c>
      <c r="BX19" s="64">
        <f t="shared" ref="BX19" si="283">BG19+AP19+Y19</f>
        <v>9</v>
      </c>
      <c r="BY19" s="64">
        <f t="shared" ref="BY19" si="284">BH19+AQ19+Z19</f>
        <v>0</v>
      </c>
      <c r="BZ19" s="64">
        <f t="shared" ref="BZ19" si="285">BI19+AR19+AA19</f>
        <v>25</v>
      </c>
      <c r="CA19" s="64">
        <f t="shared" ref="CA19" si="286">BJ19+AS19+AB19</f>
        <v>0</v>
      </c>
      <c r="CB19" s="64">
        <f t="shared" ref="CB19" si="287">BK19+AT19+AC19</f>
        <v>22</v>
      </c>
      <c r="CC19" s="64">
        <f t="shared" ref="CC19" si="288">BL19+AU19+AD19</f>
        <v>0</v>
      </c>
      <c r="CD19" s="64">
        <f t="shared" ref="CD19" si="289">BM19+AV19+AE19</f>
        <v>33</v>
      </c>
      <c r="CE19" s="64">
        <f t="shared" ref="CE19" si="290">BN19+AW19+AF19</f>
        <v>0</v>
      </c>
      <c r="CF19" s="64">
        <f t="shared" ref="CF19" si="291">BO19+AX19+AG19</f>
        <v>33</v>
      </c>
      <c r="CG19" s="64">
        <f t="shared" ref="CG19" si="292">BP19+AY19+AH19</f>
        <v>0</v>
      </c>
      <c r="CH19" s="64">
        <f t="shared" ref="CH19" si="293">BQ19+AZ19+AI19</f>
        <v>7</v>
      </c>
      <c r="CI19" s="64">
        <f t="shared" ref="CI19" si="294">BR19+BA19+AJ19</f>
        <v>0</v>
      </c>
      <c r="CJ19" s="64">
        <f t="shared" ref="CJ19" si="295">BS19+BB19+AK19</f>
        <v>7</v>
      </c>
      <c r="CK19" s="64">
        <f t="shared" ref="CK19" si="296">BT19+BC19+AL19</f>
        <v>0</v>
      </c>
      <c r="CL19" s="64">
        <f t="shared" ref="CL19" si="297">CJ19+CH19+CF19+CD19+CB19+BZ19+BX19</f>
        <v>136</v>
      </c>
      <c r="CM19" s="64">
        <f t="shared" ref="CM19" si="298">CK19+CI19+CG19+CE19+CC19+CA19+BY19</f>
        <v>0</v>
      </c>
      <c r="CN19" s="64">
        <f t="shared" ref="CN19" si="299">CM19+CL19</f>
        <v>136</v>
      </c>
      <c r="CO19" s="64">
        <v>3</v>
      </c>
      <c r="CP19" s="64"/>
      <c r="CQ19" s="64"/>
      <c r="CR19" s="64">
        <v>2</v>
      </c>
      <c r="CS19" s="64"/>
      <c r="CT19" s="64"/>
      <c r="CU19" s="64">
        <v>2</v>
      </c>
      <c r="CV19" s="64"/>
      <c r="CW19" s="64"/>
      <c r="CX19" s="64">
        <f t="shared" ref="CX19" si="300">CU19+CR19+CO19</f>
        <v>7</v>
      </c>
      <c r="CY19" s="64">
        <f t="shared" ref="CY19" si="301">CV19+CS19+CP19</f>
        <v>0</v>
      </c>
      <c r="CZ19" s="64">
        <f t="shared" ref="CZ19" si="302">CW19+CT19+CQ19</f>
        <v>0</v>
      </c>
      <c r="DA19" s="64">
        <f t="shared" ref="DA19" si="303">CZ19+CY19+CX19</f>
        <v>7</v>
      </c>
      <c r="DB19" s="64"/>
      <c r="DC19" s="64"/>
      <c r="DD19" s="64"/>
      <c r="DE19" s="64"/>
      <c r="DF19" s="64"/>
      <c r="DG19" s="64"/>
      <c r="DH19" s="64">
        <f t="shared" ref="DH19" si="304">DF19+DD19+DB19</f>
        <v>0</v>
      </c>
      <c r="DI19" s="64">
        <f t="shared" ref="DI19" si="305">DG19+DE19+DC19</f>
        <v>0</v>
      </c>
      <c r="DJ19" s="64">
        <f t="shared" ref="DJ19" si="306">DI19+DH19</f>
        <v>0</v>
      </c>
      <c r="DK19" s="64"/>
      <c r="DL19" s="64"/>
      <c r="DM19" s="64"/>
      <c r="DN19" s="64"/>
      <c r="DO19" s="64"/>
      <c r="DP19" s="64"/>
      <c r="DQ19" s="64">
        <f t="shared" ref="DQ19" si="307">DO19+DM19+DK19</f>
        <v>0</v>
      </c>
      <c r="DR19" s="64">
        <f t="shared" ref="DR19" si="308">DP19+DN19+DL19</f>
        <v>0</v>
      </c>
      <c r="DS19" s="64">
        <f t="shared" ref="DS19" si="309">DR19+DQ19</f>
        <v>0</v>
      </c>
      <c r="DT19" s="64"/>
      <c r="DU19" s="64"/>
      <c r="DV19" s="64"/>
      <c r="DW19" s="64"/>
      <c r="DX19" s="64"/>
      <c r="DY19" s="64"/>
      <c r="DZ19" s="64">
        <f t="shared" ref="DZ19" si="310">DX19+DV19+DT19</f>
        <v>0</v>
      </c>
      <c r="EA19" s="64">
        <f t="shared" ref="EA19" si="311">DY19+DW19+DU19</f>
        <v>0</v>
      </c>
      <c r="EB19" s="64">
        <f t="shared" ref="EB19" si="312">EA19+DZ19</f>
        <v>0</v>
      </c>
      <c r="EC19" s="64"/>
      <c r="ED19" s="64"/>
      <c r="EE19" s="64"/>
      <c r="EF19" s="64"/>
      <c r="EG19" s="64"/>
      <c r="EH19" s="64"/>
      <c r="EI19" s="64">
        <f t="shared" ref="EI19" si="313">EG19+EE19+EC19</f>
        <v>0</v>
      </c>
      <c r="EJ19" s="64">
        <f t="shared" ref="EJ19" si="314">EH19+EF19+ED19</f>
        <v>0</v>
      </c>
      <c r="EK19" s="64">
        <f t="shared" ref="EK19" si="315">EJ19+EI19</f>
        <v>0</v>
      </c>
      <c r="EL19" s="64"/>
      <c r="EM19" s="64"/>
      <c r="EN19" s="64"/>
      <c r="EO19" s="64"/>
      <c r="EP19" s="64"/>
      <c r="EQ19" s="64"/>
      <c r="ER19" s="64">
        <f t="shared" ref="ER19" si="316">EP19+EN19+EL19</f>
        <v>0</v>
      </c>
      <c r="ES19" s="64">
        <f t="shared" ref="ES19" si="317">EQ19+EO19+EM19</f>
        <v>0</v>
      </c>
      <c r="ET19" s="64">
        <f t="shared" ref="ET19" si="318">ES19+ER19</f>
        <v>0</v>
      </c>
      <c r="EU19" s="64">
        <v>1</v>
      </c>
      <c r="EV19" s="64"/>
      <c r="EW19" s="64"/>
      <c r="EX19" s="64"/>
      <c r="EY19" s="64"/>
      <c r="EZ19" s="64"/>
      <c r="FA19" s="64"/>
      <c r="FB19" s="64"/>
      <c r="FC19" s="64">
        <f t="shared" ref="FC19" si="319">FA19+EY19+EW19+EU19</f>
        <v>1</v>
      </c>
      <c r="FD19" s="64">
        <f t="shared" ref="FD19" si="320">FB19+EZ19+EX19+EV19</f>
        <v>0</v>
      </c>
      <c r="FE19" s="64">
        <f t="shared" ref="FE19" si="321">FD19+FC19</f>
        <v>1</v>
      </c>
      <c r="FF19" s="64"/>
      <c r="FG19" s="64"/>
      <c r="FH19" s="64"/>
      <c r="FI19" s="64"/>
      <c r="FJ19" s="64"/>
      <c r="FK19" s="64"/>
      <c r="FL19" s="64"/>
      <c r="FM19" s="64"/>
      <c r="FN19" s="64"/>
      <c r="FO19" s="64"/>
      <c r="FP19" s="64"/>
      <c r="FQ19" s="64"/>
      <c r="FR19" s="64"/>
      <c r="FS19" s="64"/>
      <c r="FT19" s="64"/>
      <c r="FU19" s="64"/>
      <c r="FV19" s="64"/>
      <c r="FW19" s="64"/>
      <c r="FX19" s="64"/>
      <c r="FY19" s="64"/>
      <c r="FZ19" s="64"/>
      <c r="GA19" s="64"/>
      <c r="GB19" s="64">
        <v>1</v>
      </c>
      <c r="GC19" s="64"/>
      <c r="GD19" s="64"/>
      <c r="GE19" s="64"/>
      <c r="GF19" s="64"/>
      <c r="GG19" s="64"/>
      <c r="GH19" s="64"/>
      <c r="GI19" s="64"/>
      <c r="GJ19" s="64"/>
      <c r="GK19" s="64"/>
      <c r="GL19" s="64"/>
      <c r="GM19" s="64"/>
      <c r="GN19" s="64">
        <f t="shared" ref="GN19" si="322">GL19+GJ19+GH19+GF19+GD19+GB19+FZ19+FX19</f>
        <v>1</v>
      </c>
      <c r="GO19" s="64">
        <f t="shared" ref="GO19" si="323">GM19+GK19+GI19+GG19+GE19+GC19+GA19+FY19</f>
        <v>0</v>
      </c>
      <c r="GP19" s="64">
        <f t="shared" ref="GP19" si="324">GO19+GN19</f>
        <v>1</v>
      </c>
      <c r="GQ19" s="64">
        <v>1</v>
      </c>
      <c r="GR19" s="64"/>
      <c r="GS19" s="64"/>
      <c r="GT19" s="64"/>
      <c r="GU19" s="64"/>
      <c r="GV19" s="64"/>
      <c r="GW19" s="64">
        <f t="shared" ref="GW19" si="325">GU19+GS19+GQ19</f>
        <v>1</v>
      </c>
      <c r="GX19" s="64">
        <f t="shared" ref="GX19" si="326">GV19+GT19+GR19</f>
        <v>0</v>
      </c>
      <c r="GY19" s="64">
        <f t="shared" ref="GY19" si="327">GX19+GW19</f>
        <v>1</v>
      </c>
      <c r="GZ19" s="64">
        <v>1</v>
      </c>
      <c r="HA19" s="64"/>
      <c r="HB19" s="64"/>
      <c r="HC19" s="64"/>
      <c r="HD19" s="64"/>
      <c r="HE19" s="64"/>
      <c r="HF19" s="64"/>
      <c r="HG19" s="64"/>
      <c r="HH19" s="64"/>
      <c r="HI19" s="64"/>
      <c r="HJ19" s="64"/>
      <c r="HK19" s="64"/>
      <c r="HL19" s="64"/>
      <c r="HM19" s="64"/>
      <c r="HN19" s="64"/>
      <c r="HO19" s="64"/>
      <c r="HP19" s="64"/>
      <c r="HQ19" s="64">
        <f t="shared" ref="HQ19" si="328">HO19+GZ19+HM19+HJ19+HH19+HF19+HD19+HB19</f>
        <v>1</v>
      </c>
      <c r="HR19" s="64">
        <f t="shared" ref="HR19" si="329">HP19+HA19+HN19+HL19+HK19+HI19+HG19+HE19+HC19</f>
        <v>0</v>
      </c>
      <c r="HS19" s="64">
        <f t="shared" ref="HS19" si="330">HR19+HQ19</f>
        <v>1</v>
      </c>
      <c r="HT19" s="64"/>
      <c r="HU19" s="64"/>
      <c r="HV19" s="64">
        <v>1</v>
      </c>
      <c r="HW19" s="64"/>
      <c r="HX19" s="64"/>
      <c r="HY19" s="64"/>
      <c r="HZ19" s="64"/>
      <c r="IA19" s="64"/>
      <c r="IB19" s="64">
        <f t="shared" ref="IB19" si="331">HZ19+HX19+HV19+HT19</f>
        <v>1</v>
      </c>
      <c r="IC19" s="64">
        <f t="shared" ref="IC19" si="332">IA19+HY19+HW19+HU19</f>
        <v>0</v>
      </c>
      <c r="ID19" s="64">
        <f t="shared" ref="ID19" si="333">IC19+IB19</f>
        <v>1</v>
      </c>
      <c r="IE19" s="64">
        <v>1</v>
      </c>
      <c r="IF19" s="64"/>
      <c r="IG19" s="64"/>
      <c r="IH19" s="64">
        <v>1</v>
      </c>
      <c r="II19" s="64"/>
      <c r="IJ19" s="64">
        <v>1</v>
      </c>
      <c r="IK19" s="64"/>
      <c r="IL19" s="64">
        <v>1</v>
      </c>
      <c r="IM19" s="64"/>
      <c r="IN19" s="64"/>
      <c r="IO19" s="64"/>
      <c r="IP19" s="64"/>
      <c r="IQ19" s="64"/>
      <c r="IR19" s="64"/>
      <c r="IS19" s="64"/>
      <c r="IT19" s="64"/>
      <c r="IU19" s="64"/>
      <c r="IV19" s="64"/>
      <c r="IW19" s="64"/>
      <c r="IX19" s="64"/>
      <c r="IY19" s="64" t="s">
        <v>278</v>
      </c>
      <c r="IZ19" s="78">
        <v>7813872421</v>
      </c>
      <c r="JA19" s="64" t="s">
        <v>279</v>
      </c>
    </row>
    <row r="20" spans="1:265" s="65" customFormat="1" ht="24.75" customHeight="1" x14ac:dyDescent="0.25">
      <c r="A20" s="64">
        <v>1</v>
      </c>
      <c r="B20" s="64">
        <v>2</v>
      </c>
      <c r="C20" s="64">
        <v>13</v>
      </c>
      <c r="D20" s="64">
        <v>1400728</v>
      </c>
      <c r="E20" s="64" t="s">
        <v>138</v>
      </c>
      <c r="F20" s="64"/>
      <c r="G20" s="64">
        <v>1</v>
      </c>
      <c r="H20" s="64"/>
      <c r="I20" s="64">
        <v>1</v>
      </c>
      <c r="J20" s="64"/>
      <c r="K20" s="64">
        <v>1</v>
      </c>
      <c r="L20" s="64"/>
      <c r="M20" s="64"/>
      <c r="N20" s="64">
        <v>1</v>
      </c>
      <c r="O20" s="64"/>
      <c r="P20" s="64"/>
      <c r="Q20" s="64"/>
      <c r="R20" s="64">
        <v>1</v>
      </c>
      <c r="S20" s="64"/>
      <c r="T20" s="64"/>
      <c r="U20" s="64"/>
      <c r="V20" s="64">
        <v>1</v>
      </c>
      <c r="W20" s="64"/>
      <c r="X20" s="64"/>
      <c r="Y20" s="64"/>
      <c r="Z20" s="82">
        <v>1</v>
      </c>
      <c r="AA20" s="64"/>
      <c r="AB20" s="64">
        <v>1</v>
      </c>
      <c r="AC20" s="64"/>
      <c r="AD20" s="64">
        <v>3</v>
      </c>
      <c r="AE20" s="64"/>
      <c r="AF20" s="64">
        <v>3</v>
      </c>
      <c r="AG20" s="64"/>
      <c r="AH20" s="64"/>
      <c r="AI20" s="64"/>
      <c r="AJ20" s="64">
        <v>2</v>
      </c>
      <c r="AK20" s="64"/>
      <c r="AL20" s="64">
        <v>2</v>
      </c>
      <c r="AM20" s="64">
        <f t="shared" ref="AM20:AM22" si="334">AK20+AI20+AG20+AE20+AC20+AA20+Y20</f>
        <v>0</v>
      </c>
      <c r="AN20" s="64">
        <f t="shared" ref="AN20:AN22" si="335">AL20+AJ20+AH20+AF20+AD20+AB20+Z20</f>
        <v>12</v>
      </c>
      <c r="AO20" s="64">
        <f t="shared" ref="AO20:AO22" si="336">AN20+AM20</f>
        <v>12</v>
      </c>
      <c r="AP20" s="64"/>
      <c r="AQ20" s="64"/>
      <c r="AR20" s="64"/>
      <c r="AS20" s="64"/>
      <c r="AT20" s="64"/>
      <c r="AU20" s="64">
        <v>3</v>
      </c>
      <c r="AV20" s="64"/>
      <c r="AW20" s="64">
        <v>4</v>
      </c>
      <c r="AX20" s="64"/>
      <c r="AY20" s="64">
        <v>3</v>
      </c>
      <c r="AZ20" s="64"/>
      <c r="BA20" s="64">
        <v>3</v>
      </c>
      <c r="BB20" s="64"/>
      <c r="BC20" s="64">
        <v>2</v>
      </c>
      <c r="BD20" s="64">
        <f t="shared" ref="BD20:BD22" si="337">BB20+AZ20+AX20+AV20+AT20+AR20+AP20</f>
        <v>0</v>
      </c>
      <c r="BE20" s="64">
        <f t="shared" ref="BE20:BE22" si="338">BC20+BA20+AY20+AW20+AU20+AS20+AQ20</f>
        <v>15</v>
      </c>
      <c r="BF20" s="64">
        <f t="shared" ref="BF20:BF22" si="339">BE20+BD20</f>
        <v>15</v>
      </c>
      <c r="BG20" s="64"/>
      <c r="BH20" s="64"/>
      <c r="BI20" s="64"/>
      <c r="BJ20" s="64"/>
      <c r="BK20" s="64"/>
      <c r="BL20" s="64">
        <v>2</v>
      </c>
      <c r="BM20" s="64"/>
      <c r="BN20" s="64">
        <v>4</v>
      </c>
      <c r="BO20" s="64"/>
      <c r="BP20" s="64">
        <v>7</v>
      </c>
      <c r="BQ20" s="64"/>
      <c r="BR20" s="64">
        <v>4</v>
      </c>
      <c r="BS20" s="64"/>
      <c r="BT20" s="64">
        <v>5</v>
      </c>
      <c r="BU20" s="64">
        <f t="shared" ref="BU20:BU22" si="340">BS20+BQ20+BO20+BM20+BK20+BI20+BG20</f>
        <v>0</v>
      </c>
      <c r="BV20" s="64">
        <f t="shared" ref="BV20:BV22" si="341">BT20+BR20+BP20+BN20+BL20+BJ20+BH20</f>
        <v>22</v>
      </c>
      <c r="BW20" s="64">
        <f t="shared" ref="BW20:BW22" si="342">BV20+BU20</f>
        <v>22</v>
      </c>
      <c r="BX20" s="64">
        <f t="shared" ref="BX20:BX22" si="343">BG20+AP20+Y20</f>
        <v>0</v>
      </c>
      <c r="BY20" s="64">
        <f t="shared" ref="BY20:BY22" si="344">BH20+AQ20+Z20</f>
        <v>1</v>
      </c>
      <c r="BZ20" s="64">
        <f t="shared" ref="BZ20:BZ22" si="345">BI20+AR20+AA20</f>
        <v>0</v>
      </c>
      <c r="CA20" s="64">
        <f t="shared" ref="CA20:CA22" si="346">BJ20+AS20+AB20</f>
        <v>1</v>
      </c>
      <c r="CB20" s="64">
        <f t="shared" ref="CB20:CB22" si="347">BK20+AT20+AC20</f>
        <v>0</v>
      </c>
      <c r="CC20" s="64">
        <f t="shared" ref="CC20:CC22" si="348">BL20+AU20+AD20</f>
        <v>8</v>
      </c>
      <c r="CD20" s="64">
        <f t="shared" ref="CD20:CD22" si="349">BM20+AV20+AE20</f>
        <v>0</v>
      </c>
      <c r="CE20" s="64">
        <f t="shared" ref="CE20:CE22" si="350">BN20+AW20+AF20</f>
        <v>11</v>
      </c>
      <c r="CF20" s="64">
        <f t="shared" ref="CF20:CF22" si="351">BO20+AX20+AG20</f>
        <v>0</v>
      </c>
      <c r="CG20" s="64">
        <f t="shared" ref="CG20:CG22" si="352">BP20+AY20+AH20</f>
        <v>10</v>
      </c>
      <c r="CH20" s="64">
        <f t="shared" ref="CH20:CH22" si="353">BQ20+AZ20+AI20</f>
        <v>0</v>
      </c>
      <c r="CI20" s="64">
        <f t="shared" ref="CI20:CI22" si="354">BR20+BA20+AJ20</f>
        <v>9</v>
      </c>
      <c r="CJ20" s="64">
        <f t="shared" ref="CJ20:CJ22" si="355">BS20+BB20+AK20</f>
        <v>0</v>
      </c>
      <c r="CK20" s="64">
        <f t="shared" ref="CK20:CK22" si="356">BT20+BC20+AL20</f>
        <v>9</v>
      </c>
      <c r="CL20" s="64">
        <f t="shared" ref="CL20:CL22" si="357">CJ20+CH20+CF20+CD20+CB20+BZ20+BX20</f>
        <v>0</v>
      </c>
      <c r="CM20" s="64">
        <f t="shared" ref="CM20:CM22" si="358">CK20+CI20+CG20+CE20+CC20+CA20+BY20</f>
        <v>49</v>
      </c>
      <c r="CN20" s="64">
        <f t="shared" ref="CN20:CN22" si="359">CM20+CL20</f>
        <v>49</v>
      </c>
      <c r="CO20" s="64"/>
      <c r="CP20" s="64">
        <v>1</v>
      </c>
      <c r="CQ20" s="64"/>
      <c r="CR20" s="64"/>
      <c r="CS20" s="64">
        <v>1</v>
      </c>
      <c r="CT20" s="64"/>
      <c r="CU20" s="64"/>
      <c r="CV20" s="64">
        <v>1</v>
      </c>
      <c r="CW20" s="64"/>
      <c r="CX20" s="64">
        <f t="shared" si="36"/>
        <v>0</v>
      </c>
      <c r="CY20" s="64">
        <f t="shared" si="37"/>
        <v>3</v>
      </c>
      <c r="CZ20" s="64">
        <f t="shared" si="38"/>
        <v>0</v>
      </c>
      <c r="DA20" s="64">
        <f t="shared" si="39"/>
        <v>3</v>
      </c>
      <c r="DB20" s="64"/>
      <c r="DC20" s="64">
        <v>1</v>
      </c>
      <c r="DD20" s="64"/>
      <c r="DE20" s="64">
        <v>1</v>
      </c>
      <c r="DF20" s="64"/>
      <c r="DG20" s="64">
        <v>4</v>
      </c>
      <c r="DH20" s="64">
        <f t="shared" ref="DH20:DH22" si="360">DF20+DD20+DB20</f>
        <v>0</v>
      </c>
      <c r="DI20" s="64">
        <f t="shared" ref="DI20:DI22" si="361">DG20+DE20+DC20</f>
        <v>6</v>
      </c>
      <c r="DJ20" s="64">
        <f t="shared" ref="DJ20:DJ22" si="362">DI20+DH20</f>
        <v>6</v>
      </c>
      <c r="DK20" s="64"/>
      <c r="DL20" s="64">
        <v>8</v>
      </c>
      <c r="DM20" s="64"/>
      <c r="DN20" s="64">
        <v>11</v>
      </c>
      <c r="DO20" s="64"/>
      <c r="DP20" s="64">
        <v>23</v>
      </c>
      <c r="DQ20" s="64">
        <f t="shared" ref="DQ20:DQ22" si="363">DO20+DM20+DK20</f>
        <v>0</v>
      </c>
      <c r="DR20" s="64">
        <f t="shared" ref="DR20:DR22" si="364">DP20+DN20+DL20</f>
        <v>42</v>
      </c>
      <c r="DS20" s="64">
        <f t="shared" ref="DS20:DS22" si="365">DR20+DQ20</f>
        <v>42</v>
      </c>
      <c r="DT20" s="64"/>
      <c r="DU20" s="64">
        <v>5</v>
      </c>
      <c r="DV20" s="64"/>
      <c r="DW20" s="64">
        <v>4</v>
      </c>
      <c r="DX20" s="64"/>
      <c r="DY20" s="64">
        <v>11</v>
      </c>
      <c r="DZ20" s="64">
        <f t="shared" ref="DZ20:DZ22" si="366">DX20+DV20+DT20</f>
        <v>0</v>
      </c>
      <c r="EA20" s="64">
        <f t="shared" ref="EA20:EA22" si="367">DY20+DW20+DU20</f>
        <v>20</v>
      </c>
      <c r="EB20" s="64">
        <f t="shared" ref="EB20:EB22" si="368">EA20+DZ20</f>
        <v>20</v>
      </c>
      <c r="EC20" s="64"/>
      <c r="ED20" s="64"/>
      <c r="EE20" s="64"/>
      <c r="EF20" s="64"/>
      <c r="EG20" s="64"/>
      <c r="EH20" s="64"/>
      <c r="EI20" s="64">
        <f t="shared" ref="EI20:EI22" si="369">EG20+EE20+EC20</f>
        <v>0</v>
      </c>
      <c r="EJ20" s="64">
        <f t="shared" ref="EJ20:EJ22" si="370">EH20+EF20+ED20</f>
        <v>0</v>
      </c>
      <c r="EK20" s="64">
        <f t="shared" ref="EK20:EK22" si="371">EJ20+EI20</f>
        <v>0</v>
      </c>
      <c r="EL20" s="64"/>
      <c r="EM20" s="64"/>
      <c r="EN20" s="64"/>
      <c r="EO20" s="64"/>
      <c r="EP20" s="64"/>
      <c r="EQ20" s="64"/>
      <c r="ER20" s="64">
        <f t="shared" ref="ER20:ER22" si="372">EP20+EN20+EL20</f>
        <v>0</v>
      </c>
      <c r="ES20" s="64">
        <f t="shared" ref="ES20:ES22" si="373">EQ20+EO20+EM20</f>
        <v>0</v>
      </c>
      <c r="ET20" s="64">
        <f t="shared" ref="ET20:ET22" si="374">ES20+ER20</f>
        <v>0</v>
      </c>
      <c r="EU20" s="64"/>
      <c r="EV20" s="64">
        <v>1</v>
      </c>
      <c r="EW20" s="64"/>
      <c r="EX20" s="64"/>
      <c r="EY20" s="64"/>
      <c r="EZ20" s="64">
        <v>5</v>
      </c>
      <c r="FA20" s="64"/>
      <c r="FB20" s="64"/>
      <c r="FC20" s="64">
        <f t="shared" ref="FC20:FC22" si="375">FA20+EY20+EW20+EU20</f>
        <v>0</v>
      </c>
      <c r="FD20" s="64">
        <f t="shared" ref="FD20:FD22" si="376">FB20+EZ20+EX20+EV20</f>
        <v>6</v>
      </c>
      <c r="FE20" s="64">
        <f t="shared" ref="FE20:FE22" si="377">FD20+FC20</f>
        <v>6</v>
      </c>
      <c r="FF20" s="64"/>
      <c r="FG20" s="64"/>
      <c r="FH20" s="64"/>
      <c r="FI20" s="64"/>
      <c r="FJ20" s="64"/>
      <c r="FK20" s="64"/>
      <c r="FL20" s="64"/>
      <c r="FM20" s="64"/>
      <c r="FN20" s="64"/>
      <c r="FO20" s="64">
        <v>1</v>
      </c>
      <c r="FP20" s="64"/>
      <c r="FQ20" s="64"/>
      <c r="FR20" s="64"/>
      <c r="FS20" s="64"/>
      <c r="FT20" s="64"/>
      <c r="FU20" s="64">
        <f t="shared" ref="FU20:FU22" si="378">FT20+FS20+FR20+FN20+FL20+FH20+FF20</f>
        <v>0</v>
      </c>
      <c r="FV20" s="64">
        <f t="shared" ref="FV20:FV22" si="379">FO20+FM20+FI20+FG20</f>
        <v>1</v>
      </c>
      <c r="FW20" s="64">
        <f t="shared" ref="FW20:FW22" si="380">FV20+FU20</f>
        <v>1</v>
      </c>
      <c r="FX20" s="64"/>
      <c r="FY20" s="64"/>
      <c r="FZ20" s="64"/>
      <c r="GA20" s="64"/>
      <c r="GB20" s="64"/>
      <c r="GC20" s="64">
        <v>4</v>
      </c>
      <c r="GD20" s="64"/>
      <c r="GE20" s="64"/>
      <c r="GF20" s="64"/>
      <c r="GG20" s="64">
        <v>1</v>
      </c>
      <c r="GH20" s="64"/>
      <c r="GI20" s="64">
        <v>1</v>
      </c>
      <c r="GJ20" s="64"/>
      <c r="GK20" s="64"/>
      <c r="GL20" s="64"/>
      <c r="GM20" s="64"/>
      <c r="GN20" s="64">
        <f t="shared" ref="GN20:GN22" si="381">GL20+GJ20+GH20+GF20+GD20+GB20+FZ20+FX20</f>
        <v>0</v>
      </c>
      <c r="GO20" s="64">
        <f t="shared" ref="GO20:GO22" si="382">GM20+GK20+GI20+GG20+GE20+GC20+GA20+FY20</f>
        <v>6</v>
      </c>
      <c r="GP20" s="64">
        <f t="shared" ref="GP20:GP22" si="383">GO20+GN20</f>
        <v>6</v>
      </c>
      <c r="GQ20" s="64"/>
      <c r="GR20" s="64">
        <v>6</v>
      </c>
      <c r="GS20" s="64"/>
      <c r="GT20" s="64"/>
      <c r="GU20" s="64"/>
      <c r="GV20" s="64"/>
      <c r="GW20" s="64">
        <f t="shared" ref="GW20:GW22" si="384">GU20+GS20+GQ20</f>
        <v>0</v>
      </c>
      <c r="GX20" s="64">
        <f t="shared" ref="GX20:GX22" si="385">GV20+GT20+GR20</f>
        <v>6</v>
      </c>
      <c r="GY20" s="64">
        <f t="shared" ref="GY20:GY22" si="386">GX20+GW20</f>
        <v>6</v>
      </c>
      <c r="GZ20" s="64"/>
      <c r="HA20" s="64">
        <v>6</v>
      </c>
      <c r="HB20" s="64"/>
      <c r="HC20" s="64"/>
      <c r="HD20" s="64"/>
      <c r="HE20" s="64"/>
      <c r="HF20" s="64"/>
      <c r="HG20" s="64"/>
      <c r="HH20" s="64"/>
      <c r="HI20" s="64"/>
      <c r="HJ20" s="64"/>
      <c r="HK20" s="64"/>
      <c r="HL20" s="64"/>
      <c r="HM20" s="64"/>
      <c r="HN20" s="64"/>
      <c r="HO20" s="64"/>
      <c r="HP20" s="64"/>
      <c r="HQ20" s="64">
        <f t="shared" ref="HQ20:HQ22" si="387">HO20+GZ20+HM20+HJ20+HH20+HF20+HD20+HB20</f>
        <v>0</v>
      </c>
      <c r="HR20" s="64">
        <f t="shared" ref="HR20:HR22" si="388">HP20+HA20+HN20+HL20+HK20+HI20+HG20+HE20+HC20</f>
        <v>6</v>
      </c>
      <c r="HS20" s="64">
        <f t="shared" ref="HS20:HS22" si="389">HR20+HQ20</f>
        <v>6</v>
      </c>
      <c r="HT20" s="64"/>
      <c r="HU20" s="64"/>
      <c r="HV20" s="64"/>
      <c r="HW20" s="64">
        <v>5</v>
      </c>
      <c r="HX20" s="64"/>
      <c r="HY20" s="64">
        <v>1</v>
      </c>
      <c r="HZ20" s="64"/>
      <c r="IA20" s="64"/>
      <c r="IB20" s="64">
        <f t="shared" ref="IB20:IB22" si="390">HZ20+HX20+HV20+HT20</f>
        <v>0</v>
      </c>
      <c r="IC20" s="64">
        <f t="shared" ref="IC20:IC22" si="391">IA20+HY20+HW20+HU20</f>
        <v>6</v>
      </c>
      <c r="ID20" s="64">
        <f t="shared" ref="ID20:ID22" si="392">IC20+IB20</f>
        <v>6</v>
      </c>
      <c r="IE20" s="64"/>
      <c r="IF20" s="64"/>
      <c r="IG20" s="64"/>
      <c r="IH20" s="64">
        <v>1</v>
      </c>
      <c r="II20" s="64"/>
      <c r="IJ20" s="64">
        <v>1</v>
      </c>
      <c r="IK20" s="64"/>
      <c r="IL20" s="64">
        <v>1</v>
      </c>
      <c r="IM20" s="64"/>
      <c r="IN20" s="64"/>
      <c r="IO20" s="64"/>
      <c r="IP20" s="64"/>
      <c r="IQ20" s="64"/>
      <c r="IR20" s="64"/>
      <c r="IS20" s="64">
        <v>5</v>
      </c>
      <c r="IT20" s="64">
        <v>1</v>
      </c>
      <c r="IU20" s="64">
        <v>1</v>
      </c>
      <c r="IV20" s="64"/>
      <c r="IW20" s="64"/>
      <c r="IX20" s="64">
        <v>1</v>
      </c>
      <c r="IY20" s="64" t="s">
        <v>222</v>
      </c>
      <c r="IZ20" s="78">
        <v>7814850538</v>
      </c>
      <c r="JA20" s="64" t="s">
        <v>203</v>
      </c>
    </row>
    <row r="21" spans="1:265" s="65" customFormat="1" ht="24.75" customHeight="1" x14ac:dyDescent="0.25">
      <c r="A21" s="64">
        <v>1</v>
      </c>
      <c r="B21" s="64">
        <v>2</v>
      </c>
      <c r="C21" s="64">
        <v>14</v>
      </c>
      <c r="D21" s="64">
        <v>1400729</v>
      </c>
      <c r="E21" s="64" t="s">
        <v>139</v>
      </c>
      <c r="F21" s="64"/>
      <c r="G21" s="64">
        <v>1</v>
      </c>
      <c r="H21" s="64">
        <v>1</v>
      </c>
      <c r="I21" s="64"/>
      <c r="J21" s="64"/>
      <c r="K21" s="64"/>
      <c r="L21" s="64">
        <v>1</v>
      </c>
      <c r="M21" s="64"/>
      <c r="N21" s="64">
        <v>1</v>
      </c>
      <c r="O21" s="64"/>
      <c r="P21" s="64"/>
      <c r="Q21" s="64"/>
      <c r="R21" s="64">
        <v>1</v>
      </c>
      <c r="S21" s="64"/>
      <c r="T21" s="64"/>
      <c r="U21" s="64"/>
      <c r="V21" s="64">
        <v>1</v>
      </c>
      <c r="W21" s="64"/>
      <c r="X21" s="64"/>
      <c r="Y21" s="64">
        <v>1</v>
      </c>
      <c r="Z21" s="82"/>
      <c r="AA21" s="64">
        <v>3</v>
      </c>
      <c r="AB21" s="64"/>
      <c r="AC21" s="64">
        <v>1</v>
      </c>
      <c r="AD21" s="64"/>
      <c r="AE21" s="64">
        <v>2</v>
      </c>
      <c r="AF21" s="64"/>
      <c r="AG21" s="64">
        <v>1</v>
      </c>
      <c r="AH21" s="64"/>
      <c r="AI21" s="64">
        <v>1</v>
      </c>
      <c r="AJ21" s="64"/>
      <c r="AK21" s="64"/>
      <c r="AL21" s="64"/>
      <c r="AM21" s="64">
        <f t="shared" si="334"/>
        <v>9</v>
      </c>
      <c r="AN21" s="64">
        <f t="shared" si="335"/>
        <v>0</v>
      </c>
      <c r="AO21" s="64">
        <f t="shared" si="336"/>
        <v>9</v>
      </c>
      <c r="AP21" s="64">
        <v>1</v>
      </c>
      <c r="AQ21" s="64"/>
      <c r="AR21" s="64">
        <v>4</v>
      </c>
      <c r="AS21" s="64"/>
      <c r="AT21" s="64">
        <v>6</v>
      </c>
      <c r="AU21" s="64"/>
      <c r="AV21" s="64">
        <v>6</v>
      </c>
      <c r="AW21" s="64"/>
      <c r="AX21" s="64">
        <v>2</v>
      </c>
      <c r="AY21" s="64"/>
      <c r="AZ21" s="64">
        <v>4</v>
      </c>
      <c r="BA21" s="64"/>
      <c r="BB21" s="64">
        <v>3</v>
      </c>
      <c r="BC21" s="64"/>
      <c r="BD21" s="64">
        <f t="shared" si="337"/>
        <v>26</v>
      </c>
      <c r="BE21" s="64">
        <f t="shared" si="338"/>
        <v>0</v>
      </c>
      <c r="BF21" s="64">
        <f t="shared" si="339"/>
        <v>26</v>
      </c>
      <c r="BG21" s="64"/>
      <c r="BH21" s="64"/>
      <c r="BI21" s="64">
        <v>1</v>
      </c>
      <c r="BJ21" s="64"/>
      <c r="BK21" s="64">
        <v>7</v>
      </c>
      <c r="BL21" s="64"/>
      <c r="BM21" s="64">
        <v>5</v>
      </c>
      <c r="BN21" s="64"/>
      <c r="BO21" s="64">
        <v>13</v>
      </c>
      <c r="BP21" s="64"/>
      <c r="BQ21" s="64">
        <v>3</v>
      </c>
      <c r="BR21" s="64"/>
      <c r="BS21" s="64">
        <v>4</v>
      </c>
      <c r="BT21" s="64"/>
      <c r="BU21" s="64">
        <f t="shared" si="340"/>
        <v>33</v>
      </c>
      <c r="BV21" s="64">
        <f t="shared" si="341"/>
        <v>0</v>
      </c>
      <c r="BW21" s="64">
        <f t="shared" si="342"/>
        <v>33</v>
      </c>
      <c r="BX21" s="64">
        <f t="shared" si="343"/>
        <v>2</v>
      </c>
      <c r="BY21" s="64">
        <f t="shared" si="344"/>
        <v>0</v>
      </c>
      <c r="BZ21" s="64">
        <f t="shared" si="345"/>
        <v>8</v>
      </c>
      <c r="CA21" s="64">
        <f t="shared" si="346"/>
        <v>0</v>
      </c>
      <c r="CB21" s="64">
        <f t="shared" si="347"/>
        <v>14</v>
      </c>
      <c r="CC21" s="64">
        <f t="shared" si="348"/>
        <v>0</v>
      </c>
      <c r="CD21" s="64">
        <f t="shared" si="349"/>
        <v>13</v>
      </c>
      <c r="CE21" s="64">
        <f t="shared" si="350"/>
        <v>0</v>
      </c>
      <c r="CF21" s="64">
        <f t="shared" si="351"/>
        <v>16</v>
      </c>
      <c r="CG21" s="64">
        <f t="shared" si="352"/>
        <v>0</v>
      </c>
      <c r="CH21" s="64">
        <f t="shared" si="353"/>
        <v>8</v>
      </c>
      <c r="CI21" s="64">
        <f t="shared" si="354"/>
        <v>0</v>
      </c>
      <c r="CJ21" s="64">
        <f t="shared" si="355"/>
        <v>7</v>
      </c>
      <c r="CK21" s="64">
        <f t="shared" si="356"/>
        <v>0</v>
      </c>
      <c r="CL21" s="64">
        <f t="shared" si="357"/>
        <v>68</v>
      </c>
      <c r="CM21" s="64">
        <f t="shared" si="358"/>
        <v>0</v>
      </c>
      <c r="CN21" s="64">
        <f t="shared" si="359"/>
        <v>68</v>
      </c>
      <c r="CO21" s="64">
        <v>1</v>
      </c>
      <c r="CP21" s="64"/>
      <c r="CQ21" s="64"/>
      <c r="CR21" s="64">
        <v>1</v>
      </c>
      <c r="CS21" s="64"/>
      <c r="CT21" s="64"/>
      <c r="CU21" s="64">
        <v>1</v>
      </c>
      <c r="CV21" s="64"/>
      <c r="CW21" s="64"/>
      <c r="CX21" s="64">
        <f t="shared" si="36"/>
        <v>3</v>
      </c>
      <c r="CY21" s="64">
        <f t="shared" si="37"/>
        <v>0</v>
      </c>
      <c r="CZ21" s="64">
        <f t="shared" si="38"/>
        <v>0</v>
      </c>
      <c r="DA21" s="64">
        <f t="shared" si="39"/>
        <v>3</v>
      </c>
      <c r="DB21" s="64"/>
      <c r="DC21" s="64"/>
      <c r="DD21" s="64"/>
      <c r="DE21" s="64"/>
      <c r="DF21" s="64"/>
      <c r="DG21" s="64"/>
      <c r="DH21" s="64">
        <f t="shared" si="360"/>
        <v>0</v>
      </c>
      <c r="DI21" s="64">
        <f t="shared" si="361"/>
        <v>0</v>
      </c>
      <c r="DJ21" s="64">
        <f t="shared" si="362"/>
        <v>0</v>
      </c>
      <c r="DK21" s="64">
        <v>20</v>
      </c>
      <c r="DL21" s="64"/>
      <c r="DM21" s="64">
        <v>11</v>
      </c>
      <c r="DN21" s="64"/>
      <c r="DO21" s="64">
        <v>22</v>
      </c>
      <c r="DP21" s="64"/>
      <c r="DQ21" s="64">
        <f t="shared" si="363"/>
        <v>53</v>
      </c>
      <c r="DR21" s="64">
        <f t="shared" si="364"/>
        <v>0</v>
      </c>
      <c r="DS21" s="64">
        <f t="shared" si="365"/>
        <v>53</v>
      </c>
      <c r="DT21" s="64">
        <v>9</v>
      </c>
      <c r="DU21" s="64"/>
      <c r="DV21" s="64">
        <v>21</v>
      </c>
      <c r="DW21" s="64"/>
      <c r="DX21" s="64">
        <v>15</v>
      </c>
      <c r="DY21" s="64"/>
      <c r="DZ21" s="64">
        <f t="shared" si="366"/>
        <v>45</v>
      </c>
      <c r="EA21" s="64">
        <f t="shared" si="367"/>
        <v>0</v>
      </c>
      <c r="EB21" s="64">
        <f t="shared" si="368"/>
        <v>45</v>
      </c>
      <c r="EC21" s="64"/>
      <c r="ED21" s="64"/>
      <c r="EE21" s="64"/>
      <c r="EF21" s="64"/>
      <c r="EG21" s="64"/>
      <c r="EH21" s="64"/>
      <c r="EI21" s="64">
        <f t="shared" si="369"/>
        <v>0</v>
      </c>
      <c r="EJ21" s="64">
        <f t="shared" si="370"/>
        <v>0</v>
      </c>
      <c r="EK21" s="64">
        <f t="shared" si="371"/>
        <v>0</v>
      </c>
      <c r="EL21" s="64"/>
      <c r="EM21" s="64"/>
      <c r="EN21" s="64"/>
      <c r="EO21" s="64"/>
      <c r="EP21" s="64"/>
      <c r="EQ21" s="64"/>
      <c r="ER21" s="64">
        <f t="shared" si="372"/>
        <v>0</v>
      </c>
      <c r="ES21" s="64">
        <f t="shared" si="373"/>
        <v>0</v>
      </c>
      <c r="ET21" s="64">
        <f t="shared" si="374"/>
        <v>0</v>
      </c>
      <c r="EU21" s="64">
        <v>1</v>
      </c>
      <c r="EV21" s="64"/>
      <c r="EW21" s="64"/>
      <c r="EX21" s="64"/>
      <c r="EY21" s="64">
        <v>7</v>
      </c>
      <c r="EZ21" s="64"/>
      <c r="FA21" s="64"/>
      <c r="FB21" s="64"/>
      <c r="FC21" s="64">
        <f t="shared" si="375"/>
        <v>8</v>
      </c>
      <c r="FD21" s="64">
        <f t="shared" si="376"/>
        <v>0</v>
      </c>
      <c r="FE21" s="64">
        <f t="shared" si="377"/>
        <v>8</v>
      </c>
      <c r="FF21" s="64"/>
      <c r="FG21" s="64"/>
      <c r="FH21" s="64"/>
      <c r="FI21" s="64"/>
      <c r="FJ21" s="64"/>
      <c r="FK21" s="64"/>
      <c r="FL21" s="64"/>
      <c r="FM21" s="64"/>
      <c r="FN21" s="64">
        <v>1</v>
      </c>
      <c r="FO21" s="64"/>
      <c r="FP21" s="64"/>
      <c r="FQ21" s="64"/>
      <c r="FR21" s="64"/>
      <c r="FS21" s="64"/>
      <c r="FT21" s="64"/>
      <c r="FU21" s="64">
        <f t="shared" si="378"/>
        <v>1</v>
      </c>
      <c r="FV21" s="64">
        <f t="shared" si="379"/>
        <v>0</v>
      </c>
      <c r="FW21" s="64">
        <f t="shared" si="380"/>
        <v>1</v>
      </c>
      <c r="FX21" s="64"/>
      <c r="FY21" s="64"/>
      <c r="FZ21" s="64"/>
      <c r="GA21" s="64"/>
      <c r="GB21" s="64">
        <v>3</v>
      </c>
      <c r="GC21" s="64"/>
      <c r="GD21" s="64"/>
      <c r="GE21" s="64"/>
      <c r="GF21" s="64"/>
      <c r="GG21" s="64"/>
      <c r="GH21" s="64">
        <v>3</v>
      </c>
      <c r="GI21" s="64"/>
      <c r="GJ21" s="64">
        <v>1</v>
      </c>
      <c r="GK21" s="64"/>
      <c r="GL21" s="64">
        <v>1</v>
      </c>
      <c r="GM21" s="64"/>
      <c r="GN21" s="64">
        <f t="shared" si="381"/>
        <v>8</v>
      </c>
      <c r="GO21" s="64">
        <f t="shared" si="382"/>
        <v>0</v>
      </c>
      <c r="GP21" s="64">
        <f t="shared" si="383"/>
        <v>8</v>
      </c>
      <c r="GQ21" s="64">
        <v>8</v>
      </c>
      <c r="GR21" s="64"/>
      <c r="GS21" s="64"/>
      <c r="GT21" s="64"/>
      <c r="GU21" s="64"/>
      <c r="GV21" s="64"/>
      <c r="GW21" s="64">
        <f t="shared" si="384"/>
        <v>8</v>
      </c>
      <c r="GX21" s="64">
        <f t="shared" si="385"/>
        <v>0</v>
      </c>
      <c r="GY21" s="64">
        <f t="shared" si="386"/>
        <v>8</v>
      </c>
      <c r="GZ21" s="64">
        <v>7</v>
      </c>
      <c r="HA21" s="64"/>
      <c r="HB21" s="64"/>
      <c r="HC21" s="64"/>
      <c r="HD21" s="64"/>
      <c r="HE21" s="64"/>
      <c r="HF21" s="64"/>
      <c r="HG21" s="64"/>
      <c r="HH21" s="64"/>
      <c r="HI21" s="64"/>
      <c r="HJ21" s="64"/>
      <c r="HK21" s="64"/>
      <c r="HL21" s="64"/>
      <c r="HM21" s="64"/>
      <c r="HN21" s="64"/>
      <c r="HO21" s="64">
        <v>1</v>
      </c>
      <c r="HP21" s="64"/>
      <c r="HQ21" s="64">
        <f t="shared" si="387"/>
        <v>8</v>
      </c>
      <c r="HR21" s="64">
        <f t="shared" si="388"/>
        <v>0</v>
      </c>
      <c r="HS21" s="64">
        <f t="shared" si="389"/>
        <v>8</v>
      </c>
      <c r="HT21" s="64">
        <v>2</v>
      </c>
      <c r="HU21" s="64"/>
      <c r="HV21" s="64">
        <v>6</v>
      </c>
      <c r="HW21" s="64"/>
      <c r="HX21" s="64"/>
      <c r="HY21" s="64"/>
      <c r="HZ21" s="64"/>
      <c r="IA21" s="64"/>
      <c r="IB21" s="64">
        <f t="shared" si="390"/>
        <v>8</v>
      </c>
      <c r="IC21" s="64">
        <f t="shared" si="391"/>
        <v>0</v>
      </c>
      <c r="ID21" s="64">
        <f t="shared" si="392"/>
        <v>8</v>
      </c>
      <c r="IE21" s="64">
        <v>3</v>
      </c>
      <c r="IF21" s="64"/>
      <c r="IG21" s="64"/>
      <c r="IH21" s="64">
        <v>1</v>
      </c>
      <c r="II21" s="64"/>
      <c r="IJ21" s="64">
        <v>1</v>
      </c>
      <c r="IK21" s="64"/>
      <c r="IL21" s="64">
        <v>1</v>
      </c>
      <c r="IM21" s="64"/>
      <c r="IN21" s="64"/>
      <c r="IO21" s="64"/>
      <c r="IP21" s="64"/>
      <c r="IQ21" s="64"/>
      <c r="IR21" s="64"/>
      <c r="IS21" s="64">
        <v>4</v>
      </c>
      <c r="IT21" s="64">
        <v>1</v>
      </c>
      <c r="IU21" s="64">
        <v>3</v>
      </c>
      <c r="IV21" s="64"/>
      <c r="IW21" s="64"/>
      <c r="IX21" s="64">
        <v>1</v>
      </c>
      <c r="IY21" s="64" t="s">
        <v>223</v>
      </c>
      <c r="IZ21" s="78">
        <v>7816033841</v>
      </c>
      <c r="JA21" s="64" t="s">
        <v>204</v>
      </c>
    </row>
    <row r="22" spans="1:265" s="65" customFormat="1" ht="24.75" customHeight="1" x14ac:dyDescent="0.25">
      <c r="A22" s="64">
        <v>1</v>
      </c>
      <c r="B22" s="64">
        <v>2</v>
      </c>
      <c r="C22" s="64">
        <v>15</v>
      </c>
      <c r="D22" s="64">
        <v>1400814</v>
      </c>
      <c r="E22" s="64" t="s">
        <v>140</v>
      </c>
      <c r="F22" s="64"/>
      <c r="G22" s="64">
        <v>1</v>
      </c>
      <c r="H22" s="64">
        <v>1</v>
      </c>
      <c r="I22" s="64"/>
      <c r="J22" s="64"/>
      <c r="K22" s="64">
        <v>1</v>
      </c>
      <c r="L22" s="64"/>
      <c r="M22" s="64"/>
      <c r="N22" s="64">
        <v>1</v>
      </c>
      <c r="O22" s="64"/>
      <c r="P22" s="64"/>
      <c r="Q22" s="64"/>
      <c r="R22" s="64">
        <v>1</v>
      </c>
      <c r="S22" s="64"/>
      <c r="T22" s="64"/>
      <c r="U22" s="64"/>
      <c r="V22" s="64">
        <v>1</v>
      </c>
      <c r="W22" s="64"/>
      <c r="X22" s="64"/>
      <c r="Y22" s="64">
        <v>4</v>
      </c>
      <c r="Z22" s="82"/>
      <c r="AA22" s="64">
        <v>2</v>
      </c>
      <c r="AB22" s="64"/>
      <c r="AC22" s="64">
        <v>3</v>
      </c>
      <c r="AD22" s="64"/>
      <c r="AE22" s="64">
        <v>2</v>
      </c>
      <c r="AF22" s="64"/>
      <c r="AG22" s="64">
        <v>2</v>
      </c>
      <c r="AH22" s="64"/>
      <c r="AI22" s="64">
        <v>2</v>
      </c>
      <c r="AJ22" s="64"/>
      <c r="AK22" s="64"/>
      <c r="AL22" s="64"/>
      <c r="AM22" s="64">
        <f t="shared" si="334"/>
        <v>15</v>
      </c>
      <c r="AN22" s="64">
        <f t="shared" si="335"/>
        <v>0</v>
      </c>
      <c r="AO22" s="64">
        <f t="shared" si="336"/>
        <v>15</v>
      </c>
      <c r="AP22" s="64"/>
      <c r="AQ22" s="64"/>
      <c r="AR22" s="64">
        <v>8</v>
      </c>
      <c r="AS22" s="64"/>
      <c r="AT22" s="64">
        <v>5</v>
      </c>
      <c r="AU22" s="64"/>
      <c r="AV22" s="64">
        <v>7</v>
      </c>
      <c r="AW22" s="64"/>
      <c r="AX22" s="64">
        <v>8</v>
      </c>
      <c r="AY22" s="64"/>
      <c r="AZ22" s="64"/>
      <c r="BA22" s="64"/>
      <c r="BB22" s="64"/>
      <c r="BC22" s="64"/>
      <c r="BD22" s="64">
        <f t="shared" si="337"/>
        <v>28</v>
      </c>
      <c r="BE22" s="64">
        <f t="shared" si="338"/>
        <v>0</v>
      </c>
      <c r="BF22" s="64">
        <f t="shared" si="339"/>
        <v>28</v>
      </c>
      <c r="BG22" s="64"/>
      <c r="BH22" s="64"/>
      <c r="BI22" s="64"/>
      <c r="BJ22" s="64"/>
      <c r="BK22" s="64">
        <v>3</v>
      </c>
      <c r="BL22" s="64"/>
      <c r="BM22" s="64">
        <v>4</v>
      </c>
      <c r="BN22" s="64"/>
      <c r="BO22" s="64"/>
      <c r="BP22" s="64"/>
      <c r="BQ22" s="64">
        <v>3</v>
      </c>
      <c r="BR22" s="64"/>
      <c r="BS22" s="64">
        <v>20</v>
      </c>
      <c r="BT22" s="64"/>
      <c r="BU22" s="64">
        <f t="shared" si="340"/>
        <v>30</v>
      </c>
      <c r="BV22" s="64">
        <f t="shared" si="341"/>
        <v>0</v>
      </c>
      <c r="BW22" s="64">
        <f t="shared" si="342"/>
        <v>30</v>
      </c>
      <c r="BX22" s="64">
        <f t="shared" si="343"/>
        <v>4</v>
      </c>
      <c r="BY22" s="64">
        <f t="shared" si="344"/>
        <v>0</v>
      </c>
      <c r="BZ22" s="64">
        <f t="shared" si="345"/>
        <v>10</v>
      </c>
      <c r="CA22" s="64">
        <f t="shared" si="346"/>
        <v>0</v>
      </c>
      <c r="CB22" s="64">
        <f t="shared" si="347"/>
        <v>11</v>
      </c>
      <c r="CC22" s="64">
        <f t="shared" si="348"/>
        <v>0</v>
      </c>
      <c r="CD22" s="64">
        <f t="shared" si="349"/>
        <v>13</v>
      </c>
      <c r="CE22" s="64">
        <f t="shared" si="350"/>
        <v>0</v>
      </c>
      <c r="CF22" s="64">
        <f t="shared" si="351"/>
        <v>10</v>
      </c>
      <c r="CG22" s="64">
        <f t="shared" si="352"/>
        <v>0</v>
      </c>
      <c r="CH22" s="64">
        <f t="shared" si="353"/>
        <v>5</v>
      </c>
      <c r="CI22" s="64">
        <f t="shared" si="354"/>
        <v>0</v>
      </c>
      <c r="CJ22" s="64">
        <f t="shared" si="355"/>
        <v>20</v>
      </c>
      <c r="CK22" s="64">
        <f t="shared" si="356"/>
        <v>0</v>
      </c>
      <c r="CL22" s="64">
        <f t="shared" si="357"/>
        <v>73</v>
      </c>
      <c r="CM22" s="64">
        <f t="shared" si="358"/>
        <v>0</v>
      </c>
      <c r="CN22" s="64">
        <f t="shared" si="359"/>
        <v>73</v>
      </c>
      <c r="CO22" s="64">
        <v>1</v>
      </c>
      <c r="CP22" s="64"/>
      <c r="CQ22" s="64"/>
      <c r="CR22" s="64">
        <v>1</v>
      </c>
      <c r="CS22" s="64"/>
      <c r="CT22" s="64"/>
      <c r="CU22" s="64">
        <v>1</v>
      </c>
      <c r="CV22" s="64"/>
      <c r="CW22" s="64"/>
      <c r="CX22" s="64">
        <f t="shared" si="36"/>
        <v>3</v>
      </c>
      <c r="CY22" s="64">
        <f t="shared" si="37"/>
        <v>0</v>
      </c>
      <c r="CZ22" s="64">
        <f t="shared" si="38"/>
        <v>0</v>
      </c>
      <c r="DA22" s="64">
        <f t="shared" si="39"/>
        <v>3</v>
      </c>
      <c r="DB22" s="64"/>
      <c r="DC22" s="64"/>
      <c r="DD22" s="64">
        <v>1</v>
      </c>
      <c r="DE22" s="64"/>
      <c r="DF22" s="64">
        <v>7</v>
      </c>
      <c r="DG22" s="64"/>
      <c r="DH22" s="64">
        <f t="shared" si="360"/>
        <v>8</v>
      </c>
      <c r="DI22" s="64">
        <f t="shared" si="361"/>
        <v>0</v>
      </c>
      <c r="DJ22" s="64">
        <f t="shared" si="362"/>
        <v>8</v>
      </c>
      <c r="DK22" s="64">
        <v>18</v>
      </c>
      <c r="DL22" s="64"/>
      <c r="DM22" s="64">
        <v>6</v>
      </c>
      <c r="DN22" s="64"/>
      <c r="DO22" s="64">
        <v>19</v>
      </c>
      <c r="DP22" s="64"/>
      <c r="DQ22" s="64">
        <f t="shared" si="363"/>
        <v>43</v>
      </c>
      <c r="DR22" s="64">
        <f t="shared" si="364"/>
        <v>0</v>
      </c>
      <c r="DS22" s="64">
        <f t="shared" si="365"/>
        <v>43</v>
      </c>
      <c r="DT22" s="64">
        <v>4</v>
      </c>
      <c r="DU22" s="64"/>
      <c r="DV22" s="64">
        <v>11</v>
      </c>
      <c r="DW22" s="64"/>
      <c r="DX22" s="64">
        <v>26</v>
      </c>
      <c r="DY22" s="64"/>
      <c r="DZ22" s="64">
        <f t="shared" si="366"/>
        <v>41</v>
      </c>
      <c r="EA22" s="64">
        <f t="shared" si="367"/>
        <v>0</v>
      </c>
      <c r="EB22" s="64">
        <f t="shared" si="368"/>
        <v>41</v>
      </c>
      <c r="EC22" s="64"/>
      <c r="ED22" s="64"/>
      <c r="EE22" s="64"/>
      <c r="EF22" s="64"/>
      <c r="EG22" s="64"/>
      <c r="EH22" s="64"/>
      <c r="EI22" s="64">
        <f t="shared" si="369"/>
        <v>0</v>
      </c>
      <c r="EJ22" s="64">
        <f t="shared" si="370"/>
        <v>0</v>
      </c>
      <c r="EK22" s="64">
        <f t="shared" si="371"/>
        <v>0</v>
      </c>
      <c r="EL22" s="64"/>
      <c r="EM22" s="64"/>
      <c r="EN22" s="64"/>
      <c r="EO22" s="64"/>
      <c r="EP22" s="64"/>
      <c r="EQ22" s="64"/>
      <c r="ER22" s="64">
        <f t="shared" si="372"/>
        <v>0</v>
      </c>
      <c r="ES22" s="64">
        <f t="shared" si="373"/>
        <v>0</v>
      </c>
      <c r="ET22" s="64">
        <f t="shared" si="374"/>
        <v>0</v>
      </c>
      <c r="EU22" s="64">
        <v>1</v>
      </c>
      <c r="EV22" s="64"/>
      <c r="EW22" s="64"/>
      <c r="EX22" s="64"/>
      <c r="EY22" s="64">
        <v>7</v>
      </c>
      <c r="EZ22" s="64"/>
      <c r="FA22" s="64"/>
      <c r="FB22" s="64"/>
      <c r="FC22" s="64">
        <f t="shared" si="375"/>
        <v>8</v>
      </c>
      <c r="FD22" s="64">
        <f t="shared" si="376"/>
        <v>0</v>
      </c>
      <c r="FE22" s="64">
        <f t="shared" si="377"/>
        <v>8</v>
      </c>
      <c r="FF22" s="64"/>
      <c r="FG22" s="64"/>
      <c r="FH22" s="64"/>
      <c r="FI22" s="64"/>
      <c r="FJ22" s="64"/>
      <c r="FK22" s="64"/>
      <c r="FL22" s="64"/>
      <c r="FM22" s="64"/>
      <c r="FN22" s="64">
        <v>1</v>
      </c>
      <c r="FO22" s="64"/>
      <c r="FP22" s="64"/>
      <c r="FQ22" s="64"/>
      <c r="FR22" s="64"/>
      <c r="FS22" s="64"/>
      <c r="FT22" s="64"/>
      <c r="FU22" s="64">
        <f t="shared" si="378"/>
        <v>1</v>
      </c>
      <c r="FV22" s="64">
        <f t="shared" si="379"/>
        <v>0</v>
      </c>
      <c r="FW22" s="64">
        <f t="shared" si="380"/>
        <v>1</v>
      </c>
      <c r="FX22" s="64"/>
      <c r="FY22" s="64"/>
      <c r="FZ22" s="64"/>
      <c r="GA22" s="64"/>
      <c r="GB22" s="64">
        <v>5</v>
      </c>
      <c r="GC22" s="64"/>
      <c r="GD22" s="64"/>
      <c r="GE22" s="64"/>
      <c r="GF22" s="64"/>
      <c r="GG22" s="64"/>
      <c r="GH22" s="64">
        <v>2</v>
      </c>
      <c r="GI22" s="64"/>
      <c r="GJ22" s="64">
        <v>1</v>
      </c>
      <c r="GK22" s="64"/>
      <c r="GL22" s="64"/>
      <c r="GM22" s="64"/>
      <c r="GN22" s="64">
        <f t="shared" si="381"/>
        <v>8</v>
      </c>
      <c r="GO22" s="64">
        <f t="shared" si="382"/>
        <v>0</v>
      </c>
      <c r="GP22" s="64">
        <f t="shared" si="383"/>
        <v>8</v>
      </c>
      <c r="GQ22" s="64">
        <v>8</v>
      </c>
      <c r="GR22" s="64"/>
      <c r="GS22" s="64"/>
      <c r="GT22" s="64"/>
      <c r="GU22" s="64"/>
      <c r="GV22" s="64"/>
      <c r="GW22" s="64">
        <f t="shared" si="384"/>
        <v>8</v>
      </c>
      <c r="GX22" s="64">
        <f t="shared" si="385"/>
        <v>0</v>
      </c>
      <c r="GY22" s="64">
        <f t="shared" si="386"/>
        <v>8</v>
      </c>
      <c r="GZ22" s="64">
        <v>8</v>
      </c>
      <c r="HA22" s="64"/>
      <c r="HB22" s="64"/>
      <c r="HC22" s="64"/>
      <c r="HD22" s="64"/>
      <c r="HE22" s="64"/>
      <c r="HF22" s="64"/>
      <c r="HG22" s="64"/>
      <c r="HH22" s="64"/>
      <c r="HI22" s="64"/>
      <c r="HJ22" s="64"/>
      <c r="HK22" s="64"/>
      <c r="HL22" s="64"/>
      <c r="HM22" s="64"/>
      <c r="HN22" s="64"/>
      <c r="HO22" s="64"/>
      <c r="HP22" s="64"/>
      <c r="HQ22" s="64">
        <f t="shared" si="387"/>
        <v>8</v>
      </c>
      <c r="HR22" s="64">
        <f t="shared" si="388"/>
        <v>0</v>
      </c>
      <c r="HS22" s="64">
        <f t="shared" si="389"/>
        <v>8</v>
      </c>
      <c r="HT22" s="64"/>
      <c r="HU22" s="64"/>
      <c r="HV22" s="64">
        <v>8</v>
      </c>
      <c r="HW22" s="64"/>
      <c r="HX22" s="64"/>
      <c r="HY22" s="64"/>
      <c r="HZ22" s="64"/>
      <c r="IA22" s="64"/>
      <c r="IB22" s="64">
        <f t="shared" si="390"/>
        <v>8</v>
      </c>
      <c r="IC22" s="64">
        <f t="shared" si="391"/>
        <v>0</v>
      </c>
      <c r="ID22" s="64">
        <f t="shared" si="392"/>
        <v>8</v>
      </c>
      <c r="IE22" s="64">
        <v>5</v>
      </c>
      <c r="IF22" s="64"/>
      <c r="IG22" s="64"/>
      <c r="IH22" s="64">
        <v>1</v>
      </c>
      <c r="II22" s="64"/>
      <c r="IJ22" s="64">
        <v>1</v>
      </c>
      <c r="IK22" s="64"/>
      <c r="IL22" s="64">
        <v>1</v>
      </c>
      <c r="IM22" s="64"/>
      <c r="IN22" s="64"/>
      <c r="IO22" s="64"/>
      <c r="IP22" s="64"/>
      <c r="IQ22" s="64"/>
      <c r="IR22" s="64"/>
      <c r="IS22" s="64"/>
      <c r="IT22" s="64">
        <v>1</v>
      </c>
      <c r="IU22" s="64">
        <v>1</v>
      </c>
      <c r="IV22" s="64"/>
      <c r="IW22" s="64"/>
      <c r="IX22" s="64">
        <v>1</v>
      </c>
      <c r="IY22" s="64" t="s">
        <v>216</v>
      </c>
      <c r="IZ22" s="78">
        <v>7802707634</v>
      </c>
      <c r="JA22" s="64" t="s">
        <v>205</v>
      </c>
    </row>
    <row r="23" spans="1:265" s="65" customFormat="1" ht="24.75" customHeight="1" x14ac:dyDescent="0.25">
      <c r="A23" s="64">
        <v>1</v>
      </c>
      <c r="B23" s="64">
        <v>2</v>
      </c>
      <c r="C23" s="64">
        <v>16</v>
      </c>
      <c r="D23" s="64">
        <v>1400819</v>
      </c>
      <c r="E23" s="64" t="s">
        <v>150</v>
      </c>
      <c r="F23" s="64"/>
      <c r="G23" s="64">
        <v>1</v>
      </c>
      <c r="H23" s="64">
        <v>1</v>
      </c>
      <c r="I23" s="64"/>
      <c r="J23" s="64"/>
      <c r="K23" s="64">
        <v>1</v>
      </c>
      <c r="L23" s="64"/>
      <c r="M23" s="64"/>
      <c r="N23" s="64">
        <v>1</v>
      </c>
      <c r="O23" s="64"/>
      <c r="P23" s="64"/>
      <c r="Q23" s="64"/>
      <c r="R23" s="64">
        <v>1</v>
      </c>
      <c r="S23" s="64"/>
      <c r="T23" s="64"/>
      <c r="U23" s="64"/>
      <c r="V23" s="64">
        <v>1</v>
      </c>
      <c r="W23" s="64"/>
      <c r="X23" s="64"/>
      <c r="Y23" s="64">
        <v>5</v>
      </c>
      <c r="Z23" s="82"/>
      <c r="AA23" s="64">
        <v>6</v>
      </c>
      <c r="AB23" s="64"/>
      <c r="AC23" s="64">
        <v>6</v>
      </c>
      <c r="AD23" s="64"/>
      <c r="AE23" s="64">
        <v>4</v>
      </c>
      <c r="AF23" s="64"/>
      <c r="AG23" s="64"/>
      <c r="AH23" s="64"/>
      <c r="AI23" s="64">
        <v>1</v>
      </c>
      <c r="AJ23" s="64"/>
      <c r="AK23" s="64"/>
      <c r="AL23" s="64"/>
      <c r="AM23" s="64">
        <f t="shared" ref="AM23" si="393">AK23+AI23+AG23+AE23+AC23+AA23+Y23</f>
        <v>22</v>
      </c>
      <c r="AN23" s="64">
        <f t="shared" ref="AN23" si="394">AL23+AJ23+AH23+AF23+AD23+AB23+Z23</f>
        <v>0</v>
      </c>
      <c r="AO23" s="64">
        <f t="shared" ref="AO23" si="395">AN23+AM23</f>
        <v>22</v>
      </c>
      <c r="AP23" s="64"/>
      <c r="AQ23" s="64"/>
      <c r="AR23" s="64">
        <v>7</v>
      </c>
      <c r="AS23" s="64"/>
      <c r="AT23" s="64">
        <v>5</v>
      </c>
      <c r="AU23" s="64"/>
      <c r="AV23" s="64">
        <v>5</v>
      </c>
      <c r="AW23" s="64"/>
      <c r="AX23" s="64"/>
      <c r="AY23" s="64"/>
      <c r="AZ23" s="64">
        <v>1</v>
      </c>
      <c r="BA23" s="64"/>
      <c r="BB23" s="64">
        <v>2</v>
      </c>
      <c r="BC23" s="64"/>
      <c r="BD23" s="64">
        <f t="shared" ref="BD23" si="396">BB23+AZ23+AX23+AV23+AT23+AR23+AP23</f>
        <v>20</v>
      </c>
      <c r="BE23" s="64">
        <f t="shared" ref="BE23" si="397">BC23+BA23+AY23+AW23+AU23+AS23+AQ23</f>
        <v>0</v>
      </c>
      <c r="BF23" s="64">
        <f t="shared" ref="BF23" si="398">BE23+BD23</f>
        <v>20</v>
      </c>
      <c r="BG23" s="64"/>
      <c r="BH23" s="64"/>
      <c r="BI23" s="64">
        <v>1</v>
      </c>
      <c r="BJ23" s="64"/>
      <c r="BK23" s="64">
        <v>11</v>
      </c>
      <c r="BL23" s="64"/>
      <c r="BM23" s="64">
        <v>12</v>
      </c>
      <c r="BN23" s="64"/>
      <c r="BO23" s="64">
        <v>23</v>
      </c>
      <c r="BP23" s="64"/>
      <c r="BQ23" s="64">
        <v>6</v>
      </c>
      <c r="BR23" s="64"/>
      <c r="BS23" s="64">
        <v>1</v>
      </c>
      <c r="BT23" s="64"/>
      <c r="BU23" s="64">
        <f>BS23+BQ23+BO23+BM23+BK23+BI23+BG23</f>
        <v>54</v>
      </c>
      <c r="BV23" s="64">
        <f t="shared" ref="BV23" si="399">BT23+BR23+BP23+BN23+BL23+BJ23+BH23</f>
        <v>0</v>
      </c>
      <c r="BW23" s="64">
        <f t="shared" ref="BW23" si="400">BV23+BU23</f>
        <v>54</v>
      </c>
      <c r="BX23" s="64">
        <f t="shared" ref="BX23" si="401">BG23+AP23+Y23</f>
        <v>5</v>
      </c>
      <c r="BY23" s="64">
        <f t="shared" ref="BY23" si="402">BH23+AQ23+Z23</f>
        <v>0</v>
      </c>
      <c r="BZ23" s="64">
        <f t="shared" ref="BZ23" si="403">BI23+AR23+AA23</f>
        <v>14</v>
      </c>
      <c r="CA23" s="64">
        <f t="shared" ref="CA23" si="404">BJ23+AS23+AB23</f>
        <v>0</v>
      </c>
      <c r="CB23" s="64">
        <f t="shared" ref="CB23" si="405">BK23+AT23+AC23</f>
        <v>22</v>
      </c>
      <c r="CC23" s="64">
        <f t="shared" ref="CC23" si="406">BL23+AU23+AD23</f>
        <v>0</v>
      </c>
      <c r="CD23" s="64">
        <f t="shared" ref="CD23" si="407">BM23+AV23+AE23</f>
        <v>21</v>
      </c>
      <c r="CE23" s="64">
        <f t="shared" ref="CE23" si="408">BN23+AW23+AF23</f>
        <v>0</v>
      </c>
      <c r="CF23" s="64">
        <f t="shared" ref="CF23" si="409">BO23+AX23+AG23</f>
        <v>23</v>
      </c>
      <c r="CG23" s="64">
        <f t="shared" ref="CG23" si="410">BP23+AY23+AH23</f>
        <v>0</v>
      </c>
      <c r="CH23" s="64">
        <f t="shared" ref="CH23" si="411">BQ23+AZ23+AI23</f>
        <v>8</v>
      </c>
      <c r="CI23" s="64">
        <f t="shared" ref="CI23" si="412">BR23+BA23+AJ23</f>
        <v>0</v>
      </c>
      <c r="CJ23" s="64">
        <f t="shared" ref="CJ23" si="413">BS23+BB23+AK23</f>
        <v>3</v>
      </c>
      <c r="CK23" s="64">
        <f t="shared" ref="CK23" si="414">BT23+BC23+AL23</f>
        <v>0</v>
      </c>
      <c r="CL23" s="64">
        <f t="shared" ref="CL23" si="415">CJ23+CH23+CF23+CD23+CB23+BZ23+BX23</f>
        <v>96</v>
      </c>
      <c r="CM23" s="64">
        <f t="shared" ref="CM23" si="416">CK23+CI23+CG23+CE23+CC23+CA23+BY23</f>
        <v>0</v>
      </c>
      <c r="CN23" s="64">
        <f t="shared" ref="CN23" si="417">CM23+CL23</f>
        <v>96</v>
      </c>
      <c r="CO23" s="64">
        <v>1</v>
      </c>
      <c r="CP23" s="64"/>
      <c r="CQ23" s="64"/>
      <c r="CR23" s="64">
        <v>1</v>
      </c>
      <c r="CS23" s="64"/>
      <c r="CT23" s="64"/>
      <c r="CU23" s="64">
        <v>2</v>
      </c>
      <c r="CV23" s="64"/>
      <c r="CW23" s="64"/>
      <c r="CX23" s="64">
        <f t="shared" ref="CX23" si="418">CU23+CR23+CO23</f>
        <v>4</v>
      </c>
      <c r="CY23" s="64">
        <f t="shared" ref="CY23" si="419">CV23+CS23+CP23</f>
        <v>0</v>
      </c>
      <c r="CZ23" s="64">
        <f t="shared" ref="CZ23" si="420">CW23+CT23+CQ23</f>
        <v>0</v>
      </c>
      <c r="DA23" s="64">
        <f t="shared" ref="DA23" si="421">CZ23+CY23+CX23</f>
        <v>4</v>
      </c>
      <c r="DB23" s="64"/>
      <c r="DC23" s="64"/>
      <c r="DD23" s="64"/>
      <c r="DE23" s="64"/>
      <c r="DF23" s="64"/>
      <c r="DG23" s="64"/>
      <c r="DH23" s="64">
        <f>DF23+DD23+DB23</f>
        <v>0</v>
      </c>
      <c r="DI23" s="64">
        <f>DG23+DE23+DC23</f>
        <v>0</v>
      </c>
      <c r="DJ23" s="64">
        <f>DI23+DH23</f>
        <v>0</v>
      </c>
      <c r="DK23" s="64">
        <v>17</v>
      </c>
      <c r="DL23" s="64"/>
      <c r="DM23" s="64">
        <v>18</v>
      </c>
      <c r="DN23" s="64"/>
      <c r="DO23" s="64">
        <v>26</v>
      </c>
      <c r="DP23" s="64"/>
      <c r="DQ23" s="64">
        <f t="shared" ref="DQ23" si="422">DO23+DM23+DK23</f>
        <v>61</v>
      </c>
      <c r="DR23" s="64">
        <f t="shared" ref="DR23" si="423">DP23+DN23+DL23</f>
        <v>0</v>
      </c>
      <c r="DS23" s="64">
        <f t="shared" ref="DS23" si="424">DR23+DQ23</f>
        <v>61</v>
      </c>
      <c r="DT23" s="64">
        <v>10</v>
      </c>
      <c r="DU23" s="64"/>
      <c r="DV23" s="64">
        <v>8</v>
      </c>
      <c r="DW23" s="64"/>
      <c r="DX23" s="64">
        <v>33</v>
      </c>
      <c r="DY23" s="64"/>
      <c r="DZ23" s="64">
        <f t="shared" ref="DZ23" si="425">DX23+DV23+DT23</f>
        <v>51</v>
      </c>
      <c r="EA23" s="64">
        <f t="shared" ref="EA23" si="426">DY23+DW23+DU23</f>
        <v>0</v>
      </c>
      <c r="EB23" s="64">
        <f t="shared" ref="EB23" si="427">EA23+DZ23</f>
        <v>51</v>
      </c>
      <c r="EC23" s="64"/>
      <c r="ED23" s="64"/>
      <c r="EE23" s="64"/>
      <c r="EF23" s="64"/>
      <c r="EG23" s="64"/>
      <c r="EH23" s="64"/>
      <c r="EI23" s="64">
        <f t="shared" ref="EI23" si="428">EG23+EE23+EC23</f>
        <v>0</v>
      </c>
      <c r="EJ23" s="64">
        <f t="shared" ref="EJ23" si="429">EH23+EF23+ED23</f>
        <v>0</v>
      </c>
      <c r="EK23" s="64">
        <f t="shared" ref="EK23" si="430">EJ23+EI23</f>
        <v>0</v>
      </c>
      <c r="EL23" s="64"/>
      <c r="EM23" s="64"/>
      <c r="EN23" s="64"/>
      <c r="EO23" s="64"/>
      <c r="EP23" s="64"/>
      <c r="EQ23" s="64"/>
      <c r="ER23" s="64">
        <f t="shared" ref="ER23" si="431">EP23+EN23+EL23</f>
        <v>0</v>
      </c>
      <c r="ES23" s="64">
        <f t="shared" ref="ES23" si="432">EQ23+EO23+EM23</f>
        <v>0</v>
      </c>
      <c r="ET23" s="64">
        <f t="shared" ref="ET23" si="433">ES23+ER23</f>
        <v>0</v>
      </c>
      <c r="EU23" s="64">
        <v>1</v>
      </c>
      <c r="EV23" s="64"/>
      <c r="EW23" s="64"/>
      <c r="EX23" s="64"/>
      <c r="EY23" s="64">
        <v>9</v>
      </c>
      <c r="EZ23" s="64"/>
      <c r="FA23" s="64"/>
      <c r="FB23" s="64"/>
      <c r="FC23" s="64">
        <f t="shared" ref="FC23" si="434">FA23+EY23+EW23+EU23</f>
        <v>10</v>
      </c>
      <c r="FD23" s="64">
        <f t="shared" ref="FD23" si="435">FB23+EZ23+EX23+EV23</f>
        <v>0</v>
      </c>
      <c r="FE23" s="64">
        <f t="shared" ref="FE23" si="436">FD23+FC23</f>
        <v>10</v>
      </c>
      <c r="FF23" s="64"/>
      <c r="FG23" s="64"/>
      <c r="FH23" s="64"/>
      <c r="FI23" s="64"/>
      <c r="FJ23" s="64"/>
      <c r="FK23" s="64"/>
      <c r="FL23" s="64"/>
      <c r="FM23" s="64"/>
      <c r="FN23" s="64"/>
      <c r="FO23" s="64">
        <v>1</v>
      </c>
      <c r="FP23" s="64"/>
      <c r="FQ23" s="64"/>
      <c r="FR23" s="64"/>
      <c r="FS23" s="64"/>
      <c r="FT23" s="64"/>
      <c r="FU23" s="64">
        <f t="shared" ref="FU23" si="437">FT23+FS23+FR23+FN23+FL23+FH23+FF23</f>
        <v>0</v>
      </c>
      <c r="FV23" s="64">
        <f t="shared" ref="FV23" si="438">FO23+FM23+FI23+FG23</f>
        <v>1</v>
      </c>
      <c r="FW23" s="64">
        <f t="shared" ref="FW23" si="439">FV23+FU23</f>
        <v>1</v>
      </c>
      <c r="FX23" s="64"/>
      <c r="FY23" s="64"/>
      <c r="FZ23" s="64"/>
      <c r="GA23" s="64"/>
      <c r="GB23" s="64">
        <v>6</v>
      </c>
      <c r="GC23" s="64"/>
      <c r="GD23" s="64"/>
      <c r="GE23" s="64"/>
      <c r="GF23" s="64"/>
      <c r="GG23" s="64"/>
      <c r="GH23" s="64">
        <v>4</v>
      </c>
      <c r="GI23" s="64"/>
      <c r="GJ23" s="64"/>
      <c r="GK23" s="64"/>
      <c r="GL23" s="64"/>
      <c r="GM23" s="64"/>
      <c r="GN23" s="64">
        <f t="shared" ref="GN23" si="440">GL23+GJ23+GH23+GF23+GD23+GB23+FZ23+FX23</f>
        <v>10</v>
      </c>
      <c r="GO23" s="64">
        <f t="shared" ref="GO23" si="441">GM23+GK23+GI23+GG23+GE23+GC23+GA23+FY23</f>
        <v>0</v>
      </c>
      <c r="GP23" s="64">
        <f t="shared" ref="GP23" si="442">GO23+GN23</f>
        <v>10</v>
      </c>
      <c r="GQ23" s="64">
        <v>10</v>
      </c>
      <c r="GR23" s="64"/>
      <c r="GS23" s="64"/>
      <c r="GT23" s="64"/>
      <c r="GU23" s="64"/>
      <c r="GV23" s="64"/>
      <c r="GW23" s="64">
        <f t="shared" ref="GW23" si="443">GU23+GS23+GQ23</f>
        <v>10</v>
      </c>
      <c r="GX23" s="64">
        <f t="shared" ref="GX23" si="444">GV23+GT23+GR23</f>
        <v>0</v>
      </c>
      <c r="GY23" s="64">
        <f t="shared" ref="GY23" si="445">GX23+GW23</f>
        <v>10</v>
      </c>
      <c r="GZ23" s="64">
        <v>6</v>
      </c>
      <c r="HA23" s="64"/>
      <c r="HB23" s="64"/>
      <c r="HC23" s="64"/>
      <c r="HD23" s="64"/>
      <c r="HE23" s="64"/>
      <c r="HF23" s="64"/>
      <c r="HG23" s="64"/>
      <c r="HH23" s="64">
        <v>1</v>
      </c>
      <c r="HI23" s="64"/>
      <c r="HJ23" s="64"/>
      <c r="HK23" s="64"/>
      <c r="HL23" s="64"/>
      <c r="HM23" s="64"/>
      <c r="HN23" s="64"/>
      <c r="HO23" s="64">
        <v>3</v>
      </c>
      <c r="HP23" s="64"/>
      <c r="HQ23" s="64">
        <f t="shared" ref="HQ23" si="446">HO23+GZ23+HM23+HJ23+HH23+HF23+HD23+HB23</f>
        <v>10</v>
      </c>
      <c r="HR23" s="64">
        <f t="shared" ref="HR23" si="447">HP23+HA23+HN23+HL23+HK23+HI23+HG23+HE23+HC23</f>
        <v>0</v>
      </c>
      <c r="HS23" s="64">
        <f t="shared" ref="HS23" si="448">HR23+HQ23</f>
        <v>10</v>
      </c>
      <c r="HT23" s="64"/>
      <c r="HU23" s="64"/>
      <c r="HV23" s="64">
        <v>10</v>
      </c>
      <c r="HW23" s="64"/>
      <c r="HX23" s="64"/>
      <c r="HY23" s="64"/>
      <c r="HZ23" s="64"/>
      <c r="IA23" s="64"/>
      <c r="IB23" s="64">
        <f t="shared" ref="IB23" si="449">HZ23+HX23+HV23+HT23</f>
        <v>10</v>
      </c>
      <c r="IC23" s="64">
        <f t="shared" ref="IC23" si="450">IA23+HY23+HW23+HU23</f>
        <v>0</v>
      </c>
      <c r="ID23" s="64">
        <f t="shared" ref="ID23" si="451">IC23+IB23</f>
        <v>10</v>
      </c>
      <c r="IE23" s="64"/>
      <c r="IF23" s="64"/>
      <c r="IG23" s="64"/>
      <c r="IH23" s="64">
        <v>1</v>
      </c>
      <c r="II23" s="64"/>
      <c r="IJ23" s="64">
        <v>1</v>
      </c>
      <c r="IK23" s="64"/>
      <c r="IL23" s="64">
        <v>1</v>
      </c>
      <c r="IM23" s="64"/>
      <c r="IN23" s="64"/>
      <c r="IO23" s="64"/>
      <c r="IP23" s="64"/>
      <c r="IQ23" s="64"/>
      <c r="IR23" s="64"/>
      <c r="IS23" s="64"/>
      <c r="IT23" s="64">
        <v>1</v>
      </c>
      <c r="IU23" s="64">
        <v>1</v>
      </c>
      <c r="IV23" s="64"/>
      <c r="IW23" s="64"/>
      <c r="IX23" s="64">
        <v>1</v>
      </c>
      <c r="IY23" s="64" t="s">
        <v>224</v>
      </c>
      <c r="IZ23" s="78">
        <v>7706911091</v>
      </c>
      <c r="JA23" s="64" t="s">
        <v>206</v>
      </c>
      <c r="JE23" s="65">
        <v>0</v>
      </c>
    </row>
    <row r="24" spans="1:265" s="65" customFormat="1" ht="24.75" customHeight="1" x14ac:dyDescent="0.25">
      <c r="A24" s="64">
        <v>2</v>
      </c>
      <c r="B24" s="64">
        <v>6</v>
      </c>
      <c r="C24" s="64">
        <v>17</v>
      </c>
      <c r="D24" s="64">
        <v>1400730</v>
      </c>
      <c r="E24" s="64" t="s">
        <v>141</v>
      </c>
      <c r="F24" s="64"/>
      <c r="G24" s="64">
        <v>1</v>
      </c>
      <c r="H24" s="64">
        <v>1</v>
      </c>
      <c r="I24" s="64"/>
      <c r="J24" s="64"/>
      <c r="K24" s="64">
        <v>1</v>
      </c>
      <c r="L24" s="64"/>
      <c r="M24" s="64"/>
      <c r="N24" s="64">
        <v>1</v>
      </c>
      <c r="O24" s="64"/>
      <c r="P24" s="64"/>
      <c r="Q24" s="64"/>
      <c r="R24" s="64">
        <v>1</v>
      </c>
      <c r="S24" s="64"/>
      <c r="T24" s="64"/>
      <c r="U24" s="64"/>
      <c r="V24" s="64">
        <v>1</v>
      </c>
      <c r="W24" s="64"/>
      <c r="X24" s="64"/>
      <c r="Y24" s="64">
        <v>1</v>
      </c>
      <c r="Z24" s="82"/>
      <c r="AA24" s="64">
        <v>9</v>
      </c>
      <c r="AB24" s="64"/>
      <c r="AC24" s="64">
        <v>12</v>
      </c>
      <c r="AD24" s="64"/>
      <c r="AE24" s="64">
        <v>13</v>
      </c>
      <c r="AF24" s="64"/>
      <c r="AG24" s="64">
        <v>7</v>
      </c>
      <c r="AH24" s="64"/>
      <c r="AI24" s="64">
        <v>3</v>
      </c>
      <c r="AJ24" s="64"/>
      <c r="AK24" s="64">
        <v>4</v>
      </c>
      <c r="AL24" s="64"/>
      <c r="AM24" s="64">
        <f t="shared" ref="AM24:AN26" si="452">AK24+AI24+AG24+AE24+AC24+AA24+Y24</f>
        <v>49</v>
      </c>
      <c r="AN24" s="64">
        <f t="shared" si="452"/>
        <v>0</v>
      </c>
      <c r="AO24" s="64">
        <f t="shared" ref="AO24:AO26" si="453">AN24+AM24</f>
        <v>49</v>
      </c>
      <c r="AP24" s="64"/>
      <c r="AQ24" s="64"/>
      <c r="AR24" s="64">
        <v>8</v>
      </c>
      <c r="AS24" s="64"/>
      <c r="AT24" s="64">
        <v>6</v>
      </c>
      <c r="AU24" s="64"/>
      <c r="AV24" s="64">
        <v>14</v>
      </c>
      <c r="AW24" s="64"/>
      <c r="AX24" s="64">
        <v>12</v>
      </c>
      <c r="AY24" s="64"/>
      <c r="AZ24" s="64">
        <v>10</v>
      </c>
      <c r="BA24" s="64"/>
      <c r="BB24" s="64">
        <v>7</v>
      </c>
      <c r="BC24" s="64"/>
      <c r="BD24" s="64">
        <f t="shared" ref="BD24:BE26" si="454">BB24+AZ24+AX24+AV24+AT24+AR24+AP24</f>
        <v>57</v>
      </c>
      <c r="BE24" s="64">
        <f t="shared" si="454"/>
        <v>0</v>
      </c>
      <c r="BF24" s="64">
        <f t="shared" ref="BF24:BF26" si="455">BE24+BD24</f>
        <v>57</v>
      </c>
      <c r="BG24" s="64"/>
      <c r="BH24" s="64"/>
      <c r="BI24" s="64"/>
      <c r="BJ24" s="64"/>
      <c r="BK24" s="64">
        <v>4</v>
      </c>
      <c r="BL24" s="64"/>
      <c r="BM24" s="64">
        <v>2</v>
      </c>
      <c r="BN24" s="64"/>
      <c r="BO24" s="64">
        <v>25</v>
      </c>
      <c r="BP24" s="64"/>
      <c r="BQ24" s="64">
        <v>15</v>
      </c>
      <c r="BR24" s="64"/>
      <c r="BS24" s="64">
        <v>7</v>
      </c>
      <c r="BT24" s="64"/>
      <c r="BU24" s="64">
        <f>BS24+BQ24+BO24+BM24+BK24+BI24+BG24</f>
        <v>53</v>
      </c>
      <c r="BV24" s="64">
        <f t="shared" ref="BV24:BV26" si="456">BT24+BR24+BP24+BN24+BL24+BJ24+BH24</f>
        <v>0</v>
      </c>
      <c r="BW24" s="64">
        <f t="shared" ref="BW24:BW26" si="457">BV24+BU24</f>
        <v>53</v>
      </c>
      <c r="BX24" s="64">
        <f t="shared" ref="BX24:CK26" si="458">BG24+AP24+Y24</f>
        <v>1</v>
      </c>
      <c r="BY24" s="64">
        <f t="shared" si="458"/>
        <v>0</v>
      </c>
      <c r="BZ24" s="64">
        <f t="shared" si="458"/>
        <v>17</v>
      </c>
      <c r="CA24" s="64">
        <f t="shared" si="458"/>
        <v>0</v>
      </c>
      <c r="CB24" s="64">
        <f t="shared" si="458"/>
        <v>22</v>
      </c>
      <c r="CC24" s="64">
        <f t="shared" si="458"/>
        <v>0</v>
      </c>
      <c r="CD24" s="64">
        <f t="shared" si="458"/>
        <v>29</v>
      </c>
      <c r="CE24" s="64">
        <f t="shared" si="458"/>
        <v>0</v>
      </c>
      <c r="CF24" s="64">
        <f t="shared" si="458"/>
        <v>44</v>
      </c>
      <c r="CG24" s="64">
        <f t="shared" si="458"/>
        <v>0</v>
      </c>
      <c r="CH24" s="64">
        <f t="shared" si="458"/>
        <v>28</v>
      </c>
      <c r="CI24" s="64">
        <f t="shared" si="458"/>
        <v>0</v>
      </c>
      <c r="CJ24" s="64">
        <f t="shared" si="458"/>
        <v>18</v>
      </c>
      <c r="CK24" s="64">
        <f t="shared" si="458"/>
        <v>0</v>
      </c>
      <c r="CL24" s="64">
        <f t="shared" ref="CL24:CM26" si="459">CJ24+CH24+CF24+CD24+CB24+BZ24+BX24</f>
        <v>159</v>
      </c>
      <c r="CM24" s="64">
        <f t="shared" si="459"/>
        <v>0</v>
      </c>
      <c r="CN24" s="64">
        <f t="shared" ref="CN24:CN26" si="460">CM24+CL24</f>
        <v>159</v>
      </c>
      <c r="CO24" s="64">
        <v>2</v>
      </c>
      <c r="CP24" s="64"/>
      <c r="CQ24" s="64"/>
      <c r="CR24" s="64">
        <v>2</v>
      </c>
      <c r="CS24" s="64"/>
      <c r="CT24" s="64"/>
      <c r="CU24" s="64">
        <v>2</v>
      </c>
      <c r="CV24" s="64"/>
      <c r="CW24" s="64"/>
      <c r="CX24" s="64">
        <f t="shared" ref="CX24:CZ26" si="461">CU24+CR24+CO24</f>
        <v>6</v>
      </c>
      <c r="CY24" s="64">
        <f t="shared" si="461"/>
        <v>0</v>
      </c>
      <c r="CZ24" s="64">
        <f t="shared" si="461"/>
        <v>0</v>
      </c>
      <c r="DA24" s="64">
        <f t="shared" ref="DA24:DA26" si="462">CZ24+CY24+CX24</f>
        <v>6</v>
      </c>
      <c r="DB24" s="64"/>
      <c r="DC24" s="64"/>
      <c r="DD24" s="64"/>
      <c r="DE24" s="64"/>
      <c r="DF24" s="64"/>
      <c r="DG24" s="64"/>
      <c r="DH24" s="64">
        <f t="shared" ref="DH24:DI26" si="463">DF24+DD24+DB24</f>
        <v>0</v>
      </c>
      <c r="DI24" s="64">
        <f t="shared" si="463"/>
        <v>0</v>
      </c>
      <c r="DJ24" s="64">
        <f t="shared" ref="DJ24:DJ26" si="464">DI24+DH24</f>
        <v>0</v>
      </c>
      <c r="DK24" s="64">
        <v>27</v>
      </c>
      <c r="DL24" s="64"/>
      <c r="DM24" s="64">
        <v>21</v>
      </c>
      <c r="DN24" s="64"/>
      <c r="DO24" s="64">
        <v>37</v>
      </c>
      <c r="DP24" s="64"/>
      <c r="DQ24" s="64">
        <f t="shared" ref="DQ24:DR26" si="465">DO24+DM24+DK24</f>
        <v>85</v>
      </c>
      <c r="DR24" s="64">
        <f t="shared" si="465"/>
        <v>0</v>
      </c>
      <c r="DS24" s="64">
        <f t="shared" ref="DS24:DS26" si="466">DR24+DQ24</f>
        <v>85</v>
      </c>
      <c r="DT24" s="64">
        <v>29</v>
      </c>
      <c r="DU24" s="64"/>
      <c r="DV24" s="64">
        <v>27</v>
      </c>
      <c r="DW24" s="64"/>
      <c r="DX24" s="64">
        <v>31</v>
      </c>
      <c r="DY24" s="64"/>
      <c r="DZ24" s="64">
        <f t="shared" ref="DZ24:EA26" si="467">DX24+DV24+DT24</f>
        <v>87</v>
      </c>
      <c r="EA24" s="64">
        <f t="shared" si="467"/>
        <v>0</v>
      </c>
      <c r="EB24" s="64">
        <f t="shared" ref="EB24:EB26" si="468">EA24+DZ24</f>
        <v>87</v>
      </c>
      <c r="EC24" s="64"/>
      <c r="ED24" s="64"/>
      <c r="EE24" s="64"/>
      <c r="EF24" s="64"/>
      <c r="EG24" s="64"/>
      <c r="EH24" s="64"/>
      <c r="EI24" s="64">
        <f t="shared" ref="EI24:EJ26" si="469">EG24+EE24+EC24</f>
        <v>0</v>
      </c>
      <c r="EJ24" s="64">
        <f t="shared" si="469"/>
        <v>0</v>
      </c>
      <c r="EK24" s="64">
        <f t="shared" ref="EK24:EK26" si="470">EJ24+EI24</f>
        <v>0</v>
      </c>
      <c r="EL24" s="64"/>
      <c r="EM24" s="64"/>
      <c r="EN24" s="64"/>
      <c r="EO24" s="64"/>
      <c r="EP24" s="64"/>
      <c r="EQ24" s="64"/>
      <c r="ER24" s="64">
        <f t="shared" ref="ER24:ES26" si="471">EP24+EN24+EL24</f>
        <v>0</v>
      </c>
      <c r="ES24" s="64">
        <f t="shared" si="471"/>
        <v>0</v>
      </c>
      <c r="ET24" s="64">
        <f t="shared" ref="ET24:ET26" si="472">ES24+ER24</f>
        <v>0</v>
      </c>
      <c r="EU24" s="64">
        <v>1</v>
      </c>
      <c r="EV24" s="64"/>
      <c r="EW24" s="64">
        <v>1</v>
      </c>
      <c r="EX24" s="64"/>
      <c r="EY24" s="64">
        <v>7</v>
      </c>
      <c r="EZ24" s="64"/>
      <c r="FA24" s="64"/>
      <c r="FB24" s="64"/>
      <c r="FC24" s="64">
        <f t="shared" ref="FC24:FD26" si="473">FA24+EY24+EW24+EU24</f>
        <v>9</v>
      </c>
      <c r="FD24" s="64">
        <f t="shared" si="473"/>
        <v>0</v>
      </c>
      <c r="FE24" s="64">
        <f t="shared" ref="FE24:FE26" si="474">FD24+FC24</f>
        <v>9</v>
      </c>
      <c r="FF24" s="64"/>
      <c r="FG24" s="64"/>
      <c r="FH24" s="64"/>
      <c r="FI24" s="64"/>
      <c r="FJ24" s="64"/>
      <c r="FK24" s="64"/>
      <c r="FL24" s="64"/>
      <c r="FM24" s="64"/>
      <c r="FN24" s="64"/>
      <c r="FO24" s="64"/>
      <c r="FP24" s="64"/>
      <c r="FQ24" s="64"/>
      <c r="FR24" s="64"/>
      <c r="FS24" s="64"/>
      <c r="FT24" s="64"/>
      <c r="FU24" s="64">
        <f t="shared" ref="FU24:FU26" si="475">FT24+FS24+FR24+FN24+FL24+FH24+FF24</f>
        <v>0</v>
      </c>
      <c r="FV24" s="64">
        <f t="shared" ref="FV24:FV26" si="476">FO24+FM24+FI24+FG24</f>
        <v>0</v>
      </c>
      <c r="FW24" s="64">
        <f t="shared" ref="FW24:FW26" si="477">FV24+FU24</f>
        <v>0</v>
      </c>
      <c r="FX24" s="64"/>
      <c r="FY24" s="64"/>
      <c r="FZ24" s="64"/>
      <c r="GA24" s="64"/>
      <c r="GB24" s="64">
        <v>2</v>
      </c>
      <c r="GC24" s="64"/>
      <c r="GD24" s="64"/>
      <c r="GE24" s="64"/>
      <c r="GF24" s="64"/>
      <c r="GG24" s="64"/>
      <c r="GH24" s="64">
        <v>7</v>
      </c>
      <c r="GI24" s="64"/>
      <c r="GJ24" s="64"/>
      <c r="GK24" s="64"/>
      <c r="GL24" s="64"/>
      <c r="GM24" s="64"/>
      <c r="GN24" s="64">
        <f t="shared" ref="GN24:GO26" si="478">GL24+GJ24+GH24+GF24+GD24+GB24+FZ24+FX24</f>
        <v>9</v>
      </c>
      <c r="GO24" s="64">
        <f t="shared" si="478"/>
        <v>0</v>
      </c>
      <c r="GP24" s="64">
        <f t="shared" ref="GP24:GP26" si="479">GO24+GN24</f>
        <v>9</v>
      </c>
      <c r="GQ24" s="64">
        <v>9</v>
      </c>
      <c r="GR24" s="64"/>
      <c r="GS24" s="64"/>
      <c r="GT24" s="64"/>
      <c r="GU24" s="64"/>
      <c r="GV24" s="64"/>
      <c r="GW24" s="64">
        <f t="shared" ref="GW24:GX26" si="480">GU24+GS24+GQ24</f>
        <v>9</v>
      </c>
      <c r="GX24" s="64">
        <f t="shared" si="480"/>
        <v>0</v>
      </c>
      <c r="GY24" s="64">
        <f t="shared" ref="GY24:GY26" si="481">GX24+GW24</f>
        <v>9</v>
      </c>
      <c r="GZ24" s="64">
        <v>7</v>
      </c>
      <c r="HA24" s="64"/>
      <c r="HB24" s="64"/>
      <c r="HC24" s="64"/>
      <c r="HD24" s="64"/>
      <c r="HE24" s="64"/>
      <c r="HF24" s="64"/>
      <c r="HG24" s="64"/>
      <c r="HH24" s="64">
        <v>1</v>
      </c>
      <c r="HI24" s="64"/>
      <c r="HJ24" s="64"/>
      <c r="HK24" s="64"/>
      <c r="HL24" s="64"/>
      <c r="HM24" s="64"/>
      <c r="HN24" s="64"/>
      <c r="HO24" s="64">
        <v>1</v>
      </c>
      <c r="HP24" s="64"/>
      <c r="HQ24" s="64">
        <v>9</v>
      </c>
      <c r="HR24" s="64">
        <f t="shared" ref="HR24:HR26" si="482">HP24+HA24</f>
        <v>0</v>
      </c>
      <c r="HS24" s="64">
        <v>9</v>
      </c>
      <c r="HT24" s="64"/>
      <c r="HU24" s="64"/>
      <c r="HV24" s="64">
        <v>9</v>
      </c>
      <c r="HW24" s="64"/>
      <c r="HX24" s="64"/>
      <c r="HY24" s="64"/>
      <c r="HZ24" s="64"/>
      <c r="IA24" s="64"/>
      <c r="IB24" s="64">
        <f t="shared" ref="IB24:IC26" si="483">HZ24+HX24+HV24+HT24</f>
        <v>9</v>
      </c>
      <c r="IC24" s="64">
        <f t="shared" si="483"/>
        <v>0</v>
      </c>
      <c r="ID24" s="64">
        <f t="shared" ref="ID24:ID26" si="484">IC24+IB24</f>
        <v>9</v>
      </c>
      <c r="IE24" s="64"/>
      <c r="IF24" s="64"/>
      <c r="IG24" s="64"/>
      <c r="IH24" s="64">
        <v>1</v>
      </c>
      <c r="II24" s="64"/>
      <c r="IJ24" s="64">
        <v>1</v>
      </c>
      <c r="IK24" s="64"/>
      <c r="IL24" s="64">
        <v>1</v>
      </c>
      <c r="IM24" s="64"/>
      <c r="IN24" s="64"/>
      <c r="IO24" s="64"/>
      <c r="IP24" s="64"/>
      <c r="IQ24" s="64"/>
      <c r="IR24" s="64"/>
      <c r="IS24" s="64">
        <v>3</v>
      </c>
      <c r="IT24" s="64">
        <v>1</v>
      </c>
      <c r="IU24" s="64">
        <v>1</v>
      </c>
      <c r="IV24" s="64"/>
      <c r="IW24" s="64">
        <v>1</v>
      </c>
      <c r="IX24" s="64"/>
      <c r="IY24" s="64" t="s">
        <v>225</v>
      </c>
      <c r="IZ24" s="78">
        <v>7812782060</v>
      </c>
      <c r="JA24" s="64" t="s">
        <v>192</v>
      </c>
    </row>
    <row r="25" spans="1:265" s="104" customFormat="1" ht="24.75" customHeight="1" x14ac:dyDescent="0.25">
      <c r="A25" s="64">
        <v>2</v>
      </c>
      <c r="B25" s="64">
        <v>6</v>
      </c>
      <c r="C25" s="64">
        <v>18</v>
      </c>
      <c r="D25" s="64">
        <v>1400731</v>
      </c>
      <c r="E25" s="64" t="s">
        <v>142</v>
      </c>
      <c r="F25" s="64"/>
      <c r="G25" s="64">
        <v>1</v>
      </c>
      <c r="H25" s="64"/>
      <c r="I25" s="64">
        <v>1</v>
      </c>
      <c r="J25" s="64"/>
      <c r="K25" s="64">
        <v>1</v>
      </c>
      <c r="L25" s="64"/>
      <c r="M25" s="64"/>
      <c r="N25" s="64">
        <v>1</v>
      </c>
      <c r="O25" s="64"/>
      <c r="P25" s="64"/>
      <c r="Q25" s="64"/>
      <c r="R25" s="64">
        <v>1</v>
      </c>
      <c r="S25" s="64"/>
      <c r="T25" s="64"/>
      <c r="U25" s="64"/>
      <c r="V25" s="64">
        <v>1</v>
      </c>
      <c r="W25" s="64"/>
      <c r="X25" s="64"/>
      <c r="Y25" s="64"/>
      <c r="Z25" s="82">
        <v>2</v>
      </c>
      <c r="AA25" s="64"/>
      <c r="AB25" s="64">
        <v>1</v>
      </c>
      <c r="AC25" s="64"/>
      <c r="AD25" s="64">
        <v>1</v>
      </c>
      <c r="AE25" s="64"/>
      <c r="AF25" s="64">
        <v>2</v>
      </c>
      <c r="AG25" s="64"/>
      <c r="AH25" s="64"/>
      <c r="AI25" s="64"/>
      <c r="AJ25" s="64">
        <v>1</v>
      </c>
      <c r="AK25" s="64"/>
      <c r="AL25" s="64"/>
      <c r="AM25" s="64">
        <f t="shared" si="452"/>
        <v>0</v>
      </c>
      <c r="AN25" s="64">
        <f t="shared" si="452"/>
        <v>7</v>
      </c>
      <c r="AO25" s="64">
        <f t="shared" si="453"/>
        <v>7</v>
      </c>
      <c r="AP25" s="64"/>
      <c r="AQ25" s="64">
        <v>2</v>
      </c>
      <c r="AR25" s="64"/>
      <c r="AS25" s="64">
        <v>5</v>
      </c>
      <c r="AT25" s="64"/>
      <c r="AU25" s="64">
        <v>3</v>
      </c>
      <c r="AV25" s="64"/>
      <c r="AW25" s="64">
        <v>3</v>
      </c>
      <c r="AX25" s="64"/>
      <c r="AY25" s="64">
        <v>1</v>
      </c>
      <c r="AZ25" s="64"/>
      <c r="BA25" s="64">
        <v>2</v>
      </c>
      <c r="BB25" s="64"/>
      <c r="BC25" s="64">
        <v>1</v>
      </c>
      <c r="BD25" s="64">
        <f t="shared" si="454"/>
        <v>0</v>
      </c>
      <c r="BE25" s="64">
        <f t="shared" si="454"/>
        <v>17</v>
      </c>
      <c r="BF25" s="64">
        <f t="shared" si="455"/>
        <v>17</v>
      </c>
      <c r="BG25" s="64"/>
      <c r="BH25" s="64">
        <v>1</v>
      </c>
      <c r="BI25" s="64"/>
      <c r="BJ25" s="64">
        <v>1</v>
      </c>
      <c r="BK25" s="64"/>
      <c r="BL25" s="64">
        <v>3</v>
      </c>
      <c r="BM25" s="64"/>
      <c r="BN25" s="64">
        <v>6</v>
      </c>
      <c r="BO25" s="64"/>
      <c r="BP25" s="64">
        <v>11</v>
      </c>
      <c r="BQ25" s="64"/>
      <c r="BR25" s="64">
        <v>8</v>
      </c>
      <c r="BS25" s="64"/>
      <c r="BT25" s="64">
        <v>7</v>
      </c>
      <c r="BU25" s="64">
        <f t="shared" ref="BU25:BU26" si="485">BS25+BQ25+BO25+BM25+BK25+BI25+BG25</f>
        <v>0</v>
      </c>
      <c r="BV25" s="64">
        <f t="shared" si="456"/>
        <v>37</v>
      </c>
      <c r="BW25" s="64">
        <f t="shared" si="457"/>
        <v>37</v>
      </c>
      <c r="BX25" s="64">
        <f t="shared" si="458"/>
        <v>0</v>
      </c>
      <c r="BY25" s="64">
        <f t="shared" si="458"/>
        <v>5</v>
      </c>
      <c r="BZ25" s="64">
        <f t="shared" si="458"/>
        <v>0</v>
      </c>
      <c r="CA25" s="64">
        <f t="shared" si="458"/>
        <v>7</v>
      </c>
      <c r="CB25" s="64">
        <f t="shared" si="458"/>
        <v>0</v>
      </c>
      <c r="CC25" s="64">
        <f t="shared" si="458"/>
        <v>7</v>
      </c>
      <c r="CD25" s="64">
        <f t="shared" si="458"/>
        <v>0</v>
      </c>
      <c r="CE25" s="64">
        <f t="shared" si="458"/>
        <v>11</v>
      </c>
      <c r="CF25" s="64">
        <f t="shared" si="458"/>
        <v>0</v>
      </c>
      <c r="CG25" s="64">
        <f t="shared" si="458"/>
        <v>12</v>
      </c>
      <c r="CH25" s="64">
        <f t="shared" si="458"/>
        <v>0</v>
      </c>
      <c r="CI25" s="64">
        <f t="shared" si="458"/>
        <v>11</v>
      </c>
      <c r="CJ25" s="64">
        <f t="shared" si="458"/>
        <v>0</v>
      </c>
      <c r="CK25" s="64">
        <f t="shared" si="458"/>
        <v>8</v>
      </c>
      <c r="CL25" s="64">
        <f t="shared" si="459"/>
        <v>0</v>
      </c>
      <c r="CM25" s="64">
        <f t="shared" si="459"/>
        <v>61</v>
      </c>
      <c r="CN25" s="64">
        <f t="shared" si="460"/>
        <v>61</v>
      </c>
      <c r="CO25" s="64"/>
      <c r="CP25" s="64">
        <v>2</v>
      </c>
      <c r="CQ25" s="64"/>
      <c r="CR25" s="64"/>
      <c r="CS25" s="64">
        <v>1</v>
      </c>
      <c r="CT25" s="64"/>
      <c r="CU25" s="64"/>
      <c r="CV25" s="64">
        <v>2</v>
      </c>
      <c r="CW25" s="64"/>
      <c r="CX25" s="64">
        <f t="shared" si="461"/>
        <v>0</v>
      </c>
      <c r="CY25" s="64">
        <f t="shared" si="461"/>
        <v>5</v>
      </c>
      <c r="CZ25" s="64">
        <f t="shared" si="461"/>
        <v>0</v>
      </c>
      <c r="DA25" s="64">
        <f t="shared" si="462"/>
        <v>5</v>
      </c>
      <c r="DB25" s="64"/>
      <c r="DC25" s="64">
        <v>5</v>
      </c>
      <c r="DD25" s="64"/>
      <c r="DE25" s="64">
        <v>4</v>
      </c>
      <c r="DF25" s="64"/>
      <c r="DG25" s="64">
        <v>14</v>
      </c>
      <c r="DH25" s="64">
        <f t="shared" si="463"/>
        <v>0</v>
      </c>
      <c r="DI25" s="64">
        <f t="shared" si="463"/>
        <v>23</v>
      </c>
      <c r="DJ25" s="64">
        <f t="shared" si="464"/>
        <v>23</v>
      </c>
      <c r="DK25" s="64"/>
      <c r="DL25" s="64">
        <v>9</v>
      </c>
      <c r="DM25" s="64"/>
      <c r="DN25" s="64">
        <v>21</v>
      </c>
      <c r="DO25" s="64"/>
      <c r="DP25" s="64">
        <v>29</v>
      </c>
      <c r="DQ25" s="64">
        <f t="shared" si="465"/>
        <v>0</v>
      </c>
      <c r="DR25" s="64">
        <f t="shared" si="465"/>
        <v>59</v>
      </c>
      <c r="DS25" s="64">
        <f t="shared" si="466"/>
        <v>59</v>
      </c>
      <c r="DT25" s="64"/>
      <c r="DU25" s="64">
        <v>20</v>
      </c>
      <c r="DV25" s="64"/>
      <c r="DW25" s="64">
        <v>20</v>
      </c>
      <c r="DX25" s="64"/>
      <c r="DY25" s="64">
        <v>13</v>
      </c>
      <c r="DZ25" s="64">
        <f t="shared" si="467"/>
        <v>0</v>
      </c>
      <c r="EA25" s="64">
        <f t="shared" si="467"/>
        <v>53</v>
      </c>
      <c r="EB25" s="64">
        <f t="shared" si="468"/>
        <v>53</v>
      </c>
      <c r="EC25" s="64"/>
      <c r="ED25" s="64">
        <v>1</v>
      </c>
      <c r="EE25" s="64"/>
      <c r="EF25" s="64">
        <v>2</v>
      </c>
      <c r="EG25" s="64"/>
      <c r="EH25" s="64">
        <v>29</v>
      </c>
      <c r="EI25" s="64">
        <f t="shared" si="469"/>
        <v>0</v>
      </c>
      <c r="EJ25" s="64">
        <f t="shared" si="469"/>
        <v>32</v>
      </c>
      <c r="EK25" s="64">
        <f t="shared" si="470"/>
        <v>32</v>
      </c>
      <c r="EL25" s="64"/>
      <c r="EM25" s="64"/>
      <c r="EN25" s="64"/>
      <c r="EO25" s="64"/>
      <c r="EP25" s="64"/>
      <c r="EQ25" s="64"/>
      <c r="ER25" s="64">
        <f t="shared" si="471"/>
        <v>0</v>
      </c>
      <c r="ES25" s="64">
        <f t="shared" si="471"/>
        <v>0</v>
      </c>
      <c r="ET25" s="64">
        <f t="shared" si="472"/>
        <v>0</v>
      </c>
      <c r="EU25" s="64"/>
      <c r="EV25" s="64">
        <v>1</v>
      </c>
      <c r="EW25" s="64"/>
      <c r="EX25" s="64">
        <v>1</v>
      </c>
      <c r="EY25" s="64"/>
      <c r="EZ25" s="64">
        <v>3</v>
      </c>
      <c r="FA25" s="64"/>
      <c r="FB25" s="64"/>
      <c r="FC25" s="64">
        <f t="shared" si="473"/>
        <v>0</v>
      </c>
      <c r="FD25" s="64">
        <f t="shared" si="473"/>
        <v>5</v>
      </c>
      <c r="FE25" s="64">
        <f t="shared" si="474"/>
        <v>5</v>
      </c>
      <c r="FF25" s="64"/>
      <c r="FG25" s="64"/>
      <c r="FH25" s="64"/>
      <c r="FI25" s="64"/>
      <c r="FJ25" s="64"/>
      <c r="FK25" s="64"/>
      <c r="FL25" s="64"/>
      <c r="FM25" s="64"/>
      <c r="FN25" s="64"/>
      <c r="FO25" s="64">
        <v>1</v>
      </c>
      <c r="FP25" s="64"/>
      <c r="FQ25" s="64"/>
      <c r="FR25" s="64"/>
      <c r="FS25" s="64"/>
      <c r="FT25" s="64"/>
      <c r="FU25" s="64">
        <f t="shared" si="475"/>
        <v>0</v>
      </c>
      <c r="FV25" s="64">
        <f t="shared" si="476"/>
        <v>1</v>
      </c>
      <c r="FW25" s="64">
        <f t="shared" si="477"/>
        <v>1</v>
      </c>
      <c r="FX25" s="64"/>
      <c r="FY25" s="64"/>
      <c r="FZ25" s="64"/>
      <c r="GA25" s="64"/>
      <c r="GB25" s="64"/>
      <c r="GC25" s="64">
        <v>1</v>
      </c>
      <c r="GD25" s="64"/>
      <c r="GE25" s="64"/>
      <c r="GF25" s="64"/>
      <c r="GG25" s="64"/>
      <c r="GH25" s="64"/>
      <c r="GI25" s="64">
        <v>3</v>
      </c>
      <c r="GJ25" s="64"/>
      <c r="GK25" s="64"/>
      <c r="GL25" s="64"/>
      <c r="GM25" s="64">
        <v>1</v>
      </c>
      <c r="GN25" s="64">
        <f t="shared" si="478"/>
        <v>0</v>
      </c>
      <c r="GO25" s="64">
        <f t="shared" si="478"/>
        <v>5</v>
      </c>
      <c r="GP25" s="64">
        <f t="shared" si="479"/>
        <v>5</v>
      </c>
      <c r="GQ25" s="64"/>
      <c r="GR25" s="64">
        <v>5</v>
      </c>
      <c r="GS25" s="64"/>
      <c r="GT25" s="64"/>
      <c r="GU25" s="64"/>
      <c r="GV25" s="64"/>
      <c r="GW25" s="64">
        <f t="shared" si="480"/>
        <v>0</v>
      </c>
      <c r="GX25" s="64">
        <f t="shared" si="480"/>
        <v>5</v>
      </c>
      <c r="GY25" s="64">
        <f t="shared" si="481"/>
        <v>5</v>
      </c>
      <c r="GZ25" s="64"/>
      <c r="HA25" s="64">
        <v>5</v>
      </c>
      <c r="HB25" s="64"/>
      <c r="HC25" s="64"/>
      <c r="HD25" s="64"/>
      <c r="HE25" s="64"/>
      <c r="HF25" s="64"/>
      <c r="HG25" s="64"/>
      <c r="HH25" s="64"/>
      <c r="HI25" s="64"/>
      <c r="HJ25" s="64"/>
      <c r="HK25" s="64"/>
      <c r="HL25" s="64"/>
      <c r="HM25" s="64"/>
      <c r="HN25" s="64"/>
      <c r="HO25" s="64"/>
      <c r="HP25" s="64"/>
      <c r="HQ25" s="64">
        <f t="shared" ref="HQ25:HQ26" si="486">HO25+GZ25</f>
        <v>0</v>
      </c>
      <c r="HR25" s="64">
        <f t="shared" si="482"/>
        <v>5</v>
      </c>
      <c r="HS25" s="64">
        <f t="shared" ref="HS25:HS26" si="487">HR25+HQ25</f>
        <v>5</v>
      </c>
      <c r="HT25" s="64"/>
      <c r="HU25" s="64">
        <v>1</v>
      </c>
      <c r="HV25" s="64"/>
      <c r="HW25" s="64">
        <v>4</v>
      </c>
      <c r="HX25" s="64"/>
      <c r="HY25" s="64"/>
      <c r="HZ25" s="64"/>
      <c r="IA25" s="64"/>
      <c r="IB25" s="64">
        <f t="shared" si="483"/>
        <v>0</v>
      </c>
      <c r="IC25" s="64">
        <f t="shared" si="483"/>
        <v>5</v>
      </c>
      <c r="ID25" s="64">
        <f t="shared" si="484"/>
        <v>5</v>
      </c>
      <c r="IE25" s="64"/>
      <c r="IF25" s="64">
        <v>1</v>
      </c>
      <c r="IG25" s="64">
        <v>1</v>
      </c>
      <c r="IH25" s="64"/>
      <c r="II25" s="64"/>
      <c r="IJ25" s="64">
        <v>1</v>
      </c>
      <c r="IK25" s="64"/>
      <c r="IL25" s="64">
        <v>1</v>
      </c>
      <c r="IM25" s="64"/>
      <c r="IN25" s="64"/>
      <c r="IO25" s="64"/>
      <c r="IP25" s="64"/>
      <c r="IQ25" s="64"/>
      <c r="IR25" s="64"/>
      <c r="IS25" s="64"/>
      <c r="IT25" s="64">
        <v>1</v>
      </c>
      <c r="IU25" s="64">
        <v>1</v>
      </c>
      <c r="IV25" s="64"/>
      <c r="IW25" s="64">
        <v>1</v>
      </c>
      <c r="IX25" s="64"/>
      <c r="IY25" s="64" t="s">
        <v>226</v>
      </c>
      <c r="IZ25" s="78">
        <v>7816116131</v>
      </c>
      <c r="JA25" s="64" t="s">
        <v>207</v>
      </c>
    </row>
    <row r="26" spans="1:265" s="65" customFormat="1" ht="24.75" customHeight="1" x14ac:dyDescent="0.25">
      <c r="A26" s="64">
        <v>2</v>
      </c>
      <c r="B26" s="64">
        <v>6</v>
      </c>
      <c r="C26" s="64">
        <v>19</v>
      </c>
      <c r="D26" s="64">
        <v>1400738</v>
      </c>
      <c r="E26" s="64" t="s">
        <v>143</v>
      </c>
      <c r="F26" s="64"/>
      <c r="G26" s="64">
        <v>1</v>
      </c>
      <c r="H26" s="64"/>
      <c r="I26" s="64">
        <v>1</v>
      </c>
      <c r="J26" s="64"/>
      <c r="K26" s="64">
        <v>1</v>
      </c>
      <c r="L26" s="64"/>
      <c r="M26" s="64"/>
      <c r="N26" s="64">
        <v>1</v>
      </c>
      <c r="O26" s="64"/>
      <c r="P26" s="64"/>
      <c r="Q26" s="64"/>
      <c r="R26" s="64">
        <v>1</v>
      </c>
      <c r="S26" s="64"/>
      <c r="T26" s="64"/>
      <c r="U26" s="64"/>
      <c r="V26" s="64">
        <v>1</v>
      </c>
      <c r="W26" s="64"/>
      <c r="X26" s="64"/>
      <c r="Y26" s="64"/>
      <c r="Z26" s="82">
        <v>6</v>
      </c>
      <c r="AA26" s="64"/>
      <c r="AB26" s="64">
        <v>4</v>
      </c>
      <c r="AC26" s="64"/>
      <c r="AD26" s="64">
        <v>5</v>
      </c>
      <c r="AE26" s="64"/>
      <c r="AF26" s="64">
        <v>6</v>
      </c>
      <c r="AG26" s="64"/>
      <c r="AH26" s="64">
        <v>3</v>
      </c>
      <c r="AI26" s="64"/>
      <c r="AJ26" s="64">
        <v>1</v>
      </c>
      <c r="AK26" s="64"/>
      <c r="AL26" s="64">
        <v>4</v>
      </c>
      <c r="AM26" s="64">
        <f t="shared" si="452"/>
        <v>0</v>
      </c>
      <c r="AN26" s="64">
        <f t="shared" si="452"/>
        <v>29</v>
      </c>
      <c r="AO26" s="64">
        <f t="shared" si="453"/>
        <v>29</v>
      </c>
      <c r="AP26" s="64"/>
      <c r="AQ26" s="64">
        <v>1</v>
      </c>
      <c r="AR26" s="64"/>
      <c r="AS26" s="64">
        <v>2</v>
      </c>
      <c r="AT26" s="64"/>
      <c r="AU26" s="64">
        <v>7</v>
      </c>
      <c r="AV26" s="64"/>
      <c r="AW26" s="64">
        <v>8</v>
      </c>
      <c r="AX26" s="64"/>
      <c r="AY26" s="64">
        <v>15</v>
      </c>
      <c r="AZ26" s="64"/>
      <c r="BA26" s="64">
        <v>5</v>
      </c>
      <c r="BB26" s="64"/>
      <c r="BC26" s="64">
        <v>10</v>
      </c>
      <c r="BD26" s="64">
        <f t="shared" si="454"/>
        <v>0</v>
      </c>
      <c r="BE26" s="64">
        <f t="shared" si="454"/>
        <v>48</v>
      </c>
      <c r="BF26" s="64">
        <f t="shared" si="455"/>
        <v>48</v>
      </c>
      <c r="BG26" s="64"/>
      <c r="BH26" s="64"/>
      <c r="BI26" s="64"/>
      <c r="BJ26" s="64"/>
      <c r="BK26" s="64"/>
      <c r="BL26" s="64">
        <v>2</v>
      </c>
      <c r="BM26" s="64"/>
      <c r="BN26" s="64">
        <v>1</v>
      </c>
      <c r="BO26" s="64"/>
      <c r="BP26" s="64">
        <v>6</v>
      </c>
      <c r="BQ26" s="64"/>
      <c r="BR26" s="64">
        <v>9</v>
      </c>
      <c r="BS26" s="64"/>
      <c r="BT26" s="64">
        <v>5</v>
      </c>
      <c r="BU26" s="64">
        <f t="shared" si="485"/>
        <v>0</v>
      </c>
      <c r="BV26" s="64">
        <f t="shared" si="456"/>
        <v>23</v>
      </c>
      <c r="BW26" s="64">
        <f t="shared" si="457"/>
        <v>23</v>
      </c>
      <c r="BX26" s="64">
        <f t="shared" si="458"/>
        <v>0</v>
      </c>
      <c r="BY26" s="64">
        <f t="shared" si="458"/>
        <v>7</v>
      </c>
      <c r="BZ26" s="64">
        <f t="shared" si="458"/>
        <v>0</v>
      </c>
      <c r="CA26" s="64">
        <f t="shared" si="458"/>
        <v>6</v>
      </c>
      <c r="CB26" s="64">
        <f t="shared" si="458"/>
        <v>0</v>
      </c>
      <c r="CC26" s="64">
        <f t="shared" si="458"/>
        <v>14</v>
      </c>
      <c r="CD26" s="64">
        <f t="shared" si="458"/>
        <v>0</v>
      </c>
      <c r="CE26" s="64">
        <f t="shared" si="458"/>
        <v>15</v>
      </c>
      <c r="CF26" s="64">
        <f t="shared" si="458"/>
        <v>0</v>
      </c>
      <c r="CG26" s="64">
        <f t="shared" si="458"/>
        <v>24</v>
      </c>
      <c r="CH26" s="64">
        <f t="shared" si="458"/>
        <v>0</v>
      </c>
      <c r="CI26" s="64">
        <f t="shared" si="458"/>
        <v>15</v>
      </c>
      <c r="CJ26" s="64">
        <f t="shared" si="458"/>
        <v>0</v>
      </c>
      <c r="CK26" s="64">
        <f t="shared" si="458"/>
        <v>19</v>
      </c>
      <c r="CL26" s="64">
        <f t="shared" si="459"/>
        <v>0</v>
      </c>
      <c r="CM26" s="64">
        <f t="shared" si="459"/>
        <v>100</v>
      </c>
      <c r="CN26" s="64">
        <f t="shared" si="460"/>
        <v>100</v>
      </c>
      <c r="CO26" s="64"/>
      <c r="CP26" s="64">
        <v>1</v>
      </c>
      <c r="CQ26" s="64"/>
      <c r="CR26" s="64"/>
      <c r="CS26" s="64">
        <v>1</v>
      </c>
      <c r="CT26" s="64"/>
      <c r="CU26" s="64"/>
      <c r="CV26" s="64">
        <v>1</v>
      </c>
      <c r="CW26" s="64"/>
      <c r="CX26" s="64">
        <f t="shared" si="461"/>
        <v>0</v>
      </c>
      <c r="CY26" s="64">
        <f t="shared" si="461"/>
        <v>3</v>
      </c>
      <c r="CZ26" s="64">
        <f t="shared" si="461"/>
        <v>0</v>
      </c>
      <c r="DA26" s="64">
        <f t="shared" si="462"/>
        <v>3</v>
      </c>
      <c r="DB26" s="64"/>
      <c r="DC26" s="64"/>
      <c r="DD26" s="64"/>
      <c r="DE26" s="64"/>
      <c r="DF26" s="64"/>
      <c r="DG26" s="64"/>
      <c r="DH26" s="64">
        <f t="shared" si="463"/>
        <v>0</v>
      </c>
      <c r="DI26" s="64">
        <f t="shared" si="463"/>
        <v>0</v>
      </c>
      <c r="DJ26" s="64">
        <f t="shared" si="464"/>
        <v>0</v>
      </c>
      <c r="DK26" s="64"/>
      <c r="DL26" s="64">
        <v>5</v>
      </c>
      <c r="DM26" s="64"/>
      <c r="DN26" s="64">
        <v>6</v>
      </c>
      <c r="DO26" s="64"/>
      <c r="DP26" s="64"/>
      <c r="DQ26" s="64">
        <f t="shared" si="465"/>
        <v>0</v>
      </c>
      <c r="DR26" s="64">
        <f t="shared" si="465"/>
        <v>11</v>
      </c>
      <c r="DS26" s="64">
        <f t="shared" si="466"/>
        <v>11</v>
      </c>
      <c r="DT26" s="64"/>
      <c r="DU26" s="64">
        <v>9</v>
      </c>
      <c r="DV26" s="64"/>
      <c r="DW26" s="64"/>
      <c r="DX26" s="64"/>
      <c r="DY26" s="64"/>
      <c r="DZ26" s="64">
        <f t="shared" si="467"/>
        <v>0</v>
      </c>
      <c r="EA26" s="64">
        <f t="shared" si="467"/>
        <v>9</v>
      </c>
      <c r="EB26" s="64">
        <f t="shared" si="468"/>
        <v>9</v>
      </c>
      <c r="EC26" s="64"/>
      <c r="ED26" s="64"/>
      <c r="EE26" s="64"/>
      <c r="EF26" s="64"/>
      <c r="EG26" s="64"/>
      <c r="EH26" s="64"/>
      <c r="EI26" s="64">
        <f t="shared" si="469"/>
        <v>0</v>
      </c>
      <c r="EJ26" s="64">
        <f t="shared" si="469"/>
        <v>0</v>
      </c>
      <c r="EK26" s="64">
        <f t="shared" si="470"/>
        <v>0</v>
      </c>
      <c r="EL26" s="64"/>
      <c r="EM26" s="64"/>
      <c r="EN26" s="64"/>
      <c r="EO26" s="64"/>
      <c r="EP26" s="64"/>
      <c r="EQ26" s="64"/>
      <c r="ER26" s="64">
        <f t="shared" si="471"/>
        <v>0</v>
      </c>
      <c r="ES26" s="64">
        <f t="shared" si="471"/>
        <v>0</v>
      </c>
      <c r="ET26" s="64">
        <f t="shared" si="472"/>
        <v>0</v>
      </c>
      <c r="EU26" s="64"/>
      <c r="EV26" s="64">
        <v>1</v>
      </c>
      <c r="EW26" s="64"/>
      <c r="EX26" s="64"/>
      <c r="EY26" s="64"/>
      <c r="EZ26" s="64">
        <v>4</v>
      </c>
      <c r="FA26" s="64"/>
      <c r="FB26" s="64"/>
      <c r="FC26" s="64">
        <f t="shared" si="473"/>
        <v>0</v>
      </c>
      <c r="FD26" s="64">
        <f t="shared" si="473"/>
        <v>5</v>
      </c>
      <c r="FE26" s="64">
        <f t="shared" si="474"/>
        <v>5</v>
      </c>
      <c r="FF26" s="64"/>
      <c r="FG26" s="64"/>
      <c r="FH26" s="64"/>
      <c r="FI26" s="64"/>
      <c r="FJ26" s="64"/>
      <c r="FK26" s="64"/>
      <c r="FL26" s="64"/>
      <c r="FM26" s="64"/>
      <c r="FN26" s="64"/>
      <c r="FO26" s="64">
        <v>1</v>
      </c>
      <c r="FP26" s="64"/>
      <c r="FQ26" s="64"/>
      <c r="FR26" s="64"/>
      <c r="FS26" s="64"/>
      <c r="FT26" s="64"/>
      <c r="FU26" s="64">
        <f t="shared" si="475"/>
        <v>0</v>
      </c>
      <c r="FV26" s="64">
        <f t="shared" si="476"/>
        <v>1</v>
      </c>
      <c r="FW26" s="64">
        <f t="shared" si="477"/>
        <v>1</v>
      </c>
      <c r="FX26" s="64"/>
      <c r="FY26" s="64"/>
      <c r="FZ26" s="64"/>
      <c r="GA26" s="64"/>
      <c r="GB26" s="64"/>
      <c r="GC26" s="64">
        <v>2</v>
      </c>
      <c r="GD26" s="64"/>
      <c r="GE26" s="64"/>
      <c r="GF26" s="64"/>
      <c r="GG26" s="64"/>
      <c r="GH26" s="64"/>
      <c r="GI26" s="64">
        <v>2</v>
      </c>
      <c r="GJ26" s="64"/>
      <c r="GK26" s="64">
        <v>1</v>
      </c>
      <c r="GL26" s="64"/>
      <c r="GM26" s="64"/>
      <c r="GN26" s="64">
        <f t="shared" si="478"/>
        <v>0</v>
      </c>
      <c r="GO26" s="64">
        <f t="shared" si="478"/>
        <v>5</v>
      </c>
      <c r="GP26" s="64">
        <f t="shared" si="479"/>
        <v>5</v>
      </c>
      <c r="GQ26" s="64"/>
      <c r="GR26" s="64">
        <v>5</v>
      </c>
      <c r="GS26" s="64"/>
      <c r="GT26" s="64"/>
      <c r="GU26" s="64"/>
      <c r="GV26" s="64"/>
      <c r="GW26" s="64">
        <f t="shared" si="480"/>
        <v>0</v>
      </c>
      <c r="GX26" s="64">
        <f t="shared" si="480"/>
        <v>5</v>
      </c>
      <c r="GY26" s="64">
        <f t="shared" si="481"/>
        <v>5</v>
      </c>
      <c r="GZ26" s="64"/>
      <c r="HA26" s="64">
        <v>5</v>
      </c>
      <c r="HB26" s="64"/>
      <c r="HC26" s="64"/>
      <c r="HD26" s="64"/>
      <c r="HE26" s="64"/>
      <c r="HF26" s="64"/>
      <c r="HG26" s="64"/>
      <c r="HH26" s="64"/>
      <c r="HI26" s="64"/>
      <c r="HJ26" s="64"/>
      <c r="HK26" s="64"/>
      <c r="HL26" s="64"/>
      <c r="HM26" s="64"/>
      <c r="HN26" s="64"/>
      <c r="HO26" s="64"/>
      <c r="HP26" s="64"/>
      <c r="HQ26" s="64">
        <f t="shared" si="486"/>
        <v>0</v>
      </c>
      <c r="HR26" s="64">
        <f t="shared" si="482"/>
        <v>5</v>
      </c>
      <c r="HS26" s="64">
        <f t="shared" si="487"/>
        <v>5</v>
      </c>
      <c r="HT26" s="64"/>
      <c r="HU26" s="64">
        <v>2</v>
      </c>
      <c r="HV26" s="64"/>
      <c r="HW26" s="64">
        <v>3</v>
      </c>
      <c r="HX26" s="64"/>
      <c r="HY26" s="64"/>
      <c r="HZ26" s="64"/>
      <c r="IA26" s="64"/>
      <c r="IB26" s="64">
        <f t="shared" si="483"/>
        <v>0</v>
      </c>
      <c r="IC26" s="64">
        <f t="shared" si="483"/>
        <v>5</v>
      </c>
      <c r="ID26" s="64">
        <f t="shared" si="484"/>
        <v>5</v>
      </c>
      <c r="IE26" s="64"/>
      <c r="IF26" s="64"/>
      <c r="IG26" s="64"/>
      <c r="IH26" s="64">
        <v>1</v>
      </c>
      <c r="II26" s="64"/>
      <c r="IJ26" s="64">
        <v>1</v>
      </c>
      <c r="IK26" s="64"/>
      <c r="IL26" s="64">
        <v>1</v>
      </c>
      <c r="IM26" s="64"/>
      <c r="IN26" s="64"/>
      <c r="IO26" s="64"/>
      <c r="IP26" s="64"/>
      <c r="IQ26" s="64">
        <v>59</v>
      </c>
      <c r="IR26" s="64"/>
      <c r="IS26" s="64">
        <v>6</v>
      </c>
      <c r="IT26" s="64">
        <v>1</v>
      </c>
      <c r="IU26" s="64"/>
      <c r="IV26" s="64">
        <v>1</v>
      </c>
      <c r="IW26" s="64">
        <v>1</v>
      </c>
      <c r="IX26" s="64"/>
      <c r="IY26" s="64" t="s">
        <v>227</v>
      </c>
      <c r="IZ26" s="78">
        <v>7811342562</v>
      </c>
      <c r="JA26" s="64" t="s">
        <v>193</v>
      </c>
    </row>
    <row r="27" spans="1:265" s="65" customFormat="1" ht="24.75" customHeight="1" x14ac:dyDescent="0.25">
      <c r="A27" s="64">
        <v>2</v>
      </c>
      <c r="B27" s="64">
        <v>6</v>
      </c>
      <c r="C27" s="64">
        <v>20</v>
      </c>
      <c r="D27" s="64">
        <v>1401711</v>
      </c>
      <c r="E27" s="64" t="s">
        <v>275</v>
      </c>
      <c r="F27" s="64"/>
      <c r="G27" s="64">
        <v>1</v>
      </c>
      <c r="H27" s="64"/>
      <c r="I27" s="64">
        <v>1</v>
      </c>
      <c r="J27" s="64"/>
      <c r="K27" s="64">
        <v>1</v>
      </c>
      <c r="L27" s="64"/>
      <c r="M27" s="64"/>
      <c r="N27" s="64">
        <v>1</v>
      </c>
      <c r="O27" s="64"/>
      <c r="P27" s="64"/>
      <c r="Q27" s="64"/>
      <c r="R27" s="64">
        <v>1</v>
      </c>
      <c r="S27" s="64"/>
      <c r="T27" s="64"/>
      <c r="U27" s="64"/>
      <c r="V27" s="64">
        <v>1</v>
      </c>
      <c r="W27" s="64"/>
      <c r="X27" s="64">
        <v>1</v>
      </c>
      <c r="Y27" s="64"/>
      <c r="Z27" s="82">
        <v>6</v>
      </c>
      <c r="AA27" s="64"/>
      <c r="AB27" s="64">
        <v>4</v>
      </c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>
        <f t="shared" ref="AM27" si="488">AK27+AI27+AG27+AE27+AC27+AA27+Y27</f>
        <v>0</v>
      </c>
      <c r="AN27" s="64">
        <f t="shared" ref="AN27" si="489">AL27+AJ27+AH27+AF27+AD27+AB27+Z27</f>
        <v>10</v>
      </c>
      <c r="AO27" s="64">
        <f t="shared" ref="AO27" si="490">AN27+AM27</f>
        <v>10</v>
      </c>
      <c r="AP27" s="64"/>
      <c r="AQ27" s="64">
        <v>6</v>
      </c>
      <c r="AR27" s="64"/>
      <c r="AS27" s="64">
        <v>4</v>
      </c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>
        <f t="shared" ref="BD27" si="491">BB27+AZ27+AX27+AV27+AT27+AR27+AP27</f>
        <v>0</v>
      </c>
      <c r="BE27" s="64">
        <f t="shared" ref="BE27" si="492">BC27+BA27+AY27+AW27+AU27+AS27+AQ27</f>
        <v>10</v>
      </c>
      <c r="BF27" s="64">
        <f t="shared" ref="BF27" si="493">BE27+BD27</f>
        <v>10</v>
      </c>
      <c r="BG27" s="64"/>
      <c r="BH27" s="64"/>
      <c r="BI27" s="64"/>
      <c r="BJ27" s="64"/>
      <c r="BK27" s="64"/>
      <c r="BL27" s="64">
        <v>10</v>
      </c>
      <c r="BM27" s="64"/>
      <c r="BN27" s="64">
        <v>10</v>
      </c>
      <c r="BO27" s="64"/>
      <c r="BP27" s="64"/>
      <c r="BQ27" s="64"/>
      <c r="BR27" s="64"/>
      <c r="BS27" s="64"/>
      <c r="BT27" s="64"/>
      <c r="BU27" s="64">
        <f t="shared" ref="BU27" si="494">BS27+BQ27+BO27+BM27+BK27+BI27+BG27</f>
        <v>0</v>
      </c>
      <c r="BV27" s="64">
        <f t="shared" ref="BV27" si="495">BT27+BR27+BP27+BN27+BL27+BJ27+BH27</f>
        <v>20</v>
      </c>
      <c r="BW27" s="64">
        <f t="shared" ref="BW27" si="496">BV27+BU27</f>
        <v>20</v>
      </c>
      <c r="BX27" s="64">
        <f t="shared" ref="BX27" si="497">BG27+AP27+Y27</f>
        <v>0</v>
      </c>
      <c r="BY27" s="64">
        <f t="shared" ref="BY27" si="498">BH27+AQ27+Z27</f>
        <v>12</v>
      </c>
      <c r="BZ27" s="64">
        <f t="shared" ref="BZ27" si="499">BI27+AR27+AA27</f>
        <v>0</v>
      </c>
      <c r="CA27" s="64">
        <f t="shared" ref="CA27" si="500">BJ27+AS27+AB27</f>
        <v>8</v>
      </c>
      <c r="CB27" s="64">
        <f t="shared" ref="CB27" si="501">BK27+AT27+AC27</f>
        <v>0</v>
      </c>
      <c r="CC27" s="64">
        <f t="shared" ref="CC27" si="502">BL27+AU27+AD27</f>
        <v>10</v>
      </c>
      <c r="CD27" s="64">
        <f t="shared" ref="CD27" si="503">BM27+AV27+AE27</f>
        <v>0</v>
      </c>
      <c r="CE27" s="64">
        <f t="shared" ref="CE27" si="504">BN27+AW27+AF27</f>
        <v>10</v>
      </c>
      <c r="CF27" s="64">
        <f t="shared" ref="CF27" si="505">BO27+AX27+AG27</f>
        <v>0</v>
      </c>
      <c r="CG27" s="64">
        <f t="shared" ref="CG27" si="506">BP27+AY27+AH27</f>
        <v>0</v>
      </c>
      <c r="CH27" s="64">
        <f t="shared" ref="CH27" si="507">BQ27+AZ27+AI27</f>
        <v>0</v>
      </c>
      <c r="CI27" s="64">
        <f t="shared" ref="CI27" si="508">BR27+BA27+AJ27</f>
        <v>0</v>
      </c>
      <c r="CJ27" s="64">
        <f t="shared" ref="CJ27" si="509">BS27+BB27+AK27</f>
        <v>0</v>
      </c>
      <c r="CK27" s="64">
        <f t="shared" ref="CK27" si="510">BT27+BC27+AL27</f>
        <v>0</v>
      </c>
      <c r="CL27" s="64">
        <f t="shared" ref="CL27" si="511">CJ27+CH27+CF27+CD27+CB27+BZ27+BX27</f>
        <v>0</v>
      </c>
      <c r="CM27" s="64">
        <f t="shared" ref="CM27" si="512">CK27+CI27+CG27+CE27+CC27+CA27+BY27</f>
        <v>40</v>
      </c>
      <c r="CN27" s="64">
        <f t="shared" ref="CN27" si="513">CM27+CL27</f>
        <v>40</v>
      </c>
      <c r="CO27" s="64"/>
      <c r="CP27" s="64">
        <v>1</v>
      </c>
      <c r="CQ27" s="64"/>
      <c r="CR27" s="64"/>
      <c r="CS27" s="64">
        <v>1</v>
      </c>
      <c r="CT27" s="64"/>
      <c r="CU27" s="64"/>
      <c r="CV27" s="64">
        <v>1</v>
      </c>
      <c r="CW27" s="64"/>
      <c r="CX27" s="64">
        <f t="shared" ref="CX27" si="514">CU27+CR27+CO27</f>
        <v>0</v>
      </c>
      <c r="CY27" s="64">
        <f t="shared" ref="CY27" si="515">CV27+CS27+CP27</f>
        <v>3</v>
      </c>
      <c r="CZ27" s="64">
        <f t="shared" ref="CZ27" si="516">CW27+CT27+CQ27</f>
        <v>0</v>
      </c>
      <c r="DA27" s="64">
        <f t="shared" ref="DA27" si="517">CZ27+CY27+CX27</f>
        <v>3</v>
      </c>
      <c r="DB27" s="64"/>
      <c r="DC27" s="64"/>
      <c r="DD27" s="64"/>
      <c r="DE27" s="64"/>
      <c r="DF27" s="64"/>
      <c r="DG27" s="64"/>
      <c r="DH27" s="64">
        <f t="shared" ref="DH27" si="518">DF27+DD27+DB27</f>
        <v>0</v>
      </c>
      <c r="DI27" s="64">
        <f t="shared" ref="DI27" si="519">DG27+DE27+DC27</f>
        <v>0</v>
      </c>
      <c r="DJ27" s="64">
        <f t="shared" ref="DJ27" si="520">DI27+DH27</f>
        <v>0</v>
      </c>
      <c r="DK27" s="64"/>
      <c r="DL27" s="64"/>
      <c r="DM27" s="64"/>
      <c r="DN27" s="64"/>
      <c r="DO27" s="64"/>
      <c r="DP27" s="64"/>
      <c r="DQ27" s="64">
        <f t="shared" ref="DQ27" si="521">DO27+DM27+DK27</f>
        <v>0</v>
      </c>
      <c r="DR27" s="64">
        <f t="shared" ref="DR27" si="522">DP27+DN27+DL27</f>
        <v>0</v>
      </c>
      <c r="DS27" s="64">
        <f t="shared" ref="DS27" si="523">DR27+DQ27</f>
        <v>0</v>
      </c>
      <c r="DT27" s="64"/>
      <c r="DU27" s="64"/>
      <c r="DV27" s="64"/>
      <c r="DW27" s="64"/>
      <c r="DX27" s="64"/>
      <c r="DY27" s="64"/>
      <c r="DZ27" s="64">
        <f t="shared" ref="DZ27" si="524">DX27+DV27+DT27</f>
        <v>0</v>
      </c>
      <c r="EA27" s="64">
        <f t="shared" ref="EA27" si="525">DY27+DW27+DU27</f>
        <v>0</v>
      </c>
      <c r="EB27" s="64">
        <f t="shared" ref="EB27" si="526">EA27+DZ27</f>
        <v>0</v>
      </c>
      <c r="EC27" s="64"/>
      <c r="ED27" s="64"/>
      <c r="EE27" s="64"/>
      <c r="EF27" s="64"/>
      <c r="EG27" s="64"/>
      <c r="EH27" s="64"/>
      <c r="EI27" s="64">
        <f t="shared" ref="EI27" si="527">EG27+EE27+EC27</f>
        <v>0</v>
      </c>
      <c r="EJ27" s="64">
        <f t="shared" ref="EJ27" si="528">EH27+EF27+ED27</f>
        <v>0</v>
      </c>
      <c r="EK27" s="64">
        <f t="shared" ref="EK27" si="529">EJ27+EI27</f>
        <v>0</v>
      </c>
      <c r="EL27" s="64"/>
      <c r="EM27" s="64"/>
      <c r="EN27" s="64"/>
      <c r="EO27" s="64"/>
      <c r="EP27" s="64"/>
      <c r="EQ27" s="64"/>
      <c r="ER27" s="64">
        <f t="shared" ref="ER27" si="530">EP27+EN27+EL27</f>
        <v>0</v>
      </c>
      <c r="ES27" s="64">
        <f t="shared" ref="ES27" si="531">EQ27+EO27+EM27</f>
        <v>0</v>
      </c>
      <c r="ET27" s="64">
        <f t="shared" ref="ET27" si="532">ES27+ER27</f>
        <v>0</v>
      </c>
      <c r="EU27" s="64"/>
      <c r="EV27" s="64">
        <v>1</v>
      </c>
      <c r="EW27" s="64"/>
      <c r="EX27" s="64"/>
      <c r="EY27" s="64"/>
      <c r="EZ27" s="64"/>
      <c r="FA27" s="64"/>
      <c r="FB27" s="64"/>
      <c r="FC27" s="64">
        <f t="shared" ref="FC27" si="533">FA27+EY27+EW27+EU27</f>
        <v>0</v>
      </c>
      <c r="FD27" s="64">
        <f t="shared" ref="FD27" si="534">FB27+EZ27+EX27+EV27</f>
        <v>1</v>
      </c>
      <c r="FE27" s="64">
        <f t="shared" ref="FE27" si="535">FD27+FC27</f>
        <v>1</v>
      </c>
      <c r="FF27" s="64"/>
      <c r="FG27" s="64"/>
      <c r="FH27" s="64"/>
      <c r="FI27" s="64"/>
      <c r="FJ27" s="64"/>
      <c r="FK27" s="64"/>
      <c r="FL27" s="64"/>
      <c r="FM27" s="64"/>
      <c r="FN27" s="64"/>
      <c r="FO27" s="64"/>
      <c r="FP27" s="64"/>
      <c r="FQ27" s="64"/>
      <c r="FR27" s="64"/>
      <c r="FS27" s="64"/>
      <c r="FT27" s="64"/>
      <c r="FU27" s="64">
        <f t="shared" ref="FU27" si="536">FT27+FS27+FR27+FN27+FL27+FH27+FF27</f>
        <v>0</v>
      </c>
      <c r="FV27" s="64">
        <f t="shared" ref="FV27" si="537">FO27+FM27+FI27+FG27</f>
        <v>0</v>
      </c>
      <c r="FW27" s="64">
        <f t="shared" ref="FW27" si="538">FV27+FU27</f>
        <v>0</v>
      </c>
      <c r="FX27" s="64"/>
      <c r="FY27" s="64"/>
      <c r="FZ27" s="64"/>
      <c r="GA27" s="64"/>
      <c r="GB27" s="64"/>
      <c r="GC27" s="64"/>
      <c r="GD27" s="64"/>
      <c r="GE27" s="64"/>
      <c r="GF27" s="64"/>
      <c r="GG27" s="64"/>
      <c r="GH27" s="64"/>
      <c r="GI27" s="64"/>
      <c r="GJ27" s="64"/>
      <c r="GK27" s="64">
        <v>1</v>
      </c>
      <c r="GL27" s="64"/>
      <c r="GM27" s="64"/>
      <c r="GN27" s="64">
        <f t="shared" ref="GN27" si="539">GL27+GJ27+GH27+GF27+GD27+GB27+FZ27+FX27</f>
        <v>0</v>
      </c>
      <c r="GO27" s="64">
        <f t="shared" ref="GO27" si="540">GM27+GK27+GI27+GG27+GE27+GC27+GA27+FY27</f>
        <v>1</v>
      </c>
      <c r="GP27" s="64">
        <f t="shared" ref="GP27" si="541">GO27+GN27</f>
        <v>1</v>
      </c>
      <c r="GQ27" s="64"/>
      <c r="GR27" s="64">
        <v>1</v>
      </c>
      <c r="GS27" s="64"/>
      <c r="GT27" s="64"/>
      <c r="GU27" s="64"/>
      <c r="GV27" s="64"/>
      <c r="GW27" s="64">
        <f t="shared" ref="GW27" si="542">GU27+GS27+GQ27</f>
        <v>0</v>
      </c>
      <c r="GX27" s="64">
        <f t="shared" ref="GX27" si="543">GV27+GT27+GR27</f>
        <v>1</v>
      </c>
      <c r="GY27" s="64">
        <f t="shared" ref="GY27" si="544">GX27+GW27</f>
        <v>1</v>
      </c>
      <c r="GZ27" s="64"/>
      <c r="HA27" s="64">
        <v>1</v>
      </c>
      <c r="HB27" s="64"/>
      <c r="HC27" s="64"/>
      <c r="HD27" s="64"/>
      <c r="HE27" s="64"/>
      <c r="HF27" s="64"/>
      <c r="HG27" s="64"/>
      <c r="HH27" s="64"/>
      <c r="HI27" s="64"/>
      <c r="HJ27" s="64"/>
      <c r="HK27" s="64"/>
      <c r="HL27" s="64"/>
      <c r="HM27" s="64"/>
      <c r="HN27" s="64"/>
      <c r="HO27" s="64"/>
      <c r="HP27" s="64"/>
      <c r="HQ27" s="64">
        <f t="shared" ref="HQ27" si="545">HO27+GZ27+HM27+HJ27+HH27+HF27+HD27+HB27</f>
        <v>0</v>
      </c>
      <c r="HR27" s="64">
        <f t="shared" ref="HR27" si="546">HP27+HA27+HN27+HL27+HK27+HI27+HG27+HE27+HC27</f>
        <v>1</v>
      </c>
      <c r="HS27" s="64">
        <f t="shared" ref="HS27" si="547">HR27+HQ27</f>
        <v>1</v>
      </c>
      <c r="HT27" s="64"/>
      <c r="HU27" s="64"/>
      <c r="HV27" s="64"/>
      <c r="HW27" s="64">
        <v>1</v>
      </c>
      <c r="HX27" s="64"/>
      <c r="HY27" s="64"/>
      <c r="HZ27" s="64"/>
      <c r="IA27" s="64"/>
      <c r="IB27" s="64">
        <f t="shared" ref="IB27" si="548">HZ27+HX27+HV27+HT27</f>
        <v>0</v>
      </c>
      <c r="IC27" s="64">
        <f t="shared" ref="IC27" si="549">IA27+HY27+HW27+HU27</f>
        <v>1</v>
      </c>
      <c r="ID27" s="64">
        <f t="shared" ref="ID27" si="550">IC27+IB27</f>
        <v>1</v>
      </c>
      <c r="IE27" s="64"/>
      <c r="IF27" s="64"/>
      <c r="IG27" s="64"/>
      <c r="IH27" s="64">
        <v>1</v>
      </c>
      <c r="II27" s="64"/>
      <c r="IJ27" s="64">
        <v>1</v>
      </c>
      <c r="IK27" s="64"/>
      <c r="IL27" s="64">
        <v>1</v>
      </c>
      <c r="IM27" s="64"/>
      <c r="IN27" s="64"/>
      <c r="IO27" s="64"/>
      <c r="IP27" s="64"/>
      <c r="IQ27" s="64"/>
      <c r="IR27" s="64"/>
      <c r="IS27" s="64"/>
      <c r="IT27" s="64"/>
      <c r="IU27" s="64">
        <v>1</v>
      </c>
      <c r="IV27" s="64"/>
      <c r="IW27" s="64"/>
      <c r="IX27" s="64">
        <v>1</v>
      </c>
      <c r="IY27" s="64" t="s">
        <v>281</v>
      </c>
      <c r="IZ27" s="78">
        <v>7831782460</v>
      </c>
      <c r="JA27" s="64" t="s">
        <v>282</v>
      </c>
    </row>
    <row r="28" spans="1:265" s="65" customFormat="1" ht="24.75" customHeight="1" x14ac:dyDescent="0.25">
      <c r="A28" s="64">
        <v>2</v>
      </c>
      <c r="B28" s="64">
        <v>7</v>
      </c>
      <c r="C28" s="64">
        <v>20</v>
      </c>
      <c r="D28" s="64">
        <v>1400732</v>
      </c>
      <c r="E28" s="64" t="s">
        <v>146</v>
      </c>
      <c r="F28" s="64"/>
      <c r="G28" s="64">
        <v>1</v>
      </c>
      <c r="H28" s="64">
        <v>1</v>
      </c>
      <c r="I28" s="64"/>
      <c r="J28" s="64"/>
      <c r="K28" s="64">
        <v>1</v>
      </c>
      <c r="L28" s="64"/>
      <c r="M28" s="64"/>
      <c r="N28" s="64">
        <v>1</v>
      </c>
      <c r="O28" s="64"/>
      <c r="P28" s="64"/>
      <c r="Q28" s="64"/>
      <c r="R28" s="64">
        <v>1</v>
      </c>
      <c r="S28" s="64"/>
      <c r="T28" s="64"/>
      <c r="U28" s="64"/>
      <c r="V28" s="64">
        <v>1</v>
      </c>
      <c r="W28" s="64"/>
      <c r="X28" s="64"/>
      <c r="Y28" s="64">
        <v>12</v>
      </c>
      <c r="Z28" s="82"/>
      <c r="AA28" s="64">
        <v>13</v>
      </c>
      <c r="AB28" s="64"/>
      <c r="AC28" s="64">
        <v>9</v>
      </c>
      <c r="AD28" s="64"/>
      <c r="AE28" s="64">
        <v>9</v>
      </c>
      <c r="AF28" s="64"/>
      <c r="AG28" s="64">
        <v>5</v>
      </c>
      <c r="AH28" s="64"/>
      <c r="AI28" s="64">
        <v>4</v>
      </c>
      <c r="AJ28" s="64"/>
      <c r="AK28" s="64">
        <v>2</v>
      </c>
      <c r="AL28" s="64"/>
      <c r="AM28" s="64">
        <f t="shared" ref="AM28:AN29" si="551">AK28+AI28+AG28+AE28+AC28+AA28+Y28</f>
        <v>54</v>
      </c>
      <c r="AN28" s="64">
        <f t="shared" si="551"/>
        <v>0</v>
      </c>
      <c r="AO28" s="64">
        <f t="shared" ref="AO28:AO29" si="552">AN28+AM28</f>
        <v>54</v>
      </c>
      <c r="AP28" s="64">
        <v>4</v>
      </c>
      <c r="AQ28" s="64"/>
      <c r="AR28" s="64">
        <v>2</v>
      </c>
      <c r="AS28" s="64"/>
      <c r="AT28" s="64">
        <v>6</v>
      </c>
      <c r="AU28" s="64"/>
      <c r="AV28" s="64">
        <v>11</v>
      </c>
      <c r="AW28" s="64"/>
      <c r="AX28" s="64">
        <v>5</v>
      </c>
      <c r="AY28" s="64"/>
      <c r="AZ28" s="64">
        <v>7</v>
      </c>
      <c r="BA28" s="64"/>
      <c r="BB28" s="64">
        <v>5</v>
      </c>
      <c r="BC28" s="64"/>
      <c r="BD28" s="64">
        <f t="shared" ref="BD28:BE29" si="553">BB28+AZ28+AX28+AV28+AT28+AR28+AP28</f>
        <v>40</v>
      </c>
      <c r="BE28" s="64">
        <f t="shared" si="553"/>
        <v>0</v>
      </c>
      <c r="BF28" s="64">
        <f t="shared" ref="BF28:BF29" si="554">BE28+BD28</f>
        <v>40</v>
      </c>
      <c r="BG28" s="64">
        <v>10</v>
      </c>
      <c r="BH28" s="64"/>
      <c r="BI28" s="64">
        <v>5</v>
      </c>
      <c r="BJ28" s="64"/>
      <c r="BK28" s="64">
        <v>4</v>
      </c>
      <c r="BL28" s="64"/>
      <c r="BM28" s="64">
        <v>14</v>
      </c>
      <c r="BN28" s="64"/>
      <c r="BO28" s="64">
        <v>10</v>
      </c>
      <c r="BP28" s="64"/>
      <c r="BQ28" s="64">
        <v>23</v>
      </c>
      <c r="BR28" s="64"/>
      <c r="BS28" s="64">
        <v>13</v>
      </c>
      <c r="BT28" s="64"/>
      <c r="BU28" s="64">
        <f t="shared" ref="BU28:BV29" si="555">BS28+BQ28+BO28+BM28+BK28+BI28+BG28</f>
        <v>79</v>
      </c>
      <c r="BV28" s="64">
        <f t="shared" si="555"/>
        <v>0</v>
      </c>
      <c r="BW28" s="64">
        <f t="shared" ref="BW28:BW29" si="556">BV28+BU28</f>
        <v>79</v>
      </c>
      <c r="BX28" s="64">
        <f t="shared" ref="BX28:CK29" si="557">BG28+AP28+Y28</f>
        <v>26</v>
      </c>
      <c r="BY28" s="64">
        <f t="shared" si="557"/>
        <v>0</v>
      </c>
      <c r="BZ28" s="64">
        <f t="shared" si="557"/>
        <v>20</v>
      </c>
      <c r="CA28" s="64">
        <f t="shared" si="557"/>
        <v>0</v>
      </c>
      <c r="CB28" s="64">
        <f t="shared" si="557"/>
        <v>19</v>
      </c>
      <c r="CC28" s="64">
        <f t="shared" si="557"/>
        <v>0</v>
      </c>
      <c r="CD28" s="64">
        <f t="shared" si="557"/>
        <v>34</v>
      </c>
      <c r="CE28" s="64">
        <f t="shared" si="557"/>
        <v>0</v>
      </c>
      <c r="CF28" s="64">
        <f t="shared" si="557"/>
        <v>20</v>
      </c>
      <c r="CG28" s="64">
        <f t="shared" si="557"/>
        <v>0</v>
      </c>
      <c r="CH28" s="64">
        <f t="shared" si="557"/>
        <v>34</v>
      </c>
      <c r="CI28" s="64">
        <f t="shared" si="557"/>
        <v>0</v>
      </c>
      <c r="CJ28" s="64">
        <f t="shared" si="557"/>
        <v>20</v>
      </c>
      <c r="CK28" s="64">
        <f t="shared" si="557"/>
        <v>0</v>
      </c>
      <c r="CL28" s="64">
        <f t="shared" ref="CL28:CM29" si="558">CJ28+CH28+CF28+CD28+CB28+BZ28+BX28</f>
        <v>173</v>
      </c>
      <c r="CM28" s="64">
        <f t="shared" si="558"/>
        <v>0</v>
      </c>
      <c r="CN28" s="64">
        <f t="shared" ref="CN28:CN29" si="559">CM28+CL28</f>
        <v>173</v>
      </c>
      <c r="CO28" s="64">
        <v>2</v>
      </c>
      <c r="CP28" s="64"/>
      <c r="CQ28" s="64"/>
      <c r="CR28" s="64">
        <v>1</v>
      </c>
      <c r="CS28" s="64"/>
      <c r="CT28" s="64"/>
      <c r="CU28" s="64">
        <v>2</v>
      </c>
      <c r="CV28" s="64"/>
      <c r="CW28" s="64"/>
      <c r="CX28" s="64">
        <f t="shared" ref="CX28:CZ29" si="560">CU28+CR28+CO28</f>
        <v>5</v>
      </c>
      <c r="CY28" s="64">
        <f t="shared" si="560"/>
        <v>0</v>
      </c>
      <c r="CZ28" s="64">
        <f t="shared" si="560"/>
        <v>0</v>
      </c>
      <c r="DA28" s="64">
        <f t="shared" ref="DA28:DA29" si="561">CZ28+CY28+CX28</f>
        <v>5</v>
      </c>
      <c r="DB28" s="64"/>
      <c r="DC28" s="64"/>
      <c r="DD28" s="64"/>
      <c r="DE28" s="64"/>
      <c r="DF28" s="64"/>
      <c r="DG28" s="64"/>
      <c r="DH28" s="64">
        <f>DF28+DD28+DB28</f>
        <v>0</v>
      </c>
      <c r="DI28" s="64">
        <f>DG28+DE28+DC28</f>
        <v>0</v>
      </c>
      <c r="DJ28" s="64">
        <f>DI28+DH28</f>
        <v>0</v>
      </c>
      <c r="DK28" s="64">
        <v>34</v>
      </c>
      <c r="DL28" s="64"/>
      <c r="DM28" s="64">
        <v>21</v>
      </c>
      <c r="DN28" s="64"/>
      <c r="DO28" s="64">
        <v>17</v>
      </c>
      <c r="DP28" s="64"/>
      <c r="DQ28" s="64">
        <f t="shared" ref="DQ28:DR29" si="562">DO28+DM28+DK28</f>
        <v>72</v>
      </c>
      <c r="DR28" s="64">
        <f t="shared" si="562"/>
        <v>0</v>
      </c>
      <c r="DS28" s="64">
        <f t="shared" ref="DS28:DS29" si="563">DR28+DQ28</f>
        <v>72</v>
      </c>
      <c r="DT28" s="64">
        <v>1</v>
      </c>
      <c r="DU28" s="64"/>
      <c r="DV28" s="64">
        <v>1</v>
      </c>
      <c r="DW28" s="64"/>
      <c r="DX28" s="64">
        <v>33</v>
      </c>
      <c r="DY28" s="64"/>
      <c r="DZ28" s="64">
        <f t="shared" ref="DZ28:EA29" si="564">DX28+DV28+DT28</f>
        <v>35</v>
      </c>
      <c r="EA28" s="64">
        <f t="shared" si="564"/>
        <v>0</v>
      </c>
      <c r="EB28" s="64">
        <f t="shared" ref="EB28:EB29" si="565">EA28+DZ28</f>
        <v>35</v>
      </c>
      <c r="EC28" s="64">
        <v>32</v>
      </c>
      <c r="ED28" s="64"/>
      <c r="EE28" s="64">
        <v>9</v>
      </c>
      <c r="EF28" s="64"/>
      <c r="EG28" s="64">
        <v>18</v>
      </c>
      <c r="EH28" s="64"/>
      <c r="EI28" s="64">
        <f t="shared" ref="EI28:EJ29" si="566">EG28+EE28+EC28</f>
        <v>59</v>
      </c>
      <c r="EJ28" s="64">
        <f t="shared" si="566"/>
        <v>0</v>
      </c>
      <c r="EK28" s="64">
        <f t="shared" ref="EK28:EK29" si="567">EJ28+EI28</f>
        <v>59</v>
      </c>
      <c r="EL28" s="64"/>
      <c r="EM28" s="64"/>
      <c r="EN28" s="64"/>
      <c r="EO28" s="64"/>
      <c r="EP28" s="64"/>
      <c r="EQ28" s="64"/>
      <c r="ER28" s="64">
        <f t="shared" ref="ER28:ES29" si="568">EP28+EN28+EL28</f>
        <v>0</v>
      </c>
      <c r="ES28" s="64">
        <f t="shared" si="568"/>
        <v>0</v>
      </c>
      <c r="ET28" s="64">
        <f t="shared" ref="ET28:ET29" si="569">ES28+ER28</f>
        <v>0</v>
      </c>
      <c r="EU28" s="64">
        <v>1</v>
      </c>
      <c r="EV28" s="64"/>
      <c r="EW28" s="64"/>
      <c r="EX28" s="64"/>
      <c r="EY28" s="64">
        <v>2</v>
      </c>
      <c r="EZ28" s="64"/>
      <c r="FA28" s="64"/>
      <c r="FB28" s="64"/>
      <c r="FC28" s="64">
        <f t="shared" ref="FC28:FD29" si="570">FA28+EY28+EW28+EU28</f>
        <v>3</v>
      </c>
      <c r="FD28" s="64">
        <f t="shared" si="570"/>
        <v>0</v>
      </c>
      <c r="FE28" s="64">
        <f t="shared" ref="FE28:FE29" si="571">FD28+FC28</f>
        <v>3</v>
      </c>
      <c r="FF28" s="64"/>
      <c r="FG28" s="64"/>
      <c r="FH28" s="64"/>
      <c r="FI28" s="64"/>
      <c r="FJ28" s="64"/>
      <c r="FK28" s="64"/>
      <c r="FL28" s="64"/>
      <c r="FM28" s="64"/>
      <c r="FN28" s="64">
        <v>2</v>
      </c>
      <c r="FO28" s="64"/>
      <c r="FP28" s="64"/>
      <c r="FQ28" s="64"/>
      <c r="FR28" s="64"/>
      <c r="FS28" s="64"/>
      <c r="FT28" s="64"/>
      <c r="FU28" s="64">
        <f t="shared" ref="FU28" si="572">FT28+FS28+FR28+FN28+FL28+FH28+FF28</f>
        <v>2</v>
      </c>
      <c r="FV28" s="64">
        <f t="shared" ref="FV28" si="573">FO28+FM28+FI28+FG28</f>
        <v>0</v>
      </c>
      <c r="FW28" s="64">
        <f t="shared" ref="FW28" si="574">FV28+FU28</f>
        <v>2</v>
      </c>
      <c r="FX28" s="64"/>
      <c r="FY28" s="64"/>
      <c r="FZ28" s="64"/>
      <c r="GA28" s="64"/>
      <c r="GB28" s="64">
        <v>1</v>
      </c>
      <c r="GC28" s="64"/>
      <c r="GD28" s="64"/>
      <c r="GE28" s="64"/>
      <c r="GF28" s="64"/>
      <c r="GG28" s="64"/>
      <c r="GH28" s="64"/>
      <c r="GI28" s="64"/>
      <c r="GJ28" s="64">
        <v>2</v>
      </c>
      <c r="GK28" s="64"/>
      <c r="GL28" s="64"/>
      <c r="GM28" s="64"/>
      <c r="GN28" s="64">
        <f t="shared" ref="GN28:GO29" si="575">GL28+GJ28+GH28+GF28+GD28+GB28+FZ28+FX28</f>
        <v>3</v>
      </c>
      <c r="GO28" s="64">
        <f t="shared" si="575"/>
        <v>0</v>
      </c>
      <c r="GP28" s="64">
        <f t="shared" ref="GP28:GP29" si="576">GO28+GN28</f>
        <v>3</v>
      </c>
      <c r="GQ28" s="64">
        <v>3</v>
      </c>
      <c r="GR28" s="64"/>
      <c r="GS28" s="64"/>
      <c r="GT28" s="64"/>
      <c r="GU28" s="64"/>
      <c r="GV28" s="64"/>
      <c r="GW28" s="64">
        <f t="shared" ref="GW28:GX29" si="577">GU28+GS28+GQ28</f>
        <v>3</v>
      </c>
      <c r="GX28" s="64">
        <f t="shared" si="577"/>
        <v>0</v>
      </c>
      <c r="GY28" s="64">
        <f t="shared" ref="GY28:GY29" si="578">GX28+GW28</f>
        <v>3</v>
      </c>
      <c r="GZ28" s="64">
        <v>3</v>
      </c>
      <c r="HA28" s="64"/>
      <c r="HB28" s="64"/>
      <c r="HC28" s="64"/>
      <c r="HD28" s="64"/>
      <c r="HE28" s="64"/>
      <c r="HF28" s="64"/>
      <c r="HG28" s="64"/>
      <c r="HH28" s="64"/>
      <c r="HI28" s="64"/>
      <c r="HJ28" s="64"/>
      <c r="HK28" s="64"/>
      <c r="HL28" s="64"/>
      <c r="HM28" s="64"/>
      <c r="HN28" s="64"/>
      <c r="HO28" s="64"/>
      <c r="HP28" s="64"/>
      <c r="HQ28" s="64">
        <f t="shared" ref="HQ28:HR29" si="579">HO28+GZ28</f>
        <v>3</v>
      </c>
      <c r="HR28" s="64">
        <f t="shared" si="579"/>
        <v>0</v>
      </c>
      <c r="HS28" s="64">
        <f t="shared" ref="HS28:HS29" si="580">HR28+HQ28</f>
        <v>3</v>
      </c>
      <c r="HT28" s="64"/>
      <c r="HU28" s="64"/>
      <c r="HV28" s="64">
        <v>3</v>
      </c>
      <c r="HW28" s="64"/>
      <c r="HX28" s="64"/>
      <c r="HY28" s="64"/>
      <c r="HZ28" s="64"/>
      <c r="IA28" s="64"/>
      <c r="IB28" s="64">
        <f t="shared" ref="IB28:IC29" si="581">HZ28+HX28+HV28+HT28</f>
        <v>3</v>
      </c>
      <c r="IC28" s="64">
        <f t="shared" si="581"/>
        <v>0</v>
      </c>
      <c r="ID28" s="64">
        <f t="shared" ref="ID28:ID29" si="582">IC28+IB28</f>
        <v>3</v>
      </c>
      <c r="IE28" s="64"/>
      <c r="IF28" s="64"/>
      <c r="IG28" s="64"/>
      <c r="IH28" s="64">
        <v>1</v>
      </c>
      <c r="II28" s="64"/>
      <c r="IJ28" s="64">
        <v>1</v>
      </c>
      <c r="IK28" s="64"/>
      <c r="IL28" s="64">
        <v>1</v>
      </c>
      <c r="IM28" s="64"/>
      <c r="IN28" s="64"/>
      <c r="IO28" s="64"/>
      <c r="IP28" s="64"/>
      <c r="IQ28" s="64">
        <v>80</v>
      </c>
      <c r="IR28" s="64"/>
      <c r="IS28" s="64">
        <v>5</v>
      </c>
      <c r="IT28" s="64">
        <v>1</v>
      </c>
      <c r="IU28" s="64">
        <v>1</v>
      </c>
      <c r="IV28" s="64"/>
      <c r="IW28" s="64"/>
      <c r="IX28" s="64">
        <v>1</v>
      </c>
      <c r="IY28" s="64" t="s">
        <v>280</v>
      </c>
      <c r="IZ28" s="78">
        <v>7831488275</v>
      </c>
      <c r="JA28" s="64" t="s">
        <v>208</v>
      </c>
    </row>
    <row r="29" spans="1:265" s="65" customFormat="1" ht="24.75" customHeight="1" x14ac:dyDescent="0.25">
      <c r="A29" s="64">
        <v>2</v>
      </c>
      <c r="B29" s="64">
        <v>7</v>
      </c>
      <c r="C29" s="64">
        <v>21</v>
      </c>
      <c r="D29" s="64">
        <v>1400766</v>
      </c>
      <c r="E29" s="64" t="s">
        <v>260</v>
      </c>
      <c r="F29" s="64"/>
      <c r="G29" s="64">
        <v>1</v>
      </c>
      <c r="H29" s="64"/>
      <c r="I29" s="64">
        <v>1</v>
      </c>
      <c r="J29" s="64"/>
      <c r="K29" s="64">
        <v>1</v>
      </c>
      <c r="L29" s="64"/>
      <c r="M29" s="64"/>
      <c r="N29" s="64">
        <v>1</v>
      </c>
      <c r="O29" s="64"/>
      <c r="P29" s="64"/>
      <c r="Q29" s="64"/>
      <c r="R29" s="64">
        <v>1</v>
      </c>
      <c r="S29" s="64"/>
      <c r="T29" s="64"/>
      <c r="U29" s="64"/>
      <c r="V29" s="64">
        <v>1</v>
      </c>
      <c r="W29" s="64"/>
      <c r="X29" s="64">
        <v>1</v>
      </c>
      <c r="Y29" s="64"/>
      <c r="Z29" s="82">
        <v>2</v>
      </c>
      <c r="AA29" s="64"/>
      <c r="AB29" s="64">
        <v>2</v>
      </c>
      <c r="AC29" s="64"/>
      <c r="AD29" s="64">
        <v>1</v>
      </c>
      <c r="AE29" s="64"/>
      <c r="AF29" s="64">
        <v>3</v>
      </c>
      <c r="AG29" s="64"/>
      <c r="AH29" s="64">
        <v>1</v>
      </c>
      <c r="AI29" s="64"/>
      <c r="AJ29" s="64">
        <v>4</v>
      </c>
      <c r="AK29" s="64"/>
      <c r="AL29" s="64">
        <v>2</v>
      </c>
      <c r="AM29" s="64">
        <f t="shared" si="551"/>
        <v>0</v>
      </c>
      <c r="AN29" s="64">
        <f t="shared" si="551"/>
        <v>15</v>
      </c>
      <c r="AO29" s="64">
        <f t="shared" si="552"/>
        <v>15</v>
      </c>
      <c r="AP29" s="64"/>
      <c r="AQ29" s="64">
        <v>4</v>
      </c>
      <c r="AR29" s="64"/>
      <c r="AS29" s="64">
        <v>2</v>
      </c>
      <c r="AT29" s="64"/>
      <c r="AU29" s="64">
        <v>7</v>
      </c>
      <c r="AV29" s="64"/>
      <c r="AW29" s="64">
        <v>2</v>
      </c>
      <c r="AX29" s="64"/>
      <c r="AY29" s="64">
        <v>2</v>
      </c>
      <c r="AZ29" s="64"/>
      <c r="BA29" s="64">
        <v>1</v>
      </c>
      <c r="BB29" s="64"/>
      <c r="BC29" s="64"/>
      <c r="BD29" s="64">
        <f t="shared" si="553"/>
        <v>0</v>
      </c>
      <c r="BE29" s="64">
        <f t="shared" si="553"/>
        <v>18</v>
      </c>
      <c r="BF29" s="64">
        <f t="shared" si="554"/>
        <v>18</v>
      </c>
      <c r="BG29" s="64"/>
      <c r="BH29" s="64">
        <v>2</v>
      </c>
      <c r="BI29" s="64"/>
      <c r="BJ29" s="64">
        <v>1</v>
      </c>
      <c r="BK29" s="64"/>
      <c r="BL29" s="64">
        <v>2</v>
      </c>
      <c r="BM29" s="64"/>
      <c r="BN29" s="64">
        <v>3</v>
      </c>
      <c r="BO29" s="64"/>
      <c r="BP29" s="64">
        <v>8</v>
      </c>
      <c r="BQ29" s="64"/>
      <c r="BR29" s="64">
        <v>4</v>
      </c>
      <c r="BS29" s="64"/>
      <c r="BT29" s="64">
        <v>12</v>
      </c>
      <c r="BU29" s="64">
        <f t="shared" si="555"/>
        <v>0</v>
      </c>
      <c r="BV29" s="64">
        <f t="shared" si="555"/>
        <v>32</v>
      </c>
      <c r="BW29" s="64">
        <f t="shared" si="556"/>
        <v>32</v>
      </c>
      <c r="BX29" s="64">
        <f t="shared" si="557"/>
        <v>0</v>
      </c>
      <c r="BY29" s="64">
        <f t="shared" si="557"/>
        <v>8</v>
      </c>
      <c r="BZ29" s="64">
        <f t="shared" si="557"/>
        <v>0</v>
      </c>
      <c r="CA29" s="64">
        <f t="shared" si="557"/>
        <v>5</v>
      </c>
      <c r="CB29" s="64">
        <f t="shared" si="557"/>
        <v>0</v>
      </c>
      <c r="CC29" s="64">
        <f t="shared" si="557"/>
        <v>10</v>
      </c>
      <c r="CD29" s="64">
        <f t="shared" si="557"/>
        <v>0</v>
      </c>
      <c r="CE29" s="64">
        <f t="shared" si="557"/>
        <v>8</v>
      </c>
      <c r="CF29" s="64">
        <f t="shared" si="557"/>
        <v>0</v>
      </c>
      <c r="CG29" s="64">
        <f t="shared" si="557"/>
        <v>11</v>
      </c>
      <c r="CH29" s="64">
        <f t="shared" si="557"/>
        <v>0</v>
      </c>
      <c r="CI29" s="64">
        <f t="shared" si="557"/>
        <v>9</v>
      </c>
      <c r="CJ29" s="64">
        <f t="shared" si="557"/>
        <v>0</v>
      </c>
      <c r="CK29" s="64">
        <f t="shared" si="557"/>
        <v>14</v>
      </c>
      <c r="CL29" s="64">
        <f t="shared" si="558"/>
        <v>0</v>
      </c>
      <c r="CM29" s="64">
        <f t="shared" si="558"/>
        <v>65</v>
      </c>
      <c r="CN29" s="64">
        <f t="shared" si="559"/>
        <v>65</v>
      </c>
      <c r="CO29" s="64"/>
      <c r="CP29" s="64">
        <v>1</v>
      </c>
      <c r="CQ29" s="64"/>
      <c r="CR29" s="64"/>
      <c r="CS29" s="64">
        <v>1</v>
      </c>
      <c r="CT29" s="64"/>
      <c r="CU29" s="64"/>
      <c r="CV29" s="64">
        <v>2</v>
      </c>
      <c r="CW29" s="64"/>
      <c r="CX29" s="64">
        <f t="shared" si="560"/>
        <v>0</v>
      </c>
      <c r="CY29" s="64">
        <f t="shared" si="560"/>
        <v>4</v>
      </c>
      <c r="CZ29" s="64">
        <f t="shared" si="560"/>
        <v>0</v>
      </c>
      <c r="DA29" s="64">
        <f t="shared" si="561"/>
        <v>4</v>
      </c>
      <c r="DB29" s="64"/>
      <c r="DC29" s="64"/>
      <c r="DD29" s="64"/>
      <c r="DE29" s="64">
        <v>2</v>
      </c>
      <c r="DF29" s="64"/>
      <c r="DG29" s="64">
        <v>1</v>
      </c>
      <c r="DH29" s="64">
        <f>DF29+DD29+DB29</f>
        <v>0</v>
      </c>
      <c r="DI29" s="64">
        <f>DG29+DE29+DC29</f>
        <v>3</v>
      </c>
      <c r="DJ29" s="64">
        <f>DI29+DH29</f>
        <v>3</v>
      </c>
      <c r="DK29" s="64"/>
      <c r="DL29" s="64">
        <v>10</v>
      </c>
      <c r="DM29" s="64"/>
      <c r="DN29" s="64">
        <v>10</v>
      </c>
      <c r="DO29" s="64"/>
      <c r="DP29" s="64">
        <v>13</v>
      </c>
      <c r="DQ29" s="64">
        <f t="shared" si="562"/>
        <v>0</v>
      </c>
      <c r="DR29" s="64">
        <f t="shared" si="562"/>
        <v>33</v>
      </c>
      <c r="DS29" s="64">
        <f t="shared" si="563"/>
        <v>33</v>
      </c>
      <c r="DT29" s="64"/>
      <c r="DU29" s="64"/>
      <c r="DV29" s="64"/>
      <c r="DW29" s="64"/>
      <c r="DX29" s="64"/>
      <c r="DY29" s="64">
        <v>3</v>
      </c>
      <c r="DZ29" s="64">
        <f t="shared" si="564"/>
        <v>0</v>
      </c>
      <c r="EA29" s="64">
        <f t="shared" si="564"/>
        <v>3</v>
      </c>
      <c r="EB29" s="64">
        <f t="shared" si="565"/>
        <v>3</v>
      </c>
      <c r="EC29" s="64"/>
      <c r="ED29" s="64"/>
      <c r="EE29" s="64"/>
      <c r="EF29" s="64"/>
      <c r="EG29" s="64"/>
      <c r="EH29" s="64">
        <v>3</v>
      </c>
      <c r="EI29" s="64">
        <f t="shared" si="566"/>
        <v>0</v>
      </c>
      <c r="EJ29" s="64">
        <f t="shared" si="566"/>
        <v>3</v>
      </c>
      <c r="EK29" s="64">
        <f t="shared" si="567"/>
        <v>3</v>
      </c>
      <c r="EL29" s="64"/>
      <c r="EM29" s="64"/>
      <c r="EN29" s="64"/>
      <c r="EO29" s="64"/>
      <c r="EP29" s="64"/>
      <c r="EQ29" s="64">
        <v>3</v>
      </c>
      <c r="ER29" s="64">
        <f t="shared" si="568"/>
        <v>0</v>
      </c>
      <c r="ES29" s="64">
        <f t="shared" si="568"/>
        <v>3</v>
      </c>
      <c r="ET29" s="64">
        <f t="shared" si="569"/>
        <v>3</v>
      </c>
      <c r="EU29" s="64"/>
      <c r="EV29" s="64">
        <v>1</v>
      </c>
      <c r="EW29" s="64"/>
      <c r="EX29" s="64"/>
      <c r="EY29" s="64"/>
      <c r="EZ29" s="64">
        <v>7</v>
      </c>
      <c r="FA29" s="64"/>
      <c r="FB29" s="64"/>
      <c r="FC29" s="64">
        <f t="shared" si="570"/>
        <v>0</v>
      </c>
      <c r="FD29" s="64">
        <f t="shared" si="570"/>
        <v>8</v>
      </c>
      <c r="FE29" s="64">
        <f t="shared" si="571"/>
        <v>8</v>
      </c>
      <c r="FF29" s="64"/>
      <c r="FG29" s="64"/>
      <c r="FH29" s="64"/>
      <c r="FI29" s="64"/>
      <c r="FJ29" s="64"/>
      <c r="FK29" s="64"/>
      <c r="FL29" s="64"/>
      <c r="FM29" s="64"/>
      <c r="FN29" s="64"/>
      <c r="FO29" s="64"/>
      <c r="FP29" s="64"/>
      <c r="FQ29" s="64"/>
      <c r="FR29" s="64"/>
      <c r="FS29" s="64"/>
      <c r="FT29" s="64"/>
      <c r="FU29" s="64"/>
      <c r="FV29" s="64"/>
      <c r="FW29" s="64"/>
      <c r="FX29" s="64"/>
      <c r="FY29" s="64">
        <v>1</v>
      </c>
      <c r="FZ29" s="64"/>
      <c r="GA29" s="64"/>
      <c r="GB29" s="64"/>
      <c r="GC29" s="64">
        <v>7</v>
      </c>
      <c r="GD29" s="64"/>
      <c r="GE29" s="64"/>
      <c r="GF29" s="64"/>
      <c r="GG29" s="64"/>
      <c r="GH29" s="64"/>
      <c r="GI29" s="64"/>
      <c r="GJ29" s="64"/>
      <c r="GK29" s="64"/>
      <c r="GL29" s="64"/>
      <c r="GM29" s="64"/>
      <c r="GN29" s="64">
        <f t="shared" si="575"/>
        <v>0</v>
      </c>
      <c r="GO29" s="64">
        <f t="shared" si="575"/>
        <v>8</v>
      </c>
      <c r="GP29" s="64">
        <f t="shared" si="576"/>
        <v>8</v>
      </c>
      <c r="GQ29" s="64"/>
      <c r="GR29" s="64">
        <v>8</v>
      </c>
      <c r="GS29" s="64"/>
      <c r="GT29" s="64"/>
      <c r="GU29" s="64"/>
      <c r="GV29" s="64"/>
      <c r="GW29" s="64">
        <f t="shared" si="577"/>
        <v>0</v>
      </c>
      <c r="GX29" s="64">
        <f t="shared" si="577"/>
        <v>8</v>
      </c>
      <c r="GY29" s="64">
        <f t="shared" si="578"/>
        <v>8</v>
      </c>
      <c r="GZ29" s="64"/>
      <c r="HA29" s="64">
        <v>7</v>
      </c>
      <c r="HB29" s="64"/>
      <c r="HC29" s="64"/>
      <c r="HD29" s="64"/>
      <c r="HE29" s="64"/>
      <c r="HF29" s="64"/>
      <c r="HG29" s="64"/>
      <c r="HH29" s="64"/>
      <c r="HI29" s="64"/>
      <c r="HJ29" s="64"/>
      <c r="HK29" s="64">
        <v>1</v>
      </c>
      <c r="HL29" s="64"/>
      <c r="HM29" s="64"/>
      <c r="HN29" s="64"/>
      <c r="HO29" s="64"/>
      <c r="HP29" s="64"/>
      <c r="HQ29" s="64">
        <f t="shared" si="579"/>
        <v>0</v>
      </c>
      <c r="HR29" s="64">
        <f t="shared" si="579"/>
        <v>7</v>
      </c>
      <c r="HS29" s="64">
        <f t="shared" si="580"/>
        <v>7</v>
      </c>
      <c r="HT29" s="64"/>
      <c r="HU29" s="64">
        <v>1</v>
      </c>
      <c r="HV29" s="64"/>
      <c r="HW29" s="64">
        <v>7</v>
      </c>
      <c r="HX29" s="64"/>
      <c r="HY29" s="64"/>
      <c r="HZ29" s="64"/>
      <c r="IA29" s="64"/>
      <c r="IB29" s="64">
        <f t="shared" si="581"/>
        <v>0</v>
      </c>
      <c r="IC29" s="64">
        <f t="shared" si="581"/>
        <v>8</v>
      </c>
      <c r="ID29" s="64">
        <f t="shared" si="582"/>
        <v>8</v>
      </c>
      <c r="IE29" s="64"/>
      <c r="IF29" s="64"/>
      <c r="IG29" s="64"/>
      <c r="IH29" s="64">
        <v>1</v>
      </c>
      <c r="II29" s="64"/>
      <c r="IJ29" s="64">
        <v>1</v>
      </c>
      <c r="IK29" s="64"/>
      <c r="IL29" s="64">
        <v>1</v>
      </c>
      <c r="IM29" s="64"/>
      <c r="IN29" s="64"/>
      <c r="IO29" s="64"/>
      <c r="IP29" s="64"/>
      <c r="IQ29" s="64"/>
      <c r="IR29" s="64"/>
      <c r="IS29" s="64">
        <v>4</v>
      </c>
      <c r="IT29" s="64"/>
      <c r="IU29" s="64"/>
      <c r="IV29" s="64"/>
      <c r="IW29" s="64"/>
      <c r="IX29" s="64">
        <v>1</v>
      </c>
      <c r="IY29" s="64" t="s">
        <v>257</v>
      </c>
      <c r="IZ29" s="78">
        <v>7817918680</v>
      </c>
      <c r="JA29" s="64" t="s">
        <v>258</v>
      </c>
    </row>
    <row r="30" spans="1:265" s="65" customFormat="1" ht="24.75" customHeight="1" x14ac:dyDescent="0.25">
      <c r="A30" s="64">
        <v>2</v>
      </c>
      <c r="B30" s="64">
        <v>8</v>
      </c>
      <c r="C30" s="64">
        <v>22</v>
      </c>
      <c r="D30" s="64">
        <v>1400733</v>
      </c>
      <c r="E30" s="64" t="s">
        <v>148</v>
      </c>
      <c r="F30" s="64"/>
      <c r="G30" s="64">
        <v>1</v>
      </c>
      <c r="H30" s="64">
        <v>1</v>
      </c>
      <c r="I30" s="64"/>
      <c r="J30" s="64"/>
      <c r="K30" s="64">
        <v>1</v>
      </c>
      <c r="L30" s="64"/>
      <c r="M30" s="64"/>
      <c r="N30" s="64">
        <v>1</v>
      </c>
      <c r="O30" s="64"/>
      <c r="P30" s="64"/>
      <c r="Q30" s="64"/>
      <c r="R30" s="64">
        <v>1</v>
      </c>
      <c r="S30" s="64"/>
      <c r="T30" s="64"/>
      <c r="U30" s="64"/>
      <c r="V30" s="64">
        <v>1</v>
      </c>
      <c r="W30" s="64"/>
      <c r="X30" s="64"/>
      <c r="Y30" s="64"/>
      <c r="Z30" s="82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>
        <f t="shared" ref="AM30:AN30" si="583">AK30+AI30+AG30+AE30+AC30+AA30+Y30</f>
        <v>0</v>
      </c>
      <c r="AN30" s="64">
        <f t="shared" si="583"/>
        <v>0</v>
      </c>
      <c r="AO30" s="64">
        <f t="shared" ref="AO30" si="584">AN30+AM30</f>
        <v>0</v>
      </c>
      <c r="AP30" s="64">
        <v>1</v>
      </c>
      <c r="AQ30" s="64"/>
      <c r="AR30" s="64">
        <v>1</v>
      </c>
      <c r="AS30" s="64"/>
      <c r="AT30" s="64">
        <v>7</v>
      </c>
      <c r="AU30" s="64"/>
      <c r="AV30" s="64">
        <v>7</v>
      </c>
      <c r="AW30" s="64"/>
      <c r="AX30" s="64">
        <v>2</v>
      </c>
      <c r="AY30" s="64"/>
      <c r="AZ30" s="64"/>
      <c r="BA30" s="64"/>
      <c r="BB30" s="64">
        <v>1</v>
      </c>
      <c r="BC30" s="64"/>
      <c r="BD30" s="64">
        <f t="shared" ref="BD30" si="585">BB30+AZ30+AX30+AV30+AT30+AR30+AP30</f>
        <v>19</v>
      </c>
      <c r="BE30" s="64">
        <f t="shared" ref="BE30" si="586">BC30+BA30+AY30+AW30+AU30+AS30+AQ30</f>
        <v>0</v>
      </c>
      <c r="BF30" s="64">
        <f t="shared" ref="BF30" si="587">BE30+BD30</f>
        <v>19</v>
      </c>
      <c r="BG30" s="64"/>
      <c r="BH30" s="64"/>
      <c r="BI30" s="64">
        <v>2</v>
      </c>
      <c r="BJ30" s="64"/>
      <c r="BK30" s="64">
        <v>14</v>
      </c>
      <c r="BL30" s="64"/>
      <c r="BM30" s="64">
        <v>9</v>
      </c>
      <c r="BN30" s="64"/>
      <c r="BO30" s="64">
        <v>20</v>
      </c>
      <c r="BP30" s="64"/>
      <c r="BQ30" s="64">
        <v>8</v>
      </c>
      <c r="BR30" s="64"/>
      <c r="BS30" s="64"/>
      <c r="BT30" s="64"/>
      <c r="BU30" s="64">
        <f t="shared" ref="BU30:BV30" si="588">BS30+BQ30+BO30+BM30+BK30+BI30+BG30</f>
        <v>53</v>
      </c>
      <c r="BV30" s="64">
        <f t="shared" si="588"/>
        <v>0</v>
      </c>
      <c r="BW30" s="64">
        <f t="shared" ref="BW30" si="589">BV30+BU30</f>
        <v>53</v>
      </c>
      <c r="BX30" s="64">
        <f t="shared" ref="BX30:CK30" si="590">BG30+AP30+Y30</f>
        <v>1</v>
      </c>
      <c r="BY30" s="64">
        <f t="shared" si="590"/>
        <v>0</v>
      </c>
      <c r="BZ30" s="64">
        <f t="shared" si="590"/>
        <v>3</v>
      </c>
      <c r="CA30" s="64">
        <f t="shared" si="590"/>
        <v>0</v>
      </c>
      <c r="CB30" s="64">
        <f t="shared" si="590"/>
        <v>21</v>
      </c>
      <c r="CC30" s="64">
        <f t="shared" si="590"/>
        <v>0</v>
      </c>
      <c r="CD30" s="64">
        <f t="shared" si="590"/>
        <v>16</v>
      </c>
      <c r="CE30" s="64">
        <f t="shared" si="590"/>
        <v>0</v>
      </c>
      <c r="CF30" s="64">
        <f t="shared" si="590"/>
        <v>22</v>
      </c>
      <c r="CG30" s="64">
        <f t="shared" si="590"/>
        <v>0</v>
      </c>
      <c r="CH30" s="64">
        <f t="shared" si="590"/>
        <v>8</v>
      </c>
      <c r="CI30" s="64">
        <f t="shared" si="590"/>
        <v>0</v>
      </c>
      <c r="CJ30" s="64">
        <f t="shared" si="590"/>
        <v>1</v>
      </c>
      <c r="CK30" s="64">
        <f t="shared" si="590"/>
        <v>0</v>
      </c>
      <c r="CL30" s="64">
        <f t="shared" ref="CL30:CM30" si="591">CJ30+CH30+CF30+CD30+CB30+BZ30+BX30</f>
        <v>72</v>
      </c>
      <c r="CM30" s="64">
        <f t="shared" si="591"/>
        <v>0</v>
      </c>
      <c r="CN30" s="64">
        <f t="shared" ref="CN30" si="592">CM30+CL30</f>
        <v>72</v>
      </c>
      <c r="CO30" s="64"/>
      <c r="CP30" s="64"/>
      <c r="CQ30" s="64"/>
      <c r="CR30" s="64">
        <v>1</v>
      </c>
      <c r="CS30" s="64"/>
      <c r="CT30" s="64"/>
      <c r="CU30" s="64">
        <v>2</v>
      </c>
      <c r="CV30" s="64"/>
      <c r="CW30" s="64"/>
      <c r="CX30" s="64">
        <f t="shared" ref="CX30:CZ30" si="593">CU30+CR30+CO30</f>
        <v>3</v>
      </c>
      <c r="CY30" s="64">
        <f t="shared" si="593"/>
        <v>0</v>
      </c>
      <c r="CZ30" s="64">
        <f t="shared" si="593"/>
        <v>0</v>
      </c>
      <c r="DA30" s="64">
        <f t="shared" ref="DA30" si="594">CZ30+CY30+CX30</f>
        <v>3</v>
      </c>
      <c r="DB30" s="64"/>
      <c r="DC30" s="64"/>
      <c r="DD30" s="64"/>
      <c r="DE30" s="64"/>
      <c r="DF30" s="64"/>
      <c r="DG30" s="64"/>
      <c r="DH30" s="64">
        <f>DF30+DD30+DB30</f>
        <v>0</v>
      </c>
      <c r="DI30" s="64">
        <f>DG30+DE30+DC30</f>
        <v>0</v>
      </c>
      <c r="DJ30" s="64">
        <f>DI30+DH30</f>
        <v>0</v>
      </c>
      <c r="DK30" s="64"/>
      <c r="DL30" s="64"/>
      <c r="DM30" s="64"/>
      <c r="DN30" s="64">
        <v>14</v>
      </c>
      <c r="DO30" s="64"/>
      <c r="DP30" s="64">
        <v>4</v>
      </c>
      <c r="DQ30" s="64">
        <f t="shared" ref="DQ30:DR30" si="595">DO30+DM30+DK30</f>
        <v>0</v>
      </c>
      <c r="DR30" s="64">
        <f t="shared" si="595"/>
        <v>18</v>
      </c>
      <c r="DS30" s="64">
        <f t="shared" ref="DS30" si="596">DR30+DQ30</f>
        <v>18</v>
      </c>
      <c r="DT30" s="64"/>
      <c r="DU30" s="64"/>
      <c r="DV30" s="64"/>
      <c r="DW30" s="64">
        <v>3</v>
      </c>
      <c r="DX30" s="64"/>
      <c r="DY30" s="64">
        <v>54</v>
      </c>
      <c r="DZ30" s="64">
        <f t="shared" ref="DZ30:EA30" si="597">DX30+DV30+DT30</f>
        <v>0</v>
      </c>
      <c r="EA30" s="64">
        <f t="shared" si="597"/>
        <v>57</v>
      </c>
      <c r="EB30" s="64">
        <f t="shared" ref="EB30" si="598">EA30+DZ30</f>
        <v>57</v>
      </c>
      <c r="EC30" s="64"/>
      <c r="ED30" s="64"/>
      <c r="EE30" s="64"/>
      <c r="EF30" s="64">
        <v>7</v>
      </c>
      <c r="EG30" s="64"/>
      <c r="EH30" s="64">
        <v>10</v>
      </c>
      <c r="EI30" s="64">
        <f t="shared" ref="EI30:EJ30" si="599">EG30+EE30+EC30</f>
        <v>0</v>
      </c>
      <c r="EJ30" s="64">
        <f t="shared" si="599"/>
        <v>17</v>
      </c>
      <c r="EK30" s="64">
        <f t="shared" ref="EK30" si="600">EJ30+EI30</f>
        <v>17</v>
      </c>
      <c r="EL30" s="64"/>
      <c r="EM30" s="64"/>
      <c r="EN30" s="64"/>
      <c r="EO30" s="64"/>
      <c r="EP30" s="64"/>
      <c r="EQ30" s="64"/>
      <c r="ER30" s="64">
        <f t="shared" ref="ER30:ES30" si="601">EP30+EN30+EL30</f>
        <v>0</v>
      </c>
      <c r="ES30" s="64">
        <f t="shared" si="601"/>
        <v>0</v>
      </c>
      <c r="ET30" s="64">
        <f t="shared" ref="ET30" si="602">ES30+ER30</f>
        <v>0</v>
      </c>
      <c r="EU30" s="64">
        <v>1</v>
      </c>
      <c r="EV30" s="64"/>
      <c r="EW30" s="64"/>
      <c r="EX30" s="64"/>
      <c r="EY30" s="64">
        <v>4</v>
      </c>
      <c r="EZ30" s="64"/>
      <c r="FA30" s="64"/>
      <c r="FB30" s="64"/>
      <c r="FC30" s="64">
        <f t="shared" ref="FC30:FD30" si="603">FA30+EY30+EW30+EU30</f>
        <v>5</v>
      </c>
      <c r="FD30" s="64">
        <f t="shared" si="603"/>
        <v>0</v>
      </c>
      <c r="FE30" s="64">
        <f t="shared" ref="FE30" si="604">FD30+FC30</f>
        <v>5</v>
      </c>
      <c r="FF30" s="64"/>
      <c r="FG30" s="64"/>
      <c r="FH30" s="64"/>
      <c r="FI30" s="64"/>
      <c r="FJ30" s="64"/>
      <c r="FK30" s="64"/>
      <c r="FL30" s="64"/>
      <c r="FM30" s="64"/>
      <c r="FN30" s="64">
        <v>2</v>
      </c>
      <c r="FO30" s="64"/>
      <c r="FP30" s="64"/>
      <c r="FQ30" s="64"/>
      <c r="FR30" s="64"/>
      <c r="FS30" s="64"/>
      <c r="FT30" s="64"/>
      <c r="FU30" s="64">
        <f t="shared" ref="FU30" si="605">FT30+FS30+FR30+FN30+FL30+FH30+FF30</f>
        <v>2</v>
      </c>
      <c r="FV30" s="64">
        <f t="shared" ref="FV30" si="606">FO30+FM30+FI30+FG30</f>
        <v>0</v>
      </c>
      <c r="FW30" s="64">
        <f t="shared" ref="FW30" si="607">FV30+FU30</f>
        <v>2</v>
      </c>
      <c r="FX30" s="64"/>
      <c r="FY30" s="64"/>
      <c r="FZ30" s="64"/>
      <c r="GA30" s="64"/>
      <c r="GB30" s="64">
        <v>1</v>
      </c>
      <c r="GC30" s="64"/>
      <c r="GD30" s="64"/>
      <c r="GE30" s="64"/>
      <c r="GF30" s="64"/>
      <c r="GG30" s="64"/>
      <c r="GH30" s="64">
        <v>4</v>
      </c>
      <c r="GI30" s="64"/>
      <c r="GJ30" s="64"/>
      <c r="GK30" s="64"/>
      <c r="GL30" s="64"/>
      <c r="GM30" s="64"/>
      <c r="GN30" s="64">
        <f t="shared" ref="GN30:GO30" si="608">GL30+GJ30+GH30+GF30+GD30+GB30+FZ30+FX30</f>
        <v>5</v>
      </c>
      <c r="GO30" s="64">
        <f t="shared" si="608"/>
        <v>0</v>
      </c>
      <c r="GP30" s="64">
        <f t="shared" ref="GP30" si="609">GO30+GN30</f>
        <v>5</v>
      </c>
      <c r="GQ30" s="64">
        <v>5</v>
      </c>
      <c r="GR30" s="64"/>
      <c r="GS30" s="64"/>
      <c r="GT30" s="64"/>
      <c r="GU30" s="64"/>
      <c r="GV30" s="64"/>
      <c r="GW30" s="64">
        <f t="shared" ref="GW30:GX30" si="610">GU30+GS30+GQ30</f>
        <v>5</v>
      </c>
      <c r="GX30" s="64">
        <f t="shared" si="610"/>
        <v>0</v>
      </c>
      <c r="GY30" s="64">
        <f t="shared" ref="GY30" si="611">GX30+GW30</f>
        <v>5</v>
      </c>
      <c r="GZ30" s="64">
        <v>4</v>
      </c>
      <c r="HA30" s="64"/>
      <c r="HB30" s="64"/>
      <c r="HC30" s="64"/>
      <c r="HD30" s="64"/>
      <c r="HE30" s="64"/>
      <c r="HF30" s="64"/>
      <c r="HG30" s="64"/>
      <c r="HH30" s="64"/>
      <c r="HI30" s="64"/>
      <c r="HJ30" s="64"/>
      <c r="HK30" s="64"/>
      <c r="HL30" s="64"/>
      <c r="HM30" s="64"/>
      <c r="HN30" s="64"/>
      <c r="HO30" s="64">
        <v>1</v>
      </c>
      <c r="HP30" s="64"/>
      <c r="HQ30" s="64">
        <f t="shared" ref="HQ30:HR30" si="612">HO30+GZ30</f>
        <v>5</v>
      </c>
      <c r="HR30" s="64">
        <f t="shared" si="612"/>
        <v>0</v>
      </c>
      <c r="HS30" s="64">
        <f t="shared" ref="HS30" si="613">HR30+HQ30</f>
        <v>5</v>
      </c>
      <c r="HT30" s="64">
        <v>1</v>
      </c>
      <c r="HU30" s="64"/>
      <c r="HV30" s="64">
        <v>4</v>
      </c>
      <c r="HW30" s="64"/>
      <c r="HX30" s="64"/>
      <c r="HY30" s="64"/>
      <c r="HZ30" s="64"/>
      <c r="IA30" s="64"/>
      <c r="IB30" s="64">
        <f t="shared" ref="IB30:IC30" si="614">HZ30+HX30+HV30+HT30</f>
        <v>5</v>
      </c>
      <c r="IC30" s="64">
        <f t="shared" si="614"/>
        <v>0</v>
      </c>
      <c r="ID30" s="64">
        <f t="shared" ref="ID30" si="615">IC30+IB30</f>
        <v>5</v>
      </c>
      <c r="IE30" s="64"/>
      <c r="IF30" s="64"/>
      <c r="IG30" s="64"/>
      <c r="IH30" s="64">
        <v>1</v>
      </c>
      <c r="II30" s="64"/>
      <c r="IJ30" s="64">
        <v>1</v>
      </c>
      <c r="IK30" s="64"/>
      <c r="IL30" s="64">
        <v>1</v>
      </c>
      <c r="IM30" s="64"/>
      <c r="IN30" s="64"/>
      <c r="IO30" s="64"/>
      <c r="IP30" s="64"/>
      <c r="IQ30" s="64"/>
      <c r="IR30" s="64"/>
      <c r="IS30" s="64"/>
      <c r="IT30" s="64">
        <v>1</v>
      </c>
      <c r="IU30" s="64">
        <v>1</v>
      </c>
      <c r="IV30" s="64"/>
      <c r="IW30" s="64"/>
      <c r="IX30" s="64">
        <v>1</v>
      </c>
      <c r="IY30" s="64" t="s">
        <v>243</v>
      </c>
      <c r="IZ30" s="78">
        <v>7807413933</v>
      </c>
      <c r="JA30" s="64" t="s">
        <v>194</v>
      </c>
    </row>
    <row r="31" spans="1:265" s="106" customFormat="1" ht="29.25" customHeight="1" x14ac:dyDescent="0.25">
      <c r="A31" s="78">
        <v>3</v>
      </c>
      <c r="B31" s="78">
        <v>9</v>
      </c>
      <c r="C31" s="78">
        <v>1</v>
      </c>
      <c r="D31" s="78">
        <v>1400734</v>
      </c>
      <c r="E31" s="78" t="s">
        <v>228</v>
      </c>
      <c r="F31" s="78"/>
      <c r="G31" s="78">
        <v>1</v>
      </c>
      <c r="H31" s="78">
        <v>1</v>
      </c>
      <c r="I31" s="78">
        <v>0</v>
      </c>
      <c r="J31" s="78">
        <v>0</v>
      </c>
      <c r="K31" s="78">
        <v>1</v>
      </c>
      <c r="L31" s="78">
        <v>0</v>
      </c>
      <c r="M31" s="78">
        <v>0</v>
      </c>
      <c r="N31" s="78">
        <v>1</v>
      </c>
      <c r="O31" s="78">
        <v>0</v>
      </c>
      <c r="P31" s="78">
        <v>0</v>
      </c>
      <c r="Q31" s="78">
        <v>0</v>
      </c>
      <c r="R31" s="78">
        <v>1</v>
      </c>
      <c r="S31" s="78"/>
      <c r="T31" s="78">
        <v>0</v>
      </c>
      <c r="U31" s="78">
        <v>0</v>
      </c>
      <c r="V31" s="78">
        <v>1</v>
      </c>
      <c r="W31" s="78">
        <v>0</v>
      </c>
      <c r="X31" s="78">
        <v>0</v>
      </c>
      <c r="Y31" s="78">
        <v>6</v>
      </c>
      <c r="Z31" s="78">
        <v>0</v>
      </c>
      <c r="AA31" s="78">
        <v>12</v>
      </c>
      <c r="AB31" s="78">
        <v>0</v>
      </c>
      <c r="AC31" s="78">
        <v>6</v>
      </c>
      <c r="AD31" s="78">
        <v>0</v>
      </c>
      <c r="AE31" s="78">
        <v>4</v>
      </c>
      <c r="AF31" s="78">
        <v>0</v>
      </c>
      <c r="AG31" s="78">
        <v>6</v>
      </c>
      <c r="AH31" s="78">
        <v>0</v>
      </c>
      <c r="AI31" s="78">
        <v>1</v>
      </c>
      <c r="AJ31" s="78">
        <v>0</v>
      </c>
      <c r="AK31" s="78">
        <v>0</v>
      </c>
      <c r="AL31" s="78">
        <v>0</v>
      </c>
      <c r="AM31" s="78">
        <v>35</v>
      </c>
      <c r="AN31" s="78">
        <v>0</v>
      </c>
      <c r="AO31" s="64">
        <f t="shared" ref="AO31:AO32" si="616">AN31+AM31</f>
        <v>35</v>
      </c>
      <c r="AP31" s="78">
        <v>2</v>
      </c>
      <c r="AQ31" s="78">
        <v>0</v>
      </c>
      <c r="AR31" s="78">
        <v>4</v>
      </c>
      <c r="AS31" s="78">
        <v>0</v>
      </c>
      <c r="AT31" s="78">
        <v>11</v>
      </c>
      <c r="AU31" s="78">
        <v>0</v>
      </c>
      <c r="AV31" s="78">
        <v>18</v>
      </c>
      <c r="AW31" s="78">
        <v>0</v>
      </c>
      <c r="AX31" s="78">
        <v>10</v>
      </c>
      <c r="AY31" s="78">
        <v>0</v>
      </c>
      <c r="AZ31" s="78">
        <v>6</v>
      </c>
      <c r="BA31" s="78">
        <v>0</v>
      </c>
      <c r="BB31" s="78">
        <v>6</v>
      </c>
      <c r="BC31" s="78">
        <v>0</v>
      </c>
      <c r="BD31" s="78">
        <v>57</v>
      </c>
      <c r="BE31" s="78">
        <v>0</v>
      </c>
      <c r="BF31" s="64">
        <f t="shared" ref="BF31:BF32" si="617">BE31+BD31</f>
        <v>57</v>
      </c>
      <c r="BG31" s="78">
        <v>1</v>
      </c>
      <c r="BH31" s="78">
        <v>0</v>
      </c>
      <c r="BI31" s="78">
        <v>2</v>
      </c>
      <c r="BJ31" s="78">
        <v>0</v>
      </c>
      <c r="BK31" s="78">
        <v>1</v>
      </c>
      <c r="BL31" s="78">
        <v>0</v>
      </c>
      <c r="BM31" s="78">
        <v>6</v>
      </c>
      <c r="BN31" s="78">
        <v>0</v>
      </c>
      <c r="BO31" s="78">
        <v>9</v>
      </c>
      <c r="BP31" s="78">
        <v>0</v>
      </c>
      <c r="BQ31" s="78">
        <v>7</v>
      </c>
      <c r="BR31" s="78">
        <v>0</v>
      </c>
      <c r="BS31" s="78">
        <v>12</v>
      </c>
      <c r="BT31" s="78">
        <v>0</v>
      </c>
      <c r="BU31" s="78">
        <v>38</v>
      </c>
      <c r="BV31" s="78">
        <v>0</v>
      </c>
      <c r="BW31" s="64">
        <f t="shared" ref="BW31:BW32" si="618">BV31+BU31</f>
        <v>38</v>
      </c>
      <c r="BX31" s="78">
        <v>9</v>
      </c>
      <c r="BY31" s="78">
        <v>0</v>
      </c>
      <c r="BZ31" s="78">
        <v>18</v>
      </c>
      <c r="CA31" s="78">
        <v>0</v>
      </c>
      <c r="CB31" s="78">
        <v>18</v>
      </c>
      <c r="CC31" s="78">
        <v>0</v>
      </c>
      <c r="CD31" s="78">
        <v>28</v>
      </c>
      <c r="CE31" s="78">
        <v>0</v>
      </c>
      <c r="CF31" s="78">
        <v>25</v>
      </c>
      <c r="CG31" s="78">
        <v>0</v>
      </c>
      <c r="CH31" s="78">
        <v>14</v>
      </c>
      <c r="CI31" s="78">
        <v>0</v>
      </c>
      <c r="CJ31" s="78">
        <v>18</v>
      </c>
      <c r="CK31" s="78">
        <v>0</v>
      </c>
      <c r="CL31" s="78">
        <v>130</v>
      </c>
      <c r="CM31" s="78">
        <v>0</v>
      </c>
      <c r="CN31" s="78">
        <v>130</v>
      </c>
      <c r="CO31" s="78">
        <v>1</v>
      </c>
      <c r="CP31" s="78">
        <v>0</v>
      </c>
      <c r="CQ31" s="78">
        <v>0</v>
      </c>
      <c r="CR31" s="78">
        <v>2</v>
      </c>
      <c r="CS31" s="78">
        <v>0</v>
      </c>
      <c r="CT31" s="78">
        <v>0</v>
      </c>
      <c r="CU31" s="78">
        <v>1</v>
      </c>
      <c r="CV31" s="78">
        <v>0</v>
      </c>
      <c r="CW31" s="78">
        <v>0</v>
      </c>
      <c r="CX31" s="64">
        <f t="shared" ref="CX31:CX32" si="619">CU31+CR31+CO31</f>
        <v>4</v>
      </c>
      <c r="CY31" s="64">
        <f t="shared" ref="CY31:CY32" si="620">CV31+CS31+CP31</f>
        <v>0</v>
      </c>
      <c r="CZ31" s="64">
        <f t="shared" ref="CZ31:CZ32" si="621">CW31+CT31+CQ31</f>
        <v>0</v>
      </c>
      <c r="DA31" s="64">
        <f t="shared" ref="DA31:DA32" si="622">CZ31+CY31+CX31</f>
        <v>4</v>
      </c>
      <c r="DB31" s="78">
        <v>1</v>
      </c>
      <c r="DC31" s="78">
        <v>0</v>
      </c>
      <c r="DD31" s="78">
        <v>13</v>
      </c>
      <c r="DE31" s="78">
        <v>0</v>
      </c>
      <c r="DF31" s="78">
        <v>4</v>
      </c>
      <c r="DG31" s="78">
        <v>0</v>
      </c>
      <c r="DH31" s="78">
        <v>18</v>
      </c>
      <c r="DI31" s="78">
        <v>0</v>
      </c>
      <c r="DJ31" s="78">
        <v>18</v>
      </c>
      <c r="DK31" s="78">
        <v>33</v>
      </c>
      <c r="DL31" s="78">
        <v>0</v>
      </c>
      <c r="DM31" s="78">
        <v>24</v>
      </c>
      <c r="DN31" s="78">
        <v>0</v>
      </c>
      <c r="DO31" s="78">
        <v>23</v>
      </c>
      <c r="DP31" s="78">
        <v>0</v>
      </c>
      <c r="DQ31" s="78">
        <v>80</v>
      </c>
      <c r="DR31" s="78">
        <v>0</v>
      </c>
      <c r="DS31" s="78">
        <v>80</v>
      </c>
      <c r="DT31" s="78">
        <v>8</v>
      </c>
      <c r="DU31" s="78">
        <v>0</v>
      </c>
      <c r="DV31" s="78">
        <v>12</v>
      </c>
      <c r="DW31" s="78">
        <v>0</v>
      </c>
      <c r="DX31" s="78">
        <v>7</v>
      </c>
      <c r="DY31" s="78">
        <v>0</v>
      </c>
      <c r="DZ31" s="78">
        <v>27</v>
      </c>
      <c r="EA31" s="78">
        <v>0</v>
      </c>
      <c r="EB31" s="78"/>
      <c r="EC31" s="78">
        <v>0</v>
      </c>
      <c r="ED31" s="78">
        <v>0</v>
      </c>
      <c r="EE31" s="78">
        <v>0</v>
      </c>
      <c r="EF31" s="78">
        <v>0</v>
      </c>
      <c r="EG31" s="78">
        <v>0</v>
      </c>
      <c r="EH31" s="78">
        <v>0</v>
      </c>
      <c r="EI31" s="78">
        <v>0</v>
      </c>
      <c r="EJ31" s="78">
        <v>0</v>
      </c>
      <c r="EK31" s="78"/>
      <c r="EL31" s="78">
        <v>0</v>
      </c>
      <c r="EM31" s="78">
        <v>0</v>
      </c>
      <c r="EN31" s="78">
        <v>0</v>
      </c>
      <c r="EO31" s="78">
        <v>0</v>
      </c>
      <c r="EP31" s="78">
        <v>0</v>
      </c>
      <c r="EQ31" s="78">
        <v>0</v>
      </c>
      <c r="ER31" s="78">
        <v>0</v>
      </c>
      <c r="ES31" s="78">
        <v>0</v>
      </c>
      <c r="ET31" s="78"/>
      <c r="EU31" s="78">
        <v>1</v>
      </c>
      <c r="EV31" s="78">
        <v>0</v>
      </c>
      <c r="EW31" s="78">
        <v>1</v>
      </c>
      <c r="EX31" s="78">
        <v>0</v>
      </c>
      <c r="EY31" s="78">
        <v>6</v>
      </c>
      <c r="EZ31" s="78">
        <v>0</v>
      </c>
      <c r="FA31" s="78">
        <v>0</v>
      </c>
      <c r="FB31" s="78">
        <v>0</v>
      </c>
      <c r="FC31" s="78">
        <v>8</v>
      </c>
      <c r="FD31" s="78">
        <v>0</v>
      </c>
      <c r="FE31" s="78">
        <v>8</v>
      </c>
      <c r="FF31" s="78">
        <v>0</v>
      </c>
      <c r="FG31" s="78">
        <v>0</v>
      </c>
      <c r="FH31" s="78">
        <v>0</v>
      </c>
      <c r="FI31" s="78">
        <v>0</v>
      </c>
      <c r="FJ31" s="78">
        <v>0</v>
      </c>
      <c r="FK31" s="78">
        <v>0</v>
      </c>
      <c r="FL31" s="78">
        <v>0</v>
      </c>
      <c r="FM31" s="78">
        <v>0</v>
      </c>
      <c r="FN31" s="78">
        <v>1</v>
      </c>
      <c r="FO31" s="78">
        <v>0</v>
      </c>
      <c r="FP31" s="78"/>
      <c r="FQ31" s="78"/>
      <c r="FR31" s="78">
        <v>0</v>
      </c>
      <c r="FS31" s="78">
        <v>0</v>
      </c>
      <c r="FT31" s="78">
        <v>0</v>
      </c>
      <c r="FU31" s="78">
        <v>1</v>
      </c>
      <c r="FV31" s="78">
        <v>0</v>
      </c>
      <c r="FW31" s="78">
        <v>1</v>
      </c>
      <c r="FX31" s="78"/>
      <c r="FY31" s="78"/>
      <c r="FZ31" s="78">
        <v>0</v>
      </c>
      <c r="GA31" s="78">
        <v>0</v>
      </c>
      <c r="GB31" s="78">
        <v>2</v>
      </c>
      <c r="GC31" s="78">
        <v>0</v>
      </c>
      <c r="GD31" s="78">
        <v>0</v>
      </c>
      <c r="GE31" s="78">
        <v>0</v>
      </c>
      <c r="GF31" s="78">
        <v>0</v>
      </c>
      <c r="GG31" s="78">
        <v>0</v>
      </c>
      <c r="GH31" s="78">
        <v>6</v>
      </c>
      <c r="GI31" s="78">
        <v>0</v>
      </c>
      <c r="GJ31" s="78">
        <v>0</v>
      </c>
      <c r="GK31" s="78">
        <v>0</v>
      </c>
      <c r="GL31" s="78">
        <v>0</v>
      </c>
      <c r="GM31" s="78">
        <v>0</v>
      </c>
      <c r="GN31" s="78">
        <v>8</v>
      </c>
      <c r="GO31" s="78">
        <v>0</v>
      </c>
      <c r="GP31" s="78">
        <v>8</v>
      </c>
      <c r="GQ31" s="78">
        <v>8</v>
      </c>
      <c r="GR31" s="78">
        <v>0</v>
      </c>
      <c r="GS31" s="78">
        <v>0</v>
      </c>
      <c r="GT31" s="78">
        <v>0</v>
      </c>
      <c r="GU31" s="78">
        <v>0</v>
      </c>
      <c r="GV31" s="78">
        <v>0</v>
      </c>
      <c r="GW31" s="78">
        <v>8</v>
      </c>
      <c r="GX31" s="78">
        <v>0</v>
      </c>
      <c r="GY31" s="78">
        <v>8</v>
      </c>
      <c r="GZ31" s="78">
        <v>8</v>
      </c>
      <c r="HA31" s="78">
        <v>0</v>
      </c>
      <c r="HB31" s="78">
        <v>0</v>
      </c>
      <c r="HC31" s="78">
        <v>0</v>
      </c>
      <c r="HD31" s="78">
        <v>0</v>
      </c>
      <c r="HE31" s="78">
        <v>0</v>
      </c>
      <c r="HF31" s="78">
        <v>0</v>
      </c>
      <c r="HG31" s="78">
        <v>0</v>
      </c>
      <c r="HH31" s="78">
        <v>0</v>
      </c>
      <c r="HI31" s="78">
        <v>0</v>
      </c>
      <c r="HJ31" s="78"/>
      <c r="HK31" s="78"/>
      <c r="HL31" s="78">
        <v>0</v>
      </c>
      <c r="HM31" s="78">
        <v>0</v>
      </c>
      <c r="HN31" s="78">
        <v>0</v>
      </c>
      <c r="HO31" s="78">
        <v>0</v>
      </c>
      <c r="HP31" s="78">
        <v>0</v>
      </c>
      <c r="HQ31" s="78">
        <v>8</v>
      </c>
      <c r="HR31" s="78">
        <v>0</v>
      </c>
      <c r="HS31" s="78">
        <v>8</v>
      </c>
      <c r="HT31" s="78">
        <v>0</v>
      </c>
      <c r="HU31" s="78">
        <v>0</v>
      </c>
      <c r="HV31" s="78">
        <v>8</v>
      </c>
      <c r="HW31" s="78">
        <v>0</v>
      </c>
      <c r="HX31" s="78">
        <v>0</v>
      </c>
      <c r="HY31" s="78">
        <v>0</v>
      </c>
      <c r="HZ31" s="78">
        <v>0</v>
      </c>
      <c r="IA31" s="78">
        <v>0</v>
      </c>
      <c r="IB31" s="78">
        <v>8</v>
      </c>
      <c r="IC31" s="78">
        <v>0</v>
      </c>
      <c r="ID31" s="78">
        <v>8</v>
      </c>
      <c r="IE31" s="78">
        <v>0</v>
      </c>
      <c r="IF31" s="78">
        <v>0</v>
      </c>
      <c r="IG31" s="78">
        <v>0</v>
      </c>
      <c r="IH31" s="78">
        <v>0</v>
      </c>
      <c r="II31" s="78">
        <v>0</v>
      </c>
      <c r="IJ31" s="78">
        <v>0</v>
      </c>
      <c r="IK31" s="78">
        <v>0</v>
      </c>
      <c r="IL31" s="78">
        <v>0</v>
      </c>
      <c r="IM31" s="78">
        <v>0</v>
      </c>
      <c r="IN31" s="78">
        <v>0</v>
      </c>
      <c r="IO31" s="78">
        <v>0</v>
      </c>
      <c r="IP31" s="78">
        <v>0</v>
      </c>
      <c r="IQ31" s="78">
        <v>50</v>
      </c>
      <c r="IR31" s="78">
        <v>0</v>
      </c>
      <c r="IS31" s="78">
        <v>12</v>
      </c>
      <c r="IT31" s="78">
        <v>0</v>
      </c>
      <c r="IU31" s="78">
        <v>1</v>
      </c>
      <c r="IV31" s="78">
        <v>0</v>
      </c>
      <c r="IW31" s="78"/>
      <c r="IX31" s="78">
        <v>1</v>
      </c>
      <c r="IY31" s="78" t="s">
        <v>229</v>
      </c>
      <c r="IZ31" s="78">
        <v>7812393803</v>
      </c>
      <c r="JA31" s="78"/>
    </row>
    <row r="32" spans="1:265" s="106" customFormat="1" ht="29.25" customHeight="1" x14ac:dyDescent="0.25">
      <c r="A32" s="78">
        <v>3</v>
      </c>
      <c r="B32" s="78">
        <v>9</v>
      </c>
      <c r="C32" s="78">
        <v>2</v>
      </c>
      <c r="D32" s="78">
        <v>1401568</v>
      </c>
      <c r="E32" s="78" t="s">
        <v>244</v>
      </c>
      <c r="F32" s="78"/>
      <c r="G32" s="78">
        <v>1</v>
      </c>
      <c r="H32" s="78">
        <v>0</v>
      </c>
      <c r="I32" s="78">
        <v>1</v>
      </c>
      <c r="J32" s="78">
        <v>0</v>
      </c>
      <c r="K32" s="78">
        <v>1</v>
      </c>
      <c r="L32" s="78">
        <v>0</v>
      </c>
      <c r="M32" s="78">
        <v>0</v>
      </c>
      <c r="N32" s="78">
        <v>1</v>
      </c>
      <c r="O32" s="78">
        <v>0</v>
      </c>
      <c r="P32" s="78">
        <v>0</v>
      </c>
      <c r="Q32" s="78">
        <v>0</v>
      </c>
      <c r="R32" s="78">
        <v>1</v>
      </c>
      <c r="S32" s="78"/>
      <c r="T32" s="78">
        <v>0</v>
      </c>
      <c r="U32" s="78">
        <v>0</v>
      </c>
      <c r="V32" s="78">
        <v>1</v>
      </c>
      <c r="W32" s="78">
        <v>0</v>
      </c>
      <c r="X32" s="78">
        <v>0</v>
      </c>
      <c r="Y32" s="78">
        <v>0</v>
      </c>
      <c r="Z32" s="78">
        <v>7</v>
      </c>
      <c r="AA32" s="78">
        <v>0</v>
      </c>
      <c r="AB32" s="78">
        <v>1</v>
      </c>
      <c r="AC32" s="78">
        <v>0</v>
      </c>
      <c r="AD32" s="78">
        <v>8</v>
      </c>
      <c r="AE32" s="78">
        <v>0</v>
      </c>
      <c r="AF32" s="78">
        <v>3</v>
      </c>
      <c r="AG32" s="78">
        <v>0</v>
      </c>
      <c r="AH32" s="78">
        <v>0</v>
      </c>
      <c r="AI32" s="78">
        <v>0</v>
      </c>
      <c r="AJ32" s="78">
        <v>4</v>
      </c>
      <c r="AK32" s="78">
        <v>0</v>
      </c>
      <c r="AL32" s="78">
        <v>1</v>
      </c>
      <c r="AM32" s="78">
        <v>0</v>
      </c>
      <c r="AN32" s="78">
        <v>24</v>
      </c>
      <c r="AO32" s="64">
        <f t="shared" si="616"/>
        <v>24</v>
      </c>
      <c r="AP32" s="78">
        <v>0</v>
      </c>
      <c r="AQ32" s="78">
        <v>5</v>
      </c>
      <c r="AR32" s="78">
        <v>0</v>
      </c>
      <c r="AS32" s="78">
        <v>4</v>
      </c>
      <c r="AT32" s="78">
        <v>0</v>
      </c>
      <c r="AU32" s="78">
        <v>3</v>
      </c>
      <c r="AV32" s="78">
        <v>0</v>
      </c>
      <c r="AW32" s="78">
        <v>6</v>
      </c>
      <c r="AX32" s="78">
        <v>0</v>
      </c>
      <c r="AY32" s="78">
        <v>5</v>
      </c>
      <c r="AZ32" s="78">
        <v>0</v>
      </c>
      <c r="BA32" s="78">
        <v>2</v>
      </c>
      <c r="BB32" s="78">
        <v>0</v>
      </c>
      <c r="BC32" s="78">
        <v>0</v>
      </c>
      <c r="BD32" s="78">
        <v>0</v>
      </c>
      <c r="BE32" s="78">
        <v>25</v>
      </c>
      <c r="BF32" s="64">
        <f t="shared" si="617"/>
        <v>25</v>
      </c>
      <c r="BG32" s="78">
        <v>0</v>
      </c>
      <c r="BH32" s="78">
        <v>2</v>
      </c>
      <c r="BI32" s="78">
        <v>0</v>
      </c>
      <c r="BJ32" s="78">
        <v>0</v>
      </c>
      <c r="BK32" s="78">
        <v>0</v>
      </c>
      <c r="BL32" s="78">
        <v>5</v>
      </c>
      <c r="BM32" s="78">
        <v>0</v>
      </c>
      <c r="BN32" s="78">
        <v>7</v>
      </c>
      <c r="BO32" s="78">
        <v>0</v>
      </c>
      <c r="BP32" s="78">
        <v>9</v>
      </c>
      <c r="BQ32" s="78">
        <v>0</v>
      </c>
      <c r="BR32" s="78">
        <v>8</v>
      </c>
      <c r="BS32" s="78">
        <v>0</v>
      </c>
      <c r="BT32" s="78">
        <v>7</v>
      </c>
      <c r="BU32" s="78">
        <v>0</v>
      </c>
      <c r="BV32" s="78">
        <v>38</v>
      </c>
      <c r="BW32" s="64">
        <f t="shared" si="618"/>
        <v>38</v>
      </c>
      <c r="BX32" s="78">
        <v>0</v>
      </c>
      <c r="BY32" s="78">
        <v>14</v>
      </c>
      <c r="BZ32" s="78">
        <v>0</v>
      </c>
      <c r="CA32" s="78">
        <v>5</v>
      </c>
      <c r="CB32" s="78">
        <v>0</v>
      </c>
      <c r="CC32" s="78">
        <v>16</v>
      </c>
      <c r="CD32" s="78">
        <v>0</v>
      </c>
      <c r="CE32" s="78">
        <v>16</v>
      </c>
      <c r="CF32" s="78">
        <v>0</v>
      </c>
      <c r="CG32" s="78">
        <v>14</v>
      </c>
      <c r="CH32" s="78">
        <v>0</v>
      </c>
      <c r="CI32" s="78">
        <v>14</v>
      </c>
      <c r="CJ32" s="78">
        <v>0</v>
      </c>
      <c r="CK32" s="78">
        <v>8</v>
      </c>
      <c r="CL32" s="78">
        <v>0</v>
      </c>
      <c r="CM32" s="78">
        <v>87</v>
      </c>
      <c r="CN32" s="78">
        <v>87</v>
      </c>
      <c r="CO32" s="78">
        <v>0</v>
      </c>
      <c r="CP32" s="78">
        <v>1</v>
      </c>
      <c r="CQ32" s="78">
        <v>0</v>
      </c>
      <c r="CR32" s="78">
        <v>0</v>
      </c>
      <c r="CS32" s="78">
        <v>1</v>
      </c>
      <c r="CT32" s="78">
        <v>0</v>
      </c>
      <c r="CU32" s="78">
        <v>0</v>
      </c>
      <c r="CV32" s="78">
        <v>2</v>
      </c>
      <c r="CW32" s="78">
        <v>0</v>
      </c>
      <c r="CX32" s="64">
        <f t="shared" si="619"/>
        <v>0</v>
      </c>
      <c r="CY32" s="64">
        <f t="shared" si="620"/>
        <v>4</v>
      </c>
      <c r="CZ32" s="64">
        <f t="shared" si="621"/>
        <v>0</v>
      </c>
      <c r="DA32" s="64">
        <f t="shared" si="622"/>
        <v>4</v>
      </c>
      <c r="DB32" s="78">
        <v>0</v>
      </c>
      <c r="DC32" s="78">
        <v>2</v>
      </c>
      <c r="DD32" s="78">
        <v>0</v>
      </c>
      <c r="DE32" s="78">
        <v>2</v>
      </c>
      <c r="DF32" s="78">
        <v>0</v>
      </c>
      <c r="DG32" s="78">
        <v>1</v>
      </c>
      <c r="DH32" s="78">
        <v>0</v>
      </c>
      <c r="DI32" s="78">
        <v>5</v>
      </c>
      <c r="DJ32" s="78">
        <v>5</v>
      </c>
      <c r="DK32" s="78">
        <v>0</v>
      </c>
      <c r="DL32" s="78">
        <v>11</v>
      </c>
      <c r="DM32" s="78">
        <v>0</v>
      </c>
      <c r="DN32" s="78">
        <v>19</v>
      </c>
      <c r="DO32" s="78">
        <v>0</v>
      </c>
      <c r="DP32" s="78">
        <v>23</v>
      </c>
      <c r="DQ32" s="78">
        <v>0</v>
      </c>
      <c r="DR32" s="78">
        <v>53</v>
      </c>
      <c r="DS32" s="78">
        <v>53</v>
      </c>
      <c r="DT32" s="78">
        <v>0</v>
      </c>
      <c r="DU32" s="78">
        <v>19</v>
      </c>
      <c r="DV32" s="78">
        <v>0</v>
      </c>
      <c r="DW32" s="78">
        <v>17</v>
      </c>
      <c r="DX32" s="78">
        <v>0</v>
      </c>
      <c r="DY32" s="78">
        <v>12</v>
      </c>
      <c r="DZ32" s="78">
        <v>0</v>
      </c>
      <c r="EA32" s="78">
        <v>48</v>
      </c>
      <c r="EB32" s="78"/>
      <c r="EC32" s="78">
        <v>0</v>
      </c>
      <c r="ED32" s="78">
        <v>0</v>
      </c>
      <c r="EE32" s="78">
        <v>0</v>
      </c>
      <c r="EF32" s="78">
        <v>0</v>
      </c>
      <c r="EG32" s="78">
        <v>0</v>
      </c>
      <c r="EH32" s="78">
        <v>0</v>
      </c>
      <c r="EI32" s="78">
        <v>0</v>
      </c>
      <c r="EJ32" s="78">
        <v>0</v>
      </c>
      <c r="EK32" s="78"/>
      <c r="EL32" s="78">
        <v>0</v>
      </c>
      <c r="EM32" s="78">
        <v>0</v>
      </c>
      <c r="EN32" s="78">
        <v>0</v>
      </c>
      <c r="EO32" s="78">
        <v>0</v>
      </c>
      <c r="EP32" s="78">
        <v>0</v>
      </c>
      <c r="EQ32" s="78">
        <v>0</v>
      </c>
      <c r="ER32" s="78">
        <v>0</v>
      </c>
      <c r="ES32" s="78">
        <v>0</v>
      </c>
      <c r="ET32" s="78"/>
      <c r="EU32" s="78">
        <v>0</v>
      </c>
      <c r="EV32" s="78">
        <v>1</v>
      </c>
      <c r="EW32" s="78">
        <v>0</v>
      </c>
      <c r="EX32" s="78">
        <v>0</v>
      </c>
      <c r="EY32" s="78">
        <v>0</v>
      </c>
      <c r="EZ32" s="78">
        <v>0</v>
      </c>
      <c r="FA32" s="78">
        <v>0</v>
      </c>
      <c r="FB32" s="78">
        <v>0</v>
      </c>
      <c r="FC32" s="78">
        <v>0</v>
      </c>
      <c r="FD32" s="78">
        <v>1</v>
      </c>
      <c r="FE32" s="78">
        <v>1</v>
      </c>
      <c r="FF32" s="78">
        <v>0</v>
      </c>
      <c r="FG32" s="78">
        <v>0</v>
      </c>
      <c r="FH32" s="78">
        <v>0</v>
      </c>
      <c r="FI32" s="78">
        <v>0</v>
      </c>
      <c r="FJ32" s="78">
        <v>0</v>
      </c>
      <c r="FK32" s="78">
        <v>0</v>
      </c>
      <c r="FL32" s="78">
        <v>0</v>
      </c>
      <c r="FM32" s="78">
        <v>0</v>
      </c>
      <c r="FN32" s="78">
        <v>1</v>
      </c>
      <c r="FO32" s="78">
        <v>0</v>
      </c>
      <c r="FP32" s="78"/>
      <c r="FQ32" s="78"/>
      <c r="FR32" s="78">
        <v>0</v>
      </c>
      <c r="FS32" s="78">
        <v>0</v>
      </c>
      <c r="FT32" s="78">
        <v>0</v>
      </c>
      <c r="FU32" s="78">
        <v>1</v>
      </c>
      <c r="FV32" s="78">
        <v>0</v>
      </c>
      <c r="FW32" s="78">
        <v>1</v>
      </c>
      <c r="FX32" s="78"/>
      <c r="FY32" s="78"/>
      <c r="FZ32" s="78">
        <v>0</v>
      </c>
      <c r="GA32" s="78">
        <v>0</v>
      </c>
      <c r="GB32" s="78">
        <v>0</v>
      </c>
      <c r="GC32" s="78">
        <v>1</v>
      </c>
      <c r="GD32" s="78">
        <v>0</v>
      </c>
      <c r="GE32" s="78">
        <v>0</v>
      </c>
      <c r="GF32" s="78">
        <v>0</v>
      </c>
      <c r="GG32" s="78">
        <v>0</v>
      </c>
      <c r="GH32" s="78">
        <v>0</v>
      </c>
      <c r="GI32" s="78">
        <v>0</v>
      </c>
      <c r="GJ32" s="78">
        <v>0</v>
      </c>
      <c r="GK32" s="78">
        <v>0</v>
      </c>
      <c r="GL32" s="78">
        <v>0</v>
      </c>
      <c r="GM32" s="78">
        <v>0</v>
      </c>
      <c r="GN32" s="78">
        <v>0</v>
      </c>
      <c r="GO32" s="78">
        <v>1</v>
      </c>
      <c r="GP32" s="78">
        <v>1</v>
      </c>
      <c r="GQ32" s="78">
        <v>0</v>
      </c>
      <c r="GR32" s="78">
        <v>1</v>
      </c>
      <c r="GS32" s="78">
        <v>0</v>
      </c>
      <c r="GT32" s="78">
        <v>0</v>
      </c>
      <c r="GU32" s="78">
        <v>0</v>
      </c>
      <c r="GV32" s="78">
        <v>0</v>
      </c>
      <c r="GW32" s="78">
        <v>0</v>
      </c>
      <c r="GX32" s="78">
        <v>1</v>
      </c>
      <c r="GY32" s="78">
        <v>1</v>
      </c>
      <c r="GZ32" s="78">
        <v>0</v>
      </c>
      <c r="HA32" s="78">
        <v>1</v>
      </c>
      <c r="HB32" s="78">
        <v>0</v>
      </c>
      <c r="HC32" s="78">
        <v>0</v>
      </c>
      <c r="HD32" s="78">
        <v>0</v>
      </c>
      <c r="HE32" s="78">
        <v>0</v>
      </c>
      <c r="HF32" s="78">
        <v>0</v>
      </c>
      <c r="HG32" s="78">
        <v>0</v>
      </c>
      <c r="HH32" s="78">
        <v>0</v>
      </c>
      <c r="HI32" s="78">
        <v>0</v>
      </c>
      <c r="HJ32" s="78"/>
      <c r="HK32" s="78"/>
      <c r="HL32" s="78">
        <v>0</v>
      </c>
      <c r="HM32" s="78">
        <v>0</v>
      </c>
      <c r="HN32" s="78">
        <v>0</v>
      </c>
      <c r="HO32" s="78">
        <v>0</v>
      </c>
      <c r="HP32" s="78">
        <v>0</v>
      </c>
      <c r="HQ32" s="78">
        <v>0</v>
      </c>
      <c r="HR32" s="78">
        <v>1</v>
      </c>
      <c r="HS32" s="78">
        <v>1</v>
      </c>
      <c r="HT32" s="78">
        <v>0</v>
      </c>
      <c r="HU32" s="78">
        <v>0</v>
      </c>
      <c r="HV32" s="78">
        <v>0</v>
      </c>
      <c r="HW32" s="78">
        <v>1</v>
      </c>
      <c r="HX32" s="78">
        <v>0</v>
      </c>
      <c r="HY32" s="78">
        <v>0</v>
      </c>
      <c r="HZ32" s="78">
        <v>0</v>
      </c>
      <c r="IA32" s="78">
        <v>0</v>
      </c>
      <c r="IB32" s="78">
        <v>0</v>
      </c>
      <c r="IC32" s="78">
        <v>1</v>
      </c>
      <c r="ID32" s="78">
        <v>1</v>
      </c>
      <c r="IE32" s="78">
        <v>0</v>
      </c>
      <c r="IF32" s="78">
        <v>0</v>
      </c>
      <c r="IG32" s="78">
        <v>0</v>
      </c>
      <c r="IH32" s="78">
        <v>0</v>
      </c>
      <c r="II32" s="78">
        <v>0</v>
      </c>
      <c r="IJ32" s="78">
        <v>0</v>
      </c>
      <c r="IK32" s="78">
        <v>0</v>
      </c>
      <c r="IL32" s="78">
        <v>0</v>
      </c>
      <c r="IM32" s="78">
        <v>0</v>
      </c>
      <c r="IN32" s="78">
        <v>0</v>
      </c>
      <c r="IO32" s="78">
        <v>0</v>
      </c>
      <c r="IP32" s="78">
        <v>0</v>
      </c>
      <c r="IQ32" s="78"/>
      <c r="IR32" s="78"/>
      <c r="IS32" s="78"/>
      <c r="IT32" s="78"/>
      <c r="IU32" s="78"/>
      <c r="IV32" s="78"/>
      <c r="IW32" s="78"/>
      <c r="IX32" s="78">
        <v>1</v>
      </c>
      <c r="IY32" s="78" t="s">
        <v>245</v>
      </c>
      <c r="IZ32" s="78">
        <v>7825033403</v>
      </c>
      <c r="JA32" s="78"/>
    </row>
    <row r="33" spans="1:261" s="106" customFormat="1" ht="29.25" customHeight="1" x14ac:dyDescent="0.25">
      <c r="A33" s="78">
        <v>4</v>
      </c>
      <c r="B33" s="78">
        <v>11</v>
      </c>
      <c r="C33" s="78">
        <v>1</v>
      </c>
      <c r="D33" s="78">
        <v>1400736</v>
      </c>
      <c r="E33" s="78" t="s">
        <v>230</v>
      </c>
      <c r="F33" s="78"/>
      <c r="G33" s="78">
        <v>1</v>
      </c>
      <c r="H33" s="78">
        <v>0</v>
      </c>
      <c r="I33" s="78">
        <v>1</v>
      </c>
      <c r="J33" s="78">
        <v>0</v>
      </c>
      <c r="K33" s="78">
        <v>1</v>
      </c>
      <c r="L33" s="78">
        <v>0</v>
      </c>
      <c r="M33" s="78">
        <v>0</v>
      </c>
      <c r="N33" s="78">
        <v>1</v>
      </c>
      <c r="O33" s="78">
        <v>0</v>
      </c>
      <c r="P33" s="78">
        <v>0</v>
      </c>
      <c r="Q33" s="78">
        <v>0</v>
      </c>
      <c r="R33" s="78">
        <v>1</v>
      </c>
      <c r="S33" s="78"/>
      <c r="T33" s="78">
        <v>0</v>
      </c>
      <c r="U33" s="78">
        <v>0</v>
      </c>
      <c r="V33" s="78">
        <v>1</v>
      </c>
      <c r="W33" s="78">
        <v>0</v>
      </c>
      <c r="X33" s="78">
        <v>0</v>
      </c>
      <c r="Y33" s="78">
        <v>0</v>
      </c>
      <c r="Z33" s="78">
        <v>3</v>
      </c>
      <c r="AA33" s="78">
        <v>0</v>
      </c>
      <c r="AB33" s="78">
        <v>2</v>
      </c>
      <c r="AC33" s="78">
        <v>0</v>
      </c>
      <c r="AD33" s="78">
        <v>1</v>
      </c>
      <c r="AE33" s="78">
        <v>0</v>
      </c>
      <c r="AF33" s="78">
        <v>1</v>
      </c>
      <c r="AG33" s="78">
        <v>0</v>
      </c>
      <c r="AH33" s="78">
        <v>0</v>
      </c>
      <c r="AI33" s="78">
        <v>0</v>
      </c>
      <c r="AJ33" s="78">
        <v>0</v>
      </c>
      <c r="AK33" s="78">
        <v>0</v>
      </c>
      <c r="AL33" s="78">
        <v>0</v>
      </c>
      <c r="AM33" s="78">
        <v>0</v>
      </c>
      <c r="AN33" s="78">
        <v>7</v>
      </c>
      <c r="AO33" s="64">
        <f t="shared" ref="AO33:AO34" si="623">AN33+AM33</f>
        <v>7</v>
      </c>
      <c r="AP33" s="78">
        <v>0</v>
      </c>
      <c r="AQ33" s="78">
        <v>1</v>
      </c>
      <c r="AR33" s="78">
        <v>0</v>
      </c>
      <c r="AS33" s="78">
        <v>1</v>
      </c>
      <c r="AT33" s="78">
        <v>0</v>
      </c>
      <c r="AU33" s="78">
        <v>0</v>
      </c>
      <c r="AV33" s="78">
        <v>0</v>
      </c>
      <c r="AW33" s="78">
        <v>1</v>
      </c>
      <c r="AX33" s="78">
        <v>0</v>
      </c>
      <c r="AY33" s="78">
        <v>0</v>
      </c>
      <c r="AZ33" s="78">
        <v>0</v>
      </c>
      <c r="BA33" s="78">
        <v>1</v>
      </c>
      <c r="BB33" s="78">
        <v>0</v>
      </c>
      <c r="BC33" s="78">
        <v>2</v>
      </c>
      <c r="BD33" s="78">
        <v>0</v>
      </c>
      <c r="BE33" s="78">
        <v>6</v>
      </c>
      <c r="BF33" s="64">
        <f t="shared" ref="BF33:BF34" si="624">BE33+BD33</f>
        <v>6</v>
      </c>
      <c r="BG33" s="78">
        <v>0</v>
      </c>
      <c r="BH33" s="78">
        <v>1</v>
      </c>
      <c r="BI33" s="78">
        <v>0</v>
      </c>
      <c r="BJ33" s="78">
        <v>1</v>
      </c>
      <c r="BK33" s="78">
        <v>0</v>
      </c>
      <c r="BL33" s="78">
        <v>7</v>
      </c>
      <c r="BM33" s="78">
        <v>0</v>
      </c>
      <c r="BN33" s="78">
        <v>3</v>
      </c>
      <c r="BO33" s="78">
        <v>0</v>
      </c>
      <c r="BP33" s="78">
        <v>2</v>
      </c>
      <c r="BQ33" s="78">
        <v>0</v>
      </c>
      <c r="BR33" s="78">
        <v>4</v>
      </c>
      <c r="BS33" s="78">
        <v>0</v>
      </c>
      <c r="BT33" s="78">
        <v>4</v>
      </c>
      <c r="BU33" s="78">
        <v>0</v>
      </c>
      <c r="BV33" s="78">
        <v>22</v>
      </c>
      <c r="BW33" s="64">
        <f t="shared" ref="BW33:BW34" si="625">BV33+BU33</f>
        <v>22</v>
      </c>
      <c r="BX33" s="78">
        <v>0</v>
      </c>
      <c r="BY33" s="78">
        <v>5</v>
      </c>
      <c r="BZ33" s="78">
        <v>0</v>
      </c>
      <c r="CA33" s="78">
        <v>4</v>
      </c>
      <c r="CB33" s="78">
        <v>0</v>
      </c>
      <c r="CC33" s="78">
        <v>8</v>
      </c>
      <c r="CD33" s="78">
        <v>0</v>
      </c>
      <c r="CE33" s="78">
        <v>5</v>
      </c>
      <c r="CF33" s="78">
        <v>0</v>
      </c>
      <c r="CG33" s="78">
        <v>2</v>
      </c>
      <c r="CH33" s="78">
        <v>0</v>
      </c>
      <c r="CI33" s="78">
        <v>5</v>
      </c>
      <c r="CJ33" s="78">
        <v>0</v>
      </c>
      <c r="CK33" s="78">
        <v>6</v>
      </c>
      <c r="CL33" s="78">
        <v>0</v>
      </c>
      <c r="CM33" s="78">
        <v>35</v>
      </c>
      <c r="CN33" s="78">
        <v>35</v>
      </c>
      <c r="CO33" s="78">
        <v>0</v>
      </c>
      <c r="CP33" s="78">
        <v>1</v>
      </c>
      <c r="CQ33" s="78">
        <v>0</v>
      </c>
      <c r="CR33" s="78">
        <v>0</v>
      </c>
      <c r="CS33" s="78">
        <v>1</v>
      </c>
      <c r="CT33" s="78">
        <v>0</v>
      </c>
      <c r="CU33" s="78">
        <v>0</v>
      </c>
      <c r="CV33" s="78">
        <v>1</v>
      </c>
      <c r="CW33" s="78">
        <v>0</v>
      </c>
      <c r="CX33" s="64">
        <f t="shared" ref="CX33:CX34" si="626">CU33+CR33+CO33</f>
        <v>0</v>
      </c>
      <c r="CY33" s="64">
        <f t="shared" ref="CY33:CY34" si="627">CV33+CS33+CP33</f>
        <v>3</v>
      </c>
      <c r="CZ33" s="64">
        <f t="shared" ref="CZ33:CZ34" si="628">CW33+CT33+CQ33</f>
        <v>0</v>
      </c>
      <c r="DA33" s="64">
        <f t="shared" ref="DA33:DA34" si="629">CZ33+CY33+CX33</f>
        <v>3</v>
      </c>
      <c r="DB33" s="78">
        <v>0</v>
      </c>
      <c r="DC33" s="78">
        <v>0</v>
      </c>
      <c r="DD33" s="78">
        <v>0</v>
      </c>
      <c r="DE33" s="78">
        <v>0</v>
      </c>
      <c r="DF33" s="78">
        <v>0</v>
      </c>
      <c r="DG33" s="78">
        <v>0</v>
      </c>
      <c r="DH33" s="78">
        <v>0</v>
      </c>
      <c r="DI33" s="78">
        <v>0</v>
      </c>
      <c r="DJ33" s="78">
        <v>0</v>
      </c>
      <c r="DK33" s="78">
        <v>4</v>
      </c>
      <c r="DL33" s="78">
        <v>0</v>
      </c>
      <c r="DM33" s="78">
        <v>11</v>
      </c>
      <c r="DN33" s="78">
        <v>0</v>
      </c>
      <c r="DO33" s="78">
        <v>28</v>
      </c>
      <c r="DP33" s="78">
        <v>0</v>
      </c>
      <c r="DQ33" s="78">
        <v>43</v>
      </c>
      <c r="DR33" s="78">
        <v>0</v>
      </c>
      <c r="DS33" s="78">
        <v>43</v>
      </c>
      <c r="DT33" s="78">
        <v>7</v>
      </c>
      <c r="DU33" s="78">
        <v>0</v>
      </c>
      <c r="DV33" s="78">
        <v>9</v>
      </c>
      <c r="DW33" s="78">
        <v>0</v>
      </c>
      <c r="DX33" s="78">
        <v>17</v>
      </c>
      <c r="DY33" s="78">
        <v>0</v>
      </c>
      <c r="DZ33" s="78">
        <v>33</v>
      </c>
      <c r="EA33" s="78">
        <v>0</v>
      </c>
      <c r="EB33" s="78"/>
      <c r="EC33" s="78">
        <v>0</v>
      </c>
      <c r="ED33" s="78">
        <v>0</v>
      </c>
      <c r="EE33" s="78">
        <v>0</v>
      </c>
      <c r="EF33" s="78">
        <v>0</v>
      </c>
      <c r="EG33" s="78">
        <v>0</v>
      </c>
      <c r="EH33" s="78">
        <v>0</v>
      </c>
      <c r="EI33" s="78">
        <v>0</v>
      </c>
      <c r="EJ33" s="78">
        <v>0</v>
      </c>
      <c r="EK33" s="78"/>
      <c r="EL33" s="78">
        <v>0</v>
      </c>
      <c r="EM33" s="78">
        <v>0</v>
      </c>
      <c r="EN33" s="78">
        <v>0</v>
      </c>
      <c r="EO33" s="78">
        <v>0</v>
      </c>
      <c r="EP33" s="78">
        <v>0</v>
      </c>
      <c r="EQ33" s="78">
        <v>0</v>
      </c>
      <c r="ER33" s="78">
        <v>0</v>
      </c>
      <c r="ES33" s="78">
        <v>0</v>
      </c>
      <c r="ET33" s="78"/>
      <c r="EU33" s="78">
        <v>0</v>
      </c>
      <c r="EV33" s="78">
        <v>1</v>
      </c>
      <c r="EW33" s="78">
        <v>0</v>
      </c>
      <c r="EX33" s="78">
        <v>0</v>
      </c>
      <c r="EY33" s="78">
        <v>0</v>
      </c>
      <c r="EZ33" s="78">
        <v>5</v>
      </c>
      <c r="FA33" s="78">
        <v>0</v>
      </c>
      <c r="FB33" s="78">
        <v>0</v>
      </c>
      <c r="FC33" s="78">
        <v>0</v>
      </c>
      <c r="FD33" s="78">
        <v>6</v>
      </c>
      <c r="FE33" s="78">
        <v>6</v>
      </c>
      <c r="FF33" s="78">
        <v>0</v>
      </c>
      <c r="FG33" s="78">
        <v>0</v>
      </c>
      <c r="FH33" s="78">
        <v>0</v>
      </c>
      <c r="FI33" s="78">
        <v>0</v>
      </c>
      <c r="FJ33" s="78">
        <v>0</v>
      </c>
      <c r="FK33" s="78">
        <v>0</v>
      </c>
      <c r="FL33" s="78">
        <v>0</v>
      </c>
      <c r="FM33" s="78">
        <v>0</v>
      </c>
      <c r="FN33" s="78">
        <v>0</v>
      </c>
      <c r="FO33" s="78">
        <v>1</v>
      </c>
      <c r="FP33" s="78"/>
      <c r="FQ33" s="78"/>
      <c r="FR33" s="78">
        <v>0</v>
      </c>
      <c r="FS33" s="78">
        <v>0</v>
      </c>
      <c r="FT33" s="78">
        <v>0</v>
      </c>
      <c r="FU33" s="78">
        <v>0</v>
      </c>
      <c r="FV33" s="78">
        <v>1</v>
      </c>
      <c r="FW33" s="78">
        <v>1</v>
      </c>
      <c r="FX33" s="78"/>
      <c r="FY33" s="78"/>
      <c r="FZ33" s="78">
        <v>0</v>
      </c>
      <c r="GA33" s="78">
        <v>0</v>
      </c>
      <c r="GB33" s="78">
        <v>0</v>
      </c>
      <c r="GC33" s="78">
        <v>2</v>
      </c>
      <c r="GD33" s="78">
        <v>0</v>
      </c>
      <c r="GE33" s="78">
        <v>0</v>
      </c>
      <c r="GF33" s="78">
        <v>0</v>
      </c>
      <c r="GG33" s="78">
        <v>0</v>
      </c>
      <c r="GH33" s="78">
        <v>0</v>
      </c>
      <c r="GI33" s="78">
        <v>4</v>
      </c>
      <c r="GJ33" s="78">
        <v>0</v>
      </c>
      <c r="GK33" s="78">
        <v>0</v>
      </c>
      <c r="GL33" s="78">
        <v>0</v>
      </c>
      <c r="GM33" s="78">
        <v>0</v>
      </c>
      <c r="GN33" s="78">
        <v>0</v>
      </c>
      <c r="GO33" s="78">
        <v>6</v>
      </c>
      <c r="GP33" s="78">
        <v>6</v>
      </c>
      <c r="GQ33" s="78">
        <v>0</v>
      </c>
      <c r="GR33" s="78">
        <v>6</v>
      </c>
      <c r="GS33" s="78">
        <v>0</v>
      </c>
      <c r="GT33" s="78">
        <v>0</v>
      </c>
      <c r="GU33" s="78">
        <v>0</v>
      </c>
      <c r="GV33" s="78">
        <v>0</v>
      </c>
      <c r="GW33" s="78">
        <v>0</v>
      </c>
      <c r="GX33" s="78">
        <v>6</v>
      </c>
      <c r="GY33" s="78">
        <v>6</v>
      </c>
      <c r="GZ33" s="78">
        <v>0</v>
      </c>
      <c r="HA33" s="78">
        <v>6</v>
      </c>
      <c r="HB33" s="78">
        <v>0</v>
      </c>
      <c r="HC33" s="78">
        <v>0</v>
      </c>
      <c r="HD33" s="78">
        <v>0</v>
      </c>
      <c r="HE33" s="78">
        <v>0</v>
      </c>
      <c r="HF33" s="78">
        <v>0</v>
      </c>
      <c r="HG33" s="78">
        <v>0</v>
      </c>
      <c r="HH33" s="78">
        <v>0</v>
      </c>
      <c r="HI33" s="78">
        <v>0</v>
      </c>
      <c r="HJ33" s="78"/>
      <c r="HK33" s="78"/>
      <c r="HL33" s="78">
        <v>0</v>
      </c>
      <c r="HM33" s="78">
        <v>0</v>
      </c>
      <c r="HN33" s="78">
        <v>0</v>
      </c>
      <c r="HO33" s="78">
        <v>0</v>
      </c>
      <c r="HP33" s="78">
        <v>0</v>
      </c>
      <c r="HQ33" s="78">
        <v>0</v>
      </c>
      <c r="HR33" s="78">
        <v>6</v>
      </c>
      <c r="HS33" s="78">
        <v>6</v>
      </c>
      <c r="HT33" s="78">
        <v>0</v>
      </c>
      <c r="HU33" s="78">
        <v>1</v>
      </c>
      <c r="HV33" s="78">
        <v>0</v>
      </c>
      <c r="HW33" s="78">
        <v>5</v>
      </c>
      <c r="HX33" s="78">
        <v>0</v>
      </c>
      <c r="HY33" s="78">
        <v>0</v>
      </c>
      <c r="HZ33" s="78">
        <v>0</v>
      </c>
      <c r="IA33" s="78">
        <v>0</v>
      </c>
      <c r="IB33" s="78">
        <v>0</v>
      </c>
      <c r="IC33" s="78">
        <v>6</v>
      </c>
      <c r="ID33" s="78">
        <v>6</v>
      </c>
      <c r="IE33" s="78">
        <v>0</v>
      </c>
      <c r="IF33" s="78">
        <v>1</v>
      </c>
      <c r="IG33" s="78">
        <v>0</v>
      </c>
      <c r="IH33" s="78">
        <v>0</v>
      </c>
      <c r="II33" s="78">
        <v>0</v>
      </c>
      <c r="IJ33" s="78">
        <v>0</v>
      </c>
      <c r="IK33" s="78">
        <v>0</v>
      </c>
      <c r="IL33" s="78">
        <v>0</v>
      </c>
      <c r="IM33" s="78">
        <v>0</v>
      </c>
      <c r="IN33" s="78">
        <v>0</v>
      </c>
      <c r="IO33" s="78">
        <v>0</v>
      </c>
      <c r="IP33" s="78">
        <v>0</v>
      </c>
      <c r="IQ33" s="78">
        <v>0</v>
      </c>
      <c r="IR33" s="78">
        <v>0</v>
      </c>
      <c r="IS33" s="78">
        <v>5</v>
      </c>
      <c r="IT33" s="78">
        <v>0</v>
      </c>
      <c r="IU33" s="78">
        <v>0</v>
      </c>
      <c r="IV33" s="78">
        <v>0</v>
      </c>
      <c r="IW33" s="78"/>
      <c r="IX33" s="78">
        <v>1</v>
      </c>
      <c r="IY33" s="78" t="s">
        <v>231</v>
      </c>
      <c r="IZ33" s="78">
        <v>7807252685</v>
      </c>
      <c r="JA33" s="78"/>
    </row>
    <row r="34" spans="1:261" s="106" customFormat="1" ht="29.25" customHeight="1" x14ac:dyDescent="0.25">
      <c r="A34" s="78">
        <v>4</v>
      </c>
      <c r="B34" s="78">
        <v>11</v>
      </c>
      <c r="C34" s="78">
        <v>2</v>
      </c>
      <c r="D34" s="78">
        <v>1400737</v>
      </c>
      <c r="E34" s="78" t="s">
        <v>232</v>
      </c>
      <c r="F34" s="78"/>
      <c r="G34" s="78">
        <v>1</v>
      </c>
      <c r="H34" s="78">
        <v>1</v>
      </c>
      <c r="I34" s="78">
        <v>0</v>
      </c>
      <c r="J34" s="78">
        <v>0</v>
      </c>
      <c r="K34" s="78">
        <v>1</v>
      </c>
      <c r="L34" s="78">
        <v>0</v>
      </c>
      <c r="M34" s="78">
        <v>0</v>
      </c>
      <c r="N34" s="78">
        <v>1</v>
      </c>
      <c r="O34" s="78">
        <v>0</v>
      </c>
      <c r="P34" s="78">
        <v>0</v>
      </c>
      <c r="Q34" s="78"/>
      <c r="R34" s="78">
        <v>1</v>
      </c>
      <c r="S34" s="78"/>
      <c r="T34" s="78">
        <v>0</v>
      </c>
      <c r="U34" s="78">
        <v>0</v>
      </c>
      <c r="V34" s="78">
        <v>1</v>
      </c>
      <c r="W34" s="78">
        <v>0</v>
      </c>
      <c r="X34" s="78">
        <v>0</v>
      </c>
      <c r="Y34" s="78">
        <v>1</v>
      </c>
      <c r="Z34" s="78">
        <v>0</v>
      </c>
      <c r="AA34" s="78">
        <v>2</v>
      </c>
      <c r="AB34" s="78">
        <v>0</v>
      </c>
      <c r="AC34" s="78">
        <v>5</v>
      </c>
      <c r="AD34" s="78">
        <v>0</v>
      </c>
      <c r="AE34" s="78">
        <v>5</v>
      </c>
      <c r="AF34" s="78">
        <v>0</v>
      </c>
      <c r="AG34" s="78">
        <v>0</v>
      </c>
      <c r="AH34" s="78">
        <v>0</v>
      </c>
      <c r="AI34" s="78">
        <v>0</v>
      </c>
      <c r="AJ34" s="78">
        <v>0</v>
      </c>
      <c r="AK34" s="78">
        <v>0</v>
      </c>
      <c r="AL34" s="78">
        <v>0</v>
      </c>
      <c r="AM34" s="78">
        <v>13</v>
      </c>
      <c r="AN34" s="78">
        <v>0</v>
      </c>
      <c r="AO34" s="64">
        <f t="shared" si="623"/>
        <v>13</v>
      </c>
      <c r="AP34" s="78">
        <v>1</v>
      </c>
      <c r="AQ34" s="78">
        <v>0</v>
      </c>
      <c r="AR34" s="78">
        <v>6</v>
      </c>
      <c r="AS34" s="78">
        <v>0</v>
      </c>
      <c r="AT34" s="78">
        <v>9</v>
      </c>
      <c r="AU34" s="78">
        <v>0</v>
      </c>
      <c r="AV34" s="78">
        <v>9</v>
      </c>
      <c r="AW34" s="78">
        <v>0</v>
      </c>
      <c r="AX34" s="78">
        <v>8</v>
      </c>
      <c r="AY34" s="78">
        <v>0</v>
      </c>
      <c r="AZ34" s="78">
        <v>7</v>
      </c>
      <c r="BA34" s="78">
        <v>0</v>
      </c>
      <c r="BB34" s="78">
        <v>2</v>
      </c>
      <c r="BC34" s="78">
        <v>0</v>
      </c>
      <c r="BD34" s="78">
        <v>42</v>
      </c>
      <c r="BE34" s="78">
        <v>0</v>
      </c>
      <c r="BF34" s="64">
        <f t="shared" si="624"/>
        <v>42</v>
      </c>
      <c r="BG34" s="78">
        <v>3</v>
      </c>
      <c r="BH34" s="78">
        <v>0</v>
      </c>
      <c r="BI34" s="78">
        <v>6</v>
      </c>
      <c r="BJ34" s="78">
        <v>0</v>
      </c>
      <c r="BK34" s="78">
        <v>8</v>
      </c>
      <c r="BL34" s="78">
        <v>0</v>
      </c>
      <c r="BM34" s="78">
        <v>10</v>
      </c>
      <c r="BN34" s="78">
        <v>0</v>
      </c>
      <c r="BO34" s="78">
        <v>10</v>
      </c>
      <c r="BP34" s="78">
        <v>0</v>
      </c>
      <c r="BQ34" s="78">
        <v>9</v>
      </c>
      <c r="BR34" s="78">
        <v>0</v>
      </c>
      <c r="BS34" s="78">
        <v>13</v>
      </c>
      <c r="BT34" s="78">
        <v>0</v>
      </c>
      <c r="BU34" s="78">
        <v>59</v>
      </c>
      <c r="BV34" s="78">
        <v>0</v>
      </c>
      <c r="BW34" s="64">
        <f t="shared" si="625"/>
        <v>59</v>
      </c>
      <c r="BX34" s="78">
        <v>5</v>
      </c>
      <c r="BY34" s="78">
        <v>0</v>
      </c>
      <c r="BZ34" s="78">
        <v>14</v>
      </c>
      <c r="CA34" s="78">
        <v>0</v>
      </c>
      <c r="CB34" s="78">
        <v>22</v>
      </c>
      <c r="CC34" s="78">
        <v>0</v>
      </c>
      <c r="CD34" s="78">
        <v>24</v>
      </c>
      <c r="CE34" s="78">
        <v>0</v>
      </c>
      <c r="CF34" s="78">
        <v>18</v>
      </c>
      <c r="CG34" s="78">
        <v>0</v>
      </c>
      <c r="CH34" s="78">
        <v>16</v>
      </c>
      <c r="CI34" s="78">
        <v>0</v>
      </c>
      <c r="CJ34" s="78">
        <v>15</v>
      </c>
      <c r="CK34" s="78">
        <v>0</v>
      </c>
      <c r="CL34" s="78">
        <v>114</v>
      </c>
      <c r="CM34" s="78">
        <v>0</v>
      </c>
      <c r="CN34" s="78">
        <v>114</v>
      </c>
      <c r="CO34" s="78">
        <v>1</v>
      </c>
      <c r="CP34" s="78">
        <v>0</v>
      </c>
      <c r="CQ34" s="78">
        <v>0</v>
      </c>
      <c r="CR34" s="78">
        <v>2</v>
      </c>
      <c r="CS34" s="78">
        <v>0</v>
      </c>
      <c r="CT34" s="78">
        <v>0</v>
      </c>
      <c r="CU34" s="78">
        <v>2</v>
      </c>
      <c r="CV34" s="78">
        <v>0</v>
      </c>
      <c r="CW34" s="78">
        <v>0</v>
      </c>
      <c r="CX34" s="64">
        <f t="shared" si="626"/>
        <v>5</v>
      </c>
      <c r="CY34" s="64">
        <f t="shared" si="627"/>
        <v>0</v>
      </c>
      <c r="CZ34" s="64">
        <f t="shared" si="628"/>
        <v>0</v>
      </c>
      <c r="DA34" s="64">
        <f t="shared" si="629"/>
        <v>5</v>
      </c>
      <c r="DB34" s="78">
        <v>0</v>
      </c>
      <c r="DC34" s="78">
        <v>0</v>
      </c>
      <c r="DD34" s="78">
        <v>0</v>
      </c>
      <c r="DE34" s="78">
        <v>0</v>
      </c>
      <c r="DF34" s="78">
        <v>0</v>
      </c>
      <c r="DG34" s="78">
        <v>0</v>
      </c>
      <c r="DH34" s="78">
        <v>0</v>
      </c>
      <c r="DI34" s="78">
        <v>0</v>
      </c>
      <c r="DJ34" s="78">
        <v>0</v>
      </c>
      <c r="DK34" s="78">
        <v>33</v>
      </c>
      <c r="DL34" s="78">
        <v>0</v>
      </c>
      <c r="DM34" s="78">
        <v>36</v>
      </c>
      <c r="DN34" s="78">
        <v>0</v>
      </c>
      <c r="DO34" s="78">
        <v>0</v>
      </c>
      <c r="DP34" s="78">
        <v>0</v>
      </c>
      <c r="DQ34" s="78">
        <v>69</v>
      </c>
      <c r="DR34" s="78">
        <v>0</v>
      </c>
      <c r="DS34" s="78">
        <v>69</v>
      </c>
      <c r="DT34" s="78">
        <v>3</v>
      </c>
      <c r="DU34" s="78">
        <v>0</v>
      </c>
      <c r="DV34" s="78">
        <v>33</v>
      </c>
      <c r="DW34" s="78">
        <v>0</v>
      </c>
      <c r="DX34" s="78">
        <v>0</v>
      </c>
      <c r="DY34" s="78">
        <v>0</v>
      </c>
      <c r="DZ34" s="78">
        <v>36</v>
      </c>
      <c r="EA34" s="78">
        <v>0</v>
      </c>
      <c r="EB34" s="78"/>
      <c r="EC34" s="78">
        <v>0</v>
      </c>
      <c r="ED34" s="78">
        <v>0</v>
      </c>
      <c r="EE34" s="78">
        <v>0</v>
      </c>
      <c r="EF34" s="78">
        <v>0</v>
      </c>
      <c r="EG34" s="78">
        <v>0</v>
      </c>
      <c r="EH34" s="78">
        <v>0</v>
      </c>
      <c r="EI34" s="78">
        <v>0</v>
      </c>
      <c r="EJ34" s="78">
        <v>0</v>
      </c>
      <c r="EK34" s="78"/>
      <c r="EL34" s="78">
        <v>0</v>
      </c>
      <c r="EM34" s="78">
        <v>0</v>
      </c>
      <c r="EN34" s="78">
        <v>0</v>
      </c>
      <c r="EO34" s="78">
        <v>0</v>
      </c>
      <c r="EP34" s="78">
        <v>0</v>
      </c>
      <c r="EQ34" s="78">
        <v>0</v>
      </c>
      <c r="ER34" s="78">
        <v>0</v>
      </c>
      <c r="ES34" s="78">
        <v>0</v>
      </c>
      <c r="ET34" s="78"/>
      <c r="EU34" s="78">
        <v>1</v>
      </c>
      <c r="EV34" s="78">
        <v>0</v>
      </c>
      <c r="EW34" s="78">
        <v>1</v>
      </c>
      <c r="EX34" s="78">
        <v>0</v>
      </c>
      <c r="EY34" s="78">
        <v>3</v>
      </c>
      <c r="EZ34" s="78">
        <v>0</v>
      </c>
      <c r="FA34" s="78">
        <v>0</v>
      </c>
      <c r="FB34" s="78">
        <v>0</v>
      </c>
      <c r="FC34" s="78">
        <v>5</v>
      </c>
      <c r="FD34" s="78">
        <v>0</v>
      </c>
      <c r="FE34" s="78">
        <v>5</v>
      </c>
      <c r="FF34" s="78">
        <v>0</v>
      </c>
      <c r="FG34" s="78">
        <v>0</v>
      </c>
      <c r="FH34" s="78">
        <v>0</v>
      </c>
      <c r="FI34" s="78">
        <v>0</v>
      </c>
      <c r="FJ34" s="78">
        <v>0</v>
      </c>
      <c r="FK34" s="78">
        <v>0</v>
      </c>
      <c r="FL34" s="78">
        <v>0</v>
      </c>
      <c r="FM34" s="78">
        <v>0</v>
      </c>
      <c r="FN34" s="78">
        <v>1</v>
      </c>
      <c r="FO34" s="78">
        <v>0</v>
      </c>
      <c r="FP34" s="78"/>
      <c r="FQ34" s="78"/>
      <c r="FR34" s="78">
        <v>0</v>
      </c>
      <c r="FS34" s="78">
        <v>1</v>
      </c>
      <c r="FT34" s="78">
        <v>0</v>
      </c>
      <c r="FU34" s="78">
        <v>2</v>
      </c>
      <c r="FV34" s="78">
        <v>0</v>
      </c>
      <c r="FW34" s="78">
        <v>2</v>
      </c>
      <c r="FX34" s="78"/>
      <c r="FY34" s="78"/>
      <c r="FZ34" s="78">
        <v>0</v>
      </c>
      <c r="GA34" s="78">
        <v>0</v>
      </c>
      <c r="GB34" s="78">
        <v>1</v>
      </c>
      <c r="GC34" s="78">
        <v>0</v>
      </c>
      <c r="GD34" s="78">
        <v>0</v>
      </c>
      <c r="GE34" s="78">
        <v>0</v>
      </c>
      <c r="GF34" s="78">
        <v>0</v>
      </c>
      <c r="GG34" s="78">
        <v>0</v>
      </c>
      <c r="GH34" s="78">
        <v>4</v>
      </c>
      <c r="GI34" s="78">
        <v>0</v>
      </c>
      <c r="GJ34" s="78">
        <v>0</v>
      </c>
      <c r="GK34" s="78">
        <v>0</v>
      </c>
      <c r="GL34" s="78">
        <v>0</v>
      </c>
      <c r="GM34" s="78">
        <v>0</v>
      </c>
      <c r="GN34" s="78">
        <v>5</v>
      </c>
      <c r="GO34" s="78">
        <v>0</v>
      </c>
      <c r="GP34" s="78">
        <v>5</v>
      </c>
      <c r="GQ34" s="78">
        <v>5</v>
      </c>
      <c r="GR34" s="78">
        <v>0</v>
      </c>
      <c r="GS34" s="78">
        <v>0</v>
      </c>
      <c r="GT34" s="78">
        <v>0</v>
      </c>
      <c r="GU34" s="78">
        <v>0</v>
      </c>
      <c r="GV34" s="78">
        <v>0</v>
      </c>
      <c r="GW34" s="78">
        <v>5</v>
      </c>
      <c r="GX34" s="78">
        <v>0</v>
      </c>
      <c r="GY34" s="78">
        <v>5</v>
      </c>
      <c r="GZ34" s="78">
        <v>4</v>
      </c>
      <c r="HA34" s="78">
        <v>0</v>
      </c>
      <c r="HB34" s="78">
        <v>0</v>
      </c>
      <c r="HC34" s="78">
        <v>0</v>
      </c>
      <c r="HD34" s="78">
        <v>0</v>
      </c>
      <c r="HE34" s="78">
        <v>0</v>
      </c>
      <c r="HF34" s="78">
        <v>0</v>
      </c>
      <c r="HG34" s="78">
        <v>0</v>
      </c>
      <c r="HH34" s="78">
        <v>0</v>
      </c>
      <c r="HI34" s="78">
        <v>0</v>
      </c>
      <c r="HJ34" s="78"/>
      <c r="HK34" s="78"/>
      <c r="HL34" s="78">
        <v>0</v>
      </c>
      <c r="HM34" s="78">
        <v>0</v>
      </c>
      <c r="HN34" s="78">
        <v>0</v>
      </c>
      <c r="HO34" s="78">
        <v>1</v>
      </c>
      <c r="HP34" s="78">
        <v>0</v>
      </c>
      <c r="HQ34" s="78">
        <v>5</v>
      </c>
      <c r="HR34" s="78">
        <v>0</v>
      </c>
      <c r="HS34" s="78">
        <v>5</v>
      </c>
      <c r="HT34" s="78">
        <v>0</v>
      </c>
      <c r="HU34" s="78">
        <v>0</v>
      </c>
      <c r="HV34" s="78">
        <v>5</v>
      </c>
      <c r="HW34" s="78">
        <v>0</v>
      </c>
      <c r="HX34" s="78">
        <v>0</v>
      </c>
      <c r="HY34" s="78">
        <v>0</v>
      </c>
      <c r="HZ34" s="78">
        <v>0</v>
      </c>
      <c r="IA34" s="78">
        <v>0</v>
      </c>
      <c r="IB34" s="78">
        <v>5</v>
      </c>
      <c r="IC34" s="78">
        <v>0</v>
      </c>
      <c r="ID34" s="78">
        <v>5</v>
      </c>
      <c r="IE34" s="78">
        <v>0</v>
      </c>
      <c r="IF34" s="78">
        <v>0</v>
      </c>
      <c r="IG34" s="78">
        <v>0</v>
      </c>
      <c r="IH34" s="78">
        <v>0</v>
      </c>
      <c r="II34" s="78">
        <v>0</v>
      </c>
      <c r="IJ34" s="78">
        <v>0</v>
      </c>
      <c r="IK34" s="78">
        <v>0</v>
      </c>
      <c r="IL34" s="78">
        <v>0</v>
      </c>
      <c r="IM34" s="78">
        <v>0</v>
      </c>
      <c r="IN34" s="78">
        <v>0</v>
      </c>
      <c r="IO34" s="78">
        <v>0</v>
      </c>
      <c r="IP34" s="78">
        <v>0</v>
      </c>
      <c r="IQ34" s="78">
        <v>60</v>
      </c>
      <c r="IR34" s="78">
        <v>0</v>
      </c>
      <c r="IS34" s="78">
        <v>5</v>
      </c>
      <c r="IT34" s="78">
        <v>0</v>
      </c>
      <c r="IU34" s="78">
        <v>0</v>
      </c>
      <c r="IV34" s="78">
        <v>0</v>
      </c>
      <c r="IW34" s="78"/>
      <c r="IX34" s="78">
        <v>1</v>
      </c>
      <c r="IY34" s="78" t="s">
        <v>233</v>
      </c>
      <c r="IZ34" s="78">
        <v>7816242610</v>
      </c>
      <c r="JA34" s="78"/>
    </row>
    <row r="35" spans="1:261" s="106" customFormat="1" ht="29.25" customHeight="1" x14ac:dyDescent="0.25">
      <c r="A35" s="78">
        <v>4</v>
      </c>
      <c r="B35" s="78">
        <v>12</v>
      </c>
      <c r="C35" s="78">
        <v>1</v>
      </c>
      <c r="D35" s="78">
        <v>1400739</v>
      </c>
      <c r="E35" s="78" t="s">
        <v>234</v>
      </c>
      <c r="F35" s="78"/>
      <c r="G35" s="78">
        <v>1</v>
      </c>
      <c r="H35" s="78">
        <v>1</v>
      </c>
      <c r="I35" s="78">
        <v>0</v>
      </c>
      <c r="J35" s="78">
        <v>0</v>
      </c>
      <c r="K35" s="78">
        <v>1</v>
      </c>
      <c r="L35" s="78">
        <v>0</v>
      </c>
      <c r="M35" s="78">
        <v>0</v>
      </c>
      <c r="N35" s="78">
        <v>1</v>
      </c>
      <c r="O35" s="78">
        <v>0</v>
      </c>
      <c r="P35" s="78">
        <v>0</v>
      </c>
      <c r="Q35" s="78">
        <v>0</v>
      </c>
      <c r="R35" s="78">
        <v>1</v>
      </c>
      <c r="S35" s="78"/>
      <c r="T35" s="78">
        <v>0</v>
      </c>
      <c r="U35" s="78">
        <v>0</v>
      </c>
      <c r="V35" s="78">
        <v>1</v>
      </c>
      <c r="W35" s="78">
        <v>0</v>
      </c>
      <c r="X35" s="78">
        <v>0</v>
      </c>
      <c r="Y35" s="78">
        <v>3</v>
      </c>
      <c r="Z35" s="78">
        <v>0</v>
      </c>
      <c r="AA35" s="78">
        <v>1</v>
      </c>
      <c r="AB35" s="78">
        <v>0</v>
      </c>
      <c r="AC35" s="78">
        <v>3</v>
      </c>
      <c r="AD35" s="78">
        <v>0</v>
      </c>
      <c r="AE35" s="78">
        <v>2</v>
      </c>
      <c r="AF35" s="78">
        <v>0</v>
      </c>
      <c r="AG35" s="78">
        <v>0</v>
      </c>
      <c r="AH35" s="78">
        <v>0</v>
      </c>
      <c r="AI35" s="78">
        <v>2</v>
      </c>
      <c r="AJ35" s="78">
        <v>0</v>
      </c>
      <c r="AK35" s="78">
        <v>0</v>
      </c>
      <c r="AL35" s="78">
        <v>0</v>
      </c>
      <c r="AM35" s="78">
        <v>11</v>
      </c>
      <c r="AN35" s="78">
        <v>0</v>
      </c>
      <c r="AO35" s="64">
        <f t="shared" ref="AO35" si="630">AN35+AM35</f>
        <v>11</v>
      </c>
      <c r="AP35" s="78">
        <v>2</v>
      </c>
      <c r="AQ35" s="78">
        <v>0</v>
      </c>
      <c r="AR35" s="78">
        <v>3</v>
      </c>
      <c r="AS35" s="78">
        <v>0</v>
      </c>
      <c r="AT35" s="78">
        <v>6</v>
      </c>
      <c r="AU35" s="78">
        <v>0</v>
      </c>
      <c r="AV35" s="78">
        <v>9</v>
      </c>
      <c r="AW35" s="78">
        <v>0</v>
      </c>
      <c r="AX35" s="78">
        <v>5</v>
      </c>
      <c r="AY35" s="78">
        <v>0</v>
      </c>
      <c r="AZ35" s="78">
        <v>4</v>
      </c>
      <c r="BA35" s="78">
        <v>0</v>
      </c>
      <c r="BB35" s="78">
        <v>6</v>
      </c>
      <c r="BC35" s="78">
        <v>0</v>
      </c>
      <c r="BD35" s="78">
        <v>35</v>
      </c>
      <c r="BE35" s="78">
        <v>0</v>
      </c>
      <c r="BF35" s="64">
        <f t="shared" ref="BF35" si="631">BE35+BD35</f>
        <v>35</v>
      </c>
      <c r="BG35" s="78">
        <v>3</v>
      </c>
      <c r="BH35" s="78">
        <v>0</v>
      </c>
      <c r="BI35" s="78">
        <v>3</v>
      </c>
      <c r="BJ35" s="78">
        <v>0</v>
      </c>
      <c r="BK35" s="78">
        <v>4</v>
      </c>
      <c r="BL35" s="78">
        <v>0</v>
      </c>
      <c r="BM35" s="78">
        <v>7</v>
      </c>
      <c r="BN35" s="78">
        <v>0</v>
      </c>
      <c r="BO35" s="78">
        <v>13</v>
      </c>
      <c r="BP35" s="78">
        <v>0</v>
      </c>
      <c r="BQ35" s="78">
        <v>6</v>
      </c>
      <c r="BR35" s="78">
        <v>0</v>
      </c>
      <c r="BS35" s="78">
        <v>6</v>
      </c>
      <c r="BT35" s="78">
        <v>0</v>
      </c>
      <c r="BU35" s="78">
        <v>42</v>
      </c>
      <c r="BV35" s="78">
        <v>0</v>
      </c>
      <c r="BW35" s="64">
        <f t="shared" ref="BW35" si="632">BV35+BU35</f>
        <v>42</v>
      </c>
      <c r="BX35" s="78">
        <v>8</v>
      </c>
      <c r="BY35" s="78">
        <v>0</v>
      </c>
      <c r="BZ35" s="78">
        <v>7</v>
      </c>
      <c r="CA35" s="78">
        <v>0</v>
      </c>
      <c r="CB35" s="78">
        <v>13</v>
      </c>
      <c r="CC35" s="78">
        <v>0</v>
      </c>
      <c r="CD35" s="78">
        <v>18</v>
      </c>
      <c r="CE35" s="78">
        <v>0</v>
      </c>
      <c r="CF35" s="78">
        <v>18</v>
      </c>
      <c r="CG35" s="78">
        <v>0</v>
      </c>
      <c r="CH35" s="78">
        <v>12</v>
      </c>
      <c r="CI35" s="78">
        <v>0</v>
      </c>
      <c r="CJ35" s="78">
        <v>12</v>
      </c>
      <c r="CK35" s="78">
        <v>0</v>
      </c>
      <c r="CL35" s="78">
        <v>88</v>
      </c>
      <c r="CM35" s="78">
        <v>0</v>
      </c>
      <c r="CN35" s="78">
        <v>88</v>
      </c>
      <c r="CO35" s="78">
        <v>1</v>
      </c>
      <c r="CP35" s="78">
        <v>0</v>
      </c>
      <c r="CQ35" s="78">
        <v>0</v>
      </c>
      <c r="CR35" s="78">
        <v>1</v>
      </c>
      <c r="CS35" s="78">
        <v>0</v>
      </c>
      <c r="CT35" s="78">
        <v>0</v>
      </c>
      <c r="CU35" s="78">
        <v>2</v>
      </c>
      <c r="CV35" s="78">
        <v>0</v>
      </c>
      <c r="CW35" s="78">
        <v>0</v>
      </c>
      <c r="CX35" s="64">
        <f t="shared" ref="CX35" si="633">CU35+CR35+CO35</f>
        <v>4</v>
      </c>
      <c r="CY35" s="64">
        <f t="shared" ref="CY35" si="634">CV35+CS35+CP35</f>
        <v>0</v>
      </c>
      <c r="CZ35" s="64">
        <f t="shared" ref="CZ35" si="635">CW35+CT35+CQ35</f>
        <v>0</v>
      </c>
      <c r="DA35" s="64">
        <f t="shared" ref="DA35" si="636">CZ35+CY35+CX35</f>
        <v>4</v>
      </c>
      <c r="DB35" s="78">
        <v>0</v>
      </c>
      <c r="DC35" s="78">
        <v>0</v>
      </c>
      <c r="DD35" s="78">
        <v>0</v>
      </c>
      <c r="DE35" s="78">
        <v>0</v>
      </c>
      <c r="DF35" s="78">
        <v>0</v>
      </c>
      <c r="DG35" s="78">
        <v>0</v>
      </c>
      <c r="DH35" s="78">
        <v>0</v>
      </c>
      <c r="DI35" s="78">
        <v>0</v>
      </c>
      <c r="DJ35" s="78">
        <v>0</v>
      </c>
      <c r="DK35" s="78">
        <v>13</v>
      </c>
      <c r="DL35" s="78">
        <v>0</v>
      </c>
      <c r="DM35" s="78">
        <v>23</v>
      </c>
      <c r="DN35" s="78">
        <v>0</v>
      </c>
      <c r="DO35" s="78">
        <v>14</v>
      </c>
      <c r="DP35" s="78">
        <v>0</v>
      </c>
      <c r="DQ35" s="78">
        <v>50</v>
      </c>
      <c r="DR35" s="78">
        <v>0</v>
      </c>
      <c r="DS35" s="78">
        <v>50</v>
      </c>
      <c r="DT35" s="78">
        <v>6</v>
      </c>
      <c r="DU35" s="78">
        <v>0</v>
      </c>
      <c r="DV35" s="78">
        <v>6</v>
      </c>
      <c r="DW35" s="78">
        <v>0</v>
      </c>
      <c r="DX35" s="78">
        <v>24</v>
      </c>
      <c r="DY35" s="78">
        <v>0</v>
      </c>
      <c r="DZ35" s="78">
        <v>36</v>
      </c>
      <c r="EA35" s="78">
        <v>0</v>
      </c>
      <c r="EB35" s="78"/>
      <c r="EC35" s="78">
        <v>0</v>
      </c>
      <c r="ED35" s="78">
        <v>0</v>
      </c>
      <c r="EE35" s="78">
        <v>0</v>
      </c>
      <c r="EF35" s="78">
        <v>0</v>
      </c>
      <c r="EG35" s="78">
        <v>0</v>
      </c>
      <c r="EH35" s="78">
        <v>0</v>
      </c>
      <c r="EI35" s="78">
        <v>0</v>
      </c>
      <c r="EJ35" s="78">
        <v>0</v>
      </c>
      <c r="EK35" s="78"/>
      <c r="EL35" s="78">
        <v>0</v>
      </c>
      <c r="EM35" s="78">
        <v>0</v>
      </c>
      <c r="EN35" s="78">
        <v>0</v>
      </c>
      <c r="EO35" s="78">
        <v>0</v>
      </c>
      <c r="EP35" s="78">
        <v>0</v>
      </c>
      <c r="EQ35" s="78">
        <v>0</v>
      </c>
      <c r="ER35" s="78">
        <v>0</v>
      </c>
      <c r="ES35" s="78">
        <v>0</v>
      </c>
      <c r="ET35" s="78"/>
      <c r="EU35" s="78">
        <v>1</v>
      </c>
      <c r="EV35" s="78">
        <v>0</v>
      </c>
      <c r="EW35" s="78">
        <v>0</v>
      </c>
      <c r="EX35" s="78">
        <v>0</v>
      </c>
      <c r="EY35" s="78">
        <v>7</v>
      </c>
      <c r="EZ35" s="78">
        <v>0</v>
      </c>
      <c r="FA35" s="78">
        <v>0</v>
      </c>
      <c r="FB35" s="78">
        <v>0</v>
      </c>
      <c r="FC35" s="78">
        <v>8</v>
      </c>
      <c r="FD35" s="78">
        <v>0</v>
      </c>
      <c r="FE35" s="78">
        <v>8</v>
      </c>
      <c r="FF35" s="78">
        <v>0</v>
      </c>
      <c r="FG35" s="78">
        <v>0</v>
      </c>
      <c r="FH35" s="78">
        <v>0</v>
      </c>
      <c r="FI35" s="78">
        <v>0</v>
      </c>
      <c r="FJ35" s="78">
        <v>0</v>
      </c>
      <c r="FK35" s="78">
        <v>0</v>
      </c>
      <c r="FL35" s="78">
        <v>0</v>
      </c>
      <c r="FM35" s="78">
        <v>0</v>
      </c>
      <c r="FN35" s="78">
        <v>0</v>
      </c>
      <c r="FO35" s="78">
        <v>0</v>
      </c>
      <c r="FP35" s="78"/>
      <c r="FQ35" s="78"/>
      <c r="FR35" s="78">
        <v>0</v>
      </c>
      <c r="FS35" s="78">
        <v>0</v>
      </c>
      <c r="FT35" s="78">
        <v>0</v>
      </c>
      <c r="FU35" s="78">
        <v>0</v>
      </c>
      <c r="FV35" s="78">
        <v>0</v>
      </c>
      <c r="FW35" s="78">
        <v>0</v>
      </c>
      <c r="FX35" s="78"/>
      <c r="FY35" s="78"/>
      <c r="FZ35" s="78">
        <v>0</v>
      </c>
      <c r="GA35" s="78">
        <v>0</v>
      </c>
      <c r="GB35" s="78">
        <v>5</v>
      </c>
      <c r="GC35" s="78">
        <v>0</v>
      </c>
      <c r="GD35" s="78">
        <v>0</v>
      </c>
      <c r="GE35" s="78">
        <v>0</v>
      </c>
      <c r="GF35" s="78">
        <v>0</v>
      </c>
      <c r="GG35" s="78">
        <v>0</v>
      </c>
      <c r="GH35" s="78">
        <v>3</v>
      </c>
      <c r="GI35" s="78">
        <v>0</v>
      </c>
      <c r="GJ35" s="78">
        <v>0</v>
      </c>
      <c r="GK35" s="78">
        <v>0</v>
      </c>
      <c r="GL35" s="78">
        <v>0</v>
      </c>
      <c r="GM35" s="78">
        <v>0</v>
      </c>
      <c r="GN35" s="78">
        <v>8</v>
      </c>
      <c r="GO35" s="78">
        <v>0</v>
      </c>
      <c r="GP35" s="78">
        <v>8</v>
      </c>
      <c r="GQ35" s="78">
        <v>8</v>
      </c>
      <c r="GR35" s="78">
        <v>0</v>
      </c>
      <c r="GS35" s="78">
        <v>0</v>
      </c>
      <c r="GT35" s="78">
        <v>0</v>
      </c>
      <c r="GU35" s="78">
        <v>0</v>
      </c>
      <c r="GV35" s="78">
        <v>0</v>
      </c>
      <c r="GW35" s="78">
        <v>8</v>
      </c>
      <c r="GX35" s="78">
        <v>0</v>
      </c>
      <c r="GY35" s="78">
        <v>8</v>
      </c>
      <c r="GZ35" s="78">
        <v>8</v>
      </c>
      <c r="HA35" s="78">
        <v>0</v>
      </c>
      <c r="HB35" s="78">
        <v>0</v>
      </c>
      <c r="HC35" s="78">
        <v>0</v>
      </c>
      <c r="HD35" s="78">
        <v>0</v>
      </c>
      <c r="HE35" s="78">
        <v>0</v>
      </c>
      <c r="HF35" s="78">
        <v>0</v>
      </c>
      <c r="HG35" s="78">
        <v>0</v>
      </c>
      <c r="HH35" s="78">
        <v>0</v>
      </c>
      <c r="HI35" s="78">
        <v>0</v>
      </c>
      <c r="HJ35" s="78"/>
      <c r="HK35" s="78"/>
      <c r="HL35" s="78">
        <v>0</v>
      </c>
      <c r="HM35" s="78">
        <v>0</v>
      </c>
      <c r="HN35" s="78">
        <v>0</v>
      </c>
      <c r="HO35" s="78">
        <v>0</v>
      </c>
      <c r="HP35" s="78">
        <v>0</v>
      </c>
      <c r="HQ35" s="78">
        <v>8</v>
      </c>
      <c r="HR35" s="78">
        <v>0</v>
      </c>
      <c r="HS35" s="78">
        <v>8</v>
      </c>
      <c r="HT35" s="78">
        <v>0</v>
      </c>
      <c r="HU35" s="78">
        <v>0</v>
      </c>
      <c r="HV35" s="78">
        <v>8</v>
      </c>
      <c r="HW35" s="78">
        <v>0</v>
      </c>
      <c r="HX35" s="78">
        <v>0</v>
      </c>
      <c r="HY35" s="78">
        <v>0</v>
      </c>
      <c r="HZ35" s="78">
        <v>0</v>
      </c>
      <c r="IA35" s="78">
        <v>0</v>
      </c>
      <c r="IB35" s="78">
        <v>8</v>
      </c>
      <c r="IC35" s="78">
        <v>0</v>
      </c>
      <c r="ID35" s="78">
        <v>8</v>
      </c>
      <c r="IE35" s="78">
        <v>0</v>
      </c>
      <c r="IF35" s="78">
        <v>0</v>
      </c>
      <c r="IG35" s="78">
        <v>0</v>
      </c>
      <c r="IH35" s="78">
        <v>0</v>
      </c>
      <c r="II35" s="78">
        <v>0</v>
      </c>
      <c r="IJ35" s="78">
        <v>0</v>
      </c>
      <c r="IK35" s="78">
        <v>0</v>
      </c>
      <c r="IL35" s="78">
        <v>0</v>
      </c>
      <c r="IM35" s="78">
        <v>0</v>
      </c>
      <c r="IN35" s="78">
        <v>0</v>
      </c>
      <c r="IO35" s="78">
        <v>0</v>
      </c>
      <c r="IP35" s="78">
        <v>0</v>
      </c>
      <c r="IQ35" s="78">
        <v>80</v>
      </c>
      <c r="IR35" s="78">
        <v>0</v>
      </c>
      <c r="IS35" s="78">
        <v>0</v>
      </c>
      <c r="IT35" s="78">
        <v>1</v>
      </c>
      <c r="IU35" s="78">
        <v>0</v>
      </c>
      <c r="IV35" s="78">
        <v>0</v>
      </c>
      <c r="IW35" s="78"/>
      <c r="IX35" s="78">
        <v>1</v>
      </c>
      <c r="IY35" s="78" t="s">
        <v>235</v>
      </c>
      <c r="IZ35" s="78">
        <v>7816146469</v>
      </c>
      <c r="JA35" s="78"/>
    </row>
    <row r="36" spans="1:261" s="66" customFormat="1" ht="24.75" customHeight="1" x14ac:dyDescent="0.35">
      <c r="IA36" s="66">
        <f>SUM(IT34)</f>
        <v>0</v>
      </c>
      <c r="IZ36" s="80"/>
    </row>
    <row r="37" spans="1:261" s="66" customFormat="1" ht="24.75" customHeight="1" x14ac:dyDescent="0.35">
      <c r="IZ37" s="80"/>
    </row>
    <row r="38" spans="1:261" s="66" customFormat="1" ht="24.75" customHeight="1" x14ac:dyDescent="0.35">
      <c r="IZ38" s="80"/>
    </row>
    <row r="39" spans="1:261" s="66" customFormat="1" ht="24.75" customHeight="1" x14ac:dyDescent="0.35">
      <c r="IZ39" s="80"/>
    </row>
    <row r="40" spans="1:261" s="66" customFormat="1" ht="24.75" customHeight="1" x14ac:dyDescent="0.35">
      <c r="IZ40" s="80"/>
    </row>
    <row r="41" spans="1:261" s="66" customFormat="1" ht="24.75" customHeight="1" x14ac:dyDescent="0.35">
      <c r="IZ41" s="80"/>
    </row>
    <row r="42" spans="1:261" s="66" customFormat="1" ht="24.75" customHeight="1" x14ac:dyDescent="0.35">
      <c r="IZ42" s="80"/>
    </row>
    <row r="43" spans="1:261" s="66" customFormat="1" ht="24.75" customHeight="1" x14ac:dyDescent="0.35">
      <c r="IZ43" s="80"/>
    </row>
    <row r="44" spans="1:261" s="66" customFormat="1" ht="24.75" customHeight="1" x14ac:dyDescent="0.35">
      <c r="IZ44" s="80"/>
    </row>
    <row r="45" spans="1:261" s="66" customFormat="1" ht="24.75" customHeight="1" x14ac:dyDescent="0.35">
      <c r="IZ45" s="80"/>
    </row>
    <row r="46" spans="1:261" s="66" customFormat="1" ht="24.75" customHeight="1" x14ac:dyDescent="0.35">
      <c r="IZ46" s="80"/>
    </row>
    <row r="47" spans="1:261" s="66" customFormat="1" ht="24.75" customHeight="1" x14ac:dyDescent="0.35">
      <c r="IZ47" s="80"/>
    </row>
    <row r="48" spans="1:261" s="66" customFormat="1" ht="24.75" customHeight="1" x14ac:dyDescent="0.35">
      <c r="IZ48" s="80"/>
    </row>
    <row r="49" spans="260:260" s="66" customFormat="1" ht="24.75" customHeight="1" x14ac:dyDescent="0.35">
      <c r="IZ49" s="80"/>
    </row>
    <row r="50" spans="260:260" s="66" customFormat="1" ht="24.75" customHeight="1" x14ac:dyDescent="0.35">
      <c r="IZ50" s="80"/>
    </row>
    <row r="51" spans="260:260" s="66" customFormat="1" ht="24.75" customHeight="1" x14ac:dyDescent="0.35">
      <c r="IZ51" s="80"/>
    </row>
    <row r="52" spans="260:260" s="66" customFormat="1" ht="24.75" customHeight="1" x14ac:dyDescent="0.35">
      <c r="IZ52" s="80"/>
    </row>
    <row r="53" spans="260:260" s="66" customFormat="1" ht="24.75" customHeight="1" x14ac:dyDescent="0.35">
      <c r="IZ53" s="80"/>
    </row>
    <row r="54" spans="260:260" s="66" customFormat="1" ht="24.75" customHeight="1" x14ac:dyDescent="0.35">
      <c r="IZ54" s="80"/>
    </row>
    <row r="55" spans="260:260" s="66" customFormat="1" ht="24.75" customHeight="1" x14ac:dyDescent="0.35">
      <c r="IZ55" s="80"/>
    </row>
    <row r="56" spans="260:260" s="66" customFormat="1" ht="24.75" customHeight="1" x14ac:dyDescent="0.35">
      <c r="IZ56" s="80"/>
    </row>
    <row r="57" spans="260:260" s="66" customFormat="1" ht="24.75" customHeight="1" x14ac:dyDescent="0.35">
      <c r="IZ57" s="80"/>
    </row>
    <row r="58" spans="260:260" s="66" customFormat="1" ht="24.75" customHeight="1" x14ac:dyDescent="0.35">
      <c r="IZ58" s="80"/>
    </row>
    <row r="59" spans="260:260" s="66" customFormat="1" ht="24.75" customHeight="1" x14ac:dyDescent="0.35">
      <c r="IZ59" s="80"/>
    </row>
    <row r="60" spans="260:260" s="66" customFormat="1" ht="24.75" customHeight="1" x14ac:dyDescent="0.35">
      <c r="IZ60" s="80"/>
    </row>
    <row r="61" spans="260:260" s="66" customFormat="1" ht="24.75" customHeight="1" x14ac:dyDescent="0.35">
      <c r="IZ61" s="80"/>
    </row>
    <row r="62" spans="260:260" s="66" customFormat="1" ht="24.75" customHeight="1" x14ac:dyDescent="0.35">
      <c r="IZ62" s="80"/>
    </row>
    <row r="63" spans="260:260" s="66" customFormat="1" ht="24.75" customHeight="1" x14ac:dyDescent="0.35">
      <c r="IZ63" s="80"/>
    </row>
    <row r="64" spans="260:260" s="66" customFormat="1" ht="24.75" customHeight="1" x14ac:dyDescent="0.35">
      <c r="IZ64" s="80"/>
    </row>
    <row r="65" spans="260:260" s="66" customFormat="1" ht="24.75" customHeight="1" x14ac:dyDescent="0.35">
      <c r="IZ65" s="80"/>
    </row>
    <row r="66" spans="260:260" s="66" customFormat="1" ht="24.75" customHeight="1" x14ac:dyDescent="0.35">
      <c r="IZ66" s="80"/>
    </row>
    <row r="67" spans="260:260" s="66" customFormat="1" ht="24.75" customHeight="1" x14ac:dyDescent="0.35">
      <c r="IZ67" s="80"/>
    </row>
    <row r="68" spans="260:260" s="66" customFormat="1" ht="24.75" customHeight="1" x14ac:dyDescent="0.35">
      <c r="IZ68" s="80"/>
    </row>
    <row r="69" spans="260:260" s="66" customFormat="1" ht="24.75" customHeight="1" x14ac:dyDescent="0.35">
      <c r="IZ69" s="80"/>
    </row>
    <row r="70" spans="260:260" s="66" customFormat="1" ht="24.75" customHeight="1" x14ac:dyDescent="0.35">
      <c r="IZ70" s="80"/>
    </row>
    <row r="71" spans="260:260" s="66" customFormat="1" ht="24.75" customHeight="1" x14ac:dyDescent="0.35">
      <c r="IZ71" s="80"/>
    </row>
    <row r="72" spans="260:260" s="66" customFormat="1" ht="24.75" customHeight="1" x14ac:dyDescent="0.35">
      <c r="IZ72" s="80"/>
    </row>
    <row r="73" spans="260:260" s="66" customFormat="1" ht="24.75" customHeight="1" x14ac:dyDescent="0.35">
      <c r="IZ73" s="80"/>
    </row>
    <row r="74" spans="260:260" s="66" customFormat="1" ht="24.75" customHeight="1" x14ac:dyDescent="0.35">
      <c r="IZ74" s="80"/>
    </row>
    <row r="75" spans="260:260" s="66" customFormat="1" ht="24.75" customHeight="1" x14ac:dyDescent="0.35">
      <c r="IZ75" s="80"/>
    </row>
    <row r="76" spans="260:260" s="66" customFormat="1" ht="24.75" customHeight="1" x14ac:dyDescent="0.35">
      <c r="IZ76" s="80"/>
    </row>
    <row r="77" spans="260:260" s="66" customFormat="1" ht="24.75" customHeight="1" x14ac:dyDescent="0.35">
      <c r="IZ77" s="80"/>
    </row>
    <row r="78" spans="260:260" s="66" customFormat="1" ht="24.75" customHeight="1" x14ac:dyDescent="0.35">
      <c r="IZ78" s="80"/>
    </row>
    <row r="79" spans="260:260" s="66" customFormat="1" ht="24.75" customHeight="1" x14ac:dyDescent="0.35">
      <c r="IZ79" s="80"/>
    </row>
    <row r="80" spans="260:260" s="66" customFormat="1" ht="24.75" customHeight="1" x14ac:dyDescent="0.35">
      <c r="IZ80" s="80"/>
    </row>
    <row r="81" spans="260:260" s="66" customFormat="1" ht="24.75" customHeight="1" x14ac:dyDescent="0.35">
      <c r="IZ81" s="80"/>
    </row>
    <row r="82" spans="260:260" s="66" customFormat="1" ht="24.75" customHeight="1" x14ac:dyDescent="0.35">
      <c r="IZ82" s="80"/>
    </row>
    <row r="83" spans="260:260" s="66" customFormat="1" ht="24.75" customHeight="1" x14ac:dyDescent="0.35">
      <c r="IZ83" s="80"/>
    </row>
    <row r="84" spans="260:260" s="66" customFormat="1" ht="24.75" customHeight="1" x14ac:dyDescent="0.35">
      <c r="IZ84" s="80"/>
    </row>
    <row r="85" spans="260:260" s="66" customFormat="1" ht="24.75" customHeight="1" x14ac:dyDescent="0.35">
      <c r="IZ85" s="80"/>
    </row>
    <row r="86" spans="260:260" s="66" customFormat="1" ht="24.75" customHeight="1" x14ac:dyDescent="0.35">
      <c r="IZ86" s="80"/>
    </row>
    <row r="87" spans="260:260" s="66" customFormat="1" ht="24.75" customHeight="1" x14ac:dyDescent="0.35">
      <c r="IZ87" s="80"/>
    </row>
    <row r="88" spans="260:260" s="66" customFormat="1" ht="24.75" customHeight="1" x14ac:dyDescent="0.35">
      <c r="IZ88" s="80"/>
    </row>
    <row r="89" spans="260:260" s="66" customFormat="1" ht="24.75" customHeight="1" x14ac:dyDescent="0.35">
      <c r="IZ89" s="80"/>
    </row>
    <row r="90" spans="260:260" s="66" customFormat="1" ht="24.75" customHeight="1" x14ac:dyDescent="0.35">
      <c r="IZ90" s="80"/>
    </row>
    <row r="91" spans="260:260" s="66" customFormat="1" ht="24.75" customHeight="1" x14ac:dyDescent="0.35">
      <c r="IZ91" s="80"/>
    </row>
    <row r="92" spans="260:260" s="66" customFormat="1" ht="24.75" customHeight="1" x14ac:dyDescent="0.35">
      <c r="IZ92" s="80"/>
    </row>
    <row r="93" spans="260:260" s="66" customFormat="1" ht="24.75" customHeight="1" x14ac:dyDescent="0.35">
      <c r="IZ93" s="80"/>
    </row>
    <row r="94" spans="260:260" s="66" customFormat="1" ht="24.75" customHeight="1" x14ac:dyDescent="0.35">
      <c r="IZ94" s="80"/>
    </row>
    <row r="95" spans="260:260" s="66" customFormat="1" ht="24.75" customHeight="1" x14ac:dyDescent="0.35">
      <c r="IZ95" s="80"/>
    </row>
    <row r="96" spans="260:260" s="66" customFormat="1" ht="24.75" customHeight="1" x14ac:dyDescent="0.35">
      <c r="IZ96" s="80"/>
    </row>
    <row r="97" spans="260:260" s="66" customFormat="1" ht="24.75" customHeight="1" x14ac:dyDescent="0.35">
      <c r="IZ97" s="80"/>
    </row>
    <row r="98" spans="260:260" s="66" customFormat="1" ht="24.75" customHeight="1" x14ac:dyDescent="0.35">
      <c r="IZ98" s="80"/>
    </row>
    <row r="99" spans="260:260" s="66" customFormat="1" ht="24.75" customHeight="1" x14ac:dyDescent="0.35">
      <c r="IZ99" s="80"/>
    </row>
    <row r="100" spans="260:260" s="66" customFormat="1" ht="24.75" customHeight="1" x14ac:dyDescent="0.35">
      <c r="IZ100" s="80"/>
    </row>
    <row r="101" spans="260:260" s="66" customFormat="1" ht="24.75" customHeight="1" x14ac:dyDescent="0.35">
      <c r="IZ101" s="80"/>
    </row>
    <row r="102" spans="260:260" s="66" customFormat="1" ht="24.75" customHeight="1" x14ac:dyDescent="0.35">
      <c r="IZ102" s="80"/>
    </row>
    <row r="103" spans="260:260" s="66" customFormat="1" ht="24.75" customHeight="1" x14ac:dyDescent="0.35">
      <c r="IZ103" s="80"/>
    </row>
    <row r="104" spans="260:260" s="66" customFormat="1" ht="24.75" customHeight="1" x14ac:dyDescent="0.35">
      <c r="IZ104" s="80"/>
    </row>
    <row r="105" spans="260:260" s="66" customFormat="1" ht="24.75" customHeight="1" x14ac:dyDescent="0.35">
      <c r="IZ105" s="80"/>
    </row>
    <row r="106" spans="260:260" s="66" customFormat="1" ht="24.75" customHeight="1" x14ac:dyDescent="0.35">
      <c r="IZ106" s="80"/>
    </row>
    <row r="107" spans="260:260" s="66" customFormat="1" ht="24.75" customHeight="1" x14ac:dyDescent="0.35">
      <c r="IZ107" s="80"/>
    </row>
    <row r="108" spans="260:260" s="66" customFormat="1" ht="24.75" customHeight="1" x14ac:dyDescent="0.35">
      <c r="IZ108" s="80"/>
    </row>
    <row r="109" spans="260:260" s="66" customFormat="1" ht="24.75" customHeight="1" x14ac:dyDescent="0.35">
      <c r="IZ109" s="80"/>
    </row>
    <row r="110" spans="260:260" s="66" customFormat="1" ht="24.75" customHeight="1" x14ac:dyDescent="0.35">
      <c r="IZ110" s="80"/>
    </row>
    <row r="111" spans="260:260" s="66" customFormat="1" ht="24.75" customHeight="1" x14ac:dyDescent="0.35">
      <c r="IZ111" s="80"/>
    </row>
    <row r="112" spans="260:260" s="66" customFormat="1" ht="24.75" customHeight="1" x14ac:dyDescent="0.35">
      <c r="IZ112" s="80"/>
    </row>
    <row r="113" spans="260:260" s="66" customFormat="1" ht="24.75" customHeight="1" x14ac:dyDescent="0.35">
      <c r="IZ113" s="80"/>
    </row>
    <row r="114" spans="260:260" s="66" customFormat="1" ht="24.75" customHeight="1" x14ac:dyDescent="0.35">
      <c r="IZ114" s="80"/>
    </row>
    <row r="115" spans="260:260" s="66" customFormat="1" ht="24.75" customHeight="1" x14ac:dyDescent="0.35">
      <c r="IZ115" s="80"/>
    </row>
    <row r="116" spans="260:260" s="66" customFormat="1" ht="24.75" customHeight="1" x14ac:dyDescent="0.35">
      <c r="IZ116" s="80"/>
    </row>
    <row r="117" spans="260:260" s="66" customFormat="1" ht="24.75" customHeight="1" x14ac:dyDescent="0.35">
      <c r="IZ117" s="80"/>
    </row>
    <row r="118" spans="260:260" s="66" customFormat="1" ht="24.75" customHeight="1" x14ac:dyDescent="0.35">
      <c r="IZ118" s="80"/>
    </row>
    <row r="119" spans="260:260" s="66" customFormat="1" ht="24.75" customHeight="1" x14ac:dyDescent="0.35">
      <c r="IZ119" s="80"/>
    </row>
    <row r="120" spans="260:260" s="66" customFormat="1" ht="24.75" customHeight="1" x14ac:dyDescent="0.35">
      <c r="IZ120" s="80"/>
    </row>
    <row r="121" spans="260:260" s="66" customFormat="1" ht="24.75" customHeight="1" x14ac:dyDescent="0.35">
      <c r="IZ121" s="80"/>
    </row>
    <row r="122" spans="260:260" s="66" customFormat="1" ht="24.75" customHeight="1" x14ac:dyDescent="0.35">
      <c r="IZ122" s="80"/>
    </row>
    <row r="123" spans="260:260" s="66" customFormat="1" ht="24.75" customHeight="1" x14ac:dyDescent="0.35">
      <c r="IZ123" s="80"/>
    </row>
    <row r="124" spans="260:260" s="66" customFormat="1" ht="24.75" customHeight="1" x14ac:dyDescent="0.35">
      <c r="IZ124" s="80"/>
    </row>
    <row r="125" spans="260:260" s="66" customFormat="1" ht="24.75" customHeight="1" x14ac:dyDescent="0.35">
      <c r="IZ125" s="80"/>
    </row>
    <row r="126" spans="260:260" s="66" customFormat="1" ht="24.75" customHeight="1" x14ac:dyDescent="0.35">
      <c r="IZ126" s="80"/>
    </row>
    <row r="127" spans="260:260" s="66" customFormat="1" ht="24.75" customHeight="1" x14ac:dyDescent="0.35">
      <c r="IZ127" s="80"/>
    </row>
    <row r="128" spans="260:260" s="66" customFormat="1" ht="24.75" customHeight="1" x14ac:dyDescent="0.35">
      <c r="IZ128" s="80"/>
    </row>
    <row r="129" spans="260:260" s="66" customFormat="1" ht="24.75" customHeight="1" x14ac:dyDescent="0.35">
      <c r="IZ129" s="80"/>
    </row>
    <row r="130" spans="260:260" s="66" customFormat="1" ht="24.75" customHeight="1" x14ac:dyDescent="0.35">
      <c r="IZ130" s="80"/>
    </row>
    <row r="131" spans="260:260" s="66" customFormat="1" ht="24.75" customHeight="1" x14ac:dyDescent="0.35">
      <c r="IZ131" s="80"/>
    </row>
    <row r="132" spans="260:260" s="66" customFormat="1" ht="24.75" customHeight="1" x14ac:dyDescent="0.35">
      <c r="IZ132" s="80"/>
    </row>
    <row r="133" spans="260:260" s="66" customFormat="1" ht="24.75" customHeight="1" x14ac:dyDescent="0.35">
      <c r="IZ133" s="80"/>
    </row>
    <row r="134" spans="260:260" s="66" customFormat="1" ht="24.75" customHeight="1" x14ac:dyDescent="0.35">
      <c r="IZ134" s="80"/>
    </row>
    <row r="135" spans="260:260" s="66" customFormat="1" ht="24.75" customHeight="1" x14ac:dyDescent="0.35">
      <c r="IZ135" s="80"/>
    </row>
    <row r="136" spans="260:260" s="66" customFormat="1" ht="24.75" customHeight="1" x14ac:dyDescent="0.35">
      <c r="IZ136" s="80"/>
    </row>
    <row r="137" spans="260:260" s="66" customFormat="1" ht="24.75" customHeight="1" x14ac:dyDescent="0.35">
      <c r="IZ137" s="80"/>
    </row>
    <row r="138" spans="260:260" s="66" customFormat="1" ht="24.75" customHeight="1" x14ac:dyDescent="0.35">
      <c r="IZ138" s="80"/>
    </row>
    <row r="139" spans="260:260" s="66" customFormat="1" ht="24.75" customHeight="1" x14ac:dyDescent="0.35">
      <c r="IZ139" s="80"/>
    </row>
    <row r="140" spans="260:260" s="66" customFormat="1" ht="24.75" customHeight="1" x14ac:dyDescent="0.35">
      <c r="IZ140" s="80"/>
    </row>
    <row r="141" spans="260:260" s="66" customFormat="1" ht="24.75" customHeight="1" x14ac:dyDescent="0.35">
      <c r="IZ141" s="80"/>
    </row>
    <row r="142" spans="260:260" s="66" customFormat="1" ht="24.75" customHeight="1" x14ac:dyDescent="0.35">
      <c r="IZ142" s="80"/>
    </row>
    <row r="143" spans="260:260" s="66" customFormat="1" ht="24.75" customHeight="1" x14ac:dyDescent="0.35">
      <c r="IZ143" s="80"/>
    </row>
    <row r="144" spans="260:260" s="66" customFormat="1" ht="24.75" customHeight="1" x14ac:dyDescent="0.35">
      <c r="IZ144" s="80"/>
    </row>
    <row r="145" spans="260:260" s="66" customFormat="1" ht="24.75" customHeight="1" x14ac:dyDescent="0.35">
      <c r="IZ145" s="80"/>
    </row>
    <row r="146" spans="260:260" s="66" customFormat="1" ht="24.75" customHeight="1" x14ac:dyDescent="0.35">
      <c r="IZ146" s="80"/>
    </row>
    <row r="147" spans="260:260" s="66" customFormat="1" ht="24.75" customHeight="1" x14ac:dyDescent="0.35">
      <c r="IZ147" s="80"/>
    </row>
    <row r="148" spans="260:260" s="66" customFormat="1" ht="24.75" customHeight="1" x14ac:dyDescent="0.35">
      <c r="IZ148" s="80"/>
    </row>
    <row r="149" spans="260:260" s="66" customFormat="1" ht="24.75" customHeight="1" x14ac:dyDescent="0.35">
      <c r="IZ149" s="80"/>
    </row>
    <row r="150" spans="260:260" s="66" customFormat="1" ht="24.75" customHeight="1" x14ac:dyDescent="0.35">
      <c r="IZ150" s="80"/>
    </row>
    <row r="151" spans="260:260" s="66" customFormat="1" ht="24.75" customHeight="1" x14ac:dyDescent="0.35">
      <c r="IZ151" s="80"/>
    </row>
    <row r="152" spans="260:260" s="66" customFormat="1" ht="24.75" customHeight="1" x14ac:dyDescent="0.35">
      <c r="IZ152" s="80"/>
    </row>
    <row r="153" spans="260:260" s="66" customFormat="1" ht="24.75" customHeight="1" x14ac:dyDescent="0.35">
      <c r="IZ153" s="80"/>
    </row>
    <row r="154" spans="260:260" s="66" customFormat="1" ht="24.75" customHeight="1" x14ac:dyDescent="0.35">
      <c r="IZ154" s="80"/>
    </row>
    <row r="155" spans="260:260" s="66" customFormat="1" ht="24.75" customHeight="1" x14ac:dyDescent="0.35">
      <c r="IZ155" s="80"/>
    </row>
    <row r="156" spans="260:260" s="66" customFormat="1" ht="24.75" customHeight="1" x14ac:dyDescent="0.35">
      <c r="IZ156" s="80"/>
    </row>
    <row r="157" spans="260:260" s="66" customFormat="1" ht="24.75" customHeight="1" x14ac:dyDescent="0.35">
      <c r="IZ157" s="80"/>
    </row>
    <row r="158" spans="260:260" s="66" customFormat="1" ht="24.75" customHeight="1" x14ac:dyDescent="0.35">
      <c r="IZ158" s="80"/>
    </row>
    <row r="159" spans="260:260" s="66" customFormat="1" ht="24.75" customHeight="1" x14ac:dyDescent="0.35">
      <c r="IZ159" s="80"/>
    </row>
    <row r="160" spans="260:260" s="66" customFormat="1" ht="24.75" customHeight="1" x14ac:dyDescent="0.35">
      <c r="IZ160" s="80"/>
    </row>
    <row r="161" spans="260:260" s="66" customFormat="1" ht="24.75" customHeight="1" x14ac:dyDescent="0.35">
      <c r="IZ161" s="80"/>
    </row>
    <row r="162" spans="260:260" s="66" customFormat="1" ht="24.75" customHeight="1" x14ac:dyDescent="0.35">
      <c r="IZ162" s="80"/>
    </row>
    <row r="163" spans="260:260" s="66" customFormat="1" ht="24.75" customHeight="1" x14ac:dyDescent="0.35">
      <c r="IZ163" s="80"/>
    </row>
    <row r="164" spans="260:260" s="66" customFormat="1" ht="24.75" customHeight="1" x14ac:dyDescent="0.35">
      <c r="IZ164" s="80"/>
    </row>
    <row r="165" spans="260:260" s="66" customFormat="1" ht="24.75" customHeight="1" x14ac:dyDescent="0.35">
      <c r="IZ165" s="80"/>
    </row>
    <row r="166" spans="260:260" s="66" customFormat="1" ht="24.75" customHeight="1" x14ac:dyDescent="0.35">
      <c r="IZ166" s="80"/>
    </row>
    <row r="167" spans="260:260" s="66" customFormat="1" ht="24.75" customHeight="1" x14ac:dyDescent="0.35">
      <c r="IZ167" s="80"/>
    </row>
    <row r="168" spans="260:260" s="66" customFormat="1" ht="24.75" customHeight="1" x14ac:dyDescent="0.35">
      <c r="IZ168" s="80"/>
    </row>
    <row r="169" spans="260:260" s="66" customFormat="1" ht="24.75" customHeight="1" x14ac:dyDescent="0.35">
      <c r="IZ169" s="80"/>
    </row>
    <row r="170" spans="260:260" s="66" customFormat="1" ht="24.75" customHeight="1" x14ac:dyDescent="0.35">
      <c r="IZ170" s="80"/>
    </row>
    <row r="171" spans="260:260" s="66" customFormat="1" ht="24.75" customHeight="1" x14ac:dyDescent="0.35">
      <c r="IZ171" s="80"/>
    </row>
    <row r="172" spans="260:260" s="66" customFormat="1" ht="24.75" customHeight="1" x14ac:dyDescent="0.35">
      <c r="IZ172" s="80"/>
    </row>
    <row r="173" spans="260:260" s="66" customFormat="1" ht="24.75" customHeight="1" x14ac:dyDescent="0.35">
      <c r="IZ173" s="80"/>
    </row>
    <row r="174" spans="260:260" s="66" customFormat="1" ht="24.75" customHeight="1" x14ac:dyDescent="0.35">
      <c r="IZ174" s="80"/>
    </row>
    <row r="175" spans="260:260" s="66" customFormat="1" ht="24.75" customHeight="1" x14ac:dyDescent="0.35">
      <c r="IZ175" s="80"/>
    </row>
    <row r="176" spans="260:260" s="66" customFormat="1" ht="24.75" customHeight="1" x14ac:dyDescent="0.35">
      <c r="IZ176" s="80"/>
    </row>
    <row r="177" spans="260:260" s="66" customFormat="1" ht="24.75" customHeight="1" x14ac:dyDescent="0.35">
      <c r="IZ177" s="80"/>
    </row>
    <row r="178" spans="260:260" s="66" customFormat="1" ht="24.75" customHeight="1" x14ac:dyDescent="0.35">
      <c r="IZ178" s="80"/>
    </row>
    <row r="179" spans="260:260" s="66" customFormat="1" ht="24.75" customHeight="1" x14ac:dyDescent="0.35">
      <c r="IZ179" s="80"/>
    </row>
    <row r="180" spans="260:260" s="66" customFormat="1" ht="24.75" customHeight="1" x14ac:dyDescent="0.35">
      <c r="IZ180" s="80"/>
    </row>
    <row r="181" spans="260:260" s="66" customFormat="1" ht="24.75" customHeight="1" x14ac:dyDescent="0.35">
      <c r="IZ181" s="80"/>
    </row>
    <row r="182" spans="260:260" s="66" customFormat="1" ht="24.75" customHeight="1" x14ac:dyDescent="0.35">
      <c r="IZ182" s="80"/>
    </row>
    <row r="183" spans="260:260" s="66" customFormat="1" ht="24.75" customHeight="1" x14ac:dyDescent="0.35">
      <c r="IZ183" s="80"/>
    </row>
    <row r="184" spans="260:260" s="66" customFormat="1" ht="24.75" customHeight="1" x14ac:dyDescent="0.35">
      <c r="IZ184" s="80"/>
    </row>
    <row r="185" spans="260:260" s="66" customFormat="1" ht="24.75" customHeight="1" x14ac:dyDescent="0.35">
      <c r="IZ185" s="80"/>
    </row>
    <row r="186" spans="260:260" s="66" customFormat="1" ht="24.75" customHeight="1" x14ac:dyDescent="0.35">
      <c r="IZ186" s="80"/>
    </row>
    <row r="187" spans="260:260" s="66" customFormat="1" ht="24.75" customHeight="1" x14ac:dyDescent="0.35">
      <c r="IZ187" s="80"/>
    </row>
    <row r="188" spans="260:260" s="66" customFormat="1" ht="24.75" customHeight="1" x14ac:dyDescent="0.35">
      <c r="IZ188" s="80"/>
    </row>
    <row r="189" spans="260:260" s="66" customFormat="1" ht="24.75" customHeight="1" x14ac:dyDescent="0.35">
      <c r="IZ189" s="80"/>
    </row>
    <row r="190" spans="260:260" s="66" customFormat="1" ht="24.75" customHeight="1" x14ac:dyDescent="0.35">
      <c r="IZ190" s="80"/>
    </row>
    <row r="191" spans="260:260" s="66" customFormat="1" ht="24.75" customHeight="1" x14ac:dyDescent="0.35">
      <c r="IZ191" s="80"/>
    </row>
    <row r="192" spans="260:260" s="66" customFormat="1" ht="24.75" customHeight="1" x14ac:dyDescent="0.35">
      <c r="IZ192" s="80"/>
    </row>
    <row r="193" spans="260:260" s="66" customFormat="1" ht="24.75" customHeight="1" x14ac:dyDescent="0.35">
      <c r="IZ193" s="80"/>
    </row>
    <row r="194" spans="260:260" s="66" customFormat="1" ht="24.75" customHeight="1" x14ac:dyDescent="0.35">
      <c r="IZ194" s="80"/>
    </row>
    <row r="195" spans="260:260" s="66" customFormat="1" ht="24.75" customHeight="1" x14ac:dyDescent="0.35">
      <c r="IZ195" s="80"/>
    </row>
    <row r="196" spans="260:260" s="66" customFormat="1" ht="24.75" customHeight="1" x14ac:dyDescent="0.35">
      <c r="IZ196" s="80"/>
    </row>
    <row r="197" spans="260:260" s="66" customFormat="1" ht="24.75" customHeight="1" x14ac:dyDescent="0.35">
      <c r="IZ197" s="80"/>
    </row>
    <row r="198" spans="260:260" s="66" customFormat="1" ht="24.75" customHeight="1" x14ac:dyDescent="0.35">
      <c r="IZ198" s="80"/>
    </row>
    <row r="199" spans="260:260" s="66" customFormat="1" ht="24.75" customHeight="1" x14ac:dyDescent="0.35">
      <c r="IZ199" s="80"/>
    </row>
    <row r="200" spans="260:260" s="66" customFormat="1" ht="24.75" customHeight="1" x14ac:dyDescent="0.35">
      <c r="IZ200" s="80"/>
    </row>
    <row r="201" spans="260:260" s="66" customFormat="1" ht="24.75" customHeight="1" x14ac:dyDescent="0.35">
      <c r="IZ201" s="80"/>
    </row>
    <row r="202" spans="260:260" s="66" customFormat="1" ht="24.75" customHeight="1" x14ac:dyDescent="0.35">
      <c r="IZ202" s="80"/>
    </row>
    <row r="203" spans="260:260" s="66" customFormat="1" ht="24.75" customHeight="1" x14ac:dyDescent="0.35">
      <c r="IZ203" s="80"/>
    </row>
    <row r="204" spans="260:260" s="66" customFormat="1" ht="24.75" customHeight="1" x14ac:dyDescent="0.35">
      <c r="IZ204" s="80"/>
    </row>
    <row r="205" spans="260:260" s="66" customFormat="1" ht="24.75" customHeight="1" x14ac:dyDescent="0.35">
      <c r="IZ205" s="80"/>
    </row>
    <row r="206" spans="260:260" s="66" customFormat="1" ht="24.75" customHeight="1" x14ac:dyDescent="0.35">
      <c r="IZ206" s="80"/>
    </row>
    <row r="207" spans="260:260" s="66" customFormat="1" ht="24.75" customHeight="1" x14ac:dyDescent="0.35">
      <c r="IZ207" s="80"/>
    </row>
    <row r="208" spans="260:260" s="66" customFormat="1" ht="24.75" customHeight="1" x14ac:dyDescent="0.35">
      <c r="IZ208" s="80"/>
    </row>
    <row r="209" spans="260:260" s="66" customFormat="1" ht="24.75" customHeight="1" x14ac:dyDescent="0.35">
      <c r="IZ209" s="80"/>
    </row>
    <row r="210" spans="260:260" s="66" customFormat="1" ht="24.75" customHeight="1" x14ac:dyDescent="0.35">
      <c r="IZ210" s="80"/>
    </row>
    <row r="211" spans="260:260" s="66" customFormat="1" ht="24.75" customHeight="1" x14ac:dyDescent="0.35">
      <c r="IZ211" s="80"/>
    </row>
    <row r="212" spans="260:260" s="66" customFormat="1" ht="24.75" customHeight="1" x14ac:dyDescent="0.35">
      <c r="IZ212" s="80"/>
    </row>
    <row r="213" spans="260:260" s="66" customFormat="1" ht="24.75" customHeight="1" x14ac:dyDescent="0.35">
      <c r="IZ213" s="80"/>
    </row>
    <row r="214" spans="260:260" s="66" customFormat="1" ht="24.75" customHeight="1" x14ac:dyDescent="0.35">
      <c r="IZ214" s="80"/>
    </row>
    <row r="215" spans="260:260" s="66" customFormat="1" ht="24.75" customHeight="1" x14ac:dyDescent="0.35">
      <c r="IZ215" s="80"/>
    </row>
    <row r="216" spans="260:260" s="66" customFormat="1" ht="24.75" customHeight="1" x14ac:dyDescent="0.35">
      <c r="IZ216" s="80"/>
    </row>
    <row r="217" spans="260:260" s="66" customFormat="1" ht="24.75" customHeight="1" x14ac:dyDescent="0.35">
      <c r="IZ217" s="80"/>
    </row>
    <row r="218" spans="260:260" s="66" customFormat="1" ht="24.75" customHeight="1" x14ac:dyDescent="0.35">
      <c r="IZ218" s="80"/>
    </row>
    <row r="219" spans="260:260" s="66" customFormat="1" ht="24.75" customHeight="1" x14ac:dyDescent="0.35">
      <c r="IZ219" s="80"/>
    </row>
    <row r="220" spans="260:260" s="66" customFormat="1" ht="24.75" customHeight="1" x14ac:dyDescent="0.35">
      <c r="IZ220" s="80"/>
    </row>
    <row r="221" spans="260:260" s="66" customFormat="1" ht="24.75" customHeight="1" x14ac:dyDescent="0.35">
      <c r="IZ221" s="80"/>
    </row>
    <row r="222" spans="260:260" s="66" customFormat="1" ht="24.75" customHeight="1" x14ac:dyDescent="0.35">
      <c r="IZ222" s="80"/>
    </row>
    <row r="223" spans="260:260" s="66" customFormat="1" ht="24.75" customHeight="1" x14ac:dyDescent="0.35">
      <c r="IZ223" s="80"/>
    </row>
    <row r="224" spans="260:260" s="66" customFormat="1" ht="24.75" customHeight="1" x14ac:dyDescent="0.35">
      <c r="IZ224" s="80"/>
    </row>
    <row r="225" spans="260:260" s="66" customFormat="1" ht="24.75" customHeight="1" x14ac:dyDescent="0.35">
      <c r="IZ225" s="80"/>
    </row>
    <row r="226" spans="260:260" s="66" customFormat="1" ht="24.75" customHeight="1" x14ac:dyDescent="0.35">
      <c r="IZ226" s="80"/>
    </row>
    <row r="227" spans="260:260" s="66" customFormat="1" ht="24.75" customHeight="1" x14ac:dyDescent="0.35">
      <c r="IZ227" s="80"/>
    </row>
    <row r="228" spans="260:260" s="66" customFormat="1" ht="24.75" customHeight="1" x14ac:dyDescent="0.35">
      <c r="IZ228" s="80"/>
    </row>
    <row r="229" spans="260:260" s="66" customFormat="1" ht="24.75" customHeight="1" x14ac:dyDescent="0.35">
      <c r="IZ229" s="80"/>
    </row>
    <row r="230" spans="260:260" s="66" customFormat="1" ht="24.75" customHeight="1" x14ac:dyDescent="0.35">
      <c r="IZ230" s="80"/>
    </row>
    <row r="231" spans="260:260" s="66" customFormat="1" ht="24.75" customHeight="1" x14ac:dyDescent="0.35">
      <c r="IZ231" s="80"/>
    </row>
    <row r="232" spans="260:260" s="66" customFormat="1" ht="24.75" customHeight="1" x14ac:dyDescent="0.35">
      <c r="IZ232" s="80"/>
    </row>
    <row r="233" spans="260:260" s="66" customFormat="1" ht="24.75" customHeight="1" x14ac:dyDescent="0.35">
      <c r="IZ233" s="80"/>
    </row>
    <row r="234" spans="260:260" s="66" customFormat="1" ht="24.75" customHeight="1" x14ac:dyDescent="0.35">
      <c r="IZ234" s="80"/>
    </row>
    <row r="235" spans="260:260" s="66" customFormat="1" ht="24.75" customHeight="1" x14ac:dyDescent="0.35">
      <c r="IZ235" s="80"/>
    </row>
    <row r="236" spans="260:260" s="66" customFormat="1" ht="24.75" customHeight="1" x14ac:dyDescent="0.35">
      <c r="IZ236" s="80"/>
    </row>
    <row r="237" spans="260:260" s="66" customFormat="1" ht="24.75" customHeight="1" x14ac:dyDescent="0.35">
      <c r="IZ237" s="80"/>
    </row>
    <row r="238" spans="260:260" s="66" customFormat="1" ht="24.75" customHeight="1" x14ac:dyDescent="0.35">
      <c r="IZ238" s="80"/>
    </row>
    <row r="239" spans="260:260" s="66" customFormat="1" ht="24.75" customHeight="1" x14ac:dyDescent="0.35">
      <c r="IZ239" s="80"/>
    </row>
    <row r="240" spans="260:260" s="66" customFormat="1" ht="24.75" customHeight="1" x14ac:dyDescent="0.35">
      <c r="IZ240" s="80"/>
    </row>
    <row r="241" spans="260:260" s="66" customFormat="1" ht="24.75" customHeight="1" x14ac:dyDescent="0.35">
      <c r="IZ241" s="80"/>
    </row>
    <row r="242" spans="260:260" s="66" customFormat="1" ht="24.75" customHeight="1" x14ac:dyDescent="0.35">
      <c r="IZ242" s="80"/>
    </row>
    <row r="243" spans="260:260" s="66" customFormat="1" ht="24.75" customHeight="1" x14ac:dyDescent="0.35">
      <c r="IZ243" s="80"/>
    </row>
    <row r="244" spans="260:260" s="66" customFormat="1" ht="24.75" customHeight="1" x14ac:dyDescent="0.35">
      <c r="IZ244" s="80"/>
    </row>
    <row r="245" spans="260:260" s="66" customFormat="1" ht="24.75" customHeight="1" x14ac:dyDescent="0.35">
      <c r="IZ245" s="80"/>
    </row>
    <row r="246" spans="260:260" s="66" customFormat="1" ht="24.75" customHeight="1" x14ac:dyDescent="0.35">
      <c r="IZ246" s="80"/>
    </row>
    <row r="247" spans="260:260" s="66" customFormat="1" ht="24.75" customHeight="1" x14ac:dyDescent="0.35">
      <c r="IZ247" s="80"/>
    </row>
    <row r="248" spans="260:260" s="66" customFormat="1" ht="24.75" customHeight="1" x14ac:dyDescent="0.35">
      <c r="IZ248" s="80"/>
    </row>
    <row r="249" spans="260:260" s="66" customFormat="1" ht="24.75" customHeight="1" x14ac:dyDescent="0.35">
      <c r="IZ249" s="80"/>
    </row>
    <row r="250" spans="260:260" s="66" customFormat="1" ht="24.75" customHeight="1" x14ac:dyDescent="0.35">
      <c r="IZ250" s="80"/>
    </row>
    <row r="251" spans="260:260" s="66" customFormat="1" ht="24.75" customHeight="1" x14ac:dyDescent="0.35">
      <c r="IZ251" s="80"/>
    </row>
    <row r="252" spans="260:260" s="66" customFormat="1" ht="24.75" customHeight="1" x14ac:dyDescent="0.35">
      <c r="IZ252" s="80"/>
    </row>
    <row r="253" spans="260:260" s="66" customFormat="1" ht="24.75" customHeight="1" x14ac:dyDescent="0.35">
      <c r="IZ253" s="80"/>
    </row>
    <row r="254" spans="260:260" s="66" customFormat="1" ht="24.75" customHeight="1" x14ac:dyDescent="0.35">
      <c r="IZ254" s="80"/>
    </row>
    <row r="255" spans="260:260" s="66" customFormat="1" ht="24.75" customHeight="1" x14ac:dyDescent="0.35">
      <c r="IZ255" s="80"/>
    </row>
    <row r="256" spans="260:260" s="66" customFormat="1" ht="24.75" customHeight="1" x14ac:dyDescent="0.35">
      <c r="IZ256" s="80"/>
    </row>
    <row r="257" spans="260:260" s="66" customFormat="1" ht="24.75" customHeight="1" x14ac:dyDescent="0.35">
      <c r="IZ257" s="80"/>
    </row>
    <row r="258" spans="260:260" s="66" customFormat="1" ht="24.75" customHeight="1" x14ac:dyDescent="0.35">
      <c r="IZ258" s="80"/>
    </row>
    <row r="259" spans="260:260" s="66" customFormat="1" ht="24.75" customHeight="1" x14ac:dyDescent="0.35">
      <c r="IZ259" s="80"/>
    </row>
    <row r="260" spans="260:260" s="66" customFormat="1" ht="24.75" customHeight="1" x14ac:dyDescent="0.35">
      <c r="IZ260" s="80"/>
    </row>
    <row r="261" spans="260:260" s="66" customFormat="1" ht="24.75" customHeight="1" x14ac:dyDescent="0.35">
      <c r="IZ261" s="80"/>
    </row>
    <row r="262" spans="260:260" s="66" customFormat="1" ht="24.75" customHeight="1" x14ac:dyDescent="0.35">
      <c r="IZ262" s="80"/>
    </row>
    <row r="263" spans="260:260" s="66" customFormat="1" ht="24.75" customHeight="1" x14ac:dyDescent="0.35">
      <c r="IZ263" s="80"/>
    </row>
    <row r="264" spans="260:260" s="66" customFormat="1" ht="24.75" customHeight="1" x14ac:dyDescent="0.35">
      <c r="IZ264" s="80"/>
    </row>
    <row r="265" spans="260:260" s="66" customFormat="1" ht="24.75" customHeight="1" x14ac:dyDescent="0.35">
      <c r="IZ265" s="80"/>
    </row>
    <row r="266" spans="260:260" s="66" customFormat="1" ht="24.75" customHeight="1" x14ac:dyDescent="0.35">
      <c r="IZ266" s="80"/>
    </row>
    <row r="267" spans="260:260" s="66" customFormat="1" ht="24.75" customHeight="1" x14ac:dyDescent="0.35">
      <c r="IZ267" s="80"/>
    </row>
    <row r="268" spans="260:260" s="66" customFormat="1" ht="24.75" customHeight="1" x14ac:dyDescent="0.35">
      <c r="IZ268" s="80"/>
    </row>
    <row r="269" spans="260:260" s="66" customFormat="1" ht="24.75" customHeight="1" x14ac:dyDescent="0.35">
      <c r="IZ269" s="80"/>
    </row>
    <row r="270" spans="260:260" s="66" customFormat="1" ht="24.75" customHeight="1" x14ac:dyDescent="0.35">
      <c r="IZ270" s="80"/>
    </row>
    <row r="271" spans="260:260" s="66" customFormat="1" ht="24.75" customHeight="1" x14ac:dyDescent="0.35">
      <c r="IZ271" s="80"/>
    </row>
    <row r="272" spans="260:260" s="66" customFormat="1" ht="24.75" customHeight="1" x14ac:dyDescent="0.35">
      <c r="IZ272" s="80"/>
    </row>
    <row r="273" spans="260:260" s="66" customFormat="1" ht="24.75" customHeight="1" x14ac:dyDescent="0.35">
      <c r="IZ273" s="80"/>
    </row>
    <row r="274" spans="260:260" s="66" customFormat="1" ht="24.75" customHeight="1" x14ac:dyDescent="0.35">
      <c r="IZ274" s="80"/>
    </row>
    <row r="275" spans="260:260" s="66" customFormat="1" ht="24.75" customHeight="1" x14ac:dyDescent="0.35">
      <c r="IZ275" s="80"/>
    </row>
    <row r="276" spans="260:260" s="66" customFormat="1" ht="24.75" customHeight="1" x14ac:dyDescent="0.35">
      <c r="IZ276" s="80"/>
    </row>
    <row r="277" spans="260:260" s="66" customFormat="1" ht="24.75" customHeight="1" x14ac:dyDescent="0.35">
      <c r="IZ277" s="80"/>
    </row>
    <row r="278" spans="260:260" s="66" customFormat="1" ht="24.75" customHeight="1" x14ac:dyDescent="0.35">
      <c r="IZ278" s="80"/>
    </row>
    <row r="279" spans="260:260" s="66" customFormat="1" ht="24.75" customHeight="1" x14ac:dyDescent="0.35">
      <c r="IZ279" s="80"/>
    </row>
    <row r="280" spans="260:260" s="66" customFormat="1" ht="24.75" customHeight="1" x14ac:dyDescent="0.35">
      <c r="IZ280" s="80"/>
    </row>
    <row r="281" spans="260:260" s="66" customFormat="1" ht="24.75" customHeight="1" x14ac:dyDescent="0.35">
      <c r="IZ281" s="80"/>
    </row>
    <row r="282" spans="260:260" s="66" customFormat="1" ht="24.75" customHeight="1" x14ac:dyDescent="0.35">
      <c r="IZ282" s="80"/>
    </row>
    <row r="283" spans="260:260" s="66" customFormat="1" ht="24.75" customHeight="1" x14ac:dyDescent="0.35">
      <c r="IZ283" s="80"/>
    </row>
    <row r="284" spans="260:260" s="66" customFormat="1" ht="24.75" customHeight="1" x14ac:dyDescent="0.35">
      <c r="IZ284" s="80"/>
    </row>
    <row r="285" spans="260:260" s="66" customFormat="1" ht="24.75" customHeight="1" x14ac:dyDescent="0.35">
      <c r="IZ285" s="80"/>
    </row>
    <row r="286" spans="260:260" s="66" customFormat="1" ht="24.75" customHeight="1" x14ac:dyDescent="0.35">
      <c r="IZ286" s="80"/>
    </row>
    <row r="287" spans="260:260" s="66" customFormat="1" ht="24.75" customHeight="1" x14ac:dyDescent="0.35">
      <c r="IZ287" s="80"/>
    </row>
    <row r="288" spans="260:260" s="66" customFormat="1" ht="24.75" customHeight="1" x14ac:dyDescent="0.35">
      <c r="IZ288" s="80"/>
    </row>
    <row r="289" spans="260:260" s="66" customFormat="1" ht="24.75" customHeight="1" x14ac:dyDescent="0.35">
      <c r="IZ289" s="80"/>
    </row>
    <row r="290" spans="260:260" s="66" customFormat="1" ht="24.75" customHeight="1" x14ac:dyDescent="0.35">
      <c r="IZ290" s="80"/>
    </row>
    <row r="291" spans="260:260" s="66" customFormat="1" ht="24.75" customHeight="1" x14ac:dyDescent="0.35">
      <c r="IZ291" s="80"/>
    </row>
    <row r="292" spans="260:260" s="66" customFormat="1" ht="24.75" customHeight="1" x14ac:dyDescent="0.35">
      <c r="IZ292" s="80"/>
    </row>
    <row r="293" spans="260:260" s="66" customFormat="1" ht="24.75" customHeight="1" x14ac:dyDescent="0.35">
      <c r="IZ293" s="80"/>
    </row>
    <row r="294" spans="260:260" s="66" customFormat="1" ht="24.75" customHeight="1" x14ac:dyDescent="0.35">
      <c r="IZ294" s="80"/>
    </row>
    <row r="295" spans="260:260" s="66" customFormat="1" ht="24.75" customHeight="1" x14ac:dyDescent="0.35">
      <c r="IZ295" s="80"/>
    </row>
    <row r="296" spans="260:260" s="66" customFormat="1" ht="24.75" customHeight="1" x14ac:dyDescent="0.35">
      <c r="IZ296" s="80"/>
    </row>
    <row r="297" spans="260:260" s="66" customFormat="1" ht="24.75" customHeight="1" x14ac:dyDescent="0.35">
      <c r="IZ297" s="80"/>
    </row>
    <row r="298" spans="260:260" s="66" customFormat="1" ht="24.75" customHeight="1" x14ac:dyDescent="0.35">
      <c r="IZ298" s="80"/>
    </row>
    <row r="299" spans="260:260" s="66" customFormat="1" ht="24.75" customHeight="1" x14ac:dyDescent="0.35">
      <c r="IZ299" s="80"/>
    </row>
    <row r="300" spans="260:260" s="66" customFormat="1" ht="24.75" customHeight="1" x14ac:dyDescent="0.35">
      <c r="IZ300" s="80"/>
    </row>
    <row r="301" spans="260:260" s="66" customFormat="1" ht="24.75" customHeight="1" x14ac:dyDescent="0.35">
      <c r="IZ301" s="80"/>
    </row>
    <row r="302" spans="260:260" s="66" customFormat="1" ht="24.75" customHeight="1" x14ac:dyDescent="0.35">
      <c r="IZ302" s="80"/>
    </row>
    <row r="303" spans="260:260" s="66" customFormat="1" ht="24.75" customHeight="1" x14ac:dyDescent="0.35">
      <c r="IZ303" s="80"/>
    </row>
    <row r="304" spans="260:260" s="66" customFormat="1" ht="24.75" customHeight="1" x14ac:dyDescent="0.35">
      <c r="IZ304" s="80"/>
    </row>
    <row r="305" spans="260:260" s="66" customFormat="1" ht="24.75" customHeight="1" x14ac:dyDescent="0.35">
      <c r="IZ305" s="80"/>
    </row>
    <row r="306" spans="260:260" s="66" customFormat="1" ht="24.75" customHeight="1" x14ac:dyDescent="0.35">
      <c r="IZ306" s="80"/>
    </row>
    <row r="307" spans="260:260" s="66" customFormat="1" ht="24.75" customHeight="1" x14ac:dyDescent="0.35">
      <c r="IZ307" s="80"/>
    </row>
    <row r="308" spans="260:260" s="66" customFormat="1" ht="24.75" customHeight="1" x14ac:dyDescent="0.35">
      <c r="IZ308" s="80"/>
    </row>
    <row r="309" spans="260:260" s="66" customFormat="1" ht="24.75" customHeight="1" x14ac:dyDescent="0.35">
      <c r="IZ309" s="80"/>
    </row>
    <row r="310" spans="260:260" s="66" customFormat="1" ht="24.75" customHeight="1" x14ac:dyDescent="0.35">
      <c r="IZ310" s="80"/>
    </row>
    <row r="311" spans="260:260" s="66" customFormat="1" ht="24.75" customHeight="1" x14ac:dyDescent="0.35">
      <c r="IZ311" s="80"/>
    </row>
    <row r="312" spans="260:260" s="66" customFormat="1" ht="24.75" customHeight="1" x14ac:dyDescent="0.35">
      <c r="IZ312" s="80"/>
    </row>
    <row r="313" spans="260:260" s="66" customFormat="1" ht="24.75" customHeight="1" x14ac:dyDescent="0.35">
      <c r="IZ313" s="80"/>
    </row>
    <row r="314" spans="260:260" s="66" customFormat="1" ht="24.75" customHeight="1" x14ac:dyDescent="0.35">
      <c r="IZ314" s="80"/>
    </row>
    <row r="315" spans="260:260" s="66" customFormat="1" ht="24.75" customHeight="1" x14ac:dyDescent="0.35">
      <c r="IZ315" s="80"/>
    </row>
    <row r="316" spans="260:260" s="66" customFormat="1" ht="24.75" customHeight="1" x14ac:dyDescent="0.35">
      <c r="IZ316" s="80"/>
    </row>
    <row r="317" spans="260:260" s="66" customFormat="1" ht="24.75" customHeight="1" x14ac:dyDescent="0.35">
      <c r="IZ317" s="80"/>
    </row>
    <row r="318" spans="260:260" s="66" customFormat="1" ht="24.75" customHeight="1" x14ac:dyDescent="0.35">
      <c r="IZ318" s="80"/>
    </row>
    <row r="319" spans="260:260" s="66" customFormat="1" ht="24.75" customHeight="1" x14ac:dyDescent="0.35">
      <c r="IZ319" s="80"/>
    </row>
    <row r="320" spans="260:260" s="66" customFormat="1" ht="24.75" customHeight="1" x14ac:dyDescent="0.35">
      <c r="IZ320" s="80"/>
    </row>
    <row r="321" spans="260:260" s="66" customFormat="1" ht="24.75" customHeight="1" x14ac:dyDescent="0.35">
      <c r="IZ321" s="80"/>
    </row>
    <row r="322" spans="260:260" s="66" customFormat="1" ht="24.75" customHeight="1" x14ac:dyDescent="0.35">
      <c r="IZ322" s="80"/>
    </row>
    <row r="323" spans="260:260" s="66" customFormat="1" ht="24.75" customHeight="1" x14ac:dyDescent="0.35">
      <c r="IZ323" s="80"/>
    </row>
    <row r="324" spans="260:260" s="66" customFormat="1" ht="24.75" customHeight="1" x14ac:dyDescent="0.35">
      <c r="IZ324" s="80"/>
    </row>
    <row r="325" spans="260:260" s="66" customFormat="1" ht="24.75" customHeight="1" x14ac:dyDescent="0.35">
      <c r="IZ325" s="80"/>
    </row>
    <row r="326" spans="260:260" s="66" customFormat="1" ht="24.75" customHeight="1" x14ac:dyDescent="0.35">
      <c r="IZ326" s="80"/>
    </row>
    <row r="327" spans="260:260" s="66" customFormat="1" ht="24.75" customHeight="1" x14ac:dyDescent="0.35">
      <c r="IZ327" s="80"/>
    </row>
    <row r="328" spans="260:260" s="66" customFormat="1" ht="24.75" customHeight="1" x14ac:dyDescent="0.35">
      <c r="IZ328" s="80"/>
    </row>
    <row r="329" spans="260:260" s="66" customFormat="1" ht="24.75" customHeight="1" x14ac:dyDescent="0.35">
      <c r="IZ329" s="80"/>
    </row>
    <row r="330" spans="260:260" s="66" customFormat="1" ht="24.75" customHeight="1" x14ac:dyDescent="0.35">
      <c r="IZ330" s="80"/>
    </row>
    <row r="331" spans="260:260" s="66" customFormat="1" ht="24.75" customHeight="1" x14ac:dyDescent="0.35">
      <c r="IZ331" s="80"/>
    </row>
    <row r="332" spans="260:260" s="66" customFormat="1" ht="24.75" customHeight="1" x14ac:dyDescent="0.35">
      <c r="IZ332" s="80"/>
    </row>
    <row r="333" spans="260:260" s="66" customFormat="1" ht="24.75" customHeight="1" x14ac:dyDescent="0.35">
      <c r="IZ333" s="80"/>
    </row>
    <row r="334" spans="260:260" s="66" customFormat="1" ht="24.75" customHeight="1" x14ac:dyDescent="0.35">
      <c r="IZ334" s="80"/>
    </row>
    <row r="335" spans="260:260" s="66" customFormat="1" ht="24.75" customHeight="1" x14ac:dyDescent="0.35">
      <c r="IZ335" s="80"/>
    </row>
    <row r="336" spans="260:260" s="66" customFormat="1" ht="24.75" customHeight="1" x14ac:dyDescent="0.35">
      <c r="IZ336" s="80"/>
    </row>
    <row r="337" spans="260:260" s="66" customFormat="1" ht="24.75" customHeight="1" x14ac:dyDescent="0.35">
      <c r="IZ337" s="80"/>
    </row>
    <row r="338" spans="260:260" s="66" customFormat="1" ht="24.75" customHeight="1" x14ac:dyDescent="0.35">
      <c r="IZ338" s="80"/>
    </row>
    <row r="339" spans="260:260" s="66" customFormat="1" ht="24.75" customHeight="1" x14ac:dyDescent="0.35">
      <c r="IZ339" s="80"/>
    </row>
    <row r="340" spans="260:260" s="66" customFormat="1" ht="24.75" customHeight="1" x14ac:dyDescent="0.35">
      <c r="IZ340" s="80"/>
    </row>
    <row r="341" spans="260:260" s="66" customFormat="1" ht="24.75" customHeight="1" x14ac:dyDescent="0.35">
      <c r="IZ341" s="80"/>
    </row>
    <row r="342" spans="260:260" s="66" customFormat="1" ht="24.75" customHeight="1" x14ac:dyDescent="0.35">
      <c r="IZ342" s="80"/>
    </row>
    <row r="343" spans="260:260" s="66" customFormat="1" ht="24.75" customHeight="1" x14ac:dyDescent="0.35">
      <c r="IZ343" s="80"/>
    </row>
    <row r="344" spans="260:260" s="66" customFormat="1" ht="24.75" customHeight="1" x14ac:dyDescent="0.35">
      <c r="IZ344" s="80"/>
    </row>
    <row r="345" spans="260:260" s="66" customFormat="1" ht="24.75" customHeight="1" x14ac:dyDescent="0.35">
      <c r="IZ345" s="80"/>
    </row>
    <row r="346" spans="260:260" s="66" customFormat="1" ht="24.75" customHeight="1" x14ac:dyDescent="0.35">
      <c r="IZ346" s="80"/>
    </row>
    <row r="347" spans="260:260" s="66" customFormat="1" ht="24.75" customHeight="1" x14ac:dyDescent="0.35">
      <c r="IZ347" s="80"/>
    </row>
    <row r="348" spans="260:260" s="66" customFormat="1" ht="24.75" customHeight="1" x14ac:dyDescent="0.35">
      <c r="IZ348" s="80"/>
    </row>
    <row r="349" spans="260:260" s="66" customFormat="1" ht="24.75" customHeight="1" x14ac:dyDescent="0.35">
      <c r="IZ349" s="80"/>
    </row>
    <row r="350" spans="260:260" s="66" customFormat="1" ht="24.75" customHeight="1" x14ac:dyDescent="0.35">
      <c r="IZ350" s="80"/>
    </row>
    <row r="351" spans="260:260" s="66" customFormat="1" ht="24.75" customHeight="1" x14ac:dyDescent="0.35">
      <c r="IZ351" s="80"/>
    </row>
    <row r="352" spans="260:260" s="66" customFormat="1" ht="24.75" customHeight="1" x14ac:dyDescent="0.35">
      <c r="IZ352" s="80"/>
    </row>
    <row r="353" spans="260:260" s="66" customFormat="1" ht="24.75" customHeight="1" x14ac:dyDescent="0.35">
      <c r="IZ353" s="80"/>
    </row>
    <row r="354" spans="260:260" s="66" customFormat="1" ht="24.75" customHeight="1" x14ac:dyDescent="0.35">
      <c r="IZ354" s="80"/>
    </row>
    <row r="355" spans="260:260" s="66" customFormat="1" ht="24.75" customHeight="1" x14ac:dyDescent="0.35">
      <c r="IZ355" s="80"/>
    </row>
    <row r="356" spans="260:260" s="66" customFormat="1" ht="24.75" customHeight="1" x14ac:dyDescent="0.35">
      <c r="IZ356" s="80"/>
    </row>
    <row r="357" spans="260:260" s="66" customFormat="1" ht="24.75" customHeight="1" x14ac:dyDescent="0.35">
      <c r="IZ357" s="80"/>
    </row>
    <row r="358" spans="260:260" s="66" customFormat="1" ht="24.75" customHeight="1" x14ac:dyDescent="0.35">
      <c r="IZ358" s="80"/>
    </row>
    <row r="359" spans="260:260" s="66" customFormat="1" ht="24.75" customHeight="1" x14ac:dyDescent="0.35">
      <c r="IZ359" s="80"/>
    </row>
    <row r="360" spans="260:260" s="66" customFormat="1" ht="24.75" customHeight="1" x14ac:dyDescent="0.35">
      <c r="IZ360" s="80"/>
    </row>
    <row r="361" spans="260:260" s="66" customFormat="1" ht="24.75" customHeight="1" x14ac:dyDescent="0.35">
      <c r="IZ361" s="80"/>
    </row>
    <row r="362" spans="260:260" s="66" customFormat="1" ht="24.75" customHeight="1" x14ac:dyDescent="0.35">
      <c r="IZ362" s="80"/>
    </row>
    <row r="363" spans="260:260" s="66" customFormat="1" ht="24.75" customHeight="1" x14ac:dyDescent="0.35">
      <c r="IZ363" s="80"/>
    </row>
    <row r="364" spans="260:260" s="66" customFormat="1" ht="24.75" customHeight="1" x14ac:dyDescent="0.35">
      <c r="IZ364" s="80"/>
    </row>
    <row r="365" spans="260:260" s="66" customFormat="1" ht="24.75" customHeight="1" x14ac:dyDescent="0.35">
      <c r="IZ365" s="80"/>
    </row>
    <row r="366" spans="260:260" s="66" customFormat="1" ht="24.75" customHeight="1" x14ac:dyDescent="0.35">
      <c r="IZ366" s="80"/>
    </row>
    <row r="367" spans="260:260" s="66" customFormat="1" ht="24.75" customHeight="1" x14ac:dyDescent="0.35">
      <c r="IZ367" s="80"/>
    </row>
    <row r="368" spans="260:260" s="66" customFormat="1" ht="24.75" customHeight="1" x14ac:dyDescent="0.35">
      <c r="IZ368" s="80"/>
    </row>
    <row r="369" spans="260:260" s="66" customFormat="1" ht="24.75" customHeight="1" x14ac:dyDescent="0.35">
      <c r="IZ369" s="80"/>
    </row>
    <row r="370" spans="260:260" s="66" customFormat="1" ht="24.75" customHeight="1" x14ac:dyDescent="0.35">
      <c r="IZ370" s="80"/>
    </row>
    <row r="371" spans="260:260" s="66" customFormat="1" ht="24.75" customHeight="1" x14ac:dyDescent="0.35">
      <c r="IZ371" s="80"/>
    </row>
    <row r="372" spans="260:260" s="66" customFormat="1" ht="24.75" customHeight="1" x14ac:dyDescent="0.35">
      <c r="IZ372" s="80"/>
    </row>
    <row r="373" spans="260:260" s="66" customFormat="1" ht="24.75" customHeight="1" x14ac:dyDescent="0.35">
      <c r="IZ373" s="80"/>
    </row>
    <row r="374" spans="260:260" s="66" customFormat="1" ht="24.75" customHeight="1" x14ac:dyDescent="0.35">
      <c r="IZ374" s="80"/>
    </row>
    <row r="375" spans="260:260" s="66" customFormat="1" ht="24.75" customHeight="1" x14ac:dyDescent="0.35">
      <c r="IZ375" s="80"/>
    </row>
    <row r="376" spans="260:260" s="66" customFormat="1" ht="24.75" customHeight="1" x14ac:dyDescent="0.35">
      <c r="IZ376" s="80"/>
    </row>
    <row r="377" spans="260:260" s="66" customFormat="1" ht="24.75" customHeight="1" x14ac:dyDescent="0.35">
      <c r="IZ377" s="80"/>
    </row>
    <row r="378" spans="260:260" s="66" customFormat="1" ht="24.75" customHeight="1" x14ac:dyDescent="0.35">
      <c r="IZ378" s="80"/>
    </row>
    <row r="379" spans="260:260" s="66" customFormat="1" ht="24.75" customHeight="1" x14ac:dyDescent="0.35">
      <c r="IZ379" s="80"/>
    </row>
    <row r="380" spans="260:260" s="66" customFormat="1" ht="24.75" customHeight="1" x14ac:dyDescent="0.35">
      <c r="IZ380" s="80"/>
    </row>
    <row r="381" spans="260:260" s="66" customFormat="1" ht="24.75" customHeight="1" x14ac:dyDescent="0.35">
      <c r="IZ381" s="80"/>
    </row>
    <row r="382" spans="260:260" s="66" customFormat="1" ht="24.75" customHeight="1" x14ac:dyDescent="0.35">
      <c r="IZ382" s="80"/>
    </row>
    <row r="383" spans="260:260" s="66" customFormat="1" ht="24.75" customHeight="1" x14ac:dyDescent="0.35">
      <c r="IZ383" s="80"/>
    </row>
    <row r="384" spans="260:260" s="66" customFormat="1" ht="24.75" customHeight="1" x14ac:dyDescent="0.35">
      <c r="IZ384" s="80"/>
    </row>
    <row r="385" spans="260:260" s="66" customFormat="1" ht="24.75" customHeight="1" x14ac:dyDescent="0.35">
      <c r="IZ385" s="80"/>
    </row>
    <row r="386" spans="260:260" s="66" customFormat="1" ht="24.75" customHeight="1" x14ac:dyDescent="0.35">
      <c r="IZ386" s="80"/>
    </row>
    <row r="387" spans="260:260" s="66" customFormat="1" ht="24.75" customHeight="1" x14ac:dyDescent="0.35">
      <c r="IZ387" s="80"/>
    </row>
    <row r="388" spans="260:260" s="66" customFormat="1" ht="24.75" customHeight="1" x14ac:dyDescent="0.35">
      <c r="IZ388" s="80"/>
    </row>
    <row r="389" spans="260:260" s="66" customFormat="1" ht="24.75" customHeight="1" x14ac:dyDescent="0.35">
      <c r="IZ389" s="80"/>
    </row>
    <row r="390" spans="260:260" s="66" customFormat="1" ht="24.75" customHeight="1" x14ac:dyDescent="0.35">
      <c r="IZ390" s="80"/>
    </row>
    <row r="391" spans="260:260" s="66" customFormat="1" ht="24.75" customHeight="1" x14ac:dyDescent="0.35">
      <c r="IZ391" s="80"/>
    </row>
    <row r="392" spans="260:260" s="66" customFormat="1" ht="24.75" customHeight="1" x14ac:dyDescent="0.35">
      <c r="IZ392" s="80"/>
    </row>
    <row r="393" spans="260:260" s="66" customFormat="1" ht="24.75" customHeight="1" x14ac:dyDescent="0.35">
      <c r="IZ393" s="80"/>
    </row>
    <row r="394" spans="260:260" s="66" customFormat="1" ht="24.75" customHeight="1" x14ac:dyDescent="0.35">
      <c r="IZ394" s="80"/>
    </row>
    <row r="395" spans="260:260" s="66" customFormat="1" ht="24.75" customHeight="1" x14ac:dyDescent="0.35">
      <c r="IZ395" s="80"/>
    </row>
    <row r="396" spans="260:260" s="66" customFormat="1" ht="24.75" customHeight="1" x14ac:dyDescent="0.35">
      <c r="IZ396" s="80"/>
    </row>
    <row r="397" spans="260:260" s="66" customFormat="1" ht="24.75" customHeight="1" x14ac:dyDescent="0.35">
      <c r="IZ397" s="80"/>
    </row>
    <row r="398" spans="260:260" s="66" customFormat="1" ht="24.75" customHeight="1" x14ac:dyDescent="0.35">
      <c r="IZ398" s="80"/>
    </row>
    <row r="399" spans="260:260" s="66" customFormat="1" ht="24.75" customHeight="1" x14ac:dyDescent="0.35">
      <c r="IZ399" s="80"/>
    </row>
    <row r="400" spans="260:260" s="66" customFormat="1" ht="24.75" customHeight="1" x14ac:dyDescent="0.35">
      <c r="IZ400" s="80"/>
    </row>
    <row r="401" spans="260:260" s="66" customFormat="1" ht="24.75" customHeight="1" x14ac:dyDescent="0.35">
      <c r="IZ401" s="80"/>
    </row>
    <row r="402" spans="260:260" s="66" customFormat="1" ht="24.75" customHeight="1" x14ac:dyDescent="0.35">
      <c r="IZ402" s="80"/>
    </row>
    <row r="403" spans="260:260" s="66" customFormat="1" ht="24.75" customHeight="1" x14ac:dyDescent="0.35">
      <c r="IZ403" s="80"/>
    </row>
    <row r="404" spans="260:260" s="66" customFormat="1" ht="24.75" customHeight="1" x14ac:dyDescent="0.35">
      <c r="IZ404" s="80"/>
    </row>
    <row r="405" spans="260:260" s="66" customFormat="1" ht="24.75" customHeight="1" x14ac:dyDescent="0.35">
      <c r="IZ405" s="80"/>
    </row>
    <row r="406" spans="260:260" s="66" customFormat="1" ht="24.75" customHeight="1" x14ac:dyDescent="0.35">
      <c r="IZ406" s="80"/>
    </row>
    <row r="407" spans="260:260" s="66" customFormat="1" ht="24.75" customHeight="1" x14ac:dyDescent="0.35">
      <c r="IZ407" s="80"/>
    </row>
    <row r="408" spans="260:260" s="66" customFormat="1" ht="24.75" customHeight="1" x14ac:dyDescent="0.35">
      <c r="IZ408" s="80"/>
    </row>
    <row r="409" spans="260:260" s="66" customFormat="1" ht="24.75" customHeight="1" x14ac:dyDescent="0.35">
      <c r="IZ409" s="80"/>
    </row>
    <row r="410" spans="260:260" s="66" customFormat="1" ht="24.75" customHeight="1" x14ac:dyDescent="0.35">
      <c r="IZ410" s="80"/>
    </row>
    <row r="411" spans="260:260" s="66" customFormat="1" ht="24.75" customHeight="1" x14ac:dyDescent="0.35">
      <c r="IZ411" s="80"/>
    </row>
    <row r="412" spans="260:260" s="66" customFormat="1" ht="24.75" customHeight="1" x14ac:dyDescent="0.35">
      <c r="IZ412" s="80"/>
    </row>
    <row r="413" spans="260:260" s="66" customFormat="1" ht="24.75" customHeight="1" x14ac:dyDescent="0.35">
      <c r="IZ413" s="80"/>
    </row>
    <row r="414" spans="260:260" s="66" customFormat="1" ht="24.75" customHeight="1" x14ac:dyDescent="0.35">
      <c r="IZ414" s="80"/>
    </row>
    <row r="415" spans="260:260" s="66" customFormat="1" ht="24.75" customHeight="1" x14ac:dyDescent="0.35">
      <c r="IZ415" s="80"/>
    </row>
    <row r="416" spans="260:260" s="66" customFormat="1" ht="24.75" customHeight="1" x14ac:dyDescent="0.35">
      <c r="IZ416" s="80"/>
    </row>
    <row r="417" spans="260:260" s="66" customFormat="1" ht="24.75" customHeight="1" x14ac:dyDescent="0.35">
      <c r="IZ417" s="80"/>
    </row>
    <row r="418" spans="260:260" s="66" customFormat="1" ht="24.75" customHeight="1" x14ac:dyDescent="0.35">
      <c r="IZ418" s="80"/>
    </row>
    <row r="419" spans="260:260" s="66" customFormat="1" ht="24.75" customHeight="1" x14ac:dyDescent="0.35">
      <c r="IZ419" s="80"/>
    </row>
    <row r="420" spans="260:260" s="66" customFormat="1" ht="24.75" customHeight="1" x14ac:dyDescent="0.35">
      <c r="IZ420" s="80"/>
    </row>
    <row r="421" spans="260:260" s="66" customFormat="1" ht="24.75" customHeight="1" x14ac:dyDescent="0.35">
      <c r="IZ421" s="80"/>
    </row>
    <row r="422" spans="260:260" s="66" customFormat="1" ht="24.75" customHeight="1" x14ac:dyDescent="0.35">
      <c r="IZ422" s="80"/>
    </row>
    <row r="423" spans="260:260" s="66" customFormat="1" ht="24.75" customHeight="1" x14ac:dyDescent="0.35">
      <c r="IZ423" s="80"/>
    </row>
    <row r="424" spans="260:260" s="66" customFormat="1" ht="24.75" customHeight="1" x14ac:dyDescent="0.35">
      <c r="IZ424" s="80"/>
    </row>
    <row r="425" spans="260:260" s="66" customFormat="1" ht="24.75" customHeight="1" x14ac:dyDescent="0.35">
      <c r="IZ425" s="80"/>
    </row>
    <row r="426" spans="260:260" s="66" customFormat="1" ht="24.75" customHeight="1" x14ac:dyDescent="0.35">
      <c r="IZ426" s="80"/>
    </row>
    <row r="427" spans="260:260" s="66" customFormat="1" ht="24.75" customHeight="1" x14ac:dyDescent="0.35">
      <c r="IZ427" s="80"/>
    </row>
    <row r="428" spans="260:260" s="66" customFormat="1" ht="24.75" customHeight="1" x14ac:dyDescent="0.35">
      <c r="IZ428" s="80"/>
    </row>
    <row r="429" spans="260:260" s="66" customFormat="1" ht="24.75" customHeight="1" x14ac:dyDescent="0.35">
      <c r="IZ429" s="80"/>
    </row>
    <row r="430" spans="260:260" s="66" customFormat="1" ht="24.75" customHeight="1" x14ac:dyDescent="0.35">
      <c r="IZ430" s="80"/>
    </row>
    <row r="431" spans="260:260" s="66" customFormat="1" ht="24.75" customHeight="1" x14ac:dyDescent="0.35">
      <c r="IZ431" s="80"/>
    </row>
    <row r="432" spans="260:260" s="66" customFormat="1" ht="24.75" customHeight="1" x14ac:dyDescent="0.35">
      <c r="IZ432" s="80"/>
    </row>
    <row r="433" spans="260:260" s="66" customFormat="1" ht="24.75" customHeight="1" x14ac:dyDescent="0.35">
      <c r="IZ433" s="80"/>
    </row>
    <row r="434" spans="260:260" s="66" customFormat="1" ht="24.75" customHeight="1" x14ac:dyDescent="0.35">
      <c r="IZ434" s="80"/>
    </row>
    <row r="435" spans="260:260" s="66" customFormat="1" ht="24.75" customHeight="1" x14ac:dyDescent="0.35">
      <c r="IZ435" s="80"/>
    </row>
    <row r="436" spans="260:260" s="66" customFormat="1" ht="24.75" customHeight="1" x14ac:dyDescent="0.35">
      <c r="IZ436" s="80"/>
    </row>
    <row r="437" spans="260:260" s="66" customFormat="1" ht="24.75" customHeight="1" x14ac:dyDescent="0.35">
      <c r="IZ437" s="80"/>
    </row>
    <row r="438" spans="260:260" s="66" customFormat="1" ht="24.75" customHeight="1" x14ac:dyDescent="0.35">
      <c r="IZ438" s="80"/>
    </row>
    <row r="439" spans="260:260" s="66" customFormat="1" ht="24.75" customHeight="1" x14ac:dyDescent="0.35">
      <c r="IZ439" s="80"/>
    </row>
    <row r="440" spans="260:260" s="66" customFormat="1" ht="24.75" customHeight="1" x14ac:dyDescent="0.35">
      <c r="IZ440" s="80"/>
    </row>
    <row r="441" spans="260:260" s="66" customFormat="1" ht="24.75" customHeight="1" x14ac:dyDescent="0.35">
      <c r="IZ441" s="80"/>
    </row>
    <row r="442" spans="260:260" s="66" customFormat="1" ht="24.75" customHeight="1" x14ac:dyDescent="0.35">
      <c r="IZ442" s="80"/>
    </row>
    <row r="443" spans="260:260" s="66" customFormat="1" ht="24.75" customHeight="1" x14ac:dyDescent="0.35">
      <c r="IZ443" s="80"/>
    </row>
    <row r="444" spans="260:260" s="66" customFormat="1" ht="24.75" customHeight="1" x14ac:dyDescent="0.35">
      <c r="IZ444" s="80"/>
    </row>
    <row r="445" spans="260:260" s="66" customFormat="1" ht="24.75" customHeight="1" x14ac:dyDescent="0.35">
      <c r="IZ445" s="80"/>
    </row>
    <row r="446" spans="260:260" s="66" customFormat="1" ht="24.75" customHeight="1" x14ac:dyDescent="0.35">
      <c r="IZ446" s="80"/>
    </row>
    <row r="447" spans="260:260" s="66" customFormat="1" ht="24.75" customHeight="1" x14ac:dyDescent="0.35">
      <c r="IZ447" s="80"/>
    </row>
    <row r="448" spans="260:260" s="66" customFormat="1" ht="24.75" customHeight="1" x14ac:dyDescent="0.35">
      <c r="IZ448" s="80"/>
    </row>
    <row r="449" spans="260:260" s="66" customFormat="1" ht="24.75" customHeight="1" x14ac:dyDescent="0.35">
      <c r="IZ449" s="80"/>
    </row>
    <row r="450" spans="260:260" s="66" customFormat="1" ht="24.75" customHeight="1" x14ac:dyDescent="0.35">
      <c r="IZ450" s="80"/>
    </row>
    <row r="451" spans="260:260" s="66" customFormat="1" ht="24.75" customHeight="1" x14ac:dyDescent="0.35">
      <c r="IZ451" s="80"/>
    </row>
    <row r="452" spans="260:260" s="66" customFormat="1" ht="24.75" customHeight="1" x14ac:dyDescent="0.35">
      <c r="IZ452" s="80"/>
    </row>
    <row r="453" spans="260:260" s="66" customFormat="1" ht="24.75" customHeight="1" x14ac:dyDescent="0.35">
      <c r="IZ453" s="80"/>
    </row>
    <row r="454" spans="260:260" s="66" customFormat="1" ht="24.75" customHeight="1" x14ac:dyDescent="0.35">
      <c r="IZ454" s="80"/>
    </row>
    <row r="455" spans="260:260" s="66" customFormat="1" ht="24.75" customHeight="1" x14ac:dyDescent="0.35">
      <c r="IZ455" s="80"/>
    </row>
    <row r="456" spans="260:260" s="66" customFormat="1" ht="24.75" customHeight="1" x14ac:dyDescent="0.35">
      <c r="IZ456" s="80"/>
    </row>
    <row r="457" spans="260:260" s="66" customFormat="1" ht="24.75" customHeight="1" x14ac:dyDescent="0.35">
      <c r="IZ457" s="80"/>
    </row>
    <row r="458" spans="260:260" s="66" customFormat="1" ht="24.75" customHeight="1" x14ac:dyDescent="0.35">
      <c r="IZ458" s="80"/>
    </row>
    <row r="459" spans="260:260" s="66" customFormat="1" ht="24.75" customHeight="1" x14ac:dyDescent="0.35">
      <c r="IZ459" s="80"/>
    </row>
    <row r="460" spans="260:260" s="66" customFormat="1" ht="24.75" customHeight="1" x14ac:dyDescent="0.35">
      <c r="IZ460" s="80"/>
    </row>
    <row r="461" spans="260:260" s="66" customFormat="1" ht="24.75" customHeight="1" x14ac:dyDescent="0.35">
      <c r="IZ461" s="80"/>
    </row>
    <row r="462" spans="260:260" s="66" customFormat="1" ht="24.75" customHeight="1" x14ac:dyDescent="0.35">
      <c r="IZ462" s="80"/>
    </row>
    <row r="463" spans="260:260" s="66" customFormat="1" ht="24.75" customHeight="1" x14ac:dyDescent="0.35">
      <c r="IZ463" s="80"/>
    </row>
    <row r="464" spans="260:260" s="66" customFormat="1" ht="24.75" customHeight="1" x14ac:dyDescent="0.35">
      <c r="IZ464" s="80"/>
    </row>
    <row r="465" spans="260:260" s="66" customFormat="1" ht="24.75" customHeight="1" x14ac:dyDescent="0.35">
      <c r="IZ465" s="80"/>
    </row>
    <row r="466" spans="260:260" s="66" customFormat="1" ht="24.75" customHeight="1" x14ac:dyDescent="0.35">
      <c r="IZ466" s="80"/>
    </row>
    <row r="467" spans="260:260" s="66" customFormat="1" ht="24.75" customHeight="1" x14ac:dyDescent="0.35">
      <c r="IZ467" s="80"/>
    </row>
    <row r="468" spans="260:260" s="66" customFormat="1" ht="24.75" customHeight="1" x14ac:dyDescent="0.35">
      <c r="IZ468" s="80"/>
    </row>
    <row r="469" spans="260:260" s="66" customFormat="1" ht="24.75" customHeight="1" x14ac:dyDescent="0.35">
      <c r="IZ469" s="80"/>
    </row>
    <row r="470" spans="260:260" s="66" customFormat="1" ht="24.75" customHeight="1" x14ac:dyDescent="0.35">
      <c r="IZ470" s="80"/>
    </row>
    <row r="471" spans="260:260" s="66" customFormat="1" ht="24.75" customHeight="1" x14ac:dyDescent="0.35">
      <c r="IZ471" s="80"/>
    </row>
    <row r="472" spans="260:260" s="66" customFormat="1" ht="24.75" customHeight="1" x14ac:dyDescent="0.35">
      <c r="IZ472" s="80"/>
    </row>
    <row r="473" spans="260:260" s="66" customFormat="1" ht="24.75" customHeight="1" x14ac:dyDescent="0.35">
      <c r="IZ473" s="80"/>
    </row>
    <row r="474" spans="260:260" s="66" customFormat="1" ht="24.75" customHeight="1" x14ac:dyDescent="0.35">
      <c r="IZ474" s="80"/>
    </row>
    <row r="475" spans="260:260" s="66" customFormat="1" ht="24.75" customHeight="1" x14ac:dyDescent="0.35">
      <c r="IZ475" s="80"/>
    </row>
    <row r="476" spans="260:260" s="66" customFormat="1" ht="24.75" customHeight="1" x14ac:dyDescent="0.35">
      <c r="IZ476" s="80"/>
    </row>
    <row r="477" spans="260:260" s="66" customFormat="1" ht="24.75" customHeight="1" x14ac:dyDescent="0.35">
      <c r="IZ477" s="80"/>
    </row>
    <row r="478" spans="260:260" s="66" customFormat="1" ht="24.75" customHeight="1" x14ac:dyDescent="0.35">
      <c r="IZ478" s="80"/>
    </row>
    <row r="479" spans="260:260" s="66" customFormat="1" ht="24.75" customHeight="1" x14ac:dyDescent="0.35">
      <c r="IZ479" s="80"/>
    </row>
    <row r="480" spans="260:260" s="66" customFormat="1" ht="24.75" customHeight="1" x14ac:dyDescent="0.35">
      <c r="IZ480" s="80"/>
    </row>
    <row r="481" spans="260:260" s="66" customFormat="1" ht="24.75" customHeight="1" x14ac:dyDescent="0.35">
      <c r="IZ481" s="80"/>
    </row>
    <row r="482" spans="260:260" s="66" customFormat="1" ht="24.75" customHeight="1" x14ac:dyDescent="0.35">
      <c r="IZ482" s="80"/>
    </row>
    <row r="483" spans="260:260" s="66" customFormat="1" ht="24.75" customHeight="1" x14ac:dyDescent="0.35">
      <c r="IZ483" s="80"/>
    </row>
    <row r="484" spans="260:260" s="66" customFormat="1" ht="24.75" customHeight="1" x14ac:dyDescent="0.35">
      <c r="IZ484" s="80"/>
    </row>
    <row r="485" spans="260:260" s="66" customFormat="1" ht="24.75" customHeight="1" x14ac:dyDescent="0.35">
      <c r="IZ485" s="80"/>
    </row>
    <row r="486" spans="260:260" s="66" customFormat="1" ht="24.75" customHeight="1" x14ac:dyDescent="0.35">
      <c r="IZ486" s="80"/>
    </row>
    <row r="487" spans="260:260" s="66" customFormat="1" ht="24.75" customHeight="1" x14ac:dyDescent="0.35">
      <c r="IZ487" s="80"/>
    </row>
    <row r="488" spans="260:260" s="66" customFormat="1" ht="24.75" customHeight="1" x14ac:dyDescent="0.35">
      <c r="IZ488" s="80"/>
    </row>
    <row r="489" spans="260:260" s="66" customFormat="1" ht="24.75" customHeight="1" x14ac:dyDescent="0.35">
      <c r="IZ489" s="80"/>
    </row>
    <row r="490" spans="260:260" s="66" customFormat="1" ht="24.75" customHeight="1" x14ac:dyDescent="0.35">
      <c r="IZ490" s="80"/>
    </row>
    <row r="491" spans="260:260" s="66" customFormat="1" ht="24.75" customHeight="1" x14ac:dyDescent="0.35">
      <c r="IZ491" s="80"/>
    </row>
    <row r="492" spans="260:260" s="66" customFormat="1" ht="24.75" customHeight="1" x14ac:dyDescent="0.35">
      <c r="IZ492" s="80"/>
    </row>
    <row r="493" spans="260:260" s="66" customFormat="1" ht="24.75" customHeight="1" x14ac:dyDescent="0.35">
      <c r="IZ493" s="80"/>
    </row>
    <row r="494" spans="260:260" s="66" customFormat="1" ht="24.75" customHeight="1" x14ac:dyDescent="0.35">
      <c r="IZ494" s="80"/>
    </row>
    <row r="495" spans="260:260" s="66" customFormat="1" ht="24.75" customHeight="1" x14ac:dyDescent="0.35">
      <c r="IZ495" s="80"/>
    </row>
    <row r="496" spans="260:260" s="66" customFormat="1" ht="24.75" customHeight="1" x14ac:dyDescent="0.35">
      <c r="IZ496" s="80"/>
    </row>
    <row r="497" spans="260:260" s="66" customFormat="1" ht="24.75" customHeight="1" x14ac:dyDescent="0.35">
      <c r="IZ497" s="80"/>
    </row>
    <row r="498" spans="260:260" s="66" customFormat="1" ht="24.75" customHeight="1" x14ac:dyDescent="0.35">
      <c r="IZ498" s="80"/>
    </row>
    <row r="499" spans="260:260" s="66" customFormat="1" ht="24.75" customHeight="1" x14ac:dyDescent="0.35">
      <c r="IZ499" s="80"/>
    </row>
    <row r="500" spans="260:260" s="66" customFormat="1" ht="24.75" customHeight="1" x14ac:dyDescent="0.35">
      <c r="IZ500" s="80"/>
    </row>
    <row r="501" spans="260:260" s="66" customFormat="1" ht="24.75" customHeight="1" x14ac:dyDescent="0.35">
      <c r="IZ501" s="80"/>
    </row>
    <row r="502" spans="260:260" s="66" customFormat="1" ht="24.75" customHeight="1" x14ac:dyDescent="0.35">
      <c r="IZ502" s="80"/>
    </row>
    <row r="503" spans="260:260" s="66" customFormat="1" ht="24.75" customHeight="1" x14ac:dyDescent="0.35">
      <c r="IZ503" s="80"/>
    </row>
    <row r="504" spans="260:260" s="66" customFormat="1" ht="24.75" customHeight="1" x14ac:dyDescent="0.35">
      <c r="IZ504" s="80"/>
    </row>
    <row r="505" spans="260:260" s="66" customFormat="1" ht="24.75" customHeight="1" x14ac:dyDescent="0.35">
      <c r="IZ505" s="80"/>
    </row>
    <row r="506" spans="260:260" s="66" customFormat="1" ht="24.75" customHeight="1" x14ac:dyDescent="0.35">
      <c r="IZ506" s="80"/>
    </row>
    <row r="507" spans="260:260" s="66" customFormat="1" ht="24.75" customHeight="1" x14ac:dyDescent="0.35">
      <c r="IZ507" s="80"/>
    </row>
    <row r="508" spans="260:260" s="66" customFormat="1" ht="24.75" customHeight="1" x14ac:dyDescent="0.35">
      <c r="IZ508" s="80"/>
    </row>
    <row r="509" spans="260:260" s="66" customFormat="1" ht="24.75" customHeight="1" x14ac:dyDescent="0.35">
      <c r="IZ509" s="80"/>
    </row>
    <row r="510" spans="260:260" s="66" customFormat="1" ht="24.75" customHeight="1" x14ac:dyDescent="0.35">
      <c r="IZ510" s="80"/>
    </row>
    <row r="511" spans="260:260" s="66" customFormat="1" ht="24.75" customHeight="1" x14ac:dyDescent="0.35">
      <c r="IZ511" s="80"/>
    </row>
    <row r="512" spans="260:260" s="66" customFormat="1" ht="24.75" customHeight="1" x14ac:dyDescent="0.35">
      <c r="IZ512" s="80"/>
    </row>
    <row r="513" spans="260:260" s="66" customFormat="1" ht="24.75" customHeight="1" x14ac:dyDescent="0.35">
      <c r="IZ513" s="80"/>
    </row>
    <row r="514" spans="260:260" s="66" customFormat="1" ht="24.75" customHeight="1" x14ac:dyDescent="0.35">
      <c r="IZ514" s="80"/>
    </row>
    <row r="515" spans="260:260" s="66" customFormat="1" ht="24.75" customHeight="1" x14ac:dyDescent="0.35">
      <c r="IZ515" s="80"/>
    </row>
    <row r="516" spans="260:260" s="66" customFormat="1" ht="24.75" customHeight="1" x14ac:dyDescent="0.35">
      <c r="IZ516" s="80"/>
    </row>
    <row r="517" spans="260:260" s="66" customFormat="1" ht="24.75" customHeight="1" x14ac:dyDescent="0.35">
      <c r="IZ517" s="80"/>
    </row>
    <row r="518" spans="260:260" s="66" customFormat="1" ht="24.75" customHeight="1" x14ac:dyDescent="0.35">
      <c r="IZ518" s="80"/>
    </row>
    <row r="519" spans="260:260" s="66" customFormat="1" ht="24.75" customHeight="1" x14ac:dyDescent="0.35">
      <c r="IZ519" s="80"/>
    </row>
    <row r="520" spans="260:260" s="66" customFormat="1" ht="24.75" customHeight="1" x14ac:dyDescent="0.35">
      <c r="IZ520" s="80"/>
    </row>
    <row r="521" spans="260:260" s="66" customFormat="1" ht="24.75" customHeight="1" x14ac:dyDescent="0.35">
      <c r="IZ521" s="80"/>
    </row>
    <row r="522" spans="260:260" s="66" customFormat="1" ht="24.75" customHeight="1" x14ac:dyDescent="0.35">
      <c r="IZ522" s="80"/>
    </row>
    <row r="523" spans="260:260" s="66" customFormat="1" ht="24.75" customHeight="1" x14ac:dyDescent="0.35">
      <c r="IZ523" s="80"/>
    </row>
    <row r="524" spans="260:260" s="66" customFormat="1" ht="24.75" customHeight="1" x14ac:dyDescent="0.35">
      <c r="IZ524" s="80"/>
    </row>
    <row r="525" spans="260:260" s="66" customFormat="1" ht="24.75" customHeight="1" x14ac:dyDescent="0.35">
      <c r="IZ525" s="80"/>
    </row>
    <row r="526" spans="260:260" s="66" customFormat="1" ht="24.75" customHeight="1" x14ac:dyDescent="0.35">
      <c r="IZ526" s="80"/>
    </row>
    <row r="527" spans="260:260" s="66" customFormat="1" ht="24.75" customHeight="1" x14ac:dyDescent="0.35">
      <c r="IZ527" s="80"/>
    </row>
    <row r="528" spans="260:260" s="66" customFormat="1" ht="24.75" customHeight="1" x14ac:dyDescent="0.35">
      <c r="IZ528" s="80"/>
    </row>
    <row r="529" spans="260:260" s="66" customFormat="1" ht="24.75" customHeight="1" x14ac:dyDescent="0.35">
      <c r="IZ529" s="80"/>
    </row>
    <row r="530" spans="260:260" s="66" customFormat="1" ht="24.75" customHeight="1" x14ac:dyDescent="0.35">
      <c r="IZ530" s="80"/>
    </row>
    <row r="531" spans="260:260" s="66" customFormat="1" ht="24.75" customHeight="1" x14ac:dyDescent="0.35">
      <c r="IZ531" s="80"/>
    </row>
    <row r="532" spans="260:260" s="66" customFormat="1" ht="24.75" customHeight="1" x14ac:dyDescent="0.35">
      <c r="IZ532" s="80"/>
    </row>
    <row r="533" spans="260:260" s="66" customFormat="1" ht="24.75" customHeight="1" x14ac:dyDescent="0.35">
      <c r="IZ533" s="80"/>
    </row>
    <row r="534" spans="260:260" s="66" customFormat="1" ht="24.75" customHeight="1" x14ac:dyDescent="0.35">
      <c r="IZ534" s="80"/>
    </row>
    <row r="535" spans="260:260" s="66" customFormat="1" ht="24.75" customHeight="1" x14ac:dyDescent="0.35">
      <c r="IZ535" s="80"/>
    </row>
    <row r="536" spans="260:260" s="66" customFormat="1" ht="24.75" customHeight="1" x14ac:dyDescent="0.35">
      <c r="IZ536" s="80"/>
    </row>
    <row r="537" spans="260:260" s="66" customFormat="1" ht="24.75" customHeight="1" x14ac:dyDescent="0.35">
      <c r="IZ537" s="80"/>
    </row>
    <row r="538" spans="260:260" s="66" customFormat="1" ht="24.75" customHeight="1" x14ac:dyDescent="0.35">
      <c r="IZ538" s="80"/>
    </row>
    <row r="539" spans="260:260" s="66" customFormat="1" ht="24.75" customHeight="1" x14ac:dyDescent="0.35">
      <c r="IZ539" s="80"/>
    </row>
    <row r="540" spans="260:260" s="66" customFormat="1" ht="24.75" customHeight="1" x14ac:dyDescent="0.35">
      <c r="IZ540" s="80"/>
    </row>
    <row r="541" spans="260:260" s="66" customFormat="1" ht="24.75" customHeight="1" x14ac:dyDescent="0.35">
      <c r="IZ541" s="80"/>
    </row>
    <row r="542" spans="260:260" s="66" customFormat="1" ht="24.75" customHeight="1" x14ac:dyDescent="0.35">
      <c r="IZ542" s="80"/>
    </row>
    <row r="543" spans="260:260" s="66" customFormat="1" ht="24.75" customHeight="1" x14ac:dyDescent="0.35">
      <c r="IZ543" s="80"/>
    </row>
    <row r="544" spans="260:260" s="66" customFormat="1" ht="24.75" customHeight="1" x14ac:dyDescent="0.35">
      <c r="IZ544" s="80"/>
    </row>
    <row r="545" spans="260:260" s="66" customFormat="1" ht="24.75" customHeight="1" x14ac:dyDescent="0.35">
      <c r="IZ545" s="80"/>
    </row>
    <row r="546" spans="260:260" s="66" customFormat="1" ht="24.75" customHeight="1" x14ac:dyDescent="0.35">
      <c r="IZ546" s="80"/>
    </row>
    <row r="547" spans="260:260" s="66" customFormat="1" ht="24.75" customHeight="1" x14ac:dyDescent="0.35">
      <c r="IZ547" s="80"/>
    </row>
    <row r="548" spans="260:260" s="66" customFormat="1" ht="24.75" customHeight="1" x14ac:dyDescent="0.35">
      <c r="IZ548" s="80"/>
    </row>
    <row r="549" spans="260:260" s="66" customFormat="1" ht="24.75" customHeight="1" x14ac:dyDescent="0.35">
      <c r="IZ549" s="80"/>
    </row>
    <row r="550" spans="260:260" s="66" customFormat="1" ht="24.75" customHeight="1" x14ac:dyDescent="0.35">
      <c r="IZ550" s="80"/>
    </row>
    <row r="551" spans="260:260" s="66" customFormat="1" ht="24.75" customHeight="1" x14ac:dyDescent="0.35">
      <c r="IZ551" s="80"/>
    </row>
    <row r="552" spans="260:260" s="66" customFormat="1" ht="24.75" customHeight="1" x14ac:dyDescent="0.35">
      <c r="IZ552" s="80"/>
    </row>
    <row r="553" spans="260:260" s="66" customFormat="1" ht="24.75" customHeight="1" x14ac:dyDescent="0.35">
      <c r="IZ553" s="80"/>
    </row>
    <row r="554" spans="260:260" s="66" customFormat="1" ht="24.75" customHeight="1" x14ac:dyDescent="0.35">
      <c r="IZ554" s="80"/>
    </row>
    <row r="555" spans="260:260" s="66" customFormat="1" ht="24.75" customHeight="1" x14ac:dyDescent="0.35">
      <c r="IZ555" s="80"/>
    </row>
    <row r="556" spans="260:260" s="66" customFormat="1" ht="24.75" customHeight="1" x14ac:dyDescent="0.35">
      <c r="IZ556" s="80"/>
    </row>
    <row r="557" spans="260:260" s="66" customFormat="1" ht="24.75" customHeight="1" x14ac:dyDescent="0.35">
      <c r="IZ557" s="80"/>
    </row>
    <row r="558" spans="260:260" s="66" customFormat="1" ht="24.75" customHeight="1" x14ac:dyDescent="0.35">
      <c r="IZ558" s="80"/>
    </row>
    <row r="559" spans="260:260" s="66" customFormat="1" ht="24.75" customHeight="1" x14ac:dyDescent="0.35">
      <c r="IZ559" s="80"/>
    </row>
    <row r="560" spans="260:260" s="66" customFormat="1" ht="24.75" customHeight="1" x14ac:dyDescent="0.35">
      <c r="IZ560" s="80"/>
    </row>
    <row r="561" spans="260:260" s="66" customFormat="1" ht="24.75" customHeight="1" x14ac:dyDescent="0.35">
      <c r="IZ561" s="80"/>
    </row>
    <row r="562" spans="260:260" s="66" customFormat="1" ht="24.75" customHeight="1" x14ac:dyDescent="0.35">
      <c r="IZ562" s="80"/>
    </row>
    <row r="563" spans="260:260" s="66" customFormat="1" ht="24.75" customHeight="1" x14ac:dyDescent="0.35">
      <c r="IZ563" s="80"/>
    </row>
    <row r="564" spans="260:260" s="66" customFormat="1" ht="24.75" customHeight="1" x14ac:dyDescent="0.35">
      <c r="IZ564" s="80"/>
    </row>
    <row r="565" spans="260:260" s="66" customFormat="1" ht="24.75" customHeight="1" x14ac:dyDescent="0.35">
      <c r="IZ565" s="80"/>
    </row>
    <row r="566" spans="260:260" s="66" customFormat="1" ht="24.75" customHeight="1" x14ac:dyDescent="0.35">
      <c r="IZ566" s="80"/>
    </row>
    <row r="567" spans="260:260" s="66" customFormat="1" ht="24.75" customHeight="1" x14ac:dyDescent="0.35">
      <c r="IZ567" s="80"/>
    </row>
    <row r="568" spans="260:260" s="66" customFormat="1" ht="24.75" customHeight="1" x14ac:dyDescent="0.35">
      <c r="IZ568" s="80"/>
    </row>
    <row r="569" spans="260:260" s="66" customFormat="1" ht="24.75" customHeight="1" x14ac:dyDescent="0.35">
      <c r="IZ569" s="80"/>
    </row>
    <row r="570" spans="260:260" s="66" customFormat="1" ht="24.75" customHeight="1" x14ac:dyDescent="0.35">
      <c r="IZ570" s="80"/>
    </row>
    <row r="571" spans="260:260" s="66" customFormat="1" ht="24.75" customHeight="1" x14ac:dyDescent="0.35">
      <c r="IZ571" s="80"/>
    </row>
    <row r="572" spans="260:260" s="66" customFormat="1" ht="24.75" customHeight="1" x14ac:dyDescent="0.35">
      <c r="IZ572" s="80"/>
    </row>
    <row r="573" spans="260:260" s="66" customFormat="1" ht="24.75" customHeight="1" x14ac:dyDescent="0.35">
      <c r="IZ573" s="80"/>
    </row>
    <row r="574" spans="260:260" s="66" customFormat="1" ht="24.75" customHeight="1" x14ac:dyDescent="0.35">
      <c r="IZ574" s="80"/>
    </row>
    <row r="575" spans="260:260" s="66" customFormat="1" ht="24.75" customHeight="1" x14ac:dyDescent="0.35">
      <c r="IZ575" s="80"/>
    </row>
    <row r="576" spans="260:260" s="66" customFormat="1" ht="24.75" customHeight="1" x14ac:dyDescent="0.35">
      <c r="IZ576" s="80"/>
    </row>
    <row r="577" spans="260:260" s="66" customFormat="1" ht="24.75" customHeight="1" x14ac:dyDescent="0.35">
      <c r="IZ577" s="80"/>
    </row>
    <row r="578" spans="260:260" s="66" customFormat="1" ht="24.75" customHeight="1" x14ac:dyDescent="0.35">
      <c r="IZ578" s="80"/>
    </row>
    <row r="579" spans="260:260" s="66" customFormat="1" ht="24.75" customHeight="1" x14ac:dyDescent="0.35">
      <c r="IZ579" s="80"/>
    </row>
    <row r="580" spans="260:260" s="66" customFormat="1" ht="24.75" customHeight="1" x14ac:dyDescent="0.35">
      <c r="IZ580" s="80"/>
    </row>
    <row r="581" spans="260:260" s="66" customFormat="1" ht="24.75" customHeight="1" x14ac:dyDescent="0.35">
      <c r="IZ581" s="80"/>
    </row>
    <row r="582" spans="260:260" s="66" customFormat="1" ht="24.75" customHeight="1" x14ac:dyDescent="0.35">
      <c r="IZ582" s="80"/>
    </row>
    <row r="583" spans="260:260" s="66" customFormat="1" ht="24.75" customHeight="1" x14ac:dyDescent="0.35">
      <c r="IZ583" s="80"/>
    </row>
    <row r="584" spans="260:260" s="66" customFormat="1" ht="24.75" customHeight="1" x14ac:dyDescent="0.35">
      <c r="IZ584" s="80"/>
    </row>
    <row r="585" spans="260:260" s="66" customFormat="1" ht="24.75" customHeight="1" x14ac:dyDescent="0.35">
      <c r="IZ585" s="80"/>
    </row>
    <row r="586" spans="260:260" s="66" customFormat="1" ht="24.75" customHeight="1" x14ac:dyDescent="0.35">
      <c r="IZ586" s="80"/>
    </row>
    <row r="587" spans="260:260" s="66" customFormat="1" ht="24.75" customHeight="1" x14ac:dyDescent="0.35">
      <c r="IZ587" s="80"/>
    </row>
    <row r="588" spans="260:260" s="66" customFormat="1" ht="24.75" customHeight="1" x14ac:dyDescent="0.35">
      <c r="IZ588" s="80"/>
    </row>
    <row r="589" spans="260:260" s="66" customFormat="1" ht="24.75" customHeight="1" x14ac:dyDescent="0.35">
      <c r="IZ589" s="80"/>
    </row>
    <row r="590" spans="260:260" s="66" customFormat="1" ht="24.75" customHeight="1" x14ac:dyDescent="0.35">
      <c r="IZ590" s="80"/>
    </row>
    <row r="591" spans="260:260" s="66" customFormat="1" ht="24.75" customHeight="1" x14ac:dyDescent="0.35">
      <c r="IZ591" s="80"/>
    </row>
    <row r="592" spans="260:260" s="66" customFormat="1" ht="24.75" customHeight="1" x14ac:dyDescent="0.35">
      <c r="IZ592" s="80"/>
    </row>
    <row r="593" spans="260:260" s="66" customFormat="1" ht="24.75" customHeight="1" x14ac:dyDescent="0.35">
      <c r="IZ593" s="80"/>
    </row>
    <row r="594" spans="260:260" s="66" customFormat="1" ht="24.75" customHeight="1" x14ac:dyDescent="0.35">
      <c r="IZ594" s="80"/>
    </row>
    <row r="595" spans="260:260" s="66" customFormat="1" ht="24.75" customHeight="1" x14ac:dyDescent="0.35">
      <c r="IZ595" s="80"/>
    </row>
    <row r="596" spans="260:260" s="66" customFormat="1" ht="24.75" customHeight="1" x14ac:dyDescent="0.35">
      <c r="IZ596" s="80"/>
    </row>
    <row r="597" spans="260:260" s="66" customFormat="1" ht="24.75" customHeight="1" x14ac:dyDescent="0.35">
      <c r="IZ597" s="80"/>
    </row>
    <row r="598" spans="260:260" s="66" customFormat="1" ht="24.75" customHeight="1" x14ac:dyDescent="0.35">
      <c r="IZ598" s="80"/>
    </row>
    <row r="599" spans="260:260" s="66" customFormat="1" ht="24.75" customHeight="1" x14ac:dyDescent="0.35">
      <c r="IZ599" s="80"/>
    </row>
    <row r="600" spans="260:260" s="66" customFormat="1" ht="24.75" customHeight="1" x14ac:dyDescent="0.35">
      <c r="IZ600" s="80"/>
    </row>
    <row r="601" spans="260:260" s="66" customFormat="1" ht="24.75" customHeight="1" x14ac:dyDescent="0.35">
      <c r="IZ601" s="80"/>
    </row>
    <row r="602" spans="260:260" s="66" customFormat="1" ht="24.75" customHeight="1" x14ac:dyDescent="0.35">
      <c r="IZ602" s="80"/>
    </row>
    <row r="603" spans="260:260" s="66" customFormat="1" ht="24.75" customHeight="1" x14ac:dyDescent="0.35">
      <c r="IZ603" s="80"/>
    </row>
    <row r="604" spans="260:260" s="66" customFormat="1" ht="24.75" customHeight="1" x14ac:dyDescent="0.35">
      <c r="IZ604" s="80"/>
    </row>
    <row r="605" spans="260:260" s="66" customFormat="1" ht="24.75" customHeight="1" x14ac:dyDescent="0.35">
      <c r="IZ605" s="80"/>
    </row>
    <row r="606" spans="260:260" s="66" customFormat="1" ht="24.75" customHeight="1" x14ac:dyDescent="0.35">
      <c r="IZ606" s="80"/>
    </row>
    <row r="607" spans="260:260" s="66" customFormat="1" ht="24.75" customHeight="1" x14ac:dyDescent="0.35">
      <c r="IZ607" s="80"/>
    </row>
    <row r="608" spans="260:260" s="66" customFormat="1" ht="24.75" customHeight="1" x14ac:dyDescent="0.35">
      <c r="IZ608" s="80"/>
    </row>
    <row r="609" spans="260:260" s="66" customFormat="1" ht="24.75" customHeight="1" x14ac:dyDescent="0.35">
      <c r="IZ609" s="80"/>
    </row>
    <row r="610" spans="260:260" s="66" customFormat="1" ht="24.75" customHeight="1" x14ac:dyDescent="0.35">
      <c r="IZ610" s="80"/>
    </row>
    <row r="611" spans="260:260" s="66" customFormat="1" ht="24.75" customHeight="1" x14ac:dyDescent="0.35">
      <c r="IZ611" s="80"/>
    </row>
    <row r="612" spans="260:260" s="66" customFormat="1" ht="24.75" customHeight="1" x14ac:dyDescent="0.35">
      <c r="IZ612" s="80"/>
    </row>
    <row r="613" spans="260:260" s="66" customFormat="1" ht="24.75" customHeight="1" x14ac:dyDescent="0.35">
      <c r="IZ613" s="80"/>
    </row>
    <row r="614" spans="260:260" s="66" customFormat="1" ht="24.75" customHeight="1" x14ac:dyDescent="0.35">
      <c r="IZ614" s="80"/>
    </row>
    <row r="615" spans="260:260" s="66" customFormat="1" ht="24.75" customHeight="1" x14ac:dyDescent="0.35">
      <c r="IZ615" s="80"/>
    </row>
    <row r="616" spans="260:260" s="66" customFormat="1" ht="24.75" customHeight="1" x14ac:dyDescent="0.35">
      <c r="IZ616" s="80"/>
    </row>
    <row r="617" spans="260:260" s="66" customFormat="1" ht="24.75" customHeight="1" x14ac:dyDescent="0.35">
      <c r="IZ617" s="80"/>
    </row>
    <row r="618" spans="260:260" s="66" customFormat="1" ht="24.75" customHeight="1" x14ac:dyDescent="0.35">
      <c r="IZ618" s="80"/>
    </row>
    <row r="619" spans="260:260" s="66" customFormat="1" ht="24.75" customHeight="1" x14ac:dyDescent="0.35">
      <c r="IZ619" s="80"/>
    </row>
    <row r="620" spans="260:260" s="66" customFormat="1" ht="24.75" customHeight="1" x14ac:dyDescent="0.35">
      <c r="IZ620" s="80"/>
    </row>
    <row r="621" spans="260:260" s="66" customFormat="1" ht="24.75" customHeight="1" x14ac:dyDescent="0.35">
      <c r="IZ621" s="80"/>
    </row>
    <row r="622" spans="260:260" s="66" customFormat="1" ht="24.75" customHeight="1" x14ac:dyDescent="0.35">
      <c r="IZ622" s="80"/>
    </row>
    <row r="623" spans="260:260" s="66" customFormat="1" ht="24.75" customHeight="1" x14ac:dyDescent="0.35">
      <c r="IZ623" s="80"/>
    </row>
    <row r="624" spans="260:260" s="66" customFormat="1" ht="24.75" customHeight="1" x14ac:dyDescent="0.35">
      <c r="IZ624" s="80"/>
    </row>
    <row r="625" spans="260:260" s="66" customFormat="1" ht="24.75" customHeight="1" x14ac:dyDescent="0.35">
      <c r="IZ625" s="80"/>
    </row>
    <row r="626" spans="260:260" s="66" customFormat="1" ht="24.75" customHeight="1" x14ac:dyDescent="0.35">
      <c r="IZ626" s="80"/>
    </row>
    <row r="627" spans="260:260" s="66" customFormat="1" ht="24.75" customHeight="1" x14ac:dyDescent="0.35">
      <c r="IZ627" s="80"/>
    </row>
    <row r="628" spans="260:260" s="66" customFormat="1" ht="24.75" customHeight="1" x14ac:dyDescent="0.35">
      <c r="IZ628" s="80"/>
    </row>
    <row r="629" spans="260:260" s="66" customFormat="1" ht="24.75" customHeight="1" x14ac:dyDescent="0.35">
      <c r="IZ629" s="80"/>
    </row>
    <row r="630" spans="260:260" s="66" customFormat="1" ht="24.75" customHeight="1" x14ac:dyDescent="0.35">
      <c r="IZ630" s="80"/>
    </row>
    <row r="631" spans="260:260" s="66" customFormat="1" ht="24.75" customHeight="1" x14ac:dyDescent="0.35">
      <c r="IZ631" s="80"/>
    </row>
    <row r="632" spans="260:260" s="66" customFormat="1" ht="24.75" customHeight="1" x14ac:dyDescent="0.35">
      <c r="IZ632" s="80"/>
    </row>
    <row r="633" spans="260:260" s="66" customFormat="1" ht="24.75" customHeight="1" x14ac:dyDescent="0.35">
      <c r="IZ633" s="80"/>
    </row>
    <row r="634" spans="260:260" s="66" customFormat="1" ht="24.75" customHeight="1" x14ac:dyDescent="0.35">
      <c r="IZ634" s="80"/>
    </row>
    <row r="635" spans="260:260" s="66" customFormat="1" ht="24.75" customHeight="1" x14ac:dyDescent="0.35">
      <c r="IZ635" s="80"/>
    </row>
    <row r="636" spans="260:260" s="66" customFormat="1" ht="24.75" customHeight="1" x14ac:dyDescent="0.35">
      <c r="IZ636" s="80"/>
    </row>
    <row r="637" spans="260:260" s="66" customFormat="1" ht="24.75" customHeight="1" x14ac:dyDescent="0.35">
      <c r="IZ637" s="80"/>
    </row>
    <row r="638" spans="260:260" s="66" customFormat="1" ht="24.75" customHeight="1" x14ac:dyDescent="0.35">
      <c r="IZ638" s="80"/>
    </row>
    <row r="639" spans="260:260" s="66" customFormat="1" ht="24.75" customHeight="1" x14ac:dyDescent="0.35">
      <c r="IZ639" s="80"/>
    </row>
    <row r="640" spans="260:260" s="66" customFormat="1" ht="24.75" customHeight="1" x14ac:dyDescent="0.35">
      <c r="IZ640" s="80"/>
    </row>
    <row r="641" spans="260:260" s="66" customFormat="1" ht="24.75" customHeight="1" x14ac:dyDescent="0.35">
      <c r="IZ641" s="80"/>
    </row>
    <row r="642" spans="260:260" s="66" customFormat="1" ht="24.75" customHeight="1" x14ac:dyDescent="0.35">
      <c r="IZ642" s="80"/>
    </row>
    <row r="643" spans="260:260" s="66" customFormat="1" ht="24.75" customHeight="1" x14ac:dyDescent="0.35">
      <c r="IZ643" s="80"/>
    </row>
    <row r="644" spans="260:260" s="66" customFormat="1" ht="24.75" customHeight="1" x14ac:dyDescent="0.35">
      <c r="IZ644" s="80"/>
    </row>
    <row r="645" spans="260:260" s="66" customFormat="1" ht="24.75" customHeight="1" x14ac:dyDescent="0.35">
      <c r="IZ645" s="80"/>
    </row>
    <row r="646" spans="260:260" s="66" customFormat="1" ht="24.75" customHeight="1" x14ac:dyDescent="0.35">
      <c r="IZ646" s="80"/>
    </row>
    <row r="647" spans="260:260" s="66" customFormat="1" ht="24.75" customHeight="1" x14ac:dyDescent="0.35">
      <c r="IZ647" s="80"/>
    </row>
    <row r="648" spans="260:260" s="66" customFormat="1" ht="24.75" customHeight="1" x14ac:dyDescent="0.35">
      <c r="IZ648" s="80"/>
    </row>
    <row r="649" spans="260:260" s="66" customFormat="1" ht="24.75" customHeight="1" x14ac:dyDescent="0.35">
      <c r="IZ649" s="80"/>
    </row>
    <row r="650" spans="260:260" s="66" customFormat="1" ht="24.75" customHeight="1" x14ac:dyDescent="0.35">
      <c r="IZ650" s="80"/>
    </row>
    <row r="651" spans="260:260" s="66" customFormat="1" ht="24.75" customHeight="1" x14ac:dyDescent="0.35">
      <c r="IZ651" s="80"/>
    </row>
    <row r="652" spans="260:260" s="66" customFormat="1" ht="24.75" customHeight="1" x14ac:dyDescent="0.35">
      <c r="IZ652" s="80"/>
    </row>
    <row r="653" spans="260:260" s="66" customFormat="1" ht="24.75" customHeight="1" x14ac:dyDescent="0.35">
      <c r="IZ653" s="80"/>
    </row>
    <row r="654" spans="260:260" s="66" customFormat="1" ht="24.75" customHeight="1" x14ac:dyDescent="0.35">
      <c r="IZ654" s="80"/>
    </row>
    <row r="655" spans="260:260" s="66" customFormat="1" ht="24.75" customHeight="1" x14ac:dyDescent="0.35">
      <c r="IZ655" s="80"/>
    </row>
    <row r="656" spans="260:260" s="66" customFormat="1" ht="24.75" customHeight="1" x14ac:dyDescent="0.35">
      <c r="IZ656" s="80"/>
    </row>
    <row r="657" spans="260:260" s="66" customFormat="1" ht="24.75" customHeight="1" x14ac:dyDescent="0.35">
      <c r="IZ657" s="80"/>
    </row>
    <row r="658" spans="260:260" s="66" customFormat="1" ht="24.75" customHeight="1" x14ac:dyDescent="0.35">
      <c r="IZ658" s="80"/>
    </row>
    <row r="659" spans="260:260" s="66" customFormat="1" ht="24.75" customHeight="1" x14ac:dyDescent="0.35">
      <c r="IZ659" s="80"/>
    </row>
    <row r="660" spans="260:260" s="66" customFormat="1" ht="24.75" customHeight="1" x14ac:dyDescent="0.35">
      <c r="IZ660" s="80"/>
    </row>
    <row r="661" spans="260:260" s="66" customFormat="1" ht="24.75" customHeight="1" x14ac:dyDescent="0.35">
      <c r="IZ661" s="80"/>
    </row>
    <row r="662" spans="260:260" s="66" customFormat="1" ht="24.75" customHeight="1" x14ac:dyDescent="0.35">
      <c r="IZ662" s="80"/>
    </row>
    <row r="663" spans="260:260" s="66" customFormat="1" ht="24.75" customHeight="1" x14ac:dyDescent="0.35">
      <c r="IZ663" s="80"/>
    </row>
    <row r="664" spans="260:260" s="66" customFormat="1" ht="24.75" customHeight="1" x14ac:dyDescent="0.35">
      <c r="IZ664" s="80"/>
    </row>
    <row r="665" spans="260:260" s="66" customFormat="1" ht="24.75" customHeight="1" x14ac:dyDescent="0.35">
      <c r="IZ665" s="80"/>
    </row>
    <row r="666" spans="260:260" s="66" customFormat="1" ht="24.75" customHeight="1" x14ac:dyDescent="0.35">
      <c r="IZ666" s="80"/>
    </row>
    <row r="667" spans="260:260" s="66" customFormat="1" ht="24.75" customHeight="1" x14ac:dyDescent="0.35">
      <c r="IZ667" s="80"/>
    </row>
    <row r="668" spans="260:260" s="66" customFormat="1" ht="24.75" customHeight="1" x14ac:dyDescent="0.35">
      <c r="IZ668" s="80"/>
    </row>
    <row r="669" spans="260:260" s="66" customFormat="1" ht="24.75" customHeight="1" x14ac:dyDescent="0.35">
      <c r="IZ669" s="80"/>
    </row>
    <row r="670" spans="260:260" s="66" customFormat="1" ht="24.75" customHeight="1" x14ac:dyDescent="0.35">
      <c r="IZ670" s="80"/>
    </row>
    <row r="671" spans="260:260" s="66" customFormat="1" ht="24.75" customHeight="1" x14ac:dyDescent="0.35">
      <c r="IZ671" s="80"/>
    </row>
    <row r="672" spans="260:260" s="66" customFormat="1" ht="24.75" customHeight="1" x14ac:dyDescent="0.35">
      <c r="IZ672" s="80"/>
    </row>
    <row r="673" spans="260:260" s="66" customFormat="1" ht="24.75" customHeight="1" x14ac:dyDescent="0.35">
      <c r="IZ673" s="80"/>
    </row>
    <row r="674" spans="260:260" s="66" customFormat="1" ht="24.75" customHeight="1" x14ac:dyDescent="0.35">
      <c r="IZ674" s="80"/>
    </row>
    <row r="675" spans="260:260" s="66" customFormat="1" ht="24.75" customHeight="1" x14ac:dyDescent="0.35">
      <c r="IZ675" s="80"/>
    </row>
    <row r="676" spans="260:260" s="66" customFormat="1" ht="24.75" customHeight="1" x14ac:dyDescent="0.35">
      <c r="IZ676" s="80"/>
    </row>
    <row r="677" spans="260:260" s="66" customFormat="1" ht="24.75" customHeight="1" x14ac:dyDescent="0.35">
      <c r="IZ677" s="80"/>
    </row>
    <row r="678" spans="260:260" s="66" customFormat="1" ht="24.75" customHeight="1" x14ac:dyDescent="0.35">
      <c r="IZ678" s="80"/>
    </row>
    <row r="679" spans="260:260" s="66" customFormat="1" ht="24.75" customHeight="1" x14ac:dyDescent="0.35">
      <c r="IZ679" s="80"/>
    </row>
    <row r="680" spans="260:260" s="66" customFormat="1" ht="24.75" customHeight="1" x14ac:dyDescent="0.35">
      <c r="IZ680" s="80"/>
    </row>
    <row r="681" spans="260:260" s="66" customFormat="1" ht="24.75" customHeight="1" x14ac:dyDescent="0.35">
      <c r="IZ681" s="80"/>
    </row>
    <row r="682" spans="260:260" s="66" customFormat="1" ht="24.75" customHeight="1" x14ac:dyDescent="0.35">
      <c r="IZ682" s="80"/>
    </row>
    <row r="683" spans="260:260" s="66" customFormat="1" ht="24.75" customHeight="1" x14ac:dyDescent="0.35">
      <c r="IZ683" s="80"/>
    </row>
    <row r="684" spans="260:260" s="66" customFormat="1" ht="24.75" customHeight="1" x14ac:dyDescent="0.35">
      <c r="IZ684" s="80"/>
    </row>
    <row r="685" spans="260:260" s="66" customFormat="1" ht="24.75" customHeight="1" x14ac:dyDescent="0.35">
      <c r="IZ685" s="80"/>
    </row>
    <row r="686" spans="260:260" s="66" customFormat="1" ht="24.75" customHeight="1" x14ac:dyDescent="0.35">
      <c r="IZ686" s="80"/>
    </row>
    <row r="687" spans="260:260" s="66" customFormat="1" ht="24.75" customHeight="1" x14ac:dyDescent="0.35">
      <c r="IZ687" s="80"/>
    </row>
    <row r="688" spans="260:260" s="66" customFormat="1" ht="24.75" customHeight="1" x14ac:dyDescent="0.35">
      <c r="IZ688" s="80"/>
    </row>
    <row r="689" spans="260:260" s="66" customFormat="1" ht="24.75" customHeight="1" x14ac:dyDescent="0.35">
      <c r="IZ689" s="80"/>
    </row>
    <row r="690" spans="260:260" s="66" customFormat="1" ht="24.75" customHeight="1" x14ac:dyDescent="0.35">
      <c r="IZ690" s="80"/>
    </row>
    <row r="691" spans="260:260" s="66" customFormat="1" ht="24.75" customHeight="1" x14ac:dyDescent="0.35">
      <c r="IZ691" s="80"/>
    </row>
    <row r="692" spans="260:260" s="66" customFormat="1" ht="24.75" customHeight="1" x14ac:dyDescent="0.35">
      <c r="IZ692" s="80"/>
    </row>
    <row r="693" spans="260:260" s="66" customFormat="1" ht="24.75" customHeight="1" x14ac:dyDescent="0.35">
      <c r="IZ693" s="80"/>
    </row>
    <row r="694" spans="260:260" s="66" customFormat="1" ht="24.75" customHeight="1" x14ac:dyDescent="0.35">
      <c r="IZ694" s="80"/>
    </row>
    <row r="695" spans="260:260" s="66" customFormat="1" ht="24.75" customHeight="1" x14ac:dyDescent="0.35">
      <c r="IZ695" s="80"/>
    </row>
    <row r="696" spans="260:260" s="66" customFormat="1" ht="24.75" customHeight="1" x14ac:dyDescent="0.35">
      <c r="IZ696" s="80"/>
    </row>
    <row r="697" spans="260:260" s="66" customFormat="1" ht="24.75" customHeight="1" x14ac:dyDescent="0.35">
      <c r="IZ697" s="80"/>
    </row>
    <row r="698" spans="260:260" s="66" customFormat="1" ht="24.75" customHeight="1" x14ac:dyDescent="0.35">
      <c r="IZ698" s="80"/>
    </row>
    <row r="699" spans="260:260" s="66" customFormat="1" ht="24.75" customHeight="1" x14ac:dyDescent="0.35">
      <c r="IZ699" s="80"/>
    </row>
    <row r="700" spans="260:260" s="66" customFormat="1" ht="24.75" customHeight="1" x14ac:dyDescent="0.35">
      <c r="IZ700" s="80"/>
    </row>
    <row r="701" spans="260:260" s="66" customFormat="1" ht="24.75" customHeight="1" x14ac:dyDescent="0.35">
      <c r="IZ701" s="80"/>
    </row>
    <row r="702" spans="260:260" s="66" customFormat="1" ht="24.75" customHeight="1" x14ac:dyDescent="0.35">
      <c r="IZ702" s="80"/>
    </row>
    <row r="703" spans="260:260" s="66" customFormat="1" ht="24.75" customHeight="1" x14ac:dyDescent="0.35">
      <c r="IZ703" s="80"/>
    </row>
    <row r="704" spans="260:260" s="66" customFormat="1" ht="24.75" customHeight="1" x14ac:dyDescent="0.35">
      <c r="IZ704" s="80"/>
    </row>
    <row r="705" spans="260:260" s="66" customFormat="1" ht="24.75" customHeight="1" x14ac:dyDescent="0.35">
      <c r="IZ705" s="80"/>
    </row>
    <row r="706" spans="260:260" s="66" customFormat="1" ht="24.75" customHeight="1" x14ac:dyDescent="0.35">
      <c r="IZ706" s="80"/>
    </row>
    <row r="707" spans="260:260" s="66" customFormat="1" ht="24.75" customHeight="1" x14ac:dyDescent="0.35">
      <c r="IZ707" s="80"/>
    </row>
    <row r="708" spans="260:260" s="66" customFormat="1" ht="24.75" customHeight="1" x14ac:dyDescent="0.35">
      <c r="IZ708" s="80"/>
    </row>
    <row r="709" spans="260:260" s="66" customFormat="1" ht="24.75" customHeight="1" x14ac:dyDescent="0.35">
      <c r="IZ709" s="80"/>
    </row>
    <row r="710" spans="260:260" s="66" customFormat="1" ht="24.75" customHeight="1" x14ac:dyDescent="0.35">
      <c r="IZ710" s="80"/>
    </row>
    <row r="711" spans="260:260" s="66" customFormat="1" ht="24.75" customHeight="1" x14ac:dyDescent="0.35">
      <c r="IZ711" s="80"/>
    </row>
    <row r="712" spans="260:260" s="66" customFormat="1" ht="24.75" customHeight="1" x14ac:dyDescent="0.35">
      <c r="IZ712" s="80"/>
    </row>
    <row r="713" spans="260:260" s="66" customFormat="1" ht="24.75" customHeight="1" x14ac:dyDescent="0.35">
      <c r="IZ713" s="80"/>
    </row>
    <row r="714" spans="260:260" s="66" customFormat="1" ht="24.75" customHeight="1" x14ac:dyDescent="0.35">
      <c r="IZ714" s="80"/>
    </row>
    <row r="715" spans="260:260" s="66" customFormat="1" ht="24.75" customHeight="1" x14ac:dyDescent="0.35">
      <c r="IZ715" s="80"/>
    </row>
    <row r="716" spans="260:260" s="66" customFormat="1" ht="24.75" customHeight="1" x14ac:dyDescent="0.35">
      <c r="IZ716" s="80"/>
    </row>
    <row r="717" spans="260:260" s="66" customFormat="1" ht="24.75" customHeight="1" x14ac:dyDescent="0.35">
      <c r="IZ717" s="80"/>
    </row>
    <row r="718" spans="260:260" s="66" customFormat="1" ht="24.75" customHeight="1" x14ac:dyDescent="0.35">
      <c r="IZ718" s="80"/>
    </row>
    <row r="719" spans="260:260" s="66" customFormat="1" ht="24.75" customHeight="1" x14ac:dyDescent="0.35">
      <c r="IZ719" s="80"/>
    </row>
    <row r="720" spans="260:260" s="66" customFormat="1" ht="24.75" customHeight="1" x14ac:dyDescent="0.35">
      <c r="IZ720" s="80"/>
    </row>
    <row r="721" spans="260:260" s="66" customFormat="1" ht="24.75" customHeight="1" x14ac:dyDescent="0.35">
      <c r="IZ721" s="80"/>
    </row>
    <row r="722" spans="260:260" s="66" customFormat="1" ht="24.75" customHeight="1" x14ac:dyDescent="0.35">
      <c r="IZ722" s="80"/>
    </row>
    <row r="723" spans="260:260" s="66" customFormat="1" ht="24.75" customHeight="1" x14ac:dyDescent="0.35">
      <c r="IZ723" s="80"/>
    </row>
    <row r="724" spans="260:260" s="66" customFormat="1" ht="24.75" customHeight="1" x14ac:dyDescent="0.35">
      <c r="IZ724" s="80"/>
    </row>
    <row r="725" spans="260:260" s="66" customFormat="1" ht="24.75" customHeight="1" x14ac:dyDescent="0.35">
      <c r="IZ725" s="80"/>
    </row>
    <row r="726" spans="260:260" s="66" customFormat="1" ht="24.75" customHeight="1" x14ac:dyDescent="0.35">
      <c r="IZ726" s="80"/>
    </row>
    <row r="727" spans="260:260" s="66" customFormat="1" ht="24.75" customHeight="1" x14ac:dyDescent="0.35">
      <c r="IZ727" s="80"/>
    </row>
    <row r="728" spans="260:260" s="66" customFormat="1" ht="24.75" customHeight="1" x14ac:dyDescent="0.35">
      <c r="IZ728" s="80"/>
    </row>
    <row r="729" spans="260:260" s="66" customFormat="1" ht="24.75" customHeight="1" x14ac:dyDescent="0.35">
      <c r="IZ729" s="80"/>
    </row>
    <row r="730" spans="260:260" s="66" customFormat="1" ht="24.75" customHeight="1" x14ac:dyDescent="0.35">
      <c r="IZ730" s="80"/>
    </row>
    <row r="731" spans="260:260" s="66" customFormat="1" ht="24.75" customHeight="1" x14ac:dyDescent="0.35">
      <c r="IZ731" s="80"/>
    </row>
    <row r="732" spans="260:260" s="66" customFormat="1" ht="24.75" customHeight="1" x14ac:dyDescent="0.35">
      <c r="IZ732" s="80"/>
    </row>
    <row r="733" spans="260:260" s="66" customFormat="1" ht="24.75" customHeight="1" x14ac:dyDescent="0.35">
      <c r="IZ733" s="80"/>
    </row>
    <row r="734" spans="260:260" s="66" customFormat="1" ht="24.75" customHeight="1" x14ac:dyDescent="0.35">
      <c r="IZ734" s="80"/>
    </row>
    <row r="735" spans="260:260" s="66" customFormat="1" ht="24.75" customHeight="1" x14ac:dyDescent="0.35">
      <c r="IZ735" s="80"/>
    </row>
    <row r="736" spans="260:260" s="66" customFormat="1" ht="24.75" customHeight="1" x14ac:dyDescent="0.35">
      <c r="IZ736" s="80"/>
    </row>
    <row r="737" spans="260:260" s="66" customFormat="1" ht="24.75" customHeight="1" x14ac:dyDescent="0.35">
      <c r="IZ737" s="80"/>
    </row>
    <row r="738" spans="260:260" s="66" customFormat="1" ht="24.75" customHeight="1" x14ac:dyDescent="0.35">
      <c r="IZ738" s="80"/>
    </row>
    <row r="739" spans="260:260" s="66" customFormat="1" ht="24.75" customHeight="1" x14ac:dyDescent="0.35">
      <c r="IZ739" s="80"/>
    </row>
    <row r="740" spans="260:260" s="66" customFormat="1" ht="24.75" customHeight="1" x14ac:dyDescent="0.35">
      <c r="IZ740" s="80"/>
    </row>
    <row r="741" spans="260:260" s="66" customFormat="1" ht="24.75" customHeight="1" x14ac:dyDescent="0.35">
      <c r="IZ741" s="80"/>
    </row>
    <row r="742" spans="260:260" s="66" customFormat="1" ht="24.75" customHeight="1" x14ac:dyDescent="0.35">
      <c r="IZ742" s="80"/>
    </row>
    <row r="743" spans="260:260" s="66" customFormat="1" ht="24.75" customHeight="1" x14ac:dyDescent="0.35">
      <c r="IZ743" s="80"/>
    </row>
    <row r="744" spans="260:260" s="66" customFormat="1" ht="24.75" customHeight="1" x14ac:dyDescent="0.35">
      <c r="IZ744" s="80"/>
    </row>
    <row r="745" spans="260:260" s="66" customFormat="1" ht="24.75" customHeight="1" x14ac:dyDescent="0.35">
      <c r="IZ745" s="80"/>
    </row>
    <row r="746" spans="260:260" s="66" customFormat="1" ht="24.75" customHeight="1" x14ac:dyDescent="0.35">
      <c r="IZ746" s="80"/>
    </row>
    <row r="747" spans="260:260" s="66" customFormat="1" ht="24.75" customHeight="1" x14ac:dyDescent="0.35">
      <c r="IZ747" s="80"/>
    </row>
    <row r="748" spans="260:260" s="66" customFormat="1" ht="24.75" customHeight="1" x14ac:dyDescent="0.35">
      <c r="IZ748" s="80"/>
    </row>
    <row r="749" spans="260:260" s="66" customFormat="1" ht="24.75" customHeight="1" x14ac:dyDescent="0.35">
      <c r="IZ749" s="80"/>
    </row>
    <row r="750" spans="260:260" s="66" customFormat="1" ht="24.75" customHeight="1" x14ac:dyDescent="0.35">
      <c r="IZ750" s="80"/>
    </row>
    <row r="751" spans="260:260" s="66" customFormat="1" ht="24.75" customHeight="1" x14ac:dyDescent="0.35">
      <c r="IZ751" s="80"/>
    </row>
    <row r="752" spans="260:260" s="66" customFormat="1" ht="24.75" customHeight="1" x14ac:dyDescent="0.35">
      <c r="IZ752" s="80"/>
    </row>
    <row r="753" spans="260:260" s="66" customFormat="1" ht="24.75" customHeight="1" x14ac:dyDescent="0.35">
      <c r="IZ753" s="80"/>
    </row>
    <row r="754" spans="260:260" s="66" customFormat="1" ht="24.75" customHeight="1" x14ac:dyDescent="0.35">
      <c r="IZ754" s="80"/>
    </row>
    <row r="755" spans="260:260" s="66" customFormat="1" ht="24.75" customHeight="1" x14ac:dyDescent="0.35">
      <c r="IZ755" s="80"/>
    </row>
    <row r="756" spans="260:260" s="66" customFormat="1" ht="24.75" customHeight="1" x14ac:dyDescent="0.35">
      <c r="IZ756" s="80"/>
    </row>
  </sheetData>
  <autoFilter ref="A5:JE36"/>
  <mergeCells count="143">
    <mergeCell ref="EC1:EK3"/>
    <mergeCell ref="AA4:AB4"/>
    <mergeCell ref="CD4:CE4"/>
    <mergeCell ref="AZ4:BA4"/>
    <mergeCell ref="BX4:BY4"/>
    <mergeCell ref="AV4:AW4"/>
    <mergeCell ref="BB4:BC4"/>
    <mergeCell ref="CO1:DA3"/>
    <mergeCell ref="DT1:EB3"/>
    <mergeCell ref="CJ4:CK4"/>
    <mergeCell ref="BZ4:CA4"/>
    <mergeCell ref="Y1:AO3"/>
    <mergeCell ref="AP1:BF3"/>
    <mergeCell ref="BG1:BW3"/>
    <mergeCell ref="Y4:Z4"/>
    <mergeCell ref="AC4:AD4"/>
    <mergeCell ref="AK4:AL4"/>
    <mergeCell ref="AM4:AO4"/>
    <mergeCell ref="AR4:AS4"/>
    <mergeCell ref="AP4:AQ4"/>
    <mergeCell ref="BM4:BN4"/>
    <mergeCell ref="BS4:BT4"/>
    <mergeCell ref="BU4:BW4"/>
    <mergeCell ref="BD4:BF4"/>
    <mergeCell ref="BI4:BJ4"/>
    <mergeCell ref="BK4:BL4"/>
    <mergeCell ref="AE4:AF4"/>
    <mergeCell ref="AG4:AH4"/>
    <mergeCell ref="AI4:AJ4"/>
    <mergeCell ref="GD4:GE4"/>
    <mergeCell ref="GF4:GG4"/>
    <mergeCell ref="FJ4:FK4"/>
    <mergeCell ref="GJ4:GK4"/>
    <mergeCell ref="DF4:DG4"/>
    <mergeCell ref="DM4:DN4"/>
    <mergeCell ref="EC4:ED4"/>
    <mergeCell ref="FA4:FB4"/>
    <mergeCell ref="GB4:GC4"/>
    <mergeCell ref="EL1:ET3"/>
    <mergeCell ref="EL4:EM4"/>
    <mergeCell ref="EN4:EO4"/>
    <mergeCell ref="EP4:EQ4"/>
    <mergeCell ref="ER4:ET4"/>
    <mergeCell ref="HD4:HE4"/>
    <mergeCell ref="IB4:IC4"/>
    <mergeCell ref="BG4:BH4"/>
    <mergeCell ref="BO4:BP4"/>
    <mergeCell ref="HM4:HN4"/>
    <mergeCell ref="HO4:HP4"/>
    <mergeCell ref="HT4:HU4"/>
    <mergeCell ref="HV4:HW4"/>
    <mergeCell ref="CF4:CG4"/>
    <mergeCell ref="CH4:CI4"/>
    <mergeCell ref="CX4:DA4"/>
    <mergeCell ref="DT4:DU4"/>
    <mergeCell ref="DV4:DW4"/>
    <mergeCell ref="CL4:CN4"/>
    <mergeCell ref="CO4:CQ4"/>
    <mergeCell ref="CR4:CT4"/>
    <mergeCell ref="CU4:CW4"/>
    <mergeCell ref="DO4:DP4"/>
    <mergeCell ref="HF4:HG4"/>
    <mergeCell ref="HH4:HI4"/>
    <mergeCell ref="EE4:EF4"/>
    <mergeCell ref="EG4:EH4"/>
    <mergeCell ref="EI4:EK4"/>
    <mergeCell ref="FC4:FE4"/>
    <mergeCell ref="F1:G4"/>
    <mergeCell ref="A1:E2"/>
    <mergeCell ref="H1:J4"/>
    <mergeCell ref="K1:L4"/>
    <mergeCell ref="M1:P4"/>
    <mergeCell ref="Q1:R4"/>
    <mergeCell ref="T1:W4"/>
    <mergeCell ref="HB4:HC4"/>
    <mergeCell ref="GL4:GM4"/>
    <mergeCell ref="CB4:CC4"/>
    <mergeCell ref="FU4:FW4"/>
    <mergeCell ref="GS4:GT4"/>
    <mergeCell ref="GQ4:GR4"/>
    <mergeCell ref="DH4:DJ4"/>
    <mergeCell ref="DK4:DL4"/>
    <mergeCell ref="DB4:DC4"/>
    <mergeCell ref="GN4:GO4"/>
    <mergeCell ref="DD4:DE4"/>
    <mergeCell ref="DZ4:EB4"/>
    <mergeCell ref="X1:X4"/>
    <mergeCell ref="AX4:AY4"/>
    <mergeCell ref="BQ4:BR4"/>
    <mergeCell ref="DK1:DS3"/>
    <mergeCell ref="AT4:AU4"/>
    <mergeCell ref="DQ4:DS4"/>
    <mergeCell ref="DX4:DY4"/>
    <mergeCell ref="DB1:DJ3"/>
    <mergeCell ref="BX1:CN3"/>
    <mergeCell ref="IP1:IP2"/>
    <mergeCell ref="GZ3:HA4"/>
    <mergeCell ref="EU1:FE3"/>
    <mergeCell ref="EY4:EZ4"/>
    <mergeCell ref="FF4:FG4"/>
    <mergeCell ref="FH4:FI4"/>
    <mergeCell ref="FL4:FM4"/>
    <mergeCell ref="EU4:EV4"/>
    <mergeCell ref="EW4:EX4"/>
    <mergeCell ref="FN4:FO4"/>
    <mergeCell ref="FX1:GP3"/>
    <mergeCell ref="FX4:FY4"/>
    <mergeCell ref="FZ4:GA4"/>
    <mergeCell ref="FF1:FW3"/>
    <mergeCell ref="GU4:GV4"/>
    <mergeCell ref="GW4:GY4"/>
    <mergeCell ref="IN4:IN5"/>
    <mergeCell ref="IK3:IL4"/>
    <mergeCell ref="ID4:ID5"/>
    <mergeCell ref="HT1:ID3"/>
    <mergeCell ref="IE1:IF3"/>
    <mergeCell ref="HB3:HP3"/>
    <mergeCell ref="HQ3:HS4"/>
    <mergeCell ref="HX4:HY4"/>
    <mergeCell ref="A3:E4"/>
    <mergeCell ref="GQ1:GY3"/>
    <mergeCell ref="GZ1:HS2"/>
    <mergeCell ref="IE4:IF4"/>
    <mergeCell ref="HZ4:IA4"/>
    <mergeCell ref="HJ4:HK4"/>
    <mergeCell ref="GH4:GI4"/>
    <mergeCell ref="GP4:GP5"/>
    <mergeCell ref="IW3:IX4"/>
    <mergeCell ref="FP4:FQ4"/>
    <mergeCell ref="IQ2:IS2"/>
    <mergeCell ref="IT2:IV2"/>
    <mergeCell ref="IT3:IT5"/>
    <mergeCell ref="IU3:IU5"/>
    <mergeCell ref="IV3:IV5"/>
    <mergeCell ref="IQ3:IQ5"/>
    <mergeCell ref="IR3:IR5"/>
    <mergeCell ref="IS3:IS5"/>
    <mergeCell ref="IM3:IP3"/>
    <mergeCell ref="IO4:IO5"/>
    <mergeCell ref="IP4:IP5"/>
    <mergeCell ref="IM4:IM5"/>
    <mergeCell ref="IG3:IH4"/>
    <mergeCell ref="II3:IJ4"/>
  </mergeCells>
  <conditionalFormatting sqref="IG20:IS22 EU20:FB22 H20:X22 H6:X16 IG6:IS16 EU6:FB16 F17:BT17 EC17:EH17 DT17:DY17 DB17:DP17 BX17:CW17 FF17:GM17 EL17:FB17 EU18:FB18 IG18:IS18 H18:X18 GQ17:HP17 HS17:JA17">
    <cfRule type="cellIs" dxfId="104" priority="562" stopIfTrue="1" operator="between">
      <formula>"بنين"</formula>
      <formula>"بنين"</formula>
    </cfRule>
    <cfRule type="cellIs" dxfId="103" priority="563" stopIfTrue="1" operator="between">
      <formula>"بنات"</formula>
      <formula>"بنات"</formula>
    </cfRule>
    <cfRule type="cellIs" dxfId="102" priority="564" stopIfTrue="1" operator="between">
      <formula>"مختلطة"</formula>
      <formula>"مختلطة"</formula>
    </cfRule>
  </conditionalFormatting>
  <conditionalFormatting sqref="K20:N22 Q20:V22 K6:N16 Q6:V16 Q18:V18 K18:N18">
    <cfRule type="cellIs" dxfId="101" priority="560" stopIfTrue="1" operator="equal">
      <formula>"حضر"</formula>
    </cfRule>
    <cfRule type="cellIs" dxfId="100" priority="561" stopIfTrue="1" operator="equal">
      <formula>"ريف"</formula>
    </cfRule>
  </conditionalFormatting>
  <conditionalFormatting sqref="Q20:V22 H20:N22 H6:N16 Q6:V16 F17:BT17 EC17:EH17 DT17:DY17 DB17:DP17 BX17:CW17 FF17:GM17 EL17:FB17 Q18:V18 H18:N18 GQ17:HP17 HS17:JA17 A6:B23">
    <cfRule type="cellIs" dxfId="1" priority="558" stopIfTrue="1" operator="equal">
      <formula>"اصلية"</formula>
    </cfRule>
    <cfRule type="cellIs" dxfId="0" priority="559" stopIfTrue="1" operator="equal">
      <formula>"ضيف"</formula>
    </cfRule>
  </conditionalFormatting>
  <conditionalFormatting sqref="IT20:IX22 IT6:IX16 IT18:IX18">
    <cfRule type="cellIs" dxfId="99" priority="557" stopIfTrue="1" operator="equal">
      <formula>FALSE</formula>
    </cfRule>
  </conditionalFormatting>
  <conditionalFormatting sqref="IG23:IS23 EU23:FB23 H23:X23">
    <cfRule type="cellIs" dxfId="93" priority="157" stopIfTrue="1" operator="between">
      <formula>"بنين"</formula>
      <formula>"بنين"</formula>
    </cfRule>
    <cfRule type="cellIs" dxfId="92" priority="158" stopIfTrue="1" operator="between">
      <formula>"بنات"</formula>
      <formula>"بنات"</formula>
    </cfRule>
    <cfRule type="cellIs" dxfId="91" priority="159" stopIfTrue="1" operator="between">
      <formula>"مختلطة"</formula>
      <formula>"مختلطة"</formula>
    </cfRule>
  </conditionalFormatting>
  <conditionalFormatting sqref="K23:N23 Q23:V23">
    <cfRule type="cellIs" dxfId="90" priority="155" stopIfTrue="1" operator="equal">
      <formula>"حضر"</formula>
    </cfRule>
    <cfRule type="cellIs" dxfId="89" priority="156" stopIfTrue="1" operator="equal">
      <formula>"ريف"</formula>
    </cfRule>
  </conditionalFormatting>
  <conditionalFormatting sqref="Q23:V23 H23:N23">
    <cfRule type="cellIs" dxfId="88" priority="153" stopIfTrue="1" operator="equal">
      <formula>"اصلية"</formula>
    </cfRule>
    <cfRule type="cellIs" dxfId="87" priority="154" stopIfTrue="1" operator="equal">
      <formula>"ضيف"</formula>
    </cfRule>
  </conditionalFormatting>
  <conditionalFormatting sqref="IT23:IX23">
    <cfRule type="cellIs" dxfId="86" priority="152" stopIfTrue="1" operator="equal">
      <formula>FALSE</formula>
    </cfRule>
  </conditionalFormatting>
  <conditionalFormatting sqref="EU19:FB19 IG19:IS19 H19:X19">
    <cfRule type="cellIs" dxfId="78" priority="142" stopIfTrue="1" operator="between">
      <formula>"بنين"</formula>
      <formula>"بنين"</formula>
    </cfRule>
    <cfRule type="cellIs" dxfId="77" priority="143" stopIfTrue="1" operator="between">
      <formula>"بنات"</formula>
      <formula>"بنات"</formula>
    </cfRule>
    <cfRule type="cellIs" dxfId="76" priority="144" stopIfTrue="1" operator="between">
      <formula>"مختلطة"</formula>
      <formula>"مختلطة"</formula>
    </cfRule>
  </conditionalFormatting>
  <conditionalFormatting sqref="Q19:V19 K19:N19">
    <cfRule type="cellIs" dxfId="75" priority="140" stopIfTrue="1" operator="equal">
      <formula>"حضر"</formula>
    </cfRule>
    <cfRule type="cellIs" dxfId="74" priority="141" stopIfTrue="1" operator="equal">
      <formula>"ريف"</formula>
    </cfRule>
  </conditionalFormatting>
  <conditionalFormatting sqref="Q19:V19 H19:N19">
    <cfRule type="cellIs" dxfId="73" priority="138" stopIfTrue="1" operator="equal">
      <formula>"اصلية"</formula>
    </cfRule>
    <cfRule type="cellIs" dxfId="72" priority="139" stopIfTrue="1" operator="equal">
      <formula>"ضيف"</formula>
    </cfRule>
  </conditionalFormatting>
  <conditionalFormatting sqref="IT19:IX19">
    <cfRule type="cellIs" dxfId="71" priority="137" stopIfTrue="1" operator="equal">
      <formula>FALSE</formula>
    </cfRule>
  </conditionalFormatting>
  <conditionalFormatting sqref="EU27:FB27 IG27:IS27 H27:X27">
    <cfRule type="cellIs" dxfId="70" priority="134" stopIfTrue="1" operator="between">
      <formula>"بنين"</formula>
      <formula>"بنين"</formula>
    </cfRule>
    <cfRule type="cellIs" dxfId="69" priority="135" stopIfTrue="1" operator="between">
      <formula>"بنات"</formula>
      <formula>"بنات"</formula>
    </cfRule>
    <cfRule type="cellIs" dxfId="68" priority="136" stopIfTrue="1" operator="between">
      <formula>"مختلطة"</formula>
      <formula>"مختلطة"</formula>
    </cfRule>
  </conditionalFormatting>
  <conditionalFormatting sqref="Q27:V27 K27:N27">
    <cfRule type="cellIs" dxfId="67" priority="132" stopIfTrue="1" operator="equal">
      <formula>"حضر"</formula>
    </cfRule>
    <cfRule type="cellIs" dxfId="66" priority="133" stopIfTrue="1" operator="equal">
      <formula>"ريف"</formula>
    </cfRule>
  </conditionalFormatting>
  <conditionalFormatting sqref="Q27:V27 H27:N27">
    <cfRule type="cellIs" dxfId="65" priority="130" stopIfTrue="1" operator="equal">
      <formula>"اصلية"</formula>
    </cfRule>
    <cfRule type="cellIs" dxfId="64" priority="131" stopIfTrue="1" operator="equal">
      <formula>"ضيف"</formula>
    </cfRule>
  </conditionalFormatting>
  <conditionalFormatting sqref="IT27:IX27">
    <cfRule type="cellIs" dxfId="63" priority="129" stopIfTrue="1" operator="equal">
      <formula>FALSE</formula>
    </cfRule>
  </conditionalFormatting>
  <conditionalFormatting sqref="EU24:FB24 IG24:IS24 H24:X24 H26:X26 IG26:IS26 EU26:FB26">
    <cfRule type="cellIs" dxfId="62" priority="126" stopIfTrue="1" operator="between">
      <formula>"بنين"</formula>
      <formula>"بنين"</formula>
    </cfRule>
    <cfRule type="cellIs" dxfId="61" priority="127" stopIfTrue="1" operator="between">
      <formula>"بنات"</formula>
      <formula>"بنات"</formula>
    </cfRule>
    <cfRule type="cellIs" dxfId="60" priority="128" stopIfTrue="1" operator="between">
      <formula>"مختلطة"</formula>
      <formula>"مختلطة"</formula>
    </cfRule>
  </conditionalFormatting>
  <conditionalFormatting sqref="Q24:V24 K24:N24 K26:N26 Q26:V26">
    <cfRule type="cellIs" dxfId="59" priority="124" stopIfTrue="1" operator="equal">
      <formula>"حضر"</formula>
    </cfRule>
    <cfRule type="cellIs" dxfId="58" priority="125" stopIfTrue="1" operator="equal">
      <formula>"ريف"</formula>
    </cfRule>
  </conditionalFormatting>
  <conditionalFormatting sqref="Q24:V24 H24:N24 A24:B24 H26:N26 Q26:V26 A25:A30 B25:B27">
    <cfRule type="cellIs" dxfId="57" priority="122" stopIfTrue="1" operator="equal">
      <formula>"اصلية"</formula>
    </cfRule>
    <cfRule type="cellIs" dxfId="56" priority="123" stopIfTrue="1" operator="equal">
      <formula>"ضيف"</formula>
    </cfRule>
  </conditionalFormatting>
  <conditionalFormatting sqref="IT24:IX24 IT26:IX26">
    <cfRule type="cellIs" dxfId="55" priority="121" stopIfTrue="1" operator="equal">
      <formula>FALSE</formula>
    </cfRule>
  </conditionalFormatting>
  <conditionalFormatting sqref="EU25:FB25 IG25:IS25 H25:X25">
    <cfRule type="cellIs" dxfId="54" priority="118" stopIfTrue="1" operator="between">
      <formula>"بنين"</formula>
      <formula>"بنين"</formula>
    </cfRule>
    <cfRule type="cellIs" dxfId="53" priority="119" stopIfTrue="1" operator="between">
      <formula>"بنات"</formula>
      <formula>"بنات"</formula>
    </cfRule>
    <cfRule type="cellIs" dxfId="52" priority="120" stopIfTrue="1" operator="between">
      <formula>"مختلطة"</formula>
      <formula>"مختلطة"</formula>
    </cfRule>
  </conditionalFormatting>
  <conditionalFormatting sqref="Q25:V25 K25:N25">
    <cfRule type="cellIs" dxfId="51" priority="116" stopIfTrue="1" operator="equal">
      <formula>"حضر"</formula>
    </cfRule>
    <cfRule type="cellIs" dxfId="50" priority="117" stopIfTrue="1" operator="equal">
      <formula>"ريف"</formula>
    </cfRule>
  </conditionalFormatting>
  <conditionalFormatting sqref="Q25:V25 H25:N25">
    <cfRule type="cellIs" dxfId="49" priority="114" stopIfTrue="1" operator="equal">
      <formula>"اصلية"</formula>
    </cfRule>
    <cfRule type="cellIs" dxfId="48" priority="115" stopIfTrue="1" operator="equal">
      <formula>"ضيف"</formula>
    </cfRule>
  </conditionalFormatting>
  <conditionalFormatting sqref="IT25:IX25">
    <cfRule type="cellIs" dxfId="47" priority="113" stopIfTrue="1" operator="equal">
      <formula>FALSE</formula>
    </cfRule>
  </conditionalFormatting>
  <conditionalFormatting sqref="IG28:IS28 EU28:FB28 H28:X28">
    <cfRule type="cellIs" dxfId="46" priority="110" stopIfTrue="1" operator="between">
      <formula>"بنين"</formula>
      <formula>"بنين"</formula>
    </cfRule>
    <cfRule type="cellIs" dxfId="45" priority="111" stopIfTrue="1" operator="between">
      <formula>"بنات"</formula>
      <formula>"بنات"</formula>
    </cfRule>
    <cfRule type="cellIs" dxfId="44" priority="112" stopIfTrue="1" operator="between">
      <formula>"مختلطة"</formula>
      <formula>"مختلطة"</formula>
    </cfRule>
  </conditionalFormatting>
  <conditionalFormatting sqref="K28:N28 Q28:V28">
    <cfRule type="cellIs" dxfId="43" priority="108" stopIfTrue="1" operator="equal">
      <formula>"حضر"</formula>
    </cfRule>
    <cfRule type="cellIs" dxfId="42" priority="109" stopIfTrue="1" operator="equal">
      <formula>"ريف"</formula>
    </cfRule>
  </conditionalFormatting>
  <conditionalFormatting sqref="Q28:V28 H28:N28 B28">
    <cfRule type="cellIs" dxfId="41" priority="106" stopIfTrue="1" operator="equal">
      <formula>"اصلية"</formula>
    </cfRule>
    <cfRule type="cellIs" dxfId="40" priority="107" stopIfTrue="1" operator="equal">
      <formula>"ضيف"</formula>
    </cfRule>
  </conditionalFormatting>
  <conditionalFormatting sqref="IT28:IX28">
    <cfRule type="cellIs" dxfId="39" priority="105" stopIfTrue="1" operator="equal">
      <formula>FALSE</formula>
    </cfRule>
  </conditionalFormatting>
  <conditionalFormatting sqref="IG29:IS29 EU29:FB29 H29:X29">
    <cfRule type="cellIs" dxfId="38" priority="92" stopIfTrue="1" operator="between">
      <formula>"بنين"</formula>
      <formula>"بنين"</formula>
    </cfRule>
    <cfRule type="cellIs" dxfId="37" priority="93" stopIfTrue="1" operator="between">
      <formula>"بنات"</formula>
      <formula>"بنات"</formula>
    </cfRule>
    <cfRule type="cellIs" dxfId="36" priority="94" stopIfTrue="1" operator="between">
      <formula>"مختلطة"</formula>
      <formula>"مختلطة"</formula>
    </cfRule>
  </conditionalFormatting>
  <conditionalFormatting sqref="K29:N29 Q29:V29">
    <cfRule type="cellIs" dxfId="35" priority="90" stopIfTrue="1" operator="equal">
      <formula>"حضر"</formula>
    </cfRule>
    <cfRule type="cellIs" dxfId="34" priority="91" stopIfTrue="1" operator="equal">
      <formula>"ريف"</formula>
    </cfRule>
  </conditionalFormatting>
  <conditionalFormatting sqref="Q29:V29 H29:N29 B29">
    <cfRule type="cellIs" dxfId="33" priority="88" stopIfTrue="1" operator="equal">
      <formula>"اصلية"</formula>
    </cfRule>
    <cfRule type="cellIs" dxfId="32" priority="89" stopIfTrue="1" operator="equal">
      <formula>"ضيف"</formula>
    </cfRule>
  </conditionalFormatting>
  <conditionalFormatting sqref="IT29:IX29">
    <cfRule type="cellIs" dxfId="31" priority="87" stopIfTrue="1" operator="equal">
      <formula>FALSE</formula>
    </cfRule>
  </conditionalFormatting>
  <conditionalFormatting sqref="IG30:IS30 EU30:FB30 H30:X30">
    <cfRule type="cellIs" dxfId="30" priority="76" stopIfTrue="1" operator="between">
      <formula>"بنين"</formula>
      <formula>"بنين"</formula>
    </cfRule>
    <cfRule type="cellIs" dxfId="29" priority="77" stopIfTrue="1" operator="between">
      <formula>"بنات"</formula>
      <formula>"بنات"</formula>
    </cfRule>
    <cfRule type="cellIs" dxfId="28" priority="78" stopIfTrue="1" operator="between">
      <formula>"مختلطة"</formula>
      <formula>"مختلطة"</formula>
    </cfRule>
  </conditionalFormatting>
  <conditionalFormatting sqref="K30:N30 Q30:V30">
    <cfRule type="cellIs" dxfId="27" priority="74" stopIfTrue="1" operator="equal">
      <formula>"حضر"</formula>
    </cfRule>
    <cfRule type="cellIs" dxfId="26" priority="75" stopIfTrue="1" operator="equal">
      <formula>"ريف"</formula>
    </cfRule>
  </conditionalFormatting>
  <conditionalFormatting sqref="Q30:V30 H30:N30 B30">
    <cfRule type="cellIs" dxfId="25" priority="72" stopIfTrue="1" operator="equal">
      <formula>"اصلية"</formula>
    </cfRule>
    <cfRule type="cellIs" dxfId="24" priority="73" stopIfTrue="1" operator="equal">
      <formula>"ضيف"</formula>
    </cfRule>
  </conditionalFormatting>
  <conditionalFormatting sqref="IT30:IX30">
    <cfRule type="cellIs" dxfId="23" priority="71" stopIfTrue="1" operator="equal">
      <formula>FALSE</formula>
    </cfRule>
  </conditionalFormatting>
  <conditionalFormatting sqref="H31:K32 N31:S32 A31:B32">
    <cfRule type="cellIs" dxfId="22" priority="20" stopIfTrue="1" operator="equal">
      <formula>"اصلية"</formula>
    </cfRule>
    <cfRule type="cellIs" dxfId="21" priority="21" stopIfTrue="1" operator="equal">
      <formula>"ضيف"</formula>
    </cfRule>
  </conditionalFormatting>
  <conditionalFormatting sqref="H31:U32 HT31:IH32 DR31:DV32">
    <cfRule type="cellIs" dxfId="20" priority="17" stopIfTrue="1" operator="between">
      <formula>"بنين"</formula>
      <formula>"بنين"</formula>
    </cfRule>
    <cfRule type="cellIs" dxfId="19" priority="18" stopIfTrue="1" operator="between">
      <formula>"بنات"</formula>
      <formula>"بنات"</formula>
    </cfRule>
    <cfRule type="cellIs" dxfId="18" priority="19" stopIfTrue="1" operator="between">
      <formula>"مختلطة"</formula>
      <formula>"مختلطة"</formula>
    </cfRule>
  </conditionalFormatting>
  <conditionalFormatting sqref="H31:K32 N31:S32">
    <cfRule type="cellIs" dxfId="17" priority="15" stopIfTrue="1" operator="equal">
      <formula>"حضر"</formula>
    </cfRule>
    <cfRule type="cellIs" dxfId="16" priority="16" stopIfTrue="1" operator="equal">
      <formula>"ريف"</formula>
    </cfRule>
  </conditionalFormatting>
  <conditionalFormatting sqref="H33:K34 N33:S34 A33:B33 B34 A34:A35">
    <cfRule type="cellIs" dxfId="15" priority="13" stopIfTrue="1" operator="equal">
      <formula>"اصلية"</formula>
    </cfRule>
    <cfRule type="cellIs" dxfId="14" priority="14" stopIfTrue="1" operator="equal">
      <formula>"ضيف"</formula>
    </cfRule>
  </conditionalFormatting>
  <conditionalFormatting sqref="H33:U34 HT33:IH34 DR33:DV34">
    <cfRule type="cellIs" dxfId="13" priority="10" stopIfTrue="1" operator="between">
      <formula>"بنين"</formula>
      <formula>"بنين"</formula>
    </cfRule>
    <cfRule type="cellIs" dxfId="12" priority="11" stopIfTrue="1" operator="between">
      <formula>"بنات"</formula>
      <formula>"بنات"</formula>
    </cfRule>
    <cfRule type="cellIs" dxfId="11" priority="12" stopIfTrue="1" operator="between">
      <formula>"مختلطة"</formula>
      <formula>"مختلطة"</formula>
    </cfRule>
  </conditionalFormatting>
  <conditionalFormatting sqref="H33:K34 N33:S34">
    <cfRule type="cellIs" dxfId="10" priority="8" stopIfTrue="1" operator="equal">
      <formula>"حضر"</formula>
    </cfRule>
    <cfRule type="cellIs" dxfId="9" priority="9" stopIfTrue="1" operator="equal">
      <formula>"ريف"</formula>
    </cfRule>
  </conditionalFormatting>
  <conditionalFormatting sqref="H35:K35 N35:S35 B35">
    <cfRule type="cellIs" dxfId="8" priority="6" stopIfTrue="1" operator="equal">
      <formula>"اصلية"</formula>
    </cfRule>
    <cfRule type="cellIs" dxfId="7" priority="7" stopIfTrue="1" operator="equal">
      <formula>"ضيف"</formula>
    </cfRule>
  </conditionalFormatting>
  <conditionalFormatting sqref="H35:U35 HT35:IH35 DR35:DV35">
    <cfRule type="cellIs" dxfId="6" priority="3" stopIfTrue="1" operator="between">
      <formula>"بنين"</formula>
      <formula>"بنين"</formula>
    </cfRule>
    <cfRule type="cellIs" dxfId="5" priority="4" stopIfTrue="1" operator="between">
      <formula>"بنات"</formula>
      <formula>"بنات"</formula>
    </cfRule>
    <cfRule type="cellIs" dxfId="4" priority="5" stopIfTrue="1" operator="between">
      <formula>"مختلطة"</formula>
      <formula>"مختلطة"</formula>
    </cfRule>
  </conditionalFormatting>
  <conditionalFormatting sqref="H35:K35 N35:S35">
    <cfRule type="cellIs" dxfId="3" priority="1" stopIfTrue="1" operator="equal">
      <formula>"حضر"</formula>
    </cfRule>
    <cfRule type="cellIs" dxfId="2" priority="2" stopIfTrue="1" operator="equal">
      <formula>"ريف"</formula>
    </cfRule>
  </conditionalFormatting>
  <pageMargins left="0.7" right="0.7" top="0.75" bottom="0.75" header="0.3" footer="0.3"/>
  <pageSetup paperSize="9" orientation="portrait" r:id="rId1"/>
  <ignoredErrors>
    <ignoredError sqref="D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P72"/>
  <sheetViews>
    <sheetView rightToLeft="1" tabSelected="1" view="pageBreakPreview" topLeftCell="A13" zoomScale="60" workbookViewId="0">
      <selection activeCell="M27" sqref="M27"/>
    </sheetView>
  </sheetViews>
  <sheetFormatPr defaultColWidth="9" defaultRowHeight="21" x14ac:dyDescent="0.4"/>
  <cols>
    <col min="1" max="1" width="17.09765625" style="9" customWidth="1"/>
    <col min="2" max="2" width="15.296875" style="9" customWidth="1"/>
    <col min="3" max="3" width="12.296875" style="9" customWidth="1"/>
    <col min="4" max="5" width="10.796875" style="9" customWidth="1"/>
    <col min="6" max="6" width="11.69921875" style="9" customWidth="1"/>
    <col min="7" max="7" width="11" style="9" customWidth="1"/>
    <col min="8" max="8" width="12.296875" style="9" customWidth="1"/>
    <col min="9" max="9" width="14.19921875" style="9" customWidth="1"/>
    <col min="10" max="10" width="11.19921875" style="9" customWidth="1"/>
    <col min="11" max="11" width="13.19921875" style="9" customWidth="1"/>
    <col min="12" max="12" width="10.296875" style="9" customWidth="1"/>
    <col min="13" max="13" width="10.69921875" style="9" customWidth="1"/>
    <col min="14" max="14" width="8.69921875" style="9" customWidth="1"/>
    <col min="15" max="15" width="9.296875" style="9" customWidth="1"/>
    <col min="16" max="16384" width="9" style="9"/>
  </cols>
  <sheetData>
    <row r="1" spans="1:14" ht="29.25" customHeight="1" x14ac:dyDescent="0.4">
      <c r="A1" s="180" t="s">
        <v>55</v>
      </c>
      <c r="B1" s="180"/>
      <c r="C1" s="180"/>
    </row>
    <row r="2" spans="1:14" ht="29.25" customHeight="1" x14ac:dyDescent="0.4">
      <c r="A2" s="181" t="s">
        <v>56</v>
      </c>
      <c r="B2" s="181"/>
      <c r="C2" s="181"/>
      <c r="D2" s="181"/>
    </row>
    <row r="3" spans="1:14" ht="26.25" customHeight="1" x14ac:dyDescent="0.4">
      <c r="A3" s="180" t="s">
        <v>168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</row>
    <row r="5" spans="1:14" ht="29.25" customHeight="1" x14ac:dyDescent="0.4">
      <c r="E5" s="43" t="s">
        <v>266</v>
      </c>
    </row>
    <row r="6" spans="1:14" ht="21.6" thickBot="1" x14ac:dyDescent="0.45"/>
    <row r="7" spans="1:14" s="32" customFormat="1" ht="31.5" customHeight="1" thickTop="1" thickBot="1" x14ac:dyDescent="0.3">
      <c r="A7" s="32" t="s">
        <v>1</v>
      </c>
      <c r="B7" s="165" t="s">
        <v>41</v>
      </c>
      <c r="C7" s="169"/>
      <c r="D7" s="166"/>
      <c r="F7" s="32" t="s">
        <v>2</v>
      </c>
      <c r="G7" s="165" t="s">
        <v>190</v>
      </c>
      <c r="H7" s="169"/>
      <c r="I7" s="166"/>
      <c r="K7" s="32" t="s">
        <v>0</v>
      </c>
      <c r="L7" s="165"/>
      <c r="M7" s="169"/>
      <c r="N7" s="166"/>
    </row>
    <row r="8" spans="1:14" s="32" customFormat="1" ht="31.5" customHeight="1" thickTop="1" thickBot="1" x14ac:dyDescent="0.3"/>
    <row r="9" spans="1:14" s="35" customFormat="1" ht="31.5" customHeight="1" thickTop="1" thickBot="1" x14ac:dyDescent="0.3">
      <c r="A9" s="35" t="s">
        <v>43</v>
      </c>
      <c r="B9" s="182" t="e">
        <f>'التعليم المسرع'!#REF!+'التعليم المسرع'!#REF!+'التعليم المسرع'!#REF!</f>
        <v>#REF!</v>
      </c>
      <c r="C9" s="183"/>
      <c r="D9" s="184"/>
      <c r="F9" s="35" t="s">
        <v>3</v>
      </c>
      <c r="G9" s="182" t="e">
        <f>'التعليم المسرع'!#REF!</f>
        <v>#REF!</v>
      </c>
      <c r="H9" s="183"/>
      <c r="I9" s="184"/>
      <c r="K9" s="35" t="s">
        <v>4</v>
      </c>
      <c r="L9" s="182" t="e">
        <f>'التعليم المسرع'!#REF!</f>
        <v>#REF!</v>
      </c>
      <c r="M9" s="183"/>
      <c r="N9" s="184"/>
    </row>
    <row r="10" spans="1:14" s="32" customFormat="1" ht="21.6" thickTop="1" x14ac:dyDescent="0.25">
      <c r="B10" s="27"/>
      <c r="C10" s="27"/>
      <c r="D10" s="27"/>
      <c r="G10" s="27"/>
      <c r="H10" s="27"/>
      <c r="I10" s="27"/>
      <c r="L10" s="27"/>
      <c r="M10" s="27"/>
      <c r="N10" s="27"/>
    </row>
    <row r="11" spans="1:14" ht="21.6" thickBot="1" x14ac:dyDescent="0.45"/>
    <row r="12" spans="1:14" s="31" customFormat="1" ht="36" customHeight="1" thickTop="1" thickBot="1" x14ac:dyDescent="0.3">
      <c r="B12" s="165" t="s">
        <v>5</v>
      </c>
      <c r="C12" s="166"/>
      <c r="F12" s="165" t="s">
        <v>6</v>
      </c>
      <c r="G12" s="169"/>
      <c r="H12" s="166"/>
      <c r="K12" s="165" t="s">
        <v>7</v>
      </c>
      <c r="L12" s="169"/>
      <c r="M12" s="166"/>
    </row>
    <row r="13" spans="1:14" ht="27" customHeight="1" thickTop="1" thickBot="1" x14ac:dyDescent="0.45">
      <c r="B13" s="10" t="s">
        <v>8</v>
      </c>
      <c r="C13" s="11" t="s">
        <v>9</v>
      </c>
      <c r="F13" s="12" t="s">
        <v>10</v>
      </c>
      <c r="G13" s="13" t="s">
        <v>11</v>
      </c>
      <c r="H13" s="14" t="s">
        <v>12</v>
      </c>
      <c r="K13" s="10" t="s">
        <v>13</v>
      </c>
      <c r="L13" s="15" t="s">
        <v>14</v>
      </c>
      <c r="M13" s="11" t="s">
        <v>15</v>
      </c>
    </row>
    <row r="14" spans="1:14" s="32" customFormat="1" ht="27" customHeight="1" thickTop="1" thickBot="1" x14ac:dyDescent="0.3">
      <c r="B14" s="60" t="e">
        <f>'التعليم المسرع'!#REF!</f>
        <v>#REF!</v>
      </c>
      <c r="C14" s="61" t="e">
        <f>'التعليم المسرع'!#REF!</f>
        <v>#REF!</v>
      </c>
      <c r="F14" s="29" t="e">
        <f>'التعليم المسرع'!#REF!</f>
        <v>#REF!</v>
      </c>
      <c r="G14" s="30" t="e">
        <f>'التعليم المسرع'!#REF!</f>
        <v>#REF!</v>
      </c>
      <c r="H14" s="34" t="e">
        <f>'التعليم المسرع'!#REF!</f>
        <v>#REF!</v>
      </c>
      <c r="K14" s="24" t="e">
        <f>'التعليم المسرع'!#REF!</f>
        <v>#REF!</v>
      </c>
      <c r="L14" s="25" t="e">
        <f>'التعليم المسرع'!#REF!</f>
        <v>#REF!</v>
      </c>
      <c r="M14" s="33" t="e">
        <f>SUM(K14:L14)</f>
        <v>#REF!</v>
      </c>
    </row>
    <row r="15" spans="1:14" ht="21.6" thickTop="1" x14ac:dyDescent="0.4"/>
    <row r="16" spans="1:14" ht="21.6" thickBot="1" x14ac:dyDescent="0.45"/>
    <row r="17" spans="2:15" s="32" customFormat="1" ht="33.75" customHeight="1" thickTop="1" thickBot="1" x14ac:dyDescent="0.3">
      <c r="B17" s="165" t="s">
        <v>20</v>
      </c>
      <c r="C17" s="169"/>
      <c r="D17" s="169"/>
      <c r="E17" s="169"/>
      <c r="F17" s="169"/>
      <c r="G17" s="166"/>
      <c r="J17" s="165" t="s">
        <v>30</v>
      </c>
      <c r="K17" s="169"/>
      <c r="L17" s="169"/>
      <c r="M17" s="169"/>
      <c r="N17" s="169"/>
      <c r="O17" s="166"/>
    </row>
    <row r="18" spans="2:15" ht="25.5" customHeight="1" thickTop="1" thickBot="1" x14ac:dyDescent="0.45">
      <c r="B18" s="22" t="s">
        <v>16</v>
      </c>
      <c r="C18" s="23" t="s">
        <v>10</v>
      </c>
      <c r="D18" s="23" t="s">
        <v>11</v>
      </c>
      <c r="E18" s="23" t="s">
        <v>12</v>
      </c>
      <c r="F18" s="167" t="s">
        <v>15</v>
      </c>
      <c r="G18" s="168"/>
      <c r="J18" s="176" t="s">
        <v>31</v>
      </c>
      <c r="K18" s="179" t="s">
        <v>44</v>
      </c>
      <c r="L18" s="188" t="s">
        <v>45</v>
      </c>
      <c r="M18" s="179" t="s">
        <v>46</v>
      </c>
      <c r="N18" s="179" t="s">
        <v>246</v>
      </c>
      <c r="O18" s="160" t="s">
        <v>47</v>
      </c>
    </row>
    <row r="19" spans="2:15" ht="22.2" thickTop="1" thickBot="1" x14ac:dyDescent="0.45">
      <c r="B19" s="170" t="s">
        <v>17</v>
      </c>
      <c r="C19" s="170" t="e">
        <f>'التعليم المسرع'!#REF!</f>
        <v>#REF!</v>
      </c>
      <c r="D19" s="170" t="e">
        <f>'التعليم المسرع'!#REF!</f>
        <v>#REF!</v>
      </c>
      <c r="E19" s="170" t="e">
        <f>'التعليم المسرع'!#REF!</f>
        <v>#REF!</v>
      </c>
      <c r="F19" s="172" t="e">
        <f>C19+D19+E19</f>
        <v>#REF!</v>
      </c>
      <c r="G19" s="173"/>
      <c r="J19" s="171"/>
      <c r="K19" s="178"/>
      <c r="L19" s="163"/>
      <c r="M19" s="178"/>
      <c r="N19" s="178"/>
      <c r="O19" s="161"/>
    </row>
    <row r="20" spans="2:15" ht="22.2" thickTop="1" thickBot="1" x14ac:dyDescent="0.45">
      <c r="B20" s="171"/>
      <c r="C20" s="171"/>
      <c r="D20" s="171"/>
      <c r="E20" s="171"/>
      <c r="F20" s="174"/>
      <c r="G20" s="175"/>
      <c r="J20" s="170" t="s">
        <v>13</v>
      </c>
      <c r="K20" s="177" t="e">
        <f>'التعليم المسرع'!#REF!</f>
        <v>#REF!</v>
      </c>
      <c r="L20" s="177" t="e">
        <f>'التعليم المسرع'!#REF!</f>
        <v>#REF!</v>
      </c>
      <c r="M20" s="177" t="e">
        <f>'التعليم المسرع'!#REF!</f>
        <v>#REF!</v>
      </c>
      <c r="N20" s="177" t="e">
        <f>'التعليم المسرع'!#REF!</f>
        <v>#REF!</v>
      </c>
      <c r="O20" s="162" t="e">
        <f>SUM(K20:N21)</f>
        <v>#REF!</v>
      </c>
    </row>
    <row r="21" spans="2:15" ht="22.2" thickTop="1" thickBot="1" x14ac:dyDescent="0.45">
      <c r="B21" s="170" t="s">
        <v>18</v>
      </c>
      <c r="C21" s="170" t="e">
        <f>'التعليم المسرع'!#REF!</f>
        <v>#REF!</v>
      </c>
      <c r="D21" s="170" t="e">
        <f>'التعليم المسرع'!#REF!</f>
        <v>#REF!</v>
      </c>
      <c r="E21" s="170" t="e">
        <f>'التعليم المسرع'!#REF!</f>
        <v>#REF!</v>
      </c>
      <c r="F21" s="172" t="e">
        <f t="shared" ref="F21" si="0">C21+D21+E21</f>
        <v>#REF!</v>
      </c>
      <c r="G21" s="173"/>
      <c r="J21" s="171"/>
      <c r="K21" s="178"/>
      <c r="L21" s="178"/>
      <c r="M21" s="178"/>
      <c r="N21" s="178"/>
      <c r="O21" s="163"/>
    </row>
    <row r="22" spans="2:15" ht="22.2" thickTop="1" thickBot="1" x14ac:dyDescent="0.45">
      <c r="B22" s="171"/>
      <c r="C22" s="171"/>
      <c r="D22" s="171"/>
      <c r="E22" s="171"/>
      <c r="F22" s="174"/>
      <c r="G22" s="175"/>
      <c r="J22" s="170" t="s">
        <v>14</v>
      </c>
      <c r="K22" s="177" t="e">
        <f>'التعليم المسرع'!#REF!</f>
        <v>#REF!</v>
      </c>
      <c r="L22" s="177" t="e">
        <f>'التعليم المسرع'!#REF!</f>
        <v>#REF!</v>
      </c>
      <c r="M22" s="177" t="e">
        <f>'التعليم المسرع'!#REF!</f>
        <v>#REF!</v>
      </c>
      <c r="N22" s="177" t="e">
        <f>'التعليم المسرع'!#REF!</f>
        <v>#REF!</v>
      </c>
      <c r="O22" s="162" t="e">
        <f>SUM(K22:N23)</f>
        <v>#REF!</v>
      </c>
    </row>
    <row r="23" spans="2:15" ht="22.2" thickTop="1" thickBot="1" x14ac:dyDescent="0.45">
      <c r="B23" s="170" t="s">
        <v>19</v>
      </c>
      <c r="C23" s="170" t="e">
        <f>'التعليم المسرع'!#REF!</f>
        <v>#REF!</v>
      </c>
      <c r="D23" s="170" t="e">
        <f>'التعليم المسرع'!#REF!</f>
        <v>#REF!</v>
      </c>
      <c r="E23" s="170" t="e">
        <f>'التعليم المسرع'!#REF!</f>
        <v>#REF!</v>
      </c>
      <c r="F23" s="172" t="e">
        <f t="shared" ref="F23" si="1">C23+D23+E23</f>
        <v>#REF!</v>
      </c>
      <c r="G23" s="173"/>
      <c r="J23" s="171"/>
      <c r="K23" s="178"/>
      <c r="L23" s="178"/>
      <c r="M23" s="178"/>
      <c r="N23" s="178"/>
      <c r="O23" s="163"/>
    </row>
    <row r="24" spans="2:15" ht="22.2" thickTop="1" thickBot="1" x14ac:dyDescent="0.45">
      <c r="B24" s="171"/>
      <c r="C24" s="171"/>
      <c r="D24" s="171"/>
      <c r="E24" s="171"/>
      <c r="F24" s="174"/>
      <c r="G24" s="175"/>
      <c r="J24" s="170" t="s">
        <v>15</v>
      </c>
      <c r="K24" s="177" t="e">
        <f>K20+K22</f>
        <v>#REF!</v>
      </c>
      <c r="L24" s="177" t="e">
        <f t="shared" ref="L24:M24" si="2">L20+L22</f>
        <v>#REF!</v>
      </c>
      <c r="M24" s="177" t="e">
        <f t="shared" si="2"/>
        <v>#REF!</v>
      </c>
      <c r="N24" s="177" t="e">
        <f t="shared" ref="N24" si="3">N20+N22</f>
        <v>#REF!</v>
      </c>
      <c r="O24" s="162" t="e">
        <f>O20+O22</f>
        <v>#REF!</v>
      </c>
    </row>
    <row r="25" spans="2:15" ht="27" customHeight="1" thickTop="1" thickBot="1" x14ac:dyDescent="0.45">
      <c r="B25" s="24" t="s">
        <v>15</v>
      </c>
      <c r="C25" s="25" t="e">
        <f>SUM(C19:C24)</f>
        <v>#REF!</v>
      </c>
      <c r="D25" s="25" t="e">
        <f>SUM(D19:D24)</f>
        <v>#REF!</v>
      </c>
      <c r="E25" s="25" t="e">
        <f>SUM(E19:E24)</f>
        <v>#REF!</v>
      </c>
      <c r="F25" s="185" t="e">
        <f>C25+D25+E25</f>
        <v>#REF!</v>
      </c>
      <c r="G25" s="166"/>
      <c r="J25" s="197"/>
      <c r="K25" s="198"/>
      <c r="L25" s="198"/>
      <c r="M25" s="198"/>
      <c r="N25" s="198"/>
      <c r="O25" s="164"/>
    </row>
    <row r="26" spans="2:15" ht="27" customHeight="1" thickTop="1" thickBot="1" x14ac:dyDescent="0.45">
      <c r="B26" s="41"/>
      <c r="C26" s="42"/>
      <c r="D26" s="42"/>
      <c r="E26" s="42"/>
      <c r="F26" s="41"/>
      <c r="G26" s="41"/>
      <c r="J26" s="42"/>
      <c r="K26" s="42"/>
      <c r="L26" s="27"/>
      <c r="M26" s="27"/>
      <c r="N26" s="27"/>
    </row>
    <row r="27" spans="2:15" ht="36" customHeight="1" thickTop="1" thickBot="1" x14ac:dyDescent="0.45">
      <c r="B27" s="165" t="s">
        <v>39</v>
      </c>
      <c r="C27" s="169"/>
      <c r="D27" s="169"/>
      <c r="E27" s="169"/>
      <c r="F27" s="169"/>
      <c r="G27" s="169"/>
      <c r="H27" s="169"/>
      <c r="I27" s="169"/>
      <c r="J27" s="169"/>
      <c r="K27" s="166"/>
      <c r="L27" s="26"/>
      <c r="M27" s="26"/>
    </row>
    <row r="28" spans="2:15" ht="28.5" customHeight="1" thickTop="1" x14ac:dyDescent="0.4">
      <c r="B28" s="186" t="s">
        <v>40</v>
      </c>
      <c r="C28" s="186" t="s">
        <v>32</v>
      </c>
      <c r="D28" s="186" t="s">
        <v>33</v>
      </c>
      <c r="E28" s="186" t="s">
        <v>34</v>
      </c>
      <c r="F28" s="186" t="s">
        <v>35</v>
      </c>
      <c r="G28" s="186" t="s">
        <v>36</v>
      </c>
      <c r="H28" s="186" t="s">
        <v>37</v>
      </c>
      <c r="I28" s="186" t="s">
        <v>38</v>
      </c>
      <c r="J28" s="204" t="s">
        <v>15</v>
      </c>
      <c r="K28" s="205"/>
      <c r="L28" s="26"/>
      <c r="M28" s="26"/>
    </row>
    <row r="29" spans="2:15" ht="63.75" customHeight="1" thickBot="1" x14ac:dyDescent="0.45">
      <c r="B29" s="187"/>
      <c r="C29" s="187"/>
      <c r="D29" s="187"/>
      <c r="E29" s="187"/>
      <c r="F29" s="187"/>
      <c r="G29" s="187"/>
      <c r="H29" s="187"/>
      <c r="I29" s="187"/>
      <c r="J29" s="201"/>
      <c r="K29" s="202"/>
      <c r="L29" s="26"/>
      <c r="M29" s="26"/>
    </row>
    <row r="30" spans="2:15" ht="21.6" thickTop="1" x14ac:dyDescent="0.4">
      <c r="B30" s="170" t="s">
        <v>13</v>
      </c>
      <c r="C30" s="203" t="e">
        <f>'التعليم المسرع'!#REF!</f>
        <v>#REF!</v>
      </c>
      <c r="D30" s="203" t="e">
        <f>'التعليم المسرع'!#REF!</f>
        <v>#REF!</v>
      </c>
      <c r="E30" s="203" t="e">
        <f>'التعليم المسرع'!#REF!</f>
        <v>#REF!</v>
      </c>
      <c r="F30" s="203" t="e">
        <f>'التعليم المسرع'!#REF!</f>
        <v>#REF!</v>
      </c>
      <c r="G30" s="203" t="e">
        <f>'التعليم المسرع'!#REF!</f>
        <v>#REF!</v>
      </c>
      <c r="H30" s="203" t="e">
        <f>'التعليم المسرع'!#REF!</f>
        <v>#REF!</v>
      </c>
      <c r="I30" s="203" t="e">
        <f>'التعليم المسرع'!#REF!+'التعليم المسرع'!#REF!</f>
        <v>#REF!</v>
      </c>
      <c r="J30" s="199" t="e">
        <f>I30+H30+G30+F30+E30+D30+C30</f>
        <v>#REF!</v>
      </c>
      <c r="K30" s="200"/>
      <c r="L30" s="26"/>
      <c r="M30" s="26"/>
    </row>
    <row r="31" spans="2:15" ht="21.6" thickBot="1" x14ac:dyDescent="0.45">
      <c r="B31" s="171"/>
      <c r="C31" s="197"/>
      <c r="D31" s="197"/>
      <c r="E31" s="197"/>
      <c r="F31" s="197"/>
      <c r="G31" s="197"/>
      <c r="H31" s="197"/>
      <c r="I31" s="197"/>
      <c r="J31" s="201"/>
      <c r="K31" s="202"/>
      <c r="L31" s="26"/>
      <c r="M31" s="26"/>
    </row>
    <row r="32" spans="2:15" ht="21.6" thickTop="1" x14ac:dyDescent="0.4">
      <c r="B32" s="170" t="s">
        <v>14</v>
      </c>
      <c r="C32" s="203" t="e">
        <f>'التعليم المسرع'!#REF!</f>
        <v>#REF!</v>
      </c>
      <c r="D32" s="203" t="e">
        <f>'التعليم المسرع'!#REF!</f>
        <v>#REF!</v>
      </c>
      <c r="E32" s="203" t="e">
        <f>'التعليم المسرع'!#REF!</f>
        <v>#REF!</v>
      </c>
      <c r="F32" s="203" t="e">
        <f>'التعليم المسرع'!#REF!</f>
        <v>#REF!</v>
      </c>
      <c r="G32" s="203" t="e">
        <f>'التعليم المسرع'!#REF!</f>
        <v>#REF!</v>
      </c>
      <c r="H32" s="203" t="e">
        <f>'التعليم المسرع'!#REF!</f>
        <v>#REF!</v>
      </c>
      <c r="I32" s="203" t="e">
        <f>'التعليم المسرع'!#REF!+'التعليم المسرع'!#REF!</f>
        <v>#REF!</v>
      </c>
      <c r="J32" s="199" t="e">
        <f>I32+H32+G32+F32+E32+D32+C32</f>
        <v>#REF!</v>
      </c>
      <c r="K32" s="200"/>
      <c r="L32" s="26"/>
      <c r="M32" s="26"/>
    </row>
    <row r="33" spans="1:14" ht="21.6" thickBot="1" x14ac:dyDescent="0.45">
      <c r="B33" s="171"/>
      <c r="C33" s="197"/>
      <c r="D33" s="197"/>
      <c r="E33" s="197"/>
      <c r="F33" s="197"/>
      <c r="G33" s="197"/>
      <c r="H33" s="197"/>
      <c r="I33" s="197"/>
      <c r="J33" s="201"/>
      <c r="K33" s="202"/>
      <c r="L33" s="26"/>
      <c r="M33" s="26"/>
    </row>
    <row r="34" spans="1:14" ht="21.6" thickTop="1" x14ac:dyDescent="0.4">
      <c r="B34" s="170" t="s">
        <v>15</v>
      </c>
      <c r="C34" s="203" t="e">
        <f>C30+C32</f>
        <v>#REF!</v>
      </c>
      <c r="D34" s="203" t="e">
        <f t="shared" ref="D34:I34" si="4">D30+D32</f>
        <v>#REF!</v>
      </c>
      <c r="E34" s="203" t="e">
        <f t="shared" si="4"/>
        <v>#REF!</v>
      </c>
      <c r="F34" s="203" t="e">
        <f t="shared" si="4"/>
        <v>#REF!</v>
      </c>
      <c r="G34" s="203" t="e">
        <f t="shared" si="4"/>
        <v>#REF!</v>
      </c>
      <c r="H34" s="203" t="e">
        <f t="shared" si="4"/>
        <v>#REF!</v>
      </c>
      <c r="I34" s="203" t="e">
        <f t="shared" si="4"/>
        <v>#REF!</v>
      </c>
      <c r="J34" s="199" t="e">
        <f t="shared" ref="J34" si="5">I34+H34+G34+F34+E34+D34+C34</f>
        <v>#REF!</v>
      </c>
      <c r="K34" s="200"/>
      <c r="L34" s="26"/>
      <c r="M34" s="26"/>
    </row>
    <row r="35" spans="1:14" ht="21.6" thickBot="1" x14ac:dyDescent="0.45">
      <c r="B35" s="197"/>
      <c r="C35" s="197"/>
      <c r="D35" s="197"/>
      <c r="E35" s="197"/>
      <c r="F35" s="197"/>
      <c r="G35" s="197"/>
      <c r="H35" s="197"/>
      <c r="I35" s="197"/>
      <c r="J35" s="201"/>
      <c r="K35" s="202"/>
      <c r="L35" s="26"/>
      <c r="M35" s="26"/>
    </row>
    <row r="36" spans="1:14" ht="21.6" thickTop="1" x14ac:dyDescent="0.4"/>
    <row r="37" spans="1:14" s="43" customFormat="1" ht="30" customHeight="1" x14ac:dyDescent="0.4">
      <c r="A37" s="180" t="s">
        <v>55</v>
      </c>
      <c r="B37" s="180"/>
      <c r="C37" s="180"/>
    </row>
    <row r="38" spans="1:14" s="43" customFormat="1" ht="26.25" customHeight="1" x14ac:dyDescent="0.4">
      <c r="A38" s="180" t="s">
        <v>56</v>
      </c>
      <c r="B38" s="180"/>
      <c r="C38" s="180"/>
      <c r="D38" s="180"/>
      <c r="J38" s="43" t="s">
        <v>180</v>
      </c>
    </row>
    <row r="39" spans="1:14" s="43" customFormat="1" ht="22.8" x14ac:dyDescent="0.4"/>
    <row r="40" spans="1:14" s="43" customFormat="1" ht="22.8" x14ac:dyDescent="0.4">
      <c r="E40" s="43" t="s">
        <v>168</v>
      </c>
    </row>
    <row r="41" spans="1:14" ht="21.6" thickBot="1" x14ac:dyDescent="0.45"/>
    <row r="42" spans="1:14" ht="34.5" customHeight="1" thickTop="1" thickBot="1" x14ac:dyDescent="0.45">
      <c r="B42" s="194" t="s">
        <v>28</v>
      </c>
      <c r="C42" s="195" t="s">
        <v>17</v>
      </c>
      <c r="D42" s="195"/>
      <c r="E42" s="195" t="s">
        <v>18</v>
      </c>
      <c r="F42" s="195"/>
      <c r="G42" s="195" t="s">
        <v>19</v>
      </c>
      <c r="H42" s="195"/>
      <c r="I42" s="195" t="s">
        <v>29</v>
      </c>
      <c r="J42" s="195"/>
      <c r="K42" s="196"/>
      <c r="L42" s="26"/>
      <c r="M42" s="26"/>
      <c r="N42" s="26"/>
    </row>
    <row r="43" spans="1:14" ht="30" customHeight="1" thickTop="1" thickBot="1" x14ac:dyDescent="0.45">
      <c r="B43" s="190"/>
      <c r="C43" s="48" t="s">
        <v>10</v>
      </c>
      <c r="D43" s="48" t="s">
        <v>11</v>
      </c>
      <c r="E43" s="48" t="s">
        <v>10</v>
      </c>
      <c r="F43" s="48" t="s">
        <v>11</v>
      </c>
      <c r="G43" s="48" t="s">
        <v>10</v>
      </c>
      <c r="H43" s="48" t="s">
        <v>11</v>
      </c>
      <c r="I43" s="48" t="s">
        <v>10</v>
      </c>
      <c r="J43" s="48" t="s">
        <v>11</v>
      </c>
      <c r="K43" s="49" t="s">
        <v>15</v>
      </c>
      <c r="L43" s="26"/>
      <c r="M43" s="26"/>
      <c r="N43" s="26"/>
    </row>
    <row r="44" spans="1:14" ht="22.2" thickTop="1" thickBot="1" x14ac:dyDescent="0.45">
      <c r="B44" s="190" t="s">
        <v>21</v>
      </c>
      <c r="C44" s="189" t="e">
        <f>'التعليم المسرع'!#REF!</f>
        <v>#REF!</v>
      </c>
      <c r="D44" s="189" t="e">
        <f>'التعليم المسرع'!#REF!</f>
        <v>#REF!</v>
      </c>
      <c r="E44" s="189" t="e">
        <f>'التعليم المسرع'!#REF!</f>
        <v>#REF!</v>
      </c>
      <c r="F44" s="189" t="e">
        <f>'التعليم المسرع'!#REF!</f>
        <v>#REF!</v>
      </c>
      <c r="G44" s="189" t="e">
        <f>'التعليم المسرع'!#REF!</f>
        <v>#REF!</v>
      </c>
      <c r="H44" s="189" t="e">
        <f>'التعليم المسرع'!#REF!</f>
        <v>#REF!</v>
      </c>
      <c r="I44" s="189" t="e">
        <f>C44+E44+G44</f>
        <v>#REF!</v>
      </c>
      <c r="J44" s="189" t="e">
        <f>D44+F44+H44</f>
        <v>#REF!</v>
      </c>
      <c r="K44" s="192" t="e">
        <f>SUM(I44:J44)</f>
        <v>#REF!</v>
      </c>
      <c r="L44" s="26"/>
      <c r="M44" s="26"/>
      <c r="N44" s="26"/>
    </row>
    <row r="45" spans="1:14" ht="22.2" thickTop="1" thickBot="1" x14ac:dyDescent="0.45">
      <c r="B45" s="190"/>
      <c r="C45" s="189"/>
      <c r="D45" s="189"/>
      <c r="E45" s="189"/>
      <c r="F45" s="189"/>
      <c r="G45" s="189"/>
      <c r="H45" s="189"/>
      <c r="I45" s="189"/>
      <c r="J45" s="189"/>
      <c r="K45" s="192"/>
      <c r="L45" s="26"/>
      <c r="M45" s="26"/>
      <c r="N45" s="26"/>
    </row>
    <row r="46" spans="1:14" ht="22.2" thickTop="1" thickBot="1" x14ac:dyDescent="0.45">
      <c r="B46" s="190" t="s">
        <v>22</v>
      </c>
      <c r="C46" s="189" t="e">
        <f>'التعليم المسرع'!#REF!</f>
        <v>#REF!</v>
      </c>
      <c r="D46" s="189" t="e">
        <f>'التعليم المسرع'!#REF!</f>
        <v>#REF!</v>
      </c>
      <c r="E46" s="189" t="e">
        <f>'التعليم المسرع'!#REF!</f>
        <v>#REF!</v>
      </c>
      <c r="F46" s="189" t="e">
        <f>'التعليم المسرع'!#REF!</f>
        <v>#REF!</v>
      </c>
      <c r="G46" s="189" t="e">
        <f>'التعليم المسرع'!#REF!</f>
        <v>#REF!</v>
      </c>
      <c r="H46" s="189" t="e">
        <f>'التعليم المسرع'!#REF!</f>
        <v>#REF!</v>
      </c>
      <c r="I46" s="189" t="e">
        <f t="shared" ref="I46" si="6">C46+E46+G46</f>
        <v>#REF!</v>
      </c>
      <c r="J46" s="189" t="e">
        <f t="shared" ref="J46" si="7">D46+F46+H46</f>
        <v>#REF!</v>
      </c>
      <c r="K46" s="192" t="e">
        <f t="shared" ref="K46" si="8">SUM(I46:J46)</f>
        <v>#REF!</v>
      </c>
      <c r="L46" s="26"/>
    </row>
    <row r="47" spans="1:14" ht="22.2" thickTop="1" thickBot="1" x14ac:dyDescent="0.45">
      <c r="B47" s="190"/>
      <c r="C47" s="189"/>
      <c r="D47" s="189"/>
      <c r="E47" s="189"/>
      <c r="F47" s="189"/>
      <c r="G47" s="189"/>
      <c r="H47" s="189"/>
      <c r="I47" s="189"/>
      <c r="J47" s="189"/>
      <c r="K47" s="192"/>
      <c r="L47" s="26"/>
    </row>
    <row r="48" spans="1:14" ht="22.2" thickTop="1" thickBot="1" x14ac:dyDescent="0.45">
      <c r="B48" s="190" t="s">
        <v>23</v>
      </c>
      <c r="C48" s="189" t="e">
        <f>'التعليم المسرع'!#REF!</f>
        <v>#REF!</v>
      </c>
      <c r="D48" s="189" t="e">
        <f>'التعليم المسرع'!#REF!</f>
        <v>#REF!</v>
      </c>
      <c r="E48" s="189" t="e">
        <f>'التعليم المسرع'!#REF!</f>
        <v>#REF!</v>
      </c>
      <c r="F48" s="189" t="e">
        <f>'التعليم المسرع'!#REF!</f>
        <v>#REF!</v>
      </c>
      <c r="G48" s="189" t="e">
        <f>'التعليم المسرع'!#REF!</f>
        <v>#REF!</v>
      </c>
      <c r="H48" s="189" t="e">
        <f>'التعليم المسرع'!#REF!</f>
        <v>#REF!</v>
      </c>
      <c r="I48" s="189" t="e">
        <f t="shared" ref="I48" si="9">C48+E48+G48</f>
        <v>#REF!</v>
      </c>
      <c r="J48" s="189" t="e">
        <f t="shared" ref="J48" si="10">D48+F48+H48</f>
        <v>#REF!</v>
      </c>
      <c r="K48" s="192" t="e">
        <f t="shared" ref="K48" si="11">SUM(I48:J48)</f>
        <v>#REF!</v>
      </c>
      <c r="L48" s="26"/>
    </row>
    <row r="49" spans="1:16" ht="22.2" thickTop="1" thickBot="1" x14ac:dyDescent="0.45">
      <c r="B49" s="190"/>
      <c r="C49" s="189"/>
      <c r="D49" s="189"/>
      <c r="E49" s="189"/>
      <c r="F49" s="189"/>
      <c r="G49" s="189"/>
      <c r="H49" s="189"/>
      <c r="I49" s="189"/>
      <c r="J49" s="189"/>
      <c r="K49" s="192"/>
      <c r="L49" s="26"/>
    </row>
    <row r="50" spans="1:16" ht="22.2" thickTop="1" thickBot="1" x14ac:dyDescent="0.45">
      <c r="B50" s="190" t="s">
        <v>24</v>
      </c>
      <c r="C50" s="189" t="e">
        <f>'التعليم المسرع'!#REF!</f>
        <v>#REF!</v>
      </c>
      <c r="D50" s="189" t="e">
        <f>'التعليم المسرع'!#REF!</f>
        <v>#REF!</v>
      </c>
      <c r="E50" s="189" t="e">
        <f>'التعليم المسرع'!#REF!</f>
        <v>#REF!</v>
      </c>
      <c r="F50" s="189" t="e">
        <f>'التعليم المسرع'!#REF!</f>
        <v>#REF!</v>
      </c>
      <c r="G50" s="189" t="e">
        <f>'التعليم المسرع'!#REF!</f>
        <v>#REF!</v>
      </c>
      <c r="H50" s="189" t="e">
        <f>'التعليم المسرع'!#REF!</f>
        <v>#REF!</v>
      </c>
      <c r="I50" s="189" t="e">
        <f t="shared" ref="I50" si="12">C50+E50+G50</f>
        <v>#REF!</v>
      </c>
      <c r="J50" s="189" t="e">
        <f t="shared" ref="J50" si="13">D50+F50+H50</f>
        <v>#REF!</v>
      </c>
      <c r="K50" s="192" t="e">
        <f t="shared" ref="K50" si="14">SUM(I50:J50)</f>
        <v>#REF!</v>
      </c>
      <c r="L50" s="26"/>
    </row>
    <row r="51" spans="1:16" ht="22.2" thickTop="1" thickBot="1" x14ac:dyDescent="0.45">
      <c r="B51" s="190"/>
      <c r="C51" s="189"/>
      <c r="D51" s="189"/>
      <c r="E51" s="189"/>
      <c r="F51" s="189"/>
      <c r="G51" s="189"/>
      <c r="H51" s="189"/>
      <c r="I51" s="189"/>
      <c r="J51" s="189"/>
      <c r="K51" s="192"/>
      <c r="L51" s="26"/>
    </row>
    <row r="52" spans="1:16" ht="22.2" thickTop="1" thickBot="1" x14ac:dyDescent="0.45">
      <c r="B52" s="190" t="s">
        <v>25</v>
      </c>
      <c r="C52" s="189" t="e">
        <f>'التعليم المسرع'!#REF!</f>
        <v>#REF!</v>
      </c>
      <c r="D52" s="189" t="e">
        <f>'التعليم المسرع'!#REF!</f>
        <v>#REF!</v>
      </c>
      <c r="E52" s="189" t="e">
        <f>'التعليم المسرع'!#REF!</f>
        <v>#REF!</v>
      </c>
      <c r="F52" s="189" t="e">
        <f>'التعليم المسرع'!#REF!</f>
        <v>#REF!</v>
      </c>
      <c r="G52" s="189" t="e">
        <f>'التعليم المسرع'!#REF!</f>
        <v>#REF!</v>
      </c>
      <c r="H52" s="189" t="e">
        <f>'التعليم المسرع'!#REF!</f>
        <v>#REF!</v>
      </c>
      <c r="I52" s="189" t="e">
        <f t="shared" ref="I52" si="15">C52+E52+G52</f>
        <v>#REF!</v>
      </c>
      <c r="J52" s="189" t="e">
        <f t="shared" ref="J52" si="16">D52+F52+H52</f>
        <v>#REF!</v>
      </c>
      <c r="K52" s="192" t="e">
        <f t="shared" ref="K52" si="17">SUM(I52:J52)</f>
        <v>#REF!</v>
      </c>
      <c r="L52" s="26"/>
    </row>
    <row r="53" spans="1:16" ht="22.2" thickTop="1" thickBot="1" x14ac:dyDescent="0.45">
      <c r="B53" s="190"/>
      <c r="C53" s="189"/>
      <c r="D53" s="189"/>
      <c r="E53" s="189"/>
      <c r="F53" s="189"/>
      <c r="G53" s="189"/>
      <c r="H53" s="189"/>
      <c r="I53" s="189"/>
      <c r="J53" s="189"/>
      <c r="K53" s="192"/>
      <c r="L53" s="26"/>
    </row>
    <row r="54" spans="1:16" ht="22.2" thickTop="1" thickBot="1" x14ac:dyDescent="0.45">
      <c r="B54" s="190" t="s">
        <v>26</v>
      </c>
      <c r="C54" s="189" t="e">
        <f>'التعليم المسرع'!#REF!</f>
        <v>#REF!</v>
      </c>
      <c r="D54" s="189" t="e">
        <f>'التعليم المسرع'!#REF!</f>
        <v>#REF!</v>
      </c>
      <c r="E54" s="189" t="e">
        <f>'التعليم المسرع'!#REF!</f>
        <v>#REF!</v>
      </c>
      <c r="F54" s="189" t="e">
        <f>'التعليم المسرع'!#REF!</f>
        <v>#REF!</v>
      </c>
      <c r="G54" s="189" t="e">
        <f>'التعليم المسرع'!#REF!</f>
        <v>#REF!</v>
      </c>
      <c r="H54" s="189" t="e">
        <f>'التعليم المسرع'!#REF!</f>
        <v>#REF!</v>
      </c>
      <c r="I54" s="189" t="e">
        <f t="shared" ref="I54" si="18">C54+E54+G54</f>
        <v>#REF!</v>
      </c>
      <c r="J54" s="189" t="e">
        <f t="shared" ref="J54" si="19">D54+F54+H54</f>
        <v>#REF!</v>
      </c>
      <c r="K54" s="192" t="e">
        <f t="shared" ref="K54" si="20">SUM(I54:J54)</f>
        <v>#REF!</v>
      </c>
      <c r="L54" s="26"/>
    </row>
    <row r="55" spans="1:16" ht="22.2" thickTop="1" thickBot="1" x14ac:dyDescent="0.45">
      <c r="B55" s="190"/>
      <c r="C55" s="189"/>
      <c r="D55" s="189"/>
      <c r="E55" s="189"/>
      <c r="F55" s="189"/>
      <c r="G55" s="189"/>
      <c r="H55" s="189"/>
      <c r="I55" s="189"/>
      <c r="J55" s="189"/>
      <c r="K55" s="192"/>
    </row>
    <row r="56" spans="1:16" ht="22.2" thickTop="1" thickBot="1" x14ac:dyDescent="0.45">
      <c r="B56" s="190" t="s">
        <v>27</v>
      </c>
      <c r="C56" s="189" t="e">
        <f>'التعليم المسرع'!#REF!</f>
        <v>#REF!</v>
      </c>
      <c r="D56" s="189" t="e">
        <f>'التعليم المسرع'!#REF!</f>
        <v>#REF!</v>
      </c>
      <c r="E56" s="189" t="e">
        <f>'التعليم المسرع'!#REF!</f>
        <v>#REF!</v>
      </c>
      <c r="F56" s="189" t="e">
        <f>'التعليم المسرع'!#REF!</f>
        <v>#REF!</v>
      </c>
      <c r="G56" s="189" t="e">
        <f>'التعليم المسرع'!#REF!</f>
        <v>#REF!</v>
      </c>
      <c r="H56" s="189" t="e">
        <f>'التعليم المسرع'!#REF!</f>
        <v>#REF!</v>
      </c>
      <c r="I56" s="189" t="e">
        <f t="shared" ref="I56" si="21">C56+E56+G56</f>
        <v>#REF!</v>
      </c>
      <c r="J56" s="189" t="e">
        <f t="shared" ref="J56" si="22">D56+F56+H56</f>
        <v>#REF!</v>
      </c>
      <c r="K56" s="192" t="e">
        <f t="shared" ref="K56" si="23">SUM(I56:J56)</f>
        <v>#REF!</v>
      </c>
    </row>
    <row r="57" spans="1:16" ht="22.2" thickTop="1" thickBot="1" x14ac:dyDescent="0.45">
      <c r="B57" s="190"/>
      <c r="C57" s="189"/>
      <c r="D57" s="189"/>
      <c r="E57" s="189"/>
      <c r="F57" s="189"/>
      <c r="G57" s="189"/>
      <c r="H57" s="189"/>
      <c r="I57" s="189"/>
      <c r="J57" s="189"/>
      <c r="K57" s="192"/>
    </row>
    <row r="58" spans="1:16" ht="22.2" thickTop="1" thickBot="1" x14ac:dyDescent="0.45">
      <c r="B58" s="190" t="s">
        <v>15</v>
      </c>
      <c r="C58" s="189" t="e">
        <f t="shared" ref="C58:H58" si="24">C44+C46+C48+C50+C52+C54+C56</f>
        <v>#REF!</v>
      </c>
      <c r="D58" s="189" t="e">
        <f t="shared" si="24"/>
        <v>#REF!</v>
      </c>
      <c r="E58" s="189" t="e">
        <f t="shared" si="24"/>
        <v>#REF!</v>
      </c>
      <c r="F58" s="189" t="e">
        <f t="shared" si="24"/>
        <v>#REF!</v>
      </c>
      <c r="G58" s="189" t="e">
        <f t="shared" si="24"/>
        <v>#REF!</v>
      </c>
      <c r="H58" s="189" t="e">
        <f t="shared" si="24"/>
        <v>#REF!</v>
      </c>
      <c r="I58" s="189" t="e">
        <f>C58+E58+G58</f>
        <v>#REF!</v>
      </c>
      <c r="J58" s="189" t="e">
        <f t="shared" ref="J58" si="25">D58+F58+H58</f>
        <v>#REF!</v>
      </c>
      <c r="K58" s="192" t="e">
        <f t="shared" ref="K58" si="26">SUM(I58:J58)</f>
        <v>#REF!</v>
      </c>
    </row>
    <row r="59" spans="1:16" ht="22.2" thickTop="1" thickBot="1" x14ac:dyDescent="0.45">
      <c r="B59" s="193"/>
      <c r="C59" s="191"/>
      <c r="D59" s="191"/>
      <c r="E59" s="191"/>
      <c r="F59" s="191"/>
      <c r="G59" s="191"/>
      <c r="H59" s="191"/>
      <c r="I59" s="191"/>
      <c r="J59" s="191"/>
      <c r="K59" s="208"/>
    </row>
    <row r="60" spans="1:16" ht="22.2" thickTop="1" thickBot="1" x14ac:dyDescent="0.45"/>
    <row r="61" spans="1:16" ht="42.75" customHeight="1" thickTop="1" thickBot="1" x14ac:dyDescent="0.45">
      <c r="A61" s="194"/>
      <c r="B61" s="206" t="s">
        <v>267</v>
      </c>
      <c r="C61" s="206"/>
      <c r="D61" s="206"/>
      <c r="E61" s="206" t="s">
        <v>272</v>
      </c>
      <c r="F61" s="206"/>
      <c r="G61" s="206"/>
      <c r="H61" s="195" t="s">
        <v>273</v>
      </c>
      <c r="I61" s="195"/>
      <c r="J61" s="195"/>
      <c r="K61" s="195"/>
      <c r="L61" s="195"/>
      <c r="M61" s="195"/>
      <c r="N61" s="195" t="s">
        <v>184</v>
      </c>
      <c r="O61" s="195"/>
      <c r="P61" s="196"/>
    </row>
    <row r="62" spans="1:16" ht="36.75" customHeight="1" thickTop="1" thickBot="1" x14ac:dyDescent="0.45">
      <c r="A62" s="190"/>
      <c r="B62" s="207"/>
      <c r="C62" s="207"/>
      <c r="D62" s="207"/>
      <c r="E62" s="207"/>
      <c r="F62" s="207"/>
      <c r="G62" s="207"/>
      <c r="H62" s="189" t="s">
        <v>185</v>
      </c>
      <c r="I62" s="189"/>
      <c r="J62" s="189" t="s">
        <v>186</v>
      </c>
      <c r="K62" s="189"/>
      <c r="L62" s="189" t="s">
        <v>187</v>
      </c>
      <c r="M62" s="189"/>
      <c r="N62" s="189"/>
      <c r="O62" s="189"/>
      <c r="P62" s="192"/>
    </row>
    <row r="63" spans="1:16" ht="22.2" thickTop="1" thickBot="1" x14ac:dyDescent="0.45">
      <c r="A63" s="190"/>
      <c r="B63" s="189" t="s">
        <v>10</v>
      </c>
      <c r="C63" s="189" t="s">
        <v>11</v>
      </c>
      <c r="D63" s="189" t="s">
        <v>15</v>
      </c>
      <c r="E63" s="189" t="s">
        <v>10</v>
      </c>
      <c r="F63" s="189" t="s">
        <v>11</v>
      </c>
      <c r="G63" s="189" t="s">
        <v>15</v>
      </c>
      <c r="H63" s="189" t="s">
        <v>10</v>
      </c>
      <c r="I63" s="189" t="s">
        <v>11</v>
      </c>
      <c r="J63" s="189" t="s">
        <v>10</v>
      </c>
      <c r="K63" s="189" t="s">
        <v>11</v>
      </c>
      <c r="L63" s="189" t="s">
        <v>10</v>
      </c>
      <c r="M63" s="189" t="s">
        <v>11</v>
      </c>
      <c r="N63" s="189" t="s">
        <v>10</v>
      </c>
      <c r="O63" s="189" t="s">
        <v>11</v>
      </c>
      <c r="P63" s="192" t="s">
        <v>15</v>
      </c>
    </row>
    <row r="64" spans="1:16" ht="22.2" thickTop="1" thickBot="1" x14ac:dyDescent="0.45">
      <c r="A64" s="190"/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92"/>
    </row>
    <row r="65" spans="1:16" ht="22.2" thickTop="1" thickBot="1" x14ac:dyDescent="0.45">
      <c r="A65" s="190" t="s">
        <v>17</v>
      </c>
      <c r="B65" s="189" t="e">
        <f>'التعليم المسرع'!#REF!</f>
        <v>#REF!</v>
      </c>
      <c r="C65" s="189" t="e">
        <f>'التعليم المسرع'!#REF!</f>
        <v>#REF!</v>
      </c>
      <c r="D65" s="189" t="e">
        <f>C65+B65</f>
        <v>#REF!</v>
      </c>
      <c r="E65" s="189" t="e">
        <f>'التعليم المسرع'!#REF!</f>
        <v>#REF!</v>
      </c>
      <c r="F65" s="189" t="e">
        <f>'التعليم المسرع'!#REF!</f>
        <v>#REF!</v>
      </c>
      <c r="G65" s="189" t="e">
        <f>F65+E65</f>
        <v>#REF!</v>
      </c>
      <c r="H65" s="189" t="e">
        <f>'التعليم المسرع'!#REF!</f>
        <v>#REF!</v>
      </c>
      <c r="I65" s="189" t="e">
        <f>'التعليم المسرع'!#REF!</f>
        <v>#REF!</v>
      </c>
      <c r="J65" s="189" t="e">
        <f>'التعليم المسرع'!#REF!</f>
        <v>#REF!</v>
      </c>
      <c r="K65" s="189" t="e">
        <f>'التعليم المسرع'!#REF!</f>
        <v>#REF!</v>
      </c>
      <c r="L65" s="189" t="e">
        <f>'التعليم المسرع'!#REF!</f>
        <v>#REF!</v>
      </c>
      <c r="M65" s="189" t="e">
        <f>'التعليم المسرع'!#REF!</f>
        <v>#REF!</v>
      </c>
      <c r="N65" s="189" t="e">
        <f>L65+J65+H65</f>
        <v>#REF!</v>
      </c>
      <c r="O65" s="189" t="e">
        <f>M65+K65+I65</f>
        <v>#REF!</v>
      </c>
      <c r="P65" s="192" t="e">
        <f>O65+N65</f>
        <v>#REF!</v>
      </c>
    </row>
    <row r="66" spans="1:16" ht="22.2" thickTop="1" thickBot="1" x14ac:dyDescent="0.45">
      <c r="A66" s="190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92"/>
    </row>
    <row r="67" spans="1:16" ht="22.2" thickTop="1" thickBot="1" x14ac:dyDescent="0.45">
      <c r="A67" s="190" t="s">
        <v>18</v>
      </c>
      <c r="B67" s="189" t="e">
        <f>'التعليم المسرع'!#REF!</f>
        <v>#REF!</v>
      </c>
      <c r="C67" s="189" t="e">
        <f>'التعليم المسرع'!#REF!</f>
        <v>#REF!</v>
      </c>
      <c r="D67" s="189" t="e">
        <f t="shared" ref="D67" si="27">C67+B67</f>
        <v>#REF!</v>
      </c>
      <c r="E67" s="189" t="e">
        <f>'التعليم المسرع'!#REF!</f>
        <v>#REF!</v>
      </c>
      <c r="F67" s="189" t="e">
        <f>'التعليم المسرع'!#REF!</f>
        <v>#REF!</v>
      </c>
      <c r="G67" s="189" t="e">
        <f t="shared" ref="G67" si="28">F67+E67</f>
        <v>#REF!</v>
      </c>
      <c r="H67" s="189" t="e">
        <f>'التعليم المسرع'!#REF!</f>
        <v>#REF!</v>
      </c>
      <c r="I67" s="189" t="e">
        <f>'التعليم المسرع'!#REF!</f>
        <v>#REF!</v>
      </c>
      <c r="J67" s="189" t="e">
        <f>'التعليم المسرع'!#REF!</f>
        <v>#REF!</v>
      </c>
      <c r="K67" s="189" t="e">
        <f>'التعليم المسرع'!#REF!</f>
        <v>#REF!</v>
      </c>
      <c r="L67" s="189" t="e">
        <f>'التعليم المسرع'!#REF!</f>
        <v>#REF!</v>
      </c>
      <c r="M67" s="189" t="e">
        <f>'التعليم المسرع'!#REF!</f>
        <v>#REF!</v>
      </c>
      <c r="N67" s="189" t="e">
        <f t="shared" ref="N67" si="29">L67+J67+H67</f>
        <v>#REF!</v>
      </c>
      <c r="O67" s="189" t="e">
        <f t="shared" ref="O67" si="30">M67+K67+I67</f>
        <v>#REF!</v>
      </c>
      <c r="P67" s="192" t="e">
        <f t="shared" ref="P67" si="31">O67+N67</f>
        <v>#REF!</v>
      </c>
    </row>
    <row r="68" spans="1:16" ht="22.2" thickTop="1" thickBot="1" x14ac:dyDescent="0.45">
      <c r="A68" s="190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92"/>
    </row>
    <row r="69" spans="1:16" ht="22.2" thickTop="1" thickBot="1" x14ac:dyDescent="0.45">
      <c r="A69" s="190" t="s">
        <v>19</v>
      </c>
      <c r="B69" s="189" t="e">
        <f>'التعليم المسرع'!#REF!</f>
        <v>#REF!</v>
      </c>
      <c r="C69" s="189" t="e">
        <f>'التعليم المسرع'!#REF!</f>
        <v>#REF!</v>
      </c>
      <c r="D69" s="189" t="e">
        <f t="shared" ref="D69" si="32">C69+B69</f>
        <v>#REF!</v>
      </c>
      <c r="E69" s="189" t="e">
        <f>'التعليم المسرع'!#REF!</f>
        <v>#REF!</v>
      </c>
      <c r="F69" s="189" t="e">
        <f>'التعليم المسرع'!#REF!</f>
        <v>#REF!</v>
      </c>
      <c r="G69" s="189" t="e">
        <f t="shared" ref="G69" si="33">F69+E69</f>
        <v>#REF!</v>
      </c>
      <c r="H69" s="189" t="e">
        <f>'التعليم المسرع'!#REF!</f>
        <v>#REF!</v>
      </c>
      <c r="I69" s="189" t="e">
        <f>'التعليم المسرع'!#REF!</f>
        <v>#REF!</v>
      </c>
      <c r="J69" s="189" t="e">
        <f>'التعليم المسرع'!#REF!</f>
        <v>#REF!</v>
      </c>
      <c r="K69" s="189" t="e">
        <f>'التعليم المسرع'!#REF!</f>
        <v>#REF!</v>
      </c>
      <c r="L69" s="189" t="e">
        <f>'التعليم المسرع'!#REF!</f>
        <v>#REF!</v>
      </c>
      <c r="M69" s="189" t="e">
        <f>'التعليم المسرع'!#REF!</f>
        <v>#REF!</v>
      </c>
      <c r="N69" s="189" t="e">
        <f t="shared" ref="N69" si="34">L69+J69+H69</f>
        <v>#REF!</v>
      </c>
      <c r="O69" s="189" t="e">
        <f t="shared" ref="O69" si="35">M69+K69+I69</f>
        <v>#REF!</v>
      </c>
      <c r="P69" s="192" t="e">
        <f t="shared" ref="P69" si="36">O69+N69</f>
        <v>#REF!</v>
      </c>
    </row>
    <row r="70" spans="1:16" ht="22.2" thickTop="1" thickBot="1" x14ac:dyDescent="0.45">
      <c r="A70" s="193"/>
      <c r="B70" s="191"/>
      <c r="C70" s="191"/>
      <c r="D70" s="191"/>
      <c r="E70" s="191"/>
      <c r="F70" s="191"/>
      <c r="G70" s="191"/>
      <c r="H70" s="191"/>
      <c r="I70" s="191"/>
      <c r="J70" s="191"/>
      <c r="K70" s="191"/>
      <c r="L70" s="191"/>
      <c r="M70" s="191"/>
      <c r="N70" s="191"/>
      <c r="O70" s="191"/>
      <c r="P70" s="208"/>
    </row>
    <row r="71" spans="1:16" ht="32.25" customHeight="1" thickTop="1" x14ac:dyDescent="0.4">
      <c r="A71" s="53"/>
      <c r="B71" s="54"/>
      <c r="C71" s="27"/>
      <c r="D71" s="27"/>
      <c r="E71" s="27"/>
    </row>
    <row r="72" spans="1:16" ht="24.75" customHeight="1" x14ac:dyDescent="0.4">
      <c r="B72" s="52"/>
    </row>
  </sheetData>
  <mergeCells count="250">
    <mergeCell ref="N24:N25"/>
    <mergeCell ref="P69:P70"/>
    <mergeCell ref="A61:A64"/>
    <mergeCell ref="A65:A66"/>
    <mergeCell ref="A67:A68"/>
    <mergeCell ref="A69:A70"/>
    <mergeCell ref="M63:M64"/>
    <mergeCell ref="M65:M66"/>
    <mergeCell ref="M67:M68"/>
    <mergeCell ref="M69:M70"/>
    <mergeCell ref="J63:J64"/>
    <mergeCell ref="K63:K64"/>
    <mergeCell ref="L63:L64"/>
    <mergeCell ref="J65:J66"/>
    <mergeCell ref="K65:K66"/>
    <mergeCell ref="L65:L66"/>
    <mergeCell ref="J67:J68"/>
    <mergeCell ref="K67:K68"/>
    <mergeCell ref="L67:L68"/>
    <mergeCell ref="J69:J70"/>
    <mergeCell ref="K69:K70"/>
    <mergeCell ref="L69:L70"/>
    <mergeCell ref="H63:H64"/>
    <mergeCell ref="I63:I64"/>
    <mergeCell ref="N69:N70"/>
    <mergeCell ref="O69:O70"/>
    <mergeCell ref="D63:D64"/>
    <mergeCell ref="D65:D66"/>
    <mergeCell ref="D67:D68"/>
    <mergeCell ref="D69:D70"/>
    <mergeCell ref="G63:G64"/>
    <mergeCell ref="G65:G66"/>
    <mergeCell ref="G67:G68"/>
    <mergeCell ref="G69:G70"/>
    <mergeCell ref="H65:H66"/>
    <mergeCell ref="I65:I66"/>
    <mergeCell ref="J62:K62"/>
    <mergeCell ref="L62:M62"/>
    <mergeCell ref="J30:K31"/>
    <mergeCell ref="I44:I45"/>
    <mergeCell ref="J44:J45"/>
    <mergeCell ref="K44:K45"/>
    <mergeCell ref="H46:H47"/>
    <mergeCell ref="I46:I47"/>
    <mergeCell ref="J46:J47"/>
    <mergeCell ref="K46:K47"/>
    <mergeCell ref="K48:K49"/>
    <mergeCell ref="H52:H53"/>
    <mergeCell ref="I48:I49"/>
    <mergeCell ref="J48:J49"/>
    <mergeCell ref="H58:H59"/>
    <mergeCell ref="H54:H55"/>
    <mergeCell ref="I54:I55"/>
    <mergeCell ref="J54:J55"/>
    <mergeCell ref="K58:K59"/>
    <mergeCell ref="H56:H57"/>
    <mergeCell ref="I56:I57"/>
    <mergeCell ref="J56:J57"/>
    <mergeCell ref="K56:K57"/>
    <mergeCell ref="I58:I59"/>
    <mergeCell ref="A38:D38"/>
    <mergeCell ref="E34:E35"/>
    <mergeCell ref="E30:E31"/>
    <mergeCell ref="H44:H45"/>
    <mergeCell ref="F30:F31"/>
    <mergeCell ref="G30:G31"/>
    <mergeCell ref="H30:H31"/>
    <mergeCell ref="F34:F35"/>
    <mergeCell ref="F48:F49"/>
    <mergeCell ref="G48:G49"/>
    <mergeCell ref="F46:F47"/>
    <mergeCell ref="G46:G47"/>
    <mergeCell ref="F44:F45"/>
    <mergeCell ref="G44:G45"/>
    <mergeCell ref="H48:H49"/>
    <mergeCell ref="C34:C35"/>
    <mergeCell ref="D34:D35"/>
    <mergeCell ref="B32:B33"/>
    <mergeCell ref="C32:C33"/>
    <mergeCell ref="D32:D33"/>
    <mergeCell ref="E32:E33"/>
    <mergeCell ref="F32:F33"/>
    <mergeCell ref="G32:G33"/>
    <mergeCell ref="H32:H33"/>
    <mergeCell ref="P67:P68"/>
    <mergeCell ref="B61:D62"/>
    <mergeCell ref="N63:N64"/>
    <mergeCell ref="P63:P64"/>
    <mergeCell ref="N65:N66"/>
    <mergeCell ref="O65:O66"/>
    <mergeCell ref="P65:P66"/>
    <mergeCell ref="B63:B64"/>
    <mergeCell ref="C63:C64"/>
    <mergeCell ref="E63:E64"/>
    <mergeCell ref="F63:F64"/>
    <mergeCell ref="N61:P62"/>
    <mergeCell ref="H61:M61"/>
    <mergeCell ref="H62:I62"/>
    <mergeCell ref="O63:O64"/>
    <mergeCell ref="E65:E66"/>
    <mergeCell ref="F65:F66"/>
    <mergeCell ref="N67:N68"/>
    <mergeCell ref="O67:O68"/>
    <mergeCell ref="E67:E68"/>
    <mergeCell ref="F67:F68"/>
    <mergeCell ref="H67:H68"/>
    <mergeCell ref="I67:I68"/>
    <mergeCell ref="E61:G62"/>
    <mergeCell ref="I28:I29"/>
    <mergeCell ref="B28:B29"/>
    <mergeCell ref="C28:C29"/>
    <mergeCell ref="D28:D29"/>
    <mergeCell ref="I30:I31"/>
    <mergeCell ref="F28:F29"/>
    <mergeCell ref="J28:K29"/>
    <mergeCell ref="B69:B70"/>
    <mergeCell ref="C69:C70"/>
    <mergeCell ref="B65:B66"/>
    <mergeCell ref="C65:C66"/>
    <mergeCell ref="B67:B68"/>
    <mergeCell ref="C67:C68"/>
    <mergeCell ref="E69:E70"/>
    <mergeCell ref="F69:F70"/>
    <mergeCell ref="H69:H70"/>
    <mergeCell ref="I69:I70"/>
    <mergeCell ref="G28:G29"/>
    <mergeCell ref="H28:H29"/>
    <mergeCell ref="B30:B31"/>
    <mergeCell ref="C30:C31"/>
    <mergeCell ref="D30:D31"/>
    <mergeCell ref="F56:F57"/>
    <mergeCell ref="G56:G57"/>
    <mergeCell ref="B42:B43"/>
    <mergeCell ref="C42:D42"/>
    <mergeCell ref="E42:F42"/>
    <mergeCell ref="G42:H42"/>
    <mergeCell ref="I42:K42"/>
    <mergeCell ref="B44:B45"/>
    <mergeCell ref="B46:B47"/>
    <mergeCell ref="C44:C45"/>
    <mergeCell ref="M22:M23"/>
    <mergeCell ref="J24:J25"/>
    <mergeCell ref="M24:M25"/>
    <mergeCell ref="K24:K25"/>
    <mergeCell ref="L24:L25"/>
    <mergeCell ref="L22:L23"/>
    <mergeCell ref="K22:K23"/>
    <mergeCell ref="J22:J23"/>
    <mergeCell ref="J32:K33"/>
    <mergeCell ref="J34:K35"/>
    <mergeCell ref="B27:K27"/>
    <mergeCell ref="G34:G35"/>
    <mergeCell ref="H34:H35"/>
    <mergeCell ref="I34:I35"/>
    <mergeCell ref="I32:I33"/>
    <mergeCell ref="B34:B35"/>
    <mergeCell ref="B50:B51"/>
    <mergeCell ref="B52:B53"/>
    <mergeCell ref="F50:F51"/>
    <mergeCell ref="G50:G51"/>
    <mergeCell ref="H50:H51"/>
    <mergeCell ref="I50:I51"/>
    <mergeCell ref="J50:J51"/>
    <mergeCell ref="J52:J53"/>
    <mergeCell ref="K54:K55"/>
    <mergeCell ref="G54:G55"/>
    <mergeCell ref="D54:D55"/>
    <mergeCell ref="E54:E55"/>
    <mergeCell ref="F54:F55"/>
    <mergeCell ref="B54:B55"/>
    <mergeCell ref="C54:C55"/>
    <mergeCell ref="B58:B59"/>
    <mergeCell ref="C58:C59"/>
    <mergeCell ref="D58:D59"/>
    <mergeCell ref="E58:E59"/>
    <mergeCell ref="F58:F59"/>
    <mergeCell ref="G58:G59"/>
    <mergeCell ref="B56:B57"/>
    <mergeCell ref="C56:C57"/>
    <mergeCell ref="D56:D57"/>
    <mergeCell ref="E56:E57"/>
    <mergeCell ref="J58:J59"/>
    <mergeCell ref="K50:K51"/>
    <mergeCell ref="C50:C51"/>
    <mergeCell ref="D50:D51"/>
    <mergeCell ref="C52:C53"/>
    <mergeCell ref="D52:D53"/>
    <mergeCell ref="F52:F53"/>
    <mergeCell ref="G52:G53"/>
    <mergeCell ref="E50:E51"/>
    <mergeCell ref="E52:E53"/>
    <mergeCell ref="I52:I53"/>
    <mergeCell ref="K52:K53"/>
    <mergeCell ref="D44:D45"/>
    <mergeCell ref="E44:E45"/>
    <mergeCell ref="B48:B49"/>
    <mergeCell ref="C46:C47"/>
    <mergeCell ref="D46:D47"/>
    <mergeCell ref="C48:C49"/>
    <mergeCell ref="D48:D49"/>
    <mergeCell ref="E46:E47"/>
    <mergeCell ref="E48:E49"/>
    <mergeCell ref="A1:C1"/>
    <mergeCell ref="A2:D2"/>
    <mergeCell ref="A37:C37"/>
    <mergeCell ref="A3:N3"/>
    <mergeCell ref="B7:D7"/>
    <mergeCell ref="B9:D9"/>
    <mergeCell ref="G7:I7"/>
    <mergeCell ref="G9:I9"/>
    <mergeCell ref="L7:N7"/>
    <mergeCell ref="L9:N9"/>
    <mergeCell ref="F25:G25"/>
    <mergeCell ref="B19:B20"/>
    <mergeCell ref="B21:B22"/>
    <mergeCell ref="B23:B24"/>
    <mergeCell ref="C19:C20"/>
    <mergeCell ref="D19:D20"/>
    <mergeCell ref="E19:E20"/>
    <mergeCell ref="K12:M12"/>
    <mergeCell ref="E28:E29"/>
    <mergeCell ref="M18:M19"/>
    <mergeCell ref="K18:K19"/>
    <mergeCell ref="L18:L19"/>
    <mergeCell ref="K20:K21"/>
    <mergeCell ref="L20:L21"/>
    <mergeCell ref="O18:O19"/>
    <mergeCell ref="O20:O21"/>
    <mergeCell ref="O22:O23"/>
    <mergeCell ref="O24:O25"/>
    <mergeCell ref="B12:C12"/>
    <mergeCell ref="F18:G18"/>
    <mergeCell ref="B17:G17"/>
    <mergeCell ref="F12:H12"/>
    <mergeCell ref="C23:C24"/>
    <mergeCell ref="D23:D24"/>
    <mergeCell ref="E23:E24"/>
    <mergeCell ref="C21:C22"/>
    <mergeCell ref="D21:D22"/>
    <mergeCell ref="F19:G20"/>
    <mergeCell ref="F21:G22"/>
    <mergeCell ref="E21:E22"/>
    <mergeCell ref="F23:G24"/>
    <mergeCell ref="J18:J19"/>
    <mergeCell ref="J20:J21"/>
    <mergeCell ref="M20:M21"/>
    <mergeCell ref="J17:O17"/>
    <mergeCell ref="N18:N19"/>
    <mergeCell ref="N20:N21"/>
    <mergeCell ref="N22:N23"/>
  </mergeCells>
  <printOptions horizontalCentered="1" verticalCentered="1"/>
  <pageMargins left="0.27559055118110237" right="0.23622047244094491" top="0.19685039370078741" bottom="0.19685039370078741" header="0.31496062992125984" footer="0.19685039370078741"/>
  <pageSetup paperSize="9" scale="60" orientation="landscape" horizontalDpi="200" verticalDpi="200" r:id="rId1"/>
  <rowBreaks count="1" manualBreakCount="1">
    <brk id="35" max="1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70"/>
  <sheetViews>
    <sheetView rightToLeft="1" view="pageBreakPreview" topLeftCell="A4" zoomScale="60" workbookViewId="0">
      <selection activeCell="A17" sqref="A17"/>
    </sheetView>
  </sheetViews>
  <sheetFormatPr defaultColWidth="9" defaultRowHeight="21" x14ac:dyDescent="0.4"/>
  <cols>
    <col min="1" max="1" width="14.69921875" style="9" customWidth="1"/>
    <col min="2" max="2" width="16.796875" style="9" customWidth="1"/>
    <col min="3" max="3" width="10.796875" style="9" customWidth="1"/>
    <col min="4" max="4" width="11.19921875" style="9" customWidth="1"/>
    <col min="5" max="6" width="9" style="9"/>
    <col min="7" max="7" width="12.796875" style="9" customWidth="1"/>
    <col min="8" max="8" width="13.796875" style="9" customWidth="1"/>
    <col min="9" max="9" width="13.296875" style="9" customWidth="1"/>
    <col min="10" max="11" width="10.296875" style="9" customWidth="1"/>
    <col min="12" max="13" width="9" style="9"/>
    <col min="14" max="14" width="10.8984375" style="9" customWidth="1"/>
    <col min="15" max="16384" width="9" style="9"/>
  </cols>
  <sheetData>
    <row r="1" spans="1:15" x14ac:dyDescent="0.4">
      <c r="A1" s="181" t="s">
        <v>55</v>
      </c>
      <c r="B1" s="181"/>
      <c r="C1" s="181"/>
    </row>
    <row r="2" spans="1:15" x14ac:dyDescent="0.4">
      <c r="A2" s="181" t="s">
        <v>56</v>
      </c>
      <c r="B2" s="181"/>
      <c r="C2" s="181"/>
      <c r="D2" s="181"/>
    </row>
    <row r="3" spans="1:15" ht="22.8" x14ac:dyDescent="0.4">
      <c r="A3" s="180" t="s">
        <v>53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</row>
    <row r="4" spans="1:15" ht="22.8" x14ac:dyDescent="0.4">
      <c r="E4" s="43" t="s">
        <v>266</v>
      </c>
    </row>
    <row r="5" spans="1:15" ht="21.6" thickBot="1" x14ac:dyDescent="0.45"/>
    <row r="6" spans="1:15" ht="22.2" thickTop="1" thickBot="1" x14ac:dyDescent="0.45">
      <c r="A6" s="9" t="s">
        <v>1</v>
      </c>
      <c r="B6" s="209" t="s">
        <v>41</v>
      </c>
      <c r="C6" s="211"/>
      <c r="D6" s="210"/>
      <c r="F6" s="9" t="s">
        <v>2</v>
      </c>
      <c r="G6" s="209" t="s">
        <v>42</v>
      </c>
      <c r="H6" s="211"/>
      <c r="I6" s="210"/>
      <c r="K6" s="9" t="s">
        <v>0</v>
      </c>
      <c r="L6" s="209" t="s">
        <v>49</v>
      </c>
      <c r="M6" s="211"/>
      <c r="N6" s="210"/>
    </row>
    <row r="7" spans="1:15" ht="22.2" thickTop="1" thickBot="1" x14ac:dyDescent="0.45"/>
    <row r="8" spans="1:15" ht="22.2" thickTop="1" thickBot="1" x14ac:dyDescent="0.45">
      <c r="A8" s="9" t="s">
        <v>43</v>
      </c>
      <c r="B8" s="209" t="e">
        <f>'التعليم المسرع'!#REF!+'التعليم المسرع'!#REF!</f>
        <v>#REF!</v>
      </c>
      <c r="C8" s="211"/>
      <c r="D8" s="210"/>
      <c r="F8" s="9" t="s">
        <v>3</v>
      </c>
      <c r="G8" s="209" t="e">
        <f>'التعليم المسرع'!#REF!</f>
        <v>#REF!</v>
      </c>
      <c r="H8" s="211"/>
      <c r="I8" s="210"/>
      <c r="K8" s="9" t="s">
        <v>4</v>
      </c>
      <c r="L8" s="209" t="e">
        <f>'التعليم المسرع'!#REF!</f>
        <v>#REF!</v>
      </c>
      <c r="M8" s="211"/>
      <c r="N8" s="210"/>
    </row>
    <row r="9" spans="1:15" ht="21.6" thickTop="1" x14ac:dyDescent="0.4"/>
    <row r="10" spans="1:15" ht="21.6" thickBot="1" x14ac:dyDescent="0.45"/>
    <row r="11" spans="1:15" ht="22.2" thickTop="1" thickBot="1" x14ac:dyDescent="0.45">
      <c r="B11" s="209" t="s">
        <v>5</v>
      </c>
      <c r="C11" s="210"/>
      <c r="F11" s="209" t="s">
        <v>6</v>
      </c>
      <c r="G11" s="211"/>
      <c r="H11" s="210"/>
      <c r="K11" s="209" t="s">
        <v>7</v>
      </c>
      <c r="L11" s="211"/>
      <c r="M11" s="210"/>
    </row>
    <row r="12" spans="1:15" ht="22.2" thickTop="1" thickBot="1" x14ac:dyDescent="0.45">
      <c r="B12" s="10" t="s">
        <v>8</v>
      </c>
      <c r="C12" s="11" t="s">
        <v>9</v>
      </c>
      <c r="F12" s="12" t="s">
        <v>10</v>
      </c>
      <c r="G12" s="13" t="s">
        <v>11</v>
      </c>
      <c r="H12" s="14" t="s">
        <v>12</v>
      </c>
      <c r="K12" s="10" t="s">
        <v>13</v>
      </c>
      <c r="L12" s="15" t="s">
        <v>14</v>
      </c>
      <c r="M12" s="11" t="s">
        <v>15</v>
      </c>
    </row>
    <row r="13" spans="1:15" ht="22.2" thickTop="1" thickBot="1" x14ac:dyDescent="0.45">
      <c r="B13" s="16" t="e">
        <f>'التعليم المسرع'!#REF!</f>
        <v>#REF!</v>
      </c>
      <c r="C13" s="17" t="e">
        <f>'التعليم المسرع'!#REF!</f>
        <v>#REF!</v>
      </c>
      <c r="F13" s="18" t="e">
        <f>'التعليم المسرع'!#REF!</f>
        <v>#REF!</v>
      </c>
      <c r="G13" s="19" t="e">
        <f>'التعليم المسرع'!#REF!</f>
        <v>#REF!</v>
      </c>
      <c r="H13" s="20" t="e">
        <f>'التعليم المسرع'!#REF!</f>
        <v>#REF!</v>
      </c>
      <c r="K13" s="16" t="e">
        <f>'التعليم المسرع'!#REF!</f>
        <v>#REF!</v>
      </c>
      <c r="L13" s="21" t="e">
        <f>'التعليم المسرع'!#REF!</f>
        <v>#REF!</v>
      </c>
      <c r="M13" s="17" t="e">
        <f>SUM(K13:L13)</f>
        <v>#REF!</v>
      </c>
    </row>
    <row r="14" spans="1:15" ht="21.6" thickTop="1" x14ac:dyDescent="0.4"/>
    <row r="15" spans="1:15" ht="21.6" thickBot="1" x14ac:dyDescent="0.45"/>
    <row r="16" spans="1:15" ht="30.75" customHeight="1" thickTop="1" thickBot="1" x14ac:dyDescent="0.45">
      <c r="B16" s="165" t="s">
        <v>20</v>
      </c>
      <c r="C16" s="169"/>
      <c r="D16" s="169"/>
      <c r="E16" s="169"/>
      <c r="F16" s="169"/>
      <c r="G16" s="166"/>
      <c r="H16" s="31"/>
      <c r="I16" s="31"/>
      <c r="J16" s="165" t="s">
        <v>30</v>
      </c>
      <c r="K16" s="169"/>
      <c r="L16" s="169"/>
      <c r="M16" s="169"/>
      <c r="N16" s="169"/>
      <c r="O16" s="166"/>
    </row>
    <row r="17" spans="2:15" ht="25.5" customHeight="1" thickTop="1" thickBot="1" x14ac:dyDescent="0.45">
      <c r="B17" s="22" t="s">
        <v>16</v>
      </c>
      <c r="C17" s="23" t="s">
        <v>10</v>
      </c>
      <c r="D17" s="23" t="s">
        <v>11</v>
      </c>
      <c r="E17" s="23" t="s">
        <v>12</v>
      </c>
      <c r="F17" s="167" t="s">
        <v>15</v>
      </c>
      <c r="G17" s="168"/>
      <c r="J17" s="194" t="s">
        <v>31</v>
      </c>
      <c r="K17" s="195" t="s">
        <v>44</v>
      </c>
      <c r="L17" s="195" t="s">
        <v>45</v>
      </c>
      <c r="M17" s="195" t="s">
        <v>46</v>
      </c>
      <c r="N17" s="195" t="s">
        <v>247</v>
      </c>
      <c r="O17" s="196" t="s">
        <v>47</v>
      </c>
    </row>
    <row r="18" spans="2:15" ht="22.2" thickTop="1" thickBot="1" x14ac:dyDescent="0.45">
      <c r="B18" s="170" t="s">
        <v>17</v>
      </c>
      <c r="C18" s="170" t="e">
        <f>'التعليم المسرع'!#REF!</f>
        <v>#REF!</v>
      </c>
      <c r="D18" s="170" t="e">
        <f>'التعليم المسرع'!#REF!</f>
        <v>#REF!</v>
      </c>
      <c r="E18" s="170" t="e">
        <f>'التعليم المسرع'!#REF!</f>
        <v>#REF!</v>
      </c>
      <c r="F18" s="172" t="e">
        <f>C18+D18+E18</f>
        <v>#REF!</v>
      </c>
      <c r="G18" s="173"/>
      <c r="J18" s="190"/>
      <c r="K18" s="189"/>
      <c r="L18" s="189"/>
      <c r="M18" s="189"/>
      <c r="N18" s="189"/>
      <c r="O18" s="192"/>
    </row>
    <row r="19" spans="2:15" ht="22.2" thickTop="1" thickBot="1" x14ac:dyDescent="0.45">
      <c r="B19" s="171"/>
      <c r="C19" s="171"/>
      <c r="D19" s="171"/>
      <c r="E19" s="171"/>
      <c r="F19" s="174"/>
      <c r="G19" s="175"/>
      <c r="J19" s="190" t="s">
        <v>13</v>
      </c>
      <c r="K19" s="189" t="e">
        <f>'التعليم المسرع'!#REF!</f>
        <v>#REF!</v>
      </c>
      <c r="L19" s="189" t="e">
        <f>'التعليم المسرع'!#REF!</f>
        <v>#REF!</v>
      </c>
      <c r="M19" s="189" t="e">
        <f>'التعليم المسرع'!#REF!</f>
        <v>#REF!</v>
      </c>
      <c r="N19" s="189" t="e">
        <f>'التعليم المسرع'!#REF!</f>
        <v>#REF!</v>
      </c>
      <c r="O19" s="192" t="e">
        <f>SUM(K19:N20)</f>
        <v>#REF!</v>
      </c>
    </row>
    <row r="20" spans="2:15" ht="22.2" thickTop="1" thickBot="1" x14ac:dyDescent="0.45">
      <c r="B20" s="170" t="s">
        <v>18</v>
      </c>
      <c r="C20" s="170" t="e">
        <f>'التعليم المسرع'!#REF!</f>
        <v>#REF!</v>
      </c>
      <c r="D20" s="170" t="e">
        <f>'التعليم المسرع'!#REF!</f>
        <v>#REF!</v>
      </c>
      <c r="E20" s="170" t="e">
        <f>'التعليم المسرع'!#REF!</f>
        <v>#REF!</v>
      </c>
      <c r="F20" s="172" t="e">
        <f t="shared" ref="F20" si="0">C20+D20+E20</f>
        <v>#REF!</v>
      </c>
      <c r="G20" s="173"/>
      <c r="J20" s="190"/>
      <c r="K20" s="189"/>
      <c r="L20" s="189"/>
      <c r="M20" s="189"/>
      <c r="N20" s="189"/>
      <c r="O20" s="192"/>
    </row>
    <row r="21" spans="2:15" ht="22.2" thickTop="1" thickBot="1" x14ac:dyDescent="0.45">
      <c r="B21" s="171"/>
      <c r="C21" s="171"/>
      <c r="D21" s="171"/>
      <c r="E21" s="171"/>
      <c r="F21" s="174"/>
      <c r="G21" s="175"/>
      <c r="J21" s="190" t="s">
        <v>14</v>
      </c>
      <c r="K21" s="189" t="e">
        <f>'التعليم المسرع'!#REF!</f>
        <v>#REF!</v>
      </c>
      <c r="L21" s="189" t="e">
        <f>'التعليم المسرع'!#REF!</f>
        <v>#REF!</v>
      </c>
      <c r="M21" s="189" t="e">
        <f>'التعليم المسرع'!#REF!</f>
        <v>#REF!</v>
      </c>
      <c r="N21" s="189" t="e">
        <f>'التعليم المسرع'!#REF!</f>
        <v>#REF!</v>
      </c>
      <c r="O21" s="192" t="e">
        <f>SUM(K21:N22)</f>
        <v>#REF!</v>
      </c>
    </row>
    <row r="22" spans="2:15" ht="22.2" thickTop="1" thickBot="1" x14ac:dyDescent="0.45">
      <c r="B22" s="170" t="s">
        <v>19</v>
      </c>
      <c r="C22" s="170" t="e">
        <f>'التعليم المسرع'!#REF!</f>
        <v>#REF!</v>
      </c>
      <c r="D22" s="170" t="e">
        <f>'التعليم المسرع'!#REF!</f>
        <v>#REF!</v>
      </c>
      <c r="E22" s="170" t="e">
        <f>'التعليم المسرع'!#REF!</f>
        <v>#REF!</v>
      </c>
      <c r="F22" s="172" t="e">
        <f t="shared" ref="F22" si="1">C22+D22+E22</f>
        <v>#REF!</v>
      </c>
      <c r="G22" s="173"/>
      <c r="J22" s="190"/>
      <c r="K22" s="189"/>
      <c r="L22" s="189"/>
      <c r="M22" s="189"/>
      <c r="N22" s="189"/>
      <c r="O22" s="192"/>
    </row>
    <row r="23" spans="2:15" ht="22.2" thickTop="1" thickBot="1" x14ac:dyDescent="0.45">
      <c r="B23" s="171"/>
      <c r="C23" s="171"/>
      <c r="D23" s="171"/>
      <c r="E23" s="171"/>
      <c r="F23" s="174"/>
      <c r="G23" s="175"/>
      <c r="J23" s="190" t="s">
        <v>15</v>
      </c>
      <c r="K23" s="189" t="e">
        <f>K19+K21</f>
        <v>#REF!</v>
      </c>
      <c r="L23" s="189" t="e">
        <f t="shared" ref="L23:O23" si="2">L19+L21</f>
        <v>#REF!</v>
      </c>
      <c r="M23" s="189" t="e">
        <f t="shared" si="2"/>
        <v>#REF!</v>
      </c>
      <c r="N23" s="189" t="e">
        <f t="shared" ref="N23" si="3">N19+N21</f>
        <v>#REF!</v>
      </c>
      <c r="O23" s="192" t="e">
        <f t="shared" si="2"/>
        <v>#REF!</v>
      </c>
    </row>
    <row r="24" spans="2:15" ht="27" customHeight="1" thickTop="1" thickBot="1" x14ac:dyDescent="0.45">
      <c r="B24" s="24" t="s">
        <v>15</v>
      </c>
      <c r="C24" s="25" t="e">
        <f>SUM(C18:C23)</f>
        <v>#REF!</v>
      </c>
      <c r="D24" s="25" t="e">
        <f>SUM(D18:D23)</f>
        <v>#REF!</v>
      </c>
      <c r="E24" s="25" t="e">
        <f>SUM(E18:E23)</f>
        <v>#REF!</v>
      </c>
      <c r="F24" s="185" t="e">
        <f>C24+D24+E24</f>
        <v>#REF!</v>
      </c>
      <c r="G24" s="166"/>
      <c r="J24" s="193"/>
      <c r="K24" s="191"/>
      <c r="L24" s="191"/>
      <c r="M24" s="191"/>
      <c r="N24" s="191"/>
      <c r="O24" s="208"/>
    </row>
    <row r="25" spans="2:15" ht="22.2" thickTop="1" thickBot="1" x14ac:dyDescent="0.45"/>
    <row r="26" spans="2:15" ht="30.75" customHeight="1" thickTop="1" thickBot="1" x14ac:dyDescent="0.45">
      <c r="B26" s="165" t="s">
        <v>39</v>
      </c>
      <c r="C26" s="169"/>
      <c r="D26" s="169"/>
      <c r="E26" s="169"/>
      <c r="F26" s="169"/>
      <c r="G26" s="169"/>
      <c r="H26" s="169"/>
      <c r="I26" s="169"/>
      <c r="J26" s="169"/>
      <c r="K26" s="166"/>
      <c r="L26" s="26"/>
      <c r="M26" s="26"/>
    </row>
    <row r="27" spans="2:15" ht="22.2" thickTop="1" thickBot="1" x14ac:dyDescent="0.45">
      <c r="B27" s="212" t="s">
        <v>40</v>
      </c>
      <c r="C27" s="206" t="s">
        <v>32</v>
      </c>
      <c r="D27" s="206" t="s">
        <v>33</v>
      </c>
      <c r="E27" s="206" t="s">
        <v>34</v>
      </c>
      <c r="F27" s="206" t="s">
        <v>35</v>
      </c>
      <c r="G27" s="206" t="s">
        <v>36</v>
      </c>
      <c r="H27" s="206" t="s">
        <v>37</v>
      </c>
      <c r="I27" s="206" t="s">
        <v>38</v>
      </c>
      <c r="J27" s="195" t="s">
        <v>15</v>
      </c>
      <c r="K27" s="196"/>
      <c r="L27" s="26"/>
      <c r="M27" s="26"/>
    </row>
    <row r="28" spans="2:15" ht="40.5" customHeight="1" thickTop="1" thickBot="1" x14ac:dyDescent="0.45">
      <c r="B28" s="213"/>
      <c r="C28" s="207"/>
      <c r="D28" s="207"/>
      <c r="E28" s="207"/>
      <c r="F28" s="207"/>
      <c r="G28" s="207"/>
      <c r="H28" s="207"/>
      <c r="I28" s="207"/>
      <c r="J28" s="189"/>
      <c r="K28" s="192"/>
      <c r="L28" s="26"/>
      <c r="M28" s="26"/>
    </row>
    <row r="29" spans="2:15" ht="22.2" thickTop="1" thickBot="1" x14ac:dyDescent="0.45">
      <c r="B29" s="190" t="s">
        <v>13</v>
      </c>
      <c r="C29" s="189" t="e">
        <f>'التعليم المسرع'!#REF!</f>
        <v>#REF!</v>
      </c>
      <c r="D29" s="189" t="e">
        <f>'التعليم المسرع'!#REF!</f>
        <v>#REF!</v>
      </c>
      <c r="E29" s="189" t="e">
        <f>'التعليم المسرع'!#REF!</f>
        <v>#REF!</v>
      </c>
      <c r="F29" s="189" t="e">
        <f>'التعليم المسرع'!#REF!</f>
        <v>#REF!</v>
      </c>
      <c r="G29" s="189" t="e">
        <f>'التعليم المسرع'!#REF!</f>
        <v>#REF!</v>
      </c>
      <c r="H29" s="189" t="e">
        <f>'التعليم المسرع'!#REF!</f>
        <v>#REF!</v>
      </c>
      <c r="I29" s="189" t="e">
        <f>'التعليم المسرع'!#REF!</f>
        <v>#REF!</v>
      </c>
      <c r="J29" s="189" t="e">
        <f>I29+H29+G29+F29+E29+D29+C29</f>
        <v>#REF!</v>
      </c>
      <c r="K29" s="192"/>
      <c r="L29" s="26"/>
      <c r="M29" s="26"/>
    </row>
    <row r="30" spans="2:15" ht="22.2" thickTop="1" thickBot="1" x14ac:dyDescent="0.45">
      <c r="B30" s="190"/>
      <c r="C30" s="189"/>
      <c r="D30" s="189"/>
      <c r="E30" s="189"/>
      <c r="F30" s="189"/>
      <c r="G30" s="189"/>
      <c r="H30" s="189"/>
      <c r="I30" s="189"/>
      <c r="J30" s="189"/>
      <c r="K30" s="192"/>
      <c r="L30" s="26"/>
      <c r="M30" s="26"/>
    </row>
    <row r="31" spans="2:15" ht="22.2" thickTop="1" thickBot="1" x14ac:dyDescent="0.45">
      <c r="B31" s="190" t="s">
        <v>14</v>
      </c>
      <c r="C31" s="189" t="e">
        <f>'التعليم المسرع'!#REF!</f>
        <v>#REF!</v>
      </c>
      <c r="D31" s="189" t="e">
        <f>'التعليم المسرع'!#REF!</f>
        <v>#REF!</v>
      </c>
      <c r="E31" s="189" t="e">
        <f>'التعليم المسرع'!#REF!</f>
        <v>#REF!</v>
      </c>
      <c r="F31" s="189" t="e">
        <f>'التعليم المسرع'!#REF!</f>
        <v>#REF!</v>
      </c>
      <c r="G31" s="189" t="e">
        <f>'التعليم المسرع'!#REF!</f>
        <v>#REF!</v>
      </c>
      <c r="H31" s="189" t="e">
        <f>'التعليم المسرع'!#REF!</f>
        <v>#REF!</v>
      </c>
      <c r="I31" s="189" t="e">
        <f>'التعليم المسرع'!#REF!</f>
        <v>#REF!</v>
      </c>
      <c r="J31" s="189" t="e">
        <f t="shared" ref="J31" si="4">I31+H31+G31+F31+E31+D31+C31</f>
        <v>#REF!</v>
      </c>
      <c r="K31" s="192"/>
      <c r="L31" s="26"/>
      <c r="M31" s="26"/>
    </row>
    <row r="32" spans="2:15" ht="22.2" thickTop="1" thickBot="1" x14ac:dyDescent="0.45">
      <c r="B32" s="190"/>
      <c r="C32" s="189"/>
      <c r="D32" s="189"/>
      <c r="E32" s="189"/>
      <c r="F32" s="189"/>
      <c r="G32" s="189"/>
      <c r="H32" s="189"/>
      <c r="I32" s="189"/>
      <c r="J32" s="189"/>
      <c r="K32" s="192"/>
      <c r="L32" s="26"/>
      <c r="M32" s="26"/>
    </row>
    <row r="33" spans="1:20" ht="22.2" thickTop="1" thickBot="1" x14ac:dyDescent="0.45">
      <c r="B33" s="190" t="s">
        <v>15</v>
      </c>
      <c r="C33" s="189" t="e">
        <f>C29+C31</f>
        <v>#REF!</v>
      </c>
      <c r="D33" s="189" t="e">
        <f t="shared" ref="D33:I33" si="5">D29+D31</f>
        <v>#REF!</v>
      </c>
      <c r="E33" s="189" t="e">
        <f t="shared" si="5"/>
        <v>#REF!</v>
      </c>
      <c r="F33" s="189" t="e">
        <f t="shared" si="5"/>
        <v>#REF!</v>
      </c>
      <c r="G33" s="189" t="e">
        <f t="shared" si="5"/>
        <v>#REF!</v>
      </c>
      <c r="H33" s="189" t="e">
        <f t="shared" si="5"/>
        <v>#REF!</v>
      </c>
      <c r="I33" s="189" t="e">
        <f t="shared" si="5"/>
        <v>#REF!</v>
      </c>
      <c r="J33" s="189" t="e">
        <f t="shared" ref="J33" si="6">I33+H33+G33+F33+E33+D33+C33</f>
        <v>#REF!</v>
      </c>
      <c r="K33" s="192"/>
      <c r="L33" s="26"/>
      <c r="M33" s="26"/>
    </row>
    <row r="34" spans="1:20" ht="22.2" thickTop="1" thickBot="1" x14ac:dyDescent="0.45">
      <c r="B34" s="193"/>
      <c r="C34" s="191"/>
      <c r="D34" s="191"/>
      <c r="E34" s="191"/>
      <c r="F34" s="191"/>
      <c r="G34" s="191"/>
      <c r="H34" s="191"/>
      <c r="I34" s="191"/>
      <c r="J34" s="191"/>
      <c r="K34" s="208"/>
      <c r="L34" s="26"/>
      <c r="M34" s="26"/>
    </row>
    <row r="35" spans="1:20" ht="21.6" thickTop="1" x14ac:dyDescent="0.4"/>
    <row r="36" spans="1:20" s="43" customFormat="1" ht="22.8" x14ac:dyDescent="0.4">
      <c r="A36" s="180" t="s">
        <v>55</v>
      </c>
      <c r="B36" s="180"/>
      <c r="C36" s="180"/>
    </row>
    <row r="37" spans="1:20" s="43" customFormat="1" ht="22.8" x14ac:dyDescent="0.4">
      <c r="A37" s="180" t="s">
        <v>56</v>
      </c>
      <c r="B37" s="180"/>
      <c r="C37" s="180"/>
      <c r="D37" s="180"/>
      <c r="J37" s="43" t="s">
        <v>180</v>
      </c>
    </row>
    <row r="38" spans="1:20" s="43" customFormat="1" ht="22.8" x14ac:dyDescent="0.4">
      <c r="D38" s="43" t="s">
        <v>53</v>
      </c>
    </row>
    <row r="39" spans="1:20" ht="21.6" thickBot="1" x14ac:dyDescent="0.45"/>
    <row r="40" spans="1:20" ht="30.75" customHeight="1" thickTop="1" thickBot="1" x14ac:dyDescent="0.45">
      <c r="B40" s="194" t="s">
        <v>28</v>
      </c>
      <c r="C40" s="195" t="s">
        <v>17</v>
      </c>
      <c r="D40" s="195"/>
      <c r="E40" s="195" t="s">
        <v>18</v>
      </c>
      <c r="F40" s="195"/>
      <c r="G40" s="195" t="s">
        <v>19</v>
      </c>
      <c r="H40" s="195"/>
      <c r="I40" s="195" t="s">
        <v>29</v>
      </c>
      <c r="J40" s="195"/>
      <c r="K40" s="196"/>
      <c r="L40" s="26"/>
      <c r="M40" s="26"/>
      <c r="N40" s="26"/>
      <c r="P40" s="26"/>
      <c r="Q40" s="26"/>
      <c r="R40" s="26"/>
      <c r="S40" s="26"/>
      <c r="T40" s="26"/>
    </row>
    <row r="41" spans="1:20" ht="31.5" customHeight="1" thickTop="1" thickBot="1" x14ac:dyDescent="0.45">
      <c r="B41" s="190"/>
      <c r="C41" s="48" t="s">
        <v>10</v>
      </c>
      <c r="D41" s="48" t="s">
        <v>11</v>
      </c>
      <c r="E41" s="48" t="s">
        <v>10</v>
      </c>
      <c r="F41" s="48" t="s">
        <v>11</v>
      </c>
      <c r="G41" s="48" t="s">
        <v>10</v>
      </c>
      <c r="H41" s="48" t="s">
        <v>11</v>
      </c>
      <c r="I41" s="48" t="s">
        <v>10</v>
      </c>
      <c r="J41" s="48" t="s">
        <v>11</v>
      </c>
      <c r="K41" s="49" t="s">
        <v>15</v>
      </c>
      <c r="L41" s="26"/>
      <c r="M41" s="26"/>
      <c r="N41" s="26"/>
      <c r="P41" s="26"/>
      <c r="Q41" s="26"/>
      <c r="R41" s="26"/>
      <c r="S41" s="26"/>
      <c r="T41" s="26"/>
    </row>
    <row r="42" spans="1:20" ht="22.2" thickTop="1" thickBot="1" x14ac:dyDescent="0.45">
      <c r="B42" s="190" t="s">
        <v>21</v>
      </c>
      <c r="C42" s="189" t="e">
        <f>'التعليم المسرع'!#REF!</f>
        <v>#REF!</v>
      </c>
      <c r="D42" s="189" t="e">
        <f>'التعليم المسرع'!#REF!</f>
        <v>#REF!</v>
      </c>
      <c r="E42" s="189" t="e">
        <f>'التعليم المسرع'!#REF!</f>
        <v>#REF!</v>
      </c>
      <c r="F42" s="189" t="e">
        <f>'التعليم المسرع'!#REF!</f>
        <v>#REF!</v>
      </c>
      <c r="G42" s="189" t="e">
        <f>'التعليم المسرع'!#REF!</f>
        <v>#REF!</v>
      </c>
      <c r="H42" s="189" t="e">
        <f>'التعليم المسرع'!#REF!</f>
        <v>#REF!</v>
      </c>
      <c r="I42" s="189" t="e">
        <f>C42+E42+G42</f>
        <v>#REF!</v>
      </c>
      <c r="J42" s="189" t="e">
        <f>D42+F42+H42</f>
        <v>#REF!</v>
      </c>
      <c r="K42" s="192" t="e">
        <f>SUM(I42:J42)</f>
        <v>#REF!</v>
      </c>
      <c r="L42" s="26"/>
      <c r="M42" s="26"/>
      <c r="N42" s="26"/>
      <c r="P42" s="26"/>
      <c r="Q42" s="26"/>
      <c r="R42" s="26"/>
      <c r="S42" s="26"/>
      <c r="T42" s="26"/>
    </row>
    <row r="43" spans="1:20" ht="22.2" thickTop="1" thickBot="1" x14ac:dyDescent="0.45">
      <c r="B43" s="190"/>
      <c r="C43" s="189"/>
      <c r="D43" s="189"/>
      <c r="E43" s="189"/>
      <c r="F43" s="189"/>
      <c r="G43" s="189"/>
      <c r="H43" s="189"/>
      <c r="I43" s="189"/>
      <c r="J43" s="189"/>
      <c r="K43" s="192"/>
      <c r="L43" s="26"/>
      <c r="M43" s="26"/>
      <c r="N43" s="26"/>
      <c r="P43" s="26"/>
      <c r="Q43" s="26"/>
      <c r="R43" s="26"/>
      <c r="S43" s="26"/>
      <c r="T43" s="26"/>
    </row>
    <row r="44" spans="1:20" ht="22.2" thickTop="1" thickBot="1" x14ac:dyDescent="0.45">
      <c r="B44" s="190" t="s">
        <v>22</v>
      </c>
      <c r="C44" s="189" t="e">
        <f>'التعليم المسرع'!#REF!</f>
        <v>#REF!</v>
      </c>
      <c r="D44" s="189" t="e">
        <f>'التعليم المسرع'!#REF!</f>
        <v>#REF!</v>
      </c>
      <c r="E44" s="189" t="e">
        <f>'التعليم المسرع'!#REF!</f>
        <v>#REF!</v>
      </c>
      <c r="F44" s="189" t="e">
        <f>'التعليم المسرع'!#REF!</f>
        <v>#REF!</v>
      </c>
      <c r="G44" s="189" t="e">
        <f>'التعليم المسرع'!#REF!</f>
        <v>#REF!</v>
      </c>
      <c r="H44" s="189" t="e">
        <f>'التعليم المسرع'!#REF!</f>
        <v>#REF!</v>
      </c>
      <c r="I44" s="189" t="e">
        <f t="shared" ref="I44:J44" si="7">C44+E44+G44</f>
        <v>#REF!</v>
      </c>
      <c r="J44" s="189" t="e">
        <f t="shared" si="7"/>
        <v>#REF!</v>
      </c>
      <c r="K44" s="192" t="e">
        <f t="shared" ref="K44" si="8">SUM(I44:J44)</f>
        <v>#REF!</v>
      </c>
      <c r="L44" s="26"/>
      <c r="M44" s="26"/>
      <c r="N44" s="26"/>
      <c r="P44" s="26"/>
      <c r="Q44" s="26"/>
      <c r="R44" s="26"/>
      <c r="S44" s="26"/>
      <c r="T44" s="26"/>
    </row>
    <row r="45" spans="1:20" ht="22.2" thickTop="1" thickBot="1" x14ac:dyDescent="0.45">
      <c r="B45" s="190"/>
      <c r="C45" s="189"/>
      <c r="D45" s="189"/>
      <c r="E45" s="189"/>
      <c r="F45" s="189"/>
      <c r="G45" s="189"/>
      <c r="H45" s="189"/>
      <c r="I45" s="189"/>
      <c r="J45" s="189"/>
      <c r="K45" s="192"/>
      <c r="L45" s="26"/>
      <c r="M45" s="26"/>
      <c r="N45" s="26"/>
      <c r="P45" s="26"/>
      <c r="Q45" s="26"/>
      <c r="R45" s="26"/>
      <c r="S45" s="26"/>
      <c r="T45" s="26"/>
    </row>
    <row r="46" spans="1:20" ht="22.2" thickTop="1" thickBot="1" x14ac:dyDescent="0.45">
      <c r="B46" s="190" t="s">
        <v>23</v>
      </c>
      <c r="C46" s="189" t="e">
        <f>'التعليم المسرع'!#REF!</f>
        <v>#REF!</v>
      </c>
      <c r="D46" s="189" t="e">
        <f>'التعليم المسرع'!#REF!</f>
        <v>#REF!</v>
      </c>
      <c r="E46" s="189" t="e">
        <f>'التعليم المسرع'!#REF!</f>
        <v>#REF!</v>
      </c>
      <c r="F46" s="189" t="e">
        <f>'التعليم المسرع'!#REF!</f>
        <v>#REF!</v>
      </c>
      <c r="G46" s="189" t="e">
        <f>'التعليم المسرع'!#REF!</f>
        <v>#REF!</v>
      </c>
      <c r="H46" s="189" t="e">
        <f>'التعليم المسرع'!#REF!</f>
        <v>#REF!</v>
      </c>
      <c r="I46" s="189" t="e">
        <f t="shared" ref="I46:J46" si="9">C46+E46+G46</f>
        <v>#REF!</v>
      </c>
      <c r="J46" s="189" t="e">
        <f t="shared" si="9"/>
        <v>#REF!</v>
      </c>
      <c r="K46" s="192" t="e">
        <f t="shared" ref="K46" si="10">SUM(I46:J46)</f>
        <v>#REF!</v>
      </c>
      <c r="L46" s="26"/>
      <c r="M46" s="26"/>
      <c r="N46" s="26"/>
      <c r="P46" s="26"/>
      <c r="Q46" s="26"/>
      <c r="R46" s="26"/>
      <c r="S46" s="26"/>
      <c r="T46" s="26"/>
    </row>
    <row r="47" spans="1:20" ht="22.2" thickTop="1" thickBot="1" x14ac:dyDescent="0.45">
      <c r="B47" s="190"/>
      <c r="C47" s="189"/>
      <c r="D47" s="189"/>
      <c r="E47" s="189"/>
      <c r="F47" s="189"/>
      <c r="G47" s="189"/>
      <c r="H47" s="189"/>
      <c r="I47" s="189"/>
      <c r="J47" s="189"/>
      <c r="K47" s="192"/>
      <c r="L47" s="26"/>
      <c r="M47" s="26"/>
      <c r="N47" s="26"/>
      <c r="P47" s="26"/>
      <c r="Q47" s="26"/>
      <c r="R47" s="26"/>
      <c r="S47" s="26"/>
      <c r="T47" s="26"/>
    </row>
    <row r="48" spans="1:20" ht="22.2" thickTop="1" thickBot="1" x14ac:dyDescent="0.45">
      <c r="B48" s="190" t="s">
        <v>24</v>
      </c>
      <c r="C48" s="189" t="e">
        <f>'التعليم المسرع'!#REF!</f>
        <v>#REF!</v>
      </c>
      <c r="D48" s="189" t="e">
        <f>'التعليم المسرع'!#REF!</f>
        <v>#REF!</v>
      </c>
      <c r="E48" s="189" t="e">
        <f>'التعليم المسرع'!#REF!</f>
        <v>#REF!</v>
      </c>
      <c r="F48" s="189" t="e">
        <f>'التعليم المسرع'!#REF!</f>
        <v>#REF!</v>
      </c>
      <c r="G48" s="189" t="e">
        <f>'التعليم المسرع'!#REF!</f>
        <v>#REF!</v>
      </c>
      <c r="H48" s="189" t="e">
        <f>'التعليم المسرع'!#REF!</f>
        <v>#REF!</v>
      </c>
      <c r="I48" s="189" t="e">
        <f t="shared" ref="I48:J48" si="11">C48+E48+G48</f>
        <v>#REF!</v>
      </c>
      <c r="J48" s="189" t="e">
        <f t="shared" si="11"/>
        <v>#REF!</v>
      </c>
      <c r="K48" s="192" t="e">
        <f t="shared" ref="K48" si="12">SUM(I48:J48)</f>
        <v>#REF!</v>
      </c>
      <c r="L48" s="26"/>
      <c r="M48" s="26"/>
      <c r="N48" s="26"/>
      <c r="P48" s="26"/>
      <c r="Q48" s="26"/>
      <c r="R48" s="26"/>
      <c r="S48" s="26"/>
      <c r="T48" s="26"/>
    </row>
    <row r="49" spans="1:20" ht="22.2" thickTop="1" thickBot="1" x14ac:dyDescent="0.45">
      <c r="B49" s="190"/>
      <c r="C49" s="189"/>
      <c r="D49" s="189"/>
      <c r="E49" s="189"/>
      <c r="F49" s="189"/>
      <c r="G49" s="189"/>
      <c r="H49" s="189"/>
      <c r="I49" s="189"/>
      <c r="J49" s="189"/>
      <c r="K49" s="192"/>
      <c r="L49" s="26"/>
      <c r="M49" s="26"/>
      <c r="N49" s="26"/>
      <c r="P49" s="26"/>
      <c r="Q49" s="26"/>
      <c r="R49" s="26"/>
      <c r="S49" s="26"/>
      <c r="T49" s="26"/>
    </row>
    <row r="50" spans="1:20" ht="22.2" thickTop="1" thickBot="1" x14ac:dyDescent="0.45">
      <c r="B50" s="190" t="s">
        <v>25</v>
      </c>
      <c r="C50" s="189" t="e">
        <f>'التعليم المسرع'!#REF!</f>
        <v>#REF!</v>
      </c>
      <c r="D50" s="189" t="e">
        <f>'التعليم المسرع'!#REF!</f>
        <v>#REF!</v>
      </c>
      <c r="E50" s="189" t="e">
        <f>'التعليم المسرع'!#REF!</f>
        <v>#REF!</v>
      </c>
      <c r="F50" s="189" t="e">
        <f>'التعليم المسرع'!#REF!</f>
        <v>#REF!</v>
      </c>
      <c r="G50" s="189" t="e">
        <f>'التعليم المسرع'!#REF!</f>
        <v>#REF!</v>
      </c>
      <c r="H50" s="189" t="e">
        <f>'التعليم المسرع'!#REF!</f>
        <v>#REF!</v>
      </c>
      <c r="I50" s="189" t="e">
        <f t="shared" ref="I50:J50" si="13">C50+E50+G50</f>
        <v>#REF!</v>
      </c>
      <c r="J50" s="189" t="e">
        <f t="shared" si="13"/>
        <v>#REF!</v>
      </c>
      <c r="K50" s="192" t="e">
        <f t="shared" ref="K50" si="14">SUM(I50:J50)</f>
        <v>#REF!</v>
      </c>
      <c r="L50" s="26"/>
      <c r="M50" s="26"/>
      <c r="N50" s="26"/>
      <c r="P50" s="26"/>
      <c r="Q50" s="26"/>
      <c r="R50" s="26"/>
      <c r="S50" s="26"/>
      <c r="T50" s="26"/>
    </row>
    <row r="51" spans="1:20" ht="22.2" thickTop="1" thickBot="1" x14ac:dyDescent="0.45">
      <c r="B51" s="190"/>
      <c r="C51" s="189"/>
      <c r="D51" s="189"/>
      <c r="E51" s="189"/>
      <c r="F51" s="189"/>
      <c r="G51" s="189"/>
      <c r="H51" s="189"/>
      <c r="I51" s="189"/>
      <c r="J51" s="189"/>
      <c r="K51" s="192"/>
      <c r="L51" s="26"/>
      <c r="M51" s="26"/>
      <c r="N51" s="26"/>
      <c r="P51" s="26"/>
      <c r="Q51" s="26"/>
      <c r="R51" s="26"/>
      <c r="S51" s="26"/>
      <c r="T51" s="26"/>
    </row>
    <row r="52" spans="1:20" ht="22.2" thickTop="1" thickBot="1" x14ac:dyDescent="0.45">
      <c r="B52" s="190" t="s">
        <v>26</v>
      </c>
      <c r="C52" s="189" t="e">
        <f>'التعليم المسرع'!#REF!</f>
        <v>#REF!</v>
      </c>
      <c r="D52" s="189" t="e">
        <f>'التعليم المسرع'!#REF!</f>
        <v>#REF!</v>
      </c>
      <c r="E52" s="189" t="e">
        <f>'التعليم المسرع'!#REF!</f>
        <v>#REF!</v>
      </c>
      <c r="F52" s="189" t="e">
        <f>'التعليم المسرع'!#REF!</f>
        <v>#REF!</v>
      </c>
      <c r="G52" s="189" t="e">
        <f>'التعليم المسرع'!#REF!</f>
        <v>#REF!</v>
      </c>
      <c r="H52" s="189" t="e">
        <f>'التعليم المسرع'!#REF!</f>
        <v>#REF!</v>
      </c>
      <c r="I52" s="189" t="e">
        <f t="shared" ref="I52:J52" si="15">C52+E52+G52</f>
        <v>#REF!</v>
      </c>
      <c r="J52" s="189" t="e">
        <f t="shared" si="15"/>
        <v>#REF!</v>
      </c>
      <c r="K52" s="192" t="e">
        <f t="shared" ref="K52" si="16">SUM(I52:J52)</f>
        <v>#REF!</v>
      </c>
      <c r="L52" s="26"/>
      <c r="M52" s="26"/>
      <c r="N52" s="26"/>
      <c r="P52" s="26"/>
      <c r="Q52" s="26"/>
      <c r="R52" s="26"/>
      <c r="S52" s="26"/>
      <c r="T52" s="26"/>
    </row>
    <row r="53" spans="1:20" ht="22.2" thickTop="1" thickBot="1" x14ac:dyDescent="0.45">
      <c r="B53" s="190"/>
      <c r="C53" s="189"/>
      <c r="D53" s="189"/>
      <c r="E53" s="189"/>
      <c r="F53" s="189"/>
      <c r="G53" s="189"/>
      <c r="H53" s="189"/>
      <c r="I53" s="189"/>
      <c r="J53" s="189"/>
      <c r="K53" s="192"/>
    </row>
    <row r="54" spans="1:20" ht="22.2" thickTop="1" thickBot="1" x14ac:dyDescent="0.45">
      <c r="B54" s="190" t="s">
        <v>27</v>
      </c>
      <c r="C54" s="189" t="e">
        <f>'التعليم المسرع'!#REF!</f>
        <v>#REF!</v>
      </c>
      <c r="D54" s="189" t="e">
        <f>'التعليم المسرع'!#REF!</f>
        <v>#REF!</v>
      </c>
      <c r="E54" s="189" t="e">
        <f>'التعليم المسرع'!#REF!</f>
        <v>#REF!</v>
      </c>
      <c r="F54" s="189" t="e">
        <f>'التعليم المسرع'!#REF!</f>
        <v>#REF!</v>
      </c>
      <c r="G54" s="189" t="e">
        <f>'التعليم المسرع'!#REF!</f>
        <v>#REF!</v>
      </c>
      <c r="H54" s="189" t="e">
        <f>'التعليم المسرع'!#REF!</f>
        <v>#REF!</v>
      </c>
      <c r="I54" s="189" t="e">
        <f t="shared" ref="I54:J54" si="17">C54+E54+G54</f>
        <v>#REF!</v>
      </c>
      <c r="J54" s="189" t="e">
        <f t="shared" si="17"/>
        <v>#REF!</v>
      </c>
      <c r="K54" s="192" t="e">
        <f t="shared" ref="K54" si="18">SUM(I54:J54)</f>
        <v>#REF!</v>
      </c>
    </row>
    <row r="55" spans="1:20" ht="22.2" thickTop="1" thickBot="1" x14ac:dyDescent="0.45">
      <c r="B55" s="190"/>
      <c r="C55" s="189"/>
      <c r="D55" s="189"/>
      <c r="E55" s="189"/>
      <c r="F55" s="189"/>
      <c r="G55" s="189"/>
      <c r="H55" s="189"/>
      <c r="I55" s="189"/>
      <c r="J55" s="189"/>
      <c r="K55" s="192"/>
    </row>
    <row r="56" spans="1:20" ht="22.2" thickTop="1" thickBot="1" x14ac:dyDescent="0.45">
      <c r="B56" s="190" t="s">
        <v>15</v>
      </c>
      <c r="C56" s="189" t="e">
        <f t="shared" ref="C56:H56" si="19">C42+C44+C46+C48+C50+C52+C54</f>
        <v>#REF!</v>
      </c>
      <c r="D56" s="189" t="e">
        <f t="shared" si="19"/>
        <v>#REF!</v>
      </c>
      <c r="E56" s="189" t="e">
        <f t="shared" si="19"/>
        <v>#REF!</v>
      </c>
      <c r="F56" s="189" t="e">
        <f t="shared" si="19"/>
        <v>#REF!</v>
      </c>
      <c r="G56" s="189" t="e">
        <f t="shared" si="19"/>
        <v>#REF!</v>
      </c>
      <c r="H56" s="189" t="e">
        <f t="shared" si="19"/>
        <v>#REF!</v>
      </c>
      <c r="I56" s="189" t="e">
        <f>C56+E56+G56</f>
        <v>#REF!</v>
      </c>
      <c r="J56" s="189" t="e">
        <f t="shared" ref="J56" si="20">D56+F56+H56</f>
        <v>#REF!</v>
      </c>
      <c r="K56" s="192" t="e">
        <f t="shared" ref="K56" si="21">SUM(I56:J56)</f>
        <v>#REF!</v>
      </c>
    </row>
    <row r="57" spans="1:20" ht="22.2" thickTop="1" thickBot="1" x14ac:dyDescent="0.45">
      <c r="B57" s="193"/>
      <c r="C57" s="191"/>
      <c r="D57" s="191"/>
      <c r="E57" s="191"/>
      <c r="F57" s="191"/>
      <c r="G57" s="191"/>
      <c r="H57" s="191"/>
      <c r="I57" s="191"/>
      <c r="J57" s="191"/>
      <c r="K57" s="208"/>
    </row>
    <row r="58" spans="1:20" ht="21.6" thickTop="1" x14ac:dyDescent="0.4"/>
    <row r="59" spans="1:20" ht="21.6" thickBot="1" x14ac:dyDescent="0.45">
      <c r="G59" s="26"/>
    </row>
    <row r="60" spans="1:20" ht="37.5" customHeight="1" thickTop="1" thickBot="1" x14ac:dyDescent="0.45">
      <c r="A60" s="203"/>
      <c r="B60" s="206" t="s">
        <v>267</v>
      </c>
      <c r="C60" s="206"/>
      <c r="D60" s="206"/>
      <c r="E60" s="206" t="s">
        <v>272</v>
      </c>
      <c r="F60" s="206"/>
      <c r="G60" s="206"/>
      <c r="H60" s="195" t="s">
        <v>273</v>
      </c>
      <c r="I60" s="195"/>
      <c r="J60" s="195"/>
      <c r="K60" s="195"/>
      <c r="L60" s="195"/>
      <c r="M60" s="195"/>
      <c r="N60" s="214" t="s">
        <v>15</v>
      </c>
      <c r="O60" s="215"/>
      <c r="P60" s="216"/>
    </row>
    <row r="61" spans="1:20" ht="31.5" customHeight="1" thickTop="1" thickBot="1" x14ac:dyDescent="0.45">
      <c r="A61" s="176"/>
      <c r="B61" s="207"/>
      <c r="C61" s="207"/>
      <c r="D61" s="207"/>
      <c r="E61" s="207"/>
      <c r="F61" s="207"/>
      <c r="G61" s="207"/>
      <c r="H61" s="189" t="s">
        <v>185</v>
      </c>
      <c r="I61" s="189"/>
      <c r="J61" s="189" t="s">
        <v>186</v>
      </c>
      <c r="K61" s="189"/>
      <c r="L61" s="189" t="s">
        <v>187</v>
      </c>
      <c r="M61" s="189"/>
      <c r="N61" s="174"/>
      <c r="O61" s="217"/>
      <c r="P61" s="175"/>
    </row>
    <row r="62" spans="1:20" ht="21.6" thickTop="1" x14ac:dyDescent="0.4">
      <c r="A62" s="176"/>
      <c r="B62" s="177" t="s">
        <v>10</v>
      </c>
      <c r="C62" s="177" t="s">
        <v>11</v>
      </c>
      <c r="D62" s="177" t="s">
        <v>15</v>
      </c>
      <c r="E62" s="177" t="s">
        <v>10</v>
      </c>
      <c r="F62" s="177" t="s">
        <v>11</v>
      </c>
      <c r="G62" s="177" t="s">
        <v>15</v>
      </c>
      <c r="H62" s="177" t="s">
        <v>10</v>
      </c>
      <c r="I62" s="177" t="s">
        <v>11</v>
      </c>
      <c r="J62" s="177" t="s">
        <v>10</v>
      </c>
      <c r="K62" s="177" t="s">
        <v>11</v>
      </c>
      <c r="L62" s="177" t="s">
        <v>10</v>
      </c>
      <c r="M62" s="177" t="s">
        <v>11</v>
      </c>
      <c r="N62" s="177" t="s">
        <v>10</v>
      </c>
      <c r="O62" s="177" t="s">
        <v>11</v>
      </c>
      <c r="P62" s="218" t="s">
        <v>15</v>
      </c>
    </row>
    <row r="63" spans="1:20" ht="21.6" thickBot="1" x14ac:dyDescent="0.45">
      <c r="A63" s="171"/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219"/>
    </row>
    <row r="64" spans="1:20" ht="21.6" thickTop="1" x14ac:dyDescent="0.4">
      <c r="A64" s="220" t="s">
        <v>17</v>
      </c>
      <c r="B64" s="170" t="e">
        <f>'التعليم المسرع'!#REF!</f>
        <v>#REF!</v>
      </c>
      <c r="C64" s="170" t="e">
        <f>'التعليم المسرع'!#REF!</f>
        <v>#REF!</v>
      </c>
      <c r="D64" s="177" t="e">
        <f>C64+B64</f>
        <v>#REF!</v>
      </c>
      <c r="E64" s="172" t="e">
        <f>'التعليم المسرع'!#REF!</f>
        <v>#REF!</v>
      </c>
      <c r="F64" s="172" t="e">
        <f>'التعليم المسرع'!#REF!</f>
        <v>#REF!</v>
      </c>
      <c r="G64" s="177" t="e">
        <f t="shared" ref="G64" si="22">F64+E64</f>
        <v>#REF!</v>
      </c>
      <c r="H64" s="177" t="e">
        <f>'التعليم المسرع'!#REF!</f>
        <v>#REF!</v>
      </c>
      <c r="I64" s="177" t="e">
        <f>'التعليم المسرع'!#REF!</f>
        <v>#REF!</v>
      </c>
      <c r="J64" s="177" t="e">
        <f>'التعليم المسرع'!#REF!</f>
        <v>#REF!</v>
      </c>
      <c r="K64" s="177" t="e">
        <f>'التعليم المسرع'!#REF!</f>
        <v>#REF!</v>
      </c>
      <c r="L64" s="177" t="e">
        <f>'التعليم المسرع'!#REF!</f>
        <v>#REF!</v>
      </c>
      <c r="M64" s="177" t="e">
        <f>'التعليم المسرع'!#REF!</f>
        <v>#REF!</v>
      </c>
      <c r="N64" s="170" t="e">
        <f>L64+J64+H64</f>
        <v>#REF!</v>
      </c>
      <c r="O64" s="170" t="e">
        <f>M64+K64+I64</f>
        <v>#REF!</v>
      </c>
      <c r="P64" s="218" t="e">
        <f>O64+N64</f>
        <v>#REF!</v>
      </c>
    </row>
    <row r="65" spans="1:16" ht="21.6" thickBot="1" x14ac:dyDescent="0.45">
      <c r="A65" s="221"/>
      <c r="B65" s="197"/>
      <c r="C65" s="197"/>
      <c r="D65" s="178"/>
      <c r="E65" s="174"/>
      <c r="F65" s="174"/>
      <c r="G65" s="178"/>
      <c r="H65" s="178"/>
      <c r="I65" s="178"/>
      <c r="J65" s="178"/>
      <c r="K65" s="178"/>
      <c r="L65" s="178"/>
      <c r="M65" s="178"/>
      <c r="N65" s="197"/>
      <c r="O65" s="197"/>
      <c r="P65" s="219"/>
    </row>
    <row r="66" spans="1:16" ht="21.6" thickTop="1" x14ac:dyDescent="0.4">
      <c r="A66" s="220" t="s">
        <v>18</v>
      </c>
      <c r="B66" s="177" t="e">
        <f>'التعليم المسرع'!#REF!</f>
        <v>#REF!</v>
      </c>
      <c r="C66" s="177" t="e">
        <f>'التعليم المسرع'!#REF!</f>
        <v>#REF!</v>
      </c>
      <c r="D66" s="177" t="e">
        <f t="shared" ref="D66" si="23">C66+B66</f>
        <v>#REF!</v>
      </c>
      <c r="E66" s="177" t="e">
        <f>'التعليم المسرع'!#REF!</f>
        <v>#REF!</v>
      </c>
      <c r="F66" s="177" t="e">
        <f>'التعليم المسرع'!#REF!</f>
        <v>#REF!</v>
      </c>
      <c r="G66" s="177" t="e">
        <f t="shared" ref="G66" si="24">F66+E66</f>
        <v>#REF!</v>
      </c>
      <c r="H66" s="177" t="e">
        <f>'التعليم المسرع'!#REF!</f>
        <v>#REF!</v>
      </c>
      <c r="I66" s="177" t="e">
        <f>'التعليم المسرع'!#REF!</f>
        <v>#REF!</v>
      </c>
      <c r="J66" s="177" t="e">
        <f>'التعليم المسرع'!#REF!</f>
        <v>#REF!</v>
      </c>
      <c r="K66" s="177" t="e">
        <f>'التعليم المسرع'!#REF!</f>
        <v>#REF!</v>
      </c>
      <c r="L66" s="177" t="e">
        <f>'التعليم المسرع'!#REF!</f>
        <v>#REF!</v>
      </c>
      <c r="M66" s="177" t="e">
        <f>'التعليم المسرع'!#REF!</f>
        <v>#REF!</v>
      </c>
      <c r="N66" s="170" t="e">
        <f t="shared" ref="N66:O66" si="25">L66+J66+H66</f>
        <v>#REF!</v>
      </c>
      <c r="O66" s="170" t="e">
        <f t="shared" si="25"/>
        <v>#REF!</v>
      </c>
      <c r="P66" s="218" t="e">
        <f t="shared" ref="P66" si="26">O66+N66</f>
        <v>#REF!</v>
      </c>
    </row>
    <row r="67" spans="1:16" ht="21.6" thickBot="1" x14ac:dyDescent="0.45">
      <c r="A67" s="221"/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97"/>
      <c r="O67" s="197"/>
      <c r="P67" s="219"/>
    </row>
    <row r="68" spans="1:16" ht="21.6" thickTop="1" x14ac:dyDescent="0.4">
      <c r="A68" s="220" t="s">
        <v>19</v>
      </c>
      <c r="B68" s="177" t="e">
        <f>'التعليم المسرع'!#REF!</f>
        <v>#REF!</v>
      </c>
      <c r="C68" s="177" t="e">
        <f>'التعليم المسرع'!#REF!</f>
        <v>#REF!</v>
      </c>
      <c r="D68" s="177" t="e">
        <f t="shared" ref="D68" si="27">C68+B68</f>
        <v>#REF!</v>
      </c>
      <c r="E68" s="177" t="e">
        <f>'التعليم المسرع'!#REF!</f>
        <v>#REF!</v>
      </c>
      <c r="F68" s="177" t="e">
        <f>'التعليم المسرع'!#REF!</f>
        <v>#REF!</v>
      </c>
      <c r="G68" s="177" t="e">
        <f t="shared" ref="G68" si="28">F68+E68</f>
        <v>#REF!</v>
      </c>
      <c r="H68" s="177" t="e">
        <f>'التعليم المسرع'!#REF!</f>
        <v>#REF!</v>
      </c>
      <c r="I68" s="177" t="e">
        <f>'التعليم المسرع'!#REF!</f>
        <v>#REF!</v>
      </c>
      <c r="J68" s="177" t="e">
        <f>'التعليم المسرع'!#REF!</f>
        <v>#REF!</v>
      </c>
      <c r="K68" s="177" t="e">
        <f>'التعليم المسرع'!#REF!</f>
        <v>#REF!</v>
      </c>
      <c r="L68" s="177" t="e">
        <f>'التعليم المسرع'!#REF!</f>
        <v>#REF!</v>
      </c>
      <c r="M68" s="177" t="e">
        <f>'التعليم المسرع'!#REF!</f>
        <v>#REF!</v>
      </c>
      <c r="N68" s="170" t="e">
        <f t="shared" ref="N68:O68" si="29">L68+J68+H68</f>
        <v>#REF!</v>
      </c>
      <c r="O68" s="170" t="e">
        <f t="shared" si="29"/>
        <v>#REF!</v>
      </c>
      <c r="P68" s="218" t="e">
        <f t="shared" ref="P68" si="30">O68+N68</f>
        <v>#REF!</v>
      </c>
    </row>
    <row r="69" spans="1:16" ht="21.6" thickBot="1" x14ac:dyDescent="0.45">
      <c r="A69" s="222"/>
      <c r="B69" s="178"/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97"/>
      <c r="O69" s="197"/>
      <c r="P69" s="219"/>
    </row>
    <row r="70" spans="1:16" ht="21.6" thickTop="1" x14ac:dyDescent="0.4"/>
  </sheetData>
  <mergeCells count="250">
    <mergeCell ref="N17:N18"/>
    <mergeCell ref="N19:N20"/>
    <mergeCell ref="N21:N22"/>
    <mergeCell ref="N23:N24"/>
    <mergeCell ref="J16:O16"/>
    <mergeCell ref="A60:A63"/>
    <mergeCell ref="H64:H65"/>
    <mergeCell ref="I64:I65"/>
    <mergeCell ref="H66:H67"/>
    <mergeCell ref="I66:I67"/>
    <mergeCell ref="H60:M60"/>
    <mergeCell ref="H61:I61"/>
    <mergeCell ref="J61:K61"/>
    <mergeCell ref="L61:M61"/>
    <mergeCell ref="M62:M63"/>
    <mergeCell ref="B60:D61"/>
    <mergeCell ref="E60:G61"/>
    <mergeCell ref="D62:D63"/>
    <mergeCell ref="G62:G63"/>
    <mergeCell ref="J62:J63"/>
    <mergeCell ref="K62:K63"/>
    <mergeCell ref="L62:L63"/>
    <mergeCell ref="C50:C51"/>
    <mergeCell ref="D50:D51"/>
    <mergeCell ref="A64:A65"/>
    <mergeCell ref="A66:A67"/>
    <mergeCell ref="A68:A69"/>
    <mergeCell ref="H68:H69"/>
    <mergeCell ref="I68:I69"/>
    <mergeCell ref="D64:D65"/>
    <mergeCell ref="G64:G65"/>
    <mergeCell ref="J64:J65"/>
    <mergeCell ref="K64:K65"/>
    <mergeCell ref="D66:D67"/>
    <mergeCell ref="G66:G67"/>
    <mergeCell ref="J66:J67"/>
    <mergeCell ref="K66:K67"/>
    <mergeCell ref="B68:B69"/>
    <mergeCell ref="B66:B67"/>
    <mergeCell ref="C64:C65"/>
    <mergeCell ref="C66:C67"/>
    <mergeCell ref="C68:C69"/>
    <mergeCell ref="D68:D69"/>
    <mergeCell ref="B64:B65"/>
    <mergeCell ref="E64:E65"/>
    <mergeCell ref="F64:F65"/>
    <mergeCell ref="E66:E67"/>
    <mergeCell ref="F66:F67"/>
    <mergeCell ref="P68:P69"/>
    <mergeCell ref="P62:P63"/>
    <mergeCell ref="P64:P65"/>
    <mergeCell ref="P66:P67"/>
    <mergeCell ref="O68:O69"/>
    <mergeCell ref="N68:N69"/>
    <mergeCell ref="K52:K53"/>
    <mergeCell ref="G56:G57"/>
    <mergeCell ref="H56:H57"/>
    <mergeCell ref="I56:I57"/>
    <mergeCell ref="J56:J57"/>
    <mergeCell ref="K56:K57"/>
    <mergeCell ref="G68:G69"/>
    <mergeCell ref="J68:J69"/>
    <mergeCell ref="K68:K69"/>
    <mergeCell ref="L68:L69"/>
    <mergeCell ref="M68:M69"/>
    <mergeCell ref="L64:L65"/>
    <mergeCell ref="M64:M65"/>
    <mergeCell ref="L66:L67"/>
    <mergeCell ref="M66:M67"/>
    <mergeCell ref="O64:O65"/>
    <mergeCell ref="N64:N65"/>
    <mergeCell ref="E68:E69"/>
    <mergeCell ref="F68:F69"/>
    <mergeCell ref="N66:N67"/>
    <mergeCell ref="O66:O67"/>
    <mergeCell ref="B52:B53"/>
    <mergeCell ref="C52:C53"/>
    <mergeCell ref="D52:D53"/>
    <mergeCell ref="E52:E53"/>
    <mergeCell ref="F52:F53"/>
    <mergeCell ref="G52:G53"/>
    <mergeCell ref="H52:H53"/>
    <mergeCell ref="I52:I53"/>
    <mergeCell ref="O62:O63"/>
    <mergeCell ref="K54:K55"/>
    <mergeCell ref="B56:B57"/>
    <mergeCell ref="C56:C57"/>
    <mergeCell ref="D56:D57"/>
    <mergeCell ref="E56:E57"/>
    <mergeCell ref="F56:F57"/>
    <mergeCell ref="B54:B55"/>
    <mergeCell ref="C54:C55"/>
    <mergeCell ref="D54:D55"/>
    <mergeCell ref="E54:E55"/>
    <mergeCell ref="N60:P61"/>
    <mergeCell ref="F54:F55"/>
    <mergeCell ref="J52:J53"/>
    <mergeCell ref="G54:G55"/>
    <mergeCell ref="H54:H55"/>
    <mergeCell ref="I54:I55"/>
    <mergeCell ref="J54:J55"/>
    <mergeCell ref="L17:L18"/>
    <mergeCell ref="M17:M18"/>
    <mergeCell ref="O17:O18"/>
    <mergeCell ref="I42:I43"/>
    <mergeCell ref="J42:J43"/>
    <mergeCell ref="G29:G30"/>
    <mergeCell ref="H31:H32"/>
    <mergeCell ref="B26:K26"/>
    <mergeCell ref="B27:B28"/>
    <mergeCell ref="C27:C28"/>
    <mergeCell ref="D27:D28"/>
    <mergeCell ref="E27:E28"/>
    <mergeCell ref="F27:F28"/>
    <mergeCell ref="G27:G28"/>
    <mergeCell ref="H27:H28"/>
    <mergeCell ref="I27:I28"/>
    <mergeCell ref="J17:J18"/>
    <mergeCell ref="K17:K18"/>
    <mergeCell ref="B62:B63"/>
    <mergeCell ref="C62:C63"/>
    <mergeCell ref="E62:E63"/>
    <mergeCell ref="F62:F63"/>
    <mergeCell ref="H62:H63"/>
    <mergeCell ref="I62:I63"/>
    <mergeCell ref="N62:N63"/>
    <mergeCell ref="D20:D21"/>
    <mergeCell ref="E20:E21"/>
    <mergeCell ref="H46:H47"/>
    <mergeCell ref="I46:I47"/>
    <mergeCell ref="J46:J47"/>
    <mergeCell ref="K46:K47"/>
    <mergeCell ref="H44:H45"/>
    <mergeCell ref="I44:I45"/>
    <mergeCell ref="J44:J45"/>
    <mergeCell ref="K48:K49"/>
    <mergeCell ref="H50:H51"/>
    <mergeCell ref="A36:C36"/>
    <mergeCell ref="K50:K51"/>
    <mergeCell ref="B50:B51"/>
    <mergeCell ref="C46:C47"/>
    <mergeCell ref="D46:D47"/>
    <mergeCell ref="B44:B45"/>
    <mergeCell ref="G44:G45"/>
    <mergeCell ref="I50:I51"/>
    <mergeCell ref="J50:J51"/>
    <mergeCell ref="E50:E51"/>
    <mergeCell ref="F50:F51"/>
    <mergeCell ref="G50:G51"/>
    <mergeCell ref="G48:G49"/>
    <mergeCell ref="H48:H49"/>
    <mergeCell ref="I48:I49"/>
    <mergeCell ref="J48:J49"/>
    <mergeCell ref="G46:G47"/>
    <mergeCell ref="B48:B49"/>
    <mergeCell ref="F46:F47"/>
    <mergeCell ref="C48:C49"/>
    <mergeCell ref="D48:D49"/>
    <mergeCell ref="E48:E49"/>
    <mergeCell ref="F48:F49"/>
    <mergeCell ref="D29:D30"/>
    <mergeCell ref="E29:E30"/>
    <mergeCell ref="F29:F30"/>
    <mergeCell ref="B46:B47"/>
    <mergeCell ref="C44:C45"/>
    <mergeCell ref="D44:D45"/>
    <mergeCell ref="E44:E45"/>
    <mergeCell ref="F44:F45"/>
    <mergeCell ref="K42:K43"/>
    <mergeCell ref="K44:K45"/>
    <mergeCell ref="B16:G16"/>
    <mergeCell ref="F17:G17"/>
    <mergeCell ref="B20:B21"/>
    <mergeCell ref="C20:C21"/>
    <mergeCell ref="E46:E47"/>
    <mergeCell ref="A37:D37"/>
    <mergeCell ref="F20:G21"/>
    <mergeCell ref="F24:G24"/>
    <mergeCell ref="B40:B41"/>
    <mergeCell ref="C40:D40"/>
    <mergeCell ref="E40:F40"/>
    <mergeCell ref="G40:H40"/>
    <mergeCell ref="I40:K40"/>
    <mergeCell ref="B42:B43"/>
    <mergeCell ref="C42:C43"/>
    <mergeCell ref="D42:D43"/>
    <mergeCell ref="E42:E43"/>
    <mergeCell ref="F42:F43"/>
    <mergeCell ref="G42:G43"/>
    <mergeCell ref="H42:H43"/>
    <mergeCell ref="J27:K28"/>
    <mergeCell ref="H29:H30"/>
    <mergeCell ref="A1:C1"/>
    <mergeCell ref="A2:D2"/>
    <mergeCell ref="B11:C11"/>
    <mergeCell ref="F11:H11"/>
    <mergeCell ref="B22:B23"/>
    <mergeCell ref="C22:C23"/>
    <mergeCell ref="D22:D23"/>
    <mergeCell ref="E22:E23"/>
    <mergeCell ref="F22:G23"/>
    <mergeCell ref="A3:O3"/>
    <mergeCell ref="B18:B19"/>
    <mergeCell ref="C18:C19"/>
    <mergeCell ref="D18:D19"/>
    <mergeCell ref="E18:E19"/>
    <mergeCell ref="F18:G19"/>
    <mergeCell ref="K11:M11"/>
    <mergeCell ref="B6:D6"/>
    <mergeCell ref="G6:I6"/>
    <mergeCell ref="L6:N6"/>
    <mergeCell ref="B8:D8"/>
    <mergeCell ref="G8:I8"/>
    <mergeCell ref="L8:N8"/>
    <mergeCell ref="J19:J20"/>
    <mergeCell ref="M19:M20"/>
    <mergeCell ref="I29:I30"/>
    <mergeCell ref="J29:K30"/>
    <mergeCell ref="B29:B30"/>
    <mergeCell ref="C29:C30"/>
    <mergeCell ref="J33:K34"/>
    <mergeCell ref="I31:I32"/>
    <mergeCell ref="J31:K32"/>
    <mergeCell ref="B33:B34"/>
    <mergeCell ref="C33:C34"/>
    <mergeCell ref="D33:D34"/>
    <mergeCell ref="E33:E34"/>
    <mergeCell ref="F33:F34"/>
    <mergeCell ref="G33:G34"/>
    <mergeCell ref="H33:H34"/>
    <mergeCell ref="I33:I34"/>
    <mergeCell ref="B31:B32"/>
    <mergeCell ref="C31:C32"/>
    <mergeCell ref="D31:D32"/>
    <mergeCell ref="E31:E32"/>
    <mergeCell ref="F31:F32"/>
    <mergeCell ref="G31:G32"/>
    <mergeCell ref="O19:O20"/>
    <mergeCell ref="J21:J22"/>
    <mergeCell ref="K21:K22"/>
    <mergeCell ref="L21:L22"/>
    <mergeCell ref="M21:M22"/>
    <mergeCell ref="O21:O22"/>
    <mergeCell ref="J23:J24"/>
    <mergeCell ref="K23:K24"/>
    <mergeCell ref="L23:L24"/>
    <mergeCell ref="M23:M24"/>
    <mergeCell ref="O23:O24"/>
    <mergeCell ref="K19:K20"/>
    <mergeCell ref="L19:L20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65" orientation="landscape" horizontalDpi="300" verticalDpi="300" r:id="rId1"/>
  <rowBreaks count="2" manualBreakCount="2">
    <brk id="35" max="15" man="1"/>
    <brk id="69" max="1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70"/>
  <sheetViews>
    <sheetView rightToLeft="1" view="pageBreakPreview" topLeftCell="A19" zoomScale="60" workbookViewId="0">
      <selection activeCell="J27" sqref="J27:K28"/>
    </sheetView>
  </sheetViews>
  <sheetFormatPr defaultColWidth="9" defaultRowHeight="21" x14ac:dyDescent="0.4"/>
  <cols>
    <col min="1" max="1" width="16.8984375" style="9" customWidth="1"/>
    <col min="2" max="2" width="17" style="9" customWidth="1"/>
    <col min="3" max="3" width="10.796875" style="9" customWidth="1"/>
    <col min="4" max="8" width="9" style="9"/>
    <col min="9" max="9" width="11.69921875" style="9" customWidth="1"/>
    <col min="10" max="10" width="16" style="9" customWidth="1"/>
    <col min="11" max="11" width="12.296875" style="9" customWidth="1"/>
    <col min="12" max="16384" width="9" style="9"/>
  </cols>
  <sheetData>
    <row r="1" spans="1:15" x14ac:dyDescent="0.4">
      <c r="A1" s="181" t="s">
        <v>55</v>
      </c>
      <c r="B1" s="181"/>
      <c r="C1" s="181"/>
    </row>
    <row r="2" spans="1:15" x14ac:dyDescent="0.4">
      <c r="A2" s="181" t="s">
        <v>56</v>
      </c>
      <c r="B2" s="181"/>
      <c r="C2" s="181"/>
      <c r="D2" s="181"/>
      <c r="M2" s="181"/>
      <c r="N2" s="181"/>
      <c r="O2" s="181"/>
    </row>
    <row r="3" spans="1:15" ht="22.8" x14ac:dyDescent="0.4">
      <c r="A3" s="180" t="s">
        <v>162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</row>
    <row r="4" spans="1:15" ht="22.8" x14ac:dyDescent="0.4">
      <c r="E4" s="43" t="s">
        <v>266</v>
      </c>
    </row>
    <row r="5" spans="1:15" ht="21.6" thickBot="1" x14ac:dyDescent="0.45"/>
    <row r="6" spans="1:15" ht="22.2" thickTop="1" thickBot="1" x14ac:dyDescent="0.45">
      <c r="A6" s="9" t="s">
        <v>1</v>
      </c>
      <c r="B6" s="209" t="s">
        <v>41</v>
      </c>
      <c r="C6" s="211"/>
      <c r="D6" s="210"/>
      <c r="F6" s="9" t="s">
        <v>2</v>
      </c>
      <c r="G6" s="209" t="s">
        <v>42</v>
      </c>
      <c r="H6" s="211"/>
      <c r="I6" s="210"/>
      <c r="K6" s="9" t="s">
        <v>0</v>
      </c>
      <c r="L6" s="209" t="s">
        <v>129</v>
      </c>
      <c r="M6" s="211"/>
      <c r="N6" s="210"/>
    </row>
    <row r="7" spans="1:15" ht="22.2" thickTop="1" thickBot="1" x14ac:dyDescent="0.45"/>
    <row r="8" spans="1:15" ht="22.2" thickTop="1" thickBot="1" x14ac:dyDescent="0.45">
      <c r="A8" s="9" t="s">
        <v>43</v>
      </c>
      <c r="B8" s="209" t="e">
        <f>'التعليم المسرع'!#REF!+'التعليم المسرع'!#REF!</f>
        <v>#REF!</v>
      </c>
      <c r="C8" s="211"/>
      <c r="D8" s="210"/>
      <c r="F8" s="9" t="s">
        <v>3</v>
      </c>
      <c r="G8" s="209" t="e">
        <f>'التعليم المسرع'!#REF!</f>
        <v>#REF!</v>
      </c>
      <c r="H8" s="211"/>
      <c r="I8" s="210"/>
      <c r="K8" s="9" t="s">
        <v>4</v>
      </c>
      <c r="L8" s="209" t="e">
        <f>'التعليم المسرع'!#REF!</f>
        <v>#REF!</v>
      </c>
      <c r="M8" s="211"/>
      <c r="N8" s="210"/>
    </row>
    <row r="9" spans="1:15" ht="21.6" thickTop="1" x14ac:dyDescent="0.4"/>
    <row r="10" spans="1:15" ht="21.6" thickBot="1" x14ac:dyDescent="0.45"/>
    <row r="11" spans="1:15" ht="22.2" thickTop="1" thickBot="1" x14ac:dyDescent="0.45">
      <c r="B11" s="209" t="s">
        <v>5</v>
      </c>
      <c r="C11" s="210"/>
      <c r="F11" s="209" t="s">
        <v>6</v>
      </c>
      <c r="G11" s="211"/>
      <c r="H11" s="210"/>
      <c r="K11" s="209" t="s">
        <v>7</v>
      </c>
      <c r="L11" s="211"/>
      <c r="M11" s="210"/>
    </row>
    <row r="12" spans="1:15" ht="22.2" thickTop="1" thickBot="1" x14ac:dyDescent="0.45">
      <c r="B12" s="10" t="s">
        <v>8</v>
      </c>
      <c r="C12" s="11" t="s">
        <v>9</v>
      </c>
      <c r="F12" s="12" t="s">
        <v>10</v>
      </c>
      <c r="G12" s="13" t="s">
        <v>11</v>
      </c>
      <c r="H12" s="14" t="s">
        <v>12</v>
      </c>
      <c r="K12" s="10" t="s">
        <v>13</v>
      </c>
      <c r="L12" s="15" t="s">
        <v>14</v>
      </c>
      <c r="M12" s="11" t="s">
        <v>15</v>
      </c>
    </row>
    <row r="13" spans="1:15" ht="22.2" thickTop="1" thickBot="1" x14ac:dyDescent="0.45">
      <c r="B13" s="16" t="e">
        <f>'التعليم المسرع'!#REF!</f>
        <v>#REF!</v>
      </c>
      <c r="C13" s="17" t="e">
        <f>'التعليم المسرع'!#REF!</f>
        <v>#REF!</v>
      </c>
      <c r="F13" s="18" t="e">
        <f>'التعليم المسرع'!#REF!</f>
        <v>#REF!</v>
      </c>
      <c r="G13" s="19" t="e">
        <f>'التعليم المسرع'!#REF!</f>
        <v>#REF!</v>
      </c>
      <c r="H13" s="20" t="e">
        <f>'التعليم المسرع'!#REF!</f>
        <v>#REF!</v>
      </c>
      <c r="K13" s="16" t="e">
        <f>'التعليم المسرع'!#REF!</f>
        <v>#REF!</v>
      </c>
      <c r="L13" s="21" t="e">
        <f>'التعليم المسرع'!#REF!</f>
        <v>#REF!</v>
      </c>
      <c r="M13" s="17" t="e">
        <f>SUM(K13:L13)</f>
        <v>#REF!</v>
      </c>
    </row>
    <row r="14" spans="1:15" ht="21.6" thickTop="1" x14ac:dyDescent="0.4"/>
    <row r="15" spans="1:15" ht="21.6" thickBot="1" x14ac:dyDescent="0.45"/>
    <row r="16" spans="1:15" ht="31.5" customHeight="1" thickTop="1" thickBot="1" x14ac:dyDescent="0.45">
      <c r="B16" s="209" t="s">
        <v>20</v>
      </c>
      <c r="C16" s="211"/>
      <c r="D16" s="211"/>
      <c r="E16" s="211"/>
      <c r="F16" s="211"/>
      <c r="G16" s="210"/>
      <c r="J16" s="209" t="s">
        <v>30</v>
      </c>
      <c r="K16" s="211"/>
      <c r="L16" s="211"/>
      <c r="M16" s="211"/>
      <c r="N16" s="210"/>
    </row>
    <row r="17" spans="2:14" ht="28.5" customHeight="1" thickTop="1" thickBot="1" x14ac:dyDescent="0.45">
      <c r="B17" s="22" t="s">
        <v>16</v>
      </c>
      <c r="C17" s="23" t="s">
        <v>10</v>
      </c>
      <c r="D17" s="23" t="s">
        <v>11</v>
      </c>
      <c r="E17" s="23" t="s">
        <v>12</v>
      </c>
      <c r="F17" s="167" t="s">
        <v>15</v>
      </c>
      <c r="G17" s="168"/>
      <c r="J17" s="194" t="s">
        <v>31</v>
      </c>
      <c r="K17" s="195" t="s">
        <v>44</v>
      </c>
      <c r="L17" s="195" t="s">
        <v>45</v>
      </c>
      <c r="M17" s="195" t="s">
        <v>46</v>
      </c>
      <c r="N17" s="196" t="s">
        <v>47</v>
      </c>
    </row>
    <row r="18" spans="2:14" ht="22.2" thickTop="1" thickBot="1" x14ac:dyDescent="0.45">
      <c r="B18" s="170" t="s">
        <v>17</v>
      </c>
      <c r="C18" s="170" t="e">
        <f>'التعليم المسرع'!#REF!</f>
        <v>#REF!</v>
      </c>
      <c r="D18" s="170" t="e">
        <f>'التعليم المسرع'!#REF!</f>
        <v>#REF!</v>
      </c>
      <c r="E18" s="170" t="e">
        <f>'التعليم المسرع'!#REF!</f>
        <v>#REF!</v>
      </c>
      <c r="F18" s="172" t="e">
        <f>C18+D18+E18</f>
        <v>#REF!</v>
      </c>
      <c r="G18" s="173"/>
      <c r="J18" s="190"/>
      <c r="K18" s="189"/>
      <c r="L18" s="189"/>
      <c r="M18" s="189"/>
      <c r="N18" s="192"/>
    </row>
    <row r="19" spans="2:14" ht="22.2" thickTop="1" thickBot="1" x14ac:dyDescent="0.45">
      <c r="B19" s="171"/>
      <c r="C19" s="171"/>
      <c r="D19" s="171"/>
      <c r="E19" s="171"/>
      <c r="F19" s="174"/>
      <c r="G19" s="175"/>
      <c r="J19" s="190" t="s">
        <v>13</v>
      </c>
      <c r="K19" s="189" t="e">
        <f>'التعليم المسرع'!#REF!</f>
        <v>#REF!</v>
      </c>
      <c r="L19" s="189" t="e">
        <f>'التعليم المسرع'!#REF!</f>
        <v>#REF!</v>
      </c>
      <c r="M19" s="189" t="e">
        <f>'التعليم المسرع'!#REF!</f>
        <v>#REF!</v>
      </c>
      <c r="N19" s="192" t="e">
        <f>SUM(K19:M19)</f>
        <v>#REF!</v>
      </c>
    </row>
    <row r="20" spans="2:14" ht="22.2" thickTop="1" thickBot="1" x14ac:dyDescent="0.45">
      <c r="B20" s="170" t="s">
        <v>18</v>
      </c>
      <c r="C20" s="170" t="e">
        <f>'التعليم المسرع'!#REF!</f>
        <v>#REF!</v>
      </c>
      <c r="D20" s="170" t="e">
        <f>'التعليم المسرع'!#REF!</f>
        <v>#REF!</v>
      </c>
      <c r="E20" s="170" t="e">
        <f>'التعليم المسرع'!#REF!</f>
        <v>#REF!</v>
      </c>
      <c r="F20" s="172" t="e">
        <f t="shared" ref="F20" si="0">C20+D20+E20</f>
        <v>#REF!</v>
      </c>
      <c r="G20" s="173"/>
      <c r="J20" s="190"/>
      <c r="K20" s="189"/>
      <c r="L20" s="189"/>
      <c r="M20" s="189"/>
      <c r="N20" s="192"/>
    </row>
    <row r="21" spans="2:14" ht="22.2" thickTop="1" thickBot="1" x14ac:dyDescent="0.45">
      <c r="B21" s="171"/>
      <c r="C21" s="171"/>
      <c r="D21" s="171"/>
      <c r="E21" s="171"/>
      <c r="F21" s="174"/>
      <c r="G21" s="175"/>
      <c r="J21" s="190" t="s">
        <v>14</v>
      </c>
      <c r="K21" s="189" t="e">
        <f>'التعليم المسرع'!#REF!</f>
        <v>#REF!</v>
      </c>
      <c r="L21" s="189" t="e">
        <f>'التعليم المسرع'!#REF!</f>
        <v>#REF!</v>
      </c>
      <c r="M21" s="189" t="e">
        <f>'التعليم المسرع'!#REF!</f>
        <v>#REF!</v>
      </c>
      <c r="N21" s="192" t="e">
        <f>SUM(K21:M21)</f>
        <v>#REF!</v>
      </c>
    </row>
    <row r="22" spans="2:14" ht="22.2" thickTop="1" thickBot="1" x14ac:dyDescent="0.45">
      <c r="B22" s="170" t="s">
        <v>19</v>
      </c>
      <c r="C22" s="170" t="e">
        <f>'التعليم المسرع'!#REF!</f>
        <v>#REF!</v>
      </c>
      <c r="D22" s="170" t="e">
        <f>'التعليم المسرع'!#REF!</f>
        <v>#REF!</v>
      </c>
      <c r="E22" s="170" t="e">
        <f>'التعليم المسرع'!#REF!</f>
        <v>#REF!</v>
      </c>
      <c r="F22" s="172" t="e">
        <f t="shared" ref="F22" si="1">C22+D22+E22</f>
        <v>#REF!</v>
      </c>
      <c r="G22" s="173"/>
      <c r="J22" s="190"/>
      <c r="K22" s="189"/>
      <c r="L22" s="189"/>
      <c r="M22" s="189"/>
      <c r="N22" s="192"/>
    </row>
    <row r="23" spans="2:14" ht="22.2" thickTop="1" thickBot="1" x14ac:dyDescent="0.45">
      <c r="B23" s="171"/>
      <c r="C23" s="171"/>
      <c r="D23" s="171"/>
      <c r="E23" s="171"/>
      <c r="F23" s="174"/>
      <c r="G23" s="175"/>
      <c r="J23" s="190" t="s">
        <v>15</v>
      </c>
      <c r="K23" s="189" t="e">
        <f>K19+K21</f>
        <v>#REF!</v>
      </c>
      <c r="L23" s="189" t="e">
        <f t="shared" ref="L23:N23" si="2">L19+L21</f>
        <v>#REF!</v>
      </c>
      <c r="M23" s="189" t="e">
        <f t="shared" si="2"/>
        <v>#REF!</v>
      </c>
      <c r="N23" s="192" t="e">
        <f t="shared" si="2"/>
        <v>#REF!</v>
      </c>
    </row>
    <row r="24" spans="2:14" ht="32.25" customHeight="1" thickTop="1" thickBot="1" x14ac:dyDescent="0.45">
      <c r="B24" s="24" t="s">
        <v>15</v>
      </c>
      <c r="C24" s="25" t="e">
        <f>SUM(C18:C23)</f>
        <v>#REF!</v>
      </c>
      <c r="D24" s="25" t="e">
        <f>SUM(D18:D23)</f>
        <v>#REF!</v>
      </c>
      <c r="E24" s="25" t="e">
        <f>SUM(E18:E23)</f>
        <v>#REF!</v>
      </c>
      <c r="F24" s="185" t="e">
        <f>C24+D24+E24</f>
        <v>#REF!</v>
      </c>
      <c r="G24" s="166"/>
      <c r="J24" s="193"/>
      <c r="K24" s="191"/>
      <c r="L24" s="191"/>
      <c r="M24" s="191"/>
      <c r="N24" s="208"/>
    </row>
    <row r="25" spans="2:14" ht="22.2" thickTop="1" thickBot="1" x14ac:dyDescent="0.45"/>
    <row r="26" spans="2:14" ht="31.5" customHeight="1" thickTop="1" thickBot="1" x14ac:dyDescent="0.45">
      <c r="B26" s="165" t="s">
        <v>39</v>
      </c>
      <c r="C26" s="169"/>
      <c r="D26" s="169"/>
      <c r="E26" s="169"/>
      <c r="F26" s="169"/>
      <c r="G26" s="169"/>
      <c r="H26" s="169"/>
      <c r="I26" s="169"/>
      <c r="J26" s="169"/>
      <c r="K26" s="166"/>
      <c r="L26" s="26"/>
      <c r="M26" s="26"/>
    </row>
    <row r="27" spans="2:14" ht="37.5" customHeight="1" thickTop="1" thickBot="1" x14ac:dyDescent="0.45">
      <c r="B27" s="212" t="s">
        <v>40</v>
      </c>
      <c r="C27" s="206" t="s">
        <v>32</v>
      </c>
      <c r="D27" s="206" t="s">
        <v>33</v>
      </c>
      <c r="E27" s="206" t="s">
        <v>34</v>
      </c>
      <c r="F27" s="223" t="s">
        <v>35</v>
      </c>
      <c r="G27" s="206" t="s">
        <v>36</v>
      </c>
      <c r="H27" s="206" t="s">
        <v>37</v>
      </c>
      <c r="I27" s="206" t="s">
        <v>38</v>
      </c>
      <c r="J27" s="195" t="s">
        <v>15</v>
      </c>
      <c r="K27" s="196"/>
      <c r="L27" s="26"/>
      <c r="M27" s="26"/>
    </row>
    <row r="28" spans="2:14" ht="46.5" customHeight="1" thickTop="1" thickBot="1" x14ac:dyDescent="0.45">
      <c r="B28" s="213"/>
      <c r="C28" s="207"/>
      <c r="D28" s="207"/>
      <c r="E28" s="207"/>
      <c r="F28" s="224"/>
      <c r="G28" s="207"/>
      <c r="H28" s="207"/>
      <c r="I28" s="207"/>
      <c r="J28" s="189"/>
      <c r="K28" s="192"/>
      <c r="L28" s="26"/>
      <c r="M28" s="26"/>
    </row>
    <row r="29" spans="2:14" ht="22.2" thickTop="1" thickBot="1" x14ac:dyDescent="0.45">
      <c r="B29" s="190" t="s">
        <v>13</v>
      </c>
      <c r="C29" s="189" t="e">
        <f>'التعليم المسرع'!#REF!</f>
        <v>#REF!</v>
      </c>
      <c r="D29" s="189" t="e">
        <f>'التعليم المسرع'!#REF!</f>
        <v>#REF!</v>
      </c>
      <c r="E29" s="189" t="e">
        <f>'التعليم المسرع'!#REF!</f>
        <v>#REF!</v>
      </c>
      <c r="F29" s="189" t="e">
        <f>'التعليم المسرع'!#REF!</f>
        <v>#REF!</v>
      </c>
      <c r="G29" s="189" t="e">
        <f>'التعليم المسرع'!#REF!</f>
        <v>#REF!</v>
      </c>
      <c r="H29" s="189" t="e">
        <f>'التعليم المسرع'!#REF!</f>
        <v>#REF!</v>
      </c>
      <c r="I29" s="189" t="e">
        <f>'التعليم المسرع'!#REF!</f>
        <v>#REF!</v>
      </c>
      <c r="J29" s="189" t="e">
        <f>I29+H29+G29+F29+E29+D29+C29</f>
        <v>#REF!</v>
      </c>
      <c r="K29" s="192"/>
      <c r="L29" s="26"/>
      <c r="M29" s="26"/>
    </row>
    <row r="30" spans="2:14" ht="22.2" thickTop="1" thickBot="1" x14ac:dyDescent="0.45">
      <c r="B30" s="190"/>
      <c r="C30" s="189"/>
      <c r="D30" s="189"/>
      <c r="E30" s="189"/>
      <c r="F30" s="189"/>
      <c r="G30" s="189"/>
      <c r="H30" s="189"/>
      <c r="I30" s="189"/>
      <c r="J30" s="189"/>
      <c r="K30" s="192"/>
      <c r="L30" s="26"/>
      <c r="M30" s="26"/>
    </row>
    <row r="31" spans="2:14" ht="22.2" thickTop="1" thickBot="1" x14ac:dyDescent="0.45">
      <c r="B31" s="190" t="s">
        <v>14</v>
      </c>
      <c r="C31" s="189" t="e">
        <f>'التعليم المسرع'!#REF!</f>
        <v>#REF!</v>
      </c>
      <c r="D31" s="189" t="e">
        <f>'التعليم المسرع'!#REF!</f>
        <v>#REF!</v>
      </c>
      <c r="E31" s="189" t="e">
        <f>'التعليم المسرع'!#REF!</f>
        <v>#REF!</v>
      </c>
      <c r="F31" s="189" t="e">
        <f>'التعليم المسرع'!#REF!</f>
        <v>#REF!</v>
      </c>
      <c r="G31" s="189" t="e">
        <f>'التعليم المسرع'!#REF!</f>
        <v>#REF!</v>
      </c>
      <c r="H31" s="189" t="e">
        <f>'التعليم المسرع'!#REF!</f>
        <v>#REF!</v>
      </c>
      <c r="I31" s="189" t="e">
        <f>'التعليم المسرع'!#REF!</f>
        <v>#REF!</v>
      </c>
      <c r="J31" s="189" t="e">
        <f t="shared" ref="J31" si="3">I31+H31+G31+F31+E31+D31+C31</f>
        <v>#REF!</v>
      </c>
      <c r="K31" s="192"/>
      <c r="L31" s="26"/>
      <c r="M31" s="26"/>
    </row>
    <row r="32" spans="2:14" ht="22.2" thickTop="1" thickBot="1" x14ac:dyDescent="0.45">
      <c r="B32" s="190"/>
      <c r="C32" s="189"/>
      <c r="D32" s="189"/>
      <c r="E32" s="189"/>
      <c r="F32" s="189"/>
      <c r="G32" s="189"/>
      <c r="H32" s="189"/>
      <c r="I32" s="189"/>
      <c r="J32" s="189"/>
      <c r="K32" s="192"/>
      <c r="L32" s="26"/>
      <c r="M32" s="26"/>
    </row>
    <row r="33" spans="1:14" ht="22.2" thickTop="1" thickBot="1" x14ac:dyDescent="0.45">
      <c r="B33" s="190" t="s">
        <v>15</v>
      </c>
      <c r="C33" s="189" t="e">
        <f>C29+C31</f>
        <v>#REF!</v>
      </c>
      <c r="D33" s="189" t="e">
        <f t="shared" ref="D33:I33" si="4">D29+D31</f>
        <v>#REF!</v>
      </c>
      <c r="E33" s="189" t="e">
        <f t="shared" si="4"/>
        <v>#REF!</v>
      </c>
      <c r="F33" s="189" t="e">
        <f t="shared" si="4"/>
        <v>#REF!</v>
      </c>
      <c r="G33" s="189" t="e">
        <f t="shared" si="4"/>
        <v>#REF!</v>
      </c>
      <c r="H33" s="189" t="e">
        <f t="shared" si="4"/>
        <v>#REF!</v>
      </c>
      <c r="I33" s="189" t="e">
        <f t="shared" si="4"/>
        <v>#REF!</v>
      </c>
      <c r="J33" s="189" t="e">
        <f t="shared" ref="J33" si="5">I33+H33+G33+F33+E33+D33+C33</f>
        <v>#REF!</v>
      </c>
      <c r="K33" s="192"/>
      <c r="L33" s="26"/>
      <c r="M33" s="26"/>
    </row>
    <row r="34" spans="1:14" ht="22.2" thickTop="1" thickBot="1" x14ac:dyDescent="0.45">
      <c r="B34" s="193"/>
      <c r="C34" s="191"/>
      <c r="D34" s="191"/>
      <c r="E34" s="191"/>
      <c r="F34" s="191"/>
      <c r="G34" s="191"/>
      <c r="H34" s="191"/>
      <c r="I34" s="191"/>
      <c r="J34" s="191"/>
      <c r="K34" s="208"/>
      <c r="L34" s="26"/>
      <c r="M34" s="26"/>
    </row>
    <row r="35" spans="1:14" ht="21.6" thickTop="1" x14ac:dyDescent="0.4"/>
    <row r="36" spans="1:14" x14ac:dyDescent="0.4">
      <c r="A36" s="181" t="s">
        <v>55</v>
      </c>
      <c r="B36" s="181"/>
      <c r="C36" s="181"/>
    </row>
    <row r="37" spans="1:14" x14ac:dyDescent="0.4">
      <c r="A37" s="181" t="s">
        <v>56</v>
      </c>
      <c r="B37" s="181"/>
      <c r="C37" s="181"/>
      <c r="D37" s="181"/>
      <c r="L37" s="181" t="s">
        <v>174</v>
      </c>
      <c r="M37" s="181"/>
      <c r="N37" s="181"/>
    </row>
    <row r="38" spans="1:14" x14ac:dyDescent="0.4">
      <c r="D38" s="9" t="s">
        <v>53</v>
      </c>
    </row>
    <row r="39" spans="1:14" ht="21.6" thickBot="1" x14ac:dyDescent="0.45"/>
    <row r="40" spans="1:14" ht="30.75" customHeight="1" thickTop="1" thickBot="1" x14ac:dyDescent="0.45">
      <c r="B40" s="194" t="s">
        <v>28</v>
      </c>
      <c r="C40" s="195" t="s">
        <v>17</v>
      </c>
      <c r="D40" s="195"/>
      <c r="E40" s="195" t="s">
        <v>18</v>
      </c>
      <c r="F40" s="195"/>
      <c r="G40" s="195" t="s">
        <v>19</v>
      </c>
      <c r="H40" s="195"/>
      <c r="I40" s="195" t="s">
        <v>29</v>
      </c>
      <c r="J40" s="195"/>
      <c r="K40" s="196"/>
      <c r="L40" s="26"/>
      <c r="M40" s="26"/>
      <c r="N40" s="26"/>
    </row>
    <row r="41" spans="1:14" ht="30.75" customHeight="1" thickTop="1" thickBot="1" x14ac:dyDescent="0.45">
      <c r="B41" s="190"/>
      <c r="C41" s="48" t="s">
        <v>10</v>
      </c>
      <c r="D41" s="48" t="s">
        <v>11</v>
      </c>
      <c r="E41" s="48" t="s">
        <v>10</v>
      </c>
      <c r="F41" s="48" t="s">
        <v>11</v>
      </c>
      <c r="G41" s="48" t="s">
        <v>10</v>
      </c>
      <c r="H41" s="48" t="s">
        <v>11</v>
      </c>
      <c r="I41" s="48" t="s">
        <v>10</v>
      </c>
      <c r="J41" s="48" t="s">
        <v>11</v>
      </c>
      <c r="K41" s="49" t="s">
        <v>15</v>
      </c>
      <c r="L41" s="26"/>
      <c r="M41" s="26"/>
      <c r="N41" s="26"/>
    </row>
    <row r="42" spans="1:14" ht="22.2" thickTop="1" thickBot="1" x14ac:dyDescent="0.45">
      <c r="B42" s="190" t="s">
        <v>21</v>
      </c>
      <c r="C42" s="189" t="e">
        <f>'التعليم المسرع'!#REF!</f>
        <v>#REF!</v>
      </c>
      <c r="D42" s="189" t="e">
        <f>'التعليم المسرع'!#REF!</f>
        <v>#REF!</v>
      </c>
      <c r="E42" s="189" t="e">
        <f>'التعليم المسرع'!#REF!</f>
        <v>#REF!</v>
      </c>
      <c r="F42" s="189" t="e">
        <f>'التعليم المسرع'!#REF!</f>
        <v>#REF!</v>
      </c>
      <c r="G42" s="189" t="e">
        <f>'التعليم المسرع'!#REF!</f>
        <v>#REF!</v>
      </c>
      <c r="H42" s="189" t="e">
        <f>'التعليم المسرع'!#REF!</f>
        <v>#REF!</v>
      </c>
      <c r="I42" s="189" t="e">
        <f>C42+E42+G42</f>
        <v>#REF!</v>
      </c>
      <c r="J42" s="189" t="e">
        <f>D42+F42+H42</f>
        <v>#REF!</v>
      </c>
      <c r="K42" s="192" t="e">
        <f>SUM(I42:J42)</f>
        <v>#REF!</v>
      </c>
      <c r="L42" s="26"/>
      <c r="M42" s="26"/>
      <c r="N42" s="26"/>
    </row>
    <row r="43" spans="1:14" ht="22.2" thickTop="1" thickBot="1" x14ac:dyDescent="0.45">
      <c r="B43" s="190"/>
      <c r="C43" s="189"/>
      <c r="D43" s="189"/>
      <c r="E43" s="189"/>
      <c r="F43" s="189"/>
      <c r="G43" s="189"/>
      <c r="H43" s="189"/>
      <c r="I43" s="189"/>
      <c r="J43" s="189"/>
      <c r="K43" s="192"/>
      <c r="L43" s="26"/>
      <c r="M43" s="26"/>
      <c r="N43" s="26"/>
    </row>
    <row r="44" spans="1:14" ht="22.2" thickTop="1" thickBot="1" x14ac:dyDescent="0.45">
      <c r="B44" s="190" t="s">
        <v>22</v>
      </c>
      <c r="C44" s="189" t="e">
        <f>'التعليم المسرع'!#REF!</f>
        <v>#REF!</v>
      </c>
      <c r="D44" s="189" t="e">
        <f>'التعليم المسرع'!#REF!</f>
        <v>#REF!</v>
      </c>
      <c r="E44" s="189" t="e">
        <f>'التعليم المسرع'!#REF!</f>
        <v>#REF!</v>
      </c>
      <c r="F44" s="189" t="e">
        <f>'التعليم المسرع'!#REF!</f>
        <v>#REF!</v>
      </c>
      <c r="G44" s="189" t="e">
        <f>'التعليم المسرع'!#REF!</f>
        <v>#REF!</v>
      </c>
      <c r="H44" s="189" t="e">
        <f>'التعليم المسرع'!#REF!</f>
        <v>#REF!</v>
      </c>
      <c r="I44" s="189" t="e">
        <f t="shared" ref="I44:J44" si="6">C44+E44+G44</f>
        <v>#REF!</v>
      </c>
      <c r="J44" s="189" t="e">
        <f t="shared" si="6"/>
        <v>#REF!</v>
      </c>
      <c r="K44" s="192" t="e">
        <f t="shared" ref="K44" si="7">SUM(I44:J44)</f>
        <v>#REF!</v>
      </c>
      <c r="L44" s="26"/>
      <c r="M44" s="26"/>
      <c r="N44" s="26"/>
    </row>
    <row r="45" spans="1:14" ht="22.2" thickTop="1" thickBot="1" x14ac:dyDescent="0.45">
      <c r="B45" s="190"/>
      <c r="C45" s="189"/>
      <c r="D45" s="189"/>
      <c r="E45" s="189"/>
      <c r="F45" s="189"/>
      <c r="G45" s="189"/>
      <c r="H45" s="189"/>
      <c r="I45" s="189"/>
      <c r="J45" s="189"/>
      <c r="K45" s="192"/>
      <c r="L45" s="26"/>
      <c r="M45" s="26"/>
      <c r="N45" s="26"/>
    </row>
    <row r="46" spans="1:14" ht="22.2" thickTop="1" thickBot="1" x14ac:dyDescent="0.45">
      <c r="B46" s="190" t="s">
        <v>23</v>
      </c>
      <c r="C46" s="189" t="e">
        <f>'التعليم المسرع'!#REF!</f>
        <v>#REF!</v>
      </c>
      <c r="D46" s="189" t="e">
        <f>'التعليم المسرع'!#REF!</f>
        <v>#REF!</v>
      </c>
      <c r="E46" s="189" t="e">
        <f>'التعليم المسرع'!#REF!</f>
        <v>#REF!</v>
      </c>
      <c r="F46" s="189" t="e">
        <f>'التعليم المسرع'!#REF!</f>
        <v>#REF!</v>
      </c>
      <c r="G46" s="189" t="e">
        <f>'التعليم المسرع'!#REF!</f>
        <v>#REF!</v>
      </c>
      <c r="H46" s="189" t="e">
        <f>'التعليم المسرع'!#REF!</f>
        <v>#REF!</v>
      </c>
      <c r="I46" s="189" t="e">
        <f t="shared" ref="I46:J46" si="8">C46+E46+G46</f>
        <v>#REF!</v>
      </c>
      <c r="J46" s="189" t="e">
        <f t="shared" si="8"/>
        <v>#REF!</v>
      </c>
      <c r="K46" s="192" t="e">
        <f t="shared" ref="K46" si="9">SUM(I46:J46)</f>
        <v>#REF!</v>
      </c>
      <c r="L46" s="26"/>
      <c r="M46" s="26"/>
      <c r="N46" s="26"/>
    </row>
    <row r="47" spans="1:14" ht="22.2" thickTop="1" thickBot="1" x14ac:dyDescent="0.45">
      <c r="B47" s="190"/>
      <c r="C47" s="189"/>
      <c r="D47" s="189"/>
      <c r="E47" s="189"/>
      <c r="F47" s="189"/>
      <c r="G47" s="189"/>
      <c r="H47" s="189"/>
      <c r="I47" s="189"/>
      <c r="J47" s="189"/>
      <c r="K47" s="192"/>
      <c r="L47" s="26"/>
      <c r="M47" s="26"/>
      <c r="N47" s="26"/>
    </row>
    <row r="48" spans="1:14" ht="22.2" thickTop="1" thickBot="1" x14ac:dyDescent="0.45">
      <c r="B48" s="190" t="s">
        <v>24</v>
      </c>
      <c r="C48" s="189" t="e">
        <f>'التعليم المسرع'!#REF!</f>
        <v>#REF!</v>
      </c>
      <c r="D48" s="189" t="e">
        <f>'التعليم المسرع'!#REF!</f>
        <v>#REF!</v>
      </c>
      <c r="E48" s="189" t="e">
        <f>'التعليم المسرع'!#REF!</f>
        <v>#REF!</v>
      </c>
      <c r="F48" s="189" t="e">
        <f>'التعليم المسرع'!#REF!</f>
        <v>#REF!</v>
      </c>
      <c r="G48" s="189" t="e">
        <f>'التعليم المسرع'!#REF!</f>
        <v>#REF!</v>
      </c>
      <c r="H48" s="189" t="e">
        <f>'التعليم المسرع'!#REF!</f>
        <v>#REF!</v>
      </c>
      <c r="I48" s="189" t="e">
        <f t="shared" ref="I48:J48" si="10">C48+E48+G48</f>
        <v>#REF!</v>
      </c>
      <c r="J48" s="189" t="e">
        <f t="shared" si="10"/>
        <v>#REF!</v>
      </c>
      <c r="K48" s="192" t="e">
        <f t="shared" ref="K48" si="11">SUM(I48:J48)</f>
        <v>#REF!</v>
      </c>
      <c r="L48" s="26"/>
      <c r="M48" s="26"/>
      <c r="N48" s="26"/>
    </row>
    <row r="49" spans="1:16" ht="22.2" thickTop="1" thickBot="1" x14ac:dyDescent="0.45">
      <c r="B49" s="190"/>
      <c r="C49" s="189"/>
      <c r="D49" s="189"/>
      <c r="E49" s="189"/>
      <c r="F49" s="189"/>
      <c r="G49" s="189"/>
      <c r="H49" s="189"/>
      <c r="I49" s="189"/>
      <c r="J49" s="189"/>
      <c r="K49" s="192"/>
      <c r="L49" s="26"/>
      <c r="M49" s="26"/>
      <c r="N49" s="26"/>
    </row>
    <row r="50" spans="1:16" ht="22.2" thickTop="1" thickBot="1" x14ac:dyDescent="0.45">
      <c r="B50" s="190" t="s">
        <v>25</v>
      </c>
      <c r="C50" s="189" t="e">
        <f>'التعليم المسرع'!#REF!</f>
        <v>#REF!</v>
      </c>
      <c r="D50" s="189" t="e">
        <f>'التعليم المسرع'!#REF!</f>
        <v>#REF!</v>
      </c>
      <c r="E50" s="189" t="e">
        <f>'التعليم المسرع'!#REF!</f>
        <v>#REF!</v>
      </c>
      <c r="F50" s="189" t="e">
        <f>'التعليم المسرع'!#REF!</f>
        <v>#REF!</v>
      </c>
      <c r="G50" s="189" t="e">
        <f>'التعليم المسرع'!#REF!</f>
        <v>#REF!</v>
      </c>
      <c r="H50" s="189" t="e">
        <f>'التعليم المسرع'!#REF!</f>
        <v>#REF!</v>
      </c>
      <c r="I50" s="189" t="e">
        <f t="shared" ref="I50:J50" si="12">C50+E50+G50</f>
        <v>#REF!</v>
      </c>
      <c r="J50" s="189" t="e">
        <f t="shared" si="12"/>
        <v>#REF!</v>
      </c>
      <c r="K50" s="192" t="e">
        <f t="shared" ref="K50" si="13">SUM(I50:J50)</f>
        <v>#REF!</v>
      </c>
      <c r="L50" s="26"/>
      <c r="M50" s="26"/>
      <c r="N50" s="26"/>
    </row>
    <row r="51" spans="1:16" ht="22.2" thickTop="1" thickBot="1" x14ac:dyDescent="0.45">
      <c r="B51" s="190"/>
      <c r="C51" s="189"/>
      <c r="D51" s="189"/>
      <c r="E51" s="189"/>
      <c r="F51" s="189"/>
      <c r="G51" s="189"/>
      <c r="H51" s="189"/>
      <c r="I51" s="189"/>
      <c r="J51" s="189"/>
      <c r="K51" s="192"/>
      <c r="L51" s="26"/>
      <c r="M51" s="26"/>
      <c r="N51" s="26"/>
    </row>
    <row r="52" spans="1:16" ht="22.2" thickTop="1" thickBot="1" x14ac:dyDescent="0.45">
      <c r="B52" s="190" t="s">
        <v>26</v>
      </c>
      <c r="C52" s="189" t="e">
        <f>'التعليم المسرع'!#REF!</f>
        <v>#REF!</v>
      </c>
      <c r="D52" s="189" t="e">
        <f>'التعليم المسرع'!#REF!</f>
        <v>#REF!</v>
      </c>
      <c r="E52" s="189" t="e">
        <f>'التعليم المسرع'!#REF!</f>
        <v>#REF!</v>
      </c>
      <c r="F52" s="189" t="e">
        <f>'التعليم المسرع'!#REF!</f>
        <v>#REF!</v>
      </c>
      <c r="G52" s="189" t="e">
        <f>'التعليم المسرع'!#REF!</f>
        <v>#REF!</v>
      </c>
      <c r="H52" s="189" t="e">
        <f>'التعليم المسرع'!#REF!</f>
        <v>#REF!</v>
      </c>
      <c r="I52" s="189" t="e">
        <f t="shared" ref="I52:J52" si="14">C52+E52+G52</f>
        <v>#REF!</v>
      </c>
      <c r="J52" s="189" t="e">
        <f t="shared" si="14"/>
        <v>#REF!</v>
      </c>
      <c r="K52" s="192" t="e">
        <f t="shared" ref="K52" si="15">SUM(I52:J52)</f>
        <v>#REF!</v>
      </c>
      <c r="L52" s="26"/>
      <c r="M52" s="26"/>
      <c r="N52" s="26"/>
    </row>
    <row r="53" spans="1:16" ht="22.2" thickTop="1" thickBot="1" x14ac:dyDescent="0.45">
      <c r="B53" s="190"/>
      <c r="C53" s="189"/>
      <c r="D53" s="189"/>
      <c r="E53" s="189"/>
      <c r="F53" s="189"/>
      <c r="G53" s="189"/>
      <c r="H53" s="189"/>
      <c r="I53" s="189"/>
      <c r="J53" s="189"/>
      <c r="K53" s="192"/>
    </row>
    <row r="54" spans="1:16" ht="22.2" thickTop="1" thickBot="1" x14ac:dyDescent="0.45">
      <c r="B54" s="190" t="s">
        <v>27</v>
      </c>
      <c r="C54" s="189" t="e">
        <f>'التعليم المسرع'!#REF!</f>
        <v>#REF!</v>
      </c>
      <c r="D54" s="189" t="e">
        <f>'التعليم المسرع'!#REF!</f>
        <v>#REF!</v>
      </c>
      <c r="E54" s="189" t="e">
        <f>'التعليم المسرع'!#REF!</f>
        <v>#REF!</v>
      </c>
      <c r="F54" s="189" t="e">
        <f>'التعليم المسرع'!#REF!</f>
        <v>#REF!</v>
      </c>
      <c r="G54" s="189" t="e">
        <f>'التعليم المسرع'!#REF!</f>
        <v>#REF!</v>
      </c>
      <c r="H54" s="189" t="e">
        <f>'التعليم المسرع'!#REF!</f>
        <v>#REF!</v>
      </c>
      <c r="I54" s="189" t="e">
        <f t="shared" ref="I54:J54" si="16">C54+E54+G54</f>
        <v>#REF!</v>
      </c>
      <c r="J54" s="189" t="e">
        <f t="shared" si="16"/>
        <v>#REF!</v>
      </c>
      <c r="K54" s="192" t="e">
        <f t="shared" ref="K54" si="17">SUM(I54:J54)</f>
        <v>#REF!</v>
      </c>
    </row>
    <row r="55" spans="1:16" ht="22.2" thickTop="1" thickBot="1" x14ac:dyDescent="0.45">
      <c r="B55" s="190"/>
      <c r="C55" s="189"/>
      <c r="D55" s="189"/>
      <c r="E55" s="189"/>
      <c r="F55" s="189"/>
      <c r="G55" s="189"/>
      <c r="H55" s="189"/>
      <c r="I55" s="189"/>
      <c r="J55" s="189"/>
      <c r="K55" s="192"/>
    </row>
    <row r="56" spans="1:16" ht="22.2" thickTop="1" thickBot="1" x14ac:dyDescent="0.45">
      <c r="B56" s="190" t="s">
        <v>15</v>
      </c>
      <c r="C56" s="189" t="e">
        <f t="shared" ref="C56:H56" si="18">C42+C44+C46+C48+C50+C52+C54</f>
        <v>#REF!</v>
      </c>
      <c r="D56" s="189" t="e">
        <f t="shared" si="18"/>
        <v>#REF!</v>
      </c>
      <c r="E56" s="189" t="e">
        <f t="shared" si="18"/>
        <v>#REF!</v>
      </c>
      <c r="F56" s="189" t="e">
        <f t="shared" si="18"/>
        <v>#REF!</v>
      </c>
      <c r="G56" s="189" t="e">
        <f t="shared" si="18"/>
        <v>#REF!</v>
      </c>
      <c r="H56" s="189" t="e">
        <f t="shared" si="18"/>
        <v>#REF!</v>
      </c>
      <c r="I56" s="189" t="e">
        <f>C56+E56+G56</f>
        <v>#REF!</v>
      </c>
      <c r="J56" s="189" t="e">
        <f t="shared" ref="J56" si="19">D56+F56+H56</f>
        <v>#REF!</v>
      </c>
      <c r="K56" s="192" t="e">
        <f t="shared" ref="K56" si="20">SUM(I56:J56)</f>
        <v>#REF!</v>
      </c>
    </row>
    <row r="57" spans="1:16" ht="22.2" thickTop="1" thickBot="1" x14ac:dyDescent="0.45">
      <c r="B57" s="193"/>
      <c r="C57" s="191"/>
      <c r="D57" s="191"/>
      <c r="E57" s="191"/>
      <c r="F57" s="191"/>
      <c r="G57" s="191"/>
      <c r="H57" s="191"/>
      <c r="I57" s="191"/>
      <c r="J57" s="191"/>
      <c r="K57" s="208"/>
    </row>
    <row r="58" spans="1:16" ht="21.6" thickTop="1" x14ac:dyDescent="0.4"/>
    <row r="59" spans="1:16" ht="21.6" thickBot="1" x14ac:dyDescent="0.45">
      <c r="G59" s="26"/>
    </row>
    <row r="60" spans="1:16" ht="32.25" customHeight="1" thickTop="1" thickBot="1" x14ac:dyDescent="0.45">
      <c r="A60" s="194"/>
      <c r="B60" s="206" t="s">
        <v>267</v>
      </c>
      <c r="C60" s="206"/>
      <c r="D60" s="206"/>
      <c r="E60" s="206" t="s">
        <v>272</v>
      </c>
      <c r="F60" s="206"/>
      <c r="G60" s="206"/>
      <c r="H60" s="195" t="s">
        <v>273</v>
      </c>
      <c r="I60" s="195"/>
      <c r="J60" s="195"/>
      <c r="K60" s="195"/>
      <c r="L60" s="195"/>
      <c r="M60" s="195"/>
      <c r="N60" s="195" t="s">
        <v>15</v>
      </c>
      <c r="O60" s="195"/>
      <c r="P60" s="196"/>
    </row>
    <row r="61" spans="1:16" ht="31.5" customHeight="1" thickTop="1" thickBot="1" x14ac:dyDescent="0.45">
      <c r="A61" s="190"/>
      <c r="B61" s="207"/>
      <c r="C61" s="207"/>
      <c r="D61" s="207"/>
      <c r="E61" s="207"/>
      <c r="F61" s="207"/>
      <c r="G61" s="207"/>
      <c r="H61" s="189" t="s">
        <v>185</v>
      </c>
      <c r="I61" s="189"/>
      <c r="J61" s="189" t="s">
        <v>186</v>
      </c>
      <c r="K61" s="189"/>
      <c r="L61" s="189" t="s">
        <v>187</v>
      </c>
      <c r="M61" s="189"/>
      <c r="N61" s="189"/>
      <c r="O61" s="189"/>
      <c r="P61" s="192"/>
    </row>
    <row r="62" spans="1:16" ht="22.2" thickTop="1" thickBot="1" x14ac:dyDescent="0.45">
      <c r="A62" s="190"/>
      <c r="B62" s="189" t="s">
        <v>10</v>
      </c>
      <c r="C62" s="189" t="s">
        <v>11</v>
      </c>
      <c r="D62" s="189" t="s">
        <v>15</v>
      </c>
      <c r="E62" s="189" t="s">
        <v>10</v>
      </c>
      <c r="F62" s="189" t="s">
        <v>11</v>
      </c>
      <c r="G62" s="189" t="s">
        <v>15</v>
      </c>
      <c r="H62" s="189" t="s">
        <v>10</v>
      </c>
      <c r="I62" s="189" t="s">
        <v>11</v>
      </c>
      <c r="J62" s="189" t="s">
        <v>10</v>
      </c>
      <c r="K62" s="189" t="s">
        <v>11</v>
      </c>
      <c r="L62" s="189" t="s">
        <v>10</v>
      </c>
      <c r="M62" s="189" t="s">
        <v>11</v>
      </c>
      <c r="N62" s="189" t="s">
        <v>10</v>
      </c>
      <c r="O62" s="189" t="s">
        <v>11</v>
      </c>
      <c r="P62" s="192" t="s">
        <v>15</v>
      </c>
    </row>
    <row r="63" spans="1:16" ht="22.2" thickTop="1" thickBot="1" x14ac:dyDescent="0.45">
      <c r="A63" s="190"/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92"/>
    </row>
    <row r="64" spans="1:16" ht="22.2" thickTop="1" thickBot="1" x14ac:dyDescent="0.45">
      <c r="A64" s="190" t="s">
        <v>17</v>
      </c>
      <c r="B64" s="189" t="e">
        <f>'التعليم المسرع'!#REF!</f>
        <v>#REF!</v>
      </c>
      <c r="C64" s="189" t="e">
        <f>'التعليم المسرع'!#REF!</f>
        <v>#REF!</v>
      </c>
      <c r="D64" s="189" t="e">
        <f>C64+B64</f>
        <v>#REF!</v>
      </c>
      <c r="E64" s="189" t="e">
        <f>'التعليم المسرع'!#REF!</f>
        <v>#REF!</v>
      </c>
      <c r="F64" s="189" t="e">
        <f>'التعليم المسرع'!#REF!</f>
        <v>#REF!</v>
      </c>
      <c r="G64" s="189" t="e">
        <f>F64+E64</f>
        <v>#REF!</v>
      </c>
      <c r="H64" s="189" t="e">
        <f>'التعليم المسرع'!#REF!</f>
        <v>#REF!</v>
      </c>
      <c r="I64" s="189" t="e">
        <f>'التعليم المسرع'!#REF!</f>
        <v>#REF!</v>
      </c>
      <c r="J64" s="189" t="e">
        <f>'التعليم المسرع'!#REF!</f>
        <v>#REF!</v>
      </c>
      <c r="K64" s="189" t="e">
        <f>'التعليم المسرع'!#REF!</f>
        <v>#REF!</v>
      </c>
      <c r="L64" s="189" t="e">
        <f>'التعليم المسرع'!#REF!</f>
        <v>#REF!</v>
      </c>
      <c r="M64" s="189" t="e">
        <f>'التعليم المسرع'!#REF!</f>
        <v>#REF!</v>
      </c>
      <c r="N64" s="189" t="e">
        <f>L64+J64+H64</f>
        <v>#REF!</v>
      </c>
      <c r="O64" s="189" t="e">
        <f>M64+K64+I64</f>
        <v>#REF!</v>
      </c>
      <c r="P64" s="192" t="e">
        <f>O64+N64</f>
        <v>#REF!</v>
      </c>
    </row>
    <row r="65" spans="1:16" ht="22.2" thickTop="1" thickBot="1" x14ac:dyDescent="0.45">
      <c r="A65" s="190"/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92"/>
    </row>
    <row r="66" spans="1:16" ht="22.2" thickTop="1" thickBot="1" x14ac:dyDescent="0.45">
      <c r="A66" s="190" t="s">
        <v>18</v>
      </c>
      <c r="B66" s="189" t="e">
        <f>'التعليم المسرع'!#REF!</f>
        <v>#REF!</v>
      </c>
      <c r="C66" s="189" t="e">
        <f>'التعليم المسرع'!#REF!</f>
        <v>#REF!</v>
      </c>
      <c r="D66" s="189" t="e">
        <f t="shared" ref="D66" si="21">C66+B66</f>
        <v>#REF!</v>
      </c>
      <c r="E66" s="189" t="e">
        <f>'التعليم المسرع'!#REF!</f>
        <v>#REF!</v>
      </c>
      <c r="F66" s="189" t="e">
        <f>'التعليم المسرع'!#REF!</f>
        <v>#REF!</v>
      </c>
      <c r="G66" s="189" t="e">
        <f t="shared" ref="G66" si="22">F66+E66</f>
        <v>#REF!</v>
      </c>
      <c r="H66" s="189" t="e">
        <f>'التعليم المسرع'!#REF!</f>
        <v>#REF!</v>
      </c>
      <c r="I66" s="189" t="e">
        <f>'التعليم المسرع'!#REF!</f>
        <v>#REF!</v>
      </c>
      <c r="J66" s="189" t="e">
        <f>'التعليم المسرع'!#REF!</f>
        <v>#REF!</v>
      </c>
      <c r="K66" s="189" t="e">
        <f>'التعليم المسرع'!#REF!</f>
        <v>#REF!</v>
      </c>
      <c r="L66" s="189" t="e">
        <f>'التعليم المسرع'!#REF!</f>
        <v>#REF!</v>
      </c>
      <c r="M66" s="189" t="e">
        <f>'التعليم المسرع'!#REF!</f>
        <v>#REF!</v>
      </c>
      <c r="N66" s="189" t="e">
        <f t="shared" ref="N66:O66" si="23">L66+J66+H66</f>
        <v>#REF!</v>
      </c>
      <c r="O66" s="189" t="e">
        <f t="shared" si="23"/>
        <v>#REF!</v>
      </c>
      <c r="P66" s="192" t="e">
        <f t="shared" ref="P66" si="24">O66+N66</f>
        <v>#REF!</v>
      </c>
    </row>
    <row r="67" spans="1:16" ht="22.2" thickTop="1" thickBot="1" x14ac:dyDescent="0.45">
      <c r="A67" s="190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92"/>
    </row>
    <row r="68" spans="1:16" ht="22.2" thickTop="1" thickBot="1" x14ac:dyDescent="0.45">
      <c r="A68" s="190" t="s">
        <v>19</v>
      </c>
      <c r="B68" s="189" t="e">
        <f>'التعليم المسرع'!#REF!</f>
        <v>#REF!</v>
      </c>
      <c r="C68" s="189" t="e">
        <f>'التعليم المسرع'!#REF!</f>
        <v>#REF!</v>
      </c>
      <c r="D68" s="189" t="e">
        <f t="shared" ref="D68" si="25">C68+B68</f>
        <v>#REF!</v>
      </c>
      <c r="E68" s="189" t="e">
        <f>'التعليم المسرع'!#REF!</f>
        <v>#REF!</v>
      </c>
      <c r="F68" s="189" t="e">
        <f>'التعليم المسرع'!#REF!</f>
        <v>#REF!</v>
      </c>
      <c r="G68" s="189" t="e">
        <f t="shared" ref="G68" si="26">F68+E68</f>
        <v>#REF!</v>
      </c>
      <c r="H68" s="189" t="e">
        <f>'التعليم المسرع'!#REF!</f>
        <v>#REF!</v>
      </c>
      <c r="I68" s="189" t="e">
        <f>'التعليم المسرع'!#REF!</f>
        <v>#REF!</v>
      </c>
      <c r="J68" s="189" t="e">
        <f>'التعليم المسرع'!#REF!</f>
        <v>#REF!</v>
      </c>
      <c r="K68" s="189" t="e">
        <f>'التعليم المسرع'!#REF!</f>
        <v>#REF!</v>
      </c>
      <c r="L68" s="189" t="e">
        <f>'التعليم المسرع'!#REF!</f>
        <v>#REF!</v>
      </c>
      <c r="M68" s="189" t="e">
        <f>'التعليم المسرع'!#REF!</f>
        <v>#REF!</v>
      </c>
      <c r="N68" s="189" t="e">
        <f t="shared" ref="N68:O68" si="27">L68+J68+H68</f>
        <v>#REF!</v>
      </c>
      <c r="O68" s="189" t="e">
        <f t="shared" si="27"/>
        <v>#REF!</v>
      </c>
      <c r="P68" s="192" t="e">
        <f t="shared" ref="P68" si="28">O68+N68</f>
        <v>#REF!</v>
      </c>
    </row>
    <row r="69" spans="1:16" ht="22.2" thickTop="1" thickBot="1" x14ac:dyDescent="0.45">
      <c r="A69" s="193"/>
      <c r="B69" s="191"/>
      <c r="C69" s="191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208"/>
    </row>
    <row r="70" spans="1:16" ht="21.6" thickTop="1" x14ac:dyDescent="0.4"/>
  </sheetData>
  <mergeCells count="248">
    <mergeCell ref="A64:A65"/>
    <mergeCell ref="A66:A67"/>
    <mergeCell ref="A68:A69"/>
    <mergeCell ref="A60:A63"/>
    <mergeCell ref="B60:D61"/>
    <mergeCell ref="E60:G61"/>
    <mergeCell ref="H60:M60"/>
    <mergeCell ref="N60:P61"/>
    <mergeCell ref="H61:I61"/>
    <mergeCell ref="J61:K61"/>
    <mergeCell ref="L61:M61"/>
    <mergeCell ref="D62:D63"/>
    <mergeCell ref="G62:G63"/>
    <mergeCell ref="J62:J63"/>
    <mergeCell ref="K62:K63"/>
    <mergeCell ref="L62:L63"/>
    <mergeCell ref="M62:M63"/>
    <mergeCell ref="D64:D65"/>
    <mergeCell ref="D66:D67"/>
    <mergeCell ref="D68:D69"/>
    <mergeCell ref="G64:G65"/>
    <mergeCell ref="G66:G67"/>
    <mergeCell ref="G68:G69"/>
    <mergeCell ref="J64:J65"/>
    <mergeCell ref="P66:P67"/>
    <mergeCell ref="C64:C65"/>
    <mergeCell ref="C66:C67"/>
    <mergeCell ref="C68:C69"/>
    <mergeCell ref="N68:N69"/>
    <mergeCell ref="O68:O69"/>
    <mergeCell ref="P68:P69"/>
    <mergeCell ref="P62:P63"/>
    <mergeCell ref="N64:N65"/>
    <mergeCell ref="O64:O65"/>
    <mergeCell ref="P64:P65"/>
    <mergeCell ref="E64:E65"/>
    <mergeCell ref="F64:F65"/>
    <mergeCell ref="E66:E67"/>
    <mergeCell ref="F66:F67"/>
    <mergeCell ref="E68:E69"/>
    <mergeCell ref="F68:F69"/>
    <mergeCell ref="N66:N67"/>
    <mergeCell ref="O66:O67"/>
    <mergeCell ref="H64:H65"/>
    <mergeCell ref="I64:I65"/>
    <mergeCell ref="H66:H67"/>
    <mergeCell ref="I66:I67"/>
    <mergeCell ref="H68:H69"/>
    <mergeCell ref="B68:B69"/>
    <mergeCell ref="B62:B63"/>
    <mergeCell ref="C62:C63"/>
    <mergeCell ref="E62:E63"/>
    <mergeCell ref="F62:F63"/>
    <mergeCell ref="H62:H63"/>
    <mergeCell ref="I62:I63"/>
    <mergeCell ref="N62:N63"/>
    <mergeCell ref="O62:O63"/>
    <mergeCell ref="B66:B67"/>
    <mergeCell ref="I68:I69"/>
    <mergeCell ref="K64:K65"/>
    <mergeCell ref="L64:L65"/>
    <mergeCell ref="M64:M65"/>
    <mergeCell ref="J66:J67"/>
    <mergeCell ref="K66:K67"/>
    <mergeCell ref="L66:L67"/>
    <mergeCell ref="M66:M67"/>
    <mergeCell ref="J68:J69"/>
    <mergeCell ref="K68:K69"/>
    <mergeCell ref="L68:L69"/>
    <mergeCell ref="M68:M69"/>
    <mergeCell ref="B8:D8"/>
    <mergeCell ref="G8:I8"/>
    <mergeCell ref="L8:N8"/>
    <mergeCell ref="B11:C11"/>
    <mergeCell ref="F11:H11"/>
    <mergeCell ref="K11:M11"/>
    <mergeCell ref="A1:C1"/>
    <mergeCell ref="A2:D2"/>
    <mergeCell ref="A3:O3"/>
    <mergeCell ref="B6:D6"/>
    <mergeCell ref="G6:I6"/>
    <mergeCell ref="L6:N6"/>
    <mergeCell ref="M2:O2"/>
    <mergeCell ref="B16:G16"/>
    <mergeCell ref="F17:G17"/>
    <mergeCell ref="B18:B19"/>
    <mergeCell ref="C18:C19"/>
    <mergeCell ref="D18:D19"/>
    <mergeCell ref="E18:E19"/>
    <mergeCell ref="F18:G19"/>
    <mergeCell ref="B64:B65"/>
    <mergeCell ref="B20:B21"/>
    <mergeCell ref="C20:C21"/>
    <mergeCell ref="D20:D21"/>
    <mergeCell ref="E20:E21"/>
    <mergeCell ref="F20:G21"/>
    <mergeCell ref="B22:B23"/>
    <mergeCell ref="C22:C23"/>
    <mergeCell ref="D22:D23"/>
    <mergeCell ref="E22:E23"/>
    <mergeCell ref="F22:G23"/>
    <mergeCell ref="F24:G24"/>
    <mergeCell ref="A36:C36"/>
    <mergeCell ref="A37:D37"/>
    <mergeCell ref="B40:B41"/>
    <mergeCell ref="C40:D40"/>
    <mergeCell ref="E40:F40"/>
    <mergeCell ref="G40:H40"/>
    <mergeCell ref="I40:K40"/>
    <mergeCell ref="L37:N37"/>
    <mergeCell ref="K42:K43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K44:K45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K46:K47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K48:K49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I54:I55"/>
    <mergeCell ref="J54:J55"/>
    <mergeCell ref="K50:K51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K56:K57"/>
    <mergeCell ref="J16:N16"/>
    <mergeCell ref="J17:J18"/>
    <mergeCell ref="K17:K18"/>
    <mergeCell ref="L17:L18"/>
    <mergeCell ref="M17:M18"/>
    <mergeCell ref="N17:N18"/>
    <mergeCell ref="K54:K55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B54:B55"/>
    <mergeCell ref="C54:C55"/>
    <mergeCell ref="D54:D55"/>
    <mergeCell ref="E54:E55"/>
    <mergeCell ref="F54:F55"/>
    <mergeCell ref="G54:G55"/>
    <mergeCell ref="H54:H55"/>
    <mergeCell ref="J19:J20"/>
    <mergeCell ref="K19:K20"/>
    <mergeCell ref="L19:L20"/>
    <mergeCell ref="M19:M20"/>
    <mergeCell ref="N19:N20"/>
    <mergeCell ref="J21:J22"/>
    <mergeCell ref="K21:K22"/>
    <mergeCell ref="L21:L22"/>
    <mergeCell ref="M21:M22"/>
    <mergeCell ref="N21:N22"/>
    <mergeCell ref="F27:F28"/>
    <mergeCell ref="G27:G28"/>
    <mergeCell ref="H27:H28"/>
    <mergeCell ref="J23:J24"/>
    <mergeCell ref="K23:K24"/>
    <mergeCell ref="L23:L24"/>
    <mergeCell ref="M23:M24"/>
    <mergeCell ref="N23:N24"/>
    <mergeCell ref="B26:K26"/>
    <mergeCell ref="I27:I28"/>
    <mergeCell ref="J27:K28"/>
    <mergeCell ref="B27:B28"/>
    <mergeCell ref="C27:C28"/>
    <mergeCell ref="D27:D28"/>
    <mergeCell ref="E27:E28"/>
    <mergeCell ref="B33:B34"/>
    <mergeCell ref="C33:C34"/>
    <mergeCell ref="D33:D34"/>
    <mergeCell ref="E33:E34"/>
    <mergeCell ref="F33:F34"/>
    <mergeCell ref="G33:G34"/>
    <mergeCell ref="H33:H34"/>
    <mergeCell ref="I33:I34"/>
    <mergeCell ref="J33:K34"/>
    <mergeCell ref="I29:I30"/>
    <mergeCell ref="J29:K30"/>
    <mergeCell ref="B31:B32"/>
    <mergeCell ref="C31:C32"/>
    <mergeCell ref="D31:D32"/>
    <mergeCell ref="E31:E32"/>
    <mergeCell ref="F31:F32"/>
    <mergeCell ref="G31:G32"/>
    <mergeCell ref="H31:H32"/>
    <mergeCell ref="I31:I32"/>
    <mergeCell ref="J31:K32"/>
    <mergeCell ref="B29:B30"/>
    <mergeCell ref="C29:C30"/>
    <mergeCell ref="D29:D30"/>
    <mergeCell ref="E29:E30"/>
    <mergeCell ref="F29:F30"/>
    <mergeCell ref="G29:G30"/>
    <mergeCell ref="H29:H30"/>
  </mergeCells>
  <printOptions horizontalCentered="1" verticalCentered="1"/>
  <pageMargins left="0.19685039370078741" right="0.27559055118110237" top="0.19685039370078741" bottom="0.19685039370078741" header="0.19685039370078741" footer="0.19685039370078741"/>
  <pageSetup paperSize="9" scale="65" orientation="landscape" horizontalDpi="300" verticalDpi="300" r:id="rId1"/>
  <rowBreaks count="1" manualBreakCount="1">
    <brk id="3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69"/>
  <sheetViews>
    <sheetView rightToLeft="1" view="pageBreakPreview" zoomScale="60" workbookViewId="0">
      <selection activeCell="L31" sqref="L31"/>
    </sheetView>
  </sheetViews>
  <sheetFormatPr defaultColWidth="9" defaultRowHeight="21" x14ac:dyDescent="0.4"/>
  <cols>
    <col min="1" max="1" width="14.69921875" style="9" customWidth="1"/>
    <col min="2" max="2" width="15.8984375" style="9" customWidth="1"/>
    <col min="3" max="3" width="10.796875" style="9" customWidth="1"/>
    <col min="4" max="6" width="9" style="9"/>
    <col min="7" max="7" width="9.796875" style="9" bestFit="1" customWidth="1"/>
    <col min="8" max="8" width="9" style="9"/>
    <col min="9" max="9" width="10.296875" style="9" customWidth="1"/>
    <col min="10" max="10" width="11.296875" style="9" customWidth="1"/>
    <col min="11" max="11" width="10.296875" style="9" customWidth="1"/>
    <col min="12" max="16384" width="9" style="9"/>
  </cols>
  <sheetData>
    <row r="1" spans="1:15" x14ac:dyDescent="0.4">
      <c r="A1" s="181" t="s">
        <v>55</v>
      </c>
      <c r="B1" s="181"/>
      <c r="C1" s="181"/>
    </row>
    <row r="2" spans="1:15" x14ac:dyDescent="0.4">
      <c r="A2" s="181" t="s">
        <v>56</v>
      </c>
      <c r="B2" s="181"/>
      <c r="C2" s="181"/>
      <c r="D2" s="181"/>
      <c r="M2" s="181"/>
      <c r="N2" s="181"/>
      <c r="O2" s="181"/>
    </row>
    <row r="3" spans="1:15" x14ac:dyDescent="0.4">
      <c r="A3" s="181" t="s">
        <v>53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</row>
    <row r="4" spans="1:15" x14ac:dyDescent="0.4">
      <c r="E4" s="9" t="s">
        <v>266</v>
      </c>
    </row>
    <row r="5" spans="1:15" ht="21.6" thickBot="1" x14ac:dyDescent="0.45"/>
    <row r="6" spans="1:15" ht="22.2" thickTop="1" thickBot="1" x14ac:dyDescent="0.45">
      <c r="A6" s="9" t="s">
        <v>1</v>
      </c>
      <c r="B6" s="209" t="s">
        <v>41</v>
      </c>
      <c r="C6" s="211"/>
      <c r="D6" s="210"/>
      <c r="F6" s="9" t="s">
        <v>2</v>
      </c>
      <c r="G6" s="209" t="s">
        <v>42</v>
      </c>
      <c r="H6" s="211"/>
      <c r="I6" s="210"/>
      <c r="K6" s="9" t="s">
        <v>0</v>
      </c>
      <c r="L6" s="209" t="s">
        <v>137</v>
      </c>
      <c r="M6" s="211"/>
      <c r="N6" s="210"/>
    </row>
    <row r="7" spans="1:15" ht="22.2" thickTop="1" thickBot="1" x14ac:dyDescent="0.45"/>
    <row r="8" spans="1:15" ht="22.2" thickTop="1" thickBot="1" x14ac:dyDescent="0.45">
      <c r="A8" s="9" t="s">
        <v>43</v>
      </c>
      <c r="B8" s="209" t="e">
        <f>'التعليم المسرع'!#REF!+'التعليم المسرع'!#REF!</f>
        <v>#REF!</v>
      </c>
      <c r="C8" s="211"/>
      <c r="D8" s="210"/>
      <c r="F8" s="9" t="s">
        <v>3</v>
      </c>
      <c r="G8" s="209" t="e">
        <f>'التعليم المسرع'!#REF!</f>
        <v>#REF!</v>
      </c>
      <c r="H8" s="211"/>
      <c r="I8" s="210"/>
      <c r="K8" s="9" t="s">
        <v>4</v>
      </c>
      <c r="L8" s="209" t="e">
        <f>'التعليم المسرع'!#REF!</f>
        <v>#REF!</v>
      </c>
      <c r="M8" s="211"/>
      <c r="N8" s="210"/>
    </row>
    <row r="9" spans="1:15" ht="21.6" thickTop="1" x14ac:dyDescent="0.4"/>
    <row r="10" spans="1:15" ht="21.6" thickBot="1" x14ac:dyDescent="0.45"/>
    <row r="11" spans="1:15" ht="22.2" thickTop="1" thickBot="1" x14ac:dyDescent="0.45">
      <c r="B11" s="209" t="s">
        <v>5</v>
      </c>
      <c r="C11" s="210"/>
      <c r="F11" s="209" t="s">
        <v>6</v>
      </c>
      <c r="G11" s="211"/>
      <c r="H11" s="210"/>
      <c r="K11" s="209" t="s">
        <v>7</v>
      </c>
      <c r="L11" s="211"/>
      <c r="M11" s="210"/>
    </row>
    <row r="12" spans="1:15" ht="28.5" customHeight="1" thickTop="1" thickBot="1" x14ac:dyDescent="0.45">
      <c r="B12" s="10" t="s">
        <v>8</v>
      </c>
      <c r="C12" s="11" t="s">
        <v>9</v>
      </c>
      <c r="F12" s="12" t="s">
        <v>10</v>
      </c>
      <c r="G12" s="13" t="s">
        <v>11</v>
      </c>
      <c r="H12" s="14" t="s">
        <v>12</v>
      </c>
      <c r="K12" s="10" t="s">
        <v>13</v>
      </c>
      <c r="L12" s="15" t="s">
        <v>14</v>
      </c>
      <c r="M12" s="11" t="s">
        <v>15</v>
      </c>
    </row>
    <row r="13" spans="1:15" ht="30" customHeight="1" thickTop="1" thickBot="1" x14ac:dyDescent="0.45">
      <c r="B13" s="16" t="e">
        <f>'التعليم المسرع'!#REF!</f>
        <v>#REF!</v>
      </c>
      <c r="C13" s="17" t="e">
        <f>'التعليم المسرع'!#REF!</f>
        <v>#REF!</v>
      </c>
      <c r="F13" s="18" t="e">
        <f>'التعليم المسرع'!#REF!</f>
        <v>#REF!</v>
      </c>
      <c r="G13" s="19" t="e">
        <f>'التعليم المسرع'!#REF!</f>
        <v>#REF!</v>
      </c>
      <c r="H13" s="20" t="e">
        <f>'التعليم المسرع'!#REF!</f>
        <v>#REF!</v>
      </c>
      <c r="K13" s="16" t="e">
        <f>'التعليم المسرع'!#REF!</f>
        <v>#REF!</v>
      </c>
      <c r="L13" s="21" t="e">
        <f>'التعليم المسرع'!#REF!</f>
        <v>#REF!</v>
      </c>
      <c r="M13" s="17" t="e">
        <f>SUM(K13:L13)</f>
        <v>#REF!</v>
      </c>
    </row>
    <row r="14" spans="1:15" ht="21.6" thickTop="1" x14ac:dyDescent="0.4"/>
    <row r="15" spans="1:15" ht="21.6" thickBot="1" x14ac:dyDescent="0.45"/>
    <row r="16" spans="1:15" ht="29.25" customHeight="1" thickTop="1" thickBot="1" x14ac:dyDescent="0.45">
      <c r="B16" s="165" t="s">
        <v>20</v>
      </c>
      <c r="C16" s="169"/>
      <c r="D16" s="169"/>
      <c r="E16" s="169"/>
      <c r="F16" s="169"/>
      <c r="G16" s="166"/>
      <c r="J16" s="165" t="s">
        <v>30</v>
      </c>
      <c r="K16" s="169"/>
      <c r="L16" s="169"/>
      <c r="M16" s="169"/>
      <c r="N16" s="166"/>
    </row>
    <row r="17" spans="2:14" ht="22.2" thickTop="1" thickBot="1" x14ac:dyDescent="0.45">
      <c r="B17" s="22" t="s">
        <v>16</v>
      </c>
      <c r="C17" s="23" t="s">
        <v>10</v>
      </c>
      <c r="D17" s="23" t="s">
        <v>11</v>
      </c>
      <c r="E17" s="23" t="s">
        <v>12</v>
      </c>
      <c r="F17" s="167" t="s">
        <v>15</v>
      </c>
      <c r="G17" s="168"/>
      <c r="J17" s="194" t="s">
        <v>31</v>
      </c>
      <c r="K17" s="195" t="s">
        <v>44</v>
      </c>
      <c r="L17" s="195" t="s">
        <v>45</v>
      </c>
      <c r="M17" s="195" t="s">
        <v>46</v>
      </c>
      <c r="N17" s="196" t="s">
        <v>47</v>
      </c>
    </row>
    <row r="18" spans="2:14" ht="22.2" thickTop="1" thickBot="1" x14ac:dyDescent="0.45">
      <c r="B18" s="170" t="s">
        <v>17</v>
      </c>
      <c r="C18" s="170" t="e">
        <f>'التعليم المسرع'!#REF!</f>
        <v>#REF!</v>
      </c>
      <c r="D18" s="170" t="e">
        <f>'التعليم المسرع'!#REF!</f>
        <v>#REF!</v>
      </c>
      <c r="E18" s="170" t="e">
        <f>'التعليم المسرع'!#REF!</f>
        <v>#REF!</v>
      </c>
      <c r="F18" s="172" t="e">
        <f>C18+D18+E18</f>
        <v>#REF!</v>
      </c>
      <c r="G18" s="173"/>
      <c r="J18" s="190"/>
      <c r="K18" s="189"/>
      <c r="L18" s="189"/>
      <c r="M18" s="189"/>
      <c r="N18" s="192"/>
    </row>
    <row r="19" spans="2:14" ht="22.2" thickTop="1" thickBot="1" x14ac:dyDescent="0.45">
      <c r="B19" s="171"/>
      <c r="C19" s="171"/>
      <c r="D19" s="171"/>
      <c r="E19" s="171"/>
      <c r="F19" s="174"/>
      <c r="G19" s="175"/>
      <c r="J19" s="190" t="s">
        <v>13</v>
      </c>
      <c r="K19" s="189" t="e">
        <f>'التعليم المسرع'!#REF!</f>
        <v>#REF!</v>
      </c>
      <c r="L19" s="189" t="e">
        <f>'التعليم المسرع'!#REF!</f>
        <v>#REF!</v>
      </c>
      <c r="M19" s="189" t="e">
        <f>'التعليم المسرع'!#REF!</f>
        <v>#REF!</v>
      </c>
      <c r="N19" s="192" t="e">
        <f>SUM(K19:M19)</f>
        <v>#REF!</v>
      </c>
    </row>
    <row r="20" spans="2:14" ht="22.2" thickTop="1" thickBot="1" x14ac:dyDescent="0.45">
      <c r="B20" s="170" t="s">
        <v>18</v>
      </c>
      <c r="C20" s="170" t="e">
        <f>'التعليم المسرع'!#REF!</f>
        <v>#REF!</v>
      </c>
      <c r="D20" s="170" t="e">
        <f>'التعليم المسرع'!#REF!</f>
        <v>#REF!</v>
      </c>
      <c r="E20" s="170" t="e">
        <f>'التعليم المسرع'!#REF!</f>
        <v>#REF!</v>
      </c>
      <c r="F20" s="172" t="e">
        <f t="shared" ref="F20" si="0">C20+D20+E20</f>
        <v>#REF!</v>
      </c>
      <c r="G20" s="173"/>
      <c r="J20" s="190"/>
      <c r="K20" s="189"/>
      <c r="L20" s="189"/>
      <c r="M20" s="189"/>
      <c r="N20" s="192"/>
    </row>
    <row r="21" spans="2:14" ht="22.2" thickTop="1" thickBot="1" x14ac:dyDescent="0.45">
      <c r="B21" s="171"/>
      <c r="C21" s="171"/>
      <c r="D21" s="171"/>
      <c r="E21" s="171"/>
      <c r="F21" s="174"/>
      <c r="G21" s="175"/>
      <c r="J21" s="190" t="s">
        <v>14</v>
      </c>
      <c r="K21" s="189" t="e">
        <f>'التعليم المسرع'!#REF!</f>
        <v>#REF!</v>
      </c>
      <c r="L21" s="189" t="e">
        <f>'التعليم المسرع'!#REF!</f>
        <v>#REF!</v>
      </c>
      <c r="M21" s="189" t="e">
        <f>'التعليم المسرع'!#REF!</f>
        <v>#REF!</v>
      </c>
      <c r="N21" s="192" t="e">
        <f>SUM(K21:M21)</f>
        <v>#REF!</v>
      </c>
    </row>
    <row r="22" spans="2:14" ht="22.2" thickTop="1" thickBot="1" x14ac:dyDescent="0.45">
      <c r="B22" s="170" t="s">
        <v>19</v>
      </c>
      <c r="C22" s="170" t="e">
        <f>'التعليم المسرع'!#REF!</f>
        <v>#REF!</v>
      </c>
      <c r="D22" s="170" t="e">
        <f>'التعليم المسرع'!#REF!</f>
        <v>#REF!</v>
      </c>
      <c r="E22" s="170" t="e">
        <f>'التعليم المسرع'!#REF!</f>
        <v>#REF!</v>
      </c>
      <c r="F22" s="172" t="e">
        <f t="shared" ref="F22" si="1">C22+D22+E22</f>
        <v>#REF!</v>
      </c>
      <c r="G22" s="173"/>
      <c r="J22" s="190"/>
      <c r="K22" s="189"/>
      <c r="L22" s="189"/>
      <c r="M22" s="189"/>
      <c r="N22" s="192"/>
    </row>
    <row r="23" spans="2:14" ht="22.2" thickTop="1" thickBot="1" x14ac:dyDescent="0.45">
      <c r="B23" s="171"/>
      <c r="C23" s="171"/>
      <c r="D23" s="171"/>
      <c r="E23" s="171"/>
      <c r="F23" s="174"/>
      <c r="G23" s="175"/>
      <c r="J23" s="190" t="s">
        <v>15</v>
      </c>
      <c r="K23" s="189" t="e">
        <f>K19+K21</f>
        <v>#REF!</v>
      </c>
      <c r="L23" s="189" t="e">
        <f>L19+L21</f>
        <v>#REF!</v>
      </c>
      <c r="M23" s="189" t="e">
        <f t="shared" ref="M23:N23" si="2">M19+M21</f>
        <v>#REF!</v>
      </c>
      <c r="N23" s="192" t="e">
        <f t="shared" si="2"/>
        <v>#REF!</v>
      </c>
    </row>
    <row r="24" spans="2:14" ht="27.75" customHeight="1" thickTop="1" thickBot="1" x14ac:dyDescent="0.45">
      <c r="B24" s="24" t="s">
        <v>15</v>
      </c>
      <c r="C24" s="25" t="e">
        <f>SUM(C18:C23)</f>
        <v>#REF!</v>
      </c>
      <c r="D24" s="25" t="e">
        <f>SUM(D18:D23)</f>
        <v>#REF!</v>
      </c>
      <c r="E24" s="25" t="e">
        <f>SUM(E18:E23)</f>
        <v>#REF!</v>
      </c>
      <c r="F24" s="185" t="e">
        <f>C24+D24+E24</f>
        <v>#REF!</v>
      </c>
      <c r="G24" s="166"/>
      <c r="J24" s="193"/>
      <c r="K24" s="191"/>
      <c r="L24" s="191"/>
      <c r="M24" s="191"/>
      <c r="N24" s="208"/>
    </row>
    <row r="25" spans="2:14" ht="22.2" thickTop="1" thickBot="1" x14ac:dyDescent="0.45"/>
    <row r="26" spans="2:14" ht="29.25" customHeight="1" thickTop="1" thickBot="1" x14ac:dyDescent="0.45">
      <c r="B26" s="165" t="s">
        <v>39</v>
      </c>
      <c r="C26" s="169"/>
      <c r="D26" s="169"/>
      <c r="E26" s="169"/>
      <c r="F26" s="169"/>
      <c r="G26" s="169"/>
      <c r="H26" s="169"/>
      <c r="I26" s="169"/>
      <c r="J26" s="169"/>
      <c r="K26" s="166"/>
      <c r="L26" s="26"/>
      <c r="M26" s="26"/>
    </row>
    <row r="27" spans="2:14" ht="33.75" customHeight="1" thickTop="1" x14ac:dyDescent="0.4">
      <c r="B27" s="227" t="s">
        <v>40</v>
      </c>
      <c r="C27" s="227" t="s">
        <v>32</v>
      </c>
      <c r="D27" s="227" t="s">
        <v>33</v>
      </c>
      <c r="E27" s="227" t="s">
        <v>34</v>
      </c>
      <c r="F27" s="225" t="s">
        <v>35</v>
      </c>
      <c r="G27" s="227" t="s">
        <v>36</v>
      </c>
      <c r="H27" s="227" t="s">
        <v>37</v>
      </c>
      <c r="I27" s="227" t="s">
        <v>38</v>
      </c>
      <c r="J27" s="214" t="s">
        <v>15</v>
      </c>
      <c r="K27" s="216"/>
      <c r="L27" s="26"/>
      <c r="M27" s="26"/>
    </row>
    <row r="28" spans="2:14" ht="62.25" customHeight="1" thickBot="1" x14ac:dyDescent="0.45">
      <c r="B28" s="187"/>
      <c r="C28" s="187"/>
      <c r="D28" s="187"/>
      <c r="E28" s="187"/>
      <c r="F28" s="226"/>
      <c r="G28" s="187"/>
      <c r="H28" s="187"/>
      <c r="I28" s="187"/>
      <c r="J28" s="201"/>
      <c r="K28" s="202"/>
      <c r="L28" s="26"/>
      <c r="M28" s="26"/>
    </row>
    <row r="29" spans="2:14" ht="21.6" thickTop="1" x14ac:dyDescent="0.4">
      <c r="B29" s="170" t="s">
        <v>13</v>
      </c>
      <c r="C29" s="203" t="e">
        <f>'التعليم المسرع'!#REF!</f>
        <v>#REF!</v>
      </c>
      <c r="D29" s="203" t="e">
        <f>'التعليم المسرع'!#REF!</f>
        <v>#REF!</v>
      </c>
      <c r="E29" s="203" t="e">
        <f>'التعليم المسرع'!#REF!</f>
        <v>#REF!</v>
      </c>
      <c r="F29" s="203" t="e">
        <f>'التعليم المسرع'!#REF!</f>
        <v>#REF!</v>
      </c>
      <c r="G29" s="203" t="e">
        <f>'التعليم المسرع'!#REF!</f>
        <v>#REF!</v>
      </c>
      <c r="H29" s="203" t="e">
        <f>'التعليم المسرع'!#REF!</f>
        <v>#REF!</v>
      </c>
      <c r="I29" s="203" t="e">
        <f>'التعليم المسرع'!#REF!+'التعليم المسرع'!#REF!</f>
        <v>#REF!</v>
      </c>
      <c r="J29" s="199" t="e">
        <f>I29+H29+G29+F29+E29+D29+C29</f>
        <v>#REF!</v>
      </c>
      <c r="K29" s="200"/>
      <c r="L29" s="26"/>
      <c r="M29" s="26"/>
    </row>
    <row r="30" spans="2:14" ht="21.6" thickBot="1" x14ac:dyDescent="0.45">
      <c r="B30" s="171"/>
      <c r="C30" s="197"/>
      <c r="D30" s="197"/>
      <c r="E30" s="197"/>
      <c r="F30" s="197"/>
      <c r="G30" s="197"/>
      <c r="H30" s="197"/>
      <c r="I30" s="197"/>
      <c r="J30" s="201"/>
      <c r="K30" s="202"/>
      <c r="L30" s="26"/>
      <c r="M30" s="26"/>
    </row>
    <row r="31" spans="2:14" ht="21.6" thickTop="1" x14ac:dyDescent="0.4">
      <c r="B31" s="170" t="s">
        <v>14</v>
      </c>
      <c r="C31" s="203" t="e">
        <f>'التعليم المسرع'!#REF!</f>
        <v>#REF!</v>
      </c>
      <c r="D31" s="203" t="e">
        <f>'التعليم المسرع'!#REF!</f>
        <v>#REF!</v>
      </c>
      <c r="E31" s="203" t="e">
        <f>'التعليم المسرع'!#REF!</f>
        <v>#REF!</v>
      </c>
      <c r="F31" s="203" t="e">
        <f>'التعليم المسرع'!#REF!</f>
        <v>#REF!</v>
      </c>
      <c r="G31" s="203" t="e">
        <f>'التعليم المسرع'!#REF!</f>
        <v>#REF!</v>
      </c>
      <c r="H31" s="203" t="e">
        <f>'التعليم المسرع'!#REF!</f>
        <v>#REF!</v>
      </c>
      <c r="I31" s="203" t="e">
        <f>'التعليم المسرع'!#REF!+'التعليم المسرع'!#REF!</f>
        <v>#REF!</v>
      </c>
      <c r="J31" s="199" t="e">
        <f t="shared" ref="J31" si="3">I31+H31+G31+F31+E31+D31+C31</f>
        <v>#REF!</v>
      </c>
      <c r="K31" s="200"/>
      <c r="L31" s="26"/>
      <c r="M31" s="26"/>
    </row>
    <row r="32" spans="2:14" ht="21.6" thickBot="1" x14ac:dyDescent="0.45">
      <c r="B32" s="171"/>
      <c r="C32" s="197"/>
      <c r="D32" s="197"/>
      <c r="E32" s="197"/>
      <c r="F32" s="197"/>
      <c r="G32" s="197"/>
      <c r="H32" s="197"/>
      <c r="I32" s="197"/>
      <c r="J32" s="201"/>
      <c r="K32" s="202"/>
      <c r="L32" s="26"/>
      <c r="M32" s="26"/>
    </row>
    <row r="33" spans="1:20" ht="21.6" thickTop="1" x14ac:dyDescent="0.4">
      <c r="B33" s="170" t="s">
        <v>15</v>
      </c>
      <c r="C33" s="203" t="e">
        <f>C29+C31</f>
        <v>#REF!</v>
      </c>
      <c r="D33" s="203" t="e">
        <f t="shared" ref="D33:I33" si="4">D29+D31</f>
        <v>#REF!</v>
      </c>
      <c r="E33" s="203" t="e">
        <f t="shared" si="4"/>
        <v>#REF!</v>
      </c>
      <c r="F33" s="203" t="e">
        <f t="shared" si="4"/>
        <v>#REF!</v>
      </c>
      <c r="G33" s="203" t="e">
        <f t="shared" si="4"/>
        <v>#REF!</v>
      </c>
      <c r="H33" s="203" t="e">
        <f t="shared" si="4"/>
        <v>#REF!</v>
      </c>
      <c r="I33" s="203" t="e">
        <f t="shared" si="4"/>
        <v>#REF!</v>
      </c>
      <c r="J33" s="199" t="e">
        <f t="shared" ref="J33" si="5">I33+H33+G33+F33+E33+D33+C33</f>
        <v>#REF!</v>
      </c>
      <c r="K33" s="200"/>
      <c r="L33" s="26"/>
      <c r="M33" s="26"/>
    </row>
    <row r="34" spans="1:20" ht="21.6" thickBot="1" x14ac:dyDescent="0.45">
      <c r="B34" s="197"/>
      <c r="C34" s="197"/>
      <c r="D34" s="197"/>
      <c r="E34" s="197"/>
      <c r="F34" s="197"/>
      <c r="G34" s="197"/>
      <c r="H34" s="197"/>
      <c r="I34" s="197"/>
      <c r="J34" s="201"/>
      <c r="K34" s="202"/>
      <c r="L34" s="26"/>
      <c r="M34" s="26"/>
    </row>
    <row r="35" spans="1:20" ht="21.6" thickTop="1" x14ac:dyDescent="0.4"/>
    <row r="36" spans="1:20" x14ac:dyDescent="0.4">
      <c r="A36" s="181" t="s">
        <v>55</v>
      </c>
      <c r="B36" s="181"/>
      <c r="C36" s="181"/>
    </row>
    <row r="37" spans="1:20" x14ac:dyDescent="0.4">
      <c r="A37" s="181" t="s">
        <v>56</v>
      </c>
      <c r="B37" s="181"/>
      <c r="C37" s="181"/>
      <c r="D37" s="181"/>
      <c r="M37" s="181" t="s">
        <v>163</v>
      </c>
      <c r="N37" s="181"/>
      <c r="O37" s="181"/>
    </row>
    <row r="38" spans="1:20" x14ac:dyDescent="0.4">
      <c r="D38" s="9" t="s">
        <v>53</v>
      </c>
    </row>
    <row r="39" spans="1:20" ht="21.6" thickBot="1" x14ac:dyDescent="0.45"/>
    <row r="40" spans="1:20" ht="29.25" customHeight="1" thickTop="1" thickBot="1" x14ac:dyDescent="0.45">
      <c r="B40" s="194" t="s">
        <v>28</v>
      </c>
      <c r="C40" s="195" t="s">
        <v>17</v>
      </c>
      <c r="D40" s="195"/>
      <c r="E40" s="195" t="s">
        <v>18</v>
      </c>
      <c r="F40" s="195"/>
      <c r="G40" s="195" t="s">
        <v>19</v>
      </c>
      <c r="H40" s="195"/>
      <c r="I40" s="195" t="s">
        <v>29</v>
      </c>
      <c r="J40" s="195"/>
      <c r="K40" s="196"/>
      <c r="L40" s="26"/>
      <c r="M40" s="26"/>
      <c r="N40" s="26"/>
    </row>
    <row r="41" spans="1:20" ht="29.25" customHeight="1" thickTop="1" thickBot="1" x14ac:dyDescent="0.45">
      <c r="B41" s="190"/>
      <c r="C41" s="48" t="s">
        <v>10</v>
      </c>
      <c r="D41" s="48" t="s">
        <v>11</v>
      </c>
      <c r="E41" s="48" t="s">
        <v>10</v>
      </c>
      <c r="F41" s="48" t="s">
        <v>11</v>
      </c>
      <c r="G41" s="48" t="s">
        <v>10</v>
      </c>
      <c r="H41" s="48" t="s">
        <v>11</v>
      </c>
      <c r="I41" s="48" t="s">
        <v>10</v>
      </c>
      <c r="J41" s="48" t="s">
        <v>11</v>
      </c>
      <c r="K41" s="49" t="s">
        <v>15</v>
      </c>
      <c r="L41" s="26"/>
      <c r="M41" s="26"/>
      <c r="N41" s="26"/>
    </row>
    <row r="42" spans="1:20" ht="22.2" thickTop="1" thickBot="1" x14ac:dyDescent="0.45">
      <c r="B42" s="190" t="s">
        <v>21</v>
      </c>
      <c r="C42" s="189" t="e">
        <f>'التعليم المسرع'!#REF!</f>
        <v>#REF!</v>
      </c>
      <c r="D42" s="189" t="e">
        <f>'التعليم المسرع'!#REF!</f>
        <v>#REF!</v>
      </c>
      <c r="E42" s="189" t="e">
        <f>'التعليم المسرع'!#REF!</f>
        <v>#REF!</v>
      </c>
      <c r="F42" s="189" t="e">
        <f>'التعليم المسرع'!#REF!</f>
        <v>#REF!</v>
      </c>
      <c r="G42" s="189" t="e">
        <f>'التعليم المسرع'!#REF!</f>
        <v>#REF!</v>
      </c>
      <c r="H42" s="189" t="e">
        <f>'التعليم المسرع'!#REF!</f>
        <v>#REF!</v>
      </c>
      <c r="I42" s="189" t="e">
        <f>C42+E42+G42</f>
        <v>#REF!</v>
      </c>
      <c r="J42" s="189" t="e">
        <f>D42+F42+H42</f>
        <v>#REF!</v>
      </c>
      <c r="K42" s="192" t="e">
        <f>SUM(I42:J42)</f>
        <v>#REF!</v>
      </c>
      <c r="L42" s="26"/>
      <c r="M42" s="26"/>
      <c r="N42" s="26"/>
    </row>
    <row r="43" spans="1:20" ht="22.2" thickTop="1" thickBot="1" x14ac:dyDescent="0.45">
      <c r="B43" s="190"/>
      <c r="C43" s="189"/>
      <c r="D43" s="189"/>
      <c r="E43" s="189"/>
      <c r="F43" s="189"/>
      <c r="G43" s="189"/>
      <c r="H43" s="189"/>
      <c r="I43" s="189"/>
      <c r="J43" s="189"/>
      <c r="K43" s="192"/>
      <c r="L43" s="26"/>
      <c r="M43" s="26"/>
      <c r="N43" s="26"/>
    </row>
    <row r="44" spans="1:20" ht="22.2" thickTop="1" thickBot="1" x14ac:dyDescent="0.45">
      <c r="B44" s="190" t="s">
        <v>22</v>
      </c>
      <c r="C44" s="189" t="e">
        <f>'التعليم المسرع'!#REF!</f>
        <v>#REF!</v>
      </c>
      <c r="D44" s="189" t="e">
        <f>'التعليم المسرع'!#REF!</f>
        <v>#REF!</v>
      </c>
      <c r="E44" s="189" t="e">
        <f>'التعليم المسرع'!#REF!</f>
        <v>#REF!</v>
      </c>
      <c r="F44" s="189" t="e">
        <f>'التعليم المسرع'!#REF!</f>
        <v>#REF!</v>
      </c>
      <c r="G44" s="189" t="e">
        <f>'التعليم المسرع'!#REF!</f>
        <v>#REF!</v>
      </c>
      <c r="H44" s="189" t="e">
        <f>'التعليم المسرع'!#REF!</f>
        <v>#REF!</v>
      </c>
      <c r="I44" s="189" t="e">
        <f t="shared" ref="I44:J44" si="6">C44+E44+G44</f>
        <v>#REF!</v>
      </c>
      <c r="J44" s="189" t="e">
        <f t="shared" si="6"/>
        <v>#REF!</v>
      </c>
      <c r="K44" s="192" t="e">
        <f t="shared" ref="K44" si="7">SUM(I44:J44)</f>
        <v>#REF!</v>
      </c>
      <c r="L44" s="26"/>
      <c r="M44" s="26"/>
      <c r="N44" s="26"/>
    </row>
    <row r="45" spans="1:20" ht="22.2" thickTop="1" thickBot="1" x14ac:dyDescent="0.45">
      <c r="B45" s="190"/>
      <c r="C45" s="189"/>
      <c r="D45" s="189"/>
      <c r="E45" s="189"/>
      <c r="F45" s="189"/>
      <c r="G45" s="189"/>
      <c r="H45" s="189"/>
      <c r="I45" s="189"/>
      <c r="J45" s="189"/>
      <c r="K45" s="192"/>
      <c r="L45" s="26"/>
      <c r="M45" s="26"/>
      <c r="N45" s="26"/>
    </row>
    <row r="46" spans="1:20" ht="22.2" thickTop="1" thickBot="1" x14ac:dyDescent="0.45">
      <c r="B46" s="190" t="s">
        <v>23</v>
      </c>
      <c r="C46" s="189" t="e">
        <f>'التعليم المسرع'!#REF!</f>
        <v>#REF!</v>
      </c>
      <c r="D46" s="189" t="e">
        <f>'التعليم المسرع'!#REF!</f>
        <v>#REF!</v>
      </c>
      <c r="E46" s="189" t="e">
        <f>'التعليم المسرع'!#REF!</f>
        <v>#REF!</v>
      </c>
      <c r="F46" s="189" t="e">
        <f>'التعليم المسرع'!#REF!</f>
        <v>#REF!</v>
      </c>
      <c r="G46" s="189" t="e">
        <f>'التعليم المسرع'!#REF!</f>
        <v>#REF!</v>
      </c>
      <c r="H46" s="189" t="e">
        <f>'التعليم المسرع'!#REF!</f>
        <v>#REF!</v>
      </c>
      <c r="I46" s="189" t="e">
        <f t="shared" ref="I46:J46" si="8">C46+E46+G46</f>
        <v>#REF!</v>
      </c>
      <c r="J46" s="189" t="e">
        <f t="shared" si="8"/>
        <v>#REF!</v>
      </c>
      <c r="K46" s="192" t="e">
        <f t="shared" ref="K46" si="9">SUM(I46:J46)</f>
        <v>#REF!</v>
      </c>
      <c r="L46" s="26"/>
      <c r="M46" s="26"/>
      <c r="N46" s="26"/>
    </row>
    <row r="47" spans="1:20" ht="22.2" thickTop="1" thickBot="1" x14ac:dyDescent="0.45">
      <c r="B47" s="190"/>
      <c r="C47" s="189"/>
      <c r="D47" s="189"/>
      <c r="E47" s="189"/>
      <c r="F47" s="189"/>
      <c r="G47" s="189"/>
      <c r="H47" s="189"/>
      <c r="I47" s="189"/>
      <c r="J47" s="189"/>
      <c r="K47" s="192"/>
      <c r="L47" s="26"/>
      <c r="M47" s="26"/>
      <c r="N47" s="26"/>
    </row>
    <row r="48" spans="1:20" ht="22.2" thickTop="1" thickBot="1" x14ac:dyDescent="0.45">
      <c r="B48" s="190" t="s">
        <v>24</v>
      </c>
      <c r="C48" s="189" t="e">
        <f>'التعليم المسرع'!#REF!</f>
        <v>#REF!</v>
      </c>
      <c r="D48" s="189" t="e">
        <f>'التعليم المسرع'!#REF!</f>
        <v>#REF!</v>
      </c>
      <c r="E48" s="189" t="e">
        <f>'التعليم المسرع'!#REF!</f>
        <v>#REF!</v>
      </c>
      <c r="F48" s="189" t="e">
        <f>'التعليم المسرع'!#REF!</f>
        <v>#REF!</v>
      </c>
      <c r="G48" s="189" t="e">
        <f>'التعليم المسرع'!#REF!</f>
        <v>#REF!</v>
      </c>
      <c r="H48" s="189" t="e">
        <f>'التعليم المسرع'!#REF!</f>
        <v>#REF!</v>
      </c>
      <c r="I48" s="189" t="e">
        <f t="shared" ref="I48:J48" si="10">C48+E48+G48</f>
        <v>#REF!</v>
      </c>
      <c r="J48" s="189" t="e">
        <f t="shared" si="10"/>
        <v>#REF!</v>
      </c>
      <c r="K48" s="192" t="e">
        <f t="shared" ref="K48" si="11">SUM(I48:J48)</f>
        <v>#REF!</v>
      </c>
      <c r="L48" s="26"/>
      <c r="M48" s="26"/>
      <c r="N48" s="26"/>
      <c r="P48" s="26"/>
      <c r="Q48" s="26"/>
      <c r="R48" s="26"/>
      <c r="S48" s="26"/>
      <c r="T48" s="26"/>
    </row>
    <row r="49" spans="1:20" ht="22.2" thickTop="1" thickBot="1" x14ac:dyDescent="0.45">
      <c r="B49" s="190"/>
      <c r="C49" s="189"/>
      <c r="D49" s="189"/>
      <c r="E49" s="189"/>
      <c r="F49" s="189"/>
      <c r="G49" s="189"/>
      <c r="H49" s="189"/>
      <c r="I49" s="189"/>
      <c r="J49" s="189"/>
      <c r="K49" s="192"/>
      <c r="L49" s="26"/>
      <c r="M49" s="26"/>
      <c r="N49" s="26"/>
      <c r="P49" s="26"/>
      <c r="Q49" s="26"/>
      <c r="R49" s="26"/>
      <c r="S49" s="26"/>
      <c r="T49" s="26"/>
    </row>
    <row r="50" spans="1:20" ht="22.2" thickTop="1" thickBot="1" x14ac:dyDescent="0.45">
      <c r="B50" s="190" t="s">
        <v>25</v>
      </c>
      <c r="C50" s="189" t="e">
        <f>'التعليم المسرع'!#REF!</f>
        <v>#REF!</v>
      </c>
      <c r="D50" s="189" t="e">
        <f>'التعليم المسرع'!#REF!</f>
        <v>#REF!</v>
      </c>
      <c r="E50" s="189" t="e">
        <f>'التعليم المسرع'!#REF!</f>
        <v>#REF!</v>
      </c>
      <c r="F50" s="189" t="e">
        <f>'التعليم المسرع'!#REF!</f>
        <v>#REF!</v>
      </c>
      <c r="G50" s="189" t="e">
        <f>'التعليم المسرع'!#REF!</f>
        <v>#REF!</v>
      </c>
      <c r="H50" s="189" t="e">
        <f>'التعليم المسرع'!#REF!</f>
        <v>#REF!</v>
      </c>
      <c r="I50" s="189" t="e">
        <f t="shared" ref="I50:J50" si="12">C50+E50+G50</f>
        <v>#REF!</v>
      </c>
      <c r="J50" s="189" t="e">
        <f t="shared" si="12"/>
        <v>#REF!</v>
      </c>
      <c r="K50" s="192" t="e">
        <f t="shared" ref="K50" si="13">SUM(I50:J50)</f>
        <v>#REF!</v>
      </c>
      <c r="L50" s="26"/>
      <c r="M50" s="26"/>
      <c r="N50" s="26"/>
      <c r="P50" s="26"/>
      <c r="Q50" s="26"/>
      <c r="R50" s="26"/>
      <c r="S50" s="26"/>
      <c r="T50" s="26"/>
    </row>
    <row r="51" spans="1:20" ht="22.2" thickTop="1" thickBot="1" x14ac:dyDescent="0.45">
      <c r="B51" s="190"/>
      <c r="C51" s="189"/>
      <c r="D51" s="189"/>
      <c r="E51" s="189"/>
      <c r="F51" s="189"/>
      <c r="G51" s="189"/>
      <c r="H51" s="189"/>
      <c r="I51" s="189"/>
      <c r="J51" s="189"/>
      <c r="K51" s="192"/>
      <c r="L51" s="26"/>
      <c r="M51" s="26"/>
      <c r="N51" s="26"/>
      <c r="P51" s="26"/>
      <c r="Q51" s="26"/>
      <c r="R51" s="26"/>
      <c r="S51" s="26"/>
      <c r="T51" s="26"/>
    </row>
    <row r="52" spans="1:20" ht="22.2" thickTop="1" thickBot="1" x14ac:dyDescent="0.45">
      <c r="B52" s="190" t="s">
        <v>26</v>
      </c>
      <c r="C52" s="189" t="e">
        <f>'التعليم المسرع'!#REF!</f>
        <v>#REF!</v>
      </c>
      <c r="D52" s="189" t="e">
        <f>'التعليم المسرع'!#REF!</f>
        <v>#REF!</v>
      </c>
      <c r="E52" s="189" t="e">
        <f>'التعليم المسرع'!#REF!</f>
        <v>#REF!</v>
      </c>
      <c r="F52" s="189" t="e">
        <f>'التعليم المسرع'!#REF!</f>
        <v>#REF!</v>
      </c>
      <c r="G52" s="189" t="e">
        <f>'التعليم المسرع'!#REF!</f>
        <v>#REF!</v>
      </c>
      <c r="H52" s="189" t="e">
        <f>'التعليم المسرع'!#REF!</f>
        <v>#REF!</v>
      </c>
      <c r="I52" s="189" t="e">
        <f t="shared" ref="I52:J52" si="14">C52+E52+G52</f>
        <v>#REF!</v>
      </c>
      <c r="J52" s="189" t="e">
        <f t="shared" si="14"/>
        <v>#REF!</v>
      </c>
      <c r="K52" s="192" t="e">
        <f t="shared" ref="K52" si="15">SUM(I52:J52)</f>
        <v>#REF!</v>
      </c>
      <c r="L52" s="26"/>
      <c r="M52" s="26"/>
      <c r="N52" s="26"/>
      <c r="P52" s="26"/>
      <c r="Q52" s="26"/>
      <c r="R52" s="26"/>
      <c r="S52" s="26"/>
      <c r="T52" s="26"/>
    </row>
    <row r="53" spans="1:20" ht="22.2" thickTop="1" thickBot="1" x14ac:dyDescent="0.45">
      <c r="B53" s="190"/>
      <c r="C53" s="189"/>
      <c r="D53" s="189"/>
      <c r="E53" s="189"/>
      <c r="F53" s="189"/>
      <c r="G53" s="189"/>
      <c r="H53" s="189"/>
      <c r="I53" s="189"/>
      <c r="J53" s="189"/>
      <c r="K53" s="192"/>
      <c r="P53" s="26"/>
      <c r="Q53" s="26"/>
      <c r="R53" s="26"/>
      <c r="S53" s="26"/>
      <c r="T53" s="26"/>
    </row>
    <row r="54" spans="1:20" ht="22.2" thickTop="1" thickBot="1" x14ac:dyDescent="0.45">
      <c r="B54" s="190" t="s">
        <v>27</v>
      </c>
      <c r="C54" s="189" t="e">
        <f>'التعليم المسرع'!#REF!</f>
        <v>#REF!</v>
      </c>
      <c r="D54" s="189" t="e">
        <f>'التعليم المسرع'!#REF!</f>
        <v>#REF!</v>
      </c>
      <c r="E54" s="189" t="e">
        <f>'التعليم المسرع'!#REF!</f>
        <v>#REF!</v>
      </c>
      <c r="F54" s="189" t="e">
        <f>'التعليم المسرع'!#REF!</f>
        <v>#REF!</v>
      </c>
      <c r="G54" s="189" t="e">
        <f>'التعليم المسرع'!#REF!</f>
        <v>#REF!</v>
      </c>
      <c r="H54" s="189" t="e">
        <f>'التعليم المسرع'!#REF!</f>
        <v>#REF!</v>
      </c>
      <c r="I54" s="189" t="e">
        <f t="shared" ref="I54:J54" si="16">C54+E54+G54</f>
        <v>#REF!</v>
      </c>
      <c r="J54" s="189" t="e">
        <f t="shared" si="16"/>
        <v>#REF!</v>
      </c>
      <c r="K54" s="192" t="e">
        <f t="shared" ref="K54" si="17">SUM(I54:J54)</f>
        <v>#REF!</v>
      </c>
      <c r="P54" s="26"/>
      <c r="Q54" s="26"/>
      <c r="R54" s="26"/>
      <c r="S54" s="26"/>
      <c r="T54" s="26"/>
    </row>
    <row r="55" spans="1:20" ht="22.2" thickTop="1" thickBot="1" x14ac:dyDescent="0.45">
      <c r="B55" s="190"/>
      <c r="C55" s="189"/>
      <c r="D55" s="189"/>
      <c r="E55" s="189"/>
      <c r="F55" s="189"/>
      <c r="G55" s="189"/>
      <c r="H55" s="189"/>
      <c r="I55" s="189"/>
      <c r="J55" s="189"/>
      <c r="K55" s="192"/>
      <c r="P55" s="26"/>
      <c r="Q55" s="26"/>
      <c r="R55" s="26"/>
      <c r="S55" s="26"/>
      <c r="T55" s="26"/>
    </row>
    <row r="56" spans="1:20" ht="22.2" thickTop="1" thickBot="1" x14ac:dyDescent="0.45">
      <c r="B56" s="190" t="s">
        <v>15</v>
      </c>
      <c r="C56" s="189" t="e">
        <f t="shared" ref="C56:H56" si="18">C42+C44+C46+C48+C50+C52+C54</f>
        <v>#REF!</v>
      </c>
      <c r="D56" s="189" t="e">
        <f t="shared" si="18"/>
        <v>#REF!</v>
      </c>
      <c r="E56" s="189" t="e">
        <f t="shared" si="18"/>
        <v>#REF!</v>
      </c>
      <c r="F56" s="189" t="e">
        <f t="shared" si="18"/>
        <v>#REF!</v>
      </c>
      <c r="G56" s="189" t="e">
        <f t="shared" si="18"/>
        <v>#REF!</v>
      </c>
      <c r="H56" s="189" t="e">
        <f t="shared" si="18"/>
        <v>#REF!</v>
      </c>
      <c r="I56" s="189" t="e">
        <f>C56+E56+G56</f>
        <v>#REF!</v>
      </c>
      <c r="J56" s="189" t="e">
        <f t="shared" ref="J56" si="19">D56+F56+H56</f>
        <v>#REF!</v>
      </c>
      <c r="K56" s="192" t="e">
        <f t="shared" ref="K56" si="20">SUM(I56:J56)</f>
        <v>#REF!</v>
      </c>
      <c r="P56" s="26"/>
      <c r="Q56" s="26"/>
      <c r="R56" s="26"/>
      <c r="S56" s="26"/>
      <c r="T56" s="26"/>
    </row>
    <row r="57" spans="1:20" ht="22.2" thickTop="1" thickBot="1" x14ac:dyDescent="0.45">
      <c r="B57" s="193"/>
      <c r="C57" s="191"/>
      <c r="D57" s="191"/>
      <c r="E57" s="191"/>
      <c r="F57" s="191"/>
      <c r="G57" s="191"/>
      <c r="H57" s="191"/>
      <c r="I57" s="191"/>
      <c r="J57" s="191"/>
      <c r="K57" s="208"/>
      <c r="P57" s="26"/>
      <c r="Q57" s="26"/>
      <c r="R57" s="26"/>
      <c r="S57" s="26"/>
      <c r="T57" s="26"/>
    </row>
    <row r="58" spans="1:20" ht="22.2" thickTop="1" thickBot="1" x14ac:dyDescent="0.45">
      <c r="P58" s="26"/>
      <c r="Q58" s="26"/>
      <c r="R58" s="26"/>
      <c r="S58" s="26"/>
      <c r="T58" s="26"/>
    </row>
    <row r="59" spans="1:20" ht="30.75" customHeight="1" thickTop="1" thickBot="1" x14ac:dyDescent="0.45">
      <c r="A59" s="194"/>
      <c r="B59" s="206" t="s">
        <v>267</v>
      </c>
      <c r="C59" s="206"/>
      <c r="D59" s="206"/>
      <c r="E59" s="206" t="s">
        <v>272</v>
      </c>
      <c r="F59" s="206"/>
      <c r="G59" s="206"/>
      <c r="H59" s="195" t="s">
        <v>273</v>
      </c>
      <c r="I59" s="195"/>
      <c r="J59" s="195"/>
      <c r="K59" s="195"/>
      <c r="L59" s="195"/>
      <c r="M59" s="195"/>
      <c r="N59" s="195" t="s">
        <v>15</v>
      </c>
      <c r="O59" s="195"/>
      <c r="P59" s="196"/>
    </row>
    <row r="60" spans="1:20" ht="22.2" thickTop="1" thickBot="1" x14ac:dyDescent="0.45">
      <c r="A60" s="190"/>
      <c r="B60" s="207"/>
      <c r="C60" s="207"/>
      <c r="D60" s="207"/>
      <c r="E60" s="207"/>
      <c r="F60" s="207"/>
      <c r="G60" s="207"/>
      <c r="H60" s="189" t="s">
        <v>185</v>
      </c>
      <c r="I60" s="189"/>
      <c r="J60" s="189" t="s">
        <v>186</v>
      </c>
      <c r="K60" s="189"/>
      <c r="L60" s="189" t="s">
        <v>187</v>
      </c>
      <c r="M60" s="189"/>
      <c r="N60" s="189"/>
      <c r="O60" s="189"/>
      <c r="P60" s="192"/>
    </row>
    <row r="61" spans="1:20" ht="22.2" thickTop="1" thickBot="1" x14ac:dyDescent="0.45">
      <c r="A61" s="190"/>
      <c r="B61" s="189" t="s">
        <v>10</v>
      </c>
      <c r="C61" s="189" t="s">
        <v>11</v>
      </c>
      <c r="D61" s="189" t="s">
        <v>15</v>
      </c>
      <c r="E61" s="189" t="s">
        <v>10</v>
      </c>
      <c r="F61" s="189" t="s">
        <v>11</v>
      </c>
      <c r="G61" s="189" t="s">
        <v>15</v>
      </c>
      <c r="H61" s="189" t="s">
        <v>10</v>
      </c>
      <c r="I61" s="189" t="s">
        <v>11</v>
      </c>
      <c r="J61" s="189" t="s">
        <v>10</v>
      </c>
      <c r="K61" s="189" t="s">
        <v>11</v>
      </c>
      <c r="L61" s="189" t="s">
        <v>10</v>
      </c>
      <c r="M61" s="189" t="s">
        <v>11</v>
      </c>
      <c r="N61" s="189" t="s">
        <v>10</v>
      </c>
      <c r="O61" s="189" t="s">
        <v>11</v>
      </c>
      <c r="P61" s="192" t="s">
        <v>15</v>
      </c>
    </row>
    <row r="62" spans="1:20" ht="22.2" thickTop="1" thickBot="1" x14ac:dyDescent="0.45">
      <c r="A62" s="190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92"/>
    </row>
    <row r="63" spans="1:20" ht="22.2" thickTop="1" thickBot="1" x14ac:dyDescent="0.45">
      <c r="A63" s="190" t="s">
        <v>17</v>
      </c>
      <c r="B63" s="189" t="e">
        <f>'التعليم المسرع'!#REF!</f>
        <v>#REF!</v>
      </c>
      <c r="C63" s="189" t="e">
        <f>'التعليم المسرع'!#REF!</f>
        <v>#REF!</v>
      </c>
      <c r="D63" s="189" t="e">
        <f>C63+B63</f>
        <v>#REF!</v>
      </c>
      <c r="E63" s="189" t="e">
        <f>'التعليم المسرع'!#REF!</f>
        <v>#REF!</v>
      </c>
      <c r="F63" s="189" t="e">
        <f>'التعليم المسرع'!#REF!</f>
        <v>#REF!</v>
      </c>
      <c r="G63" s="189" t="e">
        <f>F63+E63</f>
        <v>#REF!</v>
      </c>
      <c r="H63" s="189" t="e">
        <f>'التعليم المسرع'!#REF!</f>
        <v>#REF!</v>
      </c>
      <c r="I63" s="189" t="e">
        <f>'التعليم المسرع'!#REF!</f>
        <v>#REF!</v>
      </c>
      <c r="J63" s="189" t="e">
        <f>'التعليم المسرع'!#REF!</f>
        <v>#REF!</v>
      </c>
      <c r="K63" s="189" t="e">
        <f>'التعليم المسرع'!#REF!</f>
        <v>#REF!</v>
      </c>
      <c r="L63" s="189" t="e">
        <f>'التعليم المسرع'!#REF!</f>
        <v>#REF!</v>
      </c>
      <c r="M63" s="189" t="e">
        <f>'التعليم المسرع'!#REF!</f>
        <v>#REF!</v>
      </c>
      <c r="N63" s="189" t="e">
        <f>L63+J63+H63</f>
        <v>#REF!</v>
      </c>
      <c r="O63" s="189" t="e">
        <f>M63+K63+I63</f>
        <v>#REF!</v>
      </c>
      <c r="P63" s="192" t="e">
        <f>O63+N63</f>
        <v>#REF!</v>
      </c>
    </row>
    <row r="64" spans="1:20" ht="22.2" thickTop="1" thickBot="1" x14ac:dyDescent="0.45">
      <c r="A64" s="190"/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92"/>
    </row>
    <row r="65" spans="1:16" ht="22.2" thickTop="1" thickBot="1" x14ac:dyDescent="0.45">
      <c r="A65" s="190" t="s">
        <v>18</v>
      </c>
      <c r="B65" s="189" t="e">
        <f>'التعليم المسرع'!#REF!</f>
        <v>#REF!</v>
      </c>
      <c r="C65" s="189" t="e">
        <f>'التعليم المسرع'!#REF!</f>
        <v>#REF!</v>
      </c>
      <c r="D65" s="189" t="e">
        <f t="shared" ref="D65" si="21">C65+B65</f>
        <v>#REF!</v>
      </c>
      <c r="E65" s="189" t="e">
        <f>'التعليم المسرع'!#REF!</f>
        <v>#REF!</v>
      </c>
      <c r="F65" s="189" t="e">
        <f>'التعليم المسرع'!#REF!</f>
        <v>#REF!</v>
      </c>
      <c r="G65" s="189" t="e">
        <f t="shared" ref="G65" si="22">F65+E65</f>
        <v>#REF!</v>
      </c>
      <c r="H65" s="189" t="e">
        <f>'التعليم المسرع'!#REF!</f>
        <v>#REF!</v>
      </c>
      <c r="I65" s="189" t="e">
        <f>'التعليم المسرع'!#REF!</f>
        <v>#REF!</v>
      </c>
      <c r="J65" s="189" t="e">
        <f>'التعليم المسرع'!#REF!</f>
        <v>#REF!</v>
      </c>
      <c r="K65" s="189" t="e">
        <f>'التعليم المسرع'!#REF!</f>
        <v>#REF!</v>
      </c>
      <c r="L65" s="189" t="e">
        <f>'التعليم المسرع'!#REF!</f>
        <v>#REF!</v>
      </c>
      <c r="M65" s="189" t="e">
        <f>'التعليم المسرع'!#REF!</f>
        <v>#REF!</v>
      </c>
      <c r="N65" s="189" t="e">
        <f t="shared" ref="N65" si="23">L65+J65+H65</f>
        <v>#REF!</v>
      </c>
      <c r="O65" s="189" t="e">
        <f t="shared" ref="O65" si="24">M65+K65+I65</f>
        <v>#REF!</v>
      </c>
      <c r="P65" s="192" t="e">
        <f t="shared" ref="P65" si="25">O65+N65</f>
        <v>#REF!</v>
      </c>
    </row>
    <row r="66" spans="1:16" ht="22.2" thickTop="1" thickBot="1" x14ac:dyDescent="0.45">
      <c r="A66" s="190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92"/>
    </row>
    <row r="67" spans="1:16" ht="22.2" thickTop="1" thickBot="1" x14ac:dyDescent="0.45">
      <c r="A67" s="190" t="s">
        <v>19</v>
      </c>
      <c r="B67" s="189" t="e">
        <f>'التعليم المسرع'!#REF!</f>
        <v>#REF!</v>
      </c>
      <c r="C67" s="189" t="e">
        <f>'التعليم المسرع'!#REF!</f>
        <v>#REF!</v>
      </c>
      <c r="D67" s="189" t="e">
        <f t="shared" ref="D67" si="26">C67+B67</f>
        <v>#REF!</v>
      </c>
      <c r="E67" s="189" t="e">
        <f>'التعليم المسرع'!#REF!</f>
        <v>#REF!</v>
      </c>
      <c r="F67" s="189" t="e">
        <f>'التعليم المسرع'!#REF!</f>
        <v>#REF!</v>
      </c>
      <c r="G67" s="189" t="e">
        <f t="shared" ref="G67" si="27">F67+E67</f>
        <v>#REF!</v>
      </c>
      <c r="H67" s="189" t="e">
        <f>'التعليم المسرع'!#REF!</f>
        <v>#REF!</v>
      </c>
      <c r="I67" s="189" t="e">
        <f>'التعليم المسرع'!#REF!</f>
        <v>#REF!</v>
      </c>
      <c r="J67" s="189" t="e">
        <f>'التعليم المسرع'!#REF!</f>
        <v>#REF!</v>
      </c>
      <c r="K67" s="189" t="e">
        <f>'التعليم المسرع'!#REF!</f>
        <v>#REF!</v>
      </c>
      <c r="L67" s="189" t="e">
        <f>'التعليم المسرع'!#REF!</f>
        <v>#REF!</v>
      </c>
      <c r="M67" s="189" t="e">
        <f>'التعليم المسرع'!#REF!</f>
        <v>#REF!</v>
      </c>
      <c r="N67" s="189" t="e">
        <f t="shared" ref="N67" si="28">L67+J67+H67</f>
        <v>#REF!</v>
      </c>
      <c r="O67" s="189" t="e">
        <f t="shared" ref="O67" si="29">M67+K67+I67</f>
        <v>#REF!</v>
      </c>
      <c r="P67" s="192" t="e">
        <f t="shared" ref="P67" si="30">O67+N67</f>
        <v>#REF!</v>
      </c>
    </row>
    <row r="68" spans="1:16" ht="20.25" customHeight="1" thickTop="1" thickBot="1" x14ac:dyDescent="0.45">
      <c r="A68" s="193"/>
      <c r="B68" s="191"/>
      <c r="C68" s="191"/>
      <c r="D68" s="191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208"/>
    </row>
    <row r="69" spans="1:16" ht="15.75" customHeight="1" thickTop="1" x14ac:dyDescent="0.4">
      <c r="B69" s="27"/>
      <c r="C69" s="27"/>
      <c r="D69" s="27"/>
      <c r="E69" s="27"/>
    </row>
  </sheetData>
  <mergeCells count="248">
    <mergeCell ref="A63:A64"/>
    <mergeCell ref="A65:A66"/>
    <mergeCell ref="A67:A68"/>
    <mergeCell ref="A59:A62"/>
    <mergeCell ref="B59:D60"/>
    <mergeCell ref="E59:G60"/>
    <mergeCell ref="H59:M59"/>
    <mergeCell ref="H60:I60"/>
    <mergeCell ref="J60:K60"/>
    <mergeCell ref="L60:M60"/>
    <mergeCell ref="L63:L64"/>
    <mergeCell ref="M63:M64"/>
    <mergeCell ref="L65:L66"/>
    <mergeCell ref="M65:M66"/>
    <mergeCell ref="L67:L68"/>
    <mergeCell ref="M67:M68"/>
    <mergeCell ref="D63:D64"/>
    <mergeCell ref="D65:D66"/>
    <mergeCell ref="D67:D68"/>
    <mergeCell ref="G61:G62"/>
    <mergeCell ref="G63:G64"/>
    <mergeCell ref="G65:G66"/>
    <mergeCell ref="G67:G68"/>
    <mergeCell ref="H63:H64"/>
    <mergeCell ref="H65:H66"/>
    <mergeCell ref="H67:H68"/>
    <mergeCell ref="P65:P66"/>
    <mergeCell ref="C63:C64"/>
    <mergeCell ref="C65:C66"/>
    <mergeCell ref="C67:C68"/>
    <mergeCell ref="N67:N68"/>
    <mergeCell ref="O67:O68"/>
    <mergeCell ref="P67:P68"/>
    <mergeCell ref="N63:N64"/>
    <mergeCell ref="O63:O64"/>
    <mergeCell ref="P63:P64"/>
    <mergeCell ref="E63:E64"/>
    <mergeCell ref="F63:F64"/>
    <mergeCell ref="E65:E66"/>
    <mergeCell ref="F65:F66"/>
    <mergeCell ref="E67:E68"/>
    <mergeCell ref="F67:F68"/>
    <mergeCell ref="N65:N66"/>
    <mergeCell ref="O65:O66"/>
    <mergeCell ref="I63:I64"/>
    <mergeCell ref="K67:K68"/>
    <mergeCell ref="J63:J64"/>
    <mergeCell ref="K63:K64"/>
    <mergeCell ref="N59:P60"/>
    <mergeCell ref="B61:B62"/>
    <mergeCell ref="C61:C62"/>
    <mergeCell ref="E61:E62"/>
    <mergeCell ref="F61:F62"/>
    <mergeCell ref="L61:L62"/>
    <mergeCell ref="M61:M62"/>
    <mergeCell ref="N61:N62"/>
    <mergeCell ref="O61:O62"/>
    <mergeCell ref="D61:D62"/>
    <mergeCell ref="I61:I62"/>
    <mergeCell ref="J61:J62"/>
    <mergeCell ref="K61:K62"/>
    <mergeCell ref="H61:H62"/>
    <mergeCell ref="P61:P62"/>
    <mergeCell ref="I65:I66"/>
    <mergeCell ref="J65:J66"/>
    <mergeCell ref="K65:K66"/>
    <mergeCell ref="I67:I68"/>
    <mergeCell ref="J67:J68"/>
    <mergeCell ref="B8:D8"/>
    <mergeCell ref="G8:I8"/>
    <mergeCell ref="B20:B21"/>
    <mergeCell ref="C20:C21"/>
    <mergeCell ref="D20:D21"/>
    <mergeCell ref="E20:E21"/>
    <mergeCell ref="F20:G21"/>
    <mergeCell ref="B65:B66"/>
    <mergeCell ref="B22:B23"/>
    <mergeCell ref="C22:C23"/>
    <mergeCell ref="D22:D23"/>
    <mergeCell ref="E22:E23"/>
    <mergeCell ref="F22:G23"/>
    <mergeCell ref="F46:F47"/>
    <mergeCell ref="B46:B47"/>
    <mergeCell ref="C46:C47"/>
    <mergeCell ref="D46:D47"/>
    <mergeCell ref="D50:D51"/>
    <mergeCell ref="E50:E51"/>
    <mergeCell ref="L8:N8"/>
    <mergeCell ref="B11:C11"/>
    <mergeCell ref="F11:H11"/>
    <mergeCell ref="K11:M11"/>
    <mergeCell ref="A1:C1"/>
    <mergeCell ref="A2:D2"/>
    <mergeCell ref="A3:O3"/>
    <mergeCell ref="B6:D6"/>
    <mergeCell ref="G6:I6"/>
    <mergeCell ref="L6:N6"/>
    <mergeCell ref="M2:O2"/>
    <mergeCell ref="B16:G16"/>
    <mergeCell ref="F17:G17"/>
    <mergeCell ref="B18:B19"/>
    <mergeCell ref="C18:C19"/>
    <mergeCell ref="D18:D19"/>
    <mergeCell ref="E18:E19"/>
    <mergeCell ref="F18:G19"/>
    <mergeCell ref="G42:G43"/>
    <mergeCell ref="B29:B30"/>
    <mergeCell ref="C29:C30"/>
    <mergeCell ref="D29:D30"/>
    <mergeCell ref="E29:E30"/>
    <mergeCell ref="F29:F30"/>
    <mergeCell ref="G29:G30"/>
    <mergeCell ref="H29:H30"/>
    <mergeCell ref="B31:B32"/>
    <mergeCell ref="E46:E47"/>
    <mergeCell ref="B67:B68"/>
    <mergeCell ref="F24:G24"/>
    <mergeCell ref="A36:C36"/>
    <mergeCell ref="A37:D37"/>
    <mergeCell ref="B40:B41"/>
    <mergeCell ref="C40:D40"/>
    <mergeCell ref="E40:F40"/>
    <mergeCell ref="G40:H40"/>
    <mergeCell ref="B50:B51"/>
    <mergeCell ref="C50:C51"/>
    <mergeCell ref="B63:B64"/>
    <mergeCell ref="H50:H51"/>
    <mergeCell ref="B56:B57"/>
    <mergeCell ref="C56:C57"/>
    <mergeCell ref="D56:D57"/>
    <mergeCell ref="E56:E57"/>
    <mergeCell ref="F56:F57"/>
    <mergeCell ref="G56:G57"/>
    <mergeCell ref="H56:H57"/>
    <mergeCell ref="H54:H55"/>
    <mergeCell ref="B33:B34"/>
    <mergeCell ref="K46:K47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K48:K49"/>
    <mergeCell ref="M37:O37"/>
    <mergeCell ref="K42:K43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K44:K45"/>
    <mergeCell ref="B42:B43"/>
    <mergeCell ref="C42:C43"/>
    <mergeCell ref="D42:D43"/>
    <mergeCell ref="E42:E43"/>
    <mergeCell ref="F42:F43"/>
    <mergeCell ref="I42:I43"/>
    <mergeCell ref="J42:J43"/>
    <mergeCell ref="H42:H43"/>
    <mergeCell ref="I40:K40"/>
    <mergeCell ref="K56:K57"/>
    <mergeCell ref="J16:N16"/>
    <mergeCell ref="J17:J18"/>
    <mergeCell ref="K17:K18"/>
    <mergeCell ref="L17:L18"/>
    <mergeCell ref="M17:M18"/>
    <mergeCell ref="N17:N18"/>
    <mergeCell ref="K54:K55"/>
    <mergeCell ref="L19:L20"/>
    <mergeCell ref="M19:M20"/>
    <mergeCell ref="N19:N20"/>
    <mergeCell ref="L21:L22"/>
    <mergeCell ref="M21:M22"/>
    <mergeCell ref="N21:N22"/>
    <mergeCell ref="L23:L24"/>
    <mergeCell ref="M23:M24"/>
    <mergeCell ref="N23:N24"/>
    <mergeCell ref="J46:J47"/>
    <mergeCell ref="J54:J55"/>
    <mergeCell ref="K50:K51"/>
    <mergeCell ref="J52:J53"/>
    <mergeCell ref="K52:K53"/>
    <mergeCell ref="J19:J20"/>
    <mergeCell ref="K19:K20"/>
    <mergeCell ref="I56:I57"/>
    <mergeCell ref="J56:J57"/>
    <mergeCell ref="J21:J22"/>
    <mergeCell ref="K21:K22"/>
    <mergeCell ref="F27:F28"/>
    <mergeCell ref="G27:G28"/>
    <mergeCell ref="H27:H28"/>
    <mergeCell ref="J23:J24"/>
    <mergeCell ref="K23:K24"/>
    <mergeCell ref="B26:K26"/>
    <mergeCell ref="I27:I28"/>
    <mergeCell ref="J27:K28"/>
    <mergeCell ref="B27:B28"/>
    <mergeCell ref="C27:C28"/>
    <mergeCell ref="D27:D28"/>
    <mergeCell ref="E27:E28"/>
    <mergeCell ref="I29:I30"/>
    <mergeCell ref="J29:K30"/>
    <mergeCell ref="B54:B55"/>
    <mergeCell ref="C54:C55"/>
    <mergeCell ref="D54:D55"/>
    <mergeCell ref="E54:E55"/>
    <mergeCell ref="F54:F55"/>
    <mergeCell ref="G54:G55"/>
    <mergeCell ref="I50:I51"/>
    <mergeCell ref="J50:J51"/>
    <mergeCell ref="G46:G47"/>
    <mergeCell ref="H46:H47"/>
    <mergeCell ref="I46:I47"/>
    <mergeCell ref="I54:I55"/>
    <mergeCell ref="B52:B53"/>
    <mergeCell ref="C52:C53"/>
    <mergeCell ref="D52:D53"/>
    <mergeCell ref="E52:E53"/>
    <mergeCell ref="F52:F53"/>
    <mergeCell ref="G52:G53"/>
    <mergeCell ref="H52:H53"/>
    <mergeCell ref="I52:I53"/>
    <mergeCell ref="F50:F51"/>
    <mergeCell ref="G50:G51"/>
    <mergeCell ref="I31:I32"/>
    <mergeCell ref="J31:K32"/>
    <mergeCell ref="C33:C34"/>
    <mergeCell ref="D33:D34"/>
    <mergeCell ref="E33:E34"/>
    <mergeCell ref="F33:F34"/>
    <mergeCell ref="G33:G34"/>
    <mergeCell ref="H33:H34"/>
    <mergeCell ref="I33:I34"/>
    <mergeCell ref="J33:K34"/>
    <mergeCell ref="C31:C32"/>
    <mergeCell ref="D31:D32"/>
    <mergeCell ref="E31:E32"/>
    <mergeCell ref="F31:F32"/>
    <mergeCell ref="G31:G32"/>
    <mergeCell ref="H31:H32"/>
  </mergeCells>
  <printOptions horizontalCentered="1" verticalCentered="1"/>
  <pageMargins left="0.23622047244094491" right="0.23622047244094491" top="0.19685039370078741" bottom="0.19685039370078741" header="0.19685039370078741" footer="0.19685039370078741"/>
  <pageSetup paperSize="9" scale="65" orientation="landscape" horizontalDpi="300" verticalDpi="300" r:id="rId1"/>
  <rowBreaks count="1" manualBreakCount="1">
    <brk id="3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69"/>
  <sheetViews>
    <sheetView rightToLeft="1" view="pageBreakPreview" zoomScale="60" workbookViewId="0">
      <selection activeCell="I27" sqref="I27:I28"/>
    </sheetView>
  </sheetViews>
  <sheetFormatPr defaultColWidth="9" defaultRowHeight="21" x14ac:dyDescent="0.4"/>
  <cols>
    <col min="1" max="1" width="14.69921875" style="9" customWidth="1"/>
    <col min="2" max="2" width="13.296875" style="9" customWidth="1"/>
    <col min="3" max="3" width="12.8984375" style="9" customWidth="1"/>
    <col min="4" max="4" width="10.796875" style="9" customWidth="1"/>
    <col min="5" max="8" width="9" style="9"/>
    <col min="9" max="9" width="11.69921875" style="9" customWidth="1"/>
    <col min="10" max="10" width="13.19921875" style="9" customWidth="1"/>
    <col min="11" max="11" width="10.296875" style="9" customWidth="1"/>
    <col min="12" max="16384" width="9" style="9"/>
  </cols>
  <sheetData>
    <row r="1" spans="1:15" x14ac:dyDescent="0.4">
      <c r="A1" s="181" t="s">
        <v>55</v>
      </c>
      <c r="B1" s="181"/>
      <c r="C1" s="181"/>
    </row>
    <row r="2" spans="1:15" x14ac:dyDescent="0.4">
      <c r="A2" s="181" t="s">
        <v>56</v>
      </c>
      <c r="B2" s="181"/>
      <c r="C2" s="181"/>
      <c r="D2" s="181"/>
    </row>
    <row r="3" spans="1:15" x14ac:dyDescent="0.4">
      <c r="A3" s="181" t="s">
        <v>162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</row>
    <row r="4" spans="1:15" x14ac:dyDescent="0.4">
      <c r="E4" s="9" t="s">
        <v>266</v>
      </c>
    </row>
    <row r="5" spans="1:15" ht="21.6" thickBot="1" x14ac:dyDescent="0.45"/>
    <row r="6" spans="1:15" ht="22.2" thickTop="1" thickBot="1" x14ac:dyDescent="0.45">
      <c r="A6" s="9" t="s">
        <v>1</v>
      </c>
      <c r="B6" s="209" t="s">
        <v>166</v>
      </c>
      <c r="C6" s="211"/>
      <c r="D6" s="210"/>
      <c r="F6" s="9" t="s">
        <v>2</v>
      </c>
      <c r="G6" s="209" t="s">
        <v>42</v>
      </c>
      <c r="H6" s="211"/>
      <c r="I6" s="210"/>
      <c r="K6" s="9" t="s">
        <v>0</v>
      </c>
      <c r="L6" s="209" t="s">
        <v>209</v>
      </c>
      <c r="M6" s="211"/>
      <c r="N6" s="210"/>
    </row>
    <row r="7" spans="1:15" ht="22.2" thickTop="1" thickBot="1" x14ac:dyDescent="0.45"/>
    <row r="8" spans="1:15" ht="22.2" thickTop="1" thickBot="1" x14ac:dyDescent="0.45">
      <c r="A8" s="9" t="s">
        <v>43</v>
      </c>
      <c r="B8" s="209" t="e">
        <f>'التعليم المسرع'!#REF!+'التعليم المسرع'!#REF!</f>
        <v>#REF!</v>
      </c>
      <c r="C8" s="211"/>
      <c r="D8" s="210"/>
      <c r="F8" s="9" t="s">
        <v>3</v>
      </c>
      <c r="G8" s="209" t="e">
        <f>'التعليم المسرع'!#REF!</f>
        <v>#REF!</v>
      </c>
      <c r="H8" s="211"/>
      <c r="I8" s="210"/>
      <c r="K8" s="9" t="s">
        <v>4</v>
      </c>
      <c r="L8" s="209" t="e">
        <f>'التعليم المسرع'!#REF!</f>
        <v>#REF!</v>
      </c>
      <c r="M8" s="211"/>
      <c r="N8" s="210"/>
    </row>
    <row r="9" spans="1:15" ht="21.6" thickTop="1" x14ac:dyDescent="0.4"/>
    <row r="10" spans="1:15" ht="21.6" thickBot="1" x14ac:dyDescent="0.45"/>
    <row r="11" spans="1:15" ht="28.5" customHeight="1" thickTop="1" thickBot="1" x14ac:dyDescent="0.45">
      <c r="B11" s="209" t="s">
        <v>5</v>
      </c>
      <c r="C11" s="210"/>
      <c r="F11" s="209" t="s">
        <v>6</v>
      </c>
      <c r="G11" s="211"/>
      <c r="H11" s="210"/>
      <c r="K11" s="209" t="s">
        <v>7</v>
      </c>
      <c r="L11" s="211"/>
      <c r="M11" s="210"/>
    </row>
    <row r="12" spans="1:15" ht="30" customHeight="1" thickTop="1" thickBot="1" x14ac:dyDescent="0.45">
      <c r="B12" s="10" t="s">
        <v>8</v>
      </c>
      <c r="C12" s="11" t="s">
        <v>9</v>
      </c>
      <c r="F12" s="12" t="s">
        <v>10</v>
      </c>
      <c r="G12" s="13" t="s">
        <v>11</v>
      </c>
      <c r="H12" s="14" t="s">
        <v>12</v>
      </c>
      <c r="K12" s="10" t="s">
        <v>13</v>
      </c>
      <c r="L12" s="15" t="s">
        <v>14</v>
      </c>
      <c r="M12" s="11" t="s">
        <v>15</v>
      </c>
    </row>
    <row r="13" spans="1:15" ht="30" customHeight="1" thickTop="1" thickBot="1" x14ac:dyDescent="0.45">
      <c r="B13" s="16" t="e">
        <f>'التعليم المسرع'!#REF!</f>
        <v>#REF!</v>
      </c>
      <c r="C13" s="17" t="e">
        <f>'التعليم المسرع'!#REF!</f>
        <v>#REF!</v>
      </c>
      <c r="F13" s="18" t="e">
        <f>'التعليم المسرع'!#REF!</f>
        <v>#REF!</v>
      </c>
      <c r="G13" s="19" t="e">
        <f>'التعليم المسرع'!#REF!</f>
        <v>#REF!</v>
      </c>
      <c r="H13" s="20" t="e">
        <f>'التعليم المسرع'!#REF!</f>
        <v>#REF!</v>
      </c>
      <c r="K13" s="16" t="e">
        <f>'التعليم المسرع'!#REF!</f>
        <v>#REF!</v>
      </c>
      <c r="L13" s="16" t="e">
        <f>'التعليم المسرع'!#REF!</f>
        <v>#REF!</v>
      </c>
      <c r="M13" s="17" t="e">
        <f>SUM(K13:L13)</f>
        <v>#REF!</v>
      </c>
    </row>
    <row r="14" spans="1:15" ht="21.6" thickTop="1" x14ac:dyDescent="0.4"/>
    <row r="15" spans="1:15" ht="21.6" thickBot="1" x14ac:dyDescent="0.45"/>
    <row r="16" spans="1:15" s="32" customFormat="1" ht="33.75" customHeight="1" thickTop="1" thickBot="1" x14ac:dyDescent="0.3">
      <c r="B16" s="165" t="s">
        <v>20</v>
      </c>
      <c r="C16" s="169"/>
      <c r="D16" s="169"/>
      <c r="E16" s="169"/>
      <c r="F16" s="169"/>
      <c r="G16" s="166"/>
      <c r="I16" s="165" t="s">
        <v>30</v>
      </c>
      <c r="J16" s="169"/>
      <c r="K16" s="169"/>
      <c r="L16" s="169"/>
      <c r="M16" s="166"/>
    </row>
    <row r="17" spans="2:13" ht="27.75" customHeight="1" thickTop="1" thickBot="1" x14ac:dyDescent="0.45">
      <c r="B17" s="57" t="s">
        <v>16</v>
      </c>
      <c r="C17" s="58" t="s">
        <v>10</v>
      </c>
      <c r="D17" s="58" t="s">
        <v>11</v>
      </c>
      <c r="E17" s="58" t="s">
        <v>12</v>
      </c>
      <c r="F17" s="167" t="s">
        <v>15</v>
      </c>
      <c r="G17" s="168"/>
      <c r="I17" s="194" t="s">
        <v>31</v>
      </c>
      <c r="J17" s="195" t="s">
        <v>44</v>
      </c>
      <c r="K17" s="195" t="s">
        <v>45</v>
      </c>
      <c r="L17" s="195" t="s">
        <v>46</v>
      </c>
      <c r="M17" s="196" t="s">
        <v>47</v>
      </c>
    </row>
    <row r="18" spans="2:13" ht="22.2" thickTop="1" thickBot="1" x14ac:dyDescent="0.45">
      <c r="B18" s="170" t="s">
        <v>17</v>
      </c>
      <c r="C18" s="170" t="e">
        <f>'التعليم المسرع'!#REF!</f>
        <v>#REF!</v>
      </c>
      <c r="D18" s="170" t="e">
        <f>'التعليم المسرع'!#REF!</f>
        <v>#REF!</v>
      </c>
      <c r="E18" s="170" t="e">
        <f>'التعليم المسرع'!#REF!</f>
        <v>#REF!</v>
      </c>
      <c r="F18" s="172" t="e">
        <f>C18+D18+E18</f>
        <v>#REF!</v>
      </c>
      <c r="G18" s="173"/>
      <c r="I18" s="190"/>
      <c r="J18" s="189"/>
      <c r="K18" s="189"/>
      <c r="L18" s="189"/>
      <c r="M18" s="192"/>
    </row>
    <row r="19" spans="2:13" ht="22.2" thickTop="1" thickBot="1" x14ac:dyDescent="0.45">
      <c r="B19" s="171"/>
      <c r="C19" s="171"/>
      <c r="D19" s="171"/>
      <c r="E19" s="171"/>
      <c r="F19" s="174"/>
      <c r="G19" s="175"/>
      <c r="I19" s="190" t="s">
        <v>13</v>
      </c>
      <c r="J19" s="189" t="e">
        <f>'التعليم المسرع'!#REF!</f>
        <v>#REF!</v>
      </c>
      <c r="K19" s="189" t="e">
        <f>'التعليم المسرع'!#REF!</f>
        <v>#REF!</v>
      </c>
      <c r="L19" s="189" t="e">
        <f>'التعليم المسرع'!#REF!</f>
        <v>#REF!</v>
      </c>
      <c r="M19" s="192" t="e">
        <f>SUM(J19:L19)</f>
        <v>#REF!</v>
      </c>
    </row>
    <row r="20" spans="2:13" ht="22.2" thickTop="1" thickBot="1" x14ac:dyDescent="0.45">
      <c r="B20" s="170" t="s">
        <v>18</v>
      </c>
      <c r="C20" s="170" t="e">
        <f>'التعليم المسرع'!#REF!</f>
        <v>#REF!</v>
      </c>
      <c r="D20" s="170" t="e">
        <f>'التعليم المسرع'!#REF!</f>
        <v>#REF!</v>
      </c>
      <c r="E20" s="170" t="e">
        <f>'التعليم المسرع'!#REF!</f>
        <v>#REF!</v>
      </c>
      <c r="F20" s="172" t="e">
        <f t="shared" ref="F20" si="0">C20+D20+E20</f>
        <v>#REF!</v>
      </c>
      <c r="G20" s="173"/>
      <c r="I20" s="190"/>
      <c r="J20" s="189"/>
      <c r="K20" s="189"/>
      <c r="L20" s="189"/>
      <c r="M20" s="192"/>
    </row>
    <row r="21" spans="2:13" ht="22.2" thickTop="1" thickBot="1" x14ac:dyDescent="0.45">
      <c r="B21" s="171"/>
      <c r="C21" s="171"/>
      <c r="D21" s="171"/>
      <c r="E21" s="171"/>
      <c r="F21" s="174"/>
      <c r="G21" s="175"/>
      <c r="I21" s="190" t="s">
        <v>14</v>
      </c>
      <c r="J21" s="189" t="e">
        <f>'التعليم المسرع'!#REF!</f>
        <v>#REF!</v>
      </c>
      <c r="K21" s="189" t="e">
        <f>'التعليم المسرع'!#REF!</f>
        <v>#REF!</v>
      </c>
      <c r="L21" s="189" t="e">
        <f>'التعليم المسرع'!#REF!</f>
        <v>#REF!</v>
      </c>
      <c r="M21" s="192" t="e">
        <f>SUM(J21:L21)</f>
        <v>#REF!</v>
      </c>
    </row>
    <row r="22" spans="2:13" ht="22.2" thickTop="1" thickBot="1" x14ac:dyDescent="0.45">
      <c r="B22" s="170" t="s">
        <v>19</v>
      </c>
      <c r="C22" s="170" t="e">
        <f>'التعليم المسرع'!#REF!</f>
        <v>#REF!</v>
      </c>
      <c r="D22" s="170" t="e">
        <f>'التعليم المسرع'!#REF!</f>
        <v>#REF!</v>
      </c>
      <c r="E22" s="170" t="e">
        <f>'التعليم المسرع'!#REF!</f>
        <v>#REF!</v>
      </c>
      <c r="F22" s="172" t="e">
        <f t="shared" ref="F22" si="1">C22+D22+E22</f>
        <v>#REF!</v>
      </c>
      <c r="G22" s="173"/>
      <c r="I22" s="190"/>
      <c r="J22" s="189"/>
      <c r="K22" s="189"/>
      <c r="L22" s="189"/>
      <c r="M22" s="192"/>
    </row>
    <row r="23" spans="2:13" ht="22.2" thickTop="1" thickBot="1" x14ac:dyDescent="0.45">
      <c r="B23" s="171"/>
      <c r="C23" s="171"/>
      <c r="D23" s="171"/>
      <c r="E23" s="171"/>
      <c r="F23" s="174"/>
      <c r="G23" s="175"/>
      <c r="I23" s="190" t="s">
        <v>15</v>
      </c>
      <c r="J23" s="189" t="e">
        <f>J19+J21</f>
        <v>#REF!</v>
      </c>
      <c r="K23" s="189" t="e">
        <f t="shared" ref="K23:M23" si="2">K19+K21</f>
        <v>#REF!</v>
      </c>
      <c r="L23" s="189" t="e">
        <f t="shared" si="2"/>
        <v>#REF!</v>
      </c>
      <c r="M23" s="192" t="e">
        <f t="shared" si="2"/>
        <v>#REF!</v>
      </c>
    </row>
    <row r="24" spans="2:13" ht="33.75" customHeight="1" thickTop="1" thickBot="1" x14ac:dyDescent="0.45">
      <c r="B24" s="55" t="s">
        <v>15</v>
      </c>
      <c r="C24" s="56" t="e">
        <f>SUM(C18:C23)</f>
        <v>#REF!</v>
      </c>
      <c r="D24" s="56" t="e">
        <f>SUM(D18:D23)</f>
        <v>#REF!</v>
      </c>
      <c r="E24" s="56" t="e">
        <f>SUM(E18:E23)</f>
        <v>#REF!</v>
      </c>
      <c r="F24" s="185" t="e">
        <f>C24+D24+E24</f>
        <v>#REF!</v>
      </c>
      <c r="G24" s="166"/>
      <c r="I24" s="193"/>
      <c r="J24" s="191"/>
      <c r="K24" s="191"/>
      <c r="L24" s="191"/>
      <c r="M24" s="208"/>
    </row>
    <row r="25" spans="2:13" ht="22.2" thickTop="1" thickBot="1" x14ac:dyDescent="0.45"/>
    <row r="26" spans="2:13" s="31" customFormat="1" ht="32.25" customHeight="1" thickTop="1" thickBot="1" x14ac:dyDescent="0.3">
      <c r="B26" s="165" t="s">
        <v>39</v>
      </c>
      <c r="C26" s="169"/>
      <c r="D26" s="169"/>
      <c r="E26" s="169"/>
      <c r="F26" s="169"/>
      <c r="G26" s="169"/>
      <c r="H26" s="169"/>
      <c r="I26" s="169"/>
      <c r="J26" s="169"/>
      <c r="K26" s="166"/>
      <c r="L26" s="36"/>
      <c r="M26" s="36"/>
    </row>
    <row r="27" spans="2:13" ht="42" customHeight="1" thickTop="1" thickBot="1" x14ac:dyDescent="0.45">
      <c r="B27" s="212" t="s">
        <v>40</v>
      </c>
      <c r="C27" s="206" t="s">
        <v>32</v>
      </c>
      <c r="D27" s="206" t="s">
        <v>33</v>
      </c>
      <c r="E27" s="206" t="s">
        <v>34</v>
      </c>
      <c r="F27" s="223" t="s">
        <v>35</v>
      </c>
      <c r="G27" s="206" t="s">
        <v>36</v>
      </c>
      <c r="H27" s="206" t="s">
        <v>37</v>
      </c>
      <c r="I27" s="206" t="s">
        <v>38</v>
      </c>
      <c r="J27" s="195" t="s">
        <v>15</v>
      </c>
      <c r="K27" s="196"/>
      <c r="L27" s="26"/>
      <c r="M27" s="26"/>
    </row>
    <row r="28" spans="2:13" ht="57" customHeight="1" thickTop="1" thickBot="1" x14ac:dyDescent="0.45">
      <c r="B28" s="213"/>
      <c r="C28" s="207"/>
      <c r="D28" s="207"/>
      <c r="E28" s="207"/>
      <c r="F28" s="224"/>
      <c r="G28" s="207"/>
      <c r="H28" s="207"/>
      <c r="I28" s="207"/>
      <c r="J28" s="189"/>
      <c r="K28" s="192"/>
      <c r="L28" s="26"/>
      <c r="M28" s="26"/>
    </row>
    <row r="29" spans="2:13" ht="22.2" thickTop="1" thickBot="1" x14ac:dyDescent="0.45">
      <c r="B29" s="190" t="s">
        <v>13</v>
      </c>
      <c r="C29" s="189" t="e">
        <f>'التعليم المسرع'!#REF!</f>
        <v>#REF!</v>
      </c>
      <c r="D29" s="189" t="e">
        <f>'التعليم المسرع'!#REF!</f>
        <v>#REF!</v>
      </c>
      <c r="E29" s="189" t="e">
        <f>'التعليم المسرع'!#REF!</f>
        <v>#REF!</v>
      </c>
      <c r="F29" s="189" t="e">
        <f>'التعليم المسرع'!#REF!</f>
        <v>#REF!</v>
      </c>
      <c r="G29" s="189" t="e">
        <f>'التعليم المسرع'!#REF!</f>
        <v>#REF!</v>
      </c>
      <c r="H29" s="189" t="e">
        <f>'التعليم المسرع'!#REF!</f>
        <v>#REF!</v>
      </c>
      <c r="I29" s="189" t="e">
        <f>'التعليم المسرع'!#REF!</f>
        <v>#REF!</v>
      </c>
      <c r="J29" s="189" t="e">
        <f>I29+H29+G29+F29+E29+D29+C29</f>
        <v>#REF!</v>
      </c>
      <c r="K29" s="192"/>
      <c r="L29" s="26"/>
      <c r="M29" s="26"/>
    </row>
    <row r="30" spans="2:13" ht="22.2" thickTop="1" thickBot="1" x14ac:dyDescent="0.45">
      <c r="B30" s="190"/>
      <c r="C30" s="189"/>
      <c r="D30" s="189"/>
      <c r="E30" s="189"/>
      <c r="F30" s="189"/>
      <c r="G30" s="189"/>
      <c r="H30" s="189"/>
      <c r="I30" s="189"/>
      <c r="J30" s="189"/>
      <c r="K30" s="192"/>
      <c r="L30" s="26"/>
      <c r="M30" s="26"/>
    </row>
    <row r="31" spans="2:13" ht="22.2" thickTop="1" thickBot="1" x14ac:dyDescent="0.45">
      <c r="B31" s="190" t="s">
        <v>14</v>
      </c>
      <c r="C31" s="189" t="e">
        <f>'التعليم المسرع'!#REF!</f>
        <v>#REF!</v>
      </c>
      <c r="D31" s="189" t="e">
        <f>'التعليم المسرع'!#REF!</f>
        <v>#REF!</v>
      </c>
      <c r="E31" s="189" t="e">
        <f>'التعليم المسرع'!#REF!</f>
        <v>#REF!</v>
      </c>
      <c r="F31" s="189" t="e">
        <f>'التعليم المسرع'!#REF!</f>
        <v>#REF!</v>
      </c>
      <c r="G31" s="189" t="e">
        <f>'التعليم المسرع'!#REF!</f>
        <v>#REF!</v>
      </c>
      <c r="H31" s="189" t="e">
        <f>'التعليم المسرع'!#REF!</f>
        <v>#REF!</v>
      </c>
      <c r="I31" s="189" t="e">
        <f>'التعليم المسرع'!#REF!</f>
        <v>#REF!</v>
      </c>
      <c r="J31" s="189" t="e">
        <f t="shared" ref="J31" si="3">I31+H31+G31+F31+E31+D31+C31</f>
        <v>#REF!</v>
      </c>
      <c r="K31" s="192"/>
      <c r="L31" s="26"/>
      <c r="M31" s="26"/>
    </row>
    <row r="32" spans="2:13" ht="22.2" thickTop="1" thickBot="1" x14ac:dyDescent="0.45">
      <c r="B32" s="190"/>
      <c r="C32" s="189"/>
      <c r="D32" s="189"/>
      <c r="E32" s="189"/>
      <c r="F32" s="189"/>
      <c r="G32" s="189"/>
      <c r="H32" s="189"/>
      <c r="I32" s="189"/>
      <c r="J32" s="189"/>
      <c r="K32" s="192"/>
      <c r="L32" s="26"/>
      <c r="M32" s="26"/>
    </row>
    <row r="33" spans="1:14" ht="22.2" thickTop="1" thickBot="1" x14ac:dyDescent="0.45">
      <c r="B33" s="190" t="s">
        <v>15</v>
      </c>
      <c r="C33" s="189" t="e">
        <f>C29+C31</f>
        <v>#REF!</v>
      </c>
      <c r="D33" s="189" t="e">
        <f t="shared" ref="D33:I33" si="4">D29+D31</f>
        <v>#REF!</v>
      </c>
      <c r="E33" s="189" t="e">
        <f t="shared" si="4"/>
        <v>#REF!</v>
      </c>
      <c r="F33" s="189" t="e">
        <f t="shared" si="4"/>
        <v>#REF!</v>
      </c>
      <c r="G33" s="189" t="e">
        <f t="shared" si="4"/>
        <v>#REF!</v>
      </c>
      <c r="H33" s="189" t="e">
        <f t="shared" si="4"/>
        <v>#REF!</v>
      </c>
      <c r="I33" s="189" t="e">
        <f t="shared" si="4"/>
        <v>#REF!</v>
      </c>
      <c r="J33" s="189" t="e">
        <f t="shared" ref="J33" si="5">I33+H33+G33+F33+E33+D33+C33</f>
        <v>#REF!</v>
      </c>
      <c r="K33" s="192"/>
      <c r="L33" s="26"/>
      <c r="M33" s="26"/>
    </row>
    <row r="34" spans="1:14" ht="22.2" thickTop="1" thickBot="1" x14ac:dyDescent="0.45">
      <c r="B34" s="193"/>
      <c r="C34" s="191"/>
      <c r="D34" s="191"/>
      <c r="E34" s="191"/>
      <c r="F34" s="191"/>
      <c r="G34" s="191"/>
      <c r="H34" s="191"/>
      <c r="I34" s="191"/>
      <c r="J34" s="191"/>
      <c r="K34" s="208"/>
      <c r="L34" s="26"/>
      <c r="M34" s="26"/>
    </row>
    <row r="35" spans="1:14" ht="21.6" thickTop="1" x14ac:dyDescent="0.4"/>
    <row r="36" spans="1:14" ht="27.75" customHeight="1" x14ac:dyDescent="0.4">
      <c r="A36" s="181" t="s">
        <v>55</v>
      </c>
      <c r="B36" s="181"/>
      <c r="C36" s="181"/>
    </row>
    <row r="37" spans="1:14" ht="26.25" customHeight="1" x14ac:dyDescent="0.4">
      <c r="A37" s="181" t="s">
        <v>56</v>
      </c>
      <c r="B37" s="181"/>
      <c r="C37" s="181"/>
      <c r="D37" s="181"/>
      <c r="K37" s="9" t="s">
        <v>210</v>
      </c>
    </row>
    <row r="38" spans="1:14" ht="30" customHeight="1" x14ac:dyDescent="0.4">
      <c r="D38" s="9" t="s">
        <v>52</v>
      </c>
    </row>
    <row r="39" spans="1:14" ht="21.6" thickBot="1" x14ac:dyDescent="0.45"/>
    <row r="40" spans="1:14" ht="30.75" customHeight="1" thickTop="1" thickBot="1" x14ac:dyDescent="0.45">
      <c r="B40" s="203" t="s">
        <v>28</v>
      </c>
      <c r="C40" s="185" t="s">
        <v>17</v>
      </c>
      <c r="D40" s="229"/>
      <c r="E40" s="185" t="s">
        <v>18</v>
      </c>
      <c r="F40" s="229"/>
      <c r="G40" s="185" t="s">
        <v>19</v>
      </c>
      <c r="H40" s="229"/>
      <c r="I40" s="185" t="s">
        <v>29</v>
      </c>
      <c r="J40" s="169"/>
      <c r="K40" s="229"/>
      <c r="L40" s="26"/>
      <c r="M40" s="26"/>
      <c r="N40" s="26"/>
    </row>
    <row r="41" spans="1:14" ht="30.75" customHeight="1" thickTop="1" thickBot="1" x14ac:dyDescent="0.45">
      <c r="B41" s="197"/>
      <c r="C41" s="59" t="s">
        <v>10</v>
      </c>
      <c r="D41" s="59" t="s">
        <v>11</v>
      </c>
      <c r="E41" s="59" t="s">
        <v>10</v>
      </c>
      <c r="F41" s="59" t="s">
        <v>11</v>
      </c>
      <c r="G41" s="59" t="s">
        <v>10</v>
      </c>
      <c r="H41" s="59" t="s">
        <v>11</v>
      </c>
      <c r="I41" s="59" t="s">
        <v>10</v>
      </c>
      <c r="J41" s="59" t="s">
        <v>11</v>
      </c>
      <c r="K41" s="59" t="s">
        <v>15</v>
      </c>
      <c r="L41" s="26"/>
      <c r="M41" s="26"/>
      <c r="N41" s="26"/>
    </row>
    <row r="42" spans="1:14" ht="21.6" thickTop="1" x14ac:dyDescent="0.4">
      <c r="B42" s="203" t="s">
        <v>21</v>
      </c>
      <c r="C42" s="203" t="e">
        <f>'التعليم المسرع'!#REF!</f>
        <v>#REF!</v>
      </c>
      <c r="D42" s="203" t="e">
        <f>'التعليم المسرع'!#REF!</f>
        <v>#REF!</v>
      </c>
      <c r="E42" s="203" t="e">
        <f>'التعليم المسرع'!#REF!</f>
        <v>#REF!</v>
      </c>
      <c r="F42" s="203" t="e">
        <f>'التعليم المسرع'!#REF!</f>
        <v>#REF!</v>
      </c>
      <c r="G42" s="203" t="e">
        <f>'التعليم المسرع'!#REF!</f>
        <v>#REF!</v>
      </c>
      <c r="H42" s="203" t="e">
        <f>'التعليم المسرع'!#REF!</f>
        <v>#REF!</v>
      </c>
      <c r="I42" s="203" t="e">
        <f>C42+E42+G42</f>
        <v>#REF!</v>
      </c>
      <c r="J42" s="203" t="e">
        <f>D42+F42+H42</f>
        <v>#REF!</v>
      </c>
      <c r="K42" s="203" t="e">
        <f>SUM(I42:J42)</f>
        <v>#REF!</v>
      </c>
      <c r="L42" s="26"/>
      <c r="M42" s="26"/>
      <c r="N42" s="26"/>
    </row>
    <row r="43" spans="1:14" ht="21.6" thickBot="1" x14ac:dyDescent="0.45">
      <c r="B43" s="197"/>
      <c r="C43" s="197"/>
      <c r="D43" s="197"/>
      <c r="E43" s="197"/>
      <c r="F43" s="197"/>
      <c r="G43" s="197"/>
      <c r="H43" s="197"/>
      <c r="I43" s="197"/>
      <c r="J43" s="197"/>
      <c r="K43" s="197"/>
      <c r="L43" s="26"/>
      <c r="M43" s="26"/>
      <c r="N43" s="26"/>
    </row>
    <row r="44" spans="1:14" ht="21.6" thickTop="1" x14ac:dyDescent="0.4">
      <c r="B44" s="203" t="s">
        <v>22</v>
      </c>
      <c r="C44" s="203" t="e">
        <f>'التعليم المسرع'!#REF!</f>
        <v>#REF!</v>
      </c>
      <c r="D44" s="203" t="e">
        <f>'التعليم المسرع'!#REF!</f>
        <v>#REF!</v>
      </c>
      <c r="E44" s="228" t="e">
        <f>'التعليم المسرع'!#REF!</f>
        <v>#REF!</v>
      </c>
      <c r="F44" s="228" t="e">
        <f>'التعليم المسرع'!#REF!</f>
        <v>#REF!</v>
      </c>
      <c r="G44" s="203" t="e">
        <f>'التعليم المسرع'!#REF!</f>
        <v>#REF!</v>
      </c>
      <c r="H44" s="203" t="e">
        <f>'التعليم المسرع'!#REF!</f>
        <v>#REF!</v>
      </c>
      <c r="I44" s="203" t="e">
        <f t="shared" ref="I44:J44" si="6">C44+E44+G44</f>
        <v>#REF!</v>
      </c>
      <c r="J44" s="203" t="e">
        <f t="shared" si="6"/>
        <v>#REF!</v>
      </c>
      <c r="K44" s="203" t="e">
        <f t="shared" ref="K44" si="7">SUM(I44:J44)</f>
        <v>#REF!</v>
      </c>
      <c r="L44" s="26"/>
    </row>
    <row r="45" spans="1:14" ht="21.6" thickBot="1" x14ac:dyDescent="0.45">
      <c r="B45" s="197"/>
      <c r="C45" s="197"/>
      <c r="D45" s="197"/>
      <c r="E45" s="198"/>
      <c r="F45" s="198"/>
      <c r="G45" s="197"/>
      <c r="H45" s="197"/>
      <c r="I45" s="197"/>
      <c r="J45" s="197"/>
      <c r="K45" s="197"/>
      <c r="L45" s="26"/>
    </row>
    <row r="46" spans="1:14" ht="21.6" thickTop="1" x14ac:dyDescent="0.4">
      <c r="B46" s="203" t="s">
        <v>23</v>
      </c>
      <c r="C46" s="203" t="e">
        <f>'التعليم المسرع'!#REF!</f>
        <v>#REF!</v>
      </c>
      <c r="D46" s="203" t="e">
        <f>'التعليم المسرع'!#REF!</f>
        <v>#REF!</v>
      </c>
      <c r="E46" s="228" t="e">
        <f>'التعليم المسرع'!#REF!</f>
        <v>#REF!</v>
      </c>
      <c r="F46" s="228" t="e">
        <f>'التعليم المسرع'!#REF!</f>
        <v>#REF!</v>
      </c>
      <c r="G46" s="203" t="e">
        <f>'التعليم المسرع'!#REF!</f>
        <v>#REF!</v>
      </c>
      <c r="H46" s="203" t="e">
        <f>'التعليم المسرع'!#REF!</f>
        <v>#REF!</v>
      </c>
      <c r="I46" s="203" t="e">
        <f t="shared" ref="I46:J46" si="8">C46+E46+G46</f>
        <v>#REF!</v>
      </c>
      <c r="J46" s="203" t="e">
        <f t="shared" si="8"/>
        <v>#REF!</v>
      </c>
      <c r="K46" s="203" t="e">
        <f t="shared" ref="K46" si="9">SUM(I46:J46)</f>
        <v>#REF!</v>
      </c>
      <c r="L46" s="26"/>
    </row>
    <row r="47" spans="1:14" ht="21.6" thickBot="1" x14ac:dyDescent="0.45">
      <c r="B47" s="197"/>
      <c r="C47" s="197"/>
      <c r="D47" s="197"/>
      <c r="E47" s="198"/>
      <c r="F47" s="198"/>
      <c r="G47" s="197"/>
      <c r="H47" s="197"/>
      <c r="I47" s="197"/>
      <c r="J47" s="197"/>
      <c r="K47" s="197"/>
      <c r="L47" s="26"/>
    </row>
    <row r="48" spans="1:14" ht="21.6" thickTop="1" x14ac:dyDescent="0.4">
      <c r="B48" s="203" t="s">
        <v>24</v>
      </c>
      <c r="C48" s="203" t="e">
        <f>'التعليم المسرع'!#REF!</f>
        <v>#REF!</v>
      </c>
      <c r="D48" s="203" t="e">
        <f>'التعليم المسرع'!#REF!</f>
        <v>#REF!</v>
      </c>
      <c r="E48" s="228" t="e">
        <f>'التعليم المسرع'!#REF!</f>
        <v>#REF!</v>
      </c>
      <c r="F48" s="228" t="e">
        <f>'التعليم المسرع'!#REF!</f>
        <v>#REF!</v>
      </c>
      <c r="G48" s="203" t="e">
        <f>'التعليم المسرع'!#REF!</f>
        <v>#REF!</v>
      </c>
      <c r="H48" s="203" t="e">
        <f>'التعليم المسرع'!#REF!</f>
        <v>#REF!</v>
      </c>
      <c r="I48" s="203" t="e">
        <f t="shared" ref="I48:J48" si="10">C48+E48+G48</f>
        <v>#REF!</v>
      </c>
      <c r="J48" s="203" t="e">
        <f t="shared" si="10"/>
        <v>#REF!</v>
      </c>
      <c r="K48" s="203" t="e">
        <f t="shared" ref="K48" si="11">SUM(I48:J48)</f>
        <v>#REF!</v>
      </c>
      <c r="L48" s="26"/>
    </row>
    <row r="49" spans="1:16" ht="21.6" thickBot="1" x14ac:dyDescent="0.45">
      <c r="B49" s="197"/>
      <c r="C49" s="197"/>
      <c r="D49" s="197"/>
      <c r="E49" s="198"/>
      <c r="F49" s="198"/>
      <c r="G49" s="197"/>
      <c r="H49" s="197"/>
      <c r="I49" s="197"/>
      <c r="J49" s="197"/>
      <c r="K49" s="197"/>
      <c r="L49" s="26"/>
    </row>
    <row r="50" spans="1:16" ht="21.6" thickTop="1" x14ac:dyDescent="0.4">
      <c r="B50" s="203" t="s">
        <v>25</v>
      </c>
      <c r="C50" s="203" t="e">
        <f>'التعليم المسرع'!#REF!</f>
        <v>#REF!</v>
      </c>
      <c r="D50" s="203" t="e">
        <f>'التعليم المسرع'!#REF!</f>
        <v>#REF!</v>
      </c>
      <c r="E50" s="228" t="e">
        <f>'التعليم المسرع'!#REF!</f>
        <v>#REF!</v>
      </c>
      <c r="F50" s="228" t="e">
        <f>'التعليم المسرع'!#REF!</f>
        <v>#REF!</v>
      </c>
      <c r="G50" s="203" t="e">
        <f>'التعليم المسرع'!#REF!</f>
        <v>#REF!</v>
      </c>
      <c r="H50" s="203" t="e">
        <f>'التعليم المسرع'!#REF!</f>
        <v>#REF!</v>
      </c>
      <c r="I50" s="203" t="e">
        <f t="shared" ref="I50:J50" si="12">C50+E50+G50</f>
        <v>#REF!</v>
      </c>
      <c r="J50" s="203" t="e">
        <f t="shared" si="12"/>
        <v>#REF!</v>
      </c>
      <c r="K50" s="203" t="e">
        <f t="shared" ref="K50" si="13">SUM(I50:J50)</f>
        <v>#REF!</v>
      </c>
      <c r="L50" s="26"/>
    </row>
    <row r="51" spans="1:16" ht="21.6" thickBot="1" x14ac:dyDescent="0.45">
      <c r="B51" s="197"/>
      <c r="C51" s="197"/>
      <c r="D51" s="197"/>
      <c r="E51" s="198"/>
      <c r="F51" s="198"/>
      <c r="G51" s="197"/>
      <c r="H51" s="197"/>
      <c r="I51" s="197"/>
      <c r="J51" s="197"/>
      <c r="K51" s="197"/>
      <c r="L51" s="26"/>
    </row>
    <row r="52" spans="1:16" ht="21.6" thickTop="1" x14ac:dyDescent="0.4">
      <c r="B52" s="203" t="s">
        <v>26</v>
      </c>
      <c r="C52" s="203" t="e">
        <f>'التعليم المسرع'!#REF!</f>
        <v>#REF!</v>
      </c>
      <c r="D52" s="203" t="e">
        <f>'التعليم المسرع'!#REF!</f>
        <v>#REF!</v>
      </c>
      <c r="E52" s="203" t="e">
        <f>'التعليم المسرع'!#REF!</f>
        <v>#REF!</v>
      </c>
      <c r="F52" s="203" t="e">
        <f>'التعليم المسرع'!#REF!</f>
        <v>#REF!</v>
      </c>
      <c r="G52" s="203" t="e">
        <f>'التعليم المسرع'!#REF!</f>
        <v>#REF!</v>
      </c>
      <c r="H52" s="203" t="e">
        <f>'التعليم المسرع'!#REF!</f>
        <v>#REF!</v>
      </c>
      <c r="I52" s="203" t="e">
        <f t="shared" ref="I52:J52" si="14">C52+E52+G52</f>
        <v>#REF!</v>
      </c>
      <c r="J52" s="203" t="e">
        <f t="shared" si="14"/>
        <v>#REF!</v>
      </c>
      <c r="K52" s="203" t="e">
        <f t="shared" ref="K52" si="15">SUM(I52:J52)</f>
        <v>#REF!</v>
      </c>
      <c r="L52" s="26"/>
    </row>
    <row r="53" spans="1:16" ht="21.6" thickBot="1" x14ac:dyDescent="0.45">
      <c r="B53" s="197"/>
      <c r="C53" s="197"/>
      <c r="D53" s="197"/>
      <c r="E53" s="197"/>
      <c r="F53" s="197"/>
      <c r="G53" s="197"/>
      <c r="H53" s="197"/>
      <c r="I53" s="197"/>
      <c r="J53" s="197"/>
      <c r="K53" s="197"/>
    </row>
    <row r="54" spans="1:16" ht="21.6" thickTop="1" x14ac:dyDescent="0.4">
      <c r="B54" s="203" t="s">
        <v>27</v>
      </c>
      <c r="C54" s="203" t="e">
        <f>'التعليم المسرع'!#REF!</f>
        <v>#REF!</v>
      </c>
      <c r="D54" s="203" t="e">
        <f>'التعليم المسرع'!#REF!</f>
        <v>#REF!</v>
      </c>
      <c r="E54" s="203" t="e">
        <f>'التعليم المسرع'!#REF!</f>
        <v>#REF!</v>
      </c>
      <c r="F54" s="203" t="e">
        <f>'التعليم المسرع'!#REF!</f>
        <v>#REF!</v>
      </c>
      <c r="G54" s="203" t="e">
        <f>'التعليم المسرع'!#REF!</f>
        <v>#REF!</v>
      </c>
      <c r="H54" s="203" t="e">
        <f>'التعليم المسرع'!#REF!</f>
        <v>#REF!</v>
      </c>
      <c r="I54" s="203" t="e">
        <f t="shared" ref="I54:J54" si="16">C54+E54+G54</f>
        <v>#REF!</v>
      </c>
      <c r="J54" s="203" t="e">
        <f t="shared" si="16"/>
        <v>#REF!</v>
      </c>
      <c r="K54" s="203" t="e">
        <f t="shared" ref="K54" si="17">SUM(I54:J54)</f>
        <v>#REF!</v>
      </c>
    </row>
    <row r="55" spans="1:16" ht="21.6" thickBot="1" x14ac:dyDescent="0.45">
      <c r="B55" s="197"/>
      <c r="C55" s="197"/>
      <c r="D55" s="197"/>
      <c r="E55" s="197"/>
      <c r="F55" s="197"/>
      <c r="G55" s="197"/>
      <c r="H55" s="197"/>
      <c r="I55" s="197"/>
      <c r="J55" s="197"/>
      <c r="K55" s="197"/>
    </row>
    <row r="56" spans="1:16" ht="21.6" thickTop="1" x14ac:dyDescent="0.4">
      <c r="B56" s="203" t="s">
        <v>15</v>
      </c>
      <c r="C56" s="203" t="e">
        <f t="shared" ref="C56:H56" si="18">C42+C44+C46+C48+C50+C52+C54</f>
        <v>#REF!</v>
      </c>
      <c r="D56" s="203" t="e">
        <f t="shared" si="18"/>
        <v>#REF!</v>
      </c>
      <c r="E56" s="203" t="e">
        <f t="shared" si="18"/>
        <v>#REF!</v>
      </c>
      <c r="F56" s="203" t="e">
        <f t="shared" si="18"/>
        <v>#REF!</v>
      </c>
      <c r="G56" s="203" t="e">
        <f t="shared" si="18"/>
        <v>#REF!</v>
      </c>
      <c r="H56" s="203" t="e">
        <f t="shared" si="18"/>
        <v>#REF!</v>
      </c>
      <c r="I56" s="203" t="e">
        <f>C56+E56+G56</f>
        <v>#REF!</v>
      </c>
      <c r="J56" s="203" t="e">
        <f t="shared" ref="J56" si="19">D56+F56+H56</f>
        <v>#REF!</v>
      </c>
      <c r="K56" s="203" t="e">
        <f t="shared" ref="K56" si="20">SUM(I56:J56)</f>
        <v>#REF!</v>
      </c>
    </row>
    <row r="57" spans="1:16" ht="21.6" thickBot="1" x14ac:dyDescent="0.45">
      <c r="B57" s="197"/>
      <c r="C57" s="197"/>
      <c r="D57" s="197"/>
      <c r="E57" s="197"/>
      <c r="F57" s="197"/>
      <c r="G57" s="197"/>
      <c r="H57" s="197"/>
      <c r="I57" s="197"/>
      <c r="J57" s="197"/>
      <c r="K57" s="197"/>
    </row>
    <row r="58" spans="1:16" ht="22.2" thickTop="1" thickBot="1" x14ac:dyDescent="0.45"/>
    <row r="59" spans="1:16" ht="31.5" customHeight="1" thickTop="1" thickBot="1" x14ac:dyDescent="0.45">
      <c r="A59" s="194"/>
      <c r="B59" s="206" t="s">
        <v>267</v>
      </c>
      <c r="C59" s="206"/>
      <c r="D59" s="206"/>
      <c r="E59" s="206" t="s">
        <v>272</v>
      </c>
      <c r="F59" s="206"/>
      <c r="G59" s="206"/>
      <c r="H59" s="195" t="s">
        <v>273</v>
      </c>
      <c r="I59" s="195"/>
      <c r="J59" s="195"/>
      <c r="K59" s="195"/>
      <c r="L59" s="195"/>
      <c r="M59" s="195"/>
      <c r="N59" s="195" t="s">
        <v>15</v>
      </c>
      <c r="O59" s="195"/>
      <c r="P59" s="196"/>
    </row>
    <row r="60" spans="1:16" ht="34.5" customHeight="1" thickTop="1" thickBot="1" x14ac:dyDescent="0.45">
      <c r="A60" s="190"/>
      <c r="B60" s="207"/>
      <c r="C60" s="207"/>
      <c r="D60" s="207"/>
      <c r="E60" s="207"/>
      <c r="F60" s="207"/>
      <c r="G60" s="207"/>
      <c r="H60" s="189" t="s">
        <v>185</v>
      </c>
      <c r="I60" s="189"/>
      <c r="J60" s="189" t="s">
        <v>186</v>
      </c>
      <c r="K60" s="189"/>
      <c r="L60" s="189" t="s">
        <v>187</v>
      </c>
      <c r="M60" s="189"/>
      <c r="N60" s="189"/>
      <c r="O60" s="189"/>
      <c r="P60" s="192"/>
    </row>
    <row r="61" spans="1:16" ht="22.2" thickTop="1" thickBot="1" x14ac:dyDescent="0.45">
      <c r="A61" s="190"/>
      <c r="B61" s="189" t="s">
        <v>10</v>
      </c>
      <c r="C61" s="189" t="s">
        <v>11</v>
      </c>
      <c r="D61" s="189" t="s">
        <v>15</v>
      </c>
      <c r="E61" s="189" t="s">
        <v>10</v>
      </c>
      <c r="F61" s="189" t="s">
        <v>11</v>
      </c>
      <c r="G61" s="189" t="s">
        <v>15</v>
      </c>
      <c r="H61" s="189" t="s">
        <v>10</v>
      </c>
      <c r="I61" s="189" t="s">
        <v>11</v>
      </c>
      <c r="J61" s="189" t="s">
        <v>10</v>
      </c>
      <c r="K61" s="189" t="s">
        <v>11</v>
      </c>
      <c r="L61" s="189" t="s">
        <v>10</v>
      </c>
      <c r="M61" s="189" t="s">
        <v>11</v>
      </c>
      <c r="N61" s="189" t="s">
        <v>10</v>
      </c>
      <c r="O61" s="189" t="s">
        <v>11</v>
      </c>
      <c r="P61" s="192" t="s">
        <v>15</v>
      </c>
    </row>
    <row r="62" spans="1:16" ht="22.2" thickTop="1" thickBot="1" x14ac:dyDescent="0.45">
      <c r="A62" s="190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92"/>
    </row>
    <row r="63" spans="1:16" ht="22.2" thickTop="1" thickBot="1" x14ac:dyDescent="0.45">
      <c r="A63" s="190" t="s">
        <v>17</v>
      </c>
      <c r="B63" s="189" t="e">
        <f>'التعليم المسرع'!#REF!</f>
        <v>#REF!</v>
      </c>
      <c r="C63" s="189" t="e">
        <f>'التعليم المسرع'!#REF!</f>
        <v>#REF!</v>
      </c>
      <c r="D63" s="189" t="e">
        <f>C63+B63</f>
        <v>#REF!</v>
      </c>
      <c r="E63" s="189" t="e">
        <f>'التعليم المسرع'!#REF!</f>
        <v>#REF!</v>
      </c>
      <c r="F63" s="189" t="e">
        <f>'التعليم المسرع'!#REF!</f>
        <v>#REF!</v>
      </c>
      <c r="G63" s="189" t="e">
        <f t="shared" ref="G63" si="21">F63+E63</f>
        <v>#REF!</v>
      </c>
      <c r="H63" s="189" t="e">
        <f>'التعليم المسرع'!#REF!</f>
        <v>#REF!</v>
      </c>
      <c r="I63" s="189" t="e">
        <f>'التعليم المسرع'!#REF!</f>
        <v>#REF!</v>
      </c>
      <c r="J63" s="189" t="e">
        <f>'التعليم المسرع'!#REF!</f>
        <v>#REF!</v>
      </c>
      <c r="K63" s="189" t="e">
        <f>'التعليم المسرع'!#REF!</f>
        <v>#REF!</v>
      </c>
      <c r="L63" s="189" t="e">
        <f>'التعليم المسرع'!#REF!</f>
        <v>#REF!</v>
      </c>
      <c r="M63" s="189" t="e">
        <f>'التعليم المسرع'!#REF!</f>
        <v>#REF!</v>
      </c>
      <c r="N63" s="189" t="e">
        <f>L63+J63+H63</f>
        <v>#REF!</v>
      </c>
      <c r="O63" s="189" t="e">
        <f>M63+K63+I63</f>
        <v>#REF!</v>
      </c>
      <c r="P63" s="192" t="e">
        <f>O63+N63</f>
        <v>#REF!</v>
      </c>
    </row>
    <row r="64" spans="1:16" ht="22.2" thickTop="1" thickBot="1" x14ac:dyDescent="0.45">
      <c r="A64" s="190"/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92"/>
    </row>
    <row r="65" spans="1:16" ht="22.2" thickTop="1" thickBot="1" x14ac:dyDescent="0.45">
      <c r="A65" s="190" t="s">
        <v>18</v>
      </c>
      <c r="B65" s="189" t="e">
        <f>'التعليم المسرع'!#REF!</f>
        <v>#REF!</v>
      </c>
      <c r="C65" s="189" t="e">
        <f>'التعليم المسرع'!#REF!</f>
        <v>#REF!</v>
      </c>
      <c r="D65" s="189" t="e">
        <f t="shared" ref="D65" si="22">C65+B65</f>
        <v>#REF!</v>
      </c>
      <c r="E65" s="189" t="e">
        <f>'التعليم المسرع'!#REF!</f>
        <v>#REF!</v>
      </c>
      <c r="F65" s="189" t="e">
        <f>'التعليم المسرع'!#REF!</f>
        <v>#REF!</v>
      </c>
      <c r="G65" s="189" t="e">
        <f t="shared" ref="G65" si="23">F65+E65</f>
        <v>#REF!</v>
      </c>
      <c r="H65" s="189" t="e">
        <f>'التعليم المسرع'!#REF!</f>
        <v>#REF!</v>
      </c>
      <c r="I65" s="189" t="e">
        <f>'التعليم المسرع'!#REF!</f>
        <v>#REF!</v>
      </c>
      <c r="J65" s="189" t="e">
        <f>'التعليم المسرع'!#REF!</f>
        <v>#REF!</v>
      </c>
      <c r="K65" s="189" t="e">
        <f>'التعليم المسرع'!#REF!</f>
        <v>#REF!</v>
      </c>
      <c r="L65" s="189" t="e">
        <f>'التعليم المسرع'!#REF!</f>
        <v>#REF!</v>
      </c>
      <c r="M65" s="189" t="e">
        <f>'التعليم المسرع'!#REF!</f>
        <v>#REF!</v>
      </c>
      <c r="N65" s="189" t="e">
        <f t="shared" ref="N65:O65" si="24">L65+J65+H65</f>
        <v>#REF!</v>
      </c>
      <c r="O65" s="189" t="e">
        <f t="shared" si="24"/>
        <v>#REF!</v>
      </c>
      <c r="P65" s="192" t="e">
        <f t="shared" ref="P65" si="25">O65+N65</f>
        <v>#REF!</v>
      </c>
    </row>
    <row r="66" spans="1:16" ht="22.2" thickTop="1" thickBot="1" x14ac:dyDescent="0.45">
      <c r="A66" s="190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92"/>
    </row>
    <row r="67" spans="1:16" ht="22.2" thickTop="1" thickBot="1" x14ac:dyDescent="0.45">
      <c r="A67" s="190" t="s">
        <v>19</v>
      </c>
      <c r="B67" s="189" t="e">
        <f>'التعليم المسرع'!#REF!</f>
        <v>#REF!</v>
      </c>
      <c r="C67" s="189" t="e">
        <f>'التعليم المسرع'!#REF!</f>
        <v>#REF!</v>
      </c>
      <c r="D67" s="189" t="e">
        <f t="shared" ref="D67" si="26">C67+B67</f>
        <v>#REF!</v>
      </c>
      <c r="E67" s="189" t="e">
        <f>'التعليم المسرع'!#REF!</f>
        <v>#REF!</v>
      </c>
      <c r="F67" s="189" t="e">
        <f>'التعليم المسرع'!#REF!</f>
        <v>#REF!</v>
      </c>
      <c r="G67" s="189" t="e">
        <f t="shared" ref="G67" si="27">F67+E67</f>
        <v>#REF!</v>
      </c>
      <c r="H67" s="189" t="e">
        <f>'التعليم المسرع'!#REF!</f>
        <v>#REF!</v>
      </c>
      <c r="I67" s="189" t="e">
        <f>'التعليم المسرع'!#REF!</f>
        <v>#REF!</v>
      </c>
      <c r="J67" s="189" t="e">
        <f>'التعليم المسرع'!#REF!</f>
        <v>#REF!</v>
      </c>
      <c r="K67" s="189" t="e">
        <f>'التعليم المسرع'!#REF!</f>
        <v>#REF!</v>
      </c>
      <c r="L67" s="189" t="e">
        <f>'التعليم المسرع'!#REF!</f>
        <v>#REF!</v>
      </c>
      <c r="M67" s="189" t="e">
        <f>'التعليم المسرع'!#REF!</f>
        <v>#REF!</v>
      </c>
      <c r="N67" s="189" t="e">
        <f t="shared" ref="N67:O67" si="28">L67+J67+H67</f>
        <v>#REF!</v>
      </c>
      <c r="O67" s="189" t="e">
        <f t="shared" si="28"/>
        <v>#REF!</v>
      </c>
      <c r="P67" s="192" t="e">
        <f t="shared" ref="P67" si="29">O67+N67</f>
        <v>#REF!</v>
      </c>
    </row>
    <row r="68" spans="1:16" ht="13.5" customHeight="1" thickTop="1" thickBot="1" x14ac:dyDescent="0.45">
      <c r="A68" s="193"/>
      <c r="B68" s="191"/>
      <c r="C68" s="191"/>
      <c r="D68" s="191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208"/>
    </row>
    <row r="69" spans="1:16" ht="8.25" customHeight="1" thickTop="1" x14ac:dyDescent="0.4">
      <c r="B69" s="27"/>
      <c r="C69" s="27"/>
      <c r="D69" s="27"/>
      <c r="E69" s="27"/>
    </row>
  </sheetData>
  <mergeCells count="246">
    <mergeCell ref="B8:D8"/>
    <mergeCell ref="G8:I8"/>
    <mergeCell ref="L8:N8"/>
    <mergeCell ref="B11:C11"/>
    <mergeCell ref="F11:H11"/>
    <mergeCell ref="K11:M11"/>
    <mergeCell ref="A1:C1"/>
    <mergeCell ref="A2:D2"/>
    <mergeCell ref="A3:O3"/>
    <mergeCell ref="B6:D6"/>
    <mergeCell ref="G6:I6"/>
    <mergeCell ref="L6:N6"/>
    <mergeCell ref="B16:G16"/>
    <mergeCell ref="I16:M16"/>
    <mergeCell ref="F17:G17"/>
    <mergeCell ref="I17:I18"/>
    <mergeCell ref="J17:J18"/>
    <mergeCell ref="K17:K18"/>
    <mergeCell ref="L17:L18"/>
    <mergeCell ref="M17:M18"/>
    <mergeCell ref="B18:B19"/>
    <mergeCell ref="C18:C19"/>
    <mergeCell ref="L19:L20"/>
    <mergeCell ref="M19:M20"/>
    <mergeCell ref="B20:B21"/>
    <mergeCell ref="C20:C21"/>
    <mergeCell ref="D20:D21"/>
    <mergeCell ref="E20:E21"/>
    <mergeCell ref="F20:G21"/>
    <mergeCell ref="I21:I22"/>
    <mergeCell ref="J21:J22"/>
    <mergeCell ref="K21:K22"/>
    <mergeCell ref="D18:D19"/>
    <mergeCell ref="E18:E19"/>
    <mergeCell ref="F18:G19"/>
    <mergeCell ref="I19:I20"/>
    <mergeCell ref="J19:J20"/>
    <mergeCell ref="K19:K20"/>
    <mergeCell ref="L21:L22"/>
    <mergeCell ref="M21:M22"/>
    <mergeCell ref="B22:B23"/>
    <mergeCell ref="C22:C23"/>
    <mergeCell ref="D22:D23"/>
    <mergeCell ref="E22:E23"/>
    <mergeCell ref="F22:G23"/>
    <mergeCell ref="I23:I24"/>
    <mergeCell ref="J23:J24"/>
    <mergeCell ref="K23:K24"/>
    <mergeCell ref="L23:L24"/>
    <mergeCell ref="M23:M24"/>
    <mergeCell ref="F24:G24"/>
    <mergeCell ref="J29:K30"/>
    <mergeCell ref="B26:K26"/>
    <mergeCell ref="B27:B28"/>
    <mergeCell ref="C27:C28"/>
    <mergeCell ref="D27:D28"/>
    <mergeCell ref="E27:E28"/>
    <mergeCell ref="F27:F28"/>
    <mergeCell ref="G27:G28"/>
    <mergeCell ref="H27:H28"/>
    <mergeCell ref="I27:I28"/>
    <mergeCell ref="J27:K28"/>
    <mergeCell ref="A36:C36"/>
    <mergeCell ref="B29:B30"/>
    <mergeCell ref="C29:C30"/>
    <mergeCell ref="D29:D30"/>
    <mergeCell ref="E29:E30"/>
    <mergeCell ref="F29:F30"/>
    <mergeCell ref="G29:G30"/>
    <mergeCell ref="H29:H30"/>
    <mergeCell ref="I29:I30"/>
    <mergeCell ref="A37:D37"/>
    <mergeCell ref="B40:B41"/>
    <mergeCell ref="C40:D40"/>
    <mergeCell ref="E40:F40"/>
    <mergeCell ref="G40:H40"/>
    <mergeCell ref="J31:K32"/>
    <mergeCell ref="B33:B34"/>
    <mergeCell ref="C33:C34"/>
    <mergeCell ref="D33:D34"/>
    <mergeCell ref="E33:E34"/>
    <mergeCell ref="F33:F34"/>
    <mergeCell ref="G33:G34"/>
    <mergeCell ref="H33:H34"/>
    <mergeCell ref="I33:I34"/>
    <mergeCell ref="J33:K34"/>
    <mergeCell ref="I40:K40"/>
    <mergeCell ref="B31:B32"/>
    <mergeCell ref="C31:C32"/>
    <mergeCell ref="D31:D32"/>
    <mergeCell ref="E31:E32"/>
    <mergeCell ref="F31:F32"/>
    <mergeCell ref="G31:G32"/>
    <mergeCell ref="H31:H32"/>
    <mergeCell ref="I31:I32"/>
    <mergeCell ref="K42:K43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K44:K45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K46:K47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K48:K49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K50:K51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K54:K55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K56:K57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N59:P60"/>
    <mergeCell ref="H60:I60"/>
    <mergeCell ref="J60:K60"/>
    <mergeCell ref="L60:M60"/>
    <mergeCell ref="B61:B62"/>
    <mergeCell ref="O61:O62"/>
    <mergeCell ref="P61:P62"/>
    <mergeCell ref="J61:J62"/>
    <mergeCell ref="K61:K62"/>
    <mergeCell ref="L61:L62"/>
    <mergeCell ref="M61:M62"/>
    <mergeCell ref="N61:N62"/>
    <mergeCell ref="I61:I62"/>
    <mergeCell ref="C61:C62"/>
    <mergeCell ref="D61:D62"/>
    <mergeCell ref="E61:E62"/>
    <mergeCell ref="F61:F62"/>
    <mergeCell ref="G61:G62"/>
    <mergeCell ref="H61:H62"/>
    <mergeCell ref="A59:A62"/>
    <mergeCell ref="B59:D60"/>
    <mergeCell ref="E59:G60"/>
    <mergeCell ref="H59:M59"/>
    <mergeCell ref="O63:O64"/>
    <mergeCell ref="P63:P64"/>
    <mergeCell ref="A65:A66"/>
    <mergeCell ref="B65:B66"/>
    <mergeCell ref="C65:C66"/>
    <mergeCell ref="D65:D66"/>
    <mergeCell ref="E65:E66"/>
    <mergeCell ref="F65:F66"/>
    <mergeCell ref="G65:G66"/>
    <mergeCell ref="H65:H66"/>
    <mergeCell ref="I63:I64"/>
    <mergeCell ref="J63:J64"/>
    <mergeCell ref="K63:K64"/>
    <mergeCell ref="L63:L64"/>
    <mergeCell ref="M63:M64"/>
    <mergeCell ref="N63:N64"/>
    <mergeCell ref="A63:A64"/>
    <mergeCell ref="B63:B64"/>
    <mergeCell ref="C63:C64"/>
    <mergeCell ref="D63:D64"/>
    <mergeCell ref="E63:E64"/>
    <mergeCell ref="F63:F64"/>
    <mergeCell ref="G63:G64"/>
    <mergeCell ref="H63:H64"/>
    <mergeCell ref="A67:A68"/>
    <mergeCell ref="B67:B68"/>
    <mergeCell ref="C67:C68"/>
    <mergeCell ref="D67:D68"/>
    <mergeCell ref="E67:E68"/>
    <mergeCell ref="F67:F68"/>
    <mergeCell ref="G67:G68"/>
    <mergeCell ref="H67:H68"/>
    <mergeCell ref="I65:I66"/>
    <mergeCell ref="O67:O68"/>
    <mergeCell ref="P67:P68"/>
    <mergeCell ref="I67:I68"/>
    <mergeCell ref="J67:J68"/>
    <mergeCell ref="K67:K68"/>
    <mergeCell ref="L67:L68"/>
    <mergeCell ref="M67:M68"/>
    <mergeCell ref="N67:N68"/>
    <mergeCell ref="O65:O66"/>
    <mergeCell ref="P65:P66"/>
    <mergeCell ref="J65:J66"/>
    <mergeCell ref="K65:K66"/>
    <mergeCell ref="L65:L66"/>
    <mergeCell ref="M65:M66"/>
    <mergeCell ref="N65:N66"/>
  </mergeCells>
  <printOptions horizontalCentered="1" verticalCentered="1"/>
  <pageMargins left="0.23622047244094491" right="0.23622047244094491" top="0.19685039370078741" bottom="0.19685039370078741" header="0.19685039370078741" footer="0.19685039370078741"/>
  <pageSetup paperSize="9" scale="60" orientation="landscape" horizontalDpi="300" verticalDpi="300" r:id="rId1"/>
  <rowBreaks count="1" manualBreakCount="1">
    <brk id="3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70"/>
  <sheetViews>
    <sheetView rightToLeft="1" view="pageBreakPreview" topLeftCell="A15" zoomScale="60" workbookViewId="0">
      <selection activeCell="O26" sqref="O26"/>
    </sheetView>
  </sheetViews>
  <sheetFormatPr defaultColWidth="9" defaultRowHeight="17.399999999999999" x14ac:dyDescent="0.3"/>
  <cols>
    <col min="1" max="1" width="14.69921875" style="1" customWidth="1"/>
    <col min="2" max="2" width="14.296875" style="1" customWidth="1"/>
    <col min="3" max="3" width="17.796875" style="1" customWidth="1"/>
    <col min="4" max="4" width="10.796875" style="1" customWidth="1"/>
    <col min="5" max="8" width="9" style="1"/>
    <col min="9" max="10" width="11.69921875" style="1" customWidth="1"/>
    <col min="11" max="11" width="10.296875" style="1" customWidth="1"/>
    <col min="12" max="16384" width="9" style="1"/>
  </cols>
  <sheetData>
    <row r="1" spans="1:16" x14ac:dyDescent="0.3">
      <c r="A1" s="236" t="s">
        <v>55</v>
      </c>
      <c r="B1" s="236"/>
      <c r="C1" s="236"/>
    </row>
    <row r="2" spans="1:16" x14ac:dyDescent="0.3">
      <c r="A2" s="236" t="s">
        <v>56</v>
      </c>
      <c r="B2" s="236"/>
      <c r="C2" s="236"/>
      <c r="D2" s="236"/>
    </row>
    <row r="3" spans="1:16" ht="27.75" customHeight="1" x14ac:dyDescent="0.4">
      <c r="A3" s="181" t="s">
        <v>54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</row>
    <row r="4" spans="1:16" x14ac:dyDescent="0.3">
      <c r="E4" s="1" t="s">
        <v>266</v>
      </c>
    </row>
    <row r="5" spans="1:16" ht="18" thickBot="1" x14ac:dyDescent="0.35"/>
    <row r="6" spans="1:16" ht="18.600000000000001" thickTop="1" thickBot="1" x14ac:dyDescent="0.35">
      <c r="A6" s="1" t="s">
        <v>1</v>
      </c>
      <c r="B6" s="230" t="s">
        <v>41</v>
      </c>
      <c r="C6" s="239"/>
      <c r="D6" s="231"/>
      <c r="F6" s="1" t="s">
        <v>2</v>
      </c>
      <c r="G6" s="230" t="s">
        <v>48</v>
      </c>
      <c r="H6" s="239"/>
      <c r="I6" s="231"/>
      <c r="K6" s="1" t="s">
        <v>0</v>
      </c>
      <c r="L6" s="230" t="s">
        <v>50</v>
      </c>
      <c r="M6" s="239"/>
      <c r="N6" s="231"/>
    </row>
    <row r="7" spans="1:16" ht="18.600000000000001" thickTop="1" thickBot="1" x14ac:dyDescent="0.35"/>
    <row r="8" spans="1:16" ht="18.600000000000001" thickTop="1" thickBot="1" x14ac:dyDescent="0.35">
      <c r="A8" s="1" t="s">
        <v>43</v>
      </c>
      <c r="B8" s="230" t="e">
        <f>'التعليم المسرع'!#REF!+'التعليم المسرع'!#REF!+'التعليم المسرع'!#REF!</f>
        <v>#REF!</v>
      </c>
      <c r="C8" s="239"/>
      <c r="D8" s="231"/>
      <c r="F8" s="1" t="s">
        <v>3</v>
      </c>
      <c r="G8" s="230" t="e">
        <f>'التعليم المسرع'!#REF!</f>
        <v>#REF!</v>
      </c>
      <c r="H8" s="239"/>
      <c r="I8" s="231"/>
      <c r="K8" s="1" t="s">
        <v>4</v>
      </c>
      <c r="L8" s="230" t="e">
        <f>'التعليم المسرع'!#REF!</f>
        <v>#REF!</v>
      </c>
      <c r="M8" s="239"/>
      <c r="N8" s="231"/>
    </row>
    <row r="9" spans="1:16" ht="18" thickTop="1" x14ac:dyDescent="0.3"/>
    <row r="10" spans="1:16" ht="18" thickBot="1" x14ac:dyDescent="0.35"/>
    <row r="11" spans="1:16" ht="18.600000000000001" thickTop="1" thickBot="1" x14ac:dyDescent="0.35">
      <c r="B11" s="230" t="s">
        <v>5</v>
      </c>
      <c r="C11" s="231"/>
      <c r="F11" s="230" t="s">
        <v>6</v>
      </c>
      <c r="G11" s="239"/>
      <c r="H11" s="231"/>
      <c r="K11" s="230" t="s">
        <v>7</v>
      </c>
      <c r="L11" s="239"/>
      <c r="M11" s="231"/>
    </row>
    <row r="12" spans="1:16" ht="29.25" customHeight="1" thickTop="1" thickBot="1" x14ac:dyDescent="0.35">
      <c r="B12" s="2" t="s">
        <v>8</v>
      </c>
      <c r="C12" s="3" t="s">
        <v>9</v>
      </c>
      <c r="F12" s="4" t="s">
        <v>10</v>
      </c>
      <c r="G12" s="5" t="s">
        <v>11</v>
      </c>
      <c r="H12" s="6" t="s">
        <v>12</v>
      </c>
      <c r="K12" s="2" t="s">
        <v>13</v>
      </c>
      <c r="L12" s="7" t="s">
        <v>14</v>
      </c>
      <c r="M12" s="3" t="s">
        <v>15</v>
      </c>
    </row>
    <row r="13" spans="1:16" ht="31.5" customHeight="1" thickTop="1" thickBot="1" x14ac:dyDescent="0.45">
      <c r="B13" s="16" t="e">
        <f>'التعليم المسرع'!#REF!</f>
        <v>#REF!</v>
      </c>
      <c r="C13" s="17" t="e">
        <f>'التعليم المسرع'!#REF!</f>
        <v>#REF!</v>
      </c>
      <c r="D13" s="9"/>
      <c r="E13" s="9"/>
      <c r="F13" s="18" t="e">
        <f>'التعليم المسرع'!#REF!</f>
        <v>#REF!</v>
      </c>
      <c r="G13" s="19" t="e">
        <f>'التعليم المسرع'!#REF!</f>
        <v>#REF!</v>
      </c>
      <c r="H13" s="20" t="e">
        <f>'التعليم المسرع'!#REF!</f>
        <v>#REF!</v>
      </c>
      <c r="I13" s="9"/>
      <c r="J13" s="9"/>
      <c r="K13" s="16" t="e">
        <f>'التعليم المسرع'!#REF!</f>
        <v>#REF!</v>
      </c>
      <c r="L13" s="21" t="e">
        <f>'التعليم المسرع'!#REF!</f>
        <v>#REF!</v>
      </c>
      <c r="M13" s="17" t="e">
        <f>SUM(K13:L13)</f>
        <v>#REF!</v>
      </c>
      <c r="N13" s="9"/>
    </row>
    <row r="14" spans="1:16" ht="21.6" thickTop="1" x14ac:dyDescent="0.4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6" ht="21.6" thickBot="1" x14ac:dyDescent="0.45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6" ht="40.5" customHeight="1" thickTop="1" thickBot="1" x14ac:dyDescent="0.45">
      <c r="B16" s="165" t="s">
        <v>20</v>
      </c>
      <c r="C16" s="169"/>
      <c r="D16" s="169"/>
      <c r="E16" s="169"/>
      <c r="F16" s="169"/>
      <c r="G16" s="166"/>
      <c r="H16" s="9"/>
      <c r="I16" s="9"/>
      <c r="J16" s="165" t="s">
        <v>30</v>
      </c>
      <c r="K16" s="169"/>
      <c r="L16" s="169"/>
      <c r="M16" s="169"/>
      <c r="N16" s="169"/>
      <c r="O16" s="166"/>
    </row>
    <row r="17" spans="2:15" ht="25.5" customHeight="1" thickTop="1" thickBot="1" x14ac:dyDescent="0.45">
      <c r="B17" s="22" t="s">
        <v>16</v>
      </c>
      <c r="C17" s="23" t="s">
        <v>10</v>
      </c>
      <c r="D17" s="23" t="s">
        <v>11</v>
      </c>
      <c r="E17" s="23" t="s">
        <v>12</v>
      </c>
      <c r="F17" s="167" t="s">
        <v>15</v>
      </c>
      <c r="G17" s="168"/>
      <c r="H17" s="9"/>
      <c r="I17" s="9"/>
      <c r="J17" s="194" t="s">
        <v>31</v>
      </c>
      <c r="K17" s="195" t="s">
        <v>44</v>
      </c>
      <c r="L17" s="195" t="s">
        <v>45</v>
      </c>
      <c r="M17" s="195" t="s">
        <v>46</v>
      </c>
      <c r="N17" s="195" t="s">
        <v>247</v>
      </c>
      <c r="O17" s="196" t="s">
        <v>47</v>
      </c>
    </row>
    <row r="18" spans="2:15" ht="22.2" thickTop="1" thickBot="1" x14ac:dyDescent="0.45">
      <c r="B18" s="170" t="s">
        <v>17</v>
      </c>
      <c r="C18" s="170" t="e">
        <f>'التعليم المسرع'!#REF!</f>
        <v>#REF!</v>
      </c>
      <c r="D18" s="170" t="e">
        <f>'التعليم المسرع'!#REF!</f>
        <v>#REF!</v>
      </c>
      <c r="E18" s="170" t="e">
        <f>'التعليم المسرع'!#REF!</f>
        <v>#REF!</v>
      </c>
      <c r="F18" s="172" t="e">
        <f>C18+D18+E18</f>
        <v>#REF!</v>
      </c>
      <c r="G18" s="173"/>
      <c r="H18" s="9"/>
      <c r="I18" s="9"/>
      <c r="J18" s="190"/>
      <c r="K18" s="189"/>
      <c r="L18" s="189"/>
      <c r="M18" s="189"/>
      <c r="N18" s="189"/>
      <c r="O18" s="192"/>
    </row>
    <row r="19" spans="2:15" ht="22.2" thickTop="1" thickBot="1" x14ac:dyDescent="0.45">
      <c r="B19" s="171"/>
      <c r="C19" s="171"/>
      <c r="D19" s="171"/>
      <c r="E19" s="171"/>
      <c r="F19" s="174"/>
      <c r="G19" s="175"/>
      <c r="H19" s="9"/>
      <c r="I19" s="9"/>
      <c r="J19" s="190" t="s">
        <v>13</v>
      </c>
      <c r="K19" s="189" t="e">
        <f>'التعليم المسرع'!#REF!</f>
        <v>#REF!</v>
      </c>
      <c r="L19" s="189" t="e">
        <f>'التعليم المسرع'!#REF!</f>
        <v>#REF!</v>
      </c>
      <c r="M19" s="189" t="e">
        <f>'التعليم المسرع'!#REF!</f>
        <v>#REF!</v>
      </c>
      <c r="N19" s="189" t="e">
        <f>'التعليم المسرع'!#REF!</f>
        <v>#REF!</v>
      </c>
      <c r="O19" s="192" t="e">
        <f>SUM(K19:N20)</f>
        <v>#REF!</v>
      </c>
    </row>
    <row r="20" spans="2:15" ht="22.2" thickTop="1" thickBot="1" x14ac:dyDescent="0.45">
      <c r="B20" s="170" t="s">
        <v>18</v>
      </c>
      <c r="C20" s="170" t="e">
        <f>'التعليم المسرع'!#REF!</f>
        <v>#REF!</v>
      </c>
      <c r="D20" s="170" t="e">
        <f>'التعليم المسرع'!#REF!</f>
        <v>#REF!</v>
      </c>
      <c r="E20" s="170" t="e">
        <f>'التعليم المسرع'!#REF!</f>
        <v>#REF!</v>
      </c>
      <c r="F20" s="172" t="e">
        <f t="shared" ref="F20" si="0">C20+D20+E20</f>
        <v>#REF!</v>
      </c>
      <c r="G20" s="173"/>
      <c r="H20" s="9"/>
      <c r="I20" s="9"/>
      <c r="J20" s="190"/>
      <c r="K20" s="189"/>
      <c r="L20" s="189"/>
      <c r="M20" s="189"/>
      <c r="N20" s="189"/>
      <c r="O20" s="192"/>
    </row>
    <row r="21" spans="2:15" ht="22.2" thickTop="1" thickBot="1" x14ac:dyDescent="0.45">
      <c r="B21" s="171"/>
      <c r="C21" s="171"/>
      <c r="D21" s="171"/>
      <c r="E21" s="171"/>
      <c r="F21" s="174"/>
      <c r="G21" s="175"/>
      <c r="H21" s="9"/>
      <c r="I21" s="9"/>
      <c r="J21" s="190" t="s">
        <v>14</v>
      </c>
      <c r="K21" s="189" t="e">
        <f>'التعليم المسرع'!#REF!</f>
        <v>#REF!</v>
      </c>
      <c r="L21" s="189" t="e">
        <f>'التعليم المسرع'!#REF!</f>
        <v>#REF!</v>
      </c>
      <c r="M21" s="189" t="e">
        <f>'التعليم المسرع'!#REF!</f>
        <v>#REF!</v>
      </c>
      <c r="N21" s="189" t="e">
        <f>'التعليم المسرع'!#REF!</f>
        <v>#REF!</v>
      </c>
      <c r="O21" s="192" t="e">
        <f>SUM(K21:N22)</f>
        <v>#REF!</v>
      </c>
    </row>
    <row r="22" spans="2:15" ht="22.2" thickTop="1" thickBot="1" x14ac:dyDescent="0.45">
      <c r="B22" s="170" t="s">
        <v>19</v>
      </c>
      <c r="C22" s="170" t="e">
        <f>'التعليم المسرع'!#REF!</f>
        <v>#REF!</v>
      </c>
      <c r="D22" s="170" t="e">
        <f>'التعليم المسرع'!#REF!</f>
        <v>#REF!</v>
      </c>
      <c r="E22" s="170" t="e">
        <f>'التعليم المسرع'!#REF!</f>
        <v>#REF!</v>
      </c>
      <c r="F22" s="172" t="e">
        <f t="shared" ref="F22" si="1">C22+D22+E22</f>
        <v>#REF!</v>
      </c>
      <c r="G22" s="173"/>
      <c r="H22" s="9"/>
      <c r="I22" s="9"/>
      <c r="J22" s="190"/>
      <c r="K22" s="189"/>
      <c r="L22" s="189"/>
      <c r="M22" s="189"/>
      <c r="N22" s="189"/>
      <c r="O22" s="192"/>
    </row>
    <row r="23" spans="2:15" ht="22.2" thickTop="1" thickBot="1" x14ac:dyDescent="0.45">
      <c r="B23" s="171"/>
      <c r="C23" s="171"/>
      <c r="D23" s="171"/>
      <c r="E23" s="171"/>
      <c r="F23" s="174"/>
      <c r="G23" s="175"/>
      <c r="H23" s="9"/>
      <c r="I23" s="9"/>
      <c r="J23" s="190" t="s">
        <v>15</v>
      </c>
      <c r="K23" s="189" t="e">
        <f>K19+K21</f>
        <v>#REF!</v>
      </c>
      <c r="L23" s="189" t="e">
        <f t="shared" ref="L23:M23" si="2">L19+L21</f>
        <v>#REF!</v>
      </c>
      <c r="M23" s="189" t="e">
        <f t="shared" si="2"/>
        <v>#REF!</v>
      </c>
      <c r="N23" s="189" t="e">
        <f t="shared" ref="N23" si="3">N19+N21</f>
        <v>#REF!</v>
      </c>
      <c r="O23" s="192" t="e">
        <f>O19+O21</f>
        <v>#REF!</v>
      </c>
    </row>
    <row r="24" spans="2:15" ht="27" customHeight="1" thickTop="1" thickBot="1" x14ac:dyDescent="0.45">
      <c r="B24" s="24" t="s">
        <v>15</v>
      </c>
      <c r="C24" s="25" t="e">
        <f>SUM(C18:C23)</f>
        <v>#REF!</v>
      </c>
      <c r="D24" s="25" t="e">
        <f>SUM(D18:D23)</f>
        <v>#REF!</v>
      </c>
      <c r="E24" s="25" t="e">
        <f>SUM(E18:E23)</f>
        <v>#REF!</v>
      </c>
      <c r="F24" s="185" t="e">
        <f>C24+D24+E24</f>
        <v>#REF!</v>
      </c>
      <c r="G24" s="166"/>
      <c r="H24" s="9"/>
      <c r="I24" s="9"/>
      <c r="J24" s="193"/>
      <c r="K24" s="191"/>
      <c r="L24" s="191"/>
      <c r="M24" s="191"/>
      <c r="N24" s="191"/>
      <c r="O24" s="208"/>
    </row>
    <row r="25" spans="2:15" ht="22.2" thickTop="1" thickBot="1" x14ac:dyDescent="0.45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2:15" ht="34.5" customHeight="1" thickTop="1" thickBot="1" x14ac:dyDescent="0.45">
      <c r="B26" s="165" t="s">
        <v>39</v>
      </c>
      <c r="C26" s="169"/>
      <c r="D26" s="169"/>
      <c r="E26" s="169"/>
      <c r="F26" s="169"/>
      <c r="G26" s="169"/>
      <c r="H26" s="169"/>
      <c r="I26" s="169"/>
      <c r="J26" s="169"/>
      <c r="K26" s="166"/>
      <c r="L26" s="26"/>
      <c r="M26" s="26"/>
      <c r="N26" s="9"/>
    </row>
    <row r="27" spans="2:15" ht="41.25" customHeight="1" thickTop="1" thickBot="1" x14ac:dyDescent="0.45">
      <c r="B27" s="212" t="s">
        <v>40</v>
      </c>
      <c r="C27" s="206" t="s">
        <v>32</v>
      </c>
      <c r="D27" s="206" t="s">
        <v>33</v>
      </c>
      <c r="E27" s="206" t="s">
        <v>34</v>
      </c>
      <c r="F27" s="206" t="s">
        <v>35</v>
      </c>
      <c r="G27" s="206" t="s">
        <v>36</v>
      </c>
      <c r="H27" s="206" t="s">
        <v>37</v>
      </c>
      <c r="I27" s="206" t="s">
        <v>38</v>
      </c>
      <c r="J27" s="195" t="s">
        <v>15</v>
      </c>
      <c r="K27" s="196"/>
      <c r="L27" s="26"/>
      <c r="M27" s="26"/>
      <c r="N27" s="9"/>
    </row>
    <row r="28" spans="2:15" ht="34.5" customHeight="1" thickTop="1" thickBot="1" x14ac:dyDescent="0.45">
      <c r="B28" s="213"/>
      <c r="C28" s="207"/>
      <c r="D28" s="207"/>
      <c r="E28" s="207"/>
      <c r="F28" s="207"/>
      <c r="G28" s="207"/>
      <c r="H28" s="207"/>
      <c r="I28" s="207"/>
      <c r="J28" s="189"/>
      <c r="K28" s="192"/>
      <c r="L28" s="26"/>
      <c r="M28" s="26"/>
      <c r="N28" s="9"/>
    </row>
    <row r="29" spans="2:15" ht="22.2" thickTop="1" thickBot="1" x14ac:dyDescent="0.45">
      <c r="B29" s="190" t="s">
        <v>13</v>
      </c>
      <c r="C29" s="189" t="e">
        <f>'التعليم المسرع'!#REF!</f>
        <v>#REF!</v>
      </c>
      <c r="D29" s="189" t="e">
        <f>'التعليم المسرع'!#REF!</f>
        <v>#REF!</v>
      </c>
      <c r="E29" s="189" t="e">
        <f>'التعليم المسرع'!#REF!</f>
        <v>#REF!</v>
      </c>
      <c r="F29" s="189" t="e">
        <f>'التعليم المسرع'!#REF!</f>
        <v>#REF!</v>
      </c>
      <c r="G29" s="189" t="e">
        <f>'التعليم المسرع'!#REF!</f>
        <v>#REF!</v>
      </c>
      <c r="H29" s="189" t="e">
        <f>'التعليم المسرع'!#REF!</f>
        <v>#REF!</v>
      </c>
      <c r="I29" s="189" t="e">
        <f>'التعليم المسرع'!#REF!+'التعليم المسرع'!#REF!</f>
        <v>#REF!</v>
      </c>
      <c r="J29" s="189" t="e">
        <f>I29+H29+G29+F29+E29+D29+C29</f>
        <v>#REF!</v>
      </c>
      <c r="K29" s="192"/>
      <c r="L29" s="26"/>
      <c r="M29" s="26"/>
      <c r="N29" s="9"/>
    </row>
    <row r="30" spans="2:15" ht="22.2" thickTop="1" thickBot="1" x14ac:dyDescent="0.45">
      <c r="B30" s="190"/>
      <c r="C30" s="189"/>
      <c r="D30" s="189"/>
      <c r="E30" s="189"/>
      <c r="F30" s="189"/>
      <c r="G30" s="189"/>
      <c r="H30" s="189"/>
      <c r="I30" s="189"/>
      <c r="J30" s="189"/>
      <c r="K30" s="192"/>
      <c r="L30" s="26"/>
      <c r="M30" s="26"/>
      <c r="N30" s="9"/>
    </row>
    <row r="31" spans="2:15" ht="22.2" thickTop="1" thickBot="1" x14ac:dyDescent="0.45">
      <c r="B31" s="190" t="s">
        <v>14</v>
      </c>
      <c r="C31" s="189" t="e">
        <f>'التعليم المسرع'!#REF!</f>
        <v>#REF!</v>
      </c>
      <c r="D31" s="189" t="e">
        <f>'التعليم المسرع'!#REF!</f>
        <v>#REF!</v>
      </c>
      <c r="E31" s="189" t="e">
        <f>'التعليم المسرع'!#REF!</f>
        <v>#REF!</v>
      </c>
      <c r="F31" s="189" t="e">
        <f>'التعليم المسرع'!#REF!</f>
        <v>#REF!</v>
      </c>
      <c r="G31" s="189" t="e">
        <f>'التعليم المسرع'!#REF!</f>
        <v>#REF!</v>
      </c>
      <c r="H31" s="189" t="e">
        <f>'التعليم المسرع'!#REF!</f>
        <v>#REF!</v>
      </c>
      <c r="I31" s="189" t="e">
        <f>'التعليم المسرع'!#REF!+'التعليم المسرع'!#REF!</f>
        <v>#REF!</v>
      </c>
      <c r="J31" s="189" t="e">
        <f t="shared" ref="J31" si="4">I31+H31+G31+F31+E31+D31+C31</f>
        <v>#REF!</v>
      </c>
      <c r="K31" s="192"/>
      <c r="L31" s="26"/>
      <c r="M31" s="26"/>
      <c r="N31" s="9"/>
    </row>
    <row r="32" spans="2:15" ht="22.2" thickTop="1" thickBot="1" x14ac:dyDescent="0.45">
      <c r="B32" s="190"/>
      <c r="C32" s="189"/>
      <c r="D32" s="189"/>
      <c r="E32" s="189"/>
      <c r="F32" s="189"/>
      <c r="G32" s="189"/>
      <c r="H32" s="189"/>
      <c r="I32" s="189"/>
      <c r="J32" s="189"/>
      <c r="K32" s="192"/>
      <c r="L32" s="26"/>
      <c r="M32" s="26"/>
      <c r="N32" s="9"/>
    </row>
    <row r="33" spans="1:19" ht="22.2" thickTop="1" thickBot="1" x14ac:dyDescent="0.45">
      <c r="B33" s="190" t="s">
        <v>15</v>
      </c>
      <c r="C33" s="189" t="e">
        <f>C29+C31</f>
        <v>#REF!</v>
      </c>
      <c r="D33" s="189" t="e">
        <f t="shared" ref="D33:I33" si="5">D29+D31</f>
        <v>#REF!</v>
      </c>
      <c r="E33" s="189" t="e">
        <f t="shared" si="5"/>
        <v>#REF!</v>
      </c>
      <c r="F33" s="189" t="e">
        <f t="shared" si="5"/>
        <v>#REF!</v>
      </c>
      <c r="G33" s="189" t="e">
        <f t="shared" si="5"/>
        <v>#REF!</v>
      </c>
      <c r="H33" s="189" t="e">
        <f t="shared" si="5"/>
        <v>#REF!</v>
      </c>
      <c r="I33" s="189" t="e">
        <f t="shared" si="5"/>
        <v>#REF!</v>
      </c>
      <c r="J33" s="189" t="e">
        <f t="shared" ref="J33" si="6">I33+H33+G33+F33+E33+D33+C33</f>
        <v>#REF!</v>
      </c>
      <c r="K33" s="192"/>
      <c r="L33" s="26"/>
      <c r="M33" s="26"/>
      <c r="N33" s="9"/>
    </row>
    <row r="34" spans="1:19" ht="22.2" thickTop="1" thickBot="1" x14ac:dyDescent="0.45">
      <c r="B34" s="193"/>
      <c r="C34" s="191"/>
      <c r="D34" s="191"/>
      <c r="E34" s="191"/>
      <c r="F34" s="191"/>
      <c r="G34" s="191"/>
      <c r="H34" s="191"/>
      <c r="I34" s="191"/>
      <c r="J34" s="191"/>
      <c r="K34" s="208"/>
      <c r="L34" s="26"/>
      <c r="M34" s="26"/>
      <c r="N34" s="9"/>
    </row>
    <row r="35" spans="1:19" ht="18" thickTop="1" x14ac:dyDescent="0.3"/>
    <row r="36" spans="1:19" ht="29.25" customHeight="1" x14ac:dyDescent="0.3">
      <c r="A36" s="236" t="s">
        <v>55</v>
      </c>
      <c r="B36" s="236"/>
      <c r="C36" s="236"/>
    </row>
    <row r="37" spans="1:19" ht="29.25" customHeight="1" x14ac:dyDescent="0.3">
      <c r="A37" s="236" t="s">
        <v>56</v>
      </c>
      <c r="B37" s="236"/>
      <c r="C37" s="236"/>
      <c r="D37" s="236"/>
    </row>
    <row r="39" spans="1:19" ht="21" x14ac:dyDescent="0.4">
      <c r="D39" s="9" t="s">
        <v>54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19" ht="21.6" thickBot="1" x14ac:dyDescent="0.45"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19" ht="24.75" customHeight="1" thickTop="1" thickBot="1" x14ac:dyDescent="0.35">
      <c r="B41" s="237" t="s">
        <v>28</v>
      </c>
      <c r="C41" s="238" t="s">
        <v>17</v>
      </c>
      <c r="D41" s="238"/>
      <c r="E41" s="238" t="s">
        <v>18</v>
      </c>
      <c r="F41" s="238"/>
      <c r="G41" s="238" t="s">
        <v>19</v>
      </c>
      <c r="H41" s="238"/>
      <c r="I41" s="238" t="s">
        <v>29</v>
      </c>
      <c r="J41" s="238"/>
      <c r="K41" s="240"/>
      <c r="L41" s="8"/>
      <c r="M41" s="8"/>
      <c r="N41" s="8"/>
    </row>
    <row r="42" spans="1:19" ht="22.5" customHeight="1" thickTop="1" thickBot="1" x14ac:dyDescent="0.35">
      <c r="B42" s="235"/>
      <c r="C42" s="50" t="s">
        <v>10</v>
      </c>
      <c r="D42" s="50" t="s">
        <v>11</v>
      </c>
      <c r="E42" s="50" t="s">
        <v>10</v>
      </c>
      <c r="F42" s="50" t="s">
        <v>11</v>
      </c>
      <c r="G42" s="50" t="s">
        <v>10</v>
      </c>
      <c r="H42" s="50" t="s">
        <v>11</v>
      </c>
      <c r="I42" s="50" t="s">
        <v>10</v>
      </c>
      <c r="J42" s="50" t="s">
        <v>11</v>
      </c>
      <c r="K42" s="51" t="s">
        <v>15</v>
      </c>
      <c r="L42" s="8"/>
      <c r="M42" s="8"/>
      <c r="N42" s="8"/>
    </row>
    <row r="43" spans="1:19" ht="18.600000000000001" thickTop="1" thickBot="1" x14ac:dyDescent="0.35">
      <c r="B43" s="235" t="s">
        <v>21</v>
      </c>
      <c r="C43" s="232" t="e">
        <f>'التعليم المسرع'!#REF!</f>
        <v>#REF!</v>
      </c>
      <c r="D43" s="232" t="e">
        <f>'التعليم المسرع'!#REF!</f>
        <v>#REF!</v>
      </c>
      <c r="E43" s="232" t="e">
        <f>'التعليم المسرع'!#REF!</f>
        <v>#REF!</v>
      </c>
      <c r="F43" s="232" t="e">
        <f>'التعليم المسرع'!#REF!</f>
        <v>#REF!</v>
      </c>
      <c r="G43" s="232" t="e">
        <f>'التعليم المسرع'!#REF!</f>
        <v>#REF!</v>
      </c>
      <c r="H43" s="232" t="e">
        <f>'التعليم المسرع'!#REF!</f>
        <v>#REF!</v>
      </c>
      <c r="I43" s="232" t="e">
        <f>C43+E43+G43</f>
        <v>#REF!</v>
      </c>
      <c r="J43" s="232" t="e">
        <f>D43+F43+H43</f>
        <v>#REF!</v>
      </c>
      <c r="K43" s="234" t="e">
        <f>SUM(I43:J43)</f>
        <v>#REF!</v>
      </c>
      <c r="L43" s="8"/>
      <c r="M43" s="8"/>
      <c r="N43" s="8"/>
    </row>
    <row r="44" spans="1:19" ht="18.600000000000001" thickTop="1" thickBot="1" x14ac:dyDescent="0.35">
      <c r="B44" s="235"/>
      <c r="C44" s="232"/>
      <c r="D44" s="232"/>
      <c r="E44" s="232"/>
      <c r="F44" s="232"/>
      <c r="G44" s="232"/>
      <c r="H44" s="232"/>
      <c r="I44" s="232"/>
      <c r="J44" s="232"/>
      <c r="K44" s="234"/>
      <c r="L44" s="8"/>
      <c r="M44" s="8"/>
      <c r="N44" s="8"/>
    </row>
    <row r="45" spans="1:19" ht="18.600000000000001" thickTop="1" thickBot="1" x14ac:dyDescent="0.35">
      <c r="B45" s="235" t="s">
        <v>22</v>
      </c>
      <c r="C45" s="232" t="e">
        <f>'التعليم المسرع'!#REF!</f>
        <v>#REF!</v>
      </c>
      <c r="D45" s="232" t="e">
        <f>'التعليم المسرع'!#REF!</f>
        <v>#REF!</v>
      </c>
      <c r="E45" s="232" t="e">
        <f>'التعليم المسرع'!#REF!</f>
        <v>#REF!</v>
      </c>
      <c r="F45" s="232" t="e">
        <f>'التعليم المسرع'!#REF!</f>
        <v>#REF!</v>
      </c>
      <c r="G45" s="232" t="e">
        <f>'التعليم المسرع'!#REF!</f>
        <v>#REF!</v>
      </c>
      <c r="H45" s="232" t="e">
        <f>'التعليم المسرع'!#REF!</f>
        <v>#REF!</v>
      </c>
      <c r="I45" s="232" t="e">
        <f t="shared" ref="I45:J45" si="7">C45+E45+G45</f>
        <v>#REF!</v>
      </c>
      <c r="J45" s="232" t="e">
        <f t="shared" si="7"/>
        <v>#REF!</v>
      </c>
      <c r="K45" s="234" t="e">
        <f t="shared" ref="K45" si="8">SUM(I45:J45)</f>
        <v>#REF!</v>
      </c>
      <c r="L45" s="8"/>
      <c r="M45" s="8"/>
      <c r="N45" s="8"/>
    </row>
    <row r="46" spans="1:19" ht="18.600000000000001" thickTop="1" thickBot="1" x14ac:dyDescent="0.35">
      <c r="B46" s="235"/>
      <c r="C46" s="232"/>
      <c r="D46" s="232"/>
      <c r="E46" s="232"/>
      <c r="F46" s="232"/>
      <c r="G46" s="232"/>
      <c r="H46" s="232"/>
      <c r="I46" s="232"/>
      <c r="J46" s="232"/>
      <c r="K46" s="234"/>
      <c r="L46" s="8"/>
      <c r="M46" s="8"/>
    </row>
    <row r="47" spans="1:19" ht="18.600000000000001" thickTop="1" thickBot="1" x14ac:dyDescent="0.35">
      <c r="B47" s="235" t="s">
        <v>23</v>
      </c>
      <c r="C47" s="232" t="e">
        <f>'التعليم المسرع'!#REF!</f>
        <v>#REF!</v>
      </c>
      <c r="D47" s="232" t="e">
        <f>'التعليم المسرع'!#REF!</f>
        <v>#REF!</v>
      </c>
      <c r="E47" s="232" t="e">
        <f>'التعليم المسرع'!#REF!</f>
        <v>#REF!</v>
      </c>
      <c r="F47" s="232" t="e">
        <f>'التعليم المسرع'!#REF!</f>
        <v>#REF!</v>
      </c>
      <c r="G47" s="232" t="e">
        <f>'التعليم المسرع'!#REF!</f>
        <v>#REF!</v>
      </c>
      <c r="H47" s="232" t="e">
        <f>'التعليم المسرع'!#REF!</f>
        <v>#REF!</v>
      </c>
      <c r="I47" s="232" t="e">
        <f t="shared" ref="I47:J47" si="9">C47+E47+G47</f>
        <v>#REF!</v>
      </c>
      <c r="J47" s="232" t="e">
        <f t="shared" si="9"/>
        <v>#REF!</v>
      </c>
      <c r="K47" s="234" t="e">
        <f t="shared" ref="K47" si="10">SUM(I47:J47)</f>
        <v>#REF!</v>
      </c>
      <c r="L47" s="8"/>
      <c r="M47" s="8"/>
    </row>
    <row r="48" spans="1:19" ht="18.600000000000001" thickTop="1" thickBot="1" x14ac:dyDescent="0.35">
      <c r="B48" s="235"/>
      <c r="C48" s="232"/>
      <c r="D48" s="232"/>
      <c r="E48" s="232"/>
      <c r="F48" s="232"/>
      <c r="G48" s="232"/>
      <c r="H48" s="232"/>
      <c r="I48" s="232"/>
      <c r="J48" s="232"/>
      <c r="K48" s="234"/>
      <c r="L48" s="8"/>
      <c r="M48" s="8"/>
    </row>
    <row r="49" spans="1:16" ht="18.600000000000001" thickTop="1" thickBot="1" x14ac:dyDescent="0.35">
      <c r="B49" s="235" t="s">
        <v>24</v>
      </c>
      <c r="C49" s="232" t="e">
        <f>'التعليم المسرع'!#REF!</f>
        <v>#REF!</v>
      </c>
      <c r="D49" s="232" t="e">
        <f>'التعليم المسرع'!#REF!</f>
        <v>#REF!</v>
      </c>
      <c r="E49" s="232" t="e">
        <f>'التعليم المسرع'!#REF!</f>
        <v>#REF!</v>
      </c>
      <c r="F49" s="232" t="e">
        <f>'التعليم المسرع'!#REF!</f>
        <v>#REF!</v>
      </c>
      <c r="G49" s="232" t="e">
        <f>'التعليم المسرع'!#REF!</f>
        <v>#REF!</v>
      </c>
      <c r="H49" s="232" t="e">
        <f>'التعليم المسرع'!#REF!</f>
        <v>#REF!</v>
      </c>
      <c r="I49" s="232" t="e">
        <f t="shared" ref="I49:J49" si="11">C49+E49+G49</f>
        <v>#REF!</v>
      </c>
      <c r="J49" s="232" t="e">
        <f t="shared" si="11"/>
        <v>#REF!</v>
      </c>
      <c r="K49" s="234" t="e">
        <f t="shared" ref="K49" si="12">SUM(I49:J49)</f>
        <v>#REF!</v>
      </c>
      <c r="L49" s="8"/>
      <c r="M49" s="8"/>
    </row>
    <row r="50" spans="1:16" ht="18.600000000000001" thickTop="1" thickBot="1" x14ac:dyDescent="0.35">
      <c r="B50" s="235"/>
      <c r="C50" s="232"/>
      <c r="D50" s="232"/>
      <c r="E50" s="232"/>
      <c r="F50" s="232"/>
      <c r="G50" s="232"/>
      <c r="H50" s="232"/>
      <c r="I50" s="232"/>
      <c r="J50" s="232"/>
      <c r="K50" s="234"/>
      <c r="L50" s="8"/>
      <c r="M50" s="8"/>
    </row>
    <row r="51" spans="1:16" ht="18.600000000000001" thickTop="1" thickBot="1" x14ac:dyDescent="0.35">
      <c r="B51" s="235" t="s">
        <v>25</v>
      </c>
      <c r="C51" s="232" t="e">
        <f>'التعليم المسرع'!#REF!</f>
        <v>#REF!</v>
      </c>
      <c r="D51" s="232" t="e">
        <f>'التعليم المسرع'!#REF!</f>
        <v>#REF!</v>
      </c>
      <c r="E51" s="232" t="e">
        <f>'التعليم المسرع'!#REF!</f>
        <v>#REF!</v>
      </c>
      <c r="F51" s="232" t="e">
        <f>'التعليم المسرع'!#REF!</f>
        <v>#REF!</v>
      </c>
      <c r="G51" s="232" t="e">
        <f>'التعليم المسرع'!#REF!</f>
        <v>#REF!</v>
      </c>
      <c r="H51" s="232" t="e">
        <f>'التعليم المسرع'!#REF!</f>
        <v>#REF!</v>
      </c>
      <c r="I51" s="232" t="e">
        <f t="shared" ref="I51:J51" si="13">C51+E51+G51</f>
        <v>#REF!</v>
      </c>
      <c r="J51" s="232" t="e">
        <f t="shared" si="13"/>
        <v>#REF!</v>
      </c>
      <c r="K51" s="234" t="e">
        <f t="shared" ref="K51" si="14">SUM(I51:J51)</f>
        <v>#REF!</v>
      </c>
      <c r="L51" s="8"/>
      <c r="M51" s="8"/>
    </row>
    <row r="52" spans="1:16" ht="18.600000000000001" thickTop="1" thickBot="1" x14ac:dyDescent="0.35">
      <c r="B52" s="235"/>
      <c r="C52" s="232"/>
      <c r="D52" s="232"/>
      <c r="E52" s="232"/>
      <c r="F52" s="232"/>
      <c r="G52" s="232"/>
      <c r="H52" s="232"/>
      <c r="I52" s="232"/>
      <c r="J52" s="232"/>
      <c r="K52" s="234"/>
      <c r="L52" s="8"/>
      <c r="M52" s="8"/>
    </row>
    <row r="53" spans="1:16" ht="18.600000000000001" thickTop="1" thickBot="1" x14ac:dyDescent="0.35">
      <c r="B53" s="235" t="s">
        <v>26</v>
      </c>
      <c r="C53" s="232" t="e">
        <f>'التعليم المسرع'!#REF!</f>
        <v>#REF!</v>
      </c>
      <c r="D53" s="232" t="e">
        <f>'التعليم المسرع'!#REF!</f>
        <v>#REF!</v>
      </c>
      <c r="E53" s="232" t="e">
        <f>'التعليم المسرع'!#REF!</f>
        <v>#REF!</v>
      </c>
      <c r="F53" s="232" t="e">
        <f>'التعليم المسرع'!#REF!</f>
        <v>#REF!</v>
      </c>
      <c r="G53" s="232" t="e">
        <f>'التعليم المسرع'!#REF!</f>
        <v>#REF!</v>
      </c>
      <c r="H53" s="232" t="e">
        <f>'التعليم المسرع'!#REF!</f>
        <v>#REF!</v>
      </c>
      <c r="I53" s="232" t="e">
        <f t="shared" ref="I53:J53" si="15">C53+E53+G53</f>
        <v>#REF!</v>
      </c>
      <c r="J53" s="232" t="e">
        <f t="shared" si="15"/>
        <v>#REF!</v>
      </c>
      <c r="K53" s="234" t="e">
        <f t="shared" ref="K53" si="16">SUM(I53:J53)</f>
        <v>#REF!</v>
      </c>
      <c r="L53" s="8"/>
      <c r="M53" s="8"/>
    </row>
    <row r="54" spans="1:16" ht="18.600000000000001" thickTop="1" thickBot="1" x14ac:dyDescent="0.35">
      <c r="B54" s="235"/>
      <c r="C54" s="232"/>
      <c r="D54" s="232"/>
      <c r="E54" s="232"/>
      <c r="F54" s="232"/>
      <c r="G54" s="232"/>
      <c r="H54" s="232"/>
      <c r="I54" s="232"/>
      <c r="J54" s="232"/>
      <c r="K54" s="234"/>
    </row>
    <row r="55" spans="1:16" ht="18.600000000000001" thickTop="1" thickBot="1" x14ac:dyDescent="0.35">
      <c r="B55" s="235" t="s">
        <v>27</v>
      </c>
      <c r="C55" s="232" t="e">
        <f>'التعليم المسرع'!#REF!</f>
        <v>#REF!</v>
      </c>
      <c r="D55" s="232" t="e">
        <f>'التعليم المسرع'!#REF!</f>
        <v>#REF!</v>
      </c>
      <c r="E55" s="232" t="e">
        <f>'التعليم المسرع'!#REF!</f>
        <v>#REF!</v>
      </c>
      <c r="F55" s="232" t="e">
        <f>'التعليم المسرع'!#REF!</f>
        <v>#REF!</v>
      </c>
      <c r="G55" s="232" t="e">
        <f>'التعليم المسرع'!#REF!</f>
        <v>#REF!</v>
      </c>
      <c r="H55" s="232" t="e">
        <f>'التعليم المسرع'!#REF!</f>
        <v>#REF!</v>
      </c>
      <c r="I55" s="232" t="e">
        <f t="shared" ref="I55:J55" si="17">C55+E55+G55</f>
        <v>#REF!</v>
      </c>
      <c r="J55" s="232" t="e">
        <f t="shared" si="17"/>
        <v>#REF!</v>
      </c>
      <c r="K55" s="234" t="e">
        <f t="shared" ref="K55" si="18">SUM(I55:J55)</f>
        <v>#REF!</v>
      </c>
    </row>
    <row r="56" spans="1:16" ht="18.600000000000001" thickTop="1" thickBot="1" x14ac:dyDescent="0.35">
      <c r="B56" s="235"/>
      <c r="C56" s="232"/>
      <c r="D56" s="232"/>
      <c r="E56" s="232"/>
      <c r="F56" s="232"/>
      <c r="G56" s="232"/>
      <c r="H56" s="232"/>
      <c r="I56" s="232"/>
      <c r="J56" s="232"/>
      <c r="K56" s="234"/>
    </row>
    <row r="57" spans="1:16" ht="18.600000000000001" thickTop="1" thickBot="1" x14ac:dyDescent="0.35">
      <c r="B57" s="235" t="s">
        <v>15</v>
      </c>
      <c r="C57" s="232" t="e">
        <f t="shared" ref="C57:H57" si="19">C43+C45+C47+C49+C51+C53+C55</f>
        <v>#REF!</v>
      </c>
      <c r="D57" s="232" t="e">
        <f t="shared" si="19"/>
        <v>#REF!</v>
      </c>
      <c r="E57" s="232" t="e">
        <f t="shared" si="19"/>
        <v>#REF!</v>
      </c>
      <c r="F57" s="232" t="e">
        <f t="shared" si="19"/>
        <v>#REF!</v>
      </c>
      <c r="G57" s="232" t="e">
        <f t="shared" si="19"/>
        <v>#REF!</v>
      </c>
      <c r="H57" s="232" t="e">
        <f t="shared" si="19"/>
        <v>#REF!</v>
      </c>
      <c r="I57" s="232" t="e">
        <f>C57+E57+G57</f>
        <v>#REF!</v>
      </c>
      <c r="J57" s="232" t="e">
        <f t="shared" ref="J57" si="20">D57+F57+H57</f>
        <v>#REF!</v>
      </c>
      <c r="K57" s="234" t="e">
        <f t="shared" ref="K57" si="21">SUM(I57:J57)</f>
        <v>#REF!</v>
      </c>
    </row>
    <row r="58" spans="1:16" ht="18.600000000000001" thickTop="1" thickBot="1" x14ac:dyDescent="0.35">
      <c r="B58" s="242"/>
      <c r="C58" s="233"/>
      <c r="D58" s="233"/>
      <c r="E58" s="233"/>
      <c r="F58" s="233"/>
      <c r="G58" s="233"/>
      <c r="H58" s="233"/>
      <c r="I58" s="233"/>
      <c r="J58" s="233"/>
      <c r="K58" s="241"/>
    </row>
    <row r="59" spans="1:16" ht="18.600000000000001" thickTop="1" thickBot="1" x14ac:dyDescent="0.35"/>
    <row r="60" spans="1:16" ht="28.5" customHeight="1" thickTop="1" thickBot="1" x14ac:dyDescent="0.35">
      <c r="A60" s="194"/>
      <c r="B60" s="206" t="s">
        <v>267</v>
      </c>
      <c r="C60" s="206"/>
      <c r="D60" s="206"/>
      <c r="E60" s="206" t="s">
        <v>272</v>
      </c>
      <c r="F60" s="206"/>
      <c r="G60" s="206"/>
      <c r="H60" s="195" t="s">
        <v>273</v>
      </c>
      <c r="I60" s="195"/>
      <c r="J60" s="195"/>
      <c r="K60" s="195"/>
      <c r="L60" s="195"/>
      <c r="M60" s="195"/>
      <c r="N60" s="195" t="s">
        <v>15</v>
      </c>
      <c r="O60" s="195"/>
      <c r="P60" s="196"/>
    </row>
    <row r="61" spans="1:16" ht="27" customHeight="1" thickTop="1" thickBot="1" x14ac:dyDescent="0.35">
      <c r="A61" s="190"/>
      <c r="B61" s="207"/>
      <c r="C61" s="207"/>
      <c r="D61" s="207"/>
      <c r="E61" s="207"/>
      <c r="F61" s="207"/>
      <c r="G61" s="207"/>
      <c r="H61" s="189" t="s">
        <v>185</v>
      </c>
      <c r="I61" s="189"/>
      <c r="J61" s="189" t="s">
        <v>186</v>
      </c>
      <c r="K61" s="189"/>
      <c r="L61" s="189" t="s">
        <v>187</v>
      </c>
      <c r="M61" s="189"/>
      <c r="N61" s="189"/>
      <c r="O61" s="189"/>
      <c r="P61" s="192"/>
    </row>
    <row r="62" spans="1:16" ht="18.75" customHeight="1" thickTop="1" thickBot="1" x14ac:dyDescent="0.35">
      <c r="A62" s="190"/>
      <c r="B62" s="189" t="s">
        <v>10</v>
      </c>
      <c r="C62" s="189" t="s">
        <v>11</v>
      </c>
      <c r="D62" s="189" t="s">
        <v>15</v>
      </c>
      <c r="E62" s="189" t="s">
        <v>10</v>
      </c>
      <c r="F62" s="189" t="s">
        <v>11</v>
      </c>
      <c r="G62" s="189" t="s">
        <v>15</v>
      </c>
      <c r="H62" s="189" t="s">
        <v>10</v>
      </c>
      <c r="I62" s="189" t="s">
        <v>11</v>
      </c>
      <c r="J62" s="189" t="s">
        <v>10</v>
      </c>
      <c r="K62" s="189" t="s">
        <v>11</v>
      </c>
      <c r="L62" s="189" t="s">
        <v>10</v>
      </c>
      <c r="M62" s="189" t="s">
        <v>11</v>
      </c>
      <c r="N62" s="189" t="s">
        <v>10</v>
      </c>
      <c r="O62" s="189" t="s">
        <v>11</v>
      </c>
      <c r="P62" s="192" t="s">
        <v>15</v>
      </c>
    </row>
    <row r="63" spans="1:16" ht="18.75" customHeight="1" thickTop="1" thickBot="1" x14ac:dyDescent="0.35">
      <c r="A63" s="190"/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92"/>
    </row>
    <row r="64" spans="1:16" ht="18.75" customHeight="1" thickTop="1" thickBot="1" x14ac:dyDescent="0.35">
      <c r="A64" s="190" t="s">
        <v>17</v>
      </c>
      <c r="B64" s="232" t="e">
        <f>'التعليم المسرع'!#REF!</f>
        <v>#REF!</v>
      </c>
      <c r="C64" s="232" t="e">
        <f>'التعليم المسرع'!#REF!</f>
        <v>#REF!</v>
      </c>
      <c r="D64" s="232" t="e">
        <f>C64+B64</f>
        <v>#REF!</v>
      </c>
      <c r="E64" s="232" t="e">
        <f>'التعليم المسرع'!#REF!</f>
        <v>#REF!</v>
      </c>
      <c r="F64" s="232" t="e">
        <f>'التعليم المسرع'!#REF!</f>
        <v>#REF!</v>
      </c>
      <c r="G64" s="232" t="e">
        <f>F64+E64</f>
        <v>#REF!</v>
      </c>
      <c r="H64" s="232" t="e">
        <f>'التعليم المسرع'!#REF!</f>
        <v>#REF!</v>
      </c>
      <c r="I64" s="232" t="e">
        <f>'التعليم المسرع'!#REF!</f>
        <v>#REF!</v>
      </c>
      <c r="J64" s="232" t="e">
        <f>'التعليم المسرع'!#REF!</f>
        <v>#REF!</v>
      </c>
      <c r="K64" s="232" t="e">
        <f>'التعليم المسرع'!#REF!</f>
        <v>#REF!</v>
      </c>
      <c r="L64" s="232" t="e">
        <f>'التعليم المسرع'!#REF!</f>
        <v>#REF!</v>
      </c>
      <c r="M64" s="232" t="e">
        <f>'التعليم المسرع'!#REF!</f>
        <v>#REF!</v>
      </c>
      <c r="N64" s="189" t="e">
        <f>L64+J64+H64</f>
        <v>#REF!</v>
      </c>
      <c r="O64" s="189" t="e">
        <f>M64+K64+I64</f>
        <v>#REF!</v>
      </c>
      <c r="P64" s="192" t="e">
        <f>O64+N64</f>
        <v>#REF!</v>
      </c>
    </row>
    <row r="65" spans="1:16" ht="18.75" customHeight="1" thickTop="1" thickBot="1" x14ac:dyDescent="0.35">
      <c r="A65" s="190"/>
      <c r="B65" s="232"/>
      <c r="C65" s="232"/>
      <c r="D65" s="232"/>
      <c r="E65" s="232"/>
      <c r="F65" s="232"/>
      <c r="G65" s="232"/>
      <c r="H65" s="232"/>
      <c r="I65" s="232"/>
      <c r="J65" s="232"/>
      <c r="K65" s="232"/>
      <c r="L65" s="232"/>
      <c r="M65" s="232"/>
      <c r="N65" s="189"/>
      <c r="O65" s="189"/>
      <c r="P65" s="192"/>
    </row>
    <row r="66" spans="1:16" ht="18.75" customHeight="1" thickTop="1" thickBot="1" x14ac:dyDescent="0.35">
      <c r="A66" s="190" t="s">
        <v>18</v>
      </c>
      <c r="B66" s="232" t="e">
        <f>'التعليم المسرع'!#REF!</f>
        <v>#REF!</v>
      </c>
      <c r="C66" s="232" t="e">
        <f>'التعليم المسرع'!#REF!</f>
        <v>#REF!</v>
      </c>
      <c r="D66" s="232" t="e">
        <f t="shared" ref="D66" si="22">C66+B66</f>
        <v>#REF!</v>
      </c>
      <c r="E66" s="232" t="e">
        <f>'التعليم المسرع'!#REF!</f>
        <v>#REF!</v>
      </c>
      <c r="F66" s="232" t="e">
        <f>'التعليم المسرع'!#REF!</f>
        <v>#REF!</v>
      </c>
      <c r="G66" s="232" t="e">
        <f t="shared" ref="G66" si="23">F66+E66</f>
        <v>#REF!</v>
      </c>
      <c r="H66" s="232" t="e">
        <f>'التعليم المسرع'!#REF!</f>
        <v>#REF!</v>
      </c>
      <c r="I66" s="232" t="e">
        <f>'التعليم المسرع'!#REF!</f>
        <v>#REF!</v>
      </c>
      <c r="J66" s="232" t="e">
        <f>'التعليم المسرع'!#REF!</f>
        <v>#REF!</v>
      </c>
      <c r="K66" s="232" t="e">
        <f>'التعليم المسرع'!#REF!</f>
        <v>#REF!</v>
      </c>
      <c r="L66" s="232" t="e">
        <f>'التعليم المسرع'!#REF!</f>
        <v>#REF!</v>
      </c>
      <c r="M66" s="232" t="e">
        <f>'التعليم المسرع'!#REF!</f>
        <v>#REF!</v>
      </c>
      <c r="N66" s="189" t="e">
        <f t="shared" ref="N66" si="24">L66+J66+H66</f>
        <v>#REF!</v>
      </c>
      <c r="O66" s="189" t="e">
        <f t="shared" ref="O66" si="25">M66+K66+I66</f>
        <v>#REF!</v>
      </c>
      <c r="P66" s="192" t="e">
        <f t="shared" ref="P66" si="26">O66+N66</f>
        <v>#REF!</v>
      </c>
    </row>
    <row r="67" spans="1:16" ht="18.75" customHeight="1" thickTop="1" thickBot="1" x14ac:dyDescent="0.35">
      <c r="A67" s="190"/>
      <c r="B67" s="232"/>
      <c r="C67" s="232"/>
      <c r="D67" s="232"/>
      <c r="E67" s="232"/>
      <c r="F67" s="232"/>
      <c r="G67" s="232"/>
      <c r="H67" s="232"/>
      <c r="I67" s="232"/>
      <c r="J67" s="232"/>
      <c r="K67" s="232"/>
      <c r="L67" s="232"/>
      <c r="M67" s="232"/>
      <c r="N67" s="189"/>
      <c r="O67" s="189"/>
      <c r="P67" s="192"/>
    </row>
    <row r="68" spans="1:16" ht="18.75" customHeight="1" thickTop="1" thickBot="1" x14ac:dyDescent="0.35">
      <c r="A68" s="190" t="s">
        <v>19</v>
      </c>
      <c r="B68" s="232" t="e">
        <f>'التعليم المسرع'!#REF!</f>
        <v>#REF!</v>
      </c>
      <c r="C68" s="232" t="e">
        <f>'التعليم المسرع'!#REF!</f>
        <v>#REF!</v>
      </c>
      <c r="D68" s="232" t="e">
        <f t="shared" ref="D68" si="27">C68+B68</f>
        <v>#REF!</v>
      </c>
      <c r="E68" s="232" t="e">
        <f>'التعليم المسرع'!#REF!</f>
        <v>#REF!</v>
      </c>
      <c r="F68" s="232" t="e">
        <f>'التعليم المسرع'!#REF!</f>
        <v>#REF!</v>
      </c>
      <c r="G68" s="232" t="e">
        <f t="shared" ref="G68" si="28">F68+E68</f>
        <v>#REF!</v>
      </c>
      <c r="H68" s="232" t="e">
        <f>'التعليم المسرع'!#REF!</f>
        <v>#REF!</v>
      </c>
      <c r="I68" s="232" t="e">
        <f>'التعليم المسرع'!#REF!</f>
        <v>#REF!</v>
      </c>
      <c r="J68" s="232" t="e">
        <f>'التعليم المسرع'!#REF!</f>
        <v>#REF!</v>
      </c>
      <c r="K68" s="232" t="e">
        <f>'التعليم المسرع'!#REF!</f>
        <v>#REF!</v>
      </c>
      <c r="L68" s="232" t="e">
        <f>'التعليم المسرع'!#REF!</f>
        <v>#REF!</v>
      </c>
      <c r="M68" s="232" t="e">
        <f>'التعليم المسرع'!#REF!</f>
        <v>#REF!</v>
      </c>
      <c r="N68" s="189" t="e">
        <f t="shared" ref="N68" si="29">L68+J68+H68</f>
        <v>#REF!</v>
      </c>
      <c r="O68" s="189" t="e">
        <f t="shared" ref="O68" si="30">M68+K68+I68</f>
        <v>#REF!</v>
      </c>
      <c r="P68" s="192" t="e">
        <f t="shared" ref="P68" si="31">O68+N68</f>
        <v>#REF!</v>
      </c>
    </row>
    <row r="69" spans="1:16" ht="15" customHeight="1" thickTop="1" thickBot="1" x14ac:dyDescent="0.35">
      <c r="A69" s="193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191"/>
      <c r="O69" s="191"/>
      <c r="P69" s="208"/>
    </row>
    <row r="70" spans="1:16" ht="18" thickTop="1" x14ac:dyDescent="0.3"/>
  </sheetData>
  <mergeCells count="250">
    <mergeCell ref="A68:A69"/>
    <mergeCell ref="B60:D61"/>
    <mergeCell ref="E60:G61"/>
    <mergeCell ref="H60:M60"/>
    <mergeCell ref="H61:I61"/>
    <mergeCell ref="J61:K61"/>
    <mergeCell ref="L61:M61"/>
    <mergeCell ref="D62:D63"/>
    <mergeCell ref="G62:G63"/>
    <mergeCell ref="H62:H63"/>
    <mergeCell ref="I62:I63"/>
    <mergeCell ref="J62:J63"/>
    <mergeCell ref="K62:K63"/>
    <mergeCell ref="D64:D65"/>
    <mergeCell ref="D66:D67"/>
    <mergeCell ref="D68:D69"/>
    <mergeCell ref="G64:G65"/>
    <mergeCell ref="H64:H65"/>
    <mergeCell ref="H68:H69"/>
    <mergeCell ref="I68:I69"/>
    <mergeCell ref="P66:P67"/>
    <mergeCell ref="P68:P69"/>
    <mergeCell ref="C64:C65"/>
    <mergeCell ref="C66:C67"/>
    <mergeCell ref="C68:C69"/>
    <mergeCell ref="N68:N69"/>
    <mergeCell ref="O68:O69"/>
    <mergeCell ref="E64:E65"/>
    <mergeCell ref="F64:F65"/>
    <mergeCell ref="E66:E67"/>
    <mergeCell ref="F66:F67"/>
    <mergeCell ref="E68:E69"/>
    <mergeCell ref="F68:F69"/>
    <mergeCell ref="N66:N67"/>
    <mergeCell ref="O66:O67"/>
    <mergeCell ref="I66:I67"/>
    <mergeCell ref="J66:J67"/>
    <mergeCell ref="K66:K67"/>
    <mergeCell ref="L66:L67"/>
    <mergeCell ref="M66:M67"/>
    <mergeCell ref="L68:L69"/>
    <mergeCell ref="M68:M69"/>
    <mergeCell ref="J68:J69"/>
    <mergeCell ref="G66:G67"/>
    <mergeCell ref="K47:K48"/>
    <mergeCell ref="B45:B46"/>
    <mergeCell ref="C45:C46"/>
    <mergeCell ref="D45:D46"/>
    <mergeCell ref="E45:E46"/>
    <mergeCell ref="B51:B52"/>
    <mergeCell ref="C51:C52"/>
    <mergeCell ref="D51:D52"/>
    <mergeCell ref="E51:E52"/>
    <mergeCell ref="F51:F52"/>
    <mergeCell ref="G51:G52"/>
    <mergeCell ref="H51:H52"/>
    <mergeCell ref="I51:I52"/>
    <mergeCell ref="J51:J52"/>
    <mergeCell ref="K51:K52"/>
    <mergeCell ref="B49:B50"/>
    <mergeCell ref="C49:C50"/>
    <mergeCell ref="D49:D50"/>
    <mergeCell ref="E49:E50"/>
    <mergeCell ref="F49:F50"/>
    <mergeCell ref="D47:D48"/>
    <mergeCell ref="E47:E48"/>
    <mergeCell ref="F47:F48"/>
    <mergeCell ref="G47:G48"/>
    <mergeCell ref="H47:H48"/>
    <mergeCell ref="I47:I48"/>
    <mergeCell ref="J47:J48"/>
    <mergeCell ref="G68:G69"/>
    <mergeCell ref="K68:K69"/>
    <mergeCell ref="H66:H67"/>
    <mergeCell ref="A64:A65"/>
    <mergeCell ref="A66:A67"/>
    <mergeCell ref="N64:N65"/>
    <mergeCell ref="A60:A63"/>
    <mergeCell ref="N60:P61"/>
    <mergeCell ref="P62:P63"/>
    <mergeCell ref="P64:P65"/>
    <mergeCell ref="K57:K58"/>
    <mergeCell ref="D53:D54"/>
    <mergeCell ref="E53:E54"/>
    <mergeCell ref="F53:F54"/>
    <mergeCell ref="G53:G54"/>
    <mergeCell ref="H53:H54"/>
    <mergeCell ref="I53:I54"/>
    <mergeCell ref="B57:B58"/>
    <mergeCell ref="C57:C58"/>
    <mergeCell ref="D57:D58"/>
    <mergeCell ref="E57:E58"/>
    <mergeCell ref="O64:O65"/>
    <mergeCell ref="B62:B63"/>
    <mergeCell ref="C62:C63"/>
    <mergeCell ref="E62:E63"/>
    <mergeCell ref="F62:F63"/>
    <mergeCell ref="L62:L63"/>
    <mergeCell ref="M62:M63"/>
    <mergeCell ref="N62:N63"/>
    <mergeCell ref="O62:O63"/>
    <mergeCell ref="I64:I65"/>
    <mergeCell ref="J64:J65"/>
    <mergeCell ref="K64:K65"/>
    <mergeCell ref="B64:B65"/>
    <mergeCell ref="L64:L65"/>
    <mergeCell ref="M64:M65"/>
    <mergeCell ref="I41:K41"/>
    <mergeCell ref="C43:C44"/>
    <mergeCell ref="D43:D44"/>
    <mergeCell ref="E43:E44"/>
    <mergeCell ref="F18:G19"/>
    <mergeCell ref="M17:M18"/>
    <mergeCell ref="O17:O18"/>
    <mergeCell ref="M19:M20"/>
    <mergeCell ref="O19:O20"/>
    <mergeCell ref="M21:M22"/>
    <mergeCell ref="O21:O22"/>
    <mergeCell ref="M23:M24"/>
    <mergeCell ref="O23:O24"/>
    <mergeCell ref="F43:F44"/>
    <mergeCell ref="G43:G44"/>
    <mergeCell ref="H43:H44"/>
    <mergeCell ref="I43:I44"/>
    <mergeCell ref="J43:J44"/>
    <mergeCell ref="K43:K44"/>
    <mergeCell ref="L19:L20"/>
    <mergeCell ref="J21:J22"/>
    <mergeCell ref="K21:K22"/>
    <mergeCell ref="L21:L22"/>
    <mergeCell ref="J23:J24"/>
    <mergeCell ref="K45:K46"/>
    <mergeCell ref="K49:K50"/>
    <mergeCell ref="F11:H11"/>
    <mergeCell ref="K11:M11"/>
    <mergeCell ref="B16:G16"/>
    <mergeCell ref="F17:G17"/>
    <mergeCell ref="B6:D6"/>
    <mergeCell ref="G6:I6"/>
    <mergeCell ref="L6:N6"/>
    <mergeCell ref="B8:D8"/>
    <mergeCell ref="G8:I8"/>
    <mergeCell ref="L8:N8"/>
    <mergeCell ref="L17:L18"/>
    <mergeCell ref="N17:N18"/>
    <mergeCell ref="J17:J18"/>
    <mergeCell ref="K17:K18"/>
    <mergeCell ref="G49:G50"/>
    <mergeCell ref="H49:H50"/>
    <mergeCell ref="I49:I50"/>
    <mergeCell ref="H45:H46"/>
    <mergeCell ref="I45:I46"/>
    <mergeCell ref="J45:J46"/>
    <mergeCell ref="B47:B48"/>
    <mergeCell ref="C47:C48"/>
    <mergeCell ref="A1:C1"/>
    <mergeCell ref="A2:D2"/>
    <mergeCell ref="A36:C36"/>
    <mergeCell ref="B22:B23"/>
    <mergeCell ref="C22:C23"/>
    <mergeCell ref="D22:D23"/>
    <mergeCell ref="E22:E23"/>
    <mergeCell ref="F22:G23"/>
    <mergeCell ref="B68:B69"/>
    <mergeCell ref="F20:G21"/>
    <mergeCell ref="B66:B67"/>
    <mergeCell ref="F24:G24"/>
    <mergeCell ref="B41:B42"/>
    <mergeCell ref="C41:D41"/>
    <mergeCell ref="E41:F41"/>
    <mergeCell ref="G41:H41"/>
    <mergeCell ref="B27:B28"/>
    <mergeCell ref="C27:C28"/>
    <mergeCell ref="D27:D28"/>
    <mergeCell ref="E27:E28"/>
    <mergeCell ref="F27:F28"/>
    <mergeCell ref="G27:G28"/>
    <mergeCell ref="H27:H28"/>
    <mergeCell ref="B43:B44"/>
    <mergeCell ref="F57:F58"/>
    <mergeCell ref="G57:G58"/>
    <mergeCell ref="H57:H58"/>
    <mergeCell ref="I57:I58"/>
    <mergeCell ref="J57:J58"/>
    <mergeCell ref="K19:K20"/>
    <mergeCell ref="J49:J50"/>
    <mergeCell ref="K53:K54"/>
    <mergeCell ref="B55:B56"/>
    <mergeCell ref="C55:C56"/>
    <mergeCell ref="D55:D56"/>
    <mergeCell ref="E55:E56"/>
    <mergeCell ref="F55:F56"/>
    <mergeCell ref="B53:B54"/>
    <mergeCell ref="C53:C54"/>
    <mergeCell ref="J53:J54"/>
    <mergeCell ref="G55:G56"/>
    <mergeCell ref="H55:H56"/>
    <mergeCell ref="I55:I56"/>
    <mergeCell ref="J55:J56"/>
    <mergeCell ref="K55:K56"/>
    <mergeCell ref="A37:D37"/>
    <mergeCell ref="F45:F46"/>
    <mergeCell ref="G45:G46"/>
    <mergeCell ref="A3:P3"/>
    <mergeCell ref="J33:K34"/>
    <mergeCell ref="I31:I32"/>
    <mergeCell ref="J31:K32"/>
    <mergeCell ref="B33:B34"/>
    <mergeCell ref="C33:C34"/>
    <mergeCell ref="D33:D34"/>
    <mergeCell ref="E33:E34"/>
    <mergeCell ref="F33:F34"/>
    <mergeCell ref="G33:G34"/>
    <mergeCell ref="H33:H34"/>
    <mergeCell ref="I33:I34"/>
    <mergeCell ref="H29:H30"/>
    <mergeCell ref="I29:I30"/>
    <mergeCell ref="J29:K30"/>
    <mergeCell ref="B31:B32"/>
    <mergeCell ref="C31:C32"/>
    <mergeCell ref="K23:K24"/>
    <mergeCell ref="L23:L24"/>
    <mergeCell ref="C29:C30"/>
    <mergeCell ref="D29:D30"/>
    <mergeCell ref="N19:N20"/>
    <mergeCell ref="N21:N22"/>
    <mergeCell ref="N23:N24"/>
    <mergeCell ref="D31:D32"/>
    <mergeCell ref="E31:E32"/>
    <mergeCell ref="F31:F32"/>
    <mergeCell ref="G31:G32"/>
    <mergeCell ref="H31:H32"/>
    <mergeCell ref="B29:B30"/>
    <mergeCell ref="B11:C11"/>
    <mergeCell ref="B18:B19"/>
    <mergeCell ref="C18:C19"/>
    <mergeCell ref="D18:D19"/>
    <mergeCell ref="E18:E19"/>
    <mergeCell ref="E29:E30"/>
    <mergeCell ref="F29:F30"/>
    <mergeCell ref="G29:G30"/>
    <mergeCell ref="B26:K26"/>
    <mergeCell ref="B20:B21"/>
    <mergeCell ref="C20:C21"/>
    <mergeCell ref="D20:D21"/>
    <mergeCell ref="E20:E21"/>
    <mergeCell ref="I27:I28"/>
    <mergeCell ref="J27:K28"/>
    <mergeCell ref="J19:J20"/>
    <mergeCell ref="J16:O16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71" orientation="landscape" horizontalDpi="300" verticalDpi="300" r:id="rId1"/>
  <rowBreaks count="1" manualBreakCount="1">
    <brk id="35" max="15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69"/>
  <sheetViews>
    <sheetView rightToLeft="1" view="pageBreakPreview" topLeftCell="A15" zoomScale="60" workbookViewId="0">
      <selection activeCell="A15" sqref="A15"/>
    </sheetView>
  </sheetViews>
  <sheetFormatPr defaultColWidth="9" defaultRowHeight="21" x14ac:dyDescent="0.4"/>
  <cols>
    <col min="1" max="1" width="14.69921875" style="9" customWidth="1"/>
    <col min="2" max="2" width="16.8984375" style="9" customWidth="1"/>
    <col min="3" max="3" width="10.296875" style="9" customWidth="1"/>
    <col min="4" max="8" width="9" style="9"/>
    <col min="9" max="9" width="11.69921875" style="9" customWidth="1"/>
    <col min="10" max="10" width="13.19921875" style="9" customWidth="1"/>
    <col min="11" max="11" width="10.296875" style="9" customWidth="1"/>
    <col min="12" max="16384" width="9" style="9"/>
  </cols>
  <sheetData>
    <row r="1" spans="1:15" x14ac:dyDescent="0.4">
      <c r="A1" s="181" t="s">
        <v>55</v>
      </c>
      <c r="B1" s="181"/>
      <c r="C1" s="181"/>
    </row>
    <row r="2" spans="1:15" x14ac:dyDescent="0.4">
      <c r="A2" s="181" t="s">
        <v>56</v>
      </c>
      <c r="B2" s="181"/>
      <c r="C2" s="181"/>
      <c r="D2" s="181"/>
      <c r="M2" s="181"/>
      <c r="N2" s="181"/>
      <c r="O2" s="181"/>
    </row>
    <row r="3" spans="1:15" x14ac:dyDescent="0.4">
      <c r="A3" s="181" t="s">
        <v>162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</row>
    <row r="4" spans="1:15" x14ac:dyDescent="0.4">
      <c r="E4" s="9" t="s">
        <v>266</v>
      </c>
    </row>
    <row r="5" spans="1:15" ht="21.6" thickBot="1" x14ac:dyDescent="0.45"/>
    <row r="6" spans="1:15" ht="22.2" thickTop="1" thickBot="1" x14ac:dyDescent="0.45">
      <c r="A6" s="9" t="s">
        <v>1</v>
      </c>
      <c r="B6" s="209" t="s">
        <v>167</v>
      </c>
      <c r="C6" s="211"/>
      <c r="D6" s="210"/>
      <c r="F6" s="9" t="s">
        <v>2</v>
      </c>
      <c r="G6" s="209" t="s">
        <v>48</v>
      </c>
      <c r="H6" s="211"/>
      <c r="I6" s="210"/>
      <c r="K6" s="9" t="s">
        <v>0</v>
      </c>
      <c r="L6" s="209" t="s">
        <v>129</v>
      </c>
      <c r="M6" s="211"/>
      <c r="N6" s="210"/>
    </row>
    <row r="7" spans="1:15" ht="22.2" thickTop="1" thickBot="1" x14ac:dyDescent="0.45"/>
    <row r="8" spans="1:15" ht="22.2" thickTop="1" thickBot="1" x14ac:dyDescent="0.45">
      <c r="A8" s="9" t="s">
        <v>43</v>
      </c>
      <c r="B8" s="209" t="e">
        <f>'التعليم المسرع'!#REF!+'التعليم المسرع'!#REF!</f>
        <v>#REF!</v>
      </c>
      <c r="C8" s="211"/>
      <c r="D8" s="210"/>
      <c r="F8" s="9" t="s">
        <v>3</v>
      </c>
      <c r="G8" s="209" t="e">
        <f>'التعليم المسرع'!#REF!</f>
        <v>#REF!</v>
      </c>
      <c r="H8" s="211"/>
      <c r="I8" s="210"/>
      <c r="K8" s="9" t="s">
        <v>4</v>
      </c>
      <c r="L8" s="209" t="e">
        <f>'التعليم المسرع'!#REF!</f>
        <v>#REF!</v>
      </c>
      <c r="M8" s="211"/>
      <c r="N8" s="210"/>
    </row>
    <row r="9" spans="1:15" ht="21.6" thickTop="1" x14ac:dyDescent="0.4"/>
    <row r="10" spans="1:15" ht="21.6" thickBot="1" x14ac:dyDescent="0.45"/>
    <row r="11" spans="1:15" ht="33.75" customHeight="1" thickTop="1" thickBot="1" x14ac:dyDescent="0.45">
      <c r="B11" s="209" t="s">
        <v>5</v>
      </c>
      <c r="C11" s="210"/>
      <c r="F11" s="209" t="s">
        <v>6</v>
      </c>
      <c r="G11" s="211"/>
      <c r="H11" s="210"/>
      <c r="K11" s="209" t="s">
        <v>7</v>
      </c>
      <c r="L11" s="211"/>
      <c r="M11" s="210"/>
    </row>
    <row r="12" spans="1:15" ht="31.5" customHeight="1" thickTop="1" thickBot="1" x14ac:dyDescent="0.45">
      <c r="B12" s="10" t="s">
        <v>8</v>
      </c>
      <c r="C12" s="11" t="s">
        <v>9</v>
      </c>
      <c r="F12" s="12" t="s">
        <v>10</v>
      </c>
      <c r="G12" s="13" t="s">
        <v>11</v>
      </c>
      <c r="H12" s="14" t="s">
        <v>12</v>
      </c>
      <c r="K12" s="10" t="s">
        <v>13</v>
      </c>
      <c r="L12" s="15" t="s">
        <v>14</v>
      </c>
      <c r="M12" s="11" t="s">
        <v>15</v>
      </c>
    </row>
    <row r="13" spans="1:15" ht="31.5" customHeight="1" thickTop="1" thickBot="1" x14ac:dyDescent="0.45">
      <c r="B13" s="16" t="e">
        <f>'التعليم المسرع'!#REF!</f>
        <v>#REF!</v>
      </c>
      <c r="C13" s="17" t="e">
        <f>'التعليم المسرع'!#REF!</f>
        <v>#REF!</v>
      </c>
      <c r="F13" s="18" t="e">
        <f>'التعليم المسرع'!#REF!</f>
        <v>#REF!</v>
      </c>
      <c r="G13" s="19" t="e">
        <f>'التعليم المسرع'!#REF!</f>
        <v>#REF!</v>
      </c>
      <c r="H13" s="20" t="e">
        <f>'التعليم المسرع'!#REF!</f>
        <v>#REF!</v>
      </c>
      <c r="K13" s="16" t="e">
        <f>'التعليم المسرع'!#REF!</f>
        <v>#REF!</v>
      </c>
      <c r="L13" s="21" t="e">
        <f>'التعليم المسرع'!#REF!</f>
        <v>#REF!</v>
      </c>
      <c r="M13" s="17" t="e">
        <f>SUM(K13:L13)</f>
        <v>#REF!</v>
      </c>
    </row>
    <row r="14" spans="1:15" ht="21.6" thickTop="1" x14ac:dyDescent="0.4"/>
    <row r="15" spans="1:15" ht="21.6" thickBot="1" x14ac:dyDescent="0.45"/>
    <row r="16" spans="1:15" ht="33.75" customHeight="1" thickTop="1" thickBot="1" x14ac:dyDescent="0.45">
      <c r="B16" s="165" t="s">
        <v>20</v>
      </c>
      <c r="C16" s="169"/>
      <c r="D16" s="169"/>
      <c r="E16" s="169"/>
      <c r="F16" s="169"/>
      <c r="G16" s="166"/>
      <c r="H16" s="31"/>
      <c r="I16" s="165" t="s">
        <v>30</v>
      </c>
      <c r="J16" s="169"/>
      <c r="K16" s="169"/>
      <c r="L16" s="169"/>
      <c r="M16" s="166"/>
    </row>
    <row r="17" spans="2:13" ht="22.2" thickTop="1" thickBot="1" x14ac:dyDescent="0.45">
      <c r="B17" s="22" t="s">
        <v>16</v>
      </c>
      <c r="C17" s="23" t="s">
        <v>10</v>
      </c>
      <c r="D17" s="23" t="s">
        <v>11</v>
      </c>
      <c r="E17" s="23" t="s">
        <v>12</v>
      </c>
      <c r="F17" s="167" t="s">
        <v>15</v>
      </c>
      <c r="G17" s="168"/>
      <c r="I17" s="194" t="s">
        <v>31</v>
      </c>
      <c r="J17" s="195" t="s">
        <v>44</v>
      </c>
      <c r="K17" s="195" t="s">
        <v>45</v>
      </c>
      <c r="L17" s="195" t="s">
        <v>46</v>
      </c>
      <c r="M17" s="196" t="s">
        <v>47</v>
      </c>
    </row>
    <row r="18" spans="2:13" ht="22.2" thickTop="1" thickBot="1" x14ac:dyDescent="0.45">
      <c r="B18" s="170" t="s">
        <v>17</v>
      </c>
      <c r="C18" s="170" t="e">
        <f>'التعليم المسرع'!#REF!</f>
        <v>#REF!</v>
      </c>
      <c r="D18" s="170" t="e">
        <f>'التعليم المسرع'!#REF!</f>
        <v>#REF!</v>
      </c>
      <c r="E18" s="170" t="e">
        <f>'التعليم المسرع'!#REF!</f>
        <v>#REF!</v>
      </c>
      <c r="F18" s="172" t="e">
        <f>C18+D18+E18</f>
        <v>#REF!</v>
      </c>
      <c r="G18" s="173"/>
      <c r="I18" s="190"/>
      <c r="J18" s="189"/>
      <c r="K18" s="189"/>
      <c r="L18" s="189"/>
      <c r="M18" s="192"/>
    </row>
    <row r="19" spans="2:13" ht="22.2" thickTop="1" thickBot="1" x14ac:dyDescent="0.45">
      <c r="B19" s="171"/>
      <c r="C19" s="171"/>
      <c r="D19" s="171"/>
      <c r="E19" s="171"/>
      <c r="F19" s="174"/>
      <c r="G19" s="175"/>
      <c r="I19" s="190" t="s">
        <v>13</v>
      </c>
      <c r="J19" s="189" t="e">
        <f>'التعليم المسرع'!#REF!</f>
        <v>#REF!</v>
      </c>
      <c r="K19" s="189" t="e">
        <f>'التعليم المسرع'!#REF!</f>
        <v>#REF!</v>
      </c>
      <c r="L19" s="189" t="e">
        <f>'التعليم المسرع'!#REF!</f>
        <v>#REF!</v>
      </c>
      <c r="M19" s="192" t="e">
        <f>SUM(J19:L19)</f>
        <v>#REF!</v>
      </c>
    </row>
    <row r="20" spans="2:13" ht="22.2" thickTop="1" thickBot="1" x14ac:dyDescent="0.45">
      <c r="B20" s="170" t="s">
        <v>18</v>
      </c>
      <c r="C20" s="170" t="e">
        <f>'التعليم المسرع'!#REF!</f>
        <v>#REF!</v>
      </c>
      <c r="D20" s="170" t="e">
        <f>'التعليم المسرع'!#REF!</f>
        <v>#REF!</v>
      </c>
      <c r="E20" s="170" t="e">
        <f>'التعليم المسرع'!#REF!</f>
        <v>#REF!</v>
      </c>
      <c r="F20" s="172" t="e">
        <f t="shared" ref="F20" si="0">C20+D20+E20</f>
        <v>#REF!</v>
      </c>
      <c r="G20" s="173"/>
      <c r="I20" s="190"/>
      <c r="J20" s="189"/>
      <c r="K20" s="189"/>
      <c r="L20" s="189"/>
      <c r="M20" s="192"/>
    </row>
    <row r="21" spans="2:13" ht="22.2" thickTop="1" thickBot="1" x14ac:dyDescent="0.45">
      <c r="B21" s="171"/>
      <c r="C21" s="171"/>
      <c r="D21" s="171"/>
      <c r="E21" s="171"/>
      <c r="F21" s="174"/>
      <c r="G21" s="175"/>
      <c r="I21" s="190" t="s">
        <v>14</v>
      </c>
      <c r="J21" s="189" t="e">
        <f>'التعليم المسرع'!#REF!</f>
        <v>#REF!</v>
      </c>
      <c r="K21" s="189" t="e">
        <f>'التعليم المسرع'!#REF!</f>
        <v>#REF!</v>
      </c>
      <c r="L21" s="189" t="e">
        <f>'التعليم المسرع'!#REF!</f>
        <v>#REF!</v>
      </c>
      <c r="M21" s="192" t="e">
        <f>SUM(J21:L21)</f>
        <v>#REF!</v>
      </c>
    </row>
    <row r="22" spans="2:13" ht="22.2" thickTop="1" thickBot="1" x14ac:dyDescent="0.45">
      <c r="B22" s="170" t="s">
        <v>19</v>
      </c>
      <c r="C22" s="170" t="e">
        <f>'التعليم المسرع'!#REF!</f>
        <v>#REF!</v>
      </c>
      <c r="D22" s="170" t="e">
        <f>'التعليم المسرع'!#REF!</f>
        <v>#REF!</v>
      </c>
      <c r="E22" s="170" t="e">
        <f>'التعليم المسرع'!#REF!</f>
        <v>#REF!</v>
      </c>
      <c r="F22" s="172" t="e">
        <f t="shared" ref="F22" si="1">C22+D22+E22</f>
        <v>#REF!</v>
      </c>
      <c r="G22" s="173"/>
      <c r="I22" s="190"/>
      <c r="J22" s="189"/>
      <c r="K22" s="189"/>
      <c r="L22" s="189"/>
      <c r="M22" s="192"/>
    </row>
    <row r="23" spans="2:13" ht="22.2" thickTop="1" thickBot="1" x14ac:dyDescent="0.45">
      <c r="B23" s="171"/>
      <c r="C23" s="171"/>
      <c r="D23" s="171"/>
      <c r="E23" s="171"/>
      <c r="F23" s="174"/>
      <c r="G23" s="175"/>
      <c r="I23" s="190" t="s">
        <v>15</v>
      </c>
      <c r="J23" s="189" t="e">
        <f>J19+J21</f>
        <v>#REF!</v>
      </c>
      <c r="K23" s="189" t="e">
        <f t="shared" ref="K23:M23" si="2">K19+K21</f>
        <v>#REF!</v>
      </c>
      <c r="L23" s="189" t="e">
        <f t="shared" si="2"/>
        <v>#REF!</v>
      </c>
      <c r="M23" s="192" t="e">
        <f t="shared" si="2"/>
        <v>#REF!</v>
      </c>
    </row>
    <row r="24" spans="2:13" ht="37.5" customHeight="1" thickTop="1" thickBot="1" x14ac:dyDescent="0.45">
      <c r="B24" s="24" t="s">
        <v>15</v>
      </c>
      <c r="C24" s="25" t="e">
        <f>SUM(C18:C23)</f>
        <v>#REF!</v>
      </c>
      <c r="D24" s="25" t="e">
        <f>SUM(D18:D23)</f>
        <v>#REF!</v>
      </c>
      <c r="E24" s="25" t="e">
        <f>SUM(E18:E23)</f>
        <v>#REF!</v>
      </c>
      <c r="F24" s="185" t="e">
        <f>C24+D24+E24</f>
        <v>#REF!</v>
      </c>
      <c r="G24" s="166"/>
      <c r="I24" s="193"/>
      <c r="J24" s="191"/>
      <c r="K24" s="191"/>
      <c r="L24" s="191"/>
      <c r="M24" s="208"/>
    </row>
    <row r="25" spans="2:13" ht="22.2" thickTop="1" thickBot="1" x14ac:dyDescent="0.45"/>
    <row r="26" spans="2:13" ht="31.5" customHeight="1" thickTop="1" thickBot="1" x14ac:dyDescent="0.45">
      <c r="B26" s="165" t="s">
        <v>39</v>
      </c>
      <c r="C26" s="169"/>
      <c r="D26" s="169"/>
      <c r="E26" s="169"/>
      <c r="F26" s="169"/>
      <c r="G26" s="169"/>
      <c r="H26" s="169"/>
      <c r="I26" s="169"/>
      <c r="J26" s="169"/>
      <c r="K26" s="166"/>
      <c r="L26" s="26"/>
      <c r="M26" s="26"/>
    </row>
    <row r="27" spans="2:13" s="1" customFormat="1" ht="18.600000000000001" thickTop="1" thickBot="1" x14ac:dyDescent="0.35">
      <c r="B27" s="243" t="s">
        <v>40</v>
      </c>
      <c r="C27" s="223" t="s">
        <v>32</v>
      </c>
      <c r="D27" s="223" t="s">
        <v>33</v>
      </c>
      <c r="E27" s="223" t="s">
        <v>34</v>
      </c>
      <c r="F27" s="223" t="s">
        <v>35</v>
      </c>
      <c r="G27" s="223" t="s">
        <v>36</v>
      </c>
      <c r="H27" s="223" t="s">
        <v>37</v>
      </c>
      <c r="I27" s="223" t="s">
        <v>38</v>
      </c>
      <c r="J27" s="238" t="s">
        <v>15</v>
      </c>
      <c r="K27" s="240"/>
      <c r="L27" s="8"/>
      <c r="M27" s="8"/>
    </row>
    <row r="28" spans="2:13" s="1" customFormat="1" ht="64.5" customHeight="1" thickTop="1" thickBot="1" x14ac:dyDescent="0.35">
      <c r="B28" s="244"/>
      <c r="C28" s="224"/>
      <c r="D28" s="224"/>
      <c r="E28" s="224"/>
      <c r="F28" s="224"/>
      <c r="G28" s="224"/>
      <c r="H28" s="224"/>
      <c r="I28" s="224"/>
      <c r="J28" s="232"/>
      <c r="K28" s="234"/>
      <c r="L28" s="8"/>
      <c r="M28" s="8"/>
    </row>
    <row r="29" spans="2:13" ht="22.2" thickTop="1" thickBot="1" x14ac:dyDescent="0.45">
      <c r="B29" s="190" t="s">
        <v>13</v>
      </c>
      <c r="C29" s="189" t="e">
        <f>'التعليم المسرع'!#REF!</f>
        <v>#REF!</v>
      </c>
      <c r="D29" s="189" t="e">
        <f>'التعليم المسرع'!#REF!</f>
        <v>#REF!</v>
      </c>
      <c r="E29" s="189" t="e">
        <f>'التعليم المسرع'!#REF!</f>
        <v>#REF!</v>
      </c>
      <c r="F29" s="189" t="e">
        <f>'التعليم المسرع'!#REF!</f>
        <v>#REF!</v>
      </c>
      <c r="G29" s="189" t="e">
        <f>'التعليم المسرع'!#REF!</f>
        <v>#REF!</v>
      </c>
      <c r="H29" s="189" t="e">
        <f>'التعليم المسرع'!#REF!</f>
        <v>#REF!</v>
      </c>
      <c r="I29" s="189" t="e">
        <f>'التعليم المسرع'!#REF!+'التعليم المسرع'!#REF!</f>
        <v>#REF!</v>
      </c>
      <c r="J29" s="189" t="e">
        <f>I29+H29+G29+F29+E29+D29+C29</f>
        <v>#REF!</v>
      </c>
      <c r="K29" s="192"/>
      <c r="L29" s="26"/>
      <c r="M29" s="26"/>
    </row>
    <row r="30" spans="2:13" ht="22.2" thickTop="1" thickBot="1" x14ac:dyDescent="0.45">
      <c r="B30" s="190"/>
      <c r="C30" s="189"/>
      <c r="D30" s="189"/>
      <c r="E30" s="189"/>
      <c r="F30" s="189"/>
      <c r="G30" s="189"/>
      <c r="H30" s="189"/>
      <c r="I30" s="189"/>
      <c r="J30" s="189"/>
      <c r="K30" s="192"/>
      <c r="L30" s="26"/>
      <c r="M30" s="26"/>
    </row>
    <row r="31" spans="2:13" ht="22.2" thickTop="1" thickBot="1" x14ac:dyDescent="0.45">
      <c r="B31" s="190" t="s">
        <v>14</v>
      </c>
      <c r="C31" s="189" t="e">
        <f>'التعليم المسرع'!#REF!</f>
        <v>#REF!</v>
      </c>
      <c r="D31" s="189" t="e">
        <f>'التعليم المسرع'!#REF!</f>
        <v>#REF!</v>
      </c>
      <c r="E31" s="189" t="e">
        <f>'التعليم المسرع'!#REF!</f>
        <v>#REF!</v>
      </c>
      <c r="F31" s="189" t="e">
        <f>'التعليم المسرع'!#REF!</f>
        <v>#REF!</v>
      </c>
      <c r="G31" s="189" t="e">
        <f>'التعليم المسرع'!#REF!</f>
        <v>#REF!</v>
      </c>
      <c r="H31" s="189" t="e">
        <f>'التعليم المسرع'!#REF!</f>
        <v>#REF!</v>
      </c>
      <c r="I31" s="189" t="e">
        <f>'التعليم المسرع'!#REF!+'التعليم المسرع'!#REF!</f>
        <v>#REF!</v>
      </c>
      <c r="J31" s="189" t="e">
        <f t="shared" ref="J31" si="3">I31+H31+G31+F31+E31+D31+C31</f>
        <v>#REF!</v>
      </c>
      <c r="K31" s="192"/>
      <c r="L31" s="26"/>
      <c r="M31" s="26"/>
    </row>
    <row r="32" spans="2:13" ht="22.2" thickTop="1" thickBot="1" x14ac:dyDescent="0.45">
      <c r="B32" s="190"/>
      <c r="C32" s="189"/>
      <c r="D32" s="189"/>
      <c r="E32" s="189"/>
      <c r="F32" s="189"/>
      <c r="G32" s="189"/>
      <c r="H32" s="189"/>
      <c r="I32" s="189"/>
      <c r="J32" s="189"/>
      <c r="K32" s="192"/>
      <c r="L32" s="26"/>
      <c r="M32" s="26"/>
    </row>
    <row r="33" spans="1:14" ht="22.2" thickTop="1" thickBot="1" x14ac:dyDescent="0.45">
      <c r="B33" s="190" t="s">
        <v>15</v>
      </c>
      <c r="C33" s="189" t="e">
        <f>C29+C31</f>
        <v>#REF!</v>
      </c>
      <c r="D33" s="189" t="e">
        <f t="shared" ref="D33:I33" si="4">D29+D31</f>
        <v>#REF!</v>
      </c>
      <c r="E33" s="189" t="e">
        <f t="shared" si="4"/>
        <v>#REF!</v>
      </c>
      <c r="F33" s="189" t="e">
        <f t="shared" si="4"/>
        <v>#REF!</v>
      </c>
      <c r="G33" s="189" t="e">
        <f t="shared" si="4"/>
        <v>#REF!</v>
      </c>
      <c r="H33" s="189" t="e">
        <f t="shared" si="4"/>
        <v>#REF!</v>
      </c>
      <c r="I33" s="189" t="e">
        <f t="shared" si="4"/>
        <v>#REF!</v>
      </c>
      <c r="J33" s="189" t="e">
        <f t="shared" ref="J33" si="5">I33+H33+G33+F33+E33+D33+C33</f>
        <v>#REF!</v>
      </c>
      <c r="K33" s="192"/>
      <c r="L33" s="26"/>
      <c r="M33" s="26"/>
    </row>
    <row r="34" spans="1:14" ht="22.2" thickTop="1" thickBot="1" x14ac:dyDescent="0.45">
      <c r="B34" s="193"/>
      <c r="C34" s="191"/>
      <c r="D34" s="191"/>
      <c r="E34" s="191"/>
      <c r="F34" s="191"/>
      <c r="G34" s="191"/>
      <c r="H34" s="191"/>
      <c r="I34" s="191"/>
      <c r="J34" s="191"/>
      <c r="K34" s="208"/>
      <c r="L34" s="26"/>
      <c r="M34" s="26"/>
    </row>
    <row r="35" spans="1:14" ht="21.6" thickTop="1" x14ac:dyDescent="0.4"/>
    <row r="36" spans="1:14" x14ac:dyDescent="0.4">
      <c r="A36" s="181" t="s">
        <v>55</v>
      </c>
      <c r="B36" s="181"/>
      <c r="C36" s="181"/>
    </row>
    <row r="37" spans="1:14" x14ac:dyDescent="0.4">
      <c r="A37" s="181" t="s">
        <v>56</v>
      </c>
      <c r="B37" s="181"/>
      <c r="C37" s="181"/>
      <c r="D37" s="181"/>
      <c r="L37" s="9" t="s">
        <v>144</v>
      </c>
    </row>
    <row r="38" spans="1:14" x14ac:dyDescent="0.4">
      <c r="D38" s="9" t="s">
        <v>54</v>
      </c>
    </row>
    <row r="39" spans="1:14" ht="21.6" thickBot="1" x14ac:dyDescent="0.45"/>
    <row r="40" spans="1:14" ht="22.2" thickTop="1" thickBot="1" x14ac:dyDescent="0.45">
      <c r="B40" s="194" t="s">
        <v>28</v>
      </c>
      <c r="C40" s="195" t="s">
        <v>17</v>
      </c>
      <c r="D40" s="195"/>
      <c r="E40" s="195" t="s">
        <v>18</v>
      </c>
      <c r="F40" s="195"/>
      <c r="G40" s="195" t="s">
        <v>19</v>
      </c>
      <c r="H40" s="195"/>
      <c r="I40" s="195" t="s">
        <v>29</v>
      </c>
      <c r="J40" s="195"/>
      <c r="K40" s="196"/>
      <c r="L40" s="26"/>
      <c r="M40" s="26"/>
      <c r="N40" s="26"/>
    </row>
    <row r="41" spans="1:14" ht="22.2" thickTop="1" thickBot="1" x14ac:dyDescent="0.45">
      <c r="B41" s="190"/>
      <c r="C41" s="48" t="s">
        <v>10</v>
      </c>
      <c r="D41" s="48" t="s">
        <v>11</v>
      </c>
      <c r="E41" s="48" t="s">
        <v>10</v>
      </c>
      <c r="F41" s="48" t="s">
        <v>11</v>
      </c>
      <c r="G41" s="48" t="s">
        <v>10</v>
      </c>
      <c r="H41" s="48" t="s">
        <v>11</v>
      </c>
      <c r="I41" s="48" t="s">
        <v>10</v>
      </c>
      <c r="J41" s="48" t="s">
        <v>11</v>
      </c>
      <c r="K41" s="49" t="s">
        <v>15</v>
      </c>
      <c r="L41" s="26"/>
      <c r="M41" s="26"/>
      <c r="N41" s="26"/>
    </row>
    <row r="42" spans="1:14" ht="22.2" thickTop="1" thickBot="1" x14ac:dyDescent="0.45">
      <c r="B42" s="190" t="s">
        <v>21</v>
      </c>
      <c r="C42" s="189" t="e">
        <f>'التعليم المسرع'!#REF!</f>
        <v>#REF!</v>
      </c>
      <c r="D42" s="189" t="e">
        <f>'التعليم المسرع'!#REF!</f>
        <v>#REF!</v>
      </c>
      <c r="E42" s="189" t="e">
        <f>'التعليم المسرع'!#REF!</f>
        <v>#REF!</v>
      </c>
      <c r="F42" s="189" t="e">
        <f>'التعليم المسرع'!#REF!</f>
        <v>#REF!</v>
      </c>
      <c r="G42" s="189" t="e">
        <f>'التعليم المسرع'!#REF!</f>
        <v>#REF!</v>
      </c>
      <c r="H42" s="189" t="e">
        <f>'التعليم المسرع'!#REF!</f>
        <v>#REF!</v>
      </c>
      <c r="I42" s="189" t="e">
        <f>C42+E42+G42</f>
        <v>#REF!</v>
      </c>
      <c r="J42" s="189" t="e">
        <f>D42+F42+H42</f>
        <v>#REF!</v>
      </c>
      <c r="K42" s="192" t="e">
        <f>SUM(I42:J42)</f>
        <v>#REF!</v>
      </c>
      <c r="L42" s="26"/>
      <c r="M42" s="26"/>
    </row>
    <row r="43" spans="1:14" ht="22.2" thickTop="1" thickBot="1" x14ac:dyDescent="0.45">
      <c r="B43" s="190"/>
      <c r="C43" s="189"/>
      <c r="D43" s="189"/>
      <c r="E43" s="189"/>
      <c r="F43" s="189"/>
      <c r="G43" s="189"/>
      <c r="H43" s="189"/>
      <c r="I43" s="189"/>
      <c r="J43" s="189"/>
      <c r="K43" s="192"/>
      <c r="L43" s="26"/>
      <c r="M43" s="26"/>
    </row>
    <row r="44" spans="1:14" ht="22.2" thickTop="1" thickBot="1" x14ac:dyDescent="0.45">
      <c r="B44" s="190" t="s">
        <v>22</v>
      </c>
      <c r="C44" s="189" t="e">
        <f>'التعليم المسرع'!#REF!</f>
        <v>#REF!</v>
      </c>
      <c r="D44" s="189" t="e">
        <f>'التعليم المسرع'!#REF!</f>
        <v>#REF!</v>
      </c>
      <c r="E44" s="189" t="e">
        <f>'التعليم المسرع'!#REF!</f>
        <v>#REF!</v>
      </c>
      <c r="F44" s="189" t="e">
        <f>'التعليم المسرع'!#REF!</f>
        <v>#REF!</v>
      </c>
      <c r="G44" s="189" t="e">
        <f>'التعليم المسرع'!#REF!</f>
        <v>#REF!</v>
      </c>
      <c r="H44" s="189" t="e">
        <f>'التعليم المسرع'!#REF!</f>
        <v>#REF!</v>
      </c>
      <c r="I44" s="189" t="e">
        <f t="shared" ref="I44:J44" si="6">C44+E44+G44</f>
        <v>#REF!</v>
      </c>
      <c r="J44" s="189" t="e">
        <f t="shared" si="6"/>
        <v>#REF!</v>
      </c>
      <c r="K44" s="192" t="e">
        <f t="shared" ref="K44" si="7">SUM(I44:J44)</f>
        <v>#REF!</v>
      </c>
      <c r="L44" s="26"/>
      <c r="M44" s="26"/>
    </row>
    <row r="45" spans="1:14" ht="22.2" thickTop="1" thickBot="1" x14ac:dyDescent="0.45">
      <c r="B45" s="190"/>
      <c r="C45" s="189"/>
      <c r="D45" s="189"/>
      <c r="E45" s="189"/>
      <c r="F45" s="189"/>
      <c r="G45" s="189"/>
      <c r="H45" s="189"/>
      <c r="I45" s="189"/>
      <c r="J45" s="189"/>
      <c r="K45" s="192"/>
      <c r="L45" s="26"/>
      <c r="M45" s="26"/>
    </row>
    <row r="46" spans="1:14" ht="22.2" thickTop="1" thickBot="1" x14ac:dyDescent="0.45">
      <c r="B46" s="190" t="s">
        <v>23</v>
      </c>
      <c r="C46" s="189" t="e">
        <f>'التعليم المسرع'!#REF!</f>
        <v>#REF!</v>
      </c>
      <c r="D46" s="189" t="e">
        <f>'التعليم المسرع'!#REF!</f>
        <v>#REF!</v>
      </c>
      <c r="E46" s="189" t="e">
        <f>'التعليم المسرع'!#REF!</f>
        <v>#REF!</v>
      </c>
      <c r="F46" s="189" t="e">
        <f>'التعليم المسرع'!#REF!</f>
        <v>#REF!</v>
      </c>
      <c r="G46" s="189" t="e">
        <f>'التعليم المسرع'!#REF!</f>
        <v>#REF!</v>
      </c>
      <c r="H46" s="189" t="e">
        <f>'التعليم المسرع'!#REF!</f>
        <v>#REF!</v>
      </c>
      <c r="I46" s="189" t="e">
        <f t="shared" ref="I46:J46" si="8">C46+E46+G46</f>
        <v>#REF!</v>
      </c>
      <c r="J46" s="189" t="e">
        <f t="shared" si="8"/>
        <v>#REF!</v>
      </c>
      <c r="K46" s="192" t="e">
        <f t="shared" ref="K46" si="9">SUM(I46:J46)</f>
        <v>#REF!</v>
      </c>
      <c r="L46" s="26"/>
      <c r="M46" s="26"/>
    </row>
    <row r="47" spans="1:14" ht="22.2" thickTop="1" thickBot="1" x14ac:dyDescent="0.45">
      <c r="B47" s="190"/>
      <c r="C47" s="189"/>
      <c r="D47" s="189"/>
      <c r="E47" s="189"/>
      <c r="F47" s="189"/>
      <c r="G47" s="189"/>
      <c r="H47" s="189"/>
      <c r="I47" s="189"/>
      <c r="J47" s="189"/>
      <c r="K47" s="192"/>
      <c r="L47" s="26"/>
      <c r="M47" s="26"/>
    </row>
    <row r="48" spans="1:14" ht="22.2" thickTop="1" thickBot="1" x14ac:dyDescent="0.45">
      <c r="B48" s="190" t="s">
        <v>24</v>
      </c>
      <c r="C48" s="189" t="e">
        <f>'التعليم المسرع'!#REF!</f>
        <v>#REF!</v>
      </c>
      <c r="D48" s="189" t="e">
        <f>'التعليم المسرع'!#REF!</f>
        <v>#REF!</v>
      </c>
      <c r="E48" s="189" t="e">
        <f>'التعليم المسرع'!#REF!</f>
        <v>#REF!</v>
      </c>
      <c r="F48" s="189" t="e">
        <f>'التعليم المسرع'!#REF!</f>
        <v>#REF!</v>
      </c>
      <c r="G48" s="189" t="e">
        <f>'التعليم المسرع'!#REF!</f>
        <v>#REF!</v>
      </c>
      <c r="H48" s="189" t="e">
        <f>'التعليم المسرع'!#REF!</f>
        <v>#REF!</v>
      </c>
      <c r="I48" s="189" t="e">
        <f t="shared" ref="I48:J48" si="10">C48+E48+G48</f>
        <v>#REF!</v>
      </c>
      <c r="J48" s="189" t="e">
        <f t="shared" si="10"/>
        <v>#REF!</v>
      </c>
      <c r="K48" s="192" t="e">
        <f t="shared" ref="K48" si="11">SUM(I48:J48)</f>
        <v>#REF!</v>
      </c>
      <c r="L48" s="26"/>
      <c r="M48" s="26"/>
    </row>
    <row r="49" spans="1:16" ht="22.2" thickTop="1" thickBot="1" x14ac:dyDescent="0.45">
      <c r="B49" s="190"/>
      <c r="C49" s="189"/>
      <c r="D49" s="189"/>
      <c r="E49" s="189"/>
      <c r="F49" s="189"/>
      <c r="G49" s="189"/>
      <c r="H49" s="189"/>
      <c r="I49" s="189"/>
      <c r="J49" s="189"/>
      <c r="K49" s="192"/>
      <c r="L49" s="26"/>
      <c r="M49" s="26"/>
    </row>
    <row r="50" spans="1:16" ht="22.2" thickTop="1" thickBot="1" x14ac:dyDescent="0.45">
      <c r="B50" s="190" t="s">
        <v>25</v>
      </c>
      <c r="C50" s="189" t="e">
        <f>'التعليم المسرع'!#REF!</f>
        <v>#REF!</v>
      </c>
      <c r="D50" s="189" t="e">
        <f>'التعليم المسرع'!#REF!</f>
        <v>#REF!</v>
      </c>
      <c r="E50" s="189" t="e">
        <f>'التعليم المسرع'!#REF!</f>
        <v>#REF!</v>
      </c>
      <c r="F50" s="189" t="e">
        <f>'التعليم المسرع'!#REF!</f>
        <v>#REF!</v>
      </c>
      <c r="G50" s="189" t="e">
        <f>'التعليم المسرع'!#REF!</f>
        <v>#REF!</v>
      </c>
      <c r="H50" s="189" t="e">
        <f>'التعليم المسرع'!#REF!</f>
        <v>#REF!</v>
      </c>
      <c r="I50" s="189" t="e">
        <f t="shared" ref="I50:J50" si="12">C50+E50+G50</f>
        <v>#REF!</v>
      </c>
      <c r="J50" s="189" t="e">
        <f t="shared" si="12"/>
        <v>#REF!</v>
      </c>
      <c r="K50" s="192" t="e">
        <f t="shared" ref="K50" si="13">SUM(I50:J50)</f>
        <v>#REF!</v>
      </c>
      <c r="L50" s="26"/>
      <c r="M50" s="26"/>
    </row>
    <row r="51" spans="1:16" ht="22.2" thickTop="1" thickBot="1" x14ac:dyDescent="0.45">
      <c r="B51" s="190"/>
      <c r="C51" s="189"/>
      <c r="D51" s="189"/>
      <c r="E51" s="189"/>
      <c r="F51" s="189"/>
      <c r="G51" s="189"/>
      <c r="H51" s="189"/>
      <c r="I51" s="189"/>
      <c r="J51" s="189"/>
      <c r="K51" s="192"/>
      <c r="L51" s="26"/>
      <c r="M51" s="26"/>
    </row>
    <row r="52" spans="1:16" ht="22.2" thickTop="1" thickBot="1" x14ac:dyDescent="0.45">
      <c r="B52" s="190" t="s">
        <v>26</v>
      </c>
      <c r="C52" s="189" t="e">
        <f>'التعليم المسرع'!#REF!</f>
        <v>#REF!</v>
      </c>
      <c r="D52" s="189" t="e">
        <f>'التعليم المسرع'!#REF!</f>
        <v>#REF!</v>
      </c>
      <c r="E52" s="189" t="e">
        <f>'التعليم المسرع'!#REF!</f>
        <v>#REF!</v>
      </c>
      <c r="F52" s="189" t="e">
        <f>'التعليم المسرع'!#REF!</f>
        <v>#REF!</v>
      </c>
      <c r="G52" s="189" t="e">
        <f>'التعليم المسرع'!#REF!</f>
        <v>#REF!</v>
      </c>
      <c r="H52" s="189" t="e">
        <f>'التعليم المسرع'!#REF!</f>
        <v>#REF!</v>
      </c>
      <c r="I52" s="189" t="e">
        <f t="shared" ref="I52:J52" si="14">C52+E52+G52</f>
        <v>#REF!</v>
      </c>
      <c r="J52" s="189" t="e">
        <f t="shared" si="14"/>
        <v>#REF!</v>
      </c>
      <c r="K52" s="192" t="e">
        <f t="shared" ref="K52" si="15">SUM(I52:J52)</f>
        <v>#REF!</v>
      </c>
      <c r="L52" s="26"/>
      <c r="M52" s="26"/>
      <c r="N52" s="26"/>
    </row>
    <row r="53" spans="1:16" ht="22.2" thickTop="1" thickBot="1" x14ac:dyDescent="0.45">
      <c r="B53" s="190"/>
      <c r="C53" s="189"/>
      <c r="D53" s="189"/>
      <c r="E53" s="189"/>
      <c r="F53" s="189"/>
      <c r="G53" s="189"/>
      <c r="H53" s="189"/>
      <c r="I53" s="189"/>
      <c r="J53" s="189"/>
      <c r="K53" s="192"/>
    </row>
    <row r="54" spans="1:16" ht="22.2" thickTop="1" thickBot="1" x14ac:dyDescent="0.45">
      <c r="B54" s="190" t="s">
        <v>27</v>
      </c>
      <c r="C54" s="189" t="e">
        <f>'التعليم المسرع'!#REF!</f>
        <v>#REF!</v>
      </c>
      <c r="D54" s="189" t="e">
        <f>'التعليم المسرع'!#REF!</f>
        <v>#REF!</v>
      </c>
      <c r="E54" s="189" t="e">
        <f>'التعليم المسرع'!#REF!</f>
        <v>#REF!</v>
      </c>
      <c r="F54" s="189" t="e">
        <f>'التعليم المسرع'!#REF!</f>
        <v>#REF!</v>
      </c>
      <c r="G54" s="189" t="e">
        <f>'التعليم المسرع'!#REF!</f>
        <v>#REF!</v>
      </c>
      <c r="H54" s="189" t="e">
        <f>'التعليم المسرع'!#REF!</f>
        <v>#REF!</v>
      </c>
      <c r="I54" s="189" t="e">
        <f t="shared" ref="I54:J54" si="16">C54+E54+G54</f>
        <v>#REF!</v>
      </c>
      <c r="J54" s="189" t="e">
        <f t="shared" si="16"/>
        <v>#REF!</v>
      </c>
      <c r="K54" s="192" t="e">
        <f t="shared" ref="K54" si="17">SUM(I54:J54)</f>
        <v>#REF!</v>
      </c>
    </row>
    <row r="55" spans="1:16" ht="22.2" thickTop="1" thickBot="1" x14ac:dyDescent="0.45">
      <c r="B55" s="190"/>
      <c r="C55" s="189"/>
      <c r="D55" s="189"/>
      <c r="E55" s="189"/>
      <c r="F55" s="189"/>
      <c r="G55" s="189"/>
      <c r="H55" s="189"/>
      <c r="I55" s="189"/>
      <c r="J55" s="189"/>
      <c r="K55" s="192"/>
    </row>
    <row r="56" spans="1:16" ht="22.2" thickTop="1" thickBot="1" x14ac:dyDescent="0.45">
      <c r="B56" s="190" t="s">
        <v>15</v>
      </c>
      <c r="C56" s="189" t="e">
        <f t="shared" ref="C56:H56" si="18">C42+C44+C46+C48+C50+C52+C54</f>
        <v>#REF!</v>
      </c>
      <c r="D56" s="189" t="e">
        <f t="shared" si="18"/>
        <v>#REF!</v>
      </c>
      <c r="E56" s="189" t="e">
        <f t="shared" si="18"/>
        <v>#REF!</v>
      </c>
      <c r="F56" s="189" t="e">
        <f t="shared" si="18"/>
        <v>#REF!</v>
      </c>
      <c r="G56" s="189" t="e">
        <f t="shared" si="18"/>
        <v>#REF!</v>
      </c>
      <c r="H56" s="189" t="e">
        <f t="shared" si="18"/>
        <v>#REF!</v>
      </c>
      <c r="I56" s="189" t="e">
        <f>C56+E56+G56</f>
        <v>#REF!</v>
      </c>
      <c r="J56" s="189" t="e">
        <f t="shared" ref="J56" si="19">D56+F56+H56</f>
        <v>#REF!</v>
      </c>
      <c r="K56" s="192" t="e">
        <f t="shared" ref="K56" si="20">SUM(I56:J56)</f>
        <v>#REF!</v>
      </c>
    </row>
    <row r="57" spans="1:16" ht="22.2" thickTop="1" thickBot="1" x14ac:dyDescent="0.45">
      <c r="B57" s="193"/>
      <c r="C57" s="191"/>
      <c r="D57" s="191"/>
      <c r="E57" s="191"/>
      <c r="F57" s="191"/>
      <c r="G57" s="191"/>
      <c r="H57" s="191"/>
      <c r="I57" s="191"/>
      <c r="J57" s="191"/>
      <c r="K57" s="208"/>
    </row>
    <row r="58" spans="1:16" ht="22.2" thickTop="1" thickBot="1" x14ac:dyDescent="0.45"/>
    <row r="59" spans="1:16" ht="39" customHeight="1" thickTop="1" thickBot="1" x14ac:dyDescent="0.45">
      <c r="A59" s="194"/>
      <c r="B59" s="206" t="s">
        <v>267</v>
      </c>
      <c r="C59" s="206"/>
      <c r="D59" s="206"/>
      <c r="E59" s="206" t="s">
        <v>272</v>
      </c>
      <c r="F59" s="206"/>
      <c r="G59" s="206"/>
      <c r="H59" s="195" t="s">
        <v>273</v>
      </c>
      <c r="I59" s="195"/>
      <c r="J59" s="195"/>
      <c r="K59" s="195"/>
      <c r="L59" s="195"/>
      <c r="M59" s="195"/>
      <c r="N59" s="195" t="s">
        <v>15</v>
      </c>
      <c r="O59" s="195"/>
      <c r="P59" s="196"/>
    </row>
    <row r="60" spans="1:16" ht="30" customHeight="1" thickTop="1" thickBot="1" x14ac:dyDescent="0.45">
      <c r="A60" s="190"/>
      <c r="B60" s="207"/>
      <c r="C60" s="207"/>
      <c r="D60" s="207"/>
      <c r="E60" s="207"/>
      <c r="F60" s="207"/>
      <c r="G60" s="207"/>
      <c r="H60" s="189" t="s">
        <v>185</v>
      </c>
      <c r="I60" s="189"/>
      <c r="J60" s="189" t="s">
        <v>186</v>
      </c>
      <c r="K60" s="189"/>
      <c r="L60" s="189" t="s">
        <v>187</v>
      </c>
      <c r="M60" s="189"/>
      <c r="N60" s="189"/>
      <c r="O60" s="189"/>
      <c r="P60" s="192"/>
    </row>
    <row r="61" spans="1:16" ht="22.2" thickTop="1" thickBot="1" x14ac:dyDescent="0.45">
      <c r="A61" s="190"/>
      <c r="B61" s="189" t="s">
        <v>10</v>
      </c>
      <c r="C61" s="189" t="s">
        <v>11</v>
      </c>
      <c r="D61" s="189" t="s">
        <v>15</v>
      </c>
      <c r="E61" s="189" t="s">
        <v>10</v>
      </c>
      <c r="F61" s="189" t="s">
        <v>11</v>
      </c>
      <c r="G61" s="189" t="s">
        <v>15</v>
      </c>
      <c r="H61" s="189" t="s">
        <v>10</v>
      </c>
      <c r="I61" s="189" t="s">
        <v>11</v>
      </c>
      <c r="J61" s="189" t="s">
        <v>10</v>
      </c>
      <c r="K61" s="189" t="s">
        <v>11</v>
      </c>
      <c r="L61" s="189" t="s">
        <v>10</v>
      </c>
      <c r="M61" s="189" t="s">
        <v>11</v>
      </c>
      <c r="N61" s="189" t="s">
        <v>10</v>
      </c>
      <c r="O61" s="189" t="s">
        <v>11</v>
      </c>
      <c r="P61" s="192" t="s">
        <v>15</v>
      </c>
    </row>
    <row r="62" spans="1:16" ht="22.2" thickTop="1" thickBot="1" x14ac:dyDescent="0.45">
      <c r="A62" s="190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92"/>
    </row>
    <row r="63" spans="1:16" ht="22.2" thickTop="1" thickBot="1" x14ac:dyDescent="0.45">
      <c r="A63" s="190" t="s">
        <v>17</v>
      </c>
      <c r="B63" s="189" t="e">
        <f>'التعليم المسرع'!#REF!</f>
        <v>#REF!</v>
      </c>
      <c r="C63" s="189" t="e">
        <f>'التعليم المسرع'!#REF!</f>
        <v>#REF!</v>
      </c>
      <c r="D63" s="232" t="e">
        <f>C63+B63</f>
        <v>#REF!</v>
      </c>
      <c r="E63" s="189" t="e">
        <f>'التعليم المسرع'!#REF!</f>
        <v>#REF!</v>
      </c>
      <c r="F63" s="189" t="e">
        <f>'التعليم المسرع'!#REF!</f>
        <v>#REF!</v>
      </c>
      <c r="G63" s="232" t="e">
        <f>F63+E63</f>
        <v>#REF!</v>
      </c>
      <c r="H63" s="189" t="e">
        <f>'التعليم المسرع'!#REF!</f>
        <v>#REF!</v>
      </c>
      <c r="I63" s="189" t="e">
        <f>'التعليم المسرع'!#REF!</f>
        <v>#REF!</v>
      </c>
      <c r="J63" s="189" t="e">
        <f>'التعليم المسرع'!#REF!</f>
        <v>#REF!</v>
      </c>
      <c r="K63" s="189" t="e">
        <f>'التعليم المسرع'!#REF!</f>
        <v>#REF!</v>
      </c>
      <c r="L63" s="189" t="e">
        <f>'التعليم المسرع'!#REF!</f>
        <v>#REF!</v>
      </c>
      <c r="M63" s="189" t="e">
        <f>'التعليم المسرع'!#REF!</f>
        <v>#REF!</v>
      </c>
      <c r="N63" s="189" t="e">
        <f>L63+J63+H63</f>
        <v>#REF!</v>
      </c>
      <c r="O63" s="189" t="e">
        <f>M63+K63+I63</f>
        <v>#REF!</v>
      </c>
      <c r="P63" s="192" t="e">
        <f>O63+N63</f>
        <v>#REF!</v>
      </c>
    </row>
    <row r="64" spans="1:16" ht="22.2" thickTop="1" thickBot="1" x14ac:dyDescent="0.45">
      <c r="A64" s="190"/>
      <c r="B64" s="189"/>
      <c r="C64" s="189"/>
      <c r="D64" s="232"/>
      <c r="E64" s="189"/>
      <c r="F64" s="189"/>
      <c r="G64" s="232"/>
      <c r="H64" s="189"/>
      <c r="I64" s="189"/>
      <c r="J64" s="189"/>
      <c r="K64" s="189"/>
      <c r="L64" s="189"/>
      <c r="M64" s="189"/>
      <c r="N64" s="189"/>
      <c r="O64" s="189"/>
      <c r="P64" s="192"/>
    </row>
    <row r="65" spans="1:16" ht="22.2" thickTop="1" thickBot="1" x14ac:dyDescent="0.45">
      <c r="A65" s="190" t="s">
        <v>18</v>
      </c>
      <c r="B65" s="189" t="e">
        <f>'التعليم المسرع'!#REF!</f>
        <v>#REF!</v>
      </c>
      <c r="C65" s="189" t="e">
        <f>'التعليم المسرع'!#REF!</f>
        <v>#REF!</v>
      </c>
      <c r="D65" s="232" t="e">
        <f t="shared" ref="D65" si="21">C65+B65</f>
        <v>#REF!</v>
      </c>
      <c r="E65" s="189" t="e">
        <f>'التعليم المسرع'!#REF!</f>
        <v>#REF!</v>
      </c>
      <c r="F65" s="189" t="e">
        <f>'التعليم المسرع'!#REF!</f>
        <v>#REF!</v>
      </c>
      <c r="G65" s="232" t="e">
        <f t="shared" ref="G65" si="22">F65+E65</f>
        <v>#REF!</v>
      </c>
      <c r="H65" s="189" t="e">
        <f>'التعليم المسرع'!#REF!</f>
        <v>#REF!</v>
      </c>
      <c r="I65" s="189" t="e">
        <f>'التعليم المسرع'!#REF!</f>
        <v>#REF!</v>
      </c>
      <c r="J65" s="189" t="e">
        <f>'التعليم المسرع'!#REF!</f>
        <v>#REF!</v>
      </c>
      <c r="K65" s="189" t="e">
        <f>'التعليم المسرع'!#REF!</f>
        <v>#REF!</v>
      </c>
      <c r="L65" s="189" t="e">
        <f>'التعليم المسرع'!#REF!</f>
        <v>#REF!</v>
      </c>
      <c r="M65" s="189" t="e">
        <f>'التعليم المسرع'!#REF!</f>
        <v>#REF!</v>
      </c>
      <c r="N65" s="189" t="e">
        <f t="shared" ref="N65" si="23">L65+J65+H65</f>
        <v>#REF!</v>
      </c>
      <c r="O65" s="189" t="e">
        <f t="shared" ref="O65" si="24">M65+K65+I65</f>
        <v>#REF!</v>
      </c>
      <c r="P65" s="192" t="e">
        <f t="shared" ref="P65" si="25">O65+N65</f>
        <v>#REF!</v>
      </c>
    </row>
    <row r="66" spans="1:16" ht="22.2" thickTop="1" thickBot="1" x14ac:dyDescent="0.45">
      <c r="A66" s="190"/>
      <c r="B66" s="189"/>
      <c r="C66" s="189"/>
      <c r="D66" s="232"/>
      <c r="E66" s="189"/>
      <c r="F66" s="189"/>
      <c r="G66" s="232"/>
      <c r="H66" s="189"/>
      <c r="I66" s="189"/>
      <c r="J66" s="189"/>
      <c r="K66" s="189"/>
      <c r="L66" s="189"/>
      <c r="M66" s="189"/>
      <c r="N66" s="189"/>
      <c r="O66" s="189"/>
      <c r="P66" s="192"/>
    </row>
    <row r="67" spans="1:16" ht="22.2" thickTop="1" thickBot="1" x14ac:dyDescent="0.45">
      <c r="A67" s="190" t="s">
        <v>19</v>
      </c>
      <c r="B67" s="189" t="e">
        <f>'التعليم المسرع'!#REF!</f>
        <v>#REF!</v>
      </c>
      <c r="C67" s="189" t="e">
        <f>'التعليم المسرع'!#REF!</f>
        <v>#REF!</v>
      </c>
      <c r="D67" s="232" t="e">
        <f t="shared" ref="D67" si="26">C67+B67</f>
        <v>#REF!</v>
      </c>
      <c r="E67" s="189" t="e">
        <f>'التعليم المسرع'!#REF!</f>
        <v>#REF!</v>
      </c>
      <c r="F67" s="189" t="e">
        <f>'التعليم المسرع'!#REF!</f>
        <v>#REF!</v>
      </c>
      <c r="G67" s="232" t="e">
        <f t="shared" ref="G67" si="27">F67+E67</f>
        <v>#REF!</v>
      </c>
      <c r="H67" s="189" t="e">
        <f>'التعليم المسرع'!#REF!</f>
        <v>#REF!</v>
      </c>
      <c r="I67" s="189" t="e">
        <f>'التعليم المسرع'!#REF!</f>
        <v>#REF!</v>
      </c>
      <c r="J67" s="189" t="e">
        <f>'التعليم المسرع'!#REF!</f>
        <v>#REF!</v>
      </c>
      <c r="K67" s="189" t="e">
        <f>'التعليم المسرع'!#REF!</f>
        <v>#REF!</v>
      </c>
      <c r="L67" s="189" t="e">
        <f>'التعليم المسرع'!#REF!</f>
        <v>#REF!</v>
      </c>
      <c r="M67" s="189" t="e">
        <f>'التعليم المسرع'!#REF!</f>
        <v>#REF!</v>
      </c>
      <c r="N67" s="189" t="e">
        <f t="shared" ref="N67" si="28">L67+J67+H67</f>
        <v>#REF!</v>
      </c>
      <c r="O67" s="189" t="e">
        <f t="shared" ref="O67" si="29">M67+K67+I67</f>
        <v>#REF!</v>
      </c>
      <c r="P67" s="192" t="e">
        <f t="shared" ref="P67" si="30">O67+N67</f>
        <v>#REF!</v>
      </c>
    </row>
    <row r="68" spans="1:16" ht="22.2" thickTop="1" thickBot="1" x14ac:dyDescent="0.45">
      <c r="A68" s="193"/>
      <c r="B68" s="191"/>
      <c r="C68" s="191"/>
      <c r="D68" s="233"/>
      <c r="E68" s="191"/>
      <c r="F68" s="191"/>
      <c r="G68" s="233"/>
      <c r="H68" s="191"/>
      <c r="I68" s="191"/>
      <c r="J68" s="191"/>
      <c r="K68" s="191"/>
      <c r="L68" s="191"/>
      <c r="M68" s="191"/>
      <c r="N68" s="191"/>
      <c r="O68" s="191"/>
      <c r="P68" s="208"/>
    </row>
    <row r="69" spans="1:16" ht="21.6" thickTop="1" x14ac:dyDescent="0.4"/>
  </sheetData>
  <mergeCells count="247">
    <mergeCell ref="G63:G64"/>
    <mergeCell ref="H63:H64"/>
    <mergeCell ref="I63:I64"/>
    <mergeCell ref="J63:J64"/>
    <mergeCell ref="K63:K64"/>
    <mergeCell ref="G65:G66"/>
    <mergeCell ref="H65:H66"/>
    <mergeCell ref="I65:I66"/>
    <mergeCell ref="J65:J66"/>
    <mergeCell ref="K65:K66"/>
    <mergeCell ref="N67:N68"/>
    <mergeCell ref="O67:O68"/>
    <mergeCell ref="P63:P64"/>
    <mergeCell ref="E63:E64"/>
    <mergeCell ref="F63:F64"/>
    <mergeCell ref="E65:E66"/>
    <mergeCell ref="F65:F66"/>
    <mergeCell ref="E67:E68"/>
    <mergeCell ref="F67:F68"/>
    <mergeCell ref="N65:N66"/>
    <mergeCell ref="O65:O66"/>
    <mergeCell ref="P65:P66"/>
    <mergeCell ref="N63:N64"/>
    <mergeCell ref="O63:O64"/>
    <mergeCell ref="L63:L64"/>
    <mergeCell ref="M63:M64"/>
    <mergeCell ref="L65:L66"/>
    <mergeCell ref="M65:M66"/>
    <mergeCell ref="L67:L68"/>
    <mergeCell ref="G67:G68"/>
    <mergeCell ref="H67:H68"/>
    <mergeCell ref="I67:I68"/>
    <mergeCell ref="J67:J68"/>
    <mergeCell ref="M67:M68"/>
    <mergeCell ref="E61:E62"/>
    <mergeCell ref="F61:F62"/>
    <mergeCell ref="L61:L62"/>
    <mergeCell ref="M61:M62"/>
    <mergeCell ref="N61:N62"/>
    <mergeCell ref="O61:O62"/>
    <mergeCell ref="P61:P62"/>
    <mergeCell ref="B59:D60"/>
    <mergeCell ref="E59:G60"/>
    <mergeCell ref="H59:M59"/>
    <mergeCell ref="H60:I60"/>
    <mergeCell ref="J60:K60"/>
    <mergeCell ref="L60:M60"/>
    <mergeCell ref="D61:D62"/>
    <mergeCell ref="K61:K62"/>
    <mergeCell ref="G61:G62"/>
    <mergeCell ref="H61:H62"/>
    <mergeCell ref="I61:I62"/>
    <mergeCell ref="J61:J62"/>
    <mergeCell ref="K67:K68"/>
    <mergeCell ref="P67:P68"/>
    <mergeCell ref="C63:C64"/>
    <mergeCell ref="C65:C66"/>
    <mergeCell ref="C67:C68"/>
    <mergeCell ref="B8:D8"/>
    <mergeCell ref="G8:I8"/>
    <mergeCell ref="L8:N8"/>
    <mergeCell ref="B11:C11"/>
    <mergeCell ref="F11:H11"/>
    <mergeCell ref="K11:M11"/>
    <mergeCell ref="B18:B19"/>
    <mergeCell ref="C18:C19"/>
    <mergeCell ref="D18:D19"/>
    <mergeCell ref="E18:E19"/>
    <mergeCell ref="F18:G19"/>
    <mergeCell ref="B63:B64"/>
    <mergeCell ref="B20:B21"/>
    <mergeCell ref="C20:C21"/>
    <mergeCell ref="D20:D21"/>
    <mergeCell ref="E20:E21"/>
    <mergeCell ref="F20:G21"/>
    <mergeCell ref="D63:D64"/>
    <mergeCell ref="N59:P60"/>
    <mergeCell ref="A1:C1"/>
    <mergeCell ref="A2:D2"/>
    <mergeCell ref="A3:O3"/>
    <mergeCell ref="B6:D6"/>
    <mergeCell ref="G6:I6"/>
    <mergeCell ref="L6:N6"/>
    <mergeCell ref="M2:O2"/>
    <mergeCell ref="B16:G16"/>
    <mergeCell ref="F17:G17"/>
    <mergeCell ref="D65:D66"/>
    <mergeCell ref="B67:B68"/>
    <mergeCell ref="F24:G24"/>
    <mergeCell ref="A36:C36"/>
    <mergeCell ref="A37:D37"/>
    <mergeCell ref="B40:B41"/>
    <mergeCell ref="C40:D40"/>
    <mergeCell ref="E40:F40"/>
    <mergeCell ref="G40:H40"/>
    <mergeCell ref="H27:H28"/>
    <mergeCell ref="H31:H32"/>
    <mergeCell ref="D67:D68"/>
    <mergeCell ref="A63:A64"/>
    <mergeCell ref="A65:A66"/>
    <mergeCell ref="A67:A68"/>
    <mergeCell ref="A59:A62"/>
    <mergeCell ref="F42:F43"/>
    <mergeCell ref="G42:G43"/>
    <mergeCell ref="B31:B32"/>
    <mergeCell ref="C31:C32"/>
    <mergeCell ref="D31:D32"/>
    <mergeCell ref="B65:B66"/>
    <mergeCell ref="B61:B62"/>
    <mergeCell ref="C61:C62"/>
    <mergeCell ref="I40:K40"/>
    <mergeCell ref="K42:K43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K44:K45"/>
    <mergeCell ref="B42:B43"/>
    <mergeCell ref="C42:C43"/>
    <mergeCell ref="D42:D43"/>
    <mergeCell ref="E42:E43"/>
    <mergeCell ref="H42:H43"/>
    <mergeCell ref="I42:I43"/>
    <mergeCell ref="J42:J43"/>
    <mergeCell ref="K46:K47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K48:K49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I54:I55"/>
    <mergeCell ref="J54:J55"/>
    <mergeCell ref="K50:K51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K56:K57"/>
    <mergeCell ref="I16:M16"/>
    <mergeCell ref="I17:I18"/>
    <mergeCell ref="J17:J18"/>
    <mergeCell ref="K17:K18"/>
    <mergeCell ref="L17:L18"/>
    <mergeCell ref="M17:M18"/>
    <mergeCell ref="K54:K55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B54:B55"/>
    <mergeCell ref="C54:C55"/>
    <mergeCell ref="D54:D55"/>
    <mergeCell ref="E54:E55"/>
    <mergeCell ref="F54:F55"/>
    <mergeCell ref="G54:G55"/>
    <mergeCell ref="H54:H55"/>
    <mergeCell ref="I23:I24"/>
    <mergeCell ref="J23:J24"/>
    <mergeCell ref="K23:K24"/>
    <mergeCell ref="L23:L24"/>
    <mergeCell ref="M23:M24"/>
    <mergeCell ref="B26:K26"/>
    <mergeCell ref="I19:I20"/>
    <mergeCell ref="J19:J20"/>
    <mergeCell ref="K19:K20"/>
    <mergeCell ref="L19:L20"/>
    <mergeCell ref="M19:M20"/>
    <mergeCell ref="I21:I22"/>
    <mergeCell ref="J21:J22"/>
    <mergeCell ref="K21:K22"/>
    <mergeCell ref="L21:L22"/>
    <mergeCell ref="M21:M22"/>
    <mergeCell ref="B22:B23"/>
    <mergeCell ref="C22:C23"/>
    <mergeCell ref="D22:D23"/>
    <mergeCell ref="E22:E23"/>
    <mergeCell ref="F22:G23"/>
    <mergeCell ref="I27:I28"/>
    <mergeCell ref="J27:K28"/>
    <mergeCell ref="B29:B30"/>
    <mergeCell ref="C29:C30"/>
    <mergeCell ref="D29:D30"/>
    <mergeCell ref="E29:E30"/>
    <mergeCell ref="F29:F30"/>
    <mergeCell ref="G29:G30"/>
    <mergeCell ref="H29:H30"/>
    <mergeCell ref="B27:B28"/>
    <mergeCell ref="C27:C28"/>
    <mergeCell ref="D27:D28"/>
    <mergeCell ref="E27:E28"/>
    <mergeCell ref="F27:F28"/>
    <mergeCell ref="G27:G28"/>
    <mergeCell ref="I29:I30"/>
    <mergeCell ref="J29:K30"/>
    <mergeCell ref="I31:I32"/>
    <mergeCell ref="J31:K32"/>
    <mergeCell ref="B33:B34"/>
    <mergeCell ref="C33:C34"/>
    <mergeCell ref="D33:D34"/>
    <mergeCell ref="E33:E34"/>
    <mergeCell ref="F33:F34"/>
    <mergeCell ref="G33:G34"/>
    <mergeCell ref="H33:H34"/>
    <mergeCell ref="I33:I34"/>
    <mergeCell ref="J33:K34"/>
    <mergeCell ref="E31:E32"/>
    <mergeCell ref="F31:F32"/>
    <mergeCell ref="G31:G32"/>
  </mergeCells>
  <printOptions horizontalCentered="1" verticalCentered="1"/>
  <pageMargins left="0.23622047244094491" right="0.23622047244094491" top="0.19685039370078741" bottom="0.19685039370078741" header="0.19685039370078741" footer="0.19685039370078741"/>
  <pageSetup paperSize="9" scale="65" orientation="landscape" horizontalDpi="300" verticalDpi="300" r:id="rId1"/>
  <rowBreaks count="1" manualBreakCount="1">
    <brk id="3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71"/>
  <sheetViews>
    <sheetView rightToLeft="1" view="pageBreakPreview" topLeftCell="A15" zoomScale="60" workbookViewId="0">
      <selection activeCell="E59" sqref="E59"/>
    </sheetView>
  </sheetViews>
  <sheetFormatPr defaultColWidth="9" defaultRowHeight="21" x14ac:dyDescent="0.4"/>
  <cols>
    <col min="1" max="1" width="14.69921875" style="9" customWidth="1"/>
    <col min="2" max="2" width="14.19921875" style="9" customWidth="1"/>
    <col min="3" max="3" width="10.796875" style="9" customWidth="1"/>
    <col min="4" max="5" width="9" style="9"/>
    <col min="6" max="6" width="11.296875" style="9" customWidth="1"/>
    <col min="7" max="8" width="9" style="9"/>
    <col min="9" max="9" width="11.69921875" style="9" customWidth="1"/>
    <col min="10" max="10" width="8.8984375" style="9" customWidth="1"/>
    <col min="11" max="11" width="10.296875" style="9" customWidth="1"/>
    <col min="12" max="16384" width="9" style="9"/>
  </cols>
  <sheetData>
    <row r="1" spans="1:15" x14ac:dyDescent="0.4">
      <c r="A1" s="181" t="s">
        <v>55</v>
      </c>
      <c r="B1" s="181"/>
      <c r="C1" s="181"/>
    </row>
    <row r="2" spans="1:15" x14ac:dyDescent="0.4">
      <c r="A2" s="181" t="s">
        <v>56</v>
      </c>
      <c r="B2" s="181"/>
      <c r="C2" s="181"/>
      <c r="D2" s="181"/>
      <c r="M2" s="181"/>
      <c r="N2" s="181"/>
      <c r="O2" s="181"/>
    </row>
    <row r="3" spans="1:15" x14ac:dyDescent="0.4">
      <c r="A3" s="181" t="s">
        <v>162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</row>
    <row r="4" spans="1:15" x14ac:dyDescent="0.4">
      <c r="E4" s="9" t="s">
        <v>266</v>
      </c>
    </row>
    <row r="5" spans="1:15" ht="21.6" thickBot="1" x14ac:dyDescent="0.45"/>
    <row r="6" spans="1:15" ht="22.2" thickTop="1" thickBot="1" x14ac:dyDescent="0.45">
      <c r="A6" s="9" t="s">
        <v>1</v>
      </c>
      <c r="B6" s="209" t="s">
        <v>166</v>
      </c>
      <c r="C6" s="211"/>
      <c r="D6" s="210"/>
      <c r="F6" s="9" t="s">
        <v>2</v>
      </c>
      <c r="G6" s="209" t="s">
        <v>48</v>
      </c>
      <c r="H6" s="211"/>
      <c r="I6" s="210"/>
      <c r="K6" s="9" t="s">
        <v>0</v>
      </c>
      <c r="L6" s="209" t="s">
        <v>145</v>
      </c>
      <c r="M6" s="211"/>
      <c r="N6" s="210"/>
    </row>
    <row r="7" spans="1:15" ht="22.2" thickTop="1" thickBot="1" x14ac:dyDescent="0.45"/>
    <row r="8" spans="1:15" ht="22.2" thickTop="1" thickBot="1" x14ac:dyDescent="0.45">
      <c r="A8" s="9" t="s">
        <v>43</v>
      </c>
      <c r="B8" s="209" t="e">
        <f>'التعليم المسرع'!#REF!+'التعليم المسرع'!#REF!</f>
        <v>#REF!</v>
      </c>
      <c r="C8" s="211"/>
      <c r="D8" s="210"/>
      <c r="F8" s="9" t="s">
        <v>3</v>
      </c>
      <c r="G8" s="209" t="e">
        <f>'التعليم المسرع'!#REF!</f>
        <v>#REF!</v>
      </c>
      <c r="H8" s="211"/>
      <c r="I8" s="210"/>
      <c r="K8" s="9" t="s">
        <v>4</v>
      </c>
      <c r="L8" s="209" t="e">
        <f>'التعليم المسرع'!#REF!</f>
        <v>#REF!</v>
      </c>
      <c r="M8" s="211"/>
      <c r="N8" s="210"/>
    </row>
    <row r="9" spans="1:15" ht="21.6" thickTop="1" x14ac:dyDescent="0.4"/>
    <row r="10" spans="1:15" ht="21.6" thickBot="1" x14ac:dyDescent="0.45"/>
    <row r="11" spans="1:15" ht="22.2" thickTop="1" thickBot="1" x14ac:dyDescent="0.45">
      <c r="B11" s="209" t="s">
        <v>5</v>
      </c>
      <c r="C11" s="210"/>
      <c r="F11" s="209" t="s">
        <v>6</v>
      </c>
      <c r="G11" s="211"/>
      <c r="H11" s="210"/>
      <c r="K11" s="209" t="s">
        <v>7</v>
      </c>
      <c r="L11" s="211"/>
      <c r="M11" s="210"/>
    </row>
    <row r="12" spans="1:15" ht="22.2" thickTop="1" thickBot="1" x14ac:dyDescent="0.45">
      <c r="B12" s="10" t="s">
        <v>8</v>
      </c>
      <c r="C12" s="11" t="s">
        <v>9</v>
      </c>
      <c r="F12" s="12" t="s">
        <v>10</v>
      </c>
      <c r="G12" s="13" t="s">
        <v>11</v>
      </c>
      <c r="H12" s="14" t="s">
        <v>12</v>
      </c>
      <c r="K12" s="10" t="s">
        <v>13</v>
      </c>
      <c r="L12" s="15" t="s">
        <v>14</v>
      </c>
      <c r="M12" s="11" t="s">
        <v>15</v>
      </c>
    </row>
    <row r="13" spans="1:15" ht="22.2" thickTop="1" thickBot="1" x14ac:dyDescent="0.45">
      <c r="B13" s="16" t="e">
        <f>'التعليم المسرع'!#REF!</f>
        <v>#REF!</v>
      </c>
      <c r="C13" s="17" t="e">
        <f>'التعليم المسرع'!#REF!</f>
        <v>#REF!</v>
      </c>
      <c r="F13" s="18" t="e">
        <f>'التعليم المسرع'!#REF!</f>
        <v>#REF!</v>
      </c>
      <c r="G13" s="19" t="e">
        <f>'التعليم المسرع'!#REF!</f>
        <v>#REF!</v>
      </c>
      <c r="H13" s="20" t="e">
        <f>'التعليم المسرع'!#REF!</f>
        <v>#REF!</v>
      </c>
      <c r="K13" s="16" t="e">
        <f>'التعليم المسرع'!#REF!</f>
        <v>#REF!</v>
      </c>
      <c r="L13" s="21" t="e">
        <f>'التعليم المسرع'!#REF!</f>
        <v>#REF!</v>
      </c>
      <c r="M13" s="17" t="e">
        <f>SUM(K13:L13)</f>
        <v>#REF!</v>
      </c>
    </row>
    <row r="14" spans="1:15" ht="21.6" thickTop="1" x14ac:dyDescent="0.4"/>
    <row r="15" spans="1:15" ht="21.6" thickBot="1" x14ac:dyDescent="0.45"/>
    <row r="16" spans="1:15" s="31" customFormat="1" ht="33" customHeight="1" thickTop="1" thickBot="1" x14ac:dyDescent="0.3">
      <c r="B16" s="165" t="s">
        <v>20</v>
      </c>
      <c r="C16" s="169"/>
      <c r="D16" s="169"/>
      <c r="E16" s="169"/>
      <c r="F16" s="169"/>
      <c r="G16" s="166"/>
      <c r="J16" s="165" t="s">
        <v>30</v>
      </c>
      <c r="K16" s="169"/>
      <c r="L16" s="169"/>
      <c r="M16" s="169"/>
      <c r="N16" s="166"/>
    </row>
    <row r="17" spans="2:14" ht="22.2" thickTop="1" thickBot="1" x14ac:dyDescent="0.45">
      <c r="B17" s="22" t="s">
        <v>16</v>
      </c>
      <c r="C17" s="23" t="s">
        <v>10</v>
      </c>
      <c r="D17" s="23" t="s">
        <v>11</v>
      </c>
      <c r="E17" s="23" t="s">
        <v>12</v>
      </c>
      <c r="F17" s="167" t="s">
        <v>15</v>
      </c>
      <c r="G17" s="168"/>
      <c r="J17" s="194" t="s">
        <v>31</v>
      </c>
      <c r="K17" s="195" t="s">
        <v>44</v>
      </c>
      <c r="L17" s="195" t="s">
        <v>45</v>
      </c>
      <c r="M17" s="195" t="s">
        <v>46</v>
      </c>
      <c r="N17" s="196" t="s">
        <v>47</v>
      </c>
    </row>
    <row r="18" spans="2:14" ht="22.2" thickTop="1" thickBot="1" x14ac:dyDescent="0.45">
      <c r="B18" s="170" t="s">
        <v>17</v>
      </c>
      <c r="C18" s="170" t="e">
        <f>'التعليم المسرع'!#REF!</f>
        <v>#REF!</v>
      </c>
      <c r="D18" s="170" t="e">
        <f>'التعليم المسرع'!#REF!</f>
        <v>#REF!</v>
      </c>
      <c r="E18" s="170" t="e">
        <f>'التعليم المسرع'!#REF!</f>
        <v>#REF!</v>
      </c>
      <c r="F18" s="172" t="e">
        <f>C18+D18+E18</f>
        <v>#REF!</v>
      </c>
      <c r="G18" s="173"/>
      <c r="J18" s="190"/>
      <c r="K18" s="189"/>
      <c r="L18" s="189"/>
      <c r="M18" s="189"/>
      <c r="N18" s="192"/>
    </row>
    <row r="19" spans="2:14" ht="22.2" thickTop="1" thickBot="1" x14ac:dyDescent="0.45">
      <c r="B19" s="171"/>
      <c r="C19" s="171"/>
      <c r="D19" s="171"/>
      <c r="E19" s="171"/>
      <c r="F19" s="174"/>
      <c r="G19" s="175"/>
      <c r="J19" s="190" t="s">
        <v>13</v>
      </c>
      <c r="K19" s="189" t="e">
        <f>'التعليم المسرع'!#REF!</f>
        <v>#REF!</v>
      </c>
      <c r="L19" s="189" t="e">
        <f>'التعليم المسرع'!#REF!</f>
        <v>#REF!</v>
      </c>
      <c r="M19" s="189" t="e">
        <f>'التعليم المسرع'!#REF!</f>
        <v>#REF!</v>
      </c>
      <c r="N19" s="192" t="e">
        <f>SUM(K19:M19)</f>
        <v>#REF!</v>
      </c>
    </row>
    <row r="20" spans="2:14" ht="22.2" thickTop="1" thickBot="1" x14ac:dyDescent="0.45">
      <c r="B20" s="170" t="s">
        <v>18</v>
      </c>
      <c r="C20" s="170" t="e">
        <f>'التعليم المسرع'!#REF!</f>
        <v>#REF!</v>
      </c>
      <c r="D20" s="170" t="e">
        <f>'التعليم المسرع'!#REF!</f>
        <v>#REF!</v>
      </c>
      <c r="E20" s="170" t="e">
        <f>'التعليم المسرع'!#REF!</f>
        <v>#REF!</v>
      </c>
      <c r="F20" s="172" t="e">
        <f t="shared" ref="F20" si="0">C20+D20+E20</f>
        <v>#REF!</v>
      </c>
      <c r="G20" s="173"/>
      <c r="J20" s="190"/>
      <c r="K20" s="189"/>
      <c r="L20" s="189"/>
      <c r="M20" s="189"/>
      <c r="N20" s="192"/>
    </row>
    <row r="21" spans="2:14" ht="22.2" thickTop="1" thickBot="1" x14ac:dyDescent="0.45">
      <c r="B21" s="171"/>
      <c r="C21" s="171"/>
      <c r="D21" s="171"/>
      <c r="E21" s="171"/>
      <c r="F21" s="174"/>
      <c r="G21" s="175"/>
      <c r="J21" s="190" t="s">
        <v>14</v>
      </c>
      <c r="K21" s="189" t="e">
        <f>'التعليم المسرع'!#REF!</f>
        <v>#REF!</v>
      </c>
      <c r="L21" s="189" t="e">
        <f>'التعليم المسرع'!#REF!</f>
        <v>#REF!</v>
      </c>
      <c r="M21" s="189" t="e">
        <f>'التعليم المسرع'!#REF!</f>
        <v>#REF!</v>
      </c>
      <c r="N21" s="192" t="e">
        <f>SUM(K21:M21)</f>
        <v>#REF!</v>
      </c>
    </row>
    <row r="22" spans="2:14" ht="22.2" thickTop="1" thickBot="1" x14ac:dyDescent="0.45">
      <c r="B22" s="170" t="s">
        <v>19</v>
      </c>
      <c r="C22" s="170" t="e">
        <f>'التعليم المسرع'!#REF!</f>
        <v>#REF!</v>
      </c>
      <c r="D22" s="170" t="e">
        <f>'التعليم المسرع'!#REF!</f>
        <v>#REF!</v>
      </c>
      <c r="E22" s="170" t="e">
        <f>'التعليم المسرع'!#REF!</f>
        <v>#REF!</v>
      </c>
      <c r="F22" s="172" t="e">
        <f t="shared" ref="F22" si="1">C22+D22+E22</f>
        <v>#REF!</v>
      </c>
      <c r="G22" s="173"/>
      <c r="J22" s="190"/>
      <c r="K22" s="189"/>
      <c r="L22" s="189"/>
      <c r="M22" s="189"/>
      <c r="N22" s="192"/>
    </row>
    <row r="23" spans="2:14" ht="22.2" thickTop="1" thickBot="1" x14ac:dyDescent="0.45">
      <c r="B23" s="171"/>
      <c r="C23" s="171"/>
      <c r="D23" s="171"/>
      <c r="E23" s="171"/>
      <c r="F23" s="174"/>
      <c r="G23" s="175"/>
      <c r="J23" s="190" t="s">
        <v>15</v>
      </c>
      <c r="K23" s="189" t="e">
        <f>K19+K21</f>
        <v>#REF!</v>
      </c>
      <c r="L23" s="189" t="e">
        <f>L19+L21</f>
        <v>#REF!</v>
      </c>
      <c r="M23" s="189" t="e">
        <f t="shared" ref="M23:N23" si="2">M19+M21</f>
        <v>#REF!</v>
      </c>
      <c r="N23" s="192" t="e">
        <f t="shared" si="2"/>
        <v>#REF!</v>
      </c>
    </row>
    <row r="24" spans="2:14" ht="39.75" customHeight="1" thickTop="1" thickBot="1" x14ac:dyDescent="0.45">
      <c r="B24" s="24" t="s">
        <v>15</v>
      </c>
      <c r="C24" s="25" t="e">
        <f>SUM(C18:C23)</f>
        <v>#REF!</v>
      </c>
      <c r="D24" s="25" t="e">
        <f>SUM(D18:D23)</f>
        <v>#REF!</v>
      </c>
      <c r="E24" s="25" t="e">
        <f>SUM(E18:E23)</f>
        <v>#REF!</v>
      </c>
      <c r="F24" s="185" t="e">
        <f>C24+D24+E24</f>
        <v>#REF!</v>
      </c>
      <c r="G24" s="166"/>
      <c r="J24" s="193"/>
      <c r="K24" s="191"/>
      <c r="L24" s="191"/>
      <c r="M24" s="191"/>
      <c r="N24" s="208"/>
    </row>
    <row r="25" spans="2:14" ht="21.6" thickTop="1" x14ac:dyDescent="0.4"/>
    <row r="26" spans="2:14" ht="9" customHeight="1" thickBot="1" x14ac:dyDescent="0.45">
      <c r="B26" s="27"/>
      <c r="C26" s="27"/>
      <c r="D26" s="27"/>
      <c r="E26" s="27"/>
    </row>
    <row r="27" spans="2:14" ht="32.25" customHeight="1" thickTop="1" thickBot="1" x14ac:dyDescent="0.45">
      <c r="B27" s="165" t="s">
        <v>39</v>
      </c>
      <c r="C27" s="169"/>
      <c r="D27" s="169"/>
      <c r="E27" s="169"/>
      <c r="F27" s="169"/>
      <c r="G27" s="169"/>
      <c r="H27" s="169"/>
      <c r="I27" s="169"/>
      <c r="J27" s="169"/>
      <c r="K27" s="166"/>
      <c r="L27" s="26"/>
      <c r="M27" s="26"/>
    </row>
    <row r="28" spans="2:14" ht="51" customHeight="1" thickTop="1" x14ac:dyDescent="0.4">
      <c r="B28" s="186" t="s">
        <v>40</v>
      </c>
      <c r="C28" s="186" t="s">
        <v>32</v>
      </c>
      <c r="D28" s="186" t="s">
        <v>33</v>
      </c>
      <c r="E28" s="186" t="s">
        <v>34</v>
      </c>
      <c r="F28" s="186" t="s">
        <v>35</v>
      </c>
      <c r="G28" s="186" t="s">
        <v>36</v>
      </c>
      <c r="H28" s="186" t="s">
        <v>37</v>
      </c>
      <c r="I28" s="186" t="s">
        <v>38</v>
      </c>
      <c r="J28" s="204" t="s">
        <v>15</v>
      </c>
      <c r="K28" s="247"/>
      <c r="L28" s="26"/>
      <c r="M28" s="26"/>
    </row>
    <row r="29" spans="2:14" ht="46.5" customHeight="1" thickBot="1" x14ac:dyDescent="0.45">
      <c r="B29" s="187"/>
      <c r="C29" s="187"/>
      <c r="D29" s="187"/>
      <c r="E29" s="187"/>
      <c r="F29" s="187"/>
      <c r="G29" s="187"/>
      <c r="H29" s="187"/>
      <c r="I29" s="187"/>
      <c r="J29" s="201"/>
      <c r="K29" s="246"/>
      <c r="L29" s="26"/>
      <c r="M29" s="26"/>
    </row>
    <row r="30" spans="2:14" ht="21.6" thickTop="1" x14ac:dyDescent="0.4">
      <c r="B30" s="170" t="s">
        <v>13</v>
      </c>
      <c r="C30" s="203" t="e">
        <f>'التعليم المسرع'!#REF!</f>
        <v>#REF!</v>
      </c>
      <c r="D30" s="203" t="e">
        <f>'التعليم المسرع'!#REF!</f>
        <v>#REF!</v>
      </c>
      <c r="E30" s="203" t="e">
        <f>'التعليم المسرع'!#REF!</f>
        <v>#REF!</v>
      </c>
      <c r="F30" s="203" t="e">
        <f>'التعليم المسرع'!#REF!</f>
        <v>#REF!</v>
      </c>
      <c r="G30" s="203" t="e">
        <f>'التعليم المسرع'!#REF!</f>
        <v>#REF!</v>
      </c>
      <c r="H30" s="203" t="e">
        <f>'التعليم المسرع'!#REF!</f>
        <v>#REF!</v>
      </c>
      <c r="I30" s="203" t="e">
        <f>'التعليم المسرع'!#REF!</f>
        <v>#REF!</v>
      </c>
      <c r="J30" s="199" t="e">
        <f>I30+H30+G30+F30+E30+D30+C30</f>
        <v>#REF!</v>
      </c>
      <c r="K30" s="245"/>
      <c r="L30" s="26"/>
      <c r="M30" s="26"/>
    </row>
    <row r="31" spans="2:14" ht="21.6" thickBot="1" x14ac:dyDescent="0.45">
      <c r="B31" s="171"/>
      <c r="C31" s="197"/>
      <c r="D31" s="197"/>
      <c r="E31" s="197"/>
      <c r="F31" s="197"/>
      <c r="G31" s="197"/>
      <c r="H31" s="197"/>
      <c r="I31" s="197"/>
      <c r="J31" s="201"/>
      <c r="K31" s="246"/>
      <c r="L31" s="26"/>
      <c r="M31" s="26"/>
    </row>
    <row r="32" spans="2:14" ht="21.6" thickTop="1" x14ac:dyDescent="0.4">
      <c r="B32" s="170" t="s">
        <v>14</v>
      </c>
      <c r="C32" s="203" t="e">
        <f>'التعليم المسرع'!#REF!</f>
        <v>#REF!</v>
      </c>
      <c r="D32" s="203" t="e">
        <f>'التعليم المسرع'!#REF!</f>
        <v>#REF!</v>
      </c>
      <c r="E32" s="203" t="e">
        <f>'التعليم المسرع'!#REF!</f>
        <v>#REF!</v>
      </c>
      <c r="F32" s="203" t="e">
        <f>'التعليم المسرع'!#REF!</f>
        <v>#REF!</v>
      </c>
      <c r="G32" s="203" t="e">
        <f>'التعليم المسرع'!#REF!</f>
        <v>#REF!</v>
      </c>
      <c r="H32" s="203" t="e">
        <f>'التعليم المسرع'!#REF!</f>
        <v>#REF!</v>
      </c>
      <c r="I32" s="203" t="e">
        <f>'التعليم المسرع'!#REF!</f>
        <v>#REF!</v>
      </c>
      <c r="J32" s="199" t="e">
        <f t="shared" ref="J32" si="3">I32+H32+G32+F32+E32+D32+C32</f>
        <v>#REF!</v>
      </c>
      <c r="K32" s="245"/>
      <c r="L32" s="26"/>
      <c r="M32" s="26"/>
    </row>
    <row r="33" spans="1:14" ht="21.6" thickBot="1" x14ac:dyDescent="0.45">
      <c r="B33" s="171"/>
      <c r="C33" s="197"/>
      <c r="D33" s="197"/>
      <c r="E33" s="197"/>
      <c r="F33" s="197"/>
      <c r="G33" s="197"/>
      <c r="H33" s="197"/>
      <c r="I33" s="197"/>
      <c r="J33" s="201"/>
      <c r="K33" s="246"/>
      <c r="L33" s="26"/>
      <c r="M33" s="26"/>
    </row>
    <row r="34" spans="1:14" ht="21.6" thickTop="1" x14ac:dyDescent="0.4">
      <c r="B34" s="170" t="s">
        <v>15</v>
      </c>
      <c r="C34" s="203" t="e">
        <f>C30+C32</f>
        <v>#REF!</v>
      </c>
      <c r="D34" s="203" t="e">
        <f t="shared" ref="D34:I34" si="4">D30+D32</f>
        <v>#REF!</v>
      </c>
      <c r="E34" s="203" t="e">
        <f t="shared" si="4"/>
        <v>#REF!</v>
      </c>
      <c r="F34" s="203" t="e">
        <f t="shared" si="4"/>
        <v>#REF!</v>
      </c>
      <c r="G34" s="203" t="e">
        <f t="shared" si="4"/>
        <v>#REF!</v>
      </c>
      <c r="H34" s="203" t="e">
        <f t="shared" si="4"/>
        <v>#REF!</v>
      </c>
      <c r="I34" s="203" t="e">
        <f t="shared" si="4"/>
        <v>#REF!</v>
      </c>
      <c r="J34" s="199" t="e">
        <f t="shared" ref="J34" si="5">I34+H34+G34+F34+E34+D34+C34</f>
        <v>#REF!</v>
      </c>
      <c r="K34" s="245"/>
      <c r="L34" s="26"/>
      <c r="M34" s="26"/>
    </row>
    <row r="35" spans="1:14" ht="21.6" thickBot="1" x14ac:dyDescent="0.45">
      <c r="B35" s="197"/>
      <c r="C35" s="197"/>
      <c r="D35" s="197"/>
      <c r="E35" s="197"/>
      <c r="F35" s="197"/>
      <c r="G35" s="197"/>
      <c r="H35" s="197"/>
      <c r="I35" s="197"/>
      <c r="J35" s="201"/>
      <c r="K35" s="246"/>
      <c r="L35" s="26"/>
      <c r="M35" s="26"/>
    </row>
    <row r="36" spans="1:14" ht="21.6" thickTop="1" x14ac:dyDescent="0.4"/>
    <row r="37" spans="1:14" x14ac:dyDescent="0.4">
      <c r="A37" s="181" t="s">
        <v>55</v>
      </c>
      <c r="B37" s="181"/>
      <c r="C37" s="181"/>
      <c r="J37" s="9" t="s">
        <v>164</v>
      </c>
    </row>
    <row r="38" spans="1:14" x14ac:dyDescent="0.4">
      <c r="A38" s="181" t="s">
        <v>56</v>
      </c>
      <c r="B38" s="181"/>
      <c r="C38" s="181"/>
      <c r="D38" s="181"/>
    </row>
    <row r="39" spans="1:14" x14ac:dyDescent="0.4">
      <c r="D39" s="9" t="s">
        <v>54</v>
      </c>
    </row>
    <row r="40" spans="1:14" ht="21.6" thickBot="1" x14ac:dyDescent="0.45"/>
    <row r="41" spans="1:14" ht="33" customHeight="1" thickTop="1" thickBot="1" x14ac:dyDescent="0.45">
      <c r="B41" s="194" t="s">
        <v>28</v>
      </c>
      <c r="C41" s="195" t="s">
        <v>17</v>
      </c>
      <c r="D41" s="195"/>
      <c r="E41" s="195" t="s">
        <v>18</v>
      </c>
      <c r="F41" s="195"/>
      <c r="G41" s="195" t="s">
        <v>19</v>
      </c>
      <c r="H41" s="195"/>
      <c r="I41" s="195" t="s">
        <v>29</v>
      </c>
      <c r="J41" s="195"/>
      <c r="K41" s="196"/>
      <c r="L41" s="26"/>
      <c r="M41" s="26"/>
      <c r="N41" s="26"/>
    </row>
    <row r="42" spans="1:14" ht="33" customHeight="1" thickTop="1" thickBot="1" x14ac:dyDescent="0.45">
      <c r="B42" s="190"/>
      <c r="C42" s="48" t="s">
        <v>10</v>
      </c>
      <c r="D42" s="48" t="s">
        <v>11</v>
      </c>
      <c r="E42" s="48" t="s">
        <v>10</v>
      </c>
      <c r="F42" s="48" t="s">
        <v>11</v>
      </c>
      <c r="G42" s="48" t="s">
        <v>10</v>
      </c>
      <c r="H42" s="48" t="s">
        <v>11</v>
      </c>
      <c r="I42" s="48" t="s">
        <v>10</v>
      </c>
      <c r="J42" s="48" t="s">
        <v>11</v>
      </c>
      <c r="K42" s="49" t="s">
        <v>15</v>
      </c>
      <c r="L42" s="26"/>
      <c r="M42" s="26"/>
      <c r="N42" s="26"/>
    </row>
    <row r="43" spans="1:14" ht="22.2" thickTop="1" thickBot="1" x14ac:dyDescent="0.45">
      <c r="B43" s="190" t="s">
        <v>21</v>
      </c>
      <c r="C43" s="189" t="e">
        <f>'التعليم المسرع'!#REF!</f>
        <v>#REF!</v>
      </c>
      <c r="D43" s="189" t="e">
        <f>'التعليم المسرع'!#REF!</f>
        <v>#REF!</v>
      </c>
      <c r="E43" s="189" t="e">
        <f>'التعليم المسرع'!#REF!</f>
        <v>#REF!</v>
      </c>
      <c r="F43" s="189" t="e">
        <f>'التعليم المسرع'!#REF!</f>
        <v>#REF!</v>
      </c>
      <c r="G43" s="189" t="e">
        <f>'التعليم المسرع'!#REF!</f>
        <v>#REF!</v>
      </c>
      <c r="H43" s="189" t="e">
        <f>'التعليم المسرع'!#REF!</f>
        <v>#REF!</v>
      </c>
      <c r="I43" s="189" t="e">
        <f>C43+E43+G43</f>
        <v>#REF!</v>
      </c>
      <c r="J43" s="189" t="e">
        <f>D43+F43+H43</f>
        <v>#REF!</v>
      </c>
      <c r="K43" s="192" t="e">
        <f>SUM(I43:J43)</f>
        <v>#REF!</v>
      </c>
      <c r="L43" s="26"/>
      <c r="M43" s="26"/>
      <c r="N43" s="26"/>
    </row>
    <row r="44" spans="1:14" ht="22.2" thickTop="1" thickBot="1" x14ac:dyDescent="0.45">
      <c r="B44" s="190"/>
      <c r="C44" s="189"/>
      <c r="D44" s="189"/>
      <c r="E44" s="189"/>
      <c r="F44" s="189"/>
      <c r="G44" s="189"/>
      <c r="H44" s="189"/>
      <c r="I44" s="189"/>
      <c r="J44" s="189"/>
      <c r="K44" s="192"/>
      <c r="L44" s="26"/>
      <c r="M44" s="26"/>
      <c r="N44" s="26"/>
    </row>
    <row r="45" spans="1:14" ht="22.2" thickTop="1" thickBot="1" x14ac:dyDescent="0.45">
      <c r="B45" s="190" t="s">
        <v>22</v>
      </c>
      <c r="C45" s="189" t="e">
        <f>'التعليم المسرع'!#REF!</f>
        <v>#REF!</v>
      </c>
      <c r="D45" s="189" t="e">
        <f>'التعليم المسرع'!#REF!</f>
        <v>#REF!</v>
      </c>
      <c r="E45" s="189" t="e">
        <f>'التعليم المسرع'!#REF!</f>
        <v>#REF!</v>
      </c>
      <c r="F45" s="189" t="e">
        <f>'التعليم المسرع'!#REF!</f>
        <v>#REF!</v>
      </c>
      <c r="G45" s="189" t="e">
        <f>'التعليم المسرع'!#REF!</f>
        <v>#REF!</v>
      </c>
      <c r="H45" s="189" t="e">
        <f>'التعليم المسرع'!#REF!</f>
        <v>#REF!</v>
      </c>
      <c r="I45" s="189" t="e">
        <f t="shared" ref="I45:J45" si="6">C45+E45+G45</f>
        <v>#REF!</v>
      </c>
      <c r="J45" s="189" t="e">
        <f t="shared" si="6"/>
        <v>#REF!</v>
      </c>
      <c r="K45" s="192" t="e">
        <f t="shared" ref="K45" si="7">SUM(I45:J45)</f>
        <v>#REF!</v>
      </c>
      <c r="L45" s="26"/>
      <c r="M45" s="26"/>
      <c r="N45" s="26"/>
    </row>
    <row r="46" spans="1:14" ht="22.2" thickTop="1" thickBot="1" x14ac:dyDescent="0.45">
      <c r="B46" s="190"/>
      <c r="C46" s="189"/>
      <c r="D46" s="189"/>
      <c r="E46" s="189"/>
      <c r="F46" s="189"/>
      <c r="G46" s="189"/>
      <c r="H46" s="189"/>
      <c r="I46" s="189"/>
      <c r="J46" s="189"/>
      <c r="K46" s="192"/>
      <c r="L46" s="26"/>
      <c r="M46" s="26"/>
      <c r="N46" s="26"/>
    </row>
    <row r="47" spans="1:14" ht="22.2" thickTop="1" thickBot="1" x14ac:dyDescent="0.45">
      <c r="B47" s="190" t="s">
        <v>23</v>
      </c>
      <c r="C47" s="189" t="e">
        <f>'التعليم المسرع'!#REF!</f>
        <v>#REF!</v>
      </c>
      <c r="D47" s="189" t="e">
        <f>'التعليم المسرع'!#REF!</f>
        <v>#REF!</v>
      </c>
      <c r="E47" s="189" t="e">
        <f>'التعليم المسرع'!#REF!</f>
        <v>#REF!</v>
      </c>
      <c r="F47" s="189" t="e">
        <f>'التعليم المسرع'!#REF!</f>
        <v>#REF!</v>
      </c>
      <c r="G47" s="189" t="e">
        <f>'التعليم المسرع'!#REF!</f>
        <v>#REF!</v>
      </c>
      <c r="H47" s="189" t="e">
        <f>'التعليم المسرع'!#REF!</f>
        <v>#REF!</v>
      </c>
      <c r="I47" s="189" t="e">
        <f t="shared" ref="I47:J47" si="8">C47+E47+G47</f>
        <v>#REF!</v>
      </c>
      <c r="J47" s="189" t="e">
        <f t="shared" si="8"/>
        <v>#REF!</v>
      </c>
      <c r="K47" s="192" t="e">
        <f t="shared" ref="K47" si="9">SUM(I47:J47)</f>
        <v>#REF!</v>
      </c>
      <c r="L47" s="26"/>
      <c r="M47" s="26"/>
      <c r="N47" s="26"/>
    </row>
    <row r="48" spans="1:14" ht="22.2" thickTop="1" thickBot="1" x14ac:dyDescent="0.45">
      <c r="B48" s="190"/>
      <c r="C48" s="189"/>
      <c r="D48" s="189"/>
      <c r="E48" s="189"/>
      <c r="F48" s="189"/>
      <c r="G48" s="189"/>
      <c r="H48" s="189"/>
      <c r="I48" s="189"/>
      <c r="J48" s="189"/>
      <c r="K48" s="192"/>
      <c r="L48" s="26"/>
      <c r="M48" s="26"/>
      <c r="N48" s="26"/>
    </row>
    <row r="49" spans="1:16" ht="22.2" thickTop="1" thickBot="1" x14ac:dyDescent="0.45">
      <c r="B49" s="190" t="s">
        <v>24</v>
      </c>
      <c r="C49" s="189" t="e">
        <f>'التعليم المسرع'!#REF!</f>
        <v>#REF!</v>
      </c>
      <c r="D49" s="189" t="e">
        <f>'التعليم المسرع'!#REF!</f>
        <v>#REF!</v>
      </c>
      <c r="E49" s="189" t="e">
        <f>'التعليم المسرع'!#REF!</f>
        <v>#REF!</v>
      </c>
      <c r="F49" s="189" t="e">
        <f>'التعليم المسرع'!#REF!</f>
        <v>#REF!</v>
      </c>
      <c r="G49" s="189" t="e">
        <f>'التعليم المسرع'!#REF!</f>
        <v>#REF!</v>
      </c>
      <c r="H49" s="189" t="e">
        <f>'التعليم المسرع'!#REF!</f>
        <v>#REF!</v>
      </c>
      <c r="I49" s="189" t="e">
        <f t="shared" ref="I49:J49" si="10">C49+E49+G49</f>
        <v>#REF!</v>
      </c>
      <c r="J49" s="189" t="e">
        <f t="shared" si="10"/>
        <v>#REF!</v>
      </c>
      <c r="K49" s="192" t="e">
        <f t="shared" ref="K49" si="11">SUM(I49:J49)</f>
        <v>#REF!</v>
      </c>
      <c r="L49" s="26"/>
      <c r="M49" s="26"/>
      <c r="N49" s="26"/>
    </row>
    <row r="50" spans="1:16" ht="22.2" thickTop="1" thickBot="1" x14ac:dyDescent="0.45">
      <c r="B50" s="190"/>
      <c r="C50" s="189"/>
      <c r="D50" s="189"/>
      <c r="E50" s="189"/>
      <c r="F50" s="189"/>
      <c r="G50" s="189"/>
      <c r="H50" s="189"/>
      <c r="I50" s="189"/>
      <c r="J50" s="189"/>
      <c r="K50" s="192"/>
      <c r="L50" s="26"/>
      <c r="M50" s="26"/>
      <c r="N50" s="26"/>
    </row>
    <row r="51" spans="1:16" ht="22.2" thickTop="1" thickBot="1" x14ac:dyDescent="0.45">
      <c r="B51" s="190" t="s">
        <v>25</v>
      </c>
      <c r="C51" s="189" t="e">
        <f>'التعليم المسرع'!#REF!</f>
        <v>#REF!</v>
      </c>
      <c r="D51" s="189" t="e">
        <f>'التعليم المسرع'!#REF!</f>
        <v>#REF!</v>
      </c>
      <c r="E51" s="189" t="e">
        <f>'التعليم المسرع'!#REF!</f>
        <v>#REF!</v>
      </c>
      <c r="F51" s="189" t="e">
        <f>'التعليم المسرع'!#REF!</f>
        <v>#REF!</v>
      </c>
      <c r="G51" s="189" t="e">
        <f>'التعليم المسرع'!#REF!</f>
        <v>#REF!</v>
      </c>
      <c r="H51" s="189" t="e">
        <f>'التعليم المسرع'!#REF!</f>
        <v>#REF!</v>
      </c>
      <c r="I51" s="189" t="e">
        <f t="shared" ref="I51:J51" si="12">C51+E51+G51</f>
        <v>#REF!</v>
      </c>
      <c r="J51" s="189" t="e">
        <f t="shared" si="12"/>
        <v>#REF!</v>
      </c>
      <c r="K51" s="192" t="e">
        <f t="shared" ref="K51" si="13">SUM(I51:J51)</f>
        <v>#REF!</v>
      </c>
      <c r="L51" s="26"/>
      <c r="M51" s="26"/>
      <c r="N51" s="26"/>
    </row>
    <row r="52" spans="1:16" ht="22.2" thickTop="1" thickBot="1" x14ac:dyDescent="0.45">
      <c r="B52" s="190"/>
      <c r="C52" s="189"/>
      <c r="D52" s="189"/>
      <c r="E52" s="189"/>
      <c r="F52" s="189"/>
      <c r="G52" s="189"/>
      <c r="H52" s="189"/>
      <c r="I52" s="189"/>
      <c r="J52" s="189"/>
      <c r="K52" s="192"/>
      <c r="L52" s="26"/>
      <c r="M52" s="26"/>
    </row>
    <row r="53" spans="1:16" ht="22.2" thickTop="1" thickBot="1" x14ac:dyDescent="0.45">
      <c r="B53" s="190" t="s">
        <v>26</v>
      </c>
      <c r="C53" s="189" t="e">
        <f>'التعليم المسرع'!#REF!</f>
        <v>#REF!</v>
      </c>
      <c r="D53" s="189" t="e">
        <f>'التعليم المسرع'!#REF!</f>
        <v>#REF!</v>
      </c>
      <c r="E53" s="189" t="e">
        <f>'التعليم المسرع'!#REF!</f>
        <v>#REF!</v>
      </c>
      <c r="F53" s="189" t="e">
        <f>'التعليم المسرع'!#REF!</f>
        <v>#REF!</v>
      </c>
      <c r="G53" s="189" t="e">
        <f>'التعليم المسرع'!#REF!</f>
        <v>#REF!</v>
      </c>
      <c r="H53" s="189" t="e">
        <f>'التعليم المسرع'!#REF!</f>
        <v>#REF!</v>
      </c>
      <c r="I53" s="189" t="e">
        <f t="shared" ref="I53:J53" si="14">C53+E53+G53</f>
        <v>#REF!</v>
      </c>
      <c r="J53" s="189" t="e">
        <f t="shared" si="14"/>
        <v>#REF!</v>
      </c>
      <c r="K53" s="192" t="e">
        <f t="shared" ref="K53" si="15">SUM(I53:J53)</f>
        <v>#REF!</v>
      </c>
      <c r="L53" s="26"/>
      <c r="M53" s="26"/>
    </row>
    <row r="54" spans="1:16" ht="22.2" thickTop="1" thickBot="1" x14ac:dyDescent="0.45">
      <c r="B54" s="190"/>
      <c r="C54" s="189"/>
      <c r="D54" s="189"/>
      <c r="E54" s="189"/>
      <c r="F54" s="189"/>
      <c r="G54" s="189"/>
      <c r="H54" s="189"/>
      <c r="I54" s="189"/>
      <c r="J54" s="189"/>
      <c r="K54" s="192"/>
    </row>
    <row r="55" spans="1:16" ht="22.2" thickTop="1" thickBot="1" x14ac:dyDescent="0.45">
      <c r="B55" s="190" t="s">
        <v>27</v>
      </c>
      <c r="C55" s="189" t="e">
        <f>'التعليم المسرع'!#REF!</f>
        <v>#REF!</v>
      </c>
      <c r="D55" s="189" t="e">
        <f>'التعليم المسرع'!#REF!</f>
        <v>#REF!</v>
      </c>
      <c r="E55" s="189" t="e">
        <f>'التعليم المسرع'!#REF!</f>
        <v>#REF!</v>
      </c>
      <c r="F55" s="189" t="e">
        <f>'التعليم المسرع'!#REF!</f>
        <v>#REF!</v>
      </c>
      <c r="G55" s="189" t="e">
        <f>'التعليم المسرع'!#REF!</f>
        <v>#REF!</v>
      </c>
      <c r="H55" s="189" t="e">
        <f>'التعليم المسرع'!#REF!</f>
        <v>#REF!</v>
      </c>
      <c r="I55" s="189" t="e">
        <f t="shared" ref="I55:J55" si="16">C55+E55+G55</f>
        <v>#REF!</v>
      </c>
      <c r="J55" s="189" t="e">
        <f t="shared" si="16"/>
        <v>#REF!</v>
      </c>
      <c r="K55" s="192" t="e">
        <f t="shared" ref="K55" si="17">SUM(I55:J55)</f>
        <v>#REF!</v>
      </c>
    </row>
    <row r="56" spans="1:16" ht="22.2" thickTop="1" thickBot="1" x14ac:dyDescent="0.45">
      <c r="B56" s="190"/>
      <c r="C56" s="189"/>
      <c r="D56" s="189"/>
      <c r="E56" s="189"/>
      <c r="F56" s="189"/>
      <c r="G56" s="189"/>
      <c r="H56" s="189"/>
      <c r="I56" s="189"/>
      <c r="J56" s="189"/>
      <c r="K56" s="192"/>
    </row>
    <row r="57" spans="1:16" ht="22.2" thickTop="1" thickBot="1" x14ac:dyDescent="0.45">
      <c r="B57" s="190" t="s">
        <v>15</v>
      </c>
      <c r="C57" s="189" t="e">
        <f t="shared" ref="C57:H57" si="18">C43+C45+C47+C49+C51+C53+C55</f>
        <v>#REF!</v>
      </c>
      <c r="D57" s="189" t="e">
        <f t="shared" si="18"/>
        <v>#REF!</v>
      </c>
      <c r="E57" s="189" t="e">
        <f t="shared" si="18"/>
        <v>#REF!</v>
      </c>
      <c r="F57" s="189" t="e">
        <f t="shared" si="18"/>
        <v>#REF!</v>
      </c>
      <c r="G57" s="189" t="e">
        <f t="shared" si="18"/>
        <v>#REF!</v>
      </c>
      <c r="H57" s="189" t="e">
        <f t="shared" si="18"/>
        <v>#REF!</v>
      </c>
      <c r="I57" s="189" t="e">
        <f>C57+E57+G57</f>
        <v>#REF!</v>
      </c>
      <c r="J57" s="189" t="e">
        <f t="shared" ref="J57" si="19">D57+F57+H57</f>
        <v>#REF!</v>
      </c>
      <c r="K57" s="192" t="e">
        <f t="shared" ref="K57" si="20">SUM(I57:J57)</f>
        <v>#REF!</v>
      </c>
    </row>
    <row r="58" spans="1:16" ht="22.2" thickTop="1" thickBot="1" x14ac:dyDescent="0.45">
      <c r="B58" s="193"/>
      <c r="C58" s="191"/>
      <c r="D58" s="191"/>
      <c r="E58" s="191"/>
      <c r="F58" s="191"/>
      <c r="G58" s="191"/>
      <c r="H58" s="191"/>
      <c r="I58" s="191"/>
      <c r="J58" s="191"/>
      <c r="K58" s="208"/>
    </row>
    <row r="59" spans="1:16" ht="21.6" thickTop="1" x14ac:dyDescent="0.4"/>
    <row r="60" spans="1:16" ht="21.6" thickBot="1" x14ac:dyDescent="0.45"/>
    <row r="61" spans="1:16" ht="33.75" customHeight="1" thickTop="1" thickBot="1" x14ac:dyDescent="0.45">
      <c r="A61" s="194"/>
      <c r="B61" s="206" t="s">
        <v>267</v>
      </c>
      <c r="C61" s="206"/>
      <c r="D61" s="206"/>
      <c r="E61" s="206" t="s">
        <v>272</v>
      </c>
      <c r="F61" s="206"/>
      <c r="G61" s="206"/>
      <c r="H61" s="195" t="s">
        <v>273</v>
      </c>
      <c r="I61" s="195"/>
      <c r="J61" s="195"/>
      <c r="K61" s="195"/>
      <c r="L61" s="195"/>
      <c r="M61" s="195"/>
      <c r="N61" s="195" t="s">
        <v>15</v>
      </c>
      <c r="O61" s="195"/>
      <c r="P61" s="196"/>
    </row>
    <row r="62" spans="1:16" ht="32.25" customHeight="1" thickTop="1" thickBot="1" x14ac:dyDescent="0.45">
      <c r="A62" s="190"/>
      <c r="B62" s="207"/>
      <c r="C62" s="207"/>
      <c r="D62" s="207"/>
      <c r="E62" s="207"/>
      <c r="F62" s="207"/>
      <c r="G62" s="207"/>
      <c r="H62" s="189" t="s">
        <v>185</v>
      </c>
      <c r="I62" s="189"/>
      <c r="J62" s="189" t="s">
        <v>186</v>
      </c>
      <c r="K62" s="189"/>
      <c r="L62" s="189" t="s">
        <v>187</v>
      </c>
      <c r="M62" s="189"/>
      <c r="N62" s="189"/>
      <c r="O62" s="189"/>
      <c r="P62" s="192"/>
    </row>
    <row r="63" spans="1:16" ht="22.2" thickTop="1" thickBot="1" x14ac:dyDescent="0.45">
      <c r="A63" s="190"/>
      <c r="B63" s="189" t="s">
        <v>10</v>
      </c>
      <c r="C63" s="189" t="s">
        <v>11</v>
      </c>
      <c r="D63" s="189" t="s">
        <v>15</v>
      </c>
      <c r="E63" s="189" t="s">
        <v>10</v>
      </c>
      <c r="F63" s="189" t="s">
        <v>11</v>
      </c>
      <c r="G63" s="189" t="s">
        <v>15</v>
      </c>
      <c r="H63" s="189" t="s">
        <v>10</v>
      </c>
      <c r="I63" s="189" t="s">
        <v>11</v>
      </c>
      <c r="J63" s="189" t="s">
        <v>10</v>
      </c>
      <c r="K63" s="189" t="s">
        <v>11</v>
      </c>
      <c r="L63" s="189" t="s">
        <v>10</v>
      </c>
      <c r="M63" s="189" t="s">
        <v>11</v>
      </c>
      <c r="N63" s="189" t="s">
        <v>10</v>
      </c>
      <c r="O63" s="189" t="s">
        <v>11</v>
      </c>
      <c r="P63" s="192" t="s">
        <v>15</v>
      </c>
    </row>
    <row r="64" spans="1:16" ht="22.2" thickTop="1" thickBot="1" x14ac:dyDescent="0.45">
      <c r="A64" s="190"/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92"/>
    </row>
    <row r="65" spans="1:16" ht="22.2" thickTop="1" thickBot="1" x14ac:dyDescent="0.45">
      <c r="A65" s="190" t="s">
        <v>17</v>
      </c>
      <c r="B65" s="189" t="e">
        <f>'التعليم المسرع'!#REF!</f>
        <v>#REF!</v>
      </c>
      <c r="C65" s="189" t="e">
        <f>'التعليم المسرع'!#REF!</f>
        <v>#REF!</v>
      </c>
      <c r="D65" s="189" t="e">
        <f>C65+B65</f>
        <v>#REF!</v>
      </c>
      <c r="E65" s="189" t="e">
        <f>'التعليم المسرع'!#REF!</f>
        <v>#REF!</v>
      </c>
      <c r="F65" s="189" t="e">
        <f>'التعليم المسرع'!#REF!</f>
        <v>#REF!</v>
      </c>
      <c r="G65" s="189" t="e">
        <f t="shared" ref="G65" si="21">F65+E65</f>
        <v>#REF!</v>
      </c>
      <c r="H65" s="189" t="e">
        <f>'التعليم المسرع'!#REF!</f>
        <v>#REF!</v>
      </c>
      <c r="I65" s="189" t="e">
        <f>'التعليم المسرع'!#REF!</f>
        <v>#REF!</v>
      </c>
      <c r="J65" s="189" t="e">
        <f>'التعليم المسرع'!#REF!</f>
        <v>#REF!</v>
      </c>
      <c r="K65" s="189" t="e">
        <f>'التعليم المسرع'!#REF!</f>
        <v>#REF!</v>
      </c>
      <c r="L65" s="189" t="e">
        <f>'التعليم المسرع'!#REF!</f>
        <v>#REF!</v>
      </c>
      <c r="M65" s="189" t="e">
        <f>'التعليم المسرع'!#REF!</f>
        <v>#REF!</v>
      </c>
      <c r="N65" s="189" t="e">
        <f>L65+J65+H65</f>
        <v>#REF!</v>
      </c>
      <c r="O65" s="189" t="e">
        <f>M65+K65+I65</f>
        <v>#REF!</v>
      </c>
      <c r="P65" s="192" t="e">
        <f>O65+N65</f>
        <v>#REF!</v>
      </c>
    </row>
    <row r="66" spans="1:16" ht="22.2" thickTop="1" thickBot="1" x14ac:dyDescent="0.45">
      <c r="A66" s="190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92"/>
    </row>
    <row r="67" spans="1:16" ht="22.2" thickTop="1" thickBot="1" x14ac:dyDescent="0.45">
      <c r="A67" s="190" t="s">
        <v>18</v>
      </c>
      <c r="B67" s="189" t="e">
        <f>'التعليم المسرع'!#REF!</f>
        <v>#REF!</v>
      </c>
      <c r="C67" s="189" t="e">
        <f>'التعليم المسرع'!#REF!</f>
        <v>#REF!</v>
      </c>
      <c r="D67" s="189" t="e">
        <f t="shared" ref="D67" si="22">C67+B67</f>
        <v>#REF!</v>
      </c>
      <c r="E67" s="189" t="e">
        <f>'التعليم المسرع'!#REF!</f>
        <v>#REF!</v>
      </c>
      <c r="F67" s="189" t="e">
        <f>'التعليم المسرع'!#REF!</f>
        <v>#REF!</v>
      </c>
      <c r="G67" s="189" t="e">
        <f t="shared" ref="G67" si="23">F67+E67</f>
        <v>#REF!</v>
      </c>
      <c r="H67" s="189" t="e">
        <f>'التعليم المسرع'!#REF!</f>
        <v>#REF!</v>
      </c>
      <c r="I67" s="189" t="e">
        <f>'التعليم المسرع'!#REF!</f>
        <v>#REF!</v>
      </c>
      <c r="J67" s="189" t="e">
        <f>'التعليم المسرع'!#REF!</f>
        <v>#REF!</v>
      </c>
      <c r="K67" s="189" t="e">
        <f>'التعليم المسرع'!#REF!</f>
        <v>#REF!</v>
      </c>
      <c r="L67" s="189" t="e">
        <f>'التعليم المسرع'!#REF!</f>
        <v>#REF!</v>
      </c>
      <c r="M67" s="189" t="e">
        <f>'التعليم المسرع'!#REF!</f>
        <v>#REF!</v>
      </c>
      <c r="N67" s="189" t="e">
        <f t="shared" ref="N67" si="24">L67+J67+H67</f>
        <v>#REF!</v>
      </c>
      <c r="O67" s="189" t="e">
        <f t="shared" ref="O67" si="25">M67+K67+I67</f>
        <v>#REF!</v>
      </c>
      <c r="P67" s="192" t="e">
        <f t="shared" ref="P67" si="26">O67+N67</f>
        <v>#REF!</v>
      </c>
    </row>
    <row r="68" spans="1:16" ht="22.2" thickTop="1" thickBot="1" x14ac:dyDescent="0.45">
      <c r="A68" s="190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92"/>
    </row>
    <row r="69" spans="1:16" ht="22.2" thickTop="1" thickBot="1" x14ac:dyDescent="0.45">
      <c r="A69" s="190" t="s">
        <v>19</v>
      </c>
      <c r="B69" s="189" t="e">
        <f>'التعليم المسرع'!#REF!</f>
        <v>#REF!</v>
      </c>
      <c r="C69" s="189" t="e">
        <f>'التعليم المسرع'!#REF!</f>
        <v>#REF!</v>
      </c>
      <c r="D69" s="189" t="e">
        <f t="shared" ref="D69" si="27">C69+B69</f>
        <v>#REF!</v>
      </c>
      <c r="E69" s="189" t="e">
        <f>'التعليم المسرع'!#REF!</f>
        <v>#REF!</v>
      </c>
      <c r="F69" s="189" t="e">
        <f>'التعليم المسرع'!#REF!</f>
        <v>#REF!</v>
      </c>
      <c r="G69" s="189" t="e">
        <f t="shared" ref="G69" si="28">F69+E69</f>
        <v>#REF!</v>
      </c>
      <c r="H69" s="189" t="e">
        <f>'التعليم المسرع'!#REF!</f>
        <v>#REF!</v>
      </c>
      <c r="I69" s="189" t="e">
        <f>'التعليم المسرع'!#REF!</f>
        <v>#REF!</v>
      </c>
      <c r="J69" s="189" t="e">
        <f>'التعليم المسرع'!#REF!</f>
        <v>#REF!</v>
      </c>
      <c r="K69" s="189" t="e">
        <f>'التعليم المسرع'!#REF!</f>
        <v>#REF!</v>
      </c>
      <c r="L69" s="189" t="e">
        <f>'التعليم المسرع'!#REF!</f>
        <v>#REF!</v>
      </c>
      <c r="M69" s="189" t="e">
        <f>'التعليم المسرع'!#REF!</f>
        <v>#REF!</v>
      </c>
      <c r="N69" s="189" t="e">
        <f t="shared" ref="N69" si="29">L69+J69+H69</f>
        <v>#REF!</v>
      </c>
      <c r="O69" s="189" t="e">
        <f t="shared" ref="O69" si="30">M69+K69+I69</f>
        <v>#REF!</v>
      </c>
      <c r="P69" s="192" t="e">
        <f t="shared" ref="P69" si="31">O69+N69</f>
        <v>#REF!</v>
      </c>
    </row>
    <row r="70" spans="1:16" ht="22.2" thickTop="1" thickBot="1" x14ac:dyDescent="0.45">
      <c r="A70" s="193"/>
      <c r="B70" s="191"/>
      <c r="C70" s="191"/>
      <c r="D70" s="191"/>
      <c r="E70" s="191"/>
      <c r="F70" s="191"/>
      <c r="G70" s="191"/>
      <c r="H70" s="191"/>
      <c r="I70" s="191"/>
      <c r="J70" s="191"/>
      <c r="K70" s="191"/>
      <c r="L70" s="191"/>
      <c r="M70" s="191"/>
      <c r="N70" s="191"/>
      <c r="O70" s="191"/>
      <c r="P70" s="208"/>
    </row>
    <row r="71" spans="1:16" ht="21.6" thickTop="1" x14ac:dyDescent="0.4"/>
  </sheetData>
  <mergeCells count="247">
    <mergeCell ref="A61:A64"/>
    <mergeCell ref="A65:A66"/>
    <mergeCell ref="A67:A68"/>
    <mergeCell ref="A69:A70"/>
    <mergeCell ref="B61:D62"/>
    <mergeCell ref="E61:G62"/>
    <mergeCell ref="H61:M61"/>
    <mergeCell ref="H62:I62"/>
    <mergeCell ref="J62:K62"/>
    <mergeCell ref="L62:M62"/>
    <mergeCell ref="D63:D64"/>
    <mergeCell ref="G63:G64"/>
    <mergeCell ref="H63:H64"/>
    <mergeCell ref="I63:I64"/>
    <mergeCell ref="J63:J64"/>
    <mergeCell ref="K63:K64"/>
    <mergeCell ref="D65:D66"/>
    <mergeCell ref="G65:G66"/>
    <mergeCell ref="H65:H66"/>
    <mergeCell ref="I65:I66"/>
    <mergeCell ref="J65:J66"/>
    <mergeCell ref="K65:K66"/>
    <mergeCell ref="D67:D68"/>
    <mergeCell ref="G67:G68"/>
    <mergeCell ref="B65:B66"/>
    <mergeCell ref="C65:C66"/>
    <mergeCell ref="B67:B68"/>
    <mergeCell ref="C67:C68"/>
    <mergeCell ref="B69:B70"/>
    <mergeCell ref="C69:C70"/>
    <mergeCell ref="N69:N70"/>
    <mergeCell ref="O69:O70"/>
    <mergeCell ref="D69:D70"/>
    <mergeCell ref="G69:G70"/>
    <mergeCell ref="H69:H70"/>
    <mergeCell ref="I69:I70"/>
    <mergeCell ref="J69:J70"/>
    <mergeCell ref="K69:K70"/>
    <mergeCell ref="L65:L66"/>
    <mergeCell ref="M65:M66"/>
    <mergeCell ref="L67:L68"/>
    <mergeCell ref="M67:M68"/>
    <mergeCell ref="L69:L70"/>
    <mergeCell ref="M69:M70"/>
    <mergeCell ref="E65:E66"/>
    <mergeCell ref="F65:F66"/>
    <mergeCell ref="E67:E68"/>
    <mergeCell ref="F67:F68"/>
    <mergeCell ref="E69:E70"/>
    <mergeCell ref="F69:F70"/>
    <mergeCell ref="N67:N68"/>
    <mergeCell ref="O67:O68"/>
    <mergeCell ref="P67:P68"/>
    <mergeCell ref="N65:N66"/>
    <mergeCell ref="O65:O66"/>
    <mergeCell ref="H67:H68"/>
    <mergeCell ref="I67:I68"/>
    <mergeCell ref="J67:J68"/>
    <mergeCell ref="K67:K68"/>
    <mergeCell ref="P69:P70"/>
    <mergeCell ref="P65:P66"/>
    <mergeCell ref="B8:D8"/>
    <mergeCell ref="G8:I8"/>
    <mergeCell ref="L8:N8"/>
    <mergeCell ref="B11:C11"/>
    <mergeCell ref="F11:H11"/>
    <mergeCell ref="K11:M11"/>
    <mergeCell ref="A1:C1"/>
    <mergeCell ref="A2:D2"/>
    <mergeCell ref="A3:O3"/>
    <mergeCell ref="B6:D6"/>
    <mergeCell ref="G6:I6"/>
    <mergeCell ref="L6:N6"/>
    <mergeCell ref="M2:O2"/>
    <mergeCell ref="B16:G16"/>
    <mergeCell ref="F17:G17"/>
    <mergeCell ref="B18:B19"/>
    <mergeCell ref="C18:C19"/>
    <mergeCell ref="D18:D19"/>
    <mergeCell ref="E18:E19"/>
    <mergeCell ref="F18:G19"/>
    <mergeCell ref="B20:B21"/>
    <mergeCell ref="C20:C21"/>
    <mergeCell ref="D20:D21"/>
    <mergeCell ref="E20:E21"/>
    <mergeCell ref="F20:G21"/>
    <mergeCell ref="A37:C37"/>
    <mergeCell ref="A38:D38"/>
    <mergeCell ref="B41:B42"/>
    <mergeCell ref="C41:D41"/>
    <mergeCell ref="E41:F41"/>
    <mergeCell ref="G41:H41"/>
    <mergeCell ref="I41:K41"/>
    <mergeCell ref="K43:K44"/>
    <mergeCell ref="K23:K24"/>
    <mergeCell ref="H28:H29"/>
    <mergeCell ref="I28:I29"/>
    <mergeCell ref="J28:K29"/>
    <mergeCell ref="B30:B31"/>
    <mergeCell ref="C30:C31"/>
    <mergeCell ref="D30:D31"/>
    <mergeCell ref="E30:E31"/>
    <mergeCell ref="F30:F31"/>
    <mergeCell ref="G30:G31"/>
    <mergeCell ref="H30:H31"/>
    <mergeCell ref="B28:B29"/>
    <mergeCell ref="C28:C29"/>
    <mergeCell ref="D28:D29"/>
    <mergeCell ref="E28:E29"/>
    <mergeCell ref="F28:F29"/>
    <mergeCell ref="B45:B46"/>
    <mergeCell ref="C45:C46"/>
    <mergeCell ref="D45:D46"/>
    <mergeCell ref="E45:E46"/>
    <mergeCell ref="F45:F46"/>
    <mergeCell ref="G45:G46"/>
    <mergeCell ref="N61:P62"/>
    <mergeCell ref="B63:B64"/>
    <mergeCell ref="C63:C64"/>
    <mergeCell ref="E63:E64"/>
    <mergeCell ref="F63:F64"/>
    <mergeCell ref="L63:L64"/>
    <mergeCell ref="M63:M64"/>
    <mergeCell ref="N63:N64"/>
    <mergeCell ref="O63:O64"/>
    <mergeCell ref="P63:P64"/>
    <mergeCell ref="H45:H46"/>
    <mergeCell ref="I45:I46"/>
    <mergeCell ref="J45:J46"/>
    <mergeCell ref="K45:K46"/>
    <mergeCell ref="K47:K48"/>
    <mergeCell ref="K49:K50"/>
    <mergeCell ref="I55:I56"/>
    <mergeCell ref="J55:J56"/>
    <mergeCell ref="K51:K52"/>
    <mergeCell ref="K53:K54"/>
    <mergeCell ref="K57:K58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B49:B50"/>
    <mergeCell ref="C49:C50"/>
    <mergeCell ref="D49:D50"/>
    <mergeCell ref="E49:E50"/>
    <mergeCell ref="F49:F50"/>
    <mergeCell ref="G49:G50"/>
    <mergeCell ref="H49:H50"/>
    <mergeCell ref="I49:I50"/>
    <mergeCell ref="J49:J50"/>
    <mergeCell ref="B47:B48"/>
    <mergeCell ref="C47:C48"/>
    <mergeCell ref="D47:D48"/>
    <mergeCell ref="E47:E48"/>
    <mergeCell ref="F47:F48"/>
    <mergeCell ref="G47:G48"/>
    <mergeCell ref="H47:H48"/>
    <mergeCell ref="I47:I48"/>
    <mergeCell ref="J47:J48"/>
    <mergeCell ref="B53:B54"/>
    <mergeCell ref="C53:C54"/>
    <mergeCell ref="D53:D54"/>
    <mergeCell ref="E53:E54"/>
    <mergeCell ref="F53:F54"/>
    <mergeCell ref="G53:G54"/>
    <mergeCell ref="H53:H54"/>
    <mergeCell ref="I53:I54"/>
    <mergeCell ref="J53:J54"/>
    <mergeCell ref="B51:B52"/>
    <mergeCell ref="C51:C52"/>
    <mergeCell ref="D51:D52"/>
    <mergeCell ref="E51:E52"/>
    <mergeCell ref="F51:F52"/>
    <mergeCell ref="G51:G52"/>
    <mergeCell ref="H51:H52"/>
    <mergeCell ref="I51:I52"/>
    <mergeCell ref="J51:J52"/>
    <mergeCell ref="J16:N16"/>
    <mergeCell ref="J17:J18"/>
    <mergeCell ref="K17:K18"/>
    <mergeCell ref="L17:L18"/>
    <mergeCell ref="M17:M18"/>
    <mergeCell ref="N17:N18"/>
    <mergeCell ref="K55:K56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B55:B56"/>
    <mergeCell ref="C55:C56"/>
    <mergeCell ref="D55:D56"/>
    <mergeCell ref="E55:E56"/>
    <mergeCell ref="F55:F56"/>
    <mergeCell ref="G55:G56"/>
    <mergeCell ref="H55:H56"/>
    <mergeCell ref="J23:J24"/>
    <mergeCell ref="L23:L24"/>
    <mergeCell ref="M23:M24"/>
    <mergeCell ref="N23:N24"/>
    <mergeCell ref="B27:K27"/>
    <mergeCell ref="J19:J20"/>
    <mergeCell ref="K19:K20"/>
    <mergeCell ref="L19:L20"/>
    <mergeCell ref="M19:M20"/>
    <mergeCell ref="N19:N20"/>
    <mergeCell ref="J21:J22"/>
    <mergeCell ref="K21:K22"/>
    <mergeCell ref="L21:L22"/>
    <mergeCell ref="M21:M22"/>
    <mergeCell ref="N21:N22"/>
    <mergeCell ref="B22:B23"/>
    <mergeCell ref="C22:C23"/>
    <mergeCell ref="D22:D23"/>
    <mergeCell ref="E22:E23"/>
    <mergeCell ref="F22:G23"/>
    <mergeCell ref="F24:G24"/>
    <mergeCell ref="G28:G29"/>
    <mergeCell ref="I30:I31"/>
    <mergeCell ref="J30:K31"/>
    <mergeCell ref="B32:B33"/>
    <mergeCell ref="C32:C33"/>
    <mergeCell ref="D32:D33"/>
    <mergeCell ref="E32:E33"/>
    <mergeCell ref="F32:F33"/>
    <mergeCell ref="G32:G33"/>
    <mergeCell ref="H32:H33"/>
    <mergeCell ref="I32:I33"/>
    <mergeCell ref="J32:K33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</mergeCells>
  <printOptions horizontalCentered="1" verticalCentered="1"/>
  <pageMargins left="0.23622047244094491" right="0.23622047244094491" top="0.19685039370078741" bottom="0.19685039370078741" header="0.19685039370078741" footer="0.19685039370078741"/>
  <pageSetup paperSize="9" scale="65" orientation="landscape" horizontalDpi="300" verticalDpi="300" r:id="rId1"/>
  <rowBreaks count="1" manualBreakCount="1">
    <brk id="35" max="15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71"/>
  <sheetViews>
    <sheetView rightToLeft="1" view="pageBreakPreview" topLeftCell="B16" zoomScale="60" workbookViewId="0">
      <selection activeCell="I16" sqref="I16:M16"/>
    </sheetView>
  </sheetViews>
  <sheetFormatPr defaultColWidth="9" defaultRowHeight="21" x14ac:dyDescent="0.4"/>
  <cols>
    <col min="1" max="1" width="14.69921875" style="9" customWidth="1"/>
    <col min="2" max="2" width="16.796875" style="9" customWidth="1"/>
    <col min="3" max="3" width="10.796875" style="9" customWidth="1"/>
    <col min="4" max="8" width="9" style="9"/>
    <col min="9" max="9" width="11.69921875" style="9" customWidth="1"/>
    <col min="10" max="10" width="13.19921875" style="9" customWidth="1"/>
    <col min="11" max="11" width="10.296875" style="9" customWidth="1"/>
    <col min="12" max="16384" width="9" style="9"/>
  </cols>
  <sheetData>
    <row r="1" spans="1:15" x14ac:dyDescent="0.4">
      <c r="A1" s="181" t="s">
        <v>55</v>
      </c>
      <c r="B1" s="181"/>
      <c r="C1" s="181"/>
    </row>
    <row r="2" spans="1:15" x14ac:dyDescent="0.4">
      <c r="A2" s="181" t="s">
        <v>56</v>
      </c>
      <c r="B2" s="181"/>
      <c r="C2" s="181"/>
      <c r="D2" s="181"/>
    </row>
    <row r="3" spans="1:15" x14ac:dyDescent="0.4">
      <c r="A3" s="181" t="s">
        <v>162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</row>
    <row r="4" spans="1:15" x14ac:dyDescent="0.4">
      <c r="E4" s="9" t="s">
        <v>266</v>
      </c>
    </row>
    <row r="5" spans="1:15" ht="21.6" thickBot="1" x14ac:dyDescent="0.45"/>
    <row r="6" spans="1:15" ht="22.2" thickTop="1" thickBot="1" x14ac:dyDescent="0.45">
      <c r="A6" s="9" t="s">
        <v>1</v>
      </c>
      <c r="B6" s="209" t="s">
        <v>167</v>
      </c>
      <c r="C6" s="211"/>
      <c r="D6" s="210"/>
      <c r="F6" s="9" t="s">
        <v>2</v>
      </c>
      <c r="G6" s="209" t="s">
        <v>48</v>
      </c>
      <c r="H6" s="211"/>
      <c r="I6" s="210"/>
      <c r="K6" s="9" t="s">
        <v>0</v>
      </c>
      <c r="L6" s="209" t="s">
        <v>147</v>
      </c>
      <c r="M6" s="211"/>
      <c r="N6" s="210"/>
    </row>
    <row r="7" spans="1:15" ht="22.2" thickTop="1" thickBot="1" x14ac:dyDescent="0.45"/>
    <row r="8" spans="1:15" ht="22.2" thickTop="1" thickBot="1" x14ac:dyDescent="0.45">
      <c r="A8" s="9" t="s">
        <v>43</v>
      </c>
      <c r="B8" s="209" t="e">
        <f>'التعليم المسرع'!#REF!+'التعليم المسرع'!#REF!</f>
        <v>#REF!</v>
      </c>
      <c r="C8" s="211"/>
      <c r="D8" s="210"/>
      <c r="F8" s="9" t="s">
        <v>3</v>
      </c>
      <c r="G8" s="209" t="e">
        <f>'التعليم المسرع'!#REF!</f>
        <v>#REF!</v>
      </c>
      <c r="H8" s="211"/>
      <c r="I8" s="210"/>
      <c r="K8" s="9" t="s">
        <v>4</v>
      </c>
      <c r="L8" s="209" t="e">
        <f>'التعليم المسرع'!#REF!</f>
        <v>#REF!</v>
      </c>
      <c r="M8" s="211"/>
      <c r="N8" s="210"/>
    </row>
    <row r="9" spans="1:15" ht="21.6" thickTop="1" x14ac:dyDescent="0.4"/>
    <row r="10" spans="1:15" ht="21.6" thickBot="1" x14ac:dyDescent="0.45"/>
    <row r="11" spans="1:15" ht="22.2" thickTop="1" thickBot="1" x14ac:dyDescent="0.45">
      <c r="B11" s="209" t="s">
        <v>5</v>
      </c>
      <c r="C11" s="210"/>
      <c r="F11" s="209" t="s">
        <v>6</v>
      </c>
      <c r="G11" s="211"/>
      <c r="H11" s="210"/>
      <c r="K11" s="209" t="s">
        <v>7</v>
      </c>
      <c r="L11" s="211"/>
      <c r="M11" s="210"/>
    </row>
    <row r="12" spans="1:15" ht="22.2" thickTop="1" thickBot="1" x14ac:dyDescent="0.45">
      <c r="B12" s="10" t="s">
        <v>8</v>
      </c>
      <c r="C12" s="11" t="s">
        <v>9</v>
      </c>
      <c r="F12" s="12" t="s">
        <v>10</v>
      </c>
      <c r="G12" s="13" t="s">
        <v>11</v>
      </c>
      <c r="H12" s="14" t="s">
        <v>12</v>
      </c>
      <c r="K12" s="10" t="s">
        <v>13</v>
      </c>
      <c r="L12" s="15" t="s">
        <v>14</v>
      </c>
      <c r="M12" s="11" t="s">
        <v>15</v>
      </c>
    </row>
    <row r="13" spans="1:15" ht="22.2" thickTop="1" thickBot="1" x14ac:dyDescent="0.45">
      <c r="B13" s="16" t="e">
        <f>'التعليم المسرع'!#REF!</f>
        <v>#REF!</v>
      </c>
      <c r="C13" s="17" t="e">
        <f>'التعليم المسرع'!#REF!</f>
        <v>#REF!</v>
      </c>
      <c r="F13" s="18" t="e">
        <f>'التعليم المسرع'!#REF!</f>
        <v>#REF!</v>
      </c>
      <c r="G13" s="19" t="e">
        <f>'التعليم المسرع'!#REF!</f>
        <v>#REF!</v>
      </c>
      <c r="H13" s="20" t="e">
        <f>'التعليم المسرع'!#REF!</f>
        <v>#REF!</v>
      </c>
      <c r="K13" s="16" t="e">
        <f>'التعليم المسرع'!#REF!</f>
        <v>#REF!</v>
      </c>
      <c r="L13" s="16" t="e">
        <f>'التعليم المسرع'!#REF!</f>
        <v>#REF!</v>
      </c>
      <c r="M13" s="17" t="e">
        <f>SUM(K13:L13)</f>
        <v>#REF!</v>
      </c>
    </row>
    <row r="14" spans="1:15" ht="21.6" thickTop="1" x14ac:dyDescent="0.4"/>
    <row r="15" spans="1:15" ht="21.6" thickBot="1" x14ac:dyDescent="0.45"/>
    <row r="16" spans="1:15" ht="28.5" customHeight="1" thickTop="1" thickBot="1" x14ac:dyDescent="0.45">
      <c r="B16" s="209" t="s">
        <v>20</v>
      </c>
      <c r="C16" s="211"/>
      <c r="D16" s="211"/>
      <c r="E16" s="211"/>
      <c r="F16" s="211"/>
      <c r="G16" s="210"/>
      <c r="I16" s="209" t="s">
        <v>30</v>
      </c>
      <c r="J16" s="211"/>
      <c r="K16" s="211"/>
      <c r="L16" s="211"/>
      <c r="M16" s="210"/>
    </row>
    <row r="17" spans="2:13" ht="32.25" customHeight="1" thickTop="1" thickBot="1" x14ac:dyDescent="0.45">
      <c r="B17" s="22" t="s">
        <v>16</v>
      </c>
      <c r="C17" s="23" t="s">
        <v>10</v>
      </c>
      <c r="D17" s="23" t="s">
        <v>11</v>
      </c>
      <c r="E17" s="23" t="s">
        <v>12</v>
      </c>
      <c r="F17" s="167" t="s">
        <v>15</v>
      </c>
      <c r="G17" s="168"/>
      <c r="I17" s="194" t="s">
        <v>31</v>
      </c>
      <c r="J17" s="195" t="s">
        <v>44</v>
      </c>
      <c r="K17" s="195" t="s">
        <v>45</v>
      </c>
      <c r="L17" s="195" t="s">
        <v>46</v>
      </c>
      <c r="M17" s="196" t="s">
        <v>47</v>
      </c>
    </row>
    <row r="18" spans="2:13" ht="22.2" thickTop="1" thickBot="1" x14ac:dyDescent="0.45">
      <c r="B18" s="170" t="s">
        <v>17</v>
      </c>
      <c r="C18" s="170" t="e">
        <f>'التعليم المسرع'!#REF!</f>
        <v>#REF!</v>
      </c>
      <c r="D18" s="170" t="e">
        <f>'التعليم المسرع'!#REF!</f>
        <v>#REF!</v>
      </c>
      <c r="E18" s="170" t="e">
        <f>'التعليم المسرع'!#REF!</f>
        <v>#REF!</v>
      </c>
      <c r="F18" s="172" t="e">
        <f>C18+D18+E18</f>
        <v>#REF!</v>
      </c>
      <c r="G18" s="173"/>
      <c r="I18" s="190"/>
      <c r="J18" s="189"/>
      <c r="K18" s="189"/>
      <c r="L18" s="189"/>
      <c r="M18" s="192"/>
    </row>
    <row r="19" spans="2:13" ht="22.2" thickTop="1" thickBot="1" x14ac:dyDescent="0.45">
      <c r="B19" s="171"/>
      <c r="C19" s="171"/>
      <c r="D19" s="171"/>
      <c r="E19" s="171"/>
      <c r="F19" s="174"/>
      <c r="G19" s="175"/>
      <c r="I19" s="190" t="s">
        <v>13</v>
      </c>
      <c r="J19" s="189" t="e">
        <f>'التعليم المسرع'!#REF!</f>
        <v>#REF!</v>
      </c>
      <c r="K19" s="189" t="e">
        <f>'التعليم المسرع'!#REF!</f>
        <v>#REF!</v>
      </c>
      <c r="L19" s="189" t="e">
        <f>'التعليم المسرع'!#REF!</f>
        <v>#REF!</v>
      </c>
      <c r="M19" s="192" t="e">
        <f>SUM(J19:L19)</f>
        <v>#REF!</v>
      </c>
    </row>
    <row r="20" spans="2:13" ht="22.2" thickTop="1" thickBot="1" x14ac:dyDescent="0.45">
      <c r="B20" s="170" t="s">
        <v>18</v>
      </c>
      <c r="C20" s="170" t="e">
        <f>'التعليم المسرع'!#REF!</f>
        <v>#REF!</v>
      </c>
      <c r="D20" s="170" t="e">
        <f>'التعليم المسرع'!#REF!</f>
        <v>#REF!</v>
      </c>
      <c r="E20" s="170" t="e">
        <f>'التعليم المسرع'!#REF!</f>
        <v>#REF!</v>
      </c>
      <c r="F20" s="172" t="e">
        <f t="shared" ref="F20" si="0">C20+D20+E20</f>
        <v>#REF!</v>
      </c>
      <c r="G20" s="173"/>
      <c r="I20" s="190"/>
      <c r="J20" s="189"/>
      <c r="K20" s="189"/>
      <c r="L20" s="189"/>
      <c r="M20" s="192"/>
    </row>
    <row r="21" spans="2:13" ht="22.2" thickTop="1" thickBot="1" x14ac:dyDescent="0.45">
      <c r="B21" s="171"/>
      <c r="C21" s="171"/>
      <c r="D21" s="171"/>
      <c r="E21" s="171"/>
      <c r="F21" s="174"/>
      <c r="G21" s="175"/>
      <c r="I21" s="190" t="s">
        <v>14</v>
      </c>
      <c r="J21" s="189" t="e">
        <f>'التعليم المسرع'!#REF!</f>
        <v>#REF!</v>
      </c>
      <c r="K21" s="189" t="e">
        <f>'التعليم المسرع'!#REF!</f>
        <v>#REF!</v>
      </c>
      <c r="L21" s="189" t="e">
        <f>'التعليم المسرع'!#REF!</f>
        <v>#REF!</v>
      </c>
      <c r="M21" s="192" t="e">
        <f>SUM(J21:L21)</f>
        <v>#REF!</v>
      </c>
    </row>
    <row r="22" spans="2:13" ht="22.2" thickTop="1" thickBot="1" x14ac:dyDescent="0.45">
      <c r="B22" s="170" t="s">
        <v>19</v>
      </c>
      <c r="C22" s="170" t="e">
        <f>'التعليم المسرع'!#REF!</f>
        <v>#REF!</v>
      </c>
      <c r="D22" s="170" t="e">
        <f>'التعليم المسرع'!#REF!</f>
        <v>#REF!</v>
      </c>
      <c r="E22" s="170" t="e">
        <f>'التعليم المسرع'!#REF!</f>
        <v>#REF!</v>
      </c>
      <c r="F22" s="172" t="e">
        <f t="shared" ref="F22" si="1">C22+D22+E22</f>
        <v>#REF!</v>
      </c>
      <c r="G22" s="173"/>
      <c r="I22" s="190"/>
      <c r="J22" s="189"/>
      <c r="K22" s="189"/>
      <c r="L22" s="189"/>
      <c r="M22" s="192"/>
    </row>
    <row r="23" spans="2:13" ht="22.2" thickTop="1" thickBot="1" x14ac:dyDescent="0.45">
      <c r="B23" s="171"/>
      <c r="C23" s="171"/>
      <c r="D23" s="171"/>
      <c r="E23" s="171"/>
      <c r="F23" s="174"/>
      <c r="G23" s="175"/>
      <c r="I23" s="190" t="s">
        <v>15</v>
      </c>
      <c r="J23" s="189" t="e">
        <f>J19+J21</f>
        <v>#REF!</v>
      </c>
      <c r="K23" s="189" t="e">
        <f t="shared" ref="K23:M23" si="2">K19+K21</f>
        <v>#REF!</v>
      </c>
      <c r="L23" s="189" t="e">
        <f t="shared" si="2"/>
        <v>#REF!</v>
      </c>
      <c r="M23" s="192" t="e">
        <f t="shared" si="2"/>
        <v>#REF!</v>
      </c>
    </row>
    <row r="24" spans="2:13" ht="32.25" customHeight="1" thickTop="1" thickBot="1" x14ac:dyDescent="0.45">
      <c r="B24" s="24" t="s">
        <v>15</v>
      </c>
      <c r="C24" s="25" t="e">
        <f>SUM(C18:C23)</f>
        <v>#REF!</v>
      </c>
      <c r="D24" s="25" t="e">
        <f>SUM(D18:D23)</f>
        <v>#REF!</v>
      </c>
      <c r="E24" s="25" t="e">
        <f>SUM(E18:E23)</f>
        <v>#REF!</v>
      </c>
      <c r="F24" s="185" t="e">
        <f>C24+D24+E24</f>
        <v>#REF!</v>
      </c>
      <c r="G24" s="166"/>
      <c r="I24" s="193"/>
      <c r="J24" s="191"/>
      <c r="K24" s="191"/>
      <c r="L24" s="191"/>
      <c r="M24" s="208"/>
    </row>
    <row r="25" spans="2:13" ht="21.6" thickTop="1" x14ac:dyDescent="0.4"/>
    <row r="26" spans="2:13" ht="21.6" thickBot="1" x14ac:dyDescent="0.45">
      <c r="B26" s="27"/>
      <c r="C26" s="27"/>
      <c r="D26" s="27"/>
      <c r="E26" s="27"/>
    </row>
    <row r="27" spans="2:13" ht="30" customHeight="1" thickTop="1" thickBot="1" x14ac:dyDescent="0.45">
      <c r="B27" s="209" t="s">
        <v>39</v>
      </c>
      <c r="C27" s="211"/>
      <c r="D27" s="211"/>
      <c r="E27" s="211"/>
      <c r="F27" s="211"/>
      <c r="G27" s="211"/>
      <c r="H27" s="211"/>
      <c r="I27" s="211"/>
      <c r="J27" s="211"/>
      <c r="K27" s="210"/>
      <c r="L27" s="26"/>
      <c r="M27" s="26"/>
    </row>
    <row r="28" spans="2:13" s="1" customFormat="1" ht="36.75" customHeight="1" thickTop="1" thickBot="1" x14ac:dyDescent="0.35">
      <c r="B28" s="243" t="s">
        <v>40</v>
      </c>
      <c r="C28" s="223" t="s">
        <v>32</v>
      </c>
      <c r="D28" s="223" t="s">
        <v>33</v>
      </c>
      <c r="E28" s="223" t="s">
        <v>34</v>
      </c>
      <c r="F28" s="223" t="s">
        <v>35</v>
      </c>
      <c r="G28" s="223" t="s">
        <v>36</v>
      </c>
      <c r="H28" s="223" t="s">
        <v>37</v>
      </c>
      <c r="I28" s="223" t="s">
        <v>38</v>
      </c>
      <c r="J28" s="238" t="s">
        <v>15</v>
      </c>
      <c r="K28" s="240"/>
      <c r="L28" s="8"/>
      <c r="M28" s="8"/>
    </row>
    <row r="29" spans="2:13" s="1" customFormat="1" ht="34.5" customHeight="1" thickTop="1" thickBot="1" x14ac:dyDescent="0.35">
      <c r="B29" s="244"/>
      <c r="C29" s="224"/>
      <c r="D29" s="224"/>
      <c r="E29" s="224"/>
      <c r="F29" s="224"/>
      <c r="G29" s="224"/>
      <c r="H29" s="224"/>
      <c r="I29" s="224"/>
      <c r="J29" s="232"/>
      <c r="K29" s="234"/>
      <c r="L29" s="8"/>
      <c r="M29" s="8"/>
    </row>
    <row r="30" spans="2:13" ht="22.2" thickTop="1" thickBot="1" x14ac:dyDescent="0.45">
      <c r="B30" s="190" t="s">
        <v>13</v>
      </c>
      <c r="C30" s="189" t="e">
        <f>'التعليم المسرع'!#REF!</f>
        <v>#REF!</v>
      </c>
      <c r="D30" s="189" t="e">
        <f>'التعليم المسرع'!#REF!</f>
        <v>#REF!</v>
      </c>
      <c r="E30" s="189" t="e">
        <f>'التعليم المسرع'!#REF!</f>
        <v>#REF!</v>
      </c>
      <c r="F30" s="189" t="e">
        <f>'التعليم المسرع'!#REF!</f>
        <v>#REF!</v>
      </c>
      <c r="G30" s="189" t="e">
        <f>'التعليم المسرع'!#REF!</f>
        <v>#REF!</v>
      </c>
      <c r="H30" s="189" t="e">
        <f>'التعليم المسرع'!#REF!</f>
        <v>#REF!</v>
      </c>
      <c r="I30" s="189" t="e">
        <f>'التعليم المسرع'!#REF!</f>
        <v>#REF!</v>
      </c>
      <c r="J30" s="189" t="e">
        <f>I30+H30+G30+F30+E30+D30+C30</f>
        <v>#REF!</v>
      </c>
      <c r="K30" s="192"/>
      <c r="L30" s="26"/>
      <c r="M30" s="26"/>
    </row>
    <row r="31" spans="2:13" ht="22.2" thickTop="1" thickBot="1" x14ac:dyDescent="0.45">
      <c r="B31" s="190"/>
      <c r="C31" s="189"/>
      <c r="D31" s="189"/>
      <c r="E31" s="189"/>
      <c r="F31" s="189"/>
      <c r="G31" s="189"/>
      <c r="H31" s="189"/>
      <c r="I31" s="189"/>
      <c r="J31" s="189"/>
      <c r="K31" s="192"/>
      <c r="L31" s="26"/>
      <c r="M31" s="26"/>
    </row>
    <row r="32" spans="2:13" ht="22.2" thickTop="1" thickBot="1" x14ac:dyDescent="0.45">
      <c r="B32" s="190" t="s">
        <v>14</v>
      </c>
      <c r="C32" s="189" t="e">
        <f>'التعليم المسرع'!#REF!</f>
        <v>#REF!</v>
      </c>
      <c r="D32" s="189" t="e">
        <f>'التعليم المسرع'!#REF!</f>
        <v>#REF!</v>
      </c>
      <c r="E32" s="189" t="e">
        <f>'التعليم المسرع'!#REF!</f>
        <v>#REF!</v>
      </c>
      <c r="F32" s="189" t="e">
        <f>'التعليم المسرع'!#REF!</f>
        <v>#REF!</v>
      </c>
      <c r="G32" s="189" t="e">
        <f>'التعليم المسرع'!#REF!</f>
        <v>#REF!</v>
      </c>
      <c r="H32" s="189" t="e">
        <f>'التعليم المسرع'!#REF!</f>
        <v>#REF!</v>
      </c>
      <c r="I32" s="189" t="e">
        <f>'التعليم المسرع'!#REF!</f>
        <v>#REF!</v>
      </c>
      <c r="J32" s="189" t="e">
        <f t="shared" ref="J32" si="3">I32+H32+G32+F32+E32+D32+C32</f>
        <v>#REF!</v>
      </c>
      <c r="K32" s="192"/>
      <c r="L32" s="26"/>
      <c r="M32" s="26"/>
    </row>
    <row r="33" spans="1:14" ht="22.2" thickTop="1" thickBot="1" x14ac:dyDescent="0.45">
      <c r="B33" s="190"/>
      <c r="C33" s="189"/>
      <c r="D33" s="189"/>
      <c r="E33" s="189"/>
      <c r="F33" s="189"/>
      <c r="G33" s="189"/>
      <c r="H33" s="189"/>
      <c r="I33" s="189"/>
      <c r="J33" s="189"/>
      <c r="K33" s="192"/>
      <c r="L33" s="26"/>
      <c r="M33" s="26"/>
    </row>
    <row r="34" spans="1:14" ht="22.2" thickTop="1" thickBot="1" x14ac:dyDescent="0.45">
      <c r="B34" s="190" t="s">
        <v>15</v>
      </c>
      <c r="C34" s="189" t="e">
        <f>C30+C32</f>
        <v>#REF!</v>
      </c>
      <c r="D34" s="189" t="e">
        <f t="shared" ref="D34:I34" si="4">D30+D32</f>
        <v>#REF!</v>
      </c>
      <c r="E34" s="189" t="e">
        <f t="shared" si="4"/>
        <v>#REF!</v>
      </c>
      <c r="F34" s="189" t="e">
        <f t="shared" si="4"/>
        <v>#REF!</v>
      </c>
      <c r="G34" s="189" t="e">
        <f t="shared" si="4"/>
        <v>#REF!</v>
      </c>
      <c r="H34" s="189" t="e">
        <f t="shared" si="4"/>
        <v>#REF!</v>
      </c>
      <c r="I34" s="189" t="e">
        <f t="shared" si="4"/>
        <v>#REF!</v>
      </c>
      <c r="J34" s="189" t="e">
        <f t="shared" ref="J34" si="5">I34+H34+G34+F34+E34+D34+C34</f>
        <v>#REF!</v>
      </c>
      <c r="K34" s="192"/>
      <c r="L34" s="26"/>
      <c r="M34" s="26"/>
    </row>
    <row r="35" spans="1:14" ht="22.2" thickTop="1" thickBot="1" x14ac:dyDescent="0.45">
      <c r="B35" s="193"/>
      <c r="C35" s="191"/>
      <c r="D35" s="191"/>
      <c r="E35" s="191"/>
      <c r="F35" s="191"/>
      <c r="G35" s="191"/>
      <c r="H35" s="191"/>
      <c r="I35" s="191"/>
      <c r="J35" s="191"/>
      <c r="K35" s="208"/>
      <c r="L35" s="26"/>
      <c r="M35" s="26"/>
    </row>
    <row r="36" spans="1:14" ht="21.6" thickTop="1" x14ac:dyDescent="0.4"/>
    <row r="37" spans="1:14" x14ac:dyDescent="0.4">
      <c r="A37" s="181" t="s">
        <v>55</v>
      </c>
      <c r="B37" s="181"/>
      <c r="C37" s="181"/>
    </row>
    <row r="38" spans="1:14" x14ac:dyDescent="0.4">
      <c r="A38" s="181" t="s">
        <v>56</v>
      </c>
      <c r="B38" s="181"/>
      <c r="C38" s="181"/>
      <c r="D38" s="181"/>
      <c r="K38" s="9" t="s">
        <v>169</v>
      </c>
    </row>
    <row r="39" spans="1:14" x14ac:dyDescent="0.4">
      <c r="D39" s="9" t="s">
        <v>54</v>
      </c>
    </row>
    <row r="40" spans="1:14" ht="21.6" thickBot="1" x14ac:dyDescent="0.45"/>
    <row r="41" spans="1:14" ht="22.2" thickTop="1" thickBot="1" x14ac:dyDescent="0.45">
      <c r="B41" s="203" t="s">
        <v>28</v>
      </c>
      <c r="C41" s="185" t="s">
        <v>17</v>
      </c>
      <c r="D41" s="229"/>
      <c r="E41" s="185" t="s">
        <v>18</v>
      </c>
      <c r="F41" s="229"/>
      <c r="G41" s="185" t="s">
        <v>19</v>
      </c>
      <c r="H41" s="229"/>
      <c r="I41" s="185" t="s">
        <v>29</v>
      </c>
      <c r="J41" s="169"/>
      <c r="K41" s="229"/>
      <c r="L41" s="26"/>
      <c r="M41" s="26"/>
      <c r="N41" s="26"/>
    </row>
    <row r="42" spans="1:14" ht="22.2" thickTop="1" thickBot="1" x14ac:dyDescent="0.45">
      <c r="B42" s="197"/>
      <c r="C42" s="29" t="s">
        <v>10</v>
      </c>
      <c r="D42" s="29" t="s">
        <v>11</v>
      </c>
      <c r="E42" s="29" t="s">
        <v>10</v>
      </c>
      <c r="F42" s="29" t="s">
        <v>11</v>
      </c>
      <c r="G42" s="29" t="s">
        <v>10</v>
      </c>
      <c r="H42" s="29" t="s">
        <v>11</v>
      </c>
      <c r="I42" s="29" t="s">
        <v>10</v>
      </c>
      <c r="J42" s="29" t="s">
        <v>11</v>
      </c>
      <c r="K42" s="29" t="s">
        <v>15</v>
      </c>
      <c r="L42" s="26"/>
      <c r="M42" s="26"/>
      <c r="N42" s="26"/>
    </row>
    <row r="43" spans="1:14" ht="21.6" thickTop="1" x14ac:dyDescent="0.4">
      <c r="B43" s="203" t="s">
        <v>21</v>
      </c>
      <c r="C43" s="203" t="e">
        <f>'التعليم المسرع'!#REF!</f>
        <v>#REF!</v>
      </c>
      <c r="D43" s="203" t="e">
        <f>'التعليم المسرع'!#REF!</f>
        <v>#REF!</v>
      </c>
      <c r="E43" s="203" t="e">
        <f>'التعليم المسرع'!#REF!</f>
        <v>#REF!</v>
      </c>
      <c r="F43" s="203" t="e">
        <f>'التعليم المسرع'!#REF!</f>
        <v>#REF!</v>
      </c>
      <c r="G43" s="203" t="e">
        <f>'التعليم المسرع'!#REF!</f>
        <v>#REF!</v>
      </c>
      <c r="H43" s="203" t="e">
        <f>'التعليم المسرع'!#REF!</f>
        <v>#REF!</v>
      </c>
      <c r="I43" s="203" t="e">
        <f>C43+E43+G43</f>
        <v>#REF!</v>
      </c>
      <c r="J43" s="203" t="e">
        <f>D43+F43+H43</f>
        <v>#REF!</v>
      </c>
      <c r="K43" s="203" t="e">
        <f>SUM(I43:J43)</f>
        <v>#REF!</v>
      </c>
      <c r="L43" s="26"/>
      <c r="M43" s="26"/>
      <c r="N43" s="26"/>
    </row>
    <row r="44" spans="1:14" ht="21.6" thickBot="1" x14ac:dyDescent="0.45"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26"/>
      <c r="M44" s="26"/>
      <c r="N44" s="26"/>
    </row>
    <row r="45" spans="1:14" ht="21.6" thickTop="1" x14ac:dyDescent="0.4">
      <c r="B45" s="203" t="s">
        <v>22</v>
      </c>
      <c r="C45" s="203" t="e">
        <f>'التعليم المسرع'!#REF!</f>
        <v>#REF!</v>
      </c>
      <c r="D45" s="203" t="e">
        <f>'التعليم المسرع'!#REF!</f>
        <v>#REF!</v>
      </c>
      <c r="E45" s="228" t="e">
        <f>'التعليم المسرع'!#REF!</f>
        <v>#REF!</v>
      </c>
      <c r="F45" s="228" t="e">
        <f>'التعليم المسرع'!#REF!</f>
        <v>#REF!</v>
      </c>
      <c r="G45" s="203" t="e">
        <f>'التعليم المسرع'!#REF!</f>
        <v>#REF!</v>
      </c>
      <c r="H45" s="203" t="e">
        <f>'التعليم المسرع'!#REF!</f>
        <v>#REF!</v>
      </c>
      <c r="I45" s="203" t="e">
        <f t="shared" ref="I45:J45" si="6">C45+E45+G45</f>
        <v>#REF!</v>
      </c>
      <c r="J45" s="203" t="e">
        <f t="shared" si="6"/>
        <v>#REF!</v>
      </c>
      <c r="K45" s="203" t="e">
        <f t="shared" ref="K45" si="7">SUM(I45:J45)</f>
        <v>#REF!</v>
      </c>
      <c r="L45" s="26"/>
      <c r="M45" s="26"/>
      <c r="N45" s="26"/>
    </row>
    <row r="46" spans="1:14" ht="21.6" thickBot="1" x14ac:dyDescent="0.45">
      <c r="B46" s="197"/>
      <c r="C46" s="197"/>
      <c r="D46" s="197"/>
      <c r="E46" s="198"/>
      <c r="F46" s="198"/>
      <c r="G46" s="197"/>
      <c r="H46" s="197"/>
      <c r="I46" s="197"/>
      <c r="J46" s="197"/>
      <c r="K46" s="197"/>
      <c r="L46" s="26"/>
      <c r="M46" s="26"/>
      <c r="N46" s="26"/>
    </row>
    <row r="47" spans="1:14" ht="21.6" thickTop="1" x14ac:dyDescent="0.4">
      <c r="B47" s="203" t="s">
        <v>23</v>
      </c>
      <c r="C47" s="203" t="e">
        <f>'التعليم المسرع'!#REF!</f>
        <v>#REF!</v>
      </c>
      <c r="D47" s="203" t="e">
        <f>'التعليم المسرع'!#REF!</f>
        <v>#REF!</v>
      </c>
      <c r="E47" s="228" t="e">
        <f>'التعليم المسرع'!#REF!</f>
        <v>#REF!</v>
      </c>
      <c r="F47" s="228" t="e">
        <f>'التعليم المسرع'!#REF!</f>
        <v>#REF!</v>
      </c>
      <c r="G47" s="203" t="e">
        <f>'التعليم المسرع'!#REF!</f>
        <v>#REF!</v>
      </c>
      <c r="H47" s="203" t="e">
        <f>'التعليم المسرع'!#REF!</f>
        <v>#REF!</v>
      </c>
      <c r="I47" s="203" t="e">
        <f t="shared" ref="I47:J47" si="8">C47+E47+G47</f>
        <v>#REF!</v>
      </c>
      <c r="J47" s="203" t="e">
        <f t="shared" si="8"/>
        <v>#REF!</v>
      </c>
      <c r="K47" s="203" t="e">
        <f t="shared" ref="K47" si="9">SUM(I47:J47)</f>
        <v>#REF!</v>
      </c>
      <c r="L47" s="26"/>
      <c r="M47" s="26"/>
      <c r="N47" s="26"/>
    </row>
    <row r="48" spans="1:14" ht="21.6" thickBot="1" x14ac:dyDescent="0.45">
      <c r="B48" s="197"/>
      <c r="C48" s="197"/>
      <c r="D48" s="197"/>
      <c r="E48" s="198"/>
      <c r="F48" s="198"/>
      <c r="G48" s="197"/>
      <c r="H48" s="197"/>
      <c r="I48" s="197"/>
      <c r="J48" s="197"/>
      <c r="K48" s="197"/>
      <c r="L48" s="26"/>
      <c r="M48" s="26"/>
      <c r="N48" s="26"/>
    </row>
    <row r="49" spans="1:18" ht="21.6" thickTop="1" x14ac:dyDescent="0.4">
      <c r="B49" s="203" t="s">
        <v>24</v>
      </c>
      <c r="C49" s="203" t="e">
        <f>'التعليم المسرع'!#REF!</f>
        <v>#REF!</v>
      </c>
      <c r="D49" s="203" t="e">
        <f>'التعليم المسرع'!#REF!</f>
        <v>#REF!</v>
      </c>
      <c r="E49" s="228" t="e">
        <f>'التعليم المسرع'!#REF!</f>
        <v>#REF!</v>
      </c>
      <c r="F49" s="228" t="e">
        <f>'التعليم المسرع'!#REF!</f>
        <v>#REF!</v>
      </c>
      <c r="G49" s="203" t="e">
        <f>'التعليم المسرع'!#REF!</f>
        <v>#REF!</v>
      </c>
      <c r="H49" s="203" t="e">
        <f>'التعليم المسرع'!#REF!</f>
        <v>#REF!</v>
      </c>
      <c r="I49" s="203" t="e">
        <f t="shared" ref="I49:J49" si="10">C49+E49+G49</f>
        <v>#REF!</v>
      </c>
      <c r="J49" s="203" t="e">
        <f t="shared" si="10"/>
        <v>#REF!</v>
      </c>
      <c r="K49" s="203" t="e">
        <f t="shared" ref="K49" si="11">SUM(I49:J49)</f>
        <v>#REF!</v>
      </c>
      <c r="L49" s="26"/>
      <c r="M49" s="26"/>
      <c r="N49" s="26"/>
    </row>
    <row r="50" spans="1:18" ht="21.6" thickBot="1" x14ac:dyDescent="0.45">
      <c r="B50" s="197"/>
      <c r="C50" s="197"/>
      <c r="D50" s="197"/>
      <c r="E50" s="198"/>
      <c r="F50" s="198"/>
      <c r="G50" s="197"/>
      <c r="H50" s="197"/>
      <c r="I50" s="197"/>
      <c r="J50" s="197"/>
      <c r="K50" s="197"/>
      <c r="L50" s="26"/>
      <c r="M50" s="26"/>
      <c r="N50" s="26"/>
    </row>
    <row r="51" spans="1:18" ht="21.6" thickTop="1" x14ac:dyDescent="0.4">
      <c r="B51" s="203" t="s">
        <v>25</v>
      </c>
      <c r="C51" s="203" t="e">
        <f>'التعليم المسرع'!#REF!</f>
        <v>#REF!</v>
      </c>
      <c r="D51" s="203" t="e">
        <f>'التعليم المسرع'!#REF!</f>
        <v>#REF!</v>
      </c>
      <c r="E51" s="228" t="e">
        <f>'التعليم المسرع'!#REF!</f>
        <v>#REF!</v>
      </c>
      <c r="F51" s="228" t="e">
        <f>'التعليم المسرع'!#REF!</f>
        <v>#REF!</v>
      </c>
      <c r="G51" s="203" t="e">
        <f>'التعليم المسرع'!#REF!</f>
        <v>#REF!</v>
      </c>
      <c r="H51" s="203" t="e">
        <f>'التعليم المسرع'!#REF!</f>
        <v>#REF!</v>
      </c>
      <c r="I51" s="203" t="e">
        <f t="shared" ref="I51:J51" si="12">C51+E51+G51</f>
        <v>#REF!</v>
      </c>
      <c r="J51" s="203" t="e">
        <f t="shared" si="12"/>
        <v>#REF!</v>
      </c>
      <c r="K51" s="203" t="e">
        <f t="shared" ref="K51" si="13">SUM(I51:J51)</f>
        <v>#REF!</v>
      </c>
      <c r="L51" s="26"/>
      <c r="M51" s="26"/>
      <c r="N51" s="26"/>
      <c r="O51" s="26"/>
      <c r="P51" s="26"/>
      <c r="Q51" s="26"/>
      <c r="R51" s="26"/>
    </row>
    <row r="52" spans="1:18" ht="21.6" thickBot="1" x14ac:dyDescent="0.45">
      <c r="B52" s="197"/>
      <c r="C52" s="197"/>
      <c r="D52" s="197"/>
      <c r="E52" s="198"/>
      <c r="F52" s="198"/>
      <c r="G52" s="197"/>
      <c r="H52" s="197"/>
      <c r="I52" s="197"/>
      <c r="J52" s="197"/>
      <c r="K52" s="197"/>
      <c r="L52" s="26"/>
      <c r="M52" s="26"/>
      <c r="N52" s="26"/>
      <c r="O52" s="26"/>
      <c r="P52" s="26"/>
      <c r="Q52" s="26"/>
      <c r="R52" s="26"/>
    </row>
    <row r="53" spans="1:18" ht="21.6" thickTop="1" x14ac:dyDescent="0.4">
      <c r="B53" s="203" t="s">
        <v>26</v>
      </c>
      <c r="C53" s="203" t="e">
        <f>'التعليم المسرع'!#REF!</f>
        <v>#REF!</v>
      </c>
      <c r="D53" s="203" t="e">
        <f>'التعليم المسرع'!#REF!</f>
        <v>#REF!</v>
      </c>
      <c r="E53" s="203" t="e">
        <f>'التعليم المسرع'!#REF!</f>
        <v>#REF!</v>
      </c>
      <c r="F53" s="203" t="e">
        <f>'التعليم المسرع'!#REF!</f>
        <v>#REF!</v>
      </c>
      <c r="G53" s="203" t="e">
        <f>'التعليم المسرع'!#REF!</f>
        <v>#REF!</v>
      </c>
      <c r="H53" s="203" t="e">
        <f>'التعليم المسرع'!#REF!</f>
        <v>#REF!</v>
      </c>
      <c r="I53" s="203" t="e">
        <f t="shared" ref="I53:J53" si="14">C53+E53+G53</f>
        <v>#REF!</v>
      </c>
      <c r="J53" s="203" t="e">
        <f t="shared" si="14"/>
        <v>#REF!</v>
      </c>
      <c r="K53" s="203" t="e">
        <f t="shared" ref="K53" si="15">SUM(I53:J53)</f>
        <v>#REF!</v>
      </c>
      <c r="L53" s="26"/>
      <c r="M53" s="26"/>
      <c r="N53" s="26"/>
      <c r="O53" s="26"/>
      <c r="P53" s="26"/>
      <c r="Q53" s="26"/>
      <c r="R53" s="26"/>
    </row>
    <row r="54" spans="1:18" ht="21.6" thickBot="1" x14ac:dyDescent="0.45">
      <c r="B54" s="197"/>
      <c r="C54" s="197"/>
      <c r="D54" s="197"/>
      <c r="E54" s="197"/>
      <c r="F54" s="197"/>
      <c r="G54" s="197"/>
      <c r="H54" s="197"/>
      <c r="I54" s="197"/>
      <c r="J54" s="197"/>
      <c r="K54" s="197"/>
      <c r="N54" s="26"/>
      <c r="O54" s="26"/>
      <c r="P54" s="26"/>
      <c r="Q54" s="26"/>
      <c r="R54" s="26"/>
    </row>
    <row r="55" spans="1:18" ht="21.6" thickTop="1" x14ac:dyDescent="0.4">
      <c r="B55" s="203" t="s">
        <v>27</v>
      </c>
      <c r="C55" s="203" t="e">
        <f>'التعليم المسرع'!#REF!</f>
        <v>#REF!</v>
      </c>
      <c r="D55" s="203" t="e">
        <f>'التعليم المسرع'!#REF!</f>
        <v>#REF!</v>
      </c>
      <c r="E55" s="203" t="e">
        <f>'التعليم المسرع'!#REF!</f>
        <v>#REF!</v>
      </c>
      <c r="F55" s="203" t="e">
        <f>'التعليم المسرع'!#REF!</f>
        <v>#REF!</v>
      </c>
      <c r="G55" s="203" t="e">
        <f>'التعليم المسرع'!#REF!</f>
        <v>#REF!</v>
      </c>
      <c r="H55" s="203" t="e">
        <f>'التعليم المسرع'!#REF!</f>
        <v>#REF!</v>
      </c>
      <c r="I55" s="203" t="e">
        <f t="shared" ref="I55:J55" si="16">C55+E55+G55</f>
        <v>#REF!</v>
      </c>
      <c r="J55" s="203" t="e">
        <f t="shared" si="16"/>
        <v>#REF!</v>
      </c>
      <c r="K55" s="203" t="e">
        <f t="shared" ref="K55" si="17">SUM(I55:J55)</f>
        <v>#REF!</v>
      </c>
      <c r="N55" s="26"/>
      <c r="O55" s="26"/>
      <c r="P55" s="26"/>
      <c r="Q55" s="26"/>
      <c r="R55" s="26"/>
    </row>
    <row r="56" spans="1:18" ht="21.6" thickBot="1" x14ac:dyDescent="0.45">
      <c r="B56" s="197"/>
      <c r="C56" s="197"/>
      <c r="D56" s="197"/>
      <c r="E56" s="197"/>
      <c r="F56" s="197"/>
      <c r="G56" s="197"/>
      <c r="H56" s="197"/>
      <c r="I56" s="197"/>
      <c r="J56" s="197"/>
      <c r="K56" s="197"/>
      <c r="N56" s="26"/>
      <c r="O56" s="26"/>
      <c r="P56" s="26"/>
      <c r="Q56" s="26"/>
      <c r="R56" s="26"/>
    </row>
    <row r="57" spans="1:18" ht="21.6" thickTop="1" x14ac:dyDescent="0.4">
      <c r="B57" s="203" t="s">
        <v>15</v>
      </c>
      <c r="C57" s="203" t="e">
        <f t="shared" ref="C57:H57" si="18">C43+C45+C47+C49+C51+C53+C55</f>
        <v>#REF!</v>
      </c>
      <c r="D57" s="203" t="e">
        <f t="shared" si="18"/>
        <v>#REF!</v>
      </c>
      <c r="E57" s="203" t="e">
        <f t="shared" si="18"/>
        <v>#REF!</v>
      </c>
      <c r="F57" s="203" t="e">
        <f t="shared" si="18"/>
        <v>#REF!</v>
      </c>
      <c r="G57" s="203" t="e">
        <f t="shared" si="18"/>
        <v>#REF!</v>
      </c>
      <c r="H57" s="203" t="e">
        <f t="shared" si="18"/>
        <v>#REF!</v>
      </c>
      <c r="I57" s="203" t="e">
        <f>C57+E57+G57</f>
        <v>#REF!</v>
      </c>
      <c r="J57" s="203" t="e">
        <f t="shared" ref="J57" si="19">D57+F57+H57</f>
        <v>#REF!</v>
      </c>
      <c r="K57" s="203" t="e">
        <f t="shared" ref="K57" si="20">SUM(I57:J57)</f>
        <v>#REF!</v>
      </c>
      <c r="N57" s="26"/>
      <c r="O57" s="26"/>
      <c r="P57" s="26"/>
      <c r="Q57" s="26"/>
      <c r="R57" s="26"/>
    </row>
    <row r="58" spans="1:18" ht="21.6" thickBot="1" x14ac:dyDescent="0.45">
      <c r="B58" s="197"/>
      <c r="C58" s="197"/>
      <c r="D58" s="197"/>
      <c r="E58" s="197"/>
      <c r="F58" s="197"/>
      <c r="G58" s="197"/>
      <c r="H58" s="197"/>
      <c r="I58" s="197"/>
      <c r="J58" s="197"/>
      <c r="K58" s="197"/>
      <c r="N58" s="26"/>
      <c r="O58" s="26"/>
      <c r="P58" s="26"/>
      <c r="Q58" s="26"/>
      <c r="R58" s="26"/>
    </row>
    <row r="59" spans="1:18" ht="21.6" thickTop="1" x14ac:dyDescent="0.4">
      <c r="N59" s="26"/>
      <c r="O59" s="26"/>
      <c r="P59" s="26"/>
      <c r="Q59" s="26"/>
      <c r="R59" s="26"/>
    </row>
    <row r="60" spans="1:18" ht="21.6" thickBot="1" x14ac:dyDescent="0.45"/>
    <row r="61" spans="1:18" ht="35.25" customHeight="1" thickTop="1" thickBot="1" x14ac:dyDescent="0.45">
      <c r="A61" s="194"/>
      <c r="B61" s="206" t="s">
        <v>267</v>
      </c>
      <c r="C61" s="206"/>
      <c r="D61" s="206"/>
      <c r="E61" s="206" t="s">
        <v>272</v>
      </c>
      <c r="F61" s="206"/>
      <c r="G61" s="206"/>
      <c r="H61" s="195" t="s">
        <v>273</v>
      </c>
      <c r="I61" s="195"/>
      <c r="J61" s="195"/>
      <c r="K61" s="195"/>
      <c r="L61" s="195"/>
      <c r="M61" s="195"/>
      <c r="N61" s="195" t="s">
        <v>15</v>
      </c>
      <c r="O61" s="195"/>
      <c r="P61" s="196"/>
    </row>
    <row r="62" spans="1:18" ht="33.75" customHeight="1" thickTop="1" thickBot="1" x14ac:dyDescent="0.45">
      <c r="A62" s="190"/>
      <c r="B62" s="207"/>
      <c r="C62" s="207"/>
      <c r="D62" s="207"/>
      <c r="E62" s="207"/>
      <c r="F62" s="207"/>
      <c r="G62" s="207"/>
      <c r="H62" s="189" t="s">
        <v>185</v>
      </c>
      <c r="I62" s="189"/>
      <c r="J62" s="189" t="s">
        <v>186</v>
      </c>
      <c r="K62" s="189"/>
      <c r="L62" s="189" t="s">
        <v>187</v>
      </c>
      <c r="M62" s="189"/>
      <c r="N62" s="189"/>
      <c r="O62" s="189"/>
      <c r="P62" s="192"/>
    </row>
    <row r="63" spans="1:18" ht="22.2" thickTop="1" thickBot="1" x14ac:dyDescent="0.45">
      <c r="A63" s="190"/>
      <c r="B63" s="189" t="s">
        <v>10</v>
      </c>
      <c r="C63" s="189" t="s">
        <v>11</v>
      </c>
      <c r="D63" s="189" t="s">
        <v>15</v>
      </c>
      <c r="E63" s="189" t="s">
        <v>10</v>
      </c>
      <c r="F63" s="189" t="s">
        <v>11</v>
      </c>
      <c r="G63" s="189" t="s">
        <v>15</v>
      </c>
      <c r="H63" s="189" t="s">
        <v>10</v>
      </c>
      <c r="I63" s="189" t="s">
        <v>11</v>
      </c>
      <c r="J63" s="189" t="s">
        <v>10</v>
      </c>
      <c r="K63" s="189" t="s">
        <v>11</v>
      </c>
      <c r="L63" s="189" t="s">
        <v>10</v>
      </c>
      <c r="M63" s="189" t="s">
        <v>11</v>
      </c>
      <c r="N63" s="189" t="s">
        <v>10</v>
      </c>
      <c r="O63" s="189" t="s">
        <v>11</v>
      </c>
      <c r="P63" s="192" t="s">
        <v>15</v>
      </c>
    </row>
    <row r="64" spans="1:18" ht="22.2" thickTop="1" thickBot="1" x14ac:dyDescent="0.45">
      <c r="A64" s="190"/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92"/>
    </row>
    <row r="65" spans="1:16" ht="22.2" thickTop="1" thickBot="1" x14ac:dyDescent="0.45">
      <c r="A65" s="190" t="s">
        <v>17</v>
      </c>
      <c r="B65" s="189" t="e">
        <f>'التعليم المسرع'!#REF!</f>
        <v>#REF!</v>
      </c>
      <c r="C65" s="189" t="e">
        <f>'التعليم المسرع'!#REF!</f>
        <v>#REF!</v>
      </c>
      <c r="D65" s="189" t="e">
        <f>C65+B65</f>
        <v>#REF!</v>
      </c>
      <c r="E65" s="189" t="e">
        <f>'التعليم المسرع'!#REF!</f>
        <v>#REF!</v>
      </c>
      <c r="F65" s="189" t="e">
        <f>'التعليم المسرع'!#REF!</f>
        <v>#REF!</v>
      </c>
      <c r="G65" s="189" t="e">
        <f t="shared" ref="G65" si="21">F65+E65</f>
        <v>#REF!</v>
      </c>
      <c r="H65" s="189" t="e">
        <f>'التعليم المسرع'!#REF!</f>
        <v>#REF!</v>
      </c>
      <c r="I65" s="189" t="e">
        <f>'التعليم المسرع'!#REF!</f>
        <v>#REF!</v>
      </c>
      <c r="J65" s="189" t="e">
        <f>'التعليم المسرع'!#REF!</f>
        <v>#REF!</v>
      </c>
      <c r="K65" s="189" t="e">
        <f>'التعليم المسرع'!#REF!</f>
        <v>#REF!</v>
      </c>
      <c r="L65" s="189" t="e">
        <f>'التعليم المسرع'!#REF!</f>
        <v>#REF!</v>
      </c>
      <c r="M65" s="189" t="e">
        <f>'التعليم المسرع'!#REF!</f>
        <v>#REF!</v>
      </c>
      <c r="N65" s="189" t="e">
        <f>L65+J65+H65</f>
        <v>#REF!</v>
      </c>
      <c r="O65" s="189" t="e">
        <f>M65+K65+I65</f>
        <v>#REF!</v>
      </c>
      <c r="P65" s="192" t="e">
        <f>O65+N65</f>
        <v>#REF!</v>
      </c>
    </row>
    <row r="66" spans="1:16" ht="22.2" thickTop="1" thickBot="1" x14ac:dyDescent="0.45">
      <c r="A66" s="190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92"/>
    </row>
    <row r="67" spans="1:16" ht="22.2" thickTop="1" thickBot="1" x14ac:dyDescent="0.45">
      <c r="A67" s="190" t="s">
        <v>18</v>
      </c>
      <c r="B67" s="189" t="e">
        <f>'التعليم المسرع'!#REF!</f>
        <v>#REF!</v>
      </c>
      <c r="C67" s="189" t="e">
        <f>'التعليم المسرع'!#REF!</f>
        <v>#REF!</v>
      </c>
      <c r="D67" s="189" t="e">
        <f t="shared" ref="D67" si="22">C67+B67</f>
        <v>#REF!</v>
      </c>
      <c r="E67" s="189" t="e">
        <f>'التعليم المسرع'!#REF!</f>
        <v>#REF!</v>
      </c>
      <c r="F67" s="189" t="e">
        <f>'التعليم المسرع'!#REF!</f>
        <v>#REF!</v>
      </c>
      <c r="G67" s="189" t="e">
        <f t="shared" ref="G67" si="23">F67+E67</f>
        <v>#REF!</v>
      </c>
      <c r="H67" s="189" t="e">
        <f>'التعليم المسرع'!#REF!</f>
        <v>#REF!</v>
      </c>
      <c r="I67" s="189" t="e">
        <f>'التعليم المسرع'!#REF!</f>
        <v>#REF!</v>
      </c>
      <c r="J67" s="189" t="e">
        <f>'التعليم المسرع'!#REF!</f>
        <v>#REF!</v>
      </c>
      <c r="K67" s="189" t="e">
        <f>'التعليم المسرع'!#REF!</f>
        <v>#REF!</v>
      </c>
      <c r="L67" s="189" t="e">
        <f>'التعليم المسرع'!#REF!</f>
        <v>#REF!</v>
      </c>
      <c r="M67" s="189" t="e">
        <f>'التعليم المسرع'!#REF!</f>
        <v>#REF!</v>
      </c>
      <c r="N67" s="189" t="e">
        <f t="shared" ref="N67" si="24">L67+J67+H67</f>
        <v>#REF!</v>
      </c>
      <c r="O67" s="189" t="e">
        <f t="shared" ref="O67" si="25">M67+K67+I67</f>
        <v>#REF!</v>
      </c>
      <c r="P67" s="192" t="e">
        <f t="shared" ref="P67" si="26">O67+N67</f>
        <v>#REF!</v>
      </c>
    </row>
    <row r="68" spans="1:16" ht="22.2" thickTop="1" thickBot="1" x14ac:dyDescent="0.45">
      <c r="A68" s="190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92"/>
    </row>
    <row r="69" spans="1:16" ht="22.2" thickTop="1" thickBot="1" x14ac:dyDescent="0.45">
      <c r="A69" s="190" t="s">
        <v>19</v>
      </c>
      <c r="B69" s="189" t="e">
        <f>'التعليم المسرع'!#REF!</f>
        <v>#REF!</v>
      </c>
      <c r="C69" s="189" t="e">
        <f>'التعليم المسرع'!#REF!</f>
        <v>#REF!</v>
      </c>
      <c r="D69" s="189" t="e">
        <f t="shared" ref="D69" si="27">C69+B69</f>
        <v>#REF!</v>
      </c>
      <c r="E69" s="189" t="e">
        <f>'التعليم المسرع'!#REF!</f>
        <v>#REF!</v>
      </c>
      <c r="F69" s="189" t="e">
        <f>'التعليم المسرع'!#REF!</f>
        <v>#REF!</v>
      </c>
      <c r="G69" s="189" t="e">
        <f t="shared" ref="G69" si="28">F69+E69</f>
        <v>#REF!</v>
      </c>
      <c r="H69" s="189" t="e">
        <f>'التعليم المسرع'!#REF!</f>
        <v>#REF!</v>
      </c>
      <c r="I69" s="189" t="e">
        <f>'التعليم المسرع'!#REF!</f>
        <v>#REF!</v>
      </c>
      <c r="J69" s="189" t="e">
        <f>'التعليم المسرع'!#REF!</f>
        <v>#REF!</v>
      </c>
      <c r="K69" s="189" t="e">
        <f>'التعليم المسرع'!#REF!</f>
        <v>#REF!</v>
      </c>
      <c r="L69" s="189" t="e">
        <f>'التعليم المسرع'!#REF!</f>
        <v>#REF!</v>
      </c>
      <c r="M69" s="189" t="e">
        <f>'التعليم المسرع'!#REF!</f>
        <v>#REF!</v>
      </c>
      <c r="N69" s="189" t="e">
        <f t="shared" ref="N69" si="29">L69+J69+H69</f>
        <v>#REF!</v>
      </c>
      <c r="O69" s="189" t="e">
        <f t="shared" ref="O69" si="30">M69+K69+I69</f>
        <v>#REF!</v>
      </c>
      <c r="P69" s="192" t="e">
        <f t="shared" ref="P69" si="31">O69+N69</f>
        <v>#REF!</v>
      </c>
    </row>
    <row r="70" spans="1:16" ht="22.2" thickTop="1" thickBot="1" x14ac:dyDescent="0.45">
      <c r="A70" s="193"/>
      <c r="B70" s="191"/>
      <c r="C70" s="191"/>
      <c r="D70" s="191"/>
      <c r="E70" s="191"/>
      <c r="F70" s="191"/>
      <c r="G70" s="191"/>
      <c r="H70" s="191"/>
      <c r="I70" s="191"/>
      <c r="J70" s="191"/>
      <c r="K70" s="191"/>
      <c r="L70" s="191"/>
      <c r="M70" s="191"/>
      <c r="N70" s="191"/>
      <c r="O70" s="191"/>
      <c r="P70" s="208"/>
    </row>
    <row r="71" spans="1:16" ht="21.6" thickTop="1" x14ac:dyDescent="0.4"/>
  </sheetData>
  <mergeCells count="246">
    <mergeCell ref="L67:L68"/>
    <mergeCell ref="M67:M68"/>
    <mergeCell ref="G69:G70"/>
    <mergeCell ref="H69:H70"/>
    <mergeCell ref="I69:I70"/>
    <mergeCell ref="J69:J70"/>
    <mergeCell ref="K69:K70"/>
    <mergeCell ref="L69:L70"/>
    <mergeCell ref="M69:M70"/>
    <mergeCell ref="K67:K68"/>
    <mergeCell ref="A61:A64"/>
    <mergeCell ref="A65:A66"/>
    <mergeCell ref="A67:A68"/>
    <mergeCell ref="A69:A70"/>
    <mergeCell ref="B61:D62"/>
    <mergeCell ref="E61:G62"/>
    <mergeCell ref="H61:M61"/>
    <mergeCell ref="H62:I62"/>
    <mergeCell ref="J62:K62"/>
    <mergeCell ref="L62:M62"/>
    <mergeCell ref="D63:D64"/>
    <mergeCell ref="G63:G64"/>
    <mergeCell ref="H63:H64"/>
    <mergeCell ref="I63:I64"/>
    <mergeCell ref="J63:J64"/>
    <mergeCell ref="K63:K64"/>
    <mergeCell ref="D65:D66"/>
    <mergeCell ref="D67:D68"/>
    <mergeCell ref="D69:D70"/>
    <mergeCell ref="G65:G66"/>
    <mergeCell ref="H65:H66"/>
    <mergeCell ref="I65:I66"/>
    <mergeCell ref="J65:J66"/>
    <mergeCell ref="K65:K66"/>
    <mergeCell ref="P69:P70"/>
    <mergeCell ref="C65:C66"/>
    <mergeCell ref="C67:C68"/>
    <mergeCell ref="C69:C70"/>
    <mergeCell ref="N69:N70"/>
    <mergeCell ref="O69:O70"/>
    <mergeCell ref="P65:P66"/>
    <mergeCell ref="E65:E66"/>
    <mergeCell ref="F65:F66"/>
    <mergeCell ref="E67:E68"/>
    <mergeCell ref="F67:F68"/>
    <mergeCell ref="E69:E70"/>
    <mergeCell ref="F69:F70"/>
    <mergeCell ref="N67:N68"/>
    <mergeCell ref="O67:O68"/>
    <mergeCell ref="P67:P68"/>
    <mergeCell ref="N65:N66"/>
    <mergeCell ref="O65:O66"/>
    <mergeCell ref="L65:L66"/>
    <mergeCell ref="M65:M66"/>
    <mergeCell ref="G67:G68"/>
    <mergeCell ref="H67:H68"/>
    <mergeCell ref="I67:I68"/>
    <mergeCell ref="J67:J68"/>
    <mergeCell ref="N61:P62"/>
    <mergeCell ref="B63:B64"/>
    <mergeCell ref="C63:C64"/>
    <mergeCell ref="E63:E64"/>
    <mergeCell ref="F63:F64"/>
    <mergeCell ref="L63:L64"/>
    <mergeCell ref="M63:M64"/>
    <mergeCell ref="N63:N64"/>
    <mergeCell ref="O63:O64"/>
    <mergeCell ref="P63:P64"/>
    <mergeCell ref="B8:D8"/>
    <mergeCell ref="G8:I8"/>
    <mergeCell ref="L8:N8"/>
    <mergeCell ref="B11:C11"/>
    <mergeCell ref="F11:H11"/>
    <mergeCell ref="K11:M11"/>
    <mergeCell ref="A1:C1"/>
    <mergeCell ref="A2:D2"/>
    <mergeCell ref="A3:O3"/>
    <mergeCell ref="B6:D6"/>
    <mergeCell ref="G6:I6"/>
    <mergeCell ref="L6:N6"/>
    <mergeCell ref="B16:G16"/>
    <mergeCell ref="F17:G17"/>
    <mergeCell ref="B18:B19"/>
    <mergeCell ref="C18:C19"/>
    <mergeCell ref="D18:D19"/>
    <mergeCell ref="E18:E19"/>
    <mergeCell ref="F18:G19"/>
    <mergeCell ref="B65:B66"/>
    <mergeCell ref="B20:B21"/>
    <mergeCell ref="C20:C21"/>
    <mergeCell ref="D20:D21"/>
    <mergeCell ref="E20:E21"/>
    <mergeCell ref="F20:G21"/>
    <mergeCell ref="B67:B68"/>
    <mergeCell ref="B22:B23"/>
    <mergeCell ref="C22:C23"/>
    <mergeCell ref="D22:D23"/>
    <mergeCell ref="E22:E23"/>
    <mergeCell ref="F22:G23"/>
    <mergeCell ref="F43:F44"/>
    <mergeCell ref="G43:G44"/>
    <mergeCell ref="B32:B33"/>
    <mergeCell ref="C32:C33"/>
    <mergeCell ref="D32:D33"/>
    <mergeCell ref="E32:E33"/>
    <mergeCell ref="F32:F33"/>
    <mergeCell ref="G32:G33"/>
    <mergeCell ref="B69:B70"/>
    <mergeCell ref="F24:G24"/>
    <mergeCell ref="A37:C37"/>
    <mergeCell ref="A38:D38"/>
    <mergeCell ref="B41:B42"/>
    <mergeCell ref="C41:D41"/>
    <mergeCell ref="E41:F41"/>
    <mergeCell ref="G41:H41"/>
    <mergeCell ref="I41:K41"/>
    <mergeCell ref="K43:K44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B43:B44"/>
    <mergeCell ref="C43:C44"/>
    <mergeCell ref="D43:D44"/>
    <mergeCell ref="E43:E44"/>
    <mergeCell ref="H43:H44"/>
    <mergeCell ref="I43:I44"/>
    <mergeCell ref="J43:J44"/>
    <mergeCell ref="K47:K48"/>
    <mergeCell ref="B49:B50"/>
    <mergeCell ref="C49:C50"/>
    <mergeCell ref="D49:D50"/>
    <mergeCell ref="E49:E50"/>
    <mergeCell ref="F49:F50"/>
    <mergeCell ref="G49:G50"/>
    <mergeCell ref="H49:H50"/>
    <mergeCell ref="I49:I50"/>
    <mergeCell ref="J49:J50"/>
    <mergeCell ref="K49:K50"/>
    <mergeCell ref="B47:B48"/>
    <mergeCell ref="C47:C48"/>
    <mergeCell ref="D47:D48"/>
    <mergeCell ref="E47:E48"/>
    <mergeCell ref="F47:F48"/>
    <mergeCell ref="G47:G48"/>
    <mergeCell ref="H47:H48"/>
    <mergeCell ref="I47:I48"/>
    <mergeCell ref="J47:J48"/>
    <mergeCell ref="I55:I56"/>
    <mergeCell ref="J55:J56"/>
    <mergeCell ref="K51:K52"/>
    <mergeCell ref="B53:B54"/>
    <mergeCell ref="C53:C54"/>
    <mergeCell ref="D53:D54"/>
    <mergeCell ref="E53:E54"/>
    <mergeCell ref="F53:F54"/>
    <mergeCell ref="G53:G54"/>
    <mergeCell ref="H53:H54"/>
    <mergeCell ref="I53:I54"/>
    <mergeCell ref="J53:J54"/>
    <mergeCell ref="K53:K54"/>
    <mergeCell ref="B51:B52"/>
    <mergeCell ref="C51:C52"/>
    <mergeCell ref="D51:D52"/>
    <mergeCell ref="E51:E52"/>
    <mergeCell ref="F51:F52"/>
    <mergeCell ref="G51:G52"/>
    <mergeCell ref="H51:H52"/>
    <mergeCell ref="I51:I52"/>
    <mergeCell ref="J51:J52"/>
    <mergeCell ref="K57:K58"/>
    <mergeCell ref="I16:M16"/>
    <mergeCell ref="I17:I18"/>
    <mergeCell ref="J17:J18"/>
    <mergeCell ref="K17:K18"/>
    <mergeCell ref="L17:L18"/>
    <mergeCell ref="M17:M18"/>
    <mergeCell ref="K55:K56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B55:B56"/>
    <mergeCell ref="C55:C56"/>
    <mergeCell ref="D55:D56"/>
    <mergeCell ref="E55:E56"/>
    <mergeCell ref="F55:F56"/>
    <mergeCell ref="G55:G56"/>
    <mergeCell ref="H55:H56"/>
    <mergeCell ref="I23:I24"/>
    <mergeCell ref="J23:J24"/>
    <mergeCell ref="K23:K24"/>
    <mergeCell ref="L23:L24"/>
    <mergeCell ref="M23:M24"/>
    <mergeCell ref="B27:K27"/>
    <mergeCell ref="I19:I20"/>
    <mergeCell ref="J19:J20"/>
    <mergeCell ref="K19:K20"/>
    <mergeCell ref="L19:L20"/>
    <mergeCell ref="M19:M20"/>
    <mergeCell ref="I21:I22"/>
    <mergeCell ref="J21:J22"/>
    <mergeCell ref="K21:K22"/>
    <mergeCell ref="L21:L22"/>
    <mergeCell ref="M21:M22"/>
    <mergeCell ref="H28:H29"/>
    <mergeCell ref="I28:I29"/>
    <mergeCell ref="J28:K29"/>
    <mergeCell ref="B30:B31"/>
    <mergeCell ref="C30:C31"/>
    <mergeCell ref="D30:D31"/>
    <mergeCell ref="E30:E31"/>
    <mergeCell ref="F30:F31"/>
    <mergeCell ref="G30:G31"/>
    <mergeCell ref="H30:H31"/>
    <mergeCell ref="B28:B29"/>
    <mergeCell ref="C28:C29"/>
    <mergeCell ref="D28:D29"/>
    <mergeCell ref="E28:E29"/>
    <mergeCell ref="F28:F29"/>
    <mergeCell ref="G28:G29"/>
    <mergeCell ref="I30:I31"/>
    <mergeCell ref="J30:K31"/>
    <mergeCell ref="H32:H33"/>
    <mergeCell ref="I32:I33"/>
    <mergeCell ref="J32:K33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</mergeCells>
  <printOptions horizontalCentered="1" verticalCentered="1"/>
  <pageMargins left="0.23622047244094491" right="0.23622047244094491" top="0.19685039370078741" bottom="0.19685039370078741" header="0.19685039370078741" footer="0.19685039370078741"/>
  <pageSetup paperSize="9" scale="65" orientation="landscape" horizontalDpi="300" verticalDpi="300" r:id="rId1"/>
  <rowBreaks count="1" manualBreakCount="1">
    <brk id="36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Q72"/>
  <sheetViews>
    <sheetView rightToLeft="1" view="pageBreakPreview" topLeftCell="A6" zoomScale="60" workbookViewId="0">
      <selection activeCell="N27" sqref="N27"/>
    </sheetView>
  </sheetViews>
  <sheetFormatPr defaultColWidth="9" defaultRowHeight="21" x14ac:dyDescent="0.4"/>
  <cols>
    <col min="1" max="1" width="14.69921875" style="9" customWidth="1"/>
    <col min="2" max="2" width="16.296875" style="9" customWidth="1"/>
    <col min="3" max="3" width="10.796875" style="9" customWidth="1"/>
    <col min="4" max="5" width="9" style="9"/>
    <col min="6" max="6" width="11.296875" style="9" customWidth="1"/>
    <col min="7" max="7" width="9" style="9"/>
    <col min="8" max="8" width="10.19921875" style="9" customWidth="1"/>
    <col min="9" max="9" width="10.296875" style="9" customWidth="1"/>
    <col min="10" max="10" width="10.19921875" style="9" customWidth="1"/>
    <col min="11" max="11" width="10.296875" style="9" customWidth="1"/>
    <col min="12" max="12" width="9.8984375" style="9" customWidth="1"/>
    <col min="13" max="13" width="10.19921875" style="9" customWidth="1"/>
    <col min="14" max="14" width="11.19921875" style="9" customWidth="1"/>
    <col min="15" max="16384" width="9" style="9"/>
  </cols>
  <sheetData>
    <row r="1" spans="1:14" x14ac:dyDescent="0.4">
      <c r="A1" s="181" t="s">
        <v>55</v>
      </c>
      <c r="B1" s="181"/>
      <c r="C1" s="181"/>
    </row>
    <row r="2" spans="1:14" x14ac:dyDescent="0.4">
      <c r="A2" s="181" t="s">
        <v>56</v>
      </c>
      <c r="B2" s="181"/>
      <c r="C2" s="181"/>
      <c r="D2" s="181"/>
    </row>
    <row r="3" spans="1:14" x14ac:dyDescent="0.4">
      <c r="C3" s="181" t="s">
        <v>52</v>
      </c>
      <c r="D3" s="181"/>
      <c r="E3" s="181"/>
      <c r="F3" s="181"/>
      <c r="G3" s="181"/>
      <c r="H3" s="181"/>
      <c r="I3" s="181"/>
      <c r="J3" s="181"/>
      <c r="K3" s="181"/>
      <c r="L3" s="181"/>
    </row>
    <row r="5" spans="1:14" x14ac:dyDescent="0.4">
      <c r="E5" s="9" t="s">
        <v>266</v>
      </c>
    </row>
    <row r="6" spans="1:14" ht="21.6" thickBot="1" x14ac:dyDescent="0.45"/>
    <row r="7" spans="1:14" ht="31.5" customHeight="1" thickTop="1" thickBot="1" x14ac:dyDescent="0.45">
      <c r="A7" s="9" t="s">
        <v>1</v>
      </c>
      <c r="B7" s="165" t="s">
        <v>41</v>
      </c>
      <c r="C7" s="169"/>
      <c r="D7" s="166"/>
      <c r="F7" s="9" t="s">
        <v>2</v>
      </c>
      <c r="G7" s="165" t="s">
        <v>51</v>
      </c>
      <c r="H7" s="169"/>
      <c r="I7" s="166"/>
      <c r="K7" s="9" t="s">
        <v>0</v>
      </c>
      <c r="L7" s="165" t="s">
        <v>181</v>
      </c>
      <c r="M7" s="169"/>
      <c r="N7" s="166"/>
    </row>
    <row r="8" spans="1:14" ht="22.2" thickTop="1" thickBot="1" x14ac:dyDescent="0.45"/>
    <row r="9" spans="1:14" ht="22.2" thickTop="1" thickBot="1" x14ac:dyDescent="0.45">
      <c r="A9" s="9" t="s">
        <v>43</v>
      </c>
      <c r="B9" s="209" t="e">
        <f>'التعليم المسرع'!#REF!+'التعليم المسرع'!#REF!</f>
        <v>#REF!</v>
      </c>
      <c r="C9" s="211"/>
      <c r="D9" s="210"/>
      <c r="F9" s="9" t="s">
        <v>3</v>
      </c>
      <c r="G9" s="209" t="e">
        <f>'التعليم المسرع'!#REF!</f>
        <v>#REF!</v>
      </c>
      <c r="H9" s="211"/>
      <c r="I9" s="210"/>
      <c r="K9" s="9" t="s">
        <v>4</v>
      </c>
      <c r="L9" s="209" t="e">
        <f>'التعليم المسرع'!#REF!</f>
        <v>#REF!</v>
      </c>
      <c r="M9" s="211"/>
      <c r="N9" s="210"/>
    </row>
    <row r="10" spans="1:14" ht="21.6" thickTop="1" x14ac:dyDescent="0.4"/>
    <row r="11" spans="1:14" ht="21.6" thickBot="1" x14ac:dyDescent="0.45"/>
    <row r="12" spans="1:14" ht="22.2" thickTop="1" thickBot="1" x14ac:dyDescent="0.45">
      <c r="B12" s="209" t="s">
        <v>5</v>
      </c>
      <c r="C12" s="210"/>
      <c r="F12" s="209" t="s">
        <v>6</v>
      </c>
      <c r="G12" s="211"/>
      <c r="H12" s="210"/>
      <c r="K12" s="209" t="s">
        <v>7</v>
      </c>
      <c r="L12" s="211"/>
      <c r="M12" s="210"/>
    </row>
    <row r="13" spans="1:14" ht="22.2" thickTop="1" thickBot="1" x14ac:dyDescent="0.45">
      <c r="B13" s="10" t="s">
        <v>8</v>
      </c>
      <c r="C13" s="11" t="s">
        <v>9</v>
      </c>
      <c r="F13" s="12" t="s">
        <v>10</v>
      </c>
      <c r="G13" s="13" t="s">
        <v>11</v>
      </c>
      <c r="H13" s="14" t="s">
        <v>12</v>
      </c>
      <c r="K13" s="10" t="s">
        <v>13</v>
      </c>
      <c r="L13" s="15" t="s">
        <v>14</v>
      </c>
      <c r="M13" s="11" t="s">
        <v>15</v>
      </c>
    </row>
    <row r="14" spans="1:14" ht="22.2" thickTop="1" thickBot="1" x14ac:dyDescent="0.45">
      <c r="B14" s="16" t="e">
        <f>'التعليم المسرع'!#REF!</f>
        <v>#REF!</v>
      </c>
      <c r="C14" s="17" t="e">
        <f>'التعليم المسرع'!#REF!</f>
        <v>#REF!</v>
      </c>
      <c r="F14" s="18" t="e">
        <f>'التعليم المسرع'!#REF!</f>
        <v>#REF!</v>
      </c>
      <c r="G14" s="19" t="e">
        <f>'التعليم المسرع'!#REF!</f>
        <v>#REF!</v>
      </c>
      <c r="H14" s="20" t="e">
        <f>'التعليم المسرع'!#REF!</f>
        <v>#REF!</v>
      </c>
      <c r="K14" s="16" t="e">
        <f>'التعليم المسرع'!#REF!</f>
        <v>#REF!</v>
      </c>
      <c r="L14" s="21" t="e">
        <f>'التعليم المسرع'!#REF!</f>
        <v>#REF!</v>
      </c>
      <c r="M14" s="17" t="e">
        <f>SUM(K14:L14)</f>
        <v>#REF!</v>
      </c>
    </row>
    <row r="15" spans="1:14" ht="21.6" thickTop="1" x14ac:dyDescent="0.4"/>
    <row r="16" spans="1:14" ht="21.6" thickBot="1" x14ac:dyDescent="0.45"/>
    <row r="17" spans="2:14" ht="38.25" customHeight="1" thickTop="1" thickBot="1" x14ac:dyDescent="0.45">
      <c r="B17" s="165" t="s">
        <v>20</v>
      </c>
      <c r="C17" s="169"/>
      <c r="D17" s="169"/>
      <c r="E17" s="169"/>
      <c r="F17" s="169"/>
      <c r="G17" s="166"/>
      <c r="I17" s="222" t="s">
        <v>30</v>
      </c>
      <c r="J17" s="248"/>
      <c r="K17" s="248"/>
      <c r="L17" s="248"/>
      <c r="M17" s="248"/>
      <c r="N17" s="248"/>
    </row>
    <row r="18" spans="2:14" ht="25.5" customHeight="1" thickTop="1" thickBot="1" x14ac:dyDescent="0.45">
      <c r="B18" s="22" t="s">
        <v>16</v>
      </c>
      <c r="C18" s="23" t="s">
        <v>10</v>
      </c>
      <c r="D18" s="23" t="s">
        <v>11</v>
      </c>
      <c r="E18" s="23" t="s">
        <v>12</v>
      </c>
      <c r="F18" s="167" t="s">
        <v>15</v>
      </c>
      <c r="G18" s="168"/>
      <c r="I18" s="194" t="s">
        <v>31</v>
      </c>
      <c r="J18" s="195" t="s">
        <v>44</v>
      </c>
      <c r="K18" s="195" t="s">
        <v>45</v>
      </c>
      <c r="L18" s="195" t="s">
        <v>46</v>
      </c>
      <c r="M18" s="195" t="s">
        <v>247</v>
      </c>
      <c r="N18" s="196" t="s">
        <v>47</v>
      </c>
    </row>
    <row r="19" spans="2:14" ht="22.2" thickTop="1" thickBot="1" x14ac:dyDescent="0.45">
      <c r="B19" s="170" t="s">
        <v>17</v>
      </c>
      <c r="C19" s="170" t="e">
        <f>'التعليم المسرع'!#REF!</f>
        <v>#REF!</v>
      </c>
      <c r="D19" s="170" t="e">
        <f>'التعليم المسرع'!#REF!</f>
        <v>#REF!</v>
      </c>
      <c r="E19" s="170" t="e">
        <f>'التعليم المسرع'!#REF!</f>
        <v>#REF!</v>
      </c>
      <c r="F19" s="172" t="e">
        <f>C19+D19+E19</f>
        <v>#REF!</v>
      </c>
      <c r="G19" s="173"/>
      <c r="I19" s="190"/>
      <c r="J19" s="189"/>
      <c r="K19" s="189"/>
      <c r="L19" s="189"/>
      <c r="M19" s="189"/>
      <c r="N19" s="192"/>
    </row>
    <row r="20" spans="2:14" ht="22.2" thickTop="1" thickBot="1" x14ac:dyDescent="0.45">
      <c r="B20" s="171"/>
      <c r="C20" s="171"/>
      <c r="D20" s="171"/>
      <c r="E20" s="171"/>
      <c r="F20" s="174"/>
      <c r="G20" s="175"/>
      <c r="I20" s="190" t="s">
        <v>13</v>
      </c>
      <c r="J20" s="189" t="e">
        <f>'التعليم المسرع'!#REF!</f>
        <v>#REF!</v>
      </c>
      <c r="K20" s="189" t="e">
        <f>'التعليم المسرع'!#REF!</f>
        <v>#REF!</v>
      </c>
      <c r="L20" s="189" t="e">
        <f>'التعليم المسرع'!#REF!</f>
        <v>#REF!</v>
      </c>
      <c r="M20" s="189" t="e">
        <f>'التعليم المسرع'!#REF!</f>
        <v>#REF!</v>
      </c>
      <c r="N20" s="162" t="e">
        <f>SUM(J20:M21)</f>
        <v>#REF!</v>
      </c>
    </row>
    <row r="21" spans="2:14" ht="22.2" thickTop="1" thickBot="1" x14ac:dyDescent="0.45">
      <c r="B21" s="170" t="s">
        <v>18</v>
      </c>
      <c r="C21" s="170" t="e">
        <f>'التعليم المسرع'!#REF!</f>
        <v>#REF!</v>
      </c>
      <c r="D21" s="170" t="e">
        <f>'التعليم المسرع'!#REF!</f>
        <v>#REF!</v>
      </c>
      <c r="E21" s="170" t="e">
        <f>'التعليم المسرع'!#REF!</f>
        <v>#REF!</v>
      </c>
      <c r="F21" s="172" t="e">
        <f t="shared" ref="F21" si="0">C21+D21+E21</f>
        <v>#REF!</v>
      </c>
      <c r="G21" s="173"/>
      <c r="I21" s="190"/>
      <c r="J21" s="189"/>
      <c r="K21" s="189"/>
      <c r="L21" s="189"/>
      <c r="M21" s="189"/>
      <c r="N21" s="163"/>
    </row>
    <row r="22" spans="2:14" ht="22.2" thickTop="1" thickBot="1" x14ac:dyDescent="0.45">
      <c r="B22" s="171"/>
      <c r="C22" s="171"/>
      <c r="D22" s="171"/>
      <c r="E22" s="171"/>
      <c r="F22" s="174"/>
      <c r="G22" s="175"/>
      <c r="I22" s="190" t="s">
        <v>14</v>
      </c>
      <c r="J22" s="189" t="e">
        <f>'التعليم المسرع'!#REF!</f>
        <v>#REF!</v>
      </c>
      <c r="K22" s="189" t="e">
        <f>'التعليم المسرع'!#REF!</f>
        <v>#REF!</v>
      </c>
      <c r="L22" s="189" t="e">
        <f>'التعليم المسرع'!#REF!</f>
        <v>#REF!</v>
      </c>
      <c r="M22" s="189" t="e">
        <f>'التعليم المسرع'!#REF!</f>
        <v>#REF!</v>
      </c>
      <c r="N22" s="162" t="e">
        <f>SUM(J22:M23)</f>
        <v>#REF!</v>
      </c>
    </row>
    <row r="23" spans="2:14" ht="22.2" thickTop="1" thickBot="1" x14ac:dyDescent="0.45">
      <c r="B23" s="170" t="s">
        <v>19</v>
      </c>
      <c r="C23" s="170" t="e">
        <f>'التعليم المسرع'!#REF!</f>
        <v>#REF!</v>
      </c>
      <c r="D23" s="170" t="e">
        <f>'التعليم المسرع'!#REF!</f>
        <v>#REF!</v>
      </c>
      <c r="E23" s="170" t="e">
        <f>'التعليم المسرع'!#REF!</f>
        <v>#REF!</v>
      </c>
      <c r="F23" s="172" t="e">
        <f t="shared" ref="F23" si="1">C23+D23+E23</f>
        <v>#REF!</v>
      </c>
      <c r="G23" s="173"/>
      <c r="I23" s="190"/>
      <c r="J23" s="189"/>
      <c r="K23" s="189"/>
      <c r="L23" s="189"/>
      <c r="M23" s="189"/>
      <c r="N23" s="163"/>
    </row>
    <row r="24" spans="2:14" ht="22.2" thickTop="1" thickBot="1" x14ac:dyDescent="0.45">
      <c r="B24" s="171"/>
      <c r="C24" s="171"/>
      <c r="D24" s="171"/>
      <c r="E24" s="171"/>
      <c r="F24" s="174"/>
      <c r="G24" s="175"/>
      <c r="I24" s="190" t="s">
        <v>15</v>
      </c>
      <c r="J24" s="189" t="e">
        <f>J20+J22</f>
        <v>#REF!</v>
      </c>
      <c r="K24" s="189"/>
      <c r="L24" s="189" t="e">
        <f t="shared" ref="L24:N24" si="2">L20+L22</f>
        <v>#REF!</v>
      </c>
      <c r="M24" s="189" t="e">
        <f t="shared" ref="M24" si="3">M20+M22</f>
        <v>#REF!</v>
      </c>
      <c r="N24" s="192" t="e">
        <f t="shared" si="2"/>
        <v>#REF!</v>
      </c>
    </row>
    <row r="25" spans="2:14" ht="27" customHeight="1" thickTop="1" thickBot="1" x14ac:dyDescent="0.45">
      <c r="B25" s="24" t="s">
        <v>15</v>
      </c>
      <c r="C25" s="25" t="e">
        <f>SUM(C19:C24)</f>
        <v>#REF!</v>
      </c>
      <c r="D25" s="25" t="e">
        <f t="shared" ref="D25:E25" si="4">SUM(D19:D24)</f>
        <v>#REF!</v>
      </c>
      <c r="E25" s="25" t="e">
        <f t="shared" si="4"/>
        <v>#REF!</v>
      </c>
      <c r="F25" s="185" t="e">
        <f>C25+D25+E25</f>
        <v>#REF!</v>
      </c>
      <c r="G25" s="166"/>
      <c r="I25" s="193"/>
      <c r="J25" s="191"/>
      <c r="K25" s="191"/>
      <c r="L25" s="191"/>
      <c r="M25" s="191"/>
      <c r="N25" s="208"/>
    </row>
    <row r="26" spans="2:14" ht="21.6" thickTop="1" x14ac:dyDescent="0.4"/>
    <row r="27" spans="2:14" ht="21.6" thickBot="1" x14ac:dyDescent="0.45">
      <c r="B27" s="27"/>
      <c r="C27" s="27"/>
      <c r="D27" s="27"/>
      <c r="E27" s="27"/>
    </row>
    <row r="28" spans="2:14" ht="29.25" customHeight="1" thickTop="1" thickBot="1" x14ac:dyDescent="0.45">
      <c r="B28" s="165" t="s">
        <v>39</v>
      </c>
      <c r="C28" s="169"/>
      <c r="D28" s="169"/>
      <c r="E28" s="169"/>
      <c r="F28" s="169"/>
      <c r="G28" s="169"/>
      <c r="H28" s="169"/>
      <c r="I28" s="169"/>
      <c r="J28" s="169"/>
      <c r="K28" s="166"/>
      <c r="L28" s="26"/>
      <c r="M28" s="26"/>
    </row>
    <row r="29" spans="2:14" ht="30" customHeight="1" thickTop="1" thickBot="1" x14ac:dyDescent="0.45">
      <c r="B29" s="212" t="s">
        <v>40</v>
      </c>
      <c r="C29" s="206" t="s">
        <v>32</v>
      </c>
      <c r="D29" s="206" t="s">
        <v>33</v>
      </c>
      <c r="E29" s="206" t="s">
        <v>34</v>
      </c>
      <c r="F29" s="206" t="s">
        <v>35</v>
      </c>
      <c r="G29" s="206" t="s">
        <v>36</v>
      </c>
      <c r="H29" s="206" t="s">
        <v>37</v>
      </c>
      <c r="I29" s="206" t="s">
        <v>38</v>
      </c>
      <c r="J29" s="195" t="s">
        <v>15</v>
      </c>
      <c r="K29" s="196"/>
      <c r="L29" s="26"/>
      <c r="M29" s="26"/>
    </row>
    <row r="30" spans="2:14" ht="53.25" customHeight="1" thickTop="1" thickBot="1" x14ac:dyDescent="0.45">
      <c r="B30" s="213"/>
      <c r="C30" s="207"/>
      <c r="D30" s="207"/>
      <c r="E30" s="207"/>
      <c r="F30" s="207"/>
      <c r="G30" s="207"/>
      <c r="H30" s="207"/>
      <c r="I30" s="207"/>
      <c r="J30" s="189"/>
      <c r="K30" s="192"/>
      <c r="L30" s="26"/>
      <c r="M30" s="26"/>
    </row>
    <row r="31" spans="2:14" ht="22.2" thickTop="1" thickBot="1" x14ac:dyDescent="0.45">
      <c r="B31" s="190" t="s">
        <v>13</v>
      </c>
      <c r="C31" s="189" t="e">
        <f>'التعليم المسرع'!#REF!</f>
        <v>#REF!</v>
      </c>
      <c r="D31" s="189" t="e">
        <f>'التعليم المسرع'!#REF!</f>
        <v>#REF!</v>
      </c>
      <c r="E31" s="189" t="e">
        <f>'التعليم المسرع'!#REF!</f>
        <v>#REF!</v>
      </c>
      <c r="F31" s="189" t="e">
        <f>'التعليم المسرع'!#REF!</f>
        <v>#REF!</v>
      </c>
      <c r="G31" s="189" t="e">
        <f>'التعليم المسرع'!#REF!</f>
        <v>#REF!</v>
      </c>
      <c r="H31" s="189" t="e">
        <f>'التعليم المسرع'!#REF!</f>
        <v>#REF!</v>
      </c>
      <c r="I31" s="189" t="e">
        <f>'التعليم المسرع'!#REF!</f>
        <v>#REF!</v>
      </c>
      <c r="J31" s="189" t="e">
        <f>I31+H31+G31+F31+E31+D31+C31</f>
        <v>#REF!</v>
      </c>
      <c r="K31" s="192"/>
      <c r="L31" s="26"/>
      <c r="M31" s="26"/>
    </row>
    <row r="32" spans="2:14" ht="22.2" thickTop="1" thickBot="1" x14ac:dyDescent="0.45">
      <c r="B32" s="190"/>
      <c r="C32" s="189"/>
      <c r="D32" s="189"/>
      <c r="E32" s="189"/>
      <c r="F32" s="189"/>
      <c r="G32" s="189"/>
      <c r="H32" s="189"/>
      <c r="I32" s="189"/>
      <c r="J32" s="189"/>
      <c r="K32" s="192"/>
      <c r="L32" s="26"/>
      <c r="M32" s="26"/>
    </row>
    <row r="33" spans="1:16" ht="22.2" thickTop="1" thickBot="1" x14ac:dyDescent="0.45">
      <c r="B33" s="190" t="s">
        <v>14</v>
      </c>
      <c r="C33" s="189" t="e">
        <f>'التعليم المسرع'!#REF!</f>
        <v>#REF!</v>
      </c>
      <c r="D33" s="189" t="e">
        <f>'التعليم المسرع'!#REF!</f>
        <v>#REF!</v>
      </c>
      <c r="E33" s="189" t="e">
        <f>'التعليم المسرع'!#REF!</f>
        <v>#REF!</v>
      </c>
      <c r="F33" s="189" t="e">
        <f>'التعليم المسرع'!#REF!</f>
        <v>#REF!</v>
      </c>
      <c r="G33" s="189" t="e">
        <f>'التعليم المسرع'!#REF!</f>
        <v>#REF!</v>
      </c>
      <c r="H33" s="189" t="e">
        <f>'التعليم المسرع'!#REF!</f>
        <v>#REF!</v>
      </c>
      <c r="I33" s="189" t="e">
        <f>'التعليم المسرع'!#REF!</f>
        <v>#REF!</v>
      </c>
      <c r="J33" s="189" t="e">
        <f t="shared" ref="J33" si="5">I33+H33+G33+F33+E33+D33+C33</f>
        <v>#REF!</v>
      </c>
      <c r="K33" s="192"/>
      <c r="L33" s="26"/>
      <c r="M33" s="26"/>
    </row>
    <row r="34" spans="1:16" ht="22.2" thickTop="1" thickBot="1" x14ac:dyDescent="0.45">
      <c r="B34" s="190"/>
      <c r="C34" s="189"/>
      <c r="D34" s="189"/>
      <c r="E34" s="189"/>
      <c r="F34" s="189"/>
      <c r="G34" s="189"/>
      <c r="H34" s="189"/>
      <c r="I34" s="189"/>
      <c r="J34" s="189"/>
      <c r="K34" s="192"/>
      <c r="L34" s="26"/>
      <c r="M34" s="26"/>
    </row>
    <row r="35" spans="1:16" ht="22.2" thickTop="1" thickBot="1" x14ac:dyDescent="0.45">
      <c r="B35" s="190" t="s">
        <v>15</v>
      </c>
      <c r="C35" s="189" t="e">
        <f>C31+C33</f>
        <v>#REF!</v>
      </c>
      <c r="D35" s="189" t="e">
        <f t="shared" ref="D35:I35" si="6">D31+D33</f>
        <v>#REF!</v>
      </c>
      <c r="E35" s="189" t="e">
        <f t="shared" si="6"/>
        <v>#REF!</v>
      </c>
      <c r="F35" s="189" t="e">
        <f t="shared" si="6"/>
        <v>#REF!</v>
      </c>
      <c r="G35" s="189" t="e">
        <f t="shared" si="6"/>
        <v>#REF!</v>
      </c>
      <c r="H35" s="189" t="e">
        <f t="shared" si="6"/>
        <v>#REF!</v>
      </c>
      <c r="I35" s="189" t="e">
        <f t="shared" si="6"/>
        <v>#REF!</v>
      </c>
      <c r="J35" s="189" t="e">
        <f t="shared" ref="J35" si="7">I35+H35+G35+F35+E35+D35+C35</f>
        <v>#REF!</v>
      </c>
      <c r="K35" s="192"/>
      <c r="L35" s="26"/>
      <c r="M35" s="26"/>
    </row>
    <row r="36" spans="1:16" ht="22.2" thickTop="1" thickBot="1" x14ac:dyDescent="0.45">
      <c r="B36" s="193"/>
      <c r="C36" s="191"/>
      <c r="D36" s="191"/>
      <c r="E36" s="191"/>
      <c r="F36" s="191"/>
      <c r="G36" s="191"/>
      <c r="H36" s="191"/>
      <c r="I36" s="191"/>
      <c r="J36" s="191"/>
      <c r="K36" s="208"/>
      <c r="L36" s="26"/>
      <c r="M36" s="26"/>
    </row>
    <row r="37" spans="1:16" ht="21.6" thickTop="1" x14ac:dyDescent="0.4"/>
    <row r="38" spans="1:16" x14ac:dyDescent="0.4">
      <c r="A38" s="181" t="s">
        <v>55</v>
      </c>
      <c r="B38" s="181"/>
      <c r="C38" s="181"/>
    </row>
    <row r="39" spans="1:16" x14ac:dyDescent="0.4">
      <c r="A39" s="181" t="s">
        <v>56</v>
      </c>
      <c r="B39" s="181"/>
      <c r="C39" s="181"/>
      <c r="D39" s="181"/>
    </row>
    <row r="40" spans="1:16" ht="33.75" customHeight="1" x14ac:dyDescent="0.4"/>
    <row r="41" spans="1:16" ht="22.5" customHeight="1" x14ac:dyDescent="0.4">
      <c r="A41" s="28"/>
      <c r="B41" s="28"/>
      <c r="C41" s="28"/>
      <c r="D41" s="28"/>
      <c r="E41" s="9" t="s">
        <v>52</v>
      </c>
      <c r="O41" s="28"/>
      <c r="P41" s="28"/>
    </row>
    <row r="42" spans="1:16" ht="23.25" customHeight="1" thickBot="1" x14ac:dyDescent="0.45"/>
    <row r="43" spans="1:16" ht="24.75" customHeight="1" thickTop="1" thickBot="1" x14ac:dyDescent="0.45">
      <c r="B43" s="203" t="s">
        <v>28</v>
      </c>
      <c r="C43" s="185" t="s">
        <v>17</v>
      </c>
      <c r="D43" s="229"/>
      <c r="E43" s="185" t="s">
        <v>18</v>
      </c>
      <c r="F43" s="229"/>
      <c r="G43" s="185" t="s">
        <v>19</v>
      </c>
      <c r="H43" s="229"/>
      <c r="I43" s="185" t="s">
        <v>29</v>
      </c>
      <c r="J43" s="169"/>
      <c r="K43" s="229"/>
      <c r="L43" s="26"/>
      <c r="M43" s="26"/>
      <c r="N43" s="26"/>
    </row>
    <row r="44" spans="1:16" ht="22.5" customHeight="1" thickTop="1" thickBot="1" x14ac:dyDescent="0.45">
      <c r="B44" s="197"/>
      <c r="C44" s="29" t="s">
        <v>10</v>
      </c>
      <c r="D44" s="29" t="s">
        <v>11</v>
      </c>
      <c r="E44" s="29" t="s">
        <v>10</v>
      </c>
      <c r="F44" s="29" t="s">
        <v>11</v>
      </c>
      <c r="G44" s="29" t="s">
        <v>10</v>
      </c>
      <c r="H44" s="29" t="s">
        <v>11</v>
      </c>
      <c r="I44" s="29" t="s">
        <v>10</v>
      </c>
      <c r="J44" s="29" t="s">
        <v>11</v>
      </c>
      <c r="K44" s="29" t="s">
        <v>15</v>
      </c>
      <c r="L44" s="26"/>
      <c r="M44" s="26"/>
      <c r="N44" s="26"/>
    </row>
    <row r="45" spans="1:16" ht="21.6" thickTop="1" x14ac:dyDescent="0.4">
      <c r="B45" s="203" t="s">
        <v>21</v>
      </c>
      <c r="C45" s="203" t="e">
        <f>'التعليم المسرع'!#REF!</f>
        <v>#REF!</v>
      </c>
      <c r="D45" s="203" t="e">
        <f>'التعليم المسرع'!#REF!</f>
        <v>#REF!</v>
      </c>
      <c r="E45" s="203" t="e">
        <f>'التعليم المسرع'!#REF!</f>
        <v>#REF!</v>
      </c>
      <c r="F45" s="203" t="e">
        <f>'التعليم المسرع'!#REF!</f>
        <v>#REF!</v>
      </c>
      <c r="G45" s="203" t="e">
        <f>'التعليم المسرع'!#REF!</f>
        <v>#REF!</v>
      </c>
      <c r="H45" s="203" t="e">
        <f>'التعليم المسرع'!#REF!</f>
        <v>#REF!</v>
      </c>
      <c r="I45" s="203" t="e">
        <f>C45+E45+G45</f>
        <v>#REF!</v>
      </c>
      <c r="J45" s="203" t="e">
        <f>D45+F45+H45</f>
        <v>#REF!</v>
      </c>
      <c r="K45" s="203" t="e">
        <f>SUM(I45:J45)</f>
        <v>#REF!</v>
      </c>
      <c r="L45" s="26"/>
      <c r="M45" s="26"/>
      <c r="N45" s="26"/>
    </row>
    <row r="46" spans="1:16" ht="21.6" thickBot="1" x14ac:dyDescent="0.45">
      <c r="B46" s="197"/>
      <c r="C46" s="197"/>
      <c r="D46" s="197"/>
      <c r="E46" s="197"/>
      <c r="F46" s="197"/>
      <c r="G46" s="197"/>
      <c r="H46" s="197"/>
      <c r="I46" s="197"/>
      <c r="J46" s="197"/>
      <c r="K46" s="197"/>
      <c r="L46" s="26"/>
      <c r="M46" s="26"/>
      <c r="N46" s="26"/>
    </row>
    <row r="47" spans="1:16" ht="21.6" thickTop="1" x14ac:dyDescent="0.4">
      <c r="B47" s="203" t="s">
        <v>22</v>
      </c>
      <c r="C47" s="203" t="e">
        <f>'التعليم المسرع'!#REF!</f>
        <v>#REF!</v>
      </c>
      <c r="D47" s="203" t="e">
        <f>'التعليم المسرع'!#REF!</f>
        <v>#REF!</v>
      </c>
      <c r="E47" s="228" t="e">
        <f>'التعليم المسرع'!#REF!</f>
        <v>#REF!</v>
      </c>
      <c r="F47" s="228" t="e">
        <f>'التعليم المسرع'!#REF!</f>
        <v>#REF!</v>
      </c>
      <c r="G47" s="203" t="e">
        <f>'التعليم المسرع'!#REF!</f>
        <v>#REF!</v>
      </c>
      <c r="H47" s="203" t="e">
        <f>'التعليم المسرع'!#REF!</f>
        <v>#REF!</v>
      </c>
      <c r="I47" s="203" t="e">
        <f t="shared" ref="I47:J47" si="8">C47+E47+G47</f>
        <v>#REF!</v>
      </c>
      <c r="J47" s="203" t="e">
        <f t="shared" si="8"/>
        <v>#REF!</v>
      </c>
      <c r="K47" s="203" t="e">
        <f t="shared" ref="K47" si="9">SUM(I47:J47)</f>
        <v>#REF!</v>
      </c>
      <c r="L47" s="26"/>
      <c r="M47" s="26"/>
      <c r="N47" s="26"/>
    </row>
    <row r="48" spans="1:16" ht="21.6" thickBot="1" x14ac:dyDescent="0.45">
      <c r="B48" s="197"/>
      <c r="C48" s="197"/>
      <c r="D48" s="197"/>
      <c r="E48" s="198"/>
      <c r="F48" s="198"/>
      <c r="G48" s="197"/>
      <c r="H48" s="197"/>
      <c r="I48" s="197"/>
      <c r="J48" s="197"/>
      <c r="K48" s="197"/>
      <c r="L48" s="26"/>
      <c r="M48" s="26"/>
      <c r="N48" s="26"/>
    </row>
    <row r="49" spans="1:17" ht="21.6" thickTop="1" x14ac:dyDescent="0.4">
      <c r="B49" s="203" t="s">
        <v>23</v>
      </c>
      <c r="C49" s="203" t="e">
        <f>'التعليم المسرع'!#REF!</f>
        <v>#REF!</v>
      </c>
      <c r="D49" s="203" t="e">
        <f>'التعليم المسرع'!#REF!</f>
        <v>#REF!</v>
      </c>
      <c r="E49" s="228" t="e">
        <f>'التعليم المسرع'!#REF!</f>
        <v>#REF!</v>
      </c>
      <c r="F49" s="228" t="e">
        <f>'التعليم المسرع'!#REF!</f>
        <v>#REF!</v>
      </c>
      <c r="G49" s="203" t="e">
        <f>'التعليم المسرع'!#REF!</f>
        <v>#REF!</v>
      </c>
      <c r="H49" s="203" t="e">
        <f>'التعليم المسرع'!#REF!</f>
        <v>#REF!</v>
      </c>
      <c r="I49" s="203" t="e">
        <f t="shared" ref="I49:J49" si="10">C49+E49+G49</f>
        <v>#REF!</v>
      </c>
      <c r="J49" s="203" t="e">
        <f t="shared" si="10"/>
        <v>#REF!</v>
      </c>
      <c r="K49" s="203" t="e">
        <f t="shared" ref="K49" si="11">SUM(I49:J49)</f>
        <v>#REF!</v>
      </c>
      <c r="L49" s="26"/>
      <c r="M49" s="26"/>
      <c r="N49" s="26"/>
    </row>
    <row r="50" spans="1:17" ht="21.6" thickBot="1" x14ac:dyDescent="0.45">
      <c r="B50" s="197"/>
      <c r="C50" s="197"/>
      <c r="D50" s="197"/>
      <c r="E50" s="198"/>
      <c r="F50" s="198"/>
      <c r="G50" s="197"/>
      <c r="H50" s="197"/>
      <c r="I50" s="197"/>
      <c r="J50" s="197"/>
      <c r="K50" s="197"/>
      <c r="L50" s="26"/>
      <c r="M50" s="26"/>
      <c r="N50" s="26"/>
      <c r="O50" s="26"/>
      <c r="P50" s="26"/>
      <c r="Q50" s="26"/>
    </row>
    <row r="51" spans="1:17" ht="21.6" thickTop="1" x14ac:dyDescent="0.4">
      <c r="B51" s="203" t="s">
        <v>24</v>
      </c>
      <c r="C51" s="203" t="e">
        <f>'التعليم المسرع'!#REF!</f>
        <v>#REF!</v>
      </c>
      <c r="D51" s="203" t="e">
        <f>'التعليم المسرع'!#REF!</f>
        <v>#REF!</v>
      </c>
      <c r="E51" s="228" t="e">
        <f>'التعليم المسرع'!#REF!</f>
        <v>#REF!</v>
      </c>
      <c r="F51" s="228" t="e">
        <f>'التعليم المسرع'!#REF!</f>
        <v>#REF!</v>
      </c>
      <c r="G51" s="203" t="e">
        <f>'التعليم المسرع'!#REF!</f>
        <v>#REF!</v>
      </c>
      <c r="H51" s="203" t="e">
        <f>'التعليم المسرع'!#REF!</f>
        <v>#REF!</v>
      </c>
      <c r="I51" s="203" t="e">
        <f t="shared" ref="I51:J51" si="12">C51+E51+G51</f>
        <v>#REF!</v>
      </c>
      <c r="J51" s="203" t="e">
        <f t="shared" si="12"/>
        <v>#REF!</v>
      </c>
      <c r="K51" s="203" t="e">
        <f t="shared" ref="K51" si="13">SUM(I51:J51)</f>
        <v>#REF!</v>
      </c>
      <c r="L51" s="26"/>
      <c r="M51" s="26"/>
      <c r="N51" s="26"/>
      <c r="O51" s="26"/>
      <c r="P51" s="26"/>
      <c r="Q51" s="26"/>
    </row>
    <row r="52" spans="1:17" ht="21.6" thickBot="1" x14ac:dyDescent="0.45">
      <c r="B52" s="197"/>
      <c r="C52" s="197"/>
      <c r="D52" s="197"/>
      <c r="E52" s="198"/>
      <c r="F52" s="198"/>
      <c r="G52" s="197"/>
      <c r="H52" s="197"/>
      <c r="I52" s="197"/>
      <c r="J52" s="197"/>
      <c r="K52" s="197"/>
      <c r="L52" s="26"/>
      <c r="M52" s="26"/>
      <c r="N52" s="26"/>
      <c r="O52" s="26"/>
      <c r="P52" s="26"/>
      <c r="Q52" s="26"/>
    </row>
    <row r="53" spans="1:17" ht="21.6" thickTop="1" x14ac:dyDescent="0.4">
      <c r="B53" s="203" t="s">
        <v>25</v>
      </c>
      <c r="C53" s="203" t="e">
        <f>'التعليم المسرع'!#REF!</f>
        <v>#REF!</v>
      </c>
      <c r="D53" s="203" t="e">
        <f>'التعليم المسرع'!#REF!</f>
        <v>#REF!</v>
      </c>
      <c r="E53" s="228" t="e">
        <f>'التعليم المسرع'!#REF!</f>
        <v>#REF!</v>
      </c>
      <c r="F53" s="228" t="e">
        <f>'التعليم المسرع'!#REF!</f>
        <v>#REF!</v>
      </c>
      <c r="G53" s="203" t="e">
        <f>'التعليم المسرع'!#REF!</f>
        <v>#REF!</v>
      </c>
      <c r="H53" s="203" t="e">
        <f>'التعليم المسرع'!#REF!</f>
        <v>#REF!</v>
      </c>
      <c r="I53" s="203" t="e">
        <f t="shared" ref="I53:J53" si="14">C53+E53+G53</f>
        <v>#REF!</v>
      </c>
      <c r="J53" s="203" t="e">
        <f t="shared" si="14"/>
        <v>#REF!</v>
      </c>
      <c r="K53" s="203" t="e">
        <f t="shared" ref="K53" si="15">SUM(I53:J53)</f>
        <v>#REF!</v>
      </c>
      <c r="L53" s="26"/>
      <c r="M53" s="26"/>
      <c r="N53" s="26"/>
      <c r="O53" s="26"/>
      <c r="P53" s="26"/>
      <c r="Q53" s="26"/>
    </row>
    <row r="54" spans="1:17" ht="21.6" thickBot="1" x14ac:dyDescent="0.45">
      <c r="B54" s="197"/>
      <c r="C54" s="197"/>
      <c r="D54" s="197"/>
      <c r="E54" s="198"/>
      <c r="F54" s="198"/>
      <c r="G54" s="197"/>
      <c r="H54" s="197"/>
      <c r="I54" s="197"/>
      <c r="J54" s="197"/>
      <c r="K54" s="197"/>
      <c r="L54" s="26"/>
      <c r="M54" s="26"/>
      <c r="N54" s="26"/>
      <c r="O54" s="26"/>
      <c r="P54" s="26"/>
      <c r="Q54" s="26"/>
    </row>
    <row r="55" spans="1:17" ht="21.6" thickTop="1" x14ac:dyDescent="0.4">
      <c r="B55" s="203" t="s">
        <v>26</v>
      </c>
      <c r="C55" s="203" t="e">
        <f>'التعليم المسرع'!#REF!</f>
        <v>#REF!</v>
      </c>
      <c r="D55" s="203" t="e">
        <f>'التعليم المسرع'!#REF!</f>
        <v>#REF!</v>
      </c>
      <c r="E55" s="203" t="e">
        <f>'التعليم المسرع'!#REF!</f>
        <v>#REF!</v>
      </c>
      <c r="F55" s="203" t="e">
        <f>'التعليم المسرع'!#REF!</f>
        <v>#REF!</v>
      </c>
      <c r="G55" s="203" t="e">
        <f>'التعليم المسرع'!#REF!</f>
        <v>#REF!</v>
      </c>
      <c r="H55" s="203" t="e">
        <f>'التعليم المسرع'!#REF!</f>
        <v>#REF!</v>
      </c>
      <c r="I55" s="203" t="e">
        <f t="shared" ref="I55:J55" si="16">C55+E55+G55</f>
        <v>#REF!</v>
      </c>
      <c r="J55" s="203" t="e">
        <f t="shared" si="16"/>
        <v>#REF!</v>
      </c>
      <c r="K55" s="203" t="e">
        <f t="shared" ref="K55" si="17">SUM(I55:J55)</f>
        <v>#REF!</v>
      </c>
      <c r="L55" s="26"/>
      <c r="M55" s="26"/>
      <c r="N55" s="26"/>
      <c r="O55" s="26"/>
      <c r="P55" s="26"/>
      <c r="Q55" s="26"/>
    </row>
    <row r="56" spans="1:17" ht="21.6" thickBot="1" x14ac:dyDescent="0.45">
      <c r="B56" s="197"/>
      <c r="C56" s="197"/>
      <c r="D56" s="197"/>
      <c r="E56" s="197"/>
      <c r="F56" s="197"/>
      <c r="G56" s="197"/>
      <c r="H56" s="197"/>
      <c r="I56" s="197"/>
      <c r="J56" s="197"/>
      <c r="K56" s="197"/>
      <c r="M56" s="26"/>
      <c r="N56" s="26"/>
      <c r="O56" s="26"/>
      <c r="P56" s="26"/>
      <c r="Q56" s="26"/>
    </row>
    <row r="57" spans="1:17" ht="21.6" thickTop="1" x14ac:dyDescent="0.4">
      <c r="B57" s="203" t="s">
        <v>27</v>
      </c>
      <c r="C57" s="203" t="e">
        <f>'التعليم المسرع'!#REF!</f>
        <v>#REF!</v>
      </c>
      <c r="D57" s="203" t="e">
        <f>'التعليم المسرع'!#REF!</f>
        <v>#REF!</v>
      </c>
      <c r="E57" s="203" t="e">
        <f>'التعليم المسرع'!#REF!</f>
        <v>#REF!</v>
      </c>
      <c r="F57" s="203" t="e">
        <f>'التعليم المسرع'!#REF!</f>
        <v>#REF!</v>
      </c>
      <c r="G57" s="203" t="e">
        <f>'التعليم المسرع'!#REF!</f>
        <v>#REF!</v>
      </c>
      <c r="H57" s="203" t="e">
        <f>'التعليم المسرع'!#REF!</f>
        <v>#REF!</v>
      </c>
      <c r="I57" s="203" t="e">
        <f t="shared" ref="I57:J57" si="18">C57+E57+G57</f>
        <v>#REF!</v>
      </c>
      <c r="J57" s="203" t="e">
        <f t="shared" si="18"/>
        <v>#REF!</v>
      </c>
      <c r="K57" s="203" t="e">
        <f t="shared" ref="K57" si="19">SUM(I57:J57)</f>
        <v>#REF!</v>
      </c>
      <c r="M57" s="26"/>
      <c r="N57" s="26"/>
      <c r="O57" s="26"/>
      <c r="P57" s="26"/>
      <c r="Q57" s="26"/>
    </row>
    <row r="58" spans="1:17" ht="21.6" thickBot="1" x14ac:dyDescent="0.45">
      <c r="B58" s="197"/>
      <c r="C58" s="197"/>
      <c r="D58" s="197"/>
      <c r="E58" s="197"/>
      <c r="F58" s="197"/>
      <c r="G58" s="197"/>
      <c r="H58" s="197"/>
      <c r="I58" s="197"/>
      <c r="J58" s="197"/>
      <c r="K58" s="197"/>
      <c r="M58" s="26"/>
      <c r="N58" s="26"/>
      <c r="O58" s="26"/>
      <c r="P58" s="26"/>
      <c r="Q58" s="26"/>
    </row>
    <row r="59" spans="1:17" ht="21.6" thickTop="1" x14ac:dyDescent="0.4">
      <c r="B59" s="203" t="s">
        <v>15</v>
      </c>
      <c r="C59" s="203" t="e">
        <f t="shared" ref="C59:H59" si="20">C45+C47+C49+C51+C53+C55+C57</f>
        <v>#REF!</v>
      </c>
      <c r="D59" s="203" t="e">
        <f t="shared" si="20"/>
        <v>#REF!</v>
      </c>
      <c r="E59" s="203" t="e">
        <f t="shared" si="20"/>
        <v>#REF!</v>
      </c>
      <c r="F59" s="203" t="e">
        <f t="shared" si="20"/>
        <v>#REF!</v>
      </c>
      <c r="G59" s="203" t="e">
        <f t="shared" si="20"/>
        <v>#REF!</v>
      </c>
      <c r="H59" s="203" t="e">
        <f t="shared" si="20"/>
        <v>#REF!</v>
      </c>
      <c r="I59" s="203" t="e">
        <f>C59+E59+G59</f>
        <v>#REF!</v>
      </c>
      <c r="J59" s="203" t="e">
        <f t="shared" ref="J59" si="21">D59+F59+H59</f>
        <v>#REF!</v>
      </c>
      <c r="K59" s="203" t="e">
        <f t="shared" ref="K59" si="22">SUM(I59:J59)</f>
        <v>#REF!</v>
      </c>
      <c r="M59" s="26"/>
      <c r="N59" s="26"/>
      <c r="O59" s="26"/>
      <c r="P59" s="26"/>
      <c r="Q59" s="26"/>
    </row>
    <row r="60" spans="1:17" ht="21.6" thickBot="1" x14ac:dyDescent="0.45">
      <c r="B60" s="197"/>
      <c r="C60" s="197"/>
      <c r="D60" s="197"/>
      <c r="E60" s="197"/>
      <c r="F60" s="197"/>
      <c r="G60" s="197"/>
      <c r="H60" s="197"/>
      <c r="I60" s="197"/>
      <c r="J60" s="197"/>
      <c r="K60" s="197"/>
    </row>
    <row r="61" spans="1:17" ht="22.2" thickTop="1" thickBot="1" x14ac:dyDescent="0.45"/>
    <row r="62" spans="1:17" ht="33.75" customHeight="1" thickTop="1" thickBot="1" x14ac:dyDescent="0.45">
      <c r="A62" s="194"/>
      <c r="B62" s="206" t="s">
        <v>267</v>
      </c>
      <c r="C62" s="206"/>
      <c r="D62" s="206"/>
      <c r="E62" s="206" t="s">
        <v>272</v>
      </c>
      <c r="F62" s="206"/>
      <c r="G62" s="206"/>
      <c r="H62" s="195" t="s">
        <v>273</v>
      </c>
      <c r="I62" s="195"/>
      <c r="J62" s="195"/>
      <c r="K62" s="195"/>
      <c r="L62" s="195"/>
      <c r="M62" s="195"/>
      <c r="N62" s="195" t="s">
        <v>15</v>
      </c>
      <c r="O62" s="195"/>
      <c r="P62" s="196"/>
    </row>
    <row r="63" spans="1:17" ht="35.25" customHeight="1" thickTop="1" thickBot="1" x14ac:dyDescent="0.45">
      <c r="A63" s="190"/>
      <c r="B63" s="207"/>
      <c r="C63" s="207"/>
      <c r="D63" s="207"/>
      <c r="E63" s="207"/>
      <c r="F63" s="207"/>
      <c r="G63" s="207"/>
      <c r="H63" s="189" t="s">
        <v>185</v>
      </c>
      <c r="I63" s="189"/>
      <c r="J63" s="189" t="s">
        <v>186</v>
      </c>
      <c r="K63" s="189"/>
      <c r="L63" s="189" t="s">
        <v>187</v>
      </c>
      <c r="M63" s="189"/>
      <c r="N63" s="189"/>
      <c r="O63" s="189"/>
      <c r="P63" s="192"/>
    </row>
    <row r="64" spans="1:17" ht="22.2" thickTop="1" thickBot="1" x14ac:dyDescent="0.45">
      <c r="A64" s="190"/>
      <c r="B64" s="189" t="s">
        <v>10</v>
      </c>
      <c r="C64" s="189" t="s">
        <v>11</v>
      </c>
      <c r="D64" s="189" t="s">
        <v>15</v>
      </c>
      <c r="E64" s="189" t="s">
        <v>10</v>
      </c>
      <c r="F64" s="189" t="s">
        <v>11</v>
      </c>
      <c r="G64" s="189" t="s">
        <v>15</v>
      </c>
      <c r="H64" s="189" t="s">
        <v>10</v>
      </c>
      <c r="I64" s="189" t="s">
        <v>11</v>
      </c>
      <c r="J64" s="189" t="s">
        <v>10</v>
      </c>
      <c r="K64" s="189" t="s">
        <v>11</v>
      </c>
      <c r="L64" s="189" t="s">
        <v>10</v>
      </c>
      <c r="M64" s="189" t="s">
        <v>11</v>
      </c>
      <c r="N64" s="189" t="s">
        <v>10</v>
      </c>
      <c r="O64" s="189" t="s">
        <v>11</v>
      </c>
      <c r="P64" s="192" t="s">
        <v>15</v>
      </c>
    </row>
    <row r="65" spans="1:16" ht="22.2" thickTop="1" thickBot="1" x14ac:dyDescent="0.45">
      <c r="A65" s="190"/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92"/>
    </row>
    <row r="66" spans="1:16" ht="22.2" thickTop="1" thickBot="1" x14ac:dyDescent="0.45">
      <c r="A66" s="190" t="s">
        <v>17</v>
      </c>
      <c r="B66" s="189" t="e">
        <f>'التعليم المسرع'!#REF!</f>
        <v>#REF!</v>
      </c>
      <c r="C66" s="189" t="e">
        <f>'التعليم المسرع'!#REF!</f>
        <v>#REF!</v>
      </c>
      <c r="D66" s="189" t="e">
        <f>C66+B66</f>
        <v>#REF!</v>
      </c>
      <c r="E66" s="189" t="e">
        <f>'التعليم المسرع'!#REF!</f>
        <v>#REF!</v>
      </c>
      <c r="F66" s="189" t="e">
        <f>'التعليم المسرع'!#REF!</f>
        <v>#REF!</v>
      </c>
      <c r="G66" s="189" t="e">
        <f t="shared" ref="G66" si="23">F66+E66</f>
        <v>#REF!</v>
      </c>
      <c r="H66" s="189" t="e">
        <f>'التعليم المسرع'!#REF!</f>
        <v>#REF!</v>
      </c>
      <c r="I66" s="189" t="e">
        <f>'التعليم المسرع'!#REF!</f>
        <v>#REF!</v>
      </c>
      <c r="J66" s="189" t="e">
        <f>'التعليم المسرع'!#REF!</f>
        <v>#REF!</v>
      </c>
      <c r="K66" s="189" t="e">
        <f>'التعليم المسرع'!#REF!</f>
        <v>#REF!</v>
      </c>
      <c r="L66" s="189" t="e">
        <f>'التعليم المسرع'!#REF!</f>
        <v>#REF!</v>
      </c>
      <c r="M66" s="189" t="e">
        <f>'التعليم المسرع'!#REF!</f>
        <v>#REF!</v>
      </c>
      <c r="N66" s="189" t="e">
        <f>L66+J66+H66</f>
        <v>#REF!</v>
      </c>
      <c r="O66" s="189" t="e">
        <f>M66+K66+I66</f>
        <v>#REF!</v>
      </c>
      <c r="P66" s="192" t="e">
        <f>O66+N66</f>
        <v>#REF!</v>
      </c>
    </row>
    <row r="67" spans="1:16" ht="22.2" thickTop="1" thickBot="1" x14ac:dyDescent="0.45">
      <c r="A67" s="190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92"/>
    </row>
    <row r="68" spans="1:16" ht="22.2" thickTop="1" thickBot="1" x14ac:dyDescent="0.45">
      <c r="A68" s="190" t="s">
        <v>18</v>
      </c>
      <c r="B68" s="189" t="e">
        <f>'التعليم المسرع'!#REF!</f>
        <v>#REF!</v>
      </c>
      <c r="C68" s="189" t="e">
        <f>'التعليم المسرع'!#REF!</f>
        <v>#REF!</v>
      </c>
      <c r="D68" s="189" t="e">
        <f t="shared" ref="D68" si="24">C68+B68</f>
        <v>#REF!</v>
      </c>
      <c r="E68" s="189" t="e">
        <f>'التعليم المسرع'!#REF!</f>
        <v>#REF!</v>
      </c>
      <c r="F68" s="189" t="e">
        <f>'التعليم المسرع'!#REF!</f>
        <v>#REF!</v>
      </c>
      <c r="G68" s="189" t="e">
        <f t="shared" ref="G68" si="25">F68+E68</f>
        <v>#REF!</v>
      </c>
      <c r="H68" s="189" t="e">
        <f>'التعليم المسرع'!#REF!</f>
        <v>#REF!</v>
      </c>
      <c r="I68" s="189" t="e">
        <f>'التعليم المسرع'!#REF!</f>
        <v>#REF!</v>
      </c>
      <c r="J68" s="189" t="e">
        <f>'التعليم المسرع'!#REF!</f>
        <v>#REF!</v>
      </c>
      <c r="K68" s="189" t="e">
        <f>'التعليم المسرع'!#REF!</f>
        <v>#REF!</v>
      </c>
      <c r="L68" s="189" t="e">
        <f>'التعليم المسرع'!#REF!</f>
        <v>#REF!</v>
      </c>
      <c r="M68" s="189" t="e">
        <f>'التعليم المسرع'!#REF!</f>
        <v>#REF!</v>
      </c>
      <c r="N68" s="189" t="e">
        <f t="shared" ref="N68" si="26">L68+J68+H68</f>
        <v>#REF!</v>
      </c>
      <c r="O68" s="189" t="e">
        <f t="shared" ref="O68" si="27">M68+K68+I68</f>
        <v>#REF!</v>
      </c>
      <c r="P68" s="192" t="e">
        <f t="shared" ref="P68" si="28">O68+N68</f>
        <v>#REF!</v>
      </c>
    </row>
    <row r="69" spans="1:16" ht="22.2" thickTop="1" thickBot="1" x14ac:dyDescent="0.45">
      <c r="A69" s="190"/>
      <c r="B69" s="189"/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189"/>
      <c r="N69" s="189"/>
      <c r="O69" s="189"/>
      <c r="P69" s="192"/>
    </row>
    <row r="70" spans="1:16" ht="22.2" thickTop="1" thickBot="1" x14ac:dyDescent="0.45">
      <c r="A70" s="190" t="s">
        <v>19</v>
      </c>
      <c r="B70" s="189" t="e">
        <f>'التعليم المسرع'!#REF!</f>
        <v>#REF!</v>
      </c>
      <c r="C70" s="189" t="e">
        <f>'التعليم المسرع'!#REF!</f>
        <v>#REF!</v>
      </c>
      <c r="D70" s="189" t="e">
        <f t="shared" ref="D70" si="29">C70+B70</f>
        <v>#REF!</v>
      </c>
      <c r="E70" s="189" t="e">
        <f>'التعليم المسرع'!#REF!</f>
        <v>#REF!</v>
      </c>
      <c r="F70" s="189" t="e">
        <f>'التعليم المسرع'!#REF!</f>
        <v>#REF!</v>
      </c>
      <c r="G70" s="189" t="e">
        <f t="shared" ref="G70" si="30">F70+E70</f>
        <v>#REF!</v>
      </c>
      <c r="H70" s="189" t="e">
        <f>'التعليم المسرع'!#REF!</f>
        <v>#REF!</v>
      </c>
      <c r="I70" s="189" t="e">
        <f>'التعليم المسرع'!#REF!</f>
        <v>#REF!</v>
      </c>
      <c r="J70" s="189" t="e">
        <f>'التعليم المسرع'!#REF!</f>
        <v>#REF!</v>
      </c>
      <c r="K70" s="189" t="e">
        <f>'التعليم المسرع'!#REF!</f>
        <v>#REF!</v>
      </c>
      <c r="L70" s="189" t="e">
        <f>'التعليم المسرع'!#REF!</f>
        <v>#REF!</v>
      </c>
      <c r="M70" s="189" t="e">
        <f>'التعليم المسرع'!#REF!</f>
        <v>#REF!</v>
      </c>
      <c r="N70" s="189" t="e">
        <f t="shared" ref="N70" si="31">L70+J70+H70</f>
        <v>#REF!</v>
      </c>
      <c r="O70" s="189" t="e">
        <f t="shared" ref="O70" si="32">M70+K70+I70</f>
        <v>#REF!</v>
      </c>
      <c r="P70" s="192" t="e">
        <f t="shared" ref="P70" si="33">O70+N70</f>
        <v>#REF!</v>
      </c>
    </row>
    <row r="71" spans="1:16" ht="22.2" thickTop="1" thickBot="1" x14ac:dyDescent="0.45">
      <c r="A71" s="193"/>
      <c r="B71" s="191"/>
      <c r="C71" s="191"/>
      <c r="D71" s="191"/>
      <c r="E71" s="191"/>
      <c r="F71" s="191"/>
      <c r="G71" s="191"/>
      <c r="H71" s="191"/>
      <c r="I71" s="191"/>
      <c r="J71" s="191"/>
      <c r="K71" s="191"/>
      <c r="L71" s="191"/>
      <c r="M71" s="191"/>
      <c r="N71" s="191"/>
      <c r="O71" s="191"/>
      <c r="P71" s="208"/>
    </row>
    <row r="72" spans="1:16" ht="21.6" thickTop="1" x14ac:dyDescent="0.4"/>
  </sheetData>
  <mergeCells count="250">
    <mergeCell ref="N62:P63"/>
    <mergeCell ref="N64:N65"/>
    <mergeCell ref="O64:O65"/>
    <mergeCell ref="P64:P65"/>
    <mergeCell ref="M24:M25"/>
    <mergeCell ref="K68:K69"/>
    <mergeCell ref="L68:L69"/>
    <mergeCell ref="M68:M69"/>
    <mergeCell ref="K51:K52"/>
    <mergeCell ref="K53:K54"/>
    <mergeCell ref="K55:K56"/>
    <mergeCell ref="K59:K60"/>
    <mergeCell ref="K57:K58"/>
    <mergeCell ref="K47:K48"/>
    <mergeCell ref="K49:K50"/>
    <mergeCell ref="K45:K46"/>
    <mergeCell ref="B28:K28"/>
    <mergeCell ref="B23:B24"/>
    <mergeCell ref="C23:C24"/>
    <mergeCell ref="D23:D24"/>
    <mergeCell ref="C43:D43"/>
    <mergeCell ref="E43:F43"/>
    <mergeCell ref="G43:H43"/>
    <mergeCell ref="E23:E24"/>
    <mergeCell ref="J18:J19"/>
    <mergeCell ref="K18:K19"/>
    <mergeCell ref="L18:L19"/>
    <mergeCell ref="N18:N19"/>
    <mergeCell ref="N20:N21"/>
    <mergeCell ref="F18:G18"/>
    <mergeCell ref="M18:M19"/>
    <mergeCell ref="M20:M21"/>
    <mergeCell ref="M22:M23"/>
    <mergeCell ref="I70:I71"/>
    <mergeCell ref="J70:J71"/>
    <mergeCell ref="K70:K71"/>
    <mergeCell ref="L70:L71"/>
    <mergeCell ref="M70:M71"/>
    <mergeCell ref="P66:P67"/>
    <mergeCell ref="P68:P69"/>
    <mergeCell ref="N66:N67"/>
    <mergeCell ref="J68:J69"/>
    <mergeCell ref="C68:C69"/>
    <mergeCell ref="C70:C71"/>
    <mergeCell ref="N70:N71"/>
    <mergeCell ref="O70:O71"/>
    <mergeCell ref="P70:P71"/>
    <mergeCell ref="E66:E67"/>
    <mergeCell ref="F66:F67"/>
    <mergeCell ref="E68:E69"/>
    <mergeCell ref="F68:F69"/>
    <mergeCell ref="E70:E71"/>
    <mergeCell ref="F70:F71"/>
    <mergeCell ref="N68:N69"/>
    <mergeCell ref="O68:O69"/>
    <mergeCell ref="O66:O67"/>
    <mergeCell ref="D66:D67"/>
    <mergeCell ref="G66:G67"/>
    <mergeCell ref="H66:H67"/>
    <mergeCell ref="I66:I67"/>
    <mergeCell ref="J66:J67"/>
    <mergeCell ref="K66:K67"/>
    <mergeCell ref="L66:L67"/>
    <mergeCell ref="D70:D71"/>
    <mergeCell ref="G70:G71"/>
    <mergeCell ref="H70:H71"/>
    <mergeCell ref="A62:A65"/>
    <mergeCell ref="A66:A67"/>
    <mergeCell ref="B62:D63"/>
    <mergeCell ref="E62:G63"/>
    <mergeCell ref="H62:M62"/>
    <mergeCell ref="H63:I63"/>
    <mergeCell ref="J63:K63"/>
    <mergeCell ref="L63:M63"/>
    <mergeCell ref="D64:D65"/>
    <mergeCell ref="G64:G65"/>
    <mergeCell ref="H64:H65"/>
    <mergeCell ref="J64:J65"/>
    <mergeCell ref="K64:K65"/>
    <mergeCell ref="M66:M67"/>
    <mergeCell ref="B64:B65"/>
    <mergeCell ref="C64:C65"/>
    <mergeCell ref="E64:E65"/>
    <mergeCell ref="F64:F65"/>
    <mergeCell ref="L64:L65"/>
    <mergeCell ref="M64:M65"/>
    <mergeCell ref="C66:C67"/>
    <mergeCell ref="A1:C1"/>
    <mergeCell ref="A2:D2"/>
    <mergeCell ref="B12:C12"/>
    <mergeCell ref="F12:H12"/>
    <mergeCell ref="B66:B67"/>
    <mergeCell ref="B70:B71"/>
    <mergeCell ref="B68:B69"/>
    <mergeCell ref="B7:D7"/>
    <mergeCell ref="G7:I7"/>
    <mergeCell ref="B9:D9"/>
    <mergeCell ref="G9:I9"/>
    <mergeCell ref="I18:I19"/>
    <mergeCell ref="A68:A69"/>
    <mergeCell ref="A70:A71"/>
    <mergeCell ref="I64:I65"/>
    <mergeCell ref="D68:D69"/>
    <mergeCell ref="G68:G69"/>
    <mergeCell ref="H68:H69"/>
    <mergeCell ref="I68:I69"/>
    <mergeCell ref="B19:B20"/>
    <mergeCell ref="C19:C20"/>
    <mergeCell ref="D19:D20"/>
    <mergeCell ref="E19:E20"/>
    <mergeCell ref="F19:G20"/>
    <mergeCell ref="C3:L3"/>
    <mergeCell ref="I20:I21"/>
    <mergeCell ref="J20:J21"/>
    <mergeCell ref="K20:K21"/>
    <mergeCell ref="L20:L21"/>
    <mergeCell ref="I22:I23"/>
    <mergeCell ref="J22:J23"/>
    <mergeCell ref="K22:K23"/>
    <mergeCell ref="L22:L23"/>
    <mergeCell ref="K12:M12"/>
    <mergeCell ref="B17:G17"/>
    <mergeCell ref="L7:N7"/>
    <mergeCell ref="L9:N9"/>
    <mergeCell ref="N22:N23"/>
    <mergeCell ref="B21:B22"/>
    <mergeCell ref="C21:C22"/>
    <mergeCell ref="D21:D22"/>
    <mergeCell ref="E21:E22"/>
    <mergeCell ref="F23:G24"/>
    <mergeCell ref="F21:G22"/>
    <mergeCell ref="I24:I25"/>
    <mergeCell ref="J24:J25"/>
    <mergeCell ref="K24:K25"/>
    <mergeCell ref="I17:N17"/>
    <mergeCell ref="J29:K30"/>
    <mergeCell ref="H35:H36"/>
    <mergeCell ref="D31:D32"/>
    <mergeCell ref="E31:E32"/>
    <mergeCell ref="F31:F32"/>
    <mergeCell ref="C31:C32"/>
    <mergeCell ref="D35:D36"/>
    <mergeCell ref="E35:E36"/>
    <mergeCell ref="F35:F36"/>
    <mergeCell ref="I35:I36"/>
    <mergeCell ref="H31:H32"/>
    <mergeCell ref="I31:I32"/>
    <mergeCell ref="J31:K32"/>
    <mergeCell ref="B29:B30"/>
    <mergeCell ref="L24:L25"/>
    <mergeCell ref="N24:N25"/>
    <mergeCell ref="F25:G25"/>
    <mergeCell ref="J35:K36"/>
    <mergeCell ref="I33:I34"/>
    <mergeCell ref="J33:K34"/>
    <mergeCell ref="F33:F34"/>
    <mergeCell ref="G33:G34"/>
    <mergeCell ref="H33:H34"/>
    <mergeCell ref="G31:G32"/>
    <mergeCell ref="B35:B36"/>
    <mergeCell ref="C35:C36"/>
    <mergeCell ref="C33:C34"/>
    <mergeCell ref="B31:B32"/>
    <mergeCell ref="D33:D34"/>
    <mergeCell ref="E33:E34"/>
    <mergeCell ref="C29:C30"/>
    <mergeCell ref="D29:D30"/>
    <mergeCell ref="E29:E30"/>
    <mergeCell ref="F29:F30"/>
    <mergeCell ref="G29:G30"/>
    <mergeCell ref="H29:H30"/>
    <mergeCell ref="I29:I30"/>
    <mergeCell ref="H45:H46"/>
    <mergeCell ref="I45:I46"/>
    <mergeCell ref="J45:J46"/>
    <mergeCell ref="B33:B34"/>
    <mergeCell ref="A38:C38"/>
    <mergeCell ref="A39:D39"/>
    <mergeCell ref="B43:B44"/>
    <mergeCell ref="G35:G36"/>
    <mergeCell ref="I43:K43"/>
    <mergeCell ref="H47:H48"/>
    <mergeCell ref="I47:I48"/>
    <mergeCell ref="J47:J48"/>
    <mergeCell ref="B49:B50"/>
    <mergeCell ref="C49:C50"/>
    <mergeCell ref="D49:D50"/>
    <mergeCell ref="E49:E50"/>
    <mergeCell ref="F49:F50"/>
    <mergeCell ref="G49:G50"/>
    <mergeCell ref="H49:H50"/>
    <mergeCell ref="I49:I50"/>
    <mergeCell ref="J49:J50"/>
    <mergeCell ref="H53:H54"/>
    <mergeCell ref="I53:I54"/>
    <mergeCell ref="J53:J54"/>
    <mergeCell ref="B51:B52"/>
    <mergeCell ref="C51:C52"/>
    <mergeCell ref="D51:D52"/>
    <mergeCell ref="E51:E52"/>
    <mergeCell ref="F51:F52"/>
    <mergeCell ref="G51:G52"/>
    <mergeCell ref="H51:H52"/>
    <mergeCell ref="I51:I52"/>
    <mergeCell ref="J51:J52"/>
    <mergeCell ref="B53:B54"/>
    <mergeCell ref="C53:C54"/>
    <mergeCell ref="D53:D54"/>
    <mergeCell ref="E53:E54"/>
    <mergeCell ref="F53:F54"/>
    <mergeCell ref="G53:G54"/>
    <mergeCell ref="H55:H56"/>
    <mergeCell ref="I55:I56"/>
    <mergeCell ref="J55:J56"/>
    <mergeCell ref="B57:B58"/>
    <mergeCell ref="C57:C58"/>
    <mergeCell ref="D57:D58"/>
    <mergeCell ref="E57:E58"/>
    <mergeCell ref="F57:F58"/>
    <mergeCell ref="G59:G60"/>
    <mergeCell ref="H59:H60"/>
    <mergeCell ref="I59:I60"/>
    <mergeCell ref="J59:J60"/>
    <mergeCell ref="G57:G58"/>
    <mergeCell ref="H57:H58"/>
    <mergeCell ref="I57:I58"/>
    <mergeCell ref="J57:J58"/>
    <mergeCell ref="B59:B60"/>
    <mergeCell ref="C59:C60"/>
    <mergeCell ref="D59:D60"/>
    <mergeCell ref="E59:E60"/>
    <mergeCell ref="F59:F60"/>
    <mergeCell ref="B55:B56"/>
    <mergeCell ref="C55:C56"/>
    <mergeCell ref="D55:D56"/>
    <mergeCell ref="E55:E56"/>
    <mergeCell ref="F55:F56"/>
    <mergeCell ref="G55:G56"/>
    <mergeCell ref="B45:B46"/>
    <mergeCell ref="C45:C46"/>
    <mergeCell ref="D45:D46"/>
    <mergeCell ref="B47:B48"/>
    <mergeCell ref="C47:C48"/>
    <mergeCell ref="D47:D48"/>
    <mergeCell ref="E47:E48"/>
    <mergeCell ref="F47:F48"/>
    <mergeCell ref="G47:G48"/>
    <mergeCell ref="E45:E46"/>
    <mergeCell ref="F45:F46"/>
    <mergeCell ref="G45:G46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65" orientation="landscape" horizontalDpi="300" verticalDpi="300" r:id="rId1"/>
  <rowBreaks count="1" manualBreakCount="1">
    <brk id="3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P70"/>
  <sheetViews>
    <sheetView rightToLeft="1" view="pageBreakPreview" topLeftCell="C50" zoomScale="70" zoomScaleSheetLayoutView="70" workbookViewId="0">
      <selection activeCell="L70" sqref="L70"/>
    </sheetView>
  </sheetViews>
  <sheetFormatPr defaultColWidth="9" defaultRowHeight="21" x14ac:dyDescent="0.4"/>
  <cols>
    <col min="1" max="1" width="14.69921875" style="9" customWidth="1"/>
    <col min="2" max="2" width="16.796875" style="9" customWidth="1"/>
    <col min="3" max="3" width="12" style="9" customWidth="1"/>
    <col min="4" max="5" width="9" style="9"/>
    <col min="6" max="6" width="12.296875" style="9" customWidth="1"/>
    <col min="7" max="8" width="9" style="9"/>
    <col min="9" max="9" width="9.19921875" style="9" customWidth="1"/>
    <col min="10" max="10" width="10.796875" style="9" customWidth="1"/>
    <col min="11" max="11" width="10.296875" style="9" customWidth="1"/>
    <col min="12" max="12" width="11.796875" style="9" customWidth="1"/>
    <col min="13" max="13" width="8.796875" style="9" customWidth="1"/>
    <col min="14" max="14" width="12" style="9" customWidth="1"/>
    <col min="15" max="16384" width="9" style="9"/>
  </cols>
  <sheetData>
    <row r="1" spans="1:15" x14ac:dyDescent="0.4">
      <c r="A1" s="181" t="s">
        <v>55</v>
      </c>
      <c r="B1" s="181"/>
      <c r="C1" s="181"/>
    </row>
    <row r="2" spans="1:15" x14ac:dyDescent="0.4">
      <c r="A2" s="181" t="s">
        <v>56</v>
      </c>
      <c r="B2" s="181"/>
      <c r="C2" s="181"/>
      <c r="D2" s="181"/>
    </row>
    <row r="3" spans="1:15" x14ac:dyDescent="0.4">
      <c r="A3" s="181" t="s">
        <v>162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</row>
    <row r="4" spans="1:15" x14ac:dyDescent="0.4">
      <c r="E4" s="9" t="s">
        <v>266</v>
      </c>
    </row>
    <row r="5" spans="1:15" ht="21.6" thickBot="1" x14ac:dyDescent="0.45"/>
    <row r="6" spans="1:15" ht="22.2" thickTop="1" thickBot="1" x14ac:dyDescent="0.45">
      <c r="A6" s="9" t="s">
        <v>1</v>
      </c>
      <c r="B6" s="209" t="s">
        <v>166</v>
      </c>
      <c r="C6" s="211"/>
      <c r="D6" s="210"/>
      <c r="F6" s="9" t="s">
        <v>2</v>
      </c>
      <c r="G6" s="209" t="s">
        <v>165</v>
      </c>
      <c r="H6" s="211"/>
      <c r="I6" s="210"/>
      <c r="K6" s="9" t="s">
        <v>0</v>
      </c>
      <c r="L6" s="209" t="s">
        <v>129</v>
      </c>
      <c r="M6" s="211"/>
      <c r="N6" s="210"/>
    </row>
    <row r="7" spans="1:15" ht="22.2" thickTop="1" thickBot="1" x14ac:dyDescent="0.45"/>
    <row r="8" spans="1:15" ht="22.2" thickTop="1" thickBot="1" x14ac:dyDescent="0.45">
      <c r="A8" s="9" t="s">
        <v>43</v>
      </c>
      <c r="B8" s="209" t="e">
        <f>'التعليم المسرع'!#REF!+'التعليم المسرع'!#REF!</f>
        <v>#REF!</v>
      </c>
      <c r="C8" s="211"/>
      <c r="D8" s="210"/>
      <c r="F8" s="9" t="s">
        <v>3</v>
      </c>
      <c r="G8" s="209" t="e">
        <f>'التعليم المسرع'!#REF!</f>
        <v>#REF!</v>
      </c>
      <c r="H8" s="211"/>
      <c r="I8" s="210"/>
      <c r="K8" s="9" t="s">
        <v>4</v>
      </c>
      <c r="L8" s="209" t="e">
        <f>'التعليم المسرع'!#REF!</f>
        <v>#REF!</v>
      </c>
      <c r="M8" s="211"/>
      <c r="N8" s="210"/>
    </row>
    <row r="9" spans="1:15" ht="21.6" thickTop="1" x14ac:dyDescent="0.4"/>
    <row r="10" spans="1:15" ht="21.6" thickBot="1" x14ac:dyDescent="0.45"/>
    <row r="11" spans="1:15" ht="22.2" thickTop="1" thickBot="1" x14ac:dyDescent="0.45">
      <c r="B11" s="209" t="s">
        <v>5</v>
      </c>
      <c r="C11" s="210"/>
      <c r="F11" s="209" t="s">
        <v>6</v>
      </c>
      <c r="G11" s="211"/>
      <c r="H11" s="210"/>
      <c r="K11" s="209" t="s">
        <v>7</v>
      </c>
      <c r="L11" s="211"/>
      <c r="M11" s="210"/>
    </row>
    <row r="12" spans="1:15" ht="22.2" thickTop="1" thickBot="1" x14ac:dyDescent="0.45">
      <c r="B12" s="10" t="s">
        <v>8</v>
      </c>
      <c r="C12" s="11" t="s">
        <v>9</v>
      </c>
      <c r="F12" s="12" t="s">
        <v>10</v>
      </c>
      <c r="G12" s="13" t="s">
        <v>11</v>
      </c>
      <c r="H12" s="14" t="s">
        <v>12</v>
      </c>
      <c r="K12" s="10" t="s">
        <v>13</v>
      </c>
      <c r="L12" s="15" t="s">
        <v>14</v>
      </c>
      <c r="M12" s="11" t="s">
        <v>15</v>
      </c>
    </row>
    <row r="13" spans="1:15" ht="22.2" thickTop="1" thickBot="1" x14ac:dyDescent="0.45">
      <c r="B13" s="16" t="e">
        <f>'التعليم المسرع'!#REF!</f>
        <v>#REF!</v>
      </c>
      <c r="C13" s="17" t="e">
        <f>'التعليم المسرع'!#REF!</f>
        <v>#REF!</v>
      </c>
      <c r="F13" s="18" t="e">
        <f>'التعليم المسرع'!#REF!</f>
        <v>#REF!</v>
      </c>
      <c r="G13" s="19" t="e">
        <f>'التعليم المسرع'!#REF!</f>
        <v>#REF!</v>
      </c>
      <c r="H13" s="20" t="e">
        <f>'التعليم المسرع'!#REF!</f>
        <v>#REF!</v>
      </c>
      <c r="K13" s="16" t="e">
        <f>'التعليم المسرع'!#REF!</f>
        <v>#REF!</v>
      </c>
      <c r="L13" s="21" t="e">
        <f>'التعليم المسرع'!#REF!</f>
        <v>#REF!</v>
      </c>
      <c r="M13" s="17" t="e">
        <f>SUM(K13:L13)</f>
        <v>#REF!</v>
      </c>
    </row>
    <row r="14" spans="1:15" ht="21.6" thickTop="1" x14ac:dyDescent="0.4"/>
    <row r="15" spans="1:15" ht="21.6" thickBot="1" x14ac:dyDescent="0.45"/>
    <row r="16" spans="1:15" s="35" customFormat="1" ht="27.75" customHeight="1" thickTop="1" thickBot="1" x14ac:dyDescent="0.3">
      <c r="B16" s="249" t="s">
        <v>20</v>
      </c>
      <c r="C16" s="250"/>
      <c r="D16" s="250"/>
      <c r="E16" s="250"/>
      <c r="F16" s="250"/>
      <c r="G16" s="251"/>
      <c r="I16" s="165" t="s">
        <v>30</v>
      </c>
      <c r="J16" s="169"/>
      <c r="K16" s="169"/>
      <c r="L16" s="169"/>
      <c r="M16" s="166"/>
    </row>
    <row r="17" spans="2:13" ht="22.2" thickTop="1" thickBot="1" x14ac:dyDescent="0.45">
      <c r="B17" s="22" t="s">
        <v>16</v>
      </c>
      <c r="C17" s="23" t="s">
        <v>10</v>
      </c>
      <c r="D17" s="23" t="s">
        <v>11</v>
      </c>
      <c r="E17" s="23" t="s">
        <v>12</v>
      </c>
      <c r="F17" s="167" t="s">
        <v>15</v>
      </c>
      <c r="G17" s="168"/>
      <c r="I17" s="194" t="s">
        <v>31</v>
      </c>
      <c r="J17" s="195" t="s">
        <v>44</v>
      </c>
      <c r="K17" s="195" t="s">
        <v>45</v>
      </c>
      <c r="L17" s="195" t="s">
        <v>46</v>
      </c>
      <c r="M17" s="196" t="s">
        <v>47</v>
      </c>
    </row>
    <row r="18" spans="2:13" ht="22.2" thickTop="1" thickBot="1" x14ac:dyDescent="0.45">
      <c r="B18" s="170" t="s">
        <v>17</v>
      </c>
      <c r="C18" s="170" t="e">
        <f>'التعليم المسرع'!#REF!</f>
        <v>#REF!</v>
      </c>
      <c r="D18" s="170" t="e">
        <f>'التعليم المسرع'!#REF!</f>
        <v>#REF!</v>
      </c>
      <c r="E18" s="170" t="e">
        <f>'التعليم المسرع'!#REF!</f>
        <v>#REF!</v>
      </c>
      <c r="F18" s="172" t="e">
        <f>C18+D18+E18</f>
        <v>#REF!</v>
      </c>
      <c r="G18" s="173"/>
      <c r="I18" s="190"/>
      <c r="J18" s="189"/>
      <c r="K18" s="189"/>
      <c r="L18" s="189"/>
      <c r="M18" s="192"/>
    </row>
    <row r="19" spans="2:13" ht="22.2" thickTop="1" thickBot="1" x14ac:dyDescent="0.45">
      <c r="B19" s="171"/>
      <c r="C19" s="171"/>
      <c r="D19" s="171"/>
      <c r="E19" s="171"/>
      <c r="F19" s="174"/>
      <c r="G19" s="175"/>
      <c r="I19" s="190" t="s">
        <v>13</v>
      </c>
      <c r="J19" s="189" t="e">
        <f>'التعليم المسرع'!#REF!</f>
        <v>#REF!</v>
      </c>
      <c r="K19" s="189" t="e">
        <f>'التعليم المسرع'!#REF!</f>
        <v>#REF!</v>
      </c>
      <c r="L19" s="189" t="e">
        <f>'التعليم المسرع'!#REF!</f>
        <v>#REF!</v>
      </c>
      <c r="M19" s="192" t="e">
        <f>SUM(J19:L19)</f>
        <v>#REF!</v>
      </c>
    </row>
    <row r="20" spans="2:13" ht="22.2" thickTop="1" thickBot="1" x14ac:dyDescent="0.45">
      <c r="B20" s="170" t="s">
        <v>18</v>
      </c>
      <c r="C20" s="170" t="e">
        <f>'التعليم المسرع'!#REF!</f>
        <v>#REF!</v>
      </c>
      <c r="D20" s="170" t="e">
        <f>'التعليم المسرع'!#REF!</f>
        <v>#REF!</v>
      </c>
      <c r="E20" s="170" t="e">
        <f>'التعليم المسرع'!#REF!</f>
        <v>#REF!</v>
      </c>
      <c r="F20" s="172" t="e">
        <f t="shared" ref="F20" si="0">C20+D20+E20</f>
        <v>#REF!</v>
      </c>
      <c r="G20" s="173"/>
      <c r="I20" s="190"/>
      <c r="J20" s="189"/>
      <c r="K20" s="189"/>
      <c r="L20" s="189"/>
      <c r="M20" s="192"/>
    </row>
    <row r="21" spans="2:13" ht="22.2" thickTop="1" thickBot="1" x14ac:dyDescent="0.45">
      <c r="B21" s="171"/>
      <c r="C21" s="171"/>
      <c r="D21" s="171"/>
      <c r="E21" s="171"/>
      <c r="F21" s="174"/>
      <c r="G21" s="175"/>
      <c r="I21" s="190" t="s">
        <v>14</v>
      </c>
      <c r="J21" s="189" t="e">
        <f>'التعليم المسرع'!#REF!</f>
        <v>#REF!</v>
      </c>
      <c r="K21" s="189" t="e">
        <f>'التعليم المسرع'!#REF!</f>
        <v>#REF!</v>
      </c>
      <c r="L21" s="189" t="e">
        <f>'التعليم المسرع'!#REF!</f>
        <v>#REF!</v>
      </c>
      <c r="M21" s="192" t="e">
        <f>SUM(J21:L21)</f>
        <v>#REF!</v>
      </c>
    </row>
    <row r="22" spans="2:13" ht="22.2" thickTop="1" thickBot="1" x14ac:dyDescent="0.45">
      <c r="B22" s="170" t="s">
        <v>19</v>
      </c>
      <c r="C22" s="170" t="e">
        <f>'التعليم المسرع'!#REF!</f>
        <v>#REF!</v>
      </c>
      <c r="D22" s="170" t="e">
        <f>'التعليم المسرع'!#REF!</f>
        <v>#REF!</v>
      </c>
      <c r="E22" s="170" t="e">
        <f>'التعليم المسرع'!#REF!</f>
        <v>#REF!</v>
      </c>
      <c r="F22" s="172" t="e">
        <f t="shared" ref="F22" si="1">C22+D22+E22</f>
        <v>#REF!</v>
      </c>
      <c r="G22" s="173"/>
      <c r="I22" s="190"/>
      <c r="J22" s="189"/>
      <c r="K22" s="189"/>
      <c r="L22" s="189"/>
      <c r="M22" s="192"/>
    </row>
    <row r="23" spans="2:13" ht="22.2" thickTop="1" thickBot="1" x14ac:dyDescent="0.45">
      <c r="B23" s="171"/>
      <c r="C23" s="171"/>
      <c r="D23" s="171"/>
      <c r="E23" s="171"/>
      <c r="F23" s="174"/>
      <c r="G23" s="175"/>
      <c r="I23" s="190" t="s">
        <v>15</v>
      </c>
      <c r="J23" s="189" t="e">
        <f>J19+J21</f>
        <v>#REF!</v>
      </c>
      <c r="K23" s="189" t="e">
        <f t="shared" ref="K23:M23" si="2">K19+K21</f>
        <v>#REF!</v>
      </c>
      <c r="L23" s="189" t="e">
        <f t="shared" si="2"/>
        <v>#REF!</v>
      </c>
      <c r="M23" s="192" t="e">
        <f t="shared" si="2"/>
        <v>#REF!</v>
      </c>
    </row>
    <row r="24" spans="2:13" ht="42.75" customHeight="1" thickTop="1" thickBot="1" x14ac:dyDescent="0.45">
      <c r="B24" s="24" t="s">
        <v>15</v>
      </c>
      <c r="C24" s="25" t="e">
        <f>SUM(C18:C23)</f>
        <v>#REF!</v>
      </c>
      <c r="D24" s="25" t="e">
        <f>SUM(D18:D23)</f>
        <v>#REF!</v>
      </c>
      <c r="E24" s="25" t="e">
        <f>SUM(E18:E23)</f>
        <v>#REF!</v>
      </c>
      <c r="F24" s="185" t="e">
        <f>C24+D24+E24</f>
        <v>#REF!</v>
      </c>
      <c r="G24" s="166"/>
      <c r="I24" s="193"/>
      <c r="J24" s="191"/>
      <c r="K24" s="191"/>
      <c r="L24" s="191"/>
      <c r="M24" s="208"/>
    </row>
    <row r="25" spans="2:13" ht="21.6" thickTop="1" x14ac:dyDescent="0.4"/>
    <row r="26" spans="2:13" ht="21.6" thickBot="1" x14ac:dyDescent="0.45">
      <c r="B26" s="27"/>
      <c r="C26" s="27"/>
      <c r="D26" s="27"/>
      <c r="E26" s="27"/>
    </row>
    <row r="27" spans="2:13" ht="32.25" customHeight="1" thickTop="1" thickBot="1" x14ac:dyDescent="0.45">
      <c r="B27" s="165" t="s">
        <v>39</v>
      </c>
      <c r="C27" s="169"/>
      <c r="D27" s="169"/>
      <c r="E27" s="169"/>
      <c r="F27" s="169"/>
      <c r="G27" s="169"/>
      <c r="H27" s="169"/>
      <c r="I27" s="169"/>
      <c r="J27" s="169"/>
      <c r="K27" s="166"/>
      <c r="L27" s="26"/>
      <c r="M27" s="26"/>
    </row>
    <row r="28" spans="2:13" ht="46.5" customHeight="1" thickTop="1" thickBot="1" x14ac:dyDescent="0.45">
      <c r="B28" s="212" t="s">
        <v>40</v>
      </c>
      <c r="C28" s="206" t="s">
        <v>32</v>
      </c>
      <c r="D28" s="206" t="s">
        <v>33</v>
      </c>
      <c r="E28" s="206" t="s">
        <v>34</v>
      </c>
      <c r="F28" s="206" t="s">
        <v>35</v>
      </c>
      <c r="G28" s="206" t="s">
        <v>36</v>
      </c>
      <c r="H28" s="206" t="s">
        <v>37</v>
      </c>
      <c r="I28" s="206" t="s">
        <v>38</v>
      </c>
      <c r="J28" s="195" t="s">
        <v>15</v>
      </c>
      <c r="K28" s="196"/>
      <c r="L28" s="26"/>
      <c r="M28" s="26"/>
    </row>
    <row r="29" spans="2:13" ht="40.5" customHeight="1" thickTop="1" thickBot="1" x14ac:dyDescent="0.45">
      <c r="B29" s="213"/>
      <c r="C29" s="207"/>
      <c r="D29" s="207"/>
      <c r="E29" s="207"/>
      <c r="F29" s="207"/>
      <c r="G29" s="207"/>
      <c r="H29" s="207"/>
      <c r="I29" s="207"/>
      <c r="J29" s="189"/>
      <c r="K29" s="192"/>
      <c r="L29" s="26"/>
      <c r="M29" s="26"/>
    </row>
    <row r="30" spans="2:13" ht="22.2" thickTop="1" thickBot="1" x14ac:dyDescent="0.45">
      <c r="B30" s="190" t="s">
        <v>13</v>
      </c>
      <c r="C30" s="189" t="e">
        <f>'التعليم المسرع'!#REF!</f>
        <v>#REF!</v>
      </c>
      <c r="D30" s="189" t="e">
        <f>'التعليم المسرع'!#REF!</f>
        <v>#REF!</v>
      </c>
      <c r="E30" s="189" t="e">
        <f>'التعليم المسرع'!#REF!</f>
        <v>#REF!</v>
      </c>
      <c r="F30" s="189" t="e">
        <f>'التعليم المسرع'!#REF!</f>
        <v>#REF!</v>
      </c>
      <c r="G30" s="189" t="e">
        <f>'التعليم المسرع'!#REF!</f>
        <v>#REF!</v>
      </c>
      <c r="H30" s="189" t="e">
        <f>'التعليم المسرع'!#REF!</f>
        <v>#REF!</v>
      </c>
      <c r="I30" s="189" t="e">
        <f>'التعليم المسرع'!#REF!</f>
        <v>#REF!</v>
      </c>
      <c r="J30" s="189" t="e">
        <f>I30+H30+G30+F30+E30+D30+C30</f>
        <v>#REF!</v>
      </c>
      <c r="K30" s="192"/>
      <c r="L30" s="26"/>
      <c r="M30" s="26"/>
    </row>
    <row r="31" spans="2:13" ht="22.2" thickTop="1" thickBot="1" x14ac:dyDescent="0.45">
      <c r="B31" s="190"/>
      <c r="C31" s="189"/>
      <c r="D31" s="189"/>
      <c r="E31" s="189"/>
      <c r="F31" s="189"/>
      <c r="G31" s="189"/>
      <c r="H31" s="189"/>
      <c r="I31" s="189"/>
      <c r="J31" s="189"/>
      <c r="K31" s="192"/>
      <c r="L31" s="26"/>
      <c r="M31" s="26"/>
    </row>
    <row r="32" spans="2:13" ht="22.2" thickTop="1" thickBot="1" x14ac:dyDescent="0.45">
      <c r="B32" s="190" t="s">
        <v>14</v>
      </c>
      <c r="C32" s="189" t="e">
        <f>'التعليم المسرع'!#REF!</f>
        <v>#REF!</v>
      </c>
      <c r="D32" s="189" t="e">
        <f>'التعليم المسرع'!#REF!</f>
        <v>#REF!</v>
      </c>
      <c r="E32" s="189" t="e">
        <f>'التعليم المسرع'!#REF!</f>
        <v>#REF!</v>
      </c>
      <c r="F32" s="189" t="e">
        <f>'التعليم المسرع'!#REF!</f>
        <v>#REF!</v>
      </c>
      <c r="G32" s="189" t="e">
        <f>'التعليم المسرع'!#REF!</f>
        <v>#REF!</v>
      </c>
      <c r="H32" s="189" t="e">
        <f>'التعليم المسرع'!#REF!</f>
        <v>#REF!</v>
      </c>
      <c r="I32" s="189" t="e">
        <f>'التعليم المسرع'!#REF!</f>
        <v>#REF!</v>
      </c>
      <c r="J32" s="189" t="e">
        <f t="shared" ref="J32" si="3">I32+H32+G32+F32+E32+D32+C32</f>
        <v>#REF!</v>
      </c>
      <c r="K32" s="192"/>
      <c r="L32" s="26"/>
      <c r="M32" s="26"/>
    </row>
    <row r="33" spans="1:14" ht="22.2" thickTop="1" thickBot="1" x14ac:dyDescent="0.45">
      <c r="B33" s="190"/>
      <c r="C33" s="189"/>
      <c r="D33" s="189"/>
      <c r="E33" s="189"/>
      <c r="F33" s="189"/>
      <c r="G33" s="189"/>
      <c r="H33" s="189"/>
      <c r="I33" s="189"/>
      <c r="J33" s="189"/>
      <c r="K33" s="192"/>
      <c r="L33" s="26"/>
      <c r="M33" s="26"/>
    </row>
    <row r="34" spans="1:14" ht="22.2" thickTop="1" thickBot="1" x14ac:dyDescent="0.45">
      <c r="B34" s="190" t="s">
        <v>15</v>
      </c>
      <c r="C34" s="189" t="e">
        <f>C30+C32</f>
        <v>#REF!</v>
      </c>
      <c r="D34" s="189" t="e">
        <f t="shared" ref="D34:I34" si="4">D30+D32</f>
        <v>#REF!</v>
      </c>
      <c r="E34" s="189" t="e">
        <f t="shared" si="4"/>
        <v>#REF!</v>
      </c>
      <c r="F34" s="189" t="e">
        <f t="shared" si="4"/>
        <v>#REF!</v>
      </c>
      <c r="G34" s="189" t="e">
        <f t="shared" si="4"/>
        <v>#REF!</v>
      </c>
      <c r="H34" s="189" t="e">
        <f t="shared" si="4"/>
        <v>#REF!</v>
      </c>
      <c r="I34" s="189" t="e">
        <f t="shared" si="4"/>
        <v>#REF!</v>
      </c>
      <c r="J34" s="189" t="e">
        <f t="shared" ref="J34" si="5">I34+H34+G34+F34+E34+D34+C34</f>
        <v>#REF!</v>
      </c>
      <c r="K34" s="192"/>
      <c r="L34" s="26"/>
      <c r="M34" s="26"/>
    </row>
    <row r="35" spans="1:14" ht="22.2" thickTop="1" thickBot="1" x14ac:dyDescent="0.45">
      <c r="B35" s="193"/>
      <c r="C35" s="191"/>
      <c r="D35" s="191"/>
      <c r="E35" s="191"/>
      <c r="F35" s="191"/>
      <c r="G35" s="191"/>
      <c r="H35" s="191"/>
      <c r="I35" s="191"/>
      <c r="J35" s="191"/>
      <c r="K35" s="208"/>
      <c r="L35" s="26"/>
      <c r="M35" s="26"/>
    </row>
    <row r="36" spans="1:14" ht="21.6" thickTop="1" x14ac:dyDescent="0.4"/>
    <row r="37" spans="1:14" x14ac:dyDescent="0.4">
      <c r="A37" s="181" t="s">
        <v>55</v>
      </c>
      <c r="B37" s="181"/>
      <c r="C37" s="181"/>
    </row>
    <row r="38" spans="1:14" ht="26.25" customHeight="1" x14ac:dyDescent="0.4">
      <c r="A38" s="181" t="s">
        <v>56</v>
      </c>
      <c r="B38" s="181"/>
      <c r="C38" s="181"/>
      <c r="D38" s="181"/>
      <c r="K38" s="9" t="s">
        <v>170</v>
      </c>
    </row>
    <row r="39" spans="1:14" ht="27.75" customHeight="1" x14ac:dyDescent="0.4">
      <c r="D39" s="9" t="s">
        <v>52</v>
      </c>
    </row>
    <row r="40" spans="1:14" ht="21.6" thickBot="1" x14ac:dyDescent="0.45"/>
    <row r="41" spans="1:14" ht="32.25" customHeight="1" thickTop="1" thickBot="1" x14ac:dyDescent="0.45">
      <c r="B41" s="203" t="s">
        <v>28</v>
      </c>
      <c r="C41" s="185" t="s">
        <v>17</v>
      </c>
      <c r="D41" s="229"/>
      <c r="E41" s="185" t="s">
        <v>18</v>
      </c>
      <c r="F41" s="229"/>
      <c r="G41" s="185" t="s">
        <v>19</v>
      </c>
      <c r="H41" s="229"/>
      <c r="I41" s="185" t="s">
        <v>29</v>
      </c>
      <c r="J41" s="169"/>
      <c r="K41" s="229"/>
      <c r="L41" s="26"/>
      <c r="M41" s="26"/>
      <c r="N41" s="26"/>
    </row>
    <row r="42" spans="1:14" ht="30.75" customHeight="1" thickTop="1" thickBot="1" x14ac:dyDescent="0.45">
      <c r="B42" s="197"/>
      <c r="C42" s="29" t="s">
        <v>10</v>
      </c>
      <c r="D42" s="29" t="s">
        <v>11</v>
      </c>
      <c r="E42" s="29" t="s">
        <v>10</v>
      </c>
      <c r="F42" s="29" t="s">
        <v>11</v>
      </c>
      <c r="G42" s="29" t="s">
        <v>10</v>
      </c>
      <c r="H42" s="29" t="s">
        <v>11</v>
      </c>
      <c r="I42" s="29" t="s">
        <v>10</v>
      </c>
      <c r="J42" s="29" t="s">
        <v>11</v>
      </c>
      <c r="K42" s="29" t="s">
        <v>15</v>
      </c>
      <c r="L42" s="26"/>
      <c r="M42" s="26"/>
      <c r="N42" s="26"/>
    </row>
    <row r="43" spans="1:14" ht="21.6" thickTop="1" x14ac:dyDescent="0.4">
      <c r="B43" s="203" t="s">
        <v>21</v>
      </c>
      <c r="C43" s="203" t="e">
        <f>'التعليم المسرع'!#REF!</f>
        <v>#REF!</v>
      </c>
      <c r="D43" s="203" t="e">
        <f>'التعليم المسرع'!#REF!</f>
        <v>#REF!</v>
      </c>
      <c r="E43" s="203" t="e">
        <f>'التعليم المسرع'!#REF!</f>
        <v>#REF!</v>
      </c>
      <c r="F43" s="203" t="e">
        <f>'التعليم المسرع'!#REF!</f>
        <v>#REF!</v>
      </c>
      <c r="G43" s="203" t="e">
        <f>'التعليم المسرع'!#REF!</f>
        <v>#REF!</v>
      </c>
      <c r="H43" s="203" t="e">
        <f>'التعليم المسرع'!#REF!</f>
        <v>#REF!</v>
      </c>
      <c r="I43" s="203" t="e">
        <f>C43+E43+G43</f>
        <v>#REF!</v>
      </c>
      <c r="J43" s="203" t="e">
        <f>D43+F43+H43</f>
        <v>#REF!</v>
      </c>
      <c r="K43" s="203" t="e">
        <f>SUM(I43:J43)</f>
        <v>#REF!</v>
      </c>
      <c r="L43" s="26"/>
    </row>
    <row r="44" spans="1:14" ht="21.6" thickBot="1" x14ac:dyDescent="0.45"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26"/>
    </row>
    <row r="45" spans="1:14" ht="21.6" thickTop="1" x14ac:dyDescent="0.4">
      <c r="B45" s="203" t="s">
        <v>22</v>
      </c>
      <c r="C45" s="203" t="e">
        <f>'التعليم المسرع'!#REF!</f>
        <v>#REF!</v>
      </c>
      <c r="D45" s="203" t="e">
        <f>'التعليم المسرع'!#REF!</f>
        <v>#REF!</v>
      </c>
      <c r="E45" s="228" t="e">
        <f>'التعليم المسرع'!#REF!</f>
        <v>#REF!</v>
      </c>
      <c r="F45" s="228" t="e">
        <f>'التعليم المسرع'!#REF!</f>
        <v>#REF!</v>
      </c>
      <c r="G45" s="203" t="e">
        <f>'التعليم المسرع'!#REF!</f>
        <v>#REF!</v>
      </c>
      <c r="H45" s="203" t="e">
        <f>'التعليم المسرع'!#REF!</f>
        <v>#REF!</v>
      </c>
      <c r="I45" s="203" t="e">
        <f t="shared" ref="I45:J45" si="6">C45+E45+G45</f>
        <v>#REF!</v>
      </c>
      <c r="J45" s="203" t="e">
        <f t="shared" si="6"/>
        <v>#REF!</v>
      </c>
      <c r="K45" s="203" t="e">
        <f t="shared" ref="K45" si="7">SUM(I45:J45)</f>
        <v>#REF!</v>
      </c>
      <c r="L45" s="26"/>
    </row>
    <row r="46" spans="1:14" ht="21.6" thickBot="1" x14ac:dyDescent="0.45">
      <c r="B46" s="197"/>
      <c r="C46" s="197"/>
      <c r="D46" s="197"/>
      <c r="E46" s="198"/>
      <c r="F46" s="198"/>
      <c r="G46" s="197"/>
      <c r="H46" s="197"/>
      <c r="I46" s="197"/>
      <c r="J46" s="197"/>
      <c r="K46" s="197"/>
      <c r="L46" s="26"/>
    </row>
    <row r="47" spans="1:14" ht="21.6" thickTop="1" x14ac:dyDescent="0.4">
      <c r="B47" s="203" t="s">
        <v>23</v>
      </c>
      <c r="C47" s="203" t="e">
        <f>'التعليم المسرع'!#REF!</f>
        <v>#REF!</v>
      </c>
      <c r="D47" s="203" t="e">
        <f>'التعليم المسرع'!#REF!</f>
        <v>#REF!</v>
      </c>
      <c r="E47" s="228" t="e">
        <f>'التعليم المسرع'!#REF!</f>
        <v>#REF!</v>
      </c>
      <c r="F47" s="228" t="e">
        <f>'التعليم المسرع'!#REF!</f>
        <v>#REF!</v>
      </c>
      <c r="G47" s="203" t="e">
        <f>'التعليم المسرع'!#REF!</f>
        <v>#REF!</v>
      </c>
      <c r="H47" s="203" t="e">
        <f>'التعليم المسرع'!#REF!</f>
        <v>#REF!</v>
      </c>
      <c r="I47" s="203" t="e">
        <f t="shared" ref="I47:J47" si="8">C47+E47+G47</f>
        <v>#REF!</v>
      </c>
      <c r="J47" s="203" t="e">
        <f t="shared" si="8"/>
        <v>#REF!</v>
      </c>
      <c r="K47" s="203" t="e">
        <f t="shared" ref="K47" si="9">SUM(I47:J47)</f>
        <v>#REF!</v>
      </c>
      <c r="L47" s="26"/>
    </row>
    <row r="48" spans="1:14" ht="21.6" thickBot="1" x14ac:dyDescent="0.45">
      <c r="B48" s="197"/>
      <c r="C48" s="197"/>
      <c r="D48" s="197"/>
      <c r="E48" s="198"/>
      <c r="F48" s="198"/>
      <c r="G48" s="197"/>
      <c r="H48" s="197"/>
      <c r="I48" s="197"/>
      <c r="J48" s="197"/>
      <c r="K48" s="197"/>
      <c r="L48" s="26"/>
    </row>
    <row r="49" spans="1:16" ht="21.6" thickTop="1" x14ac:dyDescent="0.4">
      <c r="B49" s="203" t="s">
        <v>24</v>
      </c>
      <c r="C49" s="203" t="e">
        <f>'التعليم المسرع'!#REF!</f>
        <v>#REF!</v>
      </c>
      <c r="D49" s="203" t="e">
        <f>'التعليم المسرع'!#REF!</f>
        <v>#REF!</v>
      </c>
      <c r="E49" s="228" t="e">
        <f>'التعليم المسرع'!#REF!</f>
        <v>#REF!</v>
      </c>
      <c r="F49" s="228" t="e">
        <f>'التعليم المسرع'!#REF!</f>
        <v>#REF!</v>
      </c>
      <c r="G49" s="203" t="e">
        <f>'التعليم المسرع'!#REF!</f>
        <v>#REF!</v>
      </c>
      <c r="H49" s="203" t="e">
        <f>'التعليم المسرع'!#REF!</f>
        <v>#REF!</v>
      </c>
      <c r="I49" s="203" t="e">
        <f t="shared" ref="I49:J49" si="10">C49+E49+G49</f>
        <v>#REF!</v>
      </c>
      <c r="J49" s="203" t="e">
        <f t="shared" si="10"/>
        <v>#REF!</v>
      </c>
      <c r="K49" s="203" t="e">
        <f t="shared" ref="K49" si="11">SUM(I49:J49)</f>
        <v>#REF!</v>
      </c>
      <c r="L49" s="26"/>
    </row>
    <row r="50" spans="1:16" ht="21.6" thickBot="1" x14ac:dyDescent="0.45">
      <c r="B50" s="197"/>
      <c r="C50" s="197"/>
      <c r="D50" s="197"/>
      <c r="E50" s="198"/>
      <c r="F50" s="198"/>
      <c r="G50" s="197"/>
      <c r="H50" s="197"/>
      <c r="I50" s="197"/>
      <c r="J50" s="197"/>
      <c r="K50" s="197"/>
      <c r="L50" s="26"/>
    </row>
    <row r="51" spans="1:16" ht="21.6" thickTop="1" x14ac:dyDescent="0.4">
      <c r="B51" s="203" t="s">
        <v>25</v>
      </c>
      <c r="C51" s="203" t="e">
        <f>'التعليم المسرع'!#REF!</f>
        <v>#REF!</v>
      </c>
      <c r="D51" s="203" t="e">
        <f>'التعليم المسرع'!#REF!</f>
        <v>#REF!</v>
      </c>
      <c r="E51" s="228" t="e">
        <f>'التعليم المسرع'!#REF!</f>
        <v>#REF!</v>
      </c>
      <c r="F51" s="228" t="e">
        <f>'التعليم المسرع'!#REF!</f>
        <v>#REF!</v>
      </c>
      <c r="G51" s="203" t="e">
        <f>'التعليم المسرع'!#REF!</f>
        <v>#REF!</v>
      </c>
      <c r="H51" s="203" t="e">
        <f>'التعليم المسرع'!#REF!</f>
        <v>#REF!</v>
      </c>
      <c r="I51" s="203" t="e">
        <f t="shared" ref="I51:J51" si="12">C51+E51+G51</f>
        <v>#REF!</v>
      </c>
      <c r="J51" s="203" t="e">
        <f t="shared" si="12"/>
        <v>#REF!</v>
      </c>
      <c r="K51" s="203" t="e">
        <f t="shared" ref="K51" si="13">SUM(I51:J51)</f>
        <v>#REF!</v>
      </c>
      <c r="L51" s="26"/>
    </row>
    <row r="52" spans="1:16" ht="21.6" thickBot="1" x14ac:dyDescent="0.45">
      <c r="B52" s="197"/>
      <c r="C52" s="197"/>
      <c r="D52" s="197"/>
      <c r="E52" s="198"/>
      <c r="F52" s="198"/>
      <c r="G52" s="197"/>
      <c r="H52" s="197"/>
      <c r="I52" s="197"/>
      <c r="J52" s="197"/>
      <c r="K52" s="197"/>
      <c r="L52" s="26"/>
    </row>
    <row r="53" spans="1:16" ht="21.6" thickTop="1" x14ac:dyDescent="0.4">
      <c r="B53" s="203" t="s">
        <v>26</v>
      </c>
      <c r="C53" s="203" t="e">
        <f>'التعليم المسرع'!#REF!</f>
        <v>#REF!</v>
      </c>
      <c r="D53" s="203" t="e">
        <f>'التعليم المسرع'!#REF!</f>
        <v>#REF!</v>
      </c>
      <c r="E53" s="203" t="e">
        <f>'التعليم المسرع'!#REF!</f>
        <v>#REF!</v>
      </c>
      <c r="F53" s="203" t="e">
        <f>'التعليم المسرع'!#REF!</f>
        <v>#REF!</v>
      </c>
      <c r="G53" s="203" t="e">
        <f>'التعليم المسرع'!#REF!</f>
        <v>#REF!</v>
      </c>
      <c r="H53" s="203" t="e">
        <f>'التعليم المسرع'!#REF!</f>
        <v>#REF!</v>
      </c>
      <c r="I53" s="203" t="e">
        <f t="shared" ref="I53:J53" si="14">C53+E53+G53</f>
        <v>#REF!</v>
      </c>
      <c r="J53" s="203" t="e">
        <f t="shared" si="14"/>
        <v>#REF!</v>
      </c>
      <c r="K53" s="203" t="e">
        <f t="shared" ref="K53" si="15">SUM(I53:J53)</f>
        <v>#REF!</v>
      </c>
      <c r="L53" s="26"/>
    </row>
    <row r="54" spans="1:16" ht="21.6" thickBot="1" x14ac:dyDescent="0.45">
      <c r="B54" s="197"/>
      <c r="C54" s="197"/>
      <c r="D54" s="197"/>
      <c r="E54" s="197"/>
      <c r="F54" s="197"/>
      <c r="G54" s="197"/>
      <c r="H54" s="197"/>
      <c r="I54" s="197"/>
      <c r="J54" s="197"/>
      <c r="K54" s="197"/>
    </row>
    <row r="55" spans="1:16" ht="21.6" thickTop="1" x14ac:dyDescent="0.4">
      <c r="B55" s="203" t="s">
        <v>27</v>
      </c>
      <c r="C55" s="203" t="e">
        <f>'التعليم المسرع'!#REF!</f>
        <v>#REF!</v>
      </c>
      <c r="D55" s="203" t="e">
        <f>'التعليم المسرع'!#REF!</f>
        <v>#REF!</v>
      </c>
      <c r="E55" s="203" t="e">
        <f>'التعليم المسرع'!#REF!</f>
        <v>#REF!</v>
      </c>
      <c r="F55" s="203" t="e">
        <f>'التعليم المسرع'!#REF!</f>
        <v>#REF!</v>
      </c>
      <c r="G55" s="203" t="e">
        <f>'التعليم المسرع'!#REF!</f>
        <v>#REF!</v>
      </c>
      <c r="H55" s="203" t="e">
        <f>'التعليم المسرع'!#REF!</f>
        <v>#REF!</v>
      </c>
      <c r="I55" s="203" t="e">
        <f t="shared" ref="I55:J55" si="16">C55+E55+G55</f>
        <v>#REF!</v>
      </c>
      <c r="J55" s="203" t="e">
        <f t="shared" si="16"/>
        <v>#REF!</v>
      </c>
      <c r="K55" s="203" t="e">
        <f t="shared" ref="K55" si="17">SUM(I55:J55)</f>
        <v>#REF!</v>
      </c>
    </row>
    <row r="56" spans="1:16" ht="21.6" thickBot="1" x14ac:dyDescent="0.45">
      <c r="B56" s="197"/>
      <c r="C56" s="197"/>
      <c r="D56" s="197"/>
      <c r="E56" s="197"/>
      <c r="F56" s="197"/>
      <c r="G56" s="197"/>
      <c r="H56" s="197"/>
      <c r="I56" s="197"/>
      <c r="J56" s="197"/>
      <c r="K56" s="197"/>
    </row>
    <row r="57" spans="1:16" ht="21.6" thickTop="1" x14ac:dyDescent="0.4">
      <c r="B57" s="203" t="s">
        <v>15</v>
      </c>
      <c r="C57" s="203" t="e">
        <f t="shared" ref="C57:H57" si="18">C43+C45+C47+C49+C51+C53+C55</f>
        <v>#REF!</v>
      </c>
      <c r="D57" s="203" t="e">
        <f t="shared" si="18"/>
        <v>#REF!</v>
      </c>
      <c r="E57" s="203" t="e">
        <f t="shared" si="18"/>
        <v>#REF!</v>
      </c>
      <c r="F57" s="203" t="e">
        <f t="shared" si="18"/>
        <v>#REF!</v>
      </c>
      <c r="G57" s="203" t="e">
        <f t="shared" si="18"/>
        <v>#REF!</v>
      </c>
      <c r="H57" s="203" t="e">
        <f t="shared" si="18"/>
        <v>#REF!</v>
      </c>
      <c r="I57" s="203" t="e">
        <f>C57+E57+G57</f>
        <v>#REF!</v>
      </c>
      <c r="J57" s="203" t="e">
        <f t="shared" ref="J57" si="19">D57+F57+H57</f>
        <v>#REF!</v>
      </c>
      <c r="K57" s="203" t="e">
        <f t="shared" ref="K57" si="20">SUM(I57:J57)</f>
        <v>#REF!</v>
      </c>
    </row>
    <row r="58" spans="1:16" ht="21.6" thickBot="1" x14ac:dyDescent="0.45">
      <c r="B58" s="197"/>
      <c r="C58" s="197"/>
      <c r="D58" s="197"/>
      <c r="E58" s="197"/>
      <c r="F58" s="197"/>
      <c r="G58" s="197"/>
      <c r="H58" s="197"/>
      <c r="I58" s="197"/>
      <c r="J58" s="197"/>
      <c r="K58" s="197"/>
    </row>
    <row r="59" spans="1:16" ht="22.2" thickTop="1" thickBot="1" x14ac:dyDescent="0.45"/>
    <row r="60" spans="1:16" ht="29.25" customHeight="1" thickTop="1" thickBot="1" x14ac:dyDescent="0.45">
      <c r="A60" s="194"/>
      <c r="B60" s="206" t="s">
        <v>267</v>
      </c>
      <c r="C60" s="206"/>
      <c r="D60" s="206"/>
      <c r="E60" s="206" t="s">
        <v>272</v>
      </c>
      <c r="F60" s="206"/>
      <c r="G60" s="206"/>
      <c r="H60" s="195" t="s">
        <v>273</v>
      </c>
      <c r="I60" s="195"/>
      <c r="J60" s="195"/>
      <c r="K60" s="195"/>
      <c r="L60" s="195"/>
      <c r="M60" s="195"/>
      <c r="N60" s="195" t="s">
        <v>15</v>
      </c>
      <c r="O60" s="195"/>
      <c r="P60" s="196"/>
    </row>
    <row r="61" spans="1:16" ht="27" customHeight="1" thickTop="1" thickBot="1" x14ac:dyDescent="0.45">
      <c r="A61" s="190"/>
      <c r="B61" s="207"/>
      <c r="C61" s="207"/>
      <c r="D61" s="207"/>
      <c r="E61" s="207"/>
      <c r="F61" s="207"/>
      <c r="G61" s="207"/>
      <c r="H61" s="189" t="s">
        <v>185</v>
      </c>
      <c r="I61" s="189"/>
      <c r="J61" s="189" t="s">
        <v>186</v>
      </c>
      <c r="K61" s="189"/>
      <c r="L61" s="189" t="s">
        <v>187</v>
      </c>
      <c r="M61" s="189"/>
      <c r="N61" s="189"/>
      <c r="O61" s="189"/>
      <c r="P61" s="192"/>
    </row>
    <row r="62" spans="1:16" ht="22.2" thickTop="1" thickBot="1" x14ac:dyDescent="0.45">
      <c r="A62" s="190"/>
      <c r="B62" s="189" t="s">
        <v>10</v>
      </c>
      <c r="C62" s="189" t="s">
        <v>11</v>
      </c>
      <c r="D62" s="189" t="s">
        <v>15</v>
      </c>
      <c r="E62" s="189" t="s">
        <v>10</v>
      </c>
      <c r="F62" s="189" t="s">
        <v>11</v>
      </c>
      <c r="G62" s="189" t="s">
        <v>15</v>
      </c>
      <c r="H62" s="189" t="s">
        <v>10</v>
      </c>
      <c r="I62" s="189" t="s">
        <v>11</v>
      </c>
      <c r="J62" s="189" t="s">
        <v>10</v>
      </c>
      <c r="K62" s="189" t="s">
        <v>11</v>
      </c>
      <c r="L62" s="189" t="s">
        <v>10</v>
      </c>
      <c r="M62" s="189" t="s">
        <v>11</v>
      </c>
      <c r="N62" s="189" t="s">
        <v>10</v>
      </c>
      <c r="O62" s="189" t="s">
        <v>11</v>
      </c>
      <c r="P62" s="192" t="s">
        <v>15</v>
      </c>
    </row>
    <row r="63" spans="1:16" ht="22.2" thickTop="1" thickBot="1" x14ac:dyDescent="0.45">
      <c r="A63" s="190"/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92"/>
    </row>
    <row r="64" spans="1:16" ht="22.2" thickTop="1" thickBot="1" x14ac:dyDescent="0.45">
      <c r="A64" s="190" t="s">
        <v>17</v>
      </c>
      <c r="B64" s="189" t="e">
        <f>'التعليم المسرع'!#REF!</f>
        <v>#REF!</v>
      </c>
      <c r="C64" s="189" t="e">
        <f>'التعليم المسرع'!#REF!</f>
        <v>#REF!</v>
      </c>
      <c r="D64" s="189" t="e">
        <f>C64+B64</f>
        <v>#REF!</v>
      </c>
      <c r="E64" s="189" t="e">
        <f>'التعليم المسرع'!#REF!</f>
        <v>#REF!</v>
      </c>
      <c r="F64" s="189" t="e">
        <f>'التعليم المسرع'!#REF!</f>
        <v>#REF!</v>
      </c>
      <c r="G64" s="189" t="e">
        <f t="shared" ref="G64" si="21">F64+E64</f>
        <v>#REF!</v>
      </c>
      <c r="H64" s="189" t="e">
        <f>'التعليم المسرع'!#REF!</f>
        <v>#REF!</v>
      </c>
      <c r="I64" s="189" t="e">
        <f>'التعليم المسرع'!#REF!</f>
        <v>#REF!</v>
      </c>
      <c r="J64" s="189" t="e">
        <f>'التعليم المسرع'!#REF!</f>
        <v>#REF!</v>
      </c>
      <c r="K64" s="189" t="e">
        <f>'التعليم المسرع'!#REF!</f>
        <v>#REF!</v>
      </c>
      <c r="L64" s="189" t="e">
        <f>'التعليم المسرع'!#REF!</f>
        <v>#REF!</v>
      </c>
      <c r="M64" s="189" t="e">
        <f>'التعليم المسرع'!#REF!</f>
        <v>#REF!</v>
      </c>
      <c r="N64" s="189" t="e">
        <f>L64+J64+H64</f>
        <v>#REF!</v>
      </c>
      <c r="O64" s="189" t="e">
        <f>M64+K64+I64</f>
        <v>#REF!</v>
      </c>
      <c r="P64" s="192" t="e">
        <f>O64+N64</f>
        <v>#REF!</v>
      </c>
    </row>
    <row r="65" spans="1:16" ht="22.2" thickTop="1" thickBot="1" x14ac:dyDescent="0.45">
      <c r="A65" s="190"/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92"/>
    </row>
    <row r="66" spans="1:16" ht="22.2" thickTop="1" thickBot="1" x14ac:dyDescent="0.45">
      <c r="A66" s="190" t="s">
        <v>18</v>
      </c>
      <c r="B66" s="189" t="e">
        <f>'التعليم المسرع'!#REF!</f>
        <v>#REF!</v>
      </c>
      <c r="C66" s="189" t="e">
        <f>'التعليم المسرع'!#REF!</f>
        <v>#REF!</v>
      </c>
      <c r="D66" s="189" t="e">
        <f t="shared" ref="D66" si="22">C66+B66</f>
        <v>#REF!</v>
      </c>
      <c r="E66" s="189" t="e">
        <f>'التعليم المسرع'!#REF!</f>
        <v>#REF!</v>
      </c>
      <c r="F66" s="189" t="e">
        <f>'التعليم المسرع'!#REF!</f>
        <v>#REF!</v>
      </c>
      <c r="G66" s="189" t="e">
        <f t="shared" ref="G66" si="23">F66+E66</f>
        <v>#REF!</v>
      </c>
      <c r="H66" s="189" t="e">
        <f>'التعليم المسرع'!#REF!</f>
        <v>#REF!</v>
      </c>
      <c r="I66" s="189" t="e">
        <f>'التعليم المسرع'!#REF!</f>
        <v>#REF!</v>
      </c>
      <c r="J66" s="189" t="e">
        <f>'التعليم المسرع'!#REF!</f>
        <v>#REF!</v>
      </c>
      <c r="K66" s="189" t="e">
        <f>'التعليم المسرع'!#REF!</f>
        <v>#REF!</v>
      </c>
      <c r="L66" s="189" t="e">
        <f>'التعليم المسرع'!#REF!</f>
        <v>#REF!</v>
      </c>
      <c r="M66" s="189" t="e">
        <f>'التعليم المسرع'!#REF!</f>
        <v>#REF!</v>
      </c>
      <c r="N66" s="189" t="e">
        <f t="shared" ref="N66" si="24">L66+J66+H66</f>
        <v>#REF!</v>
      </c>
      <c r="O66" s="189" t="e">
        <f t="shared" ref="O66" si="25">M66+K66+I66</f>
        <v>#REF!</v>
      </c>
      <c r="P66" s="192" t="e">
        <f t="shared" ref="P66" si="26">O66+N66</f>
        <v>#REF!</v>
      </c>
    </row>
    <row r="67" spans="1:16" ht="22.2" thickTop="1" thickBot="1" x14ac:dyDescent="0.45">
      <c r="A67" s="190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92"/>
    </row>
    <row r="68" spans="1:16" ht="22.2" thickTop="1" thickBot="1" x14ac:dyDescent="0.45">
      <c r="A68" s="190" t="s">
        <v>19</v>
      </c>
      <c r="B68" s="189" t="e">
        <f>'التعليم المسرع'!#REF!</f>
        <v>#REF!</v>
      </c>
      <c r="C68" s="189" t="e">
        <f>'التعليم المسرع'!#REF!</f>
        <v>#REF!</v>
      </c>
      <c r="D68" s="189" t="e">
        <f t="shared" ref="D68" si="27">C68+B68</f>
        <v>#REF!</v>
      </c>
      <c r="E68" s="189" t="e">
        <f>'التعليم المسرع'!#REF!</f>
        <v>#REF!</v>
      </c>
      <c r="F68" s="189" t="e">
        <f>'التعليم المسرع'!#REF!</f>
        <v>#REF!</v>
      </c>
      <c r="G68" s="189" t="e">
        <f t="shared" ref="G68" si="28">F68+E68</f>
        <v>#REF!</v>
      </c>
      <c r="H68" s="189" t="e">
        <f>'التعليم المسرع'!#REF!</f>
        <v>#REF!</v>
      </c>
      <c r="I68" s="189" t="e">
        <f>'التعليم المسرع'!#REF!</f>
        <v>#REF!</v>
      </c>
      <c r="J68" s="189" t="e">
        <f>'التعليم المسرع'!#REF!</f>
        <v>#REF!</v>
      </c>
      <c r="K68" s="189" t="e">
        <f>'التعليم المسرع'!#REF!</f>
        <v>#REF!</v>
      </c>
      <c r="L68" s="189" t="e">
        <f>'التعليم المسرع'!#REF!</f>
        <v>#REF!</v>
      </c>
      <c r="M68" s="189" t="e">
        <f>'التعليم المسرع'!#REF!</f>
        <v>#REF!</v>
      </c>
      <c r="N68" s="189" t="e">
        <f t="shared" ref="N68" si="29">L68+J68+H68</f>
        <v>#REF!</v>
      </c>
      <c r="O68" s="189" t="e">
        <f t="shared" ref="O68" si="30">M68+K68+I68</f>
        <v>#REF!</v>
      </c>
      <c r="P68" s="192" t="e">
        <f t="shared" ref="P68" si="31">O68+N68</f>
        <v>#REF!</v>
      </c>
    </row>
    <row r="69" spans="1:16" ht="22.2" thickTop="1" thickBot="1" x14ac:dyDescent="0.45">
      <c r="A69" s="193"/>
      <c r="B69" s="191"/>
      <c r="C69" s="191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208"/>
    </row>
    <row r="70" spans="1:16" ht="21.6" thickTop="1" x14ac:dyDescent="0.4"/>
  </sheetData>
  <mergeCells count="246">
    <mergeCell ref="L66:L67"/>
    <mergeCell ref="M66:M67"/>
    <mergeCell ref="L68:L69"/>
    <mergeCell ref="M68:M69"/>
    <mergeCell ref="P68:P69"/>
    <mergeCell ref="C64:C65"/>
    <mergeCell ref="C66:C67"/>
    <mergeCell ref="C68:C69"/>
    <mergeCell ref="N68:N69"/>
    <mergeCell ref="O68:O69"/>
    <mergeCell ref="P64:P65"/>
    <mergeCell ref="E64:E65"/>
    <mergeCell ref="F64:F65"/>
    <mergeCell ref="E66:E67"/>
    <mergeCell ref="F66:F67"/>
    <mergeCell ref="E68:E69"/>
    <mergeCell ref="F68:F69"/>
    <mergeCell ref="N66:N67"/>
    <mergeCell ref="O66:O67"/>
    <mergeCell ref="P66:P67"/>
    <mergeCell ref="N64:N65"/>
    <mergeCell ref="O64:O65"/>
    <mergeCell ref="L64:L65"/>
    <mergeCell ref="M64:M65"/>
    <mergeCell ref="N60:P61"/>
    <mergeCell ref="B62:B63"/>
    <mergeCell ref="C62:C63"/>
    <mergeCell ref="E62:E63"/>
    <mergeCell ref="F62:F63"/>
    <mergeCell ref="L62:L63"/>
    <mergeCell ref="M62:M63"/>
    <mergeCell ref="N62:N63"/>
    <mergeCell ref="O62:O63"/>
    <mergeCell ref="P62:P63"/>
    <mergeCell ref="B8:D8"/>
    <mergeCell ref="G8:I8"/>
    <mergeCell ref="L8:N8"/>
    <mergeCell ref="B11:C11"/>
    <mergeCell ref="F11:H11"/>
    <mergeCell ref="K11:M11"/>
    <mergeCell ref="A1:C1"/>
    <mergeCell ref="A2:D2"/>
    <mergeCell ref="A3:O3"/>
    <mergeCell ref="B6:D6"/>
    <mergeCell ref="G6:I6"/>
    <mergeCell ref="L6:N6"/>
    <mergeCell ref="B66:B67"/>
    <mergeCell ref="B22:B23"/>
    <mergeCell ref="C22:C23"/>
    <mergeCell ref="D22:D23"/>
    <mergeCell ref="E22:E23"/>
    <mergeCell ref="F22:G23"/>
    <mergeCell ref="F43:F44"/>
    <mergeCell ref="G43:G44"/>
    <mergeCell ref="B32:B33"/>
    <mergeCell ref="C32:C33"/>
    <mergeCell ref="D32:D33"/>
    <mergeCell ref="B16:G16"/>
    <mergeCell ref="F17:G17"/>
    <mergeCell ref="B18:B19"/>
    <mergeCell ref="C18:C19"/>
    <mergeCell ref="D18:D19"/>
    <mergeCell ref="E18:E19"/>
    <mergeCell ref="F18:G19"/>
    <mergeCell ref="B64:B65"/>
    <mergeCell ref="B20:B21"/>
    <mergeCell ref="C20:C21"/>
    <mergeCell ref="D20:D21"/>
    <mergeCell ref="E20:E21"/>
    <mergeCell ref="F20:G21"/>
    <mergeCell ref="E32:E33"/>
    <mergeCell ref="F32:F33"/>
    <mergeCell ref="G32:G33"/>
    <mergeCell ref="B68:B69"/>
    <mergeCell ref="F24:G24"/>
    <mergeCell ref="A37:C37"/>
    <mergeCell ref="A38:D38"/>
    <mergeCell ref="B41:B42"/>
    <mergeCell ref="C41:D41"/>
    <mergeCell ref="E41:F41"/>
    <mergeCell ref="G41:H41"/>
    <mergeCell ref="I41:K41"/>
    <mergeCell ref="K43:K44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B43:B44"/>
    <mergeCell ref="C43:C44"/>
    <mergeCell ref="D43:D44"/>
    <mergeCell ref="E43:E44"/>
    <mergeCell ref="H43:H44"/>
    <mergeCell ref="I43:I44"/>
    <mergeCell ref="J43:J44"/>
    <mergeCell ref="K47:K48"/>
    <mergeCell ref="B49:B50"/>
    <mergeCell ref="C49:C50"/>
    <mergeCell ref="D49:D50"/>
    <mergeCell ref="E49:E50"/>
    <mergeCell ref="F49:F50"/>
    <mergeCell ref="G49:G50"/>
    <mergeCell ref="H49:H50"/>
    <mergeCell ref="I49:I50"/>
    <mergeCell ref="J49:J50"/>
    <mergeCell ref="K49:K50"/>
    <mergeCell ref="B47:B48"/>
    <mergeCell ref="C47:C48"/>
    <mergeCell ref="D47:D48"/>
    <mergeCell ref="E47:E48"/>
    <mergeCell ref="F47:F48"/>
    <mergeCell ref="G47:G48"/>
    <mergeCell ref="H47:H48"/>
    <mergeCell ref="I47:I48"/>
    <mergeCell ref="J47:J48"/>
    <mergeCell ref="I55:I56"/>
    <mergeCell ref="J55:J56"/>
    <mergeCell ref="K51:K52"/>
    <mergeCell ref="B53:B54"/>
    <mergeCell ref="C53:C54"/>
    <mergeCell ref="D53:D54"/>
    <mergeCell ref="E53:E54"/>
    <mergeCell ref="F53:F54"/>
    <mergeCell ref="G53:G54"/>
    <mergeCell ref="H53:H54"/>
    <mergeCell ref="I53:I54"/>
    <mergeCell ref="J53:J54"/>
    <mergeCell ref="K53:K54"/>
    <mergeCell ref="B51:B52"/>
    <mergeCell ref="C51:C52"/>
    <mergeCell ref="D51:D52"/>
    <mergeCell ref="E51:E52"/>
    <mergeCell ref="F51:F52"/>
    <mergeCell ref="G51:G52"/>
    <mergeCell ref="H51:H52"/>
    <mergeCell ref="I51:I52"/>
    <mergeCell ref="J51:J52"/>
    <mergeCell ref="K57:K58"/>
    <mergeCell ref="I16:M16"/>
    <mergeCell ref="I17:I18"/>
    <mergeCell ref="J17:J18"/>
    <mergeCell ref="K17:K18"/>
    <mergeCell ref="L17:L18"/>
    <mergeCell ref="M17:M18"/>
    <mergeCell ref="K55:K56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B55:B56"/>
    <mergeCell ref="C55:C56"/>
    <mergeCell ref="D55:D56"/>
    <mergeCell ref="E55:E56"/>
    <mergeCell ref="F55:F56"/>
    <mergeCell ref="G55:G56"/>
    <mergeCell ref="H55:H56"/>
    <mergeCell ref="I23:I24"/>
    <mergeCell ref="J23:J24"/>
    <mergeCell ref="K23:K24"/>
    <mergeCell ref="L23:L24"/>
    <mergeCell ref="M23:M24"/>
    <mergeCell ref="B27:K27"/>
    <mergeCell ref="I19:I20"/>
    <mergeCell ref="J19:J20"/>
    <mergeCell ref="K19:K20"/>
    <mergeCell ref="L19:L20"/>
    <mergeCell ref="M19:M20"/>
    <mergeCell ref="I21:I22"/>
    <mergeCell ref="J21:J22"/>
    <mergeCell ref="K21:K22"/>
    <mergeCell ref="L21:L22"/>
    <mergeCell ref="M21:M22"/>
    <mergeCell ref="H28:H29"/>
    <mergeCell ref="I28:I29"/>
    <mergeCell ref="J28:K29"/>
    <mergeCell ref="B30:B31"/>
    <mergeCell ref="C30:C31"/>
    <mergeCell ref="D30:D31"/>
    <mergeCell ref="E30:E31"/>
    <mergeCell ref="F30:F31"/>
    <mergeCell ref="G30:G31"/>
    <mergeCell ref="H30:H31"/>
    <mergeCell ref="B28:B29"/>
    <mergeCell ref="C28:C29"/>
    <mergeCell ref="D28:D29"/>
    <mergeCell ref="E28:E29"/>
    <mergeCell ref="F28:F29"/>
    <mergeCell ref="G28:G29"/>
    <mergeCell ref="I30:I31"/>
    <mergeCell ref="J30:K31"/>
    <mergeCell ref="H32:H33"/>
    <mergeCell ref="I32:I33"/>
    <mergeCell ref="J32:K33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A60:A63"/>
    <mergeCell ref="A64:A65"/>
    <mergeCell ref="A66:A67"/>
    <mergeCell ref="A68:A69"/>
    <mergeCell ref="B60:D61"/>
    <mergeCell ref="E60:G61"/>
    <mergeCell ref="H60:M60"/>
    <mergeCell ref="H61:I61"/>
    <mergeCell ref="J61:K61"/>
    <mergeCell ref="L61:M61"/>
    <mergeCell ref="D62:D63"/>
    <mergeCell ref="G62:G63"/>
    <mergeCell ref="H62:H63"/>
    <mergeCell ref="I62:I63"/>
    <mergeCell ref="J62:J63"/>
    <mergeCell ref="K62:K63"/>
    <mergeCell ref="D64:D65"/>
    <mergeCell ref="G64:G65"/>
    <mergeCell ref="H64:H65"/>
    <mergeCell ref="I64:I65"/>
    <mergeCell ref="J64:J65"/>
    <mergeCell ref="K64:K65"/>
    <mergeCell ref="D66:D67"/>
    <mergeCell ref="G66:G67"/>
    <mergeCell ref="H66:H67"/>
    <mergeCell ref="I66:I67"/>
    <mergeCell ref="J66:J67"/>
    <mergeCell ref="K66:K67"/>
    <mergeCell ref="D68:D69"/>
    <mergeCell ref="G68:G69"/>
    <mergeCell ref="H68:H69"/>
    <mergeCell ref="I68:I69"/>
    <mergeCell ref="J68:J69"/>
    <mergeCell ref="K68:K69"/>
  </mergeCells>
  <printOptions horizontalCentered="1" verticalCentered="1"/>
  <pageMargins left="0.23622047244094491" right="0.23622047244094491" top="0.19685039370078741" bottom="0.19685039370078741" header="0.19685039370078741" footer="0.19685039370078741"/>
  <pageSetup paperSize="9" scale="65" orientation="landscape" horizontalDpi="300" verticalDpi="300" r:id="rId1"/>
  <rowBreaks count="1" manualBreakCount="1">
    <brk id="35" max="15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P69"/>
  <sheetViews>
    <sheetView rightToLeft="1" view="pageBreakPreview" topLeftCell="A40" zoomScale="60" workbookViewId="0">
      <selection sqref="A1:C1"/>
    </sheetView>
  </sheetViews>
  <sheetFormatPr defaultColWidth="9" defaultRowHeight="21" x14ac:dyDescent="0.4"/>
  <cols>
    <col min="1" max="1" width="14.69921875" style="9" customWidth="1"/>
    <col min="2" max="2" width="11.296875" style="9" customWidth="1"/>
    <col min="3" max="4" width="10.796875" style="9" customWidth="1"/>
    <col min="5" max="8" width="9" style="9"/>
    <col min="9" max="9" width="11.69921875" style="9" customWidth="1"/>
    <col min="10" max="10" width="13.19921875" style="9" customWidth="1"/>
    <col min="11" max="11" width="10.296875" style="9" customWidth="1"/>
    <col min="12" max="16384" width="9" style="9"/>
  </cols>
  <sheetData>
    <row r="1" spans="1:15" x14ac:dyDescent="0.4">
      <c r="A1" s="181" t="s">
        <v>55</v>
      </c>
      <c r="B1" s="181"/>
      <c r="C1" s="181"/>
    </row>
    <row r="2" spans="1:15" x14ac:dyDescent="0.4">
      <c r="A2" s="181" t="s">
        <v>56</v>
      </c>
      <c r="B2" s="181"/>
      <c r="C2" s="181"/>
      <c r="D2" s="181"/>
    </row>
    <row r="3" spans="1:15" x14ac:dyDescent="0.4">
      <c r="A3" s="181" t="s">
        <v>162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</row>
    <row r="4" spans="1:15" x14ac:dyDescent="0.4">
      <c r="E4" s="9" t="s">
        <v>266</v>
      </c>
    </row>
    <row r="5" spans="1:15" ht="21.6" thickBot="1" x14ac:dyDescent="0.45"/>
    <row r="6" spans="1:15" ht="22.2" thickTop="1" thickBot="1" x14ac:dyDescent="0.45">
      <c r="A6" s="9" t="s">
        <v>1</v>
      </c>
      <c r="B6" s="209" t="s">
        <v>166</v>
      </c>
      <c r="C6" s="211"/>
      <c r="D6" s="210"/>
      <c r="F6" s="9" t="s">
        <v>2</v>
      </c>
      <c r="G6" s="209" t="s">
        <v>51</v>
      </c>
      <c r="H6" s="211"/>
      <c r="I6" s="210"/>
      <c r="K6" s="9" t="s">
        <v>0</v>
      </c>
      <c r="L6" s="209" t="s">
        <v>149</v>
      </c>
      <c r="M6" s="211"/>
      <c r="N6" s="210"/>
    </row>
    <row r="7" spans="1:15" ht="22.2" thickTop="1" thickBot="1" x14ac:dyDescent="0.45"/>
    <row r="8" spans="1:15" ht="22.2" thickTop="1" thickBot="1" x14ac:dyDescent="0.45">
      <c r="A8" s="9" t="s">
        <v>43</v>
      </c>
      <c r="B8" s="209" t="e">
        <f>'التعليم المسرع'!#REF!+'التعليم المسرع'!#REF!</f>
        <v>#REF!</v>
      </c>
      <c r="C8" s="211"/>
      <c r="D8" s="210"/>
      <c r="F8" s="9" t="s">
        <v>3</v>
      </c>
      <c r="G8" s="209" t="e">
        <f>'التعليم المسرع'!#REF!</f>
        <v>#REF!</v>
      </c>
      <c r="H8" s="211"/>
      <c r="I8" s="210"/>
      <c r="K8" s="9" t="s">
        <v>4</v>
      </c>
      <c r="L8" s="209" t="e">
        <f>'التعليم المسرع'!#REF!</f>
        <v>#REF!</v>
      </c>
      <c r="M8" s="211"/>
      <c r="N8" s="210"/>
    </row>
    <row r="9" spans="1:15" ht="21.6" thickTop="1" x14ac:dyDescent="0.4"/>
    <row r="10" spans="1:15" ht="21.6" thickBot="1" x14ac:dyDescent="0.45"/>
    <row r="11" spans="1:15" ht="28.5" customHeight="1" thickTop="1" thickBot="1" x14ac:dyDescent="0.45">
      <c r="B11" s="209" t="s">
        <v>5</v>
      </c>
      <c r="C11" s="210"/>
      <c r="F11" s="209" t="s">
        <v>6</v>
      </c>
      <c r="G11" s="211"/>
      <c r="H11" s="210"/>
      <c r="K11" s="209" t="s">
        <v>7</v>
      </c>
      <c r="L11" s="211"/>
      <c r="M11" s="210"/>
    </row>
    <row r="12" spans="1:15" ht="30" customHeight="1" thickTop="1" thickBot="1" x14ac:dyDescent="0.45">
      <c r="B12" s="10" t="s">
        <v>8</v>
      </c>
      <c r="C12" s="11" t="s">
        <v>9</v>
      </c>
      <c r="F12" s="12" t="s">
        <v>10</v>
      </c>
      <c r="G12" s="13" t="s">
        <v>11</v>
      </c>
      <c r="H12" s="14" t="s">
        <v>12</v>
      </c>
      <c r="K12" s="10" t="s">
        <v>13</v>
      </c>
      <c r="L12" s="15" t="s">
        <v>14</v>
      </c>
      <c r="M12" s="11" t="s">
        <v>15</v>
      </c>
    </row>
    <row r="13" spans="1:15" ht="30" customHeight="1" thickTop="1" thickBot="1" x14ac:dyDescent="0.45">
      <c r="B13" s="16" t="e">
        <f>'التعليم المسرع'!#REF!</f>
        <v>#REF!</v>
      </c>
      <c r="C13" s="17" t="e">
        <f>'التعليم المسرع'!#REF!</f>
        <v>#REF!</v>
      </c>
      <c r="F13" s="18" t="e">
        <f>'التعليم المسرع'!#REF!</f>
        <v>#REF!</v>
      </c>
      <c r="G13" s="19" t="e">
        <f>'التعليم المسرع'!#REF!</f>
        <v>#REF!</v>
      </c>
      <c r="H13" s="20" t="e">
        <f>'التعليم المسرع'!#REF!</f>
        <v>#REF!</v>
      </c>
      <c r="K13" s="16" t="e">
        <f>'التعليم المسرع'!#REF!</f>
        <v>#REF!</v>
      </c>
      <c r="L13" s="16" t="e">
        <f>'التعليم المسرع'!#REF!</f>
        <v>#REF!</v>
      </c>
      <c r="M13" s="17" t="e">
        <f>SUM(K13:L13)</f>
        <v>#REF!</v>
      </c>
    </row>
    <row r="14" spans="1:15" ht="21.6" thickTop="1" x14ac:dyDescent="0.4"/>
    <row r="15" spans="1:15" ht="21.6" thickBot="1" x14ac:dyDescent="0.45"/>
    <row r="16" spans="1:15" s="32" customFormat="1" ht="33.75" customHeight="1" thickTop="1" thickBot="1" x14ac:dyDescent="0.3">
      <c r="B16" s="165" t="s">
        <v>20</v>
      </c>
      <c r="C16" s="169"/>
      <c r="D16" s="169"/>
      <c r="E16" s="169"/>
      <c r="F16" s="169"/>
      <c r="G16" s="166"/>
      <c r="I16" s="165" t="s">
        <v>30</v>
      </c>
      <c r="J16" s="169"/>
      <c r="K16" s="169"/>
      <c r="L16" s="169"/>
      <c r="M16" s="166"/>
    </row>
    <row r="17" spans="2:13" ht="27.75" customHeight="1" thickTop="1" thickBot="1" x14ac:dyDescent="0.45">
      <c r="B17" s="22" t="s">
        <v>16</v>
      </c>
      <c r="C17" s="23" t="s">
        <v>10</v>
      </c>
      <c r="D17" s="23" t="s">
        <v>11</v>
      </c>
      <c r="E17" s="23" t="s">
        <v>12</v>
      </c>
      <c r="F17" s="167" t="s">
        <v>15</v>
      </c>
      <c r="G17" s="168"/>
      <c r="I17" s="194" t="s">
        <v>31</v>
      </c>
      <c r="J17" s="195" t="s">
        <v>44</v>
      </c>
      <c r="K17" s="195" t="s">
        <v>45</v>
      </c>
      <c r="L17" s="195" t="s">
        <v>46</v>
      </c>
      <c r="M17" s="196" t="s">
        <v>47</v>
      </c>
    </row>
    <row r="18" spans="2:13" ht="22.2" thickTop="1" thickBot="1" x14ac:dyDescent="0.45">
      <c r="B18" s="170" t="s">
        <v>17</v>
      </c>
      <c r="C18" s="170" t="e">
        <f>'التعليم المسرع'!#REF!</f>
        <v>#REF!</v>
      </c>
      <c r="D18" s="170" t="e">
        <f>'التعليم المسرع'!#REF!</f>
        <v>#REF!</v>
      </c>
      <c r="E18" s="170" t="e">
        <f>'التعليم المسرع'!#REF!</f>
        <v>#REF!</v>
      </c>
      <c r="F18" s="172" t="e">
        <f>C18+D18+E18</f>
        <v>#REF!</v>
      </c>
      <c r="G18" s="173"/>
      <c r="I18" s="190"/>
      <c r="J18" s="189"/>
      <c r="K18" s="189"/>
      <c r="L18" s="189"/>
      <c r="M18" s="192"/>
    </row>
    <row r="19" spans="2:13" ht="22.2" thickTop="1" thickBot="1" x14ac:dyDescent="0.45">
      <c r="B19" s="171"/>
      <c r="C19" s="171"/>
      <c r="D19" s="171"/>
      <c r="E19" s="171"/>
      <c r="F19" s="174"/>
      <c r="G19" s="175"/>
      <c r="I19" s="190" t="s">
        <v>13</v>
      </c>
      <c r="J19" s="189" t="e">
        <f>'التعليم المسرع'!#REF!</f>
        <v>#REF!</v>
      </c>
      <c r="K19" s="189" t="e">
        <f>'التعليم المسرع'!#REF!</f>
        <v>#REF!</v>
      </c>
      <c r="L19" s="189" t="e">
        <f>'التعليم المسرع'!#REF!</f>
        <v>#REF!</v>
      </c>
      <c r="M19" s="192" t="e">
        <f>SUM(J19:L19)</f>
        <v>#REF!</v>
      </c>
    </row>
    <row r="20" spans="2:13" ht="22.2" thickTop="1" thickBot="1" x14ac:dyDescent="0.45">
      <c r="B20" s="170" t="s">
        <v>18</v>
      </c>
      <c r="C20" s="170" t="e">
        <f>'التعليم المسرع'!#REF!</f>
        <v>#REF!</v>
      </c>
      <c r="D20" s="170" t="e">
        <f>'التعليم المسرع'!#REF!</f>
        <v>#REF!</v>
      </c>
      <c r="E20" s="170" t="e">
        <f>'التعليم المسرع'!#REF!</f>
        <v>#REF!</v>
      </c>
      <c r="F20" s="172" t="e">
        <f t="shared" ref="F20" si="0">C20+D20+E20</f>
        <v>#REF!</v>
      </c>
      <c r="G20" s="173"/>
      <c r="I20" s="190"/>
      <c r="J20" s="189"/>
      <c r="K20" s="189"/>
      <c r="L20" s="189"/>
      <c r="M20" s="192"/>
    </row>
    <row r="21" spans="2:13" ht="22.2" thickTop="1" thickBot="1" x14ac:dyDescent="0.45">
      <c r="B21" s="171"/>
      <c r="C21" s="171"/>
      <c r="D21" s="171"/>
      <c r="E21" s="171"/>
      <c r="F21" s="174"/>
      <c r="G21" s="175"/>
      <c r="I21" s="190" t="s">
        <v>14</v>
      </c>
      <c r="J21" s="189" t="e">
        <f>'التعليم المسرع'!#REF!</f>
        <v>#REF!</v>
      </c>
      <c r="K21" s="189" t="e">
        <f>'التعليم المسرع'!#REF!</f>
        <v>#REF!</v>
      </c>
      <c r="L21" s="189" t="e">
        <f>'التعليم المسرع'!#REF!</f>
        <v>#REF!</v>
      </c>
      <c r="M21" s="192" t="e">
        <f>SUM(J21:L21)</f>
        <v>#REF!</v>
      </c>
    </row>
    <row r="22" spans="2:13" ht="22.2" thickTop="1" thickBot="1" x14ac:dyDescent="0.45">
      <c r="B22" s="170" t="s">
        <v>19</v>
      </c>
      <c r="C22" s="170" t="e">
        <f>'التعليم المسرع'!#REF!</f>
        <v>#REF!</v>
      </c>
      <c r="D22" s="170" t="e">
        <f>'التعليم المسرع'!#REF!</f>
        <v>#REF!</v>
      </c>
      <c r="E22" s="170" t="e">
        <f>'التعليم المسرع'!#REF!</f>
        <v>#REF!</v>
      </c>
      <c r="F22" s="172" t="e">
        <f t="shared" ref="F22" si="1">C22+D22+E22</f>
        <v>#REF!</v>
      </c>
      <c r="G22" s="173"/>
      <c r="I22" s="190"/>
      <c r="J22" s="189"/>
      <c r="K22" s="189"/>
      <c r="L22" s="189"/>
      <c r="M22" s="192"/>
    </row>
    <row r="23" spans="2:13" ht="22.2" thickTop="1" thickBot="1" x14ac:dyDescent="0.45">
      <c r="B23" s="171"/>
      <c r="C23" s="171"/>
      <c r="D23" s="171"/>
      <c r="E23" s="171"/>
      <c r="F23" s="174"/>
      <c r="G23" s="175"/>
      <c r="I23" s="190" t="s">
        <v>15</v>
      </c>
      <c r="J23" s="189" t="e">
        <f>J19+J21</f>
        <v>#REF!</v>
      </c>
      <c r="K23" s="189" t="e">
        <f t="shared" ref="K23:M23" si="2">K19+K21</f>
        <v>#REF!</v>
      </c>
      <c r="L23" s="189" t="e">
        <f t="shared" si="2"/>
        <v>#REF!</v>
      </c>
      <c r="M23" s="192" t="e">
        <f t="shared" si="2"/>
        <v>#REF!</v>
      </c>
    </row>
    <row r="24" spans="2:13" ht="33.75" customHeight="1" thickTop="1" thickBot="1" x14ac:dyDescent="0.45">
      <c r="B24" s="24" t="s">
        <v>15</v>
      </c>
      <c r="C24" s="25" t="e">
        <f>SUM(C18:C23)</f>
        <v>#REF!</v>
      </c>
      <c r="D24" s="25" t="e">
        <f>SUM(D18:D23)</f>
        <v>#REF!</v>
      </c>
      <c r="E24" s="25" t="e">
        <f>SUM(E18:E23)</f>
        <v>#REF!</v>
      </c>
      <c r="F24" s="185" t="e">
        <f>C24+D24+E24</f>
        <v>#REF!</v>
      </c>
      <c r="G24" s="166"/>
      <c r="I24" s="193"/>
      <c r="J24" s="191"/>
      <c r="K24" s="191"/>
      <c r="L24" s="191"/>
      <c r="M24" s="208"/>
    </row>
    <row r="25" spans="2:13" ht="22.2" thickTop="1" thickBot="1" x14ac:dyDescent="0.45"/>
    <row r="26" spans="2:13" s="31" customFormat="1" ht="32.25" customHeight="1" thickTop="1" thickBot="1" x14ac:dyDescent="0.3">
      <c r="B26" s="165" t="s">
        <v>39</v>
      </c>
      <c r="C26" s="169"/>
      <c r="D26" s="169"/>
      <c r="E26" s="169"/>
      <c r="F26" s="169"/>
      <c r="G26" s="169"/>
      <c r="H26" s="169"/>
      <c r="I26" s="169"/>
      <c r="J26" s="169"/>
      <c r="K26" s="166"/>
      <c r="L26" s="36"/>
      <c r="M26" s="36"/>
    </row>
    <row r="27" spans="2:13" ht="42" customHeight="1" thickTop="1" thickBot="1" x14ac:dyDescent="0.45">
      <c r="B27" s="212" t="s">
        <v>40</v>
      </c>
      <c r="C27" s="206" t="s">
        <v>32</v>
      </c>
      <c r="D27" s="206" t="s">
        <v>33</v>
      </c>
      <c r="E27" s="206" t="s">
        <v>34</v>
      </c>
      <c r="F27" s="223" t="s">
        <v>35</v>
      </c>
      <c r="G27" s="206" t="s">
        <v>36</v>
      </c>
      <c r="H27" s="206" t="s">
        <v>37</v>
      </c>
      <c r="I27" s="206" t="s">
        <v>38</v>
      </c>
      <c r="J27" s="195" t="s">
        <v>15</v>
      </c>
      <c r="K27" s="196"/>
      <c r="L27" s="26"/>
      <c r="M27" s="26"/>
    </row>
    <row r="28" spans="2:13" ht="57" customHeight="1" thickTop="1" thickBot="1" x14ac:dyDescent="0.45">
      <c r="B28" s="213"/>
      <c r="C28" s="207"/>
      <c r="D28" s="207"/>
      <c r="E28" s="207"/>
      <c r="F28" s="224"/>
      <c r="G28" s="207"/>
      <c r="H28" s="207"/>
      <c r="I28" s="207"/>
      <c r="J28" s="189"/>
      <c r="K28" s="192"/>
      <c r="L28" s="26"/>
      <c r="M28" s="26"/>
    </row>
    <row r="29" spans="2:13" ht="22.2" thickTop="1" thickBot="1" x14ac:dyDescent="0.45">
      <c r="B29" s="190" t="s">
        <v>13</v>
      </c>
      <c r="C29" s="189" t="e">
        <f>'التعليم المسرع'!#REF!</f>
        <v>#REF!</v>
      </c>
      <c r="D29" s="189" t="e">
        <f>'التعليم المسرع'!#REF!</f>
        <v>#REF!</v>
      </c>
      <c r="E29" s="189" t="e">
        <f>'التعليم المسرع'!#REF!</f>
        <v>#REF!</v>
      </c>
      <c r="F29" s="189" t="e">
        <f>'التعليم المسرع'!#REF!</f>
        <v>#REF!</v>
      </c>
      <c r="G29" s="189" t="e">
        <f>'التعليم المسرع'!#REF!</f>
        <v>#REF!</v>
      </c>
      <c r="H29" s="189" t="e">
        <f>'التعليم المسرع'!#REF!</f>
        <v>#REF!</v>
      </c>
      <c r="I29" s="189" t="e">
        <f>'التعليم المسرع'!#REF!</f>
        <v>#REF!</v>
      </c>
      <c r="J29" s="189" t="e">
        <f>I29+H29+G29+F29+E29+D29+C29</f>
        <v>#REF!</v>
      </c>
      <c r="K29" s="192"/>
      <c r="L29" s="26"/>
      <c r="M29" s="26"/>
    </row>
    <row r="30" spans="2:13" ht="22.2" thickTop="1" thickBot="1" x14ac:dyDescent="0.45">
      <c r="B30" s="190"/>
      <c r="C30" s="189"/>
      <c r="D30" s="189"/>
      <c r="E30" s="189"/>
      <c r="F30" s="189"/>
      <c r="G30" s="189"/>
      <c r="H30" s="189"/>
      <c r="I30" s="189"/>
      <c r="J30" s="189"/>
      <c r="K30" s="192"/>
      <c r="L30" s="26"/>
      <c r="M30" s="26"/>
    </row>
    <row r="31" spans="2:13" ht="22.2" thickTop="1" thickBot="1" x14ac:dyDescent="0.45">
      <c r="B31" s="190" t="s">
        <v>14</v>
      </c>
      <c r="C31" s="189" t="e">
        <f>'التعليم المسرع'!#REF!</f>
        <v>#REF!</v>
      </c>
      <c r="D31" s="189" t="e">
        <f>'التعليم المسرع'!#REF!</f>
        <v>#REF!</v>
      </c>
      <c r="E31" s="189" t="e">
        <f>'التعليم المسرع'!#REF!</f>
        <v>#REF!</v>
      </c>
      <c r="F31" s="189" t="e">
        <f>'التعليم المسرع'!#REF!</f>
        <v>#REF!</v>
      </c>
      <c r="G31" s="189" t="e">
        <f>'التعليم المسرع'!#REF!</f>
        <v>#REF!</v>
      </c>
      <c r="H31" s="189" t="e">
        <f>'التعليم المسرع'!#REF!</f>
        <v>#REF!</v>
      </c>
      <c r="I31" s="189" t="e">
        <f>'التعليم المسرع'!#REF!</f>
        <v>#REF!</v>
      </c>
      <c r="J31" s="189" t="e">
        <f t="shared" ref="J31" si="3">I31+H31+G31+F31+E31+D31+C31</f>
        <v>#REF!</v>
      </c>
      <c r="K31" s="192"/>
      <c r="L31" s="26"/>
      <c r="M31" s="26"/>
    </row>
    <row r="32" spans="2:13" ht="22.2" thickTop="1" thickBot="1" x14ac:dyDescent="0.45">
      <c r="B32" s="190"/>
      <c r="C32" s="189"/>
      <c r="D32" s="189"/>
      <c r="E32" s="189"/>
      <c r="F32" s="189"/>
      <c r="G32" s="189"/>
      <c r="H32" s="189"/>
      <c r="I32" s="189"/>
      <c r="J32" s="189"/>
      <c r="K32" s="192"/>
      <c r="L32" s="26"/>
      <c r="M32" s="26"/>
    </row>
    <row r="33" spans="1:14" ht="22.2" thickTop="1" thickBot="1" x14ac:dyDescent="0.45">
      <c r="B33" s="190" t="s">
        <v>15</v>
      </c>
      <c r="C33" s="189" t="e">
        <f>C29+C31</f>
        <v>#REF!</v>
      </c>
      <c r="D33" s="189" t="e">
        <f t="shared" ref="D33:I33" si="4">D29+D31</f>
        <v>#REF!</v>
      </c>
      <c r="E33" s="189" t="e">
        <f t="shared" si="4"/>
        <v>#REF!</v>
      </c>
      <c r="F33" s="189" t="e">
        <f t="shared" si="4"/>
        <v>#REF!</v>
      </c>
      <c r="G33" s="189" t="e">
        <f t="shared" si="4"/>
        <v>#REF!</v>
      </c>
      <c r="H33" s="189" t="e">
        <f t="shared" si="4"/>
        <v>#REF!</v>
      </c>
      <c r="I33" s="189" t="e">
        <f t="shared" si="4"/>
        <v>#REF!</v>
      </c>
      <c r="J33" s="189" t="e">
        <f t="shared" ref="J33" si="5">I33+H33+G33+F33+E33+D33+C33</f>
        <v>#REF!</v>
      </c>
      <c r="K33" s="192"/>
      <c r="L33" s="26"/>
      <c r="M33" s="26"/>
    </row>
    <row r="34" spans="1:14" ht="22.2" thickTop="1" thickBot="1" x14ac:dyDescent="0.45">
      <c r="B34" s="193"/>
      <c r="C34" s="191"/>
      <c r="D34" s="191"/>
      <c r="E34" s="191"/>
      <c r="F34" s="191"/>
      <c r="G34" s="191"/>
      <c r="H34" s="191"/>
      <c r="I34" s="191"/>
      <c r="J34" s="191"/>
      <c r="K34" s="208"/>
      <c r="L34" s="26"/>
      <c r="M34" s="26"/>
    </row>
    <row r="35" spans="1:14" ht="21.6" thickTop="1" x14ac:dyDescent="0.4"/>
    <row r="36" spans="1:14" ht="27.75" customHeight="1" x14ac:dyDescent="0.4">
      <c r="A36" s="181" t="s">
        <v>55</v>
      </c>
      <c r="B36" s="181"/>
      <c r="C36" s="181"/>
    </row>
    <row r="37" spans="1:14" ht="26.25" customHeight="1" x14ac:dyDescent="0.4">
      <c r="A37" s="181" t="s">
        <v>56</v>
      </c>
      <c r="B37" s="181"/>
      <c r="C37" s="181"/>
      <c r="D37" s="181"/>
      <c r="K37" s="9" t="s">
        <v>171</v>
      </c>
    </row>
    <row r="38" spans="1:14" ht="30" customHeight="1" x14ac:dyDescent="0.4">
      <c r="D38" s="9" t="s">
        <v>52</v>
      </c>
    </row>
    <row r="39" spans="1:14" ht="21.6" thickBot="1" x14ac:dyDescent="0.45"/>
    <row r="40" spans="1:14" ht="30.75" customHeight="1" thickTop="1" thickBot="1" x14ac:dyDescent="0.45">
      <c r="B40" s="203" t="s">
        <v>28</v>
      </c>
      <c r="C40" s="185" t="s">
        <v>17</v>
      </c>
      <c r="D40" s="229"/>
      <c r="E40" s="185" t="s">
        <v>18</v>
      </c>
      <c r="F40" s="229"/>
      <c r="G40" s="185" t="s">
        <v>19</v>
      </c>
      <c r="H40" s="229"/>
      <c r="I40" s="185" t="s">
        <v>29</v>
      </c>
      <c r="J40" s="169"/>
      <c r="K40" s="229"/>
      <c r="L40" s="26"/>
      <c r="M40" s="26"/>
      <c r="N40" s="26"/>
    </row>
    <row r="41" spans="1:14" ht="30.75" customHeight="1" thickTop="1" thickBot="1" x14ac:dyDescent="0.45">
      <c r="B41" s="197"/>
      <c r="C41" s="29" t="s">
        <v>10</v>
      </c>
      <c r="D41" s="29" t="s">
        <v>11</v>
      </c>
      <c r="E41" s="29" t="s">
        <v>10</v>
      </c>
      <c r="F41" s="29" t="s">
        <v>11</v>
      </c>
      <c r="G41" s="29" t="s">
        <v>10</v>
      </c>
      <c r="H41" s="29" t="s">
        <v>11</v>
      </c>
      <c r="I41" s="29" t="s">
        <v>10</v>
      </c>
      <c r="J41" s="29" t="s">
        <v>11</v>
      </c>
      <c r="K41" s="29" t="s">
        <v>15</v>
      </c>
      <c r="L41" s="26"/>
      <c r="M41" s="26"/>
      <c r="N41" s="26"/>
    </row>
    <row r="42" spans="1:14" ht="21.6" thickTop="1" x14ac:dyDescent="0.4">
      <c r="B42" s="203" t="s">
        <v>21</v>
      </c>
      <c r="C42" s="203" t="e">
        <f>'التعليم المسرع'!#REF!</f>
        <v>#REF!</v>
      </c>
      <c r="D42" s="203" t="e">
        <f>'التعليم المسرع'!#REF!</f>
        <v>#REF!</v>
      </c>
      <c r="E42" s="203" t="e">
        <f>'التعليم المسرع'!#REF!</f>
        <v>#REF!</v>
      </c>
      <c r="F42" s="203" t="e">
        <f>'التعليم المسرع'!#REF!</f>
        <v>#REF!</v>
      </c>
      <c r="G42" s="203" t="e">
        <f>'التعليم المسرع'!#REF!</f>
        <v>#REF!</v>
      </c>
      <c r="H42" s="203" t="e">
        <f>'التعليم المسرع'!#REF!</f>
        <v>#REF!</v>
      </c>
      <c r="I42" s="203" t="e">
        <f>C42+E42+G42</f>
        <v>#REF!</v>
      </c>
      <c r="J42" s="203" t="e">
        <f>D42+F42+H42</f>
        <v>#REF!</v>
      </c>
      <c r="K42" s="203" t="e">
        <f>SUM(I42:J42)</f>
        <v>#REF!</v>
      </c>
      <c r="L42" s="26"/>
      <c r="M42" s="26"/>
      <c r="N42" s="26"/>
    </row>
    <row r="43" spans="1:14" ht="21.6" thickBot="1" x14ac:dyDescent="0.45">
      <c r="B43" s="197"/>
      <c r="C43" s="197"/>
      <c r="D43" s="197"/>
      <c r="E43" s="197"/>
      <c r="F43" s="197"/>
      <c r="G43" s="197"/>
      <c r="H43" s="197"/>
      <c r="I43" s="197"/>
      <c r="J43" s="197"/>
      <c r="K43" s="197"/>
      <c r="L43" s="26"/>
      <c r="M43" s="26"/>
      <c r="N43" s="26"/>
    </row>
    <row r="44" spans="1:14" ht="21.6" thickTop="1" x14ac:dyDescent="0.4">
      <c r="B44" s="203" t="s">
        <v>22</v>
      </c>
      <c r="C44" s="203" t="e">
        <f>'التعليم المسرع'!#REF!</f>
        <v>#REF!</v>
      </c>
      <c r="D44" s="203" t="e">
        <f>'التعليم المسرع'!#REF!</f>
        <v>#REF!</v>
      </c>
      <c r="E44" s="228" t="e">
        <f>'التعليم المسرع'!#REF!</f>
        <v>#REF!</v>
      </c>
      <c r="F44" s="228" t="e">
        <f>'التعليم المسرع'!#REF!</f>
        <v>#REF!</v>
      </c>
      <c r="G44" s="203" t="e">
        <f>'التعليم المسرع'!#REF!</f>
        <v>#REF!</v>
      </c>
      <c r="H44" s="203" t="e">
        <f>'التعليم المسرع'!#REF!</f>
        <v>#REF!</v>
      </c>
      <c r="I44" s="203" t="e">
        <f t="shared" ref="I44:J44" si="6">C44+E44+G44</f>
        <v>#REF!</v>
      </c>
      <c r="J44" s="203" t="e">
        <f t="shared" si="6"/>
        <v>#REF!</v>
      </c>
      <c r="K44" s="203" t="e">
        <f t="shared" ref="K44" si="7">SUM(I44:J44)</f>
        <v>#REF!</v>
      </c>
      <c r="L44" s="26"/>
    </row>
    <row r="45" spans="1:14" ht="21.6" thickBot="1" x14ac:dyDescent="0.45">
      <c r="B45" s="197"/>
      <c r="C45" s="197"/>
      <c r="D45" s="197"/>
      <c r="E45" s="198"/>
      <c r="F45" s="198"/>
      <c r="G45" s="197"/>
      <c r="H45" s="197"/>
      <c r="I45" s="197"/>
      <c r="J45" s="197"/>
      <c r="K45" s="197"/>
      <c r="L45" s="26"/>
    </row>
    <row r="46" spans="1:14" ht="21.6" thickTop="1" x14ac:dyDescent="0.4">
      <c r="B46" s="203" t="s">
        <v>23</v>
      </c>
      <c r="C46" s="203" t="e">
        <f>'التعليم المسرع'!#REF!</f>
        <v>#REF!</v>
      </c>
      <c r="D46" s="203" t="e">
        <f>'التعليم المسرع'!#REF!</f>
        <v>#REF!</v>
      </c>
      <c r="E46" s="228" t="e">
        <f>'التعليم المسرع'!#REF!</f>
        <v>#REF!</v>
      </c>
      <c r="F46" s="228" t="e">
        <f>'التعليم المسرع'!#REF!</f>
        <v>#REF!</v>
      </c>
      <c r="G46" s="203" t="e">
        <f>'التعليم المسرع'!#REF!</f>
        <v>#REF!</v>
      </c>
      <c r="H46" s="203" t="e">
        <f>'التعليم المسرع'!#REF!</f>
        <v>#REF!</v>
      </c>
      <c r="I46" s="203" t="e">
        <f t="shared" ref="I46:J46" si="8">C46+E46+G46</f>
        <v>#REF!</v>
      </c>
      <c r="J46" s="203" t="e">
        <f t="shared" si="8"/>
        <v>#REF!</v>
      </c>
      <c r="K46" s="203" t="e">
        <f t="shared" ref="K46" si="9">SUM(I46:J46)</f>
        <v>#REF!</v>
      </c>
      <c r="L46" s="26"/>
    </row>
    <row r="47" spans="1:14" ht="21.6" thickBot="1" x14ac:dyDescent="0.45">
      <c r="B47" s="197"/>
      <c r="C47" s="197"/>
      <c r="D47" s="197"/>
      <c r="E47" s="198"/>
      <c r="F47" s="198"/>
      <c r="G47" s="197"/>
      <c r="H47" s="197"/>
      <c r="I47" s="197"/>
      <c r="J47" s="197"/>
      <c r="K47" s="197"/>
      <c r="L47" s="26"/>
    </row>
    <row r="48" spans="1:14" ht="21.6" thickTop="1" x14ac:dyDescent="0.4">
      <c r="B48" s="203" t="s">
        <v>24</v>
      </c>
      <c r="C48" s="203" t="e">
        <f>'التعليم المسرع'!#REF!</f>
        <v>#REF!</v>
      </c>
      <c r="D48" s="203" t="e">
        <f>'التعليم المسرع'!#REF!</f>
        <v>#REF!</v>
      </c>
      <c r="E48" s="228" t="e">
        <f>'التعليم المسرع'!#REF!</f>
        <v>#REF!</v>
      </c>
      <c r="F48" s="228" t="e">
        <f>'التعليم المسرع'!#REF!</f>
        <v>#REF!</v>
      </c>
      <c r="G48" s="203" t="e">
        <f>'التعليم المسرع'!#REF!</f>
        <v>#REF!</v>
      </c>
      <c r="H48" s="203" t="e">
        <f>'التعليم المسرع'!#REF!</f>
        <v>#REF!</v>
      </c>
      <c r="I48" s="203" t="e">
        <f t="shared" ref="I48:J48" si="10">C48+E48+G48</f>
        <v>#REF!</v>
      </c>
      <c r="J48" s="203" t="e">
        <f t="shared" si="10"/>
        <v>#REF!</v>
      </c>
      <c r="K48" s="203" t="e">
        <f t="shared" ref="K48" si="11">SUM(I48:J48)</f>
        <v>#REF!</v>
      </c>
      <c r="L48" s="26"/>
    </row>
    <row r="49" spans="1:16" ht="21.6" thickBot="1" x14ac:dyDescent="0.45">
      <c r="B49" s="197"/>
      <c r="C49" s="197"/>
      <c r="D49" s="197"/>
      <c r="E49" s="198"/>
      <c r="F49" s="198"/>
      <c r="G49" s="197"/>
      <c r="H49" s="197"/>
      <c r="I49" s="197"/>
      <c r="J49" s="197"/>
      <c r="K49" s="197"/>
      <c r="L49" s="26"/>
    </row>
    <row r="50" spans="1:16" ht="21.6" thickTop="1" x14ac:dyDescent="0.4">
      <c r="B50" s="203" t="s">
        <v>25</v>
      </c>
      <c r="C50" s="203" t="e">
        <f>'التعليم المسرع'!#REF!</f>
        <v>#REF!</v>
      </c>
      <c r="D50" s="203" t="e">
        <f>'التعليم المسرع'!#REF!</f>
        <v>#REF!</v>
      </c>
      <c r="E50" s="228" t="e">
        <f>'التعليم المسرع'!#REF!</f>
        <v>#REF!</v>
      </c>
      <c r="F50" s="228" t="e">
        <f>'التعليم المسرع'!#REF!</f>
        <v>#REF!</v>
      </c>
      <c r="G50" s="203" t="e">
        <f>'التعليم المسرع'!#REF!</f>
        <v>#REF!</v>
      </c>
      <c r="H50" s="203" t="e">
        <f>'التعليم المسرع'!#REF!</f>
        <v>#REF!</v>
      </c>
      <c r="I50" s="203" t="e">
        <f t="shared" ref="I50:J50" si="12">C50+E50+G50</f>
        <v>#REF!</v>
      </c>
      <c r="J50" s="203" t="e">
        <f t="shared" si="12"/>
        <v>#REF!</v>
      </c>
      <c r="K50" s="203" t="e">
        <f t="shared" ref="K50" si="13">SUM(I50:J50)</f>
        <v>#REF!</v>
      </c>
      <c r="L50" s="26"/>
    </row>
    <row r="51" spans="1:16" ht="21.6" thickBot="1" x14ac:dyDescent="0.45">
      <c r="B51" s="197"/>
      <c r="C51" s="197"/>
      <c r="D51" s="197"/>
      <c r="E51" s="198"/>
      <c r="F51" s="198"/>
      <c r="G51" s="197"/>
      <c r="H51" s="197"/>
      <c r="I51" s="197"/>
      <c r="J51" s="197"/>
      <c r="K51" s="197"/>
      <c r="L51" s="26"/>
    </row>
    <row r="52" spans="1:16" ht="21.6" thickTop="1" x14ac:dyDescent="0.4">
      <c r="B52" s="203" t="s">
        <v>26</v>
      </c>
      <c r="C52" s="203" t="e">
        <f>'التعليم المسرع'!#REF!</f>
        <v>#REF!</v>
      </c>
      <c r="D52" s="203" t="e">
        <f>'التعليم المسرع'!#REF!</f>
        <v>#REF!</v>
      </c>
      <c r="E52" s="203" t="e">
        <f>'التعليم المسرع'!#REF!</f>
        <v>#REF!</v>
      </c>
      <c r="F52" s="203" t="e">
        <f>'التعليم المسرع'!#REF!</f>
        <v>#REF!</v>
      </c>
      <c r="G52" s="203" t="e">
        <f>'التعليم المسرع'!#REF!</f>
        <v>#REF!</v>
      </c>
      <c r="H52" s="203" t="e">
        <f>'التعليم المسرع'!#REF!</f>
        <v>#REF!</v>
      </c>
      <c r="I52" s="203" t="e">
        <f t="shared" ref="I52:J52" si="14">C52+E52+G52</f>
        <v>#REF!</v>
      </c>
      <c r="J52" s="203" t="e">
        <f t="shared" si="14"/>
        <v>#REF!</v>
      </c>
      <c r="K52" s="203" t="e">
        <f t="shared" ref="K52" si="15">SUM(I52:J52)</f>
        <v>#REF!</v>
      </c>
      <c r="L52" s="26"/>
    </row>
    <row r="53" spans="1:16" ht="21.6" thickBot="1" x14ac:dyDescent="0.45">
      <c r="B53" s="197"/>
      <c r="C53" s="197"/>
      <c r="D53" s="197"/>
      <c r="E53" s="197"/>
      <c r="F53" s="197"/>
      <c r="G53" s="197"/>
      <c r="H53" s="197"/>
      <c r="I53" s="197"/>
      <c r="J53" s="197"/>
      <c r="K53" s="197"/>
    </row>
    <row r="54" spans="1:16" ht="21.6" thickTop="1" x14ac:dyDescent="0.4">
      <c r="B54" s="203" t="s">
        <v>27</v>
      </c>
      <c r="C54" s="203" t="e">
        <f>'التعليم المسرع'!#REF!</f>
        <v>#REF!</v>
      </c>
      <c r="D54" s="203" t="e">
        <f>'التعليم المسرع'!#REF!</f>
        <v>#REF!</v>
      </c>
      <c r="E54" s="203" t="e">
        <f>'التعليم المسرع'!#REF!</f>
        <v>#REF!</v>
      </c>
      <c r="F54" s="203" t="e">
        <f>'التعليم المسرع'!#REF!</f>
        <v>#REF!</v>
      </c>
      <c r="G54" s="203" t="e">
        <f>'التعليم المسرع'!#REF!</f>
        <v>#REF!</v>
      </c>
      <c r="H54" s="203" t="e">
        <f>'التعليم المسرع'!#REF!</f>
        <v>#REF!</v>
      </c>
      <c r="I54" s="203" t="e">
        <f t="shared" ref="I54:J54" si="16">C54+E54+G54</f>
        <v>#REF!</v>
      </c>
      <c r="J54" s="203" t="e">
        <f t="shared" si="16"/>
        <v>#REF!</v>
      </c>
      <c r="K54" s="203" t="e">
        <f t="shared" ref="K54" si="17">SUM(I54:J54)</f>
        <v>#REF!</v>
      </c>
    </row>
    <row r="55" spans="1:16" ht="21.6" thickBot="1" x14ac:dyDescent="0.45">
      <c r="B55" s="197"/>
      <c r="C55" s="197"/>
      <c r="D55" s="197"/>
      <c r="E55" s="197"/>
      <c r="F55" s="197"/>
      <c r="G55" s="197"/>
      <c r="H55" s="197"/>
      <c r="I55" s="197"/>
      <c r="J55" s="197"/>
      <c r="K55" s="197"/>
    </row>
    <row r="56" spans="1:16" ht="21.6" thickTop="1" x14ac:dyDescent="0.4">
      <c r="B56" s="203" t="s">
        <v>15</v>
      </c>
      <c r="C56" s="203" t="e">
        <f t="shared" ref="C56:H56" si="18">C42+C44+C46+C48+C50+C52+C54</f>
        <v>#REF!</v>
      </c>
      <c r="D56" s="203" t="e">
        <f t="shared" si="18"/>
        <v>#REF!</v>
      </c>
      <c r="E56" s="203" t="e">
        <f t="shared" si="18"/>
        <v>#REF!</v>
      </c>
      <c r="F56" s="203" t="e">
        <f t="shared" si="18"/>
        <v>#REF!</v>
      </c>
      <c r="G56" s="203" t="e">
        <f t="shared" si="18"/>
        <v>#REF!</v>
      </c>
      <c r="H56" s="203" t="e">
        <f t="shared" si="18"/>
        <v>#REF!</v>
      </c>
      <c r="I56" s="203" t="e">
        <f>C56+E56+G56</f>
        <v>#REF!</v>
      </c>
      <c r="J56" s="203" t="e">
        <f t="shared" ref="J56" si="19">D56+F56+H56</f>
        <v>#REF!</v>
      </c>
      <c r="K56" s="203" t="e">
        <f t="shared" ref="K56" si="20">SUM(I56:J56)</f>
        <v>#REF!</v>
      </c>
    </row>
    <row r="57" spans="1:16" ht="21.6" thickBot="1" x14ac:dyDescent="0.45">
      <c r="B57" s="197"/>
      <c r="C57" s="197"/>
      <c r="D57" s="197"/>
      <c r="E57" s="197"/>
      <c r="F57" s="197"/>
      <c r="G57" s="197"/>
      <c r="H57" s="197"/>
      <c r="I57" s="197"/>
      <c r="J57" s="197"/>
      <c r="K57" s="197"/>
    </row>
    <row r="58" spans="1:16" ht="22.2" thickTop="1" thickBot="1" x14ac:dyDescent="0.45"/>
    <row r="59" spans="1:16" ht="31.5" customHeight="1" thickTop="1" thickBot="1" x14ac:dyDescent="0.45">
      <c r="A59" s="194"/>
      <c r="B59" s="206" t="s">
        <v>267</v>
      </c>
      <c r="C59" s="206"/>
      <c r="D59" s="206"/>
      <c r="E59" s="206" t="s">
        <v>272</v>
      </c>
      <c r="F59" s="206"/>
      <c r="G59" s="206"/>
      <c r="H59" s="195" t="s">
        <v>273</v>
      </c>
      <c r="I59" s="195"/>
      <c r="J59" s="195"/>
      <c r="K59" s="195"/>
      <c r="L59" s="195"/>
      <c r="M59" s="195"/>
      <c r="N59" s="195" t="s">
        <v>15</v>
      </c>
      <c r="O59" s="195"/>
      <c r="P59" s="196"/>
    </row>
    <row r="60" spans="1:16" ht="34.5" customHeight="1" thickTop="1" thickBot="1" x14ac:dyDescent="0.45">
      <c r="A60" s="190"/>
      <c r="B60" s="207"/>
      <c r="C60" s="207"/>
      <c r="D60" s="207"/>
      <c r="E60" s="207"/>
      <c r="F60" s="207"/>
      <c r="G60" s="207"/>
      <c r="H60" s="189" t="s">
        <v>185</v>
      </c>
      <c r="I60" s="189"/>
      <c r="J60" s="189" t="s">
        <v>186</v>
      </c>
      <c r="K60" s="189"/>
      <c r="L60" s="189" t="s">
        <v>187</v>
      </c>
      <c r="M60" s="189"/>
      <c r="N60" s="189"/>
      <c r="O60" s="189"/>
      <c r="P60" s="192"/>
    </row>
    <row r="61" spans="1:16" ht="22.2" thickTop="1" thickBot="1" x14ac:dyDescent="0.45">
      <c r="A61" s="190"/>
      <c r="B61" s="189" t="s">
        <v>10</v>
      </c>
      <c r="C61" s="189" t="s">
        <v>11</v>
      </c>
      <c r="D61" s="189" t="s">
        <v>15</v>
      </c>
      <c r="E61" s="189" t="s">
        <v>10</v>
      </c>
      <c r="F61" s="189" t="s">
        <v>11</v>
      </c>
      <c r="G61" s="189" t="s">
        <v>15</v>
      </c>
      <c r="H61" s="189" t="s">
        <v>10</v>
      </c>
      <c r="I61" s="189" t="s">
        <v>11</v>
      </c>
      <c r="J61" s="189" t="s">
        <v>10</v>
      </c>
      <c r="K61" s="189" t="s">
        <v>11</v>
      </c>
      <c r="L61" s="189" t="s">
        <v>10</v>
      </c>
      <c r="M61" s="189" t="s">
        <v>11</v>
      </c>
      <c r="N61" s="189" t="s">
        <v>10</v>
      </c>
      <c r="O61" s="189" t="s">
        <v>11</v>
      </c>
      <c r="P61" s="192" t="s">
        <v>15</v>
      </c>
    </row>
    <row r="62" spans="1:16" ht="22.2" thickTop="1" thickBot="1" x14ac:dyDescent="0.45">
      <c r="A62" s="190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92"/>
    </row>
    <row r="63" spans="1:16" ht="22.2" thickTop="1" thickBot="1" x14ac:dyDescent="0.45">
      <c r="A63" s="190" t="s">
        <v>17</v>
      </c>
      <c r="B63" s="189" t="e">
        <f>'التعليم المسرع'!#REF!</f>
        <v>#REF!</v>
      </c>
      <c r="C63" s="189" t="e">
        <f>'التعليم المسرع'!#REF!</f>
        <v>#REF!</v>
      </c>
      <c r="D63" s="189" t="e">
        <f>C63+B63</f>
        <v>#REF!</v>
      </c>
      <c r="E63" s="189" t="e">
        <f>'التعليم المسرع'!#REF!</f>
        <v>#REF!</v>
      </c>
      <c r="F63" s="189" t="e">
        <f>'التعليم المسرع'!#REF!</f>
        <v>#REF!</v>
      </c>
      <c r="G63" s="189" t="e">
        <f t="shared" ref="G63" si="21">F63+E63</f>
        <v>#REF!</v>
      </c>
      <c r="H63" s="189" t="e">
        <f>'التعليم المسرع'!#REF!</f>
        <v>#REF!</v>
      </c>
      <c r="I63" s="189" t="e">
        <f>'التعليم المسرع'!#REF!</f>
        <v>#REF!</v>
      </c>
      <c r="J63" s="189" t="e">
        <f>'التعليم المسرع'!#REF!</f>
        <v>#REF!</v>
      </c>
      <c r="K63" s="189" t="e">
        <f>'التعليم المسرع'!#REF!</f>
        <v>#REF!</v>
      </c>
      <c r="L63" s="189" t="e">
        <f>'التعليم المسرع'!#REF!</f>
        <v>#REF!</v>
      </c>
      <c r="M63" s="189" t="e">
        <f>'التعليم المسرع'!#REF!</f>
        <v>#REF!</v>
      </c>
      <c r="N63" s="189" t="e">
        <f>L63+J63+H63</f>
        <v>#REF!</v>
      </c>
      <c r="O63" s="189" t="e">
        <f>M63+K63+I63</f>
        <v>#REF!</v>
      </c>
      <c r="P63" s="192" t="e">
        <f>O63+N63</f>
        <v>#REF!</v>
      </c>
    </row>
    <row r="64" spans="1:16" ht="22.2" thickTop="1" thickBot="1" x14ac:dyDescent="0.45">
      <c r="A64" s="190"/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92"/>
    </row>
    <row r="65" spans="1:16" ht="22.2" thickTop="1" thickBot="1" x14ac:dyDescent="0.45">
      <c r="A65" s="190" t="s">
        <v>18</v>
      </c>
      <c r="B65" s="189" t="e">
        <f>'التعليم المسرع'!#REF!</f>
        <v>#REF!</v>
      </c>
      <c r="C65" s="189" t="e">
        <f>'التعليم المسرع'!#REF!</f>
        <v>#REF!</v>
      </c>
      <c r="D65" s="189" t="e">
        <f t="shared" ref="D65" si="22">C65+B65</f>
        <v>#REF!</v>
      </c>
      <c r="E65" s="189" t="e">
        <f>'التعليم المسرع'!#REF!</f>
        <v>#REF!</v>
      </c>
      <c r="F65" s="189" t="e">
        <f>'التعليم المسرع'!#REF!</f>
        <v>#REF!</v>
      </c>
      <c r="G65" s="189" t="e">
        <f t="shared" ref="G65" si="23">F65+E65</f>
        <v>#REF!</v>
      </c>
      <c r="H65" s="189" t="e">
        <f>'التعليم المسرع'!#REF!</f>
        <v>#REF!</v>
      </c>
      <c r="I65" s="189" t="e">
        <f>'التعليم المسرع'!#REF!</f>
        <v>#REF!</v>
      </c>
      <c r="J65" s="189" t="e">
        <f>'التعليم المسرع'!#REF!</f>
        <v>#REF!</v>
      </c>
      <c r="K65" s="189" t="e">
        <f>'التعليم المسرع'!#REF!</f>
        <v>#REF!</v>
      </c>
      <c r="L65" s="189" t="e">
        <f>'التعليم المسرع'!#REF!</f>
        <v>#REF!</v>
      </c>
      <c r="M65" s="189" t="e">
        <f>'التعليم المسرع'!#REF!</f>
        <v>#REF!</v>
      </c>
      <c r="N65" s="189" t="e">
        <f t="shared" ref="N65" si="24">L65+J65+H65</f>
        <v>#REF!</v>
      </c>
      <c r="O65" s="189" t="e">
        <f t="shared" ref="O65" si="25">M65+K65+I65</f>
        <v>#REF!</v>
      </c>
      <c r="P65" s="192" t="e">
        <f t="shared" ref="P65" si="26">O65+N65</f>
        <v>#REF!</v>
      </c>
    </row>
    <row r="66" spans="1:16" ht="22.2" thickTop="1" thickBot="1" x14ac:dyDescent="0.45">
      <c r="A66" s="190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92"/>
    </row>
    <row r="67" spans="1:16" ht="22.2" thickTop="1" thickBot="1" x14ac:dyDescent="0.45">
      <c r="A67" s="190" t="s">
        <v>19</v>
      </c>
      <c r="B67" s="189" t="e">
        <f>'التعليم المسرع'!#REF!</f>
        <v>#REF!</v>
      </c>
      <c r="C67" s="189" t="e">
        <f>'التعليم المسرع'!#REF!</f>
        <v>#REF!</v>
      </c>
      <c r="D67" s="189" t="e">
        <f t="shared" ref="D67" si="27">C67+B67</f>
        <v>#REF!</v>
      </c>
      <c r="E67" s="189" t="e">
        <f>'التعليم المسرع'!#REF!</f>
        <v>#REF!</v>
      </c>
      <c r="F67" s="189" t="e">
        <f>'التعليم المسرع'!#REF!</f>
        <v>#REF!</v>
      </c>
      <c r="G67" s="189" t="e">
        <f t="shared" ref="G67" si="28">F67+E67</f>
        <v>#REF!</v>
      </c>
      <c r="H67" s="189" t="e">
        <f>'التعليم المسرع'!#REF!</f>
        <v>#REF!</v>
      </c>
      <c r="I67" s="189" t="e">
        <f>'التعليم المسرع'!#REF!</f>
        <v>#REF!</v>
      </c>
      <c r="J67" s="189" t="e">
        <f>'التعليم المسرع'!#REF!</f>
        <v>#REF!</v>
      </c>
      <c r="K67" s="189" t="e">
        <f>'التعليم المسرع'!#REF!</f>
        <v>#REF!</v>
      </c>
      <c r="L67" s="189" t="e">
        <f>'التعليم المسرع'!#REF!</f>
        <v>#REF!</v>
      </c>
      <c r="M67" s="189" t="e">
        <f>'التعليم المسرع'!#REF!</f>
        <v>#REF!</v>
      </c>
      <c r="N67" s="189" t="e">
        <f t="shared" ref="N67" si="29">L67+J67+H67</f>
        <v>#REF!</v>
      </c>
      <c r="O67" s="189" t="e">
        <f t="shared" ref="O67" si="30">M67+K67+I67</f>
        <v>#REF!</v>
      </c>
      <c r="P67" s="192" t="e">
        <f t="shared" ref="P67" si="31">O67+N67</f>
        <v>#REF!</v>
      </c>
    </row>
    <row r="68" spans="1:16" ht="13.5" customHeight="1" thickTop="1" thickBot="1" x14ac:dyDescent="0.45">
      <c r="A68" s="193"/>
      <c r="B68" s="191"/>
      <c r="C68" s="191"/>
      <c r="D68" s="191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208"/>
    </row>
    <row r="69" spans="1:16" ht="8.25" customHeight="1" thickTop="1" x14ac:dyDescent="0.4">
      <c r="B69" s="27"/>
      <c r="C69" s="27"/>
      <c r="D69" s="27"/>
      <c r="E69" s="27"/>
    </row>
  </sheetData>
  <mergeCells count="246">
    <mergeCell ref="L61:L62"/>
    <mergeCell ref="M61:M62"/>
    <mergeCell ref="N61:N62"/>
    <mergeCell ref="O61:O62"/>
    <mergeCell ref="P61:P62"/>
    <mergeCell ref="P67:P68"/>
    <mergeCell ref="C63:C64"/>
    <mergeCell ref="C65:C66"/>
    <mergeCell ref="C67:C68"/>
    <mergeCell ref="N67:N68"/>
    <mergeCell ref="O67:O68"/>
    <mergeCell ref="P63:P64"/>
    <mergeCell ref="E63:E64"/>
    <mergeCell ref="F63:F64"/>
    <mergeCell ref="E65:E66"/>
    <mergeCell ref="F65:F66"/>
    <mergeCell ref="E67:E68"/>
    <mergeCell ref="F67:F68"/>
    <mergeCell ref="N65:N66"/>
    <mergeCell ref="O65:O66"/>
    <mergeCell ref="P65:P66"/>
    <mergeCell ref="L63:L64"/>
    <mergeCell ref="N63:N64"/>
    <mergeCell ref="O63:O64"/>
    <mergeCell ref="B8:D8"/>
    <mergeCell ref="G8:I8"/>
    <mergeCell ref="L8:N8"/>
    <mergeCell ref="B11:C11"/>
    <mergeCell ref="F11:H11"/>
    <mergeCell ref="K11:M11"/>
    <mergeCell ref="B18:B19"/>
    <mergeCell ref="C18:C19"/>
    <mergeCell ref="D18:D19"/>
    <mergeCell ref="E18:E19"/>
    <mergeCell ref="F18:G19"/>
    <mergeCell ref="K46:K47"/>
    <mergeCell ref="H48:H49"/>
    <mergeCell ref="I48:I49"/>
    <mergeCell ref="J48:J49"/>
    <mergeCell ref="K48:K49"/>
    <mergeCell ref="F46:F47"/>
    <mergeCell ref="G46:G47"/>
    <mergeCell ref="H46:H47"/>
    <mergeCell ref="I46:I47"/>
    <mergeCell ref="J46:J47"/>
    <mergeCell ref="N59:P60"/>
    <mergeCell ref="A1:C1"/>
    <mergeCell ref="A2:D2"/>
    <mergeCell ref="A3:O3"/>
    <mergeCell ref="B6:D6"/>
    <mergeCell ref="G6:I6"/>
    <mergeCell ref="L6:N6"/>
    <mergeCell ref="B16:G16"/>
    <mergeCell ref="F17:G17"/>
    <mergeCell ref="H31:H32"/>
    <mergeCell ref="I31:I32"/>
    <mergeCell ref="J31:K32"/>
    <mergeCell ref="E46:E47"/>
    <mergeCell ref="F44:F45"/>
    <mergeCell ref="G44:G45"/>
    <mergeCell ref="H44:H45"/>
    <mergeCell ref="I44:I45"/>
    <mergeCell ref="J44:J45"/>
    <mergeCell ref="F24:G24"/>
    <mergeCell ref="A36:C36"/>
    <mergeCell ref="A37:D37"/>
    <mergeCell ref="B40:B41"/>
    <mergeCell ref="C40:D40"/>
    <mergeCell ref="E40:F40"/>
    <mergeCell ref="B63:B64"/>
    <mergeCell ref="B20:B21"/>
    <mergeCell ref="C20:C21"/>
    <mergeCell ref="D20:D21"/>
    <mergeCell ref="E20:E21"/>
    <mergeCell ref="F20:G21"/>
    <mergeCell ref="B22:B23"/>
    <mergeCell ref="C22:C23"/>
    <mergeCell ref="D22:D23"/>
    <mergeCell ref="E22:E23"/>
    <mergeCell ref="F22:G23"/>
    <mergeCell ref="F42:F43"/>
    <mergeCell ref="G42:G43"/>
    <mergeCell ref="B48:B49"/>
    <mergeCell ref="C48:C49"/>
    <mergeCell ref="G31:G32"/>
    <mergeCell ref="B33:B34"/>
    <mergeCell ref="D48:D49"/>
    <mergeCell ref="E48:E49"/>
    <mergeCell ref="F48:F49"/>
    <mergeCell ref="G48:G49"/>
    <mergeCell ref="B46:B47"/>
    <mergeCell ref="C46:C47"/>
    <mergeCell ref="D46:D47"/>
    <mergeCell ref="M63:M64"/>
    <mergeCell ref="B67:B68"/>
    <mergeCell ref="E50:E51"/>
    <mergeCell ref="F50:F51"/>
    <mergeCell ref="G50:G51"/>
    <mergeCell ref="H50:H51"/>
    <mergeCell ref="B56:B57"/>
    <mergeCell ref="C56:C57"/>
    <mergeCell ref="D56:D57"/>
    <mergeCell ref="E56:E57"/>
    <mergeCell ref="F56:F57"/>
    <mergeCell ref="G56:G57"/>
    <mergeCell ref="H56:H57"/>
    <mergeCell ref="B65:B66"/>
    <mergeCell ref="B61:B62"/>
    <mergeCell ref="C61:C62"/>
    <mergeCell ref="E61:E62"/>
    <mergeCell ref="F61:F62"/>
    <mergeCell ref="I54:I55"/>
    <mergeCell ref="J54:J55"/>
    <mergeCell ref="K50:K51"/>
    <mergeCell ref="B52:B53"/>
    <mergeCell ref="C52:C53"/>
    <mergeCell ref="D52:D53"/>
    <mergeCell ref="G40:H40"/>
    <mergeCell ref="I40:K40"/>
    <mergeCell ref="K42:K43"/>
    <mergeCell ref="E27:E28"/>
    <mergeCell ref="F27:F28"/>
    <mergeCell ref="G27:G28"/>
    <mergeCell ref="I29:I30"/>
    <mergeCell ref="J29:K30"/>
    <mergeCell ref="B31:B32"/>
    <mergeCell ref="C31:C32"/>
    <mergeCell ref="D31:D32"/>
    <mergeCell ref="E31:E32"/>
    <mergeCell ref="F31:F32"/>
    <mergeCell ref="E42:E43"/>
    <mergeCell ref="J33:K34"/>
    <mergeCell ref="H42:H43"/>
    <mergeCell ref="I42:I43"/>
    <mergeCell ref="J42:J43"/>
    <mergeCell ref="E52:E53"/>
    <mergeCell ref="F52:F53"/>
    <mergeCell ref="G52:G53"/>
    <mergeCell ref="H52:H53"/>
    <mergeCell ref="I52:I53"/>
    <mergeCell ref="J52:J53"/>
    <mergeCell ref="K52:K53"/>
    <mergeCell ref="B50:B51"/>
    <mergeCell ref="C50:C51"/>
    <mergeCell ref="D50:D51"/>
    <mergeCell ref="I50:I51"/>
    <mergeCell ref="J50:J51"/>
    <mergeCell ref="B44:B45"/>
    <mergeCell ref="C44:C45"/>
    <mergeCell ref="D44:D45"/>
    <mergeCell ref="E44:E45"/>
    <mergeCell ref="I16:M16"/>
    <mergeCell ref="I17:I18"/>
    <mergeCell ref="J17:J18"/>
    <mergeCell ref="K17:K18"/>
    <mergeCell ref="L17:L18"/>
    <mergeCell ref="M17:M18"/>
    <mergeCell ref="E29:E30"/>
    <mergeCell ref="F29:F30"/>
    <mergeCell ref="G29:G30"/>
    <mergeCell ref="H29:H30"/>
    <mergeCell ref="B27:B28"/>
    <mergeCell ref="C27:C28"/>
    <mergeCell ref="D27:D28"/>
    <mergeCell ref="C33:C34"/>
    <mergeCell ref="D33:D34"/>
    <mergeCell ref="E33:E34"/>
    <mergeCell ref="F33:F34"/>
    <mergeCell ref="G33:G34"/>
    <mergeCell ref="H33:H34"/>
    <mergeCell ref="I33:I34"/>
    <mergeCell ref="K54:K55"/>
    <mergeCell ref="K23:K24"/>
    <mergeCell ref="L23:L24"/>
    <mergeCell ref="M23:M24"/>
    <mergeCell ref="I19:I20"/>
    <mergeCell ref="J19:J20"/>
    <mergeCell ref="K19:K20"/>
    <mergeCell ref="L19:L20"/>
    <mergeCell ref="M19:M20"/>
    <mergeCell ref="I21:I22"/>
    <mergeCell ref="J21:J22"/>
    <mergeCell ref="K21:K22"/>
    <mergeCell ref="L21:L22"/>
    <mergeCell ref="M21:M22"/>
    <mergeCell ref="K44:K45"/>
    <mergeCell ref="I23:I24"/>
    <mergeCell ref="J23:J24"/>
    <mergeCell ref="B26:K26"/>
    <mergeCell ref="H27:H28"/>
    <mergeCell ref="I27:I28"/>
    <mergeCell ref="J27:K28"/>
    <mergeCell ref="B29:B30"/>
    <mergeCell ref="C29:C30"/>
    <mergeCell ref="D29:D30"/>
    <mergeCell ref="A59:A62"/>
    <mergeCell ref="J56:J57"/>
    <mergeCell ref="B54:B55"/>
    <mergeCell ref="C54:C55"/>
    <mergeCell ref="D54:D55"/>
    <mergeCell ref="E54:E55"/>
    <mergeCell ref="F54:F55"/>
    <mergeCell ref="G54:G55"/>
    <mergeCell ref="H54:H55"/>
    <mergeCell ref="K56:K57"/>
    <mergeCell ref="I56:I57"/>
    <mergeCell ref="B42:B43"/>
    <mergeCell ref="C42:C43"/>
    <mergeCell ref="D42:D43"/>
    <mergeCell ref="A63:A64"/>
    <mergeCell ref="A65:A66"/>
    <mergeCell ref="A67:A68"/>
    <mergeCell ref="B59:D60"/>
    <mergeCell ref="E59:G60"/>
    <mergeCell ref="H59:M59"/>
    <mergeCell ref="H60:I60"/>
    <mergeCell ref="J60:K60"/>
    <mergeCell ref="L60:M60"/>
    <mergeCell ref="D61:D62"/>
    <mergeCell ref="G61:G62"/>
    <mergeCell ref="H61:H62"/>
    <mergeCell ref="I61:I62"/>
    <mergeCell ref="J61:J62"/>
    <mergeCell ref="K61:K62"/>
    <mergeCell ref="D63:D64"/>
    <mergeCell ref="G63:G64"/>
    <mergeCell ref="H63:H64"/>
    <mergeCell ref="I63:I64"/>
    <mergeCell ref="J63:J64"/>
    <mergeCell ref="K63:K64"/>
    <mergeCell ref="D65:D66"/>
    <mergeCell ref="G65:G66"/>
    <mergeCell ref="H65:H66"/>
    <mergeCell ref="I65:I66"/>
    <mergeCell ref="J65:J66"/>
    <mergeCell ref="K65:K66"/>
    <mergeCell ref="L65:L66"/>
    <mergeCell ref="M65:M66"/>
    <mergeCell ref="D67:D68"/>
    <mergeCell ref="G67:G68"/>
    <mergeCell ref="H67:H68"/>
    <mergeCell ref="I67:I68"/>
    <mergeCell ref="J67:J68"/>
    <mergeCell ref="K67:K68"/>
    <mergeCell ref="L67:L68"/>
    <mergeCell ref="M67:M68"/>
  </mergeCells>
  <printOptions horizontalCentered="1" verticalCentered="1"/>
  <pageMargins left="0.23622047244094491" right="0.23622047244094491" top="0.19685039370078741" bottom="0.19685039370078741" header="0.19685039370078741" footer="0.19685039370078741"/>
  <pageSetup paperSize="9" scale="60" orientation="landscape" horizontalDpi="300" verticalDpi="300" r:id="rId1"/>
  <rowBreaks count="1" manualBreakCount="1">
    <brk id="35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Q70"/>
  <sheetViews>
    <sheetView rightToLeft="1" view="pageBreakPreview" topLeftCell="H10" zoomScale="70" zoomScaleSheetLayoutView="70" workbookViewId="0">
      <selection activeCell="L21" sqref="L21:L22"/>
    </sheetView>
  </sheetViews>
  <sheetFormatPr defaultColWidth="9" defaultRowHeight="21" x14ac:dyDescent="0.4"/>
  <cols>
    <col min="1" max="1" width="17.296875" style="9" customWidth="1"/>
    <col min="2" max="2" width="12.296875" style="9" customWidth="1"/>
    <col min="3" max="3" width="10.796875" style="9" customWidth="1"/>
    <col min="4" max="5" width="9" style="9"/>
    <col min="6" max="6" width="11.296875" style="9" customWidth="1"/>
    <col min="7" max="7" width="11.19921875" style="9" customWidth="1"/>
    <col min="8" max="8" width="9" style="9"/>
    <col min="9" max="9" width="13.296875" style="9" customWidth="1"/>
    <col min="10" max="10" width="16.19921875" style="9" customWidth="1"/>
    <col min="11" max="11" width="10.296875" style="9" customWidth="1"/>
    <col min="12" max="12" width="11" style="9" customWidth="1"/>
    <col min="13" max="13" width="9" style="9"/>
    <col min="14" max="14" width="11.19921875" style="9" customWidth="1"/>
    <col min="15" max="16384" width="9" style="9"/>
  </cols>
  <sheetData>
    <row r="1" spans="1:15" ht="25.5" customHeight="1" x14ac:dyDescent="0.4">
      <c r="A1" s="181" t="s">
        <v>55</v>
      </c>
      <c r="B1" s="181"/>
      <c r="C1" s="181"/>
    </row>
    <row r="2" spans="1:15" ht="26.25" customHeight="1" x14ac:dyDescent="0.4">
      <c r="A2" s="181" t="s">
        <v>56</v>
      </c>
      <c r="B2" s="181"/>
      <c r="C2" s="181"/>
      <c r="D2" s="181"/>
    </row>
    <row r="3" spans="1:15" x14ac:dyDescent="0.4">
      <c r="A3" s="181" t="s">
        <v>162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</row>
    <row r="4" spans="1:15" x14ac:dyDescent="0.4">
      <c r="E4" s="9" t="s">
        <v>266</v>
      </c>
    </row>
    <row r="5" spans="1:15" ht="21.6" thickBot="1" x14ac:dyDescent="0.45"/>
    <row r="6" spans="1:15" s="31" customFormat="1" ht="29.25" customHeight="1" thickTop="1" thickBot="1" x14ac:dyDescent="0.3">
      <c r="A6" s="31" t="s">
        <v>1</v>
      </c>
      <c r="B6" s="165" t="s">
        <v>166</v>
      </c>
      <c r="C6" s="169"/>
      <c r="D6" s="166"/>
      <c r="F6" s="31" t="s">
        <v>2</v>
      </c>
      <c r="G6" s="165" t="s">
        <v>151</v>
      </c>
      <c r="H6" s="169"/>
      <c r="I6" s="166"/>
      <c r="K6" s="31" t="s">
        <v>0</v>
      </c>
      <c r="L6" s="165" t="s">
        <v>182</v>
      </c>
      <c r="M6" s="169"/>
      <c r="N6" s="166"/>
    </row>
    <row r="7" spans="1:15" ht="22.2" thickTop="1" thickBot="1" x14ac:dyDescent="0.45"/>
    <row r="8" spans="1:15" s="31" customFormat="1" ht="27" customHeight="1" thickTop="1" thickBot="1" x14ac:dyDescent="0.3">
      <c r="A8" s="31" t="s">
        <v>43</v>
      </c>
      <c r="B8" s="165" t="e">
        <f>'التعليم المسرع'!#REF!+'التعليم المسرع'!#REF!</f>
        <v>#REF!</v>
      </c>
      <c r="C8" s="169"/>
      <c r="D8" s="166"/>
      <c r="F8" s="31" t="s">
        <v>3</v>
      </c>
      <c r="G8" s="165" t="e">
        <f>'التعليم المسرع'!#REF!</f>
        <v>#REF!</v>
      </c>
      <c r="H8" s="169"/>
      <c r="I8" s="166"/>
      <c r="K8" s="31" t="s">
        <v>4</v>
      </c>
      <c r="L8" s="165" t="e">
        <f>'التعليم المسرع'!#REF!</f>
        <v>#REF!</v>
      </c>
      <c r="M8" s="169"/>
      <c r="N8" s="166"/>
    </row>
    <row r="9" spans="1:15" ht="21.6" thickTop="1" x14ac:dyDescent="0.4"/>
    <row r="10" spans="1:15" ht="21.6" thickBot="1" x14ac:dyDescent="0.45"/>
    <row r="11" spans="1:15" s="31" customFormat="1" ht="27" customHeight="1" thickTop="1" thickBot="1" x14ac:dyDescent="0.3">
      <c r="B11" s="165" t="s">
        <v>5</v>
      </c>
      <c r="C11" s="166"/>
      <c r="F11" s="165" t="s">
        <v>6</v>
      </c>
      <c r="G11" s="169"/>
      <c r="H11" s="166"/>
      <c r="K11" s="165" t="s">
        <v>7</v>
      </c>
      <c r="L11" s="169"/>
      <c r="M11" s="166"/>
    </row>
    <row r="12" spans="1:15" ht="22.2" thickTop="1" thickBot="1" x14ac:dyDescent="0.45">
      <c r="B12" s="10" t="s">
        <v>8</v>
      </c>
      <c r="C12" s="11" t="s">
        <v>9</v>
      </c>
      <c r="F12" s="12" t="s">
        <v>10</v>
      </c>
      <c r="G12" s="13" t="s">
        <v>11</v>
      </c>
      <c r="H12" s="14" t="s">
        <v>12</v>
      </c>
      <c r="K12" s="10" t="s">
        <v>13</v>
      </c>
      <c r="L12" s="15" t="s">
        <v>14</v>
      </c>
      <c r="M12" s="11" t="s">
        <v>15</v>
      </c>
    </row>
    <row r="13" spans="1:15" ht="22.2" thickTop="1" thickBot="1" x14ac:dyDescent="0.45">
      <c r="B13" s="16" t="e">
        <f>'التعليم المسرع'!#REF!</f>
        <v>#REF!</v>
      </c>
      <c r="C13" s="17" t="e">
        <f>'التعليم المسرع'!#REF!</f>
        <v>#REF!</v>
      </c>
      <c r="F13" s="18" t="e">
        <f>'التعليم المسرع'!#REF!</f>
        <v>#REF!</v>
      </c>
      <c r="G13" s="19" t="e">
        <f>'التعليم المسرع'!#REF!</f>
        <v>#REF!</v>
      </c>
      <c r="H13" s="20" t="e">
        <f>'التعليم المسرع'!#REF!</f>
        <v>#REF!</v>
      </c>
      <c r="K13" s="16" t="e">
        <f>'التعليم المسرع'!#REF!</f>
        <v>#REF!</v>
      </c>
      <c r="L13" s="21" t="e">
        <f>'التعليم المسرع'!#REF!</f>
        <v>#REF!</v>
      </c>
      <c r="M13" s="17" t="e">
        <f>SUM(K13:L13)</f>
        <v>#REF!</v>
      </c>
    </row>
    <row r="14" spans="1:15" ht="21.6" thickTop="1" x14ac:dyDescent="0.4"/>
    <row r="15" spans="1:15" ht="21.6" thickBot="1" x14ac:dyDescent="0.45"/>
    <row r="16" spans="1:15" s="31" customFormat="1" ht="33.75" customHeight="1" thickTop="1" thickBot="1" x14ac:dyDescent="0.3">
      <c r="B16" s="165" t="s">
        <v>20</v>
      </c>
      <c r="C16" s="169"/>
      <c r="D16" s="169"/>
      <c r="E16" s="169"/>
      <c r="F16" s="169"/>
      <c r="G16" s="166"/>
      <c r="I16" s="252" t="s">
        <v>30</v>
      </c>
      <c r="J16" s="253"/>
      <c r="K16" s="253"/>
      <c r="L16" s="253"/>
      <c r="M16" s="253"/>
      <c r="N16" s="168"/>
    </row>
    <row r="17" spans="2:14" ht="29.25" customHeight="1" thickTop="1" thickBot="1" x14ac:dyDescent="0.45">
      <c r="B17" s="22" t="s">
        <v>16</v>
      </c>
      <c r="C17" s="23" t="s">
        <v>10</v>
      </c>
      <c r="D17" s="23" t="s">
        <v>11</v>
      </c>
      <c r="E17" s="23" t="s">
        <v>12</v>
      </c>
      <c r="F17" s="167" t="s">
        <v>15</v>
      </c>
      <c r="G17" s="168"/>
      <c r="I17" s="190" t="s">
        <v>31</v>
      </c>
      <c r="J17" s="189" t="s">
        <v>44</v>
      </c>
      <c r="K17" s="189" t="s">
        <v>45</v>
      </c>
      <c r="L17" s="189" t="s">
        <v>46</v>
      </c>
      <c r="M17" s="189" t="s">
        <v>247</v>
      </c>
      <c r="N17" s="192" t="s">
        <v>47</v>
      </c>
    </row>
    <row r="18" spans="2:14" ht="22.2" thickTop="1" thickBot="1" x14ac:dyDescent="0.45">
      <c r="B18" s="170" t="s">
        <v>17</v>
      </c>
      <c r="C18" s="170" t="e">
        <f>'التعليم المسرع'!#REF!</f>
        <v>#REF!</v>
      </c>
      <c r="D18" s="170" t="e">
        <f>'التعليم المسرع'!#REF!</f>
        <v>#REF!</v>
      </c>
      <c r="E18" s="170" t="e">
        <f>'التعليم المسرع'!#REF!</f>
        <v>#REF!</v>
      </c>
      <c r="F18" s="172" t="e">
        <f>C18+D18+E18</f>
        <v>#REF!</v>
      </c>
      <c r="G18" s="173"/>
      <c r="I18" s="190"/>
      <c r="J18" s="189"/>
      <c r="K18" s="189"/>
      <c r="L18" s="189"/>
      <c r="M18" s="189"/>
      <c r="N18" s="192"/>
    </row>
    <row r="19" spans="2:14" ht="22.2" thickTop="1" thickBot="1" x14ac:dyDescent="0.45">
      <c r="B19" s="171"/>
      <c r="C19" s="171"/>
      <c r="D19" s="171"/>
      <c r="E19" s="171"/>
      <c r="F19" s="174"/>
      <c r="G19" s="175"/>
      <c r="I19" s="190" t="s">
        <v>13</v>
      </c>
      <c r="J19" s="189" t="e">
        <f>'التعليم المسرع'!#REF!</f>
        <v>#REF!</v>
      </c>
      <c r="K19" s="189" t="e">
        <f>'التعليم المسرع'!#REF!</f>
        <v>#REF!</v>
      </c>
      <c r="L19" s="189" t="e">
        <f>'التعليم المسرع'!#REF!</f>
        <v>#REF!</v>
      </c>
      <c r="M19" s="189" t="e">
        <f>'التعليم المسرع'!#REF!</f>
        <v>#REF!</v>
      </c>
      <c r="N19" s="192" t="e">
        <f>SUM(J19:M20)</f>
        <v>#REF!</v>
      </c>
    </row>
    <row r="20" spans="2:14" ht="22.2" thickTop="1" thickBot="1" x14ac:dyDescent="0.45">
      <c r="B20" s="170" t="s">
        <v>18</v>
      </c>
      <c r="C20" s="170" t="e">
        <f>'التعليم المسرع'!#REF!</f>
        <v>#REF!</v>
      </c>
      <c r="D20" s="170" t="e">
        <f>'التعليم المسرع'!#REF!</f>
        <v>#REF!</v>
      </c>
      <c r="E20" s="170" t="e">
        <f>'التعليم المسرع'!#REF!</f>
        <v>#REF!</v>
      </c>
      <c r="F20" s="172" t="e">
        <f t="shared" ref="F20" si="0">C20+D20+E20</f>
        <v>#REF!</v>
      </c>
      <c r="G20" s="173"/>
      <c r="I20" s="190"/>
      <c r="J20" s="189"/>
      <c r="K20" s="189"/>
      <c r="L20" s="189"/>
      <c r="M20" s="189"/>
      <c r="N20" s="192"/>
    </row>
    <row r="21" spans="2:14" ht="22.2" thickTop="1" thickBot="1" x14ac:dyDescent="0.45">
      <c r="B21" s="171"/>
      <c r="C21" s="171"/>
      <c r="D21" s="171"/>
      <c r="E21" s="171"/>
      <c r="F21" s="174"/>
      <c r="G21" s="175"/>
      <c r="I21" s="190" t="s">
        <v>14</v>
      </c>
      <c r="J21" s="189" t="e">
        <f>'التعليم المسرع'!#REF!</f>
        <v>#REF!</v>
      </c>
      <c r="K21" s="189" t="e">
        <f>'التعليم المسرع'!#REF!</f>
        <v>#REF!</v>
      </c>
      <c r="L21" s="189" t="e">
        <f>'التعليم المسرع'!#REF!</f>
        <v>#REF!</v>
      </c>
      <c r="M21" s="189" t="e">
        <f>'التعليم المسرع'!#REF!</f>
        <v>#REF!</v>
      </c>
      <c r="N21" s="192" t="e">
        <f>SUM(J21:M22)</f>
        <v>#REF!</v>
      </c>
    </row>
    <row r="22" spans="2:14" ht="22.2" thickTop="1" thickBot="1" x14ac:dyDescent="0.45">
      <c r="B22" s="170" t="s">
        <v>19</v>
      </c>
      <c r="C22" s="170" t="e">
        <f>'التعليم المسرع'!#REF!</f>
        <v>#REF!</v>
      </c>
      <c r="D22" s="170" t="e">
        <f>'التعليم المسرع'!#REF!</f>
        <v>#REF!</v>
      </c>
      <c r="E22" s="170" t="e">
        <f>'التعليم المسرع'!#REF!</f>
        <v>#REF!</v>
      </c>
      <c r="F22" s="172" t="e">
        <f t="shared" ref="F22" si="1">C22+D22+E22</f>
        <v>#REF!</v>
      </c>
      <c r="G22" s="173"/>
      <c r="I22" s="190"/>
      <c r="J22" s="189"/>
      <c r="K22" s="189"/>
      <c r="L22" s="189"/>
      <c r="M22" s="189"/>
      <c r="N22" s="192"/>
    </row>
    <row r="23" spans="2:14" ht="22.2" thickTop="1" thickBot="1" x14ac:dyDescent="0.45">
      <c r="B23" s="171"/>
      <c r="C23" s="171"/>
      <c r="D23" s="171"/>
      <c r="E23" s="171"/>
      <c r="F23" s="174"/>
      <c r="G23" s="175"/>
      <c r="I23" s="190" t="s">
        <v>15</v>
      </c>
      <c r="J23" s="189" t="e">
        <f>J19+J21</f>
        <v>#REF!</v>
      </c>
      <c r="K23" s="189" t="e">
        <f t="shared" ref="K23:N23" si="2">K19+K21</f>
        <v>#REF!</v>
      </c>
      <c r="L23" s="189" t="e">
        <f t="shared" si="2"/>
        <v>#REF!</v>
      </c>
      <c r="M23" s="189" t="e">
        <f t="shared" ref="M23" si="3">M19+M21</f>
        <v>#REF!</v>
      </c>
      <c r="N23" s="192" t="e">
        <f t="shared" si="2"/>
        <v>#REF!</v>
      </c>
    </row>
    <row r="24" spans="2:14" ht="36.75" customHeight="1" thickTop="1" thickBot="1" x14ac:dyDescent="0.45">
      <c r="B24" s="24" t="s">
        <v>15</v>
      </c>
      <c r="C24" s="25" t="e">
        <f>SUM(C18:C23)</f>
        <v>#REF!</v>
      </c>
      <c r="D24" s="25" t="e">
        <f>SUM(D18:D23)</f>
        <v>#REF!</v>
      </c>
      <c r="E24" s="25" t="e">
        <f>SUM(E18:E23)</f>
        <v>#REF!</v>
      </c>
      <c r="F24" s="185" t="e">
        <f>C24+D24+E24</f>
        <v>#REF!</v>
      </c>
      <c r="G24" s="166"/>
      <c r="I24" s="193"/>
      <c r="J24" s="191"/>
      <c r="K24" s="191"/>
      <c r="L24" s="191"/>
      <c r="M24" s="191"/>
      <c r="N24" s="208"/>
    </row>
    <row r="25" spans="2:14" ht="23.25" customHeight="1" thickTop="1" x14ac:dyDescent="0.4"/>
    <row r="26" spans="2:14" ht="20.25" customHeight="1" thickBot="1" x14ac:dyDescent="0.45">
      <c r="B26" s="27"/>
      <c r="C26" s="27"/>
      <c r="D26" s="27"/>
      <c r="E26" s="27"/>
    </row>
    <row r="27" spans="2:14" ht="35.25" customHeight="1" thickTop="1" thickBot="1" x14ac:dyDescent="0.45">
      <c r="B27" s="194" t="s">
        <v>39</v>
      </c>
      <c r="C27" s="195"/>
      <c r="D27" s="195"/>
      <c r="E27" s="195"/>
      <c r="F27" s="195"/>
      <c r="G27" s="195"/>
      <c r="H27" s="195"/>
      <c r="I27" s="195"/>
      <c r="J27" s="195"/>
      <c r="K27" s="196"/>
      <c r="L27" s="26"/>
      <c r="M27" s="26"/>
    </row>
    <row r="28" spans="2:14" ht="45" customHeight="1" thickTop="1" thickBot="1" x14ac:dyDescent="0.45">
      <c r="B28" s="213" t="s">
        <v>40</v>
      </c>
      <c r="C28" s="207" t="s">
        <v>32</v>
      </c>
      <c r="D28" s="207" t="s">
        <v>33</v>
      </c>
      <c r="E28" s="207" t="s">
        <v>34</v>
      </c>
      <c r="F28" s="207" t="s">
        <v>35</v>
      </c>
      <c r="G28" s="207" t="s">
        <v>36</v>
      </c>
      <c r="H28" s="207" t="s">
        <v>37</v>
      </c>
      <c r="I28" s="207" t="s">
        <v>38</v>
      </c>
      <c r="J28" s="189" t="s">
        <v>15</v>
      </c>
      <c r="K28" s="192"/>
      <c r="L28" s="26"/>
      <c r="M28" s="26"/>
    </row>
    <row r="29" spans="2:14" ht="54" customHeight="1" thickTop="1" thickBot="1" x14ac:dyDescent="0.45">
      <c r="B29" s="213"/>
      <c r="C29" s="207"/>
      <c r="D29" s="207"/>
      <c r="E29" s="207"/>
      <c r="F29" s="207"/>
      <c r="G29" s="207"/>
      <c r="H29" s="207"/>
      <c r="I29" s="207"/>
      <c r="J29" s="189"/>
      <c r="K29" s="192"/>
      <c r="L29" s="26"/>
      <c r="M29" s="26"/>
    </row>
    <row r="30" spans="2:14" ht="22.2" thickTop="1" thickBot="1" x14ac:dyDescent="0.45">
      <c r="B30" s="190" t="s">
        <v>13</v>
      </c>
      <c r="C30" s="189" t="e">
        <f>'التعليم المسرع'!#REF!</f>
        <v>#REF!</v>
      </c>
      <c r="D30" s="189" t="e">
        <f>'التعليم المسرع'!#REF!</f>
        <v>#REF!</v>
      </c>
      <c r="E30" s="189" t="e">
        <f>'التعليم المسرع'!#REF!</f>
        <v>#REF!</v>
      </c>
      <c r="F30" s="189" t="e">
        <f>'التعليم المسرع'!#REF!</f>
        <v>#REF!</v>
      </c>
      <c r="G30" s="189" t="e">
        <f>'التعليم المسرع'!#REF!</f>
        <v>#REF!</v>
      </c>
      <c r="H30" s="189" t="e">
        <f>'التعليم المسرع'!#REF!</f>
        <v>#REF!</v>
      </c>
      <c r="I30" s="189" t="e">
        <f>'التعليم المسرع'!#REF!</f>
        <v>#REF!</v>
      </c>
      <c r="J30" s="189" t="e">
        <f>I30+H30+G30+F30+E30+D30+C30</f>
        <v>#REF!</v>
      </c>
      <c r="K30" s="192"/>
      <c r="L30" s="26"/>
      <c r="M30" s="26"/>
    </row>
    <row r="31" spans="2:14" ht="22.2" thickTop="1" thickBot="1" x14ac:dyDescent="0.45">
      <c r="B31" s="190"/>
      <c r="C31" s="189"/>
      <c r="D31" s="189"/>
      <c r="E31" s="189"/>
      <c r="F31" s="189"/>
      <c r="G31" s="189"/>
      <c r="H31" s="189"/>
      <c r="I31" s="189"/>
      <c r="J31" s="189"/>
      <c r="K31" s="192"/>
      <c r="L31" s="26"/>
      <c r="M31" s="26"/>
    </row>
    <row r="32" spans="2:14" ht="22.2" thickTop="1" thickBot="1" x14ac:dyDescent="0.45">
      <c r="B32" s="190" t="s">
        <v>14</v>
      </c>
      <c r="C32" s="189" t="e">
        <f>'التعليم المسرع'!#REF!</f>
        <v>#REF!</v>
      </c>
      <c r="D32" s="189" t="e">
        <f>'التعليم المسرع'!#REF!</f>
        <v>#REF!</v>
      </c>
      <c r="E32" s="189" t="e">
        <f>'التعليم المسرع'!#REF!</f>
        <v>#REF!</v>
      </c>
      <c r="F32" s="189" t="e">
        <f>'التعليم المسرع'!#REF!</f>
        <v>#REF!</v>
      </c>
      <c r="G32" s="189" t="e">
        <f>'التعليم المسرع'!#REF!</f>
        <v>#REF!</v>
      </c>
      <c r="H32" s="189" t="e">
        <f>'التعليم المسرع'!#REF!</f>
        <v>#REF!</v>
      </c>
      <c r="I32" s="189" t="e">
        <f>'التعليم المسرع'!#REF!</f>
        <v>#REF!</v>
      </c>
      <c r="J32" s="189" t="e">
        <f t="shared" ref="J32" si="4">I32+H32+G32+F32+E32+D32+C32</f>
        <v>#REF!</v>
      </c>
      <c r="K32" s="192"/>
      <c r="L32" s="26"/>
      <c r="M32" s="26"/>
    </row>
    <row r="33" spans="1:17" ht="22.2" thickTop="1" thickBot="1" x14ac:dyDescent="0.45">
      <c r="B33" s="190"/>
      <c r="C33" s="189"/>
      <c r="D33" s="189"/>
      <c r="E33" s="189"/>
      <c r="F33" s="189"/>
      <c r="G33" s="189"/>
      <c r="H33" s="189"/>
      <c r="I33" s="189"/>
      <c r="J33" s="189"/>
      <c r="K33" s="192"/>
      <c r="L33" s="26"/>
      <c r="M33" s="26"/>
    </row>
    <row r="34" spans="1:17" ht="22.2" thickTop="1" thickBot="1" x14ac:dyDescent="0.45">
      <c r="B34" s="190" t="s">
        <v>15</v>
      </c>
      <c r="C34" s="189" t="e">
        <f>C30+C32</f>
        <v>#REF!</v>
      </c>
      <c r="D34" s="189" t="e">
        <f t="shared" ref="D34:I34" si="5">D30+D32</f>
        <v>#REF!</v>
      </c>
      <c r="E34" s="189" t="e">
        <f t="shared" si="5"/>
        <v>#REF!</v>
      </c>
      <c r="F34" s="189" t="e">
        <f t="shared" si="5"/>
        <v>#REF!</v>
      </c>
      <c r="G34" s="189" t="e">
        <f t="shared" si="5"/>
        <v>#REF!</v>
      </c>
      <c r="H34" s="189" t="e">
        <f t="shared" si="5"/>
        <v>#REF!</v>
      </c>
      <c r="I34" s="189" t="e">
        <f t="shared" si="5"/>
        <v>#REF!</v>
      </c>
      <c r="J34" s="189" t="e">
        <f t="shared" ref="J34" si="6">I34+H34+G34+F34+E34+D34+C34</f>
        <v>#REF!</v>
      </c>
      <c r="K34" s="192"/>
      <c r="L34" s="26"/>
      <c r="M34" s="26"/>
    </row>
    <row r="35" spans="1:17" ht="22.2" thickTop="1" thickBot="1" x14ac:dyDescent="0.45">
      <c r="B35" s="193"/>
      <c r="C35" s="191"/>
      <c r="D35" s="191"/>
      <c r="E35" s="191"/>
      <c r="F35" s="191"/>
      <c r="G35" s="191"/>
      <c r="H35" s="191"/>
      <c r="I35" s="191"/>
      <c r="J35" s="191"/>
      <c r="K35" s="208"/>
      <c r="L35" s="26"/>
      <c r="M35" s="26"/>
    </row>
    <row r="36" spans="1:17" ht="28.5" customHeight="1" thickTop="1" x14ac:dyDescent="0.4">
      <c r="A36" s="181" t="s">
        <v>55</v>
      </c>
      <c r="B36" s="181"/>
      <c r="C36" s="181"/>
    </row>
    <row r="37" spans="1:17" ht="26.25" customHeight="1" x14ac:dyDescent="0.4">
      <c r="A37" s="181" t="s">
        <v>56</v>
      </c>
      <c r="B37" s="181"/>
      <c r="C37" s="181"/>
      <c r="D37" s="181"/>
      <c r="K37" s="9" t="s">
        <v>172</v>
      </c>
    </row>
    <row r="38" spans="1:17" x14ac:dyDescent="0.4">
      <c r="D38" s="9" t="s">
        <v>52</v>
      </c>
    </row>
    <row r="39" spans="1:17" ht="21.6" thickBot="1" x14ac:dyDescent="0.45"/>
    <row r="40" spans="1:17" ht="35.25" customHeight="1" thickTop="1" thickBot="1" x14ac:dyDescent="0.45">
      <c r="B40" s="203" t="s">
        <v>28</v>
      </c>
      <c r="C40" s="185" t="s">
        <v>17</v>
      </c>
      <c r="D40" s="229"/>
      <c r="E40" s="185" t="s">
        <v>18</v>
      </c>
      <c r="F40" s="229"/>
      <c r="G40" s="185" t="s">
        <v>19</v>
      </c>
      <c r="H40" s="229"/>
      <c r="I40" s="185" t="s">
        <v>29</v>
      </c>
      <c r="J40" s="169"/>
      <c r="K40" s="229"/>
      <c r="L40" s="26"/>
      <c r="M40" s="26"/>
      <c r="N40" s="26"/>
    </row>
    <row r="41" spans="1:17" ht="33.75" customHeight="1" thickTop="1" thickBot="1" x14ac:dyDescent="0.45">
      <c r="B41" s="197"/>
      <c r="C41" s="44" t="s">
        <v>10</v>
      </c>
      <c r="D41" s="44" t="s">
        <v>11</v>
      </c>
      <c r="E41" s="44" t="s">
        <v>10</v>
      </c>
      <c r="F41" s="44" t="s">
        <v>11</v>
      </c>
      <c r="G41" s="44" t="s">
        <v>10</v>
      </c>
      <c r="H41" s="44" t="s">
        <v>11</v>
      </c>
      <c r="I41" s="44" t="s">
        <v>10</v>
      </c>
      <c r="J41" s="44" t="s">
        <v>11</v>
      </c>
      <c r="K41" s="44" t="s">
        <v>15</v>
      </c>
      <c r="L41" s="26"/>
      <c r="M41" s="26"/>
      <c r="N41" s="26"/>
    </row>
    <row r="42" spans="1:17" ht="21.6" thickTop="1" x14ac:dyDescent="0.4">
      <c r="B42" s="203" t="s">
        <v>21</v>
      </c>
      <c r="C42" s="203" t="e">
        <f>'التعليم المسرع'!#REF!</f>
        <v>#REF!</v>
      </c>
      <c r="D42" s="203" t="e">
        <f>'التعليم المسرع'!#REF!</f>
        <v>#REF!</v>
      </c>
      <c r="E42" s="203" t="e">
        <f>'التعليم المسرع'!#REF!</f>
        <v>#REF!</v>
      </c>
      <c r="F42" s="203" t="e">
        <f>'التعليم المسرع'!#REF!</f>
        <v>#REF!</v>
      </c>
      <c r="G42" s="203" t="e">
        <f>'التعليم المسرع'!#REF!</f>
        <v>#REF!</v>
      </c>
      <c r="H42" s="203" t="e">
        <f>'التعليم المسرع'!#REF!</f>
        <v>#REF!</v>
      </c>
      <c r="I42" s="203" t="e">
        <f>C42+E42+G42</f>
        <v>#REF!</v>
      </c>
      <c r="J42" s="203" t="e">
        <f>D42+F42+H42</f>
        <v>#REF!</v>
      </c>
      <c r="K42" s="203" t="e">
        <f>SUM(I42:J42)</f>
        <v>#REF!</v>
      </c>
      <c r="L42" s="26"/>
      <c r="M42" s="26"/>
      <c r="N42" s="26"/>
    </row>
    <row r="43" spans="1:17" ht="21.6" thickBot="1" x14ac:dyDescent="0.45">
      <c r="B43" s="197"/>
      <c r="C43" s="197"/>
      <c r="D43" s="197"/>
      <c r="E43" s="197"/>
      <c r="F43" s="197"/>
      <c r="G43" s="197"/>
      <c r="H43" s="197"/>
      <c r="I43" s="197"/>
      <c r="J43" s="197"/>
      <c r="K43" s="197"/>
      <c r="L43" s="26"/>
      <c r="M43" s="26"/>
      <c r="N43" s="26"/>
    </row>
    <row r="44" spans="1:17" ht="21.6" thickTop="1" x14ac:dyDescent="0.4">
      <c r="B44" s="203" t="s">
        <v>22</v>
      </c>
      <c r="C44" s="203" t="e">
        <f>'التعليم المسرع'!#REF!</f>
        <v>#REF!</v>
      </c>
      <c r="D44" s="203" t="e">
        <f>'التعليم المسرع'!#REF!</f>
        <v>#REF!</v>
      </c>
      <c r="E44" s="228" t="e">
        <f>'التعليم المسرع'!#REF!</f>
        <v>#REF!</v>
      </c>
      <c r="F44" s="228" t="e">
        <f>'التعليم المسرع'!#REF!</f>
        <v>#REF!</v>
      </c>
      <c r="G44" s="203" t="e">
        <f>'التعليم المسرع'!#REF!</f>
        <v>#REF!</v>
      </c>
      <c r="H44" s="203" t="e">
        <f>'التعليم المسرع'!#REF!</f>
        <v>#REF!</v>
      </c>
      <c r="I44" s="203" t="e">
        <f t="shared" ref="I44:J44" si="7">C44+E44+G44</f>
        <v>#REF!</v>
      </c>
      <c r="J44" s="203" t="e">
        <f t="shared" si="7"/>
        <v>#REF!</v>
      </c>
      <c r="K44" s="203" t="e">
        <f t="shared" ref="K44" si="8">SUM(I44:J44)</f>
        <v>#REF!</v>
      </c>
      <c r="L44" s="26"/>
      <c r="M44" s="26"/>
      <c r="N44" s="26"/>
    </row>
    <row r="45" spans="1:17" ht="21.6" thickBot="1" x14ac:dyDescent="0.45">
      <c r="B45" s="197"/>
      <c r="C45" s="197"/>
      <c r="D45" s="197"/>
      <c r="E45" s="198"/>
      <c r="F45" s="198"/>
      <c r="G45" s="197"/>
      <c r="H45" s="197"/>
      <c r="I45" s="197"/>
      <c r="J45" s="197"/>
      <c r="K45" s="197"/>
      <c r="L45" s="26"/>
      <c r="M45" s="26"/>
      <c r="N45" s="26"/>
    </row>
    <row r="46" spans="1:17" ht="21.6" thickTop="1" x14ac:dyDescent="0.4">
      <c r="B46" s="203" t="s">
        <v>23</v>
      </c>
      <c r="C46" s="203" t="e">
        <f>'التعليم المسرع'!#REF!</f>
        <v>#REF!</v>
      </c>
      <c r="D46" s="203" t="e">
        <f>'التعليم المسرع'!#REF!</f>
        <v>#REF!</v>
      </c>
      <c r="E46" s="228" t="e">
        <f>'التعليم المسرع'!#REF!</f>
        <v>#REF!</v>
      </c>
      <c r="F46" s="228" t="e">
        <f>'التعليم المسرع'!#REF!</f>
        <v>#REF!</v>
      </c>
      <c r="G46" s="203" t="e">
        <f>'التعليم المسرع'!#REF!</f>
        <v>#REF!</v>
      </c>
      <c r="H46" s="203" t="e">
        <f>'التعليم المسرع'!#REF!</f>
        <v>#REF!</v>
      </c>
      <c r="I46" s="203" t="e">
        <f t="shared" ref="I46:J46" si="9">C46+E46+G46</f>
        <v>#REF!</v>
      </c>
      <c r="J46" s="203" t="e">
        <f t="shared" si="9"/>
        <v>#REF!</v>
      </c>
      <c r="K46" s="203" t="e">
        <f t="shared" ref="K46" si="10">SUM(I46:J46)</f>
        <v>#REF!</v>
      </c>
      <c r="L46" s="26"/>
      <c r="M46" s="26"/>
      <c r="N46" s="26"/>
    </row>
    <row r="47" spans="1:17" ht="21.6" thickBot="1" x14ac:dyDescent="0.45">
      <c r="B47" s="197"/>
      <c r="C47" s="197"/>
      <c r="D47" s="197"/>
      <c r="E47" s="198"/>
      <c r="F47" s="198"/>
      <c r="G47" s="197"/>
      <c r="H47" s="197"/>
      <c r="I47" s="197"/>
      <c r="J47" s="197"/>
      <c r="K47" s="197"/>
      <c r="L47" s="26"/>
      <c r="M47" s="26"/>
      <c r="N47" s="26"/>
    </row>
    <row r="48" spans="1:17" ht="21.6" thickTop="1" x14ac:dyDescent="0.4">
      <c r="B48" s="203" t="s">
        <v>24</v>
      </c>
      <c r="C48" s="203" t="e">
        <f>'التعليم المسرع'!#REF!</f>
        <v>#REF!</v>
      </c>
      <c r="D48" s="203" t="e">
        <f>'التعليم المسرع'!#REF!</f>
        <v>#REF!</v>
      </c>
      <c r="E48" s="228" t="e">
        <f>'التعليم المسرع'!#REF!</f>
        <v>#REF!</v>
      </c>
      <c r="F48" s="228" t="e">
        <f>'التعليم المسرع'!#REF!</f>
        <v>#REF!</v>
      </c>
      <c r="G48" s="203" t="e">
        <f>'التعليم المسرع'!#REF!</f>
        <v>#REF!</v>
      </c>
      <c r="H48" s="203" t="e">
        <f>'التعليم المسرع'!#REF!</f>
        <v>#REF!</v>
      </c>
      <c r="I48" s="203" t="e">
        <f t="shared" ref="I48:J48" si="11">C48+E48+G48</f>
        <v>#REF!</v>
      </c>
      <c r="J48" s="203" t="e">
        <f t="shared" si="11"/>
        <v>#REF!</v>
      </c>
      <c r="K48" s="203" t="e">
        <f t="shared" ref="K48" si="12">SUM(I48:J48)</f>
        <v>#REF!</v>
      </c>
      <c r="L48" s="26"/>
      <c r="M48" s="26"/>
      <c r="N48" s="26"/>
      <c r="O48" s="26"/>
      <c r="P48" s="26"/>
      <c r="Q48" s="26"/>
    </row>
    <row r="49" spans="1:17" ht="21.6" thickBot="1" x14ac:dyDescent="0.45">
      <c r="B49" s="197"/>
      <c r="C49" s="197"/>
      <c r="D49" s="197"/>
      <c r="E49" s="198"/>
      <c r="F49" s="198"/>
      <c r="G49" s="197"/>
      <c r="H49" s="197"/>
      <c r="I49" s="197"/>
      <c r="J49" s="197"/>
      <c r="K49" s="197"/>
      <c r="L49" s="26"/>
      <c r="M49" s="26"/>
      <c r="N49" s="26"/>
      <c r="O49" s="26"/>
      <c r="P49" s="26"/>
      <c r="Q49" s="26"/>
    </row>
    <row r="50" spans="1:17" ht="21.6" thickTop="1" x14ac:dyDescent="0.4">
      <c r="B50" s="203" t="s">
        <v>25</v>
      </c>
      <c r="C50" s="203" t="e">
        <f>'التعليم المسرع'!#REF!</f>
        <v>#REF!</v>
      </c>
      <c r="D50" s="203" t="e">
        <f>'التعليم المسرع'!#REF!</f>
        <v>#REF!</v>
      </c>
      <c r="E50" s="228" t="e">
        <f>'التعليم المسرع'!#REF!</f>
        <v>#REF!</v>
      </c>
      <c r="F50" s="228" t="e">
        <f>'التعليم المسرع'!#REF!</f>
        <v>#REF!</v>
      </c>
      <c r="G50" s="203" t="e">
        <f>'التعليم المسرع'!#REF!</f>
        <v>#REF!</v>
      </c>
      <c r="H50" s="203" t="e">
        <f>'التعليم المسرع'!#REF!</f>
        <v>#REF!</v>
      </c>
      <c r="I50" s="203" t="e">
        <f t="shared" ref="I50:J50" si="13">C50+E50+G50</f>
        <v>#REF!</v>
      </c>
      <c r="J50" s="203" t="e">
        <f t="shared" si="13"/>
        <v>#REF!</v>
      </c>
      <c r="K50" s="203" t="e">
        <f t="shared" ref="K50" si="14">SUM(I50:J50)</f>
        <v>#REF!</v>
      </c>
      <c r="L50" s="26"/>
      <c r="M50" s="26"/>
      <c r="N50" s="26"/>
      <c r="O50" s="26"/>
      <c r="P50" s="26"/>
      <c r="Q50" s="26"/>
    </row>
    <row r="51" spans="1:17" ht="21.6" thickBot="1" x14ac:dyDescent="0.45">
      <c r="B51" s="197"/>
      <c r="C51" s="197"/>
      <c r="D51" s="197"/>
      <c r="E51" s="198"/>
      <c r="F51" s="198"/>
      <c r="G51" s="197"/>
      <c r="H51" s="197"/>
      <c r="I51" s="197"/>
      <c r="J51" s="197"/>
      <c r="K51" s="197"/>
      <c r="L51" s="26"/>
      <c r="M51" s="26"/>
      <c r="N51" s="26"/>
      <c r="O51" s="26"/>
      <c r="P51" s="26"/>
      <c r="Q51" s="26"/>
    </row>
    <row r="52" spans="1:17" ht="21.6" thickTop="1" x14ac:dyDescent="0.4">
      <c r="B52" s="203" t="s">
        <v>26</v>
      </c>
      <c r="C52" s="203" t="e">
        <f>'التعليم المسرع'!#REF!</f>
        <v>#REF!</v>
      </c>
      <c r="D52" s="203" t="e">
        <f>'التعليم المسرع'!#REF!</f>
        <v>#REF!</v>
      </c>
      <c r="E52" s="203" t="e">
        <f>'التعليم المسرع'!#REF!</f>
        <v>#REF!</v>
      </c>
      <c r="F52" s="203" t="e">
        <f>'التعليم المسرع'!#REF!</f>
        <v>#REF!</v>
      </c>
      <c r="G52" s="203" t="e">
        <f>'التعليم المسرع'!#REF!</f>
        <v>#REF!</v>
      </c>
      <c r="H52" s="203" t="e">
        <f>'التعليم المسرع'!#REF!</f>
        <v>#REF!</v>
      </c>
      <c r="I52" s="203" t="e">
        <f t="shared" ref="I52:J52" si="15">C52+E52+G52</f>
        <v>#REF!</v>
      </c>
      <c r="J52" s="203" t="e">
        <f t="shared" si="15"/>
        <v>#REF!</v>
      </c>
      <c r="K52" s="203" t="e">
        <f t="shared" ref="K52" si="16">SUM(I52:J52)</f>
        <v>#REF!</v>
      </c>
      <c r="L52" s="26"/>
      <c r="M52" s="26"/>
      <c r="N52" s="26"/>
      <c r="O52" s="26"/>
      <c r="P52" s="26"/>
      <c r="Q52" s="26"/>
    </row>
    <row r="53" spans="1:17" ht="21.6" thickBot="1" x14ac:dyDescent="0.45">
      <c r="B53" s="197"/>
      <c r="C53" s="197"/>
      <c r="D53" s="197"/>
      <c r="E53" s="197"/>
      <c r="F53" s="197"/>
      <c r="G53" s="197"/>
      <c r="H53" s="197"/>
      <c r="I53" s="197"/>
      <c r="J53" s="197"/>
      <c r="K53" s="197"/>
      <c r="M53" s="26"/>
      <c r="N53" s="26"/>
      <c r="O53" s="26"/>
      <c r="P53" s="26"/>
      <c r="Q53" s="26"/>
    </row>
    <row r="54" spans="1:17" ht="21.6" thickTop="1" x14ac:dyDescent="0.4">
      <c r="B54" s="203" t="s">
        <v>27</v>
      </c>
      <c r="C54" s="203" t="e">
        <f>'التعليم المسرع'!#REF!</f>
        <v>#REF!</v>
      </c>
      <c r="D54" s="203" t="e">
        <f>'التعليم المسرع'!#REF!</f>
        <v>#REF!</v>
      </c>
      <c r="E54" s="203" t="e">
        <f>'التعليم المسرع'!#REF!</f>
        <v>#REF!</v>
      </c>
      <c r="F54" s="203" t="e">
        <f>'التعليم المسرع'!#REF!</f>
        <v>#REF!</v>
      </c>
      <c r="G54" s="203" t="e">
        <f>'التعليم المسرع'!#REF!</f>
        <v>#REF!</v>
      </c>
      <c r="H54" s="203" t="e">
        <f>'التعليم المسرع'!#REF!</f>
        <v>#REF!</v>
      </c>
      <c r="I54" s="203" t="e">
        <f t="shared" ref="I54:J54" si="17">C54+E54+G54</f>
        <v>#REF!</v>
      </c>
      <c r="J54" s="203" t="e">
        <f t="shared" si="17"/>
        <v>#REF!</v>
      </c>
      <c r="K54" s="203" t="e">
        <f t="shared" ref="K54" si="18">SUM(I54:J54)</f>
        <v>#REF!</v>
      </c>
      <c r="M54" s="26"/>
      <c r="N54" s="26"/>
      <c r="O54" s="26"/>
      <c r="P54" s="26"/>
      <c r="Q54" s="26"/>
    </row>
    <row r="55" spans="1:17" ht="21.6" thickBot="1" x14ac:dyDescent="0.45">
      <c r="B55" s="197"/>
      <c r="C55" s="197"/>
      <c r="D55" s="197"/>
      <c r="E55" s="197"/>
      <c r="F55" s="197"/>
      <c r="G55" s="197"/>
      <c r="H55" s="197"/>
      <c r="I55" s="197"/>
      <c r="J55" s="197"/>
      <c r="K55" s="197"/>
      <c r="M55" s="26"/>
      <c r="N55" s="26"/>
      <c r="O55" s="26"/>
      <c r="P55" s="26"/>
      <c r="Q55" s="26"/>
    </row>
    <row r="56" spans="1:17" ht="21.6" thickTop="1" x14ac:dyDescent="0.4">
      <c r="B56" s="203" t="s">
        <v>15</v>
      </c>
      <c r="C56" s="203" t="e">
        <f t="shared" ref="C56:H56" si="19">C42+C44+C46+C48+C50+C52+C54</f>
        <v>#REF!</v>
      </c>
      <c r="D56" s="203" t="e">
        <f t="shared" si="19"/>
        <v>#REF!</v>
      </c>
      <c r="E56" s="203" t="e">
        <f t="shared" si="19"/>
        <v>#REF!</v>
      </c>
      <c r="F56" s="203" t="e">
        <f t="shared" si="19"/>
        <v>#REF!</v>
      </c>
      <c r="G56" s="203" t="e">
        <f t="shared" si="19"/>
        <v>#REF!</v>
      </c>
      <c r="H56" s="203" t="e">
        <f t="shared" si="19"/>
        <v>#REF!</v>
      </c>
      <c r="I56" s="203" t="e">
        <f>C56+E56+G56</f>
        <v>#REF!</v>
      </c>
      <c r="J56" s="203" t="e">
        <f t="shared" ref="J56" si="20">D56+F56+H56</f>
        <v>#REF!</v>
      </c>
      <c r="K56" s="203" t="e">
        <f t="shared" ref="K56" si="21">SUM(I56:J56)</f>
        <v>#REF!</v>
      </c>
      <c r="M56" s="26"/>
      <c r="N56" s="26"/>
      <c r="O56" s="26"/>
      <c r="P56" s="26"/>
      <c r="Q56" s="26"/>
    </row>
    <row r="57" spans="1:17" ht="21.6" thickBot="1" x14ac:dyDescent="0.45">
      <c r="B57" s="197"/>
      <c r="C57" s="197"/>
      <c r="D57" s="197"/>
      <c r="E57" s="197"/>
      <c r="F57" s="197"/>
      <c r="G57" s="197"/>
      <c r="H57" s="197"/>
      <c r="I57" s="197"/>
      <c r="J57" s="197"/>
      <c r="K57" s="197"/>
    </row>
    <row r="58" spans="1:17" ht="21.6" thickTop="1" x14ac:dyDescent="0.4"/>
    <row r="59" spans="1:17" ht="21.6" thickBot="1" x14ac:dyDescent="0.45"/>
    <row r="60" spans="1:17" ht="31.5" customHeight="1" thickTop="1" thickBot="1" x14ac:dyDescent="0.45">
      <c r="A60" s="194"/>
      <c r="B60" s="206" t="s">
        <v>267</v>
      </c>
      <c r="C60" s="206"/>
      <c r="D60" s="206"/>
      <c r="E60" s="206" t="s">
        <v>272</v>
      </c>
      <c r="F60" s="206"/>
      <c r="G60" s="206"/>
      <c r="H60" s="195" t="s">
        <v>273</v>
      </c>
      <c r="I60" s="195"/>
      <c r="J60" s="195"/>
      <c r="K60" s="195"/>
      <c r="L60" s="195"/>
      <c r="M60" s="195"/>
      <c r="N60" s="195" t="s">
        <v>15</v>
      </c>
      <c r="O60" s="195"/>
      <c r="P60" s="196"/>
    </row>
    <row r="61" spans="1:17" ht="31.5" customHeight="1" thickTop="1" thickBot="1" x14ac:dyDescent="0.45">
      <c r="A61" s="190"/>
      <c r="B61" s="207"/>
      <c r="C61" s="207"/>
      <c r="D61" s="207"/>
      <c r="E61" s="207"/>
      <c r="F61" s="207"/>
      <c r="G61" s="207"/>
      <c r="H61" s="189" t="s">
        <v>185</v>
      </c>
      <c r="I61" s="189"/>
      <c r="J61" s="189" t="s">
        <v>186</v>
      </c>
      <c r="K61" s="189"/>
      <c r="L61" s="189" t="s">
        <v>187</v>
      </c>
      <c r="M61" s="189"/>
      <c r="N61" s="189"/>
      <c r="O61" s="189"/>
      <c r="P61" s="192"/>
    </row>
    <row r="62" spans="1:17" ht="22.2" thickTop="1" thickBot="1" x14ac:dyDescent="0.45">
      <c r="A62" s="190"/>
      <c r="B62" s="189" t="s">
        <v>10</v>
      </c>
      <c r="C62" s="189" t="s">
        <v>11</v>
      </c>
      <c r="D62" s="189" t="s">
        <v>15</v>
      </c>
      <c r="E62" s="189" t="s">
        <v>10</v>
      </c>
      <c r="F62" s="189" t="s">
        <v>11</v>
      </c>
      <c r="G62" s="189" t="s">
        <v>15</v>
      </c>
      <c r="H62" s="189" t="s">
        <v>10</v>
      </c>
      <c r="I62" s="189" t="s">
        <v>11</v>
      </c>
      <c r="J62" s="189" t="s">
        <v>10</v>
      </c>
      <c r="K62" s="189" t="s">
        <v>11</v>
      </c>
      <c r="L62" s="189" t="s">
        <v>10</v>
      </c>
      <c r="M62" s="189" t="s">
        <v>11</v>
      </c>
      <c r="N62" s="189" t="s">
        <v>10</v>
      </c>
      <c r="O62" s="189" t="s">
        <v>11</v>
      </c>
      <c r="P62" s="192" t="s">
        <v>15</v>
      </c>
    </row>
    <row r="63" spans="1:17" ht="22.2" thickTop="1" thickBot="1" x14ac:dyDescent="0.45">
      <c r="A63" s="190"/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92"/>
    </row>
    <row r="64" spans="1:17" ht="22.2" thickTop="1" thickBot="1" x14ac:dyDescent="0.45">
      <c r="A64" s="190" t="s">
        <v>17</v>
      </c>
      <c r="B64" s="189" t="e">
        <f>'التعليم المسرع'!#REF!</f>
        <v>#REF!</v>
      </c>
      <c r="C64" s="189" t="e">
        <f>'التعليم المسرع'!#REF!</f>
        <v>#REF!</v>
      </c>
      <c r="D64" s="189" t="e">
        <f>C64+B64</f>
        <v>#REF!</v>
      </c>
      <c r="E64" s="189" t="e">
        <f>'التعليم المسرع'!#REF!</f>
        <v>#REF!</v>
      </c>
      <c r="F64" s="189" t="e">
        <f>'التعليم المسرع'!#REF!</f>
        <v>#REF!</v>
      </c>
      <c r="G64" s="189" t="e">
        <f t="shared" ref="G64" si="22">F64+E64</f>
        <v>#REF!</v>
      </c>
      <c r="H64" s="189" t="e">
        <f>'التعليم المسرع'!#REF!</f>
        <v>#REF!</v>
      </c>
      <c r="I64" s="189" t="e">
        <f>'التعليم المسرع'!#REF!</f>
        <v>#REF!</v>
      </c>
      <c r="J64" s="189" t="e">
        <f>'التعليم المسرع'!#REF!</f>
        <v>#REF!</v>
      </c>
      <c r="K64" s="189" t="e">
        <f>'التعليم المسرع'!#REF!</f>
        <v>#REF!</v>
      </c>
      <c r="L64" s="189" t="e">
        <f>'التعليم المسرع'!#REF!</f>
        <v>#REF!</v>
      </c>
      <c r="M64" s="189" t="e">
        <f>'التعليم المسرع'!#REF!</f>
        <v>#REF!</v>
      </c>
      <c r="N64" s="189" t="e">
        <f>L64+J64+H64</f>
        <v>#REF!</v>
      </c>
      <c r="O64" s="189" t="e">
        <f>M64+K64+I64</f>
        <v>#REF!</v>
      </c>
      <c r="P64" s="192" t="e">
        <f>O64+N64</f>
        <v>#REF!</v>
      </c>
    </row>
    <row r="65" spans="1:16" ht="22.2" thickTop="1" thickBot="1" x14ac:dyDescent="0.45">
      <c r="A65" s="190"/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92"/>
    </row>
    <row r="66" spans="1:16" ht="22.2" thickTop="1" thickBot="1" x14ac:dyDescent="0.45">
      <c r="A66" s="190" t="s">
        <v>18</v>
      </c>
      <c r="B66" s="189" t="e">
        <f>'التعليم المسرع'!#REF!</f>
        <v>#REF!</v>
      </c>
      <c r="C66" s="189" t="e">
        <f>'التعليم المسرع'!#REF!</f>
        <v>#REF!</v>
      </c>
      <c r="D66" s="189" t="e">
        <f t="shared" ref="D66" si="23">C66+B66</f>
        <v>#REF!</v>
      </c>
      <c r="E66" s="189" t="e">
        <f>'التعليم المسرع'!#REF!</f>
        <v>#REF!</v>
      </c>
      <c r="F66" s="189" t="e">
        <f>'التعليم المسرع'!#REF!</f>
        <v>#REF!</v>
      </c>
      <c r="G66" s="189" t="e">
        <f t="shared" ref="G66" si="24">F66+E66</f>
        <v>#REF!</v>
      </c>
      <c r="H66" s="189" t="e">
        <f>'التعليم المسرع'!#REF!</f>
        <v>#REF!</v>
      </c>
      <c r="I66" s="189" t="e">
        <f>'التعليم المسرع'!#REF!</f>
        <v>#REF!</v>
      </c>
      <c r="J66" s="189" t="e">
        <f>'التعليم المسرع'!#REF!</f>
        <v>#REF!</v>
      </c>
      <c r="K66" s="189" t="e">
        <f>'التعليم المسرع'!#REF!</f>
        <v>#REF!</v>
      </c>
      <c r="L66" s="189" t="e">
        <f>'التعليم المسرع'!#REF!</f>
        <v>#REF!</v>
      </c>
      <c r="M66" s="189" t="e">
        <f>'التعليم المسرع'!#REF!</f>
        <v>#REF!</v>
      </c>
      <c r="N66" s="189" t="e">
        <f t="shared" ref="N66" si="25">L66+J66+H66</f>
        <v>#REF!</v>
      </c>
      <c r="O66" s="189" t="e">
        <f t="shared" ref="O66" si="26">M66+K66+I66</f>
        <v>#REF!</v>
      </c>
      <c r="P66" s="192" t="e">
        <f t="shared" ref="P66" si="27">O66+N66</f>
        <v>#REF!</v>
      </c>
    </row>
    <row r="67" spans="1:16" ht="22.2" thickTop="1" thickBot="1" x14ac:dyDescent="0.45">
      <c r="A67" s="190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92"/>
    </row>
    <row r="68" spans="1:16" ht="22.2" thickTop="1" thickBot="1" x14ac:dyDescent="0.45">
      <c r="A68" s="190" t="s">
        <v>19</v>
      </c>
      <c r="B68" s="189" t="e">
        <f>'التعليم المسرع'!#REF!</f>
        <v>#REF!</v>
      </c>
      <c r="C68" s="189" t="e">
        <f>'التعليم المسرع'!#REF!</f>
        <v>#REF!</v>
      </c>
      <c r="D68" s="189" t="e">
        <f t="shared" ref="D68" si="28">C68+B68</f>
        <v>#REF!</v>
      </c>
      <c r="E68" s="189" t="e">
        <f>'التعليم المسرع'!#REF!</f>
        <v>#REF!</v>
      </c>
      <c r="F68" s="189" t="e">
        <f>'التعليم المسرع'!#REF!</f>
        <v>#REF!</v>
      </c>
      <c r="G68" s="189" t="e">
        <f t="shared" ref="G68" si="29">F68+E68</f>
        <v>#REF!</v>
      </c>
      <c r="H68" s="189" t="e">
        <f>'التعليم المسرع'!#REF!</f>
        <v>#REF!</v>
      </c>
      <c r="I68" s="189" t="e">
        <f>'التعليم المسرع'!#REF!</f>
        <v>#REF!</v>
      </c>
      <c r="J68" s="189" t="e">
        <f>'التعليم المسرع'!#REF!</f>
        <v>#REF!</v>
      </c>
      <c r="K68" s="189" t="e">
        <f>'التعليم المسرع'!#REF!</f>
        <v>#REF!</v>
      </c>
      <c r="L68" s="189" t="e">
        <f>'التعليم المسرع'!#REF!</f>
        <v>#REF!</v>
      </c>
      <c r="M68" s="189" t="e">
        <f>'التعليم المسرع'!#REF!</f>
        <v>#REF!</v>
      </c>
      <c r="N68" s="189" t="e">
        <f t="shared" ref="N68" si="30">L68+J68+H68</f>
        <v>#REF!</v>
      </c>
      <c r="O68" s="189" t="e">
        <f t="shared" ref="O68" si="31">M68+K68+I68</f>
        <v>#REF!</v>
      </c>
      <c r="P68" s="192" t="e">
        <f t="shared" ref="P68" si="32">O68+N68</f>
        <v>#REF!</v>
      </c>
    </row>
    <row r="69" spans="1:16" ht="22.2" thickTop="1" thickBot="1" x14ac:dyDescent="0.45">
      <c r="A69" s="193"/>
      <c r="B69" s="191"/>
      <c r="C69" s="191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208"/>
    </row>
    <row r="70" spans="1:16" ht="21.6" thickTop="1" x14ac:dyDescent="0.4"/>
  </sheetData>
  <mergeCells count="250">
    <mergeCell ref="N64:N65"/>
    <mergeCell ref="O64:O65"/>
    <mergeCell ref="L62:L63"/>
    <mergeCell ref="M62:M63"/>
    <mergeCell ref="N62:N63"/>
    <mergeCell ref="O62:O63"/>
    <mergeCell ref="K54:K55"/>
    <mergeCell ref="K56:K57"/>
    <mergeCell ref="K50:K51"/>
    <mergeCell ref="K52:K53"/>
    <mergeCell ref="B68:B69"/>
    <mergeCell ref="C68:C69"/>
    <mergeCell ref="N68:N69"/>
    <mergeCell ref="O68:O69"/>
    <mergeCell ref="P64:P65"/>
    <mergeCell ref="P68:P69"/>
    <mergeCell ref="E68:E69"/>
    <mergeCell ref="F68:F69"/>
    <mergeCell ref="N66:N67"/>
    <mergeCell ref="O66:O67"/>
    <mergeCell ref="P66:P67"/>
    <mergeCell ref="B64:B65"/>
    <mergeCell ref="C64:C65"/>
    <mergeCell ref="B66:B67"/>
    <mergeCell ref="C66:C67"/>
    <mergeCell ref="E64:E65"/>
    <mergeCell ref="F64:F65"/>
    <mergeCell ref="E66:E67"/>
    <mergeCell ref="F66:F67"/>
    <mergeCell ref="H64:H65"/>
    <mergeCell ref="I66:I67"/>
    <mergeCell ref="J66:J67"/>
    <mergeCell ref="K66:K67"/>
    <mergeCell ref="G68:G69"/>
    <mergeCell ref="P62:P63"/>
    <mergeCell ref="N60:P61"/>
    <mergeCell ref="B62:B63"/>
    <mergeCell ref="C62:C63"/>
    <mergeCell ref="E62:E63"/>
    <mergeCell ref="F62:F63"/>
    <mergeCell ref="G62:G63"/>
    <mergeCell ref="H62:H63"/>
    <mergeCell ref="I62:I63"/>
    <mergeCell ref="J62:J63"/>
    <mergeCell ref="K62:K63"/>
    <mergeCell ref="B60:D61"/>
    <mergeCell ref="E60:G61"/>
    <mergeCell ref="H60:M60"/>
    <mergeCell ref="H61:I61"/>
    <mergeCell ref="J61:K61"/>
    <mergeCell ref="L61:M61"/>
    <mergeCell ref="D62:D63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B40:B41"/>
    <mergeCell ref="C40:D40"/>
    <mergeCell ref="E40:F40"/>
    <mergeCell ref="G40:H40"/>
    <mergeCell ref="I40:K40"/>
    <mergeCell ref="J32:K33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B32:B33"/>
    <mergeCell ref="C32:C33"/>
    <mergeCell ref="D32:D33"/>
    <mergeCell ref="E32:E33"/>
    <mergeCell ref="F32:F33"/>
    <mergeCell ref="G32:G33"/>
    <mergeCell ref="H32:H33"/>
    <mergeCell ref="I32:I33"/>
    <mergeCell ref="L8:N8"/>
    <mergeCell ref="C30:C31"/>
    <mergeCell ref="D30:D31"/>
    <mergeCell ref="E30:E31"/>
    <mergeCell ref="F30:F31"/>
    <mergeCell ref="G30:G31"/>
    <mergeCell ref="H30:H31"/>
    <mergeCell ref="I30:I31"/>
    <mergeCell ref="A37:D37"/>
    <mergeCell ref="I16:N16"/>
    <mergeCell ref="M17:M18"/>
    <mergeCell ref="M19:M20"/>
    <mergeCell ref="M21:M22"/>
    <mergeCell ref="M23:M24"/>
    <mergeCell ref="N21:N22"/>
    <mergeCell ref="N23:N24"/>
    <mergeCell ref="L23:L24"/>
    <mergeCell ref="A36:C36"/>
    <mergeCell ref="B30:B31"/>
    <mergeCell ref="G8:I8"/>
    <mergeCell ref="B27:K27"/>
    <mergeCell ref="B28:B29"/>
    <mergeCell ref="C28:C29"/>
    <mergeCell ref="D28:D29"/>
    <mergeCell ref="A1:C1"/>
    <mergeCell ref="A2:D2"/>
    <mergeCell ref="A3:O3"/>
    <mergeCell ref="B6:D6"/>
    <mergeCell ref="G6:I6"/>
    <mergeCell ref="L6:N6"/>
    <mergeCell ref="B16:G16"/>
    <mergeCell ref="F17:G17"/>
    <mergeCell ref="I17:I18"/>
    <mergeCell ref="J17:J18"/>
    <mergeCell ref="K17:K18"/>
    <mergeCell ref="L17:L18"/>
    <mergeCell ref="N17:N18"/>
    <mergeCell ref="B18:B19"/>
    <mergeCell ref="C18:C19"/>
    <mergeCell ref="L19:L20"/>
    <mergeCell ref="N19:N20"/>
    <mergeCell ref="B20:B21"/>
    <mergeCell ref="C20:C21"/>
    <mergeCell ref="D20:D21"/>
    <mergeCell ref="E20:E21"/>
    <mergeCell ref="F20:G21"/>
    <mergeCell ref="I21:I22"/>
    <mergeCell ref="B8:D8"/>
    <mergeCell ref="A60:A63"/>
    <mergeCell ref="A64:A65"/>
    <mergeCell ref="A66:A67"/>
    <mergeCell ref="A68:A69"/>
    <mergeCell ref="B11:C11"/>
    <mergeCell ref="F11:H11"/>
    <mergeCell ref="K11:M11"/>
    <mergeCell ref="J21:J22"/>
    <mergeCell ref="K21:K22"/>
    <mergeCell ref="D18:D19"/>
    <mergeCell ref="E18:E19"/>
    <mergeCell ref="F18:G19"/>
    <mergeCell ref="I19:I20"/>
    <mergeCell ref="J19:J20"/>
    <mergeCell ref="K19:K20"/>
    <mergeCell ref="L21:L22"/>
    <mergeCell ref="B22:B23"/>
    <mergeCell ref="C22:C23"/>
    <mergeCell ref="D22:D23"/>
    <mergeCell ref="E22:E23"/>
    <mergeCell ref="F22:G23"/>
    <mergeCell ref="I23:I24"/>
    <mergeCell ref="F24:G24"/>
    <mergeCell ref="J30:K31"/>
    <mergeCell ref="E28:E29"/>
    <mergeCell ref="F28:F29"/>
    <mergeCell ref="G28:G29"/>
    <mergeCell ref="H28:H29"/>
    <mergeCell ref="I28:I29"/>
    <mergeCell ref="J28:K29"/>
    <mergeCell ref="J23:J24"/>
    <mergeCell ref="K23:K24"/>
    <mergeCell ref="D64:D65"/>
    <mergeCell ref="K42:K43"/>
    <mergeCell ref="K44:K45"/>
    <mergeCell ref="K46:K47"/>
    <mergeCell ref="K48:K49"/>
    <mergeCell ref="D66:D67"/>
    <mergeCell ref="L66:L67"/>
    <mergeCell ref="M66:M67"/>
    <mergeCell ref="D68:D69"/>
    <mergeCell ref="L68:L69"/>
    <mergeCell ref="M68:M69"/>
    <mergeCell ref="G64:G65"/>
    <mergeCell ref="I64:I65"/>
    <mergeCell ref="J64:J65"/>
    <mergeCell ref="K64:K65"/>
    <mergeCell ref="G66:G67"/>
    <mergeCell ref="H66:H67"/>
    <mergeCell ref="H68:H69"/>
    <mergeCell ref="I68:I69"/>
    <mergeCell ref="J68:J69"/>
    <mergeCell ref="K68:K69"/>
    <mergeCell ref="L64:L65"/>
    <mergeCell ref="M64:M65"/>
  </mergeCells>
  <printOptions horizontalCentered="1" verticalCentered="1"/>
  <pageMargins left="0.23622047244094491" right="0.23622047244094491" top="0.19685039370078741" bottom="0.19685039370078741" header="0.19685039370078741" footer="0.19685039370078741"/>
  <pageSetup paperSize="9" scale="63" orientation="landscape" horizontalDpi="300" verticalDpi="300" r:id="rId1"/>
  <rowBreaks count="1" manualBreakCount="1">
    <brk id="35" max="15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Q70"/>
  <sheetViews>
    <sheetView rightToLeft="1" view="pageBreakPreview" topLeftCell="B16" zoomScale="60" workbookViewId="0">
      <selection activeCell="I16" sqref="I16:M16"/>
    </sheetView>
  </sheetViews>
  <sheetFormatPr defaultColWidth="9" defaultRowHeight="21" x14ac:dyDescent="0.4"/>
  <cols>
    <col min="1" max="1" width="14.19921875" style="9" customWidth="1"/>
    <col min="2" max="2" width="10.09765625" style="9" customWidth="1"/>
    <col min="3" max="3" width="10.796875" style="9" customWidth="1"/>
    <col min="4" max="5" width="9" style="9"/>
    <col min="6" max="6" width="11.296875" style="9" customWidth="1"/>
    <col min="7" max="7" width="11.19921875" style="9" customWidth="1"/>
    <col min="8" max="8" width="9" style="9"/>
    <col min="9" max="9" width="10.69921875" style="9" customWidth="1"/>
    <col min="10" max="10" width="8.796875" style="9" customWidth="1"/>
    <col min="11" max="11" width="10.296875" style="9" customWidth="1"/>
    <col min="12" max="12" width="11" style="9" customWidth="1"/>
    <col min="13" max="13" width="9" style="9"/>
    <col min="14" max="14" width="11.19921875" style="9" customWidth="1"/>
    <col min="15" max="16384" width="9" style="9"/>
  </cols>
  <sheetData>
    <row r="1" spans="1:15" ht="25.5" customHeight="1" x14ac:dyDescent="0.4">
      <c r="A1" s="181" t="s">
        <v>55</v>
      </c>
      <c r="B1" s="181"/>
      <c r="C1" s="181"/>
    </row>
    <row r="2" spans="1:15" ht="26.25" customHeight="1" x14ac:dyDescent="0.4">
      <c r="A2" s="181" t="s">
        <v>56</v>
      </c>
      <c r="B2" s="181"/>
      <c r="C2" s="181"/>
      <c r="D2" s="181"/>
    </row>
    <row r="3" spans="1:15" x14ac:dyDescent="0.4">
      <c r="A3" s="181" t="s">
        <v>162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</row>
    <row r="4" spans="1:15" x14ac:dyDescent="0.4">
      <c r="E4" s="9" t="s">
        <v>266</v>
      </c>
    </row>
    <row r="5" spans="1:15" ht="21.6" thickBot="1" x14ac:dyDescent="0.45"/>
    <row r="6" spans="1:15" s="31" customFormat="1" ht="29.25" customHeight="1" thickTop="1" thickBot="1" x14ac:dyDescent="0.3">
      <c r="A6" s="31" t="s">
        <v>1</v>
      </c>
      <c r="B6" s="165" t="s">
        <v>166</v>
      </c>
      <c r="C6" s="169"/>
      <c r="D6" s="166"/>
      <c r="F6" s="31" t="s">
        <v>2</v>
      </c>
      <c r="G6" s="165" t="s">
        <v>151</v>
      </c>
      <c r="H6" s="169"/>
      <c r="I6" s="166"/>
      <c r="K6" s="31" t="s">
        <v>0</v>
      </c>
      <c r="L6" s="165" t="s">
        <v>189</v>
      </c>
      <c r="M6" s="169"/>
      <c r="N6" s="166"/>
    </row>
    <row r="7" spans="1:15" ht="22.2" thickTop="1" thickBot="1" x14ac:dyDescent="0.45"/>
    <row r="8" spans="1:15" s="31" customFormat="1" ht="27" customHeight="1" thickTop="1" thickBot="1" x14ac:dyDescent="0.3">
      <c r="A8" s="31" t="s">
        <v>43</v>
      </c>
      <c r="B8" s="165" t="e">
        <f>'التعليم المسرع'!#REF!+'التعليم المسرع'!#REF!</f>
        <v>#REF!</v>
      </c>
      <c r="C8" s="169"/>
      <c r="D8" s="166"/>
      <c r="F8" s="31" t="s">
        <v>3</v>
      </c>
      <c r="G8" s="165" t="e">
        <f>'التعليم المسرع'!#REF!</f>
        <v>#REF!</v>
      </c>
      <c r="H8" s="169"/>
      <c r="I8" s="166"/>
      <c r="K8" s="31" t="s">
        <v>4</v>
      </c>
      <c r="L8" s="165" t="e">
        <f>'التعليم المسرع'!#REF!</f>
        <v>#REF!</v>
      </c>
      <c r="M8" s="169"/>
      <c r="N8" s="166"/>
    </row>
    <row r="9" spans="1:15" ht="21.6" thickTop="1" x14ac:dyDescent="0.4"/>
    <row r="10" spans="1:15" ht="21.6" thickBot="1" x14ac:dyDescent="0.45"/>
    <row r="11" spans="1:15" s="31" customFormat="1" ht="27" customHeight="1" thickTop="1" thickBot="1" x14ac:dyDescent="0.3">
      <c r="B11" s="165" t="s">
        <v>5</v>
      </c>
      <c r="C11" s="166"/>
      <c r="F11" s="165" t="s">
        <v>6</v>
      </c>
      <c r="G11" s="169"/>
      <c r="H11" s="166"/>
      <c r="K11" s="165" t="s">
        <v>7</v>
      </c>
      <c r="L11" s="169"/>
      <c r="M11" s="166"/>
    </row>
    <row r="12" spans="1:15" ht="33.75" customHeight="1" thickTop="1" thickBot="1" x14ac:dyDescent="0.45">
      <c r="B12" s="10" t="s">
        <v>8</v>
      </c>
      <c r="C12" s="11" t="s">
        <v>9</v>
      </c>
      <c r="F12" s="12" t="s">
        <v>10</v>
      </c>
      <c r="G12" s="13" t="s">
        <v>11</v>
      </c>
      <c r="H12" s="14" t="s">
        <v>12</v>
      </c>
      <c r="K12" s="10" t="s">
        <v>13</v>
      </c>
      <c r="L12" s="15" t="s">
        <v>14</v>
      </c>
      <c r="M12" s="11" t="s">
        <v>15</v>
      </c>
    </row>
    <row r="13" spans="1:15" s="32" customFormat="1" ht="35.25" customHeight="1" thickTop="1" thickBot="1" x14ac:dyDescent="0.3">
      <c r="B13" s="24" t="e">
        <f>'التعليم المسرع'!#REF!</f>
        <v>#REF!</v>
      </c>
      <c r="C13" s="33" t="e">
        <f>'التعليم المسرع'!#REF!</f>
        <v>#REF!</v>
      </c>
      <c r="F13" s="46" t="e">
        <f>'التعليم المسرع'!#REF!</f>
        <v>#REF!</v>
      </c>
      <c r="G13" s="47" t="e">
        <f>'التعليم المسرع'!#REF!</f>
        <v>#REF!</v>
      </c>
      <c r="H13" s="45" t="e">
        <f>'التعليم المسرع'!#REF!</f>
        <v>#REF!</v>
      </c>
      <c r="K13" s="24" t="e">
        <f>'التعليم المسرع'!#REF!</f>
        <v>#REF!</v>
      </c>
      <c r="L13" s="25" t="e">
        <f>'التعليم المسرع'!#REF!</f>
        <v>#REF!</v>
      </c>
      <c r="M13" s="33" t="e">
        <f>SUM(K13:L13)</f>
        <v>#REF!</v>
      </c>
    </row>
    <row r="14" spans="1:15" ht="21.6" thickTop="1" x14ac:dyDescent="0.4"/>
    <row r="15" spans="1:15" ht="21.6" thickBot="1" x14ac:dyDescent="0.45"/>
    <row r="16" spans="1:15" s="31" customFormat="1" ht="33.75" customHeight="1" thickTop="1" thickBot="1" x14ac:dyDescent="0.3">
      <c r="B16" s="165" t="s">
        <v>20</v>
      </c>
      <c r="C16" s="169"/>
      <c r="D16" s="169"/>
      <c r="E16" s="169"/>
      <c r="F16" s="169"/>
      <c r="G16" s="166"/>
      <c r="I16" s="165" t="s">
        <v>30</v>
      </c>
      <c r="J16" s="169"/>
      <c r="K16" s="169"/>
      <c r="L16" s="169"/>
      <c r="M16" s="166"/>
    </row>
    <row r="17" spans="2:13" ht="29.25" customHeight="1" thickTop="1" thickBot="1" x14ac:dyDescent="0.45">
      <c r="B17" s="22" t="s">
        <v>16</v>
      </c>
      <c r="C17" s="23" t="s">
        <v>10</v>
      </c>
      <c r="D17" s="23" t="s">
        <v>11</v>
      </c>
      <c r="E17" s="23" t="s">
        <v>12</v>
      </c>
      <c r="F17" s="167" t="s">
        <v>15</v>
      </c>
      <c r="G17" s="168"/>
      <c r="I17" s="194" t="s">
        <v>31</v>
      </c>
      <c r="J17" s="195" t="s">
        <v>44</v>
      </c>
      <c r="K17" s="195" t="s">
        <v>45</v>
      </c>
      <c r="L17" s="195" t="s">
        <v>46</v>
      </c>
      <c r="M17" s="196" t="s">
        <v>47</v>
      </c>
    </row>
    <row r="18" spans="2:13" ht="22.2" thickTop="1" thickBot="1" x14ac:dyDescent="0.45">
      <c r="B18" s="170" t="s">
        <v>17</v>
      </c>
      <c r="C18" s="170" t="e">
        <f>'التعليم المسرع'!#REF!</f>
        <v>#REF!</v>
      </c>
      <c r="D18" s="170" t="e">
        <f>'التعليم المسرع'!#REF!</f>
        <v>#REF!</v>
      </c>
      <c r="E18" s="170" t="e">
        <f>'التعليم المسرع'!#REF!</f>
        <v>#REF!</v>
      </c>
      <c r="F18" s="172" t="e">
        <f>C18+D18+E18</f>
        <v>#REF!</v>
      </c>
      <c r="G18" s="173"/>
      <c r="I18" s="190"/>
      <c r="J18" s="189"/>
      <c r="K18" s="189"/>
      <c r="L18" s="189"/>
      <c r="M18" s="192"/>
    </row>
    <row r="19" spans="2:13" ht="22.2" thickTop="1" thickBot="1" x14ac:dyDescent="0.45">
      <c r="B19" s="171"/>
      <c r="C19" s="171"/>
      <c r="D19" s="171"/>
      <c r="E19" s="171"/>
      <c r="F19" s="174"/>
      <c r="G19" s="175"/>
      <c r="I19" s="190" t="s">
        <v>13</v>
      </c>
      <c r="J19" s="189" t="e">
        <f>'التعليم المسرع'!#REF!</f>
        <v>#REF!</v>
      </c>
      <c r="K19" s="189" t="e">
        <f>'التعليم المسرع'!#REF!</f>
        <v>#REF!</v>
      </c>
      <c r="L19" s="189" t="e">
        <f>'التعليم المسرع'!#REF!</f>
        <v>#REF!</v>
      </c>
      <c r="M19" s="192" t="e">
        <f>SUM(J19:L19)</f>
        <v>#REF!</v>
      </c>
    </row>
    <row r="20" spans="2:13" ht="22.2" thickTop="1" thickBot="1" x14ac:dyDescent="0.45">
      <c r="B20" s="170" t="s">
        <v>18</v>
      </c>
      <c r="C20" s="170" t="e">
        <f>'التعليم المسرع'!#REF!</f>
        <v>#REF!</v>
      </c>
      <c r="D20" s="170" t="e">
        <f>'التعليم المسرع'!#REF!</f>
        <v>#REF!</v>
      </c>
      <c r="E20" s="170" t="e">
        <f>'التعليم المسرع'!#REF!</f>
        <v>#REF!</v>
      </c>
      <c r="F20" s="172" t="e">
        <f t="shared" ref="F20" si="0">C20+D20+E20</f>
        <v>#REF!</v>
      </c>
      <c r="G20" s="173"/>
      <c r="I20" s="190"/>
      <c r="J20" s="189"/>
      <c r="K20" s="189"/>
      <c r="L20" s="189"/>
      <c r="M20" s="192"/>
    </row>
    <row r="21" spans="2:13" ht="22.2" thickTop="1" thickBot="1" x14ac:dyDescent="0.45">
      <c r="B21" s="171"/>
      <c r="C21" s="171"/>
      <c r="D21" s="171"/>
      <c r="E21" s="171"/>
      <c r="F21" s="174"/>
      <c r="G21" s="175"/>
      <c r="I21" s="190" t="s">
        <v>14</v>
      </c>
      <c r="J21" s="189" t="e">
        <f>'التعليم المسرع'!#REF!</f>
        <v>#REF!</v>
      </c>
      <c r="K21" s="189" t="e">
        <f>'التعليم المسرع'!#REF!</f>
        <v>#REF!</v>
      </c>
      <c r="L21" s="189" t="e">
        <f>'التعليم المسرع'!#REF!</f>
        <v>#REF!</v>
      </c>
      <c r="M21" s="192" t="e">
        <f>SUM(J21:L21)</f>
        <v>#REF!</v>
      </c>
    </row>
    <row r="22" spans="2:13" ht="22.2" thickTop="1" thickBot="1" x14ac:dyDescent="0.45">
      <c r="B22" s="170" t="s">
        <v>19</v>
      </c>
      <c r="C22" s="170" t="e">
        <f>'التعليم المسرع'!#REF!</f>
        <v>#REF!</v>
      </c>
      <c r="D22" s="170" t="e">
        <f>'التعليم المسرع'!#REF!</f>
        <v>#REF!</v>
      </c>
      <c r="E22" s="170" t="e">
        <f>'التعليم المسرع'!#REF!</f>
        <v>#REF!</v>
      </c>
      <c r="F22" s="172" t="e">
        <f t="shared" ref="F22" si="1">C22+D22+E22</f>
        <v>#REF!</v>
      </c>
      <c r="G22" s="173"/>
      <c r="I22" s="190"/>
      <c r="J22" s="189"/>
      <c r="K22" s="189"/>
      <c r="L22" s="189"/>
      <c r="M22" s="192"/>
    </row>
    <row r="23" spans="2:13" ht="22.2" thickTop="1" thickBot="1" x14ac:dyDescent="0.45">
      <c r="B23" s="171"/>
      <c r="C23" s="171"/>
      <c r="D23" s="171"/>
      <c r="E23" s="171"/>
      <c r="F23" s="174"/>
      <c r="G23" s="175"/>
      <c r="I23" s="190" t="s">
        <v>15</v>
      </c>
      <c r="J23" s="189" t="e">
        <f>J19+J21</f>
        <v>#REF!</v>
      </c>
      <c r="K23" s="189" t="e">
        <f t="shared" ref="K23:M23" si="2">K19+K21</f>
        <v>#REF!</v>
      </c>
      <c r="L23" s="189" t="e">
        <f t="shared" si="2"/>
        <v>#REF!</v>
      </c>
      <c r="M23" s="192" t="e">
        <f t="shared" si="2"/>
        <v>#REF!</v>
      </c>
    </row>
    <row r="24" spans="2:13" ht="36.75" customHeight="1" thickTop="1" thickBot="1" x14ac:dyDescent="0.45">
      <c r="B24" s="24" t="s">
        <v>15</v>
      </c>
      <c r="C24" s="25" t="e">
        <f>SUM(C18:C23)</f>
        <v>#REF!</v>
      </c>
      <c r="D24" s="25" t="e">
        <f>SUM(D18:D23)</f>
        <v>#REF!</v>
      </c>
      <c r="E24" s="25" t="e">
        <f>SUM(E18:E23)</f>
        <v>#REF!</v>
      </c>
      <c r="F24" s="185" t="e">
        <f>C24+D24+E24</f>
        <v>#REF!</v>
      </c>
      <c r="G24" s="166"/>
      <c r="I24" s="193"/>
      <c r="J24" s="191"/>
      <c r="K24" s="191"/>
      <c r="L24" s="191"/>
      <c r="M24" s="208"/>
    </row>
    <row r="25" spans="2:13" ht="23.25" customHeight="1" thickTop="1" x14ac:dyDescent="0.4"/>
    <row r="26" spans="2:13" ht="20.25" customHeight="1" thickBot="1" x14ac:dyDescent="0.45">
      <c r="B26" s="27"/>
      <c r="C26" s="27"/>
      <c r="D26" s="27"/>
      <c r="E26" s="27"/>
    </row>
    <row r="27" spans="2:13" ht="35.25" customHeight="1" thickTop="1" thickBot="1" x14ac:dyDescent="0.45">
      <c r="B27" s="165" t="s">
        <v>39</v>
      </c>
      <c r="C27" s="169"/>
      <c r="D27" s="169"/>
      <c r="E27" s="169"/>
      <c r="F27" s="169"/>
      <c r="G27" s="169"/>
      <c r="H27" s="169"/>
      <c r="I27" s="169"/>
      <c r="J27" s="169"/>
      <c r="K27" s="166"/>
      <c r="L27" s="26"/>
      <c r="M27" s="26"/>
    </row>
    <row r="28" spans="2:13" ht="45" customHeight="1" thickTop="1" thickBot="1" x14ac:dyDescent="0.45">
      <c r="B28" s="212" t="s">
        <v>40</v>
      </c>
      <c r="C28" s="206" t="s">
        <v>32</v>
      </c>
      <c r="D28" s="206" t="s">
        <v>33</v>
      </c>
      <c r="E28" s="206" t="s">
        <v>34</v>
      </c>
      <c r="F28" s="206" t="s">
        <v>35</v>
      </c>
      <c r="G28" s="206" t="s">
        <v>36</v>
      </c>
      <c r="H28" s="206" t="s">
        <v>37</v>
      </c>
      <c r="I28" s="206" t="s">
        <v>38</v>
      </c>
      <c r="J28" s="195" t="s">
        <v>15</v>
      </c>
      <c r="K28" s="196"/>
      <c r="L28" s="26"/>
      <c r="M28" s="26"/>
    </row>
    <row r="29" spans="2:13" ht="54" customHeight="1" thickTop="1" thickBot="1" x14ac:dyDescent="0.45">
      <c r="B29" s="213"/>
      <c r="C29" s="207"/>
      <c r="D29" s="207"/>
      <c r="E29" s="207"/>
      <c r="F29" s="207"/>
      <c r="G29" s="207"/>
      <c r="H29" s="207"/>
      <c r="I29" s="207"/>
      <c r="J29" s="189"/>
      <c r="K29" s="192"/>
      <c r="L29" s="26"/>
      <c r="M29" s="26"/>
    </row>
    <row r="30" spans="2:13" ht="22.2" thickTop="1" thickBot="1" x14ac:dyDescent="0.45">
      <c r="B30" s="190" t="s">
        <v>13</v>
      </c>
      <c r="C30" s="189" t="e">
        <f>'التعليم المسرع'!#REF!</f>
        <v>#REF!</v>
      </c>
      <c r="D30" s="189" t="e">
        <f>'التعليم المسرع'!#REF!</f>
        <v>#REF!</v>
      </c>
      <c r="E30" s="189" t="e">
        <f>'التعليم المسرع'!#REF!</f>
        <v>#REF!</v>
      </c>
      <c r="F30" s="189" t="e">
        <f>'التعليم المسرع'!#REF!</f>
        <v>#REF!</v>
      </c>
      <c r="G30" s="189" t="e">
        <f>'التعليم المسرع'!#REF!</f>
        <v>#REF!</v>
      </c>
      <c r="H30" s="189" t="e">
        <f>'التعليم المسرع'!#REF!</f>
        <v>#REF!</v>
      </c>
      <c r="I30" s="189" t="e">
        <f>'التعليم المسرع'!#REF!</f>
        <v>#REF!</v>
      </c>
      <c r="J30" s="189" t="e">
        <f>I30+H30+G30+F30+E30+D30+C30</f>
        <v>#REF!</v>
      </c>
      <c r="K30" s="192"/>
      <c r="L30" s="26"/>
      <c r="M30" s="26"/>
    </row>
    <row r="31" spans="2:13" ht="22.2" thickTop="1" thickBot="1" x14ac:dyDescent="0.45">
      <c r="B31" s="190"/>
      <c r="C31" s="189"/>
      <c r="D31" s="189"/>
      <c r="E31" s="189"/>
      <c r="F31" s="189"/>
      <c r="G31" s="189"/>
      <c r="H31" s="189"/>
      <c r="I31" s="189"/>
      <c r="J31" s="189"/>
      <c r="K31" s="192"/>
      <c r="L31" s="26"/>
      <c r="M31" s="26"/>
    </row>
    <row r="32" spans="2:13" ht="22.2" thickTop="1" thickBot="1" x14ac:dyDescent="0.45">
      <c r="B32" s="190" t="s">
        <v>14</v>
      </c>
      <c r="C32" s="189" t="e">
        <f>'التعليم المسرع'!#REF!</f>
        <v>#REF!</v>
      </c>
      <c r="D32" s="189" t="e">
        <f>'التعليم المسرع'!#REF!</f>
        <v>#REF!</v>
      </c>
      <c r="E32" s="189" t="e">
        <f>'التعليم المسرع'!#REF!</f>
        <v>#REF!</v>
      </c>
      <c r="F32" s="189" t="e">
        <f>'التعليم المسرع'!#REF!</f>
        <v>#REF!</v>
      </c>
      <c r="G32" s="189" t="e">
        <f>'التعليم المسرع'!#REF!</f>
        <v>#REF!</v>
      </c>
      <c r="H32" s="189" t="e">
        <f>'التعليم المسرع'!#REF!</f>
        <v>#REF!</v>
      </c>
      <c r="I32" s="189" t="e">
        <f>'التعليم المسرع'!#REF!</f>
        <v>#REF!</v>
      </c>
      <c r="J32" s="189" t="e">
        <f t="shared" ref="J32" si="3">I32+H32+G32+F32+E32+D32+C32</f>
        <v>#REF!</v>
      </c>
      <c r="K32" s="192"/>
      <c r="L32" s="26"/>
      <c r="M32" s="26"/>
    </row>
    <row r="33" spans="1:17" ht="22.2" thickTop="1" thickBot="1" x14ac:dyDescent="0.45">
      <c r="B33" s="190"/>
      <c r="C33" s="189"/>
      <c r="D33" s="189"/>
      <c r="E33" s="189"/>
      <c r="F33" s="189"/>
      <c r="G33" s="189"/>
      <c r="H33" s="189"/>
      <c r="I33" s="189"/>
      <c r="J33" s="189"/>
      <c r="K33" s="192"/>
      <c r="L33" s="26"/>
      <c r="M33" s="26"/>
    </row>
    <row r="34" spans="1:17" ht="22.2" thickTop="1" thickBot="1" x14ac:dyDescent="0.45">
      <c r="B34" s="190" t="s">
        <v>15</v>
      </c>
      <c r="C34" s="189" t="e">
        <f>C30+C32</f>
        <v>#REF!</v>
      </c>
      <c r="D34" s="189" t="e">
        <f t="shared" ref="D34:I34" si="4">D30+D32</f>
        <v>#REF!</v>
      </c>
      <c r="E34" s="189" t="e">
        <f t="shared" si="4"/>
        <v>#REF!</v>
      </c>
      <c r="F34" s="189" t="e">
        <f t="shared" si="4"/>
        <v>#REF!</v>
      </c>
      <c r="G34" s="189" t="e">
        <f t="shared" si="4"/>
        <v>#REF!</v>
      </c>
      <c r="H34" s="189" t="e">
        <f t="shared" si="4"/>
        <v>#REF!</v>
      </c>
      <c r="I34" s="189" t="e">
        <f t="shared" si="4"/>
        <v>#REF!</v>
      </c>
      <c r="J34" s="189" t="e">
        <f t="shared" ref="J34" si="5">I34+H34+G34+F34+E34+D34+C34</f>
        <v>#REF!</v>
      </c>
      <c r="K34" s="192"/>
      <c r="L34" s="26"/>
      <c r="M34" s="26"/>
    </row>
    <row r="35" spans="1:17" ht="22.2" thickTop="1" thickBot="1" x14ac:dyDescent="0.45">
      <c r="B35" s="193"/>
      <c r="C35" s="191"/>
      <c r="D35" s="191"/>
      <c r="E35" s="191"/>
      <c r="F35" s="191"/>
      <c r="G35" s="191"/>
      <c r="H35" s="191"/>
      <c r="I35" s="191"/>
      <c r="J35" s="191"/>
      <c r="K35" s="208"/>
      <c r="L35" s="26"/>
      <c r="M35" s="26"/>
    </row>
    <row r="36" spans="1:17" ht="28.5" customHeight="1" thickTop="1" x14ac:dyDescent="0.4">
      <c r="A36" s="181" t="s">
        <v>55</v>
      </c>
      <c r="B36" s="181"/>
      <c r="C36" s="181"/>
    </row>
    <row r="37" spans="1:17" ht="26.25" customHeight="1" x14ac:dyDescent="0.4">
      <c r="A37" s="9" t="s">
        <v>56</v>
      </c>
      <c r="K37" s="9" t="s">
        <v>188</v>
      </c>
    </row>
    <row r="38" spans="1:17" x14ac:dyDescent="0.4">
      <c r="D38" s="9" t="s">
        <v>52</v>
      </c>
    </row>
    <row r="39" spans="1:17" ht="21.6" thickBot="1" x14ac:dyDescent="0.45"/>
    <row r="40" spans="1:17" ht="35.25" customHeight="1" thickTop="1" thickBot="1" x14ac:dyDescent="0.45">
      <c r="B40" s="203" t="s">
        <v>28</v>
      </c>
      <c r="C40" s="185" t="s">
        <v>17</v>
      </c>
      <c r="D40" s="229"/>
      <c r="E40" s="185" t="s">
        <v>18</v>
      </c>
      <c r="F40" s="229"/>
      <c r="G40" s="185" t="s">
        <v>19</v>
      </c>
      <c r="H40" s="229"/>
      <c r="I40" s="185" t="s">
        <v>29</v>
      </c>
      <c r="J40" s="169"/>
      <c r="K40" s="229"/>
      <c r="L40" s="26"/>
      <c r="M40" s="26"/>
      <c r="N40" s="26"/>
    </row>
    <row r="41" spans="1:17" ht="33.75" customHeight="1" thickTop="1" thickBot="1" x14ac:dyDescent="0.45">
      <c r="B41" s="197"/>
      <c r="C41" s="29" t="s">
        <v>10</v>
      </c>
      <c r="D41" s="29" t="s">
        <v>11</v>
      </c>
      <c r="E41" s="29" t="s">
        <v>10</v>
      </c>
      <c r="F41" s="29" t="s">
        <v>11</v>
      </c>
      <c r="G41" s="29" t="s">
        <v>10</v>
      </c>
      <c r="H41" s="29" t="s">
        <v>11</v>
      </c>
      <c r="I41" s="29" t="s">
        <v>10</v>
      </c>
      <c r="J41" s="29" t="s">
        <v>11</v>
      </c>
      <c r="K41" s="29" t="s">
        <v>15</v>
      </c>
      <c r="L41" s="26"/>
      <c r="M41" s="26"/>
      <c r="N41" s="26"/>
    </row>
    <row r="42" spans="1:17" ht="21.6" thickTop="1" x14ac:dyDescent="0.4">
      <c r="B42" s="203" t="s">
        <v>21</v>
      </c>
      <c r="C42" s="203" t="e">
        <f>'التعليم المسرع'!#REF!</f>
        <v>#REF!</v>
      </c>
      <c r="D42" s="203" t="e">
        <f>'التعليم المسرع'!#REF!</f>
        <v>#REF!</v>
      </c>
      <c r="E42" s="203" t="e">
        <f>'التعليم المسرع'!#REF!</f>
        <v>#REF!</v>
      </c>
      <c r="F42" s="203" t="e">
        <f>'التعليم المسرع'!#REF!</f>
        <v>#REF!</v>
      </c>
      <c r="G42" s="203" t="e">
        <f>'التعليم المسرع'!#REF!</f>
        <v>#REF!</v>
      </c>
      <c r="H42" s="203" t="e">
        <f>'التعليم المسرع'!#REF!</f>
        <v>#REF!</v>
      </c>
      <c r="I42" s="203" t="e">
        <f>C42+E42+G42</f>
        <v>#REF!</v>
      </c>
      <c r="J42" s="203" t="e">
        <f>D42+F42+H42</f>
        <v>#REF!</v>
      </c>
      <c r="K42" s="203" t="e">
        <f>SUM(I42:J42)</f>
        <v>#REF!</v>
      </c>
      <c r="L42" s="26"/>
      <c r="M42" s="26"/>
      <c r="N42" s="26"/>
    </row>
    <row r="43" spans="1:17" ht="21.6" thickBot="1" x14ac:dyDescent="0.45">
      <c r="B43" s="197"/>
      <c r="C43" s="197"/>
      <c r="D43" s="197"/>
      <c r="E43" s="197"/>
      <c r="F43" s="197"/>
      <c r="G43" s="197"/>
      <c r="H43" s="197"/>
      <c r="I43" s="197"/>
      <c r="J43" s="197"/>
      <c r="K43" s="197"/>
      <c r="L43" s="26"/>
      <c r="M43" s="26"/>
      <c r="N43" s="26"/>
    </row>
    <row r="44" spans="1:17" ht="21.6" thickTop="1" x14ac:dyDescent="0.4">
      <c r="B44" s="203" t="s">
        <v>22</v>
      </c>
      <c r="C44" s="203" t="e">
        <f>'التعليم المسرع'!#REF!</f>
        <v>#REF!</v>
      </c>
      <c r="D44" s="203" t="e">
        <f>'التعليم المسرع'!#REF!</f>
        <v>#REF!</v>
      </c>
      <c r="E44" s="228" t="e">
        <f>'التعليم المسرع'!#REF!</f>
        <v>#REF!</v>
      </c>
      <c r="F44" s="228" t="e">
        <f>'التعليم المسرع'!#REF!</f>
        <v>#REF!</v>
      </c>
      <c r="G44" s="203" t="e">
        <f>'التعليم المسرع'!#REF!</f>
        <v>#REF!</v>
      </c>
      <c r="H44" s="203" t="e">
        <f>'التعليم المسرع'!#REF!</f>
        <v>#REF!</v>
      </c>
      <c r="I44" s="203" t="e">
        <f t="shared" ref="I44:J44" si="6">C44+E44+G44</f>
        <v>#REF!</v>
      </c>
      <c r="J44" s="203" t="e">
        <f t="shared" si="6"/>
        <v>#REF!</v>
      </c>
      <c r="K44" s="203" t="e">
        <f t="shared" ref="K44" si="7">SUM(I44:J44)</f>
        <v>#REF!</v>
      </c>
      <c r="L44" s="26"/>
      <c r="M44" s="26"/>
      <c r="N44" s="26"/>
    </row>
    <row r="45" spans="1:17" ht="21.6" thickBot="1" x14ac:dyDescent="0.45">
      <c r="B45" s="197"/>
      <c r="C45" s="197"/>
      <c r="D45" s="197"/>
      <c r="E45" s="198"/>
      <c r="F45" s="198"/>
      <c r="G45" s="197"/>
      <c r="H45" s="197"/>
      <c r="I45" s="197"/>
      <c r="J45" s="197"/>
      <c r="K45" s="197"/>
      <c r="L45" s="26"/>
      <c r="M45" s="26"/>
      <c r="N45" s="26"/>
    </row>
    <row r="46" spans="1:17" ht="21.6" thickTop="1" x14ac:dyDescent="0.4">
      <c r="B46" s="203" t="s">
        <v>23</v>
      </c>
      <c r="C46" s="203" t="e">
        <f>'التعليم المسرع'!#REF!</f>
        <v>#REF!</v>
      </c>
      <c r="D46" s="203" t="e">
        <f>'التعليم المسرع'!#REF!</f>
        <v>#REF!</v>
      </c>
      <c r="E46" s="228" t="e">
        <f>'التعليم المسرع'!#REF!</f>
        <v>#REF!</v>
      </c>
      <c r="F46" s="228" t="e">
        <f>'التعليم المسرع'!#REF!</f>
        <v>#REF!</v>
      </c>
      <c r="G46" s="203" t="e">
        <f>'التعليم المسرع'!#REF!</f>
        <v>#REF!</v>
      </c>
      <c r="H46" s="203" t="e">
        <f>'التعليم المسرع'!#REF!</f>
        <v>#REF!</v>
      </c>
      <c r="I46" s="203" t="e">
        <f t="shared" ref="I46:J46" si="8">C46+E46+G46</f>
        <v>#REF!</v>
      </c>
      <c r="J46" s="203" t="e">
        <f t="shared" si="8"/>
        <v>#REF!</v>
      </c>
      <c r="K46" s="203" t="e">
        <f t="shared" ref="K46" si="9">SUM(I46:J46)</f>
        <v>#REF!</v>
      </c>
      <c r="L46" s="26"/>
      <c r="M46" s="26"/>
      <c r="N46" s="26"/>
    </row>
    <row r="47" spans="1:17" ht="21.6" thickBot="1" x14ac:dyDescent="0.45">
      <c r="B47" s="197"/>
      <c r="C47" s="197"/>
      <c r="D47" s="197"/>
      <c r="E47" s="198"/>
      <c r="F47" s="198"/>
      <c r="G47" s="197"/>
      <c r="H47" s="197"/>
      <c r="I47" s="197"/>
      <c r="J47" s="197"/>
      <c r="K47" s="197"/>
      <c r="L47" s="26"/>
      <c r="M47" s="26"/>
      <c r="N47" s="26"/>
    </row>
    <row r="48" spans="1:17" ht="21.6" thickTop="1" x14ac:dyDescent="0.4">
      <c r="B48" s="203" t="s">
        <v>24</v>
      </c>
      <c r="C48" s="203" t="e">
        <f>'التعليم المسرع'!#REF!</f>
        <v>#REF!</v>
      </c>
      <c r="D48" s="203" t="e">
        <f>'التعليم المسرع'!#REF!</f>
        <v>#REF!</v>
      </c>
      <c r="E48" s="228" t="e">
        <f>'التعليم المسرع'!#REF!</f>
        <v>#REF!</v>
      </c>
      <c r="F48" s="228" t="e">
        <f>'التعليم المسرع'!#REF!</f>
        <v>#REF!</v>
      </c>
      <c r="G48" s="203" t="e">
        <f>'التعليم المسرع'!#REF!</f>
        <v>#REF!</v>
      </c>
      <c r="H48" s="203" t="e">
        <f>'التعليم المسرع'!#REF!</f>
        <v>#REF!</v>
      </c>
      <c r="I48" s="203" t="e">
        <f t="shared" ref="I48:J48" si="10">C48+E48+G48</f>
        <v>#REF!</v>
      </c>
      <c r="J48" s="203" t="e">
        <f t="shared" si="10"/>
        <v>#REF!</v>
      </c>
      <c r="K48" s="203" t="e">
        <f t="shared" ref="K48" si="11">SUM(I48:J48)</f>
        <v>#REF!</v>
      </c>
      <c r="L48" s="26"/>
      <c r="M48" s="26"/>
      <c r="N48" s="26"/>
      <c r="O48" s="26"/>
      <c r="P48" s="26"/>
      <c r="Q48" s="26"/>
    </row>
    <row r="49" spans="1:17" ht="21.6" thickBot="1" x14ac:dyDescent="0.45">
      <c r="B49" s="197"/>
      <c r="C49" s="197"/>
      <c r="D49" s="197"/>
      <c r="E49" s="198"/>
      <c r="F49" s="198"/>
      <c r="G49" s="197"/>
      <c r="H49" s="197"/>
      <c r="I49" s="197"/>
      <c r="J49" s="197"/>
      <c r="K49" s="197"/>
      <c r="L49" s="26"/>
      <c r="M49" s="26"/>
      <c r="N49" s="26"/>
      <c r="O49" s="26"/>
      <c r="P49" s="26"/>
      <c r="Q49" s="26"/>
    </row>
    <row r="50" spans="1:17" ht="21.6" thickTop="1" x14ac:dyDescent="0.4">
      <c r="B50" s="203" t="s">
        <v>25</v>
      </c>
      <c r="C50" s="203" t="e">
        <f>'التعليم المسرع'!#REF!</f>
        <v>#REF!</v>
      </c>
      <c r="D50" s="203" t="e">
        <f>'التعليم المسرع'!#REF!</f>
        <v>#REF!</v>
      </c>
      <c r="E50" s="228" t="e">
        <f>'التعليم المسرع'!#REF!</f>
        <v>#REF!</v>
      </c>
      <c r="F50" s="228" t="e">
        <f>'التعليم المسرع'!#REF!</f>
        <v>#REF!</v>
      </c>
      <c r="G50" s="203" t="e">
        <f>'التعليم المسرع'!#REF!</f>
        <v>#REF!</v>
      </c>
      <c r="H50" s="203" t="e">
        <f>'التعليم المسرع'!#REF!</f>
        <v>#REF!</v>
      </c>
      <c r="I50" s="203" t="e">
        <f t="shared" ref="I50:J50" si="12">C50+E50+G50</f>
        <v>#REF!</v>
      </c>
      <c r="J50" s="203" t="e">
        <f t="shared" si="12"/>
        <v>#REF!</v>
      </c>
      <c r="K50" s="203" t="e">
        <f t="shared" ref="K50" si="13">SUM(I50:J50)</f>
        <v>#REF!</v>
      </c>
      <c r="L50" s="26"/>
      <c r="M50" s="26"/>
      <c r="N50" s="26"/>
      <c r="O50" s="26"/>
      <c r="P50" s="26"/>
      <c r="Q50" s="26"/>
    </row>
    <row r="51" spans="1:17" ht="21.6" thickBot="1" x14ac:dyDescent="0.45">
      <c r="B51" s="197"/>
      <c r="C51" s="197"/>
      <c r="D51" s="197"/>
      <c r="E51" s="198"/>
      <c r="F51" s="198"/>
      <c r="G51" s="197"/>
      <c r="H51" s="197"/>
      <c r="I51" s="197"/>
      <c r="J51" s="197"/>
      <c r="K51" s="197"/>
      <c r="L51" s="26"/>
      <c r="M51" s="26"/>
      <c r="N51" s="26"/>
      <c r="O51" s="26"/>
      <c r="P51" s="26"/>
      <c r="Q51" s="26"/>
    </row>
    <row r="52" spans="1:17" ht="21.6" thickTop="1" x14ac:dyDescent="0.4">
      <c r="B52" s="203" t="s">
        <v>26</v>
      </c>
      <c r="C52" s="203" t="e">
        <f>'التعليم المسرع'!#REF!</f>
        <v>#REF!</v>
      </c>
      <c r="D52" s="203" t="e">
        <f>'التعليم المسرع'!#REF!</f>
        <v>#REF!</v>
      </c>
      <c r="E52" s="203" t="e">
        <f>'التعليم المسرع'!#REF!</f>
        <v>#REF!</v>
      </c>
      <c r="F52" s="203" t="e">
        <f>'التعليم المسرع'!#REF!</f>
        <v>#REF!</v>
      </c>
      <c r="G52" s="203" t="e">
        <f>'التعليم المسرع'!#REF!</f>
        <v>#REF!</v>
      </c>
      <c r="H52" s="203" t="e">
        <f>'التعليم المسرع'!#REF!</f>
        <v>#REF!</v>
      </c>
      <c r="I52" s="203" t="e">
        <f t="shared" ref="I52:J52" si="14">C52+E52+G52</f>
        <v>#REF!</v>
      </c>
      <c r="J52" s="203" t="e">
        <f t="shared" si="14"/>
        <v>#REF!</v>
      </c>
      <c r="K52" s="203" t="e">
        <f t="shared" ref="K52" si="15">SUM(I52:J52)</f>
        <v>#REF!</v>
      </c>
      <c r="L52" s="26"/>
      <c r="M52" s="26"/>
      <c r="N52" s="26"/>
      <c r="O52" s="26"/>
      <c r="P52" s="26"/>
      <c r="Q52" s="26"/>
    </row>
    <row r="53" spans="1:17" ht="21.6" thickBot="1" x14ac:dyDescent="0.45">
      <c r="B53" s="197"/>
      <c r="C53" s="197"/>
      <c r="D53" s="197"/>
      <c r="E53" s="197"/>
      <c r="F53" s="197"/>
      <c r="G53" s="197"/>
      <c r="H53" s="197"/>
      <c r="I53" s="197"/>
      <c r="J53" s="197"/>
      <c r="K53" s="197"/>
      <c r="M53" s="26"/>
      <c r="N53" s="26"/>
      <c r="O53" s="26"/>
      <c r="P53" s="26"/>
      <c r="Q53" s="26"/>
    </row>
    <row r="54" spans="1:17" ht="21.6" thickTop="1" x14ac:dyDescent="0.4">
      <c r="B54" s="203" t="s">
        <v>27</v>
      </c>
      <c r="C54" s="203" t="e">
        <f>'التعليم المسرع'!#REF!</f>
        <v>#REF!</v>
      </c>
      <c r="D54" s="203" t="e">
        <f>'التعليم المسرع'!#REF!</f>
        <v>#REF!</v>
      </c>
      <c r="E54" s="203" t="e">
        <f>'التعليم المسرع'!#REF!</f>
        <v>#REF!</v>
      </c>
      <c r="F54" s="203" t="e">
        <f>'التعليم المسرع'!#REF!</f>
        <v>#REF!</v>
      </c>
      <c r="G54" s="203" t="e">
        <f>'التعليم المسرع'!#REF!</f>
        <v>#REF!</v>
      </c>
      <c r="H54" s="203" t="e">
        <f>'التعليم المسرع'!#REF!</f>
        <v>#REF!</v>
      </c>
      <c r="I54" s="203" t="e">
        <f t="shared" ref="I54:J54" si="16">C54+E54+G54</f>
        <v>#REF!</v>
      </c>
      <c r="J54" s="203" t="e">
        <f t="shared" si="16"/>
        <v>#REF!</v>
      </c>
      <c r="K54" s="203" t="e">
        <f t="shared" ref="K54" si="17">SUM(I54:J54)</f>
        <v>#REF!</v>
      </c>
      <c r="M54" s="26"/>
      <c r="N54" s="26"/>
      <c r="O54" s="26"/>
      <c r="P54" s="26"/>
      <c r="Q54" s="26"/>
    </row>
    <row r="55" spans="1:17" ht="21.6" thickBot="1" x14ac:dyDescent="0.45">
      <c r="B55" s="197"/>
      <c r="C55" s="197"/>
      <c r="D55" s="197"/>
      <c r="E55" s="197"/>
      <c r="F55" s="197"/>
      <c r="G55" s="197"/>
      <c r="H55" s="197"/>
      <c r="I55" s="197"/>
      <c r="J55" s="197"/>
      <c r="K55" s="197"/>
      <c r="M55" s="26"/>
      <c r="N55" s="26"/>
      <c r="O55" s="26"/>
      <c r="P55" s="26"/>
      <c r="Q55" s="26"/>
    </row>
    <row r="56" spans="1:17" ht="21.6" thickTop="1" x14ac:dyDescent="0.4">
      <c r="B56" s="203" t="s">
        <v>15</v>
      </c>
      <c r="C56" s="203" t="e">
        <f t="shared" ref="C56:H56" si="18">C42+C44+C46+C48+C50+C52+C54</f>
        <v>#REF!</v>
      </c>
      <c r="D56" s="203" t="e">
        <f t="shared" si="18"/>
        <v>#REF!</v>
      </c>
      <c r="E56" s="203" t="e">
        <f t="shared" si="18"/>
        <v>#REF!</v>
      </c>
      <c r="F56" s="203" t="e">
        <f t="shared" si="18"/>
        <v>#REF!</v>
      </c>
      <c r="G56" s="203" t="e">
        <f t="shared" si="18"/>
        <v>#REF!</v>
      </c>
      <c r="H56" s="203" t="e">
        <f t="shared" si="18"/>
        <v>#REF!</v>
      </c>
      <c r="I56" s="203" t="e">
        <f>C56+E56+G56</f>
        <v>#REF!</v>
      </c>
      <c r="J56" s="203" t="e">
        <f t="shared" ref="J56" si="19">D56+F56+H56</f>
        <v>#REF!</v>
      </c>
      <c r="K56" s="203" t="e">
        <f t="shared" ref="K56" si="20">SUM(I56:J56)</f>
        <v>#REF!</v>
      </c>
      <c r="M56" s="26"/>
      <c r="N56" s="26"/>
      <c r="O56" s="26"/>
      <c r="P56" s="26"/>
      <c r="Q56" s="26"/>
    </row>
    <row r="57" spans="1:17" ht="21.6" thickBot="1" x14ac:dyDescent="0.45">
      <c r="B57" s="197"/>
      <c r="C57" s="197"/>
      <c r="D57" s="197"/>
      <c r="E57" s="197"/>
      <c r="F57" s="197"/>
      <c r="G57" s="197"/>
      <c r="H57" s="197"/>
      <c r="I57" s="197"/>
      <c r="J57" s="197"/>
      <c r="K57" s="197"/>
    </row>
    <row r="58" spans="1:17" ht="21.6" thickTop="1" x14ac:dyDescent="0.4"/>
    <row r="59" spans="1:17" ht="21.6" thickBot="1" x14ac:dyDescent="0.45"/>
    <row r="60" spans="1:17" ht="31.5" customHeight="1" thickTop="1" thickBot="1" x14ac:dyDescent="0.45">
      <c r="A60" s="194"/>
      <c r="B60" s="206" t="s">
        <v>267</v>
      </c>
      <c r="C60" s="206"/>
      <c r="D60" s="206"/>
      <c r="E60" s="206" t="s">
        <v>272</v>
      </c>
      <c r="F60" s="206"/>
      <c r="G60" s="206"/>
      <c r="H60" s="195" t="s">
        <v>273</v>
      </c>
      <c r="I60" s="195"/>
      <c r="J60" s="195"/>
      <c r="K60" s="195"/>
      <c r="L60" s="195"/>
      <c r="M60" s="195"/>
      <c r="N60" s="195" t="s">
        <v>15</v>
      </c>
      <c r="O60" s="195"/>
      <c r="P60" s="196"/>
    </row>
    <row r="61" spans="1:17" ht="30" customHeight="1" thickTop="1" thickBot="1" x14ac:dyDescent="0.45">
      <c r="A61" s="190"/>
      <c r="B61" s="207"/>
      <c r="C61" s="207"/>
      <c r="D61" s="207"/>
      <c r="E61" s="207"/>
      <c r="F61" s="207"/>
      <c r="G61" s="207"/>
      <c r="H61" s="189" t="s">
        <v>185</v>
      </c>
      <c r="I61" s="189"/>
      <c r="J61" s="189" t="s">
        <v>186</v>
      </c>
      <c r="K61" s="189"/>
      <c r="L61" s="189" t="s">
        <v>187</v>
      </c>
      <c r="M61" s="189"/>
      <c r="N61" s="189"/>
      <c r="O61" s="189"/>
      <c r="P61" s="192"/>
    </row>
    <row r="62" spans="1:17" ht="22.2" thickTop="1" thickBot="1" x14ac:dyDescent="0.45">
      <c r="A62" s="190"/>
      <c r="B62" s="189" t="s">
        <v>10</v>
      </c>
      <c r="C62" s="189" t="s">
        <v>11</v>
      </c>
      <c r="D62" s="189" t="s">
        <v>15</v>
      </c>
      <c r="E62" s="189" t="s">
        <v>10</v>
      </c>
      <c r="F62" s="189" t="s">
        <v>11</v>
      </c>
      <c r="G62" s="189" t="s">
        <v>15</v>
      </c>
      <c r="H62" s="189" t="s">
        <v>10</v>
      </c>
      <c r="I62" s="189" t="s">
        <v>11</v>
      </c>
      <c r="J62" s="189" t="s">
        <v>10</v>
      </c>
      <c r="K62" s="189" t="s">
        <v>11</v>
      </c>
      <c r="L62" s="189" t="s">
        <v>10</v>
      </c>
      <c r="M62" s="189" t="s">
        <v>11</v>
      </c>
      <c r="N62" s="189" t="s">
        <v>10</v>
      </c>
      <c r="O62" s="189" t="s">
        <v>11</v>
      </c>
      <c r="P62" s="192" t="s">
        <v>15</v>
      </c>
    </row>
    <row r="63" spans="1:17" ht="22.2" thickTop="1" thickBot="1" x14ac:dyDescent="0.45">
      <c r="A63" s="190"/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92"/>
    </row>
    <row r="64" spans="1:17" ht="22.2" thickTop="1" thickBot="1" x14ac:dyDescent="0.45">
      <c r="A64" s="190" t="s">
        <v>17</v>
      </c>
      <c r="B64" s="189" t="e">
        <f>'التعليم المسرع'!#REF!</f>
        <v>#REF!</v>
      </c>
      <c r="C64" s="189" t="e">
        <f>'التعليم المسرع'!#REF!</f>
        <v>#REF!</v>
      </c>
      <c r="D64" s="189" t="e">
        <f t="shared" ref="D64" si="21">C64+B64</f>
        <v>#REF!</v>
      </c>
      <c r="E64" s="189" t="e">
        <f>'التعليم المسرع'!#REF!</f>
        <v>#REF!</v>
      </c>
      <c r="F64" s="189" t="e">
        <f>'التعليم المسرع'!#REF!</f>
        <v>#REF!</v>
      </c>
      <c r="G64" s="189" t="e">
        <f t="shared" ref="G64" si="22">F64+E64</f>
        <v>#REF!</v>
      </c>
      <c r="H64" s="189" t="e">
        <f>'التعليم المسرع'!#REF!</f>
        <v>#REF!</v>
      </c>
      <c r="I64" s="189" t="e">
        <f>'التعليم المسرع'!#REF!</f>
        <v>#REF!</v>
      </c>
      <c r="J64" s="189" t="e">
        <f>'التعليم المسرع'!#REF!</f>
        <v>#REF!</v>
      </c>
      <c r="K64" s="189" t="e">
        <f>'التعليم المسرع'!#REF!</f>
        <v>#REF!</v>
      </c>
      <c r="L64" s="189" t="e">
        <f>'التعليم المسرع'!#REF!</f>
        <v>#REF!</v>
      </c>
      <c r="M64" s="189" t="e">
        <f>'التعليم المسرع'!#REF!</f>
        <v>#REF!</v>
      </c>
      <c r="N64" s="189" t="e">
        <f>L64+J64+H64</f>
        <v>#REF!</v>
      </c>
      <c r="O64" s="189" t="e">
        <f>M64+K64+I64</f>
        <v>#REF!</v>
      </c>
      <c r="P64" s="192" t="e">
        <f>O64+N64</f>
        <v>#REF!</v>
      </c>
    </row>
    <row r="65" spans="1:16" ht="22.2" thickTop="1" thickBot="1" x14ac:dyDescent="0.45">
      <c r="A65" s="190"/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92"/>
    </row>
    <row r="66" spans="1:16" ht="22.2" thickTop="1" thickBot="1" x14ac:dyDescent="0.45">
      <c r="A66" s="190" t="s">
        <v>18</v>
      </c>
      <c r="B66" s="189" t="e">
        <f>'التعليم المسرع'!#REF!</f>
        <v>#REF!</v>
      </c>
      <c r="C66" s="189" t="e">
        <f>'التعليم المسرع'!#REF!</f>
        <v>#REF!</v>
      </c>
      <c r="D66" s="189" t="e">
        <f t="shared" ref="D66" si="23">C66+B66</f>
        <v>#REF!</v>
      </c>
      <c r="E66" s="189" t="e">
        <f>'التعليم المسرع'!#REF!</f>
        <v>#REF!</v>
      </c>
      <c r="F66" s="189" t="e">
        <f>'التعليم المسرع'!#REF!</f>
        <v>#REF!</v>
      </c>
      <c r="G66" s="189" t="e">
        <f t="shared" ref="G66" si="24">F66+E66</f>
        <v>#REF!</v>
      </c>
      <c r="H66" s="189" t="e">
        <f>'التعليم المسرع'!#REF!</f>
        <v>#REF!</v>
      </c>
      <c r="I66" s="189" t="e">
        <f>'التعليم المسرع'!#REF!</f>
        <v>#REF!</v>
      </c>
      <c r="J66" s="189" t="e">
        <f>'التعليم المسرع'!#REF!</f>
        <v>#REF!</v>
      </c>
      <c r="K66" s="189" t="e">
        <f>'التعليم المسرع'!#REF!</f>
        <v>#REF!</v>
      </c>
      <c r="L66" s="189" t="e">
        <f>'التعليم المسرع'!#REF!</f>
        <v>#REF!</v>
      </c>
      <c r="M66" s="189" t="e">
        <f>'التعليم المسرع'!#REF!</f>
        <v>#REF!</v>
      </c>
      <c r="N66" s="189" t="e">
        <f t="shared" ref="N66" si="25">L66+J66+H66</f>
        <v>#REF!</v>
      </c>
      <c r="O66" s="189" t="e">
        <f t="shared" ref="O66" si="26">M66+K66+I66</f>
        <v>#REF!</v>
      </c>
      <c r="P66" s="192" t="e">
        <f t="shared" ref="P66" si="27">O66+N66</f>
        <v>#REF!</v>
      </c>
    </row>
    <row r="67" spans="1:16" ht="22.2" thickTop="1" thickBot="1" x14ac:dyDescent="0.45">
      <c r="A67" s="190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92"/>
    </row>
    <row r="68" spans="1:16" ht="22.2" thickTop="1" thickBot="1" x14ac:dyDescent="0.45">
      <c r="A68" s="190" t="s">
        <v>19</v>
      </c>
      <c r="B68" s="189" t="e">
        <f>'التعليم المسرع'!#REF!</f>
        <v>#REF!</v>
      </c>
      <c r="C68" s="189" t="e">
        <f>'التعليم المسرع'!#REF!</f>
        <v>#REF!</v>
      </c>
      <c r="D68" s="189" t="e">
        <f t="shared" ref="D68" si="28">C68+B68</f>
        <v>#REF!</v>
      </c>
      <c r="E68" s="189" t="e">
        <f>'التعليم المسرع'!#REF!</f>
        <v>#REF!</v>
      </c>
      <c r="F68" s="189" t="e">
        <f>'التعليم المسرع'!#REF!</f>
        <v>#REF!</v>
      </c>
      <c r="G68" s="189" t="e">
        <f t="shared" ref="G68" si="29">F68+E68</f>
        <v>#REF!</v>
      </c>
      <c r="H68" s="189" t="e">
        <f>'التعليم المسرع'!#REF!</f>
        <v>#REF!</v>
      </c>
      <c r="I68" s="189" t="e">
        <f>'التعليم المسرع'!#REF!</f>
        <v>#REF!</v>
      </c>
      <c r="J68" s="189" t="e">
        <f>'التعليم المسرع'!#REF!</f>
        <v>#REF!</v>
      </c>
      <c r="K68" s="189" t="e">
        <f>'التعليم المسرع'!#REF!</f>
        <v>#REF!</v>
      </c>
      <c r="L68" s="189" t="e">
        <f>'التعليم المسرع'!#REF!</f>
        <v>#REF!</v>
      </c>
      <c r="M68" s="189" t="e">
        <f>'التعليم المسرع'!#REF!</f>
        <v>#REF!</v>
      </c>
      <c r="N68" s="189" t="e">
        <f t="shared" ref="N68" si="30">L68+J68+H68</f>
        <v>#REF!</v>
      </c>
      <c r="O68" s="189" t="e">
        <f t="shared" ref="O68" si="31">M68+K68+I68</f>
        <v>#REF!</v>
      </c>
      <c r="P68" s="192" t="e">
        <f t="shared" ref="P68" si="32">O68+N68</f>
        <v>#REF!</v>
      </c>
    </row>
    <row r="69" spans="1:16" ht="22.2" thickTop="1" thickBot="1" x14ac:dyDescent="0.45">
      <c r="A69" s="193"/>
      <c r="B69" s="191"/>
      <c r="C69" s="191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208"/>
    </row>
    <row r="70" spans="1:16" ht="21.6" thickTop="1" x14ac:dyDescent="0.4"/>
  </sheetData>
  <mergeCells count="245">
    <mergeCell ref="P68:P69"/>
    <mergeCell ref="C64:C65"/>
    <mergeCell ref="C66:C67"/>
    <mergeCell ref="C68:C69"/>
    <mergeCell ref="N68:N69"/>
    <mergeCell ref="O68:O69"/>
    <mergeCell ref="P64:P65"/>
    <mergeCell ref="E64:E65"/>
    <mergeCell ref="F64:F65"/>
    <mergeCell ref="E66:E67"/>
    <mergeCell ref="F66:F67"/>
    <mergeCell ref="E68:E69"/>
    <mergeCell ref="F68:F69"/>
    <mergeCell ref="N66:N67"/>
    <mergeCell ref="O66:O67"/>
    <mergeCell ref="P66:P67"/>
    <mergeCell ref="L64:L65"/>
    <mergeCell ref="M64:M65"/>
    <mergeCell ref="N64:N65"/>
    <mergeCell ref="O64:O65"/>
    <mergeCell ref="J64:J65"/>
    <mergeCell ref="K64:K65"/>
    <mergeCell ref="H66:H67"/>
    <mergeCell ref="I66:I67"/>
    <mergeCell ref="N60:P61"/>
    <mergeCell ref="B62:B63"/>
    <mergeCell ref="C62:C63"/>
    <mergeCell ref="E62:E63"/>
    <mergeCell ref="F62:F63"/>
    <mergeCell ref="L62:L63"/>
    <mergeCell ref="M62:M63"/>
    <mergeCell ref="N62:N63"/>
    <mergeCell ref="O62:O63"/>
    <mergeCell ref="P62:P63"/>
    <mergeCell ref="B8:D8"/>
    <mergeCell ref="G8:I8"/>
    <mergeCell ref="L8:N8"/>
    <mergeCell ref="B11:C11"/>
    <mergeCell ref="F11:H11"/>
    <mergeCell ref="K11:M11"/>
    <mergeCell ref="A1:C1"/>
    <mergeCell ref="A2:D2"/>
    <mergeCell ref="A3:O3"/>
    <mergeCell ref="B6:D6"/>
    <mergeCell ref="G6:I6"/>
    <mergeCell ref="L6:N6"/>
    <mergeCell ref="B16:G16"/>
    <mergeCell ref="F17:G17"/>
    <mergeCell ref="B18:B19"/>
    <mergeCell ref="C18:C19"/>
    <mergeCell ref="D18:D19"/>
    <mergeCell ref="E18:E19"/>
    <mergeCell ref="F18:G19"/>
    <mergeCell ref="B64:B65"/>
    <mergeCell ref="B20:B21"/>
    <mergeCell ref="C20:C21"/>
    <mergeCell ref="D20:D21"/>
    <mergeCell ref="E20:E21"/>
    <mergeCell ref="F20:G21"/>
    <mergeCell ref="B22:B23"/>
    <mergeCell ref="C22:C23"/>
    <mergeCell ref="D22:D23"/>
    <mergeCell ref="E22:E23"/>
    <mergeCell ref="F22:G23"/>
    <mergeCell ref="F42:F43"/>
    <mergeCell ref="G42:G43"/>
    <mergeCell ref="B32:B33"/>
    <mergeCell ref="C32:C33"/>
    <mergeCell ref="D32:D33"/>
    <mergeCell ref="E32:E33"/>
    <mergeCell ref="B68:B69"/>
    <mergeCell ref="F24:G24"/>
    <mergeCell ref="A36:C36"/>
    <mergeCell ref="B40:B41"/>
    <mergeCell ref="C40:D40"/>
    <mergeCell ref="E40:F40"/>
    <mergeCell ref="G40:H40"/>
    <mergeCell ref="I40:K40"/>
    <mergeCell ref="K42:K43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K44:K45"/>
    <mergeCell ref="B42:B43"/>
    <mergeCell ref="C42:C43"/>
    <mergeCell ref="D42:D43"/>
    <mergeCell ref="E42:E43"/>
    <mergeCell ref="B66:B67"/>
    <mergeCell ref="H42:H43"/>
    <mergeCell ref="I42:I43"/>
    <mergeCell ref="J42:J43"/>
    <mergeCell ref="K46:K47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K48:K49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I54:I55"/>
    <mergeCell ref="J54:J55"/>
    <mergeCell ref="K50:K51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K56:K57"/>
    <mergeCell ref="I16:M16"/>
    <mergeCell ref="I17:I18"/>
    <mergeCell ref="J17:J18"/>
    <mergeCell ref="K17:K18"/>
    <mergeCell ref="L17:L18"/>
    <mergeCell ref="M17:M18"/>
    <mergeCell ref="K54:K55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B54:B55"/>
    <mergeCell ref="C54:C55"/>
    <mergeCell ref="D54:D55"/>
    <mergeCell ref="E54:E55"/>
    <mergeCell ref="F54:F55"/>
    <mergeCell ref="G54:G55"/>
    <mergeCell ref="H54:H55"/>
    <mergeCell ref="I23:I24"/>
    <mergeCell ref="J23:J24"/>
    <mergeCell ref="K23:K24"/>
    <mergeCell ref="L23:L24"/>
    <mergeCell ref="M23:M24"/>
    <mergeCell ref="B27:K27"/>
    <mergeCell ref="I19:I20"/>
    <mergeCell ref="J19:J20"/>
    <mergeCell ref="K19:K20"/>
    <mergeCell ref="L19:L20"/>
    <mergeCell ref="M19:M20"/>
    <mergeCell ref="I21:I22"/>
    <mergeCell ref="J21:J22"/>
    <mergeCell ref="K21:K22"/>
    <mergeCell ref="L21:L22"/>
    <mergeCell ref="M21:M22"/>
    <mergeCell ref="H28:H29"/>
    <mergeCell ref="I28:I29"/>
    <mergeCell ref="J28:K29"/>
    <mergeCell ref="B30:B31"/>
    <mergeCell ref="C30:C31"/>
    <mergeCell ref="D30:D31"/>
    <mergeCell ref="E30:E31"/>
    <mergeCell ref="F30:F31"/>
    <mergeCell ref="G30:G31"/>
    <mergeCell ref="H30:H31"/>
    <mergeCell ref="B28:B29"/>
    <mergeCell ref="C28:C29"/>
    <mergeCell ref="D28:D29"/>
    <mergeCell ref="E28:E29"/>
    <mergeCell ref="F28:F29"/>
    <mergeCell ref="G28:G29"/>
    <mergeCell ref="I30:I31"/>
    <mergeCell ref="J30:K31"/>
    <mergeCell ref="F32:F33"/>
    <mergeCell ref="G32:G33"/>
    <mergeCell ref="H32:H33"/>
    <mergeCell ref="I32:I33"/>
    <mergeCell ref="J32:K33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A60:A63"/>
    <mergeCell ref="A64:A65"/>
    <mergeCell ref="A66:A67"/>
    <mergeCell ref="A68:A69"/>
    <mergeCell ref="B60:D61"/>
    <mergeCell ref="E60:G61"/>
    <mergeCell ref="H60:M60"/>
    <mergeCell ref="H61:I61"/>
    <mergeCell ref="J61:K61"/>
    <mergeCell ref="L61:M61"/>
    <mergeCell ref="D62:D63"/>
    <mergeCell ref="G62:G63"/>
    <mergeCell ref="H62:H63"/>
    <mergeCell ref="I62:I63"/>
    <mergeCell ref="J62:J63"/>
    <mergeCell ref="K62:K63"/>
    <mergeCell ref="D64:D65"/>
    <mergeCell ref="D66:D67"/>
    <mergeCell ref="D68:D69"/>
    <mergeCell ref="G64:G65"/>
    <mergeCell ref="G66:G67"/>
    <mergeCell ref="G68:G69"/>
    <mergeCell ref="H64:H65"/>
    <mergeCell ref="I64:I65"/>
    <mergeCell ref="J66:J67"/>
    <mergeCell ref="K66:K67"/>
    <mergeCell ref="L66:L67"/>
    <mergeCell ref="M66:M67"/>
    <mergeCell ref="H68:H69"/>
    <mergeCell ref="I68:I69"/>
    <mergeCell ref="J68:J69"/>
    <mergeCell ref="K68:K69"/>
    <mergeCell ref="L68:L69"/>
    <mergeCell ref="M68:M69"/>
  </mergeCells>
  <printOptions horizontalCentered="1" verticalCentered="1"/>
  <pageMargins left="0.23622047244094491" right="0.23622047244094491" top="0.19685039370078741" bottom="0.19685039370078741" header="0.19685039370078741" footer="0.19685039370078741"/>
  <pageSetup paperSize="9" scale="63" orientation="landscape" horizontalDpi="300" verticalDpi="300" r:id="rId1"/>
  <rowBreaks count="1" manualBreakCount="1">
    <brk id="35" max="15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U69"/>
  <sheetViews>
    <sheetView rightToLeft="1" view="pageBreakPreview" topLeftCell="A43" zoomScale="70" zoomScaleSheetLayoutView="70" workbookViewId="0">
      <selection activeCell="B67" sqref="B67:B68"/>
    </sheetView>
  </sheetViews>
  <sheetFormatPr defaultColWidth="9" defaultRowHeight="21" x14ac:dyDescent="0.4"/>
  <cols>
    <col min="1" max="1" width="16.796875" style="9" customWidth="1"/>
    <col min="2" max="2" width="16.09765625" style="9" customWidth="1"/>
    <col min="3" max="3" width="10.796875" style="9" customWidth="1"/>
    <col min="4" max="8" width="9" style="9"/>
    <col min="9" max="9" width="13.19921875" style="9" customWidth="1"/>
    <col min="10" max="10" width="14.796875" style="9" customWidth="1"/>
    <col min="11" max="11" width="10.296875" style="9" customWidth="1"/>
    <col min="12" max="16384" width="9" style="9"/>
  </cols>
  <sheetData>
    <row r="1" spans="1:15" x14ac:dyDescent="0.4">
      <c r="A1" s="181" t="s">
        <v>55</v>
      </c>
      <c r="B1" s="181"/>
      <c r="C1" s="181"/>
    </row>
    <row r="2" spans="1:15" x14ac:dyDescent="0.4">
      <c r="A2" s="181" t="s">
        <v>56</v>
      </c>
      <c r="B2" s="181"/>
      <c r="C2" s="181"/>
      <c r="D2" s="181"/>
    </row>
    <row r="3" spans="1:15" x14ac:dyDescent="0.4">
      <c r="A3" s="181" t="s">
        <v>162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</row>
    <row r="4" spans="1:15" x14ac:dyDescent="0.4">
      <c r="E4" s="9" t="s">
        <v>266</v>
      </c>
    </row>
    <row r="5" spans="1:15" ht="21.6" thickBot="1" x14ac:dyDescent="0.45"/>
    <row r="6" spans="1:15" ht="22.2" thickTop="1" thickBot="1" x14ac:dyDescent="0.45">
      <c r="A6" s="9" t="s">
        <v>1</v>
      </c>
      <c r="B6" s="209" t="s">
        <v>166</v>
      </c>
      <c r="C6" s="211"/>
      <c r="D6" s="210"/>
      <c r="F6" s="9" t="s">
        <v>2</v>
      </c>
      <c r="G6" s="209" t="s">
        <v>151</v>
      </c>
      <c r="H6" s="211"/>
      <c r="I6" s="210"/>
      <c r="K6" s="9" t="s">
        <v>0</v>
      </c>
      <c r="L6" s="209" t="s">
        <v>152</v>
      </c>
      <c r="M6" s="211"/>
      <c r="N6" s="210"/>
    </row>
    <row r="7" spans="1:15" ht="22.2" thickTop="1" thickBot="1" x14ac:dyDescent="0.45"/>
    <row r="8" spans="1:15" ht="22.2" thickTop="1" thickBot="1" x14ac:dyDescent="0.45">
      <c r="A8" s="9" t="s">
        <v>43</v>
      </c>
      <c r="B8" s="209" t="e">
        <f>'التعليم المسرع'!#REF!+'التعليم المسرع'!#REF!</f>
        <v>#REF!</v>
      </c>
      <c r="C8" s="211"/>
      <c r="D8" s="210"/>
      <c r="F8" s="9" t="s">
        <v>3</v>
      </c>
      <c r="G8" s="209" t="e">
        <f>'التعليم المسرع'!#REF!</f>
        <v>#REF!</v>
      </c>
      <c r="H8" s="211"/>
      <c r="I8" s="210"/>
      <c r="K8" s="9" t="s">
        <v>4</v>
      </c>
      <c r="L8" s="209" t="e">
        <f>'التعليم المسرع'!#REF!</f>
        <v>#REF!</v>
      </c>
      <c r="M8" s="211"/>
      <c r="N8" s="210"/>
    </row>
    <row r="9" spans="1:15" ht="21.6" thickTop="1" x14ac:dyDescent="0.4"/>
    <row r="10" spans="1:15" ht="21.6" thickBot="1" x14ac:dyDescent="0.45"/>
    <row r="11" spans="1:15" s="31" customFormat="1" ht="27.75" customHeight="1" thickTop="1" thickBot="1" x14ac:dyDescent="0.3">
      <c r="B11" s="165" t="s">
        <v>5</v>
      </c>
      <c r="C11" s="166"/>
      <c r="F11" s="165" t="s">
        <v>6</v>
      </c>
      <c r="G11" s="169"/>
      <c r="H11" s="166"/>
      <c r="K11" s="165" t="s">
        <v>7</v>
      </c>
      <c r="L11" s="169"/>
      <c r="M11" s="166"/>
    </row>
    <row r="12" spans="1:15" s="31" customFormat="1" ht="27.75" customHeight="1" thickTop="1" thickBot="1" x14ac:dyDescent="0.3">
      <c r="B12" s="22" t="s">
        <v>8</v>
      </c>
      <c r="C12" s="37" t="s">
        <v>9</v>
      </c>
      <c r="F12" s="38" t="s">
        <v>10</v>
      </c>
      <c r="G12" s="39" t="s">
        <v>11</v>
      </c>
      <c r="H12" s="40" t="s">
        <v>12</v>
      </c>
      <c r="K12" s="22" t="s">
        <v>13</v>
      </c>
      <c r="L12" s="23" t="s">
        <v>14</v>
      </c>
      <c r="M12" s="37" t="s">
        <v>15</v>
      </c>
    </row>
    <row r="13" spans="1:15" ht="27.75" customHeight="1" thickTop="1" thickBot="1" x14ac:dyDescent="0.45">
      <c r="B13" s="16" t="e">
        <f>'التعليم المسرع'!#REF!</f>
        <v>#REF!</v>
      </c>
      <c r="C13" s="17" t="e">
        <f>'التعليم المسرع'!#REF!</f>
        <v>#REF!</v>
      </c>
      <c r="F13" s="18" t="e">
        <f>'التعليم المسرع'!#REF!</f>
        <v>#REF!</v>
      </c>
      <c r="G13" s="19" t="e">
        <f>'التعليم المسرع'!#REF!</f>
        <v>#REF!</v>
      </c>
      <c r="H13" s="20" t="e">
        <f>'التعليم المسرع'!#REF!</f>
        <v>#REF!</v>
      </c>
      <c r="K13" s="16" t="e">
        <f>'التعليم المسرع'!#REF!</f>
        <v>#REF!</v>
      </c>
      <c r="L13" s="21" t="e">
        <f>'التعليم المسرع'!#REF!</f>
        <v>#REF!</v>
      </c>
      <c r="M13" s="17" t="e">
        <f>SUM(K13:L13)</f>
        <v>#REF!</v>
      </c>
    </row>
    <row r="14" spans="1:15" ht="21.6" thickTop="1" x14ac:dyDescent="0.4"/>
    <row r="15" spans="1:15" ht="21.6" thickBot="1" x14ac:dyDescent="0.45"/>
    <row r="16" spans="1:15" s="31" customFormat="1" ht="33.75" customHeight="1" thickTop="1" thickBot="1" x14ac:dyDescent="0.3">
      <c r="B16" s="165" t="s">
        <v>20</v>
      </c>
      <c r="C16" s="169"/>
      <c r="D16" s="169"/>
      <c r="E16" s="169"/>
      <c r="F16" s="169"/>
      <c r="G16" s="166"/>
      <c r="I16" s="165" t="s">
        <v>30</v>
      </c>
      <c r="J16" s="169"/>
      <c r="K16" s="169"/>
      <c r="L16" s="169"/>
      <c r="M16" s="166"/>
    </row>
    <row r="17" spans="2:13" ht="30.75" customHeight="1" thickTop="1" thickBot="1" x14ac:dyDescent="0.45">
      <c r="B17" s="22" t="s">
        <v>16</v>
      </c>
      <c r="C17" s="23" t="s">
        <v>10</v>
      </c>
      <c r="D17" s="23" t="s">
        <v>11</v>
      </c>
      <c r="E17" s="23" t="s">
        <v>12</v>
      </c>
      <c r="F17" s="167" t="s">
        <v>15</v>
      </c>
      <c r="G17" s="168"/>
      <c r="I17" s="194" t="s">
        <v>31</v>
      </c>
      <c r="J17" s="195" t="s">
        <v>44</v>
      </c>
      <c r="K17" s="195" t="s">
        <v>45</v>
      </c>
      <c r="L17" s="195" t="s">
        <v>46</v>
      </c>
      <c r="M17" s="196" t="s">
        <v>47</v>
      </c>
    </row>
    <row r="18" spans="2:13" ht="22.2" thickTop="1" thickBot="1" x14ac:dyDescent="0.45">
      <c r="B18" s="170" t="s">
        <v>17</v>
      </c>
      <c r="C18" s="170" t="e">
        <f>'التعليم المسرع'!#REF!</f>
        <v>#REF!</v>
      </c>
      <c r="D18" s="170" t="e">
        <f>'التعليم المسرع'!#REF!</f>
        <v>#REF!</v>
      </c>
      <c r="E18" s="170" t="e">
        <f>'التعليم المسرع'!#REF!</f>
        <v>#REF!</v>
      </c>
      <c r="F18" s="172" t="e">
        <f>C18+D18+E18</f>
        <v>#REF!</v>
      </c>
      <c r="G18" s="173"/>
      <c r="I18" s="190"/>
      <c r="J18" s="189"/>
      <c r="K18" s="189"/>
      <c r="L18" s="189"/>
      <c r="M18" s="192"/>
    </row>
    <row r="19" spans="2:13" ht="22.2" thickTop="1" thickBot="1" x14ac:dyDescent="0.45">
      <c r="B19" s="171"/>
      <c r="C19" s="171"/>
      <c r="D19" s="171"/>
      <c r="E19" s="171"/>
      <c r="F19" s="174"/>
      <c r="G19" s="175"/>
      <c r="I19" s="190" t="s">
        <v>13</v>
      </c>
      <c r="J19" s="189" t="e">
        <f>'التعليم المسرع'!#REF!</f>
        <v>#REF!</v>
      </c>
      <c r="K19" s="189" t="e">
        <f>'التعليم المسرع'!#REF!</f>
        <v>#REF!</v>
      </c>
      <c r="L19" s="189" t="e">
        <f>'التعليم المسرع'!#REF!</f>
        <v>#REF!</v>
      </c>
      <c r="M19" s="192" t="e">
        <f>SUM(J19:L19)</f>
        <v>#REF!</v>
      </c>
    </row>
    <row r="20" spans="2:13" ht="22.2" thickTop="1" thickBot="1" x14ac:dyDescent="0.45">
      <c r="B20" s="170" t="s">
        <v>18</v>
      </c>
      <c r="C20" s="170" t="e">
        <f>'التعليم المسرع'!#REF!</f>
        <v>#REF!</v>
      </c>
      <c r="D20" s="170" t="e">
        <f>'التعليم المسرع'!#REF!</f>
        <v>#REF!</v>
      </c>
      <c r="E20" s="170" t="e">
        <f>'التعليم المسرع'!#REF!</f>
        <v>#REF!</v>
      </c>
      <c r="F20" s="172" t="e">
        <f t="shared" ref="F20" si="0">C20+D20+E20</f>
        <v>#REF!</v>
      </c>
      <c r="G20" s="173"/>
      <c r="I20" s="190"/>
      <c r="J20" s="189"/>
      <c r="K20" s="189"/>
      <c r="L20" s="189"/>
      <c r="M20" s="192"/>
    </row>
    <row r="21" spans="2:13" ht="22.2" thickTop="1" thickBot="1" x14ac:dyDescent="0.45">
      <c r="B21" s="171"/>
      <c r="C21" s="171"/>
      <c r="D21" s="171"/>
      <c r="E21" s="171"/>
      <c r="F21" s="174"/>
      <c r="G21" s="175"/>
      <c r="I21" s="190" t="s">
        <v>14</v>
      </c>
      <c r="J21" s="189" t="e">
        <f>'التعليم المسرع'!#REF!</f>
        <v>#REF!</v>
      </c>
      <c r="K21" s="189" t="e">
        <f>'التعليم المسرع'!#REF!</f>
        <v>#REF!</v>
      </c>
      <c r="L21" s="189" t="e">
        <f>'التعليم المسرع'!#REF!</f>
        <v>#REF!</v>
      </c>
      <c r="M21" s="192" t="e">
        <f>SUM(J21:L21)</f>
        <v>#REF!</v>
      </c>
    </row>
    <row r="22" spans="2:13" ht="22.2" thickTop="1" thickBot="1" x14ac:dyDescent="0.45">
      <c r="B22" s="170" t="s">
        <v>19</v>
      </c>
      <c r="C22" s="170" t="e">
        <f>'التعليم المسرع'!#REF!</f>
        <v>#REF!</v>
      </c>
      <c r="D22" s="170" t="e">
        <f>'التعليم المسرع'!#REF!</f>
        <v>#REF!</v>
      </c>
      <c r="E22" s="170" t="e">
        <f>'التعليم المسرع'!#REF!</f>
        <v>#REF!</v>
      </c>
      <c r="F22" s="172" t="e">
        <f t="shared" ref="F22" si="1">C22+D22+E22</f>
        <v>#REF!</v>
      </c>
      <c r="G22" s="173"/>
      <c r="I22" s="190"/>
      <c r="J22" s="189"/>
      <c r="K22" s="189"/>
      <c r="L22" s="189"/>
      <c r="M22" s="192"/>
    </row>
    <row r="23" spans="2:13" ht="22.2" thickTop="1" thickBot="1" x14ac:dyDescent="0.45">
      <c r="B23" s="171"/>
      <c r="C23" s="171"/>
      <c r="D23" s="171"/>
      <c r="E23" s="171"/>
      <c r="F23" s="174"/>
      <c r="G23" s="175"/>
      <c r="I23" s="190" t="s">
        <v>15</v>
      </c>
      <c r="J23" s="189" t="e">
        <f>J19+J21</f>
        <v>#REF!</v>
      </c>
      <c r="K23" s="189" t="e">
        <f t="shared" ref="K23:M23" si="2">K19+K21</f>
        <v>#REF!</v>
      </c>
      <c r="L23" s="189" t="e">
        <f t="shared" si="2"/>
        <v>#REF!</v>
      </c>
      <c r="M23" s="192" t="e">
        <f t="shared" si="2"/>
        <v>#REF!</v>
      </c>
    </row>
    <row r="24" spans="2:13" ht="35.25" customHeight="1" thickTop="1" thickBot="1" x14ac:dyDescent="0.45">
      <c r="B24" s="24" t="s">
        <v>15</v>
      </c>
      <c r="C24" s="25" t="e">
        <f>SUM(C18:C23)</f>
        <v>#REF!</v>
      </c>
      <c r="D24" s="25" t="e">
        <f>SUM(D18:D23)</f>
        <v>#REF!</v>
      </c>
      <c r="E24" s="25" t="e">
        <f>SUM(E18:E23)</f>
        <v>#REF!</v>
      </c>
      <c r="F24" s="185" t="e">
        <f>C24+D24+E24</f>
        <v>#REF!</v>
      </c>
      <c r="G24" s="166"/>
      <c r="I24" s="193"/>
      <c r="J24" s="191"/>
      <c r="K24" s="191"/>
      <c r="L24" s="191"/>
      <c r="M24" s="208"/>
    </row>
    <row r="25" spans="2:13" ht="22.2" thickTop="1" thickBot="1" x14ac:dyDescent="0.45"/>
    <row r="26" spans="2:13" s="31" customFormat="1" ht="29.25" customHeight="1" thickTop="1" thickBot="1" x14ac:dyDescent="0.3">
      <c r="B26" s="165" t="s">
        <v>39</v>
      </c>
      <c r="C26" s="169"/>
      <c r="D26" s="169"/>
      <c r="E26" s="169"/>
      <c r="F26" s="169"/>
      <c r="G26" s="169"/>
      <c r="H26" s="169"/>
      <c r="I26" s="169"/>
      <c r="J26" s="169"/>
      <c r="K26" s="166"/>
      <c r="L26" s="36"/>
      <c r="M26" s="36"/>
    </row>
    <row r="27" spans="2:13" ht="33" customHeight="1" thickTop="1" thickBot="1" x14ac:dyDescent="0.45">
      <c r="B27" s="212" t="s">
        <v>40</v>
      </c>
      <c r="C27" s="206" t="s">
        <v>32</v>
      </c>
      <c r="D27" s="206" t="s">
        <v>33</v>
      </c>
      <c r="E27" s="206" t="s">
        <v>34</v>
      </c>
      <c r="F27" s="223" t="s">
        <v>35</v>
      </c>
      <c r="G27" s="206" t="s">
        <v>36</v>
      </c>
      <c r="H27" s="206" t="s">
        <v>37</v>
      </c>
      <c r="I27" s="206" t="s">
        <v>38</v>
      </c>
      <c r="J27" s="195" t="s">
        <v>15</v>
      </c>
      <c r="K27" s="196"/>
      <c r="L27" s="26"/>
      <c r="M27" s="26"/>
    </row>
    <row r="28" spans="2:13" ht="49.5" customHeight="1" thickTop="1" thickBot="1" x14ac:dyDescent="0.45">
      <c r="B28" s="213"/>
      <c r="C28" s="207"/>
      <c r="D28" s="207"/>
      <c r="E28" s="207"/>
      <c r="F28" s="224"/>
      <c r="G28" s="207"/>
      <c r="H28" s="207"/>
      <c r="I28" s="207"/>
      <c r="J28" s="189"/>
      <c r="K28" s="192"/>
      <c r="L28" s="26"/>
      <c r="M28" s="26"/>
    </row>
    <row r="29" spans="2:13" ht="22.2" thickTop="1" thickBot="1" x14ac:dyDescent="0.45">
      <c r="B29" s="190" t="s">
        <v>13</v>
      </c>
      <c r="C29" s="189" t="e">
        <f>'التعليم المسرع'!#REF!</f>
        <v>#REF!</v>
      </c>
      <c r="D29" s="189" t="e">
        <f>'التعليم المسرع'!#REF!</f>
        <v>#REF!</v>
      </c>
      <c r="E29" s="189" t="e">
        <f>'التعليم المسرع'!#REF!</f>
        <v>#REF!</v>
      </c>
      <c r="F29" s="189" t="e">
        <f>'التعليم المسرع'!#REF!</f>
        <v>#REF!</v>
      </c>
      <c r="G29" s="189" t="e">
        <f>'التعليم المسرع'!#REF!</f>
        <v>#REF!</v>
      </c>
      <c r="H29" s="189" t="e">
        <f>'التعليم المسرع'!#REF!</f>
        <v>#REF!</v>
      </c>
      <c r="I29" s="189" t="e">
        <f>'التعليم المسرع'!#REF!</f>
        <v>#REF!</v>
      </c>
      <c r="J29" s="189" t="e">
        <f>I29+H29+G29+F29+E29+D29+C29</f>
        <v>#REF!</v>
      </c>
      <c r="K29" s="192"/>
      <c r="L29" s="26"/>
      <c r="M29" s="26"/>
    </row>
    <row r="30" spans="2:13" ht="22.2" thickTop="1" thickBot="1" x14ac:dyDescent="0.45">
      <c r="B30" s="190"/>
      <c r="C30" s="189"/>
      <c r="D30" s="189"/>
      <c r="E30" s="189"/>
      <c r="F30" s="189"/>
      <c r="G30" s="189"/>
      <c r="H30" s="189"/>
      <c r="I30" s="189"/>
      <c r="J30" s="189"/>
      <c r="K30" s="192"/>
      <c r="L30" s="26"/>
      <c r="M30" s="26"/>
    </row>
    <row r="31" spans="2:13" ht="22.2" thickTop="1" thickBot="1" x14ac:dyDescent="0.45">
      <c r="B31" s="190" t="s">
        <v>14</v>
      </c>
      <c r="C31" s="189" t="e">
        <f>'التعليم المسرع'!#REF!</f>
        <v>#REF!</v>
      </c>
      <c r="D31" s="189" t="e">
        <f>'التعليم المسرع'!#REF!</f>
        <v>#REF!</v>
      </c>
      <c r="E31" s="189" t="e">
        <f>'التعليم المسرع'!#REF!</f>
        <v>#REF!</v>
      </c>
      <c r="F31" s="189" t="e">
        <f>'التعليم المسرع'!#REF!</f>
        <v>#REF!</v>
      </c>
      <c r="G31" s="189" t="e">
        <f>'التعليم المسرع'!#REF!</f>
        <v>#REF!</v>
      </c>
      <c r="H31" s="189" t="e">
        <f>'التعليم المسرع'!#REF!</f>
        <v>#REF!</v>
      </c>
      <c r="I31" s="189" t="e">
        <f>'التعليم المسرع'!#REF!</f>
        <v>#REF!</v>
      </c>
      <c r="J31" s="189" t="e">
        <f t="shared" ref="J31" si="3">I31+H31+G31+F31+E31+D31+C31</f>
        <v>#REF!</v>
      </c>
      <c r="K31" s="192"/>
      <c r="L31" s="26"/>
      <c r="M31" s="26"/>
    </row>
    <row r="32" spans="2:13" ht="22.2" thickTop="1" thickBot="1" x14ac:dyDescent="0.45">
      <c r="B32" s="190"/>
      <c r="C32" s="189"/>
      <c r="D32" s="189"/>
      <c r="E32" s="189"/>
      <c r="F32" s="189"/>
      <c r="G32" s="189"/>
      <c r="H32" s="189"/>
      <c r="I32" s="189"/>
      <c r="J32" s="189"/>
      <c r="K32" s="192"/>
      <c r="L32" s="26"/>
      <c r="M32" s="26"/>
    </row>
    <row r="33" spans="1:14" ht="22.2" thickTop="1" thickBot="1" x14ac:dyDescent="0.45">
      <c r="B33" s="190" t="s">
        <v>15</v>
      </c>
      <c r="C33" s="189" t="e">
        <f>C29+C31</f>
        <v>#REF!</v>
      </c>
      <c r="D33" s="189" t="e">
        <f t="shared" ref="D33:I33" si="4">D29+D31</f>
        <v>#REF!</v>
      </c>
      <c r="E33" s="189" t="e">
        <f t="shared" si="4"/>
        <v>#REF!</v>
      </c>
      <c r="F33" s="189" t="e">
        <f t="shared" si="4"/>
        <v>#REF!</v>
      </c>
      <c r="G33" s="189" t="e">
        <f t="shared" si="4"/>
        <v>#REF!</v>
      </c>
      <c r="H33" s="189" t="e">
        <f t="shared" si="4"/>
        <v>#REF!</v>
      </c>
      <c r="I33" s="189" t="e">
        <f t="shared" si="4"/>
        <v>#REF!</v>
      </c>
      <c r="J33" s="189" t="e">
        <f t="shared" ref="J33" si="5">I33+H33+G33+F33+E33+D33+C33</f>
        <v>#REF!</v>
      </c>
      <c r="K33" s="192"/>
      <c r="L33" s="26"/>
      <c r="M33" s="26"/>
    </row>
    <row r="34" spans="1:14" ht="22.2" thickTop="1" thickBot="1" x14ac:dyDescent="0.45">
      <c r="B34" s="193"/>
      <c r="C34" s="191"/>
      <c r="D34" s="191"/>
      <c r="E34" s="191"/>
      <c r="F34" s="191"/>
      <c r="G34" s="191"/>
      <c r="H34" s="191"/>
      <c r="I34" s="191"/>
      <c r="J34" s="191"/>
      <c r="K34" s="208"/>
      <c r="L34" s="26"/>
      <c r="M34" s="26"/>
    </row>
    <row r="35" spans="1:14" ht="21.6" thickTop="1" x14ac:dyDescent="0.4"/>
    <row r="36" spans="1:14" ht="28.5" customHeight="1" x14ac:dyDescent="0.4">
      <c r="A36" s="181" t="s">
        <v>55</v>
      </c>
      <c r="B36" s="181"/>
      <c r="C36" s="181"/>
    </row>
    <row r="37" spans="1:14" x14ac:dyDescent="0.4">
      <c r="A37" s="181" t="s">
        <v>56</v>
      </c>
      <c r="B37" s="181"/>
      <c r="C37" s="181"/>
      <c r="D37" s="181"/>
      <c r="K37" s="9" t="s">
        <v>173</v>
      </c>
    </row>
    <row r="38" spans="1:14" x14ac:dyDescent="0.4">
      <c r="D38" s="9" t="s">
        <v>52</v>
      </c>
    </row>
    <row r="39" spans="1:14" ht="21.6" thickBot="1" x14ac:dyDescent="0.45"/>
    <row r="40" spans="1:14" ht="30.75" customHeight="1" thickTop="1" thickBot="1" x14ac:dyDescent="0.45">
      <c r="B40" s="203" t="s">
        <v>28</v>
      </c>
      <c r="C40" s="185" t="s">
        <v>17</v>
      </c>
      <c r="D40" s="229"/>
      <c r="E40" s="185" t="s">
        <v>18</v>
      </c>
      <c r="F40" s="229"/>
      <c r="G40" s="185" t="s">
        <v>19</v>
      </c>
      <c r="H40" s="229"/>
      <c r="I40" s="185" t="s">
        <v>29</v>
      </c>
      <c r="J40" s="169"/>
      <c r="K40" s="229"/>
      <c r="L40" s="26"/>
      <c r="M40" s="26"/>
      <c r="N40" s="26"/>
    </row>
    <row r="41" spans="1:14" ht="33.75" customHeight="1" thickTop="1" thickBot="1" x14ac:dyDescent="0.45">
      <c r="B41" s="197"/>
      <c r="C41" s="29" t="s">
        <v>10</v>
      </c>
      <c r="D41" s="29" t="s">
        <v>11</v>
      </c>
      <c r="E41" s="29" t="s">
        <v>10</v>
      </c>
      <c r="F41" s="29" t="s">
        <v>11</v>
      </c>
      <c r="G41" s="29" t="s">
        <v>10</v>
      </c>
      <c r="H41" s="29" t="s">
        <v>11</v>
      </c>
      <c r="I41" s="29" t="s">
        <v>10</v>
      </c>
      <c r="J41" s="29" t="s">
        <v>11</v>
      </c>
      <c r="K41" s="29" t="s">
        <v>15</v>
      </c>
      <c r="L41" s="26"/>
      <c r="M41" s="26"/>
      <c r="N41" s="26"/>
    </row>
    <row r="42" spans="1:14" ht="21.6" thickTop="1" x14ac:dyDescent="0.4">
      <c r="B42" s="203" t="s">
        <v>21</v>
      </c>
      <c r="C42" s="203" t="e">
        <f>'التعليم المسرع'!#REF!</f>
        <v>#REF!</v>
      </c>
      <c r="D42" s="203" t="e">
        <f>'التعليم المسرع'!#REF!</f>
        <v>#REF!</v>
      </c>
      <c r="E42" s="203" t="e">
        <f>'التعليم المسرع'!#REF!</f>
        <v>#REF!</v>
      </c>
      <c r="F42" s="203" t="e">
        <f>'التعليم المسرع'!#REF!</f>
        <v>#REF!</v>
      </c>
      <c r="G42" s="203" t="e">
        <f>'التعليم المسرع'!#REF!</f>
        <v>#REF!</v>
      </c>
      <c r="H42" s="203" t="e">
        <f>'التعليم المسرع'!#REF!</f>
        <v>#REF!</v>
      </c>
      <c r="I42" s="203" t="e">
        <f>C42+E42+G42</f>
        <v>#REF!</v>
      </c>
      <c r="J42" s="203" t="e">
        <f>D42+F42+H42</f>
        <v>#REF!</v>
      </c>
      <c r="K42" s="203" t="e">
        <f>SUM(I42:J42)</f>
        <v>#REF!</v>
      </c>
      <c r="L42" s="26"/>
      <c r="M42" s="26"/>
      <c r="N42" s="26"/>
    </row>
    <row r="43" spans="1:14" ht="21.6" thickBot="1" x14ac:dyDescent="0.45">
      <c r="B43" s="197"/>
      <c r="C43" s="197"/>
      <c r="D43" s="197"/>
      <c r="E43" s="197"/>
      <c r="F43" s="197"/>
      <c r="G43" s="197"/>
      <c r="H43" s="197"/>
      <c r="I43" s="197"/>
      <c r="J43" s="197"/>
      <c r="K43" s="197"/>
      <c r="L43" s="26"/>
      <c r="M43" s="26"/>
      <c r="N43" s="26"/>
    </row>
    <row r="44" spans="1:14" ht="21.6" thickTop="1" x14ac:dyDescent="0.4">
      <c r="B44" s="203" t="s">
        <v>22</v>
      </c>
      <c r="C44" s="203" t="e">
        <f>'التعليم المسرع'!#REF!</f>
        <v>#REF!</v>
      </c>
      <c r="D44" s="203" t="e">
        <f>'التعليم المسرع'!#REF!</f>
        <v>#REF!</v>
      </c>
      <c r="E44" s="228" t="e">
        <f>'التعليم المسرع'!#REF!</f>
        <v>#REF!</v>
      </c>
      <c r="F44" s="228" t="e">
        <f>'التعليم المسرع'!#REF!</f>
        <v>#REF!</v>
      </c>
      <c r="G44" s="203" t="e">
        <f>'التعليم المسرع'!#REF!</f>
        <v>#REF!</v>
      </c>
      <c r="H44" s="203" t="e">
        <f>'التعليم المسرع'!#REF!</f>
        <v>#REF!</v>
      </c>
      <c r="I44" s="203" t="e">
        <f t="shared" ref="I44:J44" si="6">C44+E44+G44</f>
        <v>#REF!</v>
      </c>
      <c r="J44" s="203" t="e">
        <f t="shared" si="6"/>
        <v>#REF!</v>
      </c>
      <c r="K44" s="203" t="e">
        <f t="shared" ref="K44" si="7">SUM(I44:J44)</f>
        <v>#REF!</v>
      </c>
      <c r="L44" s="26"/>
      <c r="M44" s="26"/>
      <c r="N44" s="26"/>
    </row>
    <row r="45" spans="1:14" ht="21.6" thickBot="1" x14ac:dyDescent="0.45">
      <c r="B45" s="197"/>
      <c r="C45" s="197"/>
      <c r="D45" s="197"/>
      <c r="E45" s="198"/>
      <c r="F45" s="198"/>
      <c r="G45" s="197"/>
      <c r="H45" s="197"/>
      <c r="I45" s="197"/>
      <c r="J45" s="197"/>
      <c r="K45" s="197"/>
      <c r="L45" s="26"/>
      <c r="M45" s="26"/>
      <c r="N45" s="26"/>
    </row>
    <row r="46" spans="1:14" ht="21.6" thickTop="1" x14ac:dyDescent="0.4">
      <c r="B46" s="203" t="s">
        <v>23</v>
      </c>
      <c r="C46" s="203" t="e">
        <f>'التعليم المسرع'!#REF!</f>
        <v>#REF!</v>
      </c>
      <c r="D46" s="203" t="e">
        <f>'التعليم المسرع'!#REF!</f>
        <v>#REF!</v>
      </c>
      <c r="E46" s="228" t="e">
        <f>'التعليم المسرع'!#REF!</f>
        <v>#REF!</v>
      </c>
      <c r="F46" s="228" t="e">
        <f>'التعليم المسرع'!#REF!</f>
        <v>#REF!</v>
      </c>
      <c r="G46" s="203" t="e">
        <f>'التعليم المسرع'!#REF!</f>
        <v>#REF!</v>
      </c>
      <c r="H46" s="203" t="e">
        <f>'التعليم المسرع'!#REF!</f>
        <v>#REF!</v>
      </c>
      <c r="I46" s="203" t="e">
        <f t="shared" ref="I46:J46" si="8">C46+E46+G46</f>
        <v>#REF!</v>
      </c>
      <c r="J46" s="203" t="e">
        <f t="shared" si="8"/>
        <v>#REF!</v>
      </c>
      <c r="K46" s="203" t="e">
        <f t="shared" ref="K46" si="9">SUM(I46:J46)</f>
        <v>#REF!</v>
      </c>
      <c r="L46" s="26"/>
      <c r="M46" s="26"/>
      <c r="N46" s="26"/>
    </row>
    <row r="47" spans="1:14" ht="21.6" thickBot="1" x14ac:dyDescent="0.45">
      <c r="B47" s="197"/>
      <c r="C47" s="197"/>
      <c r="D47" s="197"/>
      <c r="E47" s="198"/>
      <c r="F47" s="198"/>
      <c r="G47" s="197"/>
      <c r="H47" s="197"/>
      <c r="I47" s="197"/>
      <c r="J47" s="197"/>
      <c r="K47" s="197"/>
      <c r="L47" s="26"/>
      <c r="M47" s="26"/>
      <c r="N47" s="26"/>
    </row>
    <row r="48" spans="1:14" ht="21.6" thickTop="1" x14ac:dyDescent="0.4">
      <c r="B48" s="203" t="s">
        <v>24</v>
      </c>
      <c r="C48" s="203" t="e">
        <f>'التعليم المسرع'!#REF!</f>
        <v>#REF!</v>
      </c>
      <c r="D48" s="203" t="e">
        <f>'التعليم المسرع'!#REF!</f>
        <v>#REF!</v>
      </c>
      <c r="E48" s="228" t="e">
        <f>'التعليم المسرع'!#REF!</f>
        <v>#REF!</v>
      </c>
      <c r="F48" s="228" t="e">
        <f>'التعليم المسرع'!#REF!</f>
        <v>#REF!</v>
      </c>
      <c r="G48" s="203" t="e">
        <f>'التعليم المسرع'!#REF!</f>
        <v>#REF!</v>
      </c>
      <c r="H48" s="203" t="e">
        <f>'التعليم المسرع'!#REF!</f>
        <v>#REF!</v>
      </c>
      <c r="I48" s="203" t="e">
        <f t="shared" ref="I48:J48" si="10">C48+E48+G48</f>
        <v>#REF!</v>
      </c>
      <c r="J48" s="203" t="e">
        <f t="shared" si="10"/>
        <v>#REF!</v>
      </c>
      <c r="K48" s="203" t="e">
        <f t="shared" ref="K48" si="11">SUM(I48:J48)</f>
        <v>#REF!</v>
      </c>
      <c r="L48" s="26"/>
      <c r="M48" s="26"/>
      <c r="N48" s="26"/>
    </row>
    <row r="49" spans="1:21" ht="21.6" thickBot="1" x14ac:dyDescent="0.45">
      <c r="B49" s="197"/>
      <c r="C49" s="197"/>
      <c r="D49" s="197"/>
      <c r="E49" s="198"/>
      <c r="F49" s="198"/>
      <c r="G49" s="197"/>
      <c r="H49" s="197"/>
      <c r="I49" s="197"/>
      <c r="J49" s="197"/>
      <c r="K49" s="197"/>
      <c r="L49" s="26"/>
      <c r="M49" s="26"/>
      <c r="N49" s="26"/>
    </row>
    <row r="50" spans="1:21" ht="21.6" thickTop="1" x14ac:dyDescent="0.4">
      <c r="B50" s="203" t="s">
        <v>25</v>
      </c>
      <c r="C50" s="203" t="e">
        <f>'التعليم المسرع'!#REF!</f>
        <v>#REF!</v>
      </c>
      <c r="D50" s="203" t="e">
        <f>'التعليم المسرع'!#REF!</f>
        <v>#REF!</v>
      </c>
      <c r="E50" s="228" t="e">
        <f>'التعليم المسرع'!#REF!</f>
        <v>#REF!</v>
      </c>
      <c r="F50" s="228" t="e">
        <f>'التعليم المسرع'!#REF!</f>
        <v>#REF!</v>
      </c>
      <c r="G50" s="203" t="e">
        <f>'التعليم المسرع'!#REF!</f>
        <v>#REF!</v>
      </c>
      <c r="H50" s="203" t="e">
        <f>'التعليم المسرع'!#REF!</f>
        <v>#REF!</v>
      </c>
      <c r="I50" s="203" t="e">
        <f t="shared" ref="I50:J50" si="12">C50+E50+G50</f>
        <v>#REF!</v>
      </c>
      <c r="J50" s="203" t="e">
        <f t="shared" si="12"/>
        <v>#REF!</v>
      </c>
      <c r="K50" s="203" t="e">
        <f t="shared" ref="K50" si="13">SUM(I50:J50)</f>
        <v>#REF!</v>
      </c>
      <c r="L50" s="26"/>
      <c r="M50" s="26"/>
      <c r="N50" s="26"/>
    </row>
    <row r="51" spans="1:21" ht="21.6" thickBot="1" x14ac:dyDescent="0.45">
      <c r="B51" s="197"/>
      <c r="C51" s="197"/>
      <c r="D51" s="197"/>
      <c r="E51" s="198"/>
      <c r="F51" s="198"/>
      <c r="G51" s="197"/>
      <c r="H51" s="197"/>
      <c r="I51" s="197"/>
      <c r="J51" s="197"/>
      <c r="K51" s="197"/>
      <c r="L51" s="26"/>
      <c r="M51" s="26"/>
      <c r="N51" s="26"/>
    </row>
    <row r="52" spans="1:21" ht="21.6" thickTop="1" x14ac:dyDescent="0.4">
      <c r="B52" s="203" t="s">
        <v>26</v>
      </c>
      <c r="C52" s="203" t="e">
        <f>'التعليم المسرع'!#REF!</f>
        <v>#REF!</v>
      </c>
      <c r="D52" s="203" t="e">
        <f>'التعليم المسرع'!#REF!</f>
        <v>#REF!</v>
      </c>
      <c r="E52" s="203" t="e">
        <f>'التعليم المسرع'!#REF!</f>
        <v>#REF!</v>
      </c>
      <c r="F52" s="203" t="e">
        <f>'التعليم المسرع'!#REF!</f>
        <v>#REF!</v>
      </c>
      <c r="G52" s="203" t="e">
        <f>'التعليم المسرع'!#REF!</f>
        <v>#REF!</v>
      </c>
      <c r="H52" s="203" t="e">
        <f>'التعليم المسرع'!#REF!</f>
        <v>#REF!</v>
      </c>
      <c r="I52" s="203" t="e">
        <f t="shared" ref="I52:J52" si="14">C52+E52+G52</f>
        <v>#REF!</v>
      </c>
      <c r="J52" s="203" t="e">
        <f t="shared" si="14"/>
        <v>#REF!</v>
      </c>
      <c r="K52" s="203" t="e">
        <f t="shared" ref="K52" si="15">SUM(I52:J52)</f>
        <v>#REF!</v>
      </c>
      <c r="L52" s="26"/>
      <c r="M52" s="26"/>
      <c r="N52" s="26"/>
    </row>
    <row r="53" spans="1:21" ht="21.6" thickBot="1" x14ac:dyDescent="0.45">
      <c r="B53" s="197"/>
      <c r="C53" s="197"/>
      <c r="D53" s="197"/>
      <c r="E53" s="197"/>
      <c r="F53" s="197"/>
      <c r="G53" s="197"/>
      <c r="H53" s="197"/>
      <c r="I53" s="197"/>
      <c r="J53" s="197"/>
      <c r="K53" s="197"/>
      <c r="M53" s="26"/>
      <c r="N53" s="26"/>
      <c r="O53" s="26"/>
      <c r="P53" s="26"/>
      <c r="Q53" s="26"/>
    </row>
    <row r="54" spans="1:21" ht="21.6" thickTop="1" x14ac:dyDescent="0.4">
      <c r="B54" s="203" t="s">
        <v>27</v>
      </c>
      <c r="C54" s="203" t="e">
        <f>'التعليم المسرع'!#REF!</f>
        <v>#REF!</v>
      </c>
      <c r="D54" s="203" t="e">
        <f>'التعليم المسرع'!#REF!</f>
        <v>#REF!</v>
      </c>
      <c r="E54" s="203" t="e">
        <f>'التعليم المسرع'!#REF!</f>
        <v>#REF!</v>
      </c>
      <c r="F54" s="203" t="e">
        <f>'التعليم المسرع'!#REF!</f>
        <v>#REF!</v>
      </c>
      <c r="G54" s="203" t="e">
        <f>'التعليم المسرع'!#REF!</f>
        <v>#REF!</v>
      </c>
      <c r="H54" s="203" t="e">
        <f>'التعليم المسرع'!#REF!</f>
        <v>#REF!</v>
      </c>
      <c r="I54" s="203" t="e">
        <f t="shared" ref="I54:J54" si="16">C54+E54+G54</f>
        <v>#REF!</v>
      </c>
      <c r="J54" s="203" t="e">
        <f t="shared" si="16"/>
        <v>#REF!</v>
      </c>
      <c r="K54" s="203" t="e">
        <f t="shared" ref="K54" si="17">SUM(I54:J54)</f>
        <v>#REF!</v>
      </c>
      <c r="M54" s="26"/>
      <c r="N54" s="26"/>
      <c r="O54" s="26"/>
      <c r="P54" s="26"/>
      <c r="Q54" s="26"/>
    </row>
    <row r="55" spans="1:21" ht="21.6" thickBot="1" x14ac:dyDescent="0.45">
      <c r="B55" s="197"/>
      <c r="C55" s="197"/>
      <c r="D55" s="197"/>
      <c r="E55" s="197"/>
      <c r="F55" s="197"/>
      <c r="G55" s="197"/>
      <c r="H55" s="197"/>
      <c r="I55" s="197"/>
      <c r="J55" s="197"/>
      <c r="K55" s="197"/>
      <c r="M55" s="26"/>
      <c r="N55" s="26"/>
      <c r="O55" s="26"/>
      <c r="P55" s="26"/>
      <c r="Q55" s="26"/>
    </row>
    <row r="56" spans="1:21" ht="21.6" thickTop="1" x14ac:dyDescent="0.4">
      <c r="B56" s="203" t="s">
        <v>15</v>
      </c>
      <c r="C56" s="203" t="e">
        <f t="shared" ref="C56:H56" si="18">C42+C44+C46+C48+C50+C52+C54</f>
        <v>#REF!</v>
      </c>
      <c r="D56" s="203" t="e">
        <f t="shared" si="18"/>
        <v>#REF!</v>
      </c>
      <c r="E56" s="203" t="e">
        <f t="shared" si="18"/>
        <v>#REF!</v>
      </c>
      <c r="F56" s="203" t="e">
        <f t="shared" si="18"/>
        <v>#REF!</v>
      </c>
      <c r="G56" s="203" t="e">
        <f t="shared" si="18"/>
        <v>#REF!</v>
      </c>
      <c r="H56" s="203" t="e">
        <f t="shared" si="18"/>
        <v>#REF!</v>
      </c>
      <c r="I56" s="203" t="e">
        <f>C56+E56+G56</f>
        <v>#REF!</v>
      </c>
      <c r="J56" s="203" t="e">
        <f t="shared" ref="J56" si="19">D56+F56+H56</f>
        <v>#REF!</v>
      </c>
      <c r="K56" s="203" t="e">
        <f t="shared" ref="K56" si="20">SUM(I56:J56)</f>
        <v>#REF!</v>
      </c>
      <c r="M56" s="26"/>
      <c r="N56" s="26"/>
      <c r="O56" s="26"/>
      <c r="P56" s="26"/>
      <c r="Q56" s="26"/>
    </row>
    <row r="57" spans="1:21" ht="21.6" thickBot="1" x14ac:dyDescent="0.45">
      <c r="B57" s="197"/>
      <c r="C57" s="197"/>
      <c r="D57" s="197"/>
      <c r="E57" s="197"/>
      <c r="F57" s="197"/>
      <c r="G57" s="197"/>
      <c r="H57" s="197"/>
      <c r="I57" s="197"/>
      <c r="J57" s="197"/>
      <c r="K57" s="197"/>
      <c r="M57" s="26"/>
      <c r="N57" s="26"/>
      <c r="O57" s="26"/>
      <c r="P57" s="26"/>
      <c r="Q57" s="26"/>
    </row>
    <row r="58" spans="1:21" ht="22.2" thickTop="1" thickBot="1" x14ac:dyDescent="0.45">
      <c r="M58" s="26"/>
      <c r="N58" s="26"/>
      <c r="O58" s="26"/>
      <c r="P58" s="26"/>
      <c r="Q58" s="26"/>
    </row>
    <row r="59" spans="1:21" ht="34.5" customHeight="1" thickTop="1" thickBot="1" x14ac:dyDescent="0.45">
      <c r="A59" s="194"/>
      <c r="B59" s="206" t="s">
        <v>267</v>
      </c>
      <c r="C59" s="206"/>
      <c r="D59" s="206"/>
      <c r="E59" s="206" t="s">
        <v>272</v>
      </c>
      <c r="F59" s="206"/>
      <c r="G59" s="206"/>
      <c r="H59" s="195" t="s">
        <v>273</v>
      </c>
      <c r="I59" s="195"/>
      <c r="J59" s="195"/>
      <c r="K59" s="195"/>
      <c r="L59" s="195"/>
      <c r="M59" s="195"/>
      <c r="N59" s="195" t="s">
        <v>15</v>
      </c>
      <c r="O59" s="195"/>
      <c r="P59" s="196"/>
      <c r="Q59" s="26"/>
      <c r="R59" s="26"/>
      <c r="S59" s="26"/>
      <c r="T59" s="26"/>
      <c r="U59" s="26"/>
    </row>
    <row r="60" spans="1:21" ht="34.5" customHeight="1" thickTop="1" thickBot="1" x14ac:dyDescent="0.45">
      <c r="A60" s="190"/>
      <c r="B60" s="207"/>
      <c r="C60" s="207"/>
      <c r="D60" s="207"/>
      <c r="E60" s="207"/>
      <c r="F60" s="207"/>
      <c r="G60" s="207"/>
      <c r="H60" s="189" t="s">
        <v>185</v>
      </c>
      <c r="I60" s="189"/>
      <c r="J60" s="189" t="s">
        <v>186</v>
      </c>
      <c r="K60" s="189"/>
      <c r="L60" s="189" t="s">
        <v>187</v>
      </c>
      <c r="M60" s="189"/>
      <c r="N60" s="189"/>
      <c r="O60" s="189"/>
      <c r="P60" s="192"/>
      <c r="Q60" s="26"/>
      <c r="R60" s="26"/>
      <c r="S60" s="26"/>
      <c r="T60" s="26"/>
      <c r="U60" s="26"/>
    </row>
    <row r="61" spans="1:21" ht="22.2" thickTop="1" thickBot="1" x14ac:dyDescent="0.45">
      <c r="A61" s="190"/>
      <c r="B61" s="189" t="s">
        <v>10</v>
      </c>
      <c r="C61" s="189" t="s">
        <v>11</v>
      </c>
      <c r="D61" s="189" t="s">
        <v>15</v>
      </c>
      <c r="E61" s="189" t="s">
        <v>10</v>
      </c>
      <c r="F61" s="189" t="s">
        <v>11</v>
      </c>
      <c r="G61" s="189" t="s">
        <v>15</v>
      </c>
      <c r="H61" s="189" t="s">
        <v>10</v>
      </c>
      <c r="I61" s="189" t="s">
        <v>11</v>
      </c>
      <c r="J61" s="189" t="s">
        <v>10</v>
      </c>
      <c r="K61" s="189" t="s">
        <v>11</v>
      </c>
      <c r="L61" s="189" t="s">
        <v>10</v>
      </c>
      <c r="M61" s="189" t="s">
        <v>11</v>
      </c>
      <c r="N61" s="189" t="s">
        <v>10</v>
      </c>
      <c r="O61" s="189" t="s">
        <v>11</v>
      </c>
      <c r="P61" s="192" t="s">
        <v>15</v>
      </c>
      <c r="Q61" s="26"/>
      <c r="R61" s="26"/>
      <c r="S61" s="26"/>
      <c r="T61" s="26"/>
      <c r="U61" s="26"/>
    </row>
    <row r="62" spans="1:21" ht="22.2" thickTop="1" thickBot="1" x14ac:dyDescent="0.45">
      <c r="A62" s="190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92"/>
    </row>
    <row r="63" spans="1:21" ht="22.2" thickTop="1" thickBot="1" x14ac:dyDescent="0.45">
      <c r="A63" s="190" t="s">
        <v>17</v>
      </c>
      <c r="B63" s="189" t="e">
        <f>'التعليم المسرع'!#REF!</f>
        <v>#REF!</v>
      </c>
      <c r="C63" s="189" t="e">
        <f>'التعليم المسرع'!#REF!</f>
        <v>#REF!</v>
      </c>
      <c r="D63" s="189" t="e">
        <f>C63+B63</f>
        <v>#REF!</v>
      </c>
      <c r="E63" s="189" t="e">
        <f>'التعليم المسرع'!#REF!</f>
        <v>#REF!</v>
      </c>
      <c r="F63" s="189" t="e">
        <f>'التعليم المسرع'!#REF!</f>
        <v>#REF!</v>
      </c>
      <c r="G63" s="189" t="e">
        <f t="shared" ref="G63" si="21">F63+E63</f>
        <v>#REF!</v>
      </c>
      <c r="H63" s="189" t="e">
        <f>'التعليم المسرع'!#REF!</f>
        <v>#REF!</v>
      </c>
      <c r="I63" s="189" t="e">
        <f>'التعليم المسرع'!#REF!</f>
        <v>#REF!</v>
      </c>
      <c r="J63" s="189" t="e">
        <f>'التعليم المسرع'!#REF!</f>
        <v>#REF!</v>
      </c>
      <c r="K63" s="189" t="e">
        <f>'التعليم المسرع'!#REF!</f>
        <v>#REF!</v>
      </c>
      <c r="L63" s="189" t="e">
        <f>'التعليم المسرع'!#REF!</f>
        <v>#REF!</v>
      </c>
      <c r="M63" s="189" t="e">
        <f>'التعليم المسرع'!#REF!</f>
        <v>#REF!</v>
      </c>
      <c r="N63" s="189" t="e">
        <f>L63+J63+H63</f>
        <v>#REF!</v>
      </c>
      <c r="O63" s="189" t="e">
        <f>M63+K63+I63</f>
        <v>#REF!</v>
      </c>
      <c r="P63" s="192" t="e">
        <f>O63+N63</f>
        <v>#REF!</v>
      </c>
    </row>
    <row r="64" spans="1:21" ht="22.2" thickTop="1" thickBot="1" x14ac:dyDescent="0.45">
      <c r="A64" s="190"/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92"/>
    </row>
    <row r="65" spans="1:16" ht="22.2" thickTop="1" thickBot="1" x14ac:dyDescent="0.45">
      <c r="A65" s="190" t="s">
        <v>18</v>
      </c>
      <c r="B65" s="189" t="e">
        <f>'التعليم المسرع'!#REF!</f>
        <v>#REF!</v>
      </c>
      <c r="C65" s="189" t="e">
        <f>'التعليم المسرع'!#REF!</f>
        <v>#REF!</v>
      </c>
      <c r="D65" s="189" t="e">
        <f t="shared" ref="D65" si="22">C65+B65</f>
        <v>#REF!</v>
      </c>
      <c r="E65" s="189" t="e">
        <f>'التعليم المسرع'!#REF!</f>
        <v>#REF!</v>
      </c>
      <c r="F65" s="189" t="e">
        <f>'التعليم المسرع'!#REF!</f>
        <v>#REF!</v>
      </c>
      <c r="G65" s="189" t="e">
        <f t="shared" ref="G65" si="23">F65+E65</f>
        <v>#REF!</v>
      </c>
      <c r="H65" s="189" t="e">
        <f>'التعليم المسرع'!#REF!</f>
        <v>#REF!</v>
      </c>
      <c r="I65" s="189" t="e">
        <f>'التعليم المسرع'!#REF!</f>
        <v>#REF!</v>
      </c>
      <c r="J65" s="189" t="e">
        <f>'التعليم المسرع'!#REF!</f>
        <v>#REF!</v>
      </c>
      <c r="K65" s="189" t="e">
        <f>'التعليم المسرع'!#REF!</f>
        <v>#REF!</v>
      </c>
      <c r="L65" s="189" t="e">
        <f>'التعليم المسرع'!#REF!</f>
        <v>#REF!</v>
      </c>
      <c r="M65" s="189" t="e">
        <f>'التعليم المسرع'!#REF!</f>
        <v>#REF!</v>
      </c>
      <c r="N65" s="189" t="e">
        <f t="shared" ref="N65" si="24">L65+J65+H65</f>
        <v>#REF!</v>
      </c>
      <c r="O65" s="189" t="e">
        <f t="shared" ref="O65" si="25">M65+K65+I65</f>
        <v>#REF!</v>
      </c>
      <c r="P65" s="192" t="e">
        <f t="shared" ref="P65" si="26">O65+N65</f>
        <v>#REF!</v>
      </c>
    </row>
    <row r="66" spans="1:16" ht="22.2" thickTop="1" thickBot="1" x14ac:dyDescent="0.45">
      <c r="A66" s="190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92"/>
    </row>
    <row r="67" spans="1:16" ht="22.2" thickTop="1" thickBot="1" x14ac:dyDescent="0.45">
      <c r="A67" s="190" t="s">
        <v>19</v>
      </c>
      <c r="B67" s="189" t="e">
        <f>'التعليم المسرع'!#REF!</f>
        <v>#REF!</v>
      </c>
      <c r="C67" s="189" t="e">
        <f>'التعليم المسرع'!#REF!</f>
        <v>#REF!</v>
      </c>
      <c r="D67" s="189" t="e">
        <f t="shared" ref="D67" si="27">C67+B67</f>
        <v>#REF!</v>
      </c>
      <c r="E67" s="189" t="e">
        <f>'التعليم المسرع'!#REF!</f>
        <v>#REF!</v>
      </c>
      <c r="F67" s="189" t="e">
        <f>'التعليم المسرع'!#REF!</f>
        <v>#REF!</v>
      </c>
      <c r="G67" s="189" t="e">
        <f t="shared" ref="G67" si="28">F67+E67</f>
        <v>#REF!</v>
      </c>
      <c r="H67" s="189" t="e">
        <f>'التعليم المسرع'!#REF!</f>
        <v>#REF!</v>
      </c>
      <c r="I67" s="189" t="e">
        <f>'التعليم المسرع'!#REF!</f>
        <v>#REF!</v>
      </c>
      <c r="J67" s="189" t="e">
        <f>'التعليم المسرع'!#REF!</f>
        <v>#REF!</v>
      </c>
      <c r="K67" s="189" t="e">
        <f>'التعليم المسرع'!#REF!</f>
        <v>#REF!</v>
      </c>
      <c r="L67" s="189" t="e">
        <f>'التعليم المسرع'!#REF!</f>
        <v>#REF!</v>
      </c>
      <c r="M67" s="189" t="e">
        <f>'التعليم المسرع'!#REF!</f>
        <v>#REF!</v>
      </c>
      <c r="N67" s="189" t="e">
        <f t="shared" ref="N67" si="29">L67+J67+H67</f>
        <v>#REF!</v>
      </c>
      <c r="O67" s="189" t="e">
        <f t="shared" ref="O67" si="30">M67+K67+I67</f>
        <v>#REF!</v>
      </c>
      <c r="P67" s="192" t="e">
        <f t="shared" ref="P67" si="31">O67+N67</f>
        <v>#REF!</v>
      </c>
    </row>
    <row r="68" spans="1:16" ht="22.2" thickTop="1" thickBot="1" x14ac:dyDescent="0.45">
      <c r="A68" s="193"/>
      <c r="B68" s="191"/>
      <c r="C68" s="191"/>
      <c r="D68" s="191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208"/>
    </row>
    <row r="69" spans="1:16" ht="21.6" thickTop="1" x14ac:dyDescent="0.4"/>
  </sheetData>
  <mergeCells count="246">
    <mergeCell ref="P67:P68"/>
    <mergeCell ref="C63:C64"/>
    <mergeCell ref="C65:C66"/>
    <mergeCell ref="C67:C68"/>
    <mergeCell ref="N67:N68"/>
    <mergeCell ref="O67:O68"/>
    <mergeCell ref="P63:P64"/>
    <mergeCell ref="E63:E64"/>
    <mergeCell ref="F63:F64"/>
    <mergeCell ref="E65:E66"/>
    <mergeCell ref="F65:F66"/>
    <mergeCell ref="E67:E68"/>
    <mergeCell ref="F67:F68"/>
    <mergeCell ref="N65:N66"/>
    <mergeCell ref="O65:O66"/>
    <mergeCell ref="P65:P66"/>
    <mergeCell ref="L63:L64"/>
    <mergeCell ref="N63:N64"/>
    <mergeCell ref="O63:O64"/>
    <mergeCell ref="K67:K68"/>
    <mergeCell ref="H67:H68"/>
    <mergeCell ref="I67:I68"/>
    <mergeCell ref="J67:J68"/>
    <mergeCell ref="N59:P60"/>
    <mergeCell ref="B61:B62"/>
    <mergeCell ref="C61:C62"/>
    <mergeCell ref="E61:E62"/>
    <mergeCell ref="F61:F62"/>
    <mergeCell ref="L61:L62"/>
    <mergeCell ref="M61:M62"/>
    <mergeCell ref="N61:N62"/>
    <mergeCell ref="O61:O62"/>
    <mergeCell ref="P61:P62"/>
    <mergeCell ref="B8:D8"/>
    <mergeCell ref="G8:I8"/>
    <mergeCell ref="L8:N8"/>
    <mergeCell ref="B11:C11"/>
    <mergeCell ref="F11:H11"/>
    <mergeCell ref="K11:M11"/>
    <mergeCell ref="A1:C1"/>
    <mergeCell ref="A2:D2"/>
    <mergeCell ref="A3:O3"/>
    <mergeCell ref="B6:D6"/>
    <mergeCell ref="G6:I6"/>
    <mergeCell ref="L6:N6"/>
    <mergeCell ref="B16:G16"/>
    <mergeCell ref="F17:G17"/>
    <mergeCell ref="B18:B19"/>
    <mergeCell ref="C18:C19"/>
    <mergeCell ref="D18:D19"/>
    <mergeCell ref="E18:E19"/>
    <mergeCell ref="F18:G19"/>
    <mergeCell ref="B63:B64"/>
    <mergeCell ref="B20:B21"/>
    <mergeCell ref="C20:C21"/>
    <mergeCell ref="D20:D21"/>
    <mergeCell ref="E20:E21"/>
    <mergeCell ref="F20:G21"/>
    <mergeCell ref="B22:B23"/>
    <mergeCell ref="C22:C23"/>
    <mergeCell ref="D22:D23"/>
    <mergeCell ref="E22:E23"/>
    <mergeCell ref="F22:G23"/>
    <mergeCell ref="F42:F43"/>
    <mergeCell ref="G42:G43"/>
    <mergeCell ref="B31:B32"/>
    <mergeCell ref="C31:C32"/>
    <mergeCell ref="D31:D32"/>
    <mergeCell ref="A36:C36"/>
    <mergeCell ref="A37:D37"/>
    <mergeCell ref="B40:B41"/>
    <mergeCell ref="C40:D40"/>
    <mergeCell ref="E40:F40"/>
    <mergeCell ref="G40:H40"/>
    <mergeCell ref="I40:K40"/>
    <mergeCell ref="K42:K43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K44:K45"/>
    <mergeCell ref="B42:B43"/>
    <mergeCell ref="C42:C43"/>
    <mergeCell ref="D42:D43"/>
    <mergeCell ref="E42:E43"/>
    <mergeCell ref="H42:H43"/>
    <mergeCell ref="I42:I43"/>
    <mergeCell ref="J42:J43"/>
    <mergeCell ref="K46:K47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K48:K49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I54:I55"/>
    <mergeCell ref="J54:J55"/>
    <mergeCell ref="K50:K51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K56:K57"/>
    <mergeCell ref="I16:M16"/>
    <mergeCell ref="I17:I18"/>
    <mergeCell ref="J17:J18"/>
    <mergeCell ref="K17:K18"/>
    <mergeCell ref="L17:L18"/>
    <mergeCell ref="M17:M18"/>
    <mergeCell ref="K54:K55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B54:B55"/>
    <mergeCell ref="C54:C55"/>
    <mergeCell ref="D54:D55"/>
    <mergeCell ref="E54:E55"/>
    <mergeCell ref="F54:F55"/>
    <mergeCell ref="G54:G55"/>
    <mergeCell ref="H54:H55"/>
    <mergeCell ref="I23:I24"/>
    <mergeCell ref="J23:J24"/>
    <mergeCell ref="K23:K24"/>
    <mergeCell ref="L23:L24"/>
    <mergeCell ref="M23:M24"/>
    <mergeCell ref="B26:K26"/>
    <mergeCell ref="I19:I20"/>
    <mergeCell ref="J19:J20"/>
    <mergeCell ref="K19:K20"/>
    <mergeCell ref="L19:L20"/>
    <mergeCell ref="M19:M20"/>
    <mergeCell ref="I21:I22"/>
    <mergeCell ref="J21:J22"/>
    <mergeCell ref="K21:K22"/>
    <mergeCell ref="L21:L22"/>
    <mergeCell ref="M21:M22"/>
    <mergeCell ref="F24:G24"/>
    <mergeCell ref="H27:H28"/>
    <mergeCell ref="I27:I28"/>
    <mergeCell ref="J27:K28"/>
    <mergeCell ref="B29:B30"/>
    <mergeCell ref="C29:C30"/>
    <mergeCell ref="D29:D30"/>
    <mergeCell ref="E29:E30"/>
    <mergeCell ref="F29:F30"/>
    <mergeCell ref="G29:G30"/>
    <mergeCell ref="H29:H30"/>
    <mergeCell ref="B27:B28"/>
    <mergeCell ref="C27:C28"/>
    <mergeCell ref="D27:D28"/>
    <mergeCell ref="E27:E28"/>
    <mergeCell ref="F27:F28"/>
    <mergeCell ref="G27:G28"/>
    <mergeCell ref="I29:I30"/>
    <mergeCell ref="J29:K30"/>
    <mergeCell ref="E31:E32"/>
    <mergeCell ref="F31:F32"/>
    <mergeCell ref="G31:G32"/>
    <mergeCell ref="H31:H32"/>
    <mergeCell ref="I31:I32"/>
    <mergeCell ref="J31:K32"/>
    <mergeCell ref="B33:B34"/>
    <mergeCell ref="C33:C34"/>
    <mergeCell ref="D33:D34"/>
    <mergeCell ref="E33:E34"/>
    <mergeCell ref="F33:F34"/>
    <mergeCell ref="G33:G34"/>
    <mergeCell ref="H33:H34"/>
    <mergeCell ref="I33:I34"/>
    <mergeCell ref="J33:K34"/>
    <mergeCell ref="A59:A62"/>
    <mergeCell ref="B59:D60"/>
    <mergeCell ref="E59:G60"/>
    <mergeCell ref="H59:M59"/>
    <mergeCell ref="H60:I60"/>
    <mergeCell ref="J60:K60"/>
    <mergeCell ref="L60:M60"/>
    <mergeCell ref="D61:D62"/>
    <mergeCell ref="G61:G62"/>
    <mergeCell ref="H61:H62"/>
    <mergeCell ref="I61:I62"/>
    <mergeCell ref="J61:J62"/>
    <mergeCell ref="K61:K62"/>
    <mergeCell ref="B67:B68"/>
    <mergeCell ref="B65:B66"/>
    <mergeCell ref="M63:M64"/>
    <mergeCell ref="L65:L66"/>
    <mergeCell ref="M65:M66"/>
    <mergeCell ref="L67:L68"/>
    <mergeCell ref="M67:M68"/>
    <mergeCell ref="A63:A64"/>
    <mergeCell ref="A65:A66"/>
    <mergeCell ref="A67:A68"/>
    <mergeCell ref="D63:D64"/>
    <mergeCell ref="G63:G64"/>
    <mergeCell ref="H63:H64"/>
    <mergeCell ref="I63:I64"/>
    <mergeCell ref="J63:J64"/>
    <mergeCell ref="K63:K64"/>
    <mergeCell ref="D65:D66"/>
    <mergeCell ref="G65:G66"/>
    <mergeCell ref="H65:H66"/>
    <mergeCell ref="I65:I66"/>
    <mergeCell ref="J65:J66"/>
    <mergeCell ref="K65:K66"/>
    <mergeCell ref="D67:D68"/>
    <mergeCell ref="G67:G68"/>
  </mergeCells>
  <printOptions horizontalCentered="1" verticalCentered="1"/>
  <pageMargins left="0.23622047244094491" right="0.23622047244094491" top="0.19685039370078741" bottom="0.19685039370078741" header="0.19685039370078741" footer="0.19685039370078741"/>
  <pageSetup paperSize="9" scale="65" orientation="landscape" horizontalDpi="300" verticalDpi="300" r:id="rId1"/>
  <rowBreaks count="1" manualBreakCount="1">
    <brk id="35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13</vt:i4>
      </vt:variant>
    </vt:vector>
  </HeadingPairs>
  <TitlesOfParts>
    <vt:vector size="29" baseType="lpstr">
      <vt:lpstr>التعليم المسرع</vt:lpstr>
      <vt:lpstr>المحافظة</vt:lpstr>
      <vt:lpstr>قضاء النجف</vt:lpstr>
      <vt:lpstr>مركزالنجف</vt:lpstr>
      <vt:lpstr>الحيدرية</vt:lpstr>
      <vt:lpstr>الرضوية</vt:lpstr>
      <vt:lpstr>قضاء الكوفة</vt:lpstr>
      <vt:lpstr>مركزالكوفة</vt:lpstr>
      <vt:lpstr>العباسية</vt:lpstr>
      <vt:lpstr>الحرية</vt:lpstr>
      <vt:lpstr>قضاء المناذرة</vt:lpstr>
      <vt:lpstr>مركزالمناذرة</vt:lpstr>
      <vt:lpstr>الحيرة</vt:lpstr>
      <vt:lpstr>قضاءالمشخاب</vt:lpstr>
      <vt:lpstr>المشخاب</vt:lpstr>
      <vt:lpstr>القادسية</vt:lpstr>
      <vt:lpstr>الحرية!Print_Area</vt:lpstr>
      <vt:lpstr>الحيدرية!Print_Area</vt:lpstr>
      <vt:lpstr>العباسية!Print_Area</vt:lpstr>
      <vt:lpstr>القادسية!Print_Area</vt:lpstr>
      <vt:lpstr>المحافظة!Print_Area</vt:lpstr>
      <vt:lpstr>المشخاب!Print_Area</vt:lpstr>
      <vt:lpstr>'قضاء الكوفة'!Print_Area</vt:lpstr>
      <vt:lpstr>'قضاء المناذرة'!Print_Area</vt:lpstr>
      <vt:lpstr>'قضاء النجف'!Print_Area</vt:lpstr>
      <vt:lpstr>قضاءالمشخاب!Print_Area</vt:lpstr>
      <vt:lpstr>مركزالكوفة!Print_Area</vt:lpstr>
      <vt:lpstr>مركزالمناذرة!Print_Area</vt:lpstr>
      <vt:lpstr>مركزالنجف!Print_Area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2006-09-13T11:26:54Z</dcterms:created>
  <dcterms:modified xsi:type="dcterms:W3CDTF">2026-04-21T15:52:15Z</dcterms:modified>
</cp:coreProperties>
</file>