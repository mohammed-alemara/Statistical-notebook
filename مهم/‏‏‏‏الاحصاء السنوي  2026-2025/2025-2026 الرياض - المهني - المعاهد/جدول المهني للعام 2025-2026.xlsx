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700" windowWidth="6840" windowHeight="2715" tabRatio="869" activeTab="10"/>
  </bookViews>
  <sheets>
    <sheet name="المهني" sheetId="5" r:id="rId1"/>
    <sheet name="ج 1,2" sheetId="15" r:id="rId2"/>
    <sheet name="ج3" sheetId="16" r:id="rId3"/>
    <sheet name="ج4" sheetId="17" r:id="rId4"/>
    <sheet name="ج5" sheetId="18" r:id="rId5"/>
    <sheet name="ج6" sheetId="19" r:id="rId6"/>
    <sheet name="ج7,8" sheetId="20" r:id="rId7"/>
    <sheet name="ج9 وملحق" sheetId="21" r:id="rId8"/>
    <sheet name="جدول القوى العاملة" sheetId="12" r:id="rId9"/>
    <sheet name="ج 11" sheetId="13" r:id="rId10"/>
    <sheet name="ج11 حسب الفروع" sheetId="14" r:id="rId11"/>
  </sheets>
  <definedNames>
    <definedName name="_xlnm._FilterDatabase" localSheetId="0" hidden="1">المهني!$A$5:$SS$23</definedName>
    <definedName name="_xlnm.Print_Area" localSheetId="0">المهني!$A$1:$SP$52</definedName>
    <definedName name="_xlnm.Print_Area" localSheetId="1">'ج 1,2'!$A$1:$T$122</definedName>
    <definedName name="_xlnm.Print_Area" localSheetId="9">'ج 11'!$A$1:$P$134</definedName>
    <definedName name="_xlnm.Print_Area" localSheetId="3">ج4!$A$1:$T$152</definedName>
    <definedName name="_xlnm.Print_Area" localSheetId="5">ج6!$A$1:$S$157</definedName>
    <definedName name="_xlnm.Print_Area" localSheetId="6">'ج7,8'!$A$1:$W$125</definedName>
    <definedName name="_xlnm.Print_Area" localSheetId="7">'ج9 وملحق'!$A$1:$Z$130</definedName>
  </definedNames>
  <calcPr calcId="145621"/>
</workbook>
</file>

<file path=xl/calcChain.xml><?xml version="1.0" encoding="utf-8"?>
<calcChain xmlns="http://schemas.openxmlformats.org/spreadsheetml/2006/main">
  <c r="G55" i="14" l="1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GF56" i="5"/>
  <c r="GG56" i="5"/>
  <c r="GH56" i="5"/>
  <c r="GI56" i="5"/>
  <c r="GJ56" i="5"/>
  <c r="GK56" i="5"/>
  <c r="GL56" i="5"/>
  <c r="GM56" i="5"/>
  <c r="GN56" i="5"/>
  <c r="GO56" i="5"/>
  <c r="GP56" i="5"/>
  <c r="GQ56" i="5"/>
  <c r="GR56" i="5"/>
  <c r="GS56" i="5"/>
  <c r="GT56" i="5"/>
  <c r="GU56" i="5"/>
  <c r="GV56" i="5"/>
  <c r="GW56" i="5"/>
  <c r="GX56" i="5"/>
  <c r="GY56" i="5"/>
  <c r="GZ56" i="5"/>
  <c r="HA56" i="5"/>
  <c r="HB56" i="5"/>
  <c r="HC56" i="5"/>
  <c r="HD56" i="5"/>
  <c r="HE56" i="5"/>
  <c r="HF56" i="5"/>
  <c r="HG56" i="5"/>
  <c r="HH56" i="5"/>
  <c r="HI56" i="5"/>
  <c r="HJ56" i="5"/>
  <c r="HK56" i="5"/>
  <c r="HL56" i="5"/>
  <c r="HM56" i="5"/>
  <c r="HN56" i="5"/>
  <c r="HO56" i="5"/>
  <c r="HP56" i="5"/>
  <c r="HQ56" i="5"/>
  <c r="HR56" i="5"/>
  <c r="HS56" i="5"/>
  <c r="HT56" i="5"/>
  <c r="HU56" i="5"/>
  <c r="HV56" i="5"/>
  <c r="HW56" i="5"/>
  <c r="HX56" i="5"/>
  <c r="HY56" i="5"/>
  <c r="HZ56" i="5"/>
  <c r="IA56" i="5"/>
  <c r="IB56" i="5"/>
  <c r="IC56" i="5"/>
  <c r="ID56" i="5"/>
  <c r="IE56" i="5"/>
  <c r="IF56" i="5"/>
  <c r="IG56" i="5"/>
  <c r="IH56" i="5"/>
  <c r="II56" i="5"/>
  <c r="IJ56" i="5"/>
  <c r="IK56" i="5"/>
  <c r="IL56" i="5"/>
  <c r="IM56" i="5"/>
  <c r="IN56" i="5"/>
  <c r="IO56" i="5"/>
  <c r="IP56" i="5"/>
  <c r="IQ56" i="5"/>
  <c r="IR56" i="5"/>
  <c r="IS56" i="5"/>
  <c r="IT56" i="5"/>
  <c r="IU56" i="5"/>
  <c r="IV56" i="5"/>
  <c r="IW56" i="5"/>
  <c r="IX56" i="5"/>
  <c r="IY56" i="5"/>
  <c r="IZ56" i="5"/>
  <c r="JA56" i="5"/>
  <c r="JB56" i="5"/>
  <c r="JC56" i="5"/>
  <c r="JD56" i="5"/>
  <c r="JE56" i="5"/>
  <c r="JF56" i="5"/>
  <c r="JG56" i="5"/>
  <c r="JH56" i="5"/>
  <c r="JI56" i="5"/>
  <c r="JJ56" i="5"/>
  <c r="JK56" i="5"/>
  <c r="JL56" i="5"/>
  <c r="JM56" i="5"/>
  <c r="JN56" i="5"/>
  <c r="JO56" i="5"/>
  <c r="JP56" i="5"/>
  <c r="JQ56" i="5"/>
  <c r="JR56" i="5"/>
  <c r="JS56" i="5"/>
  <c r="JT56" i="5"/>
  <c r="JU56" i="5"/>
  <c r="JV56" i="5"/>
  <c r="JW56" i="5"/>
  <c r="JX56" i="5"/>
  <c r="JY56" i="5"/>
  <c r="JZ56" i="5"/>
  <c r="KA56" i="5"/>
  <c r="KB56" i="5"/>
  <c r="KC56" i="5"/>
  <c r="KD56" i="5"/>
  <c r="KE56" i="5"/>
  <c r="KF56" i="5"/>
  <c r="KG56" i="5"/>
  <c r="KH56" i="5"/>
  <c r="KI56" i="5"/>
  <c r="KJ56" i="5"/>
  <c r="KK56" i="5"/>
  <c r="KL56" i="5"/>
  <c r="KM56" i="5"/>
  <c r="KN56" i="5"/>
  <c r="KO56" i="5"/>
  <c r="KP56" i="5"/>
  <c r="KQ56" i="5"/>
  <c r="KR56" i="5"/>
  <c r="KS56" i="5"/>
  <c r="KT56" i="5"/>
  <c r="KU56" i="5"/>
  <c r="KV56" i="5"/>
  <c r="KW56" i="5"/>
  <c r="KX56" i="5"/>
  <c r="KY56" i="5"/>
  <c r="KZ56" i="5"/>
  <c r="LA56" i="5"/>
  <c r="LB56" i="5"/>
  <c r="LC56" i="5"/>
  <c r="LD56" i="5"/>
  <c r="LE56" i="5"/>
  <c r="LF56" i="5"/>
  <c r="LG56" i="5"/>
  <c r="LH56" i="5"/>
  <c r="LI56" i="5"/>
  <c r="LJ56" i="5"/>
  <c r="LK56" i="5"/>
  <c r="LL56" i="5"/>
  <c r="LM56" i="5"/>
  <c r="LN56" i="5"/>
  <c r="LO56" i="5"/>
  <c r="LP56" i="5"/>
  <c r="LQ56" i="5"/>
  <c r="LR56" i="5"/>
  <c r="LS56" i="5"/>
  <c r="LT56" i="5"/>
  <c r="LU56" i="5"/>
  <c r="LV56" i="5"/>
  <c r="LW56" i="5"/>
  <c r="LX56" i="5"/>
  <c r="LY56" i="5"/>
  <c r="LZ56" i="5"/>
  <c r="MA56" i="5"/>
  <c r="MB56" i="5"/>
  <c r="MC56" i="5"/>
  <c r="MD56" i="5"/>
  <c r="ME56" i="5"/>
  <c r="MF56" i="5"/>
  <c r="MG56" i="5"/>
  <c r="MH56" i="5"/>
  <c r="MI56" i="5"/>
  <c r="MJ56" i="5"/>
  <c r="MK56" i="5"/>
  <c r="ML56" i="5"/>
  <c r="MM56" i="5"/>
  <c r="MN56" i="5"/>
  <c r="MO56" i="5"/>
  <c r="MP56" i="5"/>
  <c r="MQ56" i="5"/>
  <c r="MR56" i="5"/>
  <c r="MS56" i="5"/>
  <c r="MT56" i="5"/>
  <c r="MU56" i="5"/>
  <c r="MV56" i="5"/>
  <c r="MW56" i="5"/>
  <c r="MX56" i="5"/>
  <c r="MY56" i="5"/>
  <c r="MZ56" i="5"/>
  <c r="NA56" i="5"/>
  <c r="NB56" i="5"/>
  <c r="NC56" i="5"/>
  <c r="ND56" i="5"/>
  <c r="NE56" i="5"/>
  <c r="NF56" i="5"/>
  <c r="NG56" i="5"/>
  <c r="NH56" i="5"/>
  <c r="NI56" i="5"/>
  <c r="NJ56" i="5"/>
  <c r="NK56" i="5"/>
  <c r="NL56" i="5"/>
  <c r="NM56" i="5"/>
  <c r="NN56" i="5"/>
  <c r="NO56" i="5"/>
  <c r="NP56" i="5"/>
  <c r="NQ56" i="5"/>
  <c r="NR56" i="5"/>
  <c r="NS56" i="5"/>
  <c r="NT56" i="5"/>
  <c r="NU56" i="5"/>
  <c r="NV56" i="5"/>
  <c r="NW56" i="5"/>
  <c r="NX56" i="5"/>
  <c r="NY56" i="5"/>
  <c r="NZ56" i="5"/>
  <c r="OA56" i="5"/>
  <c r="OB56" i="5"/>
  <c r="OC56" i="5"/>
  <c r="OD56" i="5"/>
  <c r="OE56" i="5"/>
  <c r="OF56" i="5"/>
  <c r="OG56" i="5"/>
  <c r="OH56" i="5"/>
  <c r="OI56" i="5"/>
  <c r="OJ56" i="5"/>
  <c r="OK56" i="5"/>
  <c r="OL56" i="5"/>
  <c r="OM56" i="5"/>
  <c r="ON56" i="5"/>
  <c r="OO56" i="5"/>
  <c r="OP56" i="5"/>
  <c r="OQ56" i="5"/>
  <c r="OR56" i="5"/>
  <c r="OS56" i="5"/>
  <c r="OT56" i="5"/>
  <c r="OU56" i="5"/>
  <c r="OV56" i="5"/>
  <c r="OW56" i="5"/>
  <c r="OX56" i="5"/>
  <c r="OY56" i="5"/>
  <c r="OZ56" i="5"/>
  <c r="PA56" i="5"/>
  <c r="PB56" i="5"/>
  <c r="PC56" i="5"/>
  <c r="PD56" i="5"/>
  <c r="PE56" i="5"/>
  <c r="PF56" i="5"/>
  <c r="PG56" i="5"/>
  <c r="PH56" i="5"/>
  <c r="PI56" i="5"/>
  <c r="PJ56" i="5"/>
  <c r="PK56" i="5"/>
  <c r="PL56" i="5"/>
  <c r="PM56" i="5"/>
  <c r="PN56" i="5"/>
  <c r="PO56" i="5"/>
  <c r="PP56" i="5"/>
  <c r="PQ56" i="5"/>
  <c r="PR56" i="5"/>
  <c r="PS56" i="5"/>
  <c r="PT56" i="5"/>
  <c r="PU56" i="5"/>
  <c r="PV56" i="5"/>
  <c r="PW56" i="5"/>
  <c r="PX56" i="5"/>
  <c r="PY56" i="5"/>
  <c r="PZ56" i="5"/>
  <c r="QA56" i="5"/>
  <c r="QB56" i="5"/>
  <c r="QC56" i="5"/>
  <c r="QD56" i="5"/>
  <c r="QE56" i="5"/>
  <c r="QF56" i="5"/>
  <c r="QG56" i="5"/>
  <c r="QH56" i="5"/>
  <c r="QI56" i="5"/>
  <c r="QJ56" i="5"/>
  <c r="QK56" i="5"/>
  <c r="QL56" i="5"/>
  <c r="QM56" i="5"/>
  <c r="QN56" i="5"/>
  <c r="QO56" i="5"/>
  <c r="QP56" i="5"/>
  <c r="QQ56" i="5"/>
  <c r="QR56" i="5"/>
  <c r="QS56" i="5"/>
  <c r="QT56" i="5"/>
  <c r="QU56" i="5"/>
  <c r="QV56" i="5"/>
  <c r="QW56" i="5"/>
  <c r="QX56" i="5"/>
  <c r="QY56" i="5"/>
  <c r="QZ56" i="5"/>
  <c r="RA56" i="5"/>
  <c r="RB56" i="5"/>
  <c r="RC56" i="5"/>
  <c r="RD56" i="5"/>
  <c r="RE56" i="5"/>
  <c r="RF56" i="5"/>
  <c r="RG56" i="5"/>
  <c r="RH56" i="5"/>
  <c r="RI56" i="5"/>
  <c r="RJ56" i="5"/>
  <c r="RK56" i="5"/>
  <c r="RL56" i="5"/>
  <c r="RM56" i="5"/>
  <c r="RN56" i="5"/>
  <c r="RO56" i="5"/>
  <c r="RP56" i="5"/>
  <c r="RQ56" i="5"/>
  <c r="RR56" i="5"/>
  <c r="RS56" i="5"/>
  <c r="RT56" i="5"/>
  <c r="RU56" i="5"/>
  <c r="RV56" i="5"/>
  <c r="RW56" i="5"/>
  <c r="RX56" i="5"/>
  <c r="RY56" i="5"/>
  <c r="RZ56" i="5"/>
  <c r="SA56" i="5"/>
  <c r="SB56" i="5"/>
  <c r="SC56" i="5"/>
  <c r="SD56" i="5"/>
  <c r="SE56" i="5"/>
  <c r="SF56" i="5"/>
  <c r="SG56" i="5"/>
  <c r="SH56" i="5"/>
  <c r="SI56" i="5"/>
  <c r="SJ56" i="5"/>
  <c r="SK56" i="5"/>
  <c r="SL56" i="5"/>
  <c r="SM56" i="5"/>
  <c r="SN56" i="5"/>
  <c r="SO56" i="5"/>
  <c r="SP56" i="5"/>
  <c r="F56" i="5"/>
  <c r="F55" i="5"/>
  <c r="F54" i="5"/>
  <c r="K148" i="14"/>
  <c r="K147" i="14"/>
  <c r="K141" i="14"/>
  <c r="H142" i="14"/>
  <c r="F142" i="14"/>
  <c r="C141" i="14"/>
  <c r="D141" i="14"/>
  <c r="E141" i="14"/>
  <c r="B141" i="14"/>
  <c r="F153" i="14"/>
  <c r="F154" i="14"/>
  <c r="F147" i="14"/>
  <c r="F148" i="14"/>
  <c r="F149" i="14"/>
  <c r="F150" i="14"/>
  <c r="F151" i="14"/>
  <c r="E154" i="14"/>
  <c r="G154" i="14" s="1"/>
  <c r="E153" i="14"/>
  <c r="G153" i="14" s="1"/>
  <c r="E151" i="14"/>
  <c r="E150" i="14"/>
  <c r="G150" i="14" s="1"/>
  <c r="E149" i="14"/>
  <c r="E148" i="14"/>
  <c r="G148" i="14" s="1"/>
  <c r="E147" i="14"/>
  <c r="F146" i="14"/>
  <c r="E146" i="14"/>
  <c r="C168" i="14"/>
  <c r="D168" i="14"/>
  <c r="E168" i="14"/>
  <c r="F168" i="14"/>
  <c r="G168" i="14"/>
  <c r="H168" i="14"/>
  <c r="I168" i="14"/>
  <c r="J168" i="14"/>
  <c r="K168" i="14"/>
  <c r="B168" i="14"/>
  <c r="C163" i="14"/>
  <c r="D163" i="14"/>
  <c r="E163" i="14"/>
  <c r="F163" i="14"/>
  <c r="G163" i="14"/>
  <c r="K163" i="14" s="1"/>
  <c r="H163" i="14"/>
  <c r="I163" i="14"/>
  <c r="B163" i="14"/>
  <c r="M168" i="14"/>
  <c r="K159" i="14"/>
  <c r="F152" i="14"/>
  <c r="G152" i="14" s="1"/>
  <c r="N141" i="14"/>
  <c r="M141" i="14"/>
  <c r="L141" i="14"/>
  <c r="BI22" i="12"/>
  <c r="N22" i="12"/>
  <c r="C22" i="12"/>
  <c r="N20" i="12"/>
  <c r="U32" i="21"/>
  <c r="Q32" i="21"/>
  <c r="I32" i="21"/>
  <c r="G32" i="21"/>
  <c r="C32" i="21"/>
  <c r="M31" i="21"/>
  <c r="Q31" i="21"/>
  <c r="C31" i="21"/>
  <c r="I31" i="21" s="1"/>
  <c r="S27" i="21"/>
  <c r="Q27" i="21"/>
  <c r="O27" i="21"/>
  <c r="M27" i="21"/>
  <c r="G27" i="21"/>
  <c r="E27" i="21"/>
  <c r="C27" i="21"/>
  <c r="U28" i="21"/>
  <c r="U30" i="21"/>
  <c r="S33" i="21"/>
  <c r="U33" i="21" s="1"/>
  <c r="G29" i="21"/>
  <c r="E29" i="21"/>
  <c r="G33" i="21"/>
  <c r="E33" i="21"/>
  <c r="C33" i="21"/>
  <c r="Q29" i="21"/>
  <c r="S29" i="21"/>
  <c r="U29" i="21" s="1"/>
  <c r="O29" i="21"/>
  <c r="M29" i="21"/>
  <c r="K29" i="21"/>
  <c r="I28" i="21"/>
  <c r="I30" i="21"/>
  <c r="C29" i="21"/>
  <c r="G149" i="14" l="1"/>
  <c r="G146" i="14"/>
  <c r="F156" i="14"/>
  <c r="K149" i="14"/>
  <c r="G151" i="14"/>
  <c r="E156" i="14"/>
  <c r="L168" i="14"/>
  <c r="N168" i="14" s="1"/>
  <c r="J163" i="14"/>
  <c r="L163" i="14" s="1"/>
  <c r="G147" i="14"/>
  <c r="G156" i="14" s="1"/>
  <c r="U31" i="21"/>
  <c r="I29" i="21"/>
  <c r="I33" i="21"/>
  <c r="Y14" i="21"/>
  <c r="X14" i="21"/>
  <c r="W14" i="21"/>
  <c r="V14" i="21"/>
  <c r="N14" i="21"/>
  <c r="O14" i="21"/>
  <c r="P14" i="21"/>
  <c r="Q14" i="21"/>
  <c r="R14" i="21"/>
  <c r="M14" i="21"/>
  <c r="L14" i="21"/>
  <c r="K14" i="21"/>
  <c r="I14" i="21"/>
  <c r="J14" i="21"/>
  <c r="H14" i="21"/>
  <c r="F14" i="21"/>
  <c r="G14" i="21"/>
  <c r="E14" i="21"/>
  <c r="D14" i="21"/>
  <c r="C14" i="21"/>
  <c r="B14" i="21"/>
  <c r="Y18" i="21"/>
  <c r="X18" i="21"/>
  <c r="W18" i="21"/>
  <c r="V18" i="21"/>
  <c r="T18" i="21"/>
  <c r="N18" i="21"/>
  <c r="O18" i="21"/>
  <c r="P18" i="21"/>
  <c r="Q18" i="21"/>
  <c r="R18" i="21"/>
  <c r="M18" i="21"/>
  <c r="L18" i="21"/>
  <c r="K18" i="21"/>
  <c r="I18" i="21"/>
  <c r="J18" i="21"/>
  <c r="H18" i="21"/>
  <c r="F18" i="21"/>
  <c r="G18" i="21"/>
  <c r="E18" i="21"/>
  <c r="C18" i="21"/>
  <c r="B18" i="21"/>
  <c r="P17" i="20"/>
  <c r="Q17" i="20"/>
  <c r="O17" i="20"/>
  <c r="O16" i="20"/>
  <c r="P16" i="20"/>
  <c r="Q16" i="20"/>
  <c r="F16" i="20"/>
  <c r="G16" i="20"/>
  <c r="H16" i="20"/>
  <c r="I16" i="20"/>
  <c r="J16" i="20"/>
  <c r="K16" i="20"/>
  <c r="L16" i="20"/>
  <c r="M16" i="20"/>
  <c r="N16" i="20"/>
  <c r="E16" i="20"/>
  <c r="ND49" i="5"/>
  <c r="NE49" i="5"/>
  <c r="NF49" i="5"/>
  <c r="NG49" i="5"/>
  <c r="NH49" i="5"/>
  <c r="NI49" i="5"/>
  <c r="NJ49" i="5"/>
  <c r="NK49" i="5"/>
  <c r="NL49" i="5"/>
  <c r="NM49" i="5"/>
  <c r="NN49" i="5"/>
  <c r="NO49" i="5"/>
  <c r="NP49" i="5"/>
  <c r="NQ49" i="5"/>
  <c r="NR49" i="5"/>
  <c r="NS49" i="5"/>
  <c r="NT49" i="5"/>
  <c r="NU49" i="5"/>
  <c r="NV49" i="5"/>
  <c r="NW49" i="5"/>
  <c r="NX49" i="5"/>
  <c r="U31" i="20"/>
  <c r="V31" i="20"/>
  <c r="W31" i="20"/>
  <c r="U30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C31" i="20"/>
  <c r="H39" i="17"/>
  <c r="G38" i="17"/>
  <c r="H38" i="17"/>
  <c r="I38" i="17"/>
  <c r="J38" i="17"/>
  <c r="K38" i="17"/>
  <c r="L38" i="17"/>
  <c r="M38" i="17"/>
  <c r="N38" i="17"/>
  <c r="O38" i="17"/>
  <c r="F38" i="17"/>
  <c r="L37" i="17"/>
  <c r="J37" i="17"/>
  <c r="H37" i="17"/>
  <c r="F37" i="17"/>
  <c r="F36" i="17"/>
  <c r="D37" i="17"/>
  <c r="R37" i="17"/>
  <c r="AI52" i="5"/>
  <c r="AI51" i="5"/>
  <c r="C15" i="15"/>
  <c r="D15" i="15"/>
  <c r="B15" i="15"/>
  <c r="EP44" i="5" l="1"/>
  <c r="EQ44" i="5"/>
  <c r="ER44" i="5"/>
  <c r="PO17" i="5" l="1"/>
  <c r="EG44" i="5"/>
  <c r="EH44" i="5"/>
  <c r="EI44" i="5"/>
  <c r="EY28" i="5"/>
  <c r="EZ28" i="5"/>
  <c r="FA28" i="5"/>
  <c r="EP28" i="5"/>
  <c r="EQ28" i="5"/>
  <c r="ER28" i="5"/>
  <c r="EG28" i="5"/>
  <c r="EH28" i="5"/>
  <c r="EI28" i="5" s="1"/>
  <c r="DX28" i="5"/>
  <c r="DY28" i="5"/>
  <c r="DZ28" i="5" s="1"/>
  <c r="DF28" i="5"/>
  <c r="DG28" i="5"/>
  <c r="DH28" i="5"/>
  <c r="LR50" i="5" l="1"/>
  <c r="LQ50" i="5"/>
  <c r="LR48" i="5"/>
  <c r="LS48" i="5" s="1"/>
  <c r="LQ48" i="5"/>
  <c r="LS50" i="5" l="1"/>
  <c r="S15" i="15"/>
  <c r="Q15" i="15"/>
  <c r="O15" i="15"/>
  <c r="DX44" i="5"/>
  <c r="DY44" i="5"/>
  <c r="DZ44" i="5"/>
  <c r="DF44" i="5"/>
  <c r="DG44" i="5"/>
  <c r="DH44" i="5"/>
  <c r="EP37" i="5"/>
  <c r="EQ37" i="5"/>
  <c r="ER37" i="5"/>
  <c r="PO37" i="5"/>
  <c r="PO38" i="5"/>
  <c r="PO39" i="5"/>
  <c r="PO40" i="5"/>
  <c r="NW37" i="5"/>
  <c r="NY37" i="5" s="1"/>
  <c r="NX37" i="5"/>
  <c r="NW38" i="5"/>
  <c r="NX38" i="5"/>
  <c r="NY38" i="5"/>
  <c r="NW39" i="5"/>
  <c r="NY39" i="5" s="1"/>
  <c r="NX39" i="5"/>
  <c r="NW40" i="5"/>
  <c r="NX40" i="5"/>
  <c r="NY40" i="5" s="1"/>
  <c r="NW41" i="5"/>
  <c r="NX41" i="5"/>
  <c r="NY41" i="5"/>
  <c r="NW42" i="5"/>
  <c r="NX42" i="5"/>
  <c r="NY42" i="5"/>
  <c r="NW43" i="5"/>
  <c r="NY43" i="5" s="1"/>
  <c r="NX43" i="5"/>
  <c r="NW44" i="5"/>
  <c r="NX44" i="5"/>
  <c r="NY44" i="5" s="1"/>
  <c r="NW45" i="5"/>
  <c r="NX45" i="5"/>
  <c r="NY45" i="5"/>
  <c r="NA39" i="5"/>
  <c r="NB39" i="5" s="1"/>
  <c r="MZ39" i="5"/>
  <c r="NA38" i="5"/>
  <c r="NB38" i="5" s="1"/>
  <c r="MZ38" i="5"/>
  <c r="NB37" i="5"/>
  <c r="NA37" i="5"/>
  <c r="MZ37" i="5"/>
  <c r="NA36" i="5"/>
  <c r="NB36" i="5" s="1"/>
  <c r="MZ36" i="5"/>
  <c r="MO37" i="5"/>
  <c r="MP37" i="5"/>
  <c r="MQ37" i="5" s="1"/>
  <c r="MO38" i="5"/>
  <c r="MP38" i="5"/>
  <c r="MQ38" i="5" s="1"/>
  <c r="MO39" i="5"/>
  <c r="MP39" i="5"/>
  <c r="MQ39" i="5"/>
  <c r="MO40" i="5"/>
  <c r="MQ40" i="5" s="1"/>
  <c r="MP40" i="5"/>
  <c r="MO41" i="5"/>
  <c r="MP41" i="5"/>
  <c r="MQ41" i="5" s="1"/>
  <c r="MO42" i="5"/>
  <c r="MP42" i="5"/>
  <c r="MQ42" i="5"/>
  <c r="MO43" i="5"/>
  <c r="MP43" i="5"/>
  <c r="MQ43" i="5"/>
  <c r="MO44" i="5"/>
  <c r="MP44" i="5"/>
  <c r="MQ44" i="5"/>
  <c r="MO45" i="5"/>
  <c r="MP45" i="5"/>
  <c r="MQ45" i="5" s="1"/>
  <c r="MB37" i="5"/>
  <c r="MD37" i="5" s="1"/>
  <c r="MC37" i="5"/>
  <c r="MB38" i="5"/>
  <c r="MC38" i="5"/>
  <c r="MD38" i="5"/>
  <c r="MB39" i="5"/>
  <c r="MD39" i="5" s="1"/>
  <c r="MC39" i="5"/>
  <c r="MB40" i="5"/>
  <c r="MC40" i="5"/>
  <c r="MD40" i="5" s="1"/>
  <c r="MB41" i="5"/>
  <c r="MC41" i="5"/>
  <c r="MD41" i="5"/>
  <c r="MB42" i="5"/>
  <c r="MC42" i="5"/>
  <c r="MD42" i="5"/>
  <c r="MB43" i="5"/>
  <c r="MD43" i="5" s="1"/>
  <c r="MC43" i="5"/>
  <c r="MB44" i="5"/>
  <c r="MC44" i="5"/>
  <c r="MD44" i="5" s="1"/>
  <c r="MB45" i="5"/>
  <c r="MC45" i="5"/>
  <c r="MD45" i="5"/>
  <c r="LQ37" i="5"/>
  <c r="LR37" i="5"/>
  <c r="LS37" i="5" s="1"/>
  <c r="LQ38" i="5"/>
  <c r="LR38" i="5"/>
  <c r="LS38" i="5" s="1"/>
  <c r="LQ39" i="5"/>
  <c r="LR39" i="5"/>
  <c r="LS39" i="5"/>
  <c r="LQ40" i="5"/>
  <c r="LS40" i="5" s="1"/>
  <c r="LR40" i="5"/>
  <c r="LQ41" i="5"/>
  <c r="LR41" i="5"/>
  <c r="LS41" i="5" s="1"/>
  <c r="LQ42" i="5"/>
  <c r="LR42" i="5"/>
  <c r="LS42" i="5" s="1"/>
  <c r="LQ43" i="5"/>
  <c r="LR43" i="5"/>
  <c r="LS43" i="5"/>
  <c r="LQ44" i="5"/>
  <c r="LR44" i="5"/>
  <c r="LS44" i="5" s="1"/>
  <c r="LQ45" i="5"/>
  <c r="LR45" i="5"/>
  <c r="LS45" i="5" s="1"/>
  <c r="FM43" i="5"/>
  <c r="FN43" i="5" s="1"/>
  <c r="FL43" i="5"/>
  <c r="FM42" i="5"/>
  <c r="FN42" i="5" s="1"/>
  <c r="FL42" i="5"/>
  <c r="FM41" i="5"/>
  <c r="FL41" i="5"/>
  <c r="FN41" i="5" s="1"/>
  <c r="FM40" i="5"/>
  <c r="FN40" i="5" s="1"/>
  <c r="FL40" i="5"/>
  <c r="FN39" i="5"/>
  <c r="FM39" i="5"/>
  <c r="FL39" i="5"/>
  <c r="FM38" i="5"/>
  <c r="FN38" i="5" s="1"/>
  <c r="FL38" i="5"/>
  <c r="FM37" i="5"/>
  <c r="FN37" i="5" s="1"/>
  <c r="FL37" i="5"/>
  <c r="FM36" i="5"/>
  <c r="FN36" i="5" s="1"/>
  <c r="FL36" i="5"/>
  <c r="KV37" i="5"/>
  <c r="KW37" i="5"/>
  <c r="KX37" i="5"/>
  <c r="KV38" i="5"/>
  <c r="KW38" i="5"/>
  <c r="KX38" i="5"/>
  <c r="KV39" i="5"/>
  <c r="KX39" i="5" s="1"/>
  <c r="KW39" i="5"/>
  <c r="KV40" i="5"/>
  <c r="KW40" i="5"/>
  <c r="KX40" i="5" s="1"/>
  <c r="KV41" i="5"/>
  <c r="KW41" i="5"/>
  <c r="KX41" i="5"/>
  <c r="KV42" i="5"/>
  <c r="KW42" i="5"/>
  <c r="KX42" i="5"/>
  <c r="KV43" i="5"/>
  <c r="KX43" i="5" s="1"/>
  <c r="KW43" i="5"/>
  <c r="KV44" i="5"/>
  <c r="KW44" i="5"/>
  <c r="KX44" i="5" s="1"/>
  <c r="KV45" i="5"/>
  <c r="KW45" i="5"/>
  <c r="KX45" i="5"/>
  <c r="GG37" i="5"/>
  <c r="GH37" i="5"/>
  <c r="GI37" i="5" s="1"/>
  <c r="GG38" i="5"/>
  <c r="GH38" i="5"/>
  <c r="GI38" i="5"/>
  <c r="GG39" i="5"/>
  <c r="GH39" i="5"/>
  <c r="GI39" i="5"/>
  <c r="GG40" i="5"/>
  <c r="GI40" i="5" s="1"/>
  <c r="GH40" i="5"/>
  <c r="GG41" i="5"/>
  <c r="GH41" i="5"/>
  <c r="GI41" i="5" s="1"/>
  <c r="GG42" i="5"/>
  <c r="GH42" i="5"/>
  <c r="GI42" i="5"/>
  <c r="GG43" i="5"/>
  <c r="GH43" i="5"/>
  <c r="GI43" i="5"/>
  <c r="GG44" i="5"/>
  <c r="GH44" i="5"/>
  <c r="GI44" i="5" s="1"/>
  <c r="GG45" i="5"/>
  <c r="GH45" i="5"/>
  <c r="GI45" i="5" s="1"/>
  <c r="GH36" i="5"/>
  <c r="GI36" i="5" s="1"/>
  <c r="GG36" i="5"/>
  <c r="KW36" i="5"/>
  <c r="KV36" i="5"/>
  <c r="LR36" i="5"/>
  <c r="LQ36" i="5"/>
  <c r="MD36" i="5"/>
  <c r="MC36" i="5"/>
  <c r="MB36" i="5"/>
  <c r="MP36" i="5"/>
  <c r="MO36" i="5"/>
  <c r="NX36" i="5"/>
  <c r="NW36" i="5"/>
  <c r="PO36" i="5"/>
  <c r="EY37" i="5"/>
  <c r="EZ37" i="5"/>
  <c r="FA37" i="5"/>
  <c r="EG37" i="5"/>
  <c r="EH37" i="5"/>
  <c r="EI37" i="5"/>
  <c r="DX37" i="5"/>
  <c r="DY37" i="5"/>
  <c r="DZ37" i="5" s="1"/>
  <c r="DF37" i="5"/>
  <c r="DG37" i="5"/>
  <c r="DH37" i="5" s="1"/>
  <c r="CV37" i="5"/>
  <c r="CW37" i="5"/>
  <c r="CX37" i="5"/>
  <c r="CY37" i="5" s="1"/>
  <c r="BS37" i="5"/>
  <c r="BU37" i="5" s="1"/>
  <c r="BT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J37" i="5" s="1"/>
  <c r="CI37" i="5"/>
  <c r="CK37" i="5" s="1"/>
  <c r="CL37" i="5" s="1"/>
  <c r="BF37" i="5"/>
  <c r="BG37" i="5"/>
  <c r="BH37" i="5"/>
  <c r="AS37" i="5"/>
  <c r="AT37" i="5"/>
  <c r="AU37" i="5"/>
  <c r="AF37" i="5"/>
  <c r="AG37" i="5"/>
  <c r="AH37" i="5" s="1"/>
  <c r="DF41" i="5"/>
  <c r="DH41" i="5" s="1"/>
  <c r="DG41" i="5"/>
  <c r="BF41" i="5"/>
  <c r="BG41" i="5"/>
  <c r="LR33" i="5"/>
  <c r="LQ33" i="5"/>
  <c r="LR32" i="5"/>
  <c r="LQ32" i="5"/>
  <c r="LR28" i="5"/>
  <c r="LQ28" i="5"/>
  <c r="LR27" i="5"/>
  <c r="LQ27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I18" i="5"/>
  <c r="AJ18" i="5"/>
  <c r="AK18" i="5"/>
  <c r="AL18" i="5"/>
  <c r="AM18" i="5"/>
  <c r="AN18" i="5"/>
  <c r="AO18" i="5"/>
  <c r="AP18" i="5"/>
  <c r="AQ18" i="5"/>
  <c r="AR18" i="5"/>
  <c r="AV18" i="5"/>
  <c r="AW18" i="5"/>
  <c r="AX18" i="5"/>
  <c r="AY18" i="5"/>
  <c r="AZ18" i="5"/>
  <c r="BA18" i="5"/>
  <c r="BB18" i="5"/>
  <c r="BC18" i="5"/>
  <c r="BD18" i="5"/>
  <c r="BE18" i="5"/>
  <c r="BI18" i="5"/>
  <c r="BJ18" i="5"/>
  <c r="BK18" i="5"/>
  <c r="BL18" i="5"/>
  <c r="BM18" i="5"/>
  <c r="BN18" i="5"/>
  <c r="BO18" i="5"/>
  <c r="BP18" i="5"/>
  <c r="BQ18" i="5"/>
  <c r="BR18" i="5"/>
  <c r="CM18" i="5"/>
  <c r="CN18" i="5"/>
  <c r="CO18" i="5"/>
  <c r="CP18" i="5"/>
  <c r="CQ18" i="5"/>
  <c r="CR18" i="5"/>
  <c r="CS18" i="5"/>
  <c r="CT18" i="5"/>
  <c r="CU18" i="5"/>
  <c r="CZ18" i="5"/>
  <c r="DA18" i="5"/>
  <c r="DB18" i="5"/>
  <c r="DC18" i="5"/>
  <c r="DD18" i="5"/>
  <c r="DE18" i="5"/>
  <c r="DI18" i="5"/>
  <c r="DJ18" i="5"/>
  <c r="DK18" i="5"/>
  <c r="DL18" i="5"/>
  <c r="DM18" i="5"/>
  <c r="DN18" i="5"/>
  <c r="DR18" i="5"/>
  <c r="DS18" i="5"/>
  <c r="DT18" i="5"/>
  <c r="DU18" i="5"/>
  <c r="DV18" i="5"/>
  <c r="DW18" i="5"/>
  <c r="EA18" i="5"/>
  <c r="EB18" i="5"/>
  <c r="EC18" i="5"/>
  <c r="ED18" i="5"/>
  <c r="EE18" i="5"/>
  <c r="EF18" i="5"/>
  <c r="EJ18" i="5"/>
  <c r="EK18" i="5"/>
  <c r="EL18" i="5"/>
  <c r="EM18" i="5"/>
  <c r="EN18" i="5"/>
  <c r="EO18" i="5"/>
  <c r="ES18" i="5"/>
  <c r="ET18" i="5"/>
  <c r="EU18" i="5"/>
  <c r="EV18" i="5"/>
  <c r="EW18" i="5"/>
  <c r="EX18" i="5"/>
  <c r="FB18" i="5"/>
  <c r="FC18" i="5"/>
  <c r="FD18" i="5"/>
  <c r="FE18" i="5"/>
  <c r="FF18" i="5"/>
  <c r="FG18" i="5"/>
  <c r="FH18" i="5"/>
  <c r="FI18" i="5"/>
  <c r="FJ18" i="5"/>
  <c r="FK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II18" i="5"/>
  <c r="IJ18" i="5"/>
  <c r="IK18" i="5"/>
  <c r="IL18" i="5"/>
  <c r="IM18" i="5"/>
  <c r="IN18" i="5"/>
  <c r="IO18" i="5"/>
  <c r="IP18" i="5"/>
  <c r="IQ18" i="5"/>
  <c r="IR18" i="5"/>
  <c r="IS18" i="5"/>
  <c r="IT18" i="5"/>
  <c r="IU18" i="5"/>
  <c r="IV18" i="5"/>
  <c r="IW18" i="5"/>
  <c r="IX18" i="5"/>
  <c r="IY18" i="5"/>
  <c r="IZ18" i="5"/>
  <c r="JA18" i="5"/>
  <c r="JB18" i="5"/>
  <c r="JC18" i="5"/>
  <c r="JD18" i="5"/>
  <c r="JE18" i="5"/>
  <c r="JF18" i="5"/>
  <c r="JG18" i="5"/>
  <c r="JH18" i="5"/>
  <c r="JI18" i="5"/>
  <c r="JJ18" i="5"/>
  <c r="JK18" i="5"/>
  <c r="JL18" i="5"/>
  <c r="JM18" i="5"/>
  <c r="JN18" i="5"/>
  <c r="JO18" i="5"/>
  <c r="JP18" i="5"/>
  <c r="JQ18" i="5"/>
  <c r="JR18" i="5"/>
  <c r="JS18" i="5"/>
  <c r="JT18" i="5"/>
  <c r="JU18" i="5"/>
  <c r="JV18" i="5"/>
  <c r="JW18" i="5"/>
  <c r="JX18" i="5"/>
  <c r="JY18" i="5"/>
  <c r="JZ18" i="5"/>
  <c r="KA18" i="5"/>
  <c r="KB18" i="5"/>
  <c r="KC18" i="5"/>
  <c r="KD18" i="5"/>
  <c r="KE18" i="5"/>
  <c r="KF18" i="5"/>
  <c r="KG18" i="5"/>
  <c r="KH18" i="5"/>
  <c r="KI18" i="5"/>
  <c r="KJ18" i="5"/>
  <c r="KK18" i="5"/>
  <c r="KL18" i="5"/>
  <c r="KM18" i="5"/>
  <c r="KN18" i="5"/>
  <c r="KO18" i="5"/>
  <c r="KP18" i="5"/>
  <c r="KQ18" i="5"/>
  <c r="KR18" i="5"/>
  <c r="KS18" i="5"/>
  <c r="KT18" i="5"/>
  <c r="KU18" i="5"/>
  <c r="KY18" i="5"/>
  <c r="KZ18" i="5"/>
  <c r="LA18" i="5"/>
  <c r="LB18" i="5"/>
  <c r="LC18" i="5"/>
  <c r="LD18" i="5"/>
  <c r="LE18" i="5"/>
  <c r="LF18" i="5"/>
  <c r="LG18" i="5"/>
  <c r="LH18" i="5"/>
  <c r="LI18" i="5"/>
  <c r="LJ18" i="5"/>
  <c r="LK18" i="5"/>
  <c r="LL18" i="5"/>
  <c r="LM18" i="5"/>
  <c r="LN18" i="5"/>
  <c r="LO18" i="5"/>
  <c r="LP18" i="5"/>
  <c r="LT18" i="5"/>
  <c r="LU18" i="5"/>
  <c r="LV18" i="5"/>
  <c r="LW18" i="5"/>
  <c r="LX18" i="5"/>
  <c r="LY18" i="5"/>
  <c r="LZ18" i="5"/>
  <c r="MA18" i="5"/>
  <c r="ME18" i="5"/>
  <c r="MF18" i="5"/>
  <c r="MG18" i="5"/>
  <c r="MH18" i="5"/>
  <c r="MI18" i="5"/>
  <c r="MJ18" i="5"/>
  <c r="MK18" i="5"/>
  <c r="ML18" i="5"/>
  <c r="MM18" i="5"/>
  <c r="MN18" i="5"/>
  <c r="MR18" i="5"/>
  <c r="MS18" i="5"/>
  <c r="MT18" i="5"/>
  <c r="MU18" i="5"/>
  <c r="MV18" i="5"/>
  <c r="MW18" i="5"/>
  <c r="MX18" i="5"/>
  <c r="MY18" i="5"/>
  <c r="NC18" i="5"/>
  <c r="ND18" i="5"/>
  <c r="NE18" i="5"/>
  <c r="NF18" i="5"/>
  <c r="NG18" i="5"/>
  <c r="NH18" i="5"/>
  <c r="NI18" i="5"/>
  <c r="NJ18" i="5"/>
  <c r="NK18" i="5"/>
  <c r="NL18" i="5"/>
  <c r="NM18" i="5"/>
  <c r="NN18" i="5"/>
  <c r="NO18" i="5"/>
  <c r="NP18" i="5"/>
  <c r="NQ18" i="5"/>
  <c r="NR18" i="5"/>
  <c r="NS18" i="5"/>
  <c r="NT18" i="5"/>
  <c r="NU18" i="5"/>
  <c r="NV18" i="5"/>
  <c r="NZ18" i="5"/>
  <c r="OA18" i="5"/>
  <c r="OB18" i="5"/>
  <c r="OC18" i="5"/>
  <c r="OD18" i="5"/>
  <c r="OE18" i="5"/>
  <c r="OI18" i="5"/>
  <c r="OJ18" i="5"/>
  <c r="OK18" i="5"/>
  <c r="OL18" i="5"/>
  <c r="OM18" i="5"/>
  <c r="ON18" i="5"/>
  <c r="OO18" i="5"/>
  <c r="OP18" i="5"/>
  <c r="OQ18" i="5"/>
  <c r="OR18" i="5"/>
  <c r="OS18" i="5"/>
  <c r="OT18" i="5"/>
  <c r="OU18" i="5"/>
  <c r="OV18" i="5"/>
  <c r="OY18" i="5"/>
  <c r="OZ18" i="5"/>
  <c r="PA18" i="5"/>
  <c r="PB18" i="5"/>
  <c r="PC18" i="5"/>
  <c r="PD18" i="5"/>
  <c r="PE18" i="5"/>
  <c r="PF18" i="5"/>
  <c r="PG18" i="5"/>
  <c r="PH18" i="5"/>
  <c r="PI18" i="5"/>
  <c r="PJ18" i="5"/>
  <c r="PK18" i="5"/>
  <c r="PL18" i="5"/>
  <c r="PM18" i="5"/>
  <c r="PN18" i="5"/>
  <c r="PP18" i="5"/>
  <c r="PQ18" i="5"/>
  <c r="PR18" i="5"/>
  <c r="PS18" i="5"/>
  <c r="PT18" i="5"/>
  <c r="PU18" i="5"/>
  <c r="PV18" i="5"/>
  <c r="PW18" i="5"/>
  <c r="PX18" i="5"/>
  <c r="PY18" i="5"/>
  <c r="PZ18" i="5"/>
  <c r="QA18" i="5"/>
  <c r="QB18" i="5"/>
  <c r="QC18" i="5"/>
  <c r="QD18" i="5"/>
  <c r="QE18" i="5"/>
  <c r="QF18" i="5"/>
  <c r="QG18" i="5"/>
  <c r="QH18" i="5"/>
  <c r="QI18" i="5"/>
  <c r="QJ18" i="5"/>
  <c r="QK18" i="5"/>
  <c r="QL18" i="5"/>
  <c r="QM18" i="5"/>
  <c r="QN18" i="5"/>
  <c r="QO18" i="5"/>
  <c r="QP18" i="5"/>
  <c r="QQ18" i="5"/>
  <c r="QR18" i="5"/>
  <c r="QS18" i="5"/>
  <c r="QT18" i="5"/>
  <c r="QU18" i="5"/>
  <c r="QV18" i="5"/>
  <c r="QW18" i="5"/>
  <c r="QX18" i="5"/>
  <c r="QY18" i="5"/>
  <c r="QZ18" i="5"/>
  <c r="RA18" i="5"/>
  <c r="RB18" i="5"/>
  <c r="RC18" i="5"/>
  <c r="RD18" i="5"/>
  <c r="RE18" i="5"/>
  <c r="RF18" i="5"/>
  <c r="RG18" i="5"/>
  <c r="RH18" i="5"/>
  <c r="RI18" i="5"/>
  <c r="RJ18" i="5"/>
  <c r="RK18" i="5"/>
  <c r="RL18" i="5"/>
  <c r="RM18" i="5"/>
  <c r="RN18" i="5"/>
  <c r="RO18" i="5"/>
  <c r="RP18" i="5"/>
  <c r="RQ18" i="5"/>
  <c r="RR18" i="5"/>
  <c r="RS18" i="5"/>
  <c r="RT18" i="5"/>
  <c r="RU18" i="5"/>
  <c r="RV18" i="5"/>
  <c r="RW18" i="5"/>
  <c r="RX18" i="5"/>
  <c r="RY18" i="5"/>
  <c r="RZ18" i="5"/>
  <c r="SA18" i="5"/>
  <c r="SB18" i="5"/>
  <c r="SC18" i="5"/>
  <c r="SD18" i="5"/>
  <c r="SE18" i="5"/>
  <c r="SF18" i="5"/>
  <c r="SG18" i="5"/>
  <c r="SH18" i="5"/>
  <c r="SI18" i="5"/>
  <c r="SJ18" i="5"/>
  <c r="SK18" i="5"/>
  <c r="SL18" i="5"/>
  <c r="SM18" i="5"/>
  <c r="SO18" i="5"/>
  <c r="SP18" i="5"/>
  <c r="G18" i="5"/>
  <c r="DF17" i="5"/>
  <c r="DH17" i="5" s="1"/>
  <c r="DG17" i="5"/>
  <c r="DX17" i="5"/>
  <c r="DY17" i="5"/>
  <c r="EG17" i="5"/>
  <c r="EI17" i="5" s="1"/>
  <c r="EH17" i="5"/>
  <c r="EP17" i="5"/>
  <c r="EQ17" i="5"/>
  <c r="EY17" i="5"/>
  <c r="EZ17" i="5"/>
  <c r="FL17" i="5"/>
  <c r="FN17" i="5" s="1"/>
  <c r="FM17" i="5"/>
  <c r="GG17" i="5"/>
  <c r="GH17" i="5"/>
  <c r="KV17" i="5"/>
  <c r="KW17" i="5"/>
  <c r="OF17" i="5"/>
  <c r="OG17" i="5"/>
  <c r="OH17" i="5" s="1"/>
  <c r="NW17" i="5"/>
  <c r="NX17" i="5"/>
  <c r="NY17" i="5" s="1"/>
  <c r="MZ17" i="5"/>
  <c r="NA17" i="5"/>
  <c r="MO17" i="5"/>
  <c r="MP17" i="5"/>
  <c r="MB17" i="5"/>
  <c r="MC17" i="5"/>
  <c r="MD17" i="5" s="1"/>
  <c r="LQ17" i="5"/>
  <c r="LR17" i="5"/>
  <c r="CV44" i="5"/>
  <c r="CW44" i="5"/>
  <c r="CX44" i="5"/>
  <c r="CY44" i="5" s="1"/>
  <c r="CV17" i="5"/>
  <c r="CW17" i="5"/>
  <c r="CX17" i="5"/>
  <c r="BS44" i="5"/>
  <c r="BT44" i="5"/>
  <c r="BU44" i="5" s="1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BF44" i="5"/>
  <c r="BG44" i="5"/>
  <c r="AS44" i="5"/>
  <c r="AT44" i="5"/>
  <c r="BS17" i="5"/>
  <c r="BT17" i="5"/>
  <c r="BU17" i="5" s="1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BF17" i="5"/>
  <c r="BG17" i="5"/>
  <c r="BH17" i="5"/>
  <c r="AS17" i="5"/>
  <c r="AT17" i="5"/>
  <c r="AF17" i="5"/>
  <c r="AG17" i="5"/>
  <c r="AF44" i="5"/>
  <c r="AG44" i="5"/>
  <c r="AF38" i="5"/>
  <c r="AG38" i="5"/>
  <c r="AF39" i="5"/>
  <c r="AG39" i="5"/>
  <c r="AF40" i="5"/>
  <c r="AG40" i="5"/>
  <c r="AF41" i="5"/>
  <c r="AG41" i="5"/>
  <c r="AF42" i="5"/>
  <c r="AG42" i="5"/>
  <c r="AF43" i="5"/>
  <c r="AG43" i="5"/>
  <c r="AF45" i="5"/>
  <c r="AG45" i="5"/>
  <c r="AF36" i="5"/>
  <c r="LQ7" i="5"/>
  <c r="LR7" i="5"/>
  <c r="LQ8" i="5"/>
  <c r="LR8" i="5"/>
  <c r="LQ9" i="5"/>
  <c r="LR9" i="5"/>
  <c r="LQ10" i="5"/>
  <c r="LR10" i="5"/>
  <c r="LQ13" i="5"/>
  <c r="LR13" i="5"/>
  <c r="LQ16" i="5"/>
  <c r="LQ18" i="5" s="1"/>
  <c r="LR16" i="5"/>
  <c r="LR18" i="5" s="1"/>
  <c r="LQ21" i="5"/>
  <c r="LR21" i="5"/>
  <c r="LQ22" i="5"/>
  <c r="LR22" i="5"/>
  <c r="LR6" i="5"/>
  <c r="LQ6" i="5"/>
  <c r="NY36" i="5" l="1"/>
  <c r="MQ36" i="5"/>
  <c r="LS36" i="5"/>
  <c r="KX36" i="5"/>
  <c r="LS27" i="5"/>
  <c r="LS33" i="5"/>
  <c r="CJ44" i="5"/>
  <c r="CL44" i="5" s="1"/>
  <c r="ER17" i="5"/>
  <c r="AU44" i="5"/>
  <c r="AH17" i="5"/>
  <c r="BH44" i="5"/>
  <c r="NB17" i="5"/>
  <c r="GI17" i="5"/>
  <c r="CJ17" i="5"/>
  <c r="CL17" i="5" s="1"/>
  <c r="AU17" i="5"/>
  <c r="CK17" i="5"/>
  <c r="CK44" i="5"/>
  <c r="LS17" i="5"/>
  <c r="DZ17" i="5"/>
  <c r="CY17" i="5"/>
  <c r="MQ17" i="5"/>
  <c r="KX17" i="5"/>
  <c r="FA17" i="5"/>
  <c r="LS28" i="5"/>
  <c r="BH41" i="5"/>
  <c r="AH44" i="5"/>
  <c r="LS32" i="5"/>
  <c r="OD25" i="5"/>
  <c r="F86" i="14" l="1"/>
  <c r="E86" i="14"/>
  <c r="K118" i="14"/>
  <c r="K125" i="14" s="1"/>
  <c r="K114" i="14"/>
  <c r="K113" i="14"/>
  <c r="K115" i="14" l="1"/>
  <c r="G86" i="14"/>
  <c r="BS28" i="5"/>
  <c r="BT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BE23" i="12"/>
  <c r="BF23" i="12"/>
  <c r="BG23" i="12"/>
  <c r="BF22" i="12"/>
  <c r="BG22" i="12"/>
  <c r="BH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M19" i="12"/>
  <c r="L19" i="12"/>
  <c r="K19" i="12"/>
  <c r="J19" i="12"/>
  <c r="I19" i="12"/>
  <c r="H19" i="12"/>
  <c r="G19" i="12"/>
  <c r="F19" i="12"/>
  <c r="E19" i="12"/>
  <c r="D19" i="12"/>
  <c r="C19" i="12"/>
  <c r="BH18" i="12"/>
  <c r="BD18" i="12"/>
  <c r="BC18" i="12"/>
  <c r="BB18" i="12"/>
  <c r="BA18" i="12"/>
  <c r="AZ18" i="12"/>
  <c r="AY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M18" i="12"/>
  <c r="L18" i="12"/>
  <c r="K18" i="12"/>
  <c r="J18" i="12"/>
  <c r="I18" i="12"/>
  <c r="H18" i="12"/>
  <c r="G18" i="12"/>
  <c r="F18" i="12"/>
  <c r="E18" i="12"/>
  <c r="D18" i="12"/>
  <c r="C18" i="12"/>
  <c r="BU28" i="5" l="1"/>
  <c r="CK28" i="5"/>
  <c r="CJ28" i="5"/>
  <c r="E149" i="17"/>
  <c r="D149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S129" i="17"/>
  <c r="R129" i="17"/>
  <c r="T129" i="17" s="1"/>
  <c r="U29" i="16"/>
  <c r="P29" i="16"/>
  <c r="Q29" i="16" s="1"/>
  <c r="O29" i="16"/>
  <c r="H29" i="16"/>
  <c r="E29" i="16"/>
  <c r="Q149" i="17"/>
  <c r="P149" i="17"/>
  <c r="X17" i="21"/>
  <c r="W17" i="21"/>
  <c r="V17" i="21"/>
  <c r="U17" i="21"/>
  <c r="T17" i="21"/>
  <c r="N17" i="21"/>
  <c r="O17" i="21"/>
  <c r="P17" i="21"/>
  <c r="Q17" i="21"/>
  <c r="R17" i="21"/>
  <c r="M17" i="21"/>
  <c r="L17" i="21"/>
  <c r="K17" i="21"/>
  <c r="I17" i="21"/>
  <c r="J17" i="21"/>
  <c r="H17" i="21"/>
  <c r="F17" i="21"/>
  <c r="G17" i="21"/>
  <c r="E17" i="21"/>
  <c r="D17" i="21"/>
  <c r="C17" i="21"/>
  <c r="B17" i="21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C30" i="20"/>
  <c r="I29" i="20"/>
  <c r="J29" i="20"/>
  <c r="K29" i="20"/>
  <c r="L29" i="20"/>
  <c r="M29" i="20"/>
  <c r="E15" i="20"/>
  <c r="F15" i="20"/>
  <c r="G15" i="20"/>
  <c r="H15" i="20"/>
  <c r="I15" i="20"/>
  <c r="J15" i="20"/>
  <c r="K15" i="20"/>
  <c r="L15" i="20"/>
  <c r="M15" i="20"/>
  <c r="N15" i="20"/>
  <c r="O30" i="19"/>
  <c r="O31" i="19"/>
  <c r="O32" i="19"/>
  <c r="N32" i="19"/>
  <c r="N31" i="19"/>
  <c r="N30" i="19"/>
  <c r="L30" i="19"/>
  <c r="L31" i="19"/>
  <c r="L32" i="19"/>
  <c r="K32" i="19"/>
  <c r="K31" i="19"/>
  <c r="K30" i="19"/>
  <c r="I30" i="19"/>
  <c r="I31" i="19"/>
  <c r="I32" i="19"/>
  <c r="H32" i="19"/>
  <c r="H31" i="19"/>
  <c r="H30" i="19"/>
  <c r="F31" i="19"/>
  <c r="F32" i="19"/>
  <c r="E32" i="19"/>
  <c r="E31" i="19"/>
  <c r="F30" i="19"/>
  <c r="E30" i="19"/>
  <c r="Q31" i="17"/>
  <c r="Q32" i="17" s="1"/>
  <c r="P31" i="17"/>
  <c r="P32" i="17" s="1"/>
  <c r="O31" i="17"/>
  <c r="N31" i="17"/>
  <c r="M31" i="17"/>
  <c r="L31" i="17"/>
  <c r="K31" i="17"/>
  <c r="J31" i="17"/>
  <c r="E15" i="16"/>
  <c r="P15" i="16"/>
  <c r="Q15" i="16" s="1"/>
  <c r="U15" i="16"/>
  <c r="M30" i="19" l="1"/>
  <c r="Q30" i="19" s="1"/>
  <c r="J30" i="19"/>
  <c r="P15" i="20"/>
  <c r="O15" i="20"/>
  <c r="P30" i="19"/>
  <c r="V30" i="20"/>
  <c r="I33" i="19"/>
  <c r="R30" i="19"/>
  <c r="CL28" i="5"/>
  <c r="S17" i="21"/>
  <c r="P31" i="19"/>
  <c r="R31" i="19" s="1"/>
  <c r="N33" i="19"/>
  <c r="M32" i="19"/>
  <c r="Q32" i="19" s="1"/>
  <c r="K33" i="19"/>
  <c r="H33" i="19"/>
  <c r="F33" i="19"/>
  <c r="E33" i="19"/>
  <c r="G30" i="19"/>
  <c r="M31" i="19"/>
  <c r="Q31" i="19" s="1"/>
  <c r="J32" i="19"/>
  <c r="O33" i="19"/>
  <c r="J31" i="19"/>
  <c r="G32" i="19"/>
  <c r="L33" i="19"/>
  <c r="G31" i="19"/>
  <c r="P32" i="19"/>
  <c r="R32" i="19" s="1"/>
  <c r="G30" i="5"/>
  <c r="G31" i="5" s="1"/>
  <c r="H30" i="5"/>
  <c r="H31" i="5" s="1"/>
  <c r="I30" i="5"/>
  <c r="I31" i="5" s="1"/>
  <c r="J30" i="5"/>
  <c r="J31" i="5" s="1"/>
  <c r="K30" i="5"/>
  <c r="K31" i="5" s="1"/>
  <c r="L30" i="5"/>
  <c r="L31" i="5" s="1"/>
  <c r="M30" i="5"/>
  <c r="M31" i="5" s="1"/>
  <c r="N30" i="5"/>
  <c r="N31" i="5" s="1"/>
  <c r="O30" i="5"/>
  <c r="O31" i="5" s="1"/>
  <c r="P30" i="5"/>
  <c r="P31" i="5" s="1"/>
  <c r="Q30" i="5"/>
  <c r="Q31" i="5" s="1"/>
  <c r="R30" i="5"/>
  <c r="R31" i="5" s="1"/>
  <c r="S30" i="5"/>
  <c r="S31" i="5" s="1"/>
  <c r="T30" i="5"/>
  <c r="T31" i="5" s="1"/>
  <c r="U30" i="5"/>
  <c r="U31" i="5" s="1"/>
  <c r="V30" i="5"/>
  <c r="V31" i="5" s="1"/>
  <c r="W30" i="5"/>
  <c r="W31" i="5" s="1"/>
  <c r="X30" i="5"/>
  <c r="X31" i="5" s="1"/>
  <c r="Y30" i="5"/>
  <c r="Y31" i="5" s="1"/>
  <c r="Z30" i="5"/>
  <c r="Z31" i="5" s="1"/>
  <c r="AA30" i="5"/>
  <c r="AA31" i="5" s="1"/>
  <c r="AB30" i="5"/>
  <c r="AB31" i="5" s="1"/>
  <c r="AC30" i="5"/>
  <c r="AC31" i="5" s="1"/>
  <c r="AD30" i="5"/>
  <c r="AD31" i="5" s="1"/>
  <c r="AE30" i="5"/>
  <c r="AE31" i="5" s="1"/>
  <c r="AI30" i="5"/>
  <c r="AI31" i="5" s="1"/>
  <c r="AJ30" i="5"/>
  <c r="AJ31" i="5" s="1"/>
  <c r="AK30" i="5"/>
  <c r="AK31" i="5" s="1"/>
  <c r="AL30" i="5"/>
  <c r="AL31" i="5" s="1"/>
  <c r="AM30" i="5"/>
  <c r="AM31" i="5" s="1"/>
  <c r="AN30" i="5"/>
  <c r="AN31" i="5" s="1"/>
  <c r="AO30" i="5"/>
  <c r="AO31" i="5" s="1"/>
  <c r="AP30" i="5"/>
  <c r="AP31" i="5" s="1"/>
  <c r="AQ30" i="5"/>
  <c r="AQ31" i="5" s="1"/>
  <c r="AR30" i="5"/>
  <c r="AR31" i="5" s="1"/>
  <c r="AV30" i="5"/>
  <c r="AV31" i="5" s="1"/>
  <c r="AW30" i="5"/>
  <c r="AW31" i="5" s="1"/>
  <c r="AX30" i="5"/>
  <c r="AX31" i="5" s="1"/>
  <c r="AY30" i="5"/>
  <c r="AY31" i="5" s="1"/>
  <c r="AZ30" i="5"/>
  <c r="AZ31" i="5" s="1"/>
  <c r="BA30" i="5"/>
  <c r="BA31" i="5" s="1"/>
  <c r="BB30" i="5"/>
  <c r="BB31" i="5" s="1"/>
  <c r="BC30" i="5"/>
  <c r="BC31" i="5" s="1"/>
  <c r="BD30" i="5"/>
  <c r="BD31" i="5" s="1"/>
  <c r="BE30" i="5"/>
  <c r="BE31" i="5" s="1"/>
  <c r="BI30" i="5"/>
  <c r="BI31" i="5" s="1"/>
  <c r="BJ30" i="5"/>
  <c r="BJ31" i="5" s="1"/>
  <c r="BK30" i="5"/>
  <c r="BK31" i="5" s="1"/>
  <c r="BL30" i="5"/>
  <c r="BL31" i="5" s="1"/>
  <c r="BM30" i="5"/>
  <c r="BM31" i="5" s="1"/>
  <c r="BN30" i="5"/>
  <c r="BN31" i="5" s="1"/>
  <c r="BO30" i="5"/>
  <c r="BO31" i="5" s="1"/>
  <c r="BP30" i="5"/>
  <c r="BP31" i="5" s="1"/>
  <c r="BQ30" i="5"/>
  <c r="BQ31" i="5" s="1"/>
  <c r="BR30" i="5"/>
  <c r="BR31" i="5" s="1"/>
  <c r="CM30" i="5"/>
  <c r="CM31" i="5" s="1"/>
  <c r="CN30" i="5"/>
  <c r="CN31" i="5" s="1"/>
  <c r="CO30" i="5"/>
  <c r="CO31" i="5" s="1"/>
  <c r="CP30" i="5"/>
  <c r="CP31" i="5" s="1"/>
  <c r="CQ30" i="5"/>
  <c r="CQ31" i="5" s="1"/>
  <c r="CR30" i="5"/>
  <c r="CR31" i="5" s="1"/>
  <c r="CS30" i="5"/>
  <c r="CS31" i="5" s="1"/>
  <c r="CT30" i="5"/>
  <c r="CT31" i="5" s="1"/>
  <c r="CU30" i="5"/>
  <c r="CU31" i="5" s="1"/>
  <c r="CZ30" i="5"/>
  <c r="CZ31" i="5" s="1"/>
  <c r="DA30" i="5"/>
  <c r="DA31" i="5" s="1"/>
  <c r="DB30" i="5"/>
  <c r="DB31" i="5" s="1"/>
  <c r="DC30" i="5"/>
  <c r="DC31" i="5" s="1"/>
  <c r="DD30" i="5"/>
  <c r="DD31" i="5" s="1"/>
  <c r="DE30" i="5"/>
  <c r="DE31" i="5" s="1"/>
  <c r="DI30" i="5"/>
  <c r="DI31" i="5" s="1"/>
  <c r="DJ30" i="5"/>
  <c r="DJ31" i="5" s="1"/>
  <c r="DK30" i="5"/>
  <c r="DK31" i="5" s="1"/>
  <c r="DL30" i="5"/>
  <c r="DL31" i="5" s="1"/>
  <c r="DM30" i="5"/>
  <c r="DM31" i="5" s="1"/>
  <c r="DN30" i="5"/>
  <c r="DN31" i="5" s="1"/>
  <c r="DR30" i="5"/>
  <c r="DR31" i="5" s="1"/>
  <c r="DS30" i="5"/>
  <c r="DS31" i="5" s="1"/>
  <c r="DT30" i="5"/>
  <c r="DT31" i="5" s="1"/>
  <c r="DU30" i="5"/>
  <c r="DU31" i="5" s="1"/>
  <c r="DV30" i="5"/>
  <c r="DV31" i="5" s="1"/>
  <c r="DW30" i="5"/>
  <c r="DW31" i="5" s="1"/>
  <c r="EA30" i="5"/>
  <c r="EA31" i="5" s="1"/>
  <c r="EB30" i="5"/>
  <c r="EB31" i="5" s="1"/>
  <c r="EC30" i="5"/>
  <c r="EC31" i="5" s="1"/>
  <c r="ED30" i="5"/>
  <c r="ED31" i="5" s="1"/>
  <c r="EE30" i="5"/>
  <c r="EE31" i="5" s="1"/>
  <c r="EF30" i="5"/>
  <c r="EF31" i="5" s="1"/>
  <c r="EJ30" i="5"/>
  <c r="EJ31" i="5" s="1"/>
  <c r="EK30" i="5"/>
  <c r="EK31" i="5" s="1"/>
  <c r="EL30" i="5"/>
  <c r="EL31" i="5" s="1"/>
  <c r="EM30" i="5"/>
  <c r="EM31" i="5" s="1"/>
  <c r="EN30" i="5"/>
  <c r="EN31" i="5" s="1"/>
  <c r="EO30" i="5"/>
  <c r="EO31" i="5" s="1"/>
  <c r="ES30" i="5"/>
  <c r="ES31" i="5" s="1"/>
  <c r="ET30" i="5"/>
  <c r="ET31" i="5" s="1"/>
  <c r="EU30" i="5"/>
  <c r="EU31" i="5" s="1"/>
  <c r="EV30" i="5"/>
  <c r="EV31" i="5" s="1"/>
  <c r="EW30" i="5"/>
  <c r="EW31" i="5" s="1"/>
  <c r="EX30" i="5"/>
  <c r="EX31" i="5" s="1"/>
  <c r="FB30" i="5"/>
  <c r="FB31" i="5" s="1"/>
  <c r="FC30" i="5"/>
  <c r="FC31" i="5" s="1"/>
  <c r="FD30" i="5"/>
  <c r="FD31" i="5" s="1"/>
  <c r="FE30" i="5"/>
  <c r="FE31" i="5" s="1"/>
  <c r="FF30" i="5"/>
  <c r="FF31" i="5" s="1"/>
  <c r="FG30" i="5"/>
  <c r="FG31" i="5" s="1"/>
  <c r="FH30" i="5"/>
  <c r="FH31" i="5" s="1"/>
  <c r="FI30" i="5"/>
  <c r="FI31" i="5" s="1"/>
  <c r="FJ30" i="5"/>
  <c r="FJ31" i="5" s="1"/>
  <c r="FK30" i="5"/>
  <c r="FK31" i="5" s="1"/>
  <c r="FO30" i="5"/>
  <c r="FO31" i="5" s="1"/>
  <c r="FP30" i="5"/>
  <c r="FP31" i="5" s="1"/>
  <c r="FQ30" i="5"/>
  <c r="FQ31" i="5" s="1"/>
  <c r="FR30" i="5"/>
  <c r="FR31" i="5" s="1"/>
  <c r="FS30" i="5"/>
  <c r="FS31" i="5" s="1"/>
  <c r="FT30" i="5"/>
  <c r="FT31" i="5" s="1"/>
  <c r="FU30" i="5"/>
  <c r="FU31" i="5" s="1"/>
  <c r="FV30" i="5"/>
  <c r="FV31" i="5" s="1"/>
  <c r="FW30" i="5"/>
  <c r="FW31" i="5" s="1"/>
  <c r="FX30" i="5"/>
  <c r="FX31" i="5" s="1"/>
  <c r="FY30" i="5"/>
  <c r="FY31" i="5" s="1"/>
  <c r="FZ30" i="5"/>
  <c r="FZ31" i="5" s="1"/>
  <c r="GA30" i="5"/>
  <c r="GA31" i="5" s="1"/>
  <c r="GB30" i="5"/>
  <c r="GB31" i="5" s="1"/>
  <c r="GC30" i="5"/>
  <c r="GC31" i="5" s="1"/>
  <c r="GD30" i="5"/>
  <c r="GD31" i="5" s="1"/>
  <c r="GE30" i="5"/>
  <c r="GE31" i="5" s="1"/>
  <c r="GF30" i="5"/>
  <c r="GF31" i="5" s="1"/>
  <c r="GJ30" i="5"/>
  <c r="GJ31" i="5" s="1"/>
  <c r="GK30" i="5"/>
  <c r="GK31" i="5" s="1"/>
  <c r="GL30" i="5"/>
  <c r="GL31" i="5" s="1"/>
  <c r="GM30" i="5"/>
  <c r="GM31" i="5" s="1"/>
  <c r="GN30" i="5"/>
  <c r="GN31" i="5" s="1"/>
  <c r="GO30" i="5"/>
  <c r="GO31" i="5" s="1"/>
  <c r="GP30" i="5"/>
  <c r="GP31" i="5" s="1"/>
  <c r="GQ30" i="5"/>
  <c r="GQ31" i="5" s="1"/>
  <c r="GR30" i="5"/>
  <c r="GR31" i="5" s="1"/>
  <c r="GS30" i="5"/>
  <c r="GS31" i="5" s="1"/>
  <c r="GT30" i="5"/>
  <c r="GT31" i="5" s="1"/>
  <c r="GU30" i="5"/>
  <c r="GU31" i="5" s="1"/>
  <c r="GV30" i="5"/>
  <c r="GV31" i="5" s="1"/>
  <c r="GW30" i="5"/>
  <c r="GW31" i="5" s="1"/>
  <c r="GX30" i="5"/>
  <c r="GX31" i="5" s="1"/>
  <c r="GY30" i="5"/>
  <c r="GY31" i="5" s="1"/>
  <c r="GZ30" i="5"/>
  <c r="GZ31" i="5" s="1"/>
  <c r="HA30" i="5"/>
  <c r="HA31" i="5" s="1"/>
  <c r="HB30" i="5"/>
  <c r="HB31" i="5" s="1"/>
  <c r="HC30" i="5"/>
  <c r="HC31" i="5" s="1"/>
  <c r="HD30" i="5"/>
  <c r="HD31" i="5" s="1"/>
  <c r="HE30" i="5"/>
  <c r="HE31" i="5" s="1"/>
  <c r="HF30" i="5"/>
  <c r="HF31" i="5" s="1"/>
  <c r="HG30" i="5"/>
  <c r="HG31" i="5" s="1"/>
  <c r="HH30" i="5"/>
  <c r="HH31" i="5" s="1"/>
  <c r="HI30" i="5"/>
  <c r="HI31" i="5" s="1"/>
  <c r="HJ30" i="5"/>
  <c r="HJ31" i="5" s="1"/>
  <c r="HK30" i="5"/>
  <c r="HK31" i="5" s="1"/>
  <c r="HL30" i="5"/>
  <c r="HL31" i="5" s="1"/>
  <c r="HM30" i="5"/>
  <c r="HM31" i="5" s="1"/>
  <c r="HN30" i="5"/>
  <c r="HN31" i="5" s="1"/>
  <c r="HO30" i="5"/>
  <c r="HP30" i="5"/>
  <c r="HP31" i="5" s="1"/>
  <c r="HQ30" i="5"/>
  <c r="HQ31" i="5" s="1"/>
  <c r="HR30" i="5"/>
  <c r="HR31" i="5" s="1"/>
  <c r="HS30" i="5"/>
  <c r="HS31" i="5" s="1"/>
  <c r="HT30" i="5"/>
  <c r="HT31" i="5" s="1"/>
  <c r="HU30" i="5"/>
  <c r="HU31" i="5" s="1"/>
  <c r="HV30" i="5"/>
  <c r="HV31" i="5" s="1"/>
  <c r="HW30" i="5"/>
  <c r="HW31" i="5" s="1"/>
  <c r="HX30" i="5"/>
  <c r="HX31" i="5" s="1"/>
  <c r="HY30" i="5"/>
  <c r="HY31" i="5" s="1"/>
  <c r="HZ30" i="5"/>
  <c r="HZ31" i="5" s="1"/>
  <c r="IA30" i="5"/>
  <c r="IA31" i="5" s="1"/>
  <c r="IB30" i="5"/>
  <c r="IB31" i="5" s="1"/>
  <c r="IC30" i="5"/>
  <c r="IC31" i="5" s="1"/>
  <c r="ID30" i="5"/>
  <c r="ID31" i="5" s="1"/>
  <c r="IE30" i="5"/>
  <c r="IE31" i="5" s="1"/>
  <c r="IF30" i="5"/>
  <c r="IF31" i="5" s="1"/>
  <c r="IG30" i="5"/>
  <c r="IG31" i="5" s="1"/>
  <c r="IH30" i="5"/>
  <c r="IH31" i="5" s="1"/>
  <c r="II30" i="5"/>
  <c r="II31" i="5" s="1"/>
  <c r="IJ30" i="5"/>
  <c r="IJ31" i="5" s="1"/>
  <c r="IK30" i="5"/>
  <c r="IK31" i="5" s="1"/>
  <c r="IL30" i="5"/>
  <c r="IL31" i="5" s="1"/>
  <c r="IM30" i="5"/>
  <c r="IM31" i="5" s="1"/>
  <c r="IN30" i="5"/>
  <c r="IN31" i="5" s="1"/>
  <c r="IO30" i="5"/>
  <c r="IO31" i="5" s="1"/>
  <c r="IP30" i="5"/>
  <c r="IP31" i="5" s="1"/>
  <c r="IQ30" i="5"/>
  <c r="IQ31" i="5" s="1"/>
  <c r="IR30" i="5"/>
  <c r="IR31" i="5" s="1"/>
  <c r="IS30" i="5"/>
  <c r="IS31" i="5" s="1"/>
  <c r="IT30" i="5"/>
  <c r="IT31" i="5" s="1"/>
  <c r="IU30" i="5"/>
  <c r="IU31" i="5" s="1"/>
  <c r="IV30" i="5"/>
  <c r="IV31" i="5" s="1"/>
  <c r="IW30" i="5"/>
  <c r="IW31" i="5" s="1"/>
  <c r="IX30" i="5"/>
  <c r="IX31" i="5" s="1"/>
  <c r="IY30" i="5"/>
  <c r="IY31" i="5" s="1"/>
  <c r="IZ30" i="5"/>
  <c r="IZ31" i="5" s="1"/>
  <c r="JA30" i="5"/>
  <c r="JA31" i="5" s="1"/>
  <c r="JB30" i="5"/>
  <c r="JB31" i="5" s="1"/>
  <c r="JC30" i="5"/>
  <c r="JC31" i="5" s="1"/>
  <c r="JD30" i="5"/>
  <c r="JD31" i="5" s="1"/>
  <c r="JE30" i="5"/>
  <c r="JE31" i="5" s="1"/>
  <c r="JF30" i="5"/>
  <c r="JF31" i="5" s="1"/>
  <c r="JG30" i="5"/>
  <c r="JG31" i="5" s="1"/>
  <c r="JH30" i="5"/>
  <c r="JH31" i="5" s="1"/>
  <c r="JI30" i="5"/>
  <c r="JI31" i="5" s="1"/>
  <c r="JJ30" i="5"/>
  <c r="JJ31" i="5" s="1"/>
  <c r="JK30" i="5"/>
  <c r="JK31" i="5" s="1"/>
  <c r="JL30" i="5"/>
  <c r="JL31" i="5" s="1"/>
  <c r="JM30" i="5"/>
  <c r="JM31" i="5" s="1"/>
  <c r="JN30" i="5"/>
  <c r="JN31" i="5" s="1"/>
  <c r="JO30" i="5"/>
  <c r="JO31" i="5" s="1"/>
  <c r="JP30" i="5"/>
  <c r="JP31" i="5" s="1"/>
  <c r="JQ30" i="5"/>
  <c r="JQ31" i="5" s="1"/>
  <c r="JR30" i="5"/>
  <c r="JR31" i="5" s="1"/>
  <c r="JS30" i="5"/>
  <c r="JS31" i="5" s="1"/>
  <c r="JT30" i="5"/>
  <c r="JT31" i="5" s="1"/>
  <c r="JU30" i="5"/>
  <c r="JU31" i="5" s="1"/>
  <c r="JV30" i="5"/>
  <c r="JV31" i="5" s="1"/>
  <c r="JW30" i="5"/>
  <c r="JW31" i="5" s="1"/>
  <c r="JX30" i="5"/>
  <c r="JX31" i="5" s="1"/>
  <c r="JY30" i="5"/>
  <c r="JY31" i="5" s="1"/>
  <c r="JZ30" i="5"/>
  <c r="JZ31" i="5" s="1"/>
  <c r="KA30" i="5"/>
  <c r="KA31" i="5" s="1"/>
  <c r="KB30" i="5"/>
  <c r="KC30" i="5"/>
  <c r="KD30" i="5"/>
  <c r="KD31" i="5" s="1"/>
  <c r="KE30" i="5"/>
  <c r="KE31" i="5" s="1"/>
  <c r="KF30" i="5"/>
  <c r="KF31" i="5" s="1"/>
  <c r="KG30" i="5"/>
  <c r="KG31" i="5" s="1"/>
  <c r="KH30" i="5"/>
  <c r="KH31" i="5" s="1"/>
  <c r="KI30" i="5"/>
  <c r="KI31" i="5" s="1"/>
  <c r="KJ30" i="5"/>
  <c r="KJ31" i="5" s="1"/>
  <c r="KK30" i="5"/>
  <c r="KK31" i="5" s="1"/>
  <c r="KL30" i="5"/>
  <c r="KL31" i="5" s="1"/>
  <c r="KM30" i="5"/>
  <c r="KM31" i="5" s="1"/>
  <c r="KN30" i="5"/>
  <c r="KN31" i="5" s="1"/>
  <c r="KO30" i="5"/>
  <c r="KO31" i="5" s="1"/>
  <c r="KP30" i="5"/>
  <c r="KP31" i="5" s="1"/>
  <c r="KQ30" i="5"/>
  <c r="KQ31" i="5" s="1"/>
  <c r="KR30" i="5"/>
  <c r="KR31" i="5" s="1"/>
  <c r="KS30" i="5"/>
  <c r="KS31" i="5" s="1"/>
  <c r="KT30" i="5"/>
  <c r="KT31" i="5" s="1"/>
  <c r="KU30" i="5"/>
  <c r="KU31" i="5" s="1"/>
  <c r="KY30" i="5"/>
  <c r="KY31" i="5" s="1"/>
  <c r="KZ30" i="5"/>
  <c r="KZ31" i="5" s="1"/>
  <c r="LA30" i="5"/>
  <c r="LA31" i="5" s="1"/>
  <c r="LB30" i="5"/>
  <c r="LB31" i="5" s="1"/>
  <c r="LC30" i="5"/>
  <c r="LC31" i="5" s="1"/>
  <c r="LD30" i="5"/>
  <c r="LD31" i="5" s="1"/>
  <c r="LE30" i="5"/>
  <c r="LE31" i="5" s="1"/>
  <c r="LF30" i="5"/>
  <c r="LF31" i="5" s="1"/>
  <c r="LG30" i="5"/>
  <c r="LG31" i="5" s="1"/>
  <c r="LH30" i="5"/>
  <c r="LH31" i="5" s="1"/>
  <c r="LI30" i="5"/>
  <c r="LI31" i="5" s="1"/>
  <c r="LJ30" i="5"/>
  <c r="LJ31" i="5" s="1"/>
  <c r="LK30" i="5"/>
  <c r="LK31" i="5" s="1"/>
  <c r="LL30" i="5"/>
  <c r="LL31" i="5" s="1"/>
  <c r="LM30" i="5"/>
  <c r="LM31" i="5" s="1"/>
  <c r="LN30" i="5"/>
  <c r="LN31" i="5" s="1"/>
  <c r="LO30" i="5"/>
  <c r="LO31" i="5" s="1"/>
  <c r="LP30" i="5"/>
  <c r="LP31" i="5" s="1"/>
  <c r="LT30" i="5"/>
  <c r="LT31" i="5" s="1"/>
  <c r="LU30" i="5"/>
  <c r="LU31" i="5" s="1"/>
  <c r="LV30" i="5"/>
  <c r="LV31" i="5" s="1"/>
  <c r="LW30" i="5"/>
  <c r="LW31" i="5" s="1"/>
  <c r="LX30" i="5"/>
  <c r="LX31" i="5" s="1"/>
  <c r="LY30" i="5"/>
  <c r="LY31" i="5" s="1"/>
  <c r="LZ30" i="5"/>
  <c r="LZ31" i="5" s="1"/>
  <c r="MA30" i="5"/>
  <c r="MA31" i="5" s="1"/>
  <c r="MB30" i="5"/>
  <c r="MB31" i="5" s="1"/>
  <c r="MC30" i="5"/>
  <c r="MC31" i="5" s="1"/>
  <c r="MD30" i="5"/>
  <c r="MD31" i="5" s="1"/>
  <c r="ME30" i="5"/>
  <c r="ME31" i="5" s="1"/>
  <c r="MF30" i="5"/>
  <c r="MF31" i="5" s="1"/>
  <c r="MG30" i="5"/>
  <c r="MG31" i="5" s="1"/>
  <c r="MH30" i="5"/>
  <c r="MH31" i="5" s="1"/>
  <c r="MI30" i="5"/>
  <c r="MI31" i="5" s="1"/>
  <c r="MJ30" i="5"/>
  <c r="MJ31" i="5" s="1"/>
  <c r="MK30" i="5"/>
  <c r="MK31" i="5" s="1"/>
  <c r="ML30" i="5"/>
  <c r="ML31" i="5" s="1"/>
  <c r="MM30" i="5"/>
  <c r="MM31" i="5" s="1"/>
  <c r="MN30" i="5"/>
  <c r="MN31" i="5" s="1"/>
  <c r="MO30" i="5"/>
  <c r="MO31" i="5" s="1"/>
  <c r="MP30" i="5"/>
  <c r="MP31" i="5" s="1"/>
  <c r="MQ30" i="5"/>
  <c r="MQ31" i="5" s="1"/>
  <c r="MR30" i="5"/>
  <c r="MR31" i="5" s="1"/>
  <c r="MS30" i="5"/>
  <c r="MS31" i="5" s="1"/>
  <c r="MT30" i="5"/>
  <c r="MT31" i="5" s="1"/>
  <c r="MU30" i="5"/>
  <c r="MU31" i="5" s="1"/>
  <c r="MV30" i="5"/>
  <c r="MV31" i="5" s="1"/>
  <c r="MW30" i="5"/>
  <c r="MW31" i="5" s="1"/>
  <c r="MX30" i="5"/>
  <c r="MX31" i="5" s="1"/>
  <c r="MY30" i="5"/>
  <c r="MY31" i="5" s="1"/>
  <c r="MZ30" i="5"/>
  <c r="MZ31" i="5" s="1"/>
  <c r="NA30" i="5"/>
  <c r="NA31" i="5" s="1"/>
  <c r="NB30" i="5"/>
  <c r="NB31" i="5" s="1"/>
  <c r="NC30" i="5"/>
  <c r="NC31" i="5" s="1"/>
  <c r="ND30" i="5"/>
  <c r="ND31" i="5" s="1"/>
  <c r="NE30" i="5"/>
  <c r="NE31" i="5" s="1"/>
  <c r="NF30" i="5"/>
  <c r="NF31" i="5" s="1"/>
  <c r="NG30" i="5"/>
  <c r="NG31" i="5" s="1"/>
  <c r="NH30" i="5"/>
  <c r="NH31" i="5" s="1"/>
  <c r="NI30" i="5"/>
  <c r="NI31" i="5" s="1"/>
  <c r="NJ30" i="5"/>
  <c r="NJ31" i="5" s="1"/>
  <c r="NK30" i="5"/>
  <c r="NK31" i="5" s="1"/>
  <c r="NL30" i="5"/>
  <c r="NL31" i="5" s="1"/>
  <c r="NM30" i="5"/>
  <c r="NM31" i="5" s="1"/>
  <c r="NN30" i="5"/>
  <c r="NN31" i="5" s="1"/>
  <c r="NO30" i="5"/>
  <c r="NO31" i="5" s="1"/>
  <c r="NP30" i="5"/>
  <c r="NP31" i="5" s="1"/>
  <c r="NQ30" i="5"/>
  <c r="NQ31" i="5" s="1"/>
  <c r="NR30" i="5"/>
  <c r="NR31" i="5" s="1"/>
  <c r="NS30" i="5"/>
  <c r="NS31" i="5" s="1"/>
  <c r="NT30" i="5"/>
  <c r="NT31" i="5" s="1"/>
  <c r="NU30" i="5"/>
  <c r="NU31" i="5" s="1"/>
  <c r="NV30" i="5"/>
  <c r="NV31" i="5" s="1"/>
  <c r="NZ30" i="5"/>
  <c r="NZ31" i="5" s="1"/>
  <c r="OA30" i="5"/>
  <c r="OA31" i="5" s="1"/>
  <c r="OB30" i="5"/>
  <c r="OB31" i="5" s="1"/>
  <c r="OC30" i="5"/>
  <c r="OC31" i="5" s="1"/>
  <c r="OD30" i="5"/>
  <c r="OD31" i="5" s="1"/>
  <c r="OE30" i="5"/>
  <c r="OE31" i="5" s="1"/>
  <c r="OI30" i="5"/>
  <c r="OI31" i="5" s="1"/>
  <c r="OJ30" i="5"/>
  <c r="OJ31" i="5" s="1"/>
  <c r="OK30" i="5"/>
  <c r="OK31" i="5" s="1"/>
  <c r="OL30" i="5"/>
  <c r="OL31" i="5" s="1"/>
  <c r="OM30" i="5"/>
  <c r="OM31" i="5" s="1"/>
  <c r="ON30" i="5"/>
  <c r="ON31" i="5" s="1"/>
  <c r="OO30" i="5"/>
  <c r="OO31" i="5" s="1"/>
  <c r="OP30" i="5"/>
  <c r="OP31" i="5" s="1"/>
  <c r="OQ30" i="5"/>
  <c r="OQ31" i="5" s="1"/>
  <c r="OR30" i="5"/>
  <c r="OR31" i="5" s="1"/>
  <c r="OS30" i="5"/>
  <c r="OS31" i="5" s="1"/>
  <c r="OT30" i="5"/>
  <c r="OT31" i="5" s="1"/>
  <c r="OU30" i="5"/>
  <c r="OU31" i="5" s="1"/>
  <c r="OV30" i="5"/>
  <c r="OV31" i="5" s="1"/>
  <c r="OW30" i="5"/>
  <c r="OW31" i="5" s="1"/>
  <c r="OX30" i="5"/>
  <c r="OX31" i="5" s="1"/>
  <c r="OY30" i="5"/>
  <c r="OY31" i="5" s="1"/>
  <c r="OZ30" i="5"/>
  <c r="OZ31" i="5" s="1"/>
  <c r="PA30" i="5"/>
  <c r="PA31" i="5" s="1"/>
  <c r="PB30" i="5"/>
  <c r="PB31" i="5" s="1"/>
  <c r="PC30" i="5"/>
  <c r="PC31" i="5" s="1"/>
  <c r="PD30" i="5"/>
  <c r="PD31" i="5" s="1"/>
  <c r="PE30" i="5"/>
  <c r="PE31" i="5" s="1"/>
  <c r="PF30" i="5"/>
  <c r="PF31" i="5" s="1"/>
  <c r="PG30" i="5"/>
  <c r="PG31" i="5" s="1"/>
  <c r="PH30" i="5"/>
  <c r="PH31" i="5" s="1"/>
  <c r="PI30" i="5"/>
  <c r="PI31" i="5" s="1"/>
  <c r="PJ30" i="5"/>
  <c r="PJ31" i="5" s="1"/>
  <c r="PK30" i="5"/>
  <c r="PK31" i="5" s="1"/>
  <c r="PL30" i="5"/>
  <c r="PL31" i="5" s="1"/>
  <c r="PM30" i="5"/>
  <c r="PM31" i="5" s="1"/>
  <c r="PN30" i="5"/>
  <c r="PN31" i="5" s="1"/>
  <c r="PP30" i="5"/>
  <c r="PP31" i="5" s="1"/>
  <c r="PQ30" i="5"/>
  <c r="PQ31" i="5" s="1"/>
  <c r="PR30" i="5"/>
  <c r="PR31" i="5" s="1"/>
  <c r="PS30" i="5"/>
  <c r="PS31" i="5" s="1"/>
  <c r="PT30" i="5"/>
  <c r="PT31" i="5" s="1"/>
  <c r="PU30" i="5"/>
  <c r="PU31" i="5" s="1"/>
  <c r="PV30" i="5"/>
  <c r="PV31" i="5" s="1"/>
  <c r="PW30" i="5"/>
  <c r="PW31" i="5" s="1"/>
  <c r="PX30" i="5"/>
  <c r="PX31" i="5" s="1"/>
  <c r="PY30" i="5"/>
  <c r="PY31" i="5" s="1"/>
  <c r="PZ30" i="5"/>
  <c r="PZ31" i="5" s="1"/>
  <c r="QA30" i="5"/>
  <c r="QA31" i="5" s="1"/>
  <c r="QB30" i="5"/>
  <c r="QB31" i="5" s="1"/>
  <c r="QC30" i="5"/>
  <c r="QC31" i="5" s="1"/>
  <c r="QD30" i="5"/>
  <c r="QD31" i="5" s="1"/>
  <c r="QE30" i="5"/>
  <c r="QE31" i="5" s="1"/>
  <c r="QF30" i="5"/>
  <c r="QF31" i="5" s="1"/>
  <c r="QG30" i="5"/>
  <c r="QG31" i="5" s="1"/>
  <c r="QH30" i="5"/>
  <c r="QH31" i="5" s="1"/>
  <c r="QI30" i="5"/>
  <c r="QI31" i="5" s="1"/>
  <c r="QJ30" i="5"/>
  <c r="QJ31" i="5" s="1"/>
  <c r="QK30" i="5"/>
  <c r="QK31" i="5" s="1"/>
  <c r="QL30" i="5"/>
  <c r="QL31" i="5" s="1"/>
  <c r="QM30" i="5"/>
  <c r="QM31" i="5" s="1"/>
  <c r="QN30" i="5"/>
  <c r="QN31" i="5" s="1"/>
  <c r="QO30" i="5"/>
  <c r="QO31" i="5" s="1"/>
  <c r="QP30" i="5"/>
  <c r="QP31" i="5" s="1"/>
  <c r="QQ30" i="5"/>
  <c r="QQ31" i="5" s="1"/>
  <c r="QR30" i="5"/>
  <c r="QR31" i="5" s="1"/>
  <c r="QS30" i="5"/>
  <c r="QS31" i="5" s="1"/>
  <c r="QT30" i="5"/>
  <c r="QT31" i="5" s="1"/>
  <c r="QU30" i="5"/>
  <c r="QU31" i="5" s="1"/>
  <c r="QV30" i="5"/>
  <c r="QV31" i="5" s="1"/>
  <c r="QW30" i="5"/>
  <c r="QW31" i="5" s="1"/>
  <c r="QX30" i="5"/>
  <c r="QX31" i="5" s="1"/>
  <c r="QY30" i="5"/>
  <c r="QY31" i="5" s="1"/>
  <c r="QZ30" i="5"/>
  <c r="QZ31" i="5" s="1"/>
  <c r="RA30" i="5"/>
  <c r="RA31" i="5" s="1"/>
  <c r="RB30" i="5"/>
  <c r="RB31" i="5" s="1"/>
  <c r="RC30" i="5"/>
  <c r="RC31" i="5" s="1"/>
  <c r="RD30" i="5"/>
  <c r="RD31" i="5" s="1"/>
  <c r="RE30" i="5"/>
  <c r="RE31" i="5" s="1"/>
  <c r="RF30" i="5"/>
  <c r="RF31" i="5" s="1"/>
  <c r="RG30" i="5"/>
  <c r="RG31" i="5" s="1"/>
  <c r="RH30" i="5"/>
  <c r="RH31" i="5" s="1"/>
  <c r="RI30" i="5"/>
  <c r="RI31" i="5" s="1"/>
  <c r="RJ30" i="5"/>
  <c r="RJ31" i="5" s="1"/>
  <c r="RK30" i="5"/>
  <c r="RK31" i="5" s="1"/>
  <c r="RL30" i="5"/>
  <c r="RL31" i="5" s="1"/>
  <c r="RM30" i="5"/>
  <c r="RM31" i="5" s="1"/>
  <c r="RN30" i="5"/>
  <c r="RN31" i="5" s="1"/>
  <c r="RO30" i="5"/>
  <c r="RO31" i="5" s="1"/>
  <c r="RP30" i="5"/>
  <c r="RP31" i="5" s="1"/>
  <c r="RQ30" i="5"/>
  <c r="RQ31" i="5" s="1"/>
  <c r="RR30" i="5"/>
  <c r="RR31" i="5" s="1"/>
  <c r="RS30" i="5"/>
  <c r="RS31" i="5" s="1"/>
  <c r="RT30" i="5"/>
  <c r="RT31" i="5" s="1"/>
  <c r="RU30" i="5"/>
  <c r="RU31" i="5" s="1"/>
  <c r="RV30" i="5"/>
  <c r="RV31" i="5" s="1"/>
  <c r="RW30" i="5"/>
  <c r="RW31" i="5" s="1"/>
  <c r="RX30" i="5"/>
  <c r="RX31" i="5" s="1"/>
  <c r="RY30" i="5"/>
  <c r="RY31" i="5" s="1"/>
  <c r="RZ30" i="5"/>
  <c r="RZ31" i="5" s="1"/>
  <c r="SA30" i="5"/>
  <c r="SA31" i="5" s="1"/>
  <c r="SB30" i="5"/>
  <c r="SB31" i="5" s="1"/>
  <c r="SC30" i="5"/>
  <c r="SC31" i="5" s="1"/>
  <c r="SD30" i="5"/>
  <c r="SD31" i="5" s="1"/>
  <c r="SE30" i="5"/>
  <c r="SE31" i="5" s="1"/>
  <c r="SF30" i="5"/>
  <c r="SF31" i="5" s="1"/>
  <c r="SG30" i="5"/>
  <c r="SG31" i="5" s="1"/>
  <c r="SH30" i="5"/>
  <c r="SH31" i="5" s="1"/>
  <c r="SI30" i="5"/>
  <c r="SI31" i="5" s="1"/>
  <c r="SJ30" i="5"/>
  <c r="SJ31" i="5" s="1"/>
  <c r="SK30" i="5"/>
  <c r="SK31" i="5" s="1"/>
  <c r="SL30" i="5"/>
  <c r="SL31" i="5" s="1"/>
  <c r="SM30" i="5"/>
  <c r="SM31" i="5" s="1"/>
  <c r="SO30" i="5"/>
  <c r="SO31" i="5" s="1"/>
  <c r="SP30" i="5"/>
  <c r="SP31" i="5" s="1"/>
  <c r="F30" i="5"/>
  <c r="F31" i="5" s="1"/>
  <c r="CV28" i="5"/>
  <c r="CW28" i="5"/>
  <c r="CX28" i="5"/>
  <c r="BF28" i="5"/>
  <c r="BG28" i="5"/>
  <c r="AS28" i="5"/>
  <c r="AT28" i="5"/>
  <c r="AF28" i="5"/>
  <c r="AG28" i="5"/>
  <c r="Q15" i="20" l="1"/>
  <c r="S30" i="19"/>
  <c r="J33" i="19"/>
  <c r="W30" i="20"/>
  <c r="AY16" i="12"/>
  <c r="KB31" i="5"/>
  <c r="AH28" i="5"/>
  <c r="BH28" i="5"/>
  <c r="R17" i="12"/>
  <c r="HO31" i="5"/>
  <c r="AU28" i="5"/>
  <c r="AY17" i="12"/>
  <c r="KC31" i="5"/>
  <c r="CY28" i="5"/>
  <c r="S31" i="19"/>
  <c r="S32" i="19"/>
  <c r="M33" i="19"/>
  <c r="Q33" i="19" s="1"/>
  <c r="G33" i="19"/>
  <c r="P33" i="19"/>
  <c r="R33" i="19" s="1"/>
  <c r="V46" i="5"/>
  <c r="EP41" i="5"/>
  <c r="EQ41" i="5"/>
  <c r="EG41" i="5"/>
  <c r="EH41" i="5"/>
  <c r="DX41" i="5"/>
  <c r="DY41" i="5"/>
  <c r="CX41" i="5"/>
  <c r="CW41" i="5"/>
  <c r="CV41" i="5"/>
  <c r="BS41" i="5"/>
  <c r="BT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AS41" i="5"/>
  <c r="AT41" i="5"/>
  <c r="AU41" i="5" s="1"/>
  <c r="AH41" i="5"/>
  <c r="BU41" i="5" l="1"/>
  <c r="EI41" i="5"/>
  <c r="DZ41" i="5"/>
  <c r="S33" i="19"/>
  <c r="ER41" i="5"/>
  <c r="CY41" i="5"/>
  <c r="CJ41" i="5"/>
  <c r="CK41" i="5"/>
  <c r="GH50" i="5"/>
  <c r="GH51" i="5" s="1"/>
  <c r="GG50" i="5"/>
  <c r="GG51" i="5" s="1"/>
  <c r="GH48" i="5"/>
  <c r="OG50" i="5"/>
  <c r="OG51" i="5" s="1"/>
  <c r="OF50" i="5"/>
  <c r="OF51" i="5" s="1"/>
  <c r="OG48" i="5"/>
  <c r="OF48" i="5"/>
  <c r="NX50" i="5"/>
  <c r="NW50" i="5"/>
  <c r="NW51" i="5" s="1"/>
  <c r="NX48" i="5"/>
  <c r="NW48" i="5"/>
  <c r="NA50" i="5"/>
  <c r="NA51" i="5" s="1"/>
  <c r="MZ50" i="5"/>
  <c r="MZ51" i="5" s="1"/>
  <c r="NA48" i="5"/>
  <c r="MZ48" i="5"/>
  <c r="MP50" i="5"/>
  <c r="MP51" i="5" s="1"/>
  <c r="MO50" i="5"/>
  <c r="MO51" i="5" s="1"/>
  <c r="MP48" i="5"/>
  <c r="MO48" i="5"/>
  <c r="MC50" i="5"/>
  <c r="MC51" i="5" s="1"/>
  <c r="MB50" i="5"/>
  <c r="MC48" i="5"/>
  <c r="MB48" i="5"/>
  <c r="KW50" i="5"/>
  <c r="KW51" i="5" s="1"/>
  <c r="KV50" i="5"/>
  <c r="KW48" i="5"/>
  <c r="KV48" i="5"/>
  <c r="GG48" i="5"/>
  <c r="FM50" i="5"/>
  <c r="FM51" i="5" s="1"/>
  <c r="M14" i="15" s="1"/>
  <c r="FL50" i="5"/>
  <c r="FL51" i="5" s="1"/>
  <c r="L14" i="15" s="1"/>
  <c r="FM48" i="5"/>
  <c r="FL48" i="5"/>
  <c r="EZ50" i="5"/>
  <c r="EY50" i="5"/>
  <c r="EQ50" i="5"/>
  <c r="EQ51" i="5" s="1"/>
  <c r="EP50" i="5"/>
  <c r="EH50" i="5"/>
  <c r="EH51" i="5" s="1"/>
  <c r="EG50" i="5"/>
  <c r="EG51" i="5" s="1"/>
  <c r="DY50" i="5"/>
  <c r="DY51" i="5" s="1"/>
  <c r="DX50" i="5"/>
  <c r="DX51" i="5" s="1"/>
  <c r="DG50" i="5"/>
  <c r="DG51" i="5" s="1"/>
  <c r="DF50" i="5"/>
  <c r="DF51" i="5" s="1"/>
  <c r="CX50" i="5"/>
  <c r="CW50" i="5"/>
  <c r="CW51" i="5" s="1"/>
  <c r="CV50" i="5"/>
  <c r="CV51" i="5" s="1"/>
  <c r="CI50" i="5"/>
  <c r="CH50" i="5"/>
  <c r="CG50" i="5"/>
  <c r="CG51" i="5" s="1"/>
  <c r="CF50" i="5"/>
  <c r="CF51" i="5" s="1"/>
  <c r="CE50" i="5"/>
  <c r="CE51" i="5" s="1"/>
  <c r="CD50" i="5"/>
  <c r="CD51" i="5" s="1"/>
  <c r="CC50" i="5"/>
  <c r="CB50" i="5"/>
  <c r="CB51" i="5" s="1"/>
  <c r="CA50" i="5"/>
  <c r="CA51" i="5" s="1"/>
  <c r="BZ50" i="5"/>
  <c r="BZ51" i="5" s="1"/>
  <c r="BY50" i="5"/>
  <c r="BY51" i="5" s="1"/>
  <c r="BX50" i="5"/>
  <c r="BX51" i="5" s="1"/>
  <c r="BW50" i="5"/>
  <c r="BW51" i="5" s="1"/>
  <c r="BV50" i="5"/>
  <c r="BV51" i="5" s="1"/>
  <c r="BT50" i="5"/>
  <c r="BS50" i="5"/>
  <c r="BS51" i="5" s="1"/>
  <c r="BG50" i="5"/>
  <c r="BG51" i="5" s="1"/>
  <c r="BF50" i="5"/>
  <c r="AT50" i="5"/>
  <c r="AT51" i="5" s="1"/>
  <c r="AS50" i="5"/>
  <c r="AS51" i="5" s="1"/>
  <c r="AG50" i="5"/>
  <c r="AG51" i="5" s="1"/>
  <c r="G14" i="15" s="1"/>
  <c r="AF50" i="5"/>
  <c r="G51" i="5"/>
  <c r="C14" i="15" s="1"/>
  <c r="H51" i="5"/>
  <c r="D14" i="15" s="1"/>
  <c r="I51" i="5"/>
  <c r="Q14" i="15" s="1"/>
  <c r="J51" i="5"/>
  <c r="R14" i="15" s="1"/>
  <c r="K51" i="5"/>
  <c r="L51" i="5"/>
  <c r="M51" i="5"/>
  <c r="N51" i="5"/>
  <c r="O51" i="5"/>
  <c r="O14" i="15" s="1"/>
  <c r="P51" i="5"/>
  <c r="P14" i="15" s="1"/>
  <c r="Q51" i="5"/>
  <c r="K107" i="14" s="1"/>
  <c r="R51" i="5"/>
  <c r="L107" i="14" s="1"/>
  <c r="S51" i="5"/>
  <c r="M107" i="14" s="1"/>
  <c r="T51" i="5"/>
  <c r="N107" i="14" s="1"/>
  <c r="U51" i="5"/>
  <c r="V51" i="5"/>
  <c r="E29" i="15" s="1"/>
  <c r="W51" i="5"/>
  <c r="F29" i="15" s="1"/>
  <c r="X51" i="5"/>
  <c r="G29" i="15" s="1"/>
  <c r="Y51" i="5"/>
  <c r="H29" i="15" s="1"/>
  <c r="Z51" i="5"/>
  <c r="I29" i="15" s="1"/>
  <c r="AA51" i="5"/>
  <c r="J29" i="15" s="1"/>
  <c r="AB51" i="5"/>
  <c r="K29" i="15" s="1"/>
  <c r="AC51" i="5"/>
  <c r="L29" i="15" s="1"/>
  <c r="AD51" i="5"/>
  <c r="M29" i="15" s="1"/>
  <c r="AE51" i="5"/>
  <c r="N29" i="15" s="1"/>
  <c r="D29" i="17"/>
  <c r="D32" i="17" s="1"/>
  <c r="AJ51" i="5"/>
  <c r="E29" i="17" s="1"/>
  <c r="E32" i="17" s="1"/>
  <c r="AK51" i="5"/>
  <c r="F29" i="17" s="1"/>
  <c r="AL51" i="5"/>
  <c r="G29" i="17" s="1"/>
  <c r="AM51" i="5"/>
  <c r="H29" i="17" s="1"/>
  <c r="AN51" i="5"/>
  <c r="I29" i="17" s="1"/>
  <c r="AO51" i="5"/>
  <c r="J29" i="17" s="1"/>
  <c r="AP51" i="5"/>
  <c r="K29" i="17" s="1"/>
  <c r="AQ51" i="5"/>
  <c r="L29" i="17" s="1"/>
  <c r="AR51" i="5"/>
  <c r="M29" i="17" s="1"/>
  <c r="AV51" i="5"/>
  <c r="F30" i="17" s="1"/>
  <c r="AW51" i="5"/>
  <c r="G30" i="17" s="1"/>
  <c r="AX51" i="5"/>
  <c r="H30" i="17" s="1"/>
  <c r="AY51" i="5"/>
  <c r="I30" i="17" s="1"/>
  <c r="AZ51" i="5"/>
  <c r="J30" i="17" s="1"/>
  <c r="BA51" i="5"/>
  <c r="K30" i="17" s="1"/>
  <c r="BB51" i="5"/>
  <c r="L30" i="17" s="1"/>
  <c r="BC51" i="5"/>
  <c r="M30" i="17" s="1"/>
  <c r="M32" i="17" s="1"/>
  <c r="BD51" i="5"/>
  <c r="N30" i="17" s="1"/>
  <c r="BE51" i="5"/>
  <c r="O30" i="17" s="1"/>
  <c r="BI51" i="5"/>
  <c r="H31" i="17" s="1"/>
  <c r="R31" i="17" s="1"/>
  <c r="BJ51" i="5"/>
  <c r="I31" i="17" s="1"/>
  <c r="S31" i="17" s="1"/>
  <c r="BK51" i="5"/>
  <c r="BL51" i="5"/>
  <c r="BM51" i="5"/>
  <c r="BN51" i="5"/>
  <c r="BO51" i="5"/>
  <c r="BP51" i="5"/>
  <c r="BQ51" i="5"/>
  <c r="BR51" i="5"/>
  <c r="CC51" i="5"/>
  <c r="CM51" i="5"/>
  <c r="J31" i="18" s="1"/>
  <c r="CN51" i="5"/>
  <c r="K31" i="18" s="1"/>
  <c r="CO51" i="5"/>
  <c r="L31" i="18" s="1"/>
  <c r="CP51" i="5"/>
  <c r="J32" i="18" s="1"/>
  <c r="CQ51" i="5"/>
  <c r="K32" i="18" s="1"/>
  <c r="CR51" i="5"/>
  <c r="L32" i="18" s="1"/>
  <c r="CS51" i="5"/>
  <c r="J33" i="18" s="1"/>
  <c r="CT51" i="5"/>
  <c r="K33" i="18" s="1"/>
  <c r="CU51" i="5"/>
  <c r="L33" i="18" s="1"/>
  <c r="CZ51" i="5"/>
  <c r="DA51" i="5"/>
  <c r="DB51" i="5"/>
  <c r="DC51" i="5"/>
  <c r="DD51" i="5"/>
  <c r="DE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EA51" i="5"/>
  <c r="EB51" i="5"/>
  <c r="EC51" i="5"/>
  <c r="ED51" i="5"/>
  <c r="EE51" i="5"/>
  <c r="EF51" i="5"/>
  <c r="EJ51" i="5"/>
  <c r="EK51" i="5"/>
  <c r="EL51" i="5"/>
  <c r="EM51" i="5"/>
  <c r="EN51" i="5"/>
  <c r="EO51" i="5"/>
  <c r="ES51" i="5"/>
  <c r="ET51" i="5"/>
  <c r="EU51" i="5"/>
  <c r="EV51" i="5"/>
  <c r="EW51" i="5"/>
  <c r="EX51" i="5"/>
  <c r="EY51" i="5"/>
  <c r="FB51" i="5"/>
  <c r="FC51" i="5"/>
  <c r="FD51" i="5"/>
  <c r="FE51" i="5"/>
  <c r="FF51" i="5"/>
  <c r="FG51" i="5"/>
  <c r="FH51" i="5"/>
  <c r="FI51" i="5"/>
  <c r="FJ51" i="5"/>
  <c r="FK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GF51" i="5"/>
  <c r="GJ51" i="5"/>
  <c r="GK51" i="5"/>
  <c r="GL51" i="5"/>
  <c r="GM51" i="5"/>
  <c r="GN51" i="5"/>
  <c r="GO51" i="5"/>
  <c r="GP51" i="5"/>
  <c r="GQ51" i="5"/>
  <c r="GR51" i="5"/>
  <c r="GS51" i="5"/>
  <c r="GT51" i="5"/>
  <c r="GU51" i="5"/>
  <c r="GV51" i="5"/>
  <c r="GW51" i="5"/>
  <c r="GX51" i="5"/>
  <c r="GY51" i="5"/>
  <c r="GZ51" i="5"/>
  <c r="HA51" i="5"/>
  <c r="HB51" i="5"/>
  <c r="HC51" i="5"/>
  <c r="HD51" i="5"/>
  <c r="HE51" i="5"/>
  <c r="HF51" i="5"/>
  <c r="N18" i="12" s="1"/>
  <c r="BI18" i="12" s="1"/>
  <c r="HG51" i="5"/>
  <c r="N19" i="12" s="1"/>
  <c r="BI19" i="12" s="1"/>
  <c r="HH51" i="5"/>
  <c r="HI51" i="5"/>
  <c r="HJ51" i="5"/>
  <c r="HK51" i="5"/>
  <c r="HL51" i="5"/>
  <c r="HM51" i="5"/>
  <c r="HN51" i="5"/>
  <c r="HO51" i="5"/>
  <c r="HP51" i="5"/>
  <c r="HQ51" i="5"/>
  <c r="HR51" i="5"/>
  <c r="HS51" i="5"/>
  <c r="HT51" i="5"/>
  <c r="HU51" i="5"/>
  <c r="HV51" i="5"/>
  <c r="HW51" i="5"/>
  <c r="HX51" i="5"/>
  <c r="HY51" i="5"/>
  <c r="HZ51" i="5"/>
  <c r="IA51" i="5"/>
  <c r="IB51" i="5"/>
  <c r="IC51" i="5"/>
  <c r="ID51" i="5"/>
  <c r="IE51" i="5"/>
  <c r="IF51" i="5"/>
  <c r="IG51" i="5"/>
  <c r="IH51" i="5"/>
  <c r="II51" i="5"/>
  <c r="IJ51" i="5"/>
  <c r="IK51" i="5"/>
  <c r="IL51" i="5"/>
  <c r="IM51" i="5"/>
  <c r="IN51" i="5"/>
  <c r="IO51" i="5"/>
  <c r="IP51" i="5"/>
  <c r="IQ51" i="5"/>
  <c r="IR51" i="5"/>
  <c r="IS51" i="5"/>
  <c r="IT51" i="5"/>
  <c r="IU51" i="5"/>
  <c r="IV51" i="5"/>
  <c r="IW51" i="5"/>
  <c r="IX51" i="5"/>
  <c r="IY51" i="5"/>
  <c r="IZ51" i="5"/>
  <c r="JA51" i="5"/>
  <c r="JB51" i="5"/>
  <c r="JC51" i="5"/>
  <c r="JD51" i="5"/>
  <c r="JE51" i="5"/>
  <c r="JF51" i="5"/>
  <c r="JG51" i="5"/>
  <c r="JH51" i="5"/>
  <c r="JI51" i="5"/>
  <c r="JJ51" i="5"/>
  <c r="JK51" i="5"/>
  <c r="JL51" i="5"/>
  <c r="JM51" i="5"/>
  <c r="JN51" i="5"/>
  <c r="JO51" i="5"/>
  <c r="JP51" i="5"/>
  <c r="JQ51" i="5"/>
  <c r="JR51" i="5"/>
  <c r="JS51" i="5"/>
  <c r="JT51" i="5"/>
  <c r="JU51" i="5"/>
  <c r="JV51" i="5"/>
  <c r="JW51" i="5"/>
  <c r="JX51" i="5"/>
  <c r="JY51" i="5"/>
  <c r="JZ51" i="5"/>
  <c r="KA51" i="5"/>
  <c r="KB51" i="5"/>
  <c r="KC51" i="5"/>
  <c r="KD51" i="5"/>
  <c r="KE51" i="5"/>
  <c r="KF51" i="5"/>
  <c r="KG51" i="5"/>
  <c r="KH51" i="5"/>
  <c r="KI51" i="5"/>
  <c r="KJ51" i="5"/>
  <c r="KK51" i="5"/>
  <c r="KL51" i="5"/>
  <c r="KM51" i="5"/>
  <c r="KN51" i="5"/>
  <c r="KO51" i="5"/>
  <c r="KP51" i="5"/>
  <c r="KQ51" i="5"/>
  <c r="KR51" i="5"/>
  <c r="KS51" i="5"/>
  <c r="KT51" i="5"/>
  <c r="KU51" i="5"/>
  <c r="KY51" i="5"/>
  <c r="E112" i="14" s="1"/>
  <c r="KZ51" i="5"/>
  <c r="F112" i="14" s="1"/>
  <c r="LA51" i="5"/>
  <c r="E113" i="14" s="1"/>
  <c r="LB51" i="5"/>
  <c r="F113" i="14" s="1"/>
  <c r="LC51" i="5"/>
  <c r="E114" i="14" s="1"/>
  <c r="LD51" i="5"/>
  <c r="F114" i="14" s="1"/>
  <c r="LE51" i="5"/>
  <c r="E115" i="14" s="1"/>
  <c r="LF51" i="5"/>
  <c r="F115" i="14" s="1"/>
  <c r="LG51" i="5"/>
  <c r="E116" i="14" s="1"/>
  <c r="LH51" i="5"/>
  <c r="F116" i="14" s="1"/>
  <c r="LI51" i="5"/>
  <c r="E117" i="14" s="1"/>
  <c r="LJ51" i="5"/>
  <c r="F117" i="14" s="1"/>
  <c r="LK51" i="5"/>
  <c r="LL51" i="5"/>
  <c r="F118" i="14" s="1"/>
  <c r="G118" i="14" s="1"/>
  <c r="LM51" i="5"/>
  <c r="E119" i="14" s="1"/>
  <c r="LN51" i="5"/>
  <c r="F119" i="14" s="1"/>
  <c r="LO51" i="5"/>
  <c r="E120" i="14" s="1"/>
  <c r="LP51" i="5"/>
  <c r="F120" i="14" s="1"/>
  <c r="LR51" i="5"/>
  <c r="LT51" i="5"/>
  <c r="B129" i="14" s="1"/>
  <c r="LU51" i="5"/>
  <c r="C129" i="14" s="1"/>
  <c r="LV51" i="5"/>
  <c r="D129" i="14" s="1"/>
  <c r="LW51" i="5"/>
  <c r="E129" i="14" s="1"/>
  <c r="LX51" i="5"/>
  <c r="F129" i="14" s="1"/>
  <c r="LY51" i="5"/>
  <c r="G129" i="14" s="1"/>
  <c r="LZ51" i="5"/>
  <c r="H129" i="14" s="1"/>
  <c r="MA51" i="5"/>
  <c r="I129" i="14" s="1"/>
  <c r="ME51" i="5"/>
  <c r="B134" i="14" s="1"/>
  <c r="MF51" i="5"/>
  <c r="C134" i="14" s="1"/>
  <c r="MG51" i="5"/>
  <c r="D134" i="14" s="1"/>
  <c r="MH51" i="5"/>
  <c r="E134" i="14" s="1"/>
  <c r="MI51" i="5"/>
  <c r="F134" i="14" s="1"/>
  <c r="MJ51" i="5"/>
  <c r="G134" i="14" s="1"/>
  <c r="MK51" i="5"/>
  <c r="H134" i="14" s="1"/>
  <c r="ML51" i="5"/>
  <c r="I134" i="14" s="1"/>
  <c r="MM51" i="5"/>
  <c r="J134" i="14" s="1"/>
  <c r="MN51" i="5"/>
  <c r="K134" i="14" s="1"/>
  <c r="MR51" i="5"/>
  <c r="MS51" i="5"/>
  <c r="MT51" i="5"/>
  <c r="MU51" i="5"/>
  <c r="MV51" i="5"/>
  <c r="MW51" i="5"/>
  <c r="MX51" i="5"/>
  <c r="MY51" i="5"/>
  <c r="NC51" i="5"/>
  <c r="ND51" i="5"/>
  <c r="NE51" i="5"/>
  <c r="NF51" i="5"/>
  <c r="NG51" i="5"/>
  <c r="NH51" i="5"/>
  <c r="NI51" i="5"/>
  <c r="NJ51" i="5"/>
  <c r="NK51" i="5"/>
  <c r="NL51" i="5"/>
  <c r="NM51" i="5"/>
  <c r="NN51" i="5"/>
  <c r="NO51" i="5"/>
  <c r="NP51" i="5"/>
  <c r="NQ51" i="5"/>
  <c r="NR51" i="5"/>
  <c r="NS51" i="5"/>
  <c r="NT51" i="5"/>
  <c r="NU51" i="5"/>
  <c r="NV51" i="5"/>
  <c r="NX51" i="5"/>
  <c r="NZ51" i="5"/>
  <c r="OA51" i="5"/>
  <c r="OB51" i="5"/>
  <c r="OC51" i="5"/>
  <c r="OD51" i="5"/>
  <c r="OE51" i="5"/>
  <c r="OU51" i="5"/>
  <c r="OV51" i="5"/>
  <c r="OW51" i="5"/>
  <c r="OW52" i="5" s="1"/>
  <c r="OX51" i="5"/>
  <c r="OX52" i="5" s="1"/>
  <c r="OY51" i="5"/>
  <c r="OY52" i="5" s="1"/>
  <c r="OZ51" i="5"/>
  <c r="PA51" i="5"/>
  <c r="PB51" i="5"/>
  <c r="PC51" i="5"/>
  <c r="PD51" i="5"/>
  <c r="PE51" i="5"/>
  <c r="PF51" i="5"/>
  <c r="PG51" i="5"/>
  <c r="PH51" i="5"/>
  <c r="PI51" i="5"/>
  <c r="PJ51" i="5"/>
  <c r="PK51" i="5"/>
  <c r="PL51" i="5"/>
  <c r="PM51" i="5"/>
  <c r="PN51" i="5"/>
  <c r="PO51" i="5"/>
  <c r="PP51" i="5"/>
  <c r="PQ51" i="5"/>
  <c r="PR51" i="5"/>
  <c r="PS51" i="5"/>
  <c r="PT51" i="5"/>
  <c r="PU51" i="5"/>
  <c r="PV51" i="5"/>
  <c r="PW51" i="5"/>
  <c r="PX51" i="5"/>
  <c r="PY51" i="5"/>
  <c r="PZ51" i="5"/>
  <c r="QA51" i="5"/>
  <c r="QB51" i="5"/>
  <c r="QC51" i="5"/>
  <c r="QD51" i="5"/>
  <c r="QE51" i="5"/>
  <c r="QF51" i="5"/>
  <c r="QG51" i="5"/>
  <c r="QH51" i="5"/>
  <c r="QI51" i="5"/>
  <c r="QJ51" i="5"/>
  <c r="QK51" i="5"/>
  <c r="QL51" i="5"/>
  <c r="QM51" i="5"/>
  <c r="QN51" i="5"/>
  <c r="QO51" i="5"/>
  <c r="QP51" i="5"/>
  <c r="QQ51" i="5"/>
  <c r="QR51" i="5"/>
  <c r="QS51" i="5"/>
  <c r="QT51" i="5"/>
  <c r="QU51" i="5"/>
  <c r="QV51" i="5"/>
  <c r="QW51" i="5"/>
  <c r="QX51" i="5"/>
  <c r="QY51" i="5"/>
  <c r="QZ51" i="5"/>
  <c r="RA51" i="5"/>
  <c r="RB51" i="5"/>
  <c r="RC51" i="5"/>
  <c r="RD51" i="5"/>
  <c r="RE51" i="5"/>
  <c r="RF51" i="5"/>
  <c r="RG51" i="5"/>
  <c r="RH51" i="5"/>
  <c r="RI51" i="5"/>
  <c r="RJ51" i="5"/>
  <c r="RK51" i="5"/>
  <c r="RL51" i="5"/>
  <c r="RM51" i="5"/>
  <c r="RN51" i="5"/>
  <c r="OI51" i="5"/>
  <c r="B107" i="14" s="1"/>
  <c r="OJ51" i="5"/>
  <c r="OK51" i="5"/>
  <c r="C107" i="14" s="1"/>
  <c r="OL51" i="5"/>
  <c r="OM51" i="5"/>
  <c r="D107" i="14" s="1"/>
  <c r="ON51" i="5"/>
  <c r="OO51" i="5"/>
  <c r="E107" i="14" s="1"/>
  <c r="OP51" i="5"/>
  <c r="OQ51" i="5"/>
  <c r="OR51" i="5"/>
  <c r="OS51" i="5"/>
  <c r="OT51" i="5"/>
  <c r="F108" i="14" s="1"/>
  <c r="RO51" i="5"/>
  <c r="RO52" i="5" s="1"/>
  <c r="RP51" i="5"/>
  <c r="RP52" i="5" s="1"/>
  <c r="RQ51" i="5"/>
  <c r="RQ54" i="5" s="1"/>
  <c r="RR51" i="5"/>
  <c r="RS51" i="5"/>
  <c r="RT51" i="5"/>
  <c r="RT52" i="5" s="1"/>
  <c r="RU51" i="5"/>
  <c r="RV51" i="5"/>
  <c r="RW51" i="5"/>
  <c r="RX51" i="5"/>
  <c r="RY51" i="5"/>
  <c r="RZ51" i="5"/>
  <c r="SA51" i="5"/>
  <c r="SB51" i="5"/>
  <c r="SC51" i="5"/>
  <c r="SD51" i="5"/>
  <c r="SE51" i="5"/>
  <c r="SF51" i="5"/>
  <c r="SG51" i="5"/>
  <c r="SH51" i="5"/>
  <c r="SI51" i="5"/>
  <c r="SJ51" i="5"/>
  <c r="SK51" i="5"/>
  <c r="SL51" i="5"/>
  <c r="SM51" i="5"/>
  <c r="SN51" i="5"/>
  <c r="SO51" i="5"/>
  <c r="SP51" i="5"/>
  <c r="F51" i="5"/>
  <c r="B14" i="15" s="1"/>
  <c r="F122" i="14" l="1"/>
  <c r="E122" i="14"/>
  <c r="BH50" i="5"/>
  <c r="BH51" i="5" s="1"/>
  <c r="E14" i="15"/>
  <c r="LS51" i="5"/>
  <c r="G114" i="14"/>
  <c r="N14" i="15"/>
  <c r="J32" i="17"/>
  <c r="T31" i="17"/>
  <c r="G116" i="14"/>
  <c r="J129" i="14"/>
  <c r="G119" i="14"/>
  <c r="G115" i="14"/>
  <c r="H32" i="17"/>
  <c r="O29" i="15"/>
  <c r="M134" i="14"/>
  <c r="F32" i="17"/>
  <c r="G117" i="14"/>
  <c r="K34" i="18"/>
  <c r="K129" i="14"/>
  <c r="L134" i="14"/>
  <c r="I32" i="17"/>
  <c r="S13" i="15"/>
  <c r="S14" i="15"/>
  <c r="EI50" i="5"/>
  <c r="EI51" i="5" s="1"/>
  <c r="G113" i="14"/>
  <c r="M32" i="18"/>
  <c r="O32" i="17"/>
  <c r="S30" i="17"/>
  <c r="LQ51" i="5"/>
  <c r="G120" i="14"/>
  <c r="M33" i="18"/>
  <c r="L34" i="18"/>
  <c r="R30" i="17"/>
  <c r="N32" i="17"/>
  <c r="G32" i="17"/>
  <c r="ER50" i="5"/>
  <c r="ER51" i="5" s="1"/>
  <c r="RT54" i="5"/>
  <c r="RP54" i="5"/>
  <c r="P29" i="15"/>
  <c r="NY48" i="5"/>
  <c r="G112" i="14"/>
  <c r="M31" i="18"/>
  <c r="J34" i="18"/>
  <c r="CL41" i="5"/>
  <c r="R29" i="17"/>
  <c r="L32" i="17"/>
  <c r="K32" i="17"/>
  <c r="S29" i="17"/>
  <c r="RO54" i="5"/>
  <c r="GI50" i="5"/>
  <c r="GI51" i="5" s="1"/>
  <c r="MQ50" i="5"/>
  <c r="MQ51" i="5" s="1"/>
  <c r="AH50" i="5"/>
  <c r="AH51" i="5" s="1"/>
  <c r="KX50" i="5"/>
  <c r="KX51" i="5" s="1"/>
  <c r="KV51" i="5"/>
  <c r="GD54" i="5"/>
  <c r="GD52" i="5"/>
  <c r="FA50" i="5"/>
  <c r="FA51" i="5" s="1"/>
  <c r="EZ51" i="5"/>
  <c r="RR54" i="5"/>
  <c r="RR52" i="5"/>
  <c r="MD50" i="5"/>
  <c r="MD51" i="5" s="1"/>
  <c r="MB51" i="5"/>
  <c r="RS52" i="5"/>
  <c r="RS54" i="5"/>
  <c r="GC52" i="5"/>
  <c r="GC54" i="5"/>
  <c r="OH48" i="5"/>
  <c r="BU50" i="5"/>
  <c r="BU51" i="5" s="1"/>
  <c r="CJ50" i="5"/>
  <c r="CJ51" i="5" s="1"/>
  <c r="I14" i="15" s="1"/>
  <c r="CK50" i="5"/>
  <c r="CK51" i="5" s="1"/>
  <c r="J14" i="15" s="1"/>
  <c r="NB50" i="5"/>
  <c r="NB51" i="5" s="1"/>
  <c r="CI51" i="5"/>
  <c r="BF51" i="5"/>
  <c r="CY50" i="5"/>
  <c r="CY51" i="5" s="1"/>
  <c r="NY50" i="5"/>
  <c r="NY51" i="5" s="1"/>
  <c r="RQ52" i="5"/>
  <c r="NB48" i="5"/>
  <c r="MQ48" i="5"/>
  <c r="MD48" i="5"/>
  <c r="KX48" i="5"/>
  <c r="GI48" i="5"/>
  <c r="FN48" i="5"/>
  <c r="OH50" i="5"/>
  <c r="OH51" i="5" s="1"/>
  <c r="FN50" i="5"/>
  <c r="FN51" i="5" s="1"/>
  <c r="EP51" i="5"/>
  <c r="DZ50" i="5"/>
  <c r="DZ51" i="5" s="1"/>
  <c r="DH50" i="5"/>
  <c r="DH51" i="5" s="1"/>
  <c r="CX51" i="5"/>
  <c r="CH51" i="5"/>
  <c r="BT51" i="5"/>
  <c r="AU50" i="5"/>
  <c r="AU51" i="5" s="1"/>
  <c r="AF51" i="5"/>
  <c r="F14" i="15" s="1"/>
  <c r="H14" i="15" s="1"/>
  <c r="AG13" i="5"/>
  <c r="AF13" i="5"/>
  <c r="AH13" i="5" s="1"/>
  <c r="G122" i="14" l="1"/>
  <c r="L129" i="14"/>
  <c r="M34" i="18"/>
  <c r="N134" i="14"/>
  <c r="S32" i="17"/>
  <c r="R32" i="17"/>
  <c r="Q29" i="15"/>
  <c r="T30" i="17"/>
  <c r="K14" i="15"/>
  <c r="T29" i="17"/>
  <c r="CL50" i="5"/>
  <c r="CL51" i="5" s="1"/>
  <c r="LY14" i="5"/>
  <c r="LY15" i="5" s="1"/>
  <c r="LZ14" i="5"/>
  <c r="LZ15" i="5" s="1"/>
  <c r="MA14" i="5"/>
  <c r="MA15" i="5" s="1"/>
  <c r="KY14" i="5"/>
  <c r="KZ14" i="5"/>
  <c r="T32" i="17" l="1"/>
  <c r="KZ15" i="5"/>
  <c r="KY15" i="5"/>
  <c r="AT9" i="5" l="1"/>
  <c r="AS9" i="5"/>
  <c r="KW7" i="5"/>
  <c r="KW8" i="5"/>
  <c r="EZ7" i="5" l="1"/>
  <c r="EZ8" i="5"/>
  <c r="EZ9" i="5"/>
  <c r="EZ10" i="5"/>
  <c r="EZ13" i="5"/>
  <c r="EY7" i="5"/>
  <c r="EY8" i="5"/>
  <c r="EY9" i="5"/>
  <c r="EY10" i="5"/>
  <c r="EY13" i="5"/>
  <c r="FA7" i="5" l="1"/>
  <c r="FA13" i="5"/>
  <c r="FA10" i="5"/>
  <c r="FA8" i="5"/>
  <c r="FA9" i="5"/>
  <c r="LO46" i="5" l="1"/>
  <c r="LP46" i="5"/>
  <c r="LO47" i="5"/>
  <c r="LP47" i="5"/>
  <c r="LO34" i="5"/>
  <c r="LO35" i="5" s="1"/>
  <c r="LP34" i="5"/>
  <c r="LO25" i="5"/>
  <c r="LO26" i="5" s="1"/>
  <c r="E54" i="14" s="1"/>
  <c r="LP25" i="5"/>
  <c r="LP26" i="5" s="1"/>
  <c r="F54" i="14" s="1"/>
  <c r="LO14" i="5"/>
  <c r="LO15" i="5" s="1"/>
  <c r="LP14" i="5"/>
  <c r="LP15" i="5" s="1"/>
  <c r="LO11" i="5"/>
  <c r="LO12" i="5" s="1"/>
  <c r="LP11" i="5"/>
  <c r="LP12" i="5" s="1"/>
  <c r="LP19" i="5" l="1"/>
  <c r="LO19" i="5"/>
  <c r="LO20" i="5" s="1"/>
  <c r="E20" i="14" s="1"/>
  <c r="LO54" i="5"/>
  <c r="LP35" i="5"/>
  <c r="LP54" i="5"/>
  <c r="G54" i="14"/>
  <c r="LP20" i="5"/>
  <c r="F20" i="14" s="1"/>
  <c r="PO16" i="5"/>
  <c r="PO18" i="5" s="1"/>
  <c r="LO52" i="5" l="1"/>
  <c r="E20" i="13" s="1"/>
  <c r="LP52" i="5"/>
  <c r="F20" i="13" s="1"/>
  <c r="G20" i="14"/>
  <c r="E55" i="13"/>
  <c r="F55" i="13"/>
  <c r="GC55" i="5"/>
  <c r="GD55" i="5"/>
  <c r="LO55" i="5"/>
  <c r="LP55" i="5"/>
  <c r="OY55" i="5"/>
  <c r="RO55" i="5"/>
  <c r="RP55" i="5"/>
  <c r="RQ55" i="5"/>
  <c r="RR55" i="5"/>
  <c r="RS55" i="5"/>
  <c r="RT55" i="5"/>
  <c r="KV8" i="5"/>
  <c r="G20" i="13" l="1"/>
  <c r="G55" i="13"/>
  <c r="KV7" i="5"/>
  <c r="GH22" i="5"/>
  <c r="GG22" i="5"/>
  <c r="GH21" i="5"/>
  <c r="GG21" i="5"/>
  <c r="GH16" i="5"/>
  <c r="GH18" i="5" s="1"/>
  <c r="GG16" i="5"/>
  <c r="GG18" i="5" s="1"/>
  <c r="GH13" i="5"/>
  <c r="GG13" i="5"/>
  <c r="GG7" i="5"/>
  <c r="GH7" i="5"/>
  <c r="GG8" i="5"/>
  <c r="GH8" i="5"/>
  <c r="GG9" i="5"/>
  <c r="GH9" i="5"/>
  <c r="GG10" i="5"/>
  <c r="GH10" i="5"/>
  <c r="GH6" i="5"/>
  <c r="GG6" i="5"/>
  <c r="AF6" i="5" l="1"/>
  <c r="AF7" i="5"/>
  <c r="AF8" i="5"/>
  <c r="AF9" i="5"/>
  <c r="AF10" i="5"/>
  <c r="EZ48" i="5" l="1"/>
  <c r="EY48" i="5"/>
  <c r="FA48" i="5" l="1"/>
  <c r="Q75" i="17"/>
  <c r="P75" i="17"/>
  <c r="P74" i="17"/>
  <c r="Q74" i="17"/>
  <c r="F76" i="17"/>
  <c r="G76" i="17"/>
  <c r="D75" i="17"/>
  <c r="E75" i="17"/>
  <c r="D76" i="17"/>
  <c r="E76" i="17"/>
  <c r="N74" i="17"/>
  <c r="O74" i="17"/>
  <c r="BO46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I34" i="5"/>
  <c r="AJ34" i="5"/>
  <c r="AK34" i="5"/>
  <c r="AL34" i="5"/>
  <c r="AM34" i="5"/>
  <c r="H62" i="17" s="1"/>
  <c r="AN34" i="5"/>
  <c r="I62" i="17" s="1"/>
  <c r="AO34" i="5"/>
  <c r="AP34" i="5"/>
  <c r="K62" i="17" s="1"/>
  <c r="AQ34" i="5"/>
  <c r="AR34" i="5"/>
  <c r="AV34" i="5"/>
  <c r="AW34" i="5"/>
  <c r="AX34" i="5"/>
  <c r="AY34" i="5"/>
  <c r="AZ34" i="5"/>
  <c r="BA34" i="5"/>
  <c r="BB34" i="5"/>
  <c r="BC34" i="5"/>
  <c r="BD34" i="5"/>
  <c r="BE34" i="5"/>
  <c r="BI34" i="5"/>
  <c r="BJ34" i="5"/>
  <c r="BK34" i="5"/>
  <c r="BL34" i="5"/>
  <c r="BM34" i="5"/>
  <c r="BN34" i="5"/>
  <c r="BO34" i="5"/>
  <c r="BP34" i="5"/>
  <c r="BQ34" i="5"/>
  <c r="BR34" i="5"/>
  <c r="CM34" i="5"/>
  <c r="CN34" i="5"/>
  <c r="CO34" i="5"/>
  <c r="CP34" i="5"/>
  <c r="CQ34" i="5"/>
  <c r="CR34" i="5"/>
  <c r="CS34" i="5"/>
  <c r="CT34" i="5"/>
  <c r="CU34" i="5"/>
  <c r="CZ34" i="5"/>
  <c r="DA34" i="5"/>
  <c r="DB34" i="5"/>
  <c r="DC34" i="5"/>
  <c r="DD34" i="5"/>
  <c r="DE34" i="5"/>
  <c r="DI34" i="5"/>
  <c r="DJ34" i="5"/>
  <c r="DK34" i="5"/>
  <c r="DL34" i="5"/>
  <c r="DM34" i="5"/>
  <c r="DN34" i="5"/>
  <c r="DR34" i="5"/>
  <c r="DS34" i="5"/>
  <c r="DT34" i="5"/>
  <c r="DU34" i="5"/>
  <c r="DV34" i="5"/>
  <c r="DW34" i="5"/>
  <c r="EA34" i="5"/>
  <c r="EB34" i="5"/>
  <c r="EC34" i="5"/>
  <c r="ED34" i="5"/>
  <c r="EE34" i="5"/>
  <c r="EF34" i="5"/>
  <c r="EJ34" i="5"/>
  <c r="EK34" i="5"/>
  <c r="EL34" i="5"/>
  <c r="EM34" i="5"/>
  <c r="EN34" i="5"/>
  <c r="EO34" i="5"/>
  <c r="ES34" i="5"/>
  <c r="ET34" i="5"/>
  <c r="EU34" i="5"/>
  <c r="EV34" i="5"/>
  <c r="EW34" i="5"/>
  <c r="EX34" i="5"/>
  <c r="FB34" i="5"/>
  <c r="FC34" i="5"/>
  <c r="FD34" i="5"/>
  <c r="FE34" i="5"/>
  <c r="FF34" i="5"/>
  <c r="FG34" i="5"/>
  <c r="FH34" i="5"/>
  <c r="FI34" i="5"/>
  <c r="FJ34" i="5"/>
  <c r="FK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E34" i="5"/>
  <c r="GF34" i="5"/>
  <c r="GJ34" i="5"/>
  <c r="GK34" i="5"/>
  <c r="GL34" i="5"/>
  <c r="GM34" i="5"/>
  <c r="GN34" i="5"/>
  <c r="GO34" i="5"/>
  <c r="GP34" i="5"/>
  <c r="GQ34" i="5"/>
  <c r="GR34" i="5"/>
  <c r="GS34" i="5"/>
  <c r="GT34" i="5"/>
  <c r="GU34" i="5"/>
  <c r="GV34" i="5"/>
  <c r="GW34" i="5"/>
  <c r="GX34" i="5"/>
  <c r="GY34" i="5"/>
  <c r="GZ34" i="5"/>
  <c r="HA34" i="5"/>
  <c r="HB34" i="5"/>
  <c r="HC34" i="5"/>
  <c r="HD34" i="5"/>
  <c r="HE34" i="5"/>
  <c r="HF34" i="5"/>
  <c r="HG34" i="5"/>
  <c r="HH34" i="5"/>
  <c r="HI34" i="5"/>
  <c r="HJ34" i="5"/>
  <c r="HK34" i="5"/>
  <c r="HL34" i="5"/>
  <c r="HM34" i="5"/>
  <c r="HN34" i="5"/>
  <c r="HO34" i="5"/>
  <c r="HP34" i="5"/>
  <c r="HQ34" i="5"/>
  <c r="HR34" i="5"/>
  <c r="HS34" i="5"/>
  <c r="HT34" i="5"/>
  <c r="HU34" i="5"/>
  <c r="HV34" i="5"/>
  <c r="HW34" i="5"/>
  <c r="HX34" i="5"/>
  <c r="HY34" i="5"/>
  <c r="HZ34" i="5"/>
  <c r="IA34" i="5"/>
  <c r="IB34" i="5"/>
  <c r="IC34" i="5"/>
  <c r="ID34" i="5"/>
  <c r="IE34" i="5"/>
  <c r="IF34" i="5"/>
  <c r="IG34" i="5"/>
  <c r="IH34" i="5"/>
  <c r="II34" i="5"/>
  <c r="IJ34" i="5"/>
  <c r="IK34" i="5"/>
  <c r="IL34" i="5"/>
  <c r="IM34" i="5"/>
  <c r="IN34" i="5"/>
  <c r="IO34" i="5"/>
  <c r="IP34" i="5"/>
  <c r="IQ34" i="5"/>
  <c r="IR34" i="5"/>
  <c r="IS34" i="5"/>
  <c r="IT34" i="5"/>
  <c r="IU34" i="5"/>
  <c r="IV34" i="5"/>
  <c r="IW34" i="5"/>
  <c r="IX34" i="5"/>
  <c r="IY34" i="5"/>
  <c r="IZ34" i="5"/>
  <c r="JA34" i="5"/>
  <c r="JB34" i="5"/>
  <c r="JC34" i="5"/>
  <c r="JD34" i="5"/>
  <c r="JE34" i="5"/>
  <c r="JF34" i="5"/>
  <c r="JG34" i="5"/>
  <c r="JH34" i="5"/>
  <c r="JI34" i="5"/>
  <c r="JJ34" i="5"/>
  <c r="JK34" i="5"/>
  <c r="JL34" i="5"/>
  <c r="JM34" i="5"/>
  <c r="JN34" i="5"/>
  <c r="JO34" i="5"/>
  <c r="JP34" i="5"/>
  <c r="JQ34" i="5"/>
  <c r="JR34" i="5"/>
  <c r="JS34" i="5"/>
  <c r="JT34" i="5"/>
  <c r="JU34" i="5"/>
  <c r="JV34" i="5"/>
  <c r="JW34" i="5"/>
  <c r="JX34" i="5"/>
  <c r="JY34" i="5"/>
  <c r="JZ34" i="5"/>
  <c r="KA34" i="5"/>
  <c r="KB34" i="5"/>
  <c r="KC34" i="5"/>
  <c r="KD34" i="5"/>
  <c r="KE34" i="5"/>
  <c r="KF34" i="5"/>
  <c r="KG34" i="5"/>
  <c r="KH34" i="5"/>
  <c r="KI34" i="5"/>
  <c r="KJ34" i="5"/>
  <c r="KK34" i="5"/>
  <c r="KL34" i="5"/>
  <c r="KM34" i="5"/>
  <c r="KN34" i="5"/>
  <c r="KO34" i="5"/>
  <c r="KP34" i="5"/>
  <c r="KQ34" i="5"/>
  <c r="KR34" i="5"/>
  <c r="KS34" i="5"/>
  <c r="KT34" i="5"/>
  <c r="KU34" i="5"/>
  <c r="KY34" i="5"/>
  <c r="KZ34" i="5"/>
  <c r="LA34" i="5"/>
  <c r="LB34" i="5"/>
  <c r="LC34" i="5"/>
  <c r="LD34" i="5"/>
  <c r="LE34" i="5"/>
  <c r="LF34" i="5"/>
  <c r="LG34" i="5"/>
  <c r="LH34" i="5"/>
  <c r="LI34" i="5"/>
  <c r="LJ34" i="5"/>
  <c r="LK34" i="5"/>
  <c r="LL34" i="5"/>
  <c r="LM34" i="5"/>
  <c r="LN34" i="5"/>
  <c r="LT34" i="5"/>
  <c r="LU34" i="5"/>
  <c r="LV34" i="5"/>
  <c r="LW34" i="5"/>
  <c r="LX34" i="5"/>
  <c r="LY34" i="5"/>
  <c r="LZ34" i="5"/>
  <c r="MA34" i="5"/>
  <c r="MB34" i="5"/>
  <c r="MC34" i="5"/>
  <c r="MD34" i="5"/>
  <c r="ME34" i="5"/>
  <c r="MF34" i="5"/>
  <c r="MG34" i="5"/>
  <c r="MH34" i="5"/>
  <c r="MI34" i="5"/>
  <c r="MJ34" i="5"/>
  <c r="MK34" i="5"/>
  <c r="ML34" i="5"/>
  <c r="MM34" i="5"/>
  <c r="MN34" i="5"/>
  <c r="MO34" i="5"/>
  <c r="MP34" i="5"/>
  <c r="MQ34" i="5"/>
  <c r="MR34" i="5"/>
  <c r="MS34" i="5"/>
  <c r="MT34" i="5"/>
  <c r="MU34" i="5"/>
  <c r="MV34" i="5"/>
  <c r="MW34" i="5"/>
  <c r="MX34" i="5"/>
  <c r="MY34" i="5"/>
  <c r="MZ34" i="5"/>
  <c r="NA34" i="5"/>
  <c r="NB34" i="5"/>
  <c r="NC34" i="5"/>
  <c r="ND34" i="5"/>
  <c r="NE34" i="5"/>
  <c r="NF34" i="5"/>
  <c r="NG34" i="5"/>
  <c r="NH34" i="5"/>
  <c r="NI34" i="5"/>
  <c r="NJ34" i="5"/>
  <c r="NK34" i="5"/>
  <c r="NL34" i="5"/>
  <c r="NM34" i="5"/>
  <c r="NN34" i="5"/>
  <c r="NO34" i="5"/>
  <c r="NP34" i="5"/>
  <c r="NQ34" i="5"/>
  <c r="NR34" i="5"/>
  <c r="NS34" i="5"/>
  <c r="NT34" i="5"/>
  <c r="NU34" i="5"/>
  <c r="NV34" i="5"/>
  <c r="NZ34" i="5"/>
  <c r="OA34" i="5"/>
  <c r="OB34" i="5"/>
  <c r="OC34" i="5"/>
  <c r="OD34" i="5"/>
  <c r="OE34" i="5"/>
  <c r="OI34" i="5"/>
  <c r="OJ34" i="5"/>
  <c r="OK34" i="5"/>
  <c r="OL34" i="5"/>
  <c r="OM34" i="5"/>
  <c r="ON34" i="5"/>
  <c r="OO34" i="5"/>
  <c r="OP34" i="5"/>
  <c r="OQ34" i="5"/>
  <c r="OR34" i="5"/>
  <c r="OS34" i="5"/>
  <c r="OT34" i="5"/>
  <c r="OU34" i="5"/>
  <c r="OV34" i="5"/>
  <c r="OW34" i="5"/>
  <c r="OX34" i="5"/>
  <c r="OY34" i="5"/>
  <c r="OY54" i="5" s="1"/>
  <c r="OZ34" i="5"/>
  <c r="PA34" i="5"/>
  <c r="PB34" i="5"/>
  <c r="PC34" i="5"/>
  <c r="PD34" i="5"/>
  <c r="PE34" i="5"/>
  <c r="PF34" i="5"/>
  <c r="PG34" i="5"/>
  <c r="PH34" i="5"/>
  <c r="PI34" i="5"/>
  <c r="PJ34" i="5"/>
  <c r="PK34" i="5"/>
  <c r="PL34" i="5"/>
  <c r="PM34" i="5"/>
  <c r="PN34" i="5"/>
  <c r="PP34" i="5"/>
  <c r="PQ34" i="5"/>
  <c r="PR34" i="5"/>
  <c r="PS34" i="5"/>
  <c r="PT34" i="5"/>
  <c r="PU34" i="5"/>
  <c r="QI34" i="5"/>
  <c r="QJ34" i="5"/>
  <c r="QK34" i="5"/>
  <c r="QL34" i="5"/>
  <c r="QB34" i="5"/>
  <c r="QC34" i="5"/>
  <c r="QD34" i="5"/>
  <c r="QE34" i="5"/>
  <c r="QF34" i="5"/>
  <c r="QG34" i="5"/>
  <c r="QH34" i="5"/>
  <c r="QM34" i="5"/>
  <c r="QN34" i="5"/>
  <c r="QO34" i="5"/>
  <c r="QP34" i="5"/>
  <c r="QQ34" i="5"/>
  <c r="QR34" i="5"/>
  <c r="QS34" i="5"/>
  <c r="QT34" i="5"/>
  <c r="RB34" i="5"/>
  <c r="F34" i="5"/>
  <c r="CM25" i="5"/>
  <c r="CM26" i="5" s="1"/>
  <c r="L62" i="17" l="1"/>
  <c r="J62" i="17"/>
  <c r="G62" i="17"/>
  <c r="F62" i="17"/>
  <c r="M62" i="17"/>
  <c r="G47" i="5" l="1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I47" i="5"/>
  <c r="AJ47" i="5"/>
  <c r="AK47" i="5"/>
  <c r="AL47" i="5"/>
  <c r="AM47" i="5"/>
  <c r="AN47" i="5"/>
  <c r="AO47" i="5"/>
  <c r="AP47" i="5"/>
  <c r="AQ47" i="5"/>
  <c r="AR47" i="5"/>
  <c r="AV47" i="5"/>
  <c r="AW47" i="5"/>
  <c r="AX47" i="5"/>
  <c r="AY47" i="5"/>
  <c r="AZ47" i="5"/>
  <c r="BA47" i="5"/>
  <c r="BB47" i="5"/>
  <c r="BC47" i="5"/>
  <c r="BD47" i="5"/>
  <c r="BE47" i="5"/>
  <c r="BI47" i="5"/>
  <c r="BJ47" i="5"/>
  <c r="BK47" i="5"/>
  <c r="BL47" i="5"/>
  <c r="BM47" i="5"/>
  <c r="BN47" i="5"/>
  <c r="BO47" i="5"/>
  <c r="BP47" i="5"/>
  <c r="BQ47" i="5"/>
  <c r="BR47" i="5"/>
  <c r="CM47" i="5"/>
  <c r="CN47" i="5"/>
  <c r="CO47" i="5"/>
  <c r="CP47" i="5"/>
  <c r="CQ47" i="5"/>
  <c r="CR47" i="5"/>
  <c r="CS47" i="5"/>
  <c r="CT47" i="5"/>
  <c r="CU47" i="5"/>
  <c r="CZ47" i="5"/>
  <c r="DA47" i="5"/>
  <c r="DB47" i="5"/>
  <c r="DC47" i="5"/>
  <c r="DD47" i="5"/>
  <c r="DE47" i="5"/>
  <c r="DI47" i="5"/>
  <c r="DJ47" i="5"/>
  <c r="DK47" i="5"/>
  <c r="DL47" i="5"/>
  <c r="DM47" i="5"/>
  <c r="DN47" i="5"/>
  <c r="DR47" i="5"/>
  <c r="DS47" i="5"/>
  <c r="DT47" i="5"/>
  <c r="DU47" i="5"/>
  <c r="DV47" i="5"/>
  <c r="DW47" i="5"/>
  <c r="EA47" i="5"/>
  <c r="EB47" i="5"/>
  <c r="EC47" i="5"/>
  <c r="ED47" i="5"/>
  <c r="EE47" i="5"/>
  <c r="EF47" i="5"/>
  <c r="EJ47" i="5"/>
  <c r="EK47" i="5"/>
  <c r="EL47" i="5"/>
  <c r="EM47" i="5"/>
  <c r="EN47" i="5"/>
  <c r="EO47" i="5"/>
  <c r="ES47" i="5"/>
  <c r="ET47" i="5"/>
  <c r="EU47" i="5"/>
  <c r="EV47" i="5"/>
  <c r="EW47" i="5"/>
  <c r="EX47" i="5"/>
  <c r="FB47" i="5"/>
  <c r="FC47" i="5"/>
  <c r="FD47" i="5"/>
  <c r="FE47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E47" i="5"/>
  <c r="GF47" i="5"/>
  <c r="GG47" i="5"/>
  <c r="GH47" i="5"/>
  <c r="GI47" i="5"/>
  <c r="GJ47" i="5"/>
  <c r="GK47" i="5"/>
  <c r="GL47" i="5"/>
  <c r="GM47" i="5"/>
  <c r="GN47" i="5"/>
  <c r="GO47" i="5"/>
  <c r="GP47" i="5"/>
  <c r="GQ47" i="5"/>
  <c r="GR47" i="5"/>
  <c r="GS47" i="5"/>
  <c r="GT47" i="5"/>
  <c r="GU47" i="5"/>
  <c r="GV47" i="5"/>
  <c r="GW47" i="5"/>
  <c r="GX47" i="5"/>
  <c r="GY47" i="5"/>
  <c r="GZ47" i="5"/>
  <c r="HA47" i="5"/>
  <c r="HB47" i="5"/>
  <c r="HC47" i="5"/>
  <c r="HD47" i="5"/>
  <c r="HE47" i="5"/>
  <c r="HF47" i="5"/>
  <c r="HG47" i="5"/>
  <c r="HH47" i="5"/>
  <c r="HI47" i="5"/>
  <c r="HJ47" i="5"/>
  <c r="HK47" i="5"/>
  <c r="HL47" i="5"/>
  <c r="HM47" i="5"/>
  <c r="HN47" i="5"/>
  <c r="HO47" i="5"/>
  <c r="HP47" i="5"/>
  <c r="HQ47" i="5"/>
  <c r="HR47" i="5"/>
  <c r="HS47" i="5"/>
  <c r="HT47" i="5"/>
  <c r="HU47" i="5"/>
  <c r="HV47" i="5"/>
  <c r="HW47" i="5"/>
  <c r="HX47" i="5"/>
  <c r="HY47" i="5"/>
  <c r="HZ47" i="5"/>
  <c r="IA47" i="5"/>
  <c r="IB47" i="5"/>
  <c r="IC47" i="5"/>
  <c r="ID47" i="5"/>
  <c r="IE47" i="5"/>
  <c r="IF47" i="5"/>
  <c r="IG47" i="5"/>
  <c r="IH47" i="5"/>
  <c r="II47" i="5"/>
  <c r="IJ47" i="5"/>
  <c r="IK47" i="5"/>
  <c r="IL47" i="5"/>
  <c r="IM47" i="5"/>
  <c r="IN47" i="5"/>
  <c r="IO47" i="5"/>
  <c r="IP47" i="5"/>
  <c r="IQ47" i="5"/>
  <c r="IR47" i="5"/>
  <c r="IS47" i="5"/>
  <c r="IT47" i="5"/>
  <c r="IU47" i="5"/>
  <c r="IV47" i="5"/>
  <c r="IW47" i="5"/>
  <c r="IX47" i="5"/>
  <c r="IY47" i="5"/>
  <c r="IZ47" i="5"/>
  <c r="JA47" i="5"/>
  <c r="JB47" i="5"/>
  <c r="JC47" i="5"/>
  <c r="JD47" i="5"/>
  <c r="JE47" i="5"/>
  <c r="JF47" i="5"/>
  <c r="JG47" i="5"/>
  <c r="JH47" i="5"/>
  <c r="JI47" i="5"/>
  <c r="JJ47" i="5"/>
  <c r="JK47" i="5"/>
  <c r="JL47" i="5"/>
  <c r="JM47" i="5"/>
  <c r="JN47" i="5"/>
  <c r="JO47" i="5"/>
  <c r="JP47" i="5"/>
  <c r="JQ47" i="5"/>
  <c r="JR47" i="5"/>
  <c r="JS47" i="5"/>
  <c r="JT47" i="5"/>
  <c r="JU47" i="5"/>
  <c r="JV47" i="5"/>
  <c r="JW47" i="5"/>
  <c r="JX47" i="5"/>
  <c r="JY47" i="5"/>
  <c r="JZ47" i="5"/>
  <c r="KA47" i="5"/>
  <c r="KB47" i="5"/>
  <c r="KC47" i="5"/>
  <c r="KD47" i="5"/>
  <c r="KE47" i="5"/>
  <c r="KF47" i="5"/>
  <c r="KG47" i="5"/>
  <c r="KH47" i="5"/>
  <c r="KI47" i="5"/>
  <c r="KJ47" i="5"/>
  <c r="KK47" i="5"/>
  <c r="KL47" i="5"/>
  <c r="KM47" i="5"/>
  <c r="KN47" i="5"/>
  <c r="KO47" i="5"/>
  <c r="KP47" i="5"/>
  <c r="KQ47" i="5"/>
  <c r="KR47" i="5"/>
  <c r="KS47" i="5"/>
  <c r="KT47" i="5"/>
  <c r="KU47" i="5"/>
  <c r="KV47" i="5"/>
  <c r="KW47" i="5"/>
  <c r="KX47" i="5"/>
  <c r="KY47" i="5"/>
  <c r="KZ47" i="5"/>
  <c r="LA47" i="5"/>
  <c r="LB47" i="5"/>
  <c r="LC47" i="5"/>
  <c r="LD47" i="5"/>
  <c r="LE47" i="5"/>
  <c r="LF47" i="5"/>
  <c r="LG47" i="5"/>
  <c r="LH47" i="5"/>
  <c r="LI47" i="5"/>
  <c r="LJ47" i="5"/>
  <c r="LK47" i="5"/>
  <c r="LL47" i="5"/>
  <c r="LM47" i="5"/>
  <c r="LN47" i="5"/>
  <c r="LQ47" i="5"/>
  <c r="LR47" i="5"/>
  <c r="LS47" i="5"/>
  <c r="LT47" i="5"/>
  <c r="LU47" i="5"/>
  <c r="LV47" i="5"/>
  <c r="LW47" i="5"/>
  <c r="LX47" i="5"/>
  <c r="LY47" i="5"/>
  <c r="LZ47" i="5"/>
  <c r="MA47" i="5"/>
  <c r="MB47" i="5"/>
  <c r="MC47" i="5"/>
  <c r="MD47" i="5"/>
  <c r="ME47" i="5"/>
  <c r="MF47" i="5"/>
  <c r="MG47" i="5"/>
  <c r="MH47" i="5"/>
  <c r="MI47" i="5"/>
  <c r="MJ47" i="5"/>
  <c r="MK47" i="5"/>
  <c r="ML47" i="5"/>
  <c r="MM47" i="5"/>
  <c r="MN47" i="5"/>
  <c r="MO47" i="5"/>
  <c r="MP47" i="5"/>
  <c r="MQ47" i="5"/>
  <c r="MR47" i="5"/>
  <c r="MS47" i="5"/>
  <c r="MT47" i="5"/>
  <c r="MU47" i="5"/>
  <c r="MV47" i="5"/>
  <c r="MW47" i="5"/>
  <c r="MX47" i="5"/>
  <c r="MY47" i="5"/>
  <c r="MZ47" i="5"/>
  <c r="NA47" i="5"/>
  <c r="NB47" i="5"/>
  <c r="NC47" i="5"/>
  <c r="ND47" i="5"/>
  <c r="NE47" i="5"/>
  <c r="NF47" i="5"/>
  <c r="NG47" i="5"/>
  <c r="NH47" i="5"/>
  <c r="NI47" i="5"/>
  <c r="NJ47" i="5"/>
  <c r="NK47" i="5"/>
  <c r="NL47" i="5"/>
  <c r="NM47" i="5"/>
  <c r="NN47" i="5"/>
  <c r="NO47" i="5"/>
  <c r="NP47" i="5"/>
  <c r="NQ47" i="5"/>
  <c r="NR47" i="5"/>
  <c r="NS47" i="5"/>
  <c r="NT47" i="5"/>
  <c r="NU47" i="5"/>
  <c r="NV47" i="5"/>
  <c r="NW47" i="5"/>
  <c r="NX47" i="5"/>
  <c r="NY47" i="5"/>
  <c r="NZ47" i="5"/>
  <c r="OA47" i="5"/>
  <c r="OB47" i="5"/>
  <c r="OC47" i="5"/>
  <c r="OD47" i="5"/>
  <c r="OE47" i="5"/>
  <c r="OF47" i="5"/>
  <c r="OG47" i="5"/>
  <c r="OH47" i="5"/>
  <c r="OI47" i="5"/>
  <c r="OJ47" i="5"/>
  <c r="OK47" i="5"/>
  <c r="OL47" i="5"/>
  <c r="OM47" i="5"/>
  <c r="ON47" i="5"/>
  <c r="OO47" i="5"/>
  <c r="OP47" i="5"/>
  <c r="OQ47" i="5"/>
  <c r="OR47" i="5"/>
  <c r="OS47" i="5"/>
  <c r="OT47" i="5"/>
  <c r="OU47" i="5"/>
  <c r="OV47" i="5"/>
  <c r="OZ47" i="5"/>
  <c r="PA47" i="5"/>
  <c r="PB47" i="5"/>
  <c r="PC47" i="5"/>
  <c r="PD47" i="5"/>
  <c r="PE47" i="5"/>
  <c r="PF47" i="5"/>
  <c r="PG47" i="5"/>
  <c r="PH47" i="5"/>
  <c r="PI47" i="5"/>
  <c r="PJ47" i="5"/>
  <c r="PK47" i="5"/>
  <c r="PL47" i="5"/>
  <c r="PM47" i="5"/>
  <c r="PN47" i="5"/>
  <c r="PO47" i="5"/>
  <c r="PP47" i="5"/>
  <c r="PQ47" i="5"/>
  <c r="PR47" i="5"/>
  <c r="PS47" i="5"/>
  <c r="PT47" i="5"/>
  <c r="PU47" i="5"/>
  <c r="QI47" i="5"/>
  <c r="QJ47" i="5"/>
  <c r="QK47" i="5"/>
  <c r="QL47" i="5"/>
  <c r="QB47" i="5"/>
  <c r="QC47" i="5"/>
  <c r="QD47" i="5"/>
  <c r="QE47" i="5"/>
  <c r="QF47" i="5"/>
  <c r="QG47" i="5"/>
  <c r="QH47" i="5"/>
  <c r="QM47" i="5"/>
  <c r="QN47" i="5"/>
  <c r="QO47" i="5"/>
  <c r="QP47" i="5"/>
  <c r="QQ47" i="5"/>
  <c r="QR47" i="5"/>
  <c r="QS47" i="5"/>
  <c r="QT47" i="5"/>
  <c r="RB47" i="5"/>
  <c r="RC47" i="5"/>
  <c r="QU47" i="5"/>
  <c r="QV47" i="5"/>
  <c r="QW47" i="5"/>
  <c r="QX47" i="5"/>
  <c r="QY47" i="5"/>
  <c r="QZ47" i="5"/>
  <c r="RA47" i="5"/>
  <c r="RD47" i="5"/>
  <c r="RE47" i="5"/>
  <c r="PV47" i="5"/>
  <c r="PW47" i="5"/>
  <c r="PX47" i="5"/>
  <c r="PY47" i="5"/>
  <c r="PZ47" i="5"/>
  <c r="QA47" i="5"/>
  <c r="RF47" i="5"/>
  <c r="RG47" i="5"/>
  <c r="RH47" i="5"/>
  <c r="RI47" i="5"/>
  <c r="RJ47" i="5"/>
  <c r="RK47" i="5"/>
  <c r="RL47" i="5"/>
  <c r="RM47" i="5"/>
  <c r="RN47" i="5"/>
  <c r="RU47" i="5"/>
  <c r="RV47" i="5"/>
  <c r="RW47" i="5"/>
  <c r="RX47" i="5"/>
  <c r="RY47" i="5"/>
  <c r="RZ47" i="5"/>
  <c r="SA47" i="5"/>
  <c r="SB47" i="5"/>
  <c r="SC47" i="5"/>
  <c r="SD47" i="5"/>
  <c r="SE47" i="5"/>
  <c r="SF47" i="5"/>
  <c r="SG47" i="5"/>
  <c r="SH47" i="5"/>
  <c r="SI47" i="5"/>
  <c r="SJ47" i="5"/>
  <c r="SK47" i="5"/>
  <c r="SL47" i="5"/>
  <c r="SM47" i="5"/>
  <c r="SN47" i="5"/>
  <c r="SO47" i="5"/>
  <c r="SP47" i="5"/>
  <c r="F46" i="5"/>
  <c r="F47" i="5"/>
  <c r="R104" i="17" l="1"/>
  <c r="R105" i="17"/>
  <c r="R106" i="17"/>
  <c r="R103" i="17"/>
  <c r="T103" i="17" s="1"/>
  <c r="S103" i="17"/>
  <c r="S104" i="17"/>
  <c r="S105" i="17"/>
  <c r="T105" i="17" s="1"/>
  <c r="S106" i="17"/>
  <c r="T106" i="17" s="1"/>
  <c r="T104" i="17" l="1"/>
  <c r="FL33" i="5" l="1"/>
  <c r="FM33" i="5"/>
  <c r="EY33" i="5"/>
  <c r="EZ33" i="5"/>
  <c r="EP33" i="5"/>
  <c r="EQ33" i="5"/>
  <c r="EG33" i="5"/>
  <c r="EH33" i="5"/>
  <c r="DX33" i="5"/>
  <c r="DY33" i="5"/>
  <c r="DF33" i="5"/>
  <c r="DG33" i="5"/>
  <c r="CV33" i="5"/>
  <c r="CW33" i="5"/>
  <c r="CX33" i="5"/>
  <c r="BS33" i="5"/>
  <c r="BT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BF33" i="5"/>
  <c r="BG33" i="5"/>
  <c r="AS33" i="5"/>
  <c r="AT33" i="5"/>
  <c r="AF33" i="5"/>
  <c r="AG33" i="5"/>
  <c r="EI33" i="5" l="1"/>
  <c r="AH33" i="5"/>
  <c r="ER33" i="5"/>
  <c r="CJ33" i="5"/>
  <c r="DZ33" i="5"/>
  <c r="FN33" i="5"/>
  <c r="BH33" i="5"/>
  <c r="AU33" i="5"/>
  <c r="DH33" i="5"/>
  <c r="FA33" i="5"/>
  <c r="CK33" i="5"/>
  <c r="BU33" i="5"/>
  <c r="CY33" i="5"/>
  <c r="CL33" i="5" l="1"/>
  <c r="U14" i="16"/>
  <c r="P14" i="16"/>
  <c r="Q14" i="16" s="1"/>
  <c r="E14" i="16"/>
  <c r="EZ49" i="5"/>
  <c r="EY49" i="5"/>
  <c r="EQ48" i="5"/>
  <c r="EQ49" i="5" s="1"/>
  <c r="EP48" i="5"/>
  <c r="EP49" i="5" s="1"/>
  <c r="EG48" i="5"/>
  <c r="EG49" i="5" s="1"/>
  <c r="EH48" i="5"/>
  <c r="EH49" i="5" s="1"/>
  <c r="DY48" i="5"/>
  <c r="DY49" i="5" s="1"/>
  <c r="DX48" i="5"/>
  <c r="DX49" i="5" s="1"/>
  <c r="DG48" i="5"/>
  <c r="DF48" i="5"/>
  <c r="DF49" i="5" s="1"/>
  <c r="CX48" i="5"/>
  <c r="CX49" i="5" s="1"/>
  <c r="CW48" i="5"/>
  <c r="CW49" i="5" s="1"/>
  <c r="CV48" i="5"/>
  <c r="CV49" i="5" s="1"/>
  <c r="CI48" i="5"/>
  <c r="CI49" i="5" s="1"/>
  <c r="CH48" i="5"/>
  <c r="CH49" i="5" s="1"/>
  <c r="CG48" i="5"/>
  <c r="CG49" i="5" s="1"/>
  <c r="CF48" i="5"/>
  <c r="CF49" i="5" s="1"/>
  <c r="CE48" i="5"/>
  <c r="CE49" i="5" s="1"/>
  <c r="CD48" i="5"/>
  <c r="CD49" i="5" s="1"/>
  <c r="CC48" i="5"/>
  <c r="CC49" i="5" s="1"/>
  <c r="CB48" i="5"/>
  <c r="CB49" i="5" s="1"/>
  <c r="CA48" i="5"/>
  <c r="CA49" i="5" s="1"/>
  <c r="BZ48" i="5"/>
  <c r="BZ49" i="5" s="1"/>
  <c r="BY48" i="5"/>
  <c r="BY49" i="5" s="1"/>
  <c r="BX48" i="5"/>
  <c r="BX49" i="5" s="1"/>
  <c r="BW48" i="5"/>
  <c r="BW49" i="5" s="1"/>
  <c r="BV48" i="5"/>
  <c r="BV49" i="5" s="1"/>
  <c r="BT48" i="5"/>
  <c r="BT49" i="5" s="1"/>
  <c r="BS48" i="5"/>
  <c r="BS49" i="5" s="1"/>
  <c r="BG48" i="5"/>
  <c r="BG49" i="5" s="1"/>
  <c r="BF48" i="5"/>
  <c r="BF49" i="5" s="1"/>
  <c r="AS48" i="5"/>
  <c r="AS49" i="5" s="1"/>
  <c r="AT48" i="5"/>
  <c r="AG48" i="5"/>
  <c r="AF48" i="5"/>
  <c r="F13" i="15" s="1"/>
  <c r="PA35" i="5"/>
  <c r="OZ35" i="5"/>
  <c r="G49" i="5"/>
  <c r="C13" i="15" s="1"/>
  <c r="H49" i="5"/>
  <c r="D13" i="15" s="1"/>
  <c r="I49" i="5"/>
  <c r="Q13" i="15" s="1"/>
  <c r="J49" i="5"/>
  <c r="R13" i="15" s="1"/>
  <c r="K49" i="5"/>
  <c r="L49" i="5"/>
  <c r="M49" i="5"/>
  <c r="N49" i="5"/>
  <c r="O49" i="5"/>
  <c r="O13" i="15" s="1"/>
  <c r="P49" i="5"/>
  <c r="P13" i="15" s="1"/>
  <c r="Q49" i="5"/>
  <c r="K73" i="14" s="1"/>
  <c r="R49" i="5"/>
  <c r="L73" i="14" s="1"/>
  <c r="S49" i="5"/>
  <c r="M73" i="14" s="1"/>
  <c r="T49" i="5"/>
  <c r="N73" i="14" s="1"/>
  <c r="U49" i="5"/>
  <c r="V49" i="5"/>
  <c r="E28" i="15" s="1"/>
  <c r="W49" i="5"/>
  <c r="F28" i="15" s="1"/>
  <c r="X49" i="5"/>
  <c r="G28" i="15" s="1"/>
  <c r="Y49" i="5"/>
  <c r="H28" i="15" s="1"/>
  <c r="Z49" i="5"/>
  <c r="I28" i="15" s="1"/>
  <c r="AA49" i="5"/>
  <c r="J28" i="15" s="1"/>
  <c r="AB49" i="5"/>
  <c r="K28" i="15" s="1"/>
  <c r="AC49" i="5"/>
  <c r="L28" i="15" s="1"/>
  <c r="AD49" i="5"/>
  <c r="M28" i="15" s="1"/>
  <c r="AE49" i="5"/>
  <c r="N28" i="15" s="1"/>
  <c r="AI49" i="5"/>
  <c r="AJ49" i="5"/>
  <c r="AK49" i="5"/>
  <c r="AL49" i="5"/>
  <c r="AM49" i="5"/>
  <c r="AN49" i="5"/>
  <c r="AO49" i="5"/>
  <c r="AP49" i="5"/>
  <c r="AQ49" i="5"/>
  <c r="AR49" i="5"/>
  <c r="AV49" i="5"/>
  <c r="AW49" i="5"/>
  <c r="AX49" i="5"/>
  <c r="AY49" i="5"/>
  <c r="AZ49" i="5"/>
  <c r="BA49" i="5"/>
  <c r="BB49" i="5"/>
  <c r="BC49" i="5"/>
  <c r="BD49" i="5"/>
  <c r="BE49" i="5"/>
  <c r="BI49" i="5"/>
  <c r="BJ49" i="5"/>
  <c r="I68" i="17" s="1"/>
  <c r="BK49" i="5"/>
  <c r="BL49" i="5"/>
  <c r="BM49" i="5"/>
  <c r="BN49" i="5"/>
  <c r="BO49" i="5"/>
  <c r="BP49" i="5"/>
  <c r="BQ49" i="5"/>
  <c r="BR49" i="5"/>
  <c r="CM49" i="5"/>
  <c r="CN49" i="5"/>
  <c r="CO49" i="5"/>
  <c r="CP49" i="5"/>
  <c r="CQ49" i="5"/>
  <c r="CR49" i="5"/>
  <c r="CS49" i="5"/>
  <c r="CT49" i="5"/>
  <c r="CU49" i="5"/>
  <c r="CZ49" i="5"/>
  <c r="E26" i="19" s="1"/>
  <c r="DA49" i="5"/>
  <c r="F26" i="19" s="1"/>
  <c r="DB49" i="5"/>
  <c r="E27" i="19" s="1"/>
  <c r="DC49" i="5"/>
  <c r="F27" i="19" s="1"/>
  <c r="DD49" i="5"/>
  <c r="E28" i="19" s="1"/>
  <c r="DE49" i="5"/>
  <c r="F28" i="19" s="1"/>
  <c r="DI49" i="5"/>
  <c r="DJ49" i="5"/>
  <c r="DK49" i="5"/>
  <c r="DL49" i="5"/>
  <c r="DM49" i="5"/>
  <c r="DN49" i="5"/>
  <c r="DO49" i="5"/>
  <c r="DP49" i="5"/>
  <c r="DQ49" i="5"/>
  <c r="DR49" i="5"/>
  <c r="H26" i="19" s="1"/>
  <c r="DS49" i="5"/>
  <c r="I26" i="19" s="1"/>
  <c r="DT49" i="5"/>
  <c r="H27" i="19" s="1"/>
  <c r="DU49" i="5"/>
  <c r="I27" i="19" s="1"/>
  <c r="DV49" i="5"/>
  <c r="H28" i="19" s="1"/>
  <c r="DW49" i="5"/>
  <c r="I28" i="19" s="1"/>
  <c r="EA49" i="5"/>
  <c r="K26" i="19" s="1"/>
  <c r="EB49" i="5"/>
  <c r="L26" i="19" s="1"/>
  <c r="EC49" i="5"/>
  <c r="K27" i="19" s="1"/>
  <c r="ED49" i="5"/>
  <c r="L27" i="19" s="1"/>
  <c r="EE49" i="5"/>
  <c r="K28" i="19" s="1"/>
  <c r="EF49" i="5"/>
  <c r="L28" i="19" s="1"/>
  <c r="EJ49" i="5"/>
  <c r="N26" i="19" s="1"/>
  <c r="EK49" i="5"/>
  <c r="O26" i="19" s="1"/>
  <c r="EL49" i="5"/>
  <c r="N27" i="19" s="1"/>
  <c r="EM49" i="5"/>
  <c r="O27" i="19" s="1"/>
  <c r="EN49" i="5"/>
  <c r="N28" i="19" s="1"/>
  <c r="EO49" i="5"/>
  <c r="O28" i="19" s="1"/>
  <c r="ES49" i="5"/>
  <c r="ET49" i="5"/>
  <c r="EU49" i="5"/>
  <c r="EV49" i="5"/>
  <c r="EW49" i="5"/>
  <c r="EX49" i="5"/>
  <c r="FB49" i="5"/>
  <c r="E14" i="20" s="1"/>
  <c r="FC49" i="5"/>
  <c r="F14" i="20" s="1"/>
  <c r="FD49" i="5"/>
  <c r="G14" i="20" s="1"/>
  <c r="FE49" i="5"/>
  <c r="H14" i="20" s="1"/>
  <c r="FF49" i="5"/>
  <c r="I14" i="20" s="1"/>
  <c r="FG49" i="5"/>
  <c r="J14" i="20" s="1"/>
  <c r="FH49" i="5"/>
  <c r="K14" i="20" s="1"/>
  <c r="FI49" i="5"/>
  <c r="L14" i="20" s="1"/>
  <c r="FJ49" i="5"/>
  <c r="M14" i="20" s="1"/>
  <c r="FK49" i="5"/>
  <c r="N14" i="20" s="1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E49" i="5"/>
  <c r="GF49" i="5"/>
  <c r="GG49" i="5"/>
  <c r="GH49" i="5"/>
  <c r="GI49" i="5"/>
  <c r="GJ49" i="5"/>
  <c r="C16" i="12" s="1"/>
  <c r="GK49" i="5"/>
  <c r="C17" i="12" s="1"/>
  <c r="GL49" i="5"/>
  <c r="D16" i="12" s="1"/>
  <c r="GM49" i="5"/>
  <c r="D17" i="12" s="1"/>
  <c r="GN49" i="5"/>
  <c r="E16" i="12" s="1"/>
  <c r="GO49" i="5"/>
  <c r="E17" i="12" s="1"/>
  <c r="GP49" i="5"/>
  <c r="F16" i="12" s="1"/>
  <c r="GQ49" i="5"/>
  <c r="F17" i="12" s="1"/>
  <c r="GR49" i="5"/>
  <c r="G16" i="12" s="1"/>
  <c r="GS49" i="5"/>
  <c r="G17" i="12" s="1"/>
  <c r="GT49" i="5"/>
  <c r="H16" i="12" s="1"/>
  <c r="GU49" i="5"/>
  <c r="H17" i="12" s="1"/>
  <c r="GV49" i="5"/>
  <c r="I16" i="12" s="1"/>
  <c r="GW49" i="5"/>
  <c r="I17" i="12" s="1"/>
  <c r="GX49" i="5"/>
  <c r="J16" i="12" s="1"/>
  <c r="GY49" i="5"/>
  <c r="J17" i="12" s="1"/>
  <c r="GZ49" i="5"/>
  <c r="K16" i="12" s="1"/>
  <c r="HA49" i="5"/>
  <c r="K17" i="12" s="1"/>
  <c r="HB49" i="5"/>
  <c r="L16" i="12" s="1"/>
  <c r="HC49" i="5"/>
  <c r="L17" i="12" s="1"/>
  <c r="HD49" i="5"/>
  <c r="M16" i="12" s="1"/>
  <c r="HE49" i="5"/>
  <c r="M17" i="12" s="1"/>
  <c r="HF49" i="5"/>
  <c r="N16" i="12" s="1"/>
  <c r="HG49" i="5"/>
  <c r="N17" i="12" s="1"/>
  <c r="HH49" i="5"/>
  <c r="O16" i="12" s="1"/>
  <c r="HI49" i="5"/>
  <c r="O17" i="12" s="1"/>
  <c r="HJ49" i="5"/>
  <c r="P16" i="12" s="1"/>
  <c r="HK49" i="5"/>
  <c r="P17" i="12" s="1"/>
  <c r="HL49" i="5"/>
  <c r="Q16" i="12" s="1"/>
  <c r="HM49" i="5"/>
  <c r="Q17" i="12" s="1"/>
  <c r="HN49" i="5"/>
  <c r="R16" i="12" s="1"/>
  <c r="HO49" i="5"/>
  <c r="HP49" i="5"/>
  <c r="S16" i="12" s="1"/>
  <c r="HQ49" i="5"/>
  <c r="S17" i="12" s="1"/>
  <c r="HR49" i="5"/>
  <c r="T16" i="12" s="1"/>
  <c r="HS49" i="5"/>
  <c r="T17" i="12" s="1"/>
  <c r="HT49" i="5"/>
  <c r="U16" i="12" s="1"/>
  <c r="HU49" i="5"/>
  <c r="U17" i="12" s="1"/>
  <c r="HV49" i="5"/>
  <c r="V16" i="12" s="1"/>
  <c r="HW49" i="5"/>
  <c r="V17" i="12" s="1"/>
  <c r="HX49" i="5"/>
  <c r="W16" i="12" s="1"/>
  <c r="HY49" i="5"/>
  <c r="W17" i="12" s="1"/>
  <c r="HZ49" i="5"/>
  <c r="X16" i="12" s="1"/>
  <c r="IA49" i="5"/>
  <c r="X17" i="12" s="1"/>
  <c r="IB49" i="5"/>
  <c r="Y16" i="12" s="1"/>
  <c r="IC49" i="5"/>
  <c r="Y17" i="12" s="1"/>
  <c r="ID49" i="5"/>
  <c r="Z16" i="12" s="1"/>
  <c r="IE49" i="5"/>
  <c r="Z17" i="12" s="1"/>
  <c r="IF49" i="5"/>
  <c r="AA16" i="12" s="1"/>
  <c r="IG49" i="5"/>
  <c r="AA17" i="12" s="1"/>
  <c r="IH49" i="5"/>
  <c r="AB16" i="12" s="1"/>
  <c r="II49" i="5"/>
  <c r="AB17" i="12" s="1"/>
  <c r="IJ49" i="5"/>
  <c r="AC16" i="12" s="1"/>
  <c r="IK49" i="5"/>
  <c r="AC17" i="12" s="1"/>
  <c r="IL49" i="5"/>
  <c r="AD16" i="12" s="1"/>
  <c r="IM49" i="5"/>
  <c r="AD17" i="12" s="1"/>
  <c r="IN49" i="5"/>
  <c r="AE16" i="12" s="1"/>
  <c r="IO49" i="5"/>
  <c r="AE17" i="12" s="1"/>
  <c r="IP49" i="5"/>
  <c r="AF16" i="12" s="1"/>
  <c r="IQ49" i="5"/>
  <c r="AF17" i="12" s="1"/>
  <c r="IR49" i="5"/>
  <c r="AG16" i="12" s="1"/>
  <c r="IS49" i="5"/>
  <c r="AG17" i="12" s="1"/>
  <c r="IT49" i="5"/>
  <c r="AH16" i="12" s="1"/>
  <c r="IU49" i="5"/>
  <c r="AH17" i="12" s="1"/>
  <c r="IV49" i="5"/>
  <c r="AI16" i="12" s="1"/>
  <c r="IW49" i="5"/>
  <c r="AI17" i="12" s="1"/>
  <c r="IX49" i="5"/>
  <c r="AJ16" i="12" s="1"/>
  <c r="IY49" i="5"/>
  <c r="AJ17" i="12" s="1"/>
  <c r="IZ49" i="5"/>
  <c r="AK16" i="12" s="1"/>
  <c r="JA49" i="5"/>
  <c r="AK17" i="12" s="1"/>
  <c r="JB49" i="5"/>
  <c r="AL16" i="12" s="1"/>
  <c r="JC49" i="5"/>
  <c r="AL17" i="12" s="1"/>
  <c r="JD49" i="5"/>
  <c r="AM16" i="12" s="1"/>
  <c r="JE49" i="5"/>
  <c r="AM17" i="12" s="1"/>
  <c r="JF49" i="5"/>
  <c r="AN16" i="12" s="1"/>
  <c r="JG49" i="5"/>
  <c r="AN17" i="12" s="1"/>
  <c r="JH49" i="5"/>
  <c r="AO16" i="12" s="1"/>
  <c r="JI49" i="5"/>
  <c r="AO17" i="12" s="1"/>
  <c r="JJ49" i="5"/>
  <c r="AP16" i="12" s="1"/>
  <c r="JK49" i="5"/>
  <c r="AP17" i="12" s="1"/>
  <c r="JL49" i="5"/>
  <c r="AQ16" i="12" s="1"/>
  <c r="JM49" i="5"/>
  <c r="AQ17" i="12" s="1"/>
  <c r="JN49" i="5"/>
  <c r="AR16" i="12" s="1"/>
  <c r="JO49" i="5"/>
  <c r="AR17" i="12" s="1"/>
  <c r="JP49" i="5"/>
  <c r="AS16" i="12" s="1"/>
  <c r="JQ49" i="5"/>
  <c r="AS17" i="12" s="1"/>
  <c r="JR49" i="5"/>
  <c r="AT16" i="12" s="1"/>
  <c r="JS49" i="5"/>
  <c r="AT17" i="12" s="1"/>
  <c r="JT49" i="5"/>
  <c r="AU16" i="12" s="1"/>
  <c r="JU49" i="5"/>
  <c r="AU17" i="12" s="1"/>
  <c r="JV49" i="5"/>
  <c r="AV16" i="12" s="1"/>
  <c r="JW49" i="5"/>
  <c r="AV17" i="12" s="1"/>
  <c r="JX49" i="5"/>
  <c r="AW16" i="12" s="1"/>
  <c r="JY49" i="5"/>
  <c r="AW17" i="12" s="1"/>
  <c r="JZ49" i="5"/>
  <c r="KA49" i="5"/>
  <c r="AX17" i="12" s="1"/>
  <c r="KB49" i="5"/>
  <c r="KC49" i="5"/>
  <c r="KD49" i="5"/>
  <c r="AZ16" i="12" s="1"/>
  <c r="KE49" i="5"/>
  <c r="AZ17" i="12" s="1"/>
  <c r="KF49" i="5"/>
  <c r="BA16" i="12" s="1"/>
  <c r="KG49" i="5"/>
  <c r="BA17" i="12" s="1"/>
  <c r="KH49" i="5"/>
  <c r="BB16" i="12" s="1"/>
  <c r="KI49" i="5"/>
  <c r="BB17" i="12" s="1"/>
  <c r="KJ49" i="5"/>
  <c r="BC16" i="12" s="1"/>
  <c r="KK49" i="5"/>
  <c r="BC17" i="12" s="1"/>
  <c r="KL49" i="5"/>
  <c r="KM49" i="5"/>
  <c r="KN49" i="5"/>
  <c r="BD16" i="12" s="1"/>
  <c r="KO49" i="5"/>
  <c r="BD17" i="12" s="1"/>
  <c r="KP49" i="5"/>
  <c r="KQ49" i="5"/>
  <c r="KR49" i="5"/>
  <c r="KS49" i="5"/>
  <c r="KT49" i="5"/>
  <c r="BH16" i="12" s="1"/>
  <c r="KU49" i="5"/>
  <c r="BH17" i="12" s="1"/>
  <c r="KV49" i="5"/>
  <c r="KW49" i="5"/>
  <c r="KX49" i="5"/>
  <c r="KY49" i="5"/>
  <c r="E78" i="14" s="1"/>
  <c r="E88" i="14" s="1"/>
  <c r="KZ49" i="5"/>
  <c r="F78" i="14" s="1"/>
  <c r="LA49" i="5"/>
  <c r="E79" i="14" s="1"/>
  <c r="LB49" i="5"/>
  <c r="F79" i="14" s="1"/>
  <c r="LC49" i="5"/>
  <c r="E80" i="14" s="1"/>
  <c r="LD49" i="5"/>
  <c r="F80" i="14" s="1"/>
  <c r="LE49" i="5"/>
  <c r="E81" i="14" s="1"/>
  <c r="LF49" i="5"/>
  <c r="F81" i="14" s="1"/>
  <c r="LG49" i="5"/>
  <c r="E82" i="14" s="1"/>
  <c r="LH49" i="5"/>
  <c r="F82" i="14" s="1"/>
  <c r="LI49" i="5"/>
  <c r="E83" i="14" s="1"/>
  <c r="LJ49" i="5"/>
  <c r="F83" i="14" s="1"/>
  <c r="LK49" i="5"/>
  <c r="LL49" i="5"/>
  <c r="F84" i="14" s="1"/>
  <c r="G84" i="14" s="1"/>
  <c r="LM49" i="5"/>
  <c r="E85" i="14" s="1"/>
  <c r="LN49" i="5"/>
  <c r="F85" i="14" s="1"/>
  <c r="LQ49" i="5"/>
  <c r="LR49" i="5"/>
  <c r="LS49" i="5"/>
  <c r="LT49" i="5"/>
  <c r="B95" i="14" s="1"/>
  <c r="LU49" i="5"/>
  <c r="C95" i="14" s="1"/>
  <c r="LV49" i="5"/>
  <c r="D95" i="14" s="1"/>
  <c r="LW49" i="5"/>
  <c r="E95" i="14" s="1"/>
  <c r="LX49" i="5"/>
  <c r="F95" i="14" s="1"/>
  <c r="LY49" i="5"/>
  <c r="G95" i="14" s="1"/>
  <c r="LZ49" i="5"/>
  <c r="H95" i="14" s="1"/>
  <c r="MA49" i="5"/>
  <c r="I95" i="14" s="1"/>
  <c r="MB49" i="5"/>
  <c r="MC49" i="5"/>
  <c r="MD49" i="5"/>
  <c r="ME49" i="5"/>
  <c r="B100" i="14" s="1"/>
  <c r="MF49" i="5"/>
  <c r="C100" i="14" s="1"/>
  <c r="MG49" i="5"/>
  <c r="D100" i="14" s="1"/>
  <c r="MH49" i="5"/>
  <c r="E100" i="14" s="1"/>
  <c r="MI49" i="5"/>
  <c r="F100" i="14" s="1"/>
  <c r="MJ49" i="5"/>
  <c r="G100" i="14" s="1"/>
  <c r="MK49" i="5"/>
  <c r="H100" i="14" s="1"/>
  <c r="ML49" i="5"/>
  <c r="I100" i="14" s="1"/>
  <c r="MM49" i="5"/>
  <c r="J100" i="14" s="1"/>
  <c r="MN49" i="5"/>
  <c r="K100" i="14" s="1"/>
  <c r="MO49" i="5"/>
  <c r="MP49" i="5"/>
  <c r="MQ49" i="5"/>
  <c r="MR49" i="5"/>
  <c r="MS49" i="5"/>
  <c r="MT49" i="5"/>
  <c r="MU49" i="5"/>
  <c r="MV49" i="5"/>
  <c r="MW49" i="5"/>
  <c r="MX49" i="5"/>
  <c r="MY49" i="5"/>
  <c r="MZ49" i="5"/>
  <c r="NA49" i="5"/>
  <c r="NB49" i="5"/>
  <c r="NC49" i="5"/>
  <c r="K79" i="14" s="1"/>
  <c r="K80" i="14"/>
  <c r="C29" i="20"/>
  <c r="D29" i="20"/>
  <c r="E29" i="20"/>
  <c r="F29" i="20"/>
  <c r="G29" i="20"/>
  <c r="H29" i="20"/>
  <c r="N29" i="20"/>
  <c r="O29" i="20"/>
  <c r="P29" i="20"/>
  <c r="Q29" i="20"/>
  <c r="R29" i="20"/>
  <c r="S29" i="20"/>
  <c r="T29" i="20"/>
  <c r="NY49" i="5"/>
  <c r="NZ49" i="5"/>
  <c r="OA49" i="5"/>
  <c r="OB49" i="5"/>
  <c r="OC49" i="5"/>
  <c r="OD49" i="5"/>
  <c r="OE49" i="5"/>
  <c r="OF49" i="5"/>
  <c r="OG49" i="5"/>
  <c r="OH49" i="5"/>
  <c r="OI49" i="5"/>
  <c r="B73" i="14" s="1"/>
  <c r="OJ49" i="5"/>
  <c r="OK49" i="5"/>
  <c r="C73" i="14" s="1"/>
  <c r="OL49" i="5"/>
  <c r="OM49" i="5"/>
  <c r="D73" i="14" s="1"/>
  <c r="ON49" i="5"/>
  <c r="OO49" i="5"/>
  <c r="E73" i="14" s="1"/>
  <c r="OP49" i="5"/>
  <c r="OQ49" i="5"/>
  <c r="OR49" i="5"/>
  <c r="OS49" i="5"/>
  <c r="OT49" i="5"/>
  <c r="F74" i="14" s="1"/>
  <c r="OU49" i="5"/>
  <c r="K16" i="21" s="1"/>
  <c r="OV49" i="5"/>
  <c r="L16" i="21" s="1"/>
  <c r="OZ49" i="5"/>
  <c r="PA49" i="5"/>
  <c r="PB49" i="5"/>
  <c r="PC49" i="5"/>
  <c r="PD49" i="5"/>
  <c r="PE49" i="5"/>
  <c r="PF49" i="5"/>
  <c r="PG49" i="5"/>
  <c r="PH49" i="5"/>
  <c r="PI49" i="5"/>
  <c r="PJ49" i="5"/>
  <c r="PK49" i="5"/>
  <c r="PL49" i="5"/>
  <c r="PM49" i="5"/>
  <c r="PN49" i="5"/>
  <c r="PO49" i="5"/>
  <c r="PP49" i="5"/>
  <c r="M16" i="21" s="1"/>
  <c r="PQ49" i="5"/>
  <c r="N16" i="21" s="1"/>
  <c r="PR49" i="5"/>
  <c r="O16" i="21" s="1"/>
  <c r="PS49" i="5"/>
  <c r="P16" i="21" s="1"/>
  <c r="PT49" i="5"/>
  <c r="Q16" i="21" s="1"/>
  <c r="PU49" i="5"/>
  <c r="R16" i="21" s="1"/>
  <c r="QI49" i="5"/>
  <c r="QJ49" i="5"/>
  <c r="QK49" i="5"/>
  <c r="QL49" i="5"/>
  <c r="QB49" i="5"/>
  <c r="W16" i="21" s="1"/>
  <c r="QC49" i="5"/>
  <c r="QD49" i="5"/>
  <c r="QE49" i="5"/>
  <c r="QF49" i="5"/>
  <c r="QG49" i="5"/>
  <c r="QH49" i="5"/>
  <c r="QM49" i="5"/>
  <c r="Y16" i="21" s="1"/>
  <c r="QN49" i="5"/>
  <c r="QO49" i="5"/>
  <c r="QP49" i="5"/>
  <c r="QQ49" i="5"/>
  <c r="QR49" i="5"/>
  <c r="QS49" i="5"/>
  <c r="QT49" i="5"/>
  <c r="RB49" i="5"/>
  <c r="RC49" i="5"/>
  <c r="QU49" i="5"/>
  <c r="QV49" i="5"/>
  <c r="QW49" i="5"/>
  <c r="QX49" i="5"/>
  <c r="QY49" i="5"/>
  <c r="QZ49" i="5"/>
  <c r="RA49" i="5"/>
  <c r="RD49" i="5"/>
  <c r="RE49" i="5"/>
  <c r="PV49" i="5"/>
  <c r="PW49" i="5"/>
  <c r="PX49" i="5"/>
  <c r="PY49" i="5"/>
  <c r="PZ49" i="5"/>
  <c r="QA49" i="5"/>
  <c r="RF49" i="5"/>
  <c r="E16" i="21" s="1"/>
  <c r="RG49" i="5"/>
  <c r="F16" i="21" s="1"/>
  <c r="RH49" i="5"/>
  <c r="G16" i="21" s="1"/>
  <c r="RI49" i="5"/>
  <c r="B16" i="21" s="1"/>
  <c r="RJ49" i="5"/>
  <c r="C16" i="21" s="1"/>
  <c r="RK49" i="5"/>
  <c r="D16" i="21" s="1"/>
  <c r="RL49" i="5"/>
  <c r="H16" i="21" s="1"/>
  <c r="RM49" i="5"/>
  <c r="I16" i="21" s="1"/>
  <c r="RN49" i="5"/>
  <c r="J16" i="21" s="1"/>
  <c r="RU49" i="5"/>
  <c r="RV49" i="5"/>
  <c r="RW49" i="5"/>
  <c r="RX49" i="5"/>
  <c r="RY49" i="5"/>
  <c r="RZ49" i="5"/>
  <c r="SA49" i="5"/>
  <c r="T16" i="21" s="1"/>
  <c r="SB49" i="5"/>
  <c r="SC49" i="5"/>
  <c r="SD49" i="5"/>
  <c r="SE49" i="5"/>
  <c r="SF49" i="5"/>
  <c r="SG49" i="5"/>
  <c r="SH49" i="5"/>
  <c r="SI49" i="5"/>
  <c r="SJ49" i="5"/>
  <c r="SK49" i="5"/>
  <c r="SL49" i="5"/>
  <c r="SM49" i="5"/>
  <c r="SN49" i="5"/>
  <c r="U16" i="21" s="1"/>
  <c r="SO49" i="5"/>
  <c r="SP49" i="5"/>
  <c r="F49" i="5"/>
  <c r="B13" i="15" s="1"/>
  <c r="F88" i="14" l="1"/>
  <c r="J95" i="14"/>
  <c r="K84" i="14"/>
  <c r="K89" i="14"/>
  <c r="K90" i="14"/>
  <c r="V16" i="21"/>
  <c r="X16" i="21"/>
  <c r="G82" i="14"/>
  <c r="G80" i="14"/>
  <c r="G78" i="14"/>
  <c r="S16" i="21"/>
  <c r="V29" i="20"/>
  <c r="K95" i="14"/>
  <c r="O14" i="20"/>
  <c r="E13" i="15"/>
  <c r="U29" i="20"/>
  <c r="K81" i="14"/>
  <c r="P14" i="20"/>
  <c r="G83" i="14"/>
  <c r="L100" i="14"/>
  <c r="G85" i="14"/>
  <c r="G81" i="14"/>
  <c r="M100" i="14"/>
  <c r="G79" i="14"/>
  <c r="BI17" i="12"/>
  <c r="BI16" i="12"/>
  <c r="M45" i="15"/>
  <c r="M13" i="15"/>
  <c r="L45" i="15"/>
  <c r="L13" i="15"/>
  <c r="G26" i="19"/>
  <c r="I27" i="17"/>
  <c r="K29" i="19"/>
  <c r="M26" i="17"/>
  <c r="M67" i="17"/>
  <c r="J28" i="18"/>
  <c r="J71" i="18"/>
  <c r="K27" i="17"/>
  <c r="K68" i="17"/>
  <c r="L26" i="17"/>
  <c r="L67" i="17"/>
  <c r="L25" i="17"/>
  <c r="L66" i="17"/>
  <c r="D25" i="17"/>
  <c r="D28" i="17" s="1"/>
  <c r="D66" i="17"/>
  <c r="D69" i="17" s="1"/>
  <c r="L27" i="17"/>
  <c r="L68" i="17"/>
  <c r="M25" i="17"/>
  <c r="M66" i="17"/>
  <c r="E25" i="17"/>
  <c r="E28" i="17" s="1"/>
  <c r="E66" i="17"/>
  <c r="E69" i="17" s="1"/>
  <c r="N29" i="19"/>
  <c r="L27" i="18"/>
  <c r="L70" i="18"/>
  <c r="J27" i="17"/>
  <c r="J68" i="17"/>
  <c r="K26" i="17"/>
  <c r="K67" i="17"/>
  <c r="K25" i="17"/>
  <c r="K66" i="17"/>
  <c r="K28" i="18"/>
  <c r="K71" i="18"/>
  <c r="K27" i="18"/>
  <c r="K70" i="18"/>
  <c r="Q27" i="17"/>
  <c r="Q28" i="17" s="1"/>
  <c r="Q68" i="17"/>
  <c r="J26" i="17"/>
  <c r="J67" i="17"/>
  <c r="J25" i="17"/>
  <c r="J66" i="17"/>
  <c r="J27" i="18"/>
  <c r="J70" i="18"/>
  <c r="I26" i="17"/>
  <c r="I67" i="17"/>
  <c r="I25" i="17"/>
  <c r="I66" i="17"/>
  <c r="K29" i="18"/>
  <c r="K72" i="18"/>
  <c r="O27" i="17"/>
  <c r="O68" i="17"/>
  <c r="H26" i="17"/>
  <c r="H67" i="17"/>
  <c r="H25" i="17"/>
  <c r="H66" i="17"/>
  <c r="L29" i="18"/>
  <c r="L72" i="18"/>
  <c r="H27" i="17"/>
  <c r="H68" i="17"/>
  <c r="J29" i="18"/>
  <c r="J72" i="18"/>
  <c r="N27" i="17"/>
  <c r="N68" i="17"/>
  <c r="O26" i="17"/>
  <c r="O67" i="17"/>
  <c r="G26" i="17"/>
  <c r="G67" i="17"/>
  <c r="G25" i="17"/>
  <c r="G66" i="17"/>
  <c r="P27" i="17"/>
  <c r="P28" i="17" s="1"/>
  <c r="P68" i="17"/>
  <c r="P69" i="17" s="1"/>
  <c r="H29" i="19"/>
  <c r="L28" i="18"/>
  <c r="L71" i="18"/>
  <c r="M27" i="17"/>
  <c r="M68" i="17"/>
  <c r="N26" i="17"/>
  <c r="N67" i="17"/>
  <c r="F26" i="17"/>
  <c r="F67" i="17"/>
  <c r="F25" i="17"/>
  <c r="F66" i="17"/>
  <c r="M28" i="19"/>
  <c r="Q28" i="19" s="1"/>
  <c r="L29" i="19"/>
  <c r="O29" i="19"/>
  <c r="P28" i="19"/>
  <c r="R28" i="19" s="1"/>
  <c r="M27" i="19"/>
  <c r="Q27" i="19" s="1"/>
  <c r="J27" i="19"/>
  <c r="P27" i="19"/>
  <c r="R27" i="19" s="1"/>
  <c r="M26" i="19"/>
  <c r="Q26" i="19" s="1"/>
  <c r="J26" i="19"/>
  <c r="I29" i="19"/>
  <c r="J28" i="19"/>
  <c r="P26" i="19"/>
  <c r="R26" i="19" s="1"/>
  <c r="DH48" i="5"/>
  <c r="DH49" i="5" s="1"/>
  <c r="BH48" i="5"/>
  <c r="BH49" i="5" s="1"/>
  <c r="AU48" i="5"/>
  <c r="AU49" i="5" s="1"/>
  <c r="AH48" i="5"/>
  <c r="AH49" i="5" s="1"/>
  <c r="AF49" i="5"/>
  <c r="F45" i="15" s="1"/>
  <c r="F29" i="19"/>
  <c r="G28" i="19"/>
  <c r="G27" i="19"/>
  <c r="E29" i="19"/>
  <c r="O28" i="15"/>
  <c r="P28" i="15"/>
  <c r="DZ48" i="5"/>
  <c r="DZ49" i="5" s="1"/>
  <c r="AT49" i="5"/>
  <c r="G13" i="15"/>
  <c r="H13" i="15" s="1"/>
  <c r="BU48" i="5"/>
  <c r="BU49" i="5" s="1"/>
  <c r="CY48" i="5"/>
  <c r="CY49" i="5" s="1"/>
  <c r="CJ48" i="5"/>
  <c r="FA49" i="5"/>
  <c r="ER48" i="5"/>
  <c r="ER49" i="5" s="1"/>
  <c r="EI48" i="5"/>
  <c r="EI49" i="5" s="1"/>
  <c r="DG49" i="5"/>
  <c r="CK48" i="5"/>
  <c r="J13" i="15" s="1"/>
  <c r="AG49" i="5"/>
  <c r="G45" i="15" s="1"/>
  <c r="I35" i="5"/>
  <c r="N35" i="5"/>
  <c r="Q35" i="5"/>
  <c r="V35" i="5"/>
  <c r="Y35" i="5"/>
  <c r="AA35" i="5"/>
  <c r="AD35" i="5"/>
  <c r="AJ35" i="5"/>
  <c r="AL35" i="5"/>
  <c r="AN35" i="5"/>
  <c r="AO35" i="5"/>
  <c r="AR35" i="5"/>
  <c r="AW35" i="5"/>
  <c r="AZ35" i="5"/>
  <c r="BC35" i="5"/>
  <c r="BE35" i="5"/>
  <c r="BK35" i="5"/>
  <c r="BN35" i="5"/>
  <c r="BP35" i="5"/>
  <c r="CM35" i="5"/>
  <c r="CP35" i="5"/>
  <c r="CU35" i="5"/>
  <c r="DB35" i="5"/>
  <c r="DJ35" i="5"/>
  <c r="DM35" i="5"/>
  <c r="DS35" i="5"/>
  <c r="DU35" i="5"/>
  <c r="EA35" i="5"/>
  <c r="EF35" i="5"/>
  <c r="EL35" i="5"/>
  <c r="ET35" i="5"/>
  <c r="EW35" i="5"/>
  <c r="FE35" i="5"/>
  <c r="FH35" i="5"/>
  <c r="FP35" i="5"/>
  <c r="FS35" i="5"/>
  <c r="FX35" i="5"/>
  <c r="GA35" i="5"/>
  <c r="GK35" i="5"/>
  <c r="GN35" i="5"/>
  <c r="GS35" i="5"/>
  <c r="GV35" i="5"/>
  <c r="HA35" i="5"/>
  <c r="HD35" i="5"/>
  <c r="HI35" i="5"/>
  <c r="HL35" i="5"/>
  <c r="HQ35" i="5"/>
  <c r="HT35" i="5"/>
  <c r="HY35" i="5"/>
  <c r="IB35" i="5"/>
  <c r="IG35" i="5"/>
  <c r="IJ35" i="5"/>
  <c r="IO35" i="5"/>
  <c r="IR35" i="5"/>
  <c r="IW35" i="5"/>
  <c r="IZ35" i="5"/>
  <c r="JE35" i="5"/>
  <c r="JH35" i="5"/>
  <c r="JM35" i="5"/>
  <c r="JP35" i="5"/>
  <c r="JU35" i="5"/>
  <c r="JX35" i="5"/>
  <c r="KC35" i="5"/>
  <c r="KF35" i="5"/>
  <c r="KK35" i="5"/>
  <c r="KN35" i="5"/>
  <c r="KS35" i="5"/>
  <c r="KY35" i="5"/>
  <c r="LD35" i="5"/>
  <c r="LG35" i="5"/>
  <c r="LL35" i="5"/>
  <c r="LT35" i="5"/>
  <c r="G35" i="5"/>
  <c r="H35" i="5"/>
  <c r="J35" i="5"/>
  <c r="K35" i="5"/>
  <c r="L35" i="5"/>
  <c r="M35" i="5"/>
  <c r="O35" i="5"/>
  <c r="P35" i="5"/>
  <c r="R35" i="5"/>
  <c r="S35" i="5"/>
  <c r="T35" i="5"/>
  <c r="U35" i="5"/>
  <c r="W35" i="5"/>
  <c r="X35" i="5"/>
  <c r="Z35" i="5"/>
  <c r="AB35" i="5"/>
  <c r="AC35" i="5"/>
  <c r="AE35" i="5"/>
  <c r="AI35" i="5"/>
  <c r="AK35" i="5"/>
  <c r="AM35" i="5"/>
  <c r="AP35" i="5"/>
  <c r="AQ35" i="5"/>
  <c r="AV35" i="5"/>
  <c r="AX35" i="5"/>
  <c r="AY35" i="5"/>
  <c r="BA35" i="5"/>
  <c r="BB35" i="5"/>
  <c r="BD35" i="5"/>
  <c r="BI35" i="5"/>
  <c r="BJ35" i="5"/>
  <c r="BL35" i="5"/>
  <c r="BM35" i="5"/>
  <c r="BO35" i="5"/>
  <c r="BQ35" i="5"/>
  <c r="BR35" i="5"/>
  <c r="CN35" i="5"/>
  <c r="CO35" i="5"/>
  <c r="CQ35" i="5"/>
  <c r="CR35" i="5"/>
  <c r="CS35" i="5"/>
  <c r="CT35" i="5"/>
  <c r="CZ35" i="5"/>
  <c r="DA35" i="5"/>
  <c r="DC35" i="5"/>
  <c r="DD35" i="5"/>
  <c r="DE35" i="5"/>
  <c r="DI35" i="5"/>
  <c r="DK35" i="5"/>
  <c r="DL35" i="5"/>
  <c r="DN35" i="5"/>
  <c r="DR35" i="5"/>
  <c r="DT35" i="5"/>
  <c r="DV35" i="5"/>
  <c r="DW35" i="5"/>
  <c r="EB35" i="5"/>
  <c r="EC35" i="5"/>
  <c r="ED35" i="5"/>
  <c r="EE35" i="5"/>
  <c r="EJ35" i="5"/>
  <c r="EK35" i="5"/>
  <c r="EM35" i="5"/>
  <c r="EN35" i="5"/>
  <c r="EO35" i="5"/>
  <c r="ES35" i="5"/>
  <c r="EU35" i="5"/>
  <c r="EV35" i="5"/>
  <c r="EX35" i="5"/>
  <c r="FB35" i="5"/>
  <c r="FC35" i="5"/>
  <c r="FD35" i="5"/>
  <c r="FF35" i="5"/>
  <c r="FG35" i="5"/>
  <c r="FI35" i="5"/>
  <c r="FJ35" i="5"/>
  <c r="FK35" i="5"/>
  <c r="FO35" i="5"/>
  <c r="FQ35" i="5"/>
  <c r="FR35" i="5"/>
  <c r="FT35" i="5"/>
  <c r="FU35" i="5"/>
  <c r="FV35" i="5"/>
  <c r="FW35" i="5"/>
  <c r="FY35" i="5"/>
  <c r="FZ35" i="5"/>
  <c r="GB35" i="5"/>
  <c r="GE35" i="5"/>
  <c r="GF35" i="5"/>
  <c r="GJ35" i="5"/>
  <c r="GL35" i="5"/>
  <c r="GM35" i="5"/>
  <c r="GO35" i="5"/>
  <c r="GP35" i="5"/>
  <c r="GQ35" i="5"/>
  <c r="GR35" i="5"/>
  <c r="GT35" i="5"/>
  <c r="GU35" i="5"/>
  <c r="GW35" i="5"/>
  <c r="GX35" i="5"/>
  <c r="GY35" i="5"/>
  <c r="GZ35" i="5"/>
  <c r="HB35" i="5"/>
  <c r="HC35" i="5"/>
  <c r="HE35" i="5"/>
  <c r="HF35" i="5"/>
  <c r="HG35" i="5"/>
  <c r="HH35" i="5"/>
  <c r="HJ35" i="5"/>
  <c r="HK35" i="5"/>
  <c r="HM35" i="5"/>
  <c r="HN35" i="5"/>
  <c r="HO35" i="5"/>
  <c r="HP35" i="5"/>
  <c r="HR35" i="5"/>
  <c r="HS35" i="5"/>
  <c r="HU35" i="5"/>
  <c r="HV35" i="5"/>
  <c r="HW35" i="5"/>
  <c r="HX35" i="5"/>
  <c r="HZ35" i="5"/>
  <c r="IA35" i="5"/>
  <c r="IC35" i="5"/>
  <c r="ID35" i="5"/>
  <c r="IE35" i="5"/>
  <c r="IF35" i="5"/>
  <c r="IH35" i="5"/>
  <c r="II35" i="5"/>
  <c r="IK35" i="5"/>
  <c r="IL35" i="5"/>
  <c r="IM35" i="5"/>
  <c r="IN35" i="5"/>
  <c r="IP35" i="5"/>
  <c r="IQ35" i="5"/>
  <c r="IS35" i="5"/>
  <c r="IT35" i="5"/>
  <c r="IU35" i="5"/>
  <c r="IV35" i="5"/>
  <c r="IX35" i="5"/>
  <c r="IY35" i="5"/>
  <c r="JA35" i="5"/>
  <c r="JB35" i="5"/>
  <c r="JC35" i="5"/>
  <c r="JD35" i="5"/>
  <c r="JF35" i="5"/>
  <c r="JG35" i="5"/>
  <c r="JI35" i="5"/>
  <c r="JJ35" i="5"/>
  <c r="JK35" i="5"/>
  <c r="JL35" i="5"/>
  <c r="JN35" i="5"/>
  <c r="JO35" i="5"/>
  <c r="JQ35" i="5"/>
  <c r="JR35" i="5"/>
  <c r="JS35" i="5"/>
  <c r="JT35" i="5"/>
  <c r="JV35" i="5"/>
  <c r="JW35" i="5"/>
  <c r="JY35" i="5"/>
  <c r="JZ35" i="5"/>
  <c r="KA35" i="5"/>
  <c r="KB35" i="5"/>
  <c r="KD35" i="5"/>
  <c r="KE35" i="5"/>
  <c r="KG35" i="5"/>
  <c r="KH35" i="5"/>
  <c r="KI35" i="5"/>
  <c r="KJ35" i="5"/>
  <c r="KL35" i="5"/>
  <c r="KM35" i="5"/>
  <c r="KO35" i="5"/>
  <c r="KP35" i="5"/>
  <c r="KQ35" i="5"/>
  <c r="KR35" i="5"/>
  <c r="KT35" i="5"/>
  <c r="KU35" i="5"/>
  <c r="KZ35" i="5"/>
  <c r="LA35" i="5"/>
  <c r="LB35" i="5"/>
  <c r="LC35" i="5"/>
  <c r="LE35" i="5"/>
  <c r="LF35" i="5"/>
  <c r="LH35" i="5"/>
  <c r="LI35" i="5"/>
  <c r="LJ35" i="5"/>
  <c r="LK35" i="5"/>
  <c r="LM35" i="5"/>
  <c r="LN35" i="5"/>
  <c r="LU35" i="5"/>
  <c r="LV35" i="5"/>
  <c r="LW35" i="5"/>
  <c r="G25" i="5"/>
  <c r="G26" i="5" s="1"/>
  <c r="H25" i="5"/>
  <c r="H26" i="5" s="1"/>
  <c r="I25" i="5"/>
  <c r="I26" i="5" s="1"/>
  <c r="J25" i="5"/>
  <c r="J26" i="5" s="1"/>
  <c r="K25" i="5"/>
  <c r="K26" i="5" s="1"/>
  <c r="L25" i="5"/>
  <c r="L26" i="5" s="1"/>
  <c r="M25" i="5"/>
  <c r="M26" i="5" s="1"/>
  <c r="N25" i="5"/>
  <c r="N26" i="5" s="1"/>
  <c r="O25" i="5"/>
  <c r="O26" i="5" s="1"/>
  <c r="P25" i="5"/>
  <c r="P26" i="5" s="1"/>
  <c r="Q25" i="5"/>
  <c r="Q26" i="5" s="1"/>
  <c r="R25" i="5"/>
  <c r="R26" i="5" s="1"/>
  <c r="S25" i="5"/>
  <c r="S26" i="5" s="1"/>
  <c r="T25" i="5"/>
  <c r="T26" i="5" s="1"/>
  <c r="U25" i="5"/>
  <c r="U26" i="5" s="1"/>
  <c r="V25" i="5"/>
  <c r="V26" i="5" s="1"/>
  <c r="W25" i="5"/>
  <c r="W26" i="5" s="1"/>
  <c r="X25" i="5"/>
  <c r="X26" i="5" s="1"/>
  <c r="Y25" i="5"/>
  <c r="Y26" i="5" s="1"/>
  <c r="Z25" i="5"/>
  <c r="Z26" i="5" s="1"/>
  <c r="AA25" i="5"/>
  <c r="AA26" i="5" s="1"/>
  <c r="AB25" i="5"/>
  <c r="AB26" i="5" s="1"/>
  <c r="AC25" i="5"/>
  <c r="AC26" i="5" s="1"/>
  <c r="AD25" i="5"/>
  <c r="AD26" i="5" s="1"/>
  <c r="AE25" i="5"/>
  <c r="AE26" i="5" s="1"/>
  <c r="AI25" i="5"/>
  <c r="AI26" i="5" s="1"/>
  <c r="AJ25" i="5"/>
  <c r="AJ26" i="5" s="1"/>
  <c r="AK25" i="5"/>
  <c r="AK26" i="5" s="1"/>
  <c r="AL25" i="5"/>
  <c r="AL26" i="5" s="1"/>
  <c r="AM25" i="5"/>
  <c r="AM26" i="5" s="1"/>
  <c r="AN25" i="5"/>
  <c r="AN26" i="5" s="1"/>
  <c r="AO25" i="5"/>
  <c r="AO26" i="5" s="1"/>
  <c r="AP25" i="5"/>
  <c r="AP26" i="5" s="1"/>
  <c r="AQ25" i="5"/>
  <c r="AQ26" i="5" s="1"/>
  <c r="AR25" i="5"/>
  <c r="AR26" i="5" s="1"/>
  <c r="AV25" i="5"/>
  <c r="AV26" i="5" s="1"/>
  <c r="AW25" i="5"/>
  <c r="AW26" i="5" s="1"/>
  <c r="AX25" i="5"/>
  <c r="AX26" i="5" s="1"/>
  <c r="AY25" i="5"/>
  <c r="AY26" i="5" s="1"/>
  <c r="AZ25" i="5"/>
  <c r="AZ26" i="5" s="1"/>
  <c r="BA25" i="5"/>
  <c r="BA26" i="5" s="1"/>
  <c r="BB25" i="5"/>
  <c r="BB26" i="5" s="1"/>
  <c r="BC25" i="5"/>
  <c r="BC26" i="5" s="1"/>
  <c r="BD25" i="5"/>
  <c r="BD26" i="5" s="1"/>
  <c r="BE25" i="5"/>
  <c r="BE26" i="5" s="1"/>
  <c r="BI25" i="5"/>
  <c r="BI26" i="5" s="1"/>
  <c r="BJ25" i="5"/>
  <c r="BJ26" i="5" s="1"/>
  <c r="BK25" i="5"/>
  <c r="BK26" i="5" s="1"/>
  <c r="BL25" i="5"/>
  <c r="BL26" i="5" s="1"/>
  <c r="BM25" i="5"/>
  <c r="BM26" i="5" s="1"/>
  <c r="BN25" i="5"/>
  <c r="BN26" i="5" s="1"/>
  <c r="BO25" i="5"/>
  <c r="BO26" i="5" s="1"/>
  <c r="BP25" i="5"/>
  <c r="BP26" i="5" s="1"/>
  <c r="BQ25" i="5"/>
  <c r="BQ26" i="5" s="1"/>
  <c r="BR25" i="5"/>
  <c r="BR26" i="5" s="1"/>
  <c r="CN25" i="5"/>
  <c r="CN26" i="5" s="1"/>
  <c r="CO25" i="5"/>
  <c r="CO26" i="5" s="1"/>
  <c r="CP25" i="5"/>
  <c r="CP26" i="5" s="1"/>
  <c r="CQ25" i="5"/>
  <c r="CQ26" i="5" s="1"/>
  <c r="CR25" i="5"/>
  <c r="CR26" i="5" s="1"/>
  <c r="CS25" i="5"/>
  <c r="CS26" i="5" s="1"/>
  <c r="CT25" i="5"/>
  <c r="CT26" i="5" s="1"/>
  <c r="CU25" i="5"/>
  <c r="CU26" i="5" s="1"/>
  <c r="CZ25" i="5"/>
  <c r="CZ26" i="5" s="1"/>
  <c r="DA25" i="5"/>
  <c r="DA26" i="5" s="1"/>
  <c r="DB25" i="5"/>
  <c r="DB26" i="5" s="1"/>
  <c r="DC25" i="5"/>
  <c r="DC26" i="5" s="1"/>
  <c r="DD25" i="5"/>
  <c r="DD26" i="5" s="1"/>
  <c r="DE25" i="5"/>
  <c r="DE26" i="5" s="1"/>
  <c r="DI25" i="5"/>
  <c r="DI26" i="5" s="1"/>
  <c r="DJ25" i="5"/>
  <c r="DJ26" i="5" s="1"/>
  <c r="DK25" i="5"/>
  <c r="DK26" i="5" s="1"/>
  <c r="DL25" i="5"/>
  <c r="DL26" i="5" s="1"/>
  <c r="DM25" i="5"/>
  <c r="DM26" i="5" s="1"/>
  <c r="DN25" i="5"/>
  <c r="DN26" i="5" s="1"/>
  <c r="DR25" i="5"/>
  <c r="DR26" i="5" s="1"/>
  <c r="DS25" i="5"/>
  <c r="DS26" i="5" s="1"/>
  <c r="DT25" i="5"/>
  <c r="DT26" i="5" s="1"/>
  <c r="DU25" i="5"/>
  <c r="DU26" i="5" s="1"/>
  <c r="DV25" i="5"/>
  <c r="DV26" i="5" s="1"/>
  <c r="DW25" i="5"/>
  <c r="DW26" i="5" s="1"/>
  <c r="EA25" i="5"/>
  <c r="EA26" i="5" s="1"/>
  <c r="EB25" i="5"/>
  <c r="EB26" i="5" s="1"/>
  <c r="EC25" i="5"/>
  <c r="EC26" i="5" s="1"/>
  <c r="ED25" i="5"/>
  <c r="ED26" i="5" s="1"/>
  <c r="EE25" i="5"/>
  <c r="EE26" i="5" s="1"/>
  <c r="EF25" i="5"/>
  <c r="EF26" i="5" s="1"/>
  <c r="EJ25" i="5"/>
  <c r="EJ26" i="5" s="1"/>
  <c r="EK25" i="5"/>
  <c r="EK26" i="5" s="1"/>
  <c r="EL25" i="5"/>
  <c r="EL26" i="5" s="1"/>
  <c r="EM25" i="5"/>
  <c r="EM26" i="5" s="1"/>
  <c r="EN25" i="5"/>
  <c r="EN26" i="5" s="1"/>
  <c r="EO25" i="5"/>
  <c r="EO26" i="5" s="1"/>
  <c r="FB25" i="5"/>
  <c r="FB26" i="5" s="1"/>
  <c r="FC25" i="5"/>
  <c r="FC26" i="5" s="1"/>
  <c r="FD25" i="5"/>
  <c r="FD26" i="5" s="1"/>
  <c r="FE25" i="5"/>
  <c r="FE26" i="5" s="1"/>
  <c r="FF25" i="5"/>
  <c r="FF26" i="5" s="1"/>
  <c r="FG25" i="5"/>
  <c r="FG26" i="5" s="1"/>
  <c r="FH25" i="5"/>
  <c r="FH26" i="5" s="1"/>
  <c r="FI25" i="5"/>
  <c r="FI26" i="5" s="1"/>
  <c r="FJ25" i="5"/>
  <c r="FJ26" i="5" s="1"/>
  <c r="FK25" i="5"/>
  <c r="FK26" i="5" s="1"/>
  <c r="FO25" i="5"/>
  <c r="FO26" i="5" s="1"/>
  <c r="FP25" i="5"/>
  <c r="FP26" i="5" s="1"/>
  <c r="FQ25" i="5"/>
  <c r="FQ26" i="5" s="1"/>
  <c r="FR25" i="5"/>
  <c r="FR26" i="5" s="1"/>
  <c r="FS25" i="5"/>
  <c r="FS26" i="5" s="1"/>
  <c r="FT25" i="5"/>
  <c r="FT26" i="5" s="1"/>
  <c r="FU25" i="5"/>
  <c r="FU26" i="5" s="1"/>
  <c r="FV25" i="5"/>
  <c r="FV26" i="5" s="1"/>
  <c r="FW25" i="5"/>
  <c r="FW26" i="5" s="1"/>
  <c r="FX25" i="5"/>
  <c r="FX26" i="5" s="1"/>
  <c r="FY25" i="5"/>
  <c r="FY26" i="5" s="1"/>
  <c r="FZ25" i="5"/>
  <c r="FZ26" i="5" s="1"/>
  <c r="GA25" i="5"/>
  <c r="GA26" i="5" s="1"/>
  <c r="GB25" i="5"/>
  <c r="GB26" i="5" s="1"/>
  <c r="GE25" i="5"/>
  <c r="GE26" i="5" s="1"/>
  <c r="GF25" i="5"/>
  <c r="GF26" i="5" s="1"/>
  <c r="GJ25" i="5"/>
  <c r="GJ26" i="5" s="1"/>
  <c r="GK25" i="5"/>
  <c r="GK26" i="5" s="1"/>
  <c r="GL25" i="5"/>
  <c r="GL26" i="5" s="1"/>
  <c r="GM25" i="5"/>
  <c r="GM26" i="5" s="1"/>
  <c r="GN25" i="5"/>
  <c r="GN26" i="5" s="1"/>
  <c r="GO25" i="5"/>
  <c r="GO26" i="5" s="1"/>
  <c r="GP25" i="5"/>
  <c r="GP26" i="5" s="1"/>
  <c r="GQ25" i="5"/>
  <c r="GQ26" i="5" s="1"/>
  <c r="GR25" i="5"/>
  <c r="GR26" i="5" s="1"/>
  <c r="GS25" i="5"/>
  <c r="GS26" i="5" s="1"/>
  <c r="GT25" i="5"/>
  <c r="GT26" i="5" s="1"/>
  <c r="GU25" i="5"/>
  <c r="GU26" i="5" s="1"/>
  <c r="GV25" i="5"/>
  <c r="GV26" i="5" s="1"/>
  <c r="GW25" i="5"/>
  <c r="GW26" i="5" s="1"/>
  <c r="GX25" i="5"/>
  <c r="GX26" i="5" s="1"/>
  <c r="GY25" i="5"/>
  <c r="GY26" i="5" s="1"/>
  <c r="GZ25" i="5"/>
  <c r="GZ26" i="5" s="1"/>
  <c r="HA25" i="5"/>
  <c r="HA26" i="5" s="1"/>
  <c r="HB25" i="5"/>
  <c r="HB26" i="5" s="1"/>
  <c r="HC25" i="5"/>
  <c r="HC26" i="5" s="1"/>
  <c r="HD25" i="5"/>
  <c r="HD26" i="5" s="1"/>
  <c r="HE25" i="5"/>
  <c r="HE26" i="5" s="1"/>
  <c r="HF25" i="5"/>
  <c r="HF26" i="5" s="1"/>
  <c r="HG25" i="5"/>
  <c r="HG26" i="5" s="1"/>
  <c r="HH25" i="5"/>
  <c r="HH26" i="5" s="1"/>
  <c r="HI25" i="5"/>
  <c r="HI26" i="5" s="1"/>
  <c r="HJ25" i="5"/>
  <c r="HJ26" i="5" s="1"/>
  <c r="HK25" i="5"/>
  <c r="HK26" i="5" s="1"/>
  <c r="HL25" i="5"/>
  <c r="HL26" i="5" s="1"/>
  <c r="HM25" i="5"/>
  <c r="HM26" i="5" s="1"/>
  <c r="HN25" i="5"/>
  <c r="HN26" i="5" s="1"/>
  <c r="HO25" i="5"/>
  <c r="HO26" i="5" s="1"/>
  <c r="HP25" i="5"/>
  <c r="HP26" i="5" s="1"/>
  <c r="HQ25" i="5"/>
  <c r="HQ26" i="5" s="1"/>
  <c r="HR25" i="5"/>
  <c r="HR26" i="5" s="1"/>
  <c r="HS25" i="5"/>
  <c r="HS26" i="5" s="1"/>
  <c r="HT25" i="5"/>
  <c r="HT26" i="5" s="1"/>
  <c r="HU25" i="5"/>
  <c r="HU26" i="5" s="1"/>
  <c r="HV25" i="5"/>
  <c r="HV26" i="5" s="1"/>
  <c r="HW25" i="5"/>
  <c r="HW26" i="5" s="1"/>
  <c r="HX25" i="5"/>
  <c r="HX26" i="5" s="1"/>
  <c r="HY25" i="5"/>
  <c r="HY26" i="5" s="1"/>
  <c r="HZ25" i="5"/>
  <c r="HZ26" i="5" s="1"/>
  <c r="IA25" i="5"/>
  <c r="IA26" i="5" s="1"/>
  <c r="IB25" i="5"/>
  <c r="IB26" i="5" s="1"/>
  <c r="IC25" i="5"/>
  <c r="IC26" i="5" s="1"/>
  <c r="ID25" i="5"/>
  <c r="ID26" i="5" s="1"/>
  <c r="IE25" i="5"/>
  <c r="IE26" i="5" s="1"/>
  <c r="IF25" i="5"/>
  <c r="IF26" i="5" s="1"/>
  <c r="IG25" i="5"/>
  <c r="IG26" i="5" s="1"/>
  <c r="IH25" i="5"/>
  <c r="IH26" i="5" s="1"/>
  <c r="II25" i="5"/>
  <c r="II26" i="5" s="1"/>
  <c r="IJ25" i="5"/>
  <c r="IJ26" i="5" s="1"/>
  <c r="IK25" i="5"/>
  <c r="IK26" i="5" s="1"/>
  <c r="IL25" i="5"/>
  <c r="IL26" i="5" s="1"/>
  <c r="IM25" i="5"/>
  <c r="IM26" i="5" s="1"/>
  <c r="IN25" i="5"/>
  <c r="IN26" i="5" s="1"/>
  <c r="IO25" i="5"/>
  <c r="IO26" i="5" s="1"/>
  <c r="IP25" i="5"/>
  <c r="IP26" i="5" s="1"/>
  <c r="IQ25" i="5"/>
  <c r="IQ26" i="5" s="1"/>
  <c r="IR25" i="5"/>
  <c r="IR26" i="5" s="1"/>
  <c r="IS25" i="5"/>
  <c r="IS26" i="5" s="1"/>
  <c r="IT25" i="5"/>
  <c r="IT26" i="5" s="1"/>
  <c r="IU25" i="5"/>
  <c r="IU26" i="5" s="1"/>
  <c r="IV25" i="5"/>
  <c r="IV26" i="5" s="1"/>
  <c r="IW25" i="5"/>
  <c r="IW26" i="5" s="1"/>
  <c r="IX25" i="5"/>
  <c r="IX26" i="5" s="1"/>
  <c r="IY25" i="5"/>
  <c r="IY26" i="5" s="1"/>
  <c r="IZ25" i="5"/>
  <c r="IZ26" i="5" s="1"/>
  <c r="JA25" i="5"/>
  <c r="JA26" i="5" s="1"/>
  <c r="JB25" i="5"/>
  <c r="JB26" i="5" s="1"/>
  <c r="JC25" i="5"/>
  <c r="JC26" i="5" s="1"/>
  <c r="JD25" i="5"/>
  <c r="JD26" i="5" s="1"/>
  <c r="JE25" i="5"/>
  <c r="JE26" i="5" s="1"/>
  <c r="JF25" i="5"/>
  <c r="JF26" i="5" s="1"/>
  <c r="JG25" i="5"/>
  <c r="JG26" i="5" s="1"/>
  <c r="JH25" i="5"/>
  <c r="JH26" i="5" s="1"/>
  <c r="JI25" i="5"/>
  <c r="JI26" i="5" s="1"/>
  <c r="JJ25" i="5"/>
  <c r="JJ26" i="5" s="1"/>
  <c r="JK25" i="5"/>
  <c r="JK26" i="5" s="1"/>
  <c r="JL25" i="5"/>
  <c r="JL26" i="5" s="1"/>
  <c r="JM25" i="5"/>
  <c r="JM26" i="5" s="1"/>
  <c r="JN25" i="5"/>
  <c r="JN26" i="5" s="1"/>
  <c r="JO25" i="5"/>
  <c r="JO26" i="5" s="1"/>
  <c r="JP25" i="5"/>
  <c r="JP26" i="5" s="1"/>
  <c r="JQ25" i="5"/>
  <c r="JQ26" i="5" s="1"/>
  <c r="JR25" i="5"/>
  <c r="JR26" i="5" s="1"/>
  <c r="JS25" i="5"/>
  <c r="JS26" i="5" s="1"/>
  <c r="JT25" i="5"/>
  <c r="JT26" i="5" s="1"/>
  <c r="JU25" i="5"/>
  <c r="JU26" i="5" s="1"/>
  <c r="JV25" i="5"/>
  <c r="JV26" i="5" s="1"/>
  <c r="JW25" i="5"/>
  <c r="JW26" i="5" s="1"/>
  <c r="JX25" i="5"/>
  <c r="JX26" i="5" s="1"/>
  <c r="JY25" i="5"/>
  <c r="JY26" i="5" s="1"/>
  <c r="JZ25" i="5"/>
  <c r="JZ26" i="5" s="1"/>
  <c r="KA25" i="5"/>
  <c r="KA26" i="5" s="1"/>
  <c r="KB25" i="5"/>
  <c r="KB26" i="5" s="1"/>
  <c r="KC25" i="5"/>
  <c r="KC26" i="5" s="1"/>
  <c r="KD25" i="5"/>
  <c r="KD26" i="5" s="1"/>
  <c r="KE25" i="5"/>
  <c r="KE26" i="5" s="1"/>
  <c r="KF25" i="5"/>
  <c r="KF26" i="5" s="1"/>
  <c r="KG25" i="5"/>
  <c r="KG26" i="5" s="1"/>
  <c r="KH25" i="5"/>
  <c r="KH26" i="5" s="1"/>
  <c r="KI25" i="5"/>
  <c r="KI26" i="5" s="1"/>
  <c r="KJ25" i="5"/>
  <c r="KJ26" i="5" s="1"/>
  <c r="KK25" i="5"/>
  <c r="KK26" i="5" s="1"/>
  <c r="KL25" i="5"/>
  <c r="KL26" i="5" s="1"/>
  <c r="KM25" i="5"/>
  <c r="KM26" i="5" s="1"/>
  <c r="KN25" i="5"/>
  <c r="KN26" i="5" s="1"/>
  <c r="KO25" i="5"/>
  <c r="KO26" i="5" s="1"/>
  <c r="KP25" i="5"/>
  <c r="KP26" i="5" s="1"/>
  <c r="KQ25" i="5"/>
  <c r="KQ26" i="5" s="1"/>
  <c r="KR25" i="5"/>
  <c r="KR26" i="5" s="1"/>
  <c r="KS25" i="5"/>
  <c r="KS26" i="5" s="1"/>
  <c r="KT25" i="5"/>
  <c r="KT26" i="5" s="1"/>
  <c r="KU25" i="5"/>
  <c r="KU26" i="5" s="1"/>
  <c r="KY25" i="5"/>
  <c r="KY26" i="5" s="1"/>
  <c r="KZ25" i="5"/>
  <c r="KZ26" i="5" s="1"/>
  <c r="LA25" i="5"/>
  <c r="LA26" i="5" s="1"/>
  <c r="LB25" i="5"/>
  <c r="LB26" i="5" s="1"/>
  <c r="LC25" i="5"/>
  <c r="LC26" i="5" s="1"/>
  <c r="LD25" i="5"/>
  <c r="LD26" i="5" s="1"/>
  <c r="LE25" i="5"/>
  <c r="LE26" i="5" s="1"/>
  <c r="LF25" i="5"/>
  <c r="LF26" i="5" s="1"/>
  <c r="LG25" i="5"/>
  <c r="LG26" i="5" s="1"/>
  <c r="LH25" i="5"/>
  <c r="LH26" i="5" s="1"/>
  <c r="LI25" i="5"/>
  <c r="LI26" i="5" s="1"/>
  <c r="LJ25" i="5"/>
  <c r="LJ26" i="5" s="1"/>
  <c r="LK25" i="5"/>
  <c r="LK26" i="5" s="1"/>
  <c r="LL25" i="5"/>
  <c r="LL26" i="5" s="1"/>
  <c r="LM25" i="5"/>
  <c r="LM26" i="5" s="1"/>
  <c r="LN25" i="5"/>
  <c r="LN26" i="5" s="1"/>
  <c r="LT25" i="5"/>
  <c r="LT26" i="5" s="1"/>
  <c r="LU25" i="5"/>
  <c r="LU26" i="5" s="1"/>
  <c r="LV25" i="5"/>
  <c r="LV26" i="5" s="1"/>
  <c r="LW25" i="5"/>
  <c r="LW26" i="5" s="1"/>
  <c r="LX25" i="5"/>
  <c r="LX26" i="5" s="1"/>
  <c r="LY25" i="5"/>
  <c r="LY26" i="5" s="1"/>
  <c r="LZ25" i="5"/>
  <c r="LZ26" i="5" s="1"/>
  <c r="MA25" i="5"/>
  <c r="MA26" i="5" s="1"/>
  <c r="ME25" i="5"/>
  <c r="ME26" i="5" s="1"/>
  <c r="MF25" i="5"/>
  <c r="MF26" i="5" s="1"/>
  <c r="MG25" i="5"/>
  <c r="MG26" i="5" s="1"/>
  <c r="MH25" i="5"/>
  <c r="MH26" i="5" s="1"/>
  <c r="MI25" i="5"/>
  <c r="MI26" i="5" s="1"/>
  <c r="MJ25" i="5"/>
  <c r="MJ26" i="5" s="1"/>
  <c r="MK25" i="5"/>
  <c r="MK26" i="5" s="1"/>
  <c r="ML25" i="5"/>
  <c r="ML26" i="5" s="1"/>
  <c r="MM25" i="5"/>
  <c r="MM26" i="5" s="1"/>
  <c r="MN25" i="5"/>
  <c r="MN26" i="5" s="1"/>
  <c r="MR25" i="5"/>
  <c r="MR26" i="5" s="1"/>
  <c r="MS25" i="5"/>
  <c r="MS26" i="5" s="1"/>
  <c r="MT25" i="5"/>
  <c r="MT26" i="5" s="1"/>
  <c r="MU25" i="5"/>
  <c r="MU26" i="5" s="1"/>
  <c r="MV25" i="5"/>
  <c r="MV26" i="5" s="1"/>
  <c r="MW25" i="5"/>
  <c r="MW26" i="5" s="1"/>
  <c r="MX25" i="5"/>
  <c r="MX26" i="5" s="1"/>
  <c r="MY25" i="5"/>
  <c r="MY26" i="5" s="1"/>
  <c r="NC25" i="5"/>
  <c r="NC26" i="5" s="1"/>
  <c r="ND25" i="5"/>
  <c r="ND26" i="5" s="1"/>
  <c r="NE25" i="5"/>
  <c r="NE26" i="5" s="1"/>
  <c r="NF25" i="5"/>
  <c r="NF26" i="5" s="1"/>
  <c r="NG25" i="5"/>
  <c r="NG26" i="5" s="1"/>
  <c r="NH25" i="5"/>
  <c r="NH26" i="5" s="1"/>
  <c r="NI25" i="5"/>
  <c r="NI26" i="5" s="1"/>
  <c r="NJ25" i="5"/>
  <c r="NJ26" i="5" s="1"/>
  <c r="NK25" i="5"/>
  <c r="NK26" i="5" s="1"/>
  <c r="NL25" i="5"/>
  <c r="NL26" i="5" s="1"/>
  <c r="NM25" i="5"/>
  <c r="NM26" i="5" s="1"/>
  <c r="NN25" i="5"/>
  <c r="NN26" i="5" s="1"/>
  <c r="NO25" i="5"/>
  <c r="NO26" i="5" s="1"/>
  <c r="NP25" i="5"/>
  <c r="NP26" i="5" s="1"/>
  <c r="NQ25" i="5"/>
  <c r="NQ26" i="5" s="1"/>
  <c r="NR25" i="5"/>
  <c r="NR26" i="5" s="1"/>
  <c r="NS25" i="5"/>
  <c r="NS26" i="5" s="1"/>
  <c r="NT25" i="5"/>
  <c r="NT26" i="5" s="1"/>
  <c r="NU25" i="5"/>
  <c r="NU26" i="5" s="1"/>
  <c r="NV25" i="5"/>
  <c r="NV26" i="5" s="1"/>
  <c r="NZ25" i="5"/>
  <c r="NZ26" i="5" s="1"/>
  <c r="OA25" i="5"/>
  <c r="OA26" i="5" s="1"/>
  <c r="OB25" i="5"/>
  <c r="OB26" i="5" s="1"/>
  <c r="OC25" i="5"/>
  <c r="OC26" i="5" s="1"/>
  <c r="OD26" i="5"/>
  <c r="OE25" i="5"/>
  <c r="OE26" i="5" s="1"/>
  <c r="OI25" i="5"/>
  <c r="OI26" i="5" s="1"/>
  <c r="OJ25" i="5"/>
  <c r="OJ26" i="5" s="1"/>
  <c r="OK25" i="5"/>
  <c r="OK26" i="5" s="1"/>
  <c r="OL25" i="5"/>
  <c r="OL26" i="5" s="1"/>
  <c r="OM25" i="5"/>
  <c r="OM26" i="5" s="1"/>
  <c r="ON25" i="5"/>
  <c r="ON26" i="5" s="1"/>
  <c r="OO25" i="5"/>
  <c r="OO26" i="5" s="1"/>
  <c r="OP25" i="5"/>
  <c r="OP26" i="5" s="1"/>
  <c r="OQ25" i="5"/>
  <c r="OQ26" i="5" s="1"/>
  <c r="OR25" i="5"/>
  <c r="OR26" i="5" s="1"/>
  <c r="OS25" i="5"/>
  <c r="OS26" i="5" s="1"/>
  <c r="OT25" i="5"/>
  <c r="OT26" i="5" s="1"/>
  <c r="OU25" i="5"/>
  <c r="OU26" i="5" s="1"/>
  <c r="OV25" i="5"/>
  <c r="OV26" i="5" s="1"/>
  <c r="OZ25" i="5"/>
  <c r="OZ26" i="5" s="1"/>
  <c r="PA25" i="5"/>
  <c r="PA26" i="5" s="1"/>
  <c r="PB25" i="5"/>
  <c r="PB26" i="5" s="1"/>
  <c r="PC25" i="5"/>
  <c r="PC26" i="5" s="1"/>
  <c r="PD25" i="5"/>
  <c r="PD26" i="5" s="1"/>
  <c r="PE25" i="5"/>
  <c r="PE26" i="5" s="1"/>
  <c r="PF25" i="5"/>
  <c r="PF26" i="5" s="1"/>
  <c r="PG25" i="5"/>
  <c r="PG26" i="5" s="1"/>
  <c r="PH25" i="5"/>
  <c r="PH26" i="5" s="1"/>
  <c r="PI25" i="5"/>
  <c r="PI26" i="5" s="1"/>
  <c r="PJ25" i="5"/>
  <c r="PJ26" i="5" s="1"/>
  <c r="PK25" i="5"/>
  <c r="PK26" i="5" s="1"/>
  <c r="PL25" i="5"/>
  <c r="PL26" i="5" s="1"/>
  <c r="PM25" i="5"/>
  <c r="PM26" i="5" s="1"/>
  <c r="PN25" i="5"/>
  <c r="PN26" i="5" s="1"/>
  <c r="PP25" i="5"/>
  <c r="PP26" i="5" s="1"/>
  <c r="PQ25" i="5"/>
  <c r="PQ26" i="5" s="1"/>
  <c r="PR25" i="5"/>
  <c r="PR26" i="5" s="1"/>
  <c r="PS25" i="5"/>
  <c r="PS26" i="5" s="1"/>
  <c r="PT25" i="5"/>
  <c r="PT26" i="5" s="1"/>
  <c r="PU25" i="5"/>
  <c r="PU26" i="5" s="1"/>
  <c r="QI25" i="5"/>
  <c r="QI26" i="5" s="1"/>
  <c r="QJ25" i="5"/>
  <c r="QJ26" i="5" s="1"/>
  <c r="QK25" i="5"/>
  <c r="QK26" i="5" s="1"/>
  <c r="QL25" i="5"/>
  <c r="QL26" i="5" s="1"/>
  <c r="QB25" i="5"/>
  <c r="QB26" i="5" s="1"/>
  <c r="QC25" i="5"/>
  <c r="QC26" i="5" s="1"/>
  <c r="QD25" i="5"/>
  <c r="QD26" i="5" s="1"/>
  <c r="QE25" i="5"/>
  <c r="QE26" i="5" s="1"/>
  <c r="QF25" i="5"/>
  <c r="QF26" i="5" s="1"/>
  <c r="QG25" i="5"/>
  <c r="QG26" i="5" s="1"/>
  <c r="QH25" i="5"/>
  <c r="QH26" i="5" s="1"/>
  <c r="QM25" i="5"/>
  <c r="QN25" i="5"/>
  <c r="QN26" i="5" s="1"/>
  <c r="QO25" i="5"/>
  <c r="QO26" i="5" s="1"/>
  <c r="QP25" i="5"/>
  <c r="QP26" i="5" s="1"/>
  <c r="QQ25" i="5"/>
  <c r="QQ26" i="5" s="1"/>
  <c r="QR25" i="5"/>
  <c r="QR26" i="5" s="1"/>
  <c r="QS25" i="5"/>
  <c r="QS26" i="5" s="1"/>
  <c r="QT25" i="5"/>
  <c r="QT26" i="5" s="1"/>
  <c r="RB25" i="5"/>
  <c r="RB26" i="5" s="1"/>
  <c r="RC25" i="5"/>
  <c r="RC26" i="5" s="1"/>
  <c r="QU25" i="5"/>
  <c r="QU26" i="5" s="1"/>
  <c r="QV25" i="5"/>
  <c r="QV26" i="5" s="1"/>
  <c r="QW25" i="5"/>
  <c r="QW26" i="5" s="1"/>
  <c r="QX25" i="5"/>
  <c r="QX26" i="5" s="1"/>
  <c r="QY25" i="5"/>
  <c r="QY26" i="5" s="1"/>
  <c r="QZ25" i="5"/>
  <c r="QZ26" i="5" s="1"/>
  <c r="RA25" i="5"/>
  <c r="RA26" i="5" s="1"/>
  <c r="RD25" i="5"/>
  <c r="RD26" i="5" s="1"/>
  <c r="RE25" i="5"/>
  <c r="RE26" i="5" s="1"/>
  <c r="PV25" i="5"/>
  <c r="PV26" i="5" s="1"/>
  <c r="PW25" i="5"/>
  <c r="PW26" i="5" s="1"/>
  <c r="PX25" i="5"/>
  <c r="PX26" i="5" s="1"/>
  <c r="PY25" i="5"/>
  <c r="PY26" i="5" s="1"/>
  <c r="PZ25" i="5"/>
  <c r="PZ26" i="5" s="1"/>
  <c r="QA25" i="5"/>
  <c r="QA26" i="5" s="1"/>
  <c r="RF25" i="5"/>
  <c r="RF26" i="5" s="1"/>
  <c r="RG25" i="5"/>
  <c r="RG26" i="5" s="1"/>
  <c r="RH25" i="5"/>
  <c r="RH26" i="5" s="1"/>
  <c r="RI25" i="5"/>
  <c r="RI26" i="5" s="1"/>
  <c r="RJ25" i="5"/>
  <c r="RJ26" i="5" s="1"/>
  <c r="RK25" i="5"/>
  <c r="RK26" i="5" s="1"/>
  <c r="RL25" i="5"/>
  <c r="RL26" i="5" s="1"/>
  <c r="RM25" i="5"/>
  <c r="RM26" i="5" s="1"/>
  <c r="RN25" i="5"/>
  <c r="RN26" i="5" s="1"/>
  <c r="RU25" i="5"/>
  <c r="RU26" i="5" s="1"/>
  <c r="RV25" i="5"/>
  <c r="RV26" i="5" s="1"/>
  <c r="RW25" i="5"/>
  <c r="RW26" i="5" s="1"/>
  <c r="RX25" i="5"/>
  <c r="RX26" i="5" s="1"/>
  <c r="RY25" i="5"/>
  <c r="RY26" i="5" s="1"/>
  <c r="RZ25" i="5"/>
  <c r="RZ26" i="5" s="1"/>
  <c r="SA25" i="5"/>
  <c r="SA26" i="5" s="1"/>
  <c r="SB25" i="5"/>
  <c r="SB26" i="5" s="1"/>
  <c r="SC25" i="5"/>
  <c r="SC26" i="5" s="1"/>
  <c r="SD25" i="5"/>
  <c r="SD26" i="5" s="1"/>
  <c r="SE25" i="5"/>
  <c r="SE26" i="5" s="1"/>
  <c r="SF25" i="5"/>
  <c r="SF26" i="5" s="1"/>
  <c r="SG25" i="5"/>
  <c r="SG26" i="5" s="1"/>
  <c r="SH25" i="5"/>
  <c r="SH26" i="5" s="1"/>
  <c r="SI25" i="5"/>
  <c r="SI26" i="5" s="1"/>
  <c r="SJ25" i="5"/>
  <c r="SJ26" i="5" s="1"/>
  <c r="SK25" i="5"/>
  <c r="SK26" i="5" s="1"/>
  <c r="SL25" i="5"/>
  <c r="SL26" i="5" s="1"/>
  <c r="SM25" i="5"/>
  <c r="SM26" i="5" s="1"/>
  <c r="SO25" i="5"/>
  <c r="SO26" i="5" s="1"/>
  <c r="SP25" i="5"/>
  <c r="SP26" i="5" s="1"/>
  <c r="EE19" i="5"/>
  <c r="G14" i="5"/>
  <c r="G15" i="5" s="1"/>
  <c r="G55" i="5" s="1"/>
  <c r="H14" i="5"/>
  <c r="H15" i="5" s="1"/>
  <c r="H55" i="5" s="1"/>
  <c r="I14" i="5"/>
  <c r="I15" i="5" s="1"/>
  <c r="I55" i="5" s="1"/>
  <c r="J14" i="5"/>
  <c r="J15" i="5" s="1"/>
  <c r="J55" i="5" s="1"/>
  <c r="K14" i="5"/>
  <c r="K15" i="5" s="1"/>
  <c r="K55" i="5" s="1"/>
  <c r="L14" i="5"/>
  <c r="L15" i="5" s="1"/>
  <c r="L55" i="5" s="1"/>
  <c r="M14" i="5"/>
  <c r="M15" i="5" s="1"/>
  <c r="M55" i="5" s="1"/>
  <c r="N14" i="5"/>
  <c r="N15" i="5" s="1"/>
  <c r="N55" i="5" s="1"/>
  <c r="O14" i="5"/>
  <c r="O15" i="5" s="1"/>
  <c r="O55" i="5" s="1"/>
  <c r="P14" i="5"/>
  <c r="P15" i="5" s="1"/>
  <c r="P55" i="5" s="1"/>
  <c r="Q14" i="5"/>
  <c r="Q15" i="5" s="1"/>
  <c r="Q55" i="5" s="1"/>
  <c r="R14" i="5"/>
  <c r="R15" i="5" s="1"/>
  <c r="R55" i="5" s="1"/>
  <c r="S14" i="5"/>
  <c r="S15" i="5" s="1"/>
  <c r="S55" i="5" s="1"/>
  <c r="T14" i="5"/>
  <c r="T15" i="5" s="1"/>
  <c r="T55" i="5" s="1"/>
  <c r="U14" i="5"/>
  <c r="U15" i="5" s="1"/>
  <c r="U55" i="5" s="1"/>
  <c r="V14" i="5"/>
  <c r="V15" i="5" s="1"/>
  <c r="V55" i="5" s="1"/>
  <c r="W14" i="5"/>
  <c r="W15" i="5" s="1"/>
  <c r="W55" i="5" s="1"/>
  <c r="X14" i="5"/>
  <c r="X15" i="5" s="1"/>
  <c r="X55" i="5" s="1"/>
  <c r="Y14" i="5"/>
  <c r="Y15" i="5" s="1"/>
  <c r="Y55" i="5" s="1"/>
  <c r="Z14" i="5"/>
  <c r="Z15" i="5" s="1"/>
  <c r="Z55" i="5" s="1"/>
  <c r="AA14" i="5"/>
  <c r="AA15" i="5" s="1"/>
  <c r="AA55" i="5" s="1"/>
  <c r="AB14" i="5"/>
  <c r="AB15" i="5" s="1"/>
  <c r="AB55" i="5" s="1"/>
  <c r="AC14" i="5"/>
  <c r="AC15" i="5" s="1"/>
  <c r="AC55" i="5" s="1"/>
  <c r="AD14" i="5"/>
  <c r="AD15" i="5" s="1"/>
  <c r="AD55" i="5" s="1"/>
  <c r="AE14" i="5"/>
  <c r="AE15" i="5" s="1"/>
  <c r="AE55" i="5" s="1"/>
  <c r="AI14" i="5"/>
  <c r="AI15" i="5" s="1"/>
  <c r="AI55" i="5" s="1"/>
  <c r="AJ14" i="5"/>
  <c r="AJ15" i="5" s="1"/>
  <c r="AJ55" i="5" s="1"/>
  <c r="AK14" i="5"/>
  <c r="AK15" i="5" s="1"/>
  <c r="AK55" i="5" s="1"/>
  <c r="AL14" i="5"/>
  <c r="AL15" i="5" s="1"/>
  <c r="AL55" i="5" s="1"/>
  <c r="AM14" i="5"/>
  <c r="AM15" i="5" s="1"/>
  <c r="AM55" i="5" s="1"/>
  <c r="AN14" i="5"/>
  <c r="AN15" i="5" s="1"/>
  <c r="AN55" i="5" s="1"/>
  <c r="AO14" i="5"/>
  <c r="AO15" i="5" s="1"/>
  <c r="AO55" i="5" s="1"/>
  <c r="AP14" i="5"/>
  <c r="AP15" i="5" s="1"/>
  <c r="AP55" i="5" s="1"/>
  <c r="AQ14" i="5"/>
  <c r="AQ15" i="5" s="1"/>
  <c r="AQ55" i="5" s="1"/>
  <c r="AR14" i="5"/>
  <c r="AR15" i="5" s="1"/>
  <c r="AR55" i="5" s="1"/>
  <c r="AV14" i="5"/>
  <c r="AV15" i="5" s="1"/>
  <c r="AV55" i="5" s="1"/>
  <c r="AW14" i="5"/>
  <c r="AW15" i="5" s="1"/>
  <c r="AW55" i="5" s="1"/>
  <c r="AX14" i="5"/>
  <c r="AX15" i="5" s="1"/>
  <c r="AX55" i="5" s="1"/>
  <c r="AY14" i="5"/>
  <c r="AY15" i="5" s="1"/>
  <c r="AY55" i="5" s="1"/>
  <c r="AZ14" i="5"/>
  <c r="AZ15" i="5" s="1"/>
  <c r="AZ55" i="5" s="1"/>
  <c r="BA14" i="5"/>
  <c r="BA15" i="5" s="1"/>
  <c r="BA55" i="5" s="1"/>
  <c r="BB14" i="5"/>
  <c r="BB15" i="5" s="1"/>
  <c r="BB55" i="5" s="1"/>
  <c r="BC14" i="5"/>
  <c r="BC15" i="5" s="1"/>
  <c r="BC55" i="5" s="1"/>
  <c r="BD14" i="5"/>
  <c r="BD15" i="5" s="1"/>
  <c r="BD55" i="5" s="1"/>
  <c r="BE14" i="5"/>
  <c r="BE15" i="5" s="1"/>
  <c r="BE55" i="5" s="1"/>
  <c r="BI14" i="5"/>
  <c r="BI15" i="5" s="1"/>
  <c r="BI55" i="5" s="1"/>
  <c r="BJ14" i="5"/>
  <c r="BJ15" i="5" s="1"/>
  <c r="BJ55" i="5" s="1"/>
  <c r="BK14" i="5"/>
  <c r="BK15" i="5" s="1"/>
  <c r="BK55" i="5" s="1"/>
  <c r="BL14" i="5"/>
  <c r="BL15" i="5" s="1"/>
  <c r="BL55" i="5" s="1"/>
  <c r="BM14" i="5"/>
  <c r="BM15" i="5" s="1"/>
  <c r="BM55" i="5" s="1"/>
  <c r="BN14" i="5"/>
  <c r="BN15" i="5" s="1"/>
  <c r="BN55" i="5" s="1"/>
  <c r="BO14" i="5"/>
  <c r="BO15" i="5" s="1"/>
  <c r="BO55" i="5" s="1"/>
  <c r="BP14" i="5"/>
  <c r="BP15" i="5" s="1"/>
  <c r="BP55" i="5" s="1"/>
  <c r="BQ14" i="5"/>
  <c r="BQ15" i="5" s="1"/>
  <c r="BQ55" i="5" s="1"/>
  <c r="BR14" i="5"/>
  <c r="BR15" i="5" s="1"/>
  <c r="BR55" i="5" s="1"/>
  <c r="CM14" i="5"/>
  <c r="CM15" i="5" s="1"/>
  <c r="CM55" i="5" s="1"/>
  <c r="CN14" i="5"/>
  <c r="CN15" i="5" s="1"/>
  <c r="CN55" i="5" s="1"/>
  <c r="CO14" i="5"/>
  <c r="CO15" i="5" s="1"/>
  <c r="CO55" i="5" s="1"/>
  <c r="CP14" i="5"/>
  <c r="CP15" i="5" s="1"/>
  <c r="CP55" i="5" s="1"/>
  <c r="CQ14" i="5"/>
  <c r="CQ15" i="5" s="1"/>
  <c r="CQ55" i="5" s="1"/>
  <c r="CR14" i="5"/>
  <c r="CR15" i="5" s="1"/>
  <c r="CR55" i="5" s="1"/>
  <c r="CS14" i="5"/>
  <c r="CS15" i="5" s="1"/>
  <c r="CS55" i="5" s="1"/>
  <c r="CT14" i="5"/>
  <c r="CT15" i="5" s="1"/>
  <c r="CT55" i="5" s="1"/>
  <c r="CU14" i="5"/>
  <c r="CU15" i="5" s="1"/>
  <c r="CU55" i="5" s="1"/>
  <c r="CZ14" i="5"/>
  <c r="CZ15" i="5" s="1"/>
  <c r="CZ55" i="5" s="1"/>
  <c r="DA14" i="5"/>
  <c r="DA15" i="5" s="1"/>
  <c r="DA55" i="5" s="1"/>
  <c r="DB14" i="5"/>
  <c r="DB15" i="5" s="1"/>
  <c r="DB55" i="5" s="1"/>
  <c r="DC14" i="5"/>
  <c r="DC15" i="5" s="1"/>
  <c r="DC55" i="5" s="1"/>
  <c r="DD14" i="5"/>
  <c r="DD15" i="5" s="1"/>
  <c r="DD55" i="5" s="1"/>
  <c r="DE14" i="5"/>
  <c r="DE15" i="5" s="1"/>
  <c r="DE55" i="5" s="1"/>
  <c r="DI14" i="5"/>
  <c r="DI15" i="5" s="1"/>
  <c r="DI55" i="5" s="1"/>
  <c r="DJ14" i="5"/>
  <c r="DJ15" i="5" s="1"/>
  <c r="DJ55" i="5" s="1"/>
  <c r="DK14" i="5"/>
  <c r="DK15" i="5" s="1"/>
  <c r="DK55" i="5" s="1"/>
  <c r="DL14" i="5"/>
  <c r="DL15" i="5" s="1"/>
  <c r="DL55" i="5" s="1"/>
  <c r="DM14" i="5"/>
  <c r="DM15" i="5" s="1"/>
  <c r="DM55" i="5" s="1"/>
  <c r="DN14" i="5"/>
  <c r="DN15" i="5" s="1"/>
  <c r="DN55" i="5" s="1"/>
  <c r="DR14" i="5"/>
  <c r="DR15" i="5" s="1"/>
  <c r="DR55" i="5" s="1"/>
  <c r="DS14" i="5"/>
  <c r="DS15" i="5" s="1"/>
  <c r="DS55" i="5" s="1"/>
  <c r="DT14" i="5"/>
  <c r="DT15" i="5" s="1"/>
  <c r="DT55" i="5" s="1"/>
  <c r="DU14" i="5"/>
  <c r="DU15" i="5" s="1"/>
  <c r="DU55" i="5" s="1"/>
  <c r="DV14" i="5"/>
  <c r="DV15" i="5" s="1"/>
  <c r="DV55" i="5" s="1"/>
  <c r="DW14" i="5"/>
  <c r="DW15" i="5" s="1"/>
  <c r="DW55" i="5" s="1"/>
  <c r="EA14" i="5"/>
  <c r="EA15" i="5" s="1"/>
  <c r="EA55" i="5" s="1"/>
  <c r="EB14" i="5"/>
  <c r="EB15" i="5" s="1"/>
  <c r="EB55" i="5" s="1"/>
  <c r="EC14" i="5"/>
  <c r="EC15" i="5" s="1"/>
  <c r="EC55" i="5" s="1"/>
  <c r="ED14" i="5"/>
  <c r="ED15" i="5" s="1"/>
  <c r="ED55" i="5" s="1"/>
  <c r="EE14" i="5"/>
  <c r="EE15" i="5" s="1"/>
  <c r="EE55" i="5" s="1"/>
  <c r="EF14" i="5"/>
  <c r="EF15" i="5" s="1"/>
  <c r="EF55" i="5" s="1"/>
  <c r="EJ14" i="5"/>
  <c r="EJ15" i="5" s="1"/>
  <c r="EJ55" i="5" s="1"/>
  <c r="EK14" i="5"/>
  <c r="EK15" i="5" s="1"/>
  <c r="EK55" i="5" s="1"/>
  <c r="EL14" i="5"/>
  <c r="EL15" i="5" s="1"/>
  <c r="EL55" i="5" s="1"/>
  <c r="EM14" i="5"/>
  <c r="EM15" i="5" s="1"/>
  <c r="EM55" i="5" s="1"/>
  <c r="EN14" i="5"/>
  <c r="EN15" i="5" s="1"/>
  <c r="EN55" i="5" s="1"/>
  <c r="EO14" i="5"/>
  <c r="EO15" i="5" s="1"/>
  <c r="EO55" i="5" s="1"/>
  <c r="ES14" i="5"/>
  <c r="ES15" i="5" s="1"/>
  <c r="ET14" i="5"/>
  <c r="ET15" i="5" s="1"/>
  <c r="EU14" i="5"/>
  <c r="EU15" i="5" s="1"/>
  <c r="EV14" i="5"/>
  <c r="EV15" i="5" s="1"/>
  <c r="EW14" i="5"/>
  <c r="EX14" i="5"/>
  <c r="FB14" i="5"/>
  <c r="FB15" i="5" s="1"/>
  <c r="FB55" i="5" s="1"/>
  <c r="FC14" i="5"/>
  <c r="FC15" i="5" s="1"/>
  <c r="FC55" i="5" s="1"/>
  <c r="FD14" i="5"/>
  <c r="FD15" i="5" s="1"/>
  <c r="FD55" i="5" s="1"/>
  <c r="FE14" i="5"/>
  <c r="FE15" i="5" s="1"/>
  <c r="FE55" i="5" s="1"/>
  <c r="FF14" i="5"/>
  <c r="FF15" i="5" s="1"/>
  <c r="FF55" i="5" s="1"/>
  <c r="FG14" i="5"/>
  <c r="FG15" i="5" s="1"/>
  <c r="FG55" i="5" s="1"/>
  <c r="FH14" i="5"/>
  <c r="FH15" i="5" s="1"/>
  <c r="FH55" i="5" s="1"/>
  <c r="FI14" i="5"/>
  <c r="FI15" i="5" s="1"/>
  <c r="FI55" i="5" s="1"/>
  <c r="FJ14" i="5"/>
  <c r="FJ15" i="5" s="1"/>
  <c r="FJ55" i="5" s="1"/>
  <c r="FK14" i="5"/>
  <c r="FK15" i="5" s="1"/>
  <c r="FK55" i="5" s="1"/>
  <c r="FO14" i="5"/>
  <c r="FO15" i="5" s="1"/>
  <c r="FO55" i="5" s="1"/>
  <c r="FP14" i="5"/>
  <c r="FP15" i="5" s="1"/>
  <c r="FP55" i="5" s="1"/>
  <c r="FQ14" i="5"/>
  <c r="FQ15" i="5" s="1"/>
  <c r="FQ55" i="5" s="1"/>
  <c r="FR14" i="5"/>
  <c r="FR15" i="5" s="1"/>
  <c r="FR55" i="5" s="1"/>
  <c r="FS14" i="5"/>
  <c r="FS15" i="5" s="1"/>
  <c r="FS55" i="5" s="1"/>
  <c r="FT14" i="5"/>
  <c r="FT15" i="5" s="1"/>
  <c r="FT55" i="5" s="1"/>
  <c r="FU14" i="5"/>
  <c r="FU15" i="5" s="1"/>
  <c r="FU55" i="5" s="1"/>
  <c r="FV14" i="5"/>
  <c r="FV15" i="5" s="1"/>
  <c r="FV55" i="5" s="1"/>
  <c r="FW14" i="5"/>
  <c r="FW15" i="5" s="1"/>
  <c r="FW55" i="5" s="1"/>
  <c r="FX14" i="5"/>
  <c r="FX15" i="5" s="1"/>
  <c r="FX55" i="5" s="1"/>
  <c r="FY14" i="5"/>
  <c r="FY15" i="5" s="1"/>
  <c r="FY55" i="5" s="1"/>
  <c r="FZ14" i="5"/>
  <c r="FZ15" i="5" s="1"/>
  <c r="FZ55" i="5" s="1"/>
  <c r="GA14" i="5"/>
  <c r="GA15" i="5" s="1"/>
  <c r="GA55" i="5" s="1"/>
  <c r="GB14" i="5"/>
  <c r="GB15" i="5" s="1"/>
  <c r="GB55" i="5" s="1"/>
  <c r="GE14" i="5"/>
  <c r="GE15" i="5" s="1"/>
  <c r="GE55" i="5" s="1"/>
  <c r="GF14" i="5"/>
  <c r="GF15" i="5" s="1"/>
  <c r="GF55" i="5" s="1"/>
  <c r="GJ14" i="5"/>
  <c r="GJ15" i="5" s="1"/>
  <c r="GJ55" i="5" s="1"/>
  <c r="GK14" i="5"/>
  <c r="GK15" i="5" s="1"/>
  <c r="GK55" i="5" s="1"/>
  <c r="GL14" i="5"/>
  <c r="GL15" i="5" s="1"/>
  <c r="GL55" i="5" s="1"/>
  <c r="GM14" i="5"/>
  <c r="GM15" i="5" s="1"/>
  <c r="GM55" i="5" s="1"/>
  <c r="GN14" i="5"/>
  <c r="GN15" i="5" s="1"/>
  <c r="GN55" i="5" s="1"/>
  <c r="GO14" i="5"/>
  <c r="GO15" i="5" s="1"/>
  <c r="GO55" i="5" s="1"/>
  <c r="GP14" i="5"/>
  <c r="GP15" i="5" s="1"/>
  <c r="GP55" i="5" s="1"/>
  <c r="GQ14" i="5"/>
  <c r="GQ15" i="5" s="1"/>
  <c r="GQ55" i="5" s="1"/>
  <c r="GR14" i="5"/>
  <c r="GR15" i="5" s="1"/>
  <c r="GR55" i="5" s="1"/>
  <c r="GS14" i="5"/>
  <c r="GS15" i="5" s="1"/>
  <c r="GS55" i="5" s="1"/>
  <c r="GT14" i="5"/>
  <c r="GT15" i="5" s="1"/>
  <c r="GT55" i="5" s="1"/>
  <c r="GU14" i="5"/>
  <c r="GU15" i="5" s="1"/>
  <c r="GU55" i="5" s="1"/>
  <c r="GV14" i="5"/>
  <c r="GV15" i="5" s="1"/>
  <c r="GV55" i="5" s="1"/>
  <c r="GW14" i="5"/>
  <c r="GW15" i="5" s="1"/>
  <c r="GW55" i="5" s="1"/>
  <c r="GX14" i="5"/>
  <c r="GX15" i="5" s="1"/>
  <c r="GX55" i="5" s="1"/>
  <c r="GY14" i="5"/>
  <c r="GY15" i="5" s="1"/>
  <c r="GY55" i="5" s="1"/>
  <c r="GZ14" i="5"/>
  <c r="GZ15" i="5" s="1"/>
  <c r="GZ55" i="5" s="1"/>
  <c r="HA14" i="5"/>
  <c r="HA15" i="5" s="1"/>
  <c r="HA55" i="5" s="1"/>
  <c r="HB14" i="5"/>
  <c r="HB15" i="5" s="1"/>
  <c r="HB55" i="5" s="1"/>
  <c r="HC14" i="5"/>
  <c r="HC15" i="5" s="1"/>
  <c r="HC55" i="5" s="1"/>
  <c r="HD14" i="5"/>
  <c r="HD15" i="5" s="1"/>
  <c r="HD55" i="5" s="1"/>
  <c r="HE14" i="5"/>
  <c r="HE15" i="5" s="1"/>
  <c r="HE55" i="5" s="1"/>
  <c r="HF14" i="5"/>
  <c r="HF15" i="5" s="1"/>
  <c r="HF55" i="5" s="1"/>
  <c r="HG14" i="5"/>
  <c r="HG15" i="5" s="1"/>
  <c r="HG55" i="5" s="1"/>
  <c r="HH14" i="5"/>
  <c r="HH15" i="5" s="1"/>
  <c r="HH55" i="5" s="1"/>
  <c r="HI14" i="5"/>
  <c r="HI15" i="5" s="1"/>
  <c r="HI55" i="5" s="1"/>
  <c r="HJ14" i="5"/>
  <c r="HJ15" i="5" s="1"/>
  <c r="HJ55" i="5" s="1"/>
  <c r="HK14" i="5"/>
  <c r="HK15" i="5" s="1"/>
  <c r="HK55" i="5" s="1"/>
  <c r="HL14" i="5"/>
  <c r="HL15" i="5" s="1"/>
  <c r="HL55" i="5" s="1"/>
  <c r="HM14" i="5"/>
  <c r="HM15" i="5" s="1"/>
  <c r="HM55" i="5" s="1"/>
  <c r="HN14" i="5"/>
  <c r="HN15" i="5" s="1"/>
  <c r="HN55" i="5" s="1"/>
  <c r="HO14" i="5"/>
  <c r="HO15" i="5" s="1"/>
  <c r="HO55" i="5" s="1"/>
  <c r="HP14" i="5"/>
  <c r="HP15" i="5" s="1"/>
  <c r="HP55" i="5" s="1"/>
  <c r="HQ14" i="5"/>
  <c r="HQ15" i="5" s="1"/>
  <c r="HQ55" i="5" s="1"/>
  <c r="HR14" i="5"/>
  <c r="HR15" i="5" s="1"/>
  <c r="HR55" i="5" s="1"/>
  <c r="HS14" i="5"/>
  <c r="HS15" i="5" s="1"/>
  <c r="HS55" i="5" s="1"/>
  <c r="HT14" i="5"/>
  <c r="HT15" i="5" s="1"/>
  <c r="HT55" i="5" s="1"/>
  <c r="HU14" i="5"/>
  <c r="HU15" i="5" s="1"/>
  <c r="HU55" i="5" s="1"/>
  <c r="HV14" i="5"/>
  <c r="HV15" i="5" s="1"/>
  <c r="HV55" i="5" s="1"/>
  <c r="HW14" i="5"/>
  <c r="HW15" i="5" s="1"/>
  <c r="HW55" i="5" s="1"/>
  <c r="HX14" i="5"/>
  <c r="HX15" i="5" s="1"/>
  <c r="HX55" i="5" s="1"/>
  <c r="HY14" i="5"/>
  <c r="HY15" i="5" s="1"/>
  <c r="HY55" i="5" s="1"/>
  <c r="HZ14" i="5"/>
  <c r="HZ15" i="5" s="1"/>
  <c r="HZ55" i="5" s="1"/>
  <c r="IA14" i="5"/>
  <c r="IA15" i="5" s="1"/>
  <c r="IA55" i="5" s="1"/>
  <c r="IB14" i="5"/>
  <c r="IB15" i="5" s="1"/>
  <c r="IB55" i="5" s="1"/>
  <c r="IC14" i="5"/>
  <c r="IC15" i="5" s="1"/>
  <c r="IC55" i="5" s="1"/>
  <c r="ID14" i="5"/>
  <c r="ID15" i="5" s="1"/>
  <c r="ID55" i="5" s="1"/>
  <c r="IE14" i="5"/>
  <c r="IE15" i="5" s="1"/>
  <c r="IE55" i="5" s="1"/>
  <c r="IF14" i="5"/>
  <c r="IF15" i="5" s="1"/>
  <c r="IF55" i="5" s="1"/>
  <c r="IG14" i="5"/>
  <c r="IG15" i="5" s="1"/>
  <c r="IG55" i="5" s="1"/>
  <c r="IH14" i="5"/>
  <c r="IH15" i="5" s="1"/>
  <c r="IH55" i="5" s="1"/>
  <c r="II14" i="5"/>
  <c r="II15" i="5" s="1"/>
  <c r="II55" i="5" s="1"/>
  <c r="IJ14" i="5"/>
  <c r="IJ15" i="5" s="1"/>
  <c r="IJ55" i="5" s="1"/>
  <c r="IK14" i="5"/>
  <c r="IK15" i="5" s="1"/>
  <c r="IK55" i="5" s="1"/>
  <c r="IL14" i="5"/>
  <c r="IL15" i="5" s="1"/>
  <c r="IL55" i="5" s="1"/>
  <c r="IM14" i="5"/>
  <c r="IM15" i="5" s="1"/>
  <c r="IM55" i="5" s="1"/>
  <c r="IN14" i="5"/>
  <c r="IN15" i="5" s="1"/>
  <c r="IN55" i="5" s="1"/>
  <c r="IO14" i="5"/>
  <c r="IO15" i="5" s="1"/>
  <c r="IO55" i="5" s="1"/>
  <c r="IP14" i="5"/>
  <c r="IP15" i="5" s="1"/>
  <c r="IP55" i="5" s="1"/>
  <c r="IQ14" i="5"/>
  <c r="IQ15" i="5" s="1"/>
  <c r="IQ55" i="5" s="1"/>
  <c r="IR14" i="5"/>
  <c r="IR15" i="5" s="1"/>
  <c r="IR55" i="5" s="1"/>
  <c r="IS14" i="5"/>
  <c r="IS15" i="5" s="1"/>
  <c r="IS55" i="5" s="1"/>
  <c r="IT14" i="5"/>
  <c r="IT15" i="5" s="1"/>
  <c r="IT55" i="5" s="1"/>
  <c r="IU14" i="5"/>
  <c r="IU15" i="5" s="1"/>
  <c r="IU55" i="5" s="1"/>
  <c r="IV14" i="5"/>
  <c r="IV15" i="5" s="1"/>
  <c r="IV55" i="5" s="1"/>
  <c r="IW14" i="5"/>
  <c r="IW15" i="5" s="1"/>
  <c r="IW55" i="5" s="1"/>
  <c r="IX14" i="5"/>
  <c r="IX15" i="5" s="1"/>
  <c r="IX55" i="5" s="1"/>
  <c r="IY14" i="5"/>
  <c r="IY15" i="5" s="1"/>
  <c r="IY55" i="5" s="1"/>
  <c r="IZ14" i="5"/>
  <c r="IZ15" i="5" s="1"/>
  <c r="IZ55" i="5" s="1"/>
  <c r="JA14" i="5"/>
  <c r="JA15" i="5" s="1"/>
  <c r="JA55" i="5" s="1"/>
  <c r="JB14" i="5"/>
  <c r="JB15" i="5" s="1"/>
  <c r="JB55" i="5" s="1"/>
  <c r="JC14" i="5"/>
  <c r="JC15" i="5" s="1"/>
  <c r="JC55" i="5" s="1"/>
  <c r="JD14" i="5"/>
  <c r="JD15" i="5" s="1"/>
  <c r="JD55" i="5" s="1"/>
  <c r="JE14" i="5"/>
  <c r="JE15" i="5" s="1"/>
  <c r="JE55" i="5" s="1"/>
  <c r="JF14" i="5"/>
  <c r="JF15" i="5" s="1"/>
  <c r="JF55" i="5" s="1"/>
  <c r="JG14" i="5"/>
  <c r="JG15" i="5" s="1"/>
  <c r="JG55" i="5" s="1"/>
  <c r="JH14" i="5"/>
  <c r="JH15" i="5" s="1"/>
  <c r="JH55" i="5" s="1"/>
  <c r="JI14" i="5"/>
  <c r="JI15" i="5" s="1"/>
  <c r="JI55" i="5" s="1"/>
  <c r="JJ14" i="5"/>
  <c r="JJ15" i="5" s="1"/>
  <c r="JJ55" i="5" s="1"/>
  <c r="JK14" i="5"/>
  <c r="JK15" i="5" s="1"/>
  <c r="JK55" i="5" s="1"/>
  <c r="JL14" i="5"/>
  <c r="JL15" i="5" s="1"/>
  <c r="JL55" i="5" s="1"/>
  <c r="JM14" i="5"/>
  <c r="JM15" i="5" s="1"/>
  <c r="JM55" i="5" s="1"/>
  <c r="JN14" i="5"/>
  <c r="JN15" i="5" s="1"/>
  <c r="JN55" i="5" s="1"/>
  <c r="JO14" i="5"/>
  <c r="JO15" i="5" s="1"/>
  <c r="JO55" i="5" s="1"/>
  <c r="JP14" i="5"/>
  <c r="JP15" i="5" s="1"/>
  <c r="JP55" i="5" s="1"/>
  <c r="JQ14" i="5"/>
  <c r="JQ15" i="5" s="1"/>
  <c r="JQ55" i="5" s="1"/>
  <c r="JR14" i="5"/>
  <c r="JR15" i="5" s="1"/>
  <c r="JR55" i="5" s="1"/>
  <c r="JS14" i="5"/>
  <c r="JS15" i="5" s="1"/>
  <c r="JS55" i="5" s="1"/>
  <c r="JT14" i="5"/>
  <c r="JT15" i="5" s="1"/>
  <c r="JT55" i="5" s="1"/>
  <c r="JU14" i="5"/>
  <c r="JU15" i="5" s="1"/>
  <c r="JU55" i="5" s="1"/>
  <c r="JV14" i="5"/>
  <c r="JV15" i="5" s="1"/>
  <c r="JV55" i="5" s="1"/>
  <c r="JW14" i="5"/>
  <c r="JW15" i="5" s="1"/>
  <c r="JW55" i="5" s="1"/>
  <c r="JX14" i="5"/>
  <c r="JX15" i="5" s="1"/>
  <c r="JX55" i="5" s="1"/>
  <c r="JY14" i="5"/>
  <c r="JY15" i="5" s="1"/>
  <c r="JY55" i="5" s="1"/>
  <c r="JZ14" i="5"/>
  <c r="JZ15" i="5" s="1"/>
  <c r="JZ55" i="5" s="1"/>
  <c r="KA14" i="5"/>
  <c r="KA15" i="5" s="1"/>
  <c r="KA55" i="5" s="1"/>
  <c r="KB14" i="5"/>
  <c r="KB15" i="5" s="1"/>
  <c r="KB55" i="5" s="1"/>
  <c r="KC14" i="5"/>
  <c r="KC15" i="5" s="1"/>
  <c r="KC55" i="5" s="1"/>
  <c r="KD14" i="5"/>
  <c r="KD15" i="5" s="1"/>
  <c r="KD55" i="5" s="1"/>
  <c r="KE14" i="5"/>
  <c r="KE15" i="5" s="1"/>
  <c r="KE55" i="5" s="1"/>
  <c r="KF14" i="5"/>
  <c r="KF15" i="5" s="1"/>
  <c r="KF55" i="5" s="1"/>
  <c r="KG14" i="5"/>
  <c r="KG15" i="5" s="1"/>
  <c r="KG55" i="5" s="1"/>
  <c r="KH14" i="5"/>
  <c r="KH15" i="5" s="1"/>
  <c r="KH55" i="5" s="1"/>
  <c r="KI14" i="5"/>
  <c r="KI15" i="5" s="1"/>
  <c r="KI55" i="5" s="1"/>
  <c r="KJ14" i="5"/>
  <c r="KJ15" i="5" s="1"/>
  <c r="KJ55" i="5" s="1"/>
  <c r="KK14" i="5"/>
  <c r="KK15" i="5" s="1"/>
  <c r="KK55" i="5" s="1"/>
  <c r="KL14" i="5"/>
  <c r="KL15" i="5" s="1"/>
  <c r="KL55" i="5" s="1"/>
  <c r="KM14" i="5"/>
  <c r="KM15" i="5" s="1"/>
  <c r="KM55" i="5" s="1"/>
  <c r="KN14" i="5"/>
  <c r="KN15" i="5" s="1"/>
  <c r="KN55" i="5" s="1"/>
  <c r="KO14" i="5"/>
  <c r="KO15" i="5" s="1"/>
  <c r="KO55" i="5" s="1"/>
  <c r="KP14" i="5"/>
  <c r="KP15" i="5" s="1"/>
  <c r="KP55" i="5" s="1"/>
  <c r="KQ14" i="5"/>
  <c r="KQ15" i="5" s="1"/>
  <c r="KQ55" i="5" s="1"/>
  <c r="KR14" i="5"/>
  <c r="KR15" i="5" s="1"/>
  <c r="KR55" i="5" s="1"/>
  <c r="KS14" i="5"/>
  <c r="KS15" i="5" s="1"/>
  <c r="KS55" i="5" s="1"/>
  <c r="KT14" i="5"/>
  <c r="KT15" i="5" s="1"/>
  <c r="KT55" i="5" s="1"/>
  <c r="KU14" i="5"/>
  <c r="KU15" i="5" s="1"/>
  <c r="KU55" i="5" s="1"/>
  <c r="KY55" i="5"/>
  <c r="KZ55" i="5"/>
  <c r="LA14" i="5"/>
  <c r="LA15" i="5" s="1"/>
  <c r="LA55" i="5" s="1"/>
  <c r="LB14" i="5"/>
  <c r="LB15" i="5" s="1"/>
  <c r="LB55" i="5" s="1"/>
  <c r="LC14" i="5"/>
  <c r="LD14" i="5"/>
  <c r="LD15" i="5" s="1"/>
  <c r="LD55" i="5" s="1"/>
  <c r="LE14" i="5"/>
  <c r="LE15" i="5" s="1"/>
  <c r="LE55" i="5" s="1"/>
  <c r="LF14" i="5"/>
  <c r="LF15" i="5" s="1"/>
  <c r="LF55" i="5" s="1"/>
  <c r="LG14" i="5"/>
  <c r="LG15" i="5" s="1"/>
  <c r="LG55" i="5" s="1"/>
  <c r="LH14" i="5"/>
  <c r="LH15" i="5" s="1"/>
  <c r="LH55" i="5" s="1"/>
  <c r="LI14" i="5"/>
  <c r="LI15" i="5" s="1"/>
  <c r="LI55" i="5" s="1"/>
  <c r="LJ14" i="5"/>
  <c r="LK14" i="5"/>
  <c r="LK15" i="5" s="1"/>
  <c r="LK55" i="5" s="1"/>
  <c r="LL14" i="5"/>
  <c r="LL15" i="5" s="1"/>
  <c r="LL55" i="5" s="1"/>
  <c r="LM14" i="5"/>
  <c r="LM15" i="5" s="1"/>
  <c r="LM55" i="5" s="1"/>
  <c r="LN14" i="5"/>
  <c r="LN15" i="5" s="1"/>
  <c r="LN55" i="5" s="1"/>
  <c r="LT14" i="5"/>
  <c r="LT15" i="5" s="1"/>
  <c r="LT55" i="5" s="1"/>
  <c r="LU14" i="5"/>
  <c r="LU15" i="5" s="1"/>
  <c r="LU55" i="5" s="1"/>
  <c r="LV14" i="5"/>
  <c r="LV15" i="5" s="1"/>
  <c r="LV55" i="5" s="1"/>
  <c r="LW14" i="5"/>
  <c r="LW15" i="5" s="1"/>
  <c r="LW55" i="5" s="1"/>
  <c r="LX14" i="5"/>
  <c r="LX15" i="5" s="1"/>
  <c r="LX55" i="5" s="1"/>
  <c r="LY55" i="5"/>
  <c r="LZ55" i="5"/>
  <c r="MA55" i="5"/>
  <c r="ME14" i="5"/>
  <c r="ME15" i="5" s="1"/>
  <c r="ME55" i="5" s="1"/>
  <c r="MF14" i="5"/>
  <c r="MF15" i="5" s="1"/>
  <c r="MF55" i="5" s="1"/>
  <c r="MG14" i="5"/>
  <c r="MG15" i="5" s="1"/>
  <c r="MG55" i="5" s="1"/>
  <c r="MH14" i="5"/>
  <c r="MH15" i="5" s="1"/>
  <c r="MH55" i="5" s="1"/>
  <c r="MI14" i="5"/>
  <c r="MI15" i="5" s="1"/>
  <c r="MI55" i="5" s="1"/>
  <c r="MJ14" i="5"/>
  <c r="MJ15" i="5" s="1"/>
  <c r="MJ55" i="5" s="1"/>
  <c r="MK14" i="5"/>
  <c r="MK15" i="5" s="1"/>
  <c r="MK55" i="5" s="1"/>
  <c r="ML14" i="5"/>
  <c r="ML15" i="5" s="1"/>
  <c r="ML55" i="5" s="1"/>
  <c r="MM14" i="5"/>
  <c r="MM15" i="5" s="1"/>
  <c r="MM55" i="5" s="1"/>
  <c r="MN14" i="5"/>
  <c r="MN15" i="5" s="1"/>
  <c r="MN55" i="5" s="1"/>
  <c r="MR14" i="5"/>
  <c r="MR15" i="5" s="1"/>
  <c r="MR55" i="5" s="1"/>
  <c r="MS14" i="5"/>
  <c r="MS15" i="5" s="1"/>
  <c r="MS55" i="5" s="1"/>
  <c r="MT14" i="5"/>
  <c r="MT15" i="5" s="1"/>
  <c r="MT55" i="5" s="1"/>
  <c r="MU14" i="5"/>
  <c r="MU15" i="5" s="1"/>
  <c r="MU55" i="5" s="1"/>
  <c r="MV14" i="5"/>
  <c r="MV15" i="5" s="1"/>
  <c r="MV55" i="5" s="1"/>
  <c r="MW14" i="5"/>
  <c r="MW15" i="5" s="1"/>
  <c r="MW55" i="5" s="1"/>
  <c r="MX14" i="5"/>
  <c r="MX15" i="5" s="1"/>
  <c r="MX55" i="5" s="1"/>
  <c r="MY14" i="5"/>
  <c r="MY15" i="5" s="1"/>
  <c r="MY55" i="5" s="1"/>
  <c r="NC14" i="5"/>
  <c r="NC15" i="5" s="1"/>
  <c r="NC55" i="5" s="1"/>
  <c r="ND14" i="5"/>
  <c r="ND15" i="5" s="1"/>
  <c r="ND55" i="5" s="1"/>
  <c r="NE14" i="5"/>
  <c r="NE15" i="5" s="1"/>
  <c r="NE55" i="5" s="1"/>
  <c r="NF14" i="5"/>
  <c r="NF15" i="5" s="1"/>
  <c r="NF55" i="5" s="1"/>
  <c r="NG14" i="5"/>
  <c r="NG15" i="5" s="1"/>
  <c r="NG55" i="5" s="1"/>
  <c r="NH14" i="5"/>
  <c r="NH15" i="5" s="1"/>
  <c r="NH55" i="5" s="1"/>
  <c r="NI14" i="5"/>
  <c r="NI15" i="5" s="1"/>
  <c r="NI55" i="5" s="1"/>
  <c r="NJ14" i="5"/>
  <c r="NJ15" i="5" s="1"/>
  <c r="NJ55" i="5" s="1"/>
  <c r="NK14" i="5"/>
  <c r="NK15" i="5" s="1"/>
  <c r="NK55" i="5" s="1"/>
  <c r="NL14" i="5"/>
  <c r="NL15" i="5" s="1"/>
  <c r="NL55" i="5" s="1"/>
  <c r="NM14" i="5"/>
  <c r="NM15" i="5" s="1"/>
  <c r="NM55" i="5" s="1"/>
  <c r="NN14" i="5"/>
  <c r="NN15" i="5" s="1"/>
  <c r="NN55" i="5" s="1"/>
  <c r="NO14" i="5"/>
  <c r="NO15" i="5" s="1"/>
  <c r="NO55" i="5" s="1"/>
  <c r="NP14" i="5"/>
  <c r="NP15" i="5" s="1"/>
  <c r="NP55" i="5" s="1"/>
  <c r="NQ14" i="5"/>
  <c r="NQ15" i="5" s="1"/>
  <c r="NQ55" i="5" s="1"/>
  <c r="NR14" i="5"/>
  <c r="NR15" i="5" s="1"/>
  <c r="NR55" i="5" s="1"/>
  <c r="NS14" i="5"/>
  <c r="NS15" i="5" s="1"/>
  <c r="NS55" i="5" s="1"/>
  <c r="NT14" i="5"/>
  <c r="NT15" i="5" s="1"/>
  <c r="NT55" i="5" s="1"/>
  <c r="NU14" i="5"/>
  <c r="NU15" i="5" s="1"/>
  <c r="NU55" i="5" s="1"/>
  <c r="NV14" i="5"/>
  <c r="NV15" i="5" s="1"/>
  <c r="NV55" i="5" s="1"/>
  <c r="NZ14" i="5"/>
  <c r="NZ15" i="5" s="1"/>
  <c r="NZ55" i="5" s="1"/>
  <c r="OA14" i="5"/>
  <c r="OA15" i="5" s="1"/>
  <c r="OA55" i="5" s="1"/>
  <c r="OB14" i="5"/>
  <c r="OB15" i="5" s="1"/>
  <c r="OB55" i="5" s="1"/>
  <c r="OC14" i="5"/>
  <c r="OC15" i="5" s="1"/>
  <c r="OC55" i="5" s="1"/>
  <c r="OD14" i="5"/>
  <c r="OD15" i="5" s="1"/>
  <c r="OD55" i="5" s="1"/>
  <c r="OE14" i="5"/>
  <c r="OE15" i="5" s="1"/>
  <c r="OE55" i="5" s="1"/>
  <c r="OI14" i="5"/>
  <c r="OI15" i="5" s="1"/>
  <c r="OI55" i="5" s="1"/>
  <c r="OJ14" i="5"/>
  <c r="OJ15" i="5" s="1"/>
  <c r="OJ55" i="5" s="1"/>
  <c r="OK14" i="5"/>
  <c r="OK15" i="5" s="1"/>
  <c r="OK55" i="5" s="1"/>
  <c r="OL14" i="5"/>
  <c r="OL15" i="5" s="1"/>
  <c r="OL55" i="5" s="1"/>
  <c r="OM14" i="5"/>
  <c r="OM15" i="5" s="1"/>
  <c r="OM55" i="5" s="1"/>
  <c r="ON14" i="5"/>
  <c r="ON15" i="5" s="1"/>
  <c r="ON55" i="5" s="1"/>
  <c r="OO14" i="5"/>
  <c r="OO15" i="5" s="1"/>
  <c r="OO55" i="5" s="1"/>
  <c r="OP14" i="5"/>
  <c r="OP15" i="5" s="1"/>
  <c r="OP55" i="5" s="1"/>
  <c r="OQ14" i="5"/>
  <c r="OQ15" i="5" s="1"/>
  <c r="OQ55" i="5" s="1"/>
  <c r="OR14" i="5"/>
  <c r="OR15" i="5" s="1"/>
  <c r="OR55" i="5" s="1"/>
  <c r="OS14" i="5"/>
  <c r="OS15" i="5" s="1"/>
  <c r="OS55" i="5" s="1"/>
  <c r="OT14" i="5"/>
  <c r="OT15" i="5" s="1"/>
  <c r="OT55" i="5" s="1"/>
  <c r="OU14" i="5"/>
  <c r="OU15" i="5" s="1"/>
  <c r="OU55" i="5" s="1"/>
  <c r="OV14" i="5"/>
  <c r="OV15" i="5" s="1"/>
  <c r="OV55" i="5" s="1"/>
  <c r="OZ14" i="5"/>
  <c r="OZ15" i="5" s="1"/>
  <c r="OZ55" i="5" s="1"/>
  <c r="PA14" i="5"/>
  <c r="PA15" i="5" s="1"/>
  <c r="PA55" i="5" s="1"/>
  <c r="PB14" i="5"/>
  <c r="PB15" i="5" s="1"/>
  <c r="PB55" i="5" s="1"/>
  <c r="PC14" i="5"/>
  <c r="PC15" i="5" s="1"/>
  <c r="PC55" i="5" s="1"/>
  <c r="PD14" i="5"/>
  <c r="PD15" i="5" s="1"/>
  <c r="PD55" i="5" s="1"/>
  <c r="PE14" i="5"/>
  <c r="PE15" i="5" s="1"/>
  <c r="PE55" i="5" s="1"/>
  <c r="PF14" i="5"/>
  <c r="PF15" i="5" s="1"/>
  <c r="PF55" i="5" s="1"/>
  <c r="PG14" i="5"/>
  <c r="PG15" i="5" s="1"/>
  <c r="PG55" i="5" s="1"/>
  <c r="PH14" i="5"/>
  <c r="PH15" i="5" s="1"/>
  <c r="PH55" i="5" s="1"/>
  <c r="PI14" i="5"/>
  <c r="PI15" i="5" s="1"/>
  <c r="PI55" i="5" s="1"/>
  <c r="PJ14" i="5"/>
  <c r="PJ15" i="5" s="1"/>
  <c r="PJ55" i="5" s="1"/>
  <c r="PK14" i="5"/>
  <c r="PK15" i="5" s="1"/>
  <c r="PK55" i="5" s="1"/>
  <c r="PL14" i="5"/>
  <c r="PL15" i="5" s="1"/>
  <c r="PL55" i="5" s="1"/>
  <c r="PM14" i="5"/>
  <c r="PM15" i="5" s="1"/>
  <c r="PM55" i="5" s="1"/>
  <c r="PN14" i="5"/>
  <c r="PN15" i="5" s="1"/>
  <c r="PN55" i="5" s="1"/>
  <c r="PP14" i="5"/>
  <c r="PP15" i="5" s="1"/>
  <c r="PP55" i="5" s="1"/>
  <c r="PQ14" i="5"/>
  <c r="PQ15" i="5" s="1"/>
  <c r="PQ55" i="5" s="1"/>
  <c r="PR14" i="5"/>
  <c r="PR15" i="5" s="1"/>
  <c r="PR55" i="5" s="1"/>
  <c r="PS14" i="5"/>
  <c r="PS15" i="5" s="1"/>
  <c r="PS55" i="5" s="1"/>
  <c r="PT14" i="5"/>
  <c r="PT15" i="5" s="1"/>
  <c r="PT55" i="5" s="1"/>
  <c r="PU14" i="5"/>
  <c r="PU15" i="5" s="1"/>
  <c r="PU55" i="5" s="1"/>
  <c r="QI14" i="5"/>
  <c r="QI15" i="5" s="1"/>
  <c r="QI55" i="5" s="1"/>
  <c r="QJ14" i="5"/>
  <c r="QJ15" i="5" s="1"/>
  <c r="QJ55" i="5" s="1"/>
  <c r="QK14" i="5"/>
  <c r="QK15" i="5" s="1"/>
  <c r="QK55" i="5" s="1"/>
  <c r="QL14" i="5"/>
  <c r="QL15" i="5" s="1"/>
  <c r="QL55" i="5" s="1"/>
  <c r="QB14" i="5"/>
  <c r="QB15" i="5" s="1"/>
  <c r="QB55" i="5" s="1"/>
  <c r="QC14" i="5"/>
  <c r="QC15" i="5" s="1"/>
  <c r="QC55" i="5" s="1"/>
  <c r="QD14" i="5"/>
  <c r="QD15" i="5" s="1"/>
  <c r="QD55" i="5" s="1"/>
  <c r="QE14" i="5"/>
  <c r="QE15" i="5" s="1"/>
  <c r="QE55" i="5" s="1"/>
  <c r="QF14" i="5"/>
  <c r="QF15" i="5" s="1"/>
  <c r="QF55" i="5" s="1"/>
  <c r="QG14" i="5"/>
  <c r="QG15" i="5" s="1"/>
  <c r="QG55" i="5" s="1"/>
  <c r="QH14" i="5"/>
  <c r="QH15" i="5" s="1"/>
  <c r="QH55" i="5" s="1"/>
  <c r="QM14" i="5"/>
  <c r="QM15" i="5" s="1"/>
  <c r="QM55" i="5" s="1"/>
  <c r="QN14" i="5"/>
  <c r="QN15" i="5" s="1"/>
  <c r="QN55" i="5" s="1"/>
  <c r="QO14" i="5"/>
  <c r="QO15" i="5" s="1"/>
  <c r="QO55" i="5" s="1"/>
  <c r="QP14" i="5"/>
  <c r="QP15" i="5" s="1"/>
  <c r="QP55" i="5" s="1"/>
  <c r="QQ14" i="5"/>
  <c r="QQ15" i="5" s="1"/>
  <c r="QQ55" i="5" s="1"/>
  <c r="QR14" i="5"/>
  <c r="QR15" i="5" s="1"/>
  <c r="QR55" i="5" s="1"/>
  <c r="QS14" i="5"/>
  <c r="QS15" i="5" s="1"/>
  <c r="QS55" i="5" s="1"/>
  <c r="QT14" i="5"/>
  <c r="QT15" i="5" s="1"/>
  <c r="QT55" i="5" s="1"/>
  <c r="RB14" i="5"/>
  <c r="RB15" i="5" s="1"/>
  <c r="RB55" i="5" s="1"/>
  <c r="RC14" i="5"/>
  <c r="RC15" i="5" s="1"/>
  <c r="RC55" i="5" s="1"/>
  <c r="QU14" i="5"/>
  <c r="QU15" i="5" s="1"/>
  <c r="QU55" i="5" s="1"/>
  <c r="QV14" i="5"/>
  <c r="QV15" i="5" s="1"/>
  <c r="QV55" i="5" s="1"/>
  <c r="QW14" i="5"/>
  <c r="QW15" i="5" s="1"/>
  <c r="QW55" i="5" s="1"/>
  <c r="QX14" i="5"/>
  <c r="QX15" i="5" s="1"/>
  <c r="QX55" i="5" s="1"/>
  <c r="QY14" i="5"/>
  <c r="QY15" i="5" s="1"/>
  <c r="QY55" i="5" s="1"/>
  <c r="QZ14" i="5"/>
  <c r="QZ15" i="5" s="1"/>
  <c r="QZ55" i="5" s="1"/>
  <c r="RA14" i="5"/>
  <c r="RA15" i="5" s="1"/>
  <c r="RA55" i="5" s="1"/>
  <c r="RD14" i="5"/>
  <c r="RD15" i="5" s="1"/>
  <c r="RD55" i="5" s="1"/>
  <c r="RE14" i="5"/>
  <c r="RE15" i="5" s="1"/>
  <c r="RE55" i="5" s="1"/>
  <c r="PV14" i="5"/>
  <c r="PV15" i="5" s="1"/>
  <c r="PV55" i="5" s="1"/>
  <c r="PW14" i="5"/>
  <c r="PW15" i="5" s="1"/>
  <c r="PW55" i="5" s="1"/>
  <c r="PX14" i="5"/>
  <c r="PX15" i="5" s="1"/>
  <c r="PX55" i="5" s="1"/>
  <c r="PY14" i="5"/>
  <c r="PY15" i="5" s="1"/>
  <c r="PY55" i="5" s="1"/>
  <c r="PZ14" i="5"/>
  <c r="PZ15" i="5" s="1"/>
  <c r="PZ55" i="5" s="1"/>
  <c r="QA14" i="5"/>
  <c r="QA15" i="5" s="1"/>
  <c r="QA55" i="5" s="1"/>
  <c r="RF14" i="5"/>
  <c r="RF15" i="5" s="1"/>
  <c r="RF55" i="5" s="1"/>
  <c r="RG14" i="5"/>
  <c r="RG15" i="5" s="1"/>
  <c r="RG55" i="5" s="1"/>
  <c r="RH14" i="5"/>
  <c r="RH15" i="5" s="1"/>
  <c r="RH55" i="5" s="1"/>
  <c r="RI14" i="5"/>
  <c r="RI15" i="5" s="1"/>
  <c r="RI55" i="5" s="1"/>
  <c r="RJ14" i="5"/>
  <c r="RJ15" i="5" s="1"/>
  <c r="RJ55" i="5" s="1"/>
  <c r="RK14" i="5"/>
  <c r="RK15" i="5" s="1"/>
  <c r="RK55" i="5" s="1"/>
  <c r="RL14" i="5"/>
  <c r="RL15" i="5" s="1"/>
  <c r="RL55" i="5" s="1"/>
  <c r="RM14" i="5"/>
  <c r="RM15" i="5" s="1"/>
  <c r="RM55" i="5" s="1"/>
  <c r="RN14" i="5"/>
  <c r="RN15" i="5" s="1"/>
  <c r="RN55" i="5" s="1"/>
  <c r="RU14" i="5"/>
  <c r="RU15" i="5" s="1"/>
  <c r="RU55" i="5" s="1"/>
  <c r="RV14" i="5"/>
  <c r="RV15" i="5" s="1"/>
  <c r="RV55" i="5" s="1"/>
  <c r="RW14" i="5"/>
  <c r="RW15" i="5" s="1"/>
  <c r="RW55" i="5" s="1"/>
  <c r="RX14" i="5"/>
  <c r="RX15" i="5" s="1"/>
  <c r="RX55" i="5" s="1"/>
  <c r="RY14" i="5"/>
  <c r="RY15" i="5" s="1"/>
  <c r="RY55" i="5" s="1"/>
  <c r="RZ14" i="5"/>
  <c r="RZ15" i="5" s="1"/>
  <c r="RZ55" i="5" s="1"/>
  <c r="SA14" i="5"/>
  <c r="SA15" i="5" s="1"/>
  <c r="SA55" i="5" s="1"/>
  <c r="SB14" i="5"/>
  <c r="SB15" i="5" s="1"/>
  <c r="SB55" i="5" s="1"/>
  <c r="SC14" i="5"/>
  <c r="SC15" i="5" s="1"/>
  <c r="SC55" i="5" s="1"/>
  <c r="SD14" i="5"/>
  <c r="SD15" i="5" s="1"/>
  <c r="SD55" i="5" s="1"/>
  <c r="SE14" i="5"/>
  <c r="SE15" i="5" s="1"/>
  <c r="SE55" i="5" s="1"/>
  <c r="SF14" i="5"/>
  <c r="SF15" i="5" s="1"/>
  <c r="SF55" i="5" s="1"/>
  <c r="SG14" i="5"/>
  <c r="SG15" i="5" s="1"/>
  <c r="SG55" i="5" s="1"/>
  <c r="SH14" i="5"/>
  <c r="SH15" i="5" s="1"/>
  <c r="SH55" i="5" s="1"/>
  <c r="SI14" i="5"/>
  <c r="SI15" i="5" s="1"/>
  <c r="SI55" i="5" s="1"/>
  <c r="SJ14" i="5"/>
  <c r="SJ15" i="5" s="1"/>
  <c r="SJ55" i="5" s="1"/>
  <c r="SK14" i="5"/>
  <c r="SK15" i="5" s="1"/>
  <c r="SK55" i="5" s="1"/>
  <c r="SL14" i="5"/>
  <c r="SL15" i="5" s="1"/>
  <c r="SL55" i="5" s="1"/>
  <c r="SM14" i="5"/>
  <c r="SM15" i="5" s="1"/>
  <c r="SM55" i="5" s="1"/>
  <c r="SO14" i="5"/>
  <c r="SO15" i="5" s="1"/>
  <c r="SO55" i="5" s="1"/>
  <c r="SP14" i="5"/>
  <c r="SP15" i="5" s="1"/>
  <c r="SP55" i="5" s="1"/>
  <c r="G11" i="5"/>
  <c r="G12" i="5" s="1"/>
  <c r="H11" i="5"/>
  <c r="H12" i="5" s="1"/>
  <c r="I11" i="5"/>
  <c r="I12" i="5" s="1"/>
  <c r="J11" i="5"/>
  <c r="J12" i="5" s="1"/>
  <c r="K11" i="5"/>
  <c r="K12" i="5" s="1"/>
  <c r="L11" i="5"/>
  <c r="L12" i="5" s="1"/>
  <c r="M11" i="5"/>
  <c r="M12" i="5" s="1"/>
  <c r="N11" i="5"/>
  <c r="N12" i="5" s="1"/>
  <c r="O11" i="5"/>
  <c r="O12" i="5" s="1"/>
  <c r="P11" i="5"/>
  <c r="P12" i="5" s="1"/>
  <c r="Q11" i="5"/>
  <c r="Q12" i="5" s="1"/>
  <c r="R11" i="5"/>
  <c r="R12" i="5" s="1"/>
  <c r="S11" i="5"/>
  <c r="S12" i="5" s="1"/>
  <c r="T11" i="5"/>
  <c r="T12" i="5" s="1"/>
  <c r="U11" i="5"/>
  <c r="U12" i="5" s="1"/>
  <c r="V11" i="5"/>
  <c r="V12" i="5" s="1"/>
  <c r="W11" i="5"/>
  <c r="W12" i="5" s="1"/>
  <c r="X11" i="5"/>
  <c r="X12" i="5" s="1"/>
  <c r="Y11" i="5"/>
  <c r="Y12" i="5" s="1"/>
  <c r="Z11" i="5"/>
  <c r="Z12" i="5" s="1"/>
  <c r="AA11" i="5"/>
  <c r="AA12" i="5" s="1"/>
  <c r="AB11" i="5"/>
  <c r="AB12" i="5" s="1"/>
  <c r="AC11" i="5"/>
  <c r="AC12" i="5" s="1"/>
  <c r="AD11" i="5"/>
  <c r="AD12" i="5" s="1"/>
  <c r="AE11" i="5"/>
  <c r="AE12" i="5" s="1"/>
  <c r="AI11" i="5"/>
  <c r="AI12" i="5" s="1"/>
  <c r="AJ11" i="5"/>
  <c r="AJ12" i="5" s="1"/>
  <c r="AK11" i="5"/>
  <c r="AK12" i="5" s="1"/>
  <c r="AL11" i="5"/>
  <c r="AL12" i="5" s="1"/>
  <c r="AM11" i="5"/>
  <c r="AM12" i="5" s="1"/>
  <c r="AN11" i="5"/>
  <c r="AN12" i="5" s="1"/>
  <c r="AO11" i="5"/>
  <c r="AO12" i="5" s="1"/>
  <c r="AP11" i="5"/>
  <c r="AP12" i="5" s="1"/>
  <c r="AQ11" i="5"/>
  <c r="AQ12" i="5" s="1"/>
  <c r="AR11" i="5"/>
  <c r="AR12" i="5" s="1"/>
  <c r="AV11" i="5"/>
  <c r="AV12" i="5" s="1"/>
  <c r="AW11" i="5"/>
  <c r="AW12" i="5" s="1"/>
  <c r="AX11" i="5"/>
  <c r="AX12" i="5" s="1"/>
  <c r="AY11" i="5"/>
  <c r="AY12" i="5" s="1"/>
  <c r="AZ11" i="5"/>
  <c r="AZ12" i="5" s="1"/>
  <c r="BA11" i="5"/>
  <c r="BA12" i="5" s="1"/>
  <c r="BB11" i="5"/>
  <c r="BB12" i="5" s="1"/>
  <c r="BC11" i="5"/>
  <c r="BC12" i="5" s="1"/>
  <c r="BD11" i="5"/>
  <c r="BD12" i="5" s="1"/>
  <c r="BE11" i="5"/>
  <c r="BE12" i="5" s="1"/>
  <c r="BI11" i="5"/>
  <c r="BI12" i="5" s="1"/>
  <c r="BJ11" i="5"/>
  <c r="BJ12" i="5" s="1"/>
  <c r="BK11" i="5"/>
  <c r="BK12" i="5" s="1"/>
  <c r="BL11" i="5"/>
  <c r="BL12" i="5" s="1"/>
  <c r="BM11" i="5"/>
  <c r="BM12" i="5" s="1"/>
  <c r="BN11" i="5"/>
  <c r="BN12" i="5" s="1"/>
  <c r="BO11" i="5"/>
  <c r="BO12" i="5" s="1"/>
  <c r="BP11" i="5"/>
  <c r="BP12" i="5" s="1"/>
  <c r="BQ11" i="5"/>
  <c r="BQ12" i="5" s="1"/>
  <c r="BR11" i="5"/>
  <c r="BR12" i="5" s="1"/>
  <c r="CM11" i="5"/>
  <c r="CM12" i="5" s="1"/>
  <c r="CM54" i="5" s="1"/>
  <c r="CN11" i="5"/>
  <c r="CN12" i="5" s="1"/>
  <c r="CO11" i="5"/>
  <c r="CO12" i="5" s="1"/>
  <c r="CP11" i="5"/>
  <c r="CP12" i="5" s="1"/>
  <c r="CQ11" i="5"/>
  <c r="CQ12" i="5" s="1"/>
  <c r="CR11" i="5"/>
  <c r="CR12" i="5" s="1"/>
  <c r="CS11" i="5"/>
  <c r="CS12" i="5" s="1"/>
  <c r="CS54" i="5" s="1"/>
  <c r="CT11" i="5"/>
  <c r="CT12" i="5" s="1"/>
  <c r="CU11" i="5"/>
  <c r="CU12" i="5" s="1"/>
  <c r="CZ11" i="5"/>
  <c r="CZ12" i="5" s="1"/>
  <c r="DA11" i="5"/>
  <c r="DA12" i="5" s="1"/>
  <c r="DB11" i="5"/>
  <c r="DB12" i="5" s="1"/>
  <c r="DB54" i="5" s="1"/>
  <c r="DC11" i="5"/>
  <c r="DC12" i="5" s="1"/>
  <c r="DD11" i="5"/>
  <c r="DD12" i="5" s="1"/>
  <c r="DD54" i="5" s="1"/>
  <c r="DE11" i="5"/>
  <c r="DE12" i="5" s="1"/>
  <c r="DI11" i="5"/>
  <c r="DI12" i="5" s="1"/>
  <c r="DJ11" i="5"/>
  <c r="DJ12" i="5" s="1"/>
  <c r="DK11" i="5"/>
  <c r="DK12" i="5" s="1"/>
  <c r="DL11" i="5"/>
  <c r="DL12" i="5" s="1"/>
  <c r="DM11" i="5"/>
  <c r="DM12" i="5" s="1"/>
  <c r="DN11" i="5"/>
  <c r="DN12" i="5" s="1"/>
  <c r="DR11" i="5"/>
  <c r="DR12" i="5" s="1"/>
  <c r="DR54" i="5" s="1"/>
  <c r="DS11" i="5"/>
  <c r="DS12" i="5" s="1"/>
  <c r="DT11" i="5"/>
  <c r="DT12" i="5" s="1"/>
  <c r="DT54" i="5" s="1"/>
  <c r="DU11" i="5"/>
  <c r="DU12" i="5" s="1"/>
  <c r="DV11" i="5"/>
  <c r="DV12" i="5" s="1"/>
  <c r="DW11" i="5"/>
  <c r="DW12" i="5" s="1"/>
  <c r="EA11" i="5"/>
  <c r="EA12" i="5" s="1"/>
  <c r="EA54" i="5" s="1"/>
  <c r="EB11" i="5"/>
  <c r="EB12" i="5" s="1"/>
  <c r="EC11" i="5"/>
  <c r="EC12" i="5" s="1"/>
  <c r="EC54" i="5" s="1"/>
  <c r="ED11" i="5"/>
  <c r="ED12" i="5" s="1"/>
  <c r="EE11" i="5"/>
  <c r="EE12" i="5" s="1"/>
  <c r="EF11" i="5"/>
  <c r="EF12" i="5" s="1"/>
  <c r="EJ11" i="5"/>
  <c r="EJ12" i="5" s="1"/>
  <c r="EK11" i="5"/>
  <c r="EK12" i="5" s="1"/>
  <c r="EL11" i="5"/>
  <c r="EL12" i="5" s="1"/>
  <c r="EL54" i="5" s="1"/>
  <c r="EM11" i="5"/>
  <c r="EM12" i="5" s="1"/>
  <c r="EN11" i="5"/>
  <c r="EN12" i="5" s="1"/>
  <c r="EN54" i="5" s="1"/>
  <c r="EO11" i="5"/>
  <c r="EO12" i="5" s="1"/>
  <c r="ES11" i="5"/>
  <c r="ES12" i="5" s="1"/>
  <c r="ET11" i="5"/>
  <c r="ET12" i="5" s="1"/>
  <c r="EU11" i="5"/>
  <c r="EU12" i="5" s="1"/>
  <c r="EV11" i="5"/>
  <c r="EV12" i="5" s="1"/>
  <c r="EW11" i="5"/>
  <c r="EX11" i="5"/>
  <c r="FB11" i="5"/>
  <c r="FB12" i="5" s="1"/>
  <c r="FC11" i="5"/>
  <c r="FC12" i="5" s="1"/>
  <c r="FD11" i="5"/>
  <c r="FD12" i="5" s="1"/>
  <c r="FE11" i="5"/>
  <c r="FE12" i="5" s="1"/>
  <c r="FF11" i="5"/>
  <c r="FF12" i="5" s="1"/>
  <c r="FG11" i="5"/>
  <c r="FG12" i="5" s="1"/>
  <c r="FH11" i="5"/>
  <c r="FH12" i="5" s="1"/>
  <c r="FI11" i="5"/>
  <c r="FI12" i="5" s="1"/>
  <c r="FJ11" i="5"/>
  <c r="FJ12" i="5" s="1"/>
  <c r="FK11" i="5"/>
  <c r="FK12" i="5" s="1"/>
  <c r="FO11" i="5"/>
  <c r="FO12" i="5" s="1"/>
  <c r="FP11" i="5"/>
  <c r="FP12" i="5" s="1"/>
  <c r="FQ11" i="5"/>
  <c r="FQ12" i="5" s="1"/>
  <c r="FR11" i="5"/>
  <c r="FR12" i="5" s="1"/>
  <c r="FS11" i="5"/>
  <c r="FS12" i="5" s="1"/>
  <c r="FT11" i="5"/>
  <c r="FT12" i="5" s="1"/>
  <c r="FU11" i="5"/>
  <c r="FU12" i="5" s="1"/>
  <c r="FV11" i="5"/>
  <c r="FV12" i="5" s="1"/>
  <c r="FW11" i="5"/>
  <c r="FW12" i="5" s="1"/>
  <c r="FX11" i="5"/>
  <c r="FX12" i="5" s="1"/>
  <c r="FY11" i="5"/>
  <c r="FY12" i="5" s="1"/>
  <c r="FZ11" i="5"/>
  <c r="FZ12" i="5" s="1"/>
  <c r="GA11" i="5"/>
  <c r="GA12" i="5" s="1"/>
  <c r="GB11" i="5"/>
  <c r="GB12" i="5" s="1"/>
  <c r="GE11" i="5"/>
  <c r="GE12" i="5" s="1"/>
  <c r="GF11" i="5"/>
  <c r="GF12" i="5" s="1"/>
  <c r="GJ11" i="5"/>
  <c r="GJ12" i="5" s="1"/>
  <c r="GK11" i="5"/>
  <c r="GK12" i="5" s="1"/>
  <c r="GL11" i="5"/>
  <c r="GL12" i="5" s="1"/>
  <c r="GM11" i="5"/>
  <c r="GM12" i="5" s="1"/>
  <c r="GN11" i="5"/>
  <c r="GN12" i="5" s="1"/>
  <c r="GO11" i="5"/>
  <c r="GO12" i="5" s="1"/>
  <c r="GP11" i="5"/>
  <c r="GP12" i="5" s="1"/>
  <c r="GQ11" i="5"/>
  <c r="GQ12" i="5" s="1"/>
  <c r="GR11" i="5"/>
  <c r="GR12" i="5" s="1"/>
  <c r="GS11" i="5"/>
  <c r="GS12" i="5" s="1"/>
  <c r="GT11" i="5"/>
  <c r="GT12" i="5" s="1"/>
  <c r="GU11" i="5"/>
  <c r="GU12" i="5" s="1"/>
  <c r="GV11" i="5"/>
  <c r="GV12" i="5" s="1"/>
  <c r="GW11" i="5"/>
  <c r="GW12" i="5" s="1"/>
  <c r="GX11" i="5"/>
  <c r="GX12" i="5" s="1"/>
  <c r="GY11" i="5"/>
  <c r="GY12" i="5" s="1"/>
  <c r="GZ11" i="5"/>
  <c r="GZ12" i="5" s="1"/>
  <c r="HA11" i="5"/>
  <c r="HA12" i="5" s="1"/>
  <c r="HB11" i="5"/>
  <c r="HB12" i="5" s="1"/>
  <c r="HC11" i="5"/>
  <c r="HC12" i="5" s="1"/>
  <c r="HD11" i="5"/>
  <c r="HD12" i="5" s="1"/>
  <c r="HE11" i="5"/>
  <c r="HE12" i="5" s="1"/>
  <c r="HF11" i="5"/>
  <c r="HF12" i="5" s="1"/>
  <c r="HG11" i="5"/>
  <c r="HG12" i="5" s="1"/>
  <c r="HH11" i="5"/>
  <c r="HH12" i="5" s="1"/>
  <c r="HI11" i="5"/>
  <c r="HI12" i="5" s="1"/>
  <c r="HJ11" i="5"/>
  <c r="HJ12" i="5" s="1"/>
  <c r="HK11" i="5"/>
  <c r="HK12" i="5" s="1"/>
  <c r="HL11" i="5"/>
  <c r="HL12" i="5" s="1"/>
  <c r="HM11" i="5"/>
  <c r="HM12" i="5" s="1"/>
  <c r="HN11" i="5"/>
  <c r="HN12" i="5" s="1"/>
  <c r="HO11" i="5"/>
  <c r="HO12" i="5" s="1"/>
  <c r="HP11" i="5"/>
  <c r="HP12" i="5" s="1"/>
  <c r="HQ11" i="5"/>
  <c r="HQ12" i="5" s="1"/>
  <c r="HR11" i="5"/>
  <c r="HR12" i="5" s="1"/>
  <c r="HS11" i="5"/>
  <c r="HS12" i="5" s="1"/>
  <c r="HT11" i="5"/>
  <c r="HT12" i="5" s="1"/>
  <c r="HU11" i="5"/>
  <c r="HU12" i="5" s="1"/>
  <c r="HV11" i="5"/>
  <c r="HV12" i="5" s="1"/>
  <c r="HW11" i="5"/>
  <c r="HW12" i="5" s="1"/>
  <c r="HX11" i="5"/>
  <c r="HX12" i="5" s="1"/>
  <c r="HY11" i="5"/>
  <c r="HY12" i="5" s="1"/>
  <c r="HZ11" i="5"/>
  <c r="HZ12" i="5" s="1"/>
  <c r="IA11" i="5"/>
  <c r="IA12" i="5" s="1"/>
  <c r="IB11" i="5"/>
  <c r="IB12" i="5" s="1"/>
  <c r="IC11" i="5"/>
  <c r="IC12" i="5" s="1"/>
  <c r="ID11" i="5"/>
  <c r="ID12" i="5" s="1"/>
  <c r="IE11" i="5"/>
  <c r="IE12" i="5" s="1"/>
  <c r="IF11" i="5"/>
  <c r="IF12" i="5" s="1"/>
  <c r="IG11" i="5"/>
  <c r="IG12" i="5" s="1"/>
  <c r="IH11" i="5"/>
  <c r="IH12" i="5" s="1"/>
  <c r="II11" i="5"/>
  <c r="II12" i="5" s="1"/>
  <c r="IJ11" i="5"/>
  <c r="IJ12" i="5" s="1"/>
  <c r="IK11" i="5"/>
  <c r="IK12" i="5" s="1"/>
  <c r="IL11" i="5"/>
  <c r="IL12" i="5" s="1"/>
  <c r="IM11" i="5"/>
  <c r="IM12" i="5" s="1"/>
  <c r="IN11" i="5"/>
  <c r="IN12" i="5" s="1"/>
  <c r="IO11" i="5"/>
  <c r="IO12" i="5" s="1"/>
  <c r="IP11" i="5"/>
  <c r="IP12" i="5" s="1"/>
  <c r="IQ11" i="5"/>
  <c r="IQ12" i="5" s="1"/>
  <c r="IR11" i="5"/>
  <c r="IR12" i="5" s="1"/>
  <c r="IS11" i="5"/>
  <c r="IS12" i="5" s="1"/>
  <c r="IT11" i="5"/>
  <c r="IT12" i="5" s="1"/>
  <c r="IU11" i="5"/>
  <c r="IU12" i="5" s="1"/>
  <c r="IV11" i="5"/>
  <c r="IV12" i="5" s="1"/>
  <c r="IW11" i="5"/>
  <c r="IW12" i="5" s="1"/>
  <c r="IX11" i="5"/>
  <c r="IX12" i="5" s="1"/>
  <c r="IY11" i="5"/>
  <c r="IY12" i="5" s="1"/>
  <c r="IZ11" i="5"/>
  <c r="IZ12" i="5" s="1"/>
  <c r="JA11" i="5"/>
  <c r="JA12" i="5" s="1"/>
  <c r="JB11" i="5"/>
  <c r="JB12" i="5" s="1"/>
  <c r="JC11" i="5"/>
  <c r="JC12" i="5" s="1"/>
  <c r="JD11" i="5"/>
  <c r="JD12" i="5" s="1"/>
  <c r="JE11" i="5"/>
  <c r="JE12" i="5" s="1"/>
  <c r="JF11" i="5"/>
  <c r="JF12" i="5" s="1"/>
  <c r="JG11" i="5"/>
  <c r="JG12" i="5" s="1"/>
  <c r="JH11" i="5"/>
  <c r="JH12" i="5" s="1"/>
  <c r="JI11" i="5"/>
  <c r="JI12" i="5" s="1"/>
  <c r="JJ11" i="5"/>
  <c r="JJ12" i="5" s="1"/>
  <c r="JK11" i="5"/>
  <c r="JK12" i="5" s="1"/>
  <c r="JL11" i="5"/>
  <c r="JL12" i="5" s="1"/>
  <c r="JM11" i="5"/>
  <c r="JM12" i="5" s="1"/>
  <c r="JN11" i="5"/>
  <c r="JN12" i="5" s="1"/>
  <c r="JO11" i="5"/>
  <c r="JO12" i="5" s="1"/>
  <c r="JP11" i="5"/>
  <c r="JP12" i="5" s="1"/>
  <c r="JQ11" i="5"/>
  <c r="JQ12" i="5" s="1"/>
  <c r="JR11" i="5"/>
  <c r="JR12" i="5" s="1"/>
  <c r="JS11" i="5"/>
  <c r="JS12" i="5" s="1"/>
  <c r="JT11" i="5"/>
  <c r="JT12" i="5" s="1"/>
  <c r="JU11" i="5"/>
  <c r="JU12" i="5" s="1"/>
  <c r="JV11" i="5"/>
  <c r="JV12" i="5" s="1"/>
  <c r="JW11" i="5"/>
  <c r="JW12" i="5" s="1"/>
  <c r="JX11" i="5"/>
  <c r="JX12" i="5" s="1"/>
  <c r="JY11" i="5"/>
  <c r="JY12" i="5" s="1"/>
  <c r="JZ11" i="5"/>
  <c r="JZ12" i="5" s="1"/>
  <c r="KA11" i="5"/>
  <c r="KA12" i="5" s="1"/>
  <c r="KB11" i="5"/>
  <c r="KB12" i="5" s="1"/>
  <c r="KC11" i="5"/>
  <c r="KC12" i="5" s="1"/>
  <c r="KD11" i="5"/>
  <c r="KD12" i="5" s="1"/>
  <c r="KE11" i="5"/>
  <c r="KE12" i="5" s="1"/>
  <c r="KF11" i="5"/>
  <c r="KF12" i="5" s="1"/>
  <c r="KG11" i="5"/>
  <c r="KG12" i="5" s="1"/>
  <c r="KH11" i="5"/>
  <c r="KH12" i="5" s="1"/>
  <c r="KI11" i="5"/>
  <c r="KI12" i="5" s="1"/>
  <c r="KJ11" i="5"/>
  <c r="KJ12" i="5" s="1"/>
  <c r="KK11" i="5"/>
  <c r="KK12" i="5" s="1"/>
  <c r="KL11" i="5"/>
  <c r="KL12" i="5" s="1"/>
  <c r="KM11" i="5"/>
  <c r="KM12" i="5" s="1"/>
  <c r="KN11" i="5"/>
  <c r="KN12" i="5" s="1"/>
  <c r="KO11" i="5"/>
  <c r="KO12" i="5" s="1"/>
  <c r="KP11" i="5"/>
  <c r="KP12" i="5" s="1"/>
  <c r="KQ11" i="5"/>
  <c r="KQ12" i="5" s="1"/>
  <c r="KR11" i="5"/>
  <c r="KR12" i="5" s="1"/>
  <c r="KS11" i="5"/>
  <c r="KS12" i="5" s="1"/>
  <c r="KT11" i="5"/>
  <c r="KT12" i="5" s="1"/>
  <c r="KU11" i="5"/>
  <c r="KU12" i="5" s="1"/>
  <c r="KY11" i="5"/>
  <c r="KY12" i="5" s="1"/>
  <c r="KZ11" i="5"/>
  <c r="KZ12" i="5" s="1"/>
  <c r="LA11" i="5"/>
  <c r="LA12" i="5" s="1"/>
  <c r="LB11" i="5"/>
  <c r="LB12" i="5" s="1"/>
  <c r="LC11" i="5"/>
  <c r="LC12" i="5" s="1"/>
  <c r="LD11" i="5"/>
  <c r="LD12" i="5" s="1"/>
  <c r="LE11" i="5"/>
  <c r="LE12" i="5" s="1"/>
  <c r="LF11" i="5"/>
  <c r="LF12" i="5" s="1"/>
  <c r="LG11" i="5"/>
  <c r="LG12" i="5" s="1"/>
  <c r="LH11" i="5"/>
  <c r="LH12" i="5" s="1"/>
  <c r="LI11" i="5"/>
  <c r="LI12" i="5" s="1"/>
  <c r="LJ11" i="5"/>
  <c r="LK11" i="5"/>
  <c r="LL11" i="5"/>
  <c r="LL12" i="5" s="1"/>
  <c r="LM11" i="5"/>
  <c r="LM12" i="5" s="1"/>
  <c r="LN11" i="5"/>
  <c r="LN12" i="5" s="1"/>
  <c r="LT11" i="5"/>
  <c r="LT12" i="5" s="1"/>
  <c r="LU11" i="5"/>
  <c r="LU12" i="5" s="1"/>
  <c r="LV11" i="5"/>
  <c r="LV12" i="5" s="1"/>
  <c r="LW11" i="5"/>
  <c r="LW12" i="5" s="1"/>
  <c r="LX11" i="5"/>
  <c r="LX12" i="5" s="1"/>
  <c r="LY11" i="5"/>
  <c r="LY12" i="5" s="1"/>
  <c r="LZ11" i="5"/>
  <c r="LZ12" i="5" s="1"/>
  <c r="MA11" i="5"/>
  <c r="MA12" i="5" s="1"/>
  <c r="ME11" i="5"/>
  <c r="ME12" i="5" s="1"/>
  <c r="MF11" i="5"/>
  <c r="MF12" i="5" s="1"/>
  <c r="MG11" i="5"/>
  <c r="MG12" i="5" s="1"/>
  <c r="MH11" i="5"/>
  <c r="MH12" i="5" s="1"/>
  <c r="MH54" i="5" s="1"/>
  <c r="MI11" i="5"/>
  <c r="MI12" i="5" s="1"/>
  <c r="MJ11" i="5"/>
  <c r="MJ12" i="5" s="1"/>
  <c r="MK11" i="5"/>
  <c r="MK12" i="5" s="1"/>
  <c r="ML11" i="5"/>
  <c r="ML12" i="5" s="1"/>
  <c r="MM11" i="5"/>
  <c r="MM12" i="5" s="1"/>
  <c r="MN11" i="5"/>
  <c r="MN12" i="5" s="1"/>
  <c r="MR11" i="5"/>
  <c r="MR12" i="5" s="1"/>
  <c r="MS11" i="5"/>
  <c r="MS12" i="5" s="1"/>
  <c r="MS54" i="5" s="1"/>
  <c r="MT11" i="5"/>
  <c r="MT12" i="5" s="1"/>
  <c r="MU11" i="5"/>
  <c r="MU12" i="5" s="1"/>
  <c r="MV11" i="5"/>
  <c r="MV12" i="5" s="1"/>
  <c r="MW11" i="5"/>
  <c r="MW12" i="5" s="1"/>
  <c r="MX11" i="5"/>
  <c r="MX12" i="5" s="1"/>
  <c r="MY11" i="5"/>
  <c r="MY12" i="5" s="1"/>
  <c r="NC11" i="5"/>
  <c r="NC12" i="5" s="1"/>
  <c r="ND11" i="5"/>
  <c r="ND12" i="5" s="1"/>
  <c r="ND54" i="5" s="1"/>
  <c r="NE11" i="5"/>
  <c r="NE12" i="5" s="1"/>
  <c r="NF11" i="5"/>
  <c r="NF12" i="5" s="1"/>
  <c r="NG11" i="5"/>
  <c r="NG12" i="5" s="1"/>
  <c r="NH11" i="5"/>
  <c r="NH12" i="5" s="1"/>
  <c r="NI11" i="5"/>
  <c r="NI12" i="5" s="1"/>
  <c r="NJ11" i="5"/>
  <c r="NJ12" i="5" s="1"/>
  <c r="NK11" i="5"/>
  <c r="NK12" i="5" s="1"/>
  <c r="NL11" i="5"/>
  <c r="NL12" i="5" s="1"/>
  <c r="NM11" i="5"/>
  <c r="NM12" i="5" s="1"/>
  <c r="NN11" i="5"/>
  <c r="NN12" i="5" s="1"/>
  <c r="NO11" i="5"/>
  <c r="NO12" i="5" s="1"/>
  <c r="NP11" i="5"/>
  <c r="NP12" i="5" s="1"/>
  <c r="NQ11" i="5"/>
  <c r="NQ12" i="5" s="1"/>
  <c r="NR11" i="5"/>
  <c r="NR12" i="5" s="1"/>
  <c r="NS11" i="5"/>
  <c r="NS12" i="5" s="1"/>
  <c r="NT11" i="5"/>
  <c r="NT12" i="5" s="1"/>
  <c r="NU11" i="5"/>
  <c r="NU12" i="5" s="1"/>
  <c r="NV11" i="5"/>
  <c r="NV12" i="5" s="1"/>
  <c r="NZ11" i="5"/>
  <c r="NZ12" i="5" s="1"/>
  <c r="OA11" i="5"/>
  <c r="OA12" i="5" s="1"/>
  <c r="OB11" i="5"/>
  <c r="OB12" i="5" s="1"/>
  <c r="OC11" i="5"/>
  <c r="OC12" i="5" s="1"/>
  <c r="OD11" i="5"/>
  <c r="OD12" i="5" s="1"/>
  <c r="OE11" i="5"/>
  <c r="OE12" i="5" s="1"/>
  <c r="OI11" i="5"/>
  <c r="OI12" i="5" s="1"/>
  <c r="OJ11" i="5"/>
  <c r="OJ12" i="5" s="1"/>
  <c r="OK11" i="5"/>
  <c r="OK12" i="5" s="1"/>
  <c r="OL11" i="5"/>
  <c r="OL12" i="5" s="1"/>
  <c r="OM11" i="5"/>
  <c r="OM12" i="5" s="1"/>
  <c r="ON11" i="5"/>
  <c r="ON12" i="5" s="1"/>
  <c r="OO11" i="5"/>
  <c r="OO12" i="5" s="1"/>
  <c r="OP11" i="5"/>
  <c r="OP12" i="5" s="1"/>
  <c r="OP54" i="5" s="1"/>
  <c r="OQ11" i="5"/>
  <c r="OQ12" i="5" s="1"/>
  <c r="OR11" i="5"/>
  <c r="OR12" i="5" s="1"/>
  <c r="OS11" i="5"/>
  <c r="OS12" i="5" s="1"/>
  <c r="OT11" i="5"/>
  <c r="OT12" i="5" s="1"/>
  <c r="OU11" i="5"/>
  <c r="OU12" i="5" s="1"/>
  <c r="OV11" i="5"/>
  <c r="OV12" i="5" s="1"/>
  <c r="OZ11" i="5"/>
  <c r="OZ12" i="5" s="1"/>
  <c r="PA11" i="5"/>
  <c r="PA12" i="5" s="1"/>
  <c r="PB11" i="5"/>
  <c r="PB12" i="5" s="1"/>
  <c r="PC11" i="5"/>
  <c r="PC12" i="5" s="1"/>
  <c r="PD11" i="5"/>
  <c r="PD12" i="5" s="1"/>
  <c r="PE11" i="5"/>
  <c r="PE12" i="5" s="1"/>
  <c r="PF11" i="5"/>
  <c r="PF12" i="5" s="1"/>
  <c r="PG11" i="5"/>
  <c r="PG12" i="5" s="1"/>
  <c r="PH11" i="5"/>
  <c r="PH12" i="5" s="1"/>
  <c r="PI11" i="5"/>
  <c r="PI12" i="5" s="1"/>
  <c r="PJ11" i="5"/>
  <c r="PJ12" i="5" s="1"/>
  <c r="PK11" i="5"/>
  <c r="PK12" i="5" s="1"/>
  <c r="PL11" i="5"/>
  <c r="PL12" i="5" s="1"/>
  <c r="PM11" i="5"/>
  <c r="PM12" i="5" s="1"/>
  <c r="PN11" i="5"/>
  <c r="PN12" i="5" s="1"/>
  <c r="PP11" i="5"/>
  <c r="PP12" i="5" s="1"/>
  <c r="PQ11" i="5"/>
  <c r="PQ12" i="5" s="1"/>
  <c r="PR11" i="5"/>
  <c r="PR12" i="5" s="1"/>
  <c r="PS11" i="5"/>
  <c r="PS12" i="5" s="1"/>
  <c r="PT11" i="5"/>
  <c r="PT12" i="5" s="1"/>
  <c r="PU11" i="5"/>
  <c r="PU12" i="5" s="1"/>
  <c r="QI11" i="5"/>
  <c r="QI12" i="5" s="1"/>
  <c r="QJ11" i="5"/>
  <c r="QJ12" i="5" s="1"/>
  <c r="QK11" i="5"/>
  <c r="QK12" i="5" s="1"/>
  <c r="QL11" i="5"/>
  <c r="QL12" i="5" s="1"/>
  <c r="QB11" i="5"/>
  <c r="QB12" i="5" s="1"/>
  <c r="QC11" i="5"/>
  <c r="QC12" i="5" s="1"/>
  <c r="QD11" i="5"/>
  <c r="QD12" i="5" s="1"/>
  <c r="QE11" i="5"/>
  <c r="QE12" i="5" s="1"/>
  <c r="QF11" i="5"/>
  <c r="QF12" i="5" s="1"/>
  <c r="QG11" i="5"/>
  <c r="QG12" i="5" s="1"/>
  <c r="QH11" i="5"/>
  <c r="QH12" i="5" s="1"/>
  <c r="QM11" i="5"/>
  <c r="QM12" i="5" s="1"/>
  <c r="QN11" i="5"/>
  <c r="QN12" i="5" s="1"/>
  <c r="QO11" i="5"/>
  <c r="QO12" i="5" s="1"/>
  <c r="QP11" i="5"/>
  <c r="QP12" i="5" s="1"/>
  <c r="QQ11" i="5"/>
  <c r="QQ12" i="5" s="1"/>
  <c r="QR11" i="5"/>
  <c r="QR12" i="5" s="1"/>
  <c r="QS11" i="5"/>
  <c r="QS12" i="5" s="1"/>
  <c r="QT11" i="5"/>
  <c r="QT12" i="5" s="1"/>
  <c r="RB11" i="5"/>
  <c r="RB12" i="5" s="1"/>
  <c r="RC11" i="5"/>
  <c r="RC12" i="5" s="1"/>
  <c r="QU11" i="5"/>
  <c r="QU12" i="5" s="1"/>
  <c r="QV11" i="5"/>
  <c r="QV12" i="5" s="1"/>
  <c r="QW11" i="5"/>
  <c r="QW12" i="5" s="1"/>
  <c r="QX11" i="5"/>
  <c r="QX12" i="5" s="1"/>
  <c r="QY11" i="5"/>
  <c r="QY12" i="5" s="1"/>
  <c r="QZ11" i="5"/>
  <c r="QZ12" i="5" s="1"/>
  <c r="RA11" i="5"/>
  <c r="RA12" i="5" s="1"/>
  <c r="RD11" i="5"/>
  <c r="RD12" i="5" s="1"/>
  <c r="RE11" i="5"/>
  <c r="RE12" i="5" s="1"/>
  <c r="PV11" i="5"/>
  <c r="PV12" i="5" s="1"/>
  <c r="PW11" i="5"/>
  <c r="PW12" i="5" s="1"/>
  <c r="PX11" i="5"/>
  <c r="PX12" i="5" s="1"/>
  <c r="PY11" i="5"/>
  <c r="PY12" i="5" s="1"/>
  <c r="PZ11" i="5"/>
  <c r="PZ12" i="5" s="1"/>
  <c r="QA11" i="5"/>
  <c r="QA12" i="5" s="1"/>
  <c r="RF11" i="5"/>
  <c r="RF12" i="5" s="1"/>
  <c r="RG11" i="5"/>
  <c r="RG12" i="5" s="1"/>
  <c r="RH11" i="5"/>
  <c r="RH12" i="5" s="1"/>
  <c r="RI11" i="5"/>
  <c r="RI12" i="5" s="1"/>
  <c r="RJ11" i="5"/>
  <c r="RJ12" i="5" s="1"/>
  <c r="RK11" i="5"/>
  <c r="RK12" i="5" s="1"/>
  <c r="RL11" i="5"/>
  <c r="RL12" i="5" s="1"/>
  <c r="RM11" i="5"/>
  <c r="RM12" i="5" s="1"/>
  <c r="RN11" i="5"/>
  <c r="RN12" i="5" s="1"/>
  <c r="RU11" i="5"/>
  <c r="RU12" i="5" s="1"/>
  <c r="RV11" i="5"/>
  <c r="RV12" i="5" s="1"/>
  <c r="RW11" i="5"/>
  <c r="RW12" i="5" s="1"/>
  <c r="RX11" i="5"/>
  <c r="RX12" i="5" s="1"/>
  <c r="RY11" i="5"/>
  <c r="RY12" i="5" s="1"/>
  <c r="RZ11" i="5"/>
  <c r="RZ12" i="5" s="1"/>
  <c r="SA11" i="5"/>
  <c r="SA12" i="5" s="1"/>
  <c r="SB11" i="5"/>
  <c r="SB12" i="5" s="1"/>
  <c r="SC11" i="5"/>
  <c r="SC12" i="5" s="1"/>
  <c r="SD11" i="5"/>
  <c r="SD12" i="5" s="1"/>
  <c r="SE11" i="5"/>
  <c r="SE12" i="5" s="1"/>
  <c r="SF11" i="5"/>
  <c r="SF12" i="5" s="1"/>
  <c r="SG11" i="5"/>
  <c r="SG12" i="5" s="1"/>
  <c r="SH11" i="5"/>
  <c r="SH12" i="5" s="1"/>
  <c r="SI11" i="5"/>
  <c r="SI12" i="5" s="1"/>
  <c r="SJ11" i="5"/>
  <c r="SJ12" i="5" s="1"/>
  <c r="SK11" i="5"/>
  <c r="SK12" i="5" s="1"/>
  <c r="SL11" i="5"/>
  <c r="SL12" i="5" s="1"/>
  <c r="SM11" i="5"/>
  <c r="SM12" i="5" s="1"/>
  <c r="SO11" i="5"/>
  <c r="SO12" i="5" s="1"/>
  <c r="SP11" i="5"/>
  <c r="SP12" i="5" s="1"/>
  <c r="G88" i="14" l="1"/>
  <c r="DV54" i="5"/>
  <c r="L95" i="14"/>
  <c r="CZ54" i="5"/>
  <c r="EJ54" i="5"/>
  <c r="PJ54" i="5"/>
  <c r="PB54" i="5"/>
  <c r="MT54" i="5"/>
  <c r="MI54" i="5"/>
  <c r="LX54" i="5"/>
  <c r="LC54" i="5"/>
  <c r="IN54" i="5"/>
  <c r="IF54" i="5"/>
  <c r="GR54" i="5"/>
  <c r="GJ54" i="5"/>
  <c r="FW54" i="5"/>
  <c r="FO54" i="5"/>
  <c r="NL54" i="5"/>
  <c r="NM54" i="5"/>
  <c r="FD54" i="5"/>
  <c r="EE54" i="5"/>
  <c r="CP54" i="5"/>
  <c r="K30" i="18"/>
  <c r="LJ15" i="5"/>
  <c r="LR14" i="5"/>
  <c r="LC15" i="5"/>
  <c r="LQ14" i="5"/>
  <c r="LJ12" i="5"/>
  <c r="LR12" i="5" s="1"/>
  <c r="LR11" i="5"/>
  <c r="LK12" i="5"/>
  <c r="LQ12" i="5" s="1"/>
  <c r="LQ11" i="5"/>
  <c r="LW54" i="5"/>
  <c r="LJ54" i="5"/>
  <c r="N45" i="15"/>
  <c r="J29" i="19"/>
  <c r="J30" i="18"/>
  <c r="BK54" i="5"/>
  <c r="AZ54" i="5"/>
  <c r="AO54" i="5"/>
  <c r="AD54" i="5"/>
  <c r="V54" i="5"/>
  <c r="Q14" i="20"/>
  <c r="P29" i="19"/>
  <c r="W29" i="20"/>
  <c r="K91" i="14"/>
  <c r="N100" i="14"/>
  <c r="N13" i="15"/>
  <c r="M29" i="19"/>
  <c r="Q29" i="19" s="1"/>
  <c r="R29" i="19"/>
  <c r="G29" i="19"/>
  <c r="L30" i="18"/>
  <c r="M29" i="18"/>
  <c r="SH54" i="5"/>
  <c r="RZ54" i="5"/>
  <c r="QZ54" i="5"/>
  <c r="QT54" i="5"/>
  <c r="QH54" i="5"/>
  <c r="QK54" i="5"/>
  <c r="PP54" i="5"/>
  <c r="PG54" i="5"/>
  <c r="OV54" i="5"/>
  <c r="ON54" i="5"/>
  <c r="MF54" i="5"/>
  <c r="KG54" i="5"/>
  <c r="JY54" i="5"/>
  <c r="JQ54" i="5"/>
  <c r="JI54" i="5"/>
  <c r="JA54" i="5"/>
  <c r="IS54" i="5"/>
  <c r="IK54" i="5"/>
  <c r="IC54" i="5"/>
  <c r="HU54" i="5"/>
  <c r="HM54" i="5"/>
  <c r="HE54" i="5"/>
  <c r="GB54" i="5"/>
  <c r="FT54" i="5"/>
  <c r="BP54" i="5"/>
  <c r="BE54" i="5"/>
  <c r="AW54" i="5"/>
  <c r="AL54" i="5"/>
  <c r="K54" i="5"/>
  <c r="SM19" i="5"/>
  <c r="SM20" i="5" s="1"/>
  <c r="SA19" i="5"/>
  <c r="SA20" i="5" s="1"/>
  <c r="RI19" i="5"/>
  <c r="RB19" i="5"/>
  <c r="RB20" i="5" s="1"/>
  <c r="QL19" i="5"/>
  <c r="QL20" i="5" s="1"/>
  <c r="PH19" i="5"/>
  <c r="PH20" i="5" s="1"/>
  <c r="OS19" i="5"/>
  <c r="OK19" i="5"/>
  <c r="OK20" i="5" s="1"/>
  <c r="NZ19" i="5"/>
  <c r="NK19" i="5"/>
  <c r="NK20" i="5" s="1"/>
  <c r="MV19" i="5"/>
  <c r="LZ19" i="5"/>
  <c r="LZ20" i="5" s="1"/>
  <c r="LE19" i="5"/>
  <c r="LE20" i="5" s="1"/>
  <c r="KP19" i="5"/>
  <c r="KP20" i="5" s="1"/>
  <c r="KH19" i="5"/>
  <c r="JZ19" i="5"/>
  <c r="JZ20" i="5" s="1"/>
  <c r="JN19" i="5"/>
  <c r="JN20" i="5" s="1"/>
  <c r="JB19" i="5"/>
  <c r="JB20" i="5" s="1"/>
  <c r="IP19" i="5"/>
  <c r="ID19" i="5"/>
  <c r="ID20" i="5" s="1"/>
  <c r="HR19" i="5"/>
  <c r="HR20" i="5" s="1"/>
  <c r="HB19" i="5"/>
  <c r="HB20" i="5" s="1"/>
  <c r="GX19" i="5"/>
  <c r="GL19" i="5"/>
  <c r="GL20" i="5" s="1"/>
  <c r="FJ19" i="5"/>
  <c r="FJ20" i="5" s="1"/>
  <c r="EB19" i="5"/>
  <c r="EB20" i="5" s="1"/>
  <c r="DJ19" i="5"/>
  <c r="CQ19" i="5"/>
  <c r="CQ20" i="5" s="1"/>
  <c r="BD19" i="5"/>
  <c r="BD20" i="5" s="1"/>
  <c r="AD19" i="5"/>
  <c r="AD20" i="5" s="1"/>
  <c r="SL19" i="5"/>
  <c r="SH19" i="5"/>
  <c r="SH20" i="5" s="1"/>
  <c r="SD19" i="5"/>
  <c r="SD20" i="5" s="1"/>
  <c r="RZ19" i="5"/>
  <c r="RZ20" i="5" s="1"/>
  <c r="RV19" i="5"/>
  <c r="RV20" i="5" s="1"/>
  <c r="RL19" i="5"/>
  <c r="RL20" i="5" s="1"/>
  <c r="RH19" i="5"/>
  <c r="RH20" i="5" s="1"/>
  <c r="PZ19" i="5"/>
  <c r="PZ20" i="5" s="1"/>
  <c r="PV19" i="5"/>
  <c r="QZ19" i="5"/>
  <c r="QZ20" i="5" s="1"/>
  <c r="QV19" i="5"/>
  <c r="QV20" i="5" s="1"/>
  <c r="QT19" i="5"/>
  <c r="QT20" i="5" s="1"/>
  <c r="QP19" i="5"/>
  <c r="QH19" i="5"/>
  <c r="QH20" i="5" s="1"/>
  <c r="QD19" i="5"/>
  <c r="QD20" i="5" s="1"/>
  <c r="QK19" i="5"/>
  <c r="QK20" i="5" s="1"/>
  <c r="PT19" i="5"/>
  <c r="PP19" i="5"/>
  <c r="PP20" i="5" s="1"/>
  <c r="PK19" i="5"/>
  <c r="PK20" i="5" s="1"/>
  <c r="PG19" i="5"/>
  <c r="PG20" i="5" s="1"/>
  <c r="PC19" i="5"/>
  <c r="OV19" i="5"/>
  <c r="OV20" i="5" s="1"/>
  <c r="OR19" i="5"/>
  <c r="OR20" i="5" s="1"/>
  <c r="ON19" i="5"/>
  <c r="ON20" i="5" s="1"/>
  <c r="OJ19" i="5"/>
  <c r="OC19" i="5"/>
  <c r="OC20" i="5" s="1"/>
  <c r="NV19" i="5"/>
  <c r="NV20" i="5" s="1"/>
  <c r="NR19" i="5"/>
  <c r="NR20" i="5" s="1"/>
  <c r="NN19" i="5"/>
  <c r="NJ19" i="5"/>
  <c r="NJ20" i="5" s="1"/>
  <c r="NF19" i="5"/>
  <c r="NF20" i="5" s="1"/>
  <c r="MY19" i="5"/>
  <c r="MY20" i="5" s="1"/>
  <c r="MU19" i="5"/>
  <c r="MN19" i="5"/>
  <c r="MN20" i="5" s="1"/>
  <c r="MJ19" i="5"/>
  <c r="MJ20" i="5" s="1"/>
  <c r="MF19" i="5"/>
  <c r="MF20" i="5" s="1"/>
  <c r="LY19" i="5"/>
  <c r="LU19" i="5"/>
  <c r="LU20" i="5" s="1"/>
  <c r="LL19" i="5"/>
  <c r="LL20" i="5" s="1"/>
  <c r="LH19" i="5"/>
  <c r="LH20" i="5" s="1"/>
  <c r="LD19" i="5"/>
  <c r="KZ19" i="5"/>
  <c r="KZ20" i="5" s="1"/>
  <c r="KS19" i="5"/>
  <c r="KS20" i="5" s="1"/>
  <c r="KO19" i="5"/>
  <c r="KO20" i="5" s="1"/>
  <c r="KK19" i="5"/>
  <c r="KG19" i="5"/>
  <c r="KG20" i="5" s="1"/>
  <c r="KC19" i="5"/>
  <c r="KC20" i="5" s="1"/>
  <c r="JY19" i="5"/>
  <c r="JY20" i="5" s="1"/>
  <c r="JU19" i="5"/>
  <c r="JU20" i="5" s="1"/>
  <c r="JQ19" i="5"/>
  <c r="JQ20" i="5" s="1"/>
  <c r="JM19" i="5"/>
  <c r="JM20" i="5" s="1"/>
  <c r="JI19" i="5"/>
  <c r="JI20" i="5" s="1"/>
  <c r="JE19" i="5"/>
  <c r="JA19" i="5"/>
  <c r="IW19" i="5"/>
  <c r="IW20" i="5" s="1"/>
  <c r="IS19" i="5"/>
  <c r="IS20" i="5" s="1"/>
  <c r="IO19" i="5"/>
  <c r="IK19" i="5"/>
  <c r="IK20" i="5" s="1"/>
  <c r="IG19" i="5"/>
  <c r="IG20" i="5" s="1"/>
  <c r="IC19" i="5"/>
  <c r="IC20" i="5" s="1"/>
  <c r="HY19" i="5"/>
  <c r="HU19" i="5"/>
  <c r="HU20" i="5" s="1"/>
  <c r="HQ19" i="5"/>
  <c r="HQ20" i="5" s="1"/>
  <c r="HM19" i="5"/>
  <c r="HM20" i="5" s="1"/>
  <c r="HI19" i="5"/>
  <c r="HE19" i="5"/>
  <c r="HE20" i="5" s="1"/>
  <c r="HA19" i="5"/>
  <c r="HA20" i="5" s="1"/>
  <c r="GW19" i="5"/>
  <c r="GW20" i="5" s="1"/>
  <c r="GS19" i="5"/>
  <c r="GS20" i="5" s="1"/>
  <c r="GO19" i="5"/>
  <c r="GO20" i="5" s="1"/>
  <c r="GK19" i="5"/>
  <c r="GK20" i="5" s="1"/>
  <c r="GB19" i="5"/>
  <c r="GB20" i="5" s="1"/>
  <c r="FX19" i="5"/>
  <c r="FX20" i="5" s="1"/>
  <c r="FT19" i="5"/>
  <c r="FT20" i="5" s="1"/>
  <c r="FP19" i="5"/>
  <c r="FP20" i="5" s="1"/>
  <c r="FI19" i="5"/>
  <c r="FI20" i="5" s="1"/>
  <c r="FE19" i="5"/>
  <c r="EW19" i="5"/>
  <c r="EL19" i="5"/>
  <c r="EL20" i="5" s="1"/>
  <c r="EA19" i="5"/>
  <c r="EA20" i="5" s="1"/>
  <c r="DT19" i="5"/>
  <c r="DM19" i="5"/>
  <c r="DM20" i="5" s="1"/>
  <c r="DI19" i="5"/>
  <c r="DI20" i="5" s="1"/>
  <c r="DB19" i="5"/>
  <c r="DB20" i="5" s="1"/>
  <c r="CT19" i="5"/>
  <c r="CP19" i="5"/>
  <c r="CP20" i="5" s="1"/>
  <c r="BR19" i="5"/>
  <c r="BR20" i="5" s="1"/>
  <c r="BN19" i="5"/>
  <c r="BN20" i="5" s="1"/>
  <c r="BJ19" i="5"/>
  <c r="BC19" i="5"/>
  <c r="BC20" i="5" s="1"/>
  <c r="AY19" i="5"/>
  <c r="AY20" i="5" s="1"/>
  <c r="AR19" i="5"/>
  <c r="AR20" i="5" s="1"/>
  <c r="AN19" i="5"/>
  <c r="AJ19" i="5"/>
  <c r="AJ20" i="5" s="1"/>
  <c r="AC19" i="5"/>
  <c r="AC20" i="5" s="1"/>
  <c r="Y19" i="5"/>
  <c r="Y20" i="5" s="1"/>
  <c r="U19" i="5"/>
  <c r="Q19" i="5"/>
  <c r="Q20" i="5" s="1"/>
  <c r="M19" i="5"/>
  <c r="M20" i="5" s="1"/>
  <c r="I19" i="5"/>
  <c r="I20" i="5" s="1"/>
  <c r="QY54" i="5"/>
  <c r="QS54" i="5"/>
  <c r="QG54" i="5"/>
  <c r="QJ54" i="5"/>
  <c r="PF54" i="5"/>
  <c r="OU54" i="5"/>
  <c r="OM54" i="5"/>
  <c r="OB54" i="5"/>
  <c r="ME54" i="5"/>
  <c r="KF54" i="5"/>
  <c r="JX54" i="5"/>
  <c r="JH54" i="5"/>
  <c r="IZ54" i="5"/>
  <c r="IR54" i="5"/>
  <c r="IB54" i="5"/>
  <c r="HT54" i="5"/>
  <c r="HL54" i="5"/>
  <c r="HD54" i="5"/>
  <c r="GV54" i="5"/>
  <c r="GA54" i="5"/>
  <c r="R54" i="5"/>
  <c r="J54" i="5"/>
  <c r="SE19" i="5"/>
  <c r="SE20" i="5" s="1"/>
  <c r="RM19" i="5"/>
  <c r="QA19" i="5"/>
  <c r="QA20" i="5" s="1"/>
  <c r="RA19" i="5"/>
  <c r="RA20" i="5" s="1"/>
  <c r="QQ19" i="5"/>
  <c r="QQ20" i="5" s="1"/>
  <c r="QE19" i="5"/>
  <c r="PL19" i="5"/>
  <c r="PL20" i="5" s="1"/>
  <c r="OZ19" i="5"/>
  <c r="OZ20" i="5" s="1"/>
  <c r="OD19" i="5"/>
  <c r="OD20" i="5" s="1"/>
  <c r="NO19" i="5"/>
  <c r="NC19" i="5"/>
  <c r="NC20" i="5" s="1"/>
  <c r="MR19" i="5"/>
  <c r="MR20" i="5" s="1"/>
  <c r="MG19" i="5"/>
  <c r="MG20" i="5" s="1"/>
  <c r="LM19" i="5"/>
  <c r="LA19" i="5"/>
  <c r="KL19" i="5"/>
  <c r="JV19" i="5"/>
  <c r="JV20" i="5" s="1"/>
  <c r="JJ19" i="5"/>
  <c r="IX19" i="5"/>
  <c r="IX20" i="5" s="1"/>
  <c r="IL19" i="5"/>
  <c r="IL20" i="5" s="1"/>
  <c r="HZ19" i="5"/>
  <c r="HZ20" i="5" s="1"/>
  <c r="HN19" i="5"/>
  <c r="HF19" i="5"/>
  <c r="HF20" i="5" s="1"/>
  <c r="GT19" i="5"/>
  <c r="GT20" i="5" s="1"/>
  <c r="GE19" i="5"/>
  <c r="GE20" i="5" s="1"/>
  <c r="FU19" i="5"/>
  <c r="FB19" i="5"/>
  <c r="EF19" i="5"/>
  <c r="EF20" i="5" s="1"/>
  <c r="DN19" i="5"/>
  <c r="DN20" i="5" s="1"/>
  <c r="DC19" i="5"/>
  <c r="DC20" i="5" s="1"/>
  <c r="CM19" i="5"/>
  <c r="CM20" i="5" s="1"/>
  <c r="BK19" i="5"/>
  <c r="BK20" i="5" s="1"/>
  <c r="AV19" i="5"/>
  <c r="AV20" i="5" s="1"/>
  <c r="AK19" i="5"/>
  <c r="AK20" i="5" s="1"/>
  <c r="V19" i="5"/>
  <c r="V20" i="5" s="1"/>
  <c r="N19" i="5"/>
  <c r="N20" i="5" s="1"/>
  <c r="J19" i="5"/>
  <c r="J20" i="5" s="1"/>
  <c r="IO54" i="5"/>
  <c r="IG54" i="5"/>
  <c r="GS54" i="5"/>
  <c r="GK54" i="5"/>
  <c r="FX54" i="5"/>
  <c r="SP19" i="5"/>
  <c r="SP20" i="5" s="1"/>
  <c r="SK19" i="5"/>
  <c r="SK20" i="5" s="1"/>
  <c r="SG19" i="5"/>
  <c r="SG20" i="5" s="1"/>
  <c r="SC19" i="5"/>
  <c r="RY19" i="5"/>
  <c r="RY20" i="5" s="1"/>
  <c r="RU19" i="5"/>
  <c r="RU20" i="5" s="1"/>
  <c r="RK19" i="5"/>
  <c r="RK20" i="5" s="1"/>
  <c r="RG19" i="5"/>
  <c r="RG20" i="5" s="1"/>
  <c r="PY19" i="5"/>
  <c r="RE19" i="5"/>
  <c r="RE20" i="5" s="1"/>
  <c r="QY19" i="5"/>
  <c r="QY20" i="5" s="1"/>
  <c r="QU19" i="5"/>
  <c r="QS19" i="5"/>
  <c r="QS20" i="5" s="1"/>
  <c r="QO19" i="5"/>
  <c r="QO20" i="5" s="1"/>
  <c r="QG19" i="5"/>
  <c r="QG20" i="5" s="1"/>
  <c r="QC19" i="5"/>
  <c r="QC20" i="5" s="1"/>
  <c r="QJ19" i="5"/>
  <c r="PS19" i="5"/>
  <c r="PS20" i="5" s="1"/>
  <c r="PN19" i="5"/>
  <c r="PN20" i="5" s="1"/>
  <c r="PJ19" i="5"/>
  <c r="PJ20" i="5" s="1"/>
  <c r="PF19" i="5"/>
  <c r="PB19" i="5"/>
  <c r="PB20" i="5" s="1"/>
  <c r="OU19" i="5"/>
  <c r="OQ19" i="5"/>
  <c r="OQ20" i="5" s="1"/>
  <c r="OM19" i="5"/>
  <c r="OI19" i="5"/>
  <c r="OI20" i="5" s="1"/>
  <c r="OB19" i="5"/>
  <c r="OB20" i="5" s="1"/>
  <c r="NU19" i="5"/>
  <c r="NQ19" i="5"/>
  <c r="NQ20" i="5" s="1"/>
  <c r="NM19" i="5"/>
  <c r="NM20" i="5" s="1"/>
  <c r="NI19" i="5"/>
  <c r="NI20" i="5" s="1"/>
  <c r="NE19" i="5"/>
  <c r="NE20" i="5" s="1"/>
  <c r="MX19" i="5"/>
  <c r="MT19" i="5"/>
  <c r="MT20" i="5" s="1"/>
  <c r="MM19" i="5"/>
  <c r="MM20" i="5" s="1"/>
  <c r="MI19" i="5"/>
  <c r="MI20" i="5" s="1"/>
  <c r="ME19" i="5"/>
  <c r="LX19" i="5"/>
  <c r="LX20" i="5" s="1"/>
  <c r="LT19" i="5"/>
  <c r="LT20" i="5" s="1"/>
  <c r="LK19" i="5"/>
  <c r="LG19" i="5"/>
  <c r="LC19" i="5"/>
  <c r="KY19" i="5"/>
  <c r="KY20" i="5" s="1"/>
  <c r="KR19" i="5"/>
  <c r="KN19" i="5"/>
  <c r="KN20" i="5" s="1"/>
  <c r="KJ19" i="5"/>
  <c r="KJ20" i="5" s="1"/>
  <c r="KF19" i="5"/>
  <c r="KB19" i="5"/>
  <c r="JX19" i="5"/>
  <c r="JX20" i="5" s="1"/>
  <c r="JT19" i="5"/>
  <c r="JT20" i="5" s="1"/>
  <c r="JP19" i="5"/>
  <c r="JP20" i="5" s="1"/>
  <c r="JL19" i="5"/>
  <c r="JL20" i="5" s="1"/>
  <c r="JH19" i="5"/>
  <c r="JD19" i="5"/>
  <c r="JD20" i="5" s="1"/>
  <c r="IZ19" i="5"/>
  <c r="IZ20" i="5" s="1"/>
  <c r="IV19" i="5"/>
  <c r="IV20" i="5" s="1"/>
  <c r="IR19" i="5"/>
  <c r="IN19" i="5"/>
  <c r="IN20" i="5" s="1"/>
  <c r="IJ19" i="5"/>
  <c r="IJ20" i="5" s="1"/>
  <c r="IF19" i="5"/>
  <c r="IF20" i="5" s="1"/>
  <c r="IB19" i="5"/>
  <c r="HX19" i="5"/>
  <c r="HX20" i="5" s="1"/>
  <c r="HT19" i="5"/>
  <c r="HT20" i="5" s="1"/>
  <c r="HP19" i="5"/>
  <c r="HL19" i="5"/>
  <c r="HH19" i="5"/>
  <c r="HD19" i="5"/>
  <c r="HD20" i="5" s="1"/>
  <c r="GZ19" i="5"/>
  <c r="GV19" i="5"/>
  <c r="GV20" i="5" s="1"/>
  <c r="GR19" i="5"/>
  <c r="GR20" i="5" s="1"/>
  <c r="GN19" i="5"/>
  <c r="GN20" i="5" s="1"/>
  <c r="GJ19" i="5"/>
  <c r="GJ20" i="5" s="1"/>
  <c r="GA19" i="5"/>
  <c r="FW19" i="5"/>
  <c r="FW20" i="5" s="1"/>
  <c r="FS19" i="5"/>
  <c r="FS20" i="5" s="1"/>
  <c r="FO19" i="5"/>
  <c r="FO20" i="5" s="1"/>
  <c r="FH19" i="5"/>
  <c r="FH20" i="5" s="1"/>
  <c r="FD19" i="5"/>
  <c r="FD20" i="5" s="1"/>
  <c r="EO19" i="5"/>
  <c r="EO20" i="5" s="1"/>
  <c r="EK19" i="5"/>
  <c r="EK20" i="5" s="1"/>
  <c r="ED19" i="5"/>
  <c r="DW19" i="5"/>
  <c r="DW20" i="5" s="1"/>
  <c r="DS19" i="5"/>
  <c r="DS20" i="5" s="1"/>
  <c r="DL19" i="5"/>
  <c r="DE19" i="5"/>
  <c r="DA19" i="5"/>
  <c r="DA20" i="5" s="1"/>
  <c r="CS19" i="5"/>
  <c r="CS20" i="5" s="1"/>
  <c r="CO19" i="5"/>
  <c r="CO20" i="5" s="1"/>
  <c r="BQ19" i="5"/>
  <c r="BQ20" i="5" s="1"/>
  <c r="BM19" i="5"/>
  <c r="BM20" i="5" s="1"/>
  <c r="BI19" i="5"/>
  <c r="BI20" i="5" s="1"/>
  <c r="BB19" i="5"/>
  <c r="BB20" i="5" s="1"/>
  <c r="AX19" i="5"/>
  <c r="AQ19" i="5"/>
  <c r="AQ20" i="5" s="1"/>
  <c r="AM19" i="5"/>
  <c r="AM20" i="5" s="1"/>
  <c r="AI19" i="5"/>
  <c r="AI20" i="5" s="1"/>
  <c r="AB19" i="5"/>
  <c r="AB20" i="5" s="1"/>
  <c r="X19" i="5"/>
  <c r="X20" i="5" s="1"/>
  <c r="T19" i="5"/>
  <c r="T20" i="5" s="1"/>
  <c r="P19" i="5"/>
  <c r="P20" i="5" s="1"/>
  <c r="L19" i="5"/>
  <c r="H19" i="5"/>
  <c r="H20" i="5" s="1"/>
  <c r="QX54" i="5"/>
  <c r="QR54" i="5"/>
  <c r="QF54" i="5"/>
  <c r="QI54" i="5"/>
  <c r="PE54" i="5"/>
  <c r="OL54" i="5"/>
  <c r="OA54" i="5"/>
  <c r="NP54" i="5"/>
  <c r="NH54" i="5"/>
  <c r="LN54" i="5"/>
  <c r="LF54" i="5"/>
  <c r="KM54" i="5"/>
  <c r="JW54" i="5"/>
  <c r="JO54" i="5"/>
  <c r="JG54" i="5"/>
  <c r="IY54" i="5"/>
  <c r="IQ54" i="5"/>
  <c r="IA54" i="5"/>
  <c r="HS54" i="5"/>
  <c r="HK54" i="5"/>
  <c r="HC54" i="5"/>
  <c r="FZ54" i="5"/>
  <c r="I54" i="5"/>
  <c r="SI19" i="5"/>
  <c r="RW19" i="5"/>
  <c r="RW20" i="5" s="1"/>
  <c r="PW19" i="5"/>
  <c r="PW20" i="5" s="1"/>
  <c r="QW19" i="5"/>
  <c r="QW20" i="5" s="1"/>
  <c r="QM19" i="5"/>
  <c r="PU19" i="5"/>
  <c r="PU20" i="5" s="1"/>
  <c r="PQ19" i="5"/>
  <c r="PQ20" i="5" s="1"/>
  <c r="PD19" i="5"/>
  <c r="PD20" i="5" s="1"/>
  <c r="OO19" i="5"/>
  <c r="NS19" i="5"/>
  <c r="NS20" i="5" s="1"/>
  <c r="NG19" i="5"/>
  <c r="NG20" i="5" s="1"/>
  <c r="MK19" i="5"/>
  <c r="MK20" i="5" s="1"/>
  <c r="LV19" i="5"/>
  <c r="LV20" i="5" s="1"/>
  <c r="LI19" i="5"/>
  <c r="LI20" i="5" s="1"/>
  <c r="KT19" i="5"/>
  <c r="KT20" i="5" s="1"/>
  <c r="KD19" i="5"/>
  <c r="KD20" i="5" s="1"/>
  <c r="JR19" i="5"/>
  <c r="JF19" i="5"/>
  <c r="JF20" i="5" s="1"/>
  <c r="IT19" i="5"/>
  <c r="IT20" i="5" s="1"/>
  <c r="IH19" i="5"/>
  <c r="IH20" i="5" s="1"/>
  <c r="HV19" i="5"/>
  <c r="HV20" i="5" s="1"/>
  <c r="HJ19" i="5"/>
  <c r="HJ20" i="5" s="1"/>
  <c r="GP19" i="5"/>
  <c r="GP20" i="5" s="1"/>
  <c r="FY19" i="5"/>
  <c r="FY20" i="5" s="1"/>
  <c r="FQ19" i="5"/>
  <c r="FF19" i="5"/>
  <c r="FF20" i="5" s="1"/>
  <c r="EM19" i="5"/>
  <c r="EM20" i="5" s="1"/>
  <c r="DU19" i="5"/>
  <c r="DU20" i="5" s="1"/>
  <c r="CU19" i="5"/>
  <c r="BO19" i="5"/>
  <c r="BO20" i="5" s="1"/>
  <c r="BO52" i="5" s="1"/>
  <c r="AZ19" i="5"/>
  <c r="AZ20" i="5" s="1"/>
  <c r="AO19" i="5"/>
  <c r="AO20" i="5" s="1"/>
  <c r="Z19" i="5"/>
  <c r="Z20" i="5" s="1"/>
  <c r="R19" i="5"/>
  <c r="R20" i="5" s="1"/>
  <c r="SO19" i="5"/>
  <c r="SO20" i="5" s="1"/>
  <c r="SJ19" i="5"/>
  <c r="SJ20" i="5" s="1"/>
  <c r="SF19" i="5"/>
  <c r="SB19" i="5"/>
  <c r="SB20" i="5" s="1"/>
  <c r="RX19" i="5"/>
  <c r="RX20" i="5" s="1"/>
  <c r="RN19" i="5"/>
  <c r="RN20" i="5" s="1"/>
  <c r="RJ19" i="5"/>
  <c r="RF19" i="5"/>
  <c r="RF20" i="5" s="1"/>
  <c r="PX19" i="5"/>
  <c r="PX20" i="5" s="1"/>
  <c r="RD19" i="5"/>
  <c r="RD20" i="5" s="1"/>
  <c r="QX19" i="5"/>
  <c r="RC19" i="5"/>
  <c r="RC20" i="5" s="1"/>
  <c r="QR19" i="5"/>
  <c r="QR20" i="5" s="1"/>
  <c r="QN19" i="5"/>
  <c r="QN20" i="5" s="1"/>
  <c r="QF19" i="5"/>
  <c r="QB19" i="5"/>
  <c r="QB20" i="5" s="1"/>
  <c r="QI19" i="5"/>
  <c r="QI20" i="5" s="1"/>
  <c r="PR19" i="5"/>
  <c r="PR20" i="5" s="1"/>
  <c r="PM19" i="5"/>
  <c r="PI19" i="5"/>
  <c r="PI20" i="5" s="1"/>
  <c r="PE19" i="5"/>
  <c r="PE20" i="5" s="1"/>
  <c r="PA19" i="5"/>
  <c r="PA20" i="5" s="1"/>
  <c r="OT19" i="5"/>
  <c r="OP19" i="5"/>
  <c r="OP20" i="5" s="1"/>
  <c r="OL19" i="5"/>
  <c r="OL20" i="5" s="1"/>
  <c r="OE19" i="5"/>
  <c r="OE20" i="5" s="1"/>
  <c r="OA19" i="5"/>
  <c r="NT19" i="5"/>
  <c r="NT20" i="5" s="1"/>
  <c r="NP19" i="5"/>
  <c r="NP20" i="5" s="1"/>
  <c r="NL19" i="5"/>
  <c r="NL20" i="5" s="1"/>
  <c r="NH19" i="5"/>
  <c r="ND19" i="5"/>
  <c r="ND20" i="5" s="1"/>
  <c r="MW19" i="5"/>
  <c r="MW20" i="5" s="1"/>
  <c r="MS19" i="5"/>
  <c r="MS20" i="5" s="1"/>
  <c r="ML19" i="5"/>
  <c r="ML20" i="5" s="1"/>
  <c r="MH19" i="5"/>
  <c r="MH20" i="5" s="1"/>
  <c r="MA19" i="5"/>
  <c r="MA20" i="5" s="1"/>
  <c r="LW19" i="5"/>
  <c r="LW20" i="5" s="1"/>
  <c r="LN19" i="5"/>
  <c r="LJ19" i="5"/>
  <c r="LF19" i="5"/>
  <c r="LF20" i="5" s="1"/>
  <c r="LB19" i="5"/>
  <c r="KU19" i="5"/>
  <c r="KU20" i="5" s="1"/>
  <c r="KQ19" i="5"/>
  <c r="KQ20" i="5" s="1"/>
  <c r="KM19" i="5"/>
  <c r="KM20" i="5" s="1"/>
  <c r="KI19" i="5"/>
  <c r="KI20" i="5" s="1"/>
  <c r="KE19" i="5"/>
  <c r="KA19" i="5"/>
  <c r="KA20" i="5" s="1"/>
  <c r="JW19" i="5"/>
  <c r="JW20" i="5" s="1"/>
  <c r="JS19" i="5"/>
  <c r="JS20" i="5" s="1"/>
  <c r="JO19" i="5"/>
  <c r="JK19" i="5"/>
  <c r="JK20" i="5" s="1"/>
  <c r="JG19" i="5"/>
  <c r="JG20" i="5" s="1"/>
  <c r="JC19" i="5"/>
  <c r="JC20" i="5" s="1"/>
  <c r="IY19" i="5"/>
  <c r="IU19" i="5"/>
  <c r="IU20" i="5" s="1"/>
  <c r="IQ19" i="5"/>
  <c r="IQ20" i="5" s="1"/>
  <c r="IM19" i="5"/>
  <c r="IM20" i="5" s="1"/>
  <c r="II19" i="5"/>
  <c r="II20" i="5" s="1"/>
  <c r="IE19" i="5"/>
  <c r="IE20" i="5" s="1"/>
  <c r="IA19" i="5"/>
  <c r="IA20" i="5" s="1"/>
  <c r="HW19" i="5"/>
  <c r="HW20" i="5" s="1"/>
  <c r="HS19" i="5"/>
  <c r="HO19" i="5"/>
  <c r="HO20" i="5" s="1"/>
  <c r="HK19" i="5"/>
  <c r="HK20" i="5" s="1"/>
  <c r="HG19" i="5"/>
  <c r="HG20" i="5" s="1"/>
  <c r="HC19" i="5"/>
  <c r="GY19" i="5"/>
  <c r="GY20" i="5" s="1"/>
  <c r="GU19" i="5"/>
  <c r="GU20" i="5" s="1"/>
  <c r="GQ19" i="5"/>
  <c r="GQ20" i="5" s="1"/>
  <c r="GM19" i="5"/>
  <c r="GF19" i="5"/>
  <c r="GF20" i="5" s="1"/>
  <c r="FZ19" i="5"/>
  <c r="FZ20" i="5" s="1"/>
  <c r="FV19" i="5"/>
  <c r="FV20" i="5" s="1"/>
  <c r="FR19" i="5"/>
  <c r="FK19" i="5"/>
  <c r="FK20" i="5" s="1"/>
  <c r="FG19" i="5"/>
  <c r="FG20" i="5" s="1"/>
  <c r="FC19" i="5"/>
  <c r="FC20" i="5" s="1"/>
  <c r="EN19" i="5"/>
  <c r="EJ19" i="5"/>
  <c r="EJ20" i="5" s="1"/>
  <c r="EC19" i="5"/>
  <c r="EC20" i="5" s="1"/>
  <c r="DV19" i="5"/>
  <c r="DV20" i="5" s="1"/>
  <c r="DR19" i="5"/>
  <c r="DR20" i="5" s="1"/>
  <c r="DK19" i="5"/>
  <c r="DK20" i="5" s="1"/>
  <c r="DD19" i="5"/>
  <c r="DD20" i="5" s="1"/>
  <c r="CZ19" i="5"/>
  <c r="CZ20" i="5" s="1"/>
  <c r="CR19" i="5"/>
  <c r="CN19" i="5"/>
  <c r="CN20" i="5" s="1"/>
  <c r="BP19" i="5"/>
  <c r="BP20" i="5" s="1"/>
  <c r="BL19" i="5"/>
  <c r="BL20" i="5" s="1"/>
  <c r="BE19" i="5"/>
  <c r="BA19" i="5"/>
  <c r="BA20" i="5" s="1"/>
  <c r="AW19" i="5"/>
  <c r="AW20" i="5" s="1"/>
  <c r="AP19" i="5"/>
  <c r="AP20" i="5" s="1"/>
  <c r="AL19" i="5"/>
  <c r="AE19" i="5"/>
  <c r="AE20" i="5" s="1"/>
  <c r="AA19" i="5"/>
  <c r="AA20" i="5" s="1"/>
  <c r="W19" i="5"/>
  <c r="W20" i="5" s="1"/>
  <c r="S19" i="5"/>
  <c r="O19" i="5"/>
  <c r="O20" i="5" s="1"/>
  <c r="K19" i="5"/>
  <c r="K20" i="5" s="1"/>
  <c r="G19" i="5"/>
  <c r="G20" i="5" s="1"/>
  <c r="RA54" i="5"/>
  <c r="QM26" i="5"/>
  <c r="QM54" i="5" s="1"/>
  <c r="Y17" i="21"/>
  <c r="QL54" i="5"/>
  <c r="PQ54" i="5"/>
  <c r="PH54" i="5"/>
  <c r="OZ54" i="5"/>
  <c r="OD54" i="5"/>
  <c r="LA54" i="5"/>
  <c r="KP54" i="5"/>
  <c r="JZ54" i="5"/>
  <c r="JB54" i="5"/>
  <c r="IT54" i="5"/>
  <c r="IL54" i="5"/>
  <c r="ID54" i="5"/>
  <c r="HV54" i="5"/>
  <c r="HN54" i="5"/>
  <c r="GP54" i="5"/>
  <c r="GE54" i="5"/>
  <c r="FU54" i="5"/>
  <c r="FJ54" i="5"/>
  <c r="FB54" i="5"/>
  <c r="T54" i="5"/>
  <c r="L54" i="5"/>
  <c r="KH54" i="5"/>
  <c r="JR54" i="5"/>
  <c r="JP54" i="5"/>
  <c r="BN54" i="5"/>
  <c r="BC54" i="5"/>
  <c r="AR54" i="5"/>
  <c r="AJ54" i="5"/>
  <c r="RB54" i="5"/>
  <c r="NS54" i="5"/>
  <c r="MR54" i="5"/>
  <c r="LI54" i="5"/>
  <c r="NJ54" i="5"/>
  <c r="BM54" i="5"/>
  <c r="BB54" i="5"/>
  <c r="AQ54" i="5"/>
  <c r="X54" i="5"/>
  <c r="RV54" i="5"/>
  <c r="QV54" i="5"/>
  <c r="QP54" i="5"/>
  <c r="QD54" i="5"/>
  <c r="PT54" i="5"/>
  <c r="PC54" i="5"/>
  <c r="OR54" i="5"/>
  <c r="OJ54" i="5"/>
  <c r="NV54" i="5"/>
  <c r="NF54" i="5"/>
  <c r="LD54" i="5"/>
  <c r="KS54" i="5"/>
  <c r="KK54" i="5"/>
  <c r="KC54" i="5"/>
  <c r="JU54" i="5"/>
  <c r="BL54" i="5"/>
  <c r="BA54" i="5"/>
  <c r="AP54" i="5"/>
  <c r="O54" i="5"/>
  <c r="G54" i="5"/>
  <c r="QW54" i="5"/>
  <c r="PL54" i="5"/>
  <c r="LZ54" i="5"/>
  <c r="KT54" i="5"/>
  <c r="GT54" i="5"/>
  <c r="PD54" i="5"/>
  <c r="MK54" i="5"/>
  <c r="IH54" i="5"/>
  <c r="GL54" i="5"/>
  <c r="FY54" i="5"/>
  <c r="FQ54" i="5"/>
  <c r="FF54" i="5"/>
  <c r="Q54" i="5"/>
  <c r="QQ54" i="5"/>
  <c r="QE54" i="5"/>
  <c r="PU54" i="5"/>
  <c r="OS54" i="5"/>
  <c r="OK54" i="5"/>
  <c r="NZ54" i="5"/>
  <c r="NO54" i="5"/>
  <c r="NG54" i="5"/>
  <c r="MV54" i="5"/>
  <c r="LM54" i="5"/>
  <c r="E54" i="13" s="1"/>
  <c r="LE54" i="5"/>
  <c r="KL54" i="5"/>
  <c r="KD54" i="5"/>
  <c r="JV54" i="5"/>
  <c r="JN54" i="5"/>
  <c r="JF54" i="5"/>
  <c r="IX54" i="5"/>
  <c r="IP54" i="5"/>
  <c r="HZ54" i="5"/>
  <c r="HR54" i="5"/>
  <c r="HJ54" i="5"/>
  <c r="HB54" i="5"/>
  <c r="DM54" i="5"/>
  <c r="P54" i="5"/>
  <c r="H54" i="5"/>
  <c r="JM54" i="5"/>
  <c r="JE54" i="5"/>
  <c r="IW54" i="5"/>
  <c r="HY54" i="5"/>
  <c r="HQ54" i="5"/>
  <c r="HI54" i="5"/>
  <c r="HA54" i="5"/>
  <c r="EK54" i="5"/>
  <c r="DW54" i="5"/>
  <c r="DL54" i="5"/>
  <c r="DA54" i="5"/>
  <c r="CO54" i="5"/>
  <c r="GX54" i="5"/>
  <c r="DI54" i="5"/>
  <c r="BQ54" i="5"/>
  <c r="AX54" i="5"/>
  <c r="AB54" i="5"/>
  <c r="M54" i="5"/>
  <c r="OC54" i="5"/>
  <c r="EO54" i="5"/>
  <c r="ED54" i="5"/>
  <c r="DS54" i="5"/>
  <c r="DE54" i="5"/>
  <c r="OO54" i="5"/>
  <c r="NC54" i="5"/>
  <c r="MG54" i="5"/>
  <c r="QU54" i="5"/>
  <c r="QO54" i="5"/>
  <c r="QC54" i="5"/>
  <c r="PS54" i="5"/>
  <c r="OQ54" i="5"/>
  <c r="OI54" i="5"/>
  <c r="NU54" i="5"/>
  <c r="NE54" i="5"/>
  <c r="LK54" i="5"/>
  <c r="KR54" i="5"/>
  <c r="KJ54" i="5"/>
  <c r="KB54" i="5"/>
  <c r="JT54" i="5"/>
  <c r="JL54" i="5"/>
  <c r="JD54" i="5"/>
  <c r="IV54" i="5"/>
  <c r="HX54" i="5"/>
  <c r="HP54" i="5"/>
  <c r="HH54" i="5"/>
  <c r="GZ54" i="5"/>
  <c r="DK54" i="5"/>
  <c r="CN54" i="5"/>
  <c r="N54" i="5"/>
  <c r="CT54" i="5"/>
  <c r="BI54" i="5"/>
  <c r="AM54" i="5"/>
  <c r="NK54" i="5"/>
  <c r="LV54" i="5"/>
  <c r="JJ54" i="5"/>
  <c r="HF54" i="5"/>
  <c r="S54" i="5"/>
  <c r="CR54" i="5"/>
  <c r="LH54" i="5"/>
  <c r="GW54" i="5"/>
  <c r="BO54" i="5"/>
  <c r="BD54" i="5"/>
  <c r="AV54" i="5"/>
  <c r="AK54" i="5"/>
  <c r="Z54" i="5"/>
  <c r="EM54" i="5"/>
  <c r="EB54" i="5"/>
  <c r="DN54" i="5"/>
  <c r="DC54" i="5"/>
  <c r="CQ54" i="5"/>
  <c r="PN54" i="5"/>
  <c r="NQ54" i="5"/>
  <c r="NI54" i="5"/>
  <c r="MX54" i="5"/>
  <c r="MM54" i="5"/>
  <c r="LT54" i="5"/>
  <c r="LG54" i="5"/>
  <c r="KY54" i="5"/>
  <c r="KN54" i="5"/>
  <c r="IJ54" i="5"/>
  <c r="GN54" i="5"/>
  <c r="FS54" i="5"/>
  <c r="RX54" i="5"/>
  <c r="PM54" i="5"/>
  <c r="OT54" i="5"/>
  <c r="KU54" i="5"/>
  <c r="KE54" i="5"/>
  <c r="II54" i="5"/>
  <c r="GU54" i="5"/>
  <c r="FR54" i="5"/>
  <c r="PK54" i="5"/>
  <c r="LY54" i="5"/>
  <c r="LL54" i="5"/>
  <c r="QN54" i="5"/>
  <c r="QB54" i="5"/>
  <c r="PR54" i="5"/>
  <c r="PI54" i="5"/>
  <c r="PA54" i="5"/>
  <c r="OE54" i="5"/>
  <c r="NT54" i="5"/>
  <c r="LB54" i="5"/>
  <c r="KQ54" i="5"/>
  <c r="KI54" i="5"/>
  <c r="KA54" i="5"/>
  <c r="JS54" i="5"/>
  <c r="JK54" i="5"/>
  <c r="JC54" i="5"/>
  <c r="IU54" i="5"/>
  <c r="IM54" i="5"/>
  <c r="IE54" i="5"/>
  <c r="HW54" i="5"/>
  <c r="HO54" i="5"/>
  <c r="HG54" i="5"/>
  <c r="GY54" i="5"/>
  <c r="GQ54" i="5"/>
  <c r="GF54" i="5"/>
  <c r="FV54" i="5"/>
  <c r="FK54" i="5"/>
  <c r="FC54" i="5"/>
  <c r="EF54" i="5"/>
  <c r="DU54" i="5"/>
  <c r="DJ54" i="5"/>
  <c r="CU54" i="5"/>
  <c r="BR54" i="5"/>
  <c r="BJ54" i="5"/>
  <c r="AY54" i="5"/>
  <c r="AN54" i="5"/>
  <c r="U54" i="5"/>
  <c r="NR54" i="5"/>
  <c r="NN54" i="5"/>
  <c r="MY54" i="5"/>
  <c r="MW54" i="5"/>
  <c r="MU54" i="5"/>
  <c r="MN54" i="5"/>
  <c r="ML54" i="5"/>
  <c r="MJ54" i="5"/>
  <c r="LU54" i="5"/>
  <c r="MA54" i="5"/>
  <c r="KZ54" i="5"/>
  <c r="KO54" i="5"/>
  <c r="GO54" i="5"/>
  <c r="GM54" i="5"/>
  <c r="FP54" i="5"/>
  <c r="FH54" i="5"/>
  <c r="FI54" i="5"/>
  <c r="FG54" i="5"/>
  <c r="FE54" i="5"/>
  <c r="AI54" i="5"/>
  <c r="AE54" i="5"/>
  <c r="AC54" i="5"/>
  <c r="AA54" i="5"/>
  <c r="Y54" i="5"/>
  <c r="W54" i="5"/>
  <c r="EU55" i="5"/>
  <c r="EX15" i="5"/>
  <c r="EZ14" i="5"/>
  <c r="ET55" i="5"/>
  <c r="EW15" i="5"/>
  <c r="EY14" i="5"/>
  <c r="ES55" i="5"/>
  <c r="EV55" i="5"/>
  <c r="EX12" i="5"/>
  <c r="EZ12" i="5" s="1"/>
  <c r="EZ11" i="5"/>
  <c r="EW12" i="5"/>
  <c r="EY11" i="5"/>
  <c r="H45" i="15"/>
  <c r="J28" i="17"/>
  <c r="M28" i="17"/>
  <c r="N28" i="17"/>
  <c r="G28" i="17"/>
  <c r="H28" i="17"/>
  <c r="R27" i="17"/>
  <c r="O28" i="17"/>
  <c r="M27" i="18"/>
  <c r="H69" i="17"/>
  <c r="O69" i="17"/>
  <c r="S27" i="17"/>
  <c r="S26" i="17"/>
  <c r="S28" i="19"/>
  <c r="I69" i="17"/>
  <c r="R25" i="17"/>
  <c r="S25" i="17"/>
  <c r="I28" i="17"/>
  <c r="M71" i="18"/>
  <c r="K28" i="17"/>
  <c r="L28" i="17"/>
  <c r="R26" i="17"/>
  <c r="G69" i="17"/>
  <c r="F28" i="17"/>
  <c r="Q28" i="15"/>
  <c r="S27" i="20"/>
  <c r="S26" i="19"/>
  <c r="M28" i="18"/>
  <c r="S67" i="17"/>
  <c r="L73" i="18"/>
  <c r="M72" i="18"/>
  <c r="J69" i="17"/>
  <c r="F69" i="17"/>
  <c r="K73" i="18"/>
  <c r="L69" i="17"/>
  <c r="K69" i="17"/>
  <c r="R68" i="17"/>
  <c r="N69" i="17"/>
  <c r="M70" i="18"/>
  <c r="J73" i="18"/>
  <c r="M69" i="17"/>
  <c r="R66" i="17"/>
  <c r="S68" i="17"/>
  <c r="Q69" i="17"/>
  <c r="T27" i="20"/>
  <c r="S66" i="17"/>
  <c r="R67" i="17"/>
  <c r="S27" i="19"/>
  <c r="HL20" i="5"/>
  <c r="BJ20" i="5"/>
  <c r="SC20" i="5"/>
  <c r="CJ49" i="5"/>
  <c r="I45" i="15" s="1"/>
  <c r="I13" i="15"/>
  <c r="K13" i="15" s="1"/>
  <c r="QM20" i="5"/>
  <c r="JR20" i="5"/>
  <c r="HN20" i="5"/>
  <c r="EN20" i="5"/>
  <c r="KE20" i="5"/>
  <c r="DL20" i="5"/>
  <c r="LY20" i="5"/>
  <c r="JJ20" i="5"/>
  <c r="CL48" i="5"/>
  <c r="CL49" i="5" s="1"/>
  <c r="CK49" i="5"/>
  <c r="J45" i="15" s="1"/>
  <c r="AN20" i="5"/>
  <c r="NU20" i="5"/>
  <c r="RM20" i="5"/>
  <c r="AL20" i="5"/>
  <c r="JH20" i="5"/>
  <c r="OS20" i="5"/>
  <c r="KL20" i="5"/>
  <c r="HI20" i="5"/>
  <c r="JO20" i="5"/>
  <c r="DT20" i="5"/>
  <c r="IP20" i="5"/>
  <c r="NH20" i="5"/>
  <c r="SF20" i="5"/>
  <c r="QP20" i="5"/>
  <c r="ME20" i="5"/>
  <c r="IB20" i="5"/>
  <c r="PT20" i="5"/>
  <c r="OA20" i="5"/>
  <c r="MU20" i="5"/>
  <c r="CU20" i="5"/>
  <c r="PV20" i="5"/>
  <c r="LM20" i="5"/>
  <c r="KB20" i="5"/>
  <c r="SI20" i="5"/>
  <c r="PY20" i="5"/>
  <c r="QJ20" i="5"/>
  <c r="CR20" i="5"/>
  <c r="JA20" i="5"/>
  <c r="MV20" i="5"/>
  <c r="OO20" i="5"/>
  <c r="LN20" i="5"/>
  <c r="ED20" i="5"/>
  <c r="OJ20" i="5"/>
  <c r="RI20" i="5"/>
  <c r="QE20" i="5"/>
  <c r="QU20" i="5"/>
  <c r="PC20" i="5"/>
  <c r="OU20" i="5"/>
  <c r="OM20" i="5"/>
  <c r="NO20" i="5"/>
  <c r="LD20" i="5"/>
  <c r="IR20" i="5"/>
  <c r="PF20" i="5"/>
  <c r="DJ20" i="5"/>
  <c r="AX20" i="5"/>
  <c r="EE20" i="5"/>
  <c r="RJ20" i="5"/>
  <c r="QX20" i="5"/>
  <c r="QF20" i="5"/>
  <c r="KH20" i="5"/>
  <c r="GX20" i="5"/>
  <c r="L20" i="5"/>
  <c r="FB20" i="5"/>
  <c r="S20" i="5"/>
  <c r="JE20" i="5"/>
  <c r="IO20" i="5"/>
  <c r="PM20" i="5"/>
  <c r="HP20" i="5"/>
  <c r="HH20" i="5"/>
  <c r="GA20" i="5"/>
  <c r="NZ20" i="5"/>
  <c r="LG20" i="5"/>
  <c r="KR20" i="5"/>
  <c r="KF20" i="5"/>
  <c r="FR20" i="5"/>
  <c r="HY20" i="5"/>
  <c r="FQ20" i="5"/>
  <c r="BE20" i="5"/>
  <c r="SL20" i="5"/>
  <c r="OT20" i="5"/>
  <c r="NN20" i="5"/>
  <c r="MX20" i="5"/>
  <c r="IY20" i="5"/>
  <c r="HS20" i="5"/>
  <c r="HC20" i="5"/>
  <c r="GM20" i="5"/>
  <c r="FU20" i="5"/>
  <c r="FE20" i="5"/>
  <c r="CT20" i="5"/>
  <c r="KK20" i="5"/>
  <c r="DE20" i="5"/>
  <c r="GZ20" i="5"/>
  <c r="U20" i="5"/>
  <c r="AF16" i="5"/>
  <c r="AF18" i="5" s="1"/>
  <c r="AG16" i="5"/>
  <c r="AG18" i="5" s="1"/>
  <c r="EY42" i="5"/>
  <c r="EZ42" i="5"/>
  <c r="EP42" i="5"/>
  <c r="EQ42" i="5"/>
  <c r="EG42" i="5"/>
  <c r="EH42" i="5"/>
  <c r="DX42" i="5"/>
  <c r="DY42" i="5"/>
  <c r="DF42" i="5"/>
  <c r="DG42" i="5"/>
  <c r="CV42" i="5"/>
  <c r="CW42" i="5"/>
  <c r="CX42" i="5"/>
  <c r="BS42" i="5"/>
  <c r="BT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BF42" i="5"/>
  <c r="BG42" i="5"/>
  <c r="AS42" i="5"/>
  <c r="AT42" i="5"/>
  <c r="LK20" i="5" l="1"/>
  <c r="LA20" i="5"/>
  <c r="LQ19" i="5"/>
  <c r="LC20" i="5"/>
  <c r="LB20" i="5"/>
  <c r="LR19" i="5"/>
  <c r="LJ55" i="5"/>
  <c r="LR15" i="5"/>
  <c r="LJ20" i="5"/>
  <c r="LC55" i="5"/>
  <c r="LQ15" i="5"/>
  <c r="S29" i="19"/>
  <c r="AG19" i="5"/>
  <c r="EV19" i="5"/>
  <c r="EV20" i="5" s="1"/>
  <c r="AF19" i="5"/>
  <c r="ES19" i="5"/>
  <c r="ES20" i="5" s="1"/>
  <c r="ET19" i="5"/>
  <c r="ET20" i="5" s="1"/>
  <c r="EV25" i="5"/>
  <c r="EV26" i="5" s="1"/>
  <c r="EV54" i="5" s="1"/>
  <c r="S25" i="20"/>
  <c r="S32" i="20" s="1"/>
  <c r="ES25" i="5"/>
  <c r="ES26" i="5" s="1"/>
  <c r="ES54" i="5" s="1"/>
  <c r="R25" i="20"/>
  <c r="T25" i="20"/>
  <c r="T32" i="20" s="1"/>
  <c r="FA14" i="5"/>
  <c r="EY12" i="5"/>
  <c r="FA12" i="5" s="1"/>
  <c r="FA11" i="5"/>
  <c r="EW55" i="5"/>
  <c r="EY15" i="5"/>
  <c r="EX55" i="5"/>
  <c r="EZ15" i="5"/>
  <c r="EY16" i="5"/>
  <c r="EY18" i="5" s="1"/>
  <c r="EW20" i="5"/>
  <c r="ET25" i="5"/>
  <c r="ET26" i="5" s="1"/>
  <c r="ET54" i="5" s="1"/>
  <c r="R28" i="17"/>
  <c r="T25" i="17"/>
  <c r="T68" i="17"/>
  <c r="T27" i="17"/>
  <c r="S28" i="17"/>
  <c r="K45" i="15"/>
  <c r="T26" i="17"/>
  <c r="M30" i="18"/>
  <c r="S69" i="17"/>
  <c r="R69" i="17"/>
  <c r="M73" i="18"/>
  <c r="T67" i="17"/>
  <c r="T66" i="17"/>
  <c r="FA42" i="5"/>
  <c r="AU42" i="5"/>
  <c r="AH42" i="5"/>
  <c r="BU42" i="5"/>
  <c r="DZ42" i="5"/>
  <c r="BH42" i="5"/>
  <c r="CK42" i="5"/>
  <c r="ER42" i="5"/>
  <c r="EI42" i="5"/>
  <c r="DH42" i="5"/>
  <c r="CY42" i="5"/>
  <c r="CJ42" i="5"/>
  <c r="PO22" i="5"/>
  <c r="PO23" i="5"/>
  <c r="GH14" i="5"/>
  <c r="GH15" i="5" s="1"/>
  <c r="GG14" i="5"/>
  <c r="GG15" i="5" s="1"/>
  <c r="LR20" i="5" l="1"/>
  <c r="LQ20" i="5"/>
  <c r="EU19" i="5"/>
  <c r="EU20" i="5" s="1"/>
  <c r="GH19" i="5"/>
  <c r="GG19" i="5"/>
  <c r="EU25" i="5"/>
  <c r="EU26" i="5" s="1"/>
  <c r="EU54" i="5" s="1"/>
  <c r="EW25" i="5"/>
  <c r="EW26" i="5" s="1"/>
  <c r="EW54" i="5" s="1"/>
  <c r="FA15" i="5"/>
  <c r="EZ16" i="5"/>
  <c r="EZ18" i="5" s="1"/>
  <c r="T28" i="17"/>
  <c r="T69" i="17"/>
  <c r="CL42" i="5"/>
  <c r="GG11" i="5"/>
  <c r="GG12" i="5" s="1"/>
  <c r="GH25" i="5"/>
  <c r="GH26" i="5" s="1"/>
  <c r="GG25" i="5"/>
  <c r="GG26" i="5" s="1"/>
  <c r="GH11" i="5"/>
  <c r="GH12" i="5" s="1"/>
  <c r="FQ46" i="5"/>
  <c r="FQ52" i="5" s="1"/>
  <c r="FR46" i="5"/>
  <c r="FR52" i="5" s="1"/>
  <c r="EZ19" i="5" l="1"/>
  <c r="EX19" i="5"/>
  <c r="EX20" i="5" s="1"/>
  <c r="EY19" i="5"/>
  <c r="EX25" i="5"/>
  <c r="EX26" i="5" s="1"/>
  <c r="EX54" i="5" s="1"/>
  <c r="FA16" i="5"/>
  <c r="FA18" i="5" s="1"/>
  <c r="GH20" i="5"/>
  <c r="GG20" i="5"/>
  <c r="MB23" i="5"/>
  <c r="MC23" i="5"/>
  <c r="MC22" i="5"/>
  <c r="MB22" i="5"/>
  <c r="MC21" i="5"/>
  <c r="MB21" i="5"/>
  <c r="MC16" i="5"/>
  <c r="MC18" i="5" s="1"/>
  <c r="MB16" i="5"/>
  <c r="MB18" i="5" s="1"/>
  <c r="MC13" i="5"/>
  <c r="MC14" i="5" s="1"/>
  <c r="MC15" i="5" s="1"/>
  <c r="MC55" i="5" s="1"/>
  <c r="MB13" i="5"/>
  <c r="MB7" i="5"/>
  <c r="MC7" i="5"/>
  <c r="MB8" i="5"/>
  <c r="MC8" i="5"/>
  <c r="MB9" i="5"/>
  <c r="MC9" i="5"/>
  <c r="MB10" i="5"/>
  <c r="MC10" i="5"/>
  <c r="MC6" i="5"/>
  <c r="MB6" i="5"/>
  <c r="U129" i="21"/>
  <c r="I129" i="21"/>
  <c r="U127" i="21"/>
  <c r="I127" i="21"/>
  <c r="U126" i="21"/>
  <c r="I126" i="21"/>
  <c r="U125" i="21"/>
  <c r="I125" i="21"/>
  <c r="R116" i="21"/>
  <c r="T113" i="21"/>
  <c r="T112" i="21"/>
  <c r="T111" i="21"/>
  <c r="U97" i="21"/>
  <c r="I97" i="21"/>
  <c r="U95" i="21"/>
  <c r="I95" i="21"/>
  <c r="U94" i="21"/>
  <c r="I94" i="21"/>
  <c r="U93" i="21"/>
  <c r="I93" i="21"/>
  <c r="R84" i="21"/>
  <c r="T83" i="21"/>
  <c r="T81" i="21"/>
  <c r="T80" i="21"/>
  <c r="T79" i="21"/>
  <c r="U65" i="21"/>
  <c r="I65" i="21"/>
  <c r="U63" i="21"/>
  <c r="I63" i="21"/>
  <c r="U62" i="21"/>
  <c r="I62" i="21"/>
  <c r="U61" i="21"/>
  <c r="I61" i="21"/>
  <c r="T49" i="21"/>
  <c r="T48" i="21"/>
  <c r="T47" i="21"/>
  <c r="S18" i="21"/>
  <c r="S15" i="21"/>
  <c r="S14" i="21"/>
  <c r="S13" i="21"/>
  <c r="V124" i="20"/>
  <c r="U124" i="20"/>
  <c r="V122" i="20"/>
  <c r="U122" i="20"/>
  <c r="V121" i="20"/>
  <c r="U121" i="20"/>
  <c r="V120" i="20"/>
  <c r="U120" i="20"/>
  <c r="P110" i="20"/>
  <c r="O110" i="20"/>
  <c r="P108" i="20"/>
  <c r="O108" i="20"/>
  <c r="P107" i="20"/>
  <c r="O107" i="20"/>
  <c r="P106" i="20"/>
  <c r="O106" i="20"/>
  <c r="V93" i="20"/>
  <c r="U93" i="20"/>
  <c r="V91" i="20"/>
  <c r="U91" i="20"/>
  <c r="V90" i="20"/>
  <c r="U90" i="20"/>
  <c r="P79" i="20"/>
  <c r="O79" i="20"/>
  <c r="P77" i="20"/>
  <c r="O77" i="20"/>
  <c r="P76" i="20"/>
  <c r="O76" i="20"/>
  <c r="V62" i="20"/>
  <c r="U62" i="20"/>
  <c r="V58" i="20"/>
  <c r="U58" i="20"/>
  <c r="O46" i="20"/>
  <c r="P44" i="20"/>
  <c r="O44" i="20"/>
  <c r="O13" i="20"/>
  <c r="P151" i="19"/>
  <c r="O151" i="19"/>
  <c r="N151" i="19"/>
  <c r="M151" i="19"/>
  <c r="L151" i="19"/>
  <c r="K151" i="19"/>
  <c r="I151" i="19"/>
  <c r="H151" i="19"/>
  <c r="F151" i="19"/>
  <c r="E151" i="19"/>
  <c r="P150" i="19"/>
  <c r="O150" i="19"/>
  <c r="N150" i="19"/>
  <c r="M150" i="19"/>
  <c r="L150" i="19"/>
  <c r="K150" i="19"/>
  <c r="I150" i="19"/>
  <c r="H150" i="19"/>
  <c r="F150" i="19"/>
  <c r="E150" i="19"/>
  <c r="P149" i="19"/>
  <c r="O149" i="19"/>
  <c r="N149" i="19"/>
  <c r="M149" i="19"/>
  <c r="L149" i="19"/>
  <c r="K149" i="19"/>
  <c r="I149" i="19"/>
  <c r="H149" i="19"/>
  <c r="F149" i="19"/>
  <c r="E149" i="19"/>
  <c r="P144" i="19"/>
  <c r="N144" i="19"/>
  <c r="L144" i="19"/>
  <c r="I144" i="19"/>
  <c r="F144" i="19"/>
  <c r="R143" i="19"/>
  <c r="J143" i="19"/>
  <c r="G143" i="19"/>
  <c r="R142" i="19"/>
  <c r="S142" i="19" s="1"/>
  <c r="J142" i="19"/>
  <c r="G142" i="19"/>
  <c r="R141" i="19"/>
  <c r="J141" i="19"/>
  <c r="G141" i="19"/>
  <c r="P140" i="19"/>
  <c r="O140" i="19"/>
  <c r="N140" i="19"/>
  <c r="M140" i="19"/>
  <c r="L140" i="19"/>
  <c r="K140" i="19"/>
  <c r="I140" i="19"/>
  <c r="H140" i="19"/>
  <c r="F140" i="19"/>
  <c r="E140" i="19"/>
  <c r="R139" i="19"/>
  <c r="Q139" i="19"/>
  <c r="J139" i="19"/>
  <c r="G139" i="19"/>
  <c r="R138" i="19"/>
  <c r="Q138" i="19"/>
  <c r="J138" i="19"/>
  <c r="G138" i="19"/>
  <c r="R137" i="19"/>
  <c r="Q137" i="19"/>
  <c r="J137" i="19"/>
  <c r="G137" i="19"/>
  <c r="P136" i="19"/>
  <c r="O136" i="19"/>
  <c r="N136" i="19"/>
  <c r="M136" i="19"/>
  <c r="L136" i="19"/>
  <c r="K136" i="19"/>
  <c r="I136" i="19"/>
  <c r="H136" i="19"/>
  <c r="F136" i="19"/>
  <c r="E136" i="19"/>
  <c r="R135" i="19"/>
  <c r="Q135" i="19"/>
  <c r="J135" i="19"/>
  <c r="G135" i="19"/>
  <c r="R134" i="19"/>
  <c r="Q134" i="19"/>
  <c r="J134" i="19"/>
  <c r="G134" i="19"/>
  <c r="R133" i="19"/>
  <c r="Q133" i="19"/>
  <c r="J133" i="19"/>
  <c r="G133" i="19"/>
  <c r="P113" i="19"/>
  <c r="O113" i="19"/>
  <c r="N113" i="19"/>
  <c r="M113" i="19"/>
  <c r="L113" i="19"/>
  <c r="K113" i="19"/>
  <c r="I113" i="19"/>
  <c r="H113" i="19"/>
  <c r="F113" i="19"/>
  <c r="E113" i="19"/>
  <c r="P112" i="19"/>
  <c r="O112" i="19"/>
  <c r="N112" i="19"/>
  <c r="M112" i="19"/>
  <c r="L112" i="19"/>
  <c r="K112" i="19"/>
  <c r="I112" i="19"/>
  <c r="H112" i="19"/>
  <c r="F112" i="19"/>
  <c r="E112" i="19"/>
  <c r="P111" i="19"/>
  <c r="O111" i="19"/>
  <c r="N111" i="19"/>
  <c r="M111" i="19"/>
  <c r="L111" i="19"/>
  <c r="K111" i="19"/>
  <c r="I111" i="19"/>
  <c r="H111" i="19"/>
  <c r="F111" i="19"/>
  <c r="E111" i="19"/>
  <c r="P106" i="19"/>
  <c r="N106" i="19"/>
  <c r="L106" i="19"/>
  <c r="I106" i="19"/>
  <c r="F106" i="19"/>
  <c r="R105" i="19"/>
  <c r="J105" i="19"/>
  <c r="G105" i="19"/>
  <c r="R104" i="19"/>
  <c r="S104" i="19" s="1"/>
  <c r="J104" i="19"/>
  <c r="G104" i="19"/>
  <c r="R103" i="19"/>
  <c r="J103" i="19"/>
  <c r="G103" i="19"/>
  <c r="P102" i="19"/>
  <c r="O102" i="19"/>
  <c r="N102" i="19"/>
  <c r="M102" i="19"/>
  <c r="L102" i="19"/>
  <c r="K102" i="19"/>
  <c r="I102" i="19"/>
  <c r="H102" i="19"/>
  <c r="F102" i="19"/>
  <c r="E102" i="19"/>
  <c r="R101" i="19"/>
  <c r="Q101" i="19"/>
  <c r="J101" i="19"/>
  <c r="G101" i="19"/>
  <c r="R100" i="19"/>
  <c r="Q100" i="19"/>
  <c r="J100" i="19"/>
  <c r="G100" i="19"/>
  <c r="R99" i="19"/>
  <c r="Q99" i="19"/>
  <c r="J99" i="19"/>
  <c r="G99" i="19"/>
  <c r="E68" i="19"/>
  <c r="G67" i="19"/>
  <c r="G66" i="19"/>
  <c r="P60" i="19"/>
  <c r="O60" i="19"/>
  <c r="N60" i="19"/>
  <c r="M60" i="19"/>
  <c r="L60" i="19"/>
  <c r="K60" i="19"/>
  <c r="I60" i="19"/>
  <c r="H60" i="19"/>
  <c r="F60" i="19"/>
  <c r="E60" i="19"/>
  <c r="R59" i="19"/>
  <c r="Q59" i="19"/>
  <c r="J59" i="19"/>
  <c r="G59" i="19"/>
  <c r="R58" i="19"/>
  <c r="Q58" i="19"/>
  <c r="J58" i="19"/>
  <c r="G58" i="19"/>
  <c r="R57" i="19"/>
  <c r="Q57" i="19"/>
  <c r="J57" i="19"/>
  <c r="G57" i="19"/>
  <c r="L25" i="19"/>
  <c r="M136" i="18"/>
  <c r="M137" i="18"/>
  <c r="M138" i="18"/>
  <c r="J139" i="18"/>
  <c r="K139" i="18"/>
  <c r="L139" i="18"/>
  <c r="M140" i="18"/>
  <c r="M141" i="18"/>
  <c r="M142" i="18"/>
  <c r="J143" i="18"/>
  <c r="K143" i="18"/>
  <c r="L143" i="18"/>
  <c r="M144" i="18"/>
  <c r="M145" i="18"/>
  <c r="M146" i="18"/>
  <c r="K147" i="18"/>
  <c r="J152" i="18"/>
  <c r="K152" i="18"/>
  <c r="L152" i="18"/>
  <c r="J153" i="18"/>
  <c r="K153" i="18"/>
  <c r="L153" i="18"/>
  <c r="J154" i="18"/>
  <c r="K154" i="18"/>
  <c r="L154" i="18"/>
  <c r="L115" i="18"/>
  <c r="K115" i="18"/>
  <c r="J115" i="18"/>
  <c r="L114" i="18"/>
  <c r="K114" i="18"/>
  <c r="J114" i="18"/>
  <c r="L113" i="18"/>
  <c r="K113" i="18"/>
  <c r="J113" i="18"/>
  <c r="K108" i="18"/>
  <c r="M107" i="18"/>
  <c r="M106" i="18"/>
  <c r="M105" i="18"/>
  <c r="L104" i="18"/>
  <c r="K104" i="18"/>
  <c r="J104" i="18"/>
  <c r="M103" i="18"/>
  <c r="M102" i="18"/>
  <c r="M101" i="18"/>
  <c r="L69" i="18"/>
  <c r="J69" i="18"/>
  <c r="L61" i="18"/>
  <c r="K61" i="18"/>
  <c r="J61" i="18"/>
  <c r="M60" i="18"/>
  <c r="M59" i="18"/>
  <c r="M58" i="18"/>
  <c r="R128" i="17"/>
  <c r="S128" i="17"/>
  <c r="T128" i="17" s="1"/>
  <c r="R130" i="17"/>
  <c r="S130" i="17"/>
  <c r="R131" i="17"/>
  <c r="R132" i="17"/>
  <c r="S132" i="17"/>
  <c r="R133" i="17"/>
  <c r="S133" i="17"/>
  <c r="T133" i="17" s="1"/>
  <c r="R134" i="17"/>
  <c r="S134" i="17"/>
  <c r="T134" i="17" s="1"/>
  <c r="D135" i="17"/>
  <c r="E135" i="17"/>
  <c r="F135" i="17"/>
  <c r="G135" i="17"/>
  <c r="H135" i="17"/>
  <c r="I135" i="17"/>
  <c r="J135" i="17"/>
  <c r="K135" i="17"/>
  <c r="L135" i="17"/>
  <c r="M135" i="17"/>
  <c r="N135" i="17"/>
  <c r="O135" i="17"/>
  <c r="S135" i="17" s="1"/>
  <c r="P135" i="17"/>
  <c r="Q135" i="17"/>
  <c r="S136" i="17"/>
  <c r="T136" i="17" s="1"/>
  <c r="S137" i="17"/>
  <c r="T137" i="17" s="1"/>
  <c r="S138" i="17"/>
  <c r="T138" i="17" s="1"/>
  <c r="E139" i="17"/>
  <c r="G139" i="17"/>
  <c r="I139" i="17"/>
  <c r="K139" i="17"/>
  <c r="M139" i="17"/>
  <c r="O139" i="17"/>
  <c r="Q139" i="17"/>
  <c r="D144" i="17"/>
  <c r="D147" i="17" s="1"/>
  <c r="E144" i="17"/>
  <c r="E147" i="17" s="1"/>
  <c r="F144" i="17"/>
  <c r="G144" i="17"/>
  <c r="H144" i="17"/>
  <c r="I144" i="17"/>
  <c r="J144" i="17"/>
  <c r="K144" i="17"/>
  <c r="L144" i="17"/>
  <c r="M144" i="17"/>
  <c r="F145" i="17"/>
  <c r="G145" i="17"/>
  <c r="H145" i="17"/>
  <c r="I145" i="17"/>
  <c r="J145" i="17"/>
  <c r="K145" i="17"/>
  <c r="L145" i="17"/>
  <c r="M145" i="17"/>
  <c r="N145" i="17"/>
  <c r="O145" i="17"/>
  <c r="H146" i="17"/>
  <c r="I146" i="17"/>
  <c r="J146" i="17"/>
  <c r="K146" i="17"/>
  <c r="L146" i="17"/>
  <c r="M146" i="17"/>
  <c r="N146" i="17"/>
  <c r="O146" i="17"/>
  <c r="P146" i="17"/>
  <c r="Q146" i="17"/>
  <c r="N148" i="17"/>
  <c r="O148" i="17"/>
  <c r="P148" i="17"/>
  <c r="Q148" i="17"/>
  <c r="D150" i="17"/>
  <c r="E150" i="17"/>
  <c r="F150" i="17"/>
  <c r="G150" i="17"/>
  <c r="R95" i="17"/>
  <c r="S95" i="17"/>
  <c r="R96" i="17"/>
  <c r="S96" i="17"/>
  <c r="R97" i="17"/>
  <c r="S97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S98" i="17" s="1"/>
  <c r="P98" i="17"/>
  <c r="Q98" i="17"/>
  <c r="S99" i="17"/>
  <c r="T99" i="17" s="1"/>
  <c r="S100" i="17"/>
  <c r="T100" i="17" s="1"/>
  <c r="S101" i="17"/>
  <c r="T101" i="17" s="1"/>
  <c r="E102" i="17"/>
  <c r="G102" i="17"/>
  <c r="I102" i="17"/>
  <c r="K102" i="17"/>
  <c r="M102" i="17"/>
  <c r="O102" i="17"/>
  <c r="Q102" i="17"/>
  <c r="S102" i="17" s="1"/>
  <c r="D107" i="17"/>
  <c r="D110" i="17" s="1"/>
  <c r="E107" i="17"/>
  <c r="E110" i="17" s="1"/>
  <c r="F107" i="17"/>
  <c r="G107" i="17"/>
  <c r="H107" i="17"/>
  <c r="I107" i="17"/>
  <c r="J107" i="17"/>
  <c r="K107" i="17"/>
  <c r="L107" i="17"/>
  <c r="M107" i="17"/>
  <c r="F108" i="17"/>
  <c r="G108" i="17"/>
  <c r="H108" i="17"/>
  <c r="I108" i="17"/>
  <c r="J108" i="17"/>
  <c r="K108" i="17"/>
  <c r="L108" i="17"/>
  <c r="M108" i="17"/>
  <c r="N108" i="17"/>
  <c r="O108" i="17"/>
  <c r="H109" i="17"/>
  <c r="I109" i="17"/>
  <c r="J109" i="17"/>
  <c r="K109" i="17"/>
  <c r="L109" i="17"/>
  <c r="M109" i="17"/>
  <c r="N109" i="17"/>
  <c r="O109" i="17"/>
  <c r="P109" i="17"/>
  <c r="Q109" i="17"/>
  <c r="Q110" i="17" s="1"/>
  <c r="N111" i="17"/>
  <c r="O111" i="17"/>
  <c r="P111" i="17"/>
  <c r="Q111" i="17"/>
  <c r="D112" i="17"/>
  <c r="E112" i="17"/>
  <c r="P112" i="17"/>
  <c r="Q112" i="17"/>
  <c r="D113" i="17"/>
  <c r="E113" i="17"/>
  <c r="F113" i="17"/>
  <c r="G113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S56" i="17"/>
  <c r="R56" i="17"/>
  <c r="S55" i="17"/>
  <c r="R55" i="17"/>
  <c r="S54" i="17"/>
  <c r="R54" i="17"/>
  <c r="Q38" i="17"/>
  <c r="P38" i="17"/>
  <c r="Q37" i="17"/>
  <c r="P37" i="17"/>
  <c r="O37" i="17"/>
  <c r="N37" i="17"/>
  <c r="E63" i="16"/>
  <c r="H63" i="16"/>
  <c r="O63" i="16"/>
  <c r="P63" i="16"/>
  <c r="Q63" i="16" s="1"/>
  <c r="U63" i="16"/>
  <c r="E64" i="16"/>
  <c r="H64" i="16"/>
  <c r="O64" i="16"/>
  <c r="Q64" i="16" s="1"/>
  <c r="P64" i="16"/>
  <c r="U64" i="16"/>
  <c r="E65" i="16"/>
  <c r="H65" i="16"/>
  <c r="O65" i="16"/>
  <c r="P65" i="16"/>
  <c r="Q65" i="16" s="1"/>
  <c r="U65" i="16"/>
  <c r="E66" i="16"/>
  <c r="H66" i="16"/>
  <c r="O66" i="16"/>
  <c r="Q66" i="16" s="1"/>
  <c r="P66" i="16"/>
  <c r="U66" i="16"/>
  <c r="U69" i="16" s="1"/>
  <c r="E68" i="16"/>
  <c r="H68" i="16"/>
  <c r="P68" i="16"/>
  <c r="Q68" i="16" s="1"/>
  <c r="U68" i="16"/>
  <c r="B69" i="16"/>
  <c r="C69" i="16"/>
  <c r="D69" i="16"/>
  <c r="E69" i="16"/>
  <c r="F69" i="16"/>
  <c r="G69" i="16"/>
  <c r="H69" i="16"/>
  <c r="I69" i="16"/>
  <c r="J69" i="16"/>
  <c r="K69" i="16"/>
  <c r="L69" i="16"/>
  <c r="M69" i="16"/>
  <c r="N69" i="16"/>
  <c r="R69" i="16"/>
  <c r="S69" i="16"/>
  <c r="T69" i="16"/>
  <c r="T52" i="16"/>
  <c r="S52" i="16"/>
  <c r="R52" i="16"/>
  <c r="N52" i="16"/>
  <c r="M52" i="16"/>
  <c r="L52" i="16"/>
  <c r="K52" i="16"/>
  <c r="J52" i="16"/>
  <c r="I52" i="16"/>
  <c r="G52" i="16"/>
  <c r="F52" i="16"/>
  <c r="D52" i="16"/>
  <c r="C52" i="16"/>
  <c r="B52" i="16"/>
  <c r="U51" i="16"/>
  <c r="P51" i="16"/>
  <c r="O51" i="16"/>
  <c r="H51" i="16"/>
  <c r="E51" i="16"/>
  <c r="U49" i="16"/>
  <c r="P49" i="16"/>
  <c r="O49" i="16"/>
  <c r="H49" i="16"/>
  <c r="E49" i="16"/>
  <c r="U48" i="16"/>
  <c r="P48" i="16"/>
  <c r="O48" i="16"/>
  <c r="H48" i="16"/>
  <c r="E48" i="16"/>
  <c r="U47" i="16"/>
  <c r="P47" i="16"/>
  <c r="O47" i="16"/>
  <c r="H47" i="16"/>
  <c r="E47" i="16"/>
  <c r="U46" i="16"/>
  <c r="P46" i="16"/>
  <c r="Q46" i="16" s="1"/>
  <c r="O46" i="16"/>
  <c r="H46" i="16"/>
  <c r="E46" i="16"/>
  <c r="E33" i="16"/>
  <c r="U31" i="16"/>
  <c r="P31" i="16"/>
  <c r="H31" i="16"/>
  <c r="E31" i="16"/>
  <c r="H30" i="16"/>
  <c r="E30" i="16"/>
  <c r="D28" i="16"/>
  <c r="D34" i="16" s="1"/>
  <c r="C28" i="16"/>
  <c r="C34" i="16" s="1"/>
  <c r="B28" i="16"/>
  <c r="B34" i="16" s="1"/>
  <c r="Q16" i="16"/>
  <c r="H16" i="16"/>
  <c r="E16" i="16"/>
  <c r="U13" i="16"/>
  <c r="P13" i="16"/>
  <c r="Q13" i="16" s="1"/>
  <c r="H13" i="16"/>
  <c r="E13" i="16"/>
  <c r="P12" i="16"/>
  <c r="H12" i="16"/>
  <c r="E12" i="16"/>
  <c r="U11" i="16"/>
  <c r="P11" i="16"/>
  <c r="O11" i="16"/>
  <c r="H11" i="16"/>
  <c r="E11" i="16"/>
  <c r="D10" i="16"/>
  <c r="D17" i="16" s="1"/>
  <c r="C10" i="16"/>
  <c r="C17" i="16" s="1"/>
  <c r="B10" i="16"/>
  <c r="B17" i="16" s="1"/>
  <c r="E103" i="15"/>
  <c r="H103" i="15"/>
  <c r="K103" i="15"/>
  <c r="N103" i="15"/>
  <c r="E104" i="15"/>
  <c r="H104" i="15"/>
  <c r="K104" i="15"/>
  <c r="N104" i="15"/>
  <c r="E105" i="15"/>
  <c r="H105" i="15"/>
  <c r="K105" i="15"/>
  <c r="N105" i="15"/>
  <c r="E107" i="15"/>
  <c r="N107" i="15"/>
  <c r="O117" i="15"/>
  <c r="P117" i="15"/>
  <c r="O118" i="15"/>
  <c r="P118" i="15"/>
  <c r="O119" i="15"/>
  <c r="P119" i="15"/>
  <c r="E121" i="15"/>
  <c r="F121" i="15"/>
  <c r="G121" i="15"/>
  <c r="H121" i="15"/>
  <c r="I121" i="15"/>
  <c r="J121" i="15"/>
  <c r="K121" i="15"/>
  <c r="L121" i="15"/>
  <c r="M121" i="15"/>
  <c r="N121" i="15"/>
  <c r="E74" i="15"/>
  <c r="H74" i="15"/>
  <c r="K74" i="15"/>
  <c r="N74" i="15"/>
  <c r="E75" i="15"/>
  <c r="H75" i="15"/>
  <c r="K75" i="15"/>
  <c r="N75" i="15"/>
  <c r="E77" i="15"/>
  <c r="L77" i="15"/>
  <c r="M77" i="15"/>
  <c r="O88" i="15"/>
  <c r="P88" i="15"/>
  <c r="O89" i="15"/>
  <c r="P89" i="15"/>
  <c r="E91" i="15"/>
  <c r="F91" i="15"/>
  <c r="G91" i="15"/>
  <c r="H91" i="15"/>
  <c r="I91" i="15"/>
  <c r="J91" i="15"/>
  <c r="K91" i="15"/>
  <c r="L91" i="15"/>
  <c r="M91" i="15"/>
  <c r="N91" i="15"/>
  <c r="E42" i="15"/>
  <c r="H42" i="15"/>
  <c r="K42" i="15"/>
  <c r="N42" i="15"/>
  <c r="E44" i="15"/>
  <c r="O56" i="15"/>
  <c r="P56" i="15"/>
  <c r="O58" i="15"/>
  <c r="E10" i="15"/>
  <c r="E12" i="15"/>
  <c r="E15" i="15"/>
  <c r="MB19" i="5" l="1"/>
  <c r="MC19" i="5"/>
  <c r="Q47" i="16"/>
  <c r="S57" i="17"/>
  <c r="MB14" i="5"/>
  <c r="MB15" i="5" s="1"/>
  <c r="MB55" i="5" s="1"/>
  <c r="P52" i="16"/>
  <c r="T54" i="17"/>
  <c r="E52" i="16"/>
  <c r="Q51" i="16"/>
  <c r="R98" i="17"/>
  <c r="T95" i="17"/>
  <c r="H52" i="16"/>
  <c r="Q49" i="16"/>
  <c r="T97" i="17"/>
  <c r="S139" i="17"/>
  <c r="T139" i="17" s="1"/>
  <c r="G144" i="19"/>
  <c r="U52" i="16"/>
  <c r="P69" i="16"/>
  <c r="S131" i="17"/>
  <c r="O52" i="16"/>
  <c r="T102" i="17"/>
  <c r="N110" i="17"/>
  <c r="K147" i="17"/>
  <c r="MB25" i="5"/>
  <c r="MB26" i="5" s="1"/>
  <c r="MC25" i="5"/>
  <c r="MC26" i="5" s="1"/>
  <c r="MC11" i="5"/>
  <c r="MC12" i="5" s="1"/>
  <c r="MB11" i="5"/>
  <c r="MB12" i="5" s="1"/>
  <c r="G147" i="17"/>
  <c r="S138" i="19"/>
  <c r="S137" i="19"/>
  <c r="L147" i="17"/>
  <c r="T132" i="17"/>
  <c r="T130" i="17"/>
  <c r="T131" i="17"/>
  <c r="T56" i="17"/>
  <c r="T98" i="17"/>
  <c r="T96" i="17"/>
  <c r="S108" i="17"/>
  <c r="S145" i="17"/>
  <c r="S144" i="17"/>
  <c r="S146" i="17"/>
  <c r="G150" i="19"/>
  <c r="H110" i="17"/>
  <c r="S107" i="17"/>
  <c r="F147" i="17"/>
  <c r="O147" i="17"/>
  <c r="J147" i="17"/>
  <c r="R108" i="17"/>
  <c r="R107" i="17"/>
  <c r="J112" i="19"/>
  <c r="P121" i="15"/>
  <c r="Q147" i="17"/>
  <c r="R144" i="17"/>
  <c r="H147" i="17"/>
  <c r="Q111" i="19"/>
  <c r="E114" i="19"/>
  <c r="I147" i="17"/>
  <c r="P91" i="15"/>
  <c r="L110" i="17"/>
  <c r="R146" i="17"/>
  <c r="P147" i="17"/>
  <c r="O110" i="17"/>
  <c r="N77" i="15"/>
  <c r="K110" i="17"/>
  <c r="G110" i="17"/>
  <c r="M147" i="17"/>
  <c r="R145" i="17"/>
  <c r="N147" i="17"/>
  <c r="R109" i="17"/>
  <c r="P110" i="17"/>
  <c r="M110" i="17"/>
  <c r="I110" i="17"/>
  <c r="J110" i="17"/>
  <c r="F110" i="17"/>
  <c r="R151" i="19"/>
  <c r="G130" i="21"/>
  <c r="W91" i="20"/>
  <c r="Q110" i="20"/>
  <c r="W62" i="20"/>
  <c r="Q77" i="20"/>
  <c r="W122" i="20"/>
  <c r="Q44" i="20"/>
  <c r="Q76" i="20"/>
  <c r="Q79" i="20"/>
  <c r="W121" i="20"/>
  <c r="Q107" i="20"/>
  <c r="W124" i="20"/>
  <c r="Q106" i="20"/>
  <c r="W120" i="20"/>
  <c r="W90" i="20"/>
  <c r="W93" i="20"/>
  <c r="Q108" i="20"/>
  <c r="W58" i="20"/>
  <c r="K152" i="19"/>
  <c r="O152" i="19"/>
  <c r="I152" i="19"/>
  <c r="G149" i="19"/>
  <c r="P152" i="19"/>
  <c r="J150" i="19"/>
  <c r="E152" i="19"/>
  <c r="R112" i="19"/>
  <c r="R144" i="19"/>
  <c r="H152" i="19"/>
  <c r="S100" i="19"/>
  <c r="R102" i="19"/>
  <c r="G112" i="19"/>
  <c r="F152" i="19"/>
  <c r="R150" i="19"/>
  <c r="L152" i="19"/>
  <c r="S57" i="19"/>
  <c r="J60" i="19"/>
  <c r="J144" i="19"/>
  <c r="J149" i="19"/>
  <c r="Q150" i="19"/>
  <c r="M152" i="19"/>
  <c r="Q151" i="19"/>
  <c r="S133" i="19"/>
  <c r="R136" i="19"/>
  <c r="J151" i="19"/>
  <c r="J102" i="19"/>
  <c r="G106" i="19"/>
  <c r="N114" i="19"/>
  <c r="G136" i="19"/>
  <c r="J140" i="19"/>
  <c r="S141" i="19"/>
  <c r="S143" i="19"/>
  <c r="G151" i="19"/>
  <c r="N152" i="19"/>
  <c r="Q136" i="19"/>
  <c r="G140" i="19"/>
  <c r="R149" i="19"/>
  <c r="J111" i="19"/>
  <c r="K114" i="19"/>
  <c r="J136" i="19"/>
  <c r="Q149" i="19"/>
  <c r="S134" i="19"/>
  <c r="Q140" i="19"/>
  <c r="S135" i="19"/>
  <c r="R140" i="19"/>
  <c r="S139" i="19"/>
  <c r="S99" i="19"/>
  <c r="Q102" i="19"/>
  <c r="J106" i="19"/>
  <c r="O114" i="19"/>
  <c r="Q112" i="19"/>
  <c r="R113" i="19"/>
  <c r="P114" i="19"/>
  <c r="Q60" i="19"/>
  <c r="H114" i="19"/>
  <c r="J113" i="19"/>
  <c r="L114" i="19"/>
  <c r="G111" i="19"/>
  <c r="M114" i="19"/>
  <c r="F114" i="19"/>
  <c r="I114" i="19"/>
  <c r="S58" i="19"/>
  <c r="G102" i="19"/>
  <c r="S101" i="19"/>
  <c r="S103" i="19"/>
  <c r="G113" i="19"/>
  <c r="Q113" i="19"/>
  <c r="R106" i="19"/>
  <c r="S105" i="19"/>
  <c r="R111" i="19"/>
  <c r="G60" i="19"/>
  <c r="R60" i="19"/>
  <c r="S59" i="19"/>
  <c r="K155" i="18"/>
  <c r="M143" i="18"/>
  <c r="L155" i="18"/>
  <c r="J116" i="18"/>
  <c r="M154" i="18"/>
  <c r="M147" i="18"/>
  <c r="J155" i="18"/>
  <c r="M113" i="18"/>
  <c r="M153" i="18"/>
  <c r="M152" i="18"/>
  <c r="K116" i="18"/>
  <c r="M104" i="18"/>
  <c r="M115" i="18"/>
  <c r="M139" i="18"/>
  <c r="M61" i="18"/>
  <c r="M114" i="18"/>
  <c r="L116" i="18"/>
  <c r="M108" i="18"/>
  <c r="R135" i="17"/>
  <c r="T135" i="17" s="1"/>
  <c r="R57" i="17"/>
  <c r="T57" i="17" s="1"/>
  <c r="S109" i="17"/>
  <c r="T55" i="17"/>
  <c r="Q69" i="16"/>
  <c r="O69" i="16"/>
  <c r="Q11" i="16"/>
  <c r="Q48" i="16"/>
  <c r="Q52" i="16" s="1"/>
  <c r="Q31" i="16"/>
  <c r="E28" i="16"/>
  <c r="E34" i="16" s="1"/>
  <c r="E10" i="16"/>
  <c r="E17" i="16" s="1"/>
  <c r="O121" i="15"/>
  <c r="Q88" i="15"/>
  <c r="Q119" i="15"/>
  <c r="Q118" i="15"/>
  <c r="Q56" i="15"/>
  <c r="Q117" i="15"/>
  <c r="O91" i="15"/>
  <c r="Q89" i="15"/>
  <c r="EY36" i="5"/>
  <c r="EZ36" i="5"/>
  <c r="MC54" i="5" l="1"/>
  <c r="MB54" i="5"/>
  <c r="MC20" i="5"/>
  <c r="MB20" i="5"/>
  <c r="S111" i="19"/>
  <c r="Q121" i="15"/>
  <c r="T146" i="17"/>
  <c r="S140" i="19"/>
  <c r="T145" i="17"/>
  <c r="T108" i="17"/>
  <c r="T107" i="17"/>
  <c r="T144" i="17"/>
  <c r="G152" i="19"/>
  <c r="S147" i="17"/>
  <c r="J114" i="19"/>
  <c r="T109" i="17"/>
  <c r="S110" i="17"/>
  <c r="Q91" i="15"/>
  <c r="R110" i="17"/>
  <c r="R147" i="17"/>
  <c r="G114" i="19"/>
  <c r="FA36" i="5"/>
  <c r="S60" i="19"/>
  <c r="S112" i="19"/>
  <c r="R152" i="19"/>
  <c r="Q152" i="19"/>
  <c r="S151" i="19"/>
  <c r="S144" i="19"/>
  <c r="S150" i="19"/>
  <c r="J152" i="19"/>
  <c r="S136" i="19"/>
  <c r="S149" i="19"/>
  <c r="Q114" i="19"/>
  <c r="S102" i="19"/>
  <c r="S106" i="19"/>
  <c r="R114" i="19"/>
  <c r="S113" i="19"/>
  <c r="M155" i="18"/>
  <c r="M116" i="18"/>
  <c r="SN22" i="5"/>
  <c r="OF22" i="5"/>
  <c r="OG22" i="5"/>
  <c r="NW22" i="5"/>
  <c r="NX22" i="5"/>
  <c r="MZ22" i="5"/>
  <c r="NA22" i="5"/>
  <c r="MO22" i="5"/>
  <c r="MP22" i="5"/>
  <c r="KV22" i="5"/>
  <c r="KW22" i="5"/>
  <c r="FL22" i="5"/>
  <c r="FM22" i="5"/>
  <c r="EY22" i="5"/>
  <c r="EZ22" i="5"/>
  <c r="EP22" i="5"/>
  <c r="EQ22" i="5"/>
  <c r="EG22" i="5"/>
  <c r="EH22" i="5"/>
  <c r="DX22" i="5"/>
  <c r="DY22" i="5"/>
  <c r="DF22" i="5"/>
  <c r="DG22" i="5"/>
  <c r="CV22" i="5"/>
  <c r="CW22" i="5"/>
  <c r="CX22" i="5"/>
  <c r="BS22" i="5"/>
  <c r="BT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BF22" i="5"/>
  <c r="BG22" i="5"/>
  <c r="AS22" i="5"/>
  <c r="AT22" i="5"/>
  <c r="AF22" i="5"/>
  <c r="AG22" i="5"/>
  <c r="MQ22" i="5" l="1"/>
  <c r="DH22" i="5"/>
  <c r="T147" i="17"/>
  <c r="OH22" i="5"/>
  <c r="T110" i="17"/>
  <c r="FA22" i="5"/>
  <c r="GI22" i="5"/>
  <c r="S114" i="19"/>
  <c r="FN22" i="5"/>
  <c r="LS22" i="5"/>
  <c r="NY22" i="5"/>
  <c r="S152" i="19"/>
  <c r="NB22" i="5"/>
  <c r="AU22" i="5"/>
  <c r="CY22" i="5"/>
  <c r="KX22" i="5"/>
  <c r="BH22" i="5"/>
  <c r="BU22" i="5"/>
  <c r="DZ22" i="5"/>
  <c r="ER22" i="5"/>
  <c r="MD22" i="5"/>
  <c r="CJ22" i="5"/>
  <c r="EI22" i="5"/>
  <c r="CK22" i="5"/>
  <c r="AH22" i="5"/>
  <c r="SN10" i="5"/>
  <c r="CL22" i="5" l="1"/>
  <c r="PO21" i="5" l="1"/>
  <c r="PO25" i="5" s="1"/>
  <c r="PO26" i="5" s="1"/>
  <c r="NB46" i="5"/>
  <c r="NC46" i="5"/>
  <c r="NB35" i="5"/>
  <c r="LY46" i="5"/>
  <c r="LZ46" i="5"/>
  <c r="MA46" i="5"/>
  <c r="MB46" i="5"/>
  <c r="G61" i="14"/>
  <c r="H61" i="14"/>
  <c r="I61" i="14"/>
  <c r="LY35" i="5"/>
  <c r="LZ35" i="5"/>
  <c r="MA35" i="5"/>
  <c r="MB35" i="5"/>
  <c r="H129" i="13"/>
  <c r="I129" i="13"/>
  <c r="LY52" i="5" l="1"/>
  <c r="MA52" i="5"/>
  <c r="MB52" i="5"/>
  <c r="LZ52" i="5"/>
  <c r="G28" i="14"/>
  <c r="H95" i="13"/>
  <c r="I95" i="13"/>
  <c r="H62" i="13"/>
  <c r="I62" i="13"/>
  <c r="H29" i="13" l="1"/>
  <c r="H28" i="14"/>
  <c r="I29" i="13"/>
  <c r="I28" i="14"/>
  <c r="NW7" i="5"/>
  <c r="MP23" i="5" l="1"/>
  <c r="MO23" i="5"/>
  <c r="MP21" i="5"/>
  <c r="MO21" i="5"/>
  <c r="MP13" i="5"/>
  <c r="MP14" i="5" s="1"/>
  <c r="MP15" i="5" s="1"/>
  <c r="MP55" i="5" s="1"/>
  <c r="MO13" i="5"/>
  <c r="MO14" i="5" s="1"/>
  <c r="MO15" i="5" s="1"/>
  <c r="MO55" i="5" s="1"/>
  <c r="MP10" i="5"/>
  <c r="MO10" i="5"/>
  <c r="MP9" i="5"/>
  <c r="MO9" i="5"/>
  <c r="MP8" i="5"/>
  <c r="MO8" i="5"/>
  <c r="MP7" i="5"/>
  <c r="MO7" i="5"/>
  <c r="MP6" i="5"/>
  <c r="MO6" i="5"/>
  <c r="MP16" i="5"/>
  <c r="MP18" i="5" s="1"/>
  <c r="MO16" i="5"/>
  <c r="MO18" i="5" s="1"/>
  <c r="MD16" i="5"/>
  <c r="MD18" i="5" s="1"/>
  <c r="MD19" i="5" l="1"/>
  <c r="MO19" i="5"/>
  <c r="MP19" i="5"/>
  <c r="MO25" i="5"/>
  <c r="MO26" i="5" s="1"/>
  <c r="MO11" i="5"/>
  <c r="MO12" i="5" s="1"/>
  <c r="MP25" i="5"/>
  <c r="MP26" i="5" s="1"/>
  <c r="MP11" i="5"/>
  <c r="MP12" i="5" s="1"/>
  <c r="MQ16" i="5"/>
  <c r="MQ18" i="5" s="1"/>
  <c r="MQ9" i="5"/>
  <c r="MD23" i="5"/>
  <c r="MD9" i="5"/>
  <c r="MQ23" i="5"/>
  <c r="MQ13" i="5"/>
  <c r="MQ14" i="5" s="1"/>
  <c r="MQ15" i="5" s="1"/>
  <c r="MQ55" i="5" s="1"/>
  <c r="MQ7" i="5"/>
  <c r="MD7" i="5"/>
  <c r="MQ21" i="5"/>
  <c r="MD21" i="5"/>
  <c r="MQ8" i="5"/>
  <c r="MD8" i="5"/>
  <c r="MQ10" i="5"/>
  <c r="MD10" i="5"/>
  <c r="MQ6" i="5"/>
  <c r="MD6" i="5"/>
  <c r="LJ46" i="5"/>
  <c r="LJ52" i="5" s="1"/>
  <c r="LK46" i="5"/>
  <c r="LK52" i="5" s="1"/>
  <c r="LL46" i="5"/>
  <c r="LL52" i="5" s="1"/>
  <c r="LM46" i="5"/>
  <c r="LM52" i="5" s="1"/>
  <c r="LN46" i="5"/>
  <c r="LQ46" i="5"/>
  <c r="LR46" i="5"/>
  <c r="LS46" i="5"/>
  <c r="LT46" i="5"/>
  <c r="LT52" i="5" s="1"/>
  <c r="LU46" i="5"/>
  <c r="LU52" i="5" s="1"/>
  <c r="LV46" i="5"/>
  <c r="LV52" i="5" s="1"/>
  <c r="LW46" i="5"/>
  <c r="LW52" i="5" s="1"/>
  <c r="LX46" i="5"/>
  <c r="MC46" i="5"/>
  <c r="MD46" i="5"/>
  <c r="ME46" i="5"/>
  <c r="MF46" i="5"/>
  <c r="MG46" i="5"/>
  <c r="MH46" i="5"/>
  <c r="MI46" i="5"/>
  <c r="MJ46" i="5"/>
  <c r="MK46" i="5"/>
  <c r="ML46" i="5"/>
  <c r="MM46" i="5"/>
  <c r="MN46" i="5"/>
  <c r="MO46" i="5"/>
  <c r="MP46" i="5"/>
  <c r="MQ46" i="5"/>
  <c r="MR46" i="5"/>
  <c r="MS46" i="5"/>
  <c r="MT46" i="5"/>
  <c r="MU46" i="5"/>
  <c r="MV46" i="5"/>
  <c r="MW46" i="5"/>
  <c r="MX46" i="5"/>
  <c r="LX35" i="5"/>
  <c r="MC35" i="5"/>
  <c r="MD35" i="5"/>
  <c r="ME35" i="5"/>
  <c r="MF35" i="5"/>
  <c r="MG35" i="5"/>
  <c r="MH35" i="5"/>
  <c r="MI35" i="5"/>
  <c r="MJ35" i="5"/>
  <c r="MK35" i="5"/>
  <c r="ML35" i="5"/>
  <c r="MM35" i="5"/>
  <c r="MN35" i="5"/>
  <c r="MO35" i="5"/>
  <c r="MP35" i="5"/>
  <c r="MQ35" i="5"/>
  <c r="MR35" i="5"/>
  <c r="MS35" i="5"/>
  <c r="MT35" i="5"/>
  <c r="MU35" i="5"/>
  <c r="MV35" i="5"/>
  <c r="MW35" i="5"/>
  <c r="MX35" i="5"/>
  <c r="MY35" i="5"/>
  <c r="B61" i="14"/>
  <c r="C61" i="14"/>
  <c r="D61" i="14"/>
  <c r="E61" i="14"/>
  <c r="F61" i="14"/>
  <c r="B66" i="14"/>
  <c r="C66" i="14"/>
  <c r="D66" i="14"/>
  <c r="E66" i="14"/>
  <c r="F66" i="14"/>
  <c r="G66" i="14"/>
  <c r="H66" i="14"/>
  <c r="I66" i="14"/>
  <c r="J66" i="14"/>
  <c r="K66" i="14"/>
  <c r="D129" i="13"/>
  <c r="E129" i="13"/>
  <c r="B134" i="13"/>
  <c r="E134" i="13"/>
  <c r="F134" i="13"/>
  <c r="I134" i="13"/>
  <c r="J134" i="13"/>
  <c r="MW52" i="5" l="1"/>
  <c r="MG52" i="5"/>
  <c r="MO54" i="5"/>
  <c r="MN52" i="5"/>
  <c r="MC52" i="5"/>
  <c r="MV52" i="5"/>
  <c r="MM52" i="5"/>
  <c r="MT52" i="5"/>
  <c r="MS52" i="5"/>
  <c r="MR52" i="5"/>
  <c r="LX52" i="5"/>
  <c r="MI52" i="5"/>
  <c r="MF52" i="5"/>
  <c r="MU52" i="5"/>
  <c r="ME52" i="5"/>
  <c r="ML52" i="5"/>
  <c r="MK52" i="5"/>
  <c r="MJ52" i="5"/>
  <c r="MX52" i="5"/>
  <c r="MH52" i="5"/>
  <c r="LN52" i="5"/>
  <c r="F19" i="13" s="1"/>
  <c r="MP54" i="5"/>
  <c r="MO20" i="5"/>
  <c r="MO52" i="5" s="1"/>
  <c r="MP20" i="5"/>
  <c r="MP52" i="5" s="1"/>
  <c r="MQ25" i="5"/>
  <c r="MQ26" i="5" s="1"/>
  <c r="MD25" i="5"/>
  <c r="MD26" i="5" s="1"/>
  <c r="MD11" i="5"/>
  <c r="MD12" i="5" s="1"/>
  <c r="MQ11" i="5"/>
  <c r="MQ12" i="5" s="1"/>
  <c r="K61" i="14"/>
  <c r="J61" i="14"/>
  <c r="L66" i="14"/>
  <c r="M66" i="14"/>
  <c r="F62" i="13"/>
  <c r="D67" i="13"/>
  <c r="D62" i="13"/>
  <c r="D95" i="13"/>
  <c r="F67" i="13"/>
  <c r="J100" i="13"/>
  <c r="H67" i="13"/>
  <c r="B62" i="13"/>
  <c r="F95" i="13"/>
  <c r="B95" i="13"/>
  <c r="K67" i="13"/>
  <c r="C67" i="13"/>
  <c r="B100" i="13"/>
  <c r="K134" i="13"/>
  <c r="G134" i="13"/>
  <c r="C134" i="13"/>
  <c r="F129" i="13"/>
  <c r="B129" i="13"/>
  <c r="B67" i="13"/>
  <c r="E95" i="13"/>
  <c r="I100" i="13"/>
  <c r="E100" i="13"/>
  <c r="G67" i="13"/>
  <c r="E62" i="13"/>
  <c r="F100" i="13"/>
  <c r="H100" i="13"/>
  <c r="D100" i="13"/>
  <c r="G95" i="13"/>
  <c r="C95" i="13"/>
  <c r="K100" i="13"/>
  <c r="G100" i="13"/>
  <c r="C100" i="13"/>
  <c r="E67" i="13"/>
  <c r="I67" i="13"/>
  <c r="G62" i="13"/>
  <c r="C62" i="13"/>
  <c r="H134" i="13"/>
  <c r="D134" i="13"/>
  <c r="G29" i="13"/>
  <c r="G129" i="13"/>
  <c r="C129" i="13"/>
  <c r="J67" i="13"/>
  <c r="MQ19" i="5" l="1"/>
  <c r="MQ20" i="5" s="1"/>
  <c r="MQ52" i="5" s="1"/>
  <c r="MD54" i="5"/>
  <c r="MQ54" i="5"/>
  <c r="N66" i="14"/>
  <c r="K95" i="13"/>
  <c r="J129" i="13"/>
  <c r="J95" i="13"/>
  <c r="K129" i="13"/>
  <c r="K62" i="13"/>
  <c r="J62" i="13"/>
  <c r="F34" i="13"/>
  <c r="F33" i="14"/>
  <c r="C29" i="13"/>
  <c r="C28" i="14"/>
  <c r="H34" i="13"/>
  <c r="H33" i="14"/>
  <c r="G34" i="13"/>
  <c r="G33" i="14"/>
  <c r="E29" i="13"/>
  <c r="E28" i="14"/>
  <c r="J34" i="13"/>
  <c r="J33" i="14"/>
  <c r="B34" i="13"/>
  <c r="B33" i="14"/>
  <c r="B29" i="13"/>
  <c r="B28" i="14"/>
  <c r="D34" i="13"/>
  <c r="D33" i="14"/>
  <c r="D29" i="13"/>
  <c r="D28" i="14"/>
  <c r="C34" i="13"/>
  <c r="C33" i="14"/>
  <c r="K34" i="13"/>
  <c r="K33" i="14"/>
  <c r="L61" i="14"/>
  <c r="F29" i="13"/>
  <c r="F28" i="14"/>
  <c r="E34" i="13"/>
  <c r="E33" i="14"/>
  <c r="I34" i="13"/>
  <c r="I33" i="14"/>
  <c r="L67" i="13"/>
  <c r="L100" i="13"/>
  <c r="M67" i="13"/>
  <c r="L134" i="13"/>
  <c r="M100" i="13"/>
  <c r="M134" i="13"/>
  <c r="L95" i="13" l="1"/>
  <c r="J28" i="14"/>
  <c r="K28" i="14"/>
  <c r="K29" i="13"/>
  <c r="J29" i="13"/>
  <c r="L34" i="13"/>
  <c r="M34" i="13"/>
  <c r="L33" i="14"/>
  <c r="M33" i="14"/>
  <c r="N67" i="13"/>
  <c r="L129" i="13"/>
  <c r="L62" i="13"/>
  <c r="N100" i="13"/>
  <c r="N134" i="13"/>
  <c r="N34" i="13" l="1"/>
  <c r="L29" i="13"/>
  <c r="L28" i="14"/>
  <c r="N33" i="14"/>
  <c r="BI90" i="12" l="1"/>
  <c r="BI89" i="12"/>
  <c r="BI67" i="12"/>
  <c r="BI66" i="12"/>
  <c r="BI44" i="12"/>
  <c r="BI43" i="12"/>
  <c r="BI20" i="12"/>
  <c r="BI21" i="12"/>
  <c r="BI14" i="12"/>
  <c r="F25" i="5"/>
  <c r="E60" i="15"/>
  <c r="F60" i="15"/>
  <c r="G60" i="15"/>
  <c r="H60" i="15"/>
  <c r="I60" i="15"/>
  <c r="J60" i="15"/>
  <c r="K60" i="15"/>
  <c r="L60" i="15"/>
  <c r="M60" i="15"/>
  <c r="N60" i="15"/>
  <c r="D70" i="17"/>
  <c r="D73" i="17" s="1"/>
  <c r="E70" i="17"/>
  <c r="E73" i="17" s="1"/>
  <c r="F70" i="17"/>
  <c r="G70" i="17"/>
  <c r="H70" i="17"/>
  <c r="I70" i="17"/>
  <c r="J70" i="17"/>
  <c r="K70" i="17"/>
  <c r="L70" i="17"/>
  <c r="M70" i="17"/>
  <c r="F71" i="17"/>
  <c r="G71" i="17"/>
  <c r="H71" i="17"/>
  <c r="I71" i="17"/>
  <c r="J71" i="17"/>
  <c r="K71" i="17"/>
  <c r="L71" i="17"/>
  <c r="M71" i="17"/>
  <c r="N71" i="17"/>
  <c r="O71" i="17"/>
  <c r="H72" i="17"/>
  <c r="I72" i="17"/>
  <c r="J72" i="17"/>
  <c r="K72" i="17"/>
  <c r="L72" i="17"/>
  <c r="M72" i="17"/>
  <c r="N72" i="17"/>
  <c r="O72" i="17"/>
  <c r="P72" i="17"/>
  <c r="Q72" i="17"/>
  <c r="J74" i="18"/>
  <c r="K74" i="18"/>
  <c r="L74" i="18"/>
  <c r="J75" i="18"/>
  <c r="K75" i="18"/>
  <c r="L75" i="18"/>
  <c r="J76" i="18"/>
  <c r="K76" i="18"/>
  <c r="L76" i="18"/>
  <c r="E73" i="19"/>
  <c r="F73" i="19"/>
  <c r="E74" i="19"/>
  <c r="F74" i="19"/>
  <c r="E75" i="19"/>
  <c r="F75" i="19"/>
  <c r="H73" i="19"/>
  <c r="I73" i="19"/>
  <c r="H74" i="19"/>
  <c r="I74" i="19"/>
  <c r="H75" i="19"/>
  <c r="I75" i="19"/>
  <c r="K73" i="19"/>
  <c r="L73" i="19"/>
  <c r="K74" i="19"/>
  <c r="L74" i="19"/>
  <c r="K75" i="19"/>
  <c r="L75" i="19"/>
  <c r="M73" i="19"/>
  <c r="N73" i="19"/>
  <c r="M74" i="19"/>
  <c r="N74" i="19"/>
  <c r="M75" i="19"/>
  <c r="N75" i="19"/>
  <c r="O73" i="19"/>
  <c r="P73" i="19"/>
  <c r="O74" i="19"/>
  <c r="P74" i="19"/>
  <c r="O75" i="19"/>
  <c r="P75" i="19"/>
  <c r="G46" i="5"/>
  <c r="G52" i="5" s="1"/>
  <c r="H46" i="5"/>
  <c r="H52" i="5" s="1"/>
  <c r="I46" i="5"/>
  <c r="I52" i="5" s="1"/>
  <c r="J46" i="5"/>
  <c r="J52" i="5" s="1"/>
  <c r="K46" i="5"/>
  <c r="K52" i="5" s="1"/>
  <c r="L46" i="5"/>
  <c r="L52" i="5" s="1"/>
  <c r="M46" i="5"/>
  <c r="M52" i="5" s="1"/>
  <c r="N46" i="5"/>
  <c r="N52" i="5" s="1"/>
  <c r="O46" i="5"/>
  <c r="O52" i="5" s="1"/>
  <c r="P46" i="5"/>
  <c r="P52" i="5" s="1"/>
  <c r="Q46" i="5"/>
  <c r="Q52" i="5" s="1"/>
  <c r="R46" i="5"/>
  <c r="R52" i="5" s="1"/>
  <c r="S46" i="5"/>
  <c r="S52" i="5" s="1"/>
  <c r="T46" i="5"/>
  <c r="T52" i="5" s="1"/>
  <c r="U46" i="5"/>
  <c r="U52" i="5" s="1"/>
  <c r="V52" i="5"/>
  <c r="W46" i="5"/>
  <c r="W52" i="5" s="1"/>
  <c r="X46" i="5"/>
  <c r="X52" i="5" s="1"/>
  <c r="Y46" i="5"/>
  <c r="Y52" i="5" s="1"/>
  <c r="Z46" i="5"/>
  <c r="Z52" i="5" s="1"/>
  <c r="AA46" i="5"/>
  <c r="AA52" i="5" s="1"/>
  <c r="AB46" i="5"/>
  <c r="AB52" i="5" s="1"/>
  <c r="AC46" i="5"/>
  <c r="AC52" i="5" s="1"/>
  <c r="AD46" i="5"/>
  <c r="AD52" i="5" s="1"/>
  <c r="AE46" i="5"/>
  <c r="AE52" i="5" s="1"/>
  <c r="AI46" i="5"/>
  <c r="AJ46" i="5"/>
  <c r="AJ52" i="5" s="1"/>
  <c r="AK46" i="5"/>
  <c r="AK52" i="5" s="1"/>
  <c r="AL46" i="5"/>
  <c r="AL52" i="5" s="1"/>
  <c r="AM46" i="5"/>
  <c r="AM52" i="5" s="1"/>
  <c r="AN46" i="5"/>
  <c r="AN52" i="5" s="1"/>
  <c r="AO46" i="5"/>
  <c r="AO52" i="5" s="1"/>
  <c r="AP46" i="5"/>
  <c r="AP52" i="5" s="1"/>
  <c r="AQ46" i="5"/>
  <c r="AQ52" i="5" s="1"/>
  <c r="AR46" i="5"/>
  <c r="AR52" i="5" s="1"/>
  <c r="AV46" i="5"/>
  <c r="AV52" i="5" s="1"/>
  <c r="AW46" i="5"/>
  <c r="AW52" i="5" s="1"/>
  <c r="AX46" i="5"/>
  <c r="AX52" i="5" s="1"/>
  <c r="AY46" i="5"/>
  <c r="AY52" i="5" s="1"/>
  <c r="AZ46" i="5"/>
  <c r="AZ52" i="5" s="1"/>
  <c r="BA46" i="5"/>
  <c r="BA52" i="5" s="1"/>
  <c r="BB46" i="5"/>
  <c r="BB52" i="5" s="1"/>
  <c r="BC46" i="5"/>
  <c r="BC52" i="5" s="1"/>
  <c r="BD46" i="5"/>
  <c r="BD52" i="5" s="1"/>
  <c r="BE46" i="5"/>
  <c r="BE52" i="5" s="1"/>
  <c r="BI46" i="5"/>
  <c r="BI52" i="5" s="1"/>
  <c r="BJ46" i="5"/>
  <c r="BJ52" i="5" s="1"/>
  <c r="BK46" i="5"/>
  <c r="BK52" i="5" s="1"/>
  <c r="BL46" i="5"/>
  <c r="BL52" i="5" s="1"/>
  <c r="BM46" i="5"/>
  <c r="BM52" i="5" s="1"/>
  <c r="BN46" i="5"/>
  <c r="BN52" i="5" s="1"/>
  <c r="BP46" i="5"/>
  <c r="BP52" i="5" s="1"/>
  <c r="BQ46" i="5"/>
  <c r="BQ52" i="5" s="1"/>
  <c r="BR46" i="5"/>
  <c r="BR52" i="5" s="1"/>
  <c r="CM46" i="5"/>
  <c r="CM52" i="5" s="1"/>
  <c r="CN46" i="5"/>
  <c r="CN52" i="5" s="1"/>
  <c r="CO46" i="5"/>
  <c r="CO52" i="5" s="1"/>
  <c r="CP46" i="5"/>
  <c r="CP52" i="5" s="1"/>
  <c r="CQ46" i="5"/>
  <c r="CQ52" i="5" s="1"/>
  <c r="CR46" i="5"/>
  <c r="CR52" i="5" s="1"/>
  <c r="CS46" i="5"/>
  <c r="CS52" i="5" s="1"/>
  <c r="CT46" i="5"/>
  <c r="CT52" i="5" s="1"/>
  <c r="CU46" i="5"/>
  <c r="CU52" i="5" s="1"/>
  <c r="CZ46" i="5"/>
  <c r="CZ52" i="5" s="1"/>
  <c r="DA46" i="5"/>
  <c r="DA52" i="5" s="1"/>
  <c r="DB46" i="5"/>
  <c r="DB52" i="5" s="1"/>
  <c r="DC46" i="5"/>
  <c r="DC52" i="5" s="1"/>
  <c r="DD46" i="5"/>
  <c r="DD52" i="5" s="1"/>
  <c r="DE46" i="5"/>
  <c r="DE52" i="5" s="1"/>
  <c r="DI46" i="5"/>
  <c r="DI52" i="5" s="1"/>
  <c r="DJ46" i="5"/>
  <c r="DJ52" i="5" s="1"/>
  <c r="DK46" i="5"/>
  <c r="DK52" i="5" s="1"/>
  <c r="DL46" i="5"/>
  <c r="DL52" i="5" s="1"/>
  <c r="DM46" i="5"/>
  <c r="DM52" i="5" s="1"/>
  <c r="DN46" i="5"/>
  <c r="DN52" i="5" s="1"/>
  <c r="DR46" i="5"/>
  <c r="DR52" i="5" s="1"/>
  <c r="DS46" i="5"/>
  <c r="DS52" i="5" s="1"/>
  <c r="DT46" i="5"/>
  <c r="DT52" i="5" s="1"/>
  <c r="DU46" i="5"/>
  <c r="DU52" i="5" s="1"/>
  <c r="DV46" i="5"/>
  <c r="DV52" i="5" s="1"/>
  <c r="DW46" i="5"/>
  <c r="DW52" i="5" s="1"/>
  <c r="EA46" i="5"/>
  <c r="EA52" i="5" s="1"/>
  <c r="EB46" i="5"/>
  <c r="EB52" i="5" s="1"/>
  <c r="EC46" i="5"/>
  <c r="EC52" i="5" s="1"/>
  <c r="ED46" i="5"/>
  <c r="ED52" i="5" s="1"/>
  <c r="EE46" i="5"/>
  <c r="EE52" i="5" s="1"/>
  <c r="EF46" i="5"/>
  <c r="EF52" i="5" s="1"/>
  <c r="EJ46" i="5"/>
  <c r="EJ52" i="5" s="1"/>
  <c r="EK46" i="5"/>
  <c r="EK52" i="5" s="1"/>
  <c r="EL46" i="5"/>
  <c r="EL52" i="5" s="1"/>
  <c r="EM46" i="5"/>
  <c r="EM52" i="5" s="1"/>
  <c r="EN46" i="5"/>
  <c r="EN52" i="5" s="1"/>
  <c r="EO46" i="5"/>
  <c r="EO52" i="5" s="1"/>
  <c r="ES46" i="5"/>
  <c r="ES52" i="5" s="1"/>
  <c r="ET46" i="5"/>
  <c r="ET52" i="5" s="1"/>
  <c r="EU46" i="5"/>
  <c r="EU52" i="5" s="1"/>
  <c r="EV46" i="5"/>
  <c r="EV52" i="5" s="1"/>
  <c r="EW46" i="5"/>
  <c r="EW52" i="5" s="1"/>
  <c r="EX46" i="5"/>
  <c r="EX52" i="5" s="1"/>
  <c r="FB46" i="5"/>
  <c r="FB52" i="5" s="1"/>
  <c r="FC46" i="5"/>
  <c r="FC52" i="5" s="1"/>
  <c r="FD46" i="5"/>
  <c r="FD52" i="5" s="1"/>
  <c r="FE46" i="5"/>
  <c r="FE52" i="5" s="1"/>
  <c r="FF46" i="5"/>
  <c r="FF52" i="5" s="1"/>
  <c r="FG46" i="5"/>
  <c r="FG52" i="5" s="1"/>
  <c r="FH46" i="5"/>
  <c r="FH52" i="5" s="1"/>
  <c r="FI46" i="5"/>
  <c r="FI52" i="5" s="1"/>
  <c r="FJ46" i="5"/>
  <c r="FJ52" i="5" s="1"/>
  <c r="FK46" i="5"/>
  <c r="FK52" i="5" s="1"/>
  <c r="FL46" i="5"/>
  <c r="FM46" i="5"/>
  <c r="FN46" i="5"/>
  <c r="FO46" i="5"/>
  <c r="FO52" i="5" s="1"/>
  <c r="FP46" i="5"/>
  <c r="FP52" i="5" s="1"/>
  <c r="FS46" i="5"/>
  <c r="FS52" i="5" s="1"/>
  <c r="FT46" i="5"/>
  <c r="FT52" i="5" s="1"/>
  <c r="FU46" i="5"/>
  <c r="FU52" i="5" s="1"/>
  <c r="FV46" i="5"/>
  <c r="FV52" i="5" s="1"/>
  <c r="FW46" i="5"/>
  <c r="FW52" i="5" s="1"/>
  <c r="FX46" i="5"/>
  <c r="FX52" i="5" s="1"/>
  <c r="FY46" i="5"/>
  <c r="FY52" i="5" s="1"/>
  <c r="FZ46" i="5"/>
  <c r="FZ52" i="5" s="1"/>
  <c r="GA46" i="5"/>
  <c r="GA52" i="5" s="1"/>
  <c r="GB46" i="5"/>
  <c r="GB52" i="5" s="1"/>
  <c r="GE46" i="5"/>
  <c r="GE52" i="5" s="1"/>
  <c r="GF46" i="5"/>
  <c r="GF52" i="5" s="1"/>
  <c r="GG46" i="5"/>
  <c r="GH46" i="5"/>
  <c r="GI46" i="5"/>
  <c r="GJ46" i="5"/>
  <c r="GJ52" i="5" s="1"/>
  <c r="GK46" i="5"/>
  <c r="GK52" i="5" s="1"/>
  <c r="GL46" i="5"/>
  <c r="GL52" i="5" s="1"/>
  <c r="GM46" i="5"/>
  <c r="GM52" i="5" s="1"/>
  <c r="GN46" i="5"/>
  <c r="GN52" i="5" s="1"/>
  <c r="GO46" i="5"/>
  <c r="GO52" i="5" s="1"/>
  <c r="GP46" i="5"/>
  <c r="GP52" i="5" s="1"/>
  <c r="GQ46" i="5"/>
  <c r="GQ52" i="5" s="1"/>
  <c r="GR46" i="5"/>
  <c r="GR52" i="5" s="1"/>
  <c r="GS46" i="5"/>
  <c r="GS52" i="5" s="1"/>
  <c r="GT46" i="5"/>
  <c r="GT52" i="5" s="1"/>
  <c r="GU46" i="5"/>
  <c r="GU52" i="5" s="1"/>
  <c r="GV46" i="5"/>
  <c r="GV52" i="5" s="1"/>
  <c r="GW46" i="5"/>
  <c r="GW52" i="5" s="1"/>
  <c r="GX46" i="5"/>
  <c r="GX52" i="5" s="1"/>
  <c r="GY46" i="5"/>
  <c r="GY52" i="5" s="1"/>
  <c r="GZ46" i="5"/>
  <c r="GZ52" i="5" s="1"/>
  <c r="HA46" i="5"/>
  <c r="HA52" i="5" s="1"/>
  <c r="HB46" i="5"/>
  <c r="HB52" i="5" s="1"/>
  <c r="HC46" i="5"/>
  <c r="HC52" i="5" s="1"/>
  <c r="HD46" i="5"/>
  <c r="HD52" i="5" s="1"/>
  <c r="HE46" i="5"/>
  <c r="HE52" i="5" s="1"/>
  <c r="HF46" i="5"/>
  <c r="HF52" i="5" s="1"/>
  <c r="HG46" i="5"/>
  <c r="HG52" i="5" s="1"/>
  <c r="HH46" i="5"/>
  <c r="HH52" i="5" s="1"/>
  <c r="HI46" i="5"/>
  <c r="HI52" i="5" s="1"/>
  <c r="HJ46" i="5"/>
  <c r="HJ52" i="5" s="1"/>
  <c r="HK46" i="5"/>
  <c r="HK52" i="5" s="1"/>
  <c r="HL46" i="5"/>
  <c r="HL52" i="5" s="1"/>
  <c r="HM46" i="5"/>
  <c r="HM52" i="5" s="1"/>
  <c r="HN46" i="5"/>
  <c r="HN52" i="5" s="1"/>
  <c r="HO46" i="5"/>
  <c r="HO52" i="5" s="1"/>
  <c r="HP46" i="5"/>
  <c r="HP52" i="5" s="1"/>
  <c r="HQ46" i="5"/>
  <c r="HQ52" i="5" s="1"/>
  <c r="HR46" i="5"/>
  <c r="HR52" i="5" s="1"/>
  <c r="HS46" i="5"/>
  <c r="HS52" i="5" s="1"/>
  <c r="HT46" i="5"/>
  <c r="HT52" i="5" s="1"/>
  <c r="HU46" i="5"/>
  <c r="HU52" i="5" s="1"/>
  <c r="HV46" i="5"/>
  <c r="HV52" i="5" s="1"/>
  <c r="HW46" i="5"/>
  <c r="HW52" i="5" s="1"/>
  <c r="HX46" i="5"/>
  <c r="HX52" i="5" s="1"/>
  <c r="HY46" i="5"/>
  <c r="HY52" i="5" s="1"/>
  <c r="HZ46" i="5"/>
  <c r="HZ52" i="5" s="1"/>
  <c r="IA46" i="5"/>
  <c r="IA52" i="5" s="1"/>
  <c r="IB46" i="5"/>
  <c r="IB52" i="5" s="1"/>
  <c r="IC46" i="5"/>
  <c r="IC52" i="5" s="1"/>
  <c r="ID46" i="5"/>
  <c r="ID52" i="5" s="1"/>
  <c r="IE46" i="5"/>
  <c r="IE52" i="5" s="1"/>
  <c r="IF46" i="5"/>
  <c r="IF52" i="5" s="1"/>
  <c r="IG46" i="5"/>
  <c r="IG52" i="5" s="1"/>
  <c r="IH46" i="5"/>
  <c r="IH52" i="5" s="1"/>
  <c r="II46" i="5"/>
  <c r="II52" i="5" s="1"/>
  <c r="IJ46" i="5"/>
  <c r="IJ52" i="5" s="1"/>
  <c r="IK46" i="5"/>
  <c r="IK52" i="5" s="1"/>
  <c r="IL46" i="5"/>
  <c r="IL52" i="5" s="1"/>
  <c r="IM46" i="5"/>
  <c r="IM52" i="5" s="1"/>
  <c r="IN46" i="5"/>
  <c r="IN52" i="5" s="1"/>
  <c r="IO46" i="5"/>
  <c r="IO52" i="5" s="1"/>
  <c r="IP46" i="5"/>
  <c r="IP52" i="5" s="1"/>
  <c r="IQ46" i="5"/>
  <c r="IQ52" i="5" s="1"/>
  <c r="IR46" i="5"/>
  <c r="IR52" i="5" s="1"/>
  <c r="IS46" i="5"/>
  <c r="IS52" i="5" s="1"/>
  <c r="IT46" i="5"/>
  <c r="IT52" i="5" s="1"/>
  <c r="IU46" i="5"/>
  <c r="IU52" i="5" s="1"/>
  <c r="IV46" i="5"/>
  <c r="IV52" i="5" s="1"/>
  <c r="IW46" i="5"/>
  <c r="IW52" i="5" s="1"/>
  <c r="IX46" i="5"/>
  <c r="IX52" i="5" s="1"/>
  <c r="IY46" i="5"/>
  <c r="IY52" i="5" s="1"/>
  <c r="IZ46" i="5"/>
  <c r="IZ52" i="5" s="1"/>
  <c r="JA46" i="5"/>
  <c r="JA52" i="5" s="1"/>
  <c r="JB46" i="5"/>
  <c r="JB52" i="5" s="1"/>
  <c r="JC46" i="5"/>
  <c r="JC52" i="5" s="1"/>
  <c r="JD46" i="5"/>
  <c r="JD52" i="5" s="1"/>
  <c r="JE46" i="5"/>
  <c r="JE52" i="5" s="1"/>
  <c r="JF46" i="5"/>
  <c r="JF52" i="5" s="1"/>
  <c r="JG46" i="5"/>
  <c r="JG52" i="5" s="1"/>
  <c r="JH46" i="5"/>
  <c r="JH52" i="5" s="1"/>
  <c r="JI46" i="5"/>
  <c r="JI52" i="5" s="1"/>
  <c r="JJ46" i="5"/>
  <c r="JJ52" i="5" s="1"/>
  <c r="JK46" i="5"/>
  <c r="JK52" i="5" s="1"/>
  <c r="JL46" i="5"/>
  <c r="JL52" i="5" s="1"/>
  <c r="JM46" i="5"/>
  <c r="JM52" i="5" s="1"/>
  <c r="JN46" i="5"/>
  <c r="JN52" i="5" s="1"/>
  <c r="JO46" i="5"/>
  <c r="JO52" i="5" s="1"/>
  <c r="JP46" i="5"/>
  <c r="JP52" i="5" s="1"/>
  <c r="JQ46" i="5"/>
  <c r="JQ52" i="5" s="1"/>
  <c r="JR46" i="5"/>
  <c r="JR52" i="5" s="1"/>
  <c r="JS46" i="5"/>
  <c r="JS52" i="5" s="1"/>
  <c r="JT46" i="5"/>
  <c r="JT52" i="5" s="1"/>
  <c r="JU46" i="5"/>
  <c r="JU52" i="5" s="1"/>
  <c r="JV46" i="5"/>
  <c r="JV52" i="5" s="1"/>
  <c r="JW46" i="5"/>
  <c r="JW52" i="5" s="1"/>
  <c r="JX46" i="5"/>
  <c r="JX52" i="5" s="1"/>
  <c r="JY46" i="5"/>
  <c r="JY52" i="5" s="1"/>
  <c r="JZ46" i="5"/>
  <c r="JZ52" i="5" s="1"/>
  <c r="KA46" i="5"/>
  <c r="KA52" i="5" s="1"/>
  <c r="KB46" i="5"/>
  <c r="KB52" i="5" s="1"/>
  <c r="KC46" i="5"/>
  <c r="KC52" i="5" s="1"/>
  <c r="KD46" i="5"/>
  <c r="KD52" i="5" s="1"/>
  <c r="KE46" i="5"/>
  <c r="KE52" i="5" s="1"/>
  <c r="KF46" i="5"/>
  <c r="KF52" i="5" s="1"/>
  <c r="KG46" i="5"/>
  <c r="KG52" i="5" s="1"/>
  <c r="KH46" i="5"/>
  <c r="KH52" i="5" s="1"/>
  <c r="KI46" i="5"/>
  <c r="KI52" i="5" s="1"/>
  <c r="KJ46" i="5"/>
  <c r="KJ52" i="5" s="1"/>
  <c r="KK46" i="5"/>
  <c r="KK52" i="5" s="1"/>
  <c r="KL46" i="5"/>
  <c r="KL52" i="5" s="1"/>
  <c r="KM46" i="5"/>
  <c r="KM52" i="5" s="1"/>
  <c r="KN46" i="5"/>
  <c r="KN52" i="5" s="1"/>
  <c r="KO46" i="5"/>
  <c r="KO52" i="5" s="1"/>
  <c r="KP46" i="5"/>
  <c r="KP52" i="5" s="1"/>
  <c r="KQ46" i="5"/>
  <c r="KQ52" i="5" s="1"/>
  <c r="KR46" i="5"/>
  <c r="KR52" i="5" s="1"/>
  <c r="KS46" i="5"/>
  <c r="KS52" i="5" s="1"/>
  <c r="KT46" i="5"/>
  <c r="KT52" i="5" s="1"/>
  <c r="KU46" i="5"/>
  <c r="KU52" i="5" s="1"/>
  <c r="KV46" i="5"/>
  <c r="KW46" i="5"/>
  <c r="KX46" i="5"/>
  <c r="KY46" i="5"/>
  <c r="KY52" i="5" s="1"/>
  <c r="KZ46" i="5"/>
  <c r="KZ52" i="5" s="1"/>
  <c r="LA46" i="5"/>
  <c r="LA52" i="5" s="1"/>
  <c r="LB46" i="5"/>
  <c r="LB52" i="5" s="1"/>
  <c r="LC46" i="5"/>
  <c r="LC52" i="5" s="1"/>
  <c r="LD46" i="5"/>
  <c r="LD52" i="5" s="1"/>
  <c r="LE46" i="5"/>
  <c r="LE52" i="5" s="1"/>
  <c r="LF46" i="5"/>
  <c r="LF52" i="5" s="1"/>
  <c r="LG46" i="5"/>
  <c r="LG52" i="5" s="1"/>
  <c r="LH46" i="5"/>
  <c r="LH52" i="5" s="1"/>
  <c r="LI46" i="5"/>
  <c r="LI52" i="5" s="1"/>
  <c r="MY46" i="5"/>
  <c r="MY52" i="5" s="1"/>
  <c r="MZ46" i="5"/>
  <c r="NA46" i="5"/>
  <c r="ND46" i="5"/>
  <c r="NE46" i="5"/>
  <c r="NF46" i="5"/>
  <c r="NG46" i="5"/>
  <c r="NH46" i="5"/>
  <c r="NI46" i="5"/>
  <c r="NJ46" i="5"/>
  <c r="NK46" i="5"/>
  <c r="NL46" i="5"/>
  <c r="NM46" i="5"/>
  <c r="NN46" i="5"/>
  <c r="NO46" i="5"/>
  <c r="NP46" i="5"/>
  <c r="NQ46" i="5"/>
  <c r="NR46" i="5"/>
  <c r="NS46" i="5"/>
  <c r="NT46" i="5"/>
  <c r="NU46" i="5"/>
  <c r="NV46" i="5"/>
  <c r="NW46" i="5"/>
  <c r="NX46" i="5"/>
  <c r="NY46" i="5"/>
  <c r="NZ46" i="5"/>
  <c r="OA46" i="5"/>
  <c r="OB46" i="5"/>
  <c r="OC46" i="5"/>
  <c r="OD46" i="5"/>
  <c r="OE46" i="5"/>
  <c r="OF46" i="5"/>
  <c r="OG46" i="5"/>
  <c r="OH46" i="5"/>
  <c r="OI46" i="5"/>
  <c r="OJ46" i="5"/>
  <c r="OK46" i="5"/>
  <c r="OL46" i="5"/>
  <c r="OM46" i="5"/>
  <c r="ON46" i="5"/>
  <c r="OO46" i="5"/>
  <c r="OP46" i="5"/>
  <c r="OQ46" i="5"/>
  <c r="OR46" i="5"/>
  <c r="OS46" i="5"/>
  <c r="OT46" i="5"/>
  <c r="OU46" i="5"/>
  <c r="OV46" i="5"/>
  <c r="OZ46" i="5"/>
  <c r="OZ52" i="5" s="1"/>
  <c r="PA46" i="5"/>
  <c r="PA52" i="5" s="1"/>
  <c r="PB46" i="5"/>
  <c r="PC46" i="5"/>
  <c r="PD46" i="5"/>
  <c r="PE46" i="5"/>
  <c r="PF46" i="5"/>
  <c r="PG46" i="5"/>
  <c r="PH46" i="5"/>
  <c r="PI46" i="5"/>
  <c r="PJ46" i="5"/>
  <c r="PK46" i="5"/>
  <c r="PL46" i="5"/>
  <c r="PM46" i="5"/>
  <c r="PN46" i="5"/>
  <c r="PO46" i="5"/>
  <c r="PP46" i="5"/>
  <c r="PQ46" i="5"/>
  <c r="PR46" i="5"/>
  <c r="PS46" i="5"/>
  <c r="PT46" i="5"/>
  <c r="PU46" i="5"/>
  <c r="QI46" i="5"/>
  <c r="QJ46" i="5"/>
  <c r="QK46" i="5"/>
  <c r="QL46" i="5"/>
  <c r="QB46" i="5"/>
  <c r="QC46" i="5"/>
  <c r="QD46" i="5"/>
  <c r="QE46" i="5"/>
  <c r="QF46" i="5"/>
  <c r="QG46" i="5"/>
  <c r="QH46" i="5"/>
  <c r="QM46" i="5"/>
  <c r="QN46" i="5"/>
  <c r="QO46" i="5"/>
  <c r="QO52" i="5" s="1"/>
  <c r="QP46" i="5"/>
  <c r="QP52" i="5" s="1"/>
  <c r="QQ46" i="5"/>
  <c r="QQ52" i="5" s="1"/>
  <c r="QR46" i="5"/>
  <c r="QR52" i="5" s="1"/>
  <c r="QS46" i="5"/>
  <c r="QS52" i="5" s="1"/>
  <c r="QT46" i="5"/>
  <c r="QT52" i="5" s="1"/>
  <c r="RB46" i="5"/>
  <c r="RC46" i="5"/>
  <c r="QU46" i="5"/>
  <c r="QU52" i="5" s="1"/>
  <c r="QV46" i="5"/>
  <c r="QV52" i="5" s="1"/>
  <c r="QW46" i="5"/>
  <c r="QW52" i="5" s="1"/>
  <c r="QX46" i="5"/>
  <c r="QX52" i="5" s="1"/>
  <c r="QY46" i="5"/>
  <c r="QY52" i="5" s="1"/>
  <c r="QZ46" i="5"/>
  <c r="QZ52" i="5" s="1"/>
  <c r="RA46" i="5"/>
  <c r="RA52" i="5" s="1"/>
  <c r="RD46" i="5"/>
  <c r="RE46" i="5"/>
  <c r="PV46" i="5"/>
  <c r="PW46" i="5"/>
  <c r="PX46" i="5"/>
  <c r="PY46" i="5"/>
  <c r="PZ46" i="5"/>
  <c r="QA46" i="5"/>
  <c r="RF46" i="5"/>
  <c r="RG46" i="5"/>
  <c r="RH46" i="5"/>
  <c r="RI46" i="5"/>
  <c r="RJ46" i="5"/>
  <c r="RK46" i="5"/>
  <c r="RL46" i="5"/>
  <c r="RM46" i="5"/>
  <c r="RN46" i="5"/>
  <c r="RU46" i="5"/>
  <c r="RV46" i="5"/>
  <c r="RV52" i="5" s="1"/>
  <c r="RW46" i="5"/>
  <c r="RX46" i="5"/>
  <c r="RX52" i="5" s="1"/>
  <c r="RY46" i="5"/>
  <c r="RZ46" i="5"/>
  <c r="RZ52" i="5" s="1"/>
  <c r="SA46" i="5"/>
  <c r="SB46" i="5"/>
  <c r="SC46" i="5"/>
  <c r="SD46" i="5"/>
  <c r="SE46" i="5"/>
  <c r="SF46" i="5"/>
  <c r="SG46" i="5"/>
  <c r="SH46" i="5"/>
  <c r="SH52" i="5" s="1"/>
  <c r="SI46" i="5"/>
  <c r="SJ46" i="5"/>
  <c r="SK46" i="5"/>
  <c r="SL46" i="5"/>
  <c r="SM46" i="5"/>
  <c r="SN46" i="5"/>
  <c r="SO46" i="5"/>
  <c r="SP46" i="5"/>
  <c r="O34" i="19" l="1"/>
  <c r="K36" i="19"/>
  <c r="H35" i="19"/>
  <c r="K37" i="18"/>
  <c r="Q35" i="17"/>
  <c r="Q36" i="17" s="1"/>
  <c r="I35" i="17"/>
  <c r="I34" i="17"/>
  <c r="I33" i="17"/>
  <c r="L30" i="15"/>
  <c r="N36" i="19"/>
  <c r="L35" i="19"/>
  <c r="I34" i="19"/>
  <c r="F36" i="19"/>
  <c r="J37" i="18"/>
  <c r="P35" i="17"/>
  <c r="P36" i="17" s="1"/>
  <c r="H35" i="17"/>
  <c r="H34" i="17"/>
  <c r="H33" i="17"/>
  <c r="K30" i="15"/>
  <c r="M36" i="19"/>
  <c r="K35" i="19"/>
  <c r="H34" i="19"/>
  <c r="E36" i="19"/>
  <c r="L36" i="18"/>
  <c r="O35" i="17"/>
  <c r="O34" i="17"/>
  <c r="G34" i="17"/>
  <c r="G33" i="17"/>
  <c r="J30" i="15"/>
  <c r="P36" i="19"/>
  <c r="N35" i="19"/>
  <c r="L34" i="19"/>
  <c r="F35" i="19"/>
  <c r="K36" i="18"/>
  <c r="N35" i="17"/>
  <c r="N34" i="17"/>
  <c r="F34" i="17"/>
  <c r="F33" i="17"/>
  <c r="I30" i="15"/>
  <c r="O36" i="19"/>
  <c r="M35" i="19"/>
  <c r="K34" i="19"/>
  <c r="E35" i="19"/>
  <c r="J36" i="18"/>
  <c r="M35" i="17"/>
  <c r="M34" i="17"/>
  <c r="M33" i="17"/>
  <c r="E33" i="17"/>
  <c r="E36" i="17" s="1"/>
  <c r="H30" i="15"/>
  <c r="P35" i="19"/>
  <c r="N34" i="19"/>
  <c r="I36" i="19"/>
  <c r="F34" i="19"/>
  <c r="L35" i="18"/>
  <c r="L35" i="17"/>
  <c r="L34" i="17"/>
  <c r="L33" i="17"/>
  <c r="D33" i="17"/>
  <c r="D36" i="17" s="1"/>
  <c r="G30" i="15"/>
  <c r="O35" i="19"/>
  <c r="M34" i="19"/>
  <c r="H36" i="19"/>
  <c r="E34" i="19"/>
  <c r="K35" i="18"/>
  <c r="K35" i="17"/>
  <c r="K34" i="17"/>
  <c r="K33" i="17"/>
  <c r="N30" i="15"/>
  <c r="F30" i="15"/>
  <c r="P34" i="19"/>
  <c r="L36" i="19"/>
  <c r="I35" i="19"/>
  <c r="L37" i="18"/>
  <c r="J35" i="18"/>
  <c r="J35" i="17"/>
  <c r="J34" i="17"/>
  <c r="J33" i="17"/>
  <c r="M30" i="15"/>
  <c r="E30" i="15"/>
  <c r="G73" i="19"/>
  <c r="N76" i="19"/>
  <c r="R74" i="19"/>
  <c r="P60" i="15"/>
  <c r="Q74" i="19"/>
  <c r="M76" i="19"/>
  <c r="M74" i="18"/>
  <c r="H76" i="19"/>
  <c r="J73" i="19"/>
  <c r="J77" i="18"/>
  <c r="E76" i="19"/>
  <c r="M75" i="18"/>
  <c r="M46" i="15"/>
  <c r="M15" i="15"/>
  <c r="I76" i="19"/>
  <c r="J75" i="19"/>
  <c r="L73" i="17"/>
  <c r="R70" i="17"/>
  <c r="L46" i="15"/>
  <c r="L15" i="15"/>
  <c r="K73" i="17"/>
  <c r="G73" i="17"/>
  <c r="P76" i="19"/>
  <c r="R75" i="19"/>
  <c r="R73" i="19"/>
  <c r="L76" i="19"/>
  <c r="J74" i="19"/>
  <c r="G74" i="19"/>
  <c r="M76" i="18"/>
  <c r="L77" i="18"/>
  <c r="R71" i="17"/>
  <c r="N73" i="17"/>
  <c r="J73" i="17"/>
  <c r="F73" i="17"/>
  <c r="O60" i="15"/>
  <c r="G75" i="19"/>
  <c r="F76" i="19"/>
  <c r="P73" i="17"/>
  <c r="R72" i="17"/>
  <c r="H73" i="17"/>
  <c r="O73" i="17"/>
  <c r="S71" i="17"/>
  <c r="O76" i="19"/>
  <c r="Q75" i="19"/>
  <c r="Q73" i="19"/>
  <c r="K76" i="19"/>
  <c r="K77" i="18"/>
  <c r="S72" i="17"/>
  <c r="Q73" i="17"/>
  <c r="M73" i="17"/>
  <c r="S70" i="17"/>
  <c r="I73" i="17"/>
  <c r="EP36" i="5"/>
  <c r="EQ36" i="5"/>
  <c r="EG36" i="5"/>
  <c r="EH36" i="5"/>
  <c r="DX36" i="5"/>
  <c r="DY36" i="5"/>
  <c r="DO36" i="5"/>
  <c r="DP36" i="5"/>
  <c r="DF36" i="5"/>
  <c r="DG36" i="5"/>
  <c r="CX36" i="5"/>
  <c r="CW36" i="5"/>
  <c r="CV36" i="5"/>
  <c r="BS36" i="5"/>
  <c r="BT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BF36" i="5"/>
  <c r="BG36" i="5"/>
  <c r="AS36" i="5"/>
  <c r="AT36" i="5"/>
  <c r="AG36" i="5"/>
  <c r="N37" i="19" l="1"/>
  <c r="P37" i="19"/>
  <c r="R34" i="19"/>
  <c r="R36" i="19"/>
  <c r="F37" i="19"/>
  <c r="CY36" i="5"/>
  <c r="M37" i="19"/>
  <c r="G35" i="19"/>
  <c r="G36" i="19"/>
  <c r="I37" i="19"/>
  <c r="S34" i="17"/>
  <c r="O37" i="19"/>
  <c r="R35" i="19"/>
  <c r="S35" i="17"/>
  <c r="Q34" i="19"/>
  <c r="I36" i="17"/>
  <c r="M36" i="18"/>
  <c r="J34" i="19"/>
  <c r="P30" i="15"/>
  <c r="K37" i="19"/>
  <c r="Q35" i="19"/>
  <c r="L37" i="19"/>
  <c r="M35" i="18"/>
  <c r="L38" i="18"/>
  <c r="K38" i="18"/>
  <c r="M37" i="18"/>
  <c r="J38" i="18"/>
  <c r="J35" i="19"/>
  <c r="J36" i="19"/>
  <c r="L36" i="17"/>
  <c r="E37" i="19"/>
  <c r="G34" i="19"/>
  <c r="N36" i="17"/>
  <c r="R35" i="17"/>
  <c r="H36" i="17"/>
  <c r="R33" i="17"/>
  <c r="Q36" i="19"/>
  <c r="S33" i="17"/>
  <c r="H37" i="19"/>
  <c r="R34" i="17"/>
  <c r="J36" i="17"/>
  <c r="O30" i="15"/>
  <c r="G36" i="17"/>
  <c r="K36" i="17"/>
  <c r="M36" i="17"/>
  <c r="O36" i="17"/>
  <c r="Q60" i="15"/>
  <c r="S74" i="19"/>
  <c r="M77" i="18"/>
  <c r="Q76" i="19"/>
  <c r="T72" i="17"/>
  <c r="T71" i="17"/>
  <c r="J76" i="19"/>
  <c r="R73" i="17"/>
  <c r="T70" i="17"/>
  <c r="S73" i="19"/>
  <c r="G76" i="19"/>
  <c r="S75" i="19"/>
  <c r="R76" i="19"/>
  <c r="N15" i="15"/>
  <c r="S73" i="17"/>
  <c r="N46" i="15"/>
  <c r="EI36" i="5"/>
  <c r="DZ36" i="5"/>
  <c r="ER36" i="5"/>
  <c r="AU36" i="5"/>
  <c r="AH36" i="5"/>
  <c r="CJ36" i="5"/>
  <c r="DH36" i="5"/>
  <c r="CK36" i="5"/>
  <c r="DQ36" i="5"/>
  <c r="BH36" i="5"/>
  <c r="BU36" i="5"/>
  <c r="EY43" i="5"/>
  <c r="EZ43" i="5"/>
  <c r="EY45" i="5"/>
  <c r="EZ45" i="5"/>
  <c r="EP43" i="5"/>
  <c r="EQ43" i="5"/>
  <c r="EP45" i="5"/>
  <c r="EQ45" i="5"/>
  <c r="EG43" i="5"/>
  <c r="EH43" i="5"/>
  <c r="EG45" i="5"/>
  <c r="EH45" i="5"/>
  <c r="DX43" i="5"/>
  <c r="DY43" i="5"/>
  <c r="DX45" i="5"/>
  <c r="DY45" i="5"/>
  <c r="DO43" i="5"/>
  <c r="DP43" i="5"/>
  <c r="DO45" i="5"/>
  <c r="DP45" i="5"/>
  <c r="DF43" i="5"/>
  <c r="DG43" i="5"/>
  <c r="DF45" i="5"/>
  <c r="DG45" i="5"/>
  <c r="CV43" i="5"/>
  <c r="CW43" i="5"/>
  <c r="CX43" i="5"/>
  <c r="CV45" i="5"/>
  <c r="CW45" i="5"/>
  <c r="CX45" i="5"/>
  <c r="CA43" i="5"/>
  <c r="CA45" i="5"/>
  <c r="BS43" i="5"/>
  <c r="BT43" i="5"/>
  <c r="BV43" i="5"/>
  <c r="BW43" i="5"/>
  <c r="BX43" i="5"/>
  <c r="BY43" i="5"/>
  <c r="BZ43" i="5"/>
  <c r="CB43" i="5"/>
  <c r="CC43" i="5"/>
  <c r="CD43" i="5"/>
  <c r="CE43" i="5"/>
  <c r="CF43" i="5"/>
  <c r="CG43" i="5"/>
  <c r="CH43" i="5"/>
  <c r="CI43" i="5"/>
  <c r="BS45" i="5"/>
  <c r="BT45" i="5"/>
  <c r="BV45" i="5"/>
  <c r="BW45" i="5"/>
  <c r="BX45" i="5"/>
  <c r="BY45" i="5"/>
  <c r="BZ45" i="5"/>
  <c r="CB45" i="5"/>
  <c r="CC45" i="5"/>
  <c r="CD45" i="5"/>
  <c r="CE45" i="5"/>
  <c r="CF45" i="5"/>
  <c r="CG45" i="5"/>
  <c r="CH45" i="5"/>
  <c r="CI45" i="5"/>
  <c r="BF43" i="5"/>
  <c r="BG43" i="5"/>
  <c r="BF45" i="5"/>
  <c r="BG45" i="5"/>
  <c r="AS43" i="5"/>
  <c r="AT43" i="5"/>
  <c r="AS45" i="5"/>
  <c r="AT45" i="5"/>
  <c r="F77" i="15"/>
  <c r="G77" i="15"/>
  <c r="F107" i="15"/>
  <c r="FL23" i="5"/>
  <c r="FM23" i="5"/>
  <c r="EY23" i="5"/>
  <c r="EZ23" i="5"/>
  <c r="EP23" i="5"/>
  <c r="EQ23" i="5"/>
  <c r="EG23" i="5"/>
  <c r="EH23" i="5"/>
  <c r="DX23" i="5"/>
  <c r="DY23" i="5"/>
  <c r="S34" i="19" l="1"/>
  <c r="G107" i="15"/>
  <c r="H107" i="15" s="1"/>
  <c r="S36" i="19"/>
  <c r="S35" i="19"/>
  <c r="R37" i="19"/>
  <c r="T34" i="17"/>
  <c r="G37" i="19"/>
  <c r="T35" i="17"/>
  <c r="Q30" i="15"/>
  <c r="J37" i="19"/>
  <c r="M38" i="18"/>
  <c r="T33" i="17"/>
  <c r="Q37" i="19"/>
  <c r="R36" i="17"/>
  <c r="S36" i="17"/>
  <c r="T73" i="17"/>
  <c r="S76" i="19"/>
  <c r="H77" i="15"/>
  <c r="FA23" i="5"/>
  <c r="AH45" i="5"/>
  <c r="EI23" i="5"/>
  <c r="AH43" i="5"/>
  <c r="AU43" i="5"/>
  <c r="BH43" i="5"/>
  <c r="CL36" i="5"/>
  <c r="ER23" i="5"/>
  <c r="BU45" i="5"/>
  <c r="DQ45" i="5"/>
  <c r="ER45" i="5"/>
  <c r="FA45" i="5"/>
  <c r="FN23" i="5"/>
  <c r="CJ45" i="5"/>
  <c r="I107" i="15" s="1"/>
  <c r="CK45" i="5"/>
  <c r="J107" i="15" s="1"/>
  <c r="CY45" i="5"/>
  <c r="ER43" i="5"/>
  <c r="FA43" i="5"/>
  <c r="DZ23" i="5"/>
  <c r="BH45" i="5"/>
  <c r="CK43" i="5"/>
  <c r="J77" i="15" s="1"/>
  <c r="DH45" i="5"/>
  <c r="DZ45" i="5"/>
  <c r="EI45" i="5"/>
  <c r="AU45" i="5"/>
  <c r="BU43" i="5"/>
  <c r="DH43" i="5"/>
  <c r="DQ43" i="5"/>
  <c r="DZ43" i="5"/>
  <c r="EI43" i="5"/>
  <c r="CY43" i="5"/>
  <c r="CJ43" i="5"/>
  <c r="I77" i="15" s="1"/>
  <c r="DF23" i="5"/>
  <c r="DG23" i="5"/>
  <c r="S37" i="19" l="1"/>
  <c r="T36" i="17"/>
  <c r="K77" i="15"/>
  <c r="CL45" i="5"/>
  <c r="CL43" i="5"/>
  <c r="DH23" i="5"/>
  <c r="K107" i="15" l="1"/>
  <c r="EZ38" i="5"/>
  <c r="EY38" i="5"/>
  <c r="EZ39" i="5"/>
  <c r="EY39" i="5"/>
  <c r="EZ40" i="5"/>
  <c r="EY40" i="5"/>
  <c r="EQ38" i="5"/>
  <c r="EP38" i="5"/>
  <c r="EQ39" i="5"/>
  <c r="EP39" i="5"/>
  <c r="EQ40" i="5"/>
  <c r="EP40" i="5"/>
  <c r="EH38" i="5"/>
  <c r="EG38" i="5"/>
  <c r="EH39" i="5"/>
  <c r="EG39" i="5"/>
  <c r="EH40" i="5"/>
  <c r="EG40" i="5"/>
  <c r="DY38" i="5"/>
  <c r="DX38" i="5"/>
  <c r="DY39" i="5"/>
  <c r="DX39" i="5"/>
  <c r="DY40" i="5"/>
  <c r="DX40" i="5"/>
  <c r="DP38" i="5"/>
  <c r="DO38" i="5"/>
  <c r="DP39" i="5"/>
  <c r="DO39" i="5"/>
  <c r="DP40" i="5"/>
  <c r="DO40" i="5"/>
  <c r="DG38" i="5"/>
  <c r="DF38" i="5"/>
  <c r="DG39" i="5"/>
  <c r="DF39" i="5"/>
  <c r="DG40" i="5"/>
  <c r="DF40" i="5"/>
  <c r="CX38" i="5"/>
  <c r="CW38" i="5"/>
  <c r="CV38" i="5"/>
  <c r="CX39" i="5"/>
  <c r="CW39" i="5"/>
  <c r="CV39" i="5"/>
  <c r="CX40" i="5"/>
  <c r="CW40" i="5"/>
  <c r="CV40" i="5"/>
  <c r="CA40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CI40" i="5"/>
  <c r="CH40" i="5"/>
  <c r="CG40" i="5"/>
  <c r="CF40" i="5"/>
  <c r="CE40" i="5"/>
  <c r="CD40" i="5"/>
  <c r="CC40" i="5"/>
  <c r="CB40" i="5"/>
  <c r="BZ40" i="5"/>
  <c r="BY40" i="5"/>
  <c r="BX40" i="5"/>
  <c r="BW40" i="5"/>
  <c r="BV40" i="5"/>
  <c r="BT38" i="5"/>
  <c r="BS38" i="5"/>
  <c r="BT39" i="5"/>
  <c r="BS39" i="5"/>
  <c r="BT40" i="5"/>
  <c r="BS40" i="5"/>
  <c r="BG38" i="5"/>
  <c r="BF38" i="5"/>
  <c r="BG39" i="5"/>
  <c r="BF39" i="5"/>
  <c r="BG40" i="5"/>
  <c r="BF40" i="5"/>
  <c r="AT38" i="5"/>
  <c r="AS38" i="5"/>
  <c r="AT39" i="5"/>
  <c r="AS39" i="5"/>
  <c r="AT40" i="5"/>
  <c r="AS40" i="5"/>
  <c r="DY47" i="5" l="1"/>
  <c r="AG47" i="5"/>
  <c r="DO47" i="5"/>
  <c r="EY47" i="5"/>
  <c r="BV47" i="5"/>
  <c r="DP47" i="5"/>
  <c r="EZ47" i="5"/>
  <c r="EP47" i="5"/>
  <c r="DF47" i="5"/>
  <c r="CV47" i="5"/>
  <c r="BT47" i="5"/>
  <c r="BS47" i="5"/>
  <c r="CG47" i="5"/>
  <c r="CF47" i="5"/>
  <c r="CE47" i="5"/>
  <c r="BX47" i="5"/>
  <c r="BY47" i="5"/>
  <c r="BW47" i="5"/>
  <c r="CA47" i="5"/>
  <c r="CH47" i="5"/>
  <c r="CW47" i="5"/>
  <c r="BZ47" i="5"/>
  <c r="CI47" i="5"/>
  <c r="CX47" i="5"/>
  <c r="DG47" i="5"/>
  <c r="EQ47" i="5"/>
  <c r="BF47" i="5"/>
  <c r="BG47" i="5"/>
  <c r="CB47" i="5"/>
  <c r="EG47" i="5"/>
  <c r="AS47" i="5"/>
  <c r="CC47" i="5"/>
  <c r="EH47" i="5"/>
  <c r="AT47" i="5"/>
  <c r="CD47" i="5"/>
  <c r="DX47" i="5"/>
  <c r="AF47" i="5"/>
  <c r="F46" i="15" s="1"/>
  <c r="AT46" i="5"/>
  <c r="CH46" i="5"/>
  <c r="DF46" i="5"/>
  <c r="DX46" i="5"/>
  <c r="AF46" i="5"/>
  <c r="F15" i="15" s="1"/>
  <c r="BF46" i="5"/>
  <c r="BV46" i="5"/>
  <c r="BZ46" i="5"/>
  <c r="CE46" i="5"/>
  <c r="CI46" i="5"/>
  <c r="CX46" i="5"/>
  <c r="DG46" i="5"/>
  <c r="DY46" i="5"/>
  <c r="EQ46" i="5"/>
  <c r="AG46" i="5"/>
  <c r="G15" i="15" s="1"/>
  <c r="G46" i="15"/>
  <c r="BT46" i="5"/>
  <c r="CD46" i="5"/>
  <c r="ER40" i="5"/>
  <c r="EP46" i="5"/>
  <c r="BG46" i="5"/>
  <c r="BW46" i="5"/>
  <c r="CB46" i="5"/>
  <c r="CF46" i="5"/>
  <c r="CA46" i="5"/>
  <c r="DO46" i="5"/>
  <c r="EG46" i="5"/>
  <c r="EY46" i="5"/>
  <c r="BY46" i="5"/>
  <c r="CW46" i="5"/>
  <c r="AS46" i="5"/>
  <c r="BS46" i="5"/>
  <c r="BX46" i="5"/>
  <c r="CC46" i="5"/>
  <c r="CG46" i="5"/>
  <c r="CV46" i="5"/>
  <c r="DP46" i="5"/>
  <c r="EH46" i="5"/>
  <c r="EZ46" i="5"/>
  <c r="DZ40" i="5"/>
  <c r="EI40" i="5"/>
  <c r="CK38" i="5"/>
  <c r="DQ40" i="5"/>
  <c r="ER39" i="5"/>
  <c r="FA40" i="5"/>
  <c r="FA39" i="5"/>
  <c r="BH38" i="5"/>
  <c r="DH39" i="5"/>
  <c r="CK40" i="5"/>
  <c r="DH40" i="5"/>
  <c r="CY39" i="5"/>
  <c r="BU39" i="5"/>
  <c r="EI38" i="5"/>
  <c r="DZ38" i="5"/>
  <c r="DH38" i="5"/>
  <c r="CY38" i="5"/>
  <c r="CJ38" i="5"/>
  <c r="CJ39" i="5"/>
  <c r="AU40" i="5"/>
  <c r="AU38" i="5"/>
  <c r="BH39" i="5"/>
  <c r="BU40" i="5"/>
  <c r="BU38" i="5"/>
  <c r="CK39" i="5"/>
  <c r="DQ38" i="5"/>
  <c r="ER38" i="5"/>
  <c r="CJ40" i="5"/>
  <c r="CY40" i="5"/>
  <c r="DZ39" i="5"/>
  <c r="EI39" i="5"/>
  <c r="AH39" i="5"/>
  <c r="AU39" i="5"/>
  <c r="BH40" i="5"/>
  <c r="AH40" i="5"/>
  <c r="AH38" i="5"/>
  <c r="FA38" i="5"/>
  <c r="DQ39" i="5"/>
  <c r="QK35" i="5"/>
  <c r="QH35" i="5"/>
  <c r="QH52" i="5" s="1"/>
  <c r="RC34" i="5"/>
  <c r="RC54" i="5" s="1"/>
  <c r="RD34" i="5"/>
  <c r="RD54" i="5" s="1"/>
  <c r="RE34" i="5"/>
  <c r="RE54" i="5" s="1"/>
  <c r="PV34" i="5"/>
  <c r="PV54" i="5" s="1"/>
  <c r="QL35" i="5"/>
  <c r="QL52" i="5" s="1"/>
  <c r="QB35" i="5"/>
  <c r="QC35" i="5"/>
  <c r="QD35" i="5"/>
  <c r="QE35" i="5"/>
  <c r="QF35" i="5"/>
  <c r="QG35" i="5"/>
  <c r="QG52" i="5" s="1"/>
  <c r="QM35" i="5"/>
  <c r="QM52" i="5" s="1"/>
  <c r="QN35" i="5"/>
  <c r="RB35" i="5"/>
  <c r="X78" i="21"/>
  <c r="X84" i="21" s="1"/>
  <c r="Z78" i="21"/>
  <c r="Z84" i="21" s="1"/>
  <c r="X46" i="21"/>
  <c r="X52" i="21" s="1"/>
  <c r="Z46" i="21"/>
  <c r="Z52" i="21" s="1"/>
  <c r="W46" i="21"/>
  <c r="W52" i="21" s="1"/>
  <c r="W78" i="21"/>
  <c r="W84" i="21" s="1"/>
  <c r="C92" i="21"/>
  <c r="C98" i="21" s="1"/>
  <c r="C60" i="21"/>
  <c r="C66" i="21" s="1"/>
  <c r="QF52" i="5" l="1"/>
  <c r="QD52" i="5"/>
  <c r="QC52" i="5"/>
  <c r="QK52" i="5"/>
  <c r="RB52" i="5"/>
  <c r="QB52" i="5"/>
  <c r="QE52" i="5"/>
  <c r="QN52" i="5"/>
  <c r="CJ47" i="5"/>
  <c r="I46" i="15" s="1"/>
  <c r="RD35" i="5"/>
  <c r="RD52" i="5" s="1"/>
  <c r="DQ47" i="5"/>
  <c r="DH47" i="5"/>
  <c r="EI47" i="5"/>
  <c r="DZ47" i="5"/>
  <c r="CY47" i="5"/>
  <c r="BH47" i="5"/>
  <c r="AU47" i="5"/>
  <c r="ER47" i="5"/>
  <c r="AH47" i="5"/>
  <c r="CK47" i="5"/>
  <c r="J46" i="15" s="1"/>
  <c r="PV35" i="5"/>
  <c r="PV52" i="5" s="1"/>
  <c r="RC35" i="5"/>
  <c r="RC52" i="5" s="1"/>
  <c r="BU47" i="5"/>
  <c r="RE35" i="5"/>
  <c r="RE52" i="5" s="1"/>
  <c r="FA47" i="5"/>
  <c r="H46" i="15"/>
  <c r="H15" i="15"/>
  <c r="C124" i="21"/>
  <c r="C130" i="21" s="1"/>
  <c r="CL40" i="5"/>
  <c r="CJ46" i="5"/>
  <c r="I15" i="15" s="1"/>
  <c r="AU46" i="5"/>
  <c r="DQ46" i="5"/>
  <c r="ER46" i="5"/>
  <c r="CY46" i="5"/>
  <c r="DZ46" i="5"/>
  <c r="AH46" i="5"/>
  <c r="BU46" i="5"/>
  <c r="DH46" i="5"/>
  <c r="BH46" i="5"/>
  <c r="CK46" i="5"/>
  <c r="J15" i="15" s="1"/>
  <c r="FA46" i="5"/>
  <c r="EI46" i="5"/>
  <c r="CL38" i="5"/>
  <c r="CL39" i="5"/>
  <c r="E62" i="17"/>
  <c r="L58" i="15"/>
  <c r="G63" i="17"/>
  <c r="I63" i="17"/>
  <c r="K63" i="17"/>
  <c r="M63" i="17"/>
  <c r="O63" i="17"/>
  <c r="K67" i="18"/>
  <c r="CL46" i="5" l="1"/>
  <c r="CL47" i="5"/>
  <c r="S62" i="17"/>
  <c r="K15" i="15"/>
  <c r="K46" i="15"/>
  <c r="Z110" i="21"/>
  <c r="Z116" i="21" s="1"/>
  <c r="W110" i="21"/>
  <c r="W116" i="21" s="1"/>
  <c r="H58" i="15"/>
  <c r="X110" i="21"/>
  <c r="X116" i="21" s="1"/>
  <c r="M67" i="18"/>
  <c r="S63" i="17"/>
  <c r="T63" i="17" s="1"/>
  <c r="J58" i="15"/>
  <c r="E65" i="17"/>
  <c r="Y12" i="21"/>
  <c r="Y19" i="21" s="1"/>
  <c r="W12" i="21" l="1"/>
  <c r="W19" i="21" s="1"/>
  <c r="T62" i="17"/>
  <c r="G65" i="17"/>
  <c r="SO34" i="5"/>
  <c r="SO54" i="5" s="1"/>
  <c r="SP34" i="5"/>
  <c r="SP54" i="5" s="1"/>
  <c r="NA23" i="5"/>
  <c r="MZ23" i="5"/>
  <c r="NA21" i="5"/>
  <c r="MZ21" i="5"/>
  <c r="AS21" i="5"/>
  <c r="AT21" i="5"/>
  <c r="SO35" i="5" l="1"/>
  <c r="SO52" i="5" s="1"/>
  <c r="SP35" i="5"/>
  <c r="SP52" i="5" s="1"/>
  <c r="MZ25" i="5"/>
  <c r="MZ26" i="5" s="1"/>
  <c r="NA25" i="5"/>
  <c r="NA26" i="5" s="1"/>
  <c r="NB21" i="5"/>
  <c r="NB23" i="5"/>
  <c r="AU21" i="5"/>
  <c r="K54" i="14"/>
  <c r="K57" i="14" s="1"/>
  <c r="DO23" i="5"/>
  <c r="DP23" i="5"/>
  <c r="CV23" i="5"/>
  <c r="CW23" i="5"/>
  <c r="CX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T23" i="5"/>
  <c r="N30" i="16" s="1"/>
  <c r="BS23" i="5"/>
  <c r="BG23" i="5"/>
  <c r="L30" i="16" s="1"/>
  <c r="BF23" i="5"/>
  <c r="AS23" i="5"/>
  <c r="AS25" i="5" s="1"/>
  <c r="AS26" i="5" s="1"/>
  <c r="AT23" i="5"/>
  <c r="J30" i="16" s="1"/>
  <c r="AG23" i="5"/>
  <c r="AF23" i="5"/>
  <c r="SN23" i="5"/>
  <c r="NB25" i="5" l="1"/>
  <c r="NB26" i="5" s="1"/>
  <c r="AT25" i="5"/>
  <c r="AT26" i="5" s="1"/>
  <c r="M30" i="16"/>
  <c r="M12" i="16"/>
  <c r="I30" i="16"/>
  <c r="I12" i="16"/>
  <c r="P30" i="16"/>
  <c r="K30" i="16"/>
  <c r="K12" i="16"/>
  <c r="R30" i="16"/>
  <c r="R12" i="16"/>
  <c r="CK23" i="5"/>
  <c r="CY23" i="5"/>
  <c r="DQ23" i="5"/>
  <c r="BU23" i="5"/>
  <c r="CJ23" i="5"/>
  <c r="AU23" i="5"/>
  <c r="AU25" i="5" s="1"/>
  <c r="AU26" i="5" s="1"/>
  <c r="BH23" i="5"/>
  <c r="AH23" i="5"/>
  <c r="U12" i="16" l="1"/>
  <c r="O12" i="16"/>
  <c r="U30" i="16"/>
  <c r="O30" i="16"/>
  <c r="CL23" i="5"/>
  <c r="CX27" i="5"/>
  <c r="CX30" i="5" s="1"/>
  <c r="CX31" i="5" s="1"/>
  <c r="CW27" i="5"/>
  <c r="CW30" i="5" s="1"/>
  <c r="CW31" i="5" s="1"/>
  <c r="CV27" i="5"/>
  <c r="CV30" i="5" s="1"/>
  <c r="CV31" i="5" s="1"/>
  <c r="Q30" i="16" l="1"/>
  <c r="Q12" i="16"/>
  <c r="CY27" i="5"/>
  <c r="CY30" i="5" s="1"/>
  <c r="CY31" i="5" s="1"/>
  <c r="KW9" i="5"/>
  <c r="KW16" i="5" l="1"/>
  <c r="KW18" i="5" s="1"/>
  <c r="KW19" i="5" l="1"/>
  <c r="DG16" i="5"/>
  <c r="DG18" i="5" s="1"/>
  <c r="DF16" i="5"/>
  <c r="DF18" i="5" s="1"/>
  <c r="EQ16" i="5"/>
  <c r="EQ18" i="5" s="1"/>
  <c r="EP16" i="5"/>
  <c r="EP18" i="5" s="1"/>
  <c r="DF19" i="5" l="1"/>
  <c r="DG19" i="5"/>
  <c r="EP19" i="5"/>
  <c r="EQ19" i="5"/>
  <c r="ER16" i="5"/>
  <c r="ER18" i="5" s="1"/>
  <c r="DH16" i="5"/>
  <c r="DH18" i="5" s="1"/>
  <c r="DH19" i="5" l="1"/>
  <c r="ER19" i="5"/>
  <c r="DP32" i="5"/>
  <c r="DP34" i="5" s="1"/>
  <c r="DO32" i="5"/>
  <c r="DO34" i="5" s="1"/>
  <c r="DP27" i="5"/>
  <c r="DP30" i="5" s="1"/>
  <c r="DP31" i="5" s="1"/>
  <c r="DO27" i="5"/>
  <c r="DO30" i="5" s="1"/>
  <c r="DO31" i="5" s="1"/>
  <c r="DP21" i="5"/>
  <c r="DP25" i="5" s="1"/>
  <c r="DP26" i="5" s="1"/>
  <c r="DO21" i="5"/>
  <c r="DO25" i="5" s="1"/>
  <c r="DO26" i="5" s="1"/>
  <c r="DP16" i="5"/>
  <c r="DP18" i="5" s="1"/>
  <c r="DO16" i="5"/>
  <c r="DO18" i="5" s="1"/>
  <c r="DP13" i="5"/>
  <c r="DP14" i="5" s="1"/>
  <c r="DP15" i="5" s="1"/>
  <c r="DO13" i="5"/>
  <c r="DO14" i="5" s="1"/>
  <c r="DO15" i="5" s="1"/>
  <c r="DP10" i="5"/>
  <c r="DO10" i="5"/>
  <c r="DP9" i="5"/>
  <c r="DO9" i="5"/>
  <c r="DP8" i="5"/>
  <c r="DO8" i="5"/>
  <c r="DP7" i="5"/>
  <c r="DO7" i="5"/>
  <c r="DP6" i="5"/>
  <c r="DO6" i="5"/>
  <c r="NW32" i="5"/>
  <c r="NW34" i="5" s="1"/>
  <c r="NX32" i="5"/>
  <c r="NX34" i="5" s="1"/>
  <c r="NW27" i="5"/>
  <c r="NW30" i="5" s="1"/>
  <c r="NW31" i="5" s="1"/>
  <c r="NX27" i="5"/>
  <c r="NX30" i="5" s="1"/>
  <c r="NX31" i="5" s="1"/>
  <c r="NX21" i="5"/>
  <c r="NX25" i="5" s="1"/>
  <c r="NX26" i="5" s="1"/>
  <c r="NW21" i="5"/>
  <c r="NW25" i="5" s="1"/>
  <c r="NW26" i="5" s="1"/>
  <c r="NX16" i="5"/>
  <c r="NX18" i="5" s="1"/>
  <c r="NW16" i="5"/>
  <c r="NW18" i="5" s="1"/>
  <c r="NX13" i="5"/>
  <c r="NX14" i="5" s="1"/>
  <c r="NX15" i="5" s="1"/>
  <c r="NW13" i="5"/>
  <c r="NW14" i="5" s="1"/>
  <c r="NW15" i="5" s="1"/>
  <c r="NW10" i="5"/>
  <c r="NX7" i="5"/>
  <c r="NW8" i="5"/>
  <c r="NX8" i="5"/>
  <c r="NW9" i="5"/>
  <c r="NX9" i="5"/>
  <c r="NX10" i="5"/>
  <c r="NX6" i="5"/>
  <c r="NW6" i="5"/>
  <c r="DO19" i="5" l="1"/>
  <c r="NX19" i="5"/>
  <c r="DP19" i="5"/>
  <c r="NW19" i="5"/>
  <c r="NX55" i="5"/>
  <c r="NW55" i="5"/>
  <c r="DO55" i="5"/>
  <c r="DP55" i="5"/>
  <c r="DO35" i="5"/>
  <c r="DP35" i="5"/>
  <c r="NW11" i="5"/>
  <c r="NW12" i="5" s="1"/>
  <c r="NW54" i="5" s="1"/>
  <c r="DO11" i="5"/>
  <c r="DO12" i="5" s="1"/>
  <c r="DO54" i="5" s="1"/>
  <c r="DP11" i="5"/>
  <c r="DP12" i="5" s="1"/>
  <c r="DP54" i="5" s="1"/>
  <c r="NX11" i="5"/>
  <c r="NX12" i="5" s="1"/>
  <c r="NX54" i="5" s="1"/>
  <c r="DQ7" i="5"/>
  <c r="DQ6" i="5"/>
  <c r="DQ10" i="5"/>
  <c r="DQ8" i="5"/>
  <c r="DQ21" i="5"/>
  <c r="DQ25" i="5" s="1"/>
  <c r="DQ26" i="5" s="1"/>
  <c r="DQ9" i="5"/>
  <c r="DQ13" i="5"/>
  <c r="DQ14" i="5" s="1"/>
  <c r="DQ15" i="5" s="1"/>
  <c r="DQ32" i="5"/>
  <c r="DQ34" i="5" s="1"/>
  <c r="DQ16" i="5"/>
  <c r="DQ18" i="5" s="1"/>
  <c r="DQ27" i="5"/>
  <c r="DQ30" i="5" s="1"/>
  <c r="DQ31" i="5" s="1"/>
  <c r="C72" i="15"/>
  <c r="D72" i="15"/>
  <c r="Q72" i="15"/>
  <c r="Q78" i="15" s="1"/>
  <c r="R72" i="15"/>
  <c r="R78" i="15" s="1"/>
  <c r="O72" i="15"/>
  <c r="P72" i="15"/>
  <c r="S72" i="15"/>
  <c r="S78" i="15" s="1"/>
  <c r="E86" i="15"/>
  <c r="F86" i="15"/>
  <c r="G86" i="15"/>
  <c r="H86" i="15"/>
  <c r="I86" i="15"/>
  <c r="J86" i="15"/>
  <c r="K86" i="15"/>
  <c r="L86" i="15"/>
  <c r="M86" i="15"/>
  <c r="N86" i="15"/>
  <c r="D87" i="17"/>
  <c r="D90" i="17" s="1"/>
  <c r="E87" i="17"/>
  <c r="E90" i="17" s="1"/>
  <c r="F87" i="17"/>
  <c r="G87" i="17"/>
  <c r="H87" i="17"/>
  <c r="I87" i="17"/>
  <c r="J87" i="17"/>
  <c r="K87" i="17"/>
  <c r="L87" i="17"/>
  <c r="M87" i="17"/>
  <c r="F88" i="17"/>
  <c r="G88" i="17"/>
  <c r="H88" i="17"/>
  <c r="I88" i="17"/>
  <c r="J88" i="17"/>
  <c r="K88" i="17"/>
  <c r="L88" i="17"/>
  <c r="M88" i="17"/>
  <c r="N88" i="17"/>
  <c r="O88" i="17"/>
  <c r="H89" i="17"/>
  <c r="I89" i="17"/>
  <c r="J89" i="17"/>
  <c r="K89" i="17"/>
  <c r="L89" i="17"/>
  <c r="M89" i="17"/>
  <c r="N89" i="17"/>
  <c r="O89" i="17"/>
  <c r="O90" i="17" s="1"/>
  <c r="P89" i="17"/>
  <c r="Q89" i="17"/>
  <c r="J93" i="18"/>
  <c r="K93" i="18"/>
  <c r="L93" i="18"/>
  <c r="J94" i="18"/>
  <c r="K94" i="18"/>
  <c r="L94" i="18"/>
  <c r="J95" i="18"/>
  <c r="K95" i="18"/>
  <c r="L95" i="18"/>
  <c r="K91" i="19"/>
  <c r="L91" i="19"/>
  <c r="K92" i="19"/>
  <c r="L92" i="19"/>
  <c r="K93" i="19"/>
  <c r="L93" i="19"/>
  <c r="M91" i="19"/>
  <c r="N91" i="19"/>
  <c r="M92" i="19"/>
  <c r="N92" i="19"/>
  <c r="M93" i="19"/>
  <c r="N93" i="19"/>
  <c r="O91" i="19"/>
  <c r="P91" i="19"/>
  <c r="O92" i="19"/>
  <c r="P92" i="19"/>
  <c r="O93" i="19"/>
  <c r="P93" i="19"/>
  <c r="E91" i="19"/>
  <c r="F91" i="19"/>
  <c r="E92" i="19"/>
  <c r="F92" i="19"/>
  <c r="E93" i="19"/>
  <c r="F93" i="19"/>
  <c r="H91" i="19"/>
  <c r="I91" i="19"/>
  <c r="H92" i="19"/>
  <c r="I92" i="19"/>
  <c r="H93" i="19"/>
  <c r="I93" i="19"/>
  <c r="E74" i="20"/>
  <c r="F74" i="20"/>
  <c r="G74" i="20"/>
  <c r="H74" i="20"/>
  <c r="I74" i="20"/>
  <c r="J74" i="20"/>
  <c r="K74" i="20"/>
  <c r="L74" i="20"/>
  <c r="M74" i="20"/>
  <c r="N74" i="20"/>
  <c r="C88" i="20"/>
  <c r="D88" i="20"/>
  <c r="E88" i="20"/>
  <c r="F88" i="20"/>
  <c r="G88" i="20"/>
  <c r="H88" i="20"/>
  <c r="K88" i="20"/>
  <c r="L88" i="20"/>
  <c r="I88" i="20"/>
  <c r="J88" i="20"/>
  <c r="M88" i="20"/>
  <c r="N88" i="20"/>
  <c r="O88" i="20"/>
  <c r="P88" i="20"/>
  <c r="Q88" i="20"/>
  <c r="R88" i="20"/>
  <c r="S88" i="20"/>
  <c r="T88" i="20"/>
  <c r="L78" i="21"/>
  <c r="L84" i="21" s="1"/>
  <c r="M78" i="21"/>
  <c r="M84" i="21" s="1"/>
  <c r="E92" i="21"/>
  <c r="E98" i="21" s="1"/>
  <c r="G92" i="21"/>
  <c r="K92" i="21"/>
  <c r="K98" i="21" s="1"/>
  <c r="M92" i="21"/>
  <c r="M98" i="21" s="1"/>
  <c r="O92" i="21"/>
  <c r="O98" i="21" s="1"/>
  <c r="Q92" i="21"/>
  <c r="Q98" i="21" s="1"/>
  <c r="S92" i="21"/>
  <c r="I78" i="21"/>
  <c r="I84" i="21" s="1"/>
  <c r="K78" i="21"/>
  <c r="K84" i="21" s="1"/>
  <c r="N78" i="21"/>
  <c r="N84" i="21" s="1"/>
  <c r="O78" i="21"/>
  <c r="O84" i="21" s="1"/>
  <c r="P78" i="21"/>
  <c r="P84" i="21" s="1"/>
  <c r="Q78" i="21"/>
  <c r="Q84" i="21" s="1"/>
  <c r="S78" i="21"/>
  <c r="Y78" i="21"/>
  <c r="Y84" i="21" s="1"/>
  <c r="U78" i="21"/>
  <c r="U84" i="21" s="1"/>
  <c r="K86" i="13"/>
  <c r="K91" i="13" s="1"/>
  <c r="KV13" i="5"/>
  <c r="KV14" i="5" s="1"/>
  <c r="KV15" i="5" s="1"/>
  <c r="KV9" i="5"/>
  <c r="KV10" i="5"/>
  <c r="KW10" i="5"/>
  <c r="DQ19" i="5" l="1"/>
  <c r="I90" i="17"/>
  <c r="DQ55" i="5"/>
  <c r="DP20" i="5"/>
  <c r="DP52" i="5" s="1"/>
  <c r="DO20" i="5"/>
  <c r="DO52" i="5" s="1"/>
  <c r="J90" i="17"/>
  <c r="DQ35" i="5"/>
  <c r="NX20" i="5"/>
  <c r="NW20" i="5"/>
  <c r="DQ11" i="5"/>
  <c r="DQ12" i="5" s="1"/>
  <c r="DQ54" i="5" s="1"/>
  <c r="J91" i="19"/>
  <c r="R93" i="19"/>
  <c r="R91" i="19"/>
  <c r="Q92" i="19"/>
  <c r="K96" i="18"/>
  <c r="S87" i="17"/>
  <c r="P86" i="15"/>
  <c r="U88" i="20"/>
  <c r="O74" i="20"/>
  <c r="M94" i="19"/>
  <c r="E94" i="19"/>
  <c r="G92" i="19"/>
  <c r="M93" i="18"/>
  <c r="N90" i="17"/>
  <c r="M90" i="17"/>
  <c r="S84" i="21"/>
  <c r="T78" i="21"/>
  <c r="T84" i="21" s="1"/>
  <c r="G78" i="21"/>
  <c r="G84" i="21" s="1"/>
  <c r="L90" i="17"/>
  <c r="R87" i="17"/>
  <c r="H90" i="17"/>
  <c r="F78" i="21"/>
  <c r="F84" i="21" s="1"/>
  <c r="S98" i="21"/>
  <c r="U98" i="21" s="1"/>
  <c r="U92" i="21"/>
  <c r="D78" i="21"/>
  <c r="D84" i="21" s="1"/>
  <c r="H94" i="19"/>
  <c r="O94" i="19"/>
  <c r="Q93" i="19"/>
  <c r="Q91" i="19"/>
  <c r="K94" i="19"/>
  <c r="M94" i="18"/>
  <c r="S88" i="17"/>
  <c r="K90" i="17"/>
  <c r="G90" i="17"/>
  <c r="H78" i="21"/>
  <c r="H84" i="21" s="1"/>
  <c r="B78" i="21"/>
  <c r="B84" i="21" s="1"/>
  <c r="S89" i="17"/>
  <c r="Q90" i="17"/>
  <c r="G98" i="21"/>
  <c r="I98" i="21" s="1"/>
  <c r="I92" i="21"/>
  <c r="J93" i="19"/>
  <c r="I94" i="19"/>
  <c r="J96" i="18"/>
  <c r="R89" i="17"/>
  <c r="P90" i="17"/>
  <c r="E78" i="21"/>
  <c r="E84" i="21" s="1"/>
  <c r="C78" i="21"/>
  <c r="C84" i="21" s="1"/>
  <c r="V88" i="20"/>
  <c r="P74" i="20"/>
  <c r="J92" i="19"/>
  <c r="F94" i="19"/>
  <c r="G93" i="19"/>
  <c r="G91" i="19"/>
  <c r="P94" i="19"/>
  <c r="R92" i="19"/>
  <c r="N94" i="19"/>
  <c r="L94" i="19"/>
  <c r="L96" i="18"/>
  <c r="M95" i="18"/>
  <c r="R88" i="17"/>
  <c r="F90" i="17"/>
  <c r="O86" i="15"/>
  <c r="KX9" i="5"/>
  <c r="KX8" i="5"/>
  <c r="KX10" i="5"/>
  <c r="KX7" i="5"/>
  <c r="NA16" i="5"/>
  <c r="NA18" i="5" s="1"/>
  <c r="MZ16" i="5"/>
  <c r="MZ18" i="5" s="1"/>
  <c r="PO19" i="5" l="1"/>
  <c r="MZ19" i="5"/>
  <c r="NA19" i="5"/>
  <c r="DQ20" i="5"/>
  <c r="DQ52" i="5" s="1"/>
  <c r="W88" i="20"/>
  <c r="S92" i="19"/>
  <c r="S91" i="19"/>
  <c r="Q86" i="15"/>
  <c r="T87" i="17"/>
  <c r="Q74" i="20"/>
  <c r="M96" i="18"/>
  <c r="T88" i="17"/>
  <c r="Q94" i="19"/>
  <c r="T89" i="17"/>
  <c r="S90" i="17"/>
  <c r="G94" i="19"/>
  <c r="R94" i="19"/>
  <c r="R90" i="17"/>
  <c r="J94" i="19"/>
  <c r="S93" i="19"/>
  <c r="NB16" i="5"/>
  <c r="NB18" i="5" s="1"/>
  <c r="NA13" i="5"/>
  <c r="NA14" i="5" s="1"/>
  <c r="NA15" i="5" s="1"/>
  <c r="NA55" i="5" s="1"/>
  <c r="MZ13" i="5"/>
  <c r="MZ14" i="5" s="1"/>
  <c r="MZ15" i="5" s="1"/>
  <c r="MZ55" i="5" s="1"/>
  <c r="DF21" i="5"/>
  <c r="DF25" i="5" s="1"/>
  <c r="DF26" i="5" s="1"/>
  <c r="DG21" i="5"/>
  <c r="DG25" i="5" s="1"/>
  <c r="DG26" i="5" s="1"/>
  <c r="MZ8" i="5"/>
  <c r="NA8" i="5"/>
  <c r="MZ9" i="5"/>
  <c r="NA9" i="5"/>
  <c r="MZ10" i="5"/>
  <c r="NA10" i="5"/>
  <c r="MZ7" i="5"/>
  <c r="NA7" i="5"/>
  <c r="NA6" i="5"/>
  <c r="MZ6" i="5"/>
  <c r="NB19" i="5" l="1"/>
  <c r="MZ11" i="5"/>
  <c r="MZ12" i="5" s="1"/>
  <c r="MZ54" i="5" s="1"/>
  <c r="NA11" i="5"/>
  <c r="NA12" i="5" s="1"/>
  <c r="NA54" i="5" s="1"/>
  <c r="S94" i="19"/>
  <c r="T90" i="17"/>
  <c r="NB9" i="5"/>
  <c r="NB7" i="5"/>
  <c r="NB13" i="5"/>
  <c r="NB6" i="5"/>
  <c r="NB10" i="5"/>
  <c r="NB8" i="5"/>
  <c r="DH21" i="5"/>
  <c r="DH25" i="5" s="1"/>
  <c r="DH26" i="5" s="1"/>
  <c r="KV6" i="5"/>
  <c r="KV11" i="5" s="1"/>
  <c r="KV12" i="5" s="1"/>
  <c r="FM16" i="5"/>
  <c r="FM18" i="5" s="1"/>
  <c r="FL16" i="5"/>
  <c r="FL18" i="5" s="1"/>
  <c r="DY16" i="5"/>
  <c r="DY18" i="5" s="1"/>
  <c r="DX16" i="5"/>
  <c r="DX18" i="5" s="1"/>
  <c r="EH16" i="5"/>
  <c r="EH18" i="5" s="1"/>
  <c r="EG16" i="5"/>
  <c r="EG18" i="5" s="1"/>
  <c r="CX16" i="5"/>
  <c r="CX18" i="5" s="1"/>
  <c r="CW16" i="5"/>
  <c r="CW18" i="5" s="1"/>
  <c r="CV16" i="5"/>
  <c r="CV18" i="5" s="1"/>
  <c r="CV13" i="5"/>
  <c r="CV14" i="5" s="1"/>
  <c r="CV15" i="5" s="1"/>
  <c r="CV55" i="5" s="1"/>
  <c r="CW13" i="5"/>
  <c r="CW14" i="5" s="1"/>
  <c r="CW15" i="5" s="1"/>
  <c r="CW55" i="5" s="1"/>
  <c r="CI16" i="5"/>
  <c r="CI18" i="5" s="1"/>
  <c r="CH16" i="5"/>
  <c r="CH18" i="5" s="1"/>
  <c r="CG16" i="5"/>
  <c r="CG18" i="5" s="1"/>
  <c r="CF16" i="5"/>
  <c r="CF18" i="5" s="1"/>
  <c r="CE16" i="5"/>
  <c r="CE18" i="5" s="1"/>
  <c r="CD16" i="5"/>
  <c r="CD18" i="5" s="1"/>
  <c r="CC16" i="5"/>
  <c r="CC18" i="5" s="1"/>
  <c r="CB16" i="5"/>
  <c r="CB18" i="5" s="1"/>
  <c r="CA16" i="5"/>
  <c r="CA18" i="5" s="1"/>
  <c r="BZ16" i="5"/>
  <c r="BZ18" i="5" s="1"/>
  <c r="BY16" i="5"/>
  <c r="BY18" i="5" s="1"/>
  <c r="BX16" i="5"/>
  <c r="BX18" i="5" s="1"/>
  <c r="BW16" i="5"/>
  <c r="BW18" i="5" s="1"/>
  <c r="BV16" i="5"/>
  <c r="BV18" i="5" s="1"/>
  <c r="BT16" i="5"/>
  <c r="BT18" i="5" s="1"/>
  <c r="BS16" i="5"/>
  <c r="BS18" i="5" s="1"/>
  <c r="BG16" i="5"/>
  <c r="BG18" i="5" s="1"/>
  <c r="BF16" i="5"/>
  <c r="BF18" i="5" s="1"/>
  <c r="AT16" i="5"/>
  <c r="AT18" i="5" s="1"/>
  <c r="AS16" i="5"/>
  <c r="AS18" i="5" s="1"/>
  <c r="AH16" i="5"/>
  <c r="AH18" i="5" s="1"/>
  <c r="BF45" i="12"/>
  <c r="BG45" i="12"/>
  <c r="BE46" i="12"/>
  <c r="BF46" i="12"/>
  <c r="BG46" i="12"/>
  <c r="BE91" i="12"/>
  <c r="BF91" i="12"/>
  <c r="BG91" i="12"/>
  <c r="BE92" i="12"/>
  <c r="BF92" i="12"/>
  <c r="BG92" i="12"/>
  <c r="BE68" i="12"/>
  <c r="BF68" i="12"/>
  <c r="BG68" i="12"/>
  <c r="BE69" i="12"/>
  <c r="BF69" i="12"/>
  <c r="BG69" i="12"/>
  <c r="K53" i="13"/>
  <c r="K58" i="13" s="1"/>
  <c r="PX34" i="5"/>
  <c r="PX54" i="5" s="1"/>
  <c r="PY34" i="5"/>
  <c r="PY54" i="5" s="1"/>
  <c r="PZ34" i="5"/>
  <c r="PZ54" i="5" s="1"/>
  <c r="QA34" i="5"/>
  <c r="QA54" i="5" s="1"/>
  <c r="PT35" i="5"/>
  <c r="Q13" i="21"/>
  <c r="R46" i="21"/>
  <c r="S46" i="21"/>
  <c r="PE35" i="5"/>
  <c r="PE52" i="5" s="1"/>
  <c r="PF35" i="5"/>
  <c r="PF52" i="5" s="1"/>
  <c r="PG35" i="5"/>
  <c r="PH35" i="5"/>
  <c r="PI35" i="5"/>
  <c r="K60" i="21"/>
  <c r="K66" i="21" s="1"/>
  <c r="M60" i="21"/>
  <c r="M66" i="21" s="1"/>
  <c r="O60" i="21"/>
  <c r="O66" i="21" s="1"/>
  <c r="Q60" i="21"/>
  <c r="Q66" i="21" s="1"/>
  <c r="S60" i="21"/>
  <c r="OM35" i="5"/>
  <c r="OM52" i="5" s="1"/>
  <c r="ON35" i="5"/>
  <c r="ON52" i="5" s="1"/>
  <c r="D75" i="13"/>
  <c r="E75" i="13"/>
  <c r="D41" i="14"/>
  <c r="E41" i="14"/>
  <c r="BE33" i="12"/>
  <c r="BE45" i="12" s="1"/>
  <c r="BT19" i="5" l="1"/>
  <c r="FL19" i="5"/>
  <c r="BF19" i="5"/>
  <c r="BV19" i="5"/>
  <c r="BZ19" i="5"/>
  <c r="CD19" i="5"/>
  <c r="CH19" i="5"/>
  <c r="CV19" i="5"/>
  <c r="EH19" i="5"/>
  <c r="FM19" i="5"/>
  <c r="CC19" i="5"/>
  <c r="AH19" i="5"/>
  <c r="BG19" i="5"/>
  <c r="BW19" i="5"/>
  <c r="CA19" i="5"/>
  <c r="CE19" i="5"/>
  <c r="CI19" i="5"/>
  <c r="CW19" i="5"/>
  <c r="DX19" i="5"/>
  <c r="AT19" i="5"/>
  <c r="BY19" i="5"/>
  <c r="CG19" i="5"/>
  <c r="EG19" i="5"/>
  <c r="AS19" i="5"/>
  <c r="BS19" i="5"/>
  <c r="BX19" i="5"/>
  <c r="CB19" i="5"/>
  <c r="CF19" i="5"/>
  <c r="CX19" i="5"/>
  <c r="DY19" i="5"/>
  <c r="PI52" i="5"/>
  <c r="PH52" i="5"/>
  <c r="PG52" i="5"/>
  <c r="PT52" i="5"/>
  <c r="QA35" i="5"/>
  <c r="QA52" i="5" s="1"/>
  <c r="PZ35" i="5"/>
  <c r="PZ52" i="5" s="1"/>
  <c r="PY35" i="5"/>
  <c r="PY52" i="5" s="1"/>
  <c r="PX35" i="5"/>
  <c r="PX52" i="5" s="1"/>
  <c r="BE70" i="12"/>
  <c r="MZ20" i="5"/>
  <c r="NA20" i="5"/>
  <c r="NB14" i="5"/>
  <c r="NB15" i="5" s="1"/>
  <c r="NB55" i="5" s="1"/>
  <c r="NB11" i="5"/>
  <c r="NB12" i="5" s="1"/>
  <c r="NB54" i="5" s="1"/>
  <c r="S52" i="21"/>
  <c r="S66" i="21"/>
  <c r="U66" i="21" s="1"/>
  <c r="U60" i="21"/>
  <c r="Q15" i="21"/>
  <c r="R49" i="21"/>
  <c r="R52" i="21" s="1"/>
  <c r="M124" i="21"/>
  <c r="M130" i="21" s="1"/>
  <c r="S124" i="21"/>
  <c r="K124" i="21"/>
  <c r="K130" i="21" s="1"/>
  <c r="D42" i="13"/>
  <c r="Q124" i="21"/>
  <c r="Q130" i="21" s="1"/>
  <c r="K18" i="14"/>
  <c r="K23" i="14" s="1"/>
  <c r="K120" i="13"/>
  <c r="K125" i="13" s="1"/>
  <c r="D109" i="13"/>
  <c r="O124" i="21"/>
  <c r="O130" i="21" s="1"/>
  <c r="BG24" i="12"/>
  <c r="DZ16" i="5"/>
  <c r="DZ18" i="5" s="1"/>
  <c r="BH16" i="5"/>
  <c r="BH18" i="5" s="1"/>
  <c r="EI16" i="5"/>
  <c r="EI18" i="5" s="1"/>
  <c r="CJ16" i="5"/>
  <c r="CJ18" i="5" s="1"/>
  <c r="BF93" i="12"/>
  <c r="BE93" i="12"/>
  <c r="BF70" i="12"/>
  <c r="BG70" i="12"/>
  <c r="BE47" i="12"/>
  <c r="CY16" i="5"/>
  <c r="CY18" i="5" s="1"/>
  <c r="CK16" i="5"/>
  <c r="CK18" i="5" s="1"/>
  <c r="BG47" i="12"/>
  <c r="BF24" i="12"/>
  <c r="BG93" i="12"/>
  <c r="BF47" i="12"/>
  <c r="AU16" i="5"/>
  <c r="AU18" i="5" s="1"/>
  <c r="BU16" i="5"/>
  <c r="BU18" i="5" s="1"/>
  <c r="GI16" i="5"/>
  <c r="GI18" i="5" s="1"/>
  <c r="FN16" i="5"/>
  <c r="FN18" i="5" s="1"/>
  <c r="CJ19" i="5" l="1"/>
  <c r="FN19" i="5"/>
  <c r="CK19" i="5"/>
  <c r="EI19" i="5"/>
  <c r="U130" i="21"/>
  <c r="GI19" i="5"/>
  <c r="CY19" i="5"/>
  <c r="BH19" i="5"/>
  <c r="AU19" i="5"/>
  <c r="BU19" i="5"/>
  <c r="DZ19" i="5"/>
  <c r="NB20" i="5"/>
  <c r="NB52" i="5" s="1"/>
  <c r="S130" i="21"/>
  <c r="U124" i="21"/>
  <c r="Q12" i="21"/>
  <c r="Q19" i="21" s="1"/>
  <c r="D7" i="13"/>
  <c r="D7" i="14"/>
  <c r="S34" i="21"/>
  <c r="K27" i="21"/>
  <c r="K34" i="21" s="1"/>
  <c r="K18" i="13"/>
  <c r="K25" i="13" s="1"/>
  <c r="M34" i="21"/>
  <c r="Q34" i="21"/>
  <c r="O34" i="21"/>
  <c r="BE8" i="12"/>
  <c r="CL16" i="5"/>
  <c r="FM6" i="5"/>
  <c r="FL6" i="5"/>
  <c r="NY8" i="5"/>
  <c r="NY10" i="5"/>
  <c r="CL18" i="5" l="1"/>
  <c r="BE22" i="12"/>
  <c r="BE24" i="12" s="1"/>
  <c r="U34" i="21"/>
  <c r="U27" i="21"/>
  <c r="NY9" i="5"/>
  <c r="NY7" i="5"/>
  <c r="NY6" i="5"/>
  <c r="CL19" i="5" l="1"/>
  <c r="NY11" i="5"/>
  <c r="NY12" i="5" s="1"/>
  <c r="E27" i="15"/>
  <c r="F27" i="15"/>
  <c r="H27" i="15"/>
  <c r="J27" i="15"/>
  <c r="L27" i="15"/>
  <c r="L65" i="19"/>
  <c r="L66" i="19"/>
  <c r="L67" i="19"/>
  <c r="F65" i="19"/>
  <c r="F23" i="19"/>
  <c r="F24" i="19"/>
  <c r="I65" i="19"/>
  <c r="MZ35" i="5"/>
  <c r="MZ52" i="5" s="1"/>
  <c r="NA35" i="5"/>
  <c r="NA52" i="5" s="1"/>
  <c r="NC35" i="5"/>
  <c r="NC52" i="5" s="1"/>
  <c r="ND35" i="5"/>
  <c r="ND52" i="5" s="1"/>
  <c r="NE35" i="5"/>
  <c r="NE52" i="5" s="1"/>
  <c r="NF35" i="5"/>
  <c r="NF52" i="5" s="1"/>
  <c r="NI35" i="5"/>
  <c r="NI52" i="5" s="1"/>
  <c r="H60" i="20"/>
  <c r="E60" i="20"/>
  <c r="F60" i="20"/>
  <c r="NK35" i="5"/>
  <c r="NK52" i="5" s="1"/>
  <c r="NL35" i="5"/>
  <c r="NL52" i="5" s="1"/>
  <c r="NM35" i="5"/>
  <c r="NM52" i="5" s="1"/>
  <c r="J60" i="20"/>
  <c r="NO35" i="5"/>
  <c r="NO52" i="5" s="1"/>
  <c r="NP35" i="5"/>
  <c r="NP52" i="5" s="1"/>
  <c r="NQ35" i="5"/>
  <c r="NQ52" i="5" s="1"/>
  <c r="NR35" i="5"/>
  <c r="NR52" i="5" s="1"/>
  <c r="NS35" i="5"/>
  <c r="NS52" i="5" s="1"/>
  <c r="NT35" i="5"/>
  <c r="NT52" i="5" s="1"/>
  <c r="NU35" i="5"/>
  <c r="NU52" i="5" s="1"/>
  <c r="NV35" i="5"/>
  <c r="NV52" i="5" s="1"/>
  <c r="NZ35" i="5"/>
  <c r="NZ52" i="5" s="1"/>
  <c r="OA35" i="5"/>
  <c r="OA52" i="5" s="1"/>
  <c r="OB35" i="5"/>
  <c r="OB52" i="5" s="1"/>
  <c r="OC35" i="5"/>
  <c r="OC52" i="5" s="1"/>
  <c r="OD35" i="5"/>
  <c r="OD52" i="5" s="1"/>
  <c r="OE35" i="5"/>
  <c r="OE52" i="5" s="1"/>
  <c r="OI35" i="5"/>
  <c r="OI52" i="5" s="1"/>
  <c r="OJ35" i="5"/>
  <c r="OJ52" i="5" s="1"/>
  <c r="OK35" i="5"/>
  <c r="OK52" i="5" s="1"/>
  <c r="OL35" i="5"/>
  <c r="OL52" i="5" s="1"/>
  <c r="OO35" i="5"/>
  <c r="OO52" i="5" s="1"/>
  <c r="OP35" i="5"/>
  <c r="OP52" i="5" s="1"/>
  <c r="OQ35" i="5"/>
  <c r="OQ52" i="5" s="1"/>
  <c r="OR35" i="5"/>
  <c r="OR52" i="5" s="1"/>
  <c r="OS35" i="5"/>
  <c r="OS52" i="5" s="1"/>
  <c r="OT35" i="5"/>
  <c r="OT52" i="5" s="1"/>
  <c r="OU35" i="5"/>
  <c r="OU52" i="5" s="1"/>
  <c r="OV35" i="5"/>
  <c r="OV52" i="5" s="1"/>
  <c r="PB35" i="5"/>
  <c r="PC35" i="5"/>
  <c r="PC52" i="5" s="1"/>
  <c r="PD35" i="5"/>
  <c r="PD52" i="5" s="1"/>
  <c r="RI34" i="5"/>
  <c r="RI54" i="5" s="1"/>
  <c r="RJ34" i="5"/>
  <c r="RJ54" i="5" s="1"/>
  <c r="RK34" i="5"/>
  <c r="RK54" i="5" s="1"/>
  <c r="PJ35" i="5"/>
  <c r="PK35" i="5"/>
  <c r="PL35" i="5"/>
  <c r="PM35" i="5"/>
  <c r="PN35" i="5"/>
  <c r="RF34" i="5"/>
  <c r="RF54" i="5" s="1"/>
  <c r="RG34" i="5"/>
  <c r="RG54" i="5" s="1"/>
  <c r="RH34" i="5"/>
  <c r="RH54" i="5" s="1"/>
  <c r="RL34" i="5"/>
  <c r="RL54" i="5" s="1"/>
  <c r="RM34" i="5"/>
  <c r="RM54" i="5" s="1"/>
  <c r="RN34" i="5"/>
  <c r="RN54" i="5" s="1"/>
  <c r="PP35" i="5"/>
  <c r="PP52" i="5" s="1"/>
  <c r="PQ35" i="5"/>
  <c r="PQ52" i="5" s="1"/>
  <c r="PR35" i="5"/>
  <c r="PS35" i="5"/>
  <c r="PU35" i="5"/>
  <c r="PU52" i="5" s="1"/>
  <c r="QI35" i="5"/>
  <c r="QJ35" i="5"/>
  <c r="PW34" i="5"/>
  <c r="PW54" i="5" s="1"/>
  <c r="RU34" i="5"/>
  <c r="RU54" i="5" s="1"/>
  <c r="RW34" i="5"/>
  <c r="RW54" i="5" s="1"/>
  <c r="RY34" i="5"/>
  <c r="RY54" i="5" s="1"/>
  <c r="SA34" i="5"/>
  <c r="SA54" i="5" s="1"/>
  <c r="SB34" i="5"/>
  <c r="SB54" i="5" s="1"/>
  <c r="SC34" i="5"/>
  <c r="SC54" i="5" s="1"/>
  <c r="SD34" i="5"/>
  <c r="SD54" i="5" s="1"/>
  <c r="SE34" i="5"/>
  <c r="SE54" i="5" s="1"/>
  <c r="SF34" i="5"/>
  <c r="SF54" i="5" s="1"/>
  <c r="SG34" i="5"/>
  <c r="SG54" i="5" s="1"/>
  <c r="SI34" i="5"/>
  <c r="SI54" i="5" s="1"/>
  <c r="SJ34" i="5"/>
  <c r="SJ54" i="5" s="1"/>
  <c r="SK34" i="5"/>
  <c r="SK54" i="5" s="1"/>
  <c r="SL34" i="5"/>
  <c r="SL54" i="5" s="1"/>
  <c r="SM34" i="5"/>
  <c r="SM54" i="5" s="1"/>
  <c r="G22" i="17"/>
  <c r="K22" i="17"/>
  <c r="K75" i="13"/>
  <c r="L75" i="13"/>
  <c r="M75" i="13"/>
  <c r="N75" i="13"/>
  <c r="E80" i="13"/>
  <c r="F80" i="13"/>
  <c r="E81" i="13"/>
  <c r="F81" i="13"/>
  <c r="E82" i="13"/>
  <c r="F82" i="13"/>
  <c r="E83" i="13"/>
  <c r="F83" i="13"/>
  <c r="E84" i="13"/>
  <c r="F84" i="13"/>
  <c r="E85" i="13"/>
  <c r="F85" i="13"/>
  <c r="F86" i="13"/>
  <c r="G86" i="13" s="1"/>
  <c r="E87" i="13"/>
  <c r="F87" i="13"/>
  <c r="K82" i="13"/>
  <c r="S89" i="20"/>
  <c r="T89" i="20"/>
  <c r="B75" i="13"/>
  <c r="C75" i="13"/>
  <c r="F76" i="13"/>
  <c r="PO32" i="5"/>
  <c r="PO34" i="5" s="1"/>
  <c r="SN32" i="5"/>
  <c r="OF32" i="5"/>
  <c r="OF34" i="5" s="1"/>
  <c r="OG32" i="5"/>
  <c r="OG34" i="5" s="1"/>
  <c r="NW35" i="5"/>
  <c r="NW52" i="5" s="1"/>
  <c r="NX35" i="5"/>
  <c r="NX52" i="5" s="1"/>
  <c r="KV32" i="5"/>
  <c r="KV34" i="5" s="1"/>
  <c r="KW32" i="5"/>
  <c r="GG32" i="5"/>
  <c r="GG34" i="5" s="1"/>
  <c r="GG54" i="5" s="1"/>
  <c r="GH32" i="5"/>
  <c r="GH34" i="5" s="1"/>
  <c r="GH54" i="5" s="1"/>
  <c r="FL32" i="5"/>
  <c r="FM32" i="5"/>
  <c r="FM34" i="5" s="1"/>
  <c r="DX32" i="5"/>
  <c r="DY32" i="5"/>
  <c r="DY34" i="5" s="1"/>
  <c r="DF32" i="5"/>
  <c r="DG32" i="5"/>
  <c r="DG34" i="5" s="1"/>
  <c r="EY32" i="5"/>
  <c r="EZ32" i="5"/>
  <c r="EZ34" i="5" s="1"/>
  <c r="EP32" i="5"/>
  <c r="EQ32" i="5"/>
  <c r="EQ34" i="5" s="1"/>
  <c r="EG32" i="5"/>
  <c r="EH32" i="5"/>
  <c r="EH34" i="5" s="1"/>
  <c r="CV32" i="5"/>
  <c r="CW32" i="5"/>
  <c r="CW34" i="5" s="1"/>
  <c r="CX32" i="5"/>
  <c r="BS32" i="5"/>
  <c r="BT32" i="5"/>
  <c r="BT34" i="5" s="1"/>
  <c r="BV32" i="5"/>
  <c r="BW32" i="5"/>
  <c r="BW34" i="5" s="1"/>
  <c r="BX32" i="5"/>
  <c r="BY32" i="5"/>
  <c r="BY34" i="5" s="1"/>
  <c r="BZ32" i="5"/>
  <c r="CA32" i="5"/>
  <c r="CA34" i="5" s="1"/>
  <c r="CB32" i="5"/>
  <c r="CC32" i="5"/>
  <c r="CC34" i="5" s="1"/>
  <c r="CD32" i="5"/>
  <c r="CE32" i="5"/>
  <c r="CE34" i="5" s="1"/>
  <c r="CF32" i="5"/>
  <c r="CG32" i="5"/>
  <c r="CG34" i="5" s="1"/>
  <c r="CH32" i="5"/>
  <c r="CI32" i="5"/>
  <c r="CI34" i="5" s="1"/>
  <c r="BF32" i="5"/>
  <c r="BG32" i="5"/>
  <c r="BG34" i="5" s="1"/>
  <c r="AS32" i="5"/>
  <c r="AT32" i="5"/>
  <c r="AT34" i="5" s="1"/>
  <c r="AF32" i="5"/>
  <c r="AG32" i="5"/>
  <c r="AG34" i="5" s="1"/>
  <c r="F35" i="5"/>
  <c r="BW9" i="5"/>
  <c r="BZ9" i="5"/>
  <c r="CC9" i="5"/>
  <c r="C57" i="20"/>
  <c r="PB52" i="5" l="1"/>
  <c r="PM52" i="5"/>
  <c r="PL52" i="5"/>
  <c r="QJ52" i="5"/>
  <c r="PN52" i="5"/>
  <c r="PK52" i="5"/>
  <c r="PS52" i="5"/>
  <c r="QI52" i="5"/>
  <c r="PJ52" i="5"/>
  <c r="PR52" i="5"/>
  <c r="CH34" i="5"/>
  <c r="EP34" i="5"/>
  <c r="EP35" i="5" s="1"/>
  <c r="FL34" i="5"/>
  <c r="SF35" i="5"/>
  <c r="SF52" i="5" s="1"/>
  <c r="RU35" i="5"/>
  <c r="RU52" i="5" s="1"/>
  <c r="SE35" i="5"/>
  <c r="SE52" i="5" s="1"/>
  <c r="PW35" i="5"/>
  <c r="PW52" i="5" s="1"/>
  <c r="RN35" i="5"/>
  <c r="RN52" i="5" s="1"/>
  <c r="CX34" i="5"/>
  <c r="SM35" i="5"/>
  <c r="SM52" i="5" s="1"/>
  <c r="SD35" i="5"/>
  <c r="SD52" i="5" s="1"/>
  <c r="RM35" i="5"/>
  <c r="RM52" i="5" s="1"/>
  <c r="BF34" i="5"/>
  <c r="KW34" i="5"/>
  <c r="SL35" i="5"/>
  <c r="SL52" i="5" s="1"/>
  <c r="SC35" i="5"/>
  <c r="SC52" i="5" s="1"/>
  <c r="RL35" i="5"/>
  <c r="RL52" i="5" s="1"/>
  <c r="BS34" i="5"/>
  <c r="BS35" i="5" s="1"/>
  <c r="SK35" i="5"/>
  <c r="SK52" i="5" s="1"/>
  <c r="SB35" i="5"/>
  <c r="SB52" i="5" s="1"/>
  <c r="RH35" i="5"/>
  <c r="RH52" i="5" s="1"/>
  <c r="RK35" i="5"/>
  <c r="RK52" i="5" s="1"/>
  <c r="EY34" i="5"/>
  <c r="CV34" i="5"/>
  <c r="CV35" i="5" s="1"/>
  <c r="AF34" i="5"/>
  <c r="CF34" i="5"/>
  <c r="BX34" i="5"/>
  <c r="SJ35" i="5"/>
  <c r="SJ52" i="5" s="1"/>
  <c r="SA35" i="5"/>
  <c r="SA52" i="5" s="1"/>
  <c r="RG35" i="5"/>
  <c r="RG52" i="5" s="1"/>
  <c r="RJ35" i="5"/>
  <c r="RJ52" i="5" s="1"/>
  <c r="BZ34" i="5"/>
  <c r="BZ35" i="5" s="1"/>
  <c r="DF34" i="5"/>
  <c r="DF35" i="5" s="1"/>
  <c r="EG34" i="5"/>
  <c r="EG35" i="5" s="1"/>
  <c r="SI35" i="5"/>
  <c r="SI52" i="5" s="1"/>
  <c r="RY35" i="5"/>
  <c r="RY52" i="5" s="1"/>
  <c r="RF35" i="5"/>
  <c r="RF52" i="5" s="1"/>
  <c r="RI35" i="5"/>
  <c r="RI52" i="5" s="1"/>
  <c r="CB34" i="5"/>
  <c r="CB35" i="5" s="1"/>
  <c r="DX34" i="5"/>
  <c r="AS34" i="5"/>
  <c r="AS35" i="5" s="1"/>
  <c r="CD34" i="5"/>
  <c r="BV34" i="5"/>
  <c r="BV35" i="5" s="1"/>
  <c r="SG35" i="5"/>
  <c r="SG52" i="5" s="1"/>
  <c r="RW35" i="5"/>
  <c r="RW52" i="5" s="1"/>
  <c r="O27" i="15"/>
  <c r="G24" i="19"/>
  <c r="G23" i="19"/>
  <c r="EQ35" i="5"/>
  <c r="BG35" i="5"/>
  <c r="BT35" i="5"/>
  <c r="CC35" i="5"/>
  <c r="EZ35" i="5"/>
  <c r="GH35" i="5"/>
  <c r="CI35" i="5"/>
  <c r="CA35" i="5"/>
  <c r="GG35" i="5"/>
  <c r="AG35" i="5"/>
  <c r="KV35" i="5"/>
  <c r="DG35" i="5"/>
  <c r="BY35" i="5"/>
  <c r="EH35" i="5"/>
  <c r="DY35" i="5"/>
  <c r="CW35" i="5"/>
  <c r="CG35" i="5"/>
  <c r="AT35" i="5"/>
  <c r="CE35" i="5"/>
  <c r="BW35" i="5"/>
  <c r="I28" i="20"/>
  <c r="FM35" i="5"/>
  <c r="M12" i="15" s="1"/>
  <c r="S94" i="20"/>
  <c r="I89" i="20"/>
  <c r="I94" i="20" s="1"/>
  <c r="I26" i="20"/>
  <c r="G75" i="20"/>
  <c r="G80" i="20" s="1"/>
  <c r="G11" i="20"/>
  <c r="H95" i="19"/>
  <c r="H115" i="19" s="1"/>
  <c r="H14" i="19"/>
  <c r="O97" i="19"/>
  <c r="O16" i="19"/>
  <c r="M96" i="19"/>
  <c r="M116" i="19" s="1"/>
  <c r="M15" i="19"/>
  <c r="K97" i="19"/>
  <c r="K16" i="19"/>
  <c r="L98" i="18"/>
  <c r="L16" i="18"/>
  <c r="O15" i="17"/>
  <c r="O93" i="17"/>
  <c r="O14" i="17"/>
  <c r="O92" i="17"/>
  <c r="G14" i="17"/>
  <c r="G92" i="17"/>
  <c r="G112" i="17" s="1"/>
  <c r="G91" i="17"/>
  <c r="G13" i="17"/>
  <c r="J87" i="15"/>
  <c r="J92" i="15" s="1"/>
  <c r="J25" i="15"/>
  <c r="F25" i="15"/>
  <c r="F87" i="15"/>
  <c r="F92" i="15" s="1"/>
  <c r="K25" i="18"/>
  <c r="K68" i="18"/>
  <c r="N26" i="20"/>
  <c r="N89" i="20"/>
  <c r="N94" i="20" s="1"/>
  <c r="N75" i="20"/>
  <c r="F11" i="20"/>
  <c r="F75" i="20"/>
  <c r="F80" i="20" s="1"/>
  <c r="F97" i="19"/>
  <c r="F16" i="19"/>
  <c r="N97" i="19"/>
  <c r="N16" i="19"/>
  <c r="L15" i="19"/>
  <c r="K98" i="18"/>
  <c r="K118" i="18" s="1"/>
  <c r="K16" i="18"/>
  <c r="N93" i="17"/>
  <c r="N15" i="17"/>
  <c r="N92" i="17"/>
  <c r="N14" i="17"/>
  <c r="F92" i="17"/>
  <c r="F112" i="17" s="1"/>
  <c r="F14" i="17"/>
  <c r="F91" i="17"/>
  <c r="F13" i="17"/>
  <c r="I87" i="15"/>
  <c r="I92" i="15" s="1"/>
  <c r="I25" i="15"/>
  <c r="U60" i="20"/>
  <c r="J65" i="19"/>
  <c r="P67" i="19"/>
  <c r="P24" i="19"/>
  <c r="K66" i="18"/>
  <c r="K23" i="18"/>
  <c r="Q89" i="20"/>
  <c r="Q94" i="20" s="1"/>
  <c r="Q26" i="20"/>
  <c r="M26" i="20"/>
  <c r="M89" i="20"/>
  <c r="M94" i="20" s="1"/>
  <c r="K89" i="20"/>
  <c r="K94" i="20" s="1"/>
  <c r="K26" i="20"/>
  <c r="G26" i="20"/>
  <c r="G89" i="20"/>
  <c r="G94" i="20" s="1"/>
  <c r="M75" i="20"/>
  <c r="M11" i="20"/>
  <c r="I11" i="20"/>
  <c r="I75" i="20"/>
  <c r="I80" i="20" s="1"/>
  <c r="E75" i="20"/>
  <c r="E80" i="20" s="1"/>
  <c r="E11" i="20"/>
  <c r="H96" i="19"/>
  <c r="H116" i="19" s="1"/>
  <c r="H15" i="19"/>
  <c r="E97" i="19"/>
  <c r="E16" i="19"/>
  <c r="E95" i="19"/>
  <c r="E14" i="19"/>
  <c r="O96" i="19"/>
  <c r="O15" i="19"/>
  <c r="M97" i="19"/>
  <c r="M16" i="19"/>
  <c r="M95" i="19"/>
  <c r="M115" i="19" s="1"/>
  <c r="M14" i="19"/>
  <c r="K96" i="19"/>
  <c r="K116" i="19" s="1"/>
  <c r="K15" i="19"/>
  <c r="K17" i="18"/>
  <c r="K99" i="18"/>
  <c r="J16" i="18"/>
  <c r="J98" i="18"/>
  <c r="J118" i="18" s="1"/>
  <c r="Q93" i="17"/>
  <c r="Q15" i="17"/>
  <c r="M15" i="17"/>
  <c r="M93" i="17"/>
  <c r="I93" i="17"/>
  <c r="I15" i="17"/>
  <c r="M92" i="17"/>
  <c r="M112" i="17" s="1"/>
  <c r="M14" i="17"/>
  <c r="I14" i="17"/>
  <c r="I92" i="17"/>
  <c r="I112" i="17" s="1"/>
  <c r="M13" i="17"/>
  <c r="M91" i="17"/>
  <c r="I91" i="17"/>
  <c r="I111" i="17" s="1"/>
  <c r="I13" i="17"/>
  <c r="E13" i="17"/>
  <c r="E91" i="17"/>
  <c r="L25" i="15"/>
  <c r="L87" i="15"/>
  <c r="L92" i="15" s="1"/>
  <c r="H25" i="15"/>
  <c r="H87" i="15"/>
  <c r="H92" i="15" s="1"/>
  <c r="L60" i="20"/>
  <c r="L28" i="20"/>
  <c r="O26" i="20"/>
  <c r="O89" i="20"/>
  <c r="O94" i="20" s="1"/>
  <c r="E89" i="20"/>
  <c r="E94" i="20" s="1"/>
  <c r="E26" i="20"/>
  <c r="C89" i="20"/>
  <c r="C94" i="20" s="1"/>
  <c r="C26" i="20"/>
  <c r="K11" i="20"/>
  <c r="K75" i="20"/>
  <c r="K80" i="20" s="1"/>
  <c r="H97" i="19"/>
  <c r="H16" i="19"/>
  <c r="E96" i="19"/>
  <c r="E116" i="19" s="1"/>
  <c r="E15" i="19"/>
  <c r="O95" i="19"/>
  <c r="O14" i="19"/>
  <c r="K14" i="19"/>
  <c r="K95" i="19"/>
  <c r="K115" i="19" s="1"/>
  <c r="K97" i="18"/>
  <c r="K117" i="18" s="1"/>
  <c r="K15" i="18"/>
  <c r="K93" i="17"/>
  <c r="K113" i="17" s="1"/>
  <c r="K15" i="17"/>
  <c r="K92" i="17"/>
  <c r="K112" i="17" s="1"/>
  <c r="K14" i="17"/>
  <c r="K91" i="17"/>
  <c r="K13" i="17"/>
  <c r="N25" i="15"/>
  <c r="N87" i="15"/>
  <c r="O73" i="15"/>
  <c r="O78" i="15" s="1"/>
  <c r="C73" i="15"/>
  <c r="C78" i="15" s="1"/>
  <c r="R26" i="20"/>
  <c r="R89" i="20"/>
  <c r="R94" i="20" s="1"/>
  <c r="L89" i="20"/>
  <c r="L94" i="20" s="1"/>
  <c r="L26" i="20"/>
  <c r="H89" i="20"/>
  <c r="H94" i="20" s="1"/>
  <c r="H26" i="20"/>
  <c r="J75" i="20"/>
  <c r="J80" i="20" s="1"/>
  <c r="J11" i="20"/>
  <c r="I96" i="19"/>
  <c r="I15" i="19"/>
  <c r="F95" i="19"/>
  <c r="F115" i="19" s="1"/>
  <c r="F14" i="19"/>
  <c r="P96" i="19"/>
  <c r="P15" i="19"/>
  <c r="N14" i="19"/>
  <c r="N95" i="19"/>
  <c r="N115" i="19" s="1"/>
  <c r="L99" i="18"/>
  <c r="L17" i="18"/>
  <c r="J97" i="18"/>
  <c r="J117" i="18" s="1"/>
  <c r="J15" i="18"/>
  <c r="J93" i="17"/>
  <c r="J15" i="17"/>
  <c r="J92" i="17"/>
  <c r="J112" i="17" s="1"/>
  <c r="J14" i="17"/>
  <c r="J91" i="17"/>
  <c r="J111" i="17" s="1"/>
  <c r="J13" i="17"/>
  <c r="M87" i="15"/>
  <c r="M25" i="15"/>
  <c r="E87" i="15"/>
  <c r="E92" i="15" s="1"/>
  <c r="E25" i="15"/>
  <c r="L46" i="20"/>
  <c r="L13" i="20"/>
  <c r="I24" i="19"/>
  <c r="I67" i="19"/>
  <c r="P65" i="19"/>
  <c r="P22" i="19"/>
  <c r="N66" i="19"/>
  <c r="N23" i="19"/>
  <c r="L68" i="19"/>
  <c r="O64" i="17"/>
  <c r="O23" i="17"/>
  <c r="K23" i="17"/>
  <c r="K64" i="17"/>
  <c r="T94" i="20"/>
  <c r="P89" i="20"/>
  <c r="P94" i="20" s="1"/>
  <c r="P26" i="20"/>
  <c r="J26" i="20"/>
  <c r="J89" i="20"/>
  <c r="J94" i="20" s="1"/>
  <c r="F26" i="20"/>
  <c r="F89" i="20"/>
  <c r="F94" i="20" s="1"/>
  <c r="D89" i="20"/>
  <c r="D94" i="20" s="1"/>
  <c r="D26" i="20"/>
  <c r="L75" i="20"/>
  <c r="L80" i="20" s="1"/>
  <c r="L11" i="20"/>
  <c r="H75" i="20"/>
  <c r="H80" i="20" s="1"/>
  <c r="H11" i="20"/>
  <c r="I97" i="19"/>
  <c r="I16" i="19"/>
  <c r="I95" i="19"/>
  <c r="I14" i="19"/>
  <c r="F96" i="19"/>
  <c r="F15" i="19"/>
  <c r="P16" i="19"/>
  <c r="P97" i="19"/>
  <c r="P95" i="19"/>
  <c r="P14" i="19"/>
  <c r="N96" i="19"/>
  <c r="N116" i="19" s="1"/>
  <c r="N15" i="19"/>
  <c r="L97" i="19"/>
  <c r="L16" i="19"/>
  <c r="L96" i="19"/>
  <c r="L116" i="19" s="1"/>
  <c r="L95" i="19"/>
  <c r="L115" i="19" s="1"/>
  <c r="L14" i="19"/>
  <c r="J17" i="18"/>
  <c r="J99" i="18"/>
  <c r="L15" i="18"/>
  <c r="L97" i="18"/>
  <c r="P93" i="17"/>
  <c r="P15" i="17"/>
  <c r="L93" i="17"/>
  <c r="L15" i="17"/>
  <c r="H93" i="17"/>
  <c r="H15" i="17"/>
  <c r="L14" i="17"/>
  <c r="L92" i="17"/>
  <c r="L112" i="17" s="1"/>
  <c r="H92" i="17"/>
  <c r="H112" i="17" s="1"/>
  <c r="H14" i="17"/>
  <c r="L91" i="17"/>
  <c r="L13" i="17"/>
  <c r="H91" i="17"/>
  <c r="H111" i="17" s="1"/>
  <c r="H13" i="17"/>
  <c r="D91" i="17"/>
  <c r="D13" i="17"/>
  <c r="K87" i="15"/>
  <c r="K92" i="15" s="1"/>
  <c r="K25" i="15"/>
  <c r="G25" i="15"/>
  <c r="G87" i="15"/>
  <c r="G92" i="15" s="1"/>
  <c r="P73" i="15"/>
  <c r="P78" i="15" s="1"/>
  <c r="D73" i="15"/>
  <c r="D78" i="15" s="1"/>
  <c r="J46" i="20"/>
  <c r="J13" i="20"/>
  <c r="I66" i="19"/>
  <c r="I23" i="19"/>
  <c r="G65" i="19"/>
  <c r="F68" i="19"/>
  <c r="P66" i="19"/>
  <c r="P23" i="19"/>
  <c r="N67" i="19"/>
  <c r="N24" i="19"/>
  <c r="N22" i="19"/>
  <c r="N65" i="19"/>
  <c r="Q64" i="17"/>
  <c r="Q23" i="17"/>
  <c r="M64" i="17"/>
  <c r="M23" i="17"/>
  <c r="I64" i="17"/>
  <c r="I23" i="17"/>
  <c r="N27" i="15"/>
  <c r="N58" i="15"/>
  <c r="K81" i="13"/>
  <c r="K83" i="13" s="1"/>
  <c r="G84" i="13"/>
  <c r="G82" i="13"/>
  <c r="G80" i="13"/>
  <c r="C119" i="20"/>
  <c r="C125" i="20" s="1"/>
  <c r="OF35" i="5"/>
  <c r="SN34" i="5"/>
  <c r="F88" i="13"/>
  <c r="F89" i="13" s="1"/>
  <c r="PO35" i="5"/>
  <c r="G87" i="13"/>
  <c r="G85" i="13"/>
  <c r="G83" i="13"/>
  <c r="E88" i="13"/>
  <c r="G81" i="13"/>
  <c r="OG35" i="5"/>
  <c r="CK32" i="5"/>
  <c r="CK34" i="5" s="1"/>
  <c r="K24" i="18"/>
  <c r="M22" i="17"/>
  <c r="I22" i="17"/>
  <c r="I22" i="19"/>
  <c r="F22" i="19"/>
  <c r="O22" i="17"/>
  <c r="NH35" i="5"/>
  <c r="NH52" i="5" s="1"/>
  <c r="NN35" i="5"/>
  <c r="NN52" i="5" s="1"/>
  <c r="NG35" i="5"/>
  <c r="NG52" i="5" s="1"/>
  <c r="NJ35" i="5"/>
  <c r="NJ52" i="5" s="1"/>
  <c r="AU32" i="5"/>
  <c r="CJ32" i="5"/>
  <c r="BH15" i="12"/>
  <c r="BI15" i="12" s="1"/>
  <c r="BH40" i="12"/>
  <c r="K21" i="17"/>
  <c r="G21" i="17"/>
  <c r="EI32" i="5"/>
  <c r="FA32" i="5"/>
  <c r="DZ32" i="5"/>
  <c r="GI32" i="5"/>
  <c r="CY32" i="5"/>
  <c r="BU32" i="5"/>
  <c r="ER32" i="5"/>
  <c r="DH32" i="5"/>
  <c r="OH32" i="5"/>
  <c r="OH34" i="5" s="1"/>
  <c r="M21" i="17"/>
  <c r="I21" i="17"/>
  <c r="NY32" i="5"/>
  <c r="KX32" i="5"/>
  <c r="FN32" i="5"/>
  <c r="AH32" i="5"/>
  <c r="BH32" i="5"/>
  <c r="D16" i="17" l="1"/>
  <c r="E16" i="17"/>
  <c r="AH34" i="5"/>
  <c r="ER34" i="5"/>
  <c r="NY34" i="5"/>
  <c r="FN34" i="5"/>
  <c r="FN35" i="5" s="1"/>
  <c r="BU34" i="5"/>
  <c r="LQ34" i="5"/>
  <c r="LQ35" i="5" s="1"/>
  <c r="BX35" i="5"/>
  <c r="KW35" i="5"/>
  <c r="DX35" i="5"/>
  <c r="EY35" i="5"/>
  <c r="GI34" i="5"/>
  <c r="GI35" i="5" s="1"/>
  <c r="CF35" i="5"/>
  <c r="BF35" i="5"/>
  <c r="DZ34" i="5"/>
  <c r="LR34" i="5"/>
  <c r="LR35" i="5" s="1"/>
  <c r="SN35" i="5"/>
  <c r="CJ34" i="5"/>
  <c r="AF35" i="5"/>
  <c r="CX35" i="5"/>
  <c r="CH35" i="5"/>
  <c r="KX34" i="5"/>
  <c r="CY34" i="5"/>
  <c r="FA34" i="5"/>
  <c r="FA35" i="5" s="1"/>
  <c r="BH34" i="5"/>
  <c r="DH34" i="5"/>
  <c r="EI34" i="5"/>
  <c r="AU34" i="5"/>
  <c r="AU35" i="5" s="1"/>
  <c r="CD35" i="5"/>
  <c r="FL35" i="5"/>
  <c r="M68" i="18"/>
  <c r="G15" i="19"/>
  <c r="F25" i="19"/>
  <c r="J23" i="19"/>
  <c r="J22" i="19"/>
  <c r="J24" i="19"/>
  <c r="H28" i="20"/>
  <c r="F28" i="20"/>
  <c r="E28" i="20"/>
  <c r="U28" i="20" s="1"/>
  <c r="J28" i="20"/>
  <c r="CK35" i="5"/>
  <c r="J12" i="15" s="1"/>
  <c r="M44" i="15"/>
  <c r="R23" i="19"/>
  <c r="F16" i="17"/>
  <c r="J18" i="18"/>
  <c r="R14" i="19"/>
  <c r="R15" i="19"/>
  <c r="M17" i="19"/>
  <c r="N25" i="19"/>
  <c r="J14" i="19"/>
  <c r="R22" i="19"/>
  <c r="H17" i="19"/>
  <c r="J15" i="19"/>
  <c r="N16" i="17"/>
  <c r="F58" i="15"/>
  <c r="P58" i="15" s="1"/>
  <c r="E21" i="17"/>
  <c r="S22" i="17"/>
  <c r="T22" i="17" s="1"/>
  <c r="G44" i="15"/>
  <c r="G12" i="15"/>
  <c r="P27" i="15"/>
  <c r="M65" i="17"/>
  <c r="G68" i="19"/>
  <c r="R13" i="17"/>
  <c r="L16" i="17"/>
  <c r="P113" i="17"/>
  <c r="P94" i="17"/>
  <c r="R93" i="17"/>
  <c r="L17" i="19"/>
  <c r="I115" i="19"/>
  <c r="J95" i="19"/>
  <c r="J115" i="19" s="1"/>
  <c r="V26" i="20"/>
  <c r="V89" i="20"/>
  <c r="O24" i="17"/>
  <c r="P13" i="20"/>
  <c r="O87" i="15"/>
  <c r="O92" i="15" s="1"/>
  <c r="M92" i="15"/>
  <c r="J16" i="17"/>
  <c r="Q14" i="19"/>
  <c r="E94" i="17"/>
  <c r="E111" i="17"/>
  <c r="E114" i="17" s="1"/>
  <c r="I94" i="17"/>
  <c r="I113" i="17"/>
  <c r="I114" i="17" s="1"/>
  <c r="K18" i="18"/>
  <c r="Q96" i="19"/>
  <c r="Q116" i="19" s="1"/>
  <c r="O116" i="19"/>
  <c r="M66" i="18"/>
  <c r="F94" i="17"/>
  <c r="F111" i="17"/>
  <c r="F114" i="17" s="1"/>
  <c r="N17" i="19"/>
  <c r="F117" i="19"/>
  <c r="F98" i="19"/>
  <c r="F118" i="19" s="1"/>
  <c r="G97" i="19"/>
  <c r="K69" i="18"/>
  <c r="S14" i="17"/>
  <c r="K17" i="19"/>
  <c r="I24" i="17"/>
  <c r="Q24" i="17"/>
  <c r="S23" i="17"/>
  <c r="T23" i="17" s="1"/>
  <c r="R66" i="19"/>
  <c r="J66" i="19"/>
  <c r="L111" i="17"/>
  <c r="R91" i="17"/>
  <c r="H16" i="17"/>
  <c r="L113" i="17"/>
  <c r="L94" i="17"/>
  <c r="J119" i="18"/>
  <c r="J100" i="18"/>
  <c r="J120" i="18" s="1"/>
  <c r="L98" i="19"/>
  <c r="L118" i="19" s="1"/>
  <c r="L117" i="19"/>
  <c r="P117" i="19"/>
  <c r="P98" i="19"/>
  <c r="P118" i="19" s="1"/>
  <c r="R97" i="19"/>
  <c r="G96" i="19"/>
  <c r="G116" i="19" s="1"/>
  <c r="F116" i="19"/>
  <c r="O65" i="17"/>
  <c r="P46" i="20"/>
  <c r="J94" i="17"/>
  <c r="J113" i="17"/>
  <c r="J114" i="17" s="1"/>
  <c r="R96" i="19"/>
  <c r="P116" i="19"/>
  <c r="Q95" i="19"/>
  <c r="Q115" i="19" s="1"/>
  <c r="O115" i="19"/>
  <c r="G24" i="17"/>
  <c r="Q16" i="17"/>
  <c r="S15" i="17"/>
  <c r="M117" i="19"/>
  <c r="M98" i="19"/>
  <c r="M118" i="19" s="1"/>
  <c r="E17" i="19"/>
  <c r="O11" i="20"/>
  <c r="R14" i="17"/>
  <c r="N94" i="17"/>
  <c r="N113" i="17"/>
  <c r="N98" i="19"/>
  <c r="N118" i="19" s="1"/>
  <c r="N117" i="19"/>
  <c r="N80" i="20"/>
  <c r="P75" i="20"/>
  <c r="K26" i="18"/>
  <c r="M25" i="18"/>
  <c r="G16" i="17"/>
  <c r="M16" i="18"/>
  <c r="K98" i="19"/>
  <c r="K118" i="19" s="1"/>
  <c r="K117" i="19"/>
  <c r="I65" i="17"/>
  <c r="Q65" i="17"/>
  <c r="S64" i="17"/>
  <c r="T64" i="17" s="1"/>
  <c r="H113" i="17"/>
  <c r="H114" i="17" s="1"/>
  <c r="H94" i="17"/>
  <c r="L117" i="18"/>
  <c r="M97" i="18"/>
  <c r="M117" i="18" s="1"/>
  <c r="P17" i="19"/>
  <c r="R16" i="19"/>
  <c r="I17" i="19"/>
  <c r="J16" i="19"/>
  <c r="K65" i="17"/>
  <c r="J67" i="19"/>
  <c r="I68" i="19"/>
  <c r="M17" i="18"/>
  <c r="L18" i="18"/>
  <c r="N92" i="15"/>
  <c r="P87" i="15"/>
  <c r="K94" i="17"/>
  <c r="K111" i="17"/>
  <c r="K114" i="17" s="1"/>
  <c r="S91" i="17"/>
  <c r="M111" i="17"/>
  <c r="M94" i="17"/>
  <c r="M113" i="17"/>
  <c r="S93" i="17"/>
  <c r="Q94" i="17"/>
  <c r="Q113" i="17"/>
  <c r="E117" i="19"/>
  <c r="E98" i="19"/>
  <c r="E118" i="19" s="1"/>
  <c r="M80" i="20"/>
  <c r="O75" i="20"/>
  <c r="O80" i="20" s="1"/>
  <c r="P25" i="19"/>
  <c r="R24" i="19"/>
  <c r="N112" i="17"/>
  <c r="R112" i="17" s="1"/>
  <c r="R92" i="17"/>
  <c r="G94" i="17"/>
  <c r="G111" i="17"/>
  <c r="G114" i="17" s="1"/>
  <c r="O113" i="17"/>
  <c r="O94" i="17"/>
  <c r="L118" i="18"/>
  <c r="M98" i="18"/>
  <c r="M118" i="18" s="1"/>
  <c r="Q16" i="19"/>
  <c r="O17" i="19"/>
  <c r="U89" i="20"/>
  <c r="N12" i="15"/>
  <c r="G22" i="19"/>
  <c r="M24" i="18"/>
  <c r="M24" i="17"/>
  <c r="N68" i="19"/>
  <c r="D111" i="17"/>
  <c r="D114" i="17" s="1"/>
  <c r="D94" i="17"/>
  <c r="P16" i="17"/>
  <c r="R15" i="17"/>
  <c r="M15" i="18"/>
  <c r="R95" i="19"/>
  <c r="P115" i="19"/>
  <c r="I117" i="19"/>
  <c r="I98" i="19"/>
  <c r="I118" i="19" s="1"/>
  <c r="J97" i="19"/>
  <c r="V94" i="20"/>
  <c r="K24" i="17"/>
  <c r="R65" i="19"/>
  <c r="I25" i="19"/>
  <c r="O25" i="15"/>
  <c r="M99" i="18"/>
  <c r="L100" i="18"/>
  <c r="L120" i="18" s="1"/>
  <c r="L119" i="18"/>
  <c r="G14" i="19"/>
  <c r="I116" i="19"/>
  <c r="J96" i="19"/>
  <c r="J116" i="19" s="1"/>
  <c r="P25" i="15"/>
  <c r="K16" i="17"/>
  <c r="H117" i="19"/>
  <c r="H98" i="19"/>
  <c r="H118" i="19" s="1"/>
  <c r="U26" i="20"/>
  <c r="V60" i="20"/>
  <c r="W60" i="20" s="1"/>
  <c r="S13" i="17"/>
  <c r="I16" i="17"/>
  <c r="M16" i="17"/>
  <c r="K119" i="18"/>
  <c r="K100" i="18"/>
  <c r="K120" i="18" s="1"/>
  <c r="Q15" i="19"/>
  <c r="G95" i="19"/>
  <c r="G115" i="19" s="1"/>
  <c r="E115" i="19"/>
  <c r="M23" i="18"/>
  <c r="P68" i="19"/>
  <c r="R67" i="19"/>
  <c r="G16" i="19"/>
  <c r="F17" i="19"/>
  <c r="O112" i="17"/>
  <c r="S92" i="17"/>
  <c r="O16" i="17"/>
  <c r="O117" i="19"/>
  <c r="O98" i="19"/>
  <c r="O118" i="19" s="1"/>
  <c r="Q97" i="19"/>
  <c r="U94" i="20"/>
  <c r="OH35" i="5"/>
  <c r="E89" i="13"/>
  <c r="G88" i="13"/>
  <c r="G89" i="13" s="1"/>
  <c r="CL32" i="5"/>
  <c r="SN27" i="5"/>
  <c r="SN30" i="5" s="1"/>
  <c r="SN31" i="5" s="1"/>
  <c r="SN21" i="5"/>
  <c r="SN25" i="5" s="1"/>
  <c r="SN26" i="5" s="1"/>
  <c r="SN16" i="5"/>
  <c r="SN18" i="5" s="1"/>
  <c r="SN13" i="5"/>
  <c r="SN7" i="5"/>
  <c r="SN8" i="5"/>
  <c r="SN9" i="5"/>
  <c r="SN6" i="5"/>
  <c r="V28" i="20" l="1"/>
  <c r="W28" i="20" s="1"/>
  <c r="SN19" i="5"/>
  <c r="S14" i="19"/>
  <c r="NY35" i="5"/>
  <c r="S65" i="17"/>
  <c r="T65" i="17" s="1"/>
  <c r="J25" i="19"/>
  <c r="EI35" i="5"/>
  <c r="CY35" i="5"/>
  <c r="DZ35" i="5"/>
  <c r="LS34" i="5"/>
  <c r="ER35" i="5"/>
  <c r="DH35" i="5"/>
  <c r="KX35" i="5"/>
  <c r="BU35" i="5"/>
  <c r="AH35" i="5"/>
  <c r="CL34" i="5"/>
  <c r="BH35" i="5"/>
  <c r="CJ35" i="5"/>
  <c r="S21" i="17"/>
  <c r="T21" i="17" s="1"/>
  <c r="N44" i="15"/>
  <c r="M69" i="18"/>
  <c r="S22" i="19"/>
  <c r="S23" i="19"/>
  <c r="G25" i="19"/>
  <c r="S15" i="19"/>
  <c r="SN14" i="5"/>
  <c r="SN15" i="5" s="1"/>
  <c r="SN11" i="5"/>
  <c r="SN12" i="5" s="1"/>
  <c r="SN54" i="5" s="1"/>
  <c r="J44" i="15"/>
  <c r="T14" i="17"/>
  <c r="W89" i="20"/>
  <c r="W94" i="20" s="1"/>
  <c r="J17" i="19"/>
  <c r="T93" i="17"/>
  <c r="T13" i="17"/>
  <c r="R16" i="17"/>
  <c r="S94" i="17"/>
  <c r="T15" i="17"/>
  <c r="G17" i="19"/>
  <c r="Q25" i="15"/>
  <c r="S111" i="17"/>
  <c r="J68" i="19"/>
  <c r="M26" i="18"/>
  <c r="R111" i="17"/>
  <c r="G98" i="19"/>
  <c r="G118" i="19" s="1"/>
  <c r="G117" i="19"/>
  <c r="K12" i="15"/>
  <c r="R25" i="19"/>
  <c r="S24" i="19"/>
  <c r="M18" i="18"/>
  <c r="S16" i="17"/>
  <c r="R98" i="19"/>
  <c r="R118" i="19" s="1"/>
  <c r="S97" i="19"/>
  <c r="R117" i="19"/>
  <c r="L114" i="17"/>
  <c r="S66" i="19"/>
  <c r="Q13" i="20"/>
  <c r="W26" i="20"/>
  <c r="O114" i="17"/>
  <c r="S112" i="17"/>
  <c r="T112" i="17" s="1"/>
  <c r="S67" i="19"/>
  <c r="R68" i="19"/>
  <c r="M100" i="18"/>
  <c r="M120" i="18" s="1"/>
  <c r="M119" i="18"/>
  <c r="S65" i="19"/>
  <c r="M114" i="17"/>
  <c r="Q87" i="15"/>
  <c r="Q92" i="15" s="1"/>
  <c r="P92" i="15"/>
  <c r="R17" i="19"/>
  <c r="S16" i="19"/>
  <c r="Q27" i="15"/>
  <c r="E24" i="17"/>
  <c r="S24" i="17" s="1"/>
  <c r="T24" i="17" s="1"/>
  <c r="Q117" i="19"/>
  <c r="Q98" i="19"/>
  <c r="Q118" i="19" s="1"/>
  <c r="T92" i="17"/>
  <c r="J117" i="19"/>
  <c r="J98" i="19"/>
  <c r="J118" i="19" s="1"/>
  <c r="R115" i="19"/>
  <c r="S95" i="19"/>
  <c r="S115" i="19" s="1"/>
  <c r="R94" i="17"/>
  <c r="Q58" i="15"/>
  <c r="Q17" i="19"/>
  <c r="Q114" i="17"/>
  <c r="S113" i="17"/>
  <c r="Q75" i="20"/>
  <c r="Q80" i="20" s="1"/>
  <c r="P80" i="20"/>
  <c r="N114" i="17"/>
  <c r="S96" i="19"/>
  <c r="S116" i="19" s="1"/>
  <c r="R116" i="19"/>
  <c r="Q46" i="20"/>
  <c r="T91" i="17"/>
  <c r="P114" i="17"/>
  <c r="R113" i="17"/>
  <c r="PO27" i="5"/>
  <c r="PO30" i="5" s="1"/>
  <c r="PO31" i="5" s="1"/>
  <c r="PO13" i="5"/>
  <c r="PO14" i="5" s="1"/>
  <c r="PO15" i="5" s="1"/>
  <c r="PO10" i="5"/>
  <c r="PO7" i="5"/>
  <c r="PO8" i="5"/>
  <c r="PO6" i="5"/>
  <c r="PO9" i="5"/>
  <c r="PO55" i="5" l="1"/>
  <c r="SN20" i="5"/>
  <c r="SN52" i="5" s="1"/>
  <c r="V78" i="21"/>
  <c r="V84" i="21" s="1"/>
  <c r="SN55" i="5"/>
  <c r="LS35" i="5"/>
  <c r="CL35" i="5"/>
  <c r="K44" i="15"/>
  <c r="S25" i="19"/>
  <c r="PO11" i="5"/>
  <c r="PO12" i="5" s="1"/>
  <c r="PO54" i="5" s="1"/>
  <c r="T94" i="17"/>
  <c r="T113" i="17"/>
  <c r="T16" i="17"/>
  <c r="S114" i="17"/>
  <c r="R114" i="17"/>
  <c r="S17" i="19"/>
  <c r="S98" i="19"/>
  <c r="S118" i="19" s="1"/>
  <c r="S117" i="19"/>
  <c r="T111" i="17"/>
  <c r="S68" i="19"/>
  <c r="U46" i="21"/>
  <c r="U52" i="21" s="1"/>
  <c r="E46" i="21"/>
  <c r="E52" i="21" s="1"/>
  <c r="D46" i="21"/>
  <c r="D52" i="21" s="1"/>
  <c r="B41" i="14"/>
  <c r="C41" i="14"/>
  <c r="F42" i="14"/>
  <c r="E42" i="13"/>
  <c r="L46" i="21"/>
  <c r="L52" i="21" s="1"/>
  <c r="AF21" i="5"/>
  <c r="AF25" i="5" s="1"/>
  <c r="AF26" i="5" s="1"/>
  <c r="P11" i="12"/>
  <c r="P59" i="12" s="1"/>
  <c r="Q11" i="12"/>
  <c r="Q59" i="12" s="1"/>
  <c r="R11" i="12"/>
  <c r="R59" i="12" s="1"/>
  <c r="T11" i="12"/>
  <c r="T59" i="12" s="1"/>
  <c r="U11" i="12"/>
  <c r="U59" i="12" s="1"/>
  <c r="V11" i="12"/>
  <c r="V59" i="12" s="1"/>
  <c r="W11" i="12"/>
  <c r="W59" i="12" s="1"/>
  <c r="X11" i="12"/>
  <c r="X59" i="12" s="1"/>
  <c r="Y11" i="12"/>
  <c r="Y59" i="12" s="1"/>
  <c r="Z11" i="12"/>
  <c r="Z59" i="12" s="1"/>
  <c r="AO10" i="12"/>
  <c r="AO58" i="12" s="1"/>
  <c r="AQ10" i="12"/>
  <c r="AQ58" i="12" s="1"/>
  <c r="AS10" i="12"/>
  <c r="AS58" i="12" s="1"/>
  <c r="AU10" i="12"/>
  <c r="AU58" i="12" s="1"/>
  <c r="AW10" i="12"/>
  <c r="AW58" i="12" s="1"/>
  <c r="AW11" i="12"/>
  <c r="AY10" i="12"/>
  <c r="AY58" i="12" s="1"/>
  <c r="BA10" i="12"/>
  <c r="BA58" i="12" s="1"/>
  <c r="BC10" i="12"/>
  <c r="BC58" i="12" s="1"/>
  <c r="BH10" i="12"/>
  <c r="C10" i="12"/>
  <c r="C58" i="12" s="1"/>
  <c r="C11" i="12"/>
  <c r="C59" i="12" s="1"/>
  <c r="D10" i="12"/>
  <c r="D58" i="12" s="1"/>
  <c r="D11" i="12"/>
  <c r="D59" i="12" s="1"/>
  <c r="E10" i="12"/>
  <c r="E58" i="12" s="1"/>
  <c r="E11" i="12"/>
  <c r="E59" i="12" s="1"/>
  <c r="F10" i="12"/>
  <c r="F58" i="12" s="1"/>
  <c r="F11" i="12"/>
  <c r="F59" i="12" s="1"/>
  <c r="G10" i="12"/>
  <c r="G58" i="12" s="1"/>
  <c r="G11" i="12"/>
  <c r="G59" i="12" s="1"/>
  <c r="H10" i="12"/>
  <c r="H58" i="12" s="1"/>
  <c r="H11" i="12"/>
  <c r="H59" i="12" s="1"/>
  <c r="I10" i="12"/>
  <c r="I58" i="12" s="1"/>
  <c r="I11" i="12"/>
  <c r="I59" i="12" s="1"/>
  <c r="J10" i="12"/>
  <c r="J58" i="12" s="1"/>
  <c r="J11" i="12"/>
  <c r="J59" i="12" s="1"/>
  <c r="K10" i="12"/>
  <c r="K58" i="12" s="1"/>
  <c r="K11" i="12"/>
  <c r="K59" i="12" s="1"/>
  <c r="L10" i="12"/>
  <c r="L58" i="12" s="1"/>
  <c r="L11" i="12"/>
  <c r="L59" i="12" s="1"/>
  <c r="M10" i="12"/>
  <c r="M58" i="12" s="1"/>
  <c r="M11" i="12"/>
  <c r="M59" i="12" s="1"/>
  <c r="N10" i="12"/>
  <c r="N58" i="12" s="1"/>
  <c r="N11" i="12"/>
  <c r="N59" i="12" s="1"/>
  <c r="O10" i="12"/>
  <c r="O58" i="12" s="1"/>
  <c r="O11" i="12"/>
  <c r="O59" i="12" s="1"/>
  <c r="P10" i="12"/>
  <c r="P58" i="12" s="1"/>
  <c r="Q10" i="12"/>
  <c r="Q58" i="12" s="1"/>
  <c r="R10" i="12"/>
  <c r="R58" i="12" s="1"/>
  <c r="S10" i="12"/>
  <c r="S58" i="12" s="1"/>
  <c r="S11" i="12"/>
  <c r="S59" i="12" s="1"/>
  <c r="T10" i="12"/>
  <c r="T58" i="12" s="1"/>
  <c r="U10" i="12"/>
  <c r="U58" i="12" s="1"/>
  <c r="V10" i="12"/>
  <c r="V58" i="12" s="1"/>
  <c r="W10" i="12"/>
  <c r="W58" i="12" s="1"/>
  <c r="X10" i="12"/>
  <c r="X58" i="12" s="1"/>
  <c r="Y10" i="12"/>
  <c r="Y58" i="12" s="1"/>
  <c r="Z10" i="12"/>
  <c r="Z58" i="12" s="1"/>
  <c r="AA10" i="12"/>
  <c r="AA58" i="12" s="1"/>
  <c r="AA11" i="12"/>
  <c r="AA59" i="12" s="1"/>
  <c r="AB10" i="12"/>
  <c r="AB58" i="12" s="1"/>
  <c r="AB11" i="12"/>
  <c r="AB59" i="12" s="1"/>
  <c r="AC10" i="12"/>
  <c r="AC58" i="12" s="1"/>
  <c r="AC11" i="12"/>
  <c r="AC59" i="12" s="1"/>
  <c r="AD10" i="12"/>
  <c r="AD58" i="12" s="1"/>
  <c r="AD11" i="12"/>
  <c r="AD59" i="12" s="1"/>
  <c r="AE10" i="12"/>
  <c r="AE58" i="12" s="1"/>
  <c r="AE11" i="12"/>
  <c r="AE59" i="12" s="1"/>
  <c r="AF10" i="12"/>
  <c r="AF58" i="12" s="1"/>
  <c r="AF11" i="12"/>
  <c r="AF59" i="12" s="1"/>
  <c r="AG10" i="12"/>
  <c r="AG58" i="12" s="1"/>
  <c r="AG11" i="12"/>
  <c r="AG59" i="12" s="1"/>
  <c r="AH10" i="12"/>
  <c r="AH58" i="12" s="1"/>
  <c r="AH11" i="12"/>
  <c r="AH59" i="12" s="1"/>
  <c r="AI10" i="12"/>
  <c r="AI58" i="12" s="1"/>
  <c r="AI11" i="12"/>
  <c r="AI59" i="12" s="1"/>
  <c r="AJ10" i="12"/>
  <c r="AJ58" i="12" s="1"/>
  <c r="AJ11" i="12"/>
  <c r="AJ59" i="12" s="1"/>
  <c r="AK10" i="12"/>
  <c r="AK58" i="12" s="1"/>
  <c r="AK11" i="12"/>
  <c r="AK59" i="12" s="1"/>
  <c r="AL10" i="12"/>
  <c r="AL58" i="12" s="1"/>
  <c r="AL11" i="12"/>
  <c r="AL59" i="12" s="1"/>
  <c r="AM10" i="12"/>
  <c r="AM58" i="12" s="1"/>
  <c r="AM11" i="12"/>
  <c r="AM59" i="12" s="1"/>
  <c r="AN10" i="12"/>
  <c r="AN58" i="12" s="1"/>
  <c r="AN11" i="12"/>
  <c r="AN59" i="12" s="1"/>
  <c r="AO11" i="12"/>
  <c r="AO59" i="12" s="1"/>
  <c r="AP10" i="12"/>
  <c r="AP58" i="12" s="1"/>
  <c r="AP11" i="12"/>
  <c r="AP59" i="12" s="1"/>
  <c r="AQ11" i="12"/>
  <c r="AQ59" i="12" s="1"/>
  <c r="AR10" i="12"/>
  <c r="AR58" i="12" s="1"/>
  <c r="AR11" i="12"/>
  <c r="AR59" i="12" s="1"/>
  <c r="AS11" i="12"/>
  <c r="AS59" i="12" s="1"/>
  <c r="AT10" i="12"/>
  <c r="AT58" i="12" s="1"/>
  <c r="AT11" i="12"/>
  <c r="AT59" i="12" s="1"/>
  <c r="AU11" i="12"/>
  <c r="AU59" i="12" s="1"/>
  <c r="AV10" i="12"/>
  <c r="AV58" i="12" s="1"/>
  <c r="AV11" i="12"/>
  <c r="AV59" i="12" s="1"/>
  <c r="AX10" i="12"/>
  <c r="AX58" i="12" s="1"/>
  <c r="AX11" i="12"/>
  <c r="AX59" i="12" s="1"/>
  <c r="AY11" i="12"/>
  <c r="AY59" i="12" s="1"/>
  <c r="AZ10" i="12"/>
  <c r="AZ58" i="12" s="1"/>
  <c r="AZ11" i="12"/>
  <c r="AZ59" i="12" s="1"/>
  <c r="BA11" i="12"/>
  <c r="BA59" i="12" s="1"/>
  <c r="BB10" i="12"/>
  <c r="BB58" i="12" s="1"/>
  <c r="BB11" i="12"/>
  <c r="BB59" i="12" s="1"/>
  <c r="BC11" i="12"/>
  <c r="BC59" i="12" s="1"/>
  <c r="BD10" i="12"/>
  <c r="BD58" i="12" s="1"/>
  <c r="BD11" i="12"/>
  <c r="BD59" i="12" s="1"/>
  <c r="BH11" i="12"/>
  <c r="BH59" i="12" s="1"/>
  <c r="D13" i="12"/>
  <c r="E13" i="12"/>
  <c r="AA13" i="12"/>
  <c r="BD12" i="12"/>
  <c r="BD13" i="12"/>
  <c r="E46" i="14"/>
  <c r="F46" i="14"/>
  <c r="E47" i="14"/>
  <c r="F47" i="14"/>
  <c r="E48" i="14"/>
  <c r="F48" i="14"/>
  <c r="E49" i="14"/>
  <c r="F49" i="14"/>
  <c r="E50" i="14"/>
  <c r="F50" i="14"/>
  <c r="E51" i="14"/>
  <c r="F51" i="14"/>
  <c r="F52" i="14"/>
  <c r="G52" i="14" s="1"/>
  <c r="E53" i="14"/>
  <c r="F53" i="14"/>
  <c r="KW13" i="5"/>
  <c r="KW14" i="5" s="1"/>
  <c r="KW15" i="5" s="1"/>
  <c r="KV16" i="5"/>
  <c r="KV18" i="5" s="1"/>
  <c r="KV21" i="5"/>
  <c r="KV25" i="5" s="1"/>
  <c r="KV26" i="5" s="1"/>
  <c r="KV54" i="5" s="1"/>
  <c r="KW21" i="5"/>
  <c r="KW25" i="5" s="1"/>
  <c r="KW26" i="5" s="1"/>
  <c r="KV27" i="5"/>
  <c r="KW27" i="5"/>
  <c r="KW30" i="5" s="1"/>
  <c r="KW31" i="5" s="1"/>
  <c r="BH79" i="12"/>
  <c r="BH91" i="12" s="1"/>
  <c r="C56" i="12"/>
  <c r="D56" i="12"/>
  <c r="D57" i="12"/>
  <c r="E56" i="12"/>
  <c r="E57" i="12"/>
  <c r="F56" i="12"/>
  <c r="F57" i="12"/>
  <c r="G56" i="12"/>
  <c r="G57" i="12"/>
  <c r="H56" i="12"/>
  <c r="H57" i="12"/>
  <c r="I56" i="12"/>
  <c r="I57" i="12"/>
  <c r="J56" i="12"/>
  <c r="J57" i="12"/>
  <c r="K56" i="12"/>
  <c r="K57" i="12"/>
  <c r="L56" i="12"/>
  <c r="L57" i="12"/>
  <c r="M56" i="12"/>
  <c r="M57" i="12"/>
  <c r="N56" i="12"/>
  <c r="N57" i="12"/>
  <c r="O56" i="12"/>
  <c r="O57" i="12"/>
  <c r="P56" i="12"/>
  <c r="P57" i="12"/>
  <c r="Q56" i="12"/>
  <c r="Q57" i="12"/>
  <c r="R56" i="12"/>
  <c r="R57" i="12"/>
  <c r="S56" i="12"/>
  <c r="S57" i="12"/>
  <c r="T56" i="12"/>
  <c r="T57" i="12"/>
  <c r="U56" i="12"/>
  <c r="U57" i="12"/>
  <c r="V56" i="12"/>
  <c r="V57" i="12"/>
  <c r="W56" i="12"/>
  <c r="W57" i="12"/>
  <c r="X56" i="12"/>
  <c r="X57" i="12"/>
  <c r="Y56" i="12"/>
  <c r="Y57" i="12"/>
  <c r="Z56" i="12"/>
  <c r="Z57" i="12"/>
  <c r="AA56" i="12"/>
  <c r="AA57" i="12"/>
  <c r="AB56" i="12"/>
  <c r="AB57" i="12"/>
  <c r="AC56" i="12"/>
  <c r="AC57" i="12"/>
  <c r="AD56" i="12"/>
  <c r="AD57" i="12"/>
  <c r="AE56" i="12"/>
  <c r="AE57" i="12"/>
  <c r="AF56" i="12"/>
  <c r="AF57" i="12"/>
  <c r="AG56" i="12"/>
  <c r="AG57" i="12"/>
  <c r="AH56" i="12"/>
  <c r="AH57" i="12"/>
  <c r="AI56" i="12"/>
  <c r="AI57" i="12"/>
  <c r="AJ56" i="12"/>
  <c r="AJ57" i="12"/>
  <c r="AK56" i="12"/>
  <c r="AK57" i="12"/>
  <c r="AL56" i="12"/>
  <c r="AL57" i="12"/>
  <c r="AM56" i="12"/>
  <c r="AM57" i="12"/>
  <c r="AN56" i="12"/>
  <c r="AN57" i="12"/>
  <c r="AO56" i="12"/>
  <c r="AO57" i="12"/>
  <c r="AP56" i="12"/>
  <c r="AP57" i="12"/>
  <c r="AQ56" i="12"/>
  <c r="AQ57" i="12"/>
  <c r="AR56" i="12"/>
  <c r="AR57" i="12"/>
  <c r="AS56" i="12"/>
  <c r="AS57" i="12"/>
  <c r="AT56" i="12"/>
  <c r="AT57" i="12"/>
  <c r="AU56" i="12"/>
  <c r="AU57" i="12"/>
  <c r="AV56" i="12"/>
  <c r="AV57" i="12"/>
  <c r="AW56" i="12"/>
  <c r="AW57" i="12"/>
  <c r="AX56" i="12"/>
  <c r="AX57" i="12"/>
  <c r="AY56" i="12"/>
  <c r="AY57" i="12"/>
  <c r="AZ56" i="12"/>
  <c r="AZ57" i="12"/>
  <c r="BA56" i="12"/>
  <c r="BA57" i="12"/>
  <c r="BB56" i="12"/>
  <c r="BB57" i="12"/>
  <c r="BC56" i="12"/>
  <c r="BC57" i="12"/>
  <c r="BD56" i="12"/>
  <c r="BD57" i="12"/>
  <c r="BH57" i="12"/>
  <c r="C57" i="12"/>
  <c r="KW6" i="5"/>
  <c r="KW11" i="5" s="1"/>
  <c r="KW12" i="5" s="1"/>
  <c r="N33" i="12"/>
  <c r="N34" i="12"/>
  <c r="O33" i="12"/>
  <c r="O34" i="12"/>
  <c r="P33" i="12"/>
  <c r="P34" i="12"/>
  <c r="Q33" i="12"/>
  <c r="Q34" i="12"/>
  <c r="R33" i="12"/>
  <c r="R34" i="12"/>
  <c r="S33" i="12"/>
  <c r="S34" i="12"/>
  <c r="T33" i="12"/>
  <c r="T34" i="12"/>
  <c r="U33" i="12"/>
  <c r="U34" i="12"/>
  <c r="V33" i="12"/>
  <c r="V34" i="12"/>
  <c r="W33" i="12"/>
  <c r="W34" i="12"/>
  <c r="X33" i="12"/>
  <c r="X34" i="12"/>
  <c r="Y33" i="12"/>
  <c r="Y34" i="12"/>
  <c r="Z33" i="12"/>
  <c r="Z34" i="12"/>
  <c r="AC33" i="12"/>
  <c r="AC34" i="12"/>
  <c r="AD33" i="12"/>
  <c r="AD34" i="12"/>
  <c r="AE33" i="12"/>
  <c r="AE34" i="12"/>
  <c r="AF33" i="12"/>
  <c r="AF34" i="12"/>
  <c r="AG33" i="12"/>
  <c r="AG34" i="12"/>
  <c r="AH33" i="12"/>
  <c r="AH34" i="12"/>
  <c r="AI33" i="12"/>
  <c r="AI34" i="12"/>
  <c r="AJ33" i="12"/>
  <c r="AJ34" i="12"/>
  <c r="AK33" i="12"/>
  <c r="AK34" i="12"/>
  <c r="AL33" i="12"/>
  <c r="AL34" i="12"/>
  <c r="AM33" i="12"/>
  <c r="AM34" i="12"/>
  <c r="AN33" i="12"/>
  <c r="AN34" i="12"/>
  <c r="AO33" i="12"/>
  <c r="AO34" i="12"/>
  <c r="AQ33" i="12"/>
  <c r="AQ34" i="12"/>
  <c r="AR33" i="12"/>
  <c r="AR34" i="12"/>
  <c r="AS33" i="12"/>
  <c r="AS34" i="12"/>
  <c r="AT33" i="12"/>
  <c r="AT34" i="12"/>
  <c r="AU33" i="12"/>
  <c r="AU34" i="12"/>
  <c r="AV33" i="12"/>
  <c r="AV34" i="12"/>
  <c r="AW33" i="12"/>
  <c r="AW34" i="12"/>
  <c r="AX33" i="12"/>
  <c r="AX34" i="12"/>
  <c r="AY33" i="12"/>
  <c r="AY34" i="12"/>
  <c r="BA33" i="12"/>
  <c r="BA34" i="12"/>
  <c r="BB33" i="12"/>
  <c r="BB34" i="12"/>
  <c r="BC33" i="12"/>
  <c r="BC34" i="12"/>
  <c r="BH33" i="12"/>
  <c r="BI86" i="12"/>
  <c r="BI85" i="12"/>
  <c r="BI84" i="12"/>
  <c r="BI83" i="12"/>
  <c r="BI82" i="12"/>
  <c r="BI81" i="12"/>
  <c r="BI63" i="12"/>
  <c r="BI62" i="12"/>
  <c r="BI61" i="12"/>
  <c r="BI60" i="12"/>
  <c r="BI40" i="12"/>
  <c r="BI39" i="12"/>
  <c r="BI36" i="12"/>
  <c r="BI35" i="12"/>
  <c r="Q11" i="15"/>
  <c r="O11" i="15"/>
  <c r="P11" i="15"/>
  <c r="K41" i="14"/>
  <c r="L41" i="14"/>
  <c r="M41" i="14"/>
  <c r="N41" i="14"/>
  <c r="S11" i="15"/>
  <c r="K47" i="14"/>
  <c r="K48" i="14"/>
  <c r="S59" i="20"/>
  <c r="T59" i="20"/>
  <c r="M43" i="20"/>
  <c r="N43" i="20"/>
  <c r="G57" i="20"/>
  <c r="H57" i="20"/>
  <c r="E57" i="20"/>
  <c r="F57" i="20"/>
  <c r="K57" i="20"/>
  <c r="L57" i="20"/>
  <c r="I57" i="20"/>
  <c r="J57" i="20"/>
  <c r="M57" i="20"/>
  <c r="N57" i="20"/>
  <c r="O57" i="20"/>
  <c r="P57" i="20"/>
  <c r="Q57" i="20"/>
  <c r="R57" i="20"/>
  <c r="S57" i="20"/>
  <c r="T57" i="20"/>
  <c r="M46" i="21"/>
  <c r="M52" i="21" s="1"/>
  <c r="E60" i="21"/>
  <c r="E66" i="21" s="1"/>
  <c r="G60" i="21"/>
  <c r="B46" i="21"/>
  <c r="B52" i="21" s="1"/>
  <c r="C46" i="21"/>
  <c r="C52" i="21" s="1"/>
  <c r="F46" i="21"/>
  <c r="F52" i="21" s="1"/>
  <c r="G46" i="21"/>
  <c r="G52" i="21" s="1"/>
  <c r="H46" i="21"/>
  <c r="H52" i="21" s="1"/>
  <c r="I46" i="21"/>
  <c r="I52" i="21" s="1"/>
  <c r="K46" i="21"/>
  <c r="K52" i="21" s="1"/>
  <c r="N46" i="21"/>
  <c r="N52" i="21" s="1"/>
  <c r="O46" i="21"/>
  <c r="O52" i="21" s="1"/>
  <c r="P46" i="21"/>
  <c r="P52" i="21" s="1"/>
  <c r="Q46" i="21"/>
  <c r="Y46" i="21"/>
  <c r="Y52" i="21" s="1"/>
  <c r="C41" i="15"/>
  <c r="D41" i="15"/>
  <c r="P41" i="15"/>
  <c r="P47" i="15" s="1"/>
  <c r="S41" i="15"/>
  <c r="S47" i="15" s="1"/>
  <c r="E55" i="15"/>
  <c r="F55" i="15"/>
  <c r="G55" i="15"/>
  <c r="H55" i="15"/>
  <c r="I55" i="15"/>
  <c r="J55" i="15"/>
  <c r="K55" i="15"/>
  <c r="L55" i="15"/>
  <c r="M55" i="15"/>
  <c r="N55" i="15"/>
  <c r="D50" i="17"/>
  <c r="D53" i="17" s="1"/>
  <c r="E50" i="17"/>
  <c r="E53" i="17" s="1"/>
  <c r="F50" i="17"/>
  <c r="G50" i="17"/>
  <c r="H50" i="17"/>
  <c r="I50" i="17"/>
  <c r="J50" i="17"/>
  <c r="K50" i="17"/>
  <c r="L50" i="17"/>
  <c r="M50" i="17"/>
  <c r="F51" i="17"/>
  <c r="G51" i="17"/>
  <c r="H51" i="17"/>
  <c r="I51" i="17"/>
  <c r="J51" i="17"/>
  <c r="K51" i="17"/>
  <c r="L51" i="17"/>
  <c r="M51" i="17"/>
  <c r="N51" i="17"/>
  <c r="O51" i="17"/>
  <c r="H52" i="17"/>
  <c r="I52" i="17"/>
  <c r="J52" i="17"/>
  <c r="K52" i="17"/>
  <c r="K53" i="17" s="1"/>
  <c r="L52" i="17"/>
  <c r="M52" i="17"/>
  <c r="N52" i="17"/>
  <c r="O52" i="17"/>
  <c r="P52" i="17"/>
  <c r="Q52" i="17"/>
  <c r="K53" i="19"/>
  <c r="L53" i="19"/>
  <c r="K54" i="19"/>
  <c r="L54" i="19"/>
  <c r="K55" i="19"/>
  <c r="L55" i="19"/>
  <c r="M53" i="19"/>
  <c r="N53" i="19"/>
  <c r="M54" i="19"/>
  <c r="N54" i="19"/>
  <c r="M55" i="19"/>
  <c r="N55" i="19"/>
  <c r="O53" i="19"/>
  <c r="P53" i="19"/>
  <c r="O54" i="19"/>
  <c r="P54" i="19"/>
  <c r="O55" i="19"/>
  <c r="P55" i="19"/>
  <c r="E53" i="19"/>
  <c r="F53" i="19"/>
  <c r="E54" i="19"/>
  <c r="F54" i="19"/>
  <c r="E55" i="19"/>
  <c r="F55" i="19"/>
  <c r="H53" i="19"/>
  <c r="I53" i="19"/>
  <c r="H54" i="19"/>
  <c r="I54" i="19"/>
  <c r="H55" i="19"/>
  <c r="I55" i="19"/>
  <c r="F43" i="20"/>
  <c r="H43" i="20"/>
  <c r="J43" i="20"/>
  <c r="L43" i="20"/>
  <c r="Q41" i="15"/>
  <c r="Q47" i="15" s="1"/>
  <c r="R41" i="15"/>
  <c r="R47" i="15" s="1"/>
  <c r="O41" i="15"/>
  <c r="O47" i="15" s="1"/>
  <c r="OF7" i="5"/>
  <c r="OG7" i="5"/>
  <c r="OF8" i="5"/>
  <c r="OG8" i="5"/>
  <c r="OF9" i="5"/>
  <c r="OG9" i="5"/>
  <c r="OF10" i="5"/>
  <c r="OG10" i="5"/>
  <c r="OF13" i="5"/>
  <c r="OF14" i="5" s="1"/>
  <c r="OF15" i="5" s="1"/>
  <c r="OG13" i="5"/>
  <c r="OG14" i="5" s="1"/>
  <c r="OG15" i="5" s="1"/>
  <c r="OF16" i="5"/>
  <c r="OF18" i="5" s="1"/>
  <c r="OG16" i="5"/>
  <c r="OG18" i="5" s="1"/>
  <c r="OF21" i="5"/>
  <c r="OF25" i="5" s="1"/>
  <c r="OF26" i="5" s="1"/>
  <c r="OG21" i="5"/>
  <c r="OG25" i="5" s="1"/>
  <c r="OG26" i="5" s="1"/>
  <c r="OF27" i="5"/>
  <c r="OF30" i="5" s="1"/>
  <c r="OF31" i="5" s="1"/>
  <c r="OG27" i="5"/>
  <c r="OG30" i="5" s="1"/>
  <c r="OG31" i="5" s="1"/>
  <c r="OG6" i="5"/>
  <c r="OF6" i="5"/>
  <c r="GG27" i="5"/>
  <c r="GG30" i="5" s="1"/>
  <c r="GG31" i="5" s="1"/>
  <c r="GH27" i="5"/>
  <c r="GH30" i="5" s="1"/>
  <c r="GH31" i="5" s="1"/>
  <c r="FM21" i="5"/>
  <c r="FM25" i="5" s="1"/>
  <c r="FM26" i="5" s="1"/>
  <c r="FL21" i="5"/>
  <c r="FL25" i="5" s="1"/>
  <c r="FL26" i="5" s="1"/>
  <c r="DY27" i="5"/>
  <c r="DY30" i="5" s="1"/>
  <c r="DY31" i="5" s="1"/>
  <c r="DX27" i="5"/>
  <c r="DX30" i="5" s="1"/>
  <c r="DX31" i="5" s="1"/>
  <c r="DG27" i="5"/>
  <c r="DG30" i="5" s="1"/>
  <c r="DG31" i="5" s="1"/>
  <c r="DF27" i="5"/>
  <c r="DF30" i="5" s="1"/>
  <c r="DF31" i="5" s="1"/>
  <c r="EZ27" i="5"/>
  <c r="EZ30" i="5" s="1"/>
  <c r="EZ31" i="5" s="1"/>
  <c r="EY27" i="5"/>
  <c r="EY30" i="5" s="1"/>
  <c r="EY31" i="5" s="1"/>
  <c r="EQ27" i="5"/>
  <c r="EQ30" i="5" s="1"/>
  <c r="EQ31" i="5" s="1"/>
  <c r="EP27" i="5"/>
  <c r="EP30" i="5" s="1"/>
  <c r="EP31" i="5" s="1"/>
  <c r="EH27" i="5"/>
  <c r="EH30" i="5" s="1"/>
  <c r="EH31" i="5" s="1"/>
  <c r="EG27" i="5"/>
  <c r="EG30" i="5" s="1"/>
  <c r="EG31" i="5" s="1"/>
  <c r="BV27" i="5"/>
  <c r="BV30" i="5" s="1"/>
  <c r="BV31" i="5" s="1"/>
  <c r="BW27" i="5"/>
  <c r="BW30" i="5" s="1"/>
  <c r="BW31" i="5" s="1"/>
  <c r="BX27" i="5"/>
  <c r="BX30" i="5" s="1"/>
  <c r="BX31" i="5" s="1"/>
  <c r="BY27" i="5"/>
  <c r="BY30" i="5" s="1"/>
  <c r="BY31" i="5" s="1"/>
  <c r="BZ27" i="5"/>
  <c r="BZ30" i="5" s="1"/>
  <c r="BZ31" i="5" s="1"/>
  <c r="CA27" i="5"/>
  <c r="CA30" i="5" s="1"/>
  <c r="CA31" i="5" s="1"/>
  <c r="CB27" i="5"/>
  <c r="CB30" i="5" s="1"/>
  <c r="CB31" i="5" s="1"/>
  <c r="CC27" i="5"/>
  <c r="CC30" i="5" s="1"/>
  <c r="CC31" i="5" s="1"/>
  <c r="CD27" i="5"/>
  <c r="CD30" i="5" s="1"/>
  <c r="CD31" i="5" s="1"/>
  <c r="CE27" i="5"/>
  <c r="CE30" i="5" s="1"/>
  <c r="CE31" i="5" s="1"/>
  <c r="CF27" i="5"/>
  <c r="CF30" i="5" s="1"/>
  <c r="CF31" i="5" s="1"/>
  <c r="CG27" i="5"/>
  <c r="CG30" i="5" s="1"/>
  <c r="CG31" i="5" s="1"/>
  <c r="CH27" i="5"/>
  <c r="CH30" i="5" s="1"/>
  <c r="CH31" i="5" s="1"/>
  <c r="CI27" i="5"/>
  <c r="CI30" i="5" s="1"/>
  <c r="CI31" i="5" s="1"/>
  <c r="BT27" i="5"/>
  <c r="BT30" i="5" s="1"/>
  <c r="BT31" i="5" s="1"/>
  <c r="BS27" i="5"/>
  <c r="BS30" i="5" s="1"/>
  <c r="BS31" i="5" s="1"/>
  <c r="BG27" i="5"/>
  <c r="BG30" i="5" s="1"/>
  <c r="BG31" i="5" s="1"/>
  <c r="BF27" i="5"/>
  <c r="BF30" i="5" s="1"/>
  <c r="BF31" i="5" s="1"/>
  <c r="AT27" i="5"/>
  <c r="AT30" i="5" s="1"/>
  <c r="AT31" i="5" s="1"/>
  <c r="AS27" i="5"/>
  <c r="AS30" i="5" s="1"/>
  <c r="AS31" i="5" s="1"/>
  <c r="AG27" i="5"/>
  <c r="AG30" i="5" s="1"/>
  <c r="AG31" i="5" s="1"/>
  <c r="AF27" i="5"/>
  <c r="AF30" i="5" s="1"/>
  <c r="AF31" i="5" s="1"/>
  <c r="E56" i="14" l="1"/>
  <c r="F56" i="14"/>
  <c r="KV55" i="5"/>
  <c r="KV30" i="5"/>
  <c r="KV31" i="5" s="1"/>
  <c r="OF19" i="5"/>
  <c r="BD38" i="12"/>
  <c r="D38" i="12"/>
  <c r="OG19" i="5"/>
  <c r="E38" i="12"/>
  <c r="BD37" i="12"/>
  <c r="KV19" i="5"/>
  <c r="KV20" i="5" s="1"/>
  <c r="AA38" i="12"/>
  <c r="KW54" i="5"/>
  <c r="OF55" i="5"/>
  <c r="GH52" i="5"/>
  <c r="GH55" i="5"/>
  <c r="KW55" i="5"/>
  <c r="GG52" i="5"/>
  <c r="GG55" i="5"/>
  <c r="OG55" i="5"/>
  <c r="T114" i="17"/>
  <c r="G53" i="17"/>
  <c r="M53" i="17"/>
  <c r="PO20" i="5"/>
  <c r="PO52" i="5" s="1"/>
  <c r="OG11" i="5"/>
  <c r="OG12" i="5" s="1"/>
  <c r="OG54" i="5" s="1"/>
  <c r="OF11" i="5"/>
  <c r="OF12" i="5" s="1"/>
  <c r="OF54" i="5" s="1"/>
  <c r="KW20" i="5"/>
  <c r="KW52" i="5" s="1"/>
  <c r="L56" i="18"/>
  <c r="K55" i="18"/>
  <c r="J54" i="18"/>
  <c r="K56" i="18"/>
  <c r="J55" i="18"/>
  <c r="J56" i="18"/>
  <c r="L54" i="18"/>
  <c r="L55" i="18"/>
  <c r="K54" i="18"/>
  <c r="K43" i="20"/>
  <c r="I43" i="20"/>
  <c r="G43" i="20"/>
  <c r="E43" i="20"/>
  <c r="L53" i="17"/>
  <c r="O53" i="17"/>
  <c r="S51" i="17"/>
  <c r="I53" i="17"/>
  <c r="H56" i="19"/>
  <c r="N53" i="17"/>
  <c r="Q53" i="19"/>
  <c r="K56" i="19"/>
  <c r="J53" i="17"/>
  <c r="H53" i="17"/>
  <c r="F53" i="17"/>
  <c r="F47" i="13"/>
  <c r="J54" i="19"/>
  <c r="G53" i="19"/>
  <c r="R54" i="19"/>
  <c r="N56" i="19"/>
  <c r="R51" i="17"/>
  <c r="O55" i="15"/>
  <c r="P55" i="15"/>
  <c r="G48" i="14"/>
  <c r="G46" i="14"/>
  <c r="O56" i="19"/>
  <c r="Q55" i="19"/>
  <c r="M59" i="20"/>
  <c r="M63" i="20" s="1"/>
  <c r="M27" i="20"/>
  <c r="K59" i="20"/>
  <c r="K63" i="20" s="1"/>
  <c r="K27" i="20"/>
  <c r="G27" i="20"/>
  <c r="G59" i="20"/>
  <c r="G63" i="20" s="1"/>
  <c r="L45" i="20"/>
  <c r="L49" i="20" s="1"/>
  <c r="L12" i="20"/>
  <c r="I18" i="19"/>
  <c r="I61" i="19"/>
  <c r="P18" i="19"/>
  <c r="P61" i="19"/>
  <c r="L20" i="19"/>
  <c r="L63" i="19"/>
  <c r="J64" i="18"/>
  <c r="J21" i="18"/>
  <c r="P19" i="17"/>
  <c r="P60" i="17"/>
  <c r="P76" i="17" s="1"/>
  <c r="H60" i="17"/>
  <c r="H76" i="17" s="1"/>
  <c r="H19" i="17"/>
  <c r="L59" i="17"/>
  <c r="L75" i="17" s="1"/>
  <c r="L18" i="17"/>
  <c r="L58" i="17"/>
  <c r="L74" i="17" s="1"/>
  <c r="L17" i="17"/>
  <c r="D58" i="17"/>
  <c r="D74" i="17" s="1"/>
  <c r="D17" i="17"/>
  <c r="G57" i="15"/>
  <c r="G61" i="15" s="1"/>
  <c r="G26" i="15"/>
  <c r="G55" i="19"/>
  <c r="F56" i="19"/>
  <c r="Q52" i="21"/>
  <c r="T46" i="21"/>
  <c r="T52" i="21" s="1"/>
  <c r="D57" i="20"/>
  <c r="V57" i="20" s="1"/>
  <c r="P59" i="20"/>
  <c r="P63" i="20" s="1"/>
  <c r="P27" i="20"/>
  <c r="F27" i="20"/>
  <c r="F59" i="20"/>
  <c r="F63" i="20" s="1"/>
  <c r="D27" i="20"/>
  <c r="D59" i="20"/>
  <c r="G45" i="20"/>
  <c r="G12" i="20"/>
  <c r="E62" i="19"/>
  <c r="E78" i="19" s="1"/>
  <c r="E19" i="19"/>
  <c r="O61" i="19"/>
  <c r="O18" i="19"/>
  <c r="M62" i="19"/>
  <c r="M78" i="19" s="1"/>
  <c r="M19" i="19"/>
  <c r="K61" i="19"/>
  <c r="K77" i="19" s="1"/>
  <c r="K18" i="19"/>
  <c r="K62" i="18"/>
  <c r="K19" i="18"/>
  <c r="K60" i="17"/>
  <c r="K76" i="17" s="1"/>
  <c r="K19" i="17"/>
  <c r="K59" i="17"/>
  <c r="K75" i="17" s="1"/>
  <c r="K18" i="17"/>
  <c r="K58" i="17"/>
  <c r="K74" i="17" s="1"/>
  <c r="K17" i="17"/>
  <c r="G58" i="17"/>
  <c r="G74" i="17" s="1"/>
  <c r="G17" i="17"/>
  <c r="N26" i="15"/>
  <c r="N57" i="15"/>
  <c r="F57" i="15"/>
  <c r="F61" i="15" s="1"/>
  <c r="F26" i="15"/>
  <c r="C11" i="15"/>
  <c r="C43" i="15"/>
  <c r="C47" i="15" s="1"/>
  <c r="E56" i="19"/>
  <c r="Q54" i="19"/>
  <c r="M56" i="19"/>
  <c r="S52" i="17"/>
  <c r="Q53" i="17"/>
  <c r="S50" i="17"/>
  <c r="U57" i="20"/>
  <c r="S63" i="20"/>
  <c r="O27" i="20"/>
  <c r="O59" i="20"/>
  <c r="O63" i="20" s="1"/>
  <c r="I59" i="20"/>
  <c r="I63" i="20" s="1"/>
  <c r="I27" i="20"/>
  <c r="E59" i="20"/>
  <c r="E63" i="20" s="1"/>
  <c r="E27" i="20"/>
  <c r="C59" i="20"/>
  <c r="C63" i="20" s="1"/>
  <c r="C27" i="20"/>
  <c r="N11" i="20"/>
  <c r="P11" i="20" s="1"/>
  <c r="Q11" i="20" s="1"/>
  <c r="N45" i="20"/>
  <c r="N12" i="20"/>
  <c r="J45" i="20"/>
  <c r="J49" i="20" s="1"/>
  <c r="J12" i="20"/>
  <c r="F12" i="20"/>
  <c r="F45" i="20"/>
  <c r="F49" i="20" s="1"/>
  <c r="I62" i="19"/>
  <c r="I19" i="19"/>
  <c r="F63" i="19"/>
  <c r="F20" i="19"/>
  <c r="F18" i="19"/>
  <c r="F61" i="19"/>
  <c r="P19" i="19"/>
  <c r="P62" i="19"/>
  <c r="N20" i="19"/>
  <c r="N63" i="19"/>
  <c r="N61" i="19"/>
  <c r="N77" i="19" s="1"/>
  <c r="N18" i="19"/>
  <c r="L62" i="19"/>
  <c r="L78" i="19" s="1"/>
  <c r="L19" i="19"/>
  <c r="L64" i="18"/>
  <c r="L21" i="18"/>
  <c r="K63" i="18"/>
  <c r="K20" i="18"/>
  <c r="J62" i="18"/>
  <c r="J19" i="18"/>
  <c r="N60" i="17"/>
  <c r="N76" i="17" s="1"/>
  <c r="N19" i="17"/>
  <c r="J60" i="17"/>
  <c r="J76" i="17" s="1"/>
  <c r="J19" i="17"/>
  <c r="N59" i="17"/>
  <c r="N75" i="17" s="1"/>
  <c r="N18" i="17"/>
  <c r="J59" i="17"/>
  <c r="J75" i="17" s="1"/>
  <c r="J18" i="17"/>
  <c r="F59" i="17"/>
  <c r="F75" i="17" s="1"/>
  <c r="F18" i="17"/>
  <c r="J58" i="17"/>
  <c r="J74" i="17" s="1"/>
  <c r="J17" i="17"/>
  <c r="F58" i="17"/>
  <c r="F74" i="17" s="1"/>
  <c r="F17" i="17"/>
  <c r="M57" i="15"/>
  <c r="M26" i="15"/>
  <c r="I57" i="15"/>
  <c r="I61" i="15" s="1"/>
  <c r="I26" i="15"/>
  <c r="E57" i="15"/>
  <c r="E61" i="15" s="1"/>
  <c r="E26" i="15"/>
  <c r="G53" i="14"/>
  <c r="V46" i="21"/>
  <c r="V52" i="21" s="1"/>
  <c r="G66" i="21"/>
  <c r="I66" i="21" s="1"/>
  <c r="I60" i="21"/>
  <c r="Q59" i="20"/>
  <c r="Q63" i="20" s="1"/>
  <c r="Q27" i="20"/>
  <c r="H45" i="20"/>
  <c r="H49" i="20" s="1"/>
  <c r="H12" i="20"/>
  <c r="I63" i="19"/>
  <c r="I20" i="19"/>
  <c r="F19" i="19"/>
  <c r="F62" i="19"/>
  <c r="P63" i="19"/>
  <c r="P20" i="19"/>
  <c r="N19" i="19"/>
  <c r="N62" i="19"/>
  <c r="N78" i="19" s="1"/>
  <c r="L61" i="19"/>
  <c r="L77" i="19" s="1"/>
  <c r="L18" i="19"/>
  <c r="L62" i="18"/>
  <c r="L78" i="18" s="1"/>
  <c r="L19" i="18"/>
  <c r="L60" i="17"/>
  <c r="L76" i="17" s="1"/>
  <c r="L19" i="17"/>
  <c r="H18" i="17"/>
  <c r="H59" i="17"/>
  <c r="H75" i="17" s="1"/>
  <c r="H58" i="17"/>
  <c r="H74" i="17" s="1"/>
  <c r="H17" i="17"/>
  <c r="K57" i="15"/>
  <c r="K61" i="15" s="1"/>
  <c r="K26" i="15"/>
  <c r="D43" i="15"/>
  <c r="D47" i="15" s="1"/>
  <c r="D11" i="15"/>
  <c r="P43" i="20"/>
  <c r="T63" i="20"/>
  <c r="J27" i="20"/>
  <c r="J59" i="20"/>
  <c r="J63" i="20" s="1"/>
  <c r="K12" i="20"/>
  <c r="K45" i="20"/>
  <c r="H63" i="19"/>
  <c r="H20" i="19"/>
  <c r="H61" i="19"/>
  <c r="H77" i="19" s="1"/>
  <c r="H18" i="19"/>
  <c r="O63" i="19"/>
  <c r="O20" i="19"/>
  <c r="K63" i="19"/>
  <c r="K20" i="19"/>
  <c r="L63" i="18"/>
  <c r="L20" i="18"/>
  <c r="O60" i="17"/>
  <c r="O76" i="17" s="1"/>
  <c r="O19" i="17"/>
  <c r="O59" i="17"/>
  <c r="O75" i="17" s="1"/>
  <c r="O18" i="17"/>
  <c r="G59" i="17"/>
  <c r="G75" i="17" s="1"/>
  <c r="G18" i="17"/>
  <c r="J57" i="15"/>
  <c r="J61" i="15" s="1"/>
  <c r="J26" i="15"/>
  <c r="I56" i="19"/>
  <c r="J55" i="19"/>
  <c r="J53" i="19"/>
  <c r="G54" i="19"/>
  <c r="R55" i="19"/>
  <c r="P56" i="19"/>
  <c r="R53" i="19"/>
  <c r="L56" i="19"/>
  <c r="P53" i="17"/>
  <c r="R52" i="17"/>
  <c r="R50" i="17"/>
  <c r="K48" i="13"/>
  <c r="R27" i="20"/>
  <c r="R32" i="20" s="1"/>
  <c r="R59" i="20"/>
  <c r="R63" i="20" s="1"/>
  <c r="N27" i="20"/>
  <c r="N59" i="20"/>
  <c r="N63" i="20" s="1"/>
  <c r="L27" i="20"/>
  <c r="L59" i="20"/>
  <c r="L63" i="20" s="1"/>
  <c r="H59" i="20"/>
  <c r="H63" i="20" s="1"/>
  <c r="H27" i="20"/>
  <c r="K49" i="14"/>
  <c r="M12" i="20"/>
  <c r="M45" i="20"/>
  <c r="I12" i="20"/>
  <c r="I45" i="20"/>
  <c r="E12" i="20"/>
  <c r="E45" i="20"/>
  <c r="H62" i="19"/>
  <c r="H78" i="19" s="1"/>
  <c r="H19" i="19"/>
  <c r="E63" i="19"/>
  <c r="E20" i="19"/>
  <c r="E61" i="19"/>
  <c r="E77" i="19" s="1"/>
  <c r="E18" i="19"/>
  <c r="O62" i="19"/>
  <c r="O19" i="19"/>
  <c r="M63" i="19"/>
  <c r="M20" i="19"/>
  <c r="M61" i="19"/>
  <c r="M77" i="19" s="1"/>
  <c r="M18" i="19"/>
  <c r="K62" i="19"/>
  <c r="K78" i="19" s="1"/>
  <c r="K19" i="19"/>
  <c r="K64" i="18"/>
  <c r="K80" i="18" s="1"/>
  <c r="K21" i="18"/>
  <c r="J63" i="18"/>
  <c r="J20" i="18"/>
  <c r="Q60" i="17"/>
  <c r="Q76" i="17" s="1"/>
  <c r="Q19" i="17"/>
  <c r="M60" i="17"/>
  <c r="M76" i="17" s="1"/>
  <c r="M19" i="17"/>
  <c r="I60" i="17"/>
  <c r="I76" i="17" s="1"/>
  <c r="I19" i="17"/>
  <c r="M59" i="17"/>
  <c r="M75" i="17" s="1"/>
  <c r="M18" i="17"/>
  <c r="I59" i="17"/>
  <c r="I75" i="17" s="1"/>
  <c r="I18" i="17"/>
  <c r="M58" i="17"/>
  <c r="M74" i="17" s="1"/>
  <c r="M17" i="17"/>
  <c r="I58" i="17"/>
  <c r="I74" i="17" s="1"/>
  <c r="I17" i="17"/>
  <c r="E58" i="17"/>
  <c r="E74" i="17" s="1"/>
  <c r="E17" i="17"/>
  <c r="L26" i="15"/>
  <c r="L57" i="15"/>
  <c r="L61" i="15" s="1"/>
  <c r="H26" i="15"/>
  <c r="H57" i="15"/>
  <c r="H61" i="15" s="1"/>
  <c r="G51" i="14"/>
  <c r="G49" i="14"/>
  <c r="G47" i="14"/>
  <c r="G50" i="14"/>
  <c r="E47" i="13"/>
  <c r="F43" i="13"/>
  <c r="Y110" i="21"/>
  <c r="Y116" i="21" s="1"/>
  <c r="G124" i="21"/>
  <c r="H119" i="20"/>
  <c r="H125" i="20" s="1"/>
  <c r="F120" i="13"/>
  <c r="G120" i="13" s="1"/>
  <c r="F118" i="13"/>
  <c r="F116" i="13"/>
  <c r="H131" i="19"/>
  <c r="E130" i="19"/>
  <c r="E154" i="19" s="1"/>
  <c r="O131" i="19"/>
  <c r="O129" i="19"/>
  <c r="K129" i="19"/>
  <c r="K153" i="19" s="1"/>
  <c r="N116" i="15"/>
  <c r="M109" i="13"/>
  <c r="O102" i="15"/>
  <c r="O108" i="15" s="1"/>
  <c r="C102" i="15"/>
  <c r="C34" i="21"/>
  <c r="BD79" i="12"/>
  <c r="BD91" i="12" s="1"/>
  <c r="BB79" i="12"/>
  <c r="BB91" i="12" s="1"/>
  <c r="AX79" i="12"/>
  <c r="AX91" i="12" s="1"/>
  <c r="AT79" i="12"/>
  <c r="AT91" i="12" s="1"/>
  <c r="AP79" i="12"/>
  <c r="AP91" i="12" s="1"/>
  <c r="AL79" i="12"/>
  <c r="AL91" i="12" s="1"/>
  <c r="AH79" i="12"/>
  <c r="AH91" i="12" s="1"/>
  <c r="AD79" i="12"/>
  <c r="AD91" i="12" s="1"/>
  <c r="X79" i="12"/>
  <c r="X91" i="12" s="1"/>
  <c r="T79" i="12"/>
  <c r="T91" i="12" s="1"/>
  <c r="P79" i="12"/>
  <c r="P91" i="12" s="1"/>
  <c r="L79" i="12"/>
  <c r="L91" i="12" s="1"/>
  <c r="H79" i="12"/>
  <c r="D79" i="12"/>
  <c r="D91" i="12" s="1"/>
  <c r="F52" i="13"/>
  <c r="F48" i="13"/>
  <c r="AU13" i="12"/>
  <c r="B42" i="13"/>
  <c r="U110" i="21"/>
  <c r="U116" i="21" s="1"/>
  <c r="K110" i="21"/>
  <c r="K116" i="21" s="1"/>
  <c r="T119" i="20"/>
  <c r="J119" i="20"/>
  <c r="J125" i="20" s="1"/>
  <c r="F119" i="20"/>
  <c r="F125" i="20" s="1"/>
  <c r="K13" i="14"/>
  <c r="K115" i="13"/>
  <c r="F119" i="13"/>
  <c r="F115" i="13"/>
  <c r="H130" i="19"/>
  <c r="H154" i="19" s="1"/>
  <c r="K130" i="19"/>
  <c r="K154" i="19" s="1"/>
  <c r="Q126" i="17"/>
  <c r="S102" i="15"/>
  <c r="L42" i="13"/>
  <c r="BD34" i="12"/>
  <c r="BC79" i="12"/>
  <c r="BC91" i="12" s="1"/>
  <c r="BA79" i="12"/>
  <c r="BA91" i="12" s="1"/>
  <c r="AY79" i="12"/>
  <c r="AY91" i="12" s="1"/>
  <c r="AW79" i="12"/>
  <c r="AW91" i="12" s="1"/>
  <c r="AU79" i="12"/>
  <c r="AU91" i="12" s="1"/>
  <c r="AS79" i="12"/>
  <c r="AS91" i="12" s="1"/>
  <c r="AQ79" i="12"/>
  <c r="AQ91" i="12" s="1"/>
  <c r="AO79" i="12"/>
  <c r="AO91" i="12" s="1"/>
  <c r="AM79" i="12"/>
  <c r="AM91" i="12" s="1"/>
  <c r="AK79" i="12"/>
  <c r="AK91" i="12" s="1"/>
  <c r="AI79" i="12"/>
  <c r="AI91" i="12" s="1"/>
  <c r="AG79" i="12"/>
  <c r="AG91" i="12" s="1"/>
  <c r="AE79" i="12"/>
  <c r="AE91" i="12" s="1"/>
  <c r="AC79" i="12"/>
  <c r="AC91" i="12" s="1"/>
  <c r="AA79" i="12"/>
  <c r="AA91" i="12" s="1"/>
  <c r="Y79" i="12"/>
  <c r="Y91" i="12" s="1"/>
  <c r="W79" i="12"/>
  <c r="W91" i="12" s="1"/>
  <c r="U79" i="12"/>
  <c r="U91" i="12" s="1"/>
  <c r="S79" i="12"/>
  <c r="S91" i="12" s="1"/>
  <c r="Q79" i="12"/>
  <c r="Q91" i="12" s="1"/>
  <c r="O79" i="12"/>
  <c r="O91" i="12" s="1"/>
  <c r="M79" i="12"/>
  <c r="M91" i="12" s="1"/>
  <c r="I79" i="12"/>
  <c r="I91" i="12" s="1"/>
  <c r="G79" i="12"/>
  <c r="G91" i="12" s="1"/>
  <c r="E79" i="12"/>
  <c r="E91" i="12" s="1"/>
  <c r="E114" i="13"/>
  <c r="F53" i="13"/>
  <c r="G53" i="13" s="1"/>
  <c r="F51" i="13"/>
  <c r="F49" i="13"/>
  <c r="AT13" i="12"/>
  <c r="L13" i="12"/>
  <c r="H13" i="12"/>
  <c r="E109" i="13"/>
  <c r="B109" i="13"/>
  <c r="C42" i="13"/>
  <c r="F110" i="21"/>
  <c r="F116" i="21" s="1"/>
  <c r="D110" i="21"/>
  <c r="D116" i="21" s="1"/>
  <c r="L119" i="20"/>
  <c r="L125" i="20" s="1"/>
  <c r="F114" i="13"/>
  <c r="K105" i="20"/>
  <c r="K111" i="20" s="1"/>
  <c r="M130" i="19"/>
  <c r="M154" i="19" s="1"/>
  <c r="N42" i="13"/>
  <c r="AZ79" i="12"/>
  <c r="AZ91" i="12" s="1"/>
  <c r="AV79" i="12"/>
  <c r="AV91" i="12" s="1"/>
  <c r="AR79" i="12"/>
  <c r="AR91" i="12" s="1"/>
  <c r="AN79" i="12"/>
  <c r="AN91" i="12" s="1"/>
  <c r="AJ79" i="12"/>
  <c r="AJ91" i="12" s="1"/>
  <c r="AF79" i="12"/>
  <c r="AF91" i="12" s="1"/>
  <c r="AB79" i="12"/>
  <c r="AB91" i="12" s="1"/>
  <c r="Z79" i="12"/>
  <c r="Z91" i="12" s="1"/>
  <c r="V79" i="12"/>
  <c r="V91" i="12" s="1"/>
  <c r="R79" i="12"/>
  <c r="R91" i="12" s="1"/>
  <c r="N79" i="12"/>
  <c r="N91" i="12" s="1"/>
  <c r="F79" i="12"/>
  <c r="F91" i="12" s="1"/>
  <c r="F54" i="13"/>
  <c r="F50" i="13"/>
  <c r="AS13" i="12"/>
  <c r="AQ13" i="12"/>
  <c r="C109" i="13"/>
  <c r="V110" i="21"/>
  <c r="V116" i="21" s="1"/>
  <c r="S110" i="21"/>
  <c r="N110" i="21"/>
  <c r="N116" i="21" s="1"/>
  <c r="E124" i="21"/>
  <c r="E130" i="21" s="1"/>
  <c r="I130" i="21" s="1"/>
  <c r="Q119" i="20"/>
  <c r="Q125" i="20" s="1"/>
  <c r="K119" i="20"/>
  <c r="K125" i="20" s="1"/>
  <c r="G119" i="20"/>
  <c r="G125" i="20" s="1"/>
  <c r="K116" i="13"/>
  <c r="E118" i="13"/>
  <c r="E116" i="13"/>
  <c r="N105" i="20"/>
  <c r="F131" i="19"/>
  <c r="F129" i="19"/>
  <c r="P130" i="19"/>
  <c r="N129" i="19"/>
  <c r="N153" i="19" s="1"/>
  <c r="L134" i="18"/>
  <c r="M116" i="15"/>
  <c r="M122" i="15" s="1"/>
  <c r="L109" i="13"/>
  <c r="R102" i="15"/>
  <c r="R108" i="15" s="1"/>
  <c r="M42" i="13"/>
  <c r="BH80" i="12"/>
  <c r="BH92" i="12" s="1"/>
  <c r="BH93" i="12" s="1"/>
  <c r="BC80" i="12"/>
  <c r="BC92" i="12" s="1"/>
  <c r="BA80" i="12"/>
  <c r="BA92" i="12" s="1"/>
  <c r="AY80" i="12"/>
  <c r="AY92" i="12" s="1"/>
  <c r="AW80" i="12"/>
  <c r="AW92" i="12" s="1"/>
  <c r="AU80" i="12"/>
  <c r="AU92" i="12" s="1"/>
  <c r="AS80" i="12"/>
  <c r="AS92" i="12" s="1"/>
  <c r="AQ80" i="12"/>
  <c r="AQ92" i="12" s="1"/>
  <c r="AO80" i="12"/>
  <c r="AO92" i="12" s="1"/>
  <c r="AM80" i="12"/>
  <c r="AM92" i="12" s="1"/>
  <c r="AK80" i="12"/>
  <c r="AK92" i="12" s="1"/>
  <c r="AI80" i="12"/>
  <c r="AI92" i="12" s="1"/>
  <c r="AG80" i="12"/>
  <c r="AG92" i="12" s="1"/>
  <c r="AE80" i="12"/>
  <c r="AE92" i="12" s="1"/>
  <c r="AC80" i="12"/>
  <c r="AC92" i="12" s="1"/>
  <c r="AA80" i="12"/>
  <c r="AA92" i="12" s="1"/>
  <c r="Y80" i="12"/>
  <c r="Y92" i="12" s="1"/>
  <c r="W80" i="12"/>
  <c r="W92" i="12" s="1"/>
  <c r="U80" i="12"/>
  <c r="U92" i="12" s="1"/>
  <c r="S80" i="12"/>
  <c r="S92" i="12" s="1"/>
  <c r="Q80" i="12"/>
  <c r="Q92" i="12" s="1"/>
  <c r="O80" i="12"/>
  <c r="O92" i="12" s="1"/>
  <c r="M80" i="12"/>
  <c r="M92" i="12" s="1"/>
  <c r="K80" i="12"/>
  <c r="K92" i="12" s="1"/>
  <c r="I80" i="12"/>
  <c r="I92" i="12" s="1"/>
  <c r="G80" i="12"/>
  <c r="G92" i="12" s="1"/>
  <c r="C80" i="12"/>
  <c r="C92" i="12" s="1"/>
  <c r="E52" i="13"/>
  <c r="E50" i="13"/>
  <c r="E48" i="13"/>
  <c r="F110" i="13"/>
  <c r="Q110" i="21"/>
  <c r="Q116" i="21" s="1"/>
  <c r="C110" i="21"/>
  <c r="C116" i="21" s="1"/>
  <c r="P119" i="20"/>
  <c r="P125" i="20" s="1"/>
  <c r="F121" i="13"/>
  <c r="F117" i="13"/>
  <c r="I105" i="20"/>
  <c r="I111" i="20" s="1"/>
  <c r="M129" i="19"/>
  <c r="M153" i="19" s="1"/>
  <c r="K109" i="13"/>
  <c r="Q102" i="15"/>
  <c r="Q108" i="15" s="1"/>
  <c r="P110" i="21"/>
  <c r="P116" i="21" s="1"/>
  <c r="I110" i="21"/>
  <c r="I116" i="21" s="1"/>
  <c r="B110" i="21"/>
  <c r="B116" i="21" s="1"/>
  <c r="L110" i="21"/>
  <c r="L116" i="21" s="1"/>
  <c r="S119" i="20"/>
  <c r="I119" i="20"/>
  <c r="I125" i="20" s="1"/>
  <c r="E119" i="20"/>
  <c r="E125" i="20" s="1"/>
  <c r="E121" i="13"/>
  <c r="E119" i="13"/>
  <c r="E117" i="13"/>
  <c r="E115" i="13"/>
  <c r="L124" i="17"/>
  <c r="N109" i="13"/>
  <c r="D102" i="15"/>
  <c r="D108" i="15" s="1"/>
  <c r="K49" i="13"/>
  <c r="K42" i="13"/>
  <c r="BD33" i="12"/>
  <c r="BD80" i="12"/>
  <c r="BD92" i="12" s="1"/>
  <c r="BB80" i="12"/>
  <c r="BB92" i="12" s="1"/>
  <c r="AZ80" i="12"/>
  <c r="AZ92" i="12" s="1"/>
  <c r="AX80" i="12"/>
  <c r="AX92" i="12" s="1"/>
  <c r="AV80" i="12"/>
  <c r="AV92" i="12" s="1"/>
  <c r="AT80" i="12"/>
  <c r="AT92" i="12" s="1"/>
  <c r="AR80" i="12"/>
  <c r="AR92" i="12" s="1"/>
  <c r="AP80" i="12"/>
  <c r="AP92" i="12" s="1"/>
  <c r="AN80" i="12"/>
  <c r="AN92" i="12" s="1"/>
  <c r="AL80" i="12"/>
  <c r="AL92" i="12" s="1"/>
  <c r="AJ80" i="12"/>
  <c r="AJ92" i="12" s="1"/>
  <c r="AH80" i="12"/>
  <c r="AH92" i="12" s="1"/>
  <c r="AF80" i="12"/>
  <c r="AF92" i="12" s="1"/>
  <c r="AD80" i="12"/>
  <c r="AD92" i="12" s="1"/>
  <c r="AB80" i="12"/>
  <c r="AB92" i="12" s="1"/>
  <c r="Z80" i="12"/>
  <c r="Z92" i="12" s="1"/>
  <c r="V80" i="12"/>
  <c r="V92" i="12" s="1"/>
  <c r="R80" i="12"/>
  <c r="R92" i="12" s="1"/>
  <c r="N80" i="12"/>
  <c r="N92" i="12" s="1"/>
  <c r="L80" i="12"/>
  <c r="L92" i="12" s="1"/>
  <c r="J80" i="12"/>
  <c r="J92" i="12" s="1"/>
  <c r="H80" i="12"/>
  <c r="H92" i="12" s="1"/>
  <c r="F80" i="12"/>
  <c r="F92" i="12" s="1"/>
  <c r="E51" i="13"/>
  <c r="E49" i="13"/>
  <c r="C13" i="12"/>
  <c r="J134" i="18"/>
  <c r="L133" i="18"/>
  <c r="K132" i="18"/>
  <c r="K156" i="18" s="1"/>
  <c r="K133" i="18"/>
  <c r="K157" i="18" s="1"/>
  <c r="J132" i="18"/>
  <c r="J156" i="18" s="1"/>
  <c r="M126" i="17"/>
  <c r="L126" i="17"/>
  <c r="N126" i="17"/>
  <c r="J126" i="17"/>
  <c r="N125" i="17"/>
  <c r="N149" i="17" s="1"/>
  <c r="J125" i="17"/>
  <c r="J149" i="17" s="1"/>
  <c r="M125" i="17"/>
  <c r="M149" i="17" s="1"/>
  <c r="I125" i="17"/>
  <c r="I149" i="17" s="1"/>
  <c r="J124" i="17"/>
  <c r="J148" i="17" s="1"/>
  <c r="E124" i="17"/>
  <c r="K124" i="17"/>
  <c r="K148" i="17" s="1"/>
  <c r="G124" i="17"/>
  <c r="G148" i="17" s="1"/>
  <c r="H116" i="15"/>
  <c r="H122" i="15" s="1"/>
  <c r="K116" i="15"/>
  <c r="E116" i="15"/>
  <c r="E122" i="15" s="1"/>
  <c r="AZ34" i="12"/>
  <c r="AZ33" i="12"/>
  <c r="AP34" i="12"/>
  <c r="AP33" i="12"/>
  <c r="AB34" i="12"/>
  <c r="AA34" i="12"/>
  <c r="AA33" i="12"/>
  <c r="BH34" i="12"/>
  <c r="LR25" i="5"/>
  <c r="LR26" i="5" s="1"/>
  <c r="AL13" i="12"/>
  <c r="F12" i="12"/>
  <c r="BB12" i="12"/>
  <c r="AT12" i="12"/>
  <c r="AR12" i="12"/>
  <c r="AP12" i="12"/>
  <c r="AL12" i="12"/>
  <c r="AB12" i="12"/>
  <c r="N12" i="12"/>
  <c r="H12" i="12"/>
  <c r="AB13" i="12"/>
  <c r="D12" i="12"/>
  <c r="AW13" i="12"/>
  <c r="AE13" i="12"/>
  <c r="E12" i="12"/>
  <c r="C12" i="12"/>
  <c r="AR13" i="12"/>
  <c r="AU12" i="12"/>
  <c r="AS12" i="12"/>
  <c r="AQ12" i="12"/>
  <c r="AE12" i="12"/>
  <c r="AC12" i="12"/>
  <c r="AA12" i="12"/>
  <c r="K12" i="12"/>
  <c r="G12" i="12"/>
  <c r="LQ25" i="5"/>
  <c r="LQ26" i="5" s="1"/>
  <c r="GI27" i="5"/>
  <c r="GI30" i="5" s="1"/>
  <c r="GI31" i="5" s="1"/>
  <c r="GI9" i="5"/>
  <c r="LR30" i="5"/>
  <c r="LR31" i="5" s="1"/>
  <c r="OH10" i="5"/>
  <c r="BD68" i="12"/>
  <c r="AU69" i="12"/>
  <c r="AM69" i="12"/>
  <c r="AK69" i="12"/>
  <c r="AI69" i="12"/>
  <c r="AG69" i="12"/>
  <c r="AE69" i="12"/>
  <c r="AC69" i="12"/>
  <c r="AA69" i="12"/>
  <c r="GI21" i="5"/>
  <c r="GI25" i="5" s="1"/>
  <c r="GI26" i="5" s="1"/>
  <c r="OH8" i="5"/>
  <c r="OH21" i="5"/>
  <c r="OH25" i="5" s="1"/>
  <c r="OH26" i="5" s="1"/>
  <c r="OH7" i="5"/>
  <c r="OH27" i="5"/>
  <c r="OH30" i="5" s="1"/>
  <c r="OH31" i="5" s="1"/>
  <c r="BH56" i="12"/>
  <c r="BI56" i="12" s="1"/>
  <c r="BH12" i="12"/>
  <c r="AV69" i="12"/>
  <c r="AN69" i="12"/>
  <c r="AL69" i="12"/>
  <c r="AJ69" i="12"/>
  <c r="AH69" i="12"/>
  <c r="AF69" i="12"/>
  <c r="AD69" i="12"/>
  <c r="AB69" i="12"/>
  <c r="AY12" i="12"/>
  <c r="AO12" i="12"/>
  <c r="AK12" i="12"/>
  <c r="AG12" i="12"/>
  <c r="Y12" i="12"/>
  <c r="U12" i="12"/>
  <c r="Q12" i="12"/>
  <c r="M12" i="12"/>
  <c r="I12" i="12"/>
  <c r="DZ27" i="5"/>
  <c r="DZ30" i="5" s="1"/>
  <c r="DZ31" i="5" s="1"/>
  <c r="BC12" i="12"/>
  <c r="AX37" i="12"/>
  <c r="AX45" i="12" s="1"/>
  <c r="AM12" i="12"/>
  <c r="AI12" i="12"/>
  <c r="W12" i="12"/>
  <c r="S12" i="12"/>
  <c r="O12" i="12"/>
  <c r="BH13" i="12"/>
  <c r="BC13" i="12"/>
  <c r="BA13" i="12"/>
  <c r="AY13" i="12"/>
  <c r="AO13" i="12"/>
  <c r="AM13" i="12"/>
  <c r="AK13" i="12"/>
  <c r="AI13" i="12"/>
  <c r="AG13" i="12"/>
  <c r="AC13" i="12"/>
  <c r="Y13" i="12"/>
  <c r="W13" i="12"/>
  <c r="U13" i="12"/>
  <c r="S13" i="12"/>
  <c r="Q13" i="12"/>
  <c r="O13" i="12"/>
  <c r="M13" i="12"/>
  <c r="K13" i="12"/>
  <c r="I13" i="12"/>
  <c r="G13" i="12"/>
  <c r="BA12" i="12"/>
  <c r="AW12" i="12"/>
  <c r="AH12" i="12"/>
  <c r="AD12" i="12"/>
  <c r="Z12" i="12"/>
  <c r="V12" i="12"/>
  <c r="R12" i="12"/>
  <c r="J12" i="12"/>
  <c r="OH13" i="5"/>
  <c r="OH14" i="5" s="1"/>
  <c r="OH15" i="5" s="1"/>
  <c r="AZ12" i="12"/>
  <c r="AV12" i="12"/>
  <c r="BB13" i="12"/>
  <c r="AZ13" i="12"/>
  <c r="AX13" i="12"/>
  <c r="AV13" i="12"/>
  <c r="AP13" i="12"/>
  <c r="AN13" i="12"/>
  <c r="AJ13" i="12"/>
  <c r="AH13" i="12"/>
  <c r="AF13" i="12"/>
  <c r="AD13" i="12"/>
  <c r="Z13" i="12"/>
  <c r="X13" i="12"/>
  <c r="V13" i="12"/>
  <c r="T13" i="12"/>
  <c r="R13" i="12"/>
  <c r="P13" i="12"/>
  <c r="N13" i="12"/>
  <c r="J13" i="12"/>
  <c r="F13" i="12"/>
  <c r="GI10" i="5"/>
  <c r="AZ68" i="12"/>
  <c r="AT68" i="12"/>
  <c r="AP68" i="12"/>
  <c r="AN12" i="12"/>
  <c r="AJ12" i="12"/>
  <c r="AF12" i="12"/>
  <c r="X12" i="12"/>
  <c r="T12" i="12"/>
  <c r="P12" i="12"/>
  <c r="L12" i="12"/>
  <c r="KX21" i="5"/>
  <c r="KX25" i="5" s="1"/>
  <c r="KX26" i="5" s="1"/>
  <c r="AM68" i="12"/>
  <c r="AK68" i="12"/>
  <c r="AI68" i="12"/>
  <c r="AG68" i="12"/>
  <c r="AE68" i="12"/>
  <c r="AC68" i="12"/>
  <c r="AA68" i="12"/>
  <c r="Y68" i="12"/>
  <c r="W68" i="12"/>
  <c r="U68" i="12"/>
  <c r="O68" i="12"/>
  <c r="M68" i="12"/>
  <c r="BD69" i="12"/>
  <c r="BB68" i="12"/>
  <c r="AX68" i="12"/>
  <c r="AV68" i="12"/>
  <c r="AR68" i="12"/>
  <c r="AN68" i="12"/>
  <c r="AL68" i="12"/>
  <c r="AJ68" i="12"/>
  <c r="AH68" i="12"/>
  <c r="AF68" i="12"/>
  <c r="AD68" i="12"/>
  <c r="AB68" i="12"/>
  <c r="P68" i="12"/>
  <c r="N68" i="12"/>
  <c r="AP69" i="12"/>
  <c r="S69" i="12"/>
  <c r="OH16" i="5"/>
  <c r="OH18" i="5" s="1"/>
  <c r="CJ27" i="5"/>
  <c r="CJ30" i="5" s="1"/>
  <c r="CJ31" i="5" s="1"/>
  <c r="LQ30" i="5"/>
  <c r="LQ31" i="5" s="1"/>
  <c r="BC68" i="12"/>
  <c r="BA68" i="12"/>
  <c r="AY68" i="12"/>
  <c r="AW68" i="12"/>
  <c r="AS68" i="12"/>
  <c r="AQ68" i="12"/>
  <c r="S68" i="12"/>
  <c r="Q68" i="12"/>
  <c r="M69" i="12"/>
  <c r="Z68" i="12"/>
  <c r="O69" i="12"/>
  <c r="BB69" i="12"/>
  <c r="AZ69" i="12"/>
  <c r="AX69" i="12"/>
  <c r="AT69" i="12"/>
  <c r="AR69" i="12"/>
  <c r="BH69" i="12"/>
  <c r="BC69" i="12"/>
  <c r="AO69" i="12"/>
  <c r="BA69" i="12"/>
  <c r="AY69" i="12"/>
  <c r="AS69" i="12"/>
  <c r="AQ69" i="12"/>
  <c r="Z69" i="12"/>
  <c r="N69" i="12"/>
  <c r="LS8" i="5"/>
  <c r="GI8" i="5"/>
  <c r="OH9" i="5"/>
  <c r="GI7" i="5"/>
  <c r="CK27" i="5"/>
  <c r="CK30" i="5" s="1"/>
  <c r="CK31" i="5" s="1"/>
  <c r="R68" i="12"/>
  <c r="Q69" i="12"/>
  <c r="R69" i="12"/>
  <c r="P69" i="12"/>
  <c r="Y69" i="12"/>
  <c r="U69" i="12"/>
  <c r="X68" i="12"/>
  <c r="T68" i="12"/>
  <c r="X69" i="12"/>
  <c r="V69" i="12"/>
  <c r="T69" i="12"/>
  <c r="W69" i="12"/>
  <c r="V68" i="12"/>
  <c r="AO68" i="12"/>
  <c r="AU68" i="12"/>
  <c r="AW59" i="12"/>
  <c r="BI59" i="12" s="1"/>
  <c r="BI11" i="12"/>
  <c r="KX27" i="5"/>
  <c r="KX30" i="5" s="1"/>
  <c r="KX31" i="5" s="1"/>
  <c r="BH58" i="12"/>
  <c r="BI58" i="12" s="1"/>
  <c r="BI10" i="12"/>
  <c r="NY21" i="5"/>
  <c r="NY25" i="5" s="1"/>
  <c r="NY26" i="5" s="1"/>
  <c r="NY54" i="5" s="1"/>
  <c r="KX16" i="5"/>
  <c r="KX18" i="5" s="1"/>
  <c r="KX13" i="5"/>
  <c r="GI13" i="5"/>
  <c r="GI14" i="5" s="1"/>
  <c r="GI15" i="5" s="1"/>
  <c r="LS9" i="5"/>
  <c r="LS7" i="5"/>
  <c r="L69" i="12"/>
  <c r="L68" i="12"/>
  <c r="K69" i="12"/>
  <c r="K68" i="12"/>
  <c r="J69" i="12"/>
  <c r="J68" i="12"/>
  <c r="I69" i="12"/>
  <c r="I68" i="12"/>
  <c r="H69" i="12"/>
  <c r="H68" i="12"/>
  <c r="G69" i="12"/>
  <c r="G68" i="12"/>
  <c r="F69" i="12"/>
  <c r="F68" i="12"/>
  <c r="E69" i="12"/>
  <c r="E68" i="12"/>
  <c r="D69" i="12"/>
  <c r="D68" i="12"/>
  <c r="OH6" i="5"/>
  <c r="C69" i="12"/>
  <c r="BI57" i="12"/>
  <c r="C68" i="12"/>
  <c r="AB33" i="12"/>
  <c r="M34" i="12"/>
  <c r="M33" i="12"/>
  <c r="L34" i="12"/>
  <c r="L33" i="12"/>
  <c r="K34" i="12"/>
  <c r="K33" i="12"/>
  <c r="J34" i="12"/>
  <c r="J33" i="12"/>
  <c r="I34" i="12"/>
  <c r="I33" i="12"/>
  <c r="H34" i="12"/>
  <c r="H33" i="12"/>
  <c r="G34" i="12"/>
  <c r="G33" i="12"/>
  <c r="F34" i="12"/>
  <c r="F33" i="12"/>
  <c r="E34" i="12"/>
  <c r="E46" i="12" s="1"/>
  <c r="E33" i="12"/>
  <c r="D34" i="12"/>
  <c r="D33" i="12"/>
  <c r="C34" i="12"/>
  <c r="C33" i="12"/>
  <c r="KX6" i="5"/>
  <c r="KX11" i="5" s="1"/>
  <c r="KX12" i="5" s="1"/>
  <c r="GI6" i="5"/>
  <c r="LS6" i="5"/>
  <c r="AH27" i="5"/>
  <c r="AH30" i="5" s="1"/>
  <c r="AH31" i="5" s="1"/>
  <c r="AU27" i="5"/>
  <c r="AU30" i="5" s="1"/>
  <c r="AU31" i="5" s="1"/>
  <c r="BH27" i="5"/>
  <c r="BH30" i="5" s="1"/>
  <c r="BH31" i="5" s="1"/>
  <c r="BU27" i="5"/>
  <c r="BU30" i="5" s="1"/>
  <c r="BU31" i="5" s="1"/>
  <c r="EI27" i="5"/>
  <c r="EI30" i="5" s="1"/>
  <c r="EI31" i="5" s="1"/>
  <c r="ER27" i="5"/>
  <c r="ER30" i="5" s="1"/>
  <c r="ER31" i="5" s="1"/>
  <c r="FA27" i="5"/>
  <c r="FA30" i="5" s="1"/>
  <c r="FA31" i="5" s="1"/>
  <c r="DH27" i="5"/>
  <c r="DH30" i="5" s="1"/>
  <c r="DH31" i="5" s="1"/>
  <c r="FN21" i="5"/>
  <c r="FN25" i="5" s="1"/>
  <c r="FN26" i="5" s="1"/>
  <c r="FM27" i="5"/>
  <c r="FM30" i="5" s="1"/>
  <c r="FM31" i="5" s="1"/>
  <c r="FL27" i="5"/>
  <c r="FL30" i="5" s="1"/>
  <c r="FL31" i="5" s="1"/>
  <c r="FL13" i="5"/>
  <c r="FM13" i="5"/>
  <c r="FM14" i="5" s="1"/>
  <c r="FM15" i="5" s="1"/>
  <c r="DX13" i="5"/>
  <c r="DY13" i="5"/>
  <c r="DY14" i="5" s="1"/>
  <c r="DY15" i="5" s="1"/>
  <c r="DY55" i="5" s="1"/>
  <c r="DF13" i="5"/>
  <c r="DG13" i="5"/>
  <c r="EP13" i="5"/>
  <c r="EQ13" i="5"/>
  <c r="EG13" i="5"/>
  <c r="EH13" i="5"/>
  <c r="CX13" i="5"/>
  <c r="BS13" i="5"/>
  <c r="BT13" i="5"/>
  <c r="BF13" i="5"/>
  <c r="BG13" i="5"/>
  <c r="AS13" i="5"/>
  <c r="AT13" i="5"/>
  <c r="AF14" i="5"/>
  <c r="AF15" i="5" s="1"/>
  <c r="AF55" i="5" s="1"/>
  <c r="AG14" i="5"/>
  <c r="AG15" i="5" s="1"/>
  <c r="AG55" i="5" s="1"/>
  <c r="DY21" i="5"/>
  <c r="DY25" i="5" s="1"/>
  <c r="DY26" i="5" s="1"/>
  <c r="DX21" i="5"/>
  <c r="DX25" i="5" s="1"/>
  <c r="DX26" i="5" s="1"/>
  <c r="EZ21" i="5"/>
  <c r="EZ25" i="5" s="1"/>
  <c r="EZ26" i="5" s="1"/>
  <c r="EZ54" i="5" s="1"/>
  <c r="EQ21" i="5"/>
  <c r="EQ25" i="5" s="1"/>
  <c r="EQ26" i="5" s="1"/>
  <c r="EP21" i="5"/>
  <c r="EP25" i="5" s="1"/>
  <c r="EP26" i="5" s="1"/>
  <c r="EH21" i="5"/>
  <c r="EH25" i="5" s="1"/>
  <c r="EH26" i="5" s="1"/>
  <c r="EG21" i="5"/>
  <c r="EG25" i="5" s="1"/>
  <c r="EG26" i="5" s="1"/>
  <c r="CX21" i="5"/>
  <c r="CX25" i="5" s="1"/>
  <c r="CX26" i="5" s="1"/>
  <c r="CW21" i="5"/>
  <c r="CW25" i="5" s="1"/>
  <c r="CW26" i="5" s="1"/>
  <c r="CV21" i="5"/>
  <c r="CV25" i="5" s="1"/>
  <c r="CV26" i="5" s="1"/>
  <c r="BV9" i="5"/>
  <c r="BX9" i="5"/>
  <c r="BY9" i="5"/>
  <c r="CA9" i="5"/>
  <c r="CB9" i="5"/>
  <c r="CD9" i="5"/>
  <c r="CE9" i="5"/>
  <c r="CF9" i="5"/>
  <c r="CG9" i="5"/>
  <c r="CH9" i="5"/>
  <c r="CI9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BV21" i="5"/>
  <c r="BV25" i="5" s="1"/>
  <c r="BV26" i="5" s="1"/>
  <c r="BW21" i="5"/>
  <c r="BW25" i="5" s="1"/>
  <c r="BW26" i="5" s="1"/>
  <c r="BX21" i="5"/>
  <c r="BX25" i="5" s="1"/>
  <c r="BX26" i="5" s="1"/>
  <c r="BY21" i="5"/>
  <c r="BY25" i="5" s="1"/>
  <c r="BY26" i="5" s="1"/>
  <c r="BZ21" i="5"/>
  <c r="BZ25" i="5" s="1"/>
  <c r="BZ26" i="5" s="1"/>
  <c r="CA21" i="5"/>
  <c r="CA25" i="5" s="1"/>
  <c r="CA26" i="5" s="1"/>
  <c r="CB21" i="5"/>
  <c r="CB25" i="5" s="1"/>
  <c r="CB26" i="5" s="1"/>
  <c r="CC21" i="5"/>
  <c r="CC25" i="5" s="1"/>
  <c r="CC26" i="5" s="1"/>
  <c r="CD21" i="5"/>
  <c r="CD25" i="5" s="1"/>
  <c r="CD26" i="5" s="1"/>
  <c r="CE21" i="5"/>
  <c r="CE25" i="5" s="1"/>
  <c r="CE26" i="5" s="1"/>
  <c r="CF21" i="5"/>
  <c r="CF25" i="5" s="1"/>
  <c r="CF26" i="5" s="1"/>
  <c r="CG21" i="5"/>
  <c r="CG25" i="5" s="1"/>
  <c r="CG26" i="5" s="1"/>
  <c r="CH21" i="5"/>
  <c r="CH25" i="5" s="1"/>
  <c r="CH26" i="5" s="1"/>
  <c r="CI21" i="5"/>
  <c r="CI25" i="5" s="1"/>
  <c r="CI26" i="5" s="1"/>
  <c r="BT21" i="5"/>
  <c r="BT25" i="5" s="1"/>
  <c r="BT26" i="5" s="1"/>
  <c r="BS21" i="5"/>
  <c r="BS25" i="5" s="1"/>
  <c r="BS26" i="5" s="1"/>
  <c r="BG21" i="5"/>
  <c r="BG25" i="5" s="1"/>
  <c r="BG26" i="5" s="1"/>
  <c r="BF21" i="5"/>
  <c r="BF25" i="5" s="1"/>
  <c r="BF26" i="5" s="1"/>
  <c r="AG21" i="5"/>
  <c r="AG25" i="5" s="1"/>
  <c r="AG26" i="5" s="1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FM10" i="5"/>
  <c r="FL10" i="5"/>
  <c r="DY10" i="5"/>
  <c r="DX10" i="5"/>
  <c r="DG10" i="5"/>
  <c r="DF10" i="5"/>
  <c r="EQ10" i="5"/>
  <c r="EP10" i="5"/>
  <c r="EH10" i="5"/>
  <c r="EG10" i="5"/>
  <c r="CX10" i="5"/>
  <c r="CW10" i="5"/>
  <c r="CV10" i="5"/>
  <c r="BT10" i="5"/>
  <c r="BS10" i="5"/>
  <c r="BG10" i="5"/>
  <c r="BF10" i="5"/>
  <c r="AT10" i="5"/>
  <c r="AS10" i="5"/>
  <c r="AG10" i="5"/>
  <c r="FM9" i="5"/>
  <c r="FL9" i="5"/>
  <c r="DY9" i="5"/>
  <c r="DX9" i="5"/>
  <c r="DG9" i="5"/>
  <c r="DF9" i="5"/>
  <c r="EQ9" i="5"/>
  <c r="EP9" i="5"/>
  <c r="EH9" i="5"/>
  <c r="EG9" i="5"/>
  <c r="CX9" i="5"/>
  <c r="CW9" i="5"/>
  <c r="CV9" i="5"/>
  <c r="BT9" i="5"/>
  <c r="BS9" i="5"/>
  <c r="BG9" i="5"/>
  <c r="BF9" i="5"/>
  <c r="AG9" i="5"/>
  <c r="FM8" i="5"/>
  <c r="FL8" i="5"/>
  <c r="DY8" i="5"/>
  <c r="DX8" i="5"/>
  <c r="DG8" i="5"/>
  <c r="DF8" i="5"/>
  <c r="EQ8" i="5"/>
  <c r="EP8" i="5"/>
  <c r="EH8" i="5"/>
  <c r="EG8" i="5"/>
  <c r="CX8" i="5"/>
  <c r="CW8" i="5"/>
  <c r="CV8" i="5"/>
  <c r="BT8" i="5"/>
  <c r="BS8" i="5"/>
  <c r="BG8" i="5"/>
  <c r="BF8" i="5"/>
  <c r="AT8" i="5"/>
  <c r="AS8" i="5"/>
  <c r="AG8" i="5"/>
  <c r="AH8" i="5" s="1"/>
  <c r="FM7" i="5"/>
  <c r="FL7" i="5"/>
  <c r="DY7" i="5"/>
  <c r="DX7" i="5"/>
  <c r="DG7" i="5"/>
  <c r="DF7" i="5"/>
  <c r="EQ7" i="5"/>
  <c r="EP7" i="5"/>
  <c r="EH7" i="5"/>
  <c r="EG7" i="5"/>
  <c r="CX7" i="5"/>
  <c r="CW7" i="5"/>
  <c r="CV7" i="5"/>
  <c r="BT7" i="5"/>
  <c r="BS7" i="5"/>
  <c r="BG7" i="5"/>
  <c r="BF7" i="5"/>
  <c r="AT7" i="5"/>
  <c r="AS7" i="5"/>
  <c r="AG7" i="5"/>
  <c r="AH7" i="5" s="1"/>
  <c r="DY6" i="5"/>
  <c r="DX6" i="5"/>
  <c r="DG6" i="5"/>
  <c r="DF6" i="5"/>
  <c r="EZ6" i="5"/>
  <c r="EY6" i="5"/>
  <c r="EQ6" i="5"/>
  <c r="EP6" i="5"/>
  <c r="EH6" i="5"/>
  <c r="EG6" i="5"/>
  <c r="CX6" i="5"/>
  <c r="CW6" i="5"/>
  <c r="CV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T6" i="5"/>
  <c r="BS6" i="5"/>
  <c r="BG6" i="5"/>
  <c r="BF6" i="5"/>
  <c r="AT6" i="5"/>
  <c r="AS6" i="5"/>
  <c r="AG6" i="5"/>
  <c r="F26" i="5"/>
  <c r="F18" i="5"/>
  <c r="F14" i="5"/>
  <c r="F15" i="5" s="1"/>
  <c r="F11" i="5"/>
  <c r="F12" i="5" s="1"/>
  <c r="G56" i="14" l="1"/>
  <c r="AA46" i="12"/>
  <c r="LQ55" i="5"/>
  <c r="KV52" i="5"/>
  <c r="BD46" i="12"/>
  <c r="D46" i="12"/>
  <c r="AD37" i="12"/>
  <c r="AD45" i="12" s="1"/>
  <c r="G38" i="12"/>
  <c r="W38" i="12"/>
  <c r="W46" i="12" s="1"/>
  <c r="AY38" i="12"/>
  <c r="AY46" i="12" s="1"/>
  <c r="AM37" i="12"/>
  <c r="AM45" i="12" s="1"/>
  <c r="I37" i="12"/>
  <c r="AY37" i="12"/>
  <c r="AY45" i="12" s="1"/>
  <c r="AS37" i="12"/>
  <c r="AS45" i="12" s="1"/>
  <c r="AS47" i="12" s="1"/>
  <c r="AB38" i="12"/>
  <c r="AB46" i="12" s="1"/>
  <c r="BB37" i="12"/>
  <c r="BB45" i="12" s="1"/>
  <c r="C38" i="12"/>
  <c r="C46" i="12" s="1"/>
  <c r="AT38" i="12"/>
  <c r="AT46" i="12" s="1"/>
  <c r="X37" i="12"/>
  <c r="X45" i="12" s="1"/>
  <c r="P38" i="12"/>
  <c r="P46" i="12" s="1"/>
  <c r="X38" i="12"/>
  <c r="X46" i="12" s="1"/>
  <c r="X47" i="12" s="1"/>
  <c r="AH38" i="12"/>
  <c r="AH46" i="12" s="1"/>
  <c r="AV38" i="12"/>
  <c r="AV46" i="12" s="1"/>
  <c r="AV37" i="12"/>
  <c r="AV45" i="12" s="1"/>
  <c r="R37" i="12"/>
  <c r="R45" i="12" s="1"/>
  <c r="AH37" i="12"/>
  <c r="AH45" i="12" s="1"/>
  <c r="I38" i="12"/>
  <c r="Q38" i="12"/>
  <c r="Q46" i="12" s="1"/>
  <c r="Y38" i="12"/>
  <c r="Y46" i="12" s="1"/>
  <c r="AK38" i="12"/>
  <c r="AK46" i="12" s="1"/>
  <c r="BA38" i="12"/>
  <c r="BA46" i="12" s="1"/>
  <c r="S37" i="12"/>
  <c r="S45" i="12" s="1"/>
  <c r="M37" i="12"/>
  <c r="AG37" i="12"/>
  <c r="AG45" i="12" s="1"/>
  <c r="BH37" i="12"/>
  <c r="BH45" i="12" s="1"/>
  <c r="AC37" i="12"/>
  <c r="AC45" i="12" s="1"/>
  <c r="AU37" i="12"/>
  <c r="AU45" i="12" s="1"/>
  <c r="AE38" i="12"/>
  <c r="AE46" i="12" s="1"/>
  <c r="H37" i="12"/>
  <c r="H45" i="12" s="1"/>
  <c r="AP37" i="12"/>
  <c r="AP45" i="12" s="1"/>
  <c r="F37" i="12"/>
  <c r="F45" i="12" s="1"/>
  <c r="AS38" i="12"/>
  <c r="AS46" i="12" s="1"/>
  <c r="Q129" i="19"/>
  <c r="Q153" i="19" s="1"/>
  <c r="O153" i="19"/>
  <c r="T37" i="12"/>
  <c r="T45" i="12" s="1"/>
  <c r="AN37" i="12"/>
  <c r="AN45" i="12" s="1"/>
  <c r="N38" i="12"/>
  <c r="N46" i="12" s="1"/>
  <c r="AF38" i="12"/>
  <c r="AF46" i="12" s="1"/>
  <c r="AP38" i="12"/>
  <c r="AP46" i="12" s="1"/>
  <c r="J37" i="12"/>
  <c r="O38" i="12"/>
  <c r="O46" i="12" s="1"/>
  <c r="AI38" i="12"/>
  <c r="AI46" i="12" s="1"/>
  <c r="O37" i="12"/>
  <c r="O45" i="12" s="1"/>
  <c r="Y37" i="12"/>
  <c r="Y45" i="12" s="1"/>
  <c r="AA37" i="12"/>
  <c r="AA45" i="12" s="1"/>
  <c r="E37" i="12"/>
  <c r="E45" i="12" s="1"/>
  <c r="E47" i="12" s="1"/>
  <c r="AL37" i="12"/>
  <c r="AL45" i="12" s="1"/>
  <c r="AQ38" i="12"/>
  <c r="AQ46" i="12" s="1"/>
  <c r="L37" i="12"/>
  <c r="L45" i="12" s="1"/>
  <c r="AF37" i="12"/>
  <c r="AF45" i="12" s="1"/>
  <c r="F38" i="12"/>
  <c r="F46" i="12" s="1"/>
  <c r="R38" i="12"/>
  <c r="R46" i="12" s="1"/>
  <c r="Z38" i="12"/>
  <c r="Z46" i="12" s="1"/>
  <c r="AJ38" i="12"/>
  <c r="AJ46" i="12" s="1"/>
  <c r="AX38" i="12"/>
  <c r="AX46" i="12" s="1"/>
  <c r="AX47" i="12" s="1"/>
  <c r="AZ37" i="12"/>
  <c r="AZ45" i="12" s="1"/>
  <c r="V37" i="12"/>
  <c r="V45" i="12" s="1"/>
  <c r="AW37" i="12"/>
  <c r="AW45" i="12" s="1"/>
  <c r="K38" i="12"/>
  <c r="K46" i="12" s="1"/>
  <c r="S38" i="12"/>
  <c r="S46" i="12" s="1"/>
  <c r="AC38" i="12"/>
  <c r="AC46" i="12" s="1"/>
  <c r="AM38" i="12"/>
  <c r="AM46" i="12" s="1"/>
  <c r="BC38" i="12"/>
  <c r="BC46" i="12" s="1"/>
  <c r="W37" i="12"/>
  <c r="W45" i="12" s="1"/>
  <c r="BC37" i="12"/>
  <c r="BC45" i="12" s="1"/>
  <c r="Q37" i="12"/>
  <c r="Q45" i="12" s="1"/>
  <c r="Q47" i="12" s="1"/>
  <c r="AK37" i="12"/>
  <c r="AK45" i="12" s="1"/>
  <c r="G37" i="12"/>
  <c r="AE37" i="12"/>
  <c r="AE45" i="12" s="1"/>
  <c r="AR38" i="12"/>
  <c r="AR46" i="12" s="1"/>
  <c r="AW38" i="12"/>
  <c r="AW46" i="12" s="1"/>
  <c r="N37" i="12"/>
  <c r="N45" i="12" s="1"/>
  <c r="AR37" i="12"/>
  <c r="AR45" i="12" s="1"/>
  <c r="AL38" i="12"/>
  <c r="AL46" i="12" s="1"/>
  <c r="BD45" i="12"/>
  <c r="F153" i="19"/>
  <c r="H38" i="12"/>
  <c r="H46" i="12" s="1"/>
  <c r="AU38" i="12"/>
  <c r="AU46" i="12" s="1"/>
  <c r="V38" i="12"/>
  <c r="V46" i="12" s="1"/>
  <c r="KX19" i="5"/>
  <c r="OH19" i="5"/>
  <c r="P37" i="12"/>
  <c r="P45" i="12" s="1"/>
  <c r="AJ37" i="12"/>
  <c r="AJ45" i="12" s="1"/>
  <c r="J38" i="12"/>
  <c r="T38" i="12"/>
  <c r="T46" i="12" s="1"/>
  <c r="AD38" i="12"/>
  <c r="AD46" i="12" s="1"/>
  <c r="AN38" i="12"/>
  <c r="AN46" i="12" s="1"/>
  <c r="AZ38" i="12"/>
  <c r="AZ46" i="12" s="1"/>
  <c r="Z37" i="12"/>
  <c r="Z45" i="12" s="1"/>
  <c r="BA37" i="12"/>
  <c r="BA45" i="12" s="1"/>
  <c r="M38" i="12"/>
  <c r="M46" i="12" s="1"/>
  <c r="U38" i="12"/>
  <c r="U46" i="12" s="1"/>
  <c r="AG38" i="12"/>
  <c r="AG46" i="12" s="1"/>
  <c r="AO38" i="12"/>
  <c r="AO46" i="12" s="1"/>
  <c r="BH38" i="12"/>
  <c r="BH46" i="12" s="1"/>
  <c r="BH47" i="12" s="1"/>
  <c r="AI37" i="12"/>
  <c r="AI45" i="12" s="1"/>
  <c r="AI47" i="12" s="1"/>
  <c r="U37" i="12"/>
  <c r="U45" i="12" s="1"/>
  <c r="AO37" i="12"/>
  <c r="AO45" i="12" s="1"/>
  <c r="K37" i="12"/>
  <c r="K45" i="12" s="1"/>
  <c r="AQ37" i="12"/>
  <c r="C37" i="12"/>
  <c r="D37" i="12"/>
  <c r="AB37" i="12"/>
  <c r="AB45" i="12" s="1"/>
  <c r="AT37" i="12"/>
  <c r="AT45" i="12" s="1"/>
  <c r="L38" i="12"/>
  <c r="L46" i="12" s="1"/>
  <c r="L80" i="18"/>
  <c r="LQ54" i="5"/>
  <c r="FM55" i="5"/>
  <c r="GI55" i="5"/>
  <c r="LR55" i="5"/>
  <c r="KX54" i="5"/>
  <c r="OH55" i="5"/>
  <c r="B72" i="15"/>
  <c r="E72" i="15" s="1"/>
  <c r="KX14" i="5"/>
  <c r="KX15" i="5" s="1"/>
  <c r="KX55" i="5" s="1"/>
  <c r="F56" i="13"/>
  <c r="F57" i="13" s="1"/>
  <c r="E56" i="13"/>
  <c r="G73" i="15"/>
  <c r="G10" i="15"/>
  <c r="OF20" i="5"/>
  <c r="OF52" i="5" s="1"/>
  <c r="OG20" i="5"/>
  <c r="OG52" i="5" s="1"/>
  <c r="B41" i="15"/>
  <c r="E41" i="15" s="1"/>
  <c r="F73" i="15"/>
  <c r="F10" i="15"/>
  <c r="J79" i="18"/>
  <c r="K79" i="18"/>
  <c r="K78" i="18"/>
  <c r="J80" i="18"/>
  <c r="J78" i="18"/>
  <c r="D20" i="17"/>
  <c r="R74" i="17"/>
  <c r="R75" i="17"/>
  <c r="M56" i="18"/>
  <c r="M54" i="18"/>
  <c r="L79" i="18"/>
  <c r="LS10" i="5"/>
  <c r="LS11" i="5" s="1"/>
  <c r="LS12" i="5" s="1"/>
  <c r="LQ52" i="5"/>
  <c r="B73" i="15"/>
  <c r="BS11" i="5"/>
  <c r="BS12" i="5" s="1"/>
  <c r="BS54" i="5" s="1"/>
  <c r="FM11" i="5"/>
  <c r="FM12" i="5" s="1"/>
  <c r="FM54" i="5" s="1"/>
  <c r="AT11" i="5"/>
  <c r="AT12" i="5" s="1"/>
  <c r="AT54" i="5" s="1"/>
  <c r="EG11" i="5"/>
  <c r="EG12" i="5" s="1"/>
  <c r="EG54" i="5" s="1"/>
  <c r="DX11" i="5"/>
  <c r="DX12" i="5" s="1"/>
  <c r="DX54" i="5" s="1"/>
  <c r="CD14" i="5"/>
  <c r="CD15" i="5" s="1"/>
  <c r="CD55" i="5" s="1"/>
  <c r="BV14" i="5"/>
  <c r="BV15" i="5" s="1"/>
  <c r="BV55" i="5" s="1"/>
  <c r="CB11" i="5"/>
  <c r="CB12" i="5" s="1"/>
  <c r="CB54" i="5" s="1"/>
  <c r="AS14" i="5"/>
  <c r="AS15" i="5" s="1"/>
  <c r="AS55" i="5" s="1"/>
  <c r="EQ14" i="5"/>
  <c r="EQ15" i="5" s="1"/>
  <c r="EQ55" i="5" s="1"/>
  <c r="GI11" i="5"/>
  <c r="GI12" i="5" s="1"/>
  <c r="GI54" i="5" s="1"/>
  <c r="LR54" i="5"/>
  <c r="BF11" i="5"/>
  <c r="BF12" i="5" s="1"/>
  <c r="BF54" i="5" s="1"/>
  <c r="EH11" i="5"/>
  <c r="EH12" i="5" s="1"/>
  <c r="EH54" i="5" s="1"/>
  <c r="DY11" i="5"/>
  <c r="DY12" i="5" s="1"/>
  <c r="DY54" i="5" s="1"/>
  <c r="CC14" i="5"/>
  <c r="CC15" i="5" s="1"/>
  <c r="CC55" i="5" s="1"/>
  <c r="CI11" i="5"/>
  <c r="CI12" i="5" s="1"/>
  <c r="CI54" i="5" s="1"/>
  <c r="CA11" i="5"/>
  <c r="CA12" i="5" s="1"/>
  <c r="CA54" i="5" s="1"/>
  <c r="BG14" i="5"/>
  <c r="BG15" i="5" s="1"/>
  <c r="BG55" i="5" s="1"/>
  <c r="EP14" i="5"/>
  <c r="EP15" i="5" s="1"/>
  <c r="EP55" i="5" s="1"/>
  <c r="FL14" i="5"/>
  <c r="FL15" i="5" s="1"/>
  <c r="FL55" i="5" s="1"/>
  <c r="BG11" i="5"/>
  <c r="BG12" i="5" s="1"/>
  <c r="BG54" i="5" s="1"/>
  <c r="EP11" i="5"/>
  <c r="EP12" i="5" s="1"/>
  <c r="EP54" i="5" s="1"/>
  <c r="FL11" i="5"/>
  <c r="FL12" i="5" s="1"/>
  <c r="FL54" i="5" s="1"/>
  <c r="CB14" i="5"/>
  <c r="CB15" i="5" s="1"/>
  <c r="CB55" i="5" s="1"/>
  <c r="CH11" i="5"/>
  <c r="CH12" i="5" s="1"/>
  <c r="CH54" i="5" s="1"/>
  <c r="BZ11" i="5"/>
  <c r="BZ12" i="5" s="1"/>
  <c r="BZ54" i="5" s="1"/>
  <c r="BF14" i="5"/>
  <c r="BF15" i="5" s="1"/>
  <c r="BF55" i="5" s="1"/>
  <c r="EZ55" i="5"/>
  <c r="CI14" i="5"/>
  <c r="CI15" i="5" s="1"/>
  <c r="CI55" i="5" s="1"/>
  <c r="CA14" i="5"/>
  <c r="CA15" i="5" s="1"/>
  <c r="CA55" i="5" s="1"/>
  <c r="CG11" i="5"/>
  <c r="CG12" i="5" s="1"/>
  <c r="CG54" i="5" s="1"/>
  <c r="BY11" i="5"/>
  <c r="BY12" i="5" s="1"/>
  <c r="BY54" i="5" s="1"/>
  <c r="BT14" i="5"/>
  <c r="BT15" i="5" s="1"/>
  <c r="BT55" i="5" s="1"/>
  <c r="EY55" i="5"/>
  <c r="BT11" i="5"/>
  <c r="BT12" i="5" s="1"/>
  <c r="BT54" i="5" s="1"/>
  <c r="CH14" i="5"/>
  <c r="CH15" i="5" s="1"/>
  <c r="CH55" i="5" s="1"/>
  <c r="BZ14" i="5"/>
  <c r="BZ15" i="5" s="1"/>
  <c r="BZ55" i="5" s="1"/>
  <c r="CF11" i="5"/>
  <c r="CF12" i="5" s="1"/>
  <c r="CF54" i="5" s="1"/>
  <c r="BX11" i="5"/>
  <c r="BX12" i="5" s="1"/>
  <c r="BX54" i="5" s="1"/>
  <c r="BS14" i="5"/>
  <c r="BS15" i="5" s="1"/>
  <c r="BS55" i="5" s="1"/>
  <c r="DG14" i="5"/>
  <c r="DG15" i="5" s="1"/>
  <c r="DG55" i="5" s="1"/>
  <c r="L57" i="18"/>
  <c r="K57" i="18"/>
  <c r="EQ11" i="5"/>
  <c r="EQ12" i="5" s="1"/>
  <c r="EQ54" i="5" s="1"/>
  <c r="AF11" i="5"/>
  <c r="AF12" i="5" s="1"/>
  <c r="AF54" i="5" s="1"/>
  <c r="CV11" i="5"/>
  <c r="CV12" i="5" s="1"/>
  <c r="CV54" i="5" s="1"/>
  <c r="CG14" i="5"/>
  <c r="CG15" i="5" s="1"/>
  <c r="CG55" i="5" s="1"/>
  <c r="BY14" i="5"/>
  <c r="BY15" i="5" s="1"/>
  <c r="BY55" i="5" s="1"/>
  <c r="CE11" i="5"/>
  <c r="CE12" i="5" s="1"/>
  <c r="CE54" i="5" s="1"/>
  <c r="BW11" i="5"/>
  <c r="BW12" i="5" s="1"/>
  <c r="BW54" i="5" s="1"/>
  <c r="CX14" i="5"/>
  <c r="CX15" i="5" s="1"/>
  <c r="CX55" i="5" s="1"/>
  <c r="DF14" i="5"/>
  <c r="DF15" i="5" s="1"/>
  <c r="DF55" i="5" s="1"/>
  <c r="OH11" i="5"/>
  <c r="OH12" i="5" s="1"/>
  <c r="OH54" i="5" s="1"/>
  <c r="AG11" i="5"/>
  <c r="AG12" i="5" s="1"/>
  <c r="AG54" i="5" s="1"/>
  <c r="CW11" i="5"/>
  <c r="CW12" i="5" s="1"/>
  <c r="CW54" i="5" s="1"/>
  <c r="DF11" i="5"/>
  <c r="DF12" i="5" s="1"/>
  <c r="DF54" i="5" s="1"/>
  <c r="CF14" i="5"/>
  <c r="CF15" i="5" s="1"/>
  <c r="CF55" i="5" s="1"/>
  <c r="BX14" i="5"/>
  <c r="BX15" i="5" s="1"/>
  <c r="BX55" i="5" s="1"/>
  <c r="CD11" i="5"/>
  <c r="CD12" i="5" s="1"/>
  <c r="CD54" i="5" s="1"/>
  <c r="BV11" i="5"/>
  <c r="BV12" i="5" s="1"/>
  <c r="BV54" i="5" s="1"/>
  <c r="EH14" i="5"/>
  <c r="EH15" i="5" s="1"/>
  <c r="EH55" i="5" s="1"/>
  <c r="AS11" i="5"/>
  <c r="AS12" i="5" s="1"/>
  <c r="AS54" i="5" s="1"/>
  <c r="CX11" i="5"/>
  <c r="CX12" i="5" s="1"/>
  <c r="CX54" i="5" s="1"/>
  <c r="DG11" i="5"/>
  <c r="DG12" i="5" s="1"/>
  <c r="DG54" i="5" s="1"/>
  <c r="CE14" i="5"/>
  <c r="CE15" i="5" s="1"/>
  <c r="CE55" i="5" s="1"/>
  <c r="BW14" i="5"/>
  <c r="BW15" i="5" s="1"/>
  <c r="BW55" i="5" s="1"/>
  <c r="CC11" i="5"/>
  <c r="CC12" i="5" s="1"/>
  <c r="CC54" i="5" s="1"/>
  <c r="AT14" i="5"/>
  <c r="AT15" i="5" s="1"/>
  <c r="AT55" i="5" s="1"/>
  <c r="EG14" i="5"/>
  <c r="EG15" i="5" s="1"/>
  <c r="EG55" i="5" s="1"/>
  <c r="DX14" i="5"/>
  <c r="DX15" i="5" s="1"/>
  <c r="DX55" i="5" s="1"/>
  <c r="J57" i="18"/>
  <c r="O43" i="20"/>
  <c r="Q43" i="20" s="1"/>
  <c r="M55" i="18"/>
  <c r="G49" i="20"/>
  <c r="I49" i="20"/>
  <c r="K49" i="20"/>
  <c r="E49" i="20"/>
  <c r="S54" i="19"/>
  <c r="T51" i="17"/>
  <c r="S53" i="19"/>
  <c r="J56" i="19"/>
  <c r="G47" i="13"/>
  <c r="Q19" i="19"/>
  <c r="O93" i="12"/>
  <c r="U59" i="20"/>
  <c r="W57" i="20"/>
  <c r="G56" i="19"/>
  <c r="Q55" i="15"/>
  <c r="J28" i="16"/>
  <c r="J34" i="16" s="1"/>
  <c r="J10" i="16"/>
  <c r="J17" i="16" s="1"/>
  <c r="K11" i="19"/>
  <c r="K39" i="19" s="1"/>
  <c r="C108" i="15"/>
  <c r="H155" i="19"/>
  <c r="N119" i="20"/>
  <c r="N125" i="20" s="1"/>
  <c r="I124" i="21"/>
  <c r="I20" i="17"/>
  <c r="S19" i="17"/>
  <c r="Q20" i="17"/>
  <c r="K22" i="18"/>
  <c r="E21" i="19"/>
  <c r="M49" i="20"/>
  <c r="O45" i="20"/>
  <c r="G20" i="17"/>
  <c r="O20" i="17"/>
  <c r="K21" i="19"/>
  <c r="V59" i="20"/>
  <c r="L20" i="17"/>
  <c r="P21" i="19"/>
  <c r="R20" i="19"/>
  <c r="J20" i="19"/>
  <c r="I21" i="19"/>
  <c r="F20" i="17"/>
  <c r="R18" i="17"/>
  <c r="N20" i="17"/>
  <c r="N64" i="19"/>
  <c r="N80" i="19" s="1"/>
  <c r="N79" i="19"/>
  <c r="G61" i="19"/>
  <c r="G77" i="19" s="1"/>
  <c r="F77" i="19"/>
  <c r="J19" i="19"/>
  <c r="S53" i="17"/>
  <c r="T52" i="17"/>
  <c r="P57" i="15"/>
  <c r="N61" i="15"/>
  <c r="K20" i="17"/>
  <c r="Q18" i="19"/>
  <c r="D61" i="17"/>
  <c r="D77" i="17"/>
  <c r="R19" i="17"/>
  <c r="P20" i="17"/>
  <c r="L21" i="19"/>
  <c r="J18" i="19"/>
  <c r="M124" i="17"/>
  <c r="M127" i="17" s="1"/>
  <c r="M151" i="17" s="1"/>
  <c r="E129" i="19"/>
  <c r="E153" i="19" s="1"/>
  <c r="E105" i="20"/>
  <c r="E111" i="20" s="1"/>
  <c r="E61" i="17"/>
  <c r="E77" i="17"/>
  <c r="M79" i="19"/>
  <c r="M64" i="19"/>
  <c r="M80" i="19" s="1"/>
  <c r="S59" i="17"/>
  <c r="M63" i="18"/>
  <c r="H64" i="19"/>
  <c r="H80" i="19" s="1"/>
  <c r="H79" i="19"/>
  <c r="M62" i="18"/>
  <c r="F64" i="19"/>
  <c r="F80" i="19" s="1"/>
  <c r="F79" i="19"/>
  <c r="G63" i="19"/>
  <c r="L64" i="19"/>
  <c r="L80" i="19" s="1"/>
  <c r="L79" i="19"/>
  <c r="R10" i="16"/>
  <c r="R17" i="16" s="1"/>
  <c r="R28" i="16"/>
  <c r="R34" i="16" s="1"/>
  <c r="N24" i="15"/>
  <c r="N31" i="15" s="1"/>
  <c r="F116" i="15"/>
  <c r="F122" i="15" s="1"/>
  <c r="G116" i="15"/>
  <c r="G122" i="15" s="1"/>
  <c r="H124" i="17"/>
  <c r="H148" i="17" s="1"/>
  <c r="I124" i="17"/>
  <c r="I148" i="17" s="1"/>
  <c r="K125" i="17"/>
  <c r="K149" i="17" s="1"/>
  <c r="J127" i="17"/>
  <c r="J151" i="17" s="1"/>
  <c r="J150" i="17"/>
  <c r="L150" i="17"/>
  <c r="K126" i="17"/>
  <c r="H126" i="17"/>
  <c r="L157" i="18"/>
  <c r="P126" i="17"/>
  <c r="F125" i="17"/>
  <c r="F149" i="17" s="1"/>
  <c r="L130" i="19"/>
  <c r="L154" i="19" s="1"/>
  <c r="N131" i="19"/>
  <c r="I130" i="19"/>
  <c r="S28" i="16"/>
  <c r="S34" i="16" s="1"/>
  <c r="S10" i="16"/>
  <c r="S17" i="16" s="1"/>
  <c r="F10" i="16"/>
  <c r="F17" i="16" s="1"/>
  <c r="F28" i="16"/>
  <c r="F34" i="16" s="1"/>
  <c r="M10" i="15"/>
  <c r="M73" i="15"/>
  <c r="C25" i="20"/>
  <c r="C32" i="20" s="1"/>
  <c r="L11" i="15"/>
  <c r="L43" i="15"/>
  <c r="E110" i="21"/>
  <c r="E116" i="21" s="1"/>
  <c r="E131" i="19"/>
  <c r="D119" i="20"/>
  <c r="D125" i="20" s="1"/>
  <c r="N28" i="16"/>
  <c r="N34" i="16" s="1"/>
  <c r="N10" i="16"/>
  <c r="O9" i="15"/>
  <c r="O16" i="15" s="1"/>
  <c r="K134" i="18"/>
  <c r="M134" i="18" s="1"/>
  <c r="O130" i="19"/>
  <c r="O132" i="19" s="1"/>
  <c r="M110" i="21"/>
  <c r="M116" i="21" s="1"/>
  <c r="M61" i="17"/>
  <c r="M77" i="17"/>
  <c r="O79" i="19"/>
  <c r="Q63" i="19"/>
  <c r="O64" i="19"/>
  <c r="O80" i="19" s="1"/>
  <c r="G19" i="19"/>
  <c r="O57" i="15"/>
  <c r="O61" i="15" s="1"/>
  <c r="M61" i="15"/>
  <c r="J77" i="17"/>
  <c r="J61" i="17"/>
  <c r="M64" i="18"/>
  <c r="L65" i="18"/>
  <c r="R19" i="19"/>
  <c r="N49" i="20"/>
  <c r="P45" i="20"/>
  <c r="P61" i="17"/>
  <c r="R60" i="17"/>
  <c r="J61" i="19"/>
  <c r="J77" i="19" s="1"/>
  <c r="I77" i="19"/>
  <c r="B43" i="15"/>
  <c r="B11" i="15"/>
  <c r="K10" i="16"/>
  <c r="K17" i="16" s="1"/>
  <c r="K28" i="16"/>
  <c r="K34" i="16" s="1"/>
  <c r="L73" i="15"/>
  <c r="L10" i="15"/>
  <c r="H125" i="17"/>
  <c r="H149" i="17" s="1"/>
  <c r="L132" i="18"/>
  <c r="L135" i="18" s="1"/>
  <c r="L159" i="18" s="1"/>
  <c r="J133" i="18"/>
  <c r="J157" i="18" s="1"/>
  <c r="P102" i="15"/>
  <c r="P108" i="15" s="1"/>
  <c r="D124" i="17"/>
  <c r="L131" i="19"/>
  <c r="P129" i="19"/>
  <c r="F130" i="19"/>
  <c r="I131" i="19"/>
  <c r="L105" i="20"/>
  <c r="L111" i="20" s="1"/>
  <c r="O119" i="20"/>
  <c r="O125" i="20" s="1"/>
  <c r="J105" i="20"/>
  <c r="J111" i="20" s="1"/>
  <c r="G110" i="21"/>
  <c r="G116" i="21" s="1"/>
  <c r="S116" i="21"/>
  <c r="L28" i="16"/>
  <c r="L34" i="16" s="1"/>
  <c r="L10" i="16"/>
  <c r="L17" i="16" s="1"/>
  <c r="Q150" i="17"/>
  <c r="Q127" i="17"/>
  <c r="Q151" i="17" s="1"/>
  <c r="M131" i="19"/>
  <c r="M132" i="19" s="1"/>
  <c r="M105" i="20"/>
  <c r="T125" i="20"/>
  <c r="I61" i="17"/>
  <c r="I77" i="17"/>
  <c r="Q61" i="17"/>
  <c r="S60" i="17"/>
  <c r="K65" i="18"/>
  <c r="Q62" i="19"/>
  <c r="Q78" i="19" s="1"/>
  <c r="O78" i="19"/>
  <c r="E79" i="19"/>
  <c r="E64" i="19"/>
  <c r="E80" i="19" s="1"/>
  <c r="O12" i="20"/>
  <c r="S55" i="19"/>
  <c r="R56" i="19"/>
  <c r="G61" i="17"/>
  <c r="G77" i="17"/>
  <c r="O61" i="17"/>
  <c r="K64" i="19"/>
  <c r="K80" i="19" s="1"/>
  <c r="K79" i="19"/>
  <c r="L61" i="17"/>
  <c r="P64" i="19"/>
  <c r="P80" i="19" s="1"/>
  <c r="R63" i="19"/>
  <c r="P79" i="19"/>
  <c r="J63" i="19"/>
  <c r="J79" i="19" s="1"/>
  <c r="I64" i="19"/>
  <c r="I79" i="19"/>
  <c r="F77" i="17"/>
  <c r="F61" i="17"/>
  <c r="R59" i="17"/>
  <c r="N61" i="17"/>
  <c r="N21" i="19"/>
  <c r="G18" i="19"/>
  <c r="J62" i="19"/>
  <c r="J78" i="19" s="1"/>
  <c r="I78" i="19"/>
  <c r="U27" i="20"/>
  <c r="P26" i="15"/>
  <c r="S58" i="17"/>
  <c r="K61" i="17"/>
  <c r="O77" i="19"/>
  <c r="Q61" i="19"/>
  <c r="Q77" i="19" s="1"/>
  <c r="R17" i="17"/>
  <c r="H20" i="17"/>
  <c r="J22" i="18"/>
  <c r="R61" i="19"/>
  <c r="P77" i="19"/>
  <c r="Q56" i="19"/>
  <c r="I10" i="16"/>
  <c r="I17" i="16" s="1"/>
  <c r="I28" i="16"/>
  <c r="I34" i="16" s="1"/>
  <c r="M10" i="16"/>
  <c r="M28" i="16"/>
  <c r="M34" i="16" s="1"/>
  <c r="T10" i="16"/>
  <c r="T28" i="16"/>
  <c r="T34" i="16" s="1"/>
  <c r="G28" i="16"/>
  <c r="G34" i="16" s="1"/>
  <c r="G10" i="16"/>
  <c r="M43" i="15"/>
  <c r="M11" i="15"/>
  <c r="I116" i="15"/>
  <c r="I122" i="15" s="1"/>
  <c r="J116" i="15"/>
  <c r="J122" i="15" s="1"/>
  <c r="K122" i="15"/>
  <c r="L116" i="15"/>
  <c r="L122" i="15" s="1"/>
  <c r="E148" i="17"/>
  <c r="E127" i="17"/>
  <c r="E151" i="17" s="1"/>
  <c r="F124" i="17"/>
  <c r="F148" i="17" s="1"/>
  <c r="G125" i="17"/>
  <c r="G149" i="17" s="1"/>
  <c r="O125" i="17"/>
  <c r="O149" i="17" s="1"/>
  <c r="L125" i="17"/>
  <c r="L149" i="17" s="1"/>
  <c r="N150" i="17"/>
  <c r="N127" i="17"/>
  <c r="N151" i="17" s="1"/>
  <c r="I126" i="17"/>
  <c r="O126" i="17"/>
  <c r="M150" i="17"/>
  <c r="J158" i="18"/>
  <c r="L148" i="17"/>
  <c r="L129" i="19"/>
  <c r="L153" i="19" s="1"/>
  <c r="N130" i="19"/>
  <c r="N154" i="19" s="1"/>
  <c r="P131" i="19"/>
  <c r="P132" i="19" s="1"/>
  <c r="I129" i="19"/>
  <c r="H105" i="20"/>
  <c r="H111" i="20" s="1"/>
  <c r="S125" i="20"/>
  <c r="L158" i="18"/>
  <c r="P154" i="19"/>
  <c r="F155" i="19"/>
  <c r="F105" i="20"/>
  <c r="F111" i="20" s="1"/>
  <c r="N111" i="20"/>
  <c r="M119" i="20"/>
  <c r="M125" i="20" s="1"/>
  <c r="R119" i="20"/>
  <c r="R125" i="20" s="1"/>
  <c r="H110" i="21"/>
  <c r="H116" i="21" s="1"/>
  <c r="N122" i="15"/>
  <c r="K131" i="19"/>
  <c r="K132" i="19" s="1"/>
  <c r="O155" i="19"/>
  <c r="H129" i="19"/>
  <c r="H153" i="19" s="1"/>
  <c r="G105" i="20"/>
  <c r="G111" i="20" s="1"/>
  <c r="O110" i="21"/>
  <c r="O116" i="21" s="1"/>
  <c r="E20" i="17"/>
  <c r="S17" i="17"/>
  <c r="M20" i="17"/>
  <c r="M21" i="19"/>
  <c r="R53" i="17"/>
  <c r="S18" i="17"/>
  <c r="M20" i="18"/>
  <c r="Q20" i="19"/>
  <c r="O21" i="19"/>
  <c r="H21" i="19"/>
  <c r="M19" i="18"/>
  <c r="G62" i="19"/>
  <c r="G78" i="19" s="1"/>
  <c r="F78" i="19"/>
  <c r="O26" i="15"/>
  <c r="J20" i="17"/>
  <c r="M21" i="18"/>
  <c r="L22" i="18"/>
  <c r="R62" i="19"/>
  <c r="P78" i="19"/>
  <c r="G20" i="19"/>
  <c r="F21" i="19"/>
  <c r="P12" i="20"/>
  <c r="U63" i="20"/>
  <c r="T50" i="17"/>
  <c r="D63" i="20"/>
  <c r="V63" i="20" s="1"/>
  <c r="V27" i="20"/>
  <c r="R58" i="17"/>
  <c r="H61" i="17"/>
  <c r="H77" i="17"/>
  <c r="J65" i="18"/>
  <c r="R18" i="19"/>
  <c r="C7" i="13"/>
  <c r="C7" i="14"/>
  <c r="F16" i="13"/>
  <c r="F16" i="14"/>
  <c r="F19" i="14"/>
  <c r="F13" i="13"/>
  <c r="F13" i="14"/>
  <c r="N7" i="13"/>
  <c r="N7" i="14"/>
  <c r="E13" i="13"/>
  <c r="E13" i="14"/>
  <c r="E17" i="13"/>
  <c r="E17" i="14"/>
  <c r="L7" i="13"/>
  <c r="L7" i="14"/>
  <c r="E14" i="13"/>
  <c r="E14" i="14"/>
  <c r="K14" i="13"/>
  <c r="K14" i="14"/>
  <c r="K15" i="14" s="1"/>
  <c r="F12" i="13"/>
  <c r="F12" i="14"/>
  <c r="B7" i="13"/>
  <c r="B7" i="14"/>
  <c r="M7" i="13"/>
  <c r="M7" i="14"/>
  <c r="F14" i="13"/>
  <c r="F14" i="14"/>
  <c r="F18" i="13"/>
  <c r="G18" i="13" s="1"/>
  <c r="F18" i="14"/>
  <c r="G18" i="14" s="1"/>
  <c r="K7" i="13"/>
  <c r="K7" i="14"/>
  <c r="F15" i="13"/>
  <c r="F15" i="14"/>
  <c r="F8" i="13"/>
  <c r="F8" i="14"/>
  <c r="F17" i="13"/>
  <c r="F17" i="14"/>
  <c r="AL93" i="12"/>
  <c r="E15" i="13"/>
  <c r="E15" i="14"/>
  <c r="E19" i="13"/>
  <c r="G19" i="13" s="1"/>
  <c r="E19" i="14"/>
  <c r="E16" i="13"/>
  <c r="E16" i="14"/>
  <c r="E7" i="13"/>
  <c r="E7" i="14"/>
  <c r="E12" i="13"/>
  <c r="E12" i="14"/>
  <c r="G93" i="12"/>
  <c r="F93" i="12"/>
  <c r="AB93" i="12"/>
  <c r="AR93" i="12"/>
  <c r="AW93" i="12"/>
  <c r="K13" i="13"/>
  <c r="AD93" i="12"/>
  <c r="AT93" i="12"/>
  <c r="BB93" i="12"/>
  <c r="I93" i="12"/>
  <c r="M93" i="12"/>
  <c r="Q93" i="12"/>
  <c r="U93" i="12"/>
  <c r="Y93" i="12"/>
  <c r="AC93" i="12"/>
  <c r="AG93" i="12"/>
  <c r="AK93" i="12"/>
  <c r="AO93" i="12"/>
  <c r="AS93" i="12"/>
  <c r="BA93" i="12"/>
  <c r="R93" i="12"/>
  <c r="Z93" i="12"/>
  <c r="AF93" i="12"/>
  <c r="AV93" i="12"/>
  <c r="G34" i="21"/>
  <c r="L93" i="12"/>
  <c r="BD93" i="12"/>
  <c r="G118" i="13"/>
  <c r="G114" i="13"/>
  <c r="S93" i="12"/>
  <c r="W93" i="12"/>
  <c r="AA93" i="12"/>
  <c r="AE93" i="12"/>
  <c r="AI93" i="12"/>
  <c r="AM93" i="12"/>
  <c r="AQ93" i="12"/>
  <c r="AU93" i="12"/>
  <c r="AY93" i="12"/>
  <c r="BC93" i="12"/>
  <c r="AJ93" i="12"/>
  <c r="AN93" i="12"/>
  <c r="AZ93" i="12"/>
  <c r="AH93" i="12"/>
  <c r="AP93" i="12"/>
  <c r="AX93" i="12"/>
  <c r="D80" i="12"/>
  <c r="P80" i="12"/>
  <c r="P92" i="12" s="1"/>
  <c r="P93" i="12" s="1"/>
  <c r="T80" i="12"/>
  <c r="T92" i="12" s="1"/>
  <c r="T93" i="12" s="1"/>
  <c r="X80" i="12"/>
  <c r="X92" i="12" s="1"/>
  <c r="X93" i="12" s="1"/>
  <c r="E80" i="12"/>
  <c r="E92" i="12" s="1"/>
  <c r="E93" i="12" s="1"/>
  <c r="G25" i="20"/>
  <c r="G32" i="20" s="1"/>
  <c r="E34" i="21"/>
  <c r="J79" i="12"/>
  <c r="J91" i="12" s="1"/>
  <c r="J93" i="12" s="1"/>
  <c r="C79" i="12"/>
  <c r="C91" i="12" s="1"/>
  <c r="C93" i="12" s="1"/>
  <c r="K79" i="12"/>
  <c r="K91" i="12" s="1"/>
  <c r="K93" i="12" s="1"/>
  <c r="G49" i="13"/>
  <c r="G116" i="13"/>
  <c r="G51" i="13"/>
  <c r="N93" i="12"/>
  <c r="V93" i="12"/>
  <c r="F19" i="5"/>
  <c r="B102" i="15" s="1"/>
  <c r="B108" i="15" s="1"/>
  <c r="H91" i="12"/>
  <c r="H93" i="12" s="1"/>
  <c r="G115" i="13"/>
  <c r="E122" i="13"/>
  <c r="G119" i="13"/>
  <c r="G48" i="13"/>
  <c r="G54" i="13"/>
  <c r="F122" i="13"/>
  <c r="F123" i="13" s="1"/>
  <c r="G50" i="13"/>
  <c r="K117" i="13"/>
  <c r="K50" i="13"/>
  <c r="G117" i="13"/>
  <c r="G121" i="13"/>
  <c r="G52" i="13"/>
  <c r="G45" i="12"/>
  <c r="D45" i="12"/>
  <c r="LS21" i="5"/>
  <c r="LS25" i="5" s="1"/>
  <c r="LS26" i="5" s="1"/>
  <c r="M72" i="15"/>
  <c r="F72" i="15"/>
  <c r="G72" i="15"/>
  <c r="CK13" i="5"/>
  <c r="BD70" i="12"/>
  <c r="CJ13" i="5"/>
  <c r="CJ14" i="5" s="1"/>
  <c r="CJ15" i="5" s="1"/>
  <c r="CJ55" i="5" s="1"/>
  <c r="AU70" i="12"/>
  <c r="AG70" i="12"/>
  <c r="AC70" i="12"/>
  <c r="AK70" i="12"/>
  <c r="AE70" i="12"/>
  <c r="AM70" i="12"/>
  <c r="AH70" i="12"/>
  <c r="AV70" i="12"/>
  <c r="AA70" i="12"/>
  <c r="AI70" i="12"/>
  <c r="AR70" i="12"/>
  <c r="EI8" i="5"/>
  <c r="AD70" i="12"/>
  <c r="AL70" i="12"/>
  <c r="G46" i="12"/>
  <c r="U70" i="12"/>
  <c r="J46" i="12"/>
  <c r="N70" i="12"/>
  <c r="AB70" i="12"/>
  <c r="AJ70" i="12"/>
  <c r="AX70" i="12"/>
  <c r="L70" i="12"/>
  <c r="V70" i="12"/>
  <c r="Z70" i="12"/>
  <c r="BA70" i="12"/>
  <c r="ER8" i="5"/>
  <c r="DH8" i="5"/>
  <c r="S70" i="12"/>
  <c r="AY70" i="12"/>
  <c r="AF70" i="12"/>
  <c r="AN70" i="12"/>
  <c r="W70" i="12"/>
  <c r="T70" i="12"/>
  <c r="P70" i="12"/>
  <c r="AP70" i="12"/>
  <c r="P47" i="12"/>
  <c r="AO47" i="12"/>
  <c r="AU8" i="5"/>
  <c r="BU8" i="5"/>
  <c r="R70" i="12"/>
  <c r="C70" i="12"/>
  <c r="X70" i="12"/>
  <c r="M70" i="12"/>
  <c r="AS70" i="12"/>
  <c r="J45" i="12"/>
  <c r="AZ70" i="12"/>
  <c r="BB38" i="12"/>
  <c r="BB46" i="12" s="1"/>
  <c r="BB47" i="12" s="1"/>
  <c r="CK10" i="5"/>
  <c r="I46" i="12"/>
  <c r="BI13" i="12"/>
  <c r="O70" i="12"/>
  <c r="BI12" i="12"/>
  <c r="AQ70" i="12"/>
  <c r="BB70" i="12"/>
  <c r="BC70" i="12"/>
  <c r="I45" i="12"/>
  <c r="M45" i="12"/>
  <c r="BI68" i="12"/>
  <c r="D70" i="12"/>
  <c r="J70" i="12"/>
  <c r="AT70" i="12"/>
  <c r="LS30" i="5"/>
  <c r="LS31" i="5" s="1"/>
  <c r="H70" i="12"/>
  <c r="F70" i="12"/>
  <c r="Y70" i="12"/>
  <c r="Q70" i="12"/>
  <c r="AO70" i="12"/>
  <c r="AT47" i="12"/>
  <c r="E70" i="12"/>
  <c r="I70" i="12"/>
  <c r="AH47" i="12"/>
  <c r="ER13" i="5"/>
  <c r="DZ8" i="5"/>
  <c r="G70" i="12"/>
  <c r="K70" i="12"/>
  <c r="BH8" i="5"/>
  <c r="FN9" i="5"/>
  <c r="CJ10" i="5"/>
  <c r="AW69" i="12"/>
  <c r="AW70" i="12" s="1"/>
  <c r="LS13" i="5"/>
  <c r="LS14" i="5" s="1"/>
  <c r="LS15" i="5" s="1"/>
  <c r="BH68" i="12"/>
  <c r="BH70" i="12" s="1"/>
  <c r="AQ45" i="12"/>
  <c r="AQ47" i="12" s="1"/>
  <c r="BU9" i="5"/>
  <c r="CK9" i="5"/>
  <c r="AU47" i="12"/>
  <c r="CY7" i="5"/>
  <c r="BU7" i="5"/>
  <c r="BH7" i="5"/>
  <c r="CJ7" i="5"/>
  <c r="FN6" i="5"/>
  <c r="FA6" i="5"/>
  <c r="BU6" i="5"/>
  <c r="BH6" i="5"/>
  <c r="CJ6" i="5"/>
  <c r="AH6" i="5"/>
  <c r="CK21" i="5"/>
  <c r="CK25" i="5" s="1"/>
  <c r="CK26" i="5" s="1"/>
  <c r="CJ21" i="5"/>
  <c r="CJ25" i="5" s="1"/>
  <c r="CJ26" i="5" s="1"/>
  <c r="CL27" i="5"/>
  <c r="CL30" i="5" s="1"/>
  <c r="CL31" i="5" s="1"/>
  <c r="FN13" i="5"/>
  <c r="FN14" i="5" s="1"/>
  <c r="FN15" i="5" s="1"/>
  <c r="BI69" i="12"/>
  <c r="NY13" i="5"/>
  <c r="NY14" i="5" s="1"/>
  <c r="NY15" i="5" s="1"/>
  <c r="LS16" i="5"/>
  <c r="LS18" i="5" s="1"/>
  <c r="DZ13" i="5"/>
  <c r="DH13" i="5"/>
  <c r="EI13" i="5"/>
  <c r="CY13" i="5"/>
  <c r="BU13" i="5"/>
  <c r="BH13" i="5"/>
  <c r="AU13" i="5"/>
  <c r="AF9" i="12"/>
  <c r="AF23" i="12" s="1"/>
  <c r="AL9" i="12"/>
  <c r="AL23" i="12" s="1"/>
  <c r="BH8" i="12"/>
  <c r="BH22" i="12" s="1"/>
  <c r="F9" i="12"/>
  <c r="F23" i="12" s="1"/>
  <c r="M9" i="12"/>
  <c r="M23" i="12" s="1"/>
  <c r="M8" i="12"/>
  <c r="M22" i="12" s="1"/>
  <c r="FN8" i="5"/>
  <c r="FN7" i="5"/>
  <c r="DZ7" i="5"/>
  <c r="DZ6" i="5"/>
  <c r="DZ9" i="5"/>
  <c r="DH6" i="5"/>
  <c r="DH9" i="5"/>
  <c r="DH7" i="5"/>
  <c r="ER6" i="5"/>
  <c r="ER9" i="5"/>
  <c r="ER7" i="5"/>
  <c r="EI7" i="5"/>
  <c r="EI6" i="5"/>
  <c r="EI9" i="5"/>
  <c r="CY6" i="5"/>
  <c r="CY9" i="5"/>
  <c r="CY8" i="5"/>
  <c r="CK7" i="5"/>
  <c r="CK8" i="5"/>
  <c r="CJ9" i="5"/>
  <c r="CJ8" i="5"/>
  <c r="BH9" i="5"/>
  <c r="CK6" i="5"/>
  <c r="AU6" i="5"/>
  <c r="AU7" i="5"/>
  <c r="AU9" i="5"/>
  <c r="AH9" i="5"/>
  <c r="BI33" i="12"/>
  <c r="BI34" i="12"/>
  <c r="AH10" i="5"/>
  <c r="EI10" i="5"/>
  <c r="ER10" i="5"/>
  <c r="DH10" i="5"/>
  <c r="DZ10" i="5"/>
  <c r="AU10" i="5"/>
  <c r="BH10" i="5"/>
  <c r="BU10" i="5"/>
  <c r="CY10" i="5"/>
  <c r="FN10" i="5"/>
  <c r="AH21" i="5"/>
  <c r="AH25" i="5" s="1"/>
  <c r="AH26" i="5" s="1"/>
  <c r="BH21" i="5"/>
  <c r="BH25" i="5" s="1"/>
  <c r="BH26" i="5" s="1"/>
  <c r="BU21" i="5"/>
  <c r="BU25" i="5" s="1"/>
  <c r="BU26" i="5" s="1"/>
  <c r="CY21" i="5"/>
  <c r="CY25" i="5" s="1"/>
  <c r="CY26" i="5" s="1"/>
  <c r="EI21" i="5"/>
  <c r="EI25" i="5" s="1"/>
  <c r="EI26" i="5" s="1"/>
  <c r="ER21" i="5"/>
  <c r="ER25" i="5" s="1"/>
  <c r="ER26" i="5" s="1"/>
  <c r="DZ21" i="5"/>
  <c r="DZ25" i="5" s="1"/>
  <c r="DZ26" i="5" s="1"/>
  <c r="FN27" i="5"/>
  <c r="FN30" i="5" s="1"/>
  <c r="FN31" i="5" s="1"/>
  <c r="NY27" i="5"/>
  <c r="NY30" i="5" s="1"/>
  <c r="NY31" i="5" s="1"/>
  <c r="NY16" i="5"/>
  <c r="NY18" i="5" s="1"/>
  <c r="E22" i="14" l="1"/>
  <c r="F22" i="14"/>
  <c r="BD47" i="12"/>
  <c r="AA47" i="12"/>
  <c r="D47" i="12"/>
  <c r="S47" i="12"/>
  <c r="BA47" i="12"/>
  <c r="AV47" i="12"/>
  <c r="AF47" i="12"/>
  <c r="KX20" i="5"/>
  <c r="KX52" i="5" s="1"/>
  <c r="G78" i="15"/>
  <c r="AN47" i="12"/>
  <c r="AJ47" i="12"/>
  <c r="AR47" i="12"/>
  <c r="AE47" i="12"/>
  <c r="AC47" i="12"/>
  <c r="U47" i="12"/>
  <c r="AG47" i="12"/>
  <c r="AW47" i="12"/>
  <c r="AK47" i="12"/>
  <c r="AL47" i="12"/>
  <c r="Y47" i="12"/>
  <c r="N47" i="12"/>
  <c r="Z47" i="12"/>
  <c r="R47" i="12"/>
  <c r="BI37" i="12"/>
  <c r="BI45" i="12" s="1"/>
  <c r="T47" i="12"/>
  <c r="V47" i="12"/>
  <c r="O47" i="12"/>
  <c r="N132" i="19"/>
  <c r="N156" i="19" s="1"/>
  <c r="AM47" i="12"/>
  <c r="AD47" i="12"/>
  <c r="BC47" i="12"/>
  <c r="AY47" i="12"/>
  <c r="W47" i="12"/>
  <c r="H132" i="19"/>
  <c r="H156" i="19" s="1"/>
  <c r="J129" i="19"/>
  <c r="J153" i="19" s="1"/>
  <c r="I153" i="19"/>
  <c r="R129" i="19"/>
  <c r="P153" i="19"/>
  <c r="G131" i="19"/>
  <c r="G155" i="19" s="1"/>
  <c r="E132" i="19"/>
  <c r="E156" i="19" s="1"/>
  <c r="F132" i="19"/>
  <c r="F156" i="19" s="1"/>
  <c r="C45" i="12"/>
  <c r="C47" i="12" s="1"/>
  <c r="L132" i="19"/>
  <c r="L156" i="19" s="1"/>
  <c r="O156" i="19"/>
  <c r="G129" i="19"/>
  <c r="G153" i="19" s="1"/>
  <c r="NY19" i="5"/>
  <c r="NY20" i="5" s="1"/>
  <c r="NY52" i="5" s="1"/>
  <c r="LS19" i="5"/>
  <c r="LS20" i="5" s="1"/>
  <c r="LS52" i="5" s="1"/>
  <c r="I132" i="19"/>
  <c r="I156" i="19" s="1"/>
  <c r="LS55" i="5"/>
  <c r="L81" i="18"/>
  <c r="B78" i="15"/>
  <c r="LS54" i="5"/>
  <c r="F78" i="15"/>
  <c r="B47" i="15"/>
  <c r="H10" i="15"/>
  <c r="H73" i="15"/>
  <c r="NY55" i="5"/>
  <c r="FN55" i="5"/>
  <c r="K81" i="18"/>
  <c r="EH20" i="5"/>
  <c r="EH52" i="5" s="1"/>
  <c r="M80" i="18"/>
  <c r="J10" i="15"/>
  <c r="J73" i="15"/>
  <c r="F21" i="13"/>
  <c r="F22" i="13" s="1"/>
  <c r="E21" i="13"/>
  <c r="E22" i="13" s="1"/>
  <c r="CW20" i="5"/>
  <c r="CW52" i="5" s="1"/>
  <c r="AG20" i="5"/>
  <c r="AG52" i="5" s="1"/>
  <c r="OH20" i="5"/>
  <c r="OH52" i="5" s="1"/>
  <c r="I73" i="15"/>
  <c r="I10" i="15"/>
  <c r="E73" i="15"/>
  <c r="E78" i="15" s="1"/>
  <c r="M78" i="18"/>
  <c r="M79" i="18"/>
  <c r="AT20" i="5"/>
  <c r="AT52" i="5" s="1"/>
  <c r="BF20" i="5"/>
  <c r="BF52" i="5" s="1"/>
  <c r="J81" i="18"/>
  <c r="M78" i="15"/>
  <c r="CA20" i="5"/>
  <c r="CA52" i="5" s="1"/>
  <c r="I34" i="21"/>
  <c r="BX20" i="5"/>
  <c r="BX52" i="5" s="1"/>
  <c r="M57" i="18"/>
  <c r="F41" i="15"/>
  <c r="DY20" i="5"/>
  <c r="DY52" i="5" s="1"/>
  <c r="G41" i="15"/>
  <c r="W59" i="20"/>
  <c r="W63" i="20" s="1"/>
  <c r="T58" i="17"/>
  <c r="GI20" i="5"/>
  <c r="GI52" i="5" s="1"/>
  <c r="BS20" i="5"/>
  <c r="BS52" i="5" s="1"/>
  <c r="CF20" i="5"/>
  <c r="CF52" i="5" s="1"/>
  <c r="AF20" i="5"/>
  <c r="AF52" i="5" s="1"/>
  <c r="BU11" i="5"/>
  <c r="BU12" i="5" s="1"/>
  <c r="BU54" i="5" s="1"/>
  <c r="R20" i="17"/>
  <c r="CE20" i="5"/>
  <c r="CE52" i="5" s="1"/>
  <c r="FL20" i="5"/>
  <c r="FL52" i="5" s="1"/>
  <c r="FN11" i="5"/>
  <c r="FN12" i="5" s="1"/>
  <c r="FN54" i="5" s="1"/>
  <c r="G19" i="14"/>
  <c r="LR52" i="5"/>
  <c r="O49" i="20"/>
  <c r="FM20" i="5"/>
  <c r="FM52" i="5" s="1"/>
  <c r="EG20" i="5"/>
  <c r="EG52" i="5" s="1"/>
  <c r="DX20" i="5"/>
  <c r="DX52" i="5" s="1"/>
  <c r="CV20" i="5"/>
  <c r="CV52" i="5" s="1"/>
  <c r="CH20" i="5"/>
  <c r="CH52" i="5" s="1"/>
  <c r="BH11" i="5"/>
  <c r="BH12" i="5" s="1"/>
  <c r="BH54" i="5" s="1"/>
  <c r="AH11" i="5"/>
  <c r="AH12" i="5" s="1"/>
  <c r="AH54" i="5" s="1"/>
  <c r="CJ11" i="5"/>
  <c r="CJ12" i="5" s="1"/>
  <c r="CJ54" i="5" s="1"/>
  <c r="CX20" i="5"/>
  <c r="CX52" i="5" s="1"/>
  <c r="ER11" i="5"/>
  <c r="ER12" i="5" s="1"/>
  <c r="ER54" i="5" s="1"/>
  <c r="DZ11" i="5"/>
  <c r="DZ12" i="5" s="1"/>
  <c r="DZ54" i="5" s="1"/>
  <c r="CY11" i="5"/>
  <c r="CY12" i="5" s="1"/>
  <c r="CY54" i="5" s="1"/>
  <c r="BH14" i="5"/>
  <c r="BH15" i="5" s="1"/>
  <c r="BH55" i="5" s="1"/>
  <c r="ER14" i="5"/>
  <c r="ER15" i="5" s="1"/>
  <c r="ER55" i="5" s="1"/>
  <c r="CK11" i="5"/>
  <c r="CK12" i="5" s="1"/>
  <c r="CK54" i="5" s="1"/>
  <c r="CK14" i="5"/>
  <c r="CK15" i="5" s="1"/>
  <c r="CK55" i="5" s="1"/>
  <c r="BV20" i="5"/>
  <c r="BV52" i="5" s="1"/>
  <c r="CY14" i="5"/>
  <c r="CY15" i="5" s="1"/>
  <c r="CY55" i="5" s="1"/>
  <c r="BU14" i="5"/>
  <c r="BU15" i="5" s="1"/>
  <c r="BU55" i="5" s="1"/>
  <c r="DH11" i="5"/>
  <c r="DH12" i="5" s="1"/>
  <c r="DH54" i="5" s="1"/>
  <c r="AU11" i="5"/>
  <c r="AU12" i="5" s="1"/>
  <c r="AU54" i="5" s="1"/>
  <c r="EI14" i="5"/>
  <c r="EI15" i="5" s="1"/>
  <c r="EI55" i="5" s="1"/>
  <c r="CC20" i="5"/>
  <c r="CC52" i="5" s="1"/>
  <c r="CD20" i="5"/>
  <c r="CD52" i="5" s="1"/>
  <c r="DH14" i="5"/>
  <c r="DH15" i="5" s="1"/>
  <c r="DH55" i="5" s="1"/>
  <c r="EY20" i="5"/>
  <c r="CI20" i="5"/>
  <c r="CI52" i="5" s="1"/>
  <c r="L72" i="15"/>
  <c r="L78" i="15" s="1"/>
  <c r="EQ20" i="5"/>
  <c r="EQ52" i="5" s="1"/>
  <c r="DZ14" i="5"/>
  <c r="DZ15" i="5" s="1"/>
  <c r="DZ55" i="5" s="1"/>
  <c r="BY20" i="5"/>
  <c r="BY52" i="5" s="1"/>
  <c r="BZ20" i="5"/>
  <c r="BZ52" i="5" s="1"/>
  <c r="CB20" i="5"/>
  <c r="CB52" i="5" s="1"/>
  <c r="EP20" i="5"/>
  <c r="EP52" i="5" s="1"/>
  <c r="DF20" i="5"/>
  <c r="DF52" i="5" s="1"/>
  <c r="BT20" i="5"/>
  <c r="BT52" i="5" s="1"/>
  <c r="AS20" i="5"/>
  <c r="AS52" i="5" s="1"/>
  <c r="EI11" i="5"/>
  <c r="EI12" i="5" s="1"/>
  <c r="EI54" i="5" s="1"/>
  <c r="AU14" i="5"/>
  <c r="AU15" i="5" s="1"/>
  <c r="AU55" i="5" s="1"/>
  <c r="AH14" i="5"/>
  <c r="AH15" i="5" s="1"/>
  <c r="AH55" i="5" s="1"/>
  <c r="BW20" i="5"/>
  <c r="BW52" i="5" s="1"/>
  <c r="CG20" i="5"/>
  <c r="CG52" i="5" s="1"/>
  <c r="DG20" i="5"/>
  <c r="DG52" i="5" s="1"/>
  <c r="EZ20" i="5"/>
  <c r="EZ52" i="5" s="1"/>
  <c r="BG20" i="5"/>
  <c r="BG52" i="5" s="1"/>
  <c r="AP47" i="12"/>
  <c r="Q131" i="19"/>
  <c r="G16" i="13"/>
  <c r="G13" i="13"/>
  <c r="J135" i="18"/>
  <c r="J159" i="18" s="1"/>
  <c r="BB9" i="12"/>
  <c r="BB23" i="12" s="1"/>
  <c r="L47" i="12"/>
  <c r="R130" i="19"/>
  <c r="R154" i="19" s="1"/>
  <c r="L41" i="15"/>
  <c r="L47" i="15" s="1"/>
  <c r="G21" i="19"/>
  <c r="M41" i="15"/>
  <c r="M47" i="15" s="1"/>
  <c r="S126" i="17"/>
  <c r="AD9" i="12"/>
  <c r="AD23" i="12" s="1"/>
  <c r="AX9" i="12"/>
  <c r="AX23" i="12" s="1"/>
  <c r="Z9" i="12"/>
  <c r="Z23" i="12" s="1"/>
  <c r="W27" i="20"/>
  <c r="V9" i="12"/>
  <c r="V23" i="12" s="1"/>
  <c r="S19" i="19"/>
  <c r="S56" i="19"/>
  <c r="AH9" i="12"/>
  <c r="AH23" i="12" s="1"/>
  <c r="N9" i="12"/>
  <c r="N23" i="12" s="1"/>
  <c r="S74" i="17"/>
  <c r="AT9" i="12"/>
  <c r="AT23" i="12" s="1"/>
  <c r="BD9" i="12"/>
  <c r="BD23" i="12" s="1"/>
  <c r="N77" i="17"/>
  <c r="R124" i="17"/>
  <c r="S18" i="19"/>
  <c r="T18" i="17"/>
  <c r="T17" i="17"/>
  <c r="U119" i="20"/>
  <c r="V125" i="20"/>
  <c r="L127" i="17"/>
  <c r="L151" i="17" s="1"/>
  <c r="T19" i="17"/>
  <c r="K77" i="17"/>
  <c r="N10" i="15"/>
  <c r="H72" i="15"/>
  <c r="P116" i="15"/>
  <c r="O116" i="15"/>
  <c r="O122" i="15" s="1"/>
  <c r="G15" i="14"/>
  <c r="G12" i="14"/>
  <c r="L25" i="20"/>
  <c r="L32" i="20" s="1"/>
  <c r="D9" i="15"/>
  <c r="D16" i="15" s="1"/>
  <c r="H12" i="19"/>
  <c r="H40" i="19" s="1"/>
  <c r="E9" i="17"/>
  <c r="E37" i="17" s="1"/>
  <c r="O12" i="21"/>
  <c r="O19" i="21" s="1"/>
  <c r="L9" i="17"/>
  <c r="N10" i="17"/>
  <c r="M11" i="19"/>
  <c r="M39" i="19" s="1"/>
  <c r="F25" i="20"/>
  <c r="F32" i="20" s="1"/>
  <c r="M12" i="21"/>
  <c r="M19" i="21" s="1"/>
  <c r="J11" i="18"/>
  <c r="J39" i="18" s="1"/>
  <c r="J9" i="17"/>
  <c r="I12" i="21"/>
  <c r="I19" i="21" s="1"/>
  <c r="I27" i="21"/>
  <c r="R9" i="15"/>
  <c r="R16" i="15" s="1"/>
  <c r="Q11" i="17"/>
  <c r="Q39" i="17" s="1"/>
  <c r="C12" i="21"/>
  <c r="C19" i="21" s="1"/>
  <c r="P25" i="20"/>
  <c r="P32" i="20" s="1"/>
  <c r="M22" i="18"/>
  <c r="K12" i="19"/>
  <c r="K40" i="19" s="1"/>
  <c r="H12" i="21"/>
  <c r="H19" i="21" s="1"/>
  <c r="M25" i="20"/>
  <c r="M32" i="20" s="1"/>
  <c r="F10" i="20"/>
  <c r="F17" i="20" s="1"/>
  <c r="H10" i="20"/>
  <c r="H17" i="20" s="1"/>
  <c r="P12" i="19"/>
  <c r="P40" i="19" s="1"/>
  <c r="L10" i="19"/>
  <c r="L38" i="19" s="1"/>
  <c r="O11" i="17"/>
  <c r="O39" i="17" s="1"/>
  <c r="L10" i="17"/>
  <c r="G10" i="17"/>
  <c r="I24" i="15"/>
  <c r="I31" i="15" s="1"/>
  <c r="L11" i="17"/>
  <c r="L39" i="17" s="1"/>
  <c r="T17" i="16"/>
  <c r="U10" i="16"/>
  <c r="U17" i="16" s="1"/>
  <c r="S76" i="17"/>
  <c r="Q77" i="17"/>
  <c r="M12" i="19"/>
  <c r="M40" i="19" s="1"/>
  <c r="G12" i="21"/>
  <c r="G19" i="21" s="1"/>
  <c r="L10" i="20"/>
  <c r="L17" i="20" s="1"/>
  <c r="F11" i="19"/>
  <c r="F39" i="19" s="1"/>
  <c r="L12" i="19"/>
  <c r="L40" i="19" s="1"/>
  <c r="P9" i="15"/>
  <c r="P16" i="15" s="1"/>
  <c r="L11" i="18"/>
  <c r="L39" i="18" s="1"/>
  <c r="M65" i="18"/>
  <c r="Q79" i="19"/>
  <c r="Q64" i="19"/>
  <c r="Q80" i="19" s="1"/>
  <c r="L12" i="21"/>
  <c r="L19" i="21" s="1"/>
  <c r="K13" i="18"/>
  <c r="K41" i="18" s="1"/>
  <c r="P28" i="16"/>
  <c r="P34" i="16" s="1"/>
  <c r="E12" i="19"/>
  <c r="E40" i="19" s="1"/>
  <c r="I11" i="19"/>
  <c r="I39" i="19" s="1"/>
  <c r="L11" i="19"/>
  <c r="L39" i="19" s="1"/>
  <c r="P11" i="17"/>
  <c r="P39" i="17" s="1"/>
  <c r="H11" i="17"/>
  <c r="K10" i="17"/>
  <c r="H9" i="17"/>
  <c r="F24" i="15"/>
  <c r="F31" i="15" s="1"/>
  <c r="E10" i="19"/>
  <c r="E38" i="19" s="1"/>
  <c r="S20" i="19"/>
  <c r="R21" i="19"/>
  <c r="F43" i="15"/>
  <c r="F11" i="15"/>
  <c r="I72" i="15"/>
  <c r="G9" i="17"/>
  <c r="G37" i="17" s="1"/>
  <c r="F12" i="19"/>
  <c r="F40" i="19" s="1"/>
  <c r="Q9" i="15"/>
  <c r="Q16" i="15" s="1"/>
  <c r="L13" i="18"/>
  <c r="L41" i="18" s="1"/>
  <c r="H25" i="20"/>
  <c r="H32" i="20" s="1"/>
  <c r="K9" i="17"/>
  <c r="K37" i="17" s="1"/>
  <c r="K25" i="20"/>
  <c r="K32" i="20" s="1"/>
  <c r="P11" i="19"/>
  <c r="P39" i="19" s="1"/>
  <c r="B12" i="21"/>
  <c r="B19" i="21" s="1"/>
  <c r="E24" i="15"/>
  <c r="E31" i="15" s="1"/>
  <c r="K12" i="21"/>
  <c r="K19" i="21" s="1"/>
  <c r="R12" i="21"/>
  <c r="R19" i="21" s="1"/>
  <c r="D12" i="21"/>
  <c r="D19" i="21" s="1"/>
  <c r="Q25" i="20"/>
  <c r="Q32" i="20" s="1"/>
  <c r="Q12" i="20"/>
  <c r="G10" i="20"/>
  <c r="G17" i="20" s="1"/>
  <c r="P105" i="20"/>
  <c r="U125" i="20"/>
  <c r="I150" i="17"/>
  <c r="I127" i="17"/>
  <c r="I151" i="17" s="1"/>
  <c r="R125" i="17"/>
  <c r="S125" i="17"/>
  <c r="N11" i="15"/>
  <c r="H10" i="16"/>
  <c r="H17" i="16" s="1"/>
  <c r="G17" i="16"/>
  <c r="S61" i="19"/>
  <c r="S77" i="19" s="1"/>
  <c r="R77" i="19"/>
  <c r="Q26" i="15"/>
  <c r="R64" i="19"/>
  <c r="R80" i="19" s="1"/>
  <c r="S63" i="19"/>
  <c r="R79" i="19"/>
  <c r="M111" i="20"/>
  <c r="O105" i="20"/>
  <c r="O111" i="20" s="1"/>
  <c r="T110" i="21"/>
  <c r="T116" i="21" s="1"/>
  <c r="J131" i="19"/>
  <c r="I155" i="19"/>
  <c r="D127" i="17"/>
  <c r="D151" i="17" s="1"/>
  <c r="D148" i="17"/>
  <c r="R148" i="17" s="1"/>
  <c r="T60" i="17"/>
  <c r="E11" i="15"/>
  <c r="Q130" i="19"/>
  <c r="O154" i="19"/>
  <c r="N155" i="19"/>
  <c r="R149" i="17"/>
  <c r="F127" i="17"/>
  <c r="F151" i="17" s="1"/>
  <c r="M133" i="18"/>
  <c r="M157" i="18" s="1"/>
  <c r="K127" i="17"/>
  <c r="K151" i="17" s="1"/>
  <c r="K150" i="17"/>
  <c r="G64" i="19"/>
  <c r="G80" i="19" s="1"/>
  <c r="G79" i="19"/>
  <c r="S124" i="17"/>
  <c r="M148" i="17"/>
  <c r="S148" i="17" s="1"/>
  <c r="Q57" i="15"/>
  <c r="Q61" i="15" s="1"/>
  <c r="P61" i="15"/>
  <c r="E102" i="15"/>
  <c r="E108" i="15" s="1"/>
  <c r="J10" i="17"/>
  <c r="N10" i="20"/>
  <c r="N17" i="20" s="1"/>
  <c r="K10" i="19"/>
  <c r="K38" i="19" s="1"/>
  <c r="K11" i="18"/>
  <c r="K39" i="18" s="1"/>
  <c r="C9" i="15"/>
  <c r="C16" i="15" s="1"/>
  <c r="E25" i="20"/>
  <c r="E32" i="20" s="1"/>
  <c r="K12" i="18"/>
  <c r="K40" i="18" s="1"/>
  <c r="J11" i="17"/>
  <c r="J39" i="17" s="1"/>
  <c r="F12" i="21"/>
  <c r="F19" i="21" s="1"/>
  <c r="H11" i="19"/>
  <c r="H39" i="19" s="1"/>
  <c r="O10" i="19"/>
  <c r="O38" i="19" s="1"/>
  <c r="F10" i="19"/>
  <c r="F38" i="19" s="1"/>
  <c r="M10" i="19"/>
  <c r="M38" i="19" s="1"/>
  <c r="L12" i="18"/>
  <c r="L40" i="18" s="1"/>
  <c r="P12" i="21"/>
  <c r="P19" i="21" s="1"/>
  <c r="O12" i="19"/>
  <c r="O40" i="19" s="1"/>
  <c r="G15" i="13"/>
  <c r="G17" i="13"/>
  <c r="S62" i="19"/>
  <c r="S78" i="19" s="1"/>
  <c r="R78" i="19"/>
  <c r="I10" i="19"/>
  <c r="I38" i="19" s="1"/>
  <c r="N11" i="19"/>
  <c r="N39" i="19" s="1"/>
  <c r="I11" i="17"/>
  <c r="I39" i="17" s="1"/>
  <c r="O10" i="17"/>
  <c r="F9" i="17"/>
  <c r="L24" i="15"/>
  <c r="L31" i="15" s="1"/>
  <c r="J24" i="15"/>
  <c r="J31" i="15" s="1"/>
  <c r="N43" i="15"/>
  <c r="H28" i="16"/>
  <c r="H34" i="16" s="1"/>
  <c r="O10" i="16"/>
  <c r="M17" i="16"/>
  <c r="J64" i="19"/>
  <c r="J80" i="19" s="1"/>
  <c r="I80" i="19"/>
  <c r="S61" i="17"/>
  <c r="M10" i="20"/>
  <c r="M17" i="20" s="1"/>
  <c r="I10" i="17"/>
  <c r="J10" i="20"/>
  <c r="J17" i="20" s="1"/>
  <c r="O25" i="20"/>
  <c r="O32" i="20" s="1"/>
  <c r="I12" i="19"/>
  <c r="I40" i="19" s="1"/>
  <c r="P10" i="19"/>
  <c r="P38" i="19" s="1"/>
  <c r="D9" i="17"/>
  <c r="J12" i="18"/>
  <c r="J40" i="18" s="1"/>
  <c r="H10" i="17"/>
  <c r="P77" i="17"/>
  <c r="R76" i="17"/>
  <c r="Q45" i="20"/>
  <c r="Q49" i="20" s="1"/>
  <c r="P49" i="20"/>
  <c r="O11" i="19"/>
  <c r="O39" i="19" s="1"/>
  <c r="D25" i="20"/>
  <c r="D32" i="20" s="1"/>
  <c r="E12" i="21"/>
  <c r="E19" i="21" s="1"/>
  <c r="N12" i="19"/>
  <c r="N40" i="19" s="1"/>
  <c r="F10" i="17"/>
  <c r="K11" i="17"/>
  <c r="K39" i="17" s="1"/>
  <c r="I9" i="17"/>
  <c r="I37" i="17" s="1"/>
  <c r="G24" i="15"/>
  <c r="G31" i="15" s="1"/>
  <c r="O77" i="17"/>
  <c r="S75" i="17"/>
  <c r="E10" i="20"/>
  <c r="E17" i="20" s="1"/>
  <c r="M9" i="17"/>
  <c r="M37" i="17" s="1"/>
  <c r="E43" i="15"/>
  <c r="E47" i="15" s="1"/>
  <c r="G43" i="15"/>
  <c r="G11" i="15"/>
  <c r="I25" i="20"/>
  <c r="I32" i="20" s="1"/>
  <c r="U12" i="21"/>
  <c r="U19" i="21" s="1"/>
  <c r="H24" i="15"/>
  <c r="H31" i="15" s="1"/>
  <c r="I10" i="20"/>
  <c r="I17" i="20" s="1"/>
  <c r="N11" i="17"/>
  <c r="N39" i="17" s="1"/>
  <c r="T12" i="21"/>
  <c r="T19" i="21" s="1"/>
  <c r="M11" i="17"/>
  <c r="M39" i="17" s="1"/>
  <c r="J13" i="18"/>
  <c r="J41" i="18" s="1"/>
  <c r="E11" i="19"/>
  <c r="E39" i="19" s="1"/>
  <c r="M24" i="15"/>
  <c r="M31" i="15" s="1"/>
  <c r="K10" i="20"/>
  <c r="K17" i="20" s="1"/>
  <c r="M10" i="17"/>
  <c r="X12" i="21"/>
  <c r="X19" i="21" s="1"/>
  <c r="V12" i="21"/>
  <c r="V19" i="21" s="1"/>
  <c r="K24" i="15"/>
  <c r="K31" i="15" s="1"/>
  <c r="S9" i="15"/>
  <c r="S16" i="15" s="1"/>
  <c r="J12" i="21"/>
  <c r="J19" i="21" s="1"/>
  <c r="J25" i="20"/>
  <c r="J32" i="20" s="1"/>
  <c r="N10" i="19"/>
  <c r="N38" i="19" s="1"/>
  <c r="Q21" i="19"/>
  <c r="N12" i="21"/>
  <c r="N19" i="21" s="1"/>
  <c r="H10" i="19"/>
  <c r="H38" i="19" s="1"/>
  <c r="K156" i="19"/>
  <c r="K155" i="19"/>
  <c r="M158" i="18"/>
  <c r="P156" i="19"/>
  <c r="R131" i="19"/>
  <c r="P155" i="19"/>
  <c r="O127" i="17"/>
  <c r="O151" i="17" s="1"/>
  <c r="O150" i="17"/>
  <c r="G127" i="17"/>
  <c r="G151" i="17" s="1"/>
  <c r="U28" i="16"/>
  <c r="U34" i="16" s="1"/>
  <c r="L77" i="17"/>
  <c r="V119" i="20"/>
  <c r="M155" i="19"/>
  <c r="M156" i="19"/>
  <c r="G130" i="19"/>
  <c r="G154" i="19" s="1"/>
  <c r="F154" i="19"/>
  <c r="L155" i="19"/>
  <c r="M132" i="18"/>
  <c r="M156" i="18" s="1"/>
  <c r="L156" i="18"/>
  <c r="O28" i="16"/>
  <c r="O34" i="16" s="1"/>
  <c r="R61" i="17"/>
  <c r="K158" i="18"/>
  <c r="K135" i="18"/>
  <c r="K159" i="18" s="1"/>
  <c r="P10" i="16"/>
  <c r="P17" i="16" s="1"/>
  <c r="N17" i="16"/>
  <c r="E155" i="19"/>
  <c r="N73" i="15"/>
  <c r="I154" i="19"/>
  <c r="J130" i="19"/>
  <c r="J154" i="19" s="1"/>
  <c r="P127" i="17"/>
  <c r="P151" i="17" s="1"/>
  <c r="P150" i="17"/>
  <c r="R126" i="17"/>
  <c r="H127" i="17"/>
  <c r="H151" i="17" s="1"/>
  <c r="H150" i="17"/>
  <c r="T59" i="17"/>
  <c r="T53" i="17"/>
  <c r="J21" i="19"/>
  <c r="S20" i="17"/>
  <c r="N25" i="20"/>
  <c r="N32" i="20" s="1"/>
  <c r="G12" i="13"/>
  <c r="G14" i="13"/>
  <c r="AP9" i="12"/>
  <c r="AP23" i="12" s="1"/>
  <c r="J9" i="12"/>
  <c r="J23" i="12" s="1"/>
  <c r="G13" i="14"/>
  <c r="Q9" i="12"/>
  <c r="Q23" i="12" s="1"/>
  <c r="Z8" i="12"/>
  <c r="Z22" i="12" s="1"/>
  <c r="AE9" i="12"/>
  <c r="AE23" i="12" s="1"/>
  <c r="R9" i="12"/>
  <c r="R23" i="12" s="1"/>
  <c r="X8" i="12"/>
  <c r="X22" i="12" s="1"/>
  <c r="G14" i="14"/>
  <c r="G17" i="14"/>
  <c r="G16" i="14"/>
  <c r="O8" i="12"/>
  <c r="O22" i="12" s="1"/>
  <c r="K15" i="13"/>
  <c r="AP8" i="12"/>
  <c r="AP22" i="12" s="1"/>
  <c r="AC8" i="12"/>
  <c r="AC22" i="12" s="1"/>
  <c r="T8" i="12"/>
  <c r="T22" i="12" s="1"/>
  <c r="AU9" i="12"/>
  <c r="AU23" i="12" s="1"/>
  <c r="AQ8" i="12"/>
  <c r="AQ22" i="12" s="1"/>
  <c r="AC9" i="12"/>
  <c r="AC23" i="12" s="1"/>
  <c r="AZ47" i="12"/>
  <c r="K9" i="12"/>
  <c r="K23" i="12" s="1"/>
  <c r="AN9" i="12"/>
  <c r="AN23" i="12" s="1"/>
  <c r="AV9" i="12"/>
  <c r="AV23" i="12" s="1"/>
  <c r="AY9" i="12"/>
  <c r="AY23" i="12" s="1"/>
  <c r="U8" i="12"/>
  <c r="U22" i="12" s="1"/>
  <c r="BC8" i="12"/>
  <c r="BC22" i="12" s="1"/>
  <c r="Q8" i="12"/>
  <c r="Q22" i="12" s="1"/>
  <c r="AS8" i="12"/>
  <c r="AS22" i="12" s="1"/>
  <c r="V8" i="12"/>
  <c r="V22" i="12" s="1"/>
  <c r="AM9" i="12"/>
  <c r="AM23" i="12" s="1"/>
  <c r="F20" i="5"/>
  <c r="F52" i="5" s="1"/>
  <c r="I8" i="12"/>
  <c r="I22" i="12" s="1"/>
  <c r="O9" i="12"/>
  <c r="O23" i="12" s="1"/>
  <c r="AK9" i="12"/>
  <c r="AK23" i="12" s="1"/>
  <c r="AA8" i="12"/>
  <c r="AA22" i="12" s="1"/>
  <c r="G9" i="12"/>
  <c r="G23" i="12" s="1"/>
  <c r="BA8" i="12"/>
  <c r="BA22" i="12" s="1"/>
  <c r="AO8" i="12"/>
  <c r="AO22" i="12" s="1"/>
  <c r="BD8" i="12"/>
  <c r="BD22" i="12" s="1"/>
  <c r="AI9" i="12"/>
  <c r="AI23" i="12" s="1"/>
  <c r="L9" i="12"/>
  <c r="L23" i="12" s="1"/>
  <c r="AY8" i="12"/>
  <c r="AY22" i="12" s="1"/>
  <c r="AG8" i="12"/>
  <c r="AG22" i="12" s="1"/>
  <c r="E8" i="12"/>
  <c r="E22" i="12" s="1"/>
  <c r="W9" i="12"/>
  <c r="W23" i="12" s="1"/>
  <c r="BC9" i="12"/>
  <c r="BC23" i="12" s="1"/>
  <c r="AS9" i="12"/>
  <c r="AS23" i="12" s="1"/>
  <c r="C9" i="12"/>
  <c r="C23" i="12" s="1"/>
  <c r="AK8" i="12"/>
  <c r="AK22" i="12" s="1"/>
  <c r="P8" i="12"/>
  <c r="P22" i="12" s="1"/>
  <c r="AB47" i="12"/>
  <c r="AA9" i="12"/>
  <c r="AA23" i="12" s="1"/>
  <c r="E9" i="12"/>
  <c r="E23" i="12" s="1"/>
  <c r="S9" i="12"/>
  <c r="S23" i="12" s="1"/>
  <c r="BA9" i="12"/>
  <c r="BA23" i="12" s="1"/>
  <c r="AQ9" i="12"/>
  <c r="AQ23" i="12" s="1"/>
  <c r="AG9" i="12"/>
  <c r="AG23" i="12" s="1"/>
  <c r="Y8" i="12"/>
  <c r="Y22" i="12" s="1"/>
  <c r="T9" i="12"/>
  <c r="T23" i="12" s="1"/>
  <c r="AR9" i="12"/>
  <c r="AR23" i="12" s="1"/>
  <c r="C8" i="12"/>
  <c r="Y9" i="12"/>
  <c r="Y23" i="12" s="1"/>
  <c r="AW8" i="12"/>
  <c r="AW22" i="12" s="1"/>
  <c r="AM8" i="12"/>
  <c r="AM22" i="12" s="1"/>
  <c r="N8" i="12"/>
  <c r="F8" i="12"/>
  <c r="U9" i="12"/>
  <c r="U23" i="12" s="1"/>
  <c r="D9" i="12"/>
  <c r="D23" i="12" s="1"/>
  <c r="AI8" i="12"/>
  <c r="AI22" i="12" s="1"/>
  <c r="R8" i="12"/>
  <c r="R22" i="12" s="1"/>
  <c r="AN8" i="12"/>
  <c r="AN22" i="12" s="1"/>
  <c r="X9" i="12"/>
  <c r="X23" i="12" s="1"/>
  <c r="P9" i="12"/>
  <c r="P23" i="12" s="1"/>
  <c r="H8" i="12"/>
  <c r="H22" i="12" s="1"/>
  <c r="W8" i="12"/>
  <c r="W22" i="12" s="1"/>
  <c r="AU8" i="12"/>
  <c r="AU22" i="12" s="1"/>
  <c r="D8" i="12"/>
  <c r="D22" i="12" s="1"/>
  <c r="D92" i="12"/>
  <c r="D93" i="12" s="1"/>
  <c r="BI80" i="12"/>
  <c r="BI92" i="12" s="1"/>
  <c r="BI79" i="12"/>
  <c r="BI91" i="12" s="1"/>
  <c r="L8" i="12"/>
  <c r="L22" i="12" s="1"/>
  <c r="I9" i="12"/>
  <c r="I23" i="12" s="1"/>
  <c r="AE8" i="12"/>
  <c r="AE22" i="12" s="1"/>
  <c r="K8" i="12"/>
  <c r="K22" i="12" s="1"/>
  <c r="AX8" i="12"/>
  <c r="AX22" i="12" s="1"/>
  <c r="AH8" i="12"/>
  <c r="AH22" i="12" s="1"/>
  <c r="S8" i="12"/>
  <c r="S22" i="12" s="1"/>
  <c r="H9" i="12"/>
  <c r="H23" i="12" s="1"/>
  <c r="AB8" i="12"/>
  <c r="AB22" i="12" s="1"/>
  <c r="J8" i="12"/>
  <c r="J22" i="12" s="1"/>
  <c r="AV8" i="12"/>
  <c r="AV22" i="12" s="1"/>
  <c r="AF8" i="12"/>
  <c r="BH9" i="12"/>
  <c r="AW9" i="12"/>
  <c r="AW23" i="12" s="1"/>
  <c r="AO9" i="12"/>
  <c r="AO23" i="12" s="1"/>
  <c r="G8" i="12"/>
  <c r="G22" i="12" s="1"/>
  <c r="AZ9" i="12"/>
  <c r="AZ23" i="12" s="1"/>
  <c r="AJ9" i="12"/>
  <c r="AJ23" i="12" s="1"/>
  <c r="AB9" i="12"/>
  <c r="AB23" i="12" s="1"/>
  <c r="H47" i="12"/>
  <c r="BB8" i="12"/>
  <c r="BB22" i="12" s="1"/>
  <c r="AT8" i="12"/>
  <c r="AT22" i="12" s="1"/>
  <c r="AL8" i="12"/>
  <c r="AD8" i="12"/>
  <c r="AD22" i="12" s="1"/>
  <c r="G56" i="13"/>
  <c r="G57" i="13" s="1"/>
  <c r="E57" i="13"/>
  <c r="E123" i="13"/>
  <c r="G123" i="13" s="1"/>
  <c r="G122" i="13"/>
  <c r="M102" i="15"/>
  <c r="AZ8" i="12"/>
  <c r="AZ22" i="12" s="1"/>
  <c r="AR8" i="12"/>
  <c r="AR22" i="12" s="1"/>
  <c r="AJ8" i="12"/>
  <c r="AJ22" i="12" s="1"/>
  <c r="J102" i="15"/>
  <c r="I102" i="15"/>
  <c r="I108" i="15" s="1"/>
  <c r="G47" i="12"/>
  <c r="F47" i="12"/>
  <c r="K47" i="12"/>
  <c r="CL13" i="5"/>
  <c r="CL10" i="5"/>
  <c r="J47" i="12"/>
  <c r="CL21" i="5"/>
  <c r="CL25" i="5" s="1"/>
  <c r="CL26" i="5" s="1"/>
  <c r="I47" i="12"/>
  <c r="BI38" i="12"/>
  <c r="BI46" i="12" s="1"/>
  <c r="M47" i="12"/>
  <c r="BI70" i="12"/>
  <c r="CL8" i="5"/>
  <c r="CL9" i="5"/>
  <c r="CL7" i="5"/>
  <c r="M24" i="12"/>
  <c r="CL6" i="5"/>
  <c r="G132" i="19" l="1"/>
  <c r="AL22" i="12"/>
  <c r="AL24" i="12" s="1"/>
  <c r="F22" i="12"/>
  <c r="F24" i="12" s="1"/>
  <c r="BH23" i="12"/>
  <c r="BH24" i="12" s="1"/>
  <c r="R132" i="19"/>
  <c r="R156" i="19" s="1"/>
  <c r="D40" i="17"/>
  <c r="J132" i="19"/>
  <c r="J156" i="19" s="1"/>
  <c r="Q155" i="19"/>
  <c r="Q132" i="19"/>
  <c r="AF22" i="12"/>
  <c r="AF24" i="12" s="1"/>
  <c r="S129" i="19"/>
  <c r="S153" i="19" s="1"/>
  <c r="R153" i="19"/>
  <c r="H78" i="15"/>
  <c r="K10" i="15"/>
  <c r="K73" i="15"/>
  <c r="M81" i="18"/>
  <c r="FA55" i="5"/>
  <c r="EY21" i="5"/>
  <c r="I78" i="15"/>
  <c r="V24" i="12"/>
  <c r="G47" i="15"/>
  <c r="I41" i="15"/>
  <c r="W125" i="20"/>
  <c r="BU20" i="5"/>
  <c r="BU52" i="5" s="1"/>
  <c r="J41" i="15"/>
  <c r="H41" i="15"/>
  <c r="CL11" i="5"/>
  <c r="CL12" i="5" s="1"/>
  <c r="CL54" i="5" s="1"/>
  <c r="DH20" i="5"/>
  <c r="DH52" i="5" s="1"/>
  <c r="ER20" i="5"/>
  <c r="ER52" i="5" s="1"/>
  <c r="FN20" i="5"/>
  <c r="FN52" i="5" s="1"/>
  <c r="AH20" i="5"/>
  <c r="AH52" i="5" s="1"/>
  <c r="CK20" i="5"/>
  <c r="CK52" i="5" s="1"/>
  <c r="S21" i="19"/>
  <c r="N72" i="15"/>
  <c r="N78" i="15" s="1"/>
  <c r="DZ20" i="5"/>
  <c r="DZ52" i="5" s="1"/>
  <c r="BH20" i="5"/>
  <c r="BH52" i="5" s="1"/>
  <c r="CJ20" i="5"/>
  <c r="CJ52" i="5" s="1"/>
  <c r="EI20" i="5"/>
  <c r="EI52" i="5" s="1"/>
  <c r="CY20" i="5"/>
  <c r="CY52" i="5" s="1"/>
  <c r="J72" i="15"/>
  <c r="J78" i="15" s="1"/>
  <c r="AU20" i="5"/>
  <c r="AU52" i="5" s="1"/>
  <c r="CL14" i="5"/>
  <c r="CL15" i="5" s="1"/>
  <c r="CL55" i="5" s="1"/>
  <c r="W119" i="20"/>
  <c r="S127" i="17"/>
  <c r="BB24" i="12"/>
  <c r="J24" i="12"/>
  <c r="R150" i="17"/>
  <c r="Z24" i="12"/>
  <c r="AX24" i="12"/>
  <c r="AD24" i="12"/>
  <c r="AQ24" i="12"/>
  <c r="AH24" i="12"/>
  <c r="N41" i="15"/>
  <c r="N47" i="15" s="1"/>
  <c r="AN24" i="12"/>
  <c r="S151" i="17"/>
  <c r="AT24" i="12"/>
  <c r="Q24" i="12"/>
  <c r="S150" i="17"/>
  <c r="AE24" i="12"/>
  <c r="N24" i="12"/>
  <c r="S9" i="17"/>
  <c r="T74" i="17"/>
  <c r="BD24" i="12"/>
  <c r="R127" i="17"/>
  <c r="T124" i="17"/>
  <c r="T75" i="17"/>
  <c r="T20" i="17"/>
  <c r="T76" i="17"/>
  <c r="T125" i="17"/>
  <c r="S77" i="17"/>
  <c r="K24" i="12"/>
  <c r="T61" i="17"/>
  <c r="Q116" i="15"/>
  <c r="Q122" i="15" s="1"/>
  <c r="P122" i="15"/>
  <c r="J43" i="15"/>
  <c r="J11" i="15"/>
  <c r="L24" i="12"/>
  <c r="O24" i="15"/>
  <c r="O31" i="15" s="1"/>
  <c r="J14" i="18"/>
  <c r="J42" i="18" s="1"/>
  <c r="H11" i="15"/>
  <c r="F12" i="17"/>
  <c r="F40" i="17"/>
  <c r="Q11" i="19"/>
  <c r="Q39" i="19" s="1"/>
  <c r="R10" i="19"/>
  <c r="R38" i="19" s="1"/>
  <c r="U25" i="20"/>
  <c r="U32" i="20" s="1"/>
  <c r="O10" i="20"/>
  <c r="O13" i="19"/>
  <c r="O41" i="19" s="1"/>
  <c r="Q12" i="19"/>
  <c r="Q40" i="19" s="1"/>
  <c r="M12" i="18"/>
  <c r="M40" i="18" s="1"/>
  <c r="G10" i="19"/>
  <c r="G38" i="19" s="1"/>
  <c r="J12" i="17"/>
  <c r="J40" i="17"/>
  <c r="P10" i="20"/>
  <c r="P24" i="15"/>
  <c r="P31" i="15" s="1"/>
  <c r="V25" i="20"/>
  <c r="V32" i="20" s="1"/>
  <c r="Q12" i="17"/>
  <c r="S11" i="17"/>
  <c r="R9" i="17"/>
  <c r="E12" i="17"/>
  <c r="F9" i="15"/>
  <c r="F102" i="15"/>
  <c r="F108" i="15" s="1"/>
  <c r="I11" i="15"/>
  <c r="I43" i="15"/>
  <c r="G102" i="15"/>
  <c r="AK24" i="12"/>
  <c r="R151" i="17"/>
  <c r="M135" i="18"/>
  <c r="M159" i="18" s="1"/>
  <c r="H43" i="15"/>
  <c r="R77" i="17"/>
  <c r="I12" i="17"/>
  <c r="I40" i="17"/>
  <c r="Q156" i="19"/>
  <c r="Q154" i="19"/>
  <c r="S64" i="19"/>
  <c r="S80" i="19" s="1"/>
  <c r="S79" i="19"/>
  <c r="G156" i="19"/>
  <c r="H12" i="17"/>
  <c r="H40" i="17"/>
  <c r="Q28" i="16"/>
  <c r="Q34" i="16" s="1"/>
  <c r="G11" i="19"/>
  <c r="G39" i="19" s="1"/>
  <c r="M13" i="19"/>
  <c r="M41" i="19" s="1"/>
  <c r="L12" i="17"/>
  <c r="G12" i="17"/>
  <c r="G40" i="17"/>
  <c r="O12" i="17"/>
  <c r="P13" i="19"/>
  <c r="P41" i="19" s="1"/>
  <c r="R12" i="19"/>
  <c r="R40" i="19" s="1"/>
  <c r="K102" i="15"/>
  <c r="K108" i="15" s="1"/>
  <c r="J108" i="15"/>
  <c r="M108" i="15"/>
  <c r="B9" i="15"/>
  <c r="B16" i="15" s="1"/>
  <c r="S131" i="19"/>
  <c r="R155" i="19"/>
  <c r="M12" i="17"/>
  <c r="N12" i="17"/>
  <c r="K12" i="17"/>
  <c r="K40" i="17"/>
  <c r="N13" i="19"/>
  <c r="N41" i="19" s="1"/>
  <c r="D12" i="17"/>
  <c r="J12" i="19"/>
  <c r="J40" i="19" s="1"/>
  <c r="I13" i="19"/>
  <c r="I41" i="19" s="1"/>
  <c r="S10" i="17"/>
  <c r="J10" i="19"/>
  <c r="J38" i="19" s="1"/>
  <c r="Q10" i="19"/>
  <c r="Q38" i="19" s="1"/>
  <c r="E13" i="19"/>
  <c r="E41" i="19" s="1"/>
  <c r="K14" i="18"/>
  <c r="K42" i="18" s="1"/>
  <c r="R10" i="17"/>
  <c r="H13" i="19"/>
  <c r="H41" i="19" s="1"/>
  <c r="L102" i="15"/>
  <c r="L108" i="15" s="1"/>
  <c r="AO24" i="12"/>
  <c r="S24" i="12"/>
  <c r="T24" i="12"/>
  <c r="AC24" i="12"/>
  <c r="AP24" i="12"/>
  <c r="T126" i="17"/>
  <c r="Q10" i="16"/>
  <c r="Q17" i="16" s="1"/>
  <c r="O17" i="16"/>
  <c r="T148" i="17"/>
  <c r="J155" i="19"/>
  <c r="S149" i="17"/>
  <c r="T149" i="17" s="1"/>
  <c r="S130" i="19"/>
  <c r="S154" i="19" s="1"/>
  <c r="Q105" i="20"/>
  <c r="Q111" i="20" s="1"/>
  <c r="P111" i="20"/>
  <c r="S12" i="21"/>
  <c r="S19" i="21" s="1"/>
  <c r="R11" i="19"/>
  <c r="R39" i="19" s="1"/>
  <c r="L14" i="18"/>
  <c r="L42" i="18" s="1"/>
  <c r="M13" i="18"/>
  <c r="M41" i="18" s="1"/>
  <c r="G12" i="19"/>
  <c r="G40" i="19" s="1"/>
  <c r="F13" i="19"/>
  <c r="F41" i="19" s="1"/>
  <c r="P12" i="17"/>
  <c r="R11" i="17"/>
  <c r="J11" i="19"/>
  <c r="J39" i="19" s="1"/>
  <c r="M11" i="18"/>
  <c r="M39" i="18" s="1"/>
  <c r="L13" i="19"/>
  <c r="L41" i="19" s="1"/>
  <c r="K13" i="19"/>
  <c r="K41" i="19" s="1"/>
  <c r="G21" i="13"/>
  <c r="G22" i="13" s="1"/>
  <c r="AU24" i="12"/>
  <c r="X24" i="12"/>
  <c r="R24" i="12"/>
  <c r="AI24" i="12"/>
  <c r="O24" i="12"/>
  <c r="AY24" i="12"/>
  <c r="G21" i="14"/>
  <c r="G22" i="14" s="1"/>
  <c r="Y24" i="12"/>
  <c r="AV24" i="12"/>
  <c r="BC24" i="12"/>
  <c r="AG24" i="12"/>
  <c r="AM24" i="12"/>
  <c r="H24" i="12"/>
  <c r="W24" i="12"/>
  <c r="U24" i="12"/>
  <c r="AW24" i="12"/>
  <c r="BA24" i="12"/>
  <c r="AS24" i="12"/>
  <c r="AA24" i="12"/>
  <c r="AR24" i="12"/>
  <c r="G24" i="12"/>
  <c r="I24" i="12"/>
  <c r="E24" i="12"/>
  <c r="P24" i="12"/>
  <c r="AZ24" i="12"/>
  <c r="AB24" i="12"/>
  <c r="BI93" i="12"/>
  <c r="D24" i="12"/>
  <c r="BI9" i="12"/>
  <c r="BI23" i="12" s="1"/>
  <c r="AJ24" i="12"/>
  <c r="BI8" i="12"/>
  <c r="MD13" i="5"/>
  <c r="MD14" i="5" s="1"/>
  <c r="MD15" i="5" s="1"/>
  <c r="BI47" i="12"/>
  <c r="C24" i="12"/>
  <c r="S132" i="19" l="1"/>
  <c r="S156" i="19" s="1"/>
  <c r="I47" i="15"/>
  <c r="FA19" i="5"/>
  <c r="FA20" i="5" s="1"/>
  <c r="EY25" i="5"/>
  <c r="EY26" i="5" s="1"/>
  <c r="FA21" i="5"/>
  <c r="FA25" i="5" s="1"/>
  <c r="FA26" i="5" s="1"/>
  <c r="MD20" i="5"/>
  <c r="MD52" i="5" s="1"/>
  <c r="MD55" i="5"/>
  <c r="K41" i="15"/>
  <c r="J47" i="15"/>
  <c r="CL20" i="5"/>
  <c r="CL52" i="5" s="1"/>
  <c r="K72" i="15"/>
  <c r="K78" i="15" s="1"/>
  <c r="T150" i="17"/>
  <c r="L40" i="17"/>
  <c r="T151" i="17"/>
  <c r="W25" i="20"/>
  <c r="W32" i="20" s="1"/>
  <c r="M40" i="17"/>
  <c r="E40" i="17"/>
  <c r="S37" i="17"/>
  <c r="T127" i="17"/>
  <c r="T77" i="17"/>
  <c r="O40" i="17"/>
  <c r="N40" i="17"/>
  <c r="P40" i="17"/>
  <c r="R39" i="17"/>
  <c r="T10" i="17"/>
  <c r="S155" i="19"/>
  <c r="N102" i="15"/>
  <c r="N108" i="15" s="1"/>
  <c r="R13" i="19"/>
  <c r="R41" i="19" s="1"/>
  <c r="S12" i="19"/>
  <c r="S40" i="19" s="1"/>
  <c r="Q10" i="20"/>
  <c r="Q13" i="19"/>
  <c r="Q41" i="19" s="1"/>
  <c r="R12" i="17"/>
  <c r="G13" i="19"/>
  <c r="G41" i="19" s="1"/>
  <c r="E9" i="15"/>
  <c r="E16" i="15" s="1"/>
  <c r="T9" i="17"/>
  <c r="K11" i="15"/>
  <c r="I9" i="15"/>
  <c r="I16" i="15" s="1"/>
  <c r="M9" i="15"/>
  <c r="M16" i="15" s="1"/>
  <c r="S11" i="19"/>
  <c r="S39" i="19" s="1"/>
  <c r="G108" i="15"/>
  <c r="H102" i="15"/>
  <c r="H108" i="15" s="1"/>
  <c r="Q40" i="17"/>
  <c r="S39" i="17"/>
  <c r="Q24" i="15"/>
  <c r="Q31" i="15" s="1"/>
  <c r="K43" i="15"/>
  <c r="J9" i="15"/>
  <c r="J16" i="15" s="1"/>
  <c r="M14" i="18"/>
  <c r="M42" i="18" s="1"/>
  <c r="L9" i="15"/>
  <c r="L16" i="15" s="1"/>
  <c r="R38" i="17"/>
  <c r="S38" i="17"/>
  <c r="J13" i="19"/>
  <c r="J41" i="19" s="1"/>
  <c r="G9" i="15"/>
  <c r="G16" i="15" s="1"/>
  <c r="S12" i="17"/>
  <c r="T11" i="17"/>
  <c r="S10" i="19"/>
  <c r="S38" i="19" s="1"/>
  <c r="BI24" i="12"/>
  <c r="EY52" i="5" l="1"/>
  <c r="EY54" i="5"/>
  <c r="FA54" i="5"/>
  <c r="FA52" i="5"/>
  <c r="K47" i="15"/>
  <c r="R40" i="17"/>
  <c r="T37" i="17"/>
  <c r="S40" i="17"/>
  <c r="N9" i="15"/>
  <c r="N16" i="15" s="1"/>
  <c r="S13" i="19"/>
  <c r="S41" i="19" s="1"/>
  <c r="T12" i="17"/>
  <c r="T39" i="17"/>
  <c r="H9" i="15"/>
  <c r="T38" i="17"/>
  <c r="K9" i="15"/>
  <c r="K16" i="15" s="1"/>
  <c r="T40" i="17" l="1"/>
  <c r="F44" i="15"/>
  <c r="F47" i="15" s="1"/>
  <c r="F12" i="15"/>
  <c r="F16" i="15" s="1"/>
  <c r="H12" i="15" l="1"/>
  <c r="H16" i="15" s="1"/>
  <c r="H44" i="15"/>
  <c r="H47" i="15" s="1"/>
</calcChain>
</file>

<file path=xl/sharedStrings.xml><?xml version="1.0" encoding="utf-8"?>
<sst xmlns="http://schemas.openxmlformats.org/spreadsheetml/2006/main" count="3880" uniqueCount="571">
  <si>
    <t>ت</t>
  </si>
  <si>
    <t xml:space="preserve">الرقم الاحصائي </t>
  </si>
  <si>
    <t xml:space="preserve">اسم المدرسة </t>
  </si>
  <si>
    <t xml:space="preserve">القضاء </t>
  </si>
  <si>
    <t xml:space="preserve">الناحية </t>
  </si>
  <si>
    <t>بنون</t>
  </si>
  <si>
    <t>بنات</t>
  </si>
  <si>
    <t>مختلط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</si>
  <si>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</si>
  <si>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</si>
  <si>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</si>
  <si>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</si>
  <si>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</si>
  <si>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</si>
  <si>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</si>
  <si>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</si>
  <si>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</si>
  <si>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</si>
  <si>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</si>
  <si>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</si>
  <si>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>جنس المدرسة</t>
  </si>
  <si>
    <t>بيئة المدرسة</t>
  </si>
  <si>
    <t xml:space="preserve">دوام المدرسة </t>
  </si>
  <si>
    <t xml:space="preserve">استقلالية المدرسة </t>
  </si>
  <si>
    <t>نوع الازدواج</t>
  </si>
  <si>
    <t>المجموع</t>
  </si>
  <si>
    <t>15 سنة</t>
  </si>
  <si>
    <t xml:space="preserve">عدد الشعب حسب الصف والجنس </t>
  </si>
  <si>
    <t xml:space="preserve">ذكور </t>
  </si>
  <si>
    <t>اناث</t>
  </si>
  <si>
    <t>مدير</t>
  </si>
  <si>
    <t>معاون</t>
  </si>
  <si>
    <t xml:space="preserve">اعدادية </t>
  </si>
  <si>
    <t>دبلوم عالي</t>
  </si>
  <si>
    <t>ماجستير</t>
  </si>
  <si>
    <t>دكتوراه</t>
  </si>
  <si>
    <t>اخرى</t>
  </si>
  <si>
    <t>مستأجرة</t>
  </si>
  <si>
    <t>مدرسة واحدة</t>
  </si>
  <si>
    <t>مدرستان</t>
  </si>
  <si>
    <t>صالحة</t>
  </si>
  <si>
    <t>غير صالحة</t>
  </si>
  <si>
    <t>غير مدرسي</t>
  </si>
  <si>
    <t>طين</t>
  </si>
  <si>
    <t>بناء جاهز</t>
  </si>
  <si>
    <t>بحاجة الى ترميم</t>
  </si>
  <si>
    <t>عدد الكتب</t>
  </si>
  <si>
    <t>16 سنة</t>
  </si>
  <si>
    <t>17 سنة</t>
  </si>
  <si>
    <t>18 سنة</t>
  </si>
  <si>
    <t>19 سنة</t>
  </si>
  <si>
    <t>20 سنة</t>
  </si>
  <si>
    <t>17سنة</t>
  </si>
  <si>
    <t>18سنة</t>
  </si>
  <si>
    <t>19سنة</t>
  </si>
  <si>
    <t>20سنة</t>
  </si>
  <si>
    <t>21سنة</t>
  </si>
  <si>
    <t>الصف الاول</t>
  </si>
  <si>
    <t>الصف الثاني</t>
  </si>
  <si>
    <t>الصف الثالث</t>
  </si>
  <si>
    <t xml:space="preserve">عدد الطلبة المستجدين في الصف الاول حسب العمر </t>
  </si>
  <si>
    <t xml:space="preserve">عدد الطلبة المسجلين في الصف الثاني  حسب العمر والجنس </t>
  </si>
  <si>
    <t xml:space="preserve">عدد الطلبة المسجلين في الصف الثالث  حسب العمر والجنس </t>
  </si>
  <si>
    <t>مدرس</t>
  </si>
  <si>
    <t>دبلوم عام</t>
  </si>
  <si>
    <t>بكلوريوس عام</t>
  </si>
  <si>
    <t xml:space="preserve">عدد الطلبة المسجلين في الصف الاول حسب العمر والجنس </t>
  </si>
  <si>
    <t>مختلطة</t>
  </si>
  <si>
    <t>مرشد تربوي</t>
  </si>
  <si>
    <t>دبلوم تعليمي</t>
  </si>
  <si>
    <t>بكلوريوس تعليمي</t>
  </si>
  <si>
    <t>اخرى تذكر</t>
  </si>
  <si>
    <t>اعضاء الهيئة التعليمية و التدريسية حسب العنوان الوظيفي</t>
  </si>
  <si>
    <t>ذكور</t>
  </si>
  <si>
    <t>هل المدرسة فتح جديد</t>
  </si>
  <si>
    <t>نعم</t>
  </si>
  <si>
    <t>كلا</t>
  </si>
  <si>
    <t>15سنة</t>
  </si>
  <si>
    <t>16سنة</t>
  </si>
  <si>
    <t>عدد الطلبة المسجلين حسب الصف والجنس (المجموع الكلي)</t>
  </si>
  <si>
    <t xml:space="preserve">الأبنية المدرسية </t>
  </si>
  <si>
    <t>الحاسبات  :-</t>
  </si>
  <si>
    <t>المكتبات المدرسية  :-</t>
  </si>
  <si>
    <t>عدد الابنية المدرسية حسب :-</t>
  </si>
  <si>
    <t>هل البناية مزودة بخدمة المجاري</t>
  </si>
  <si>
    <t>هل ترتبط البناية بشبكة الماء الصالح للشرب</t>
  </si>
  <si>
    <t>هل هناك سياج حول البناية</t>
  </si>
  <si>
    <t>هل تتوفر في البناية مرافق صحية</t>
  </si>
  <si>
    <t>عدد الحاسبات الالكترونية  (كومبيوتر)</t>
  </si>
  <si>
    <t>عدد الطابعات</t>
  </si>
  <si>
    <t>عدد الماسحات الضوئية  (سكنرات)</t>
  </si>
  <si>
    <t>هل توجد مكتبة</t>
  </si>
  <si>
    <t>داخل قوة العمل</t>
  </si>
  <si>
    <t>خارج قوة العمل</t>
  </si>
  <si>
    <t>عدد الطوابق</t>
  </si>
  <si>
    <t xml:space="preserve"> العائدية</t>
  </si>
  <si>
    <t>عدد المدارس التي تشغلها</t>
  </si>
  <si>
    <t>الحالة العمرانية</t>
  </si>
  <si>
    <t>مادة البناء</t>
  </si>
  <si>
    <t>مدرسي</t>
  </si>
  <si>
    <t>طابق واحد</t>
  </si>
  <si>
    <t>طابقين</t>
  </si>
  <si>
    <t>ثلاث طوابق</t>
  </si>
  <si>
    <t>حكومية تابعة لوزارة التربية</t>
  </si>
  <si>
    <t>حكومية تابعة لجهات اخرى</t>
  </si>
  <si>
    <t>ثلاث مدارس</t>
  </si>
  <si>
    <t>طابوق او حجر او بلوك</t>
  </si>
  <si>
    <t xml:space="preserve">نعم </t>
  </si>
  <si>
    <t xml:space="preserve">عددالطلبة المسجلين من غير العراقيين </t>
  </si>
  <si>
    <t>المناذرة</t>
  </si>
  <si>
    <t>المركز</t>
  </si>
  <si>
    <t xml:space="preserve"> المديرية العامة للتربية في محافظة النجف الاشرف </t>
  </si>
  <si>
    <t>التعليم المهني</t>
  </si>
  <si>
    <t xml:space="preserve">جدول رقم ( 1 ) </t>
  </si>
  <si>
    <t xml:space="preserve">عدد المدارس والطلبة الموجودين والمستجدين وأعضاء الهيئة التدريسية واستقلالية المدرسة ونوع الازدواج ( الصباحي والمسائي ) </t>
  </si>
  <si>
    <t>الفرع</t>
  </si>
  <si>
    <t>عدد المدارس</t>
  </si>
  <si>
    <t>عدد الطلبة المقبولين الجدد</t>
  </si>
  <si>
    <t>عدد الطلبة الوجودين</t>
  </si>
  <si>
    <t>عدد أعضاء الهيئة التدريسية</t>
  </si>
  <si>
    <t>استقلالية المدرسة</t>
  </si>
  <si>
    <t xml:space="preserve">بنون </t>
  </si>
  <si>
    <t xml:space="preserve">أصلية </t>
  </si>
  <si>
    <t>الصناعي</t>
  </si>
  <si>
    <t>الزراعي</t>
  </si>
  <si>
    <t>التجاري</t>
  </si>
  <si>
    <t xml:space="preserve">جدول رقم ( 2 ) </t>
  </si>
  <si>
    <t>عمر 15 سنة</t>
  </si>
  <si>
    <t>عمر 16 سنة</t>
  </si>
  <si>
    <t>عمر 17 سنة</t>
  </si>
  <si>
    <t>عمر 18 سنة</t>
  </si>
  <si>
    <t>عمر 19 سنة</t>
  </si>
  <si>
    <t>المجمـــــــــــــوع</t>
  </si>
  <si>
    <t xml:space="preserve">جدول رقم ( 3 ) </t>
  </si>
  <si>
    <t xml:space="preserve">عدد المدارس والمدرسين والطلبة والشعب (( المدارس المسائية فقط )) </t>
  </si>
  <si>
    <t xml:space="preserve"> </t>
  </si>
  <si>
    <t>عدد المدرسين</t>
  </si>
  <si>
    <t>عدد الطلبة المسجلين</t>
  </si>
  <si>
    <t>الشعب</t>
  </si>
  <si>
    <t>المجموع الكلي</t>
  </si>
  <si>
    <t xml:space="preserve">جدول رقم ( 4 ) </t>
  </si>
  <si>
    <t>عدد الطلبة المسجلين حسب العمر والجنس والصف والفرع ( الصباحي والمسائي )</t>
  </si>
  <si>
    <t>الصف</t>
  </si>
  <si>
    <t>عمر 20 سنة</t>
  </si>
  <si>
    <t>عمر 21 سنة</t>
  </si>
  <si>
    <t>الاول</t>
  </si>
  <si>
    <t>الثاني</t>
  </si>
  <si>
    <t>الثالث</t>
  </si>
  <si>
    <t xml:space="preserve">المديرية العامة للتربية في محافظة النجف الاشرف </t>
  </si>
  <si>
    <t xml:space="preserve">جدول رقم (6) </t>
  </si>
  <si>
    <t>الفشل في الامتحان</t>
  </si>
  <si>
    <t>تجاوز ايام الغياب</t>
  </si>
  <si>
    <t>أسباب أخرى</t>
  </si>
  <si>
    <t xml:space="preserve">المجمــــــــــــــوع </t>
  </si>
  <si>
    <t xml:space="preserve">جدول رقم (7) </t>
  </si>
  <si>
    <t xml:space="preserve">عدد اعضاء الهيئة التدريسية حسب العنوان الوظيفي والجنس والفرع ( الصباحي والمسائي ) </t>
  </si>
  <si>
    <t xml:space="preserve">جدول رقم (8) </t>
  </si>
  <si>
    <t>اعدادية</t>
  </si>
  <si>
    <t xml:space="preserve">جدول رقم (9 )  </t>
  </si>
  <si>
    <t xml:space="preserve">الأبنية المدرسية والمكتبات (الصباحي والمسائي ) </t>
  </si>
  <si>
    <t>الفــــــــرع</t>
  </si>
  <si>
    <t>عدد الابنية حسب العائدية</t>
  </si>
  <si>
    <t>عدد الابنية التي تشغلها</t>
  </si>
  <si>
    <t>عدد الابنية حسب الحالة العمرانية</t>
  </si>
  <si>
    <t>عدد الابنية</t>
  </si>
  <si>
    <t>عدد الابنية حسب مادة البناء</t>
  </si>
  <si>
    <t>حكومية</t>
  </si>
  <si>
    <t>مستاجرة</t>
  </si>
  <si>
    <t xml:space="preserve">   حسب نوع البناء</t>
  </si>
  <si>
    <t>طابوق</t>
  </si>
  <si>
    <t>اخــــرى</t>
  </si>
  <si>
    <t>عدد</t>
  </si>
  <si>
    <t>للتربية</t>
  </si>
  <si>
    <t>لجهات</t>
  </si>
  <si>
    <t>فاكثر</t>
  </si>
  <si>
    <t>غير</t>
  </si>
  <si>
    <t>او</t>
  </si>
  <si>
    <t>المكتبات</t>
  </si>
  <si>
    <t>الكتب</t>
  </si>
  <si>
    <t>حجر</t>
  </si>
  <si>
    <t>خيمة</t>
  </si>
  <si>
    <t>معلم مهني</t>
  </si>
  <si>
    <t>مرشد</t>
  </si>
  <si>
    <t xml:space="preserve">جدول رقم ( 5 ) </t>
  </si>
  <si>
    <t>النجف</t>
  </si>
  <si>
    <t>الكوفة</t>
  </si>
  <si>
    <t>خلاصة قضاء الكوفة</t>
  </si>
  <si>
    <t>خلاصة قضاء المناذرة</t>
  </si>
  <si>
    <t>قسم التخطيط التربوي</t>
  </si>
  <si>
    <t xml:space="preserve">  </t>
  </si>
  <si>
    <t>عدد الطلبة المقبولين الجدد حسب العمر والجنس ( الصباحي والمسائي)</t>
  </si>
  <si>
    <t>خلاصة محافظة النجف الاشرف</t>
  </si>
  <si>
    <t>خلاصة قضاء النجف</t>
  </si>
  <si>
    <t>خلاصة مركز النجف الصناعي</t>
  </si>
  <si>
    <t>خلاصة قضاء النجف الصناعي</t>
  </si>
  <si>
    <t>خلاصة مركز الكوفة الصناعي</t>
  </si>
  <si>
    <t>خلاصة قضاء الكوفة الصناعي</t>
  </si>
  <si>
    <t>خلاصة قضاء المناذرة الصناعي</t>
  </si>
  <si>
    <t>خلاصة محافظة النجف الاشرف الصناعي</t>
  </si>
  <si>
    <t>خلاصة مركز المناذرة الصناعي</t>
  </si>
  <si>
    <t>خلاصة قضاء النجف التجاري</t>
  </si>
  <si>
    <t>خلاصة مركز النجف التجاري</t>
  </si>
  <si>
    <t>خلاصة مركز الكوفة الزراعي</t>
  </si>
  <si>
    <t>خلاصة قضاء الكوفة الزراعي</t>
  </si>
  <si>
    <t xml:space="preserve">المركز </t>
  </si>
  <si>
    <t>إعدادية الغري المهنية للبنات</t>
  </si>
  <si>
    <t>اعدادية الكوفة المهنية</t>
  </si>
  <si>
    <t>خلاصة قضاء النجف ومركزها</t>
  </si>
  <si>
    <t>عدد اعضاء الهيئة التدريسية حسب الشهادة والجنس والفرع ( الصباحي والمسائي)</t>
  </si>
  <si>
    <t>المديرية العامة للتربية في محافظة النجف الاشرف</t>
  </si>
  <si>
    <t>عدد المدارس حسب البيئة</t>
  </si>
  <si>
    <t>حضر</t>
  </si>
  <si>
    <t>ريف</t>
  </si>
  <si>
    <t>عدد مدارس الفتح الجديد</t>
  </si>
  <si>
    <t>فنون تطبيقية</t>
  </si>
  <si>
    <t>عدد الطلبة الموجودين</t>
  </si>
  <si>
    <t>الفنون التطبيقية</t>
  </si>
  <si>
    <t>ثلاث فاكثر</t>
  </si>
  <si>
    <t>المجموع الكلي للابنية</t>
  </si>
  <si>
    <t>عدد الابنية التي يصلها ماء صالح للشرب</t>
  </si>
  <si>
    <t>عدد الابنية المزودة بخدمة مجاري</t>
  </si>
  <si>
    <t>عدد الابنية التي تحتوي على سياج</t>
  </si>
  <si>
    <t>عدد الابنية حسب نوع الخدمات</t>
  </si>
  <si>
    <t xml:space="preserve">جدول رقم (10 )  </t>
  </si>
  <si>
    <t>استمارة اعضاء الهيئة التعليمية والتدريسية حسب الاختصاص والفرع (الصباحي والمسائي)</t>
  </si>
  <si>
    <t>الجنس</t>
  </si>
  <si>
    <t>اللغة العربية</t>
  </si>
  <si>
    <t>اللغة الانكليزية</t>
  </si>
  <si>
    <t>اللغة الكردية</t>
  </si>
  <si>
    <t>التربية الاسلامية</t>
  </si>
  <si>
    <t>الرياضيات</t>
  </si>
  <si>
    <t>الفيزياء</t>
  </si>
  <si>
    <t>الكيمياء</t>
  </si>
  <si>
    <t>علوم الحياة</t>
  </si>
  <si>
    <t>التاريخ</t>
  </si>
  <si>
    <t>الجغرافية</t>
  </si>
  <si>
    <t>الاجتماع</t>
  </si>
  <si>
    <t>التربية الرياضية</t>
  </si>
  <si>
    <t>التربية الفنية</t>
  </si>
  <si>
    <t>زراعة عامة</t>
  </si>
  <si>
    <t>انتاج نباتي</t>
  </si>
  <si>
    <t>الغابات</t>
  </si>
  <si>
    <t>انتاج حيواني</t>
  </si>
  <si>
    <t>البستنة</t>
  </si>
  <si>
    <t>محاصيل حقلية</t>
  </si>
  <si>
    <t>صناعات غذائية والبان</t>
  </si>
  <si>
    <t>التربة</t>
  </si>
  <si>
    <t>اقتصاد وارشاد زراعي</t>
  </si>
  <si>
    <t>مقاومة الافات</t>
  </si>
  <si>
    <t>البيطرة العامة</t>
  </si>
  <si>
    <t>الكهرباء</t>
  </si>
  <si>
    <t>ميكانيك</t>
  </si>
  <si>
    <t>السيارات</t>
  </si>
  <si>
    <t>المعامل</t>
  </si>
  <si>
    <t>راديو وتلفزيون</t>
  </si>
  <si>
    <t>السباكة</t>
  </si>
  <si>
    <t>النجارة</t>
  </si>
  <si>
    <t>النسيج</t>
  </si>
  <si>
    <t>الطباعة</t>
  </si>
  <si>
    <t>تاسيس صحيات</t>
  </si>
  <si>
    <t>صناعة زجاج</t>
  </si>
  <si>
    <t>البناء</t>
  </si>
  <si>
    <t>النماذج</t>
  </si>
  <si>
    <t>بترو كمياويات</t>
  </si>
  <si>
    <t>مكننة زراعية</t>
  </si>
  <si>
    <t>المعادن</t>
  </si>
  <si>
    <t>العلوم التجارية</t>
  </si>
  <si>
    <t>محاسبة</t>
  </si>
  <si>
    <t>ادارة</t>
  </si>
  <si>
    <t>الاحصاء</t>
  </si>
  <si>
    <t>الاقتصاد</t>
  </si>
  <si>
    <t>السكرتارية</t>
  </si>
  <si>
    <t>ادارة المزارع</t>
  </si>
  <si>
    <t>تعاونيات زراعية</t>
  </si>
  <si>
    <t>هندسة كيمياوية</t>
  </si>
  <si>
    <t>رسم هندسي</t>
  </si>
  <si>
    <t>علم نفس</t>
  </si>
  <si>
    <t>القانون</t>
  </si>
  <si>
    <t>اقتصاد منزلي</t>
  </si>
  <si>
    <t>حاسوب</t>
  </si>
  <si>
    <t>صناعي</t>
  </si>
  <si>
    <t>زراعي</t>
  </si>
  <si>
    <t>تجاري</t>
  </si>
  <si>
    <t>موظف ادارة</t>
  </si>
  <si>
    <t>محاسب</t>
  </si>
  <si>
    <t>امين مكتبة</t>
  </si>
  <si>
    <t>موظف خدمة</t>
  </si>
  <si>
    <t>حارس</t>
  </si>
  <si>
    <t>سائق</t>
  </si>
  <si>
    <t>فلاح</t>
  </si>
  <si>
    <t>الموظفون الاداريون والخدميون حسب العنوان الوظيفي</t>
  </si>
  <si>
    <t>بعثة او زمالة</t>
  </si>
  <si>
    <t>اجازة دراسية</t>
  </si>
  <si>
    <t>اجازة مصاحبة</t>
  </si>
  <si>
    <t>اجازة بدون راتب</t>
  </si>
  <si>
    <t>اجازة مرضية طويلة</t>
  </si>
  <si>
    <t>اجازة امومة</t>
  </si>
  <si>
    <t>منسب الى جهات اخرى</t>
  </si>
  <si>
    <t>عدد اعضاء الهئية التعليمية والتدريسية حسب الحالة الوظيفية</t>
  </si>
  <si>
    <t>اعضاء الهيئة التعليمية والتدريسية حسب الشهادة</t>
  </si>
  <si>
    <t>الاول المهني</t>
  </si>
  <si>
    <t>الثاني مهني</t>
  </si>
  <si>
    <t>الثالث المهني</t>
  </si>
  <si>
    <t>عدد اعضاء الهيئة التعليمية والتدريسية حسب الاختصاص</t>
  </si>
  <si>
    <t>ثلاث مدارس فاكثر</t>
  </si>
  <si>
    <t>عدد المكتبات</t>
  </si>
  <si>
    <t>المجموع الكلي للابنية المدرسية</t>
  </si>
  <si>
    <t>نوع البناء</t>
  </si>
  <si>
    <t>هل المدرسة مشمولة بـ :-</t>
  </si>
  <si>
    <t>الارشاد التربوي</t>
  </si>
  <si>
    <t>فرنسي</t>
  </si>
  <si>
    <t>روسي</t>
  </si>
  <si>
    <t>اسباني</t>
  </si>
  <si>
    <t>كردي</t>
  </si>
  <si>
    <t>اللغات</t>
  </si>
  <si>
    <t>اذا كان الجواب نعم اذكر اللغة</t>
  </si>
  <si>
    <t>هل المدرسة تحتاج الى صفوف اضافية</t>
  </si>
  <si>
    <t>عدد الصفوف الاضافية</t>
  </si>
  <si>
    <t>عدد الصفوف في البناية</t>
  </si>
  <si>
    <t>عدد الغرف الاخرى</t>
  </si>
  <si>
    <t>المجموع الكلي للغرف في البناية</t>
  </si>
  <si>
    <t>عدد الغرف في البناية</t>
  </si>
  <si>
    <t>مدرس او معلم</t>
  </si>
  <si>
    <t>كاتب</t>
  </si>
  <si>
    <t>من المسؤول عن المكتبة</t>
  </si>
  <si>
    <t>نوعية المكتبة</t>
  </si>
  <si>
    <t>غرفة</t>
  </si>
  <si>
    <t>خزانة</t>
  </si>
  <si>
    <t>رفوف عارضة</t>
  </si>
  <si>
    <t>عدد المجلات والقصص</t>
  </si>
  <si>
    <t>العدد الكلي للكتب</t>
  </si>
  <si>
    <t>عدد الكتب والمجلات والقصص</t>
  </si>
  <si>
    <t>تابع الى اعدادية الكوفة المهنية الزراعي</t>
  </si>
  <si>
    <t>خلاصة التعليم المهني  لمحافظة النجف الاشرف</t>
  </si>
  <si>
    <t>خلاصة محافظة النجف الفنون التطبيقية</t>
  </si>
  <si>
    <t>خلاصة مركز النجف الفنون التطبيقية</t>
  </si>
  <si>
    <t>محاسبة كلفة</t>
  </si>
  <si>
    <t>اللغة التركمانية</t>
  </si>
  <si>
    <t>اللغة السريانية</t>
  </si>
  <si>
    <t>عدد اعضاء الهئية التعليمية والتدريسية حسب الحالة الاجتماعية</t>
  </si>
  <si>
    <t>اعزب</t>
  </si>
  <si>
    <t>متزوج</t>
  </si>
  <si>
    <t>ارمل</t>
  </si>
  <si>
    <t>مطلق</t>
  </si>
  <si>
    <t>عدد المدرسين المشاركين في الدورات التدريبية للعام الماضي</t>
  </si>
  <si>
    <t xml:space="preserve">عدد المدرسين </t>
  </si>
  <si>
    <t>خدمة الانترنت</t>
  </si>
  <si>
    <t>حجم المدرسة</t>
  </si>
  <si>
    <t>6صف</t>
  </si>
  <si>
    <t>9صف</t>
  </si>
  <si>
    <t>12صف</t>
  </si>
  <si>
    <t>18صف</t>
  </si>
  <si>
    <t>24صف</t>
  </si>
  <si>
    <t>هياكل حديدية</t>
  </si>
  <si>
    <t>كرفان</t>
  </si>
  <si>
    <t>غيرصالحة</t>
  </si>
  <si>
    <t>كافية</t>
  </si>
  <si>
    <t>غيركافية</t>
  </si>
  <si>
    <t>هل توجد حديقة مدرسية</t>
  </si>
  <si>
    <t>هل توجد قاعة انشطة مستقلة</t>
  </si>
  <si>
    <t>عدد الورش المستقلة الموجودة</t>
  </si>
  <si>
    <t>عدد الورش الصالحة</t>
  </si>
  <si>
    <t>بكالوريوس تعليمي</t>
  </si>
  <si>
    <t>بكالوريوس عام</t>
  </si>
  <si>
    <t>طين او صريفة</t>
  </si>
  <si>
    <t>محاسبة تكاليف</t>
  </si>
  <si>
    <t xml:space="preserve">      خلاصة قضاء المناذرة</t>
  </si>
  <si>
    <t xml:space="preserve"> اعدادية النجف التجارية للبنين </t>
  </si>
  <si>
    <t>البناية</t>
  </si>
  <si>
    <t>رقم القطعة</t>
  </si>
  <si>
    <t>رقم المقاطعة</t>
  </si>
  <si>
    <t>سنة البناء</t>
  </si>
  <si>
    <t>هل توجد مساحة للتوسعة</t>
  </si>
  <si>
    <t>نوع المجاري</t>
  </si>
  <si>
    <t>شبكة المجاري</t>
  </si>
  <si>
    <t>خزانات</t>
  </si>
  <si>
    <t>مصدر الماء</t>
  </si>
  <si>
    <t>بلدية</t>
  </si>
  <si>
    <t>بئر عميق</t>
  </si>
  <si>
    <t>نهر</t>
  </si>
  <si>
    <t>صهاريج</t>
  </si>
  <si>
    <t>نوع السياج</t>
  </si>
  <si>
    <t>بناء</t>
  </si>
  <si>
    <t>اسلاك</t>
  </si>
  <si>
    <t>حالة السياج</t>
  </si>
  <si>
    <t>جيد</t>
  </si>
  <si>
    <t>متصدع</t>
  </si>
  <si>
    <t>غير امن</t>
  </si>
  <si>
    <t>هل توجد ساحة رياضية</t>
  </si>
  <si>
    <t>نوع الساحة الرياضية</t>
  </si>
  <si>
    <t>كرة قدم</t>
  </si>
  <si>
    <t>كرة سلة</t>
  </si>
  <si>
    <t>كرة طائرة</t>
  </si>
  <si>
    <t>ساحة رياضية</t>
  </si>
  <si>
    <t>قاعة</t>
  </si>
  <si>
    <t>تابع الى اعدادية الغري المهنية للبنات</t>
  </si>
  <si>
    <t>تابع الى اعدادية الغري المهنية للبنين</t>
  </si>
  <si>
    <t>الحاسوب وتقنية المعلومات</t>
  </si>
  <si>
    <t>تابع الى اعدادية الكوثرالمهنية للبنين</t>
  </si>
  <si>
    <t>17198/2</t>
  </si>
  <si>
    <t>الصالح</t>
  </si>
  <si>
    <t>العاطل</t>
  </si>
  <si>
    <t>الحاسوب تقنية المعلومات</t>
  </si>
  <si>
    <t>إعدادية الغدير المهنية المسائية</t>
  </si>
  <si>
    <t>اعدادية المناذرة المهنية</t>
  </si>
  <si>
    <t>900/1</t>
  </si>
  <si>
    <t>2425/158</t>
  </si>
  <si>
    <t>إعدادية الغري المهنية للبنين</t>
  </si>
  <si>
    <t>إعدادية النجف المهنية</t>
  </si>
  <si>
    <t xml:space="preserve">تابع الى اعدادية النجف المهنية </t>
  </si>
  <si>
    <t>2445/1</t>
  </si>
  <si>
    <t>تابع الى اعدادية الكوفة المهنية</t>
  </si>
  <si>
    <t>10478/2</t>
  </si>
  <si>
    <t>خلاصة الفرع الحاسوب وتقنية المعلومات محافظة النجف</t>
  </si>
  <si>
    <t>الحاسوب وتقنية        المعلومات</t>
  </si>
  <si>
    <t>عدد الابنية حسب عدد الطوابق</t>
  </si>
  <si>
    <t>ثلاثة طوابق</t>
  </si>
  <si>
    <t>عدد الابنية حسب عدد الصفوف</t>
  </si>
  <si>
    <t>6 صف</t>
  </si>
  <si>
    <t>9 صف</t>
  </si>
  <si>
    <t>12 صف</t>
  </si>
  <si>
    <t>18 صف</t>
  </si>
  <si>
    <t>24 صف</t>
  </si>
  <si>
    <t>ملحق جدول رقم ( 9 )</t>
  </si>
  <si>
    <t xml:space="preserve">خلاصة محافظة النجف الاشرف </t>
  </si>
  <si>
    <t>جدول رقم (( 11 ))</t>
  </si>
  <si>
    <t xml:space="preserve">عدد المدارس المشمولة : </t>
  </si>
  <si>
    <t xml:space="preserve">هل المدرسة : </t>
  </si>
  <si>
    <t>تدريس الحاسوب</t>
  </si>
  <si>
    <t>تدريس اللغات الاجنبية عدا اللغة الانكليزية</t>
  </si>
  <si>
    <t>تدريس اللغات المحلية</t>
  </si>
  <si>
    <t>التغذية المدرسية</t>
  </si>
  <si>
    <t>غيرمزدوجة</t>
  </si>
  <si>
    <t>مزدوجة على نفسها</t>
  </si>
  <si>
    <t>مزدوجة مع اخرى</t>
  </si>
  <si>
    <t>مزدوجة مع نفسها ومع اخرى</t>
  </si>
  <si>
    <t>الكردي</t>
  </si>
  <si>
    <t>التركماني</t>
  </si>
  <si>
    <t>السرياني</t>
  </si>
  <si>
    <t xml:space="preserve">الحالة الوظيفية </t>
  </si>
  <si>
    <t>بعثة او زمالة دراسية</t>
  </si>
  <si>
    <t>تنسيب الى جهات اخرى</t>
  </si>
  <si>
    <t xml:space="preserve">خمس سنوات -  فأقل </t>
  </si>
  <si>
    <t xml:space="preserve"> 6ـ 10   </t>
  </si>
  <si>
    <t xml:space="preserve">11ـ15 </t>
  </si>
  <si>
    <t xml:space="preserve">المجموع </t>
  </si>
  <si>
    <t>اقل من 30</t>
  </si>
  <si>
    <t xml:space="preserve"> 30ـ 39   </t>
  </si>
  <si>
    <t xml:space="preserve">40ـ49 </t>
  </si>
  <si>
    <t>50ـ 59</t>
  </si>
  <si>
    <t xml:space="preserve">خلاصة قضاء النجف </t>
  </si>
  <si>
    <t>عدد الورش والمختبرات حسب كل فرع :</t>
  </si>
  <si>
    <t>عددالورش والمختبرات</t>
  </si>
  <si>
    <t>عددالمدرسين</t>
  </si>
  <si>
    <t xml:space="preserve">عدد اعضاء الهيئة التدريسية حسب الحالة الوظيفية : </t>
  </si>
  <si>
    <t>عدد اعضاء الهيئة التدريسية المشاركين في الدورات التدريبية للعام السابق :</t>
  </si>
  <si>
    <t xml:space="preserve">عدد اعضاء الهيئة التدريسية حسب سنوات الخدمة : </t>
  </si>
  <si>
    <t xml:space="preserve">عدد اعضاء الهيئة التدريسية حسب سنوات العمر : </t>
  </si>
  <si>
    <t>5سنوات فاقل</t>
  </si>
  <si>
    <t>6ــ10</t>
  </si>
  <si>
    <t>11ــ15</t>
  </si>
  <si>
    <t>30ــ39</t>
  </si>
  <si>
    <t>40ــ49</t>
  </si>
  <si>
    <t>50ــ59</t>
  </si>
  <si>
    <t>عدد الهيئة التدريسية حسب سنوات الخدمة</t>
  </si>
  <si>
    <t>عدد الهيئة التدريسية حسب سنوات العمر</t>
  </si>
  <si>
    <t xml:space="preserve">اقرب نقطة </t>
  </si>
  <si>
    <t>الحي الصناعي</t>
  </si>
  <si>
    <t>مقابل السوق العصري / حي الحوراء</t>
  </si>
  <si>
    <t>شارع المدينة / مركز شرطة الغري</t>
  </si>
  <si>
    <t>خلاصة الحاسوب وتقنية المعلومات لقضاء النجف</t>
  </si>
  <si>
    <t>قضاء النجف</t>
  </si>
  <si>
    <t>قضاء الكوفة</t>
  </si>
  <si>
    <t>قضاء المناذرة</t>
  </si>
  <si>
    <t>عدد الابنية التي تتوفر فيها مرافق صحية</t>
  </si>
  <si>
    <t>عدد الابنية التي فيها المرافق الصحية</t>
  </si>
  <si>
    <t>عدد الابنية التي فيها مرافق الصحة</t>
  </si>
  <si>
    <t>عدد الابنية التي فيها مرافق صحية</t>
  </si>
  <si>
    <t>عدد الشعب حسب الجنس والصف والتصنيف  ( الصباحي والمسائي )</t>
  </si>
  <si>
    <t>60ـ فأكثر</t>
  </si>
  <si>
    <t>5960ـ فأكثر</t>
  </si>
  <si>
    <t>60ــ فاكثر</t>
  </si>
  <si>
    <t>التعليم المهني ( الصناعي )</t>
  </si>
  <si>
    <t>التعليم المهني ( التجاري )</t>
  </si>
  <si>
    <t>16فاكثر</t>
  </si>
  <si>
    <t>16قاكثر</t>
  </si>
  <si>
    <t>حي الامير/ قرب مدرسة المهاجرين</t>
  </si>
  <si>
    <t>تابع الى اعدادية الغدير المهنية المسائية</t>
  </si>
  <si>
    <t>سياحة</t>
  </si>
  <si>
    <t>خلاصة فرع السياحة والفندقة</t>
  </si>
  <si>
    <t>إعدادية الكوثر المهنية</t>
  </si>
  <si>
    <t xml:space="preserve">تابع الى اعدادية الغري المهنية للبنات </t>
  </si>
  <si>
    <t xml:space="preserve">اسم المدير </t>
  </si>
  <si>
    <t>رقم الموبايل</t>
  </si>
  <si>
    <t xml:space="preserve">حي العسكري - معمل ضغط الاخشاب </t>
  </si>
  <si>
    <t>م . م . عدي محسن محمد جواد</t>
  </si>
  <si>
    <t>اعدادية النجف المهنية للبنات</t>
  </si>
  <si>
    <t>تابع الى ع .النجف المهنية للبنات</t>
  </si>
  <si>
    <t>سهيلة كريم ناصر</t>
  </si>
  <si>
    <t>احمد عبد الرحيم كاظم</t>
  </si>
  <si>
    <t>م . م . علي ناظم محمد حسين</t>
  </si>
  <si>
    <t>سهاد جواد كاظم</t>
  </si>
  <si>
    <t>عدد الطلبة المشاركين في الامتحانات النهائية و حسب الصف والجنس للعام الدراسي 2015 / 2021</t>
  </si>
  <si>
    <t>حرفي</t>
  </si>
  <si>
    <t>عدد الرحلات مقعدين</t>
  </si>
  <si>
    <t>عدد الرحلات مقعد واحد</t>
  </si>
  <si>
    <t>عدد السبورات</t>
  </si>
  <si>
    <t>المهندس كاظم عبد مسلم</t>
  </si>
  <si>
    <t>عباس عبد الحسن عبود</t>
  </si>
  <si>
    <t>غياث جودي ياسين</t>
  </si>
  <si>
    <t xml:space="preserve">غياث جوري </t>
  </si>
  <si>
    <t>اعدادية السياحة والفندقة</t>
  </si>
  <si>
    <t xml:space="preserve">عدد الطلبة التاركين والناجحين والراسبين حسب الصف والجنس والفرع للعام الدراسي 2025/2022 ( الصباحي والمسائي ) </t>
  </si>
  <si>
    <t xml:space="preserve">عدد الطلبة الناجحين للعام الدراسي 2025/2022 </t>
  </si>
  <si>
    <t xml:space="preserve">عدد الطلبة الراسبين حسب اسباب الرسوب للعام الدراسي 2025/2022 </t>
  </si>
  <si>
    <t xml:space="preserve">عدد الطلبةالتاركين والناجحين والراسبين حسب الصف والجنس والفرع للعام الدراسي 2025/2022 ( الصباحي والمسائي ) </t>
  </si>
  <si>
    <t>مع ع الشيخ المفيد</t>
  </si>
  <si>
    <t>عدنان محسن عبود</t>
  </si>
  <si>
    <t>علاء هادي سلمان</t>
  </si>
  <si>
    <t>الحي الصناعي البناية الجديدة</t>
  </si>
  <si>
    <t>تايع الى اعدادية النحف المهنية للبنات</t>
  </si>
  <si>
    <t>حلاصة العلوم الرياضية</t>
  </si>
  <si>
    <t>تابع الى اعدادية المناذرة المهنية</t>
  </si>
  <si>
    <t>العلوم الرياضية</t>
  </si>
  <si>
    <t xml:space="preserve">   الحاسوب وتقنية       المعلومات</t>
  </si>
  <si>
    <t xml:space="preserve">   الحاسوب وتقنية المعلومات</t>
  </si>
  <si>
    <t>السياحة</t>
  </si>
  <si>
    <t>الرياضية</t>
  </si>
  <si>
    <t>59ـ 60فأكثر</t>
  </si>
  <si>
    <t>التعليم المهني ( السياحة والفندقة )</t>
  </si>
  <si>
    <t>التعليم المهني ( العلوم الرياضية )</t>
  </si>
  <si>
    <t>عدد الطلبة التاركين حسب الصف والجنس للعام الدراسي 2025 / 2026</t>
  </si>
  <si>
    <t>التعليم المهني   2026/2025</t>
  </si>
  <si>
    <t xml:space="preserve">  التعليم المهني للعام الدراسي   2025 / 2026 </t>
  </si>
  <si>
    <t>التعليم المهني للعام الدراسي2025 / 2026</t>
  </si>
  <si>
    <t xml:space="preserve">  التعليم المهني للعام الدراسي   2025 / 2026  </t>
  </si>
  <si>
    <t xml:space="preserve"> التعليم المهني للعام الدراسي  2025 / 2026  </t>
  </si>
  <si>
    <t xml:space="preserve"> التعليم المهني للعام الدراسي   2025 / 2026  </t>
  </si>
  <si>
    <t xml:space="preserve"> التعليم المهني للعام الدراسي   2025 / 2026 </t>
  </si>
  <si>
    <t xml:space="preserve">عدد الطلبة التاركين للعام الدراسي 2025 / 2026 </t>
  </si>
  <si>
    <t>التعليم المهني للعام الدراسي  2025 / 2026</t>
  </si>
  <si>
    <t xml:space="preserve">التعليم المهني للعام الدراسي  2025 / 2026 </t>
  </si>
  <si>
    <t>عدد الابنية المدرسية حسب عدد الطوابق وعدد الصفوف للعام الدراسي 2025-2026</t>
  </si>
  <si>
    <t>التعليم المهني للعام الدراسي 2025 / 2026</t>
  </si>
  <si>
    <t xml:space="preserve">التعليم المهني للعام الدراسي 2025 / 2026 </t>
  </si>
  <si>
    <t xml:space="preserve">التعليم المهني للعام الدراسي 2025 /2026 </t>
  </si>
  <si>
    <t xml:space="preserve">التعليم المهني ( الصناعي ) للعام الدراسي 2025 /2026 </t>
  </si>
  <si>
    <t xml:space="preserve">التعليم المهني( التجاري ) للعام الدراسي 2025 /2026 </t>
  </si>
  <si>
    <t>4-5سنوات</t>
  </si>
  <si>
    <t>اعدادية المناذرة للبنات</t>
  </si>
  <si>
    <t>م . م . ندى كاظم عبد الزهرة</t>
  </si>
  <si>
    <t>ضيف على ع الفندقة والسياحة</t>
  </si>
  <si>
    <t>حي المكرمة</t>
  </si>
  <si>
    <t>الشهيدحسن نصرالله للحاسبات وتقنية المعلومات</t>
  </si>
  <si>
    <t>حي النداء</t>
  </si>
  <si>
    <t>م .م . سعد عبدالزهرة الساعدي</t>
  </si>
  <si>
    <t>تابع الى ع . المناذرة المهنية للبنين</t>
  </si>
  <si>
    <t>حي الصناعي</t>
  </si>
  <si>
    <t>اعدادية العلوم الرياضية</t>
  </si>
  <si>
    <t>الجامعة</t>
  </si>
  <si>
    <t>عدد الطلبة الناجحين حسب الصف والجنس للعام الدراسي 2024 / 2025</t>
  </si>
  <si>
    <t>عدد الطلبة الراسبين بسبب الفشل في الامتحان و حسب الصف والجنس للعام الدراسي 2024 / 2025</t>
  </si>
  <si>
    <t>عدد الطلبة الراسبين بسبب تجاوز ايام الغياب و حسب الصف والجنس للعام الدراسي  2024 / 2025</t>
  </si>
  <si>
    <t>عدد الطلبة الراسبين لاسباب اخرى و حسب الصف والجنس للعام الدراسي 2024 / 2025</t>
  </si>
  <si>
    <t>م . م . سيف علاء صبحي</t>
  </si>
  <si>
    <t>تابع الى ع المناذرة للبنات</t>
  </si>
  <si>
    <t xml:space="preserve">عدد الطلبة الناجحين للعام الدراسي 2025/2024 </t>
  </si>
  <si>
    <t xml:space="preserve">عدد الطلبة الراسبين حسب اسباب الرسوب للعام الدراسي 2025/2024 </t>
  </si>
  <si>
    <t xml:space="preserve">عدد الطلبة التاركين والناجحين والراسبين حسب الصف والجنس والفرع للعام الدراسي 2025/2024 ( الصباحي والمسائي ) </t>
  </si>
  <si>
    <t>التعليم المهني ( الحاسوب وتقنية المعلومات )</t>
  </si>
  <si>
    <t>4 - 5 سنوات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</si>
</sst>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  <scheme val="minor"/>
    </font>
    <font>
      <b/>
      <u/>
      <sz val="16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  <scheme val="minor"/>
    </font>
    <font>
      <b/>
      <sz val="18"/>
      <name val="Arial"/>
      <family val="2"/>
    </font>
    <font>
      <b/>
      <u/>
      <sz val="18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  <scheme val="minor"/>
    </font>
    <font>
      <b/>
      <sz val="16"/>
      <color theme="0"/>
      <name val="Arial"/>
      <family val="2"/>
    </font>
    <font>
      <b/>
      <sz val="20"/>
      <name val="Arial"/>
      <family val="2"/>
      <scheme val="minor"/>
    </font>
    <font>
      <b/>
      <sz val="18"/>
      <color theme="1"/>
      <name val="Arial"/>
      <family val="2"/>
    </font>
    <font>
      <b/>
      <sz val="18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theme="0"/>
      <name val="Arial"/>
      <family val="2"/>
      <scheme val="minor"/>
    </font>
    <font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name val="Arial"/>
      <family val="2"/>
      <scheme val="minor"/>
    </font>
    <font>
      <sz val="14"/>
      <color theme="1"/>
      <name val="Arial"/>
      <family val="2"/>
      <scheme val="minor"/>
    </font>
    <font>
      <b/>
      <sz val="20"/>
      <color theme="0"/>
      <name val="Arial"/>
      <family val="2"/>
      <scheme val="minor"/>
    </font>
    <font>
      <sz val="18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b/>
      <sz val="14"/>
      <name val="Arial"/>
      <family val="2"/>
      <charset val="178"/>
    </font>
    <font>
      <sz val="18"/>
      <color theme="1"/>
      <name val="Arial"/>
      <family val="2"/>
      <scheme val="minor"/>
    </font>
    <font>
      <b/>
      <sz val="18"/>
      <color theme="0"/>
      <name val="Arial"/>
      <family val="2"/>
    </font>
    <font>
      <b/>
      <sz val="18"/>
      <name val="Aharoni"/>
      <charset val="177"/>
    </font>
    <font>
      <b/>
      <sz val="22"/>
      <name val="Arial"/>
      <family val="2"/>
      <scheme val="minor"/>
    </font>
    <font>
      <sz val="12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  <scheme val="minor"/>
    </font>
    <font>
      <sz val="16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93">
    <xf numFmtId="0" fontId="0" fillId="0" borderId="0" xfId="0"/>
    <xf numFmtId="0" fontId="2" fillId="2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5" fillId="2" borderId="10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readingOrder="2"/>
    </xf>
    <xf numFmtId="0" fontId="5" fillId="0" borderId="10" xfId="0" applyFont="1" applyFill="1" applyBorder="1" applyAlignment="1">
      <alignment horizontal="center" vertical="center" readingOrder="2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9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readingOrder="2"/>
    </xf>
    <xf numFmtId="0" fontId="10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2" borderId="10" xfId="0" applyFont="1" applyFill="1" applyBorder="1" applyAlignment="1">
      <alignment horizontal="center" vertical="center" readingOrder="2"/>
    </xf>
    <xf numFmtId="0" fontId="12" fillId="3" borderId="10" xfId="0" applyFont="1" applyFill="1" applyBorder="1" applyAlignment="1">
      <alignment horizontal="center" vertical="center" readingOrder="2"/>
    </xf>
    <xf numFmtId="0" fontId="12" fillId="0" borderId="10" xfId="0" applyFont="1" applyFill="1" applyBorder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 readingOrder="2"/>
    </xf>
    <xf numFmtId="0" fontId="15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/>
    <xf numFmtId="0" fontId="22" fillId="0" borderId="10" xfId="0" applyFont="1" applyBorder="1" applyAlignment="1">
      <alignment horizontal="center" vertical="center" textRotation="90"/>
    </xf>
    <xf numFmtId="0" fontId="2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4" fillId="0" borderId="0" xfId="0" applyFont="1"/>
    <xf numFmtId="0" fontId="12" fillId="5" borderId="10" xfId="0" applyFont="1" applyFill="1" applyBorder="1" applyAlignment="1">
      <alignment horizontal="center" vertical="center" readingOrder="2"/>
    </xf>
    <xf numFmtId="0" fontId="5" fillId="5" borderId="10" xfId="0" applyFont="1" applyFill="1" applyBorder="1" applyAlignment="1">
      <alignment horizontal="center" vertical="center" readingOrder="2"/>
    </xf>
    <xf numFmtId="0" fontId="19" fillId="0" borderId="0" xfId="0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 textRotation="90"/>
    </xf>
    <xf numFmtId="0" fontId="10" fillId="0" borderId="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0" fillId="0" borderId="10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25" fillId="0" borderId="10" xfId="0" applyFont="1" applyBorder="1" applyAlignment="1">
      <alignment horizontal="center" vertical="center"/>
    </xf>
    <xf numFmtId="0" fontId="3" fillId="4" borderId="0" xfId="0" applyFont="1" applyFill="1" applyAlignment="1"/>
    <xf numFmtId="0" fontId="10" fillId="4" borderId="0" xfId="0" applyFont="1" applyFill="1" applyAlignment="1"/>
    <xf numFmtId="0" fontId="10" fillId="4" borderId="0" xfId="0" applyFont="1" applyFill="1"/>
    <xf numFmtId="0" fontId="26" fillId="0" borderId="0" xfId="0" applyFont="1"/>
    <xf numFmtId="0" fontId="4" fillId="0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10" fillId="4" borderId="10" xfId="0" applyFont="1" applyFill="1" applyBorder="1" applyAlignment="1">
      <alignment horizontal="center" vertical="center"/>
    </xf>
    <xf numFmtId="0" fontId="27" fillId="0" borderId="0" xfId="0" applyFont="1"/>
    <xf numFmtId="0" fontId="4" fillId="0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shrinkToFit="1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0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3" fillId="2" borderId="10" xfId="0" applyFont="1" applyFill="1" applyBorder="1" applyAlignment="1">
      <alignment horizontal="center" vertical="center" readingOrder="2"/>
    </xf>
    <xf numFmtId="0" fontId="3" fillId="8" borderId="10" xfId="0" applyFont="1" applyFill="1" applyBorder="1" applyAlignment="1">
      <alignment horizontal="center" vertical="center" readingOrder="2"/>
    </xf>
    <xf numFmtId="0" fontId="3" fillId="0" borderId="10" xfId="0" applyFont="1" applyFill="1" applyBorder="1" applyAlignment="1">
      <alignment horizontal="center" vertical="center" readingOrder="2"/>
    </xf>
    <xf numFmtId="0" fontId="5" fillId="0" borderId="0" xfId="0" applyFont="1" applyAlignment="1">
      <alignment vertical="center"/>
    </xf>
    <xf numFmtId="0" fontId="28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10" fillId="4" borderId="0" xfId="0" applyFont="1" applyFill="1" applyBorder="1" applyAlignment="1">
      <alignment horizontal="center" vertical="center" readingOrder="2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readingOrder="2"/>
    </xf>
    <xf numFmtId="0" fontId="10" fillId="0" borderId="1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9" fillId="0" borderId="0" xfId="0" applyFont="1"/>
    <xf numFmtId="0" fontId="9" fillId="0" borderId="0" xfId="0" applyFont="1"/>
    <xf numFmtId="0" fontId="10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readingOrder="2"/>
    </xf>
    <xf numFmtId="0" fontId="10" fillId="6" borderId="10" xfId="0" applyFont="1" applyFill="1" applyBorder="1" applyAlignment="1">
      <alignment horizontal="center" vertical="center" readingOrder="2"/>
    </xf>
    <xf numFmtId="0" fontId="10" fillId="0" borderId="10" xfId="0" applyFont="1" applyFill="1" applyBorder="1" applyAlignment="1">
      <alignment horizontal="center" vertical="center" readingOrder="2"/>
    </xf>
    <xf numFmtId="0" fontId="30" fillId="4" borderId="10" xfId="0" applyFont="1" applyFill="1" applyBorder="1" applyAlignment="1">
      <alignment horizontal="center" vertical="center" readingOrder="2"/>
    </xf>
    <xf numFmtId="0" fontId="10" fillId="8" borderId="10" xfId="0" applyFont="1" applyFill="1" applyBorder="1" applyAlignment="1">
      <alignment horizontal="center" vertical="center" readingOrder="2"/>
    </xf>
    <xf numFmtId="0" fontId="7" fillId="0" borderId="0" xfId="0" applyFont="1" applyBorder="1" applyAlignment="1">
      <alignment vertical="center"/>
    </xf>
    <xf numFmtId="0" fontId="10" fillId="4" borderId="6" xfId="0" applyFont="1" applyFill="1" applyBorder="1" applyAlignment="1">
      <alignment horizontal="center" vertical="center" readingOrder="2"/>
    </xf>
    <xf numFmtId="0" fontId="10" fillId="4" borderId="6" xfId="0" applyFont="1" applyFill="1" applyBorder="1" applyAlignment="1">
      <alignment horizontal="center" vertical="center" textRotation="90" readingOrder="2"/>
    </xf>
    <xf numFmtId="0" fontId="10" fillId="4" borderId="15" xfId="0" applyFont="1" applyFill="1" applyBorder="1" applyAlignment="1">
      <alignment horizontal="center" vertical="center" readingOrder="2"/>
    </xf>
    <xf numFmtId="0" fontId="10" fillId="4" borderId="15" xfId="0" applyFont="1" applyFill="1" applyBorder="1" applyAlignment="1">
      <alignment horizontal="center" vertical="center" textRotation="90" readingOrder="2"/>
    </xf>
    <xf numFmtId="0" fontId="10" fillId="4" borderId="11" xfId="0" applyFont="1" applyFill="1" applyBorder="1" applyAlignment="1">
      <alignment horizontal="center" vertical="center" readingOrder="2"/>
    </xf>
    <xf numFmtId="0" fontId="10" fillId="4" borderId="11" xfId="0" applyFont="1" applyFill="1" applyBorder="1" applyAlignment="1">
      <alignment horizontal="center" vertical="center" textRotation="90" readingOrder="2"/>
    </xf>
    <xf numFmtId="0" fontId="30" fillId="0" borderId="10" xfId="0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9" borderId="1" xfId="0" applyFont="1" applyFill="1" applyBorder="1" applyAlignment="1">
      <alignment horizontal="center" vertical="center" shrinkToFit="1"/>
    </xf>
    <xf numFmtId="0" fontId="2" fillId="9" borderId="0" xfId="0" applyFont="1" applyFill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 shrinkToFit="1"/>
    </xf>
    <xf numFmtId="0" fontId="2" fillId="10" borderId="0" xfId="0" applyFont="1" applyFill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 readingOrder="2"/>
    </xf>
    <xf numFmtId="0" fontId="10" fillId="0" borderId="7" xfId="0" applyFont="1" applyBorder="1" applyAlignment="1">
      <alignment horizontal="center" vertical="center" readingOrder="2"/>
    </xf>
    <xf numFmtId="0" fontId="10" fillId="0" borderId="9" xfId="0" applyFont="1" applyBorder="1" applyAlignment="1">
      <alignment horizontal="center" vertical="center" readingOrder="2"/>
    </xf>
    <xf numFmtId="0" fontId="10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30" fillId="0" borderId="7" xfId="0" applyFont="1" applyBorder="1" applyAlignment="1">
      <alignment horizontal="center" vertical="center" readingOrder="2"/>
    </xf>
    <xf numFmtId="0" fontId="30" fillId="0" borderId="9" xfId="0" applyFont="1" applyBorder="1" applyAlignment="1">
      <alignment horizontal="center" vertical="center" readingOrder="2"/>
    </xf>
    <xf numFmtId="0" fontId="10" fillId="14" borderId="10" xfId="0" applyFont="1" applyFill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2" fillId="12" borderId="1" xfId="0" applyFont="1" applyFill="1" applyBorder="1" applyAlignment="1">
      <alignment horizontal="center" vertical="center" shrinkToFit="1"/>
    </xf>
    <xf numFmtId="0" fontId="2" fillId="12" borderId="0" xfId="0" applyFont="1" applyFill="1" applyBorder="1" applyAlignment="1">
      <alignment horizontal="center" vertical="center" shrinkToFit="1"/>
    </xf>
    <xf numFmtId="0" fontId="2" fillId="13" borderId="1" xfId="0" applyFont="1" applyFill="1" applyBorder="1" applyAlignment="1">
      <alignment horizontal="center" vertical="center" shrinkToFit="1"/>
    </xf>
    <xf numFmtId="0" fontId="2" fillId="13" borderId="0" xfId="0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vertical="center" shrinkToFit="1"/>
    </xf>
    <xf numFmtId="0" fontId="2" fillId="15" borderId="27" xfId="0" applyFont="1" applyFill="1" applyBorder="1" applyAlignment="1">
      <alignment vertical="center" shrinkToFit="1"/>
    </xf>
    <xf numFmtId="0" fontId="8" fillId="15" borderId="3" xfId="0" applyFont="1" applyFill="1" applyBorder="1" applyAlignment="1">
      <alignment shrinkToFit="1"/>
    </xf>
    <xf numFmtId="0" fontId="8" fillId="15" borderId="4" xfId="0" applyFont="1" applyFill="1" applyBorder="1" applyAlignment="1">
      <alignment shrinkToFit="1"/>
    </xf>
    <xf numFmtId="0" fontId="2" fillId="15" borderId="1" xfId="0" applyFont="1" applyFill="1" applyBorder="1" applyAlignment="1">
      <alignment horizontal="center" vertical="center" wrapText="1" shrinkToFit="1"/>
    </xf>
    <xf numFmtId="0" fontId="8" fillId="15" borderId="1" xfId="0" applyFont="1" applyFill="1" applyBorder="1" applyAlignment="1">
      <alignment horizontal="center" vertical="center" textRotation="90" wrapText="1" shrinkToFit="1"/>
    </xf>
    <xf numFmtId="0" fontId="8" fillId="15" borderId="1" xfId="0" applyFont="1" applyFill="1" applyBorder="1" applyAlignment="1">
      <alignment horizontal="center" vertical="center" textRotation="90" shrinkToFit="1"/>
    </xf>
    <xf numFmtId="0" fontId="34" fillId="2" borderId="1" xfId="0" applyFont="1" applyFill="1" applyBorder="1" applyAlignment="1">
      <alignment horizontal="center" vertical="center" shrinkToFit="1"/>
    </xf>
    <xf numFmtId="0" fontId="35" fillId="2" borderId="1" xfId="0" applyFont="1" applyFill="1" applyBorder="1" applyAlignment="1">
      <alignment horizontal="center" vertical="center" shrinkToFit="1"/>
    </xf>
    <xf numFmtId="0" fontId="35" fillId="2" borderId="1" xfId="0" applyFont="1" applyFill="1" applyBorder="1" applyAlignment="1">
      <alignment horizontal="center" vertical="center" wrapText="1" shrinkToFit="1"/>
    </xf>
    <xf numFmtId="0" fontId="34" fillId="2" borderId="0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3" fillId="15" borderId="1" xfId="0" applyFont="1" applyFill="1" applyBorder="1" applyAlignment="1">
      <alignment horizontal="center" vertical="center" shrinkToFit="1"/>
    </xf>
    <xf numFmtId="0" fontId="3" fillId="15" borderId="30" xfId="0" applyFont="1" applyFill="1" applyBorder="1" applyAlignment="1">
      <alignment horizontal="center" vertical="center" wrapText="1" shrinkToFit="1"/>
    </xf>
    <xf numFmtId="0" fontId="36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23" fillId="15" borderId="1" xfId="0" applyNumberFormat="1" applyFont="1" applyFill="1" applyBorder="1" applyAlignment="1">
      <alignment horizontal="center" vertical="center" shrinkToFit="1"/>
    </xf>
    <xf numFmtId="1" fontId="36" fillId="2" borderId="1" xfId="0" applyNumberFormat="1" applyFont="1" applyFill="1" applyBorder="1" applyAlignment="1">
      <alignment horizontal="center" vertical="center" shrinkToFit="1"/>
    </xf>
    <xf numFmtId="0" fontId="23" fillId="9" borderId="1" xfId="0" applyFont="1" applyFill="1" applyBorder="1" applyAlignment="1">
      <alignment horizontal="center" vertical="center" shrinkToFit="1"/>
    </xf>
    <xf numFmtId="0" fontId="23" fillId="10" borderId="1" xfId="0" applyFont="1" applyFill="1" applyBorder="1" applyAlignment="1">
      <alignment horizontal="center" vertical="center" shrinkToFit="1"/>
    </xf>
    <xf numFmtId="0" fontId="23" fillId="12" borderId="1" xfId="0" applyFont="1" applyFill="1" applyBorder="1" applyAlignment="1">
      <alignment horizontal="center" vertical="center" shrinkToFit="1"/>
    </xf>
    <xf numFmtId="0" fontId="23" fillId="13" borderId="1" xfId="0" applyFont="1" applyFill="1" applyBorder="1" applyAlignment="1">
      <alignment horizontal="center" vertical="center" shrinkToFit="1"/>
    </xf>
    <xf numFmtId="0" fontId="23" fillId="2" borderId="0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shrinkToFit="1"/>
    </xf>
    <xf numFmtId="0" fontId="2" fillId="15" borderId="0" xfId="0" applyFont="1" applyFill="1" applyBorder="1" applyAlignment="1">
      <alignment horizontal="center" vertical="center" shrinkToFit="1"/>
    </xf>
    <xf numFmtId="0" fontId="23" fillId="15" borderId="1" xfId="0" applyFont="1" applyFill="1" applyBorder="1" applyAlignment="1">
      <alignment horizontal="center" vertical="center" shrinkToFit="1"/>
    </xf>
    <xf numFmtId="0" fontId="8" fillId="15" borderId="30" xfId="0" applyFont="1" applyFill="1" applyBorder="1" applyAlignment="1">
      <alignment horizontal="center" vertical="center" wrapText="1" shrinkToFit="1"/>
    </xf>
    <xf numFmtId="0" fontId="2" fillId="15" borderId="4" xfId="0" applyFont="1" applyFill="1" applyBorder="1" applyAlignment="1">
      <alignment horizontal="right" vertical="center" wrapText="1" shrinkToFit="1"/>
    </xf>
    <xf numFmtId="0" fontId="8" fillId="15" borderId="1" xfId="0" applyFont="1" applyFill="1" applyBorder="1" applyAlignment="1">
      <alignment horizontal="center" vertical="center" wrapText="1" shrinkToFit="1"/>
    </xf>
    <xf numFmtId="0" fontId="8" fillId="15" borderId="1" xfId="0" applyFont="1" applyFill="1" applyBorder="1" applyAlignment="1">
      <alignment horizontal="center" shrinkToFit="1"/>
    </xf>
    <xf numFmtId="0" fontId="8" fillId="15" borderId="1" xfId="0" applyFont="1" applyFill="1" applyBorder="1" applyAlignment="1">
      <alignment horizontal="center" vertical="center" shrinkToFit="1"/>
    </xf>
    <xf numFmtId="0" fontId="2" fillId="15" borderId="4" xfId="0" applyFont="1" applyFill="1" applyBorder="1" applyAlignment="1">
      <alignment horizontal="center" vertical="center" wrapText="1" shrinkToFit="1"/>
    </xf>
    <xf numFmtId="0" fontId="8" fillId="15" borderId="21" xfId="0" applyFont="1" applyFill="1" applyBorder="1" applyAlignment="1">
      <alignment horizontal="center" vertical="center" shrinkToFit="1"/>
    </xf>
    <xf numFmtId="0" fontId="8" fillId="15" borderId="26" xfId="0" applyFont="1" applyFill="1" applyBorder="1" applyAlignment="1">
      <alignment horizontal="center" vertical="center" shrinkToFit="1"/>
    </xf>
    <xf numFmtId="0" fontId="2" fillId="15" borderId="21" xfId="0" applyFont="1" applyFill="1" applyBorder="1" applyAlignment="1">
      <alignment vertical="center" shrinkToFit="1"/>
    </xf>
    <xf numFmtId="0" fontId="2" fillId="15" borderId="22" xfId="0" applyFont="1" applyFill="1" applyBorder="1" applyAlignment="1">
      <alignment vertical="center" shrinkToFit="1"/>
    </xf>
    <xf numFmtId="0" fontId="36" fillId="2" borderId="1" xfId="0" applyNumberFormat="1" applyFont="1" applyFill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readingOrder="2"/>
    </xf>
    <xf numFmtId="0" fontId="2" fillId="15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8" fillId="15" borderId="20" xfId="0" applyFont="1" applyFill="1" applyBorder="1" applyAlignment="1">
      <alignment horizontal="center" vertical="center" wrapText="1" shrinkToFit="1"/>
    </xf>
    <xf numFmtId="0" fontId="8" fillId="15" borderId="22" xfId="0" applyFont="1" applyFill="1" applyBorder="1" applyAlignment="1">
      <alignment horizontal="center" vertical="center" wrapText="1" shrinkToFit="1"/>
    </xf>
    <xf numFmtId="0" fontId="8" fillId="15" borderId="23" xfId="0" applyFont="1" applyFill="1" applyBorder="1" applyAlignment="1">
      <alignment horizontal="center" vertical="center" wrapText="1" shrinkToFit="1"/>
    </xf>
    <xf numFmtId="0" fontId="8" fillId="15" borderId="24" xfId="0" applyFont="1" applyFill="1" applyBorder="1" applyAlignment="1">
      <alignment horizontal="center" vertical="center" wrapText="1" shrinkToFit="1"/>
    </xf>
    <xf numFmtId="0" fontId="2" fillId="15" borderId="7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shrinkToFit="1"/>
    </xf>
    <xf numFmtId="0" fontId="2" fillId="15" borderId="4" xfId="0" applyFont="1" applyFill="1" applyBorder="1" applyAlignment="1">
      <alignment horizontal="center" vertical="center" shrinkToFit="1"/>
    </xf>
    <xf numFmtId="0" fontId="8" fillId="15" borderId="2" xfId="0" applyFont="1" applyFill="1" applyBorder="1" applyAlignment="1">
      <alignment horizontal="center" vertical="center" shrinkToFit="1" readingOrder="1"/>
    </xf>
    <xf numFmtId="0" fontId="8" fillId="15" borderId="3" xfId="0" applyFont="1" applyFill="1" applyBorder="1" applyAlignment="1">
      <alignment horizontal="center" vertical="center" shrinkToFit="1" readingOrder="1"/>
    </xf>
    <xf numFmtId="0" fontId="8" fillId="15" borderId="4" xfId="0" applyFont="1" applyFill="1" applyBorder="1" applyAlignment="1">
      <alignment horizontal="center" vertical="center" shrinkToFit="1" readingOrder="1"/>
    </xf>
    <xf numFmtId="0" fontId="8" fillId="15" borderId="2" xfId="0" applyFont="1" applyFill="1" applyBorder="1" applyAlignment="1">
      <alignment horizontal="center" shrinkToFit="1"/>
    </xf>
    <xf numFmtId="0" fontId="8" fillId="15" borderId="3" xfId="0" applyFont="1" applyFill="1" applyBorder="1" applyAlignment="1">
      <alignment horizontal="center" shrinkToFit="1"/>
    </xf>
    <xf numFmtId="0" fontId="2" fillId="15" borderId="20" xfId="0" applyFont="1" applyFill="1" applyBorder="1" applyAlignment="1">
      <alignment horizontal="center" vertical="center" wrapText="1" shrinkToFit="1"/>
    </xf>
    <xf numFmtId="0" fontId="2" fillId="15" borderId="22" xfId="0" applyFont="1" applyFill="1" applyBorder="1" applyAlignment="1">
      <alignment horizontal="center" vertical="center" wrapText="1" shrinkToFit="1"/>
    </xf>
    <xf numFmtId="0" fontId="2" fillId="15" borderId="25" xfId="0" applyFont="1" applyFill="1" applyBorder="1" applyAlignment="1">
      <alignment horizontal="center" vertical="center" wrapText="1" shrinkToFit="1"/>
    </xf>
    <xf numFmtId="0" fontId="2" fillId="15" borderId="27" xfId="0" applyFont="1" applyFill="1" applyBorder="1" applyAlignment="1">
      <alignment horizontal="center" vertical="center" wrapText="1" shrinkToFit="1"/>
    </xf>
    <xf numFmtId="0" fontId="2" fillId="15" borderId="1" xfId="0" applyFont="1" applyFill="1" applyBorder="1" applyAlignment="1">
      <alignment horizontal="center" vertical="center" shrinkToFit="1"/>
    </xf>
    <xf numFmtId="0" fontId="2" fillId="15" borderId="21" xfId="0" applyFont="1" applyFill="1" applyBorder="1" applyAlignment="1">
      <alignment horizontal="center" vertical="center" wrapText="1" shrinkToFit="1"/>
    </xf>
    <xf numFmtId="0" fontId="2" fillId="15" borderId="26" xfId="0" applyFont="1" applyFill="1" applyBorder="1" applyAlignment="1">
      <alignment horizontal="center" vertical="center" wrapText="1" shrinkToFit="1"/>
    </xf>
    <xf numFmtId="0" fontId="8" fillId="15" borderId="2" xfId="0" applyFont="1" applyFill="1" applyBorder="1" applyAlignment="1">
      <alignment horizontal="center" vertical="center" wrapText="1" shrinkToFit="1"/>
    </xf>
    <xf numFmtId="0" fontId="8" fillId="15" borderId="3" xfId="0" applyFont="1" applyFill="1" applyBorder="1" applyAlignment="1">
      <alignment horizontal="center" vertical="center" wrapText="1" shrinkToFit="1"/>
    </xf>
    <xf numFmtId="0" fontId="8" fillId="15" borderId="4" xfId="0" applyFont="1" applyFill="1" applyBorder="1" applyAlignment="1">
      <alignment horizontal="center" vertical="center" wrapText="1" shrinkToFit="1"/>
    </xf>
    <xf numFmtId="0" fontId="2" fillId="15" borderId="20" xfId="0" applyFont="1" applyFill="1" applyBorder="1" applyAlignment="1">
      <alignment horizontal="center" vertical="center" shrinkToFit="1"/>
    </xf>
    <xf numFmtId="0" fontId="2" fillId="15" borderId="22" xfId="0" applyFont="1" applyFill="1" applyBorder="1" applyAlignment="1">
      <alignment horizontal="center" vertical="center" shrinkToFit="1"/>
    </xf>
    <xf numFmtId="0" fontId="2" fillId="15" borderId="25" xfId="0" applyFont="1" applyFill="1" applyBorder="1" applyAlignment="1">
      <alignment horizontal="center" vertical="center" shrinkToFit="1"/>
    </xf>
    <xf numFmtId="0" fontId="2" fillId="15" borderId="27" xfId="0" applyFont="1" applyFill="1" applyBorder="1" applyAlignment="1">
      <alignment horizontal="center" vertical="center" shrinkToFit="1"/>
    </xf>
    <xf numFmtId="0" fontId="2" fillId="15" borderId="3" xfId="0" applyFont="1" applyFill="1" applyBorder="1" applyAlignment="1">
      <alignment horizontal="center" vertical="center" shrinkToFit="1"/>
    </xf>
    <xf numFmtId="0" fontId="23" fillId="15" borderId="33" xfId="0" applyFont="1" applyFill="1" applyBorder="1" applyAlignment="1">
      <alignment horizontal="center" vertical="center" shrinkToFit="1"/>
    </xf>
    <xf numFmtId="0" fontId="23" fillId="15" borderId="34" xfId="0" applyFont="1" applyFill="1" applyBorder="1" applyAlignment="1">
      <alignment horizontal="center" vertical="center" shrinkToFit="1"/>
    </xf>
    <xf numFmtId="0" fontId="23" fillId="15" borderId="35" xfId="0" applyFont="1" applyFill="1" applyBorder="1" applyAlignment="1">
      <alignment horizontal="center" vertical="center" shrinkToFit="1"/>
    </xf>
    <xf numFmtId="0" fontId="23" fillId="15" borderId="36" xfId="0" applyFont="1" applyFill="1" applyBorder="1" applyAlignment="1">
      <alignment horizontal="center" vertical="center" shrinkToFit="1"/>
    </xf>
    <xf numFmtId="0" fontId="23" fillId="15" borderId="37" xfId="0" applyFont="1" applyFill="1" applyBorder="1" applyAlignment="1">
      <alignment horizontal="center" vertical="center" shrinkToFit="1"/>
    </xf>
    <xf numFmtId="0" fontId="23" fillId="15" borderId="38" xfId="0" applyFont="1" applyFill="1" applyBorder="1" applyAlignment="1">
      <alignment horizontal="center" vertical="center" shrinkToFit="1"/>
    </xf>
    <xf numFmtId="0" fontId="2" fillId="15" borderId="23" xfId="0" applyFont="1" applyFill="1" applyBorder="1" applyAlignment="1">
      <alignment horizontal="center" vertical="center" shrinkToFit="1"/>
    </xf>
    <xf numFmtId="0" fontId="2" fillId="15" borderId="0" xfId="0" applyFont="1" applyFill="1" applyBorder="1" applyAlignment="1">
      <alignment horizontal="center" vertical="center" shrinkToFit="1"/>
    </xf>
    <xf numFmtId="0" fontId="2" fillId="15" borderId="24" xfId="0" applyFont="1" applyFill="1" applyBorder="1" applyAlignment="1">
      <alignment horizontal="center" vertical="center" shrinkToFit="1"/>
    </xf>
    <xf numFmtId="0" fontId="2" fillId="15" borderId="26" xfId="0" applyFont="1" applyFill="1" applyBorder="1" applyAlignment="1">
      <alignment horizontal="center" vertical="center" shrinkToFit="1"/>
    </xf>
    <xf numFmtId="0" fontId="2" fillId="15" borderId="1" xfId="0" applyFont="1" applyFill="1" applyBorder="1" applyAlignment="1">
      <alignment horizontal="center" vertical="center" shrinkToFit="1" readingOrder="2"/>
    </xf>
    <xf numFmtId="0" fontId="8" fillId="15" borderId="1" xfId="0" applyFont="1" applyFill="1" applyBorder="1" applyAlignment="1">
      <alignment horizontal="center" shrinkToFit="1"/>
    </xf>
    <xf numFmtId="0" fontId="2" fillId="15" borderId="8" xfId="0" applyFont="1" applyFill="1" applyBorder="1" applyAlignment="1">
      <alignment horizontal="center" vertical="center"/>
    </xf>
    <xf numFmtId="0" fontId="2" fillId="15" borderId="21" xfId="0" applyFont="1" applyFill="1" applyBorder="1" applyAlignment="1">
      <alignment horizontal="center" vertical="center" shrinkToFit="1"/>
    </xf>
    <xf numFmtId="0" fontId="2" fillId="15" borderId="23" xfId="0" applyFont="1" applyFill="1" applyBorder="1" applyAlignment="1">
      <alignment horizontal="center" vertical="center" wrapText="1" shrinkToFit="1"/>
    </xf>
    <xf numFmtId="0" fontId="2" fillId="15" borderId="0" xfId="0" applyFont="1" applyFill="1" applyBorder="1" applyAlignment="1">
      <alignment horizontal="center" vertical="center" wrapText="1" shrinkToFit="1"/>
    </xf>
    <xf numFmtId="0" fontId="33" fillId="15" borderId="21" xfId="0" applyFont="1" applyFill="1" applyBorder="1"/>
    <xf numFmtId="0" fontId="33" fillId="15" borderId="22" xfId="0" applyFont="1" applyFill="1" applyBorder="1"/>
    <xf numFmtId="0" fontId="33" fillId="15" borderId="23" xfId="0" applyFont="1" applyFill="1" applyBorder="1"/>
    <xf numFmtId="0" fontId="33" fillId="15" borderId="0" xfId="0" applyFont="1" applyFill="1"/>
    <xf numFmtId="0" fontId="33" fillId="15" borderId="24" xfId="0" applyFont="1" applyFill="1" applyBorder="1"/>
    <xf numFmtId="0" fontId="33" fillId="15" borderId="25" xfId="0" applyFont="1" applyFill="1" applyBorder="1"/>
    <xf numFmtId="0" fontId="33" fillId="15" borderId="26" xfId="0" applyFont="1" applyFill="1" applyBorder="1"/>
    <xf numFmtId="0" fontId="33" fillId="15" borderId="27" xfId="0" applyFont="1" applyFill="1" applyBorder="1"/>
    <xf numFmtId="0" fontId="8" fillId="15" borderId="20" xfId="0" applyFont="1" applyFill="1" applyBorder="1" applyAlignment="1">
      <alignment horizontal="center" vertical="center" shrinkToFit="1"/>
    </xf>
    <xf numFmtId="0" fontId="8" fillId="15" borderId="21" xfId="0" applyFont="1" applyFill="1" applyBorder="1" applyAlignment="1">
      <alignment horizontal="center" vertical="center" shrinkToFit="1"/>
    </xf>
    <xf numFmtId="0" fontId="8" fillId="15" borderId="22" xfId="0" applyFont="1" applyFill="1" applyBorder="1" applyAlignment="1">
      <alignment horizontal="center" vertical="center" shrinkToFit="1"/>
    </xf>
    <xf numFmtId="0" fontId="8" fillId="15" borderId="25" xfId="0" applyFont="1" applyFill="1" applyBorder="1" applyAlignment="1">
      <alignment horizontal="center" vertical="center" shrinkToFit="1"/>
    </xf>
    <xf numFmtId="0" fontId="8" fillId="15" borderId="26" xfId="0" applyFont="1" applyFill="1" applyBorder="1" applyAlignment="1">
      <alignment horizontal="center" vertical="center" shrinkToFit="1"/>
    </xf>
    <xf numFmtId="0" fontId="8" fillId="15" borderId="27" xfId="0" applyFont="1" applyFill="1" applyBorder="1" applyAlignment="1">
      <alignment horizontal="center" vertical="center" shrinkToFit="1"/>
    </xf>
    <xf numFmtId="0" fontId="8" fillId="15" borderId="30" xfId="0" applyFont="1" applyFill="1" applyBorder="1" applyAlignment="1">
      <alignment horizontal="center" vertical="center" wrapText="1" shrinkToFit="1"/>
    </xf>
    <xf numFmtId="0" fontId="8" fillId="15" borderId="31" xfId="0" applyFont="1" applyFill="1" applyBorder="1" applyAlignment="1">
      <alignment horizontal="center" vertical="center" wrapText="1" shrinkToFit="1"/>
    </xf>
    <xf numFmtId="0" fontId="8" fillId="15" borderId="32" xfId="0" applyFont="1" applyFill="1" applyBorder="1" applyAlignment="1">
      <alignment horizontal="center" vertical="center" wrapText="1" shrinkToFit="1"/>
    </xf>
    <xf numFmtId="0" fontId="8" fillId="15" borderId="2" xfId="0" applyFont="1" applyFill="1" applyBorder="1" applyAlignment="1">
      <alignment horizontal="center" vertical="center" shrinkToFit="1"/>
    </xf>
    <xf numFmtId="0" fontId="8" fillId="15" borderId="3" xfId="0" applyFont="1" applyFill="1" applyBorder="1" applyAlignment="1">
      <alignment horizontal="center" vertical="center" shrinkToFit="1"/>
    </xf>
    <xf numFmtId="0" fontId="8" fillId="15" borderId="4" xfId="0" applyFont="1" applyFill="1" applyBorder="1" applyAlignment="1">
      <alignment horizontal="center" vertical="center" shrinkToFit="1"/>
    </xf>
    <xf numFmtId="0" fontId="8" fillId="15" borderId="1" xfId="0" applyFont="1" applyFill="1" applyBorder="1" applyAlignment="1">
      <alignment horizontal="center" vertical="center" shrinkToFit="1"/>
    </xf>
    <xf numFmtId="0" fontId="2" fillId="15" borderId="20" xfId="0" applyFont="1" applyFill="1" applyBorder="1" applyAlignment="1">
      <alignment vertical="center" shrinkToFit="1"/>
    </xf>
    <xf numFmtId="0" fontId="2" fillId="15" borderId="21" xfId="0" applyFont="1" applyFill="1" applyBorder="1" applyAlignment="1">
      <alignment vertical="center" shrinkToFit="1"/>
    </xf>
    <xf numFmtId="0" fontId="2" fillId="15" borderId="22" xfId="0" applyFont="1" applyFill="1" applyBorder="1" applyAlignment="1">
      <alignment vertical="center" shrinkToFit="1"/>
    </xf>
    <xf numFmtId="0" fontId="2" fillId="15" borderId="23" xfId="0" applyFont="1" applyFill="1" applyBorder="1" applyAlignment="1">
      <alignment vertical="center" shrinkToFit="1"/>
    </xf>
    <xf numFmtId="0" fontId="2" fillId="15" borderId="0" xfId="0" applyFont="1" applyFill="1" applyBorder="1" applyAlignment="1">
      <alignment vertical="center" shrinkToFit="1"/>
    </xf>
    <xf numFmtId="0" fontId="2" fillId="15" borderId="24" xfId="0" applyFont="1" applyFill="1" applyBorder="1" applyAlignment="1">
      <alignment vertical="center" shrinkToFit="1"/>
    </xf>
    <xf numFmtId="0" fontId="2" fillId="15" borderId="28" xfId="0" applyFont="1" applyFill="1" applyBorder="1" applyAlignment="1">
      <alignment vertical="center" shrinkToFit="1"/>
    </xf>
    <xf numFmtId="0" fontId="2" fillId="15" borderId="5" xfId="0" applyFont="1" applyFill="1" applyBorder="1" applyAlignment="1">
      <alignment vertical="center" shrinkToFit="1"/>
    </xf>
    <xf numFmtId="0" fontId="2" fillId="15" borderId="29" xfId="0" applyFont="1" applyFill="1" applyBorder="1" applyAlignment="1">
      <alignment vertical="center" shrinkToFit="1"/>
    </xf>
    <xf numFmtId="0" fontId="8" fillId="15" borderId="1" xfId="0" applyFont="1" applyFill="1" applyBorder="1" applyAlignment="1">
      <alignment horizontal="right" shrinkToFit="1"/>
    </xf>
    <xf numFmtId="0" fontId="8" fillId="15" borderId="4" xfId="0" applyFont="1" applyFill="1" applyBorder="1" applyAlignment="1">
      <alignment horizontal="center" shrinkToFit="1"/>
    </xf>
    <xf numFmtId="0" fontId="8" fillId="15" borderId="25" xfId="0" applyFont="1" applyFill="1" applyBorder="1" applyAlignment="1">
      <alignment horizontal="center" vertical="center" wrapText="1" shrinkToFit="1"/>
    </xf>
    <xf numFmtId="0" fontId="8" fillId="15" borderId="27" xfId="0" applyFont="1" applyFill="1" applyBorder="1" applyAlignment="1">
      <alignment horizontal="center" vertical="center" wrapText="1" shrinkToFit="1"/>
    </xf>
    <xf numFmtId="0" fontId="8" fillId="15" borderId="21" xfId="0" applyFont="1" applyFill="1" applyBorder="1" applyAlignment="1">
      <alignment horizontal="center" vertical="center" wrapText="1" shrinkToFit="1"/>
    </xf>
    <xf numFmtId="0" fontId="8" fillId="15" borderId="26" xfId="0" applyFont="1" applyFill="1" applyBorder="1" applyAlignment="1">
      <alignment horizontal="center" vertical="center" wrapText="1" shrinkToFit="1"/>
    </xf>
    <xf numFmtId="49" fontId="2" fillId="15" borderId="2" xfId="0" applyNumberFormat="1" applyFont="1" applyFill="1" applyBorder="1" applyAlignment="1">
      <alignment horizontal="center" vertical="center" shrinkToFit="1"/>
    </xf>
    <xf numFmtId="49" fontId="2" fillId="15" borderId="4" xfId="0" applyNumberFormat="1" applyFont="1" applyFill="1" applyBorder="1" applyAlignment="1">
      <alignment horizontal="center" vertical="center" shrinkToFit="1"/>
    </xf>
    <xf numFmtId="0" fontId="2" fillId="15" borderId="24" xfId="0" applyFont="1" applyFill="1" applyBorder="1" applyAlignment="1">
      <alignment horizontal="center" vertical="center" wrapText="1" shrinkToFit="1"/>
    </xf>
    <xf numFmtId="0" fontId="2" fillId="15" borderId="2" xfId="0" applyFont="1" applyFill="1" applyBorder="1" applyAlignment="1">
      <alignment horizontal="right" vertical="center" wrapText="1" shrinkToFit="1"/>
    </xf>
    <xf numFmtId="0" fontId="2" fillId="15" borderId="3" xfId="0" applyFont="1" applyFill="1" applyBorder="1" applyAlignment="1">
      <alignment horizontal="right" vertical="center" wrapText="1" shrinkToFit="1"/>
    </xf>
    <xf numFmtId="0" fontId="2" fillId="15" borderId="4" xfId="0" applyFont="1" applyFill="1" applyBorder="1" applyAlignment="1">
      <alignment horizontal="right" vertical="center" wrapText="1" shrinkToFit="1"/>
    </xf>
    <xf numFmtId="49" fontId="2" fillId="15" borderId="3" xfId="0" applyNumberFormat="1" applyFont="1" applyFill="1" applyBorder="1" applyAlignment="1">
      <alignment horizontal="center" vertical="center" shrinkToFit="1"/>
    </xf>
    <xf numFmtId="0" fontId="8" fillId="15" borderId="1" xfId="0" applyFont="1" applyFill="1" applyBorder="1" applyAlignment="1">
      <alignment horizontal="center" vertical="center" wrapText="1" shrinkToFit="1"/>
    </xf>
    <xf numFmtId="0" fontId="8" fillId="15" borderId="1" xfId="0" applyFont="1" applyFill="1" applyBorder="1" applyAlignment="1">
      <alignment horizontal="center" vertical="center" shrinkToFit="1" readingOrder="1"/>
    </xf>
    <xf numFmtId="0" fontId="2" fillId="15" borderId="2" xfId="0" applyFont="1" applyFill="1" applyBorder="1" applyAlignment="1">
      <alignment horizontal="center" vertical="center" wrapText="1" shrinkToFit="1"/>
    </xf>
    <xf numFmtId="0" fontId="2" fillId="15" borderId="3" xfId="0" applyFont="1" applyFill="1" applyBorder="1" applyAlignment="1">
      <alignment horizontal="center" vertical="center" wrapText="1" shrinkToFit="1"/>
    </xf>
    <xf numFmtId="0" fontId="2" fillId="15" borderId="4" xfId="0" applyFont="1" applyFill="1" applyBorder="1" applyAlignment="1">
      <alignment horizontal="center" vertical="center" wrapText="1" shrinkToFit="1"/>
    </xf>
    <xf numFmtId="0" fontId="23" fillId="15" borderId="32" xfId="0" applyFont="1" applyFill="1" applyBorder="1" applyAlignment="1">
      <alignment horizontal="center" vertical="center" shrinkToFit="1"/>
    </xf>
    <xf numFmtId="0" fontId="23" fillId="15" borderId="1" xfId="0" applyFont="1" applyFill="1" applyBorder="1" applyAlignment="1">
      <alignment horizontal="center" vertical="center" shrinkToFit="1"/>
    </xf>
    <xf numFmtId="0" fontId="2" fillId="15" borderId="1" xfId="0" applyFont="1" applyFill="1" applyBorder="1" applyAlignment="1">
      <alignment horizontal="center" vertical="center" textRotation="90" shrinkToFit="1"/>
    </xf>
    <xf numFmtId="0" fontId="2" fillId="10" borderId="2" xfId="0" applyFont="1" applyFill="1" applyBorder="1" applyAlignment="1">
      <alignment horizontal="center" vertical="center" shrinkToFit="1"/>
    </xf>
    <xf numFmtId="0" fontId="2" fillId="10" borderId="3" xfId="0" applyFont="1" applyFill="1" applyBorder="1" applyAlignment="1">
      <alignment horizontal="center" vertical="center" shrinkToFit="1"/>
    </xf>
    <xf numFmtId="0" fontId="2" fillId="10" borderId="4" xfId="0" applyFont="1" applyFill="1" applyBorder="1" applyAlignment="1">
      <alignment horizontal="center" vertical="center" shrinkToFit="1"/>
    </xf>
    <xf numFmtId="0" fontId="2" fillId="12" borderId="2" xfId="0" applyFont="1" applyFill="1" applyBorder="1" applyAlignment="1">
      <alignment horizontal="center" vertical="center" shrinkToFit="1"/>
    </xf>
    <xf numFmtId="0" fontId="2" fillId="12" borderId="3" xfId="0" applyFont="1" applyFill="1" applyBorder="1" applyAlignment="1">
      <alignment horizontal="center" vertical="center" shrinkToFit="1"/>
    </xf>
    <xf numFmtId="0" fontId="2" fillId="12" borderId="4" xfId="0" applyFont="1" applyFill="1" applyBorder="1" applyAlignment="1">
      <alignment horizontal="center" vertical="center" shrinkToFit="1"/>
    </xf>
    <xf numFmtId="0" fontId="2" fillId="13" borderId="2" xfId="0" applyFont="1" applyFill="1" applyBorder="1" applyAlignment="1">
      <alignment horizontal="center" vertical="center" shrinkToFit="1"/>
    </xf>
    <xf numFmtId="0" fontId="2" fillId="13" borderId="3" xfId="0" applyFont="1" applyFill="1" applyBorder="1" applyAlignment="1">
      <alignment horizontal="center" vertical="center" shrinkToFit="1"/>
    </xf>
    <xf numFmtId="0" fontId="2" fillId="13" borderId="4" xfId="0" applyFont="1" applyFill="1" applyBorder="1" applyAlignment="1">
      <alignment horizontal="center" vertical="center" shrinkToFit="1"/>
    </xf>
    <xf numFmtId="0" fontId="2" fillId="9" borderId="2" xfId="0" applyFont="1" applyFill="1" applyBorder="1" applyAlignment="1">
      <alignment horizontal="center" vertical="center" shrinkToFit="1"/>
    </xf>
    <xf numFmtId="0" fontId="2" fillId="9" borderId="3" xfId="0" applyFont="1" applyFill="1" applyBorder="1" applyAlignment="1">
      <alignment horizontal="center" vertical="center" shrinkToFit="1"/>
    </xf>
    <xf numFmtId="0" fontId="2" fillId="9" borderId="4" xfId="0" applyFont="1" applyFill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readingOrder="2"/>
    </xf>
    <xf numFmtId="0" fontId="10" fillId="0" borderId="9" xfId="0" applyFont="1" applyBorder="1" applyAlignment="1">
      <alignment horizontal="center" vertical="center" readingOrder="2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readingOrder="2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readingOrder="2"/>
    </xf>
    <xf numFmtId="0" fontId="10" fillId="0" borderId="14" xfId="0" applyFont="1" applyBorder="1" applyAlignment="1">
      <alignment horizontal="center" vertical="center" readingOrder="2"/>
    </xf>
    <xf numFmtId="0" fontId="10" fillId="0" borderId="16" xfId="0" applyFont="1" applyBorder="1" applyAlignment="1">
      <alignment horizontal="center" vertical="center" readingOrder="2"/>
    </xf>
    <xf numFmtId="0" fontId="10" fillId="0" borderId="17" xfId="0" applyFont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 wrapText="1" readingOrder="2"/>
    </xf>
    <xf numFmtId="0" fontId="8" fillId="0" borderId="9" xfId="0" applyFont="1" applyBorder="1" applyAlignment="1">
      <alignment horizontal="center" vertical="center" wrapText="1" readingOrder="2"/>
    </xf>
    <xf numFmtId="0" fontId="10" fillId="0" borderId="6" xfId="0" applyFont="1" applyBorder="1" applyAlignment="1">
      <alignment horizontal="center" vertical="center" readingOrder="2"/>
    </xf>
    <xf numFmtId="0" fontId="10" fillId="0" borderId="11" xfId="0" applyFont="1" applyBorder="1" applyAlignment="1">
      <alignment horizontal="center" vertical="center" readingOrder="2"/>
    </xf>
    <xf numFmtId="0" fontId="10" fillId="2" borderId="13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textRotation="90" wrapText="1" readingOrder="2"/>
    </xf>
    <xf numFmtId="0" fontId="12" fillId="0" borderId="15" xfId="0" applyFont="1" applyBorder="1" applyAlignment="1">
      <alignment horizontal="center" vertical="center" textRotation="90" wrapText="1" readingOrder="2"/>
    </xf>
    <xf numFmtId="0" fontId="12" fillId="0" borderId="11" xfId="0" applyFont="1" applyBorder="1" applyAlignment="1">
      <alignment horizontal="center" vertical="center" textRotation="90" wrapText="1" readingOrder="2"/>
    </xf>
    <xf numFmtId="0" fontId="12" fillId="0" borderId="10" xfId="0" applyFont="1" applyBorder="1" applyAlignment="1">
      <alignment horizontal="center" vertical="center" textRotation="90" readingOrder="2"/>
    </xf>
    <xf numFmtId="0" fontId="5" fillId="0" borderId="7" xfId="0" applyFont="1" applyBorder="1" applyAlignment="1">
      <alignment horizontal="center" vertical="center" readingOrder="2"/>
    </xf>
    <xf numFmtId="0" fontId="5" fillId="0" borderId="9" xfId="0" applyFont="1" applyBorder="1" applyAlignment="1">
      <alignment horizontal="center" vertical="center" readingOrder="2"/>
    </xf>
    <xf numFmtId="0" fontId="5" fillId="0" borderId="8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textRotation="90" wrapText="1" readingOrder="2"/>
    </xf>
    <xf numFmtId="0" fontId="5" fillId="0" borderId="15" xfId="0" applyFont="1" applyBorder="1" applyAlignment="1">
      <alignment horizontal="center" vertical="center" textRotation="90" wrapText="1" readingOrder="2"/>
    </xf>
    <xf numFmtId="0" fontId="5" fillId="0" borderId="11" xfId="0" applyFont="1" applyBorder="1" applyAlignment="1">
      <alignment horizontal="center" vertical="center" textRotation="90" wrapText="1" readingOrder="2"/>
    </xf>
    <xf numFmtId="0" fontId="5" fillId="0" borderId="10" xfId="0" applyFont="1" applyBorder="1" applyAlignment="1">
      <alignment horizontal="center" vertical="center" textRotation="90" readingOrder="2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textRotation="90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textRotation="90" wrapText="1" readingOrder="2"/>
    </xf>
    <xf numFmtId="0" fontId="3" fillId="0" borderId="15" xfId="0" applyFont="1" applyBorder="1" applyAlignment="1">
      <alignment horizontal="center" vertical="center" textRotation="90" wrapText="1" readingOrder="2"/>
    </xf>
    <xf numFmtId="0" fontId="3" fillId="0" borderId="11" xfId="0" applyFont="1" applyBorder="1" applyAlignment="1">
      <alignment horizontal="center" vertical="center" textRotation="90" wrapText="1" readingOrder="2"/>
    </xf>
    <xf numFmtId="0" fontId="10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3" xfId="0" applyFont="1" applyBorder="1" applyAlignment="1">
      <alignment vertical="center" textRotation="132" wrapText="1" readingOrder="2"/>
    </xf>
    <xf numFmtId="0" fontId="10" fillId="0" borderId="14" xfId="0" applyFont="1" applyBorder="1" applyAlignment="1">
      <alignment vertical="center" textRotation="132" wrapText="1" readingOrder="2"/>
    </xf>
    <xf numFmtId="0" fontId="10" fillId="0" borderId="19" xfId="0" applyFont="1" applyBorder="1" applyAlignment="1">
      <alignment vertical="center" textRotation="132" wrapText="1" readingOrder="2"/>
    </xf>
    <xf numFmtId="0" fontId="10" fillId="0" borderId="18" xfId="0" applyFont="1" applyBorder="1" applyAlignment="1">
      <alignment vertical="center" textRotation="132" wrapText="1" readingOrder="2"/>
    </xf>
    <xf numFmtId="0" fontId="10" fillId="0" borderId="16" xfId="0" applyFont="1" applyBorder="1" applyAlignment="1">
      <alignment vertical="center" textRotation="132" wrapText="1" readingOrder="2"/>
    </xf>
    <xf numFmtId="0" fontId="10" fillId="0" borderId="17" xfId="0" applyFont="1" applyBorder="1" applyAlignment="1">
      <alignment vertical="center" textRotation="132" wrapText="1" readingOrder="2"/>
    </xf>
    <xf numFmtId="0" fontId="10" fillId="0" borderId="13" xfId="0" applyFont="1" applyBorder="1" applyAlignment="1">
      <alignment horizontal="center" vertical="center" textRotation="132" readingOrder="2"/>
    </xf>
    <xf numFmtId="0" fontId="10" fillId="0" borderId="14" xfId="0" applyFont="1" applyBorder="1" applyAlignment="1">
      <alignment horizontal="center" vertical="center" textRotation="132" readingOrder="2"/>
    </xf>
    <xf numFmtId="0" fontId="10" fillId="0" borderId="19" xfId="0" applyFont="1" applyBorder="1" applyAlignment="1">
      <alignment horizontal="center" vertical="center" textRotation="132" readingOrder="2"/>
    </xf>
    <xf numFmtId="0" fontId="10" fillId="0" borderId="18" xfId="0" applyFont="1" applyBorder="1" applyAlignment="1">
      <alignment horizontal="center" vertical="center" textRotation="132" readingOrder="2"/>
    </xf>
    <xf numFmtId="0" fontId="10" fillId="0" borderId="16" xfId="0" applyFont="1" applyBorder="1" applyAlignment="1">
      <alignment horizontal="center" vertical="center" textRotation="132" readingOrder="2"/>
    </xf>
    <xf numFmtId="0" fontId="10" fillId="0" borderId="17" xfId="0" applyFont="1" applyBorder="1" applyAlignment="1">
      <alignment horizontal="center" vertical="center" textRotation="132" readingOrder="2"/>
    </xf>
    <xf numFmtId="0" fontId="10" fillId="0" borderId="13" xfId="0" applyFont="1" applyBorder="1" applyAlignment="1">
      <alignment horizontal="center" vertical="center" textRotation="132" wrapText="1" readingOrder="2"/>
    </xf>
    <xf numFmtId="0" fontId="10" fillId="0" borderId="14" xfId="0" applyFont="1" applyBorder="1" applyAlignment="1">
      <alignment horizontal="center" vertical="center" textRotation="132" wrapText="1" readingOrder="2"/>
    </xf>
    <xf numFmtId="0" fontId="10" fillId="0" borderId="19" xfId="0" applyFont="1" applyBorder="1" applyAlignment="1">
      <alignment horizontal="center" vertical="center" textRotation="132" wrapText="1" readingOrder="2"/>
    </xf>
    <xf numFmtId="0" fontId="10" fillId="0" borderId="18" xfId="0" applyFont="1" applyBorder="1" applyAlignment="1">
      <alignment horizontal="center" vertical="center" textRotation="132" wrapText="1" readingOrder="2"/>
    </xf>
    <xf numFmtId="0" fontId="10" fillId="0" borderId="16" xfId="0" applyFont="1" applyBorder="1" applyAlignment="1">
      <alignment horizontal="center" vertical="center" textRotation="132" wrapText="1" readingOrder="2"/>
    </xf>
    <xf numFmtId="0" fontId="10" fillId="0" borderId="17" xfId="0" applyFont="1" applyBorder="1" applyAlignment="1">
      <alignment horizontal="center" vertical="center" textRotation="132" wrapText="1" readingOrder="2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right" vertical="top" textRotation="132" wrapText="1" readingOrder="2"/>
    </xf>
    <xf numFmtId="0" fontId="10" fillId="0" borderId="14" xfId="0" applyFont="1" applyBorder="1" applyAlignment="1">
      <alignment horizontal="right" vertical="top" textRotation="132" wrapText="1" readingOrder="2"/>
    </xf>
    <xf numFmtId="0" fontId="10" fillId="0" borderId="19" xfId="0" applyFont="1" applyBorder="1" applyAlignment="1">
      <alignment horizontal="right" vertical="top" textRotation="132" wrapText="1" readingOrder="2"/>
    </xf>
    <xf numFmtId="0" fontId="10" fillId="0" borderId="18" xfId="0" applyFont="1" applyBorder="1" applyAlignment="1">
      <alignment horizontal="right" vertical="top" textRotation="132" wrapText="1" readingOrder="2"/>
    </xf>
    <xf numFmtId="0" fontId="10" fillId="0" borderId="16" xfId="0" applyFont="1" applyBorder="1" applyAlignment="1">
      <alignment horizontal="right" vertical="top" textRotation="132" wrapText="1" readingOrder="2"/>
    </xf>
    <xf numFmtId="0" fontId="10" fillId="0" borderId="17" xfId="0" applyFont="1" applyBorder="1" applyAlignment="1">
      <alignment horizontal="right" vertical="top" textRotation="132" wrapText="1" readingOrder="2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readingOrder="2"/>
    </xf>
    <xf numFmtId="0" fontId="5" fillId="0" borderId="11" xfId="0" applyFont="1" applyBorder="1" applyAlignment="1">
      <alignment horizontal="center" vertical="center" readingOrder="2"/>
    </xf>
    <xf numFmtId="0" fontId="10" fillId="0" borderId="6" xfId="0" applyFont="1" applyBorder="1" applyAlignment="1">
      <alignment horizontal="center" vertical="center" textRotation="90" readingOrder="2"/>
    </xf>
    <xf numFmtId="0" fontId="10" fillId="0" borderId="15" xfId="0" applyFont="1" applyBorder="1" applyAlignment="1">
      <alignment horizontal="center" vertical="center" textRotation="90" readingOrder="2"/>
    </xf>
    <xf numFmtId="0" fontId="10" fillId="0" borderId="11" xfId="0" applyFont="1" applyBorder="1" applyAlignment="1">
      <alignment horizontal="center" vertical="center" textRotation="90" readingOrder="2"/>
    </xf>
    <xf numFmtId="0" fontId="10" fillId="0" borderId="7" xfId="0" applyFont="1" applyBorder="1" applyAlignment="1">
      <alignment horizontal="center" vertical="center" wrapText="1" readingOrder="2"/>
    </xf>
    <xf numFmtId="0" fontId="10" fillId="0" borderId="8" xfId="0" applyFont="1" applyBorder="1" applyAlignment="1">
      <alignment horizontal="center" vertical="center" wrapText="1" readingOrder="2"/>
    </xf>
    <xf numFmtId="0" fontId="10" fillId="0" borderId="9" xfId="0" applyFont="1" applyBorder="1" applyAlignment="1">
      <alignment horizontal="center" vertical="center" wrapText="1" readingOrder="2"/>
    </xf>
    <xf numFmtId="0" fontId="31" fillId="4" borderId="6" xfId="0" applyFont="1" applyFill="1" applyBorder="1" applyAlignment="1">
      <alignment horizontal="center" vertical="center" textRotation="90" wrapText="1" readingOrder="2"/>
    </xf>
    <xf numFmtId="0" fontId="31" fillId="4" borderId="15" xfId="0" applyFont="1" applyFill="1" applyBorder="1" applyAlignment="1">
      <alignment horizontal="center" vertical="center" textRotation="90" wrapText="1" readingOrder="2"/>
    </xf>
    <xf numFmtId="0" fontId="31" fillId="4" borderId="11" xfId="0" applyFont="1" applyFill="1" applyBorder="1" applyAlignment="1">
      <alignment horizontal="center" vertical="center" textRotation="90" wrapText="1" readingOrder="2"/>
    </xf>
    <xf numFmtId="0" fontId="10" fillId="4" borderId="7" xfId="0" applyFont="1" applyFill="1" applyBorder="1" applyAlignment="1">
      <alignment horizontal="center" vertical="center" readingOrder="2"/>
    </xf>
    <xf numFmtId="0" fontId="10" fillId="4" borderId="8" xfId="0" applyFont="1" applyFill="1" applyBorder="1" applyAlignment="1">
      <alignment horizontal="center" vertical="center" readingOrder="2"/>
    </xf>
    <xf numFmtId="0" fontId="10" fillId="4" borderId="9" xfId="0" applyFont="1" applyFill="1" applyBorder="1" applyAlignment="1">
      <alignment horizontal="center" vertical="center" readingOrder="2"/>
    </xf>
    <xf numFmtId="0" fontId="10" fillId="4" borderId="6" xfId="0" applyFont="1" applyFill="1" applyBorder="1" applyAlignment="1">
      <alignment horizontal="center" vertical="center" textRotation="90" readingOrder="2"/>
    </xf>
    <xf numFmtId="0" fontId="10" fillId="4" borderId="15" xfId="0" applyFont="1" applyFill="1" applyBorder="1" applyAlignment="1">
      <alignment horizontal="center" vertical="center" textRotation="90" readingOrder="2"/>
    </xf>
    <xf numFmtId="0" fontId="10" fillId="4" borderId="11" xfId="0" applyFont="1" applyFill="1" applyBorder="1" applyAlignment="1">
      <alignment horizontal="center" vertical="center" textRotation="90" readingOrder="2"/>
    </xf>
    <xf numFmtId="0" fontId="10" fillId="4" borderId="16" xfId="0" applyFont="1" applyFill="1" applyBorder="1" applyAlignment="1">
      <alignment horizontal="center" vertical="center" readingOrder="2"/>
    </xf>
    <xf numFmtId="0" fontId="10" fillId="4" borderId="17" xfId="0" applyFont="1" applyFill="1" applyBorder="1" applyAlignment="1">
      <alignment horizontal="center" vertical="center" readingOrder="2"/>
    </xf>
    <xf numFmtId="0" fontId="10" fillId="0" borderId="6" xfId="0" applyFont="1" applyBorder="1" applyAlignment="1">
      <alignment horizontal="center" vertical="center" textRotation="135" readingOrder="2"/>
    </xf>
    <xf numFmtId="0" fontId="10" fillId="0" borderId="15" xfId="0" applyFont="1" applyBorder="1" applyAlignment="1">
      <alignment horizontal="center" vertical="center" textRotation="135" readingOrder="2"/>
    </xf>
    <xf numFmtId="0" fontId="10" fillId="0" borderId="11" xfId="0" applyFont="1" applyBorder="1" applyAlignment="1">
      <alignment horizontal="center" vertical="center" textRotation="135" readingOrder="2"/>
    </xf>
    <xf numFmtId="0" fontId="10" fillId="4" borderId="13" xfId="0" applyFont="1" applyFill="1" applyBorder="1" applyAlignment="1">
      <alignment horizontal="center" vertical="center" readingOrder="2"/>
    </xf>
    <xf numFmtId="0" fontId="10" fillId="4" borderId="14" xfId="0" applyFont="1" applyFill="1" applyBorder="1" applyAlignment="1">
      <alignment horizontal="center" vertical="center" readingOrder="2"/>
    </xf>
    <xf numFmtId="0" fontId="10" fillId="4" borderId="7" xfId="0" applyFont="1" applyFill="1" applyBorder="1" applyAlignment="1">
      <alignment horizontal="center" vertical="center" wrapText="1" readingOrder="2"/>
    </xf>
    <xf numFmtId="0" fontId="10" fillId="4" borderId="8" xfId="0" applyFont="1" applyFill="1" applyBorder="1" applyAlignment="1">
      <alignment horizontal="center" vertical="center" wrapText="1" readingOrder="2"/>
    </xf>
    <xf numFmtId="0" fontId="10" fillId="4" borderId="9" xfId="0" applyFont="1" applyFill="1" applyBorder="1" applyAlignment="1">
      <alignment horizontal="center" vertical="center" wrapText="1" readingOrder="2"/>
    </xf>
    <xf numFmtId="0" fontId="10" fillId="4" borderId="6" xfId="0" applyFont="1" applyFill="1" applyBorder="1" applyAlignment="1">
      <alignment horizontal="center" vertical="center" textRotation="90" wrapText="1" readingOrder="2"/>
    </xf>
    <xf numFmtId="0" fontId="10" fillId="4" borderId="15" xfId="0" applyFont="1" applyFill="1" applyBorder="1" applyAlignment="1">
      <alignment horizontal="center" vertical="center" textRotation="90" wrapText="1" readingOrder="2"/>
    </xf>
    <xf numFmtId="0" fontId="10" fillId="4" borderId="11" xfId="0" applyFont="1" applyFill="1" applyBorder="1" applyAlignment="1">
      <alignment horizontal="center" vertical="center" textRotation="90" wrapText="1" readingOrder="2"/>
    </xf>
    <xf numFmtId="0" fontId="10" fillId="0" borderId="13" xfId="0" applyFont="1" applyBorder="1" applyAlignment="1">
      <alignment horizontal="center" vertical="center" textRotation="90" readingOrder="2"/>
    </xf>
    <xf numFmtId="0" fontId="10" fillId="0" borderId="14" xfId="0" applyFont="1" applyBorder="1" applyAlignment="1">
      <alignment horizontal="center" vertical="center" textRotation="90" readingOrder="2"/>
    </xf>
    <xf numFmtId="0" fontId="10" fillId="0" borderId="19" xfId="0" applyFont="1" applyBorder="1" applyAlignment="1">
      <alignment horizontal="center" vertical="center" textRotation="90" readingOrder="2"/>
    </xf>
    <xf numFmtId="0" fontId="10" fillId="0" borderId="18" xfId="0" applyFont="1" applyBorder="1" applyAlignment="1">
      <alignment horizontal="center" vertical="center" textRotation="90" readingOrder="2"/>
    </xf>
    <xf numFmtId="0" fontId="10" fillId="0" borderId="16" xfId="0" applyFont="1" applyBorder="1" applyAlignment="1">
      <alignment horizontal="center" vertical="center" textRotation="90" readingOrder="2"/>
    </xf>
    <xf numFmtId="0" fontId="10" fillId="0" borderId="17" xfId="0" applyFont="1" applyBorder="1" applyAlignment="1">
      <alignment horizontal="center" vertical="center" textRotation="90" readingOrder="2"/>
    </xf>
    <xf numFmtId="0" fontId="30" fillId="0" borderId="7" xfId="0" applyFont="1" applyBorder="1" applyAlignment="1">
      <alignment horizontal="center" vertical="center" readingOrder="2"/>
    </xf>
    <xf numFmtId="0" fontId="30" fillId="0" borderId="9" xfId="0" applyFont="1" applyBorder="1" applyAlignment="1">
      <alignment horizontal="center" vertical="center" readingOrder="2"/>
    </xf>
    <xf numFmtId="0" fontId="19" fillId="0" borderId="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49" fontId="28" fillId="0" borderId="7" xfId="0" applyNumberFormat="1" applyFont="1" applyFill="1" applyBorder="1" applyAlignment="1">
      <alignment horizontal="center" vertical="center" wrapText="1"/>
    </xf>
    <xf numFmtId="49" fontId="28" fillId="0" borderId="9" xfId="0" applyNumberFormat="1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S56"/>
  <sheetViews>
    <sheetView rightToLeft="1"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6" sqref="E6"/>
    </sheetView>
  </sheetViews>
  <sheetFormatPr defaultColWidth="9.125" defaultRowHeight="18"/>
  <cols>
    <col min="1" max="1" width="5.875" style="1" bestFit="1" customWidth="1"/>
    <col min="2" max="2" width="5.625" style="1" bestFit="1" customWidth="1"/>
    <col min="3" max="3" width="3.125" style="1" customWidth="1"/>
    <col min="4" max="4" width="9.375" style="1" customWidth="1"/>
    <col min="5" max="5" width="32.125" style="1" bestFit="1" customWidth="1"/>
    <col min="6" max="12" width="4.875" style="1" customWidth="1"/>
    <col min="13" max="13" width="7" style="1" customWidth="1"/>
    <col min="14" max="16" width="4.875" style="1" customWidth="1"/>
    <col min="17" max="17" width="7.625" style="1" bestFit="1" customWidth="1"/>
    <col min="18" max="18" width="6" style="1" bestFit="1" customWidth="1"/>
    <col min="19" max="19" width="5.75" style="1" bestFit="1" customWidth="1"/>
    <col min="20" max="20" width="5.625" style="1" customWidth="1"/>
    <col min="21" max="21" width="4.375" style="1" customWidth="1"/>
    <col min="22" max="46" width="5" style="1" customWidth="1"/>
    <col min="47" max="47" width="6.125" style="1" customWidth="1"/>
    <col min="48" max="59" width="5" style="1" customWidth="1"/>
    <col min="60" max="60" width="6.125" style="1" customWidth="1"/>
    <col min="61" max="73" width="5" style="1" customWidth="1"/>
    <col min="74" max="90" width="6.125" style="1" customWidth="1"/>
    <col min="91" max="103" width="5.75" style="1" customWidth="1"/>
    <col min="104" max="112" width="7.25" style="1" customWidth="1"/>
    <col min="113" max="121" width="7.25" style="1" hidden="1" customWidth="1"/>
    <col min="122" max="130" width="6.75" style="1" customWidth="1"/>
    <col min="131" max="155" width="7.25" style="1" customWidth="1"/>
    <col min="156" max="156" width="5.75" style="1" customWidth="1"/>
    <col min="157" max="157" width="7.375" style="1" customWidth="1"/>
    <col min="158" max="229" width="5.25" style="1" customWidth="1"/>
    <col min="230" max="230" width="5.375" style="1" customWidth="1"/>
    <col min="231" max="231" width="6.25" style="1" customWidth="1"/>
    <col min="232" max="233" width="5.25" style="1" customWidth="1"/>
    <col min="234" max="235" width="6.75" style="1" customWidth="1"/>
    <col min="236" max="365" width="5.25" style="1" customWidth="1"/>
    <col min="366" max="366" width="6" style="1" customWidth="1"/>
    <col min="367" max="368" width="5.25" style="1" customWidth="1"/>
    <col min="369" max="395" width="5.75" style="1" customWidth="1"/>
    <col min="396" max="410" width="4.625" style="124" customWidth="1"/>
    <col min="411" max="413" width="5.125" style="1" customWidth="1"/>
    <col min="414" max="414" width="8.375" style="1" bestFit="1" customWidth="1"/>
    <col min="415" max="437" width="5.125" style="1" customWidth="1"/>
    <col min="438" max="443" width="5.75" style="1" customWidth="1"/>
    <col min="444" max="444" width="6.125" style="1" customWidth="1"/>
    <col min="445" max="450" width="6.375" style="1" customWidth="1"/>
    <col min="451" max="454" width="5.125" style="1" customWidth="1"/>
    <col min="455" max="473" width="5.75" style="1" customWidth="1"/>
    <col min="474" max="482" width="5.125" style="1" customWidth="1"/>
    <col min="483" max="488" width="4.625" style="124" customWidth="1"/>
    <col min="489" max="490" width="7.25" style="1" customWidth="1"/>
    <col min="491" max="492" width="5.875" style="1" customWidth="1"/>
    <col min="493" max="494" width="5.25" style="1" customWidth="1"/>
    <col min="495" max="498" width="4.25" style="1" customWidth="1"/>
    <col min="499" max="499" width="6" style="1" customWidth="1"/>
    <col min="500" max="500" width="5.375" style="1" customWidth="1"/>
    <col min="501" max="501" width="4.25" style="1" customWidth="1"/>
    <col min="502" max="502" width="7" style="1" customWidth="1"/>
    <col min="503" max="508" width="6.875" style="1" customWidth="1"/>
    <col min="509" max="510" width="9.125" style="1"/>
    <col min="511" max="511" width="26.375" style="1" bestFit="1" customWidth="1"/>
    <col min="512" max="512" width="25.625" style="1" bestFit="1" customWidth="1"/>
    <col min="513" max="513" width="18.75" style="183" customWidth="1"/>
    <col min="514" max="16384" width="9.125" style="1"/>
  </cols>
  <sheetData>
    <row r="1" spans="1:513" s="194" customFormat="1" ht="18.75" thickTop="1">
      <c r="A1" s="243" t="s">
        <v>209</v>
      </c>
      <c r="B1" s="244"/>
      <c r="C1" s="244"/>
      <c r="D1" s="244"/>
      <c r="E1" s="244"/>
      <c r="F1" s="244"/>
      <c r="G1" s="244"/>
      <c r="H1" s="244"/>
      <c r="I1" s="244"/>
      <c r="J1" s="245"/>
      <c r="K1" s="222" t="s">
        <v>22</v>
      </c>
      <c r="L1" s="232"/>
      <c r="M1" s="232"/>
      <c r="N1" s="232"/>
      <c r="O1" s="232" t="s">
        <v>23</v>
      </c>
      <c r="P1" s="232"/>
      <c r="Q1" s="232" t="s">
        <v>24</v>
      </c>
      <c r="R1" s="232"/>
      <c r="S1" s="232"/>
      <c r="T1" s="232"/>
      <c r="U1" s="309" t="s">
        <v>74</v>
      </c>
      <c r="V1" s="232" t="s">
        <v>60</v>
      </c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 t="s">
        <v>66</v>
      </c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 t="s">
        <v>61</v>
      </c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 t="s">
        <v>62</v>
      </c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 t="s">
        <v>79</v>
      </c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 t="s">
        <v>27</v>
      </c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 t="s">
        <v>531</v>
      </c>
      <c r="DA1" s="232"/>
      <c r="DB1" s="232"/>
      <c r="DC1" s="232"/>
      <c r="DD1" s="232"/>
      <c r="DE1" s="232"/>
      <c r="DF1" s="232"/>
      <c r="DG1" s="232"/>
      <c r="DH1" s="232"/>
      <c r="DI1" s="232" t="s">
        <v>502</v>
      </c>
      <c r="DJ1" s="232"/>
      <c r="DK1" s="232"/>
      <c r="DL1" s="232"/>
      <c r="DM1" s="232"/>
      <c r="DN1" s="232"/>
      <c r="DO1" s="232"/>
      <c r="DP1" s="232"/>
      <c r="DQ1" s="232"/>
      <c r="DR1" s="232" t="s">
        <v>560</v>
      </c>
      <c r="DS1" s="232"/>
      <c r="DT1" s="232"/>
      <c r="DU1" s="232"/>
      <c r="DV1" s="232"/>
      <c r="DW1" s="232"/>
      <c r="DX1" s="232"/>
      <c r="DY1" s="232"/>
      <c r="DZ1" s="232"/>
      <c r="EA1" s="232" t="s">
        <v>561</v>
      </c>
      <c r="EB1" s="232"/>
      <c r="EC1" s="232"/>
      <c r="ED1" s="232"/>
      <c r="EE1" s="232"/>
      <c r="EF1" s="232"/>
      <c r="EG1" s="232"/>
      <c r="EH1" s="232"/>
      <c r="EI1" s="232"/>
      <c r="EJ1" s="232" t="s">
        <v>562</v>
      </c>
      <c r="EK1" s="232"/>
      <c r="EL1" s="232"/>
      <c r="EM1" s="232"/>
      <c r="EN1" s="232"/>
      <c r="EO1" s="232"/>
      <c r="EP1" s="232"/>
      <c r="EQ1" s="232"/>
      <c r="ER1" s="232"/>
      <c r="ES1" s="232" t="s">
        <v>563</v>
      </c>
      <c r="ET1" s="232"/>
      <c r="EU1" s="232"/>
      <c r="EV1" s="232"/>
      <c r="EW1" s="232"/>
      <c r="EX1" s="232"/>
      <c r="EY1" s="232"/>
      <c r="EZ1" s="232"/>
      <c r="FA1" s="232"/>
      <c r="FB1" s="232" t="s">
        <v>72</v>
      </c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8" t="s">
        <v>290</v>
      </c>
      <c r="FP1" s="256"/>
      <c r="FQ1" s="256"/>
      <c r="FR1" s="256"/>
      <c r="FS1" s="256"/>
      <c r="FT1" s="256"/>
      <c r="FU1" s="256"/>
      <c r="FV1" s="256"/>
      <c r="FW1" s="256"/>
      <c r="FX1" s="256"/>
      <c r="FY1" s="256"/>
      <c r="FZ1" s="256"/>
      <c r="GA1" s="256"/>
      <c r="GB1" s="256"/>
      <c r="GC1" s="256"/>
      <c r="GD1" s="256"/>
      <c r="GE1" s="256"/>
      <c r="GF1" s="256"/>
      <c r="GG1" s="256"/>
      <c r="GH1" s="256"/>
      <c r="GI1" s="239"/>
      <c r="GJ1" s="280" t="s">
        <v>303</v>
      </c>
      <c r="GK1" s="281"/>
      <c r="GL1" s="281"/>
      <c r="GM1" s="281"/>
      <c r="GN1" s="281"/>
      <c r="GO1" s="281"/>
      <c r="GP1" s="281"/>
      <c r="GQ1" s="281"/>
      <c r="GR1" s="281"/>
      <c r="GS1" s="281"/>
      <c r="GT1" s="281"/>
      <c r="GU1" s="281"/>
      <c r="GV1" s="281"/>
      <c r="GW1" s="281"/>
      <c r="GX1" s="281"/>
      <c r="GY1" s="281"/>
      <c r="GZ1" s="281"/>
      <c r="HA1" s="281"/>
      <c r="HB1" s="281"/>
      <c r="HC1" s="281"/>
      <c r="HD1" s="281"/>
      <c r="HE1" s="281"/>
      <c r="HF1" s="281"/>
      <c r="HG1" s="281"/>
      <c r="HH1" s="281"/>
      <c r="HI1" s="281"/>
      <c r="HJ1" s="281"/>
      <c r="HK1" s="281"/>
      <c r="HL1" s="281"/>
      <c r="HM1" s="281"/>
      <c r="HN1" s="281"/>
      <c r="HO1" s="281"/>
      <c r="HP1" s="281"/>
      <c r="HQ1" s="281"/>
      <c r="HR1" s="281"/>
      <c r="HS1" s="281"/>
      <c r="HT1" s="281"/>
      <c r="HU1" s="281"/>
      <c r="HV1" s="281"/>
      <c r="HW1" s="281"/>
      <c r="HX1" s="281"/>
      <c r="HY1" s="281"/>
      <c r="HZ1" s="281"/>
      <c r="IA1" s="281"/>
      <c r="IB1" s="281"/>
      <c r="IC1" s="281"/>
      <c r="ID1" s="281"/>
      <c r="IE1" s="281"/>
      <c r="IF1" s="281"/>
      <c r="IG1" s="281"/>
      <c r="IH1" s="281"/>
      <c r="II1" s="281"/>
      <c r="IJ1" s="281"/>
      <c r="IK1" s="281"/>
      <c r="IL1" s="281"/>
      <c r="IM1" s="281"/>
      <c r="IN1" s="281"/>
      <c r="IO1" s="281"/>
      <c r="IP1" s="281"/>
      <c r="IQ1" s="281"/>
      <c r="IR1" s="281"/>
      <c r="IS1" s="281"/>
      <c r="IT1" s="281"/>
      <c r="IU1" s="281"/>
      <c r="IV1" s="281"/>
      <c r="IW1" s="281"/>
      <c r="IX1" s="281"/>
      <c r="IY1" s="281"/>
      <c r="IZ1" s="281"/>
      <c r="JA1" s="281"/>
      <c r="JB1" s="281"/>
      <c r="JC1" s="281"/>
      <c r="JD1" s="281"/>
      <c r="JE1" s="281"/>
      <c r="JF1" s="281"/>
      <c r="JG1" s="281"/>
      <c r="JH1" s="281"/>
      <c r="JI1" s="281"/>
      <c r="JJ1" s="281"/>
      <c r="JK1" s="281"/>
      <c r="JL1" s="281"/>
      <c r="JM1" s="281"/>
      <c r="JN1" s="281"/>
      <c r="JO1" s="281"/>
      <c r="JP1" s="281"/>
      <c r="JQ1" s="281"/>
      <c r="JR1" s="281"/>
      <c r="JS1" s="281"/>
      <c r="JT1" s="281"/>
      <c r="JU1" s="281"/>
      <c r="JV1" s="281"/>
      <c r="JW1" s="281"/>
      <c r="JX1" s="281"/>
      <c r="JY1" s="281"/>
      <c r="JZ1" s="281"/>
      <c r="KA1" s="281"/>
      <c r="KB1" s="281"/>
      <c r="KC1" s="281"/>
      <c r="KD1" s="281"/>
      <c r="KE1" s="281"/>
      <c r="KF1" s="281"/>
      <c r="KG1" s="281"/>
      <c r="KH1" s="281"/>
      <c r="KI1" s="281"/>
      <c r="KJ1" s="281"/>
      <c r="KK1" s="281"/>
      <c r="KL1" s="281"/>
      <c r="KM1" s="281"/>
      <c r="KN1" s="281"/>
      <c r="KO1" s="281"/>
      <c r="KP1" s="281"/>
      <c r="KQ1" s="281"/>
      <c r="KR1" s="281"/>
      <c r="KS1" s="281"/>
      <c r="KT1" s="281"/>
      <c r="KU1" s="281"/>
      <c r="KV1" s="281"/>
      <c r="KW1" s="281"/>
      <c r="KX1" s="282"/>
      <c r="KY1" s="238" t="s">
        <v>298</v>
      </c>
      <c r="KZ1" s="256"/>
      <c r="LA1" s="256"/>
      <c r="LB1" s="256"/>
      <c r="LC1" s="256"/>
      <c r="LD1" s="256"/>
      <c r="LE1" s="256"/>
      <c r="LF1" s="256"/>
      <c r="LG1" s="256"/>
      <c r="LH1" s="256"/>
      <c r="LI1" s="256"/>
      <c r="LJ1" s="256"/>
      <c r="LK1" s="256"/>
      <c r="LL1" s="256"/>
      <c r="LM1" s="256"/>
      <c r="LN1" s="256"/>
      <c r="LO1" s="256"/>
      <c r="LP1" s="256"/>
      <c r="LQ1" s="256"/>
      <c r="LR1" s="256"/>
      <c r="LS1" s="239"/>
      <c r="LT1" s="238" t="s">
        <v>464</v>
      </c>
      <c r="LU1" s="256"/>
      <c r="LV1" s="256"/>
      <c r="LW1" s="256"/>
      <c r="LX1" s="256"/>
      <c r="LY1" s="256"/>
      <c r="LZ1" s="256"/>
      <c r="MA1" s="256"/>
      <c r="MB1" s="256"/>
      <c r="MC1" s="256"/>
      <c r="MD1" s="239"/>
      <c r="ME1" s="238" t="s">
        <v>465</v>
      </c>
      <c r="MF1" s="256"/>
      <c r="MG1" s="256"/>
      <c r="MH1" s="256"/>
      <c r="MI1" s="256"/>
      <c r="MJ1" s="256"/>
      <c r="MK1" s="256"/>
      <c r="ML1" s="256"/>
      <c r="MM1" s="256"/>
      <c r="MN1" s="256"/>
      <c r="MO1" s="256"/>
      <c r="MP1" s="256"/>
      <c r="MQ1" s="239"/>
      <c r="MR1" s="228" t="s">
        <v>339</v>
      </c>
      <c r="MS1" s="233"/>
      <c r="MT1" s="233"/>
      <c r="MU1" s="233"/>
      <c r="MV1" s="233"/>
      <c r="MW1" s="233"/>
      <c r="MX1" s="233"/>
      <c r="MY1" s="233"/>
      <c r="MZ1" s="233"/>
      <c r="NA1" s="233"/>
      <c r="NB1" s="229"/>
      <c r="NC1" s="228" t="s">
        <v>344</v>
      </c>
      <c r="ND1" s="233"/>
      <c r="NE1" s="238" t="s">
        <v>299</v>
      </c>
      <c r="NF1" s="256"/>
      <c r="NG1" s="256"/>
      <c r="NH1" s="256"/>
      <c r="NI1" s="256"/>
      <c r="NJ1" s="256"/>
      <c r="NK1" s="256"/>
      <c r="NL1" s="256"/>
      <c r="NM1" s="256"/>
      <c r="NN1" s="256"/>
      <c r="NO1" s="204"/>
      <c r="NP1" s="204"/>
      <c r="NQ1" s="204"/>
      <c r="NR1" s="204"/>
      <c r="NS1" s="204"/>
      <c r="NT1" s="204"/>
      <c r="NU1" s="204"/>
      <c r="NV1" s="204"/>
      <c r="NW1" s="204"/>
      <c r="NX1" s="204"/>
      <c r="NY1" s="205"/>
      <c r="NZ1" s="228" t="s">
        <v>108</v>
      </c>
      <c r="OA1" s="259"/>
      <c r="OB1" s="259"/>
      <c r="OC1" s="259"/>
      <c r="OD1" s="259"/>
      <c r="OE1" s="259"/>
      <c r="OF1" s="259"/>
      <c r="OG1" s="259"/>
      <c r="OH1" s="260"/>
      <c r="OI1" s="201"/>
      <c r="OJ1" s="201"/>
      <c r="OK1" s="201"/>
      <c r="OL1" s="201"/>
      <c r="OM1" s="201"/>
      <c r="ON1" s="201"/>
      <c r="OO1" s="201"/>
      <c r="OP1" s="201"/>
      <c r="OQ1" s="201"/>
      <c r="OR1" s="201"/>
      <c r="OS1" s="201"/>
      <c r="OT1" s="201"/>
      <c r="OU1" s="193"/>
      <c r="OV1" s="193"/>
      <c r="OW1" s="193"/>
      <c r="OX1" s="193"/>
      <c r="OY1" s="193"/>
      <c r="OZ1" s="193"/>
      <c r="PA1" s="193"/>
      <c r="PB1" s="193"/>
      <c r="PC1" s="193"/>
      <c r="PD1" s="193"/>
      <c r="PE1" s="193"/>
      <c r="PF1" s="193"/>
      <c r="PG1" s="193"/>
      <c r="PH1" s="193"/>
      <c r="PI1" s="193"/>
      <c r="PJ1" s="193"/>
      <c r="PK1" s="193"/>
      <c r="PL1" s="193"/>
      <c r="PM1" s="193"/>
      <c r="PN1" s="193"/>
      <c r="PO1" s="193"/>
      <c r="PP1" s="193"/>
      <c r="PQ1" s="193"/>
      <c r="PR1" s="193"/>
      <c r="PS1" s="193"/>
      <c r="PT1" s="193"/>
      <c r="PU1" s="193"/>
      <c r="PV1" s="193"/>
      <c r="PW1" s="193"/>
      <c r="PX1" s="193"/>
      <c r="PY1" s="193"/>
      <c r="PZ1" s="193"/>
      <c r="QA1" s="193"/>
      <c r="QB1" s="193"/>
      <c r="QC1" s="193"/>
      <c r="QD1" s="193"/>
      <c r="QE1" s="193"/>
      <c r="QF1" s="193"/>
      <c r="QG1" s="193"/>
      <c r="QH1" s="193"/>
      <c r="QI1" s="193"/>
      <c r="QJ1" s="193"/>
      <c r="QK1" s="193"/>
      <c r="QL1" s="193"/>
      <c r="QM1" s="193"/>
      <c r="QN1" s="193"/>
      <c r="QO1" s="193"/>
      <c r="QP1" s="193"/>
      <c r="QQ1" s="193"/>
      <c r="QR1" s="193"/>
      <c r="QS1" s="193"/>
      <c r="QT1" s="193"/>
      <c r="QU1" s="193"/>
      <c r="QV1" s="193"/>
      <c r="QW1" s="193"/>
      <c r="QX1" s="193"/>
      <c r="QY1" s="193"/>
      <c r="QZ1" s="193"/>
      <c r="RA1" s="193"/>
      <c r="RB1" s="193"/>
      <c r="RC1" s="193"/>
      <c r="RD1" s="193"/>
      <c r="RE1" s="193"/>
      <c r="RF1" s="193"/>
      <c r="RG1" s="193"/>
      <c r="RH1" s="193"/>
      <c r="RI1" s="193"/>
      <c r="RJ1" s="193"/>
      <c r="RK1" s="193"/>
      <c r="RL1" s="193"/>
      <c r="RM1" s="193"/>
      <c r="RN1" s="193"/>
      <c r="RO1" s="201"/>
      <c r="RP1" s="201"/>
      <c r="RQ1" s="201"/>
      <c r="RR1" s="201"/>
      <c r="RS1" s="201"/>
      <c r="RT1" s="201"/>
      <c r="RU1" s="193"/>
      <c r="RV1" s="193"/>
      <c r="RW1" s="193"/>
      <c r="RX1" s="193"/>
      <c r="RY1" s="193"/>
      <c r="RZ1" s="193"/>
      <c r="SA1" s="193"/>
      <c r="SB1" s="193"/>
      <c r="SC1" s="193"/>
      <c r="SD1" s="193"/>
      <c r="SE1" s="193"/>
      <c r="SF1" s="193"/>
      <c r="SG1" s="193"/>
      <c r="SH1" s="193"/>
      <c r="SI1" s="193"/>
      <c r="SJ1" s="193"/>
      <c r="SK1" s="193"/>
      <c r="SL1" s="193"/>
      <c r="SM1" s="193"/>
      <c r="SN1" s="193"/>
      <c r="SO1" s="193"/>
      <c r="SP1" s="193"/>
      <c r="SQ1" s="193"/>
      <c r="SR1" s="193"/>
      <c r="SS1" s="195"/>
    </row>
    <row r="2" spans="1:513" s="194" customFormat="1" ht="18.75" thickBot="1">
      <c r="A2" s="246"/>
      <c r="B2" s="247"/>
      <c r="C2" s="247"/>
      <c r="D2" s="247"/>
      <c r="E2" s="247"/>
      <c r="F2" s="247"/>
      <c r="G2" s="247"/>
      <c r="H2" s="247"/>
      <c r="I2" s="247"/>
      <c r="J2" s="248"/>
      <c r="K2" s="222"/>
      <c r="L2" s="232"/>
      <c r="M2" s="232"/>
      <c r="N2" s="232"/>
      <c r="O2" s="232"/>
      <c r="P2" s="232"/>
      <c r="Q2" s="232"/>
      <c r="R2" s="232"/>
      <c r="S2" s="232"/>
      <c r="T2" s="232"/>
      <c r="U2" s="309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49"/>
      <c r="FP2" s="250"/>
      <c r="FQ2" s="250"/>
      <c r="FR2" s="250"/>
      <c r="FS2" s="250"/>
      <c r="FT2" s="250"/>
      <c r="FU2" s="250"/>
      <c r="FV2" s="250"/>
      <c r="FW2" s="250"/>
      <c r="FX2" s="250"/>
      <c r="FY2" s="250"/>
      <c r="FZ2" s="250"/>
      <c r="GA2" s="250"/>
      <c r="GB2" s="250"/>
      <c r="GC2" s="250"/>
      <c r="GD2" s="250"/>
      <c r="GE2" s="250"/>
      <c r="GF2" s="250"/>
      <c r="GG2" s="250"/>
      <c r="GH2" s="250"/>
      <c r="GI2" s="251"/>
      <c r="GJ2" s="283"/>
      <c r="GK2" s="284"/>
      <c r="GL2" s="284"/>
      <c r="GM2" s="284"/>
      <c r="GN2" s="284"/>
      <c r="GO2" s="284"/>
      <c r="GP2" s="284"/>
      <c r="GQ2" s="284"/>
      <c r="GR2" s="284"/>
      <c r="GS2" s="284"/>
      <c r="GT2" s="284"/>
      <c r="GU2" s="284"/>
      <c r="GV2" s="284"/>
      <c r="GW2" s="284"/>
      <c r="GX2" s="284"/>
      <c r="GY2" s="284"/>
      <c r="GZ2" s="284"/>
      <c r="HA2" s="284"/>
      <c r="HB2" s="284"/>
      <c r="HC2" s="284"/>
      <c r="HD2" s="284"/>
      <c r="HE2" s="284"/>
      <c r="HF2" s="284"/>
      <c r="HG2" s="284"/>
      <c r="HH2" s="284"/>
      <c r="HI2" s="284"/>
      <c r="HJ2" s="284"/>
      <c r="HK2" s="284"/>
      <c r="HL2" s="284"/>
      <c r="HM2" s="284"/>
      <c r="HN2" s="284"/>
      <c r="HO2" s="284"/>
      <c r="HP2" s="284"/>
      <c r="HQ2" s="284"/>
      <c r="HR2" s="284"/>
      <c r="HS2" s="284"/>
      <c r="HT2" s="284"/>
      <c r="HU2" s="284"/>
      <c r="HV2" s="284"/>
      <c r="HW2" s="284"/>
      <c r="HX2" s="284"/>
      <c r="HY2" s="284"/>
      <c r="HZ2" s="284"/>
      <c r="IA2" s="284"/>
      <c r="IB2" s="284"/>
      <c r="IC2" s="284"/>
      <c r="ID2" s="284"/>
      <c r="IE2" s="284"/>
      <c r="IF2" s="284"/>
      <c r="IG2" s="284"/>
      <c r="IH2" s="284"/>
      <c r="II2" s="284"/>
      <c r="IJ2" s="284"/>
      <c r="IK2" s="284"/>
      <c r="IL2" s="284"/>
      <c r="IM2" s="284"/>
      <c r="IN2" s="284"/>
      <c r="IO2" s="284"/>
      <c r="IP2" s="284"/>
      <c r="IQ2" s="284"/>
      <c r="IR2" s="284"/>
      <c r="IS2" s="284"/>
      <c r="IT2" s="284"/>
      <c r="IU2" s="284"/>
      <c r="IV2" s="284"/>
      <c r="IW2" s="284"/>
      <c r="IX2" s="284"/>
      <c r="IY2" s="284"/>
      <c r="IZ2" s="284"/>
      <c r="JA2" s="284"/>
      <c r="JB2" s="284"/>
      <c r="JC2" s="284"/>
      <c r="JD2" s="284"/>
      <c r="JE2" s="284"/>
      <c r="JF2" s="284"/>
      <c r="JG2" s="284"/>
      <c r="JH2" s="284"/>
      <c r="JI2" s="284"/>
      <c r="JJ2" s="284"/>
      <c r="JK2" s="284"/>
      <c r="JL2" s="284"/>
      <c r="JM2" s="284"/>
      <c r="JN2" s="284"/>
      <c r="JO2" s="284"/>
      <c r="JP2" s="284"/>
      <c r="JQ2" s="284"/>
      <c r="JR2" s="284"/>
      <c r="JS2" s="284"/>
      <c r="JT2" s="284"/>
      <c r="JU2" s="284"/>
      <c r="JV2" s="284"/>
      <c r="JW2" s="284"/>
      <c r="JX2" s="284"/>
      <c r="JY2" s="284"/>
      <c r="JZ2" s="284"/>
      <c r="KA2" s="284"/>
      <c r="KB2" s="284"/>
      <c r="KC2" s="284"/>
      <c r="KD2" s="284"/>
      <c r="KE2" s="284"/>
      <c r="KF2" s="284"/>
      <c r="KG2" s="284"/>
      <c r="KH2" s="284"/>
      <c r="KI2" s="284"/>
      <c r="KJ2" s="284"/>
      <c r="KK2" s="284"/>
      <c r="KL2" s="284"/>
      <c r="KM2" s="284"/>
      <c r="KN2" s="284"/>
      <c r="KO2" s="284"/>
      <c r="KP2" s="284"/>
      <c r="KQ2" s="284"/>
      <c r="KR2" s="284"/>
      <c r="KS2" s="284"/>
      <c r="KT2" s="284"/>
      <c r="KU2" s="284"/>
      <c r="KV2" s="284"/>
      <c r="KW2" s="284"/>
      <c r="KX2" s="285"/>
      <c r="KY2" s="240"/>
      <c r="KZ2" s="252"/>
      <c r="LA2" s="252"/>
      <c r="LB2" s="252"/>
      <c r="LC2" s="252"/>
      <c r="LD2" s="252"/>
      <c r="LE2" s="252"/>
      <c r="LF2" s="252"/>
      <c r="LG2" s="252"/>
      <c r="LH2" s="252"/>
      <c r="LI2" s="252"/>
      <c r="LJ2" s="252"/>
      <c r="LK2" s="252"/>
      <c r="LL2" s="252"/>
      <c r="LM2" s="252"/>
      <c r="LN2" s="252"/>
      <c r="LO2" s="252"/>
      <c r="LP2" s="252"/>
      <c r="LQ2" s="252"/>
      <c r="LR2" s="252"/>
      <c r="LS2" s="241"/>
      <c r="LT2" s="249"/>
      <c r="LU2" s="250"/>
      <c r="LV2" s="250"/>
      <c r="LW2" s="250"/>
      <c r="LX2" s="250"/>
      <c r="LY2" s="250"/>
      <c r="LZ2" s="250"/>
      <c r="MA2" s="250"/>
      <c r="MB2" s="250"/>
      <c r="MC2" s="250"/>
      <c r="MD2" s="251"/>
      <c r="ME2" s="249"/>
      <c r="MF2" s="250"/>
      <c r="MG2" s="250"/>
      <c r="MH2" s="250"/>
      <c r="MI2" s="250"/>
      <c r="MJ2" s="250"/>
      <c r="MK2" s="250"/>
      <c r="ML2" s="250"/>
      <c r="MM2" s="250"/>
      <c r="MN2" s="250"/>
      <c r="MO2" s="250"/>
      <c r="MP2" s="250"/>
      <c r="MQ2" s="251"/>
      <c r="MR2" s="257"/>
      <c r="MS2" s="258"/>
      <c r="MT2" s="258"/>
      <c r="MU2" s="258"/>
      <c r="MV2" s="258"/>
      <c r="MW2" s="258"/>
      <c r="MX2" s="258"/>
      <c r="MY2" s="258"/>
      <c r="MZ2" s="258"/>
      <c r="NA2" s="258"/>
      <c r="NB2" s="297"/>
      <c r="NC2" s="257"/>
      <c r="ND2" s="258"/>
      <c r="NE2" s="240"/>
      <c r="NF2" s="252"/>
      <c r="NG2" s="252"/>
      <c r="NH2" s="252"/>
      <c r="NI2" s="252"/>
      <c r="NJ2" s="252"/>
      <c r="NK2" s="252"/>
      <c r="NL2" s="252"/>
      <c r="NM2" s="252"/>
      <c r="NN2" s="252"/>
      <c r="NO2" s="161"/>
      <c r="NP2" s="161"/>
      <c r="NQ2" s="161"/>
      <c r="NR2" s="161"/>
      <c r="NS2" s="161"/>
      <c r="NT2" s="161"/>
      <c r="NU2" s="161"/>
      <c r="NV2" s="161"/>
      <c r="NW2" s="161"/>
      <c r="NX2" s="161"/>
      <c r="NY2" s="162"/>
      <c r="NZ2" s="261"/>
      <c r="OA2" s="262"/>
      <c r="OB2" s="262"/>
      <c r="OC2" s="262"/>
      <c r="OD2" s="262"/>
      <c r="OE2" s="262"/>
      <c r="OF2" s="262"/>
      <c r="OG2" s="262"/>
      <c r="OH2" s="263"/>
      <c r="OI2" s="298" t="s">
        <v>308</v>
      </c>
      <c r="OJ2" s="299"/>
      <c r="OK2" s="299"/>
      <c r="OL2" s="299"/>
      <c r="OM2" s="299"/>
      <c r="ON2" s="299"/>
      <c r="OO2" s="299"/>
      <c r="OP2" s="299"/>
      <c r="OQ2" s="299"/>
      <c r="OR2" s="299"/>
      <c r="OS2" s="299"/>
      <c r="OT2" s="300"/>
      <c r="OU2" s="226" t="s">
        <v>80</v>
      </c>
      <c r="OV2" s="227"/>
      <c r="OW2" s="227"/>
      <c r="OX2" s="227"/>
      <c r="OY2" s="227"/>
      <c r="OZ2" s="227"/>
      <c r="PA2" s="227"/>
      <c r="PB2" s="227"/>
      <c r="PC2" s="227"/>
      <c r="PD2" s="163"/>
      <c r="PE2" s="163"/>
      <c r="PF2" s="163"/>
      <c r="PG2" s="163"/>
      <c r="PH2" s="163"/>
      <c r="PI2" s="163"/>
      <c r="PJ2" s="163"/>
      <c r="PK2" s="163"/>
      <c r="PL2" s="163"/>
      <c r="PM2" s="163"/>
      <c r="PN2" s="163"/>
      <c r="PO2" s="163"/>
      <c r="PP2" s="163"/>
      <c r="PQ2" s="163"/>
      <c r="PR2" s="163"/>
      <c r="PS2" s="163"/>
      <c r="PT2" s="163"/>
      <c r="PU2" s="164"/>
      <c r="PV2" s="226"/>
      <c r="PW2" s="290"/>
      <c r="PX2" s="199"/>
      <c r="PY2" s="199"/>
      <c r="PZ2" s="199"/>
      <c r="QA2" s="199"/>
      <c r="QB2" s="254"/>
      <c r="QC2" s="254"/>
      <c r="QD2" s="199"/>
      <c r="QE2" s="199"/>
      <c r="QF2" s="199"/>
      <c r="QG2" s="199"/>
      <c r="QH2" s="199"/>
      <c r="QI2" s="254"/>
      <c r="QJ2" s="254"/>
      <c r="QK2" s="199"/>
      <c r="QL2" s="199"/>
      <c r="QM2" s="254"/>
      <c r="QN2" s="254"/>
      <c r="QO2" s="199"/>
      <c r="QP2" s="199"/>
      <c r="QQ2" s="199"/>
      <c r="QR2" s="199"/>
      <c r="QS2" s="199"/>
      <c r="QT2" s="199"/>
      <c r="QU2" s="199"/>
      <c r="QV2" s="199"/>
      <c r="QW2" s="199"/>
      <c r="QX2" s="199"/>
      <c r="QY2" s="199"/>
      <c r="QZ2" s="199"/>
      <c r="RA2" s="199"/>
      <c r="RB2" s="199"/>
      <c r="RC2" s="199"/>
      <c r="RD2" s="199"/>
      <c r="RE2" s="199"/>
      <c r="RF2" s="163"/>
      <c r="RG2" s="163"/>
      <c r="RH2" s="163"/>
      <c r="RI2" s="163"/>
      <c r="RJ2" s="163"/>
      <c r="RK2" s="163"/>
      <c r="RL2" s="163"/>
      <c r="RM2" s="163"/>
      <c r="RN2" s="163"/>
      <c r="RO2" s="197"/>
      <c r="RP2" s="197"/>
      <c r="RQ2" s="197"/>
      <c r="RR2" s="197"/>
      <c r="RS2" s="197"/>
      <c r="RT2" s="197"/>
      <c r="RU2" s="254" t="s">
        <v>81</v>
      </c>
      <c r="RV2" s="254"/>
      <c r="RW2" s="254"/>
      <c r="RX2" s="254"/>
      <c r="RY2" s="254"/>
      <c r="RZ2" s="199"/>
      <c r="SA2" s="289" t="s">
        <v>82</v>
      </c>
      <c r="SB2" s="289"/>
      <c r="SC2" s="289"/>
      <c r="SD2" s="289"/>
      <c r="SE2" s="289"/>
      <c r="SF2" s="289"/>
      <c r="SG2" s="289"/>
      <c r="SH2" s="289"/>
      <c r="SI2" s="289"/>
      <c r="SJ2" s="289"/>
      <c r="SK2" s="289"/>
      <c r="SL2" s="289"/>
      <c r="SM2" s="289"/>
      <c r="SN2" s="289"/>
      <c r="SO2" s="200"/>
      <c r="SP2" s="200"/>
      <c r="SQ2" s="200"/>
      <c r="SR2" s="200"/>
      <c r="SS2" s="173"/>
    </row>
    <row r="3" spans="1:513" s="194" customFormat="1" ht="25.5" customHeight="1" thickTop="1" thickBot="1">
      <c r="A3" s="307" t="s">
        <v>532</v>
      </c>
      <c r="B3" s="307"/>
      <c r="C3" s="307"/>
      <c r="D3" s="307"/>
      <c r="E3" s="307"/>
      <c r="F3" s="249" t="s">
        <v>20</v>
      </c>
      <c r="G3" s="250"/>
      <c r="H3" s="251"/>
      <c r="I3" s="249" t="s">
        <v>21</v>
      </c>
      <c r="J3" s="251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309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232"/>
      <c r="BG3" s="232"/>
      <c r="BH3" s="232"/>
      <c r="BI3" s="232"/>
      <c r="BJ3" s="232"/>
      <c r="BK3" s="232"/>
      <c r="BL3" s="232"/>
      <c r="BM3" s="232"/>
      <c r="BN3" s="232"/>
      <c r="BO3" s="232"/>
      <c r="BP3" s="232"/>
      <c r="BQ3" s="232"/>
      <c r="BR3" s="232"/>
      <c r="BS3" s="232"/>
      <c r="BT3" s="232"/>
      <c r="BU3" s="232"/>
      <c r="BV3" s="232"/>
      <c r="BW3" s="232"/>
      <c r="BX3" s="232"/>
      <c r="BY3" s="232"/>
      <c r="BZ3" s="232"/>
      <c r="CA3" s="232"/>
      <c r="CB3" s="232"/>
      <c r="CC3" s="232"/>
      <c r="CD3" s="232"/>
      <c r="CE3" s="232"/>
      <c r="CF3" s="232"/>
      <c r="CG3" s="232"/>
      <c r="CH3" s="232"/>
      <c r="CI3" s="232"/>
      <c r="CJ3" s="232"/>
      <c r="CK3" s="232"/>
      <c r="CL3" s="232"/>
      <c r="CM3" s="232"/>
      <c r="CN3" s="232"/>
      <c r="CO3" s="232"/>
      <c r="CP3" s="232"/>
      <c r="CQ3" s="232"/>
      <c r="CR3" s="232"/>
      <c r="CS3" s="232"/>
      <c r="CT3" s="232"/>
      <c r="CU3" s="232"/>
      <c r="CV3" s="232"/>
      <c r="CW3" s="232"/>
      <c r="CX3" s="232"/>
      <c r="CY3" s="232"/>
      <c r="CZ3" s="232"/>
      <c r="DA3" s="232"/>
      <c r="DB3" s="232"/>
      <c r="DC3" s="232"/>
      <c r="DD3" s="232"/>
      <c r="DE3" s="232"/>
      <c r="DF3" s="232"/>
      <c r="DG3" s="232"/>
      <c r="DH3" s="232"/>
      <c r="DI3" s="232"/>
      <c r="DJ3" s="232"/>
      <c r="DK3" s="232"/>
      <c r="DL3" s="232"/>
      <c r="DM3" s="232"/>
      <c r="DN3" s="232"/>
      <c r="DO3" s="232"/>
      <c r="DP3" s="232"/>
      <c r="DQ3" s="232"/>
      <c r="DR3" s="232"/>
      <c r="DS3" s="232"/>
      <c r="DT3" s="232"/>
      <c r="DU3" s="232"/>
      <c r="DV3" s="232"/>
      <c r="DW3" s="232"/>
      <c r="DX3" s="232"/>
      <c r="DY3" s="232"/>
      <c r="DZ3" s="232"/>
      <c r="EA3" s="232"/>
      <c r="EB3" s="232"/>
      <c r="EC3" s="232"/>
      <c r="ED3" s="232"/>
      <c r="EE3" s="232"/>
      <c r="EF3" s="232"/>
      <c r="EG3" s="232"/>
      <c r="EH3" s="232"/>
      <c r="EI3" s="232"/>
      <c r="EJ3" s="232"/>
      <c r="EK3" s="232"/>
      <c r="EL3" s="232"/>
      <c r="EM3" s="232"/>
      <c r="EN3" s="232"/>
      <c r="EO3" s="232"/>
      <c r="EP3" s="232"/>
      <c r="EQ3" s="232"/>
      <c r="ER3" s="232"/>
      <c r="ES3" s="232"/>
      <c r="ET3" s="232"/>
      <c r="EU3" s="232"/>
      <c r="EV3" s="232"/>
      <c r="EW3" s="232"/>
      <c r="EX3" s="232"/>
      <c r="EY3" s="232"/>
      <c r="EZ3" s="232"/>
      <c r="FA3" s="232"/>
      <c r="FB3" s="232"/>
      <c r="FC3" s="232"/>
      <c r="FD3" s="232"/>
      <c r="FE3" s="232"/>
      <c r="FF3" s="232"/>
      <c r="FG3" s="232"/>
      <c r="FH3" s="232"/>
      <c r="FI3" s="232"/>
      <c r="FJ3" s="232"/>
      <c r="FK3" s="232"/>
      <c r="FL3" s="232"/>
      <c r="FM3" s="232"/>
      <c r="FN3" s="232"/>
      <c r="FO3" s="240"/>
      <c r="FP3" s="252"/>
      <c r="FQ3" s="252"/>
      <c r="FR3" s="252"/>
      <c r="FS3" s="252"/>
      <c r="FT3" s="252"/>
      <c r="FU3" s="252"/>
      <c r="FV3" s="252"/>
      <c r="FW3" s="252"/>
      <c r="FX3" s="252"/>
      <c r="FY3" s="252"/>
      <c r="FZ3" s="252"/>
      <c r="GA3" s="252"/>
      <c r="GB3" s="252"/>
      <c r="GC3" s="252"/>
      <c r="GD3" s="252"/>
      <c r="GE3" s="252"/>
      <c r="GF3" s="252"/>
      <c r="GG3" s="252"/>
      <c r="GH3" s="252"/>
      <c r="GI3" s="241"/>
      <c r="GJ3" s="286"/>
      <c r="GK3" s="287"/>
      <c r="GL3" s="287"/>
      <c r="GM3" s="287"/>
      <c r="GN3" s="287"/>
      <c r="GO3" s="287"/>
      <c r="GP3" s="287"/>
      <c r="GQ3" s="287"/>
      <c r="GR3" s="287"/>
      <c r="GS3" s="287"/>
      <c r="GT3" s="287"/>
      <c r="GU3" s="287"/>
      <c r="GV3" s="287"/>
      <c r="GW3" s="287"/>
      <c r="GX3" s="287"/>
      <c r="GY3" s="287"/>
      <c r="GZ3" s="287"/>
      <c r="HA3" s="287"/>
      <c r="HB3" s="287"/>
      <c r="HC3" s="287"/>
      <c r="HD3" s="287"/>
      <c r="HE3" s="287"/>
      <c r="HF3" s="287"/>
      <c r="HG3" s="287"/>
      <c r="HH3" s="287"/>
      <c r="HI3" s="287"/>
      <c r="HJ3" s="287"/>
      <c r="HK3" s="287"/>
      <c r="HL3" s="287"/>
      <c r="HM3" s="287"/>
      <c r="HN3" s="287"/>
      <c r="HO3" s="287"/>
      <c r="HP3" s="287"/>
      <c r="HQ3" s="287"/>
      <c r="HR3" s="287"/>
      <c r="HS3" s="287"/>
      <c r="HT3" s="287"/>
      <c r="HU3" s="287"/>
      <c r="HV3" s="287"/>
      <c r="HW3" s="287"/>
      <c r="HX3" s="287"/>
      <c r="HY3" s="287"/>
      <c r="HZ3" s="287"/>
      <c r="IA3" s="287"/>
      <c r="IB3" s="287"/>
      <c r="IC3" s="287"/>
      <c r="ID3" s="287"/>
      <c r="IE3" s="287"/>
      <c r="IF3" s="287"/>
      <c r="IG3" s="287"/>
      <c r="IH3" s="287"/>
      <c r="II3" s="287"/>
      <c r="IJ3" s="287"/>
      <c r="IK3" s="287"/>
      <c r="IL3" s="287"/>
      <c r="IM3" s="287"/>
      <c r="IN3" s="287"/>
      <c r="IO3" s="287"/>
      <c r="IP3" s="287"/>
      <c r="IQ3" s="287"/>
      <c r="IR3" s="287"/>
      <c r="IS3" s="287"/>
      <c r="IT3" s="287"/>
      <c r="IU3" s="287"/>
      <c r="IV3" s="287"/>
      <c r="IW3" s="287"/>
      <c r="IX3" s="287"/>
      <c r="IY3" s="287"/>
      <c r="IZ3" s="287"/>
      <c r="JA3" s="287"/>
      <c r="JB3" s="287"/>
      <c r="JC3" s="287"/>
      <c r="JD3" s="287"/>
      <c r="JE3" s="287"/>
      <c r="JF3" s="287"/>
      <c r="JG3" s="287"/>
      <c r="JH3" s="287"/>
      <c r="JI3" s="287"/>
      <c r="JJ3" s="287"/>
      <c r="JK3" s="287"/>
      <c r="JL3" s="287"/>
      <c r="JM3" s="287"/>
      <c r="JN3" s="287"/>
      <c r="JO3" s="287"/>
      <c r="JP3" s="287"/>
      <c r="JQ3" s="287"/>
      <c r="JR3" s="287"/>
      <c r="JS3" s="287"/>
      <c r="JT3" s="287"/>
      <c r="JU3" s="287"/>
      <c r="JV3" s="287"/>
      <c r="JW3" s="287"/>
      <c r="JX3" s="287"/>
      <c r="JY3" s="287"/>
      <c r="JZ3" s="287"/>
      <c r="KA3" s="287"/>
      <c r="KB3" s="287"/>
      <c r="KC3" s="287"/>
      <c r="KD3" s="287"/>
      <c r="KE3" s="287"/>
      <c r="KF3" s="287"/>
      <c r="KG3" s="287"/>
      <c r="KH3" s="287"/>
      <c r="KI3" s="287"/>
      <c r="KJ3" s="287"/>
      <c r="KK3" s="287"/>
      <c r="KL3" s="287"/>
      <c r="KM3" s="287"/>
      <c r="KN3" s="287"/>
      <c r="KO3" s="287"/>
      <c r="KP3" s="287"/>
      <c r="KQ3" s="287"/>
      <c r="KR3" s="287"/>
      <c r="KS3" s="287"/>
      <c r="KT3" s="287"/>
      <c r="KU3" s="287"/>
      <c r="KV3" s="287"/>
      <c r="KW3" s="287"/>
      <c r="KX3" s="288"/>
      <c r="KY3" s="238" t="s">
        <v>92</v>
      </c>
      <c r="KZ3" s="239"/>
      <c r="LA3" s="221" t="s">
        <v>93</v>
      </c>
      <c r="LB3" s="242"/>
      <c r="LC3" s="242"/>
      <c r="LD3" s="242"/>
      <c r="LE3" s="242"/>
      <c r="LF3" s="242"/>
      <c r="LG3" s="242"/>
      <c r="LH3" s="242"/>
      <c r="LI3" s="242"/>
      <c r="LJ3" s="242"/>
      <c r="LK3" s="242"/>
      <c r="LL3" s="242"/>
      <c r="LM3" s="242"/>
      <c r="LN3" s="242"/>
      <c r="LO3" s="242"/>
      <c r="LP3" s="242"/>
      <c r="LQ3" s="238" t="s">
        <v>139</v>
      </c>
      <c r="LR3" s="256"/>
      <c r="LS3" s="239"/>
      <c r="LT3" s="240"/>
      <c r="LU3" s="252"/>
      <c r="LV3" s="252"/>
      <c r="LW3" s="252"/>
      <c r="LX3" s="252"/>
      <c r="LY3" s="252"/>
      <c r="LZ3" s="252"/>
      <c r="MA3" s="252"/>
      <c r="MB3" s="252"/>
      <c r="MC3" s="252"/>
      <c r="MD3" s="241"/>
      <c r="ME3" s="240"/>
      <c r="MF3" s="252"/>
      <c r="MG3" s="252"/>
      <c r="MH3" s="252"/>
      <c r="MI3" s="252"/>
      <c r="MJ3" s="252"/>
      <c r="MK3" s="252"/>
      <c r="ML3" s="252"/>
      <c r="MM3" s="252"/>
      <c r="MN3" s="252"/>
      <c r="MO3" s="252"/>
      <c r="MP3" s="252"/>
      <c r="MQ3" s="241"/>
      <c r="MR3" s="230"/>
      <c r="MS3" s="234"/>
      <c r="MT3" s="234"/>
      <c r="MU3" s="234"/>
      <c r="MV3" s="234"/>
      <c r="MW3" s="234"/>
      <c r="MX3" s="234"/>
      <c r="MY3" s="234"/>
      <c r="MZ3" s="234"/>
      <c r="NA3" s="234"/>
      <c r="NB3" s="231"/>
      <c r="NC3" s="230"/>
      <c r="ND3" s="234"/>
      <c r="NE3" s="232" t="s">
        <v>32</v>
      </c>
      <c r="NF3" s="232"/>
      <c r="NG3" s="232" t="s">
        <v>69</v>
      </c>
      <c r="NH3" s="232"/>
      <c r="NI3" s="238" t="s">
        <v>64</v>
      </c>
      <c r="NJ3" s="239"/>
      <c r="NK3" s="232" t="s">
        <v>65</v>
      </c>
      <c r="NL3" s="232"/>
      <c r="NM3" s="232" t="s">
        <v>70</v>
      </c>
      <c r="NN3" s="232"/>
      <c r="NO3" s="232" t="s">
        <v>33</v>
      </c>
      <c r="NP3" s="232"/>
      <c r="NQ3" s="232" t="s">
        <v>34</v>
      </c>
      <c r="NR3" s="232"/>
      <c r="NS3" s="232" t="s">
        <v>35</v>
      </c>
      <c r="NT3" s="232"/>
      <c r="NU3" s="238" t="s">
        <v>71</v>
      </c>
      <c r="NV3" s="239"/>
      <c r="NW3" s="232" t="s">
        <v>25</v>
      </c>
      <c r="NX3" s="232"/>
      <c r="NY3" s="232"/>
      <c r="NZ3" s="264"/>
      <c r="OA3" s="265"/>
      <c r="OB3" s="265"/>
      <c r="OC3" s="265"/>
      <c r="OD3" s="265"/>
      <c r="OE3" s="265"/>
      <c r="OF3" s="265"/>
      <c r="OG3" s="265"/>
      <c r="OH3" s="266"/>
      <c r="OI3" s="228" t="s">
        <v>309</v>
      </c>
      <c r="OJ3" s="229"/>
      <c r="OK3" s="228" t="s">
        <v>428</v>
      </c>
      <c r="OL3" s="229"/>
      <c r="OM3" s="228" t="s">
        <v>346</v>
      </c>
      <c r="ON3" s="229"/>
      <c r="OO3" s="228" t="s">
        <v>314</v>
      </c>
      <c r="OP3" s="229"/>
      <c r="OQ3" s="228" t="s">
        <v>315</v>
      </c>
      <c r="OR3" s="233"/>
      <c r="OS3" s="233"/>
      <c r="OT3" s="229"/>
      <c r="OU3" s="226" t="s">
        <v>83</v>
      </c>
      <c r="OV3" s="227"/>
      <c r="OW3" s="227"/>
      <c r="OX3" s="227"/>
      <c r="OY3" s="227"/>
      <c r="OZ3" s="227"/>
      <c r="PA3" s="227"/>
      <c r="PB3" s="227"/>
      <c r="PC3" s="227"/>
      <c r="PD3" s="163"/>
      <c r="PE3" s="163"/>
      <c r="PF3" s="163"/>
      <c r="PG3" s="163"/>
      <c r="PH3" s="163"/>
      <c r="PI3" s="163"/>
      <c r="PJ3" s="163"/>
      <c r="PK3" s="163"/>
      <c r="PL3" s="163"/>
      <c r="PM3" s="163"/>
      <c r="PN3" s="163"/>
      <c r="PO3" s="163"/>
      <c r="PP3" s="163"/>
      <c r="PQ3" s="163"/>
      <c r="PR3" s="163"/>
      <c r="PS3" s="163"/>
      <c r="PT3" s="163"/>
      <c r="PU3" s="164"/>
      <c r="PV3" s="215" t="s">
        <v>87</v>
      </c>
      <c r="PW3" s="293"/>
      <c r="PX3" s="293"/>
      <c r="PY3" s="293"/>
      <c r="PZ3" s="293"/>
      <c r="QA3" s="216"/>
      <c r="QB3" s="302" t="s">
        <v>85</v>
      </c>
      <c r="QC3" s="302"/>
      <c r="QD3" s="215" t="s">
        <v>376</v>
      </c>
      <c r="QE3" s="293"/>
      <c r="QF3" s="293"/>
      <c r="QG3" s="293"/>
      <c r="QH3" s="216"/>
      <c r="QI3" s="302" t="s">
        <v>84</v>
      </c>
      <c r="QJ3" s="302"/>
      <c r="QK3" s="215" t="s">
        <v>373</v>
      </c>
      <c r="QL3" s="216"/>
      <c r="QM3" s="215" t="s">
        <v>86</v>
      </c>
      <c r="QN3" s="216"/>
      <c r="QO3" s="215" t="s">
        <v>381</v>
      </c>
      <c r="QP3" s="293"/>
      <c r="QQ3" s="216"/>
      <c r="QR3" s="215" t="s">
        <v>384</v>
      </c>
      <c r="QS3" s="293"/>
      <c r="QT3" s="216"/>
      <c r="QU3" s="215" t="s">
        <v>388</v>
      </c>
      <c r="QV3" s="216"/>
      <c r="QW3" s="215" t="s">
        <v>389</v>
      </c>
      <c r="QX3" s="293"/>
      <c r="QY3" s="293"/>
      <c r="QZ3" s="293"/>
      <c r="RA3" s="216"/>
      <c r="RB3" s="215" t="s">
        <v>358</v>
      </c>
      <c r="RC3" s="216"/>
      <c r="RD3" s="215" t="s">
        <v>359</v>
      </c>
      <c r="RE3" s="216"/>
      <c r="RF3" s="163"/>
      <c r="RG3" s="163"/>
      <c r="RH3" s="163"/>
      <c r="RI3" s="163"/>
      <c r="RJ3" s="163"/>
      <c r="RK3" s="163"/>
      <c r="RL3" s="163"/>
      <c r="RM3" s="163"/>
      <c r="RN3" s="163"/>
      <c r="RO3" s="215" t="s">
        <v>504</v>
      </c>
      <c r="RP3" s="216"/>
      <c r="RQ3" s="215" t="s">
        <v>505</v>
      </c>
      <c r="RR3" s="216"/>
      <c r="RS3" s="215" t="s">
        <v>506</v>
      </c>
      <c r="RT3" s="216"/>
      <c r="RU3" s="215" t="s">
        <v>88</v>
      </c>
      <c r="RV3" s="216"/>
      <c r="RW3" s="215" t="s">
        <v>89</v>
      </c>
      <c r="RX3" s="216"/>
      <c r="RY3" s="215" t="s">
        <v>90</v>
      </c>
      <c r="RZ3" s="216"/>
      <c r="SA3" s="279" t="s">
        <v>91</v>
      </c>
      <c r="SB3" s="279"/>
      <c r="SC3" s="267" t="s">
        <v>324</v>
      </c>
      <c r="SD3" s="268"/>
      <c r="SE3" s="268"/>
      <c r="SF3" s="268"/>
      <c r="SG3" s="269"/>
      <c r="SH3" s="202"/>
      <c r="SI3" s="267" t="s">
        <v>325</v>
      </c>
      <c r="SJ3" s="268"/>
      <c r="SK3" s="269"/>
      <c r="SL3" s="267" t="s">
        <v>331</v>
      </c>
      <c r="SM3" s="268"/>
      <c r="SN3" s="268"/>
      <c r="SO3" s="273" t="s">
        <v>360</v>
      </c>
      <c r="SP3" s="273" t="s">
        <v>361</v>
      </c>
      <c r="SQ3" s="200"/>
      <c r="SR3" s="200"/>
      <c r="SS3" s="173"/>
    </row>
    <row r="4" spans="1:513" s="194" customFormat="1" ht="24.75" customHeight="1" thickTop="1" thickBot="1">
      <c r="A4" s="308"/>
      <c r="B4" s="308"/>
      <c r="C4" s="308"/>
      <c r="D4" s="308"/>
      <c r="E4" s="308"/>
      <c r="F4" s="240"/>
      <c r="G4" s="252"/>
      <c r="H4" s="241"/>
      <c r="I4" s="240"/>
      <c r="J4" s="241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309"/>
      <c r="V4" s="253" t="s">
        <v>26</v>
      </c>
      <c r="W4" s="253"/>
      <c r="X4" s="253" t="s">
        <v>47</v>
      </c>
      <c r="Y4" s="253"/>
      <c r="Z4" s="253" t="s">
        <v>48</v>
      </c>
      <c r="AA4" s="253"/>
      <c r="AB4" s="253" t="s">
        <v>49</v>
      </c>
      <c r="AC4" s="253"/>
      <c r="AD4" s="253" t="s">
        <v>50</v>
      </c>
      <c r="AE4" s="253"/>
      <c r="AF4" s="232" t="s">
        <v>25</v>
      </c>
      <c r="AG4" s="232"/>
      <c r="AH4" s="232"/>
      <c r="AI4" s="253" t="s">
        <v>26</v>
      </c>
      <c r="AJ4" s="253"/>
      <c r="AK4" s="253" t="s">
        <v>47</v>
      </c>
      <c r="AL4" s="253"/>
      <c r="AM4" s="253" t="s">
        <v>48</v>
      </c>
      <c r="AN4" s="253"/>
      <c r="AO4" s="253" t="s">
        <v>49</v>
      </c>
      <c r="AP4" s="253"/>
      <c r="AQ4" s="253" t="s">
        <v>50</v>
      </c>
      <c r="AR4" s="253"/>
      <c r="AS4" s="232" t="s">
        <v>25</v>
      </c>
      <c r="AT4" s="232"/>
      <c r="AU4" s="232"/>
      <c r="AV4" s="253" t="s">
        <v>47</v>
      </c>
      <c r="AW4" s="253"/>
      <c r="AX4" s="253" t="s">
        <v>48</v>
      </c>
      <c r="AY4" s="253"/>
      <c r="AZ4" s="253" t="s">
        <v>49</v>
      </c>
      <c r="BA4" s="253"/>
      <c r="BB4" s="253" t="s">
        <v>50</v>
      </c>
      <c r="BC4" s="253"/>
      <c r="BD4" s="253" t="s">
        <v>51</v>
      </c>
      <c r="BE4" s="253"/>
      <c r="BF4" s="232" t="s">
        <v>25</v>
      </c>
      <c r="BG4" s="232"/>
      <c r="BH4" s="232"/>
      <c r="BI4" s="253" t="s">
        <v>52</v>
      </c>
      <c r="BJ4" s="253"/>
      <c r="BK4" s="253" t="s">
        <v>53</v>
      </c>
      <c r="BL4" s="253"/>
      <c r="BM4" s="253" t="s">
        <v>54</v>
      </c>
      <c r="BN4" s="253"/>
      <c r="BO4" s="253" t="s">
        <v>55</v>
      </c>
      <c r="BP4" s="253"/>
      <c r="BQ4" s="253" t="s">
        <v>56</v>
      </c>
      <c r="BR4" s="253"/>
      <c r="BS4" s="232" t="s">
        <v>25</v>
      </c>
      <c r="BT4" s="232"/>
      <c r="BU4" s="232"/>
      <c r="BV4" s="253" t="s">
        <v>77</v>
      </c>
      <c r="BW4" s="253"/>
      <c r="BX4" s="253" t="s">
        <v>78</v>
      </c>
      <c r="BY4" s="253"/>
      <c r="BZ4" s="253" t="s">
        <v>52</v>
      </c>
      <c r="CA4" s="253"/>
      <c r="CB4" s="253" t="s">
        <v>53</v>
      </c>
      <c r="CC4" s="253"/>
      <c r="CD4" s="253" t="s">
        <v>54</v>
      </c>
      <c r="CE4" s="253"/>
      <c r="CF4" s="253" t="s">
        <v>55</v>
      </c>
      <c r="CG4" s="253"/>
      <c r="CH4" s="253" t="s">
        <v>56</v>
      </c>
      <c r="CI4" s="253"/>
      <c r="CJ4" s="232" t="s">
        <v>25</v>
      </c>
      <c r="CK4" s="232"/>
      <c r="CL4" s="232"/>
      <c r="CM4" s="253" t="s">
        <v>57</v>
      </c>
      <c r="CN4" s="253"/>
      <c r="CO4" s="253"/>
      <c r="CP4" s="253" t="s">
        <v>58</v>
      </c>
      <c r="CQ4" s="253"/>
      <c r="CR4" s="253"/>
      <c r="CS4" s="253" t="s">
        <v>59</v>
      </c>
      <c r="CT4" s="253"/>
      <c r="CU4" s="253"/>
      <c r="CV4" s="232" t="s">
        <v>25</v>
      </c>
      <c r="CW4" s="232"/>
      <c r="CX4" s="232"/>
      <c r="CY4" s="232"/>
      <c r="CZ4" s="253" t="s">
        <v>57</v>
      </c>
      <c r="DA4" s="253"/>
      <c r="DB4" s="253" t="s">
        <v>58</v>
      </c>
      <c r="DC4" s="253"/>
      <c r="DD4" s="253" t="s">
        <v>59</v>
      </c>
      <c r="DE4" s="253"/>
      <c r="DF4" s="232" t="s">
        <v>25</v>
      </c>
      <c r="DG4" s="232"/>
      <c r="DH4" s="232"/>
      <c r="DI4" s="253" t="s">
        <v>57</v>
      </c>
      <c r="DJ4" s="253"/>
      <c r="DK4" s="253" t="s">
        <v>58</v>
      </c>
      <c r="DL4" s="253"/>
      <c r="DM4" s="253" t="s">
        <v>59</v>
      </c>
      <c r="DN4" s="253"/>
      <c r="DO4" s="232" t="s">
        <v>25</v>
      </c>
      <c r="DP4" s="232"/>
      <c r="DQ4" s="232"/>
      <c r="DR4" s="253" t="s">
        <v>57</v>
      </c>
      <c r="DS4" s="253"/>
      <c r="DT4" s="253" t="s">
        <v>58</v>
      </c>
      <c r="DU4" s="253"/>
      <c r="DV4" s="253" t="s">
        <v>59</v>
      </c>
      <c r="DW4" s="253"/>
      <c r="DX4" s="232" t="s">
        <v>25</v>
      </c>
      <c r="DY4" s="232"/>
      <c r="DZ4" s="232"/>
      <c r="EA4" s="253" t="s">
        <v>57</v>
      </c>
      <c r="EB4" s="253"/>
      <c r="EC4" s="253" t="s">
        <v>58</v>
      </c>
      <c r="ED4" s="253"/>
      <c r="EE4" s="253" t="s">
        <v>59</v>
      </c>
      <c r="EF4" s="253"/>
      <c r="EG4" s="232" t="s">
        <v>25</v>
      </c>
      <c r="EH4" s="232"/>
      <c r="EI4" s="232"/>
      <c r="EJ4" s="253" t="s">
        <v>57</v>
      </c>
      <c r="EK4" s="253"/>
      <c r="EL4" s="253" t="s">
        <v>58</v>
      </c>
      <c r="EM4" s="253"/>
      <c r="EN4" s="253" t="s">
        <v>59</v>
      </c>
      <c r="EO4" s="253"/>
      <c r="EP4" s="232" t="s">
        <v>25</v>
      </c>
      <c r="EQ4" s="232"/>
      <c r="ER4" s="232"/>
      <c r="ES4" s="253" t="s">
        <v>57</v>
      </c>
      <c r="ET4" s="253"/>
      <c r="EU4" s="253" t="s">
        <v>58</v>
      </c>
      <c r="EV4" s="253"/>
      <c r="EW4" s="253" t="s">
        <v>59</v>
      </c>
      <c r="EX4" s="253"/>
      <c r="EY4" s="232" t="s">
        <v>25</v>
      </c>
      <c r="EZ4" s="232"/>
      <c r="FA4" s="232"/>
      <c r="FB4" s="232" t="s">
        <v>30</v>
      </c>
      <c r="FC4" s="232"/>
      <c r="FD4" s="232" t="s">
        <v>31</v>
      </c>
      <c r="FE4" s="232"/>
      <c r="FF4" s="232" t="s">
        <v>63</v>
      </c>
      <c r="FG4" s="232"/>
      <c r="FH4" s="232" t="s">
        <v>181</v>
      </c>
      <c r="FI4" s="232"/>
      <c r="FJ4" s="232" t="s">
        <v>68</v>
      </c>
      <c r="FK4" s="232"/>
      <c r="FL4" s="232" t="s">
        <v>25</v>
      </c>
      <c r="FM4" s="232"/>
      <c r="FN4" s="232"/>
      <c r="FO4" s="232" t="s">
        <v>283</v>
      </c>
      <c r="FP4" s="232"/>
      <c r="FQ4" s="232" t="s">
        <v>323</v>
      </c>
      <c r="FR4" s="232"/>
      <c r="FS4" s="232" t="s">
        <v>284</v>
      </c>
      <c r="FT4" s="232"/>
      <c r="FU4" s="232" t="s">
        <v>285</v>
      </c>
      <c r="FV4" s="232"/>
      <c r="FW4" s="232" t="s">
        <v>286</v>
      </c>
      <c r="FX4" s="232"/>
      <c r="FY4" s="232" t="s">
        <v>287</v>
      </c>
      <c r="FZ4" s="232"/>
      <c r="GA4" s="232" t="s">
        <v>288</v>
      </c>
      <c r="GB4" s="232"/>
      <c r="GC4" s="232" t="s">
        <v>503</v>
      </c>
      <c r="GD4" s="232"/>
      <c r="GE4" s="221" t="s">
        <v>289</v>
      </c>
      <c r="GF4" s="222"/>
      <c r="GG4" s="221" t="s">
        <v>25</v>
      </c>
      <c r="GH4" s="242"/>
      <c r="GI4" s="222"/>
      <c r="GJ4" s="219" t="s">
        <v>229</v>
      </c>
      <c r="GK4" s="220"/>
      <c r="GL4" s="219" t="s">
        <v>226</v>
      </c>
      <c r="GM4" s="220"/>
      <c r="GN4" s="219" t="s">
        <v>227</v>
      </c>
      <c r="GO4" s="220"/>
      <c r="GP4" s="219" t="s">
        <v>228</v>
      </c>
      <c r="GQ4" s="220"/>
      <c r="GR4" s="219" t="s">
        <v>230</v>
      </c>
      <c r="GS4" s="220"/>
      <c r="GT4" s="219" t="s">
        <v>231</v>
      </c>
      <c r="GU4" s="220"/>
      <c r="GV4" s="219" t="s">
        <v>232</v>
      </c>
      <c r="GW4" s="220"/>
      <c r="GX4" s="219" t="s">
        <v>233</v>
      </c>
      <c r="GY4" s="220"/>
      <c r="GZ4" s="219" t="s">
        <v>234</v>
      </c>
      <c r="HA4" s="220"/>
      <c r="HB4" s="219" t="s">
        <v>235</v>
      </c>
      <c r="HC4" s="220"/>
      <c r="HD4" s="219" t="s">
        <v>236</v>
      </c>
      <c r="HE4" s="220"/>
      <c r="HF4" s="219" t="s">
        <v>237</v>
      </c>
      <c r="HG4" s="220"/>
      <c r="HH4" s="219" t="s">
        <v>238</v>
      </c>
      <c r="HI4" s="220"/>
      <c r="HJ4" s="219" t="s">
        <v>239</v>
      </c>
      <c r="HK4" s="220"/>
      <c r="HL4" s="219" t="s">
        <v>240</v>
      </c>
      <c r="HM4" s="220"/>
      <c r="HN4" s="219" t="s">
        <v>241</v>
      </c>
      <c r="HO4" s="220"/>
      <c r="HP4" s="219" t="s">
        <v>242</v>
      </c>
      <c r="HQ4" s="220"/>
      <c r="HR4" s="219" t="s">
        <v>243</v>
      </c>
      <c r="HS4" s="220"/>
      <c r="HT4" s="219" t="s">
        <v>244</v>
      </c>
      <c r="HU4" s="220"/>
      <c r="HV4" s="219" t="s">
        <v>245</v>
      </c>
      <c r="HW4" s="220"/>
      <c r="HX4" s="219" t="s">
        <v>246</v>
      </c>
      <c r="HY4" s="220"/>
      <c r="HZ4" s="219" t="s">
        <v>247</v>
      </c>
      <c r="IA4" s="220"/>
      <c r="IB4" s="219" t="s">
        <v>248</v>
      </c>
      <c r="IC4" s="220"/>
      <c r="ID4" s="219" t="s">
        <v>249</v>
      </c>
      <c r="IE4" s="220"/>
      <c r="IF4" s="219" t="s">
        <v>250</v>
      </c>
      <c r="IG4" s="220"/>
      <c r="IH4" s="219" t="s">
        <v>251</v>
      </c>
      <c r="II4" s="220"/>
      <c r="IJ4" s="219" t="s">
        <v>252</v>
      </c>
      <c r="IK4" s="220"/>
      <c r="IL4" s="219" t="s">
        <v>253</v>
      </c>
      <c r="IM4" s="220"/>
      <c r="IN4" s="219" t="s">
        <v>254</v>
      </c>
      <c r="IO4" s="220"/>
      <c r="IP4" s="219" t="s">
        <v>255</v>
      </c>
      <c r="IQ4" s="220"/>
      <c r="IR4" s="219" t="s">
        <v>256</v>
      </c>
      <c r="IS4" s="220"/>
      <c r="IT4" s="219" t="s">
        <v>257</v>
      </c>
      <c r="IU4" s="220"/>
      <c r="IV4" s="219" t="s">
        <v>258</v>
      </c>
      <c r="IW4" s="220"/>
      <c r="IX4" s="219" t="s">
        <v>259</v>
      </c>
      <c r="IY4" s="220"/>
      <c r="IZ4" s="219" t="s">
        <v>260</v>
      </c>
      <c r="JA4" s="220"/>
      <c r="JB4" s="219" t="s">
        <v>261</v>
      </c>
      <c r="JC4" s="220"/>
      <c r="JD4" s="219" t="s">
        <v>262</v>
      </c>
      <c r="JE4" s="220"/>
      <c r="JF4" s="219" t="s">
        <v>263</v>
      </c>
      <c r="JG4" s="220"/>
      <c r="JH4" s="219" t="s">
        <v>264</v>
      </c>
      <c r="JI4" s="220"/>
      <c r="JJ4" s="219" t="s">
        <v>265</v>
      </c>
      <c r="JK4" s="220"/>
      <c r="JL4" s="219" t="s">
        <v>266</v>
      </c>
      <c r="JM4" s="220"/>
      <c r="JN4" s="219" t="s">
        <v>267</v>
      </c>
      <c r="JO4" s="220"/>
      <c r="JP4" s="219" t="s">
        <v>268</v>
      </c>
      <c r="JQ4" s="220"/>
      <c r="JR4" s="219" t="s">
        <v>269</v>
      </c>
      <c r="JS4" s="220"/>
      <c r="JT4" s="219" t="s">
        <v>270</v>
      </c>
      <c r="JU4" s="220"/>
      <c r="JV4" s="219" t="s">
        <v>271</v>
      </c>
      <c r="JW4" s="220"/>
      <c r="JX4" s="219" t="s">
        <v>272</v>
      </c>
      <c r="JY4" s="220"/>
      <c r="JZ4" s="219" t="s">
        <v>273</v>
      </c>
      <c r="KA4" s="220"/>
      <c r="KB4" s="219" t="s">
        <v>274</v>
      </c>
      <c r="KC4" s="220"/>
      <c r="KD4" s="219" t="s">
        <v>275</v>
      </c>
      <c r="KE4" s="220"/>
      <c r="KF4" s="219" t="s">
        <v>276</v>
      </c>
      <c r="KG4" s="220"/>
      <c r="KH4" s="219" t="s">
        <v>277</v>
      </c>
      <c r="KI4" s="220"/>
      <c r="KJ4" s="219" t="s">
        <v>278</v>
      </c>
      <c r="KK4" s="220"/>
      <c r="KL4" s="219" t="s">
        <v>336</v>
      </c>
      <c r="KM4" s="220"/>
      <c r="KN4" s="219" t="s">
        <v>279</v>
      </c>
      <c r="KO4" s="220"/>
      <c r="KP4" s="219" t="s">
        <v>337</v>
      </c>
      <c r="KQ4" s="220"/>
      <c r="KR4" s="219" t="s">
        <v>338</v>
      </c>
      <c r="KS4" s="220"/>
      <c r="KT4" s="219" t="s">
        <v>36</v>
      </c>
      <c r="KU4" s="220"/>
      <c r="KV4" s="219" t="s">
        <v>25</v>
      </c>
      <c r="KW4" s="255"/>
      <c r="KX4" s="220"/>
      <c r="KY4" s="240"/>
      <c r="KZ4" s="241"/>
      <c r="LA4" s="221" t="s">
        <v>291</v>
      </c>
      <c r="LB4" s="222"/>
      <c r="LC4" s="221" t="s">
        <v>292</v>
      </c>
      <c r="LD4" s="222"/>
      <c r="LE4" s="221" t="s">
        <v>293</v>
      </c>
      <c r="LF4" s="222"/>
      <c r="LG4" s="221" t="s">
        <v>294</v>
      </c>
      <c r="LH4" s="222"/>
      <c r="LI4" s="221" t="s">
        <v>295</v>
      </c>
      <c r="LJ4" s="222"/>
      <c r="LK4" s="221" t="s">
        <v>296</v>
      </c>
      <c r="LL4" s="222"/>
      <c r="LM4" s="221" t="s">
        <v>297</v>
      </c>
      <c r="LN4" s="222"/>
      <c r="LO4" s="221" t="s">
        <v>548</v>
      </c>
      <c r="LP4" s="222"/>
      <c r="LQ4" s="240"/>
      <c r="LR4" s="252"/>
      <c r="LS4" s="241"/>
      <c r="LT4" s="221" t="s">
        <v>458</v>
      </c>
      <c r="LU4" s="222"/>
      <c r="LV4" s="221" t="s">
        <v>459</v>
      </c>
      <c r="LW4" s="222"/>
      <c r="LX4" s="221" t="s">
        <v>460</v>
      </c>
      <c r="LY4" s="222"/>
      <c r="LZ4" s="221" t="s">
        <v>484</v>
      </c>
      <c r="MA4" s="222"/>
      <c r="MB4" s="221" t="s">
        <v>25</v>
      </c>
      <c r="MC4" s="242"/>
      <c r="MD4" s="222"/>
      <c r="ME4" s="221" t="s">
        <v>446</v>
      </c>
      <c r="MF4" s="222"/>
      <c r="MG4" s="221" t="s">
        <v>461</v>
      </c>
      <c r="MH4" s="222"/>
      <c r="MI4" s="221" t="s">
        <v>462</v>
      </c>
      <c r="MJ4" s="222"/>
      <c r="MK4" s="221" t="s">
        <v>463</v>
      </c>
      <c r="ML4" s="222"/>
      <c r="MM4" s="221" t="s">
        <v>481</v>
      </c>
      <c r="MN4" s="222"/>
      <c r="MO4" s="221" t="s">
        <v>139</v>
      </c>
      <c r="MP4" s="242"/>
      <c r="MQ4" s="222"/>
      <c r="MR4" s="221" t="s">
        <v>340</v>
      </c>
      <c r="MS4" s="222"/>
      <c r="MT4" s="295" t="s">
        <v>341</v>
      </c>
      <c r="MU4" s="296"/>
      <c r="MV4" s="295" t="s">
        <v>342</v>
      </c>
      <c r="MW4" s="296"/>
      <c r="MX4" s="295" t="s">
        <v>343</v>
      </c>
      <c r="MY4" s="296"/>
      <c r="MZ4" s="295" t="s">
        <v>25</v>
      </c>
      <c r="NA4" s="301"/>
      <c r="NB4" s="296"/>
      <c r="NC4" s="295" t="s">
        <v>345</v>
      </c>
      <c r="ND4" s="296"/>
      <c r="NE4" s="232"/>
      <c r="NF4" s="232"/>
      <c r="NG4" s="232"/>
      <c r="NH4" s="232"/>
      <c r="NI4" s="240"/>
      <c r="NJ4" s="241"/>
      <c r="NK4" s="232"/>
      <c r="NL4" s="232"/>
      <c r="NM4" s="232"/>
      <c r="NN4" s="232"/>
      <c r="NO4" s="232"/>
      <c r="NP4" s="232"/>
      <c r="NQ4" s="232"/>
      <c r="NR4" s="232"/>
      <c r="NS4" s="232"/>
      <c r="NT4" s="232"/>
      <c r="NU4" s="240"/>
      <c r="NV4" s="241"/>
      <c r="NW4" s="232"/>
      <c r="NX4" s="232"/>
      <c r="NY4" s="232"/>
      <c r="NZ4" s="221" t="s">
        <v>300</v>
      </c>
      <c r="OA4" s="222"/>
      <c r="OB4" s="221" t="s">
        <v>301</v>
      </c>
      <c r="OC4" s="222"/>
      <c r="OD4" s="221" t="s">
        <v>302</v>
      </c>
      <c r="OE4" s="222"/>
      <c r="OF4" s="304" t="s">
        <v>25</v>
      </c>
      <c r="OG4" s="305"/>
      <c r="OH4" s="306"/>
      <c r="OI4" s="230"/>
      <c r="OJ4" s="231"/>
      <c r="OK4" s="230"/>
      <c r="OL4" s="231"/>
      <c r="OM4" s="230"/>
      <c r="ON4" s="231"/>
      <c r="OO4" s="230"/>
      <c r="OP4" s="231"/>
      <c r="OQ4" s="230"/>
      <c r="OR4" s="234"/>
      <c r="OS4" s="234"/>
      <c r="OT4" s="231"/>
      <c r="OU4" s="303" t="s">
        <v>307</v>
      </c>
      <c r="OV4" s="303"/>
      <c r="OW4" s="223" t="s">
        <v>368</v>
      </c>
      <c r="OX4" s="224"/>
      <c r="OY4" s="225"/>
      <c r="OZ4" s="223" t="s">
        <v>372</v>
      </c>
      <c r="PA4" s="225"/>
      <c r="PB4" s="303" t="s">
        <v>94</v>
      </c>
      <c r="PC4" s="303"/>
      <c r="PD4" s="303"/>
      <c r="PE4" s="235" t="s">
        <v>347</v>
      </c>
      <c r="PF4" s="236"/>
      <c r="PG4" s="236"/>
      <c r="PH4" s="236"/>
      <c r="PI4" s="237"/>
      <c r="PJ4" s="235" t="s">
        <v>316</v>
      </c>
      <c r="PK4" s="236"/>
      <c r="PL4" s="237"/>
      <c r="PM4" s="276" t="s">
        <v>321</v>
      </c>
      <c r="PN4" s="277"/>
      <c r="PO4" s="278"/>
      <c r="PP4" s="276" t="s">
        <v>98</v>
      </c>
      <c r="PQ4" s="277"/>
      <c r="PR4" s="277"/>
      <c r="PS4" s="277"/>
      <c r="PT4" s="277"/>
      <c r="PU4" s="278"/>
      <c r="PV4" s="291"/>
      <c r="PW4" s="294"/>
      <c r="PX4" s="294"/>
      <c r="PY4" s="294"/>
      <c r="PZ4" s="294"/>
      <c r="QA4" s="292"/>
      <c r="QB4" s="302"/>
      <c r="QC4" s="302"/>
      <c r="QD4" s="291"/>
      <c r="QE4" s="294"/>
      <c r="QF4" s="294"/>
      <c r="QG4" s="294"/>
      <c r="QH4" s="292"/>
      <c r="QI4" s="302"/>
      <c r="QJ4" s="302"/>
      <c r="QK4" s="291"/>
      <c r="QL4" s="292"/>
      <c r="QM4" s="291"/>
      <c r="QN4" s="292"/>
      <c r="QO4" s="291"/>
      <c r="QP4" s="294"/>
      <c r="QQ4" s="292"/>
      <c r="QR4" s="291"/>
      <c r="QS4" s="294"/>
      <c r="QT4" s="292"/>
      <c r="QU4" s="291"/>
      <c r="QV4" s="292"/>
      <c r="QW4" s="291"/>
      <c r="QX4" s="294"/>
      <c r="QY4" s="294"/>
      <c r="QZ4" s="294"/>
      <c r="RA4" s="292"/>
      <c r="RB4" s="291"/>
      <c r="RC4" s="292"/>
      <c r="RD4" s="291"/>
      <c r="RE4" s="292"/>
      <c r="RF4" s="279" t="s">
        <v>96</v>
      </c>
      <c r="RG4" s="279"/>
      <c r="RH4" s="279"/>
      <c r="RI4" s="254" t="s">
        <v>95</v>
      </c>
      <c r="RJ4" s="254"/>
      <c r="RK4" s="254"/>
      <c r="RL4" s="254" t="s">
        <v>97</v>
      </c>
      <c r="RM4" s="254"/>
      <c r="RN4" s="254"/>
      <c r="RO4" s="217"/>
      <c r="RP4" s="218"/>
      <c r="RQ4" s="217"/>
      <c r="RR4" s="218"/>
      <c r="RS4" s="217"/>
      <c r="RT4" s="218"/>
      <c r="RU4" s="217"/>
      <c r="RV4" s="218"/>
      <c r="RW4" s="217"/>
      <c r="RX4" s="218"/>
      <c r="RY4" s="217"/>
      <c r="RZ4" s="218"/>
      <c r="SA4" s="279"/>
      <c r="SB4" s="279"/>
      <c r="SC4" s="270"/>
      <c r="SD4" s="271"/>
      <c r="SE4" s="271"/>
      <c r="SF4" s="271"/>
      <c r="SG4" s="272"/>
      <c r="SH4" s="203"/>
      <c r="SI4" s="270"/>
      <c r="SJ4" s="271"/>
      <c r="SK4" s="272"/>
      <c r="SL4" s="270"/>
      <c r="SM4" s="271"/>
      <c r="SN4" s="271"/>
      <c r="SO4" s="274"/>
      <c r="SP4" s="274"/>
      <c r="SQ4" s="200"/>
      <c r="SR4" s="200"/>
      <c r="SS4" s="173"/>
    </row>
    <row r="5" spans="1:513" s="194" customFormat="1" ht="59.25" customHeight="1" thickTop="1">
      <c r="A5" s="193" t="s">
        <v>3</v>
      </c>
      <c r="B5" s="193" t="s">
        <v>4</v>
      </c>
      <c r="C5" s="193" t="s">
        <v>0</v>
      </c>
      <c r="D5" s="165" t="s">
        <v>1</v>
      </c>
      <c r="E5" s="193" t="s">
        <v>2</v>
      </c>
      <c r="F5" s="193" t="s">
        <v>5</v>
      </c>
      <c r="G5" s="193" t="s">
        <v>6</v>
      </c>
      <c r="H5" s="193" t="s">
        <v>7</v>
      </c>
      <c r="I5" s="193" t="s">
        <v>8</v>
      </c>
      <c r="J5" s="193" t="s">
        <v>9</v>
      </c>
      <c r="K5" s="193" t="s">
        <v>10</v>
      </c>
      <c r="L5" s="193" t="s">
        <v>11</v>
      </c>
      <c r="M5" s="165" t="s">
        <v>12</v>
      </c>
      <c r="N5" s="193" t="s">
        <v>13</v>
      </c>
      <c r="O5" s="193" t="s">
        <v>14</v>
      </c>
      <c r="P5" s="193" t="s">
        <v>15</v>
      </c>
      <c r="Q5" s="193" t="s">
        <v>16</v>
      </c>
      <c r="R5" s="193" t="s">
        <v>17</v>
      </c>
      <c r="S5" s="193" t="s">
        <v>18</v>
      </c>
      <c r="T5" s="165" t="s">
        <v>19</v>
      </c>
      <c r="U5" s="309"/>
      <c r="V5" s="193" t="s">
        <v>5</v>
      </c>
      <c r="W5" s="193" t="s">
        <v>6</v>
      </c>
      <c r="X5" s="193" t="s">
        <v>5</v>
      </c>
      <c r="Y5" s="193" t="s">
        <v>6</v>
      </c>
      <c r="Z5" s="193" t="s">
        <v>5</v>
      </c>
      <c r="AA5" s="193" t="s">
        <v>6</v>
      </c>
      <c r="AB5" s="193" t="s">
        <v>5</v>
      </c>
      <c r="AC5" s="193" t="s">
        <v>6</v>
      </c>
      <c r="AD5" s="193" t="s">
        <v>5</v>
      </c>
      <c r="AE5" s="193" t="s">
        <v>6</v>
      </c>
      <c r="AF5" s="193" t="s">
        <v>5</v>
      </c>
      <c r="AG5" s="193" t="s">
        <v>6</v>
      </c>
      <c r="AH5" s="193" t="s">
        <v>25</v>
      </c>
      <c r="AI5" s="193" t="s">
        <v>5</v>
      </c>
      <c r="AJ5" s="193" t="s">
        <v>6</v>
      </c>
      <c r="AK5" s="193" t="s">
        <v>5</v>
      </c>
      <c r="AL5" s="193" t="s">
        <v>6</v>
      </c>
      <c r="AM5" s="193" t="s">
        <v>5</v>
      </c>
      <c r="AN5" s="193" t="s">
        <v>6</v>
      </c>
      <c r="AO5" s="193" t="s">
        <v>5</v>
      </c>
      <c r="AP5" s="193" t="s">
        <v>6</v>
      </c>
      <c r="AQ5" s="193" t="s">
        <v>5</v>
      </c>
      <c r="AR5" s="193" t="s">
        <v>6</v>
      </c>
      <c r="AS5" s="193" t="s">
        <v>5</v>
      </c>
      <c r="AT5" s="193" t="s">
        <v>6</v>
      </c>
      <c r="AU5" s="193" t="s">
        <v>25</v>
      </c>
      <c r="AV5" s="193" t="s">
        <v>5</v>
      </c>
      <c r="AW5" s="193" t="s">
        <v>6</v>
      </c>
      <c r="AX5" s="193" t="s">
        <v>5</v>
      </c>
      <c r="AY5" s="193" t="s">
        <v>6</v>
      </c>
      <c r="AZ5" s="193" t="s">
        <v>5</v>
      </c>
      <c r="BA5" s="193" t="s">
        <v>6</v>
      </c>
      <c r="BB5" s="193" t="s">
        <v>5</v>
      </c>
      <c r="BC5" s="193" t="s">
        <v>6</v>
      </c>
      <c r="BD5" s="193" t="s">
        <v>5</v>
      </c>
      <c r="BE5" s="193" t="s">
        <v>6</v>
      </c>
      <c r="BF5" s="193" t="s">
        <v>5</v>
      </c>
      <c r="BG5" s="193" t="s">
        <v>6</v>
      </c>
      <c r="BH5" s="193" t="s">
        <v>25</v>
      </c>
      <c r="BI5" s="193" t="s">
        <v>5</v>
      </c>
      <c r="BJ5" s="193" t="s">
        <v>6</v>
      </c>
      <c r="BK5" s="193" t="s">
        <v>5</v>
      </c>
      <c r="BL5" s="193" t="s">
        <v>6</v>
      </c>
      <c r="BM5" s="193" t="s">
        <v>5</v>
      </c>
      <c r="BN5" s="193" t="s">
        <v>6</v>
      </c>
      <c r="BO5" s="193" t="s">
        <v>5</v>
      </c>
      <c r="BP5" s="193" t="s">
        <v>6</v>
      </c>
      <c r="BQ5" s="193" t="s">
        <v>5</v>
      </c>
      <c r="BR5" s="193" t="s">
        <v>6</v>
      </c>
      <c r="BS5" s="193" t="s">
        <v>5</v>
      </c>
      <c r="BT5" s="193" t="s">
        <v>6</v>
      </c>
      <c r="BU5" s="193" t="s">
        <v>25</v>
      </c>
      <c r="BV5" s="193" t="s">
        <v>5</v>
      </c>
      <c r="BW5" s="193" t="s">
        <v>6</v>
      </c>
      <c r="BX5" s="193" t="s">
        <v>5</v>
      </c>
      <c r="BY5" s="193" t="s">
        <v>6</v>
      </c>
      <c r="BZ5" s="193" t="s">
        <v>5</v>
      </c>
      <c r="CA5" s="193" t="s">
        <v>6</v>
      </c>
      <c r="CB5" s="193" t="s">
        <v>5</v>
      </c>
      <c r="CC5" s="193" t="s">
        <v>6</v>
      </c>
      <c r="CD5" s="193" t="s">
        <v>5</v>
      </c>
      <c r="CE5" s="193" t="s">
        <v>6</v>
      </c>
      <c r="CF5" s="193" t="s">
        <v>5</v>
      </c>
      <c r="CG5" s="193" t="s">
        <v>6</v>
      </c>
      <c r="CH5" s="193" t="s">
        <v>5</v>
      </c>
      <c r="CI5" s="193" t="s">
        <v>6</v>
      </c>
      <c r="CJ5" s="193" t="s">
        <v>5</v>
      </c>
      <c r="CK5" s="193" t="s">
        <v>6</v>
      </c>
      <c r="CL5" s="193" t="s">
        <v>25</v>
      </c>
      <c r="CM5" s="193" t="s">
        <v>5</v>
      </c>
      <c r="CN5" s="193" t="s">
        <v>6</v>
      </c>
      <c r="CO5" s="193" t="s">
        <v>67</v>
      </c>
      <c r="CP5" s="193" t="s">
        <v>5</v>
      </c>
      <c r="CQ5" s="193" t="s">
        <v>6</v>
      </c>
      <c r="CR5" s="193" t="s">
        <v>67</v>
      </c>
      <c r="CS5" s="193" t="s">
        <v>5</v>
      </c>
      <c r="CT5" s="193" t="s">
        <v>6</v>
      </c>
      <c r="CU5" s="193" t="s">
        <v>67</v>
      </c>
      <c r="CV5" s="193" t="s">
        <v>5</v>
      </c>
      <c r="CW5" s="193" t="s">
        <v>6</v>
      </c>
      <c r="CX5" s="193" t="s">
        <v>67</v>
      </c>
      <c r="CY5" s="193" t="s">
        <v>25</v>
      </c>
      <c r="CZ5" s="193" t="s">
        <v>5</v>
      </c>
      <c r="DA5" s="193" t="s">
        <v>6</v>
      </c>
      <c r="DB5" s="193" t="s">
        <v>5</v>
      </c>
      <c r="DC5" s="193" t="s">
        <v>6</v>
      </c>
      <c r="DD5" s="193" t="s">
        <v>5</v>
      </c>
      <c r="DE5" s="193" t="s">
        <v>6</v>
      </c>
      <c r="DF5" s="193" t="s">
        <v>5</v>
      </c>
      <c r="DG5" s="193" t="s">
        <v>6</v>
      </c>
      <c r="DH5" s="193" t="s">
        <v>25</v>
      </c>
      <c r="DI5" s="193" t="s">
        <v>5</v>
      </c>
      <c r="DJ5" s="193" t="s">
        <v>6</v>
      </c>
      <c r="DK5" s="193" t="s">
        <v>5</v>
      </c>
      <c r="DL5" s="193" t="s">
        <v>6</v>
      </c>
      <c r="DM5" s="193" t="s">
        <v>5</v>
      </c>
      <c r="DN5" s="193" t="s">
        <v>6</v>
      </c>
      <c r="DO5" s="193" t="s">
        <v>5</v>
      </c>
      <c r="DP5" s="193" t="s">
        <v>6</v>
      </c>
      <c r="DQ5" s="193" t="s">
        <v>25</v>
      </c>
      <c r="DR5" s="193" t="s">
        <v>5</v>
      </c>
      <c r="DS5" s="193" t="s">
        <v>6</v>
      </c>
      <c r="DT5" s="193" t="s">
        <v>5</v>
      </c>
      <c r="DU5" s="193" t="s">
        <v>6</v>
      </c>
      <c r="DV5" s="193" t="s">
        <v>5</v>
      </c>
      <c r="DW5" s="193" t="s">
        <v>6</v>
      </c>
      <c r="DX5" s="193" t="s">
        <v>5</v>
      </c>
      <c r="DY5" s="193" t="s">
        <v>6</v>
      </c>
      <c r="DZ5" s="193" t="s">
        <v>25</v>
      </c>
      <c r="EA5" s="193" t="s">
        <v>5</v>
      </c>
      <c r="EB5" s="193" t="s">
        <v>6</v>
      </c>
      <c r="EC5" s="193" t="s">
        <v>5</v>
      </c>
      <c r="ED5" s="193" t="s">
        <v>6</v>
      </c>
      <c r="EE5" s="193" t="s">
        <v>5</v>
      </c>
      <c r="EF5" s="193" t="s">
        <v>6</v>
      </c>
      <c r="EG5" s="193" t="s">
        <v>5</v>
      </c>
      <c r="EH5" s="193" t="s">
        <v>6</v>
      </c>
      <c r="EI5" s="193" t="s">
        <v>25</v>
      </c>
      <c r="EJ5" s="193" t="s">
        <v>5</v>
      </c>
      <c r="EK5" s="193" t="s">
        <v>6</v>
      </c>
      <c r="EL5" s="193" t="s">
        <v>5</v>
      </c>
      <c r="EM5" s="193" t="s">
        <v>6</v>
      </c>
      <c r="EN5" s="193" t="s">
        <v>5</v>
      </c>
      <c r="EO5" s="193" t="s">
        <v>6</v>
      </c>
      <c r="EP5" s="193" t="s">
        <v>5</v>
      </c>
      <c r="EQ5" s="193" t="s">
        <v>6</v>
      </c>
      <c r="ER5" s="193" t="s">
        <v>25</v>
      </c>
      <c r="ES5" s="193" t="s">
        <v>5</v>
      </c>
      <c r="ET5" s="193" t="s">
        <v>6</v>
      </c>
      <c r="EU5" s="193" t="s">
        <v>5</v>
      </c>
      <c r="EV5" s="193" t="s">
        <v>6</v>
      </c>
      <c r="EW5" s="193" t="s">
        <v>5</v>
      </c>
      <c r="EX5" s="193" t="s">
        <v>6</v>
      </c>
      <c r="EY5" s="193" t="s">
        <v>5</v>
      </c>
      <c r="EZ5" s="193" t="s">
        <v>6</v>
      </c>
      <c r="FA5" s="193" t="s">
        <v>25</v>
      </c>
      <c r="FB5" s="193" t="s">
        <v>28</v>
      </c>
      <c r="FC5" s="193" t="s">
        <v>29</v>
      </c>
      <c r="FD5" s="193" t="s">
        <v>28</v>
      </c>
      <c r="FE5" s="193" t="s">
        <v>29</v>
      </c>
      <c r="FF5" s="193" t="s">
        <v>28</v>
      </c>
      <c r="FG5" s="193" t="s">
        <v>29</v>
      </c>
      <c r="FH5" s="193" t="s">
        <v>28</v>
      </c>
      <c r="FI5" s="193" t="s">
        <v>29</v>
      </c>
      <c r="FJ5" s="193" t="s">
        <v>28</v>
      </c>
      <c r="FK5" s="193" t="s">
        <v>29</v>
      </c>
      <c r="FL5" s="193" t="s">
        <v>28</v>
      </c>
      <c r="FM5" s="193" t="s">
        <v>29</v>
      </c>
      <c r="FN5" s="193" t="s">
        <v>25</v>
      </c>
      <c r="FO5" s="193" t="s">
        <v>28</v>
      </c>
      <c r="FP5" s="193" t="s">
        <v>29</v>
      </c>
      <c r="FQ5" s="193" t="s">
        <v>28</v>
      </c>
      <c r="FR5" s="193" t="s">
        <v>29</v>
      </c>
      <c r="FS5" s="193" t="s">
        <v>28</v>
      </c>
      <c r="FT5" s="193" t="s">
        <v>29</v>
      </c>
      <c r="FU5" s="193" t="s">
        <v>28</v>
      </c>
      <c r="FV5" s="193" t="s">
        <v>29</v>
      </c>
      <c r="FW5" s="193" t="s">
        <v>28</v>
      </c>
      <c r="FX5" s="193" t="s">
        <v>29</v>
      </c>
      <c r="FY5" s="193" t="s">
        <v>28</v>
      </c>
      <c r="FZ5" s="193" t="s">
        <v>29</v>
      </c>
      <c r="GA5" s="193" t="s">
        <v>28</v>
      </c>
      <c r="GB5" s="193" t="s">
        <v>29</v>
      </c>
      <c r="GC5" s="193" t="s">
        <v>28</v>
      </c>
      <c r="GD5" s="193" t="s">
        <v>29</v>
      </c>
      <c r="GE5" s="193" t="s">
        <v>28</v>
      </c>
      <c r="GF5" s="193" t="s">
        <v>29</v>
      </c>
      <c r="GG5" s="193" t="s">
        <v>28</v>
      </c>
      <c r="GH5" s="193" t="s">
        <v>29</v>
      </c>
      <c r="GI5" s="193" t="s">
        <v>25</v>
      </c>
      <c r="GJ5" s="193" t="s">
        <v>28</v>
      </c>
      <c r="GK5" s="193" t="s">
        <v>29</v>
      </c>
      <c r="GL5" s="193" t="s">
        <v>28</v>
      </c>
      <c r="GM5" s="193" t="s">
        <v>29</v>
      </c>
      <c r="GN5" s="193" t="s">
        <v>28</v>
      </c>
      <c r="GO5" s="193" t="s">
        <v>29</v>
      </c>
      <c r="GP5" s="193" t="s">
        <v>28</v>
      </c>
      <c r="GQ5" s="193" t="s">
        <v>29</v>
      </c>
      <c r="GR5" s="193" t="s">
        <v>28</v>
      </c>
      <c r="GS5" s="193" t="s">
        <v>29</v>
      </c>
      <c r="GT5" s="193" t="s">
        <v>28</v>
      </c>
      <c r="GU5" s="193" t="s">
        <v>29</v>
      </c>
      <c r="GV5" s="193" t="s">
        <v>28</v>
      </c>
      <c r="GW5" s="193" t="s">
        <v>29</v>
      </c>
      <c r="GX5" s="193" t="s">
        <v>28</v>
      </c>
      <c r="GY5" s="193" t="s">
        <v>29</v>
      </c>
      <c r="GZ5" s="193" t="s">
        <v>28</v>
      </c>
      <c r="HA5" s="193" t="s">
        <v>29</v>
      </c>
      <c r="HB5" s="193" t="s">
        <v>28</v>
      </c>
      <c r="HC5" s="193" t="s">
        <v>29</v>
      </c>
      <c r="HD5" s="193" t="s">
        <v>28</v>
      </c>
      <c r="HE5" s="193" t="s">
        <v>29</v>
      </c>
      <c r="HF5" s="193" t="s">
        <v>28</v>
      </c>
      <c r="HG5" s="193" t="s">
        <v>29</v>
      </c>
      <c r="HH5" s="193" t="s">
        <v>28</v>
      </c>
      <c r="HI5" s="193" t="s">
        <v>29</v>
      </c>
      <c r="HJ5" s="193" t="s">
        <v>28</v>
      </c>
      <c r="HK5" s="193" t="s">
        <v>29</v>
      </c>
      <c r="HL5" s="193" t="s">
        <v>28</v>
      </c>
      <c r="HM5" s="193" t="s">
        <v>29</v>
      </c>
      <c r="HN5" s="193" t="s">
        <v>28</v>
      </c>
      <c r="HO5" s="193" t="s">
        <v>29</v>
      </c>
      <c r="HP5" s="193" t="s">
        <v>28</v>
      </c>
      <c r="HQ5" s="193" t="s">
        <v>29</v>
      </c>
      <c r="HR5" s="193" t="s">
        <v>28</v>
      </c>
      <c r="HS5" s="193" t="s">
        <v>29</v>
      </c>
      <c r="HT5" s="193" t="s">
        <v>28</v>
      </c>
      <c r="HU5" s="193" t="s">
        <v>29</v>
      </c>
      <c r="HV5" s="193" t="s">
        <v>28</v>
      </c>
      <c r="HW5" s="193" t="s">
        <v>29</v>
      </c>
      <c r="HX5" s="193" t="s">
        <v>28</v>
      </c>
      <c r="HY5" s="193" t="s">
        <v>29</v>
      </c>
      <c r="HZ5" s="193" t="s">
        <v>28</v>
      </c>
      <c r="IA5" s="193" t="s">
        <v>29</v>
      </c>
      <c r="IB5" s="193" t="s">
        <v>28</v>
      </c>
      <c r="IC5" s="193" t="s">
        <v>29</v>
      </c>
      <c r="ID5" s="193" t="s">
        <v>28</v>
      </c>
      <c r="IE5" s="193" t="s">
        <v>29</v>
      </c>
      <c r="IF5" s="193" t="s">
        <v>28</v>
      </c>
      <c r="IG5" s="193" t="s">
        <v>29</v>
      </c>
      <c r="IH5" s="193" t="s">
        <v>28</v>
      </c>
      <c r="II5" s="193" t="s">
        <v>29</v>
      </c>
      <c r="IJ5" s="193" t="s">
        <v>28</v>
      </c>
      <c r="IK5" s="193" t="s">
        <v>29</v>
      </c>
      <c r="IL5" s="193" t="s">
        <v>28</v>
      </c>
      <c r="IM5" s="193" t="s">
        <v>29</v>
      </c>
      <c r="IN5" s="193" t="s">
        <v>28</v>
      </c>
      <c r="IO5" s="193" t="s">
        <v>29</v>
      </c>
      <c r="IP5" s="193" t="s">
        <v>28</v>
      </c>
      <c r="IQ5" s="193" t="s">
        <v>29</v>
      </c>
      <c r="IR5" s="193" t="s">
        <v>28</v>
      </c>
      <c r="IS5" s="193" t="s">
        <v>29</v>
      </c>
      <c r="IT5" s="193" t="s">
        <v>28</v>
      </c>
      <c r="IU5" s="193" t="s">
        <v>29</v>
      </c>
      <c r="IV5" s="193" t="s">
        <v>28</v>
      </c>
      <c r="IW5" s="193" t="s">
        <v>29</v>
      </c>
      <c r="IX5" s="193" t="s">
        <v>28</v>
      </c>
      <c r="IY5" s="193" t="s">
        <v>29</v>
      </c>
      <c r="IZ5" s="193" t="s">
        <v>28</v>
      </c>
      <c r="JA5" s="193" t="s">
        <v>29</v>
      </c>
      <c r="JB5" s="193" t="s">
        <v>28</v>
      </c>
      <c r="JC5" s="193" t="s">
        <v>29</v>
      </c>
      <c r="JD5" s="193" t="s">
        <v>28</v>
      </c>
      <c r="JE5" s="193" t="s">
        <v>29</v>
      </c>
      <c r="JF5" s="193" t="s">
        <v>28</v>
      </c>
      <c r="JG5" s="193" t="s">
        <v>29</v>
      </c>
      <c r="JH5" s="193" t="s">
        <v>28</v>
      </c>
      <c r="JI5" s="193" t="s">
        <v>29</v>
      </c>
      <c r="JJ5" s="193" t="s">
        <v>28</v>
      </c>
      <c r="JK5" s="193" t="s">
        <v>29</v>
      </c>
      <c r="JL5" s="193" t="s">
        <v>28</v>
      </c>
      <c r="JM5" s="193" t="s">
        <v>29</v>
      </c>
      <c r="JN5" s="193" t="s">
        <v>28</v>
      </c>
      <c r="JO5" s="193" t="s">
        <v>29</v>
      </c>
      <c r="JP5" s="193" t="s">
        <v>28</v>
      </c>
      <c r="JQ5" s="193" t="s">
        <v>29</v>
      </c>
      <c r="JR5" s="193" t="s">
        <v>28</v>
      </c>
      <c r="JS5" s="193" t="s">
        <v>29</v>
      </c>
      <c r="JT5" s="193" t="s">
        <v>28</v>
      </c>
      <c r="JU5" s="193" t="s">
        <v>29</v>
      </c>
      <c r="JV5" s="193" t="s">
        <v>28</v>
      </c>
      <c r="JW5" s="193" t="s">
        <v>29</v>
      </c>
      <c r="JX5" s="193" t="s">
        <v>28</v>
      </c>
      <c r="JY5" s="193" t="s">
        <v>29</v>
      </c>
      <c r="JZ5" s="193" t="s">
        <v>28</v>
      </c>
      <c r="KA5" s="193" t="s">
        <v>29</v>
      </c>
      <c r="KB5" s="193" t="s">
        <v>28</v>
      </c>
      <c r="KC5" s="193" t="s">
        <v>29</v>
      </c>
      <c r="KD5" s="193" t="s">
        <v>28</v>
      </c>
      <c r="KE5" s="193" t="s">
        <v>29</v>
      </c>
      <c r="KF5" s="193" t="s">
        <v>28</v>
      </c>
      <c r="KG5" s="193" t="s">
        <v>29</v>
      </c>
      <c r="KH5" s="193" t="s">
        <v>28</v>
      </c>
      <c r="KI5" s="193" t="s">
        <v>29</v>
      </c>
      <c r="KJ5" s="193" t="s">
        <v>28</v>
      </c>
      <c r="KK5" s="193" t="s">
        <v>29</v>
      </c>
      <c r="KL5" s="193" t="s">
        <v>28</v>
      </c>
      <c r="KM5" s="193" t="s">
        <v>29</v>
      </c>
      <c r="KN5" s="193" t="s">
        <v>28</v>
      </c>
      <c r="KO5" s="193" t="s">
        <v>29</v>
      </c>
      <c r="KP5" s="193" t="s">
        <v>28</v>
      </c>
      <c r="KQ5" s="193" t="s">
        <v>29</v>
      </c>
      <c r="KR5" s="193" t="s">
        <v>28</v>
      </c>
      <c r="KS5" s="193" t="s">
        <v>29</v>
      </c>
      <c r="KT5" s="193" t="s">
        <v>28</v>
      </c>
      <c r="KU5" s="193" t="s">
        <v>29</v>
      </c>
      <c r="KV5" s="193" t="s">
        <v>28</v>
      </c>
      <c r="KW5" s="193" t="s">
        <v>29</v>
      </c>
      <c r="KX5" s="193" t="s">
        <v>25</v>
      </c>
      <c r="KY5" s="193" t="s">
        <v>28</v>
      </c>
      <c r="KZ5" s="193" t="s">
        <v>29</v>
      </c>
      <c r="LA5" s="193" t="s">
        <v>28</v>
      </c>
      <c r="LB5" s="193" t="s">
        <v>29</v>
      </c>
      <c r="LC5" s="193" t="s">
        <v>28</v>
      </c>
      <c r="LD5" s="193" t="s">
        <v>29</v>
      </c>
      <c r="LE5" s="193" t="s">
        <v>28</v>
      </c>
      <c r="LF5" s="193" t="s">
        <v>29</v>
      </c>
      <c r="LG5" s="193" t="s">
        <v>28</v>
      </c>
      <c r="LH5" s="193" t="s">
        <v>29</v>
      </c>
      <c r="LI5" s="193" t="s">
        <v>28</v>
      </c>
      <c r="LJ5" s="193" t="s">
        <v>29</v>
      </c>
      <c r="LK5" s="193" t="s">
        <v>28</v>
      </c>
      <c r="LL5" s="193" t="s">
        <v>29</v>
      </c>
      <c r="LM5" s="193" t="s">
        <v>28</v>
      </c>
      <c r="LN5" s="193" t="s">
        <v>29</v>
      </c>
      <c r="LO5" s="193" t="s">
        <v>28</v>
      </c>
      <c r="LP5" s="193" t="s">
        <v>29</v>
      </c>
      <c r="LQ5" s="193" t="s">
        <v>28</v>
      </c>
      <c r="LR5" s="193" t="s">
        <v>29</v>
      </c>
      <c r="LS5" s="193" t="s">
        <v>25</v>
      </c>
      <c r="LT5" s="193" t="s">
        <v>28</v>
      </c>
      <c r="LU5" s="193" t="s">
        <v>29</v>
      </c>
      <c r="LV5" s="193" t="s">
        <v>28</v>
      </c>
      <c r="LW5" s="193" t="s">
        <v>29</v>
      </c>
      <c r="LX5" s="193" t="s">
        <v>28</v>
      </c>
      <c r="LY5" s="193" t="s">
        <v>29</v>
      </c>
      <c r="LZ5" s="193" t="s">
        <v>28</v>
      </c>
      <c r="MA5" s="193" t="s">
        <v>29</v>
      </c>
      <c r="MB5" s="193" t="s">
        <v>28</v>
      </c>
      <c r="MC5" s="193" t="s">
        <v>29</v>
      </c>
      <c r="MD5" s="193" t="s">
        <v>25</v>
      </c>
      <c r="ME5" s="193" t="s">
        <v>28</v>
      </c>
      <c r="MF5" s="193" t="s">
        <v>29</v>
      </c>
      <c r="MG5" s="193" t="s">
        <v>28</v>
      </c>
      <c r="MH5" s="193" t="s">
        <v>29</v>
      </c>
      <c r="MI5" s="193" t="s">
        <v>28</v>
      </c>
      <c r="MJ5" s="193" t="s">
        <v>29</v>
      </c>
      <c r="MK5" s="193" t="s">
        <v>28</v>
      </c>
      <c r="ML5" s="193" t="s">
        <v>29</v>
      </c>
      <c r="MM5" s="193" t="s">
        <v>28</v>
      </c>
      <c r="MN5" s="193" t="s">
        <v>29</v>
      </c>
      <c r="MO5" s="193" t="s">
        <v>28</v>
      </c>
      <c r="MP5" s="193" t="s">
        <v>29</v>
      </c>
      <c r="MQ5" s="193" t="s">
        <v>25</v>
      </c>
      <c r="MR5" s="193" t="s">
        <v>28</v>
      </c>
      <c r="MS5" s="193" t="s">
        <v>29</v>
      </c>
      <c r="MT5" s="193" t="s">
        <v>28</v>
      </c>
      <c r="MU5" s="193" t="s">
        <v>29</v>
      </c>
      <c r="MV5" s="193" t="s">
        <v>28</v>
      </c>
      <c r="MW5" s="193" t="s">
        <v>29</v>
      </c>
      <c r="MX5" s="193" t="s">
        <v>28</v>
      </c>
      <c r="MY5" s="193" t="s">
        <v>29</v>
      </c>
      <c r="MZ5" s="193" t="s">
        <v>28</v>
      </c>
      <c r="NA5" s="193" t="s">
        <v>29</v>
      </c>
      <c r="NB5" s="193" t="s">
        <v>25</v>
      </c>
      <c r="NC5" s="193" t="s">
        <v>28</v>
      </c>
      <c r="ND5" s="193" t="s">
        <v>29</v>
      </c>
      <c r="NE5" s="193" t="s">
        <v>28</v>
      </c>
      <c r="NF5" s="193" t="s">
        <v>29</v>
      </c>
      <c r="NG5" s="193" t="s">
        <v>28</v>
      </c>
      <c r="NH5" s="193" t="s">
        <v>29</v>
      </c>
      <c r="NI5" s="193" t="s">
        <v>28</v>
      </c>
      <c r="NJ5" s="193" t="s">
        <v>29</v>
      </c>
      <c r="NK5" s="193" t="s">
        <v>28</v>
      </c>
      <c r="NL5" s="193" t="s">
        <v>29</v>
      </c>
      <c r="NM5" s="193" t="s">
        <v>28</v>
      </c>
      <c r="NN5" s="193" t="s">
        <v>29</v>
      </c>
      <c r="NO5" s="193" t="s">
        <v>28</v>
      </c>
      <c r="NP5" s="193" t="s">
        <v>29</v>
      </c>
      <c r="NQ5" s="193" t="s">
        <v>28</v>
      </c>
      <c r="NR5" s="193" t="s">
        <v>29</v>
      </c>
      <c r="NS5" s="193" t="s">
        <v>28</v>
      </c>
      <c r="NT5" s="193" t="s">
        <v>29</v>
      </c>
      <c r="NU5" s="193" t="s">
        <v>28</v>
      </c>
      <c r="NV5" s="193" t="s">
        <v>29</v>
      </c>
      <c r="NW5" s="193" t="s">
        <v>28</v>
      </c>
      <c r="NX5" s="193" t="s">
        <v>29</v>
      </c>
      <c r="NY5" s="193" t="s">
        <v>25</v>
      </c>
      <c r="NZ5" s="193" t="s">
        <v>5</v>
      </c>
      <c r="OA5" s="193" t="s">
        <v>6</v>
      </c>
      <c r="OB5" s="193" t="s">
        <v>5</v>
      </c>
      <c r="OC5" s="193" t="s">
        <v>6</v>
      </c>
      <c r="OD5" s="193" t="s">
        <v>5</v>
      </c>
      <c r="OE5" s="193" t="s">
        <v>6</v>
      </c>
      <c r="OF5" s="193" t="s">
        <v>5</v>
      </c>
      <c r="OG5" s="193" t="s">
        <v>6</v>
      </c>
      <c r="OH5" s="193" t="s">
        <v>25</v>
      </c>
      <c r="OI5" s="193" t="s">
        <v>75</v>
      </c>
      <c r="OJ5" s="193" t="s">
        <v>76</v>
      </c>
      <c r="OK5" s="193" t="s">
        <v>75</v>
      </c>
      <c r="OL5" s="193" t="s">
        <v>76</v>
      </c>
      <c r="OM5" s="193" t="s">
        <v>75</v>
      </c>
      <c r="ON5" s="193" t="s">
        <v>76</v>
      </c>
      <c r="OO5" s="193" t="s">
        <v>75</v>
      </c>
      <c r="OP5" s="193" t="s">
        <v>76</v>
      </c>
      <c r="OQ5" s="193" t="s">
        <v>310</v>
      </c>
      <c r="OR5" s="193" t="s">
        <v>311</v>
      </c>
      <c r="OS5" s="193" t="s">
        <v>312</v>
      </c>
      <c r="OT5" s="193" t="s">
        <v>313</v>
      </c>
      <c r="OU5" s="200" t="s">
        <v>99</v>
      </c>
      <c r="OV5" s="200" t="s">
        <v>42</v>
      </c>
      <c r="OW5" s="200" t="s">
        <v>371</v>
      </c>
      <c r="OX5" s="200" t="s">
        <v>369</v>
      </c>
      <c r="OY5" s="200" t="s">
        <v>370</v>
      </c>
      <c r="OZ5" s="200" t="s">
        <v>75</v>
      </c>
      <c r="PA5" s="200" t="s">
        <v>76</v>
      </c>
      <c r="PB5" s="200" t="s">
        <v>100</v>
      </c>
      <c r="PC5" s="200" t="s">
        <v>101</v>
      </c>
      <c r="PD5" s="200" t="s">
        <v>102</v>
      </c>
      <c r="PE5" s="166" t="s">
        <v>348</v>
      </c>
      <c r="PF5" s="166" t="s">
        <v>349</v>
      </c>
      <c r="PG5" s="166" t="s">
        <v>350</v>
      </c>
      <c r="PH5" s="166" t="s">
        <v>351</v>
      </c>
      <c r="PI5" s="166" t="s">
        <v>352</v>
      </c>
      <c r="PJ5" s="167" t="s">
        <v>75</v>
      </c>
      <c r="PK5" s="167" t="s">
        <v>76</v>
      </c>
      <c r="PL5" s="166" t="s">
        <v>317</v>
      </c>
      <c r="PM5" s="166" t="s">
        <v>318</v>
      </c>
      <c r="PN5" s="166" t="s">
        <v>319</v>
      </c>
      <c r="PO5" s="166" t="s">
        <v>320</v>
      </c>
      <c r="PP5" s="166" t="s">
        <v>106</v>
      </c>
      <c r="PQ5" s="167" t="s">
        <v>364</v>
      </c>
      <c r="PR5" s="167" t="s">
        <v>353</v>
      </c>
      <c r="PS5" s="167" t="s">
        <v>44</v>
      </c>
      <c r="PT5" s="167" t="s">
        <v>354</v>
      </c>
      <c r="PU5" s="167" t="s">
        <v>36</v>
      </c>
      <c r="PV5" s="167" t="s">
        <v>75</v>
      </c>
      <c r="PW5" s="167" t="s">
        <v>76</v>
      </c>
      <c r="PX5" s="167" t="s">
        <v>40</v>
      </c>
      <c r="PY5" s="167" t="s">
        <v>355</v>
      </c>
      <c r="PZ5" s="167" t="s">
        <v>356</v>
      </c>
      <c r="QA5" s="167" t="s">
        <v>357</v>
      </c>
      <c r="QB5" s="167" t="s">
        <v>107</v>
      </c>
      <c r="QC5" s="167" t="s">
        <v>76</v>
      </c>
      <c r="QD5" s="167" t="s">
        <v>377</v>
      </c>
      <c r="QE5" s="167" t="s">
        <v>378</v>
      </c>
      <c r="QF5" s="167" t="s">
        <v>379</v>
      </c>
      <c r="QG5" s="167" t="s">
        <v>380</v>
      </c>
      <c r="QH5" s="167" t="s">
        <v>36</v>
      </c>
      <c r="QI5" s="167" t="s">
        <v>75</v>
      </c>
      <c r="QJ5" s="167" t="s">
        <v>76</v>
      </c>
      <c r="QK5" s="167" t="s">
        <v>374</v>
      </c>
      <c r="QL5" s="167" t="s">
        <v>375</v>
      </c>
      <c r="QM5" s="200" t="s">
        <v>75</v>
      </c>
      <c r="QN5" s="200" t="s">
        <v>76</v>
      </c>
      <c r="QO5" s="200" t="s">
        <v>382</v>
      </c>
      <c r="QP5" s="200" t="s">
        <v>383</v>
      </c>
      <c r="QQ5" s="200" t="s">
        <v>36</v>
      </c>
      <c r="QR5" s="200" t="s">
        <v>385</v>
      </c>
      <c r="QS5" s="200" t="s">
        <v>386</v>
      </c>
      <c r="QT5" s="200" t="s">
        <v>387</v>
      </c>
      <c r="QU5" s="200" t="s">
        <v>75</v>
      </c>
      <c r="QV5" s="200" t="s">
        <v>76</v>
      </c>
      <c r="QW5" s="200" t="s">
        <v>390</v>
      </c>
      <c r="QX5" s="200" t="s">
        <v>391</v>
      </c>
      <c r="QY5" s="200" t="s">
        <v>392</v>
      </c>
      <c r="QZ5" s="200" t="s">
        <v>393</v>
      </c>
      <c r="RA5" s="200" t="s">
        <v>36</v>
      </c>
      <c r="RB5" s="200" t="s">
        <v>75</v>
      </c>
      <c r="RC5" s="200" t="s">
        <v>76</v>
      </c>
      <c r="RD5" s="200" t="s">
        <v>75</v>
      </c>
      <c r="RE5" s="200" t="s">
        <v>76</v>
      </c>
      <c r="RF5" s="167" t="s">
        <v>38</v>
      </c>
      <c r="RG5" s="167" t="s">
        <v>39</v>
      </c>
      <c r="RH5" s="167" t="s">
        <v>105</v>
      </c>
      <c r="RI5" s="166" t="s">
        <v>103</v>
      </c>
      <c r="RJ5" s="166" t="s">
        <v>104</v>
      </c>
      <c r="RK5" s="167" t="s">
        <v>37</v>
      </c>
      <c r="RL5" s="167" t="s">
        <v>40</v>
      </c>
      <c r="RM5" s="167" t="s">
        <v>45</v>
      </c>
      <c r="RN5" s="167" t="s">
        <v>41</v>
      </c>
      <c r="RO5" s="166" t="s">
        <v>400</v>
      </c>
      <c r="RP5" s="166" t="s">
        <v>401</v>
      </c>
      <c r="RQ5" s="166" t="s">
        <v>400</v>
      </c>
      <c r="RR5" s="166" t="s">
        <v>401</v>
      </c>
      <c r="RS5" s="166" t="s">
        <v>400</v>
      </c>
      <c r="RT5" s="166" t="s">
        <v>401</v>
      </c>
      <c r="RU5" s="166" t="s">
        <v>400</v>
      </c>
      <c r="RV5" s="166" t="s">
        <v>401</v>
      </c>
      <c r="RW5" s="166" t="s">
        <v>400</v>
      </c>
      <c r="RX5" s="166" t="s">
        <v>401</v>
      </c>
      <c r="RY5" s="166" t="s">
        <v>400</v>
      </c>
      <c r="RZ5" s="166" t="s">
        <v>401</v>
      </c>
      <c r="SA5" s="200" t="s">
        <v>75</v>
      </c>
      <c r="SB5" s="200" t="s">
        <v>76</v>
      </c>
      <c r="SC5" s="200" t="s">
        <v>30</v>
      </c>
      <c r="SD5" s="200" t="s">
        <v>31</v>
      </c>
      <c r="SE5" s="198" t="s">
        <v>322</v>
      </c>
      <c r="SF5" s="198" t="s">
        <v>285</v>
      </c>
      <c r="SG5" s="200" t="s">
        <v>323</v>
      </c>
      <c r="SH5" s="200" t="s">
        <v>394</v>
      </c>
      <c r="SI5" s="200" t="s">
        <v>326</v>
      </c>
      <c r="SJ5" s="200" t="s">
        <v>327</v>
      </c>
      <c r="SK5" s="200" t="s">
        <v>328</v>
      </c>
      <c r="SL5" s="200" t="s">
        <v>46</v>
      </c>
      <c r="SM5" s="198" t="s">
        <v>329</v>
      </c>
      <c r="SN5" s="196" t="s">
        <v>330</v>
      </c>
      <c r="SO5" s="275"/>
      <c r="SP5" s="275"/>
      <c r="SQ5" s="196" t="s">
        <v>466</v>
      </c>
      <c r="SR5" s="196" t="s">
        <v>492</v>
      </c>
      <c r="SS5" s="174" t="s">
        <v>493</v>
      </c>
    </row>
    <row r="6" spans="1:513" s="171" customFormat="1" ht="22.5" customHeight="1">
      <c r="A6" s="168" t="s">
        <v>184</v>
      </c>
      <c r="B6" s="168" t="s">
        <v>204</v>
      </c>
      <c r="C6" s="168">
        <v>1</v>
      </c>
      <c r="D6" s="168">
        <v>1400169</v>
      </c>
      <c r="E6" s="168" t="s">
        <v>408</v>
      </c>
      <c r="F6" s="168">
        <v>1</v>
      </c>
      <c r="G6" s="168"/>
      <c r="H6" s="168"/>
      <c r="I6" s="168">
        <v>1</v>
      </c>
      <c r="J6" s="168"/>
      <c r="K6" s="168">
        <v>1</v>
      </c>
      <c r="L6" s="168"/>
      <c r="M6" s="168"/>
      <c r="N6" s="168"/>
      <c r="O6" s="168">
        <v>1</v>
      </c>
      <c r="P6" s="168"/>
      <c r="Q6" s="168">
        <v>1</v>
      </c>
      <c r="R6" s="168"/>
      <c r="S6" s="168"/>
      <c r="T6" s="168"/>
      <c r="U6" s="168"/>
      <c r="V6" s="168">
        <v>97</v>
      </c>
      <c r="W6" s="168"/>
      <c r="X6" s="168">
        <v>72</v>
      </c>
      <c r="Y6" s="168"/>
      <c r="Z6" s="168">
        <v>48</v>
      </c>
      <c r="AA6" s="168"/>
      <c r="AB6" s="168">
        <v>31</v>
      </c>
      <c r="AC6" s="168"/>
      <c r="AD6" s="168">
        <v>15</v>
      </c>
      <c r="AE6" s="168"/>
      <c r="AF6" s="168">
        <f>AD6+AB6+Z6+X6+V6</f>
        <v>263</v>
      </c>
      <c r="AG6" s="168">
        <f>AE6+AC6+AA6+Y6+W6</f>
        <v>0</v>
      </c>
      <c r="AH6" s="168">
        <f>SUM(AF6:AG6)</f>
        <v>263</v>
      </c>
      <c r="AI6" s="168">
        <v>97</v>
      </c>
      <c r="AJ6" s="168"/>
      <c r="AK6" s="168">
        <v>75</v>
      </c>
      <c r="AL6" s="168"/>
      <c r="AM6" s="168">
        <v>56</v>
      </c>
      <c r="AN6" s="168"/>
      <c r="AO6" s="168">
        <v>36</v>
      </c>
      <c r="AP6" s="168"/>
      <c r="AQ6" s="168">
        <v>25</v>
      </c>
      <c r="AR6" s="168"/>
      <c r="AS6" s="168">
        <f>AQ6+AO6+AM6+AK6+AI6</f>
        <v>289</v>
      </c>
      <c r="AT6" s="168">
        <f>AR6+AP6+AN6+AL6+AJ6</f>
        <v>0</v>
      </c>
      <c r="AU6" s="168">
        <f>SUM(AS6:AT6)</f>
        <v>289</v>
      </c>
      <c r="AV6" s="168">
        <v>53</v>
      </c>
      <c r="AW6" s="168"/>
      <c r="AX6" s="168">
        <v>37</v>
      </c>
      <c r="AY6" s="168"/>
      <c r="AZ6" s="168">
        <v>47</v>
      </c>
      <c r="BA6" s="168"/>
      <c r="BB6" s="168">
        <v>25</v>
      </c>
      <c r="BC6" s="168"/>
      <c r="BD6" s="168">
        <v>18</v>
      </c>
      <c r="BE6" s="168"/>
      <c r="BF6" s="168">
        <f>BD6+BB6+AZ6+AX6+AV6</f>
        <v>180</v>
      </c>
      <c r="BG6" s="168">
        <f>BE6+BC6+BA6+AY6+AW6</f>
        <v>0</v>
      </c>
      <c r="BH6" s="168">
        <f>SUM(BF6:BG6)</f>
        <v>180</v>
      </c>
      <c r="BI6" s="168">
        <v>27</v>
      </c>
      <c r="BJ6" s="168"/>
      <c r="BK6" s="168">
        <v>32</v>
      </c>
      <c r="BL6" s="168"/>
      <c r="BM6" s="168">
        <v>19</v>
      </c>
      <c r="BN6" s="168"/>
      <c r="BO6" s="168">
        <v>15</v>
      </c>
      <c r="BP6" s="168"/>
      <c r="BQ6" s="168">
        <v>22</v>
      </c>
      <c r="BR6" s="168"/>
      <c r="BS6" s="168">
        <f>BQ6+BO6+BM6+BK6+BI6</f>
        <v>115</v>
      </c>
      <c r="BT6" s="168">
        <f>BR6+BP6+BN6+BL6+BJ6</f>
        <v>0</v>
      </c>
      <c r="BU6" s="168">
        <f>SUM(BS6:BT6)</f>
        <v>115</v>
      </c>
      <c r="BV6" s="168">
        <f t="shared" ref="BV6:BW8" si="0">AI6</f>
        <v>97</v>
      </c>
      <c r="BW6" s="168">
        <f t="shared" si="0"/>
        <v>0</v>
      </c>
      <c r="BX6" s="168">
        <f>AV6+AK6</f>
        <v>128</v>
      </c>
      <c r="BY6" s="168">
        <f>AL6+AW6</f>
        <v>0</v>
      </c>
      <c r="BZ6" s="168">
        <f>BI6+AX6+AM6</f>
        <v>120</v>
      </c>
      <c r="CA6" s="168">
        <f>AN6+AY6+BJ6</f>
        <v>0</v>
      </c>
      <c r="CB6" s="168">
        <f>BK6+AZ6+AO6</f>
        <v>115</v>
      </c>
      <c r="CC6" s="168">
        <f>AP6+BA6+BL6</f>
        <v>0</v>
      </c>
      <c r="CD6" s="168">
        <f t="shared" ref="CD6:CE10" si="1">BM6+BB6+AQ6</f>
        <v>69</v>
      </c>
      <c r="CE6" s="168">
        <f t="shared" si="1"/>
        <v>0</v>
      </c>
      <c r="CF6" s="168">
        <f t="shared" ref="CF6:CG10" si="2">BO6+BD6</f>
        <v>33</v>
      </c>
      <c r="CG6" s="168">
        <f t="shared" si="2"/>
        <v>0</v>
      </c>
      <c r="CH6" s="168">
        <f t="shared" ref="CH6:CI10" si="3">BQ6</f>
        <v>22</v>
      </c>
      <c r="CI6" s="168">
        <f t="shared" si="3"/>
        <v>0</v>
      </c>
      <c r="CJ6" s="168">
        <f t="shared" ref="CJ6:CK8" si="4">BV6+BX6+BZ6+CB6+CD6+CF6+CH6</f>
        <v>584</v>
      </c>
      <c r="CK6" s="168">
        <f t="shared" si="4"/>
        <v>0</v>
      </c>
      <c r="CL6" s="168">
        <f>SUM(CJ6:CK6)</f>
        <v>584</v>
      </c>
      <c r="CM6" s="168">
        <v>6</v>
      </c>
      <c r="CN6" s="168"/>
      <c r="CO6" s="168"/>
      <c r="CP6" s="168">
        <v>8</v>
      </c>
      <c r="CQ6" s="168"/>
      <c r="CR6" s="168"/>
      <c r="CS6" s="168">
        <v>6</v>
      </c>
      <c r="CT6" s="168"/>
      <c r="CU6" s="168"/>
      <c r="CV6" s="168">
        <f>CS6+CP6+CM6</f>
        <v>20</v>
      </c>
      <c r="CW6" s="168">
        <f>CT6+CQ6+CN6</f>
        <v>0</v>
      </c>
      <c r="CX6" s="168">
        <f>CU6+CR6+CO6</f>
        <v>0</v>
      </c>
      <c r="CY6" s="168">
        <f>SUM(CV6:CX6)</f>
        <v>20</v>
      </c>
      <c r="CZ6" s="168">
        <v>13</v>
      </c>
      <c r="DA6" s="168"/>
      <c r="DB6" s="168">
        <v>3</v>
      </c>
      <c r="DC6" s="168"/>
      <c r="DD6" s="168">
        <v>1</v>
      </c>
      <c r="DE6" s="168"/>
      <c r="DF6" s="168">
        <f>DD6+DB6+CZ6</f>
        <v>17</v>
      </c>
      <c r="DG6" s="168">
        <f>DE6+DC6+DA6</f>
        <v>0</v>
      </c>
      <c r="DH6" s="168">
        <f>SUM(DF6:DG6)</f>
        <v>17</v>
      </c>
      <c r="DI6" s="168"/>
      <c r="DJ6" s="168"/>
      <c r="DK6" s="168"/>
      <c r="DL6" s="168"/>
      <c r="DM6" s="168"/>
      <c r="DN6" s="168"/>
      <c r="DO6" s="168">
        <f t="shared" ref="DO6:DP10" si="5">DM6+DK6+DI6</f>
        <v>0</v>
      </c>
      <c r="DP6" s="168">
        <f t="shared" si="5"/>
        <v>0</v>
      </c>
      <c r="DQ6" s="168">
        <f>SUM(DO6:DP6)</f>
        <v>0</v>
      </c>
      <c r="DR6" s="168">
        <v>164</v>
      </c>
      <c r="DS6" s="168"/>
      <c r="DT6" s="168">
        <v>72</v>
      </c>
      <c r="DU6" s="168"/>
      <c r="DV6" s="168">
        <v>107</v>
      </c>
      <c r="DW6" s="168"/>
      <c r="DX6" s="168">
        <f>DV6+DT6+DR6</f>
        <v>343</v>
      </c>
      <c r="DY6" s="168">
        <f>DW6+DU6+DS6</f>
        <v>0</v>
      </c>
      <c r="DZ6" s="168">
        <f>SUM(DX6:DY6)</f>
        <v>343</v>
      </c>
      <c r="EA6" s="168">
        <v>16</v>
      </c>
      <c r="EB6" s="168"/>
      <c r="EC6" s="168">
        <v>4</v>
      </c>
      <c r="ED6" s="168"/>
      <c r="EE6" s="168">
        <v>32</v>
      </c>
      <c r="EF6" s="168"/>
      <c r="EG6" s="168">
        <f>EE6+EC6+EA6</f>
        <v>52</v>
      </c>
      <c r="EH6" s="168">
        <f>EF6+ED6+EB6</f>
        <v>0</v>
      </c>
      <c r="EI6" s="168">
        <f>SUM(EG6:EH6)</f>
        <v>52</v>
      </c>
      <c r="EJ6" s="168">
        <v>14</v>
      </c>
      <c r="EK6" s="168"/>
      <c r="EL6" s="168">
        <v>4</v>
      </c>
      <c r="EM6" s="168"/>
      <c r="EN6" s="168">
        <v>10</v>
      </c>
      <c r="EO6" s="168"/>
      <c r="EP6" s="168">
        <f>EN6+EL6+EJ6</f>
        <v>28</v>
      </c>
      <c r="EQ6" s="168">
        <f>EO6+EM6+EK6</f>
        <v>0</v>
      </c>
      <c r="ER6" s="168">
        <f>SUM(EP6:EQ6)</f>
        <v>28</v>
      </c>
      <c r="ES6" s="168"/>
      <c r="ET6" s="168"/>
      <c r="EU6" s="168"/>
      <c r="EV6" s="168"/>
      <c r="EW6" s="168"/>
      <c r="EX6" s="168"/>
      <c r="EY6" s="168">
        <f>EW6+EU6+ES6</f>
        <v>0</v>
      </c>
      <c r="EZ6" s="168">
        <f>EX6+EV6+ET6</f>
        <v>0</v>
      </c>
      <c r="FA6" s="168">
        <f>SUM(EY6:EZ6)</f>
        <v>0</v>
      </c>
      <c r="FB6" s="168">
        <v>1</v>
      </c>
      <c r="FC6" s="168"/>
      <c r="FD6" s="168">
        <v>2</v>
      </c>
      <c r="FE6" s="168">
        <v>1</v>
      </c>
      <c r="FF6" s="168">
        <v>22</v>
      </c>
      <c r="FG6" s="168">
        <v>20</v>
      </c>
      <c r="FH6" s="168">
        <v>7</v>
      </c>
      <c r="FI6" s="168">
        <v>10</v>
      </c>
      <c r="FJ6" s="168"/>
      <c r="FK6" s="168"/>
      <c r="FL6" s="168">
        <f t="shared" ref="FL6:FM10" si="6">FJ6+FH6+FF6+FD6+FB6</f>
        <v>32</v>
      </c>
      <c r="FM6" s="168">
        <f t="shared" si="6"/>
        <v>31</v>
      </c>
      <c r="FN6" s="168">
        <f>SUM(FL6:FM6)</f>
        <v>63</v>
      </c>
      <c r="FO6" s="168">
        <v>5</v>
      </c>
      <c r="FP6" s="168">
        <v>1</v>
      </c>
      <c r="FQ6" s="168">
        <v>1</v>
      </c>
      <c r="FR6" s="168"/>
      <c r="FS6" s="168"/>
      <c r="FT6" s="168"/>
      <c r="FU6" s="168"/>
      <c r="FV6" s="168"/>
      <c r="FW6" s="168">
        <v>2</v>
      </c>
      <c r="FX6" s="168">
        <v>1</v>
      </c>
      <c r="FY6" s="168">
        <v>1</v>
      </c>
      <c r="FZ6" s="168"/>
      <c r="GA6" s="168"/>
      <c r="GB6" s="168"/>
      <c r="GC6" s="168"/>
      <c r="GD6" s="168"/>
      <c r="GE6" s="168"/>
      <c r="GF6" s="168"/>
      <c r="GG6" s="168">
        <f>GE6+GA6+FY6+FW6+FU6+FS6+FO6+FQ6+GC6</f>
        <v>9</v>
      </c>
      <c r="GH6" s="168">
        <f>GF6+GB6+FZ6+FX6+FV6+FT6+FP6+FR6+GD6</f>
        <v>2</v>
      </c>
      <c r="GI6" s="168">
        <f>GH6+GG6</f>
        <v>11</v>
      </c>
      <c r="GJ6" s="168">
        <v>1</v>
      </c>
      <c r="GK6" s="168">
        <v>3</v>
      </c>
      <c r="GL6" s="168">
        <v>1</v>
      </c>
      <c r="GM6" s="168"/>
      <c r="GN6" s="168"/>
      <c r="GO6" s="168"/>
      <c r="GP6" s="168"/>
      <c r="GQ6" s="168"/>
      <c r="GR6" s="168"/>
      <c r="GS6" s="168">
        <v>2</v>
      </c>
      <c r="GT6" s="168">
        <v>2</v>
      </c>
      <c r="GU6" s="168"/>
      <c r="GV6" s="168"/>
      <c r="GW6" s="168"/>
      <c r="GX6" s="168"/>
      <c r="GY6" s="168"/>
      <c r="GZ6" s="168"/>
      <c r="HA6" s="168"/>
      <c r="HB6" s="168"/>
      <c r="HC6" s="168"/>
      <c r="HD6" s="168"/>
      <c r="HE6" s="168"/>
      <c r="HF6" s="168">
        <v>3</v>
      </c>
      <c r="HG6" s="168"/>
      <c r="HH6" s="168"/>
      <c r="HI6" s="168"/>
      <c r="HJ6" s="168"/>
      <c r="HK6" s="168"/>
      <c r="HL6" s="168"/>
      <c r="HM6" s="168"/>
      <c r="HN6" s="168"/>
      <c r="HO6" s="168"/>
      <c r="HP6" s="168"/>
      <c r="HQ6" s="168"/>
      <c r="HR6" s="168"/>
      <c r="HS6" s="168"/>
      <c r="HT6" s="168"/>
      <c r="HU6" s="168"/>
      <c r="HV6" s="168"/>
      <c r="HW6" s="168"/>
      <c r="HX6" s="168"/>
      <c r="HY6" s="168"/>
      <c r="HZ6" s="168"/>
      <c r="IA6" s="168"/>
      <c r="IB6" s="168"/>
      <c r="IC6" s="168"/>
      <c r="ID6" s="168"/>
      <c r="IE6" s="168"/>
      <c r="IF6" s="168">
        <v>4</v>
      </c>
      <c r="IG6" s="168">
        <v>13</v>
      </c>
      <c r="IH6" s="168">
        <v>1</v>
      </c>
      <c r="II6" s="168">
        <v>4</v>
      </c>
      <c r="IJ6" s="168">
        <v>7</v>
      </c>
      <c r="IK6" s="168"/>
      <c r="IL6" s="168"/>
      <c r="IM6" s="168"/>
      <c r="IN6" s="168"/>
      <c r="IO6" s="168"/>
      <c r="IP6" s="168"/>
      <c r="IQ6" s="168"/>
      <c r="IR6" s="168"/>
      <c r="IS6" s="168"/>
      <c r="IT6" s="168"/>
      <c r="IU6" s="168"/>
      <c r="IV6" s="168"/>
      <c r="IW6" s="168"/>
      <c r="IX6" s="168"/>
      <c r="IY6" s="168"/>
      <c r="IZ6" s="168"/>
      <c r="JA6" s="168"/>
      <c r="JB6" s="168"/>
      <c r="JC6" s="168"/>
      <c r="JD6" s="168"/>
      <c r="JE6" s="168"/>
      <c r="JF6" s="168"/>
      <c r="JG6" s="168"/>
      <c r="JH6" s="168"/>
      <c r="JI6" s="168"/>
      <c r="JJ6" s="168">
        <v>3</v>
      </c>
      <c r="JK6" s="168"/>
      <c r="JL6" s="168"/>
      <c r="JM6" s="168"/>
      <c r="JN6" s="168"/>
      <c r="JO6" s="168"/>
      <c r="JP6" s="168"/>
      <c r="JQ6" s="168"/>
      <c r="JR6" s="168"/>
      <c r="JS6" s="168"/>
      <c r="JT6" s="168"/>
      <c r="JU6" s="168"/>
      <c r="JV6" s="168"/>
      <c r="JW6" s="168"/>
      <c r="JX6" s="168"/>
      <c r="JY6" s="168"/>
      <c r="JZ6" s="168"/>
      <c r="KA6" s="168"/>
      <c r="KB6" s="168"/>
      <c r="KC6" s="168"/>
      <c r="KD6" s="168"/>
      <c r="KE6" s="168"/>
      <c r="KF6" s="168"/>
      <c r="KG6" s="168"/>
      <c r="KH6" s="168"/>
      <c r="KI6" s="168"/>
      <c r="KJ6" s="168"/>
      <c r="KK6" s="168"/>
      <c r="KL6" s="168"/>
      <c r="KM6" s="168"/>
      <c r="KN6" s="168">
        <v>2</v>
      </c>
      <c r="KO6" s="168">
        <v>6</v>
      </c>
      <c r="KP6" s="168"/>
      <c r="KQ6" s="168"/>
      <c r="KR6" s="168"/>
      <c r="KS6" s="168"/>
      <c r="KT6" s="168">
        <v>8</v>
      </c>
      <c r="KU6" s="168">
        <v>3</v>
      </c>
      <c r="KV6" s="168">
        <f>KT6+KN6+KJ6+KH6+KF6+KD6+KB6+JZ6+JX6+JV6+JT6+JR6+JP6+JN6+JL6+JJ6+JH6+JF6+JD6+JB6+IZ6+IX6+IV6+IT6+IR6+IP6+IN6+IL6+IJ6+IH6+IF6+ID6+IB6+HZ6+HX6+HV6+HT6+HR6+HP6+HN6+HL6+HJ6+HH6+HF6+HD6+HB6+GZ6+GX6+GV6+GT6+GR6+GP6+GN6+GL6+GJ6</f>
        <v>32</v>
      </c>
      <c r="KW6" s="168">
        <f>KU6+KO6+KK6+KI6+KG6+KE6+KC6+KA6+JY6+JW6+JU6+JS6+JQ6+JO6+JM6+JK6+JI6+JG6+JE6+JC6+JA6+IY6+IW6+IU6+IS6+IQ6+IO6+IM6+IK6+II6+IG6+IE6+IC6+IA6+HY6+HW6+HU6+HS6+HQ6+HO6+HM6+HK6+HI6+HG6+HE6+HC6+HA6+GY6+GW6+GU6+GS6+GQ6+GO6+GM6+GK6</f>
        <v>31</v>
      </c>
      <c r="KX6" s="168">
        <f>KW6+KV6</f>
        <v>63</v>
      </c>
      <c r="KY6" s="168">
        <v>27</v>
      </c>
      <c r="KZ6" s="168">
        <v>27</v>
      </c>
      <c r="LA6" s="168"/>
      <c r="LB6" s="168"/>
      <c r="LC6" s="168">
        <v>1</v>
      </c>
      <c r="LD6" s="168"/>
      <c r="LE6" s="168"/>
      <c r="LF6" s="168"/>
      <c r="LG6" s="168">
        <v>1</v>
      </c>
      <c r="LH6" s="168"/>
      <c r="LI6" s="168">
        <v>1</v>
      </c>
      <c r="LJ6" s="168">
        <v>1</v>
      </c>
      <c r="LK6" s="168"/>
      <c r="LL6" s="168">
        <v>2</v>
      </c>
      <c r="LM6" s="168"/>
      <c r="LN6" s="168"/>
      <c r="LO6" s="168">
        <v>2</v>
      </c>
      <c r="LP6" s="168">
        <v>1</v>
      </c>
      <c r="LQ6" s="168">
        <f>LA6+LC6+KY6+LE6+LG6+LI6+LK6+LM6+LO6</f>
        <v>32</v>
      </c>
      <c r="LR6" s="168">
        <f>LB6+LD6+KZ6+LF6+LH6+LJ6+LL6+LN6+LP6</f>
        <v>31</v>
      </c>
      <c r="LS6" s="168">
        <f>LR6+LQ6</f>
        <v>63</v>
      </c>
      <c r="LT6" s="168"/>
      <c r="LU6" s="168"/>
      <c r="LV6" s="168">
        <v>5</v>
      </c>
      <c r="LW6" s="168">
        <v>5</v>
      </c>
      <c r="LX6" s="168">
        <v>12</v>
      </c>
      <c r="LY6" s="168">
        <v>12</v>
      </c>
      <c r="LZ6" s="168">
        <v>15</v>
      </c>
      <c r="MA6" s="168">
        <v>14</v>
      </c>
      <c r="MB6" s="168">
        <f t="shared" ref="MB6:MC10" si="7">LX6+LV6+LT6+LZ6</f>
        <v>32</v>
      </c>
      <c r="MC6" s="168">
        <f t="shared" si="7"/>
        <v>31</v>
      </c>
      <c r="MD6" s="168">
        <f t="shared" ref="MD6:MD10" si="8">MC6+MB6</f>
        <v>63</v>
      </c>
      <c r="ME6" s="168"/>
      <c r="MF6" s="168"/>
      <c r="MG6" s="168">
        <v>1</v>
      </c>
      <c r="MH6" s="168">
        <v>2</v>
      </c>
      <c r="MI6" s="168">
        <v>15</v>
      </c>
      <c r="MJ6" s="168">
        <v>10</v>
      </c>
      <c r="MK6" s="168">
        <v>12</v>
      </c>
      <c r="ML6" s="168">
        <v>14</v>
      </c>
      <c r="MM6" s="168">
        <v>4</v>
      </c>
      <c r="MN6" s="168">
        <v>5</v>
      </c>
      <c r="MO6" s="168">
        <f t="shared" ref="MO6:MO10" si="9">MM6+MK6+MI6+MG6+ME6</f>
        <v>32</v>
      </c>
      <c r="MP6" s="168">
        <f t="shared" ref="MP6:MP10" si="10">MN6+ML6+MJ6+MH6+MF6</f>
        <v>31</v>
      </c>
      <c r="MQ6" s="168">
        <f t="shared" ref="MQ6:MQ10" si="11">MP6+MO6</f>
        <v>63</v>
      </c>
      <c r="MR6" s="168"/>
      <c r="MS6" s="168">
        <v>3</v>
      </c>
      <c r="MT6" s="168">
        <v>32</v>
      </c>
      <c r="MU6" s="168">
        <v>24</v>
      </c>
      <c r="MV6" s="168"/>
      <c r="MW6" s="168">
        <v>3</v>
      </c>
      <c r="MX6" s="168"/>
      <c r="MY6" s="168">
        <v>1</v>
      </c>
      <c r="MZ6" s="168">
        <f t="shared" ref="MZ6:NA10" si="12">MR6+MT6+MV6+MX6</f>
        <v>32</v>
      </c>
      <c r="NA6" s="168">
        <f t="shared" si="12"/>
        <v>31</v>
      </c>
      <c r="NB6" s="168">
        <f t="shared" ref="NB6:NB10" si="13">NA6+MZ6</f>
        <v>63</v>
      </c>
      <c r="NC6" s="168">
        <v>10</v>
      </c>
      <c r="ND6" s="168">
        <v>5</v>
      </c>
      <c r="NE6" s="168">
        <v>1</v>
      </c>
      <c r="NF6" s="168"/>
      <c r="NG6" s="168"/>
      <c r="NH6" s="168"/>
      <c r="NI6" s="168">
        <v>8</v>
      </c>
      <c r="NJ6" s="168">
        <v>10</v>
      </c>
      <c r="NK6" s="168">
        <v>11</v>
      </c>
      <c r="NL6" s="168">
        <v>13</v>
      </c>
      <c r="NM6" s="168">
        <v>7</v>
      </c>
      <c r="NN6" s="168">
        <v>5</v>
      </c>
      <c r="NO6" s="168"/>
      <c r="NP6" s="168"/>
      <c r="NQ6" s="168">
        <v>4</v>
      </c>
      <c r="NR6" s="168">
        <v>3</v>
      </c>
      <c r="NS6" s="168">
        <v>1</v>
      </c>
      <c r="NT6" s="168"/>
      <c r="NU6" s="168"/>
      <c r="NV6" s="168"/>
      <c r="NW6" s="168">
        <f t="shared" ref="NW6:NX10" si="14">NU6+NS6+NQ6+NO6+NM6+NK6+NG6+NI6+NE6</f>
        <v>32</v>
      </c>
      <c r="NX6" s="168">
        <f t="shared" si="14"/>
        <v>31</v>
      </c>
      <c r="NY6" s="168">
        <f>NX6+NW6</f>
        <v>63</v>
      </c>
      <c r="NZ6" s="168"/>
      <c r="OA6" s="168"/>
      <c r="OB6" s="168"/>
      <c r="OC6" s="168"/>
      <c r="OD6" s="168"/>
      <c r="OE6" s="168"/>
      <c r="OF6" s="168">
        <f t="shared" ref="OF6:OG10" si="15">OD6+OB6+NZ6</f>
        <v>0</v>
      </c>
      <c r="OG6" s="168">
        <f t="shared" si="15"/>
        <v>0</v>
      </c>
      <c r="OH6" s="168">
        <f>OG6+OF6</f>
        <v>0</v>
      </c>
      <c r="OI6" s="168"/>
      <c r="OJ6" s="168">
        <v>1</v>
      </c>
      <c r="OK6" s="168">
        <v>1</v>
      </c>
      <c r="OL6" s="168"/>
      <c r="OM6" s="168"/>
      <c r="ON6" s="168">
        <v>1</v>
      </c>
      <c r="OO6" s="168"/>
      <c r="OP6" s="168">
        <v>1</v>
      </c>
      <c r="OQ6" s="168"/>
      <c r="OR6" s="168"/>
      <c r="OS6" s="168"/>
      <c r="OT6" s="168"/>
      <c r="OU6" s="169">
        <v>1</v>
      </c>
      <c r="OV6" s="169"/>
      <c r="OW6" s="169">
        <v>2024</v>
      </c>
      <c r="OX6" s="169"/>
      <c r="OY6" s="169">
        <v>3</v>
      </c>
      <c r="OZ6" s="169">
        <v>1</v>
      </c>
      <c r="PA6" s="169"/>
      <c r="PB6" s="169"/>
      <c r="PC6" s="169"/>
      <c r="PD6" s="169">
        <v>1</v>
      </c>
      <c r="PE6" s="169"/>
      <c r="PF6" s="169"/>
      <c r="PG6" s="169"/>
      <c r="PH6" s="169"/>
      <c r="PI6" s="169">
        <v>1</v>
      </c>
      <c r="PJ6" s="169"/>
      <c r="PK6" s="169">
        <v>1</v>
      </c>
      <c r="PL6" s="169"/>
      <c r="PM6" s="169">
        <v>25</v>
      </c>
      <c r="PN6" s="169">
        <v>5</v>
      </c>
      <c r="PO6" s="169">
        <f>PN6+PM6</f>
        <v>30</v>
      </c>
      <c r="PP6" s="169">
        <v>1</v>
      </c>
      <c r="PQ6" s="169"/>
      <c r="PR6" s="169"/>
      <c r="PS6" s="169"/>
      <c r="PT6" s="169"/>
      <c r="PU6" s="169"/>
      <c r="PV6" s="169">
        <v>1</v>
      </c>
      <c r="PW6" s="169"/>
      <c r="PX6" s="169">
        <v>1</v>
      </c>
      <c r="PY6" s="169"/>
      <c r="PZ6" s="169">
        <v>1</v>
      </c>
      <c r="QA6" s="169"/>
      <c r="QB6" s="169">
        <v>1</v>
      </c>
      <c r="QC6" s="169"/>
      <c r="QD6" s="169">
        <v>1</v>
      </c>
      <c r="QE6" s="169"/>
      <c r="QF6" s="169"/>
      <c r="QG6" s="169"/>
      <c r="QH6" s="169"/>
      <c r="QI6" s="169">
        <v>1</v>
      </c>
      <c r="QJ6" s="169"/>
      <c r="QK6" s="169"/>
      <c r="QL6" s="169">
        <v>1</v>
      </c>
      <c r="QM6" s="169">
        <v>1</v>
      </c>
      <c r="QN6" s="169"/>
      <c r="QO6" s="169">
        <v>1</v>
      </c>
      <c r="QP6" s="169"/>
      <c r="QQ6" s="169"/>
      <c r="QR6" s="169">
        <v>1</v>
      </c>
      <c r="QS6" s="169"/>
      <c r="QT6" s="169"/>
      <c r="QU6" s="169">
        <v>1</v>
      </c>
      <c r="QV6" s="169"/>
      <c r="QW6" s="169"/>
      <c r="QX6" s="169"/>
      <c r="QY6" s="169"/>
      <c r="QZ6" s="169">
        <v>1</v>
      </c>
      <c r="RA6" s="169"/>
      <c r="RB6" s="169">
        <v>1</v>
      </c>
      <c r="RC6" s="169"/>
      <c r="RD6" s="169">
        <v>1</v>
      </c>
      <c r="RE6" s="169"/>
      <c r="RF6" s="169">
        <v>1</v>
      </c>
      <c r="RG6" s="169"/>
      <c r="RH6" s="169"/>
      <c r="RI6" s="169">
        <v>1</v>
      </c>
      <c r="RJ6" s="169"/>
      <c r="RK6" s="169"/>
      <c r="RL6" s="169">
        <v>1</v>
      </c>
      <c r="RM6" s="169"/>
      <c r="RN6" s="169"/>
      <c r="RO6" s="168">
        <v>370</v>
      </c>
      <c r="RP6" s="168"/>
      <c r="RQ6" s="168"/>
      <c r="RR6" s="168"/>
      <c r="RS6" s="168">
        <v>40</v>
      </c>
      <c r="RT6" s="168"/>
      <c r="RU6" s="170">
        <v>33</v>
      </c>
      <c r="RV6" s="170">
        <v>5</v>
      </c>
      <c r="RW6" s="170">
        <v>5</v>
      </c>
      <c r="RX6" s="170">
        <v>2</v>
      </c>
      <c r="RY6" s="170">
        <v>1</v>
      </c>
      <c r="RZ6" s="170">
        <v>1</v>
      </c>
      <c r="SA6" s="169">
        <v>1</v>
      </c>
      <c r="SB6" s="169"/>
      <c r="SC6" s="169"/>
      <c r="SD6" s="169"/>
      <c r="SE6" s="169">
        <v>1</v>
      </c>
      <c r="SF6" s="169"/>
      <c r="SG6" s="169"/>
      <c r="SH6" s="169"/>
      <c r="SI6" s="169">
        <v>1</v>
      </c>
      <c r="SJ6" s="169"/>
      <c r="SK6" s="169"/>
      <c r="SL6" s="169">
        <v>300</v>
      </c>
      <c r="SM6" s="169">
        <v>50</v>
      </c>
      <c r="SN6" s="169">
        <f>SM6+SL6</f>
        <v>350</v>
      </c>
      <c r="SO6" s="169">
        <v>6</v>
      </c>
      <c r="SP6" s="169">
        <v>6</v>
      </c>
      <c r="SQ6" s="169" t="s">
        <v>519</v>
      </c>
      <c r="SR6" s="169" t="s">
        <v>507</v>
      </c>
      <c r="SS6" s="175">
        <v>7809716004</v>
      </c>
    </row>
    <row r="7" spans="1:513" s="171" customFormat="1" ht="22.5" customHeight="1">
      <c r="A7" s="168" t="s">
        <v>184</v>
      </c>
      <c r="B7" s="168" t="s">
        <v>204</v>
      </c>
      <c r="C7" s="168">
        <v>2</v>
      </c>
      <c r="D7" s="168">
        <v>1400170</v>
      </c>
      <c r="E7" s="168" t="s">
        <v>490</v>
      </c>
      <c r="F7" s="168">
        <v>1</v>
      </c>
      <c r="G7" s="168"/>
      <c r="H7" s="168"/>
      <c r="I7" s="168">
        <v>1</v>
      </c>
      <c r="J7" s="168"/>
      <c r="K7" s="168">
        <v>1</v>
      </c>
      <c r="L7" s="168"/>
      <c r="M7" s="168"/>
      <c r="N7" s="168"/>
      <c r="O7" s="168">
        <v>1</v>
      </c>
      <c r="P7" s="168"/>
      <c r="Q7" s="168">
        <v>1</v>
      </c>
      <c r="R7" s="168"/>
      <c r="S7" s="168"/>
      <c r="T7" s="168"/>
      <c r="U7" s="168"/>
      <c r="V7" s="168">
        <v>38</v>
      </c>
      <c r="W7" s="168"/>
      <c r="X7" s="168">
        <v>37</v>
      </c>
      <c r="Y7" s="168"/>
      <c r="Z7" s="168">
        <v>22</v>
      </c>
      <c r="AA7" s="168"/>
      <c r="AB7" s="168">
        <v>17</v>
      </c>
      <c r="AC7" s="168"/>
      <c r="AD7" s="168">
        <v>14</v>
      </c>
      <c r="AE7" s="168"/>
      <c r="AF7" s="168">
        <f t="shared" ref="AF7:AG10" si="16">AD7+AB7+Z7+X7+V7</f>
        <v>128</v>
      </c>
      <c r="AG7" s="168">
        <f t="shared" si="16"/>
        <v>0</v>
      </c>
      <c r="AH7" s="168">
        <f>SUM(AF7:AG7)</f>
        <v>128</v>
      </c>
      <c r="AI7" s="168">
        <v>38</v>
      </c>
      <c r="AJ7" s="168"/>
      <c r="AK7" s="168">
        <v>39</v>
      </c>
      <c r="AL7" s="168"/>
      <c r="AM7" s="168">
        <v>26</v>
      </c>
      <c r="AN7" s="168"/>
      <c r="AO7" s="168">
        <v>23</v>
      </c>
      <c r="AP7" s="168"/>
      <c r="AQ7" s="168">
        <v>19</v>
      </c>
      <c r="AR7" s="168"/>
      <c r="AS7" s="168">
        <f t="shared" ref="AS7:AT10" si="17">AQ7+AO7+AM7+AK7+AI7</f>
        <v>145</v>
      </c>
      <c r="AT7" s="168">
        <f t="shared" si="17"/>
        <v>0</v>
      </c>
      <c r="AU7" s="168">
        <f>SUM(AS7:AT7)</f>
        <v>145</v>
      </c>
      <c r="AV7" s="168">
        <v>21</v>
      </c>
      <c r="AW7" s="168"/>
      <c r="AX7" s="168">
        <v>27</v>
      </c>
      <c r="AY7" s="168"/>
      <c r="AZ7" s="168">
        <v>23</v>
      </c>
      <c r="BA7" s="168"/>
      <c r="BB7" s="168">
        <v>16</v>
      </c>
      <c r="BC7" s="168"/>
      <c r="BD7" s="168">
        <v>16</v>
      </c>
      <c r="BE7" s="168"/>
      <c r="BF7" s="168">
        <f t="shared" ref="BF7:BG10" si="18">BD7+BB7+AZ7+AX7+AV7</f>
        <v>103</v>
      </c>
      <c r="BG7" s="168">
        <f t="shared" si="18"/>
        <v>0</v>
      </c>
      <c r="BH7" s="168">
        <f>SUM(BF7:BG7)</f>
        <v>103</v>
      </c>
      <c r="BI7" s="168">
        <v>7</v>
      </c>
      <c r="BJ7" s="168"/>
      <c r="BK7" s="168">
        <v>32</v>
      </c>
      <c r="BL7" s="168"/>
      <c r="BM7" s="168">
        <v>22</v>
      </c>
      <c r="BN7" s="168"/>
      <c r="BO7" s="168">
        <v>14</v>
      </c>
      <c r="BP7" s="168"/>
      <c r="BQ7" s="168">
        <v>9</v>
      </c>
      <c r="BR7" s="168"/>
      <c r="BS7" s="168">
        <f t="shared" ref="BS7:BT10" si="19">BQ7+BO7+BM7+BK7+BI7</f>
        <v>84</v>
      </c>
      <c r="BT7" s="168">
        <f t="shared" si="19"/>
        <v>0</v>
      </c>
      <c r="BU7" s="168">
        <f>SUM(BS7:BT7)</f>
        <v>84</v>
      </c>
      <c r="BV7" s="168">
        <f t="shared" si="0"/>
        <v>38</v>
      </c>
      <c r="BW7" s="168">
        <f t="shared" si="0"/>
        <v>0</v>
      </c>
      <c r="BX7" s="168">
        <f>AV7+AK7</f>
        <v>60</v>
      </c>
      <c r="BY7" s="168">
        <f>AL7+AW7</f>
        <v>0</v>
      </c>
      <c r="BZ7" s="168">
        <f>BI7+AX7+AM7</f>
        <v>60</v>
      </c>
      <c r="CA7" s="168">
        <f>AN7+AY7+BJ7</f>
        <v>0</v>
      </c>
      <c r="CB7" s="168">
        <f>BK7+AZ7+AO7</f>
        <v>78</v>
      </c>
      <c r="CC7" s="168">
        <f>AP7+BA7+BL7</f>
        <v>0</v>
      </c>
      <c r="CD7" s="168">
        <f t="shared" si="1"/>
        <v>57</v>
      </c>
      <c r="CE7" s="168">
        <f t="shared" si="1"/>
        <v>0</v>
      </c>
      <c r="CF7" s="168">
        <f t="shared" si="2"/>
        <v>30</v>
      </c>
      <c r="CG7" s="168">
        <f t="shared" si="2"/>
        <v>0</v>
      </c>
      <c r="CH7" s="168">
        <f t="shared" si="3"/>
        <v>9</v>
      </c>
      <c r="CI7" s="168">
        <f t="shared" si="3"/>
        <v>0</v>
      </c>
      <c r="CJ7" s="168">
        <f t="shared" si="4"/>
        <v>332</v>
      </c>
      <c r="CK7" s="168">
        <f t="shared" si="4"/>
        <v>0</v>
      </c>
      <c r="CL7" s="168">
        <f>SUM(CJ7:CK7)</f>
        <v>332</v>
      </c>
      <c r="CM7" s="168">
        <v>4</v>
      </c>
      <c r="CN7" s="168"/>
      <c r="CO7" s="168"/>
      <c r="CP7" s="168">
        <v>4</v>
      </c>
      <c r="CQ7" s="168"/>
      <c r="CR7" s="168"/>
      <c r="CS7" s="168">
        <v>4</v>
      </c>
      <c r="CT7" s="168"/>
      <c r="CU7" s="168"/>
      <c r="CV7" s="168">
        <f t="shared" ref="CV7:CX10" si="20">CS7+CP7+CM7</f>
        <v>12</v>
      </c>
      <c r="CW7" s="168">
        <f t="shared" si="20"/>
        <v>0</v>
      </c>
      <c r="CX7" s="168">
        <f t="shared" si="20"/>
        <v>0</v>
      </c>
      <c r="CY7" s="168">
        <f>SUM(CV7:CX7)</f>
        <v>12</v>
      </c>
      <c r="CZ7" s="168">
        <v>7</v>
      </c>
      <c r="DA7" s="168"/>
      <c r="DB7" s="168">
        <v>4</v>
      </c>
      <c r="DC7" s="168"/>
      <c r="DD7" s="168">
        <v>2</v>
      </c>
      <c r="DE7" s="168"/>
      <c r="DF7" s="168">
        <f t="shared" ref="DF7:DG10" si="21">DD7+DB7+CZ7</f>
        <v>13</v>
      </c>
      <c r="DG7" s="168">
        <f t="shared" si="21"/>
        <v>0</v>
      </c>
      <c r="DH7" s="168">
        <f>SUM(DF7:DG7)</f>
        <v>13</v>
      </c>
      <c r="DI7" s="168"/>
      <c r="DJ7" s="168"/>
      <c r="DK7" s="168"/>
      <c r="DL7" s="168"/>
      <c r="DM7" s="168"/>
      <c r="DN7" s="168"/>
      <c r="DO7" s="168">
        <f t="shared" si="5"/>
        <v>0</v>
      </c>
      <c r="DP7" s="168">
        <f t="shared" si="5"/>
        <v>0</v>
      </c>
      <c r="DQ7" s="168">
        <f>SUM(DO7:DP7)</f>
        <v>0</v>
      </c>
      <c r="DR7" s="168">
        <v>89</v>
      </c>
      <c r="DS7" s="168"/>
      <c r="DT7" s="168">
        <v>45</v>
      </c>
      <c r="DU7" s="168"/>
      <c r="DV7" s="168">
        <v>45</v>
      </c>
      <c r="DW7" s="168"/>
      <c r="DX7" s="168">
        <f t="shared" ref="DX7:DY10" si="22">DV7+DT7+DR7</f>
        <v>179</v>
      </c>
      <c r="DY7" s="168">
        <f t="shared" si="22"/>
        <v>0</v>
      </c>
      <c r="DZ7" s="168">
        <f>SUM(DX7:DY7)</f>
        <v>179</v>
      </c>
      <c r="EA7" s="168">
        <v>29</v>
      </c>
      <c r="EB7" s="168"/>
      <c r="EC7" s="168">
        <v>11</v>
      </c>
      <c r="ED7" s="168"/>
      <c r="EE7" s="168">
        <v>21</v>
      </c>
      <c r="EF7" s="168"/>
      <c r="EG7" s="168">
        <f t="shared" ref="EG7:EH10" si="23">EE7+EC7+EA7</f>
        <v>61</v>
      </c>
      <c r="EH7" s="168">
        <f t="shared" si="23"/>
        <v>0</v>
      </c>
      <c r="EI7" s="168">
        <f>SUM(EG7:EH7)</f>
        <v>61</v>
      </c>
      <c r="EJ7" s="168">
        <v>3</v>
      </c>
      <c r="EK7" s="168"/>
      <c r="EL7" s="168">
        <v>1</v>
      </c>
      <c r="EM7" s="168"/>
      <c r="EN7" s="168">
        <v>13</v>
      </c>
      <c r="EO7" s="168"/>
      <c r="EP7" s="168">
        <f t="shared" ref="EP7:EQ10" si="24">EN7+EL7+EJ7</f>
        <v>17</v>
      </c>
      <c r="EQ7" s="168">
        <f t="shared" si="24"/>
        <v>0</v>
      </c>
      <c r="ER7" s="168">
        <f>SUM(EP7:EQ7)</f>
        <v>17</v>
      </c>
      <c r="ES7" s="168"/>
      <c r="ET7" s="168"/>
      <c r="EU7" s="168"/>
      <c r="EV7" s="168"/>
      <c r="EW7" s="168">
        <v>1</v>
      </c>
      <c r="EX7" s="168"/>
      <c r="EY7" s="168">
        <f t="shared" ref="EY7:EY16" si="25">EW7+EU7+ES7</f>
        <v>1</v>
      </c>
      <c r="EZ7" s="168">
        <f t="shared" ref="EZ7:EZ16" si="26">EX7+EV7+ET7</f>
        <v>0</v>
      </c>
      <c r="FA7" s="168">
        <f t="shared" ref="FA7:FA16" si="27">SUM(EY7:EZ7)</f>
        <v>1</v>
      </c>
      <c r="FB7" s="168">
        <v>1</v>
      </c>
      <c r="FC7" s="168"/>
      <c r="FD7" s="168">
        <v>3</v>
      </c>
      <c r="FE7" s="168"/>
      <c r="FF7" s="168">
        <v>21</v>
      </c>
      <c r="FG7" s="168">
        <v>12</v>
      </c>
      <c r="FH7" s="168">
        <v>10</v>
      </c>
      <c r="FI7" s="168">
        <v>6</v>
      </c>
      <c r="FJ7" s="168"/>
      <c r="FK7" s="168"/>
      <c r="FL7" s="168">
        <f t="shared" si="6"/>
        <v>35</v>
      </c>
      <c r="FM7" s="168">
        <f t="shared" si="6"/>
        <v>18</v>
      </c>
      <c r="FN7" s="168">
        <f>SUM(FL7:FM7)</f>
        <v>53</v>
      </c>
      <c r="FO7" s="168">
        <v>1</v>
      </c>
      <c r="FP7" s="168">
        <v>2</v>
      </c>
      <c r="FQ7" s="168"/>
      <c r="FR7" s="168">
        <v>1</v>
      </c>
      <c r="FS7" s="168"/>
      <c r="FT7" s="168"/>
      <c r="FU7" s="168"/>
      <c r="FV7" s="168"/>
      <c r="FW7" s="168">
        <v>3</v>
      </c>
      <c r="FX7" s="168"/>
      <c r="FY7" s="168"/>
      <c r="FZ7" s="168"/>
      <c r="GA7" s="168"/>
      <c r="GB7" s="168"/>
      <c r="GC7" s="168"/>
      <c r="GD7" s="168"/>
      <c r="GE7" s="168"/>
      <c r="GF7" s="168"/>
      <c r="GG7" s="168">
        <f t="shared" ref="GG7:GG10" si="28">GE7+GA7+FY7+FW7+FU7+FS7+FO7+FQ7+GC7</f>
        <v>4</v>
      </c>
      <c r="GH7" s="168">
        <f t="shared" ref="GH7:GH10" si="29">GF7+GB7+FZ7+FX7+FV7+FT7+FP7+FR7+GD7</f>
        <v>3</v>
      </c>
      <c r="GI7" s="168">
        <f>GH7+GG7</f>
        <v>7</v>
      </c>
      <c r="GJ7" s="168">
        <v>2</v>
      </c>
      <c r="GK7" s="168">
        <v>1</v>
      </c>
      <c r="GL7" s="168">
        <v>1</v>
      </c>
      <c r="GM7" s="168">
        <v>1</v>
      </c>
      <c r="GN7" s="168">
        <v>2</v>
      </c>
      <c r="GO7" s="168"/>
      <c r="GP7" s="168"/>
      <c r="GQ7" s="168"/>
      <c r="GR7" s="168"/>
      <c r="GS7" s="168">
        <v>2</v>
      </c>
      <c r="GT7" s="168">
        <v>1</v>
      </c>
      <c r="GU7" s="168">
        <v>1</v>
      </c>
      <c r="GV7" s="168"/>
      <c r="GW7" s="168"/>
      <c r="GX7" s="168"/>
      <c r="GY7" s="168"/>
      <c r="GZ7" s="168"/>
      <c r="HA7" s="168"/>
      <c r="HB7" s="168"/>
      <c r="HC7" s="168"/>
      <c r="HD7" s="168"/>
      <c r="HE7" s="168"/>
      <c r="HF7" s="168"/>
      <c r="HG7" s="168">
        <v>1</v>
      </c>
      <c r="HH7" s="168"/>
      <c r="HI7" s="168"/>
      <c r="HJ7" s="168"/>
      <c r="HK7" s="168"/>
      <c r="HL7" s="168"/>
      <c r="HM7" s="168"/>
      <c r="HN7" s="168"/>
      <c r="HO7" s="168"/>
      <c r="HP7" s="168"/>
      <c r="HQ7" s="168"/>
      <c r="HR7" s="168"/>
      <c r="HS7" s="168"/>
      <c r="HT7" s="168"/>
      <c r="HU7" s="168"/>
      <c r="HV7" s="168"/>
      <c r="HW7" s="168"/>
      <c r="HX7" s="168"/>
      <c r="HY7" s="168"/>
      <c r="HZ7" s="168"/>
      <c r="IA7" s="168"/>
      <c r="IB7" s="168"/>
      <c r="IC7" s="168"/>
      <c r="ID7" s="168"/>
      <c r="IE7" s="168"/>
      <c r="IF7" s="168">
        <v>5</v>
      </c>
      <c r="IG7" s="168">
        <v>10</v>
      </c>
      <c r="IH7" s="168">
        <v>2</v>
      </c>
      <c r="II7" s="168"/>
      <c r="IJ7" s="168">
        <v>1</v>
      </c>
      <c r="IK7" s="168"/>
      <c r="IL7" s="168"/>
      <c r="IM7" s="168"/>
      <c r="IN7" s="168">
        <v>2</v>
      </c>
      <c r="IO7" s="168"/>
      <c r="IP7" s="168"/>
      <c r="IQ7" s="168"/>
      <c r="IR7" s="168"/>
      <c r="IS7" s="168"/>
      <c r="IT7" s="168"/>
      <c r="IU7" s="168"/>
      <c r="IV7" s="168"/>
      <c r="IW7" s="168"/>
      <c r="IX7" s="168"/>
      <c r="IY7" s="168"/>
      <c r="IZ7" s="168"/>
      <c r="JA7" s="168"/>
      <c r="JB7" s="168"/>
      <c r="JC7" s="168"/>
      <c r="JD7" s="168"/>
      <c r="JE7" s="168"/>
      <c r="JF7" s="168"/>
      <c r="JG7" s="168"/>
      <c r="JH7" s="168"/>
      <c r="JI7" s="168"/>
      <c r="JJ7" s="168"/>
      <c r="JK7" s="168"/>
      <c r="JL7" s="168"/>
      <c r="JM7" s="168"/>
      <c r="JN7" s="168"/>
      <c r="JO7" s="168"/>
      <c r="JP7" s="168"/>
      <c r="JQ7" s="168"/>
      <c r="JR7" s="168"/>
      <c r="JS7" s="168"/>
      <c r="JT7" s="168"/>
      <c r="JU7" s="168"/>
      <c r="JV7" s="168"/>
      <c r="JW7" s="168"/>
      <c r="JX7" s="168"/>
      <c r="JY7" s="168"/>
      <c r="JZ7" s="168"/>
      <c r="KA7" s="168"/>
      <c r="KB7" s="168"/>
      <c r="KC7" s="168"/>
      <c r="KD7" s="168"/>
      <c r="KE7" s="168"/>
      <c r="KF7" s="168"/>
      <c r="KG7" s="168"/>
      <c r="KH7" s="168"/>
      <c r="KI7" s="168"/>
      <c r="KJ7" s="168"/>
      <c r="KK7" s="168"/>
      <c r="KL7" s="168"/>
      <c r="KM7" s="168"/>
      <c r="KN7" s="168">
        <v>8</v>
      </c>
      <c r="KO7" s="168">
        <v>1</v>
      </c>
      <c r="KP7" s="168"/>
      <c r="KQ7" s="168"/>
      <c r="KR7" s="168"/>
      <c r="KS7" s="168"/>
      <c r="KT7" s="168">
        <v>11</v>
      </c>
      <c r="KU7" s="168">
        <v>1</v>
      </c>
      <c r="KV7" s="168">
        <f>KT7+KN7+KJ7+KH7+KF7+KD7+KB7+JZ7+JX7+JV7+JT7+JR7+JP7+JN7+JL7+JJ7+JH7+JF7+JD7+JB7+IZ7+IX7+IV7+IT7+IR7+IP7+IN7+IL7+IJ7+IH7+IF7+ID7+IB7+HZ7+HX7+HV7+HT7+HR7+HP7+HN7+HL7+HJ7+HH7+HF7+HD7+HB7+GZ7+GX7+GV7+GT7+GR7+GP7+GN7+GL7+GJ7</f>
        <v>35</v>
      </c>
      <c r="KW7" s="168">
        <f t="shared" ref="KW7:KW8" si="30">KU7+KO7+KK7+KI7+KG7+KE7+KC7+KA7+JY7+JW7+JU7+JS7+JQ7+JO7+JM7+JK7+JI7+JG7+JE7+JC7+JA7+IY7+IW7+IU7+IS7+IQ7+IO7+IM7+IK7+II7+IG7+IE7+IC7+IA7+HY7+HW7+HU7+HS7+HQ7+HO7+HM7+HK7+HI7+HG7+HE7+HC7+HA7+GY7+GW7+GU7+GS7+GQ7+GO7+GM7+GK7</f>
        <v>18</v>
      </c>
      <c r="KX7" s="168">
        <f>KW7+KV7</f>
        <v>53</v>
      </c>
      <c r="KY7" s="168">
        <v>34</v>
      </c>
      <c r="KZ7" s="168">
        <v>16</v>
      </c>
      <c r="LA7" s="168"/>
      <c r="LB7" s="168"/>
      <c r="LC7" s="168">
        <v>1</v>
      </c>
      <c r="LD7" s="168"/>
      <c r="LE7" s="168"/>
      <c r="LF7" s="168"/>
      <c r="LG7" s="168"/>
      <c r="LH7" s="168"/>
      <c r="LI7" s="168"/>
      <c r="LJ7" s="168">
        <v>2</v>
      </c>
      <c r="LK7" s="168"/>
      <c r="LL7" s="168"/>
      <c r="LM7" s="168"/>
      <c r="LN7" s="168"/>
      <c r="LO7" s="168"/>
      <c r="LP7" s="168"/>
      <c r="LQ7" s="168">
        <f t="shared" ref="LQ7:LQ22" si="31">LA7+LC7+KY7+LE7+LG7+LI7+LK7+LM7+LO7</f>
        <v>35</v>
      </c>
      <c r="LR7" s="168">
        <f t="shared" ref="LR7:LR22" si="32">LB7+LD7+KZ7+LF7+LH7+LJ7+LL7+LN7+LP7</f>
        <v>18</v>
      </c>
      <c r="LS7" s="168">
        <f>LR7+LQ7</f>
        <v>53</v>
      </c>
      <c r="LT7" s="168"/>
      <c r="LU7" s="168"/>
      <c r="LV7" s="168">
        <v>3</v>
      </c>
      <c r="LW7" s="168">
        <v>1</v>
      </c>
      <c r="LX7" s="168">
        <v>8</v>
      </c>
      <c r="LY7" s="168">
        <v>1</v>
      </c>
      <c r="LZ7" s="168">
        <v>24</v>
      </c>
      <c r="MA7" s="168">
        <v>16</v>
      </c>
      <c r="MB7" s="168">
        <f t="shared" si="7"/>
        <v>35</v>
      </c>
      <c r="MC7" s="168">
        <f t="shared" si="7"/>
        <v>18</v>
      </c>
      <c r="MD7" s="168">
        <f t="shared" si="8"/>
        <v>53</v>
      </c>
      <c r="ME7" s="168"/>
      <c r="MF7" s="168"/>
      <c r="MG7" s="168">
        <v>9</v>
      </c>
      <c r="MH7" s="168">
        <v>3</v>
      </c>
      <c r="MI7" s="168">
        <v>14</v>
      </c>
      <c r="MJ7" s="168">
        <v>3</v>
      </c>
      <c r="MK7" s="168">
        <v>11</v>
      </c>
      <c r="ML7" s="168">
        <v>10</v>
      </c>
      <c r="MM7" s="168">
        <v>1</v>
      </c>
      <c r="MN7" s="168">
        <v>2</v>
      </c>
      <c r="MO7" s="168">
        <f t="shared" si="9"/>
        <v>35</v>
      </c>
      <c r="MP7" s="168">
        <f t="shared" si="10"/>
        <v>18</v>
      </c>
      <c r="MQ7" s="168">
        <f t="shared" si="11"/>
        <v>53</v>
      </c>
      <c r="MR7" s="168">
        <v>1</v>
      </c>
      <c r="MS7" s="168">
        <v>2</v>
      </c>
      <c r="MT7" s="168">
        <v>33</v>
      </c>
      <c r="MU7" s="168">
        <v>16</v>
      </c>
      <c r="MV7" s="168">
        <v>1</v>
      </c>
      <c r="MW7" s="168"/>
      <c r="MX7" s="168"/>
      <c r="MY7" s="168"/>
      <c r="MZ7" s="168">
        <f t="shared" si="12"/>
        <v>35</v>
      </c>
      <c r="NA7" s="168">
        <f t="shared" si="12"/>
        <v>18</v>
      </c>
      <c r="NB7" s="168">
        <f t="shared" si="13"/>
        <v>53</v>
      </c>
      <c r="NC7" s="168">
        <v>13</v>
      </c>
      <c r="ND7" s="168">
        <v>10</v>
      </c>
      <c r="NE7" s="168"/>
      <c r="NF7" s="168"/>
      <c r="NG7" s="168"/>
      <c r="NH7" s="168"/>
      <c r="NI7" s="168">
        <v>10</v>
      </c>
      <c r="NJ7" s="168">
        <v>7</v>
      </c>
      <c r="NK7" s="168">
        <v>10</v>
      </c>
      <c r="NL7" s="168">
        <v>5</v>
      </c>
      <c r="NM7" s="168">
        <v>5</v>
      </c>
      <c r="NN7" s="168">
        <v>6</v>
      </c>
      <c r="NO7" s="168"/>
      <c r="NP7" s="168"/>
      <c r="NQ7" s="168">
        <v>8</v>
      </c>
      <c r="NR7" s="168"/>
      <c r="NS7" s="168">
        <v>2</v>
      </c>
      <c r="NT7" s="168"/>
      <c r="NU7" s="168"/>
      <c r="NV7" s="168"/>
      <c r="NW7" s="168">
        <f>NU7+NS7+NQ7+NO7+NM7+NK7+NG7+NI7+NE7</f>
        <v>35</v>
      </c>
      <c r="NX7" s="168">
        <f t="shared" si="14"/>
        <v>18</v>
      </c>
      <c r="NY7" s="168">
        <f>NX7+NW7</f>
        <v>53</v>
      </c>
      <c r="NZ7" s="168"/>
      <c r="OA7" s="168"/>
      <c r="OB7" s="168">
        <v>1</v>
      </c>
      <c r="OC7" s="168"/>
      <c r="OD7" s="168"/>
      <c r="OE7" s="168"/>
      <c r="OF7" s="168">
        <f t="shared" si="15"/>
        <v>1</v>
      </c>
      <c r="OG7" s="168">
        <f t="shared" si="15"/>
        <v>0</v>
      </c>
      <c r="OH7" s="168">
        <f>OG7+OF7</f>
        <v>1</v>
      </c>
      <c r="OI7" s="168"/>
      <c r="OJ7" s="168">
        <v>1</v>
      </c>
      <c r="OK7" s="168">
        <v>1</v>
      </c>
      <c r="OL7" s="168"/>
      <c r="OM7" s="168"/>
      <c r="ON7" s="168">
        <v>1</v>
      </c>
      <c r="OO7" s="168"/>
      <c r="OP7" s="168">
        <v>1</v>
      </c>
      <c r="OQ7" s="168"/>
      <c r="OR7" s="168"/>
      <c r="OS7" s="168"/>
      <c r="OT7" s="168"/>
      <c r="OU7" s="169">
        <v>1</v>
      </c>
      <c r="OV7" s="169"/>
      <c r="OW7" s="169">
        <v>1978</v>
      </c>
      <c r="OX7" s="169" t="s">
        <v>406</v>
      </c>
      <c r="OY7" s="169"/>
      <c r="OZ7" s="169"/>
      <c r="PA7" s="169">
        <v>1</v>
      </c>
      <c r="PB7" s="169"/>
      <c r="PC7" s="169">
        <v>1</v>
      </c>
      <c r="PD7" s="169"/>
      <c r="PE7" s="169"/>
      <c r="PF7" s="169"/>
      <c r="PG7" s="169"/>
      <c r="PH7" s="169"/>
      <c r="PI7" s="169">
        <v>1</v>
      </c>
      <c r="PJ7" s="169">
        <v>1</v>
      </c>
      <c r="PK7" s="169"/>
      <c r="PL7" s="169">
        <v>5</v>
      </c>
      <c r="PM7" s="169">
        <v>24</v>
      </c>
      <c r="PN7" s="169">
        <v>10</v>
      </c>
      <c r="PO7" s="169">
        <f>PN7+PM7</f>
        <v>34</v>
      </c>
      <c r="PP7" s="169">
        <v>1</v>
      </c>
      <c r="PQ7" s="169"/>
      <c r="PR7" s="169"/>
      <c r="PS7" s="169"/>
      <c r="PT7" s="169"/>
      <c r="PU7" s="169"/>
      <c r="PV7" s="169">
        <v>1</v>
      </c>
      <c r="PW7" s="169"/>
      <c r="PX7" s="169">
        <v>1</v>
      </c>
      <c r="PY7" s="169"/>
      <c r="PZ7" s="169">
        <v>1</v>
      </c>
      <c r="QA7" s="169"/>
      <c r="QB7" s="169">
        <v>1</v>
      </c>
      <c r="QC7" s="169"/>
      <c r="QD7" s="169">
        <v>1</v>
      </c>
      <c r="QE7" s="169"/>
      <c r="QF7" s="169"/>
      <c r="QG7" s="169"/>
      <c r="QH7" s="169"/>
      <c r="QI7" s="169">
        <v>1</v>
      </c>
      <c r="QJ7" s="169"/>
      <c r="QK7" s="169"/>
      <c r="QL7" s="169">
        <v>1</v>
      </c>
      <c r="QM7" s="169">
        <v>1</v>
      </c>
      <c r="QN7" s="169"/>
      <c r="QO7" s="169">
        <v>1</v>
      </c>
      <c r="QP7" s="169"/>
      <c r="QQ7" s="169"/>
      <c r="QR7" s="169"/>
      <c r="QS7" s="169">
        <v>1</v>
      </c>
      <c r="QT7" s="169"/>
      <c r="QU7" s="169">
        <v>1</v>
      </c>
      <c r="QV7" s="169"/>
      <c r="QW7" s="169"/>
      <c r="QX7" s="169"/>
      <c r="QY7" s="169">
        <v>1</v>
      </c>
      <c r="QZ7" s="169"/>
      <c r="RA7" s="169"/>
      <c r="RB7" s="169">
        <v>1</v>
      </c>
      <c r="RC7" s="169"/>
      <c r="RD7" s="169">
        <v>1</v>
      </c>
      <c r="RE7" s="169"/>
      <c r="RF7" s="169">
        <v>1</v>
      </c>
      <c r="RG7" s="169"/>
      <c r="RH7" s="169"/>
      <c r="RI7" s="169">
        <v>1</v>
      </c>
      <c r="RJ7" s="169"/>
      <c r="RK7" s="169"/>
      <c r="RL7" s="169"/>
      <c r="RM7" s="169">
        <v>1</v>
      </c>
      <c r="RN7" s="169"/>
      <c r="RO7" s="168">
        <v>530</v>
      </c>
      <c r="RP7" s="168"/>
      <c r="RQ7" s="168">
        <v>92</v>
      </c>
      <c r="RR7" s="168"/>
      <c r="RS7" s="168">
        <v>4</v>
      </c>
      <c r="RT7" s="168">
        <v>20</v>
      </c>
      <c r="RU7" s="170">
        <v>2</v>
      </c>
      <c r="RV7" s="170"/>
      <c r="RW7" s="170">
        <v>2</v>
      </c>
      <c r="RX7" s="170"/>
      <c r="RY7" s="170"/>
      <c r="RZ7" s="170"/>
      <c r="SA7" s="169">
        <v>1</v>
      </c>
      <c r="SB7" s="169"/>
      <c r="SC7" s="169"/>
      <c r="SD7" s="169"/>
      <c r="SE7" s="169">
        <v>1</v>
      </c>
      <c r="SF7" s="169"/>
      <c r="SG7" s="169"/>
      <c r="SH7" s="169"/>
      <c r="SI7" s="169">
        <v>1</v>
      </c>
      <c r="SJ7" s="169"/>
      <c r="SK7" s="169"/>
      <c r="SL7" s="169">
        <v>72</v>
      </c>
      <c r="SM7" s="169"/>
      <c r="SN7" s="169">
        <f>SM7+SL7</f>
        <v>72</v>
      </c>
      <c r="SO7" s="169">
        <v>3</v>
      </c>
      <c r="SP7" s="169">
        <v>3</v>
      </c>
      <c r="SQ7" s="169" t="s">
        <v>469</v>
      </c>
      <c r="SR7" s="169" t="s">
        <v>509</v>
      </c>
      <c r="SS7" s="175">
        <v>7808504400</v>
      </c>
    </row>
    <row r="8" spans="1:513" s="171" customFormat="1" ht="22.5" customHeight="1">
      <c r="A8" s="168" t="s">
        <v>184</v>
      </c>
      <c r="B8" s="168" t="s">
        <v>204</v>
      </c>
      <c r="C8" s="168">
        <v>3</v>
      </c>
      <c r="D8" s="168">
        <v>1400171</v>
      </c>
      <c r="E8" s="168" t="s">
        <v>407</v>
      </c>
      <c r="F8" s="168">
        <v>1</v>
      </c>
      <c r="G8" s="168"/>
      <c r="H8" s="168"/>
      <c r="I8" s="168">
        <v>1</v>
      </c>
      <c r="J8" s="168"/>
      <c r="K8" s="168">
        <v>1</v>
      </c>
      <c r="L8" s="168"/>
      <c r="M8" s="168"/>
      <c r="N8" s="168"/>
      <c r="O8" s="168">
        <v>1</v>
      </c>
      <c r="P8" s="168"/>
      <c r="Q8" s="168">
        <v>1</v>
      </c>
      <c r="R8" s="168"/>
      <c r="S8" s="168"/>
      <c r="T8" s="168"/>
      <c r="U8" s="168"/>
      <c r="V8" s="168">
        <v>81</v>
      </c>
      <c r="W8" s="168"/>
      <c r="X8" s="168">
        <v>59</v>
      </c>
      <c r="Y8" s="168"/>
      <c r="Z8" s="168">
        <v>43</v>
      </c>
      <c r="AA8" s="168"/>
      <c r="AB8" s="168">
        <v>21</v>
      </c>
      <c r="AC8" s="168"/>
      <c r="AD8" s="168">
        <v>11</v>
      </c>
      <c r="AE8" s="168"/>
      <c r="AF8" s="168">
        <f t="shared" si="16"/>
        <v>215</v>
      </c>
      <c r="AG8" s="168">
        <f t="shared" si="16"/>
        <v>0</v>
      </c>
      <c r="AH8" s="168">
        <f>SUM(AF8:AG8)</f>
        <v>215</v>
      </c>
      <c r="AI8" s="168">
        <v>81</v>
      </c>
      <c r="AJ8" s="168"/>
      <c r="AK8" s="168">
        <v>59</v>
      </c>
      <c r="AL8" s="168"/>
      <c r="AM8" s="168">
        <v>43</v>
      </c>
      <c r="AN8" s="168"/>
      <c r="AO8" s="168">
        <v>21</v>
      </c>
      <c r="AP8" s="168"/>
      <c r="AQ8" s="168">
        <v>11</v>
      </c>
      <c r="AR8" s="168"/>
      <c r="AS8" s="168">
        <f t="shared" si="17"/>
        <v>215</v>
      </c>
      <c r="AT8" s="168">
        <f t="shared" si="17"/>
        <v>0</v>
      </c>
      <c r="AU8" s="168">
        <f>SUM(AS8:AT8)</f>
        <v>215</v>
      </c>
      <c r="AV8" s="168">
        <v>53</v>
      </c>
      <c r="AW8" s="168"/>
      <c r="AX8" s="168">
        <v>30</v>
      </c>
      <c r="AY8" s="168"/>
      <c r="AZ8" s="168">
        <v>32</v>
      </c>
      <c r="BA8" s="168"/>
      <c r="BB8" s="168">
        <v>27</v>
      </c>
      <c r="BC8" s="168"/>
      <c r="BD8" s="168">
        <v>7</v>
      </c>
      <c r="BE8" s="168"/>
      <c r="BF8" s="168">
        <f t="shared" si="18"/>
        <v>149</v>
      </c>
      <c r="BG8" s="168">
        <f t="shared" si="18"/>
        <v>0</v>
      </c>
      <c r="BH8" s="168">
        <f>SUM(BF8:BG8)</f>
        <v>149</v>
      </c>
      <c r="BI8" s="168">
        <v>25</v>
      </c>
      <c r="BJ8" s="168"/>
      <c r="BK8" s="168">
        <v>42</v>
      </c>
      <c r="BL8" s="168"/>
      <c r="BM8" s="168">
        <v>29</v>
      </c>
      <c r="BN8" s="168"/>
      <c r="BO8" s="168">
        <v>14</v>
      </c>
      <c r="BP8" s="168"/>
      <c r="BQ8" s="168">
        <v>11</v>
      </c>
      <c r="BR8" s="168"/>
      <c r="BS8" s="168">
        <f t="shared" si="19"/>
        <v>121</v>
      </c>
      <c r="BT8" s="168">
        <f t="shared" si="19"/>
        <v>0</v>
      </c>
      <c r="BU8" s="168">
        <f>SUM(BS8:BT8)</f>
        <v>121</v>
      </c>
      <c r="BV8" s="168">
        <f t="shared" si="0"/>
        <v>81</v>
      </c>
      <c r="BW8" s="168">
        <f t="shared" si="0"/>
        <v>0</v>
      </c>
      <c r="BX8" s="168">
        <f>AV8+AK8</f>
        <v>112</v>
      </c>
      <c r="BY8" s="168">
        <f>AL8+AW8</f>
        <v>0</v>
      </c>
      <c r="BZ8" s="168">
        <f>BI8+AX8+AM8</f>
        <v>98</v>
      </c>
      <c r="CA8" s="168">
        <f>AN8+AY8+BJ8</f>
        <v>0</v>
      </c>
      <c r="CB8" s="168">
        <f>BK8+AZ8+AO8</f>
        <v>95</v>
      </c>
      <c r="CC8" s="168">
        <f>AP8+BA8+BL8</f>
        <v>0</v>
      </c>
      <c r="CD8" s="168">
        <f t="shared" si="1"/>
        <v>67</v>
      </c>
      <c r="CE8" s="168">
        <f t="shared" si="1"/>
        <v>0</v>
      </c>
      <c r="CF8" s="168">
        <f t="shared" si="2"/>
        <v>21</v>
      </c>
      <c r="CG8" s="168">
        <f t="shared" si="2"/>
        <v>0</v>
      </c>
      <c r="CH8" s="168">
        <f t="shared" si="3"/>
        <v>11</v>
      </c>
      <c r="CI8" s="168">
        <f t="shared" si="3"/>
        <v>0</v>
      </c>
      <c r="CJ8" s="168">
        <f t="shared" si="4"/>
        <v>485</v>
      </c>
      <c r="CK8" s="168">
        <f t="shared" si="4"/>
        <v>0</v>
      </c>
      <c r="CL8" s="168">
        <f>SUM(CJ8:CK8)</f>
        <v>485</v>
      </c>
      <c r="CM8" s="168">
        <v>5</v>
      </c>
      <c r="CN8" s="168"/>
      <c r="CO8" s="168"/>
      <c r="CP8" s="168">
        <v>5</v>
      </c>
      <c r="CQ8" s="168"/>
      <c r="CR8" s="168"/>
      <c r="CS8" s="168">
        <v>4</v>
      </c>
      <c r="CT8" s="168"/>
      <c r="CU8" s="168"/>
      <c r="CV8" s="168">
        <f t="shared" si="20"/>
        <v>14</v>
      </c>
      <c r="CW8" s="168">
        <f t="shared" si="20"/>
        <v>0</v>
      </c>
      <c r="CX8" s="168">
        <f t="shared" si="20"/>
        <v>0</v>
      </c>
      <c r="CY8" s="168">
        <f>SUM(CV8:CX8)</f>
        <v>14</v>
      </c>
      <c r="CZ8" s="168">
        <v>4</v>
      </c>
      <c r="DA8" s="168"/>
      <c r="DB8" s="168">
        <v>3</v>
      </c>
      <c r="DC8" s="168"/>
      <c r="DD8" s="168">
        <v>2</v>
      </c>
      <c r="DE8" s="168"/>
      <c r="DF8" s="168">
        <f t="shared" si="21"/>
        <v>9</v>
      </c>
      <c r="DG8" s="168">
        <f t="shared" si="21"/>
        <v>0</v>
      </c>
      <c r="DH8" s="168">
        <f>SUM(DF8:DG8)</f>
        <v>9</v>
      </c>
      <c r="DI8" s="168"/>
      <c r="DJ8" s="168"/>
      <c r="DK8" s="168"/>
      <c r="DL8" s="168"/>
      <c r="DM8" s="168"/>
      <c r="DN8" s="168"/>
      <c r="DO8" s="168">
        <f t="shared" si="5"/>
        <v>0</v>
      </c>
      <c r="DP8" s="168">
        <f t="shared" si="5"/>
        <v>0</v>
      </c>
      <c r="DQ8" s="168">
        <f>SUM(DO8:DP8)</f>
        <v>0</v>
      </c>
      <c r="DR8" s="168">
        <v>143</v>
      </c>
      <c r="DS8" s="168"/>
      <c r="DT8" s="168">
        <v>82</v>
      </c>
      <c r="DU8" s="168"/>
      <c r="DV8" s="168">
        <v>106</v>
      </c>
      <c r="DW8" s="168"/>
      <c r="DX8" s="168">
        <f t="shared" si="22"/>
        <v>331</v>
      </c>
      <c r="DY8" s="168">
        <f t="shared" si="22"/>
        <v>0</v>
      </c>
      <c r="DZ8" s="168">
        <f>SUM(DX8:DY8)</f>
        <v>331</v>
      </c>
      <c r="EA8" s="168">
        <v>24</v>
      </c>
      <c r="EB8" s="168"/>
      <c r="EC8" s="168">
        <v>6</v>
      </c>
      <c r="ED8" s="168"/>
      <c r="EE8" s="168">
        <v>38</v>
      </c>
      <c r="EF8" s="168"/>
      <c r="EG8" s="168">
        <f t="shared" si="23"/>
        <v>68</v>
      </c>
      <c r="EH8" s="168">
        <f t="shared" si="23"/>
        <v>0</v>
      </c>
      <c r="EI8" s="168">
        <f>SUM(EG8:EH8)</f>
        <v>68</v>
      </c>
      <c r="EJ8" s="168">
        <v>5</v>
      </c>
      <c r="EK8" s="168"/>
      <c r="EL8" s="168">
        <v>2</v>
      </c>
      <c r="EM8" s="168"/>
      <c r="EN8" s="168">
        <v>5</v>
      </c>
      <c r="EO8" s="168"/>
      <c r="EP8" s="168">
        <f t="shared" si="24"/>
        <v>12</v>
      </c>
      <c r="EQ8" s="168">
        <f t="shared" si="24"/>
        <v>0</v>
      </c>
      <c r="ER8" s="168">
        <f>SUM(EP8:EQ8)</f>
        <v>12</v>
      </c>
      <c r="ES8" s="168"/>
      <c r="ET8" s="168"/>
      <c r="EU8" s="168"/>
      <c r="EV8" s="168"/>
      <c r="EW8" s="168">
        <v>28</v>
      </c>
      <c r="EX8" s="168"/>
      <c r="EY8" s="168">
        <f t="shared" si="25"/>
        <v>28</v>
      </c>
      <c r="EZ8" s="168">
        <f t="shared" si="26"/>
        <v>0</v>
      </c>
      <c r="FA8" s="168">
        <f t="shared" si="27"/>
        <v>28</v>
      </c>
      <c r="FB8" s="168">
        <v>1</v>
      </c>
      <c r="FC8" s="168"/>
      <c r="FD8" s="168">
        <v>2</v>
      </c>
      <c r="FE8" s="168">
        <v>1</v>
      </c>
      <c r="FF8" s="168">
        <v>10</v>
      </c>
      <c r="FG8" s="168">
        <v>8</v>
      </c>
      <c r="FH8" s="168">
        <v>9</v>
      </c>
      <c r="FI8" s="168">
        <v>7</v>
      </c>
      <c r="FJ8" s="168"/>
      <c r="FK8" s="168"/>
      <c r="FL8" s="168">
        <f t="shared" si="6"/>
        <v>22</v>
      </c>
      <c r="FM8" s="168">
        <f t="shared" si="6"/>
        <v>16</v>
      </c>
      <c r="FN8" s="168">
        <f>SUM(FL8:FM8)</f>
        <v>38</v>
      </c>
      <c r="FO8" s="168">
        <v>2</v>
      </c>
      <c r="FP8" s="168">
        <v>2</v>
      </c>
      <c r="FQ8" s="168"/>
      <c r="FR8" s="168">
        <v>1</v>
      </c>
      <c r="FS8" s="168">
        <v>1</v>
      </c>
      <c r="FT8" s="168"/>
      <c r="FU8" s="168"/>
      <c r="FV8" s="168"/>
      <c r="FW8" s="168"/>
      <c r="FX8" s="168"/>
      <c r="FY8" s="168">
        <v>2</v>
      </c>
      <c r="FZ8" s="168"/>
      <c r="GA8" s="168"/>
      <c r="GB8" s="168"/>
      <c r="GC8" s="168"/>
      <c r="GD8" s="168"/>
      <c r="GE8" s="168"/>
      <c r="GF8" s="168"/>
      <c r="GG8" s="168">
        <f t="shared" si="28"/>
        <v>5</v>
      </c>
      <c r="GH8" s="168">
        <f t="shared" si="29"/>
        <v>3</v>
      </c>
      <c r="GI8" s="168">
        <f>GH8+GG8</f>
        <v>8</v>
      </c>
      <c r="GJ8" s="168"/>
      <c r="GK8" s="168">
        <v>2</v>
      </c>
      <c r="GL8" s="168"/>
      <c r="GM8" s="168">
        <v>1</v>
      </c>
      <c r="GN8" s="168">
        <v>1</v>
      </c>
      <c r="GO8" s="168">
        <v>2</v>
      </c>
      <c r="GP8" s="168"/>
      <c r="GQ8" s="168"/>
      <c r="GR8" s="168">
        <v>1</v>
      </c>
      <c r="GS8" s="168">
        <v>1</v>
      </c>
      <c r="GT8" s="168">
        <v>1</v>
      </c>
      <c r="GU8" s="168"/>
      <c r="GV8" s="168">
        <v>1</v>
      </c>
      <c r="GW8" s="168"/>
      <c r="GX8" s="168"/>
      <c r="GY8" s="168"/>
      <c r="GZ8" s="168"/>
      <c r="HA8" s="168"/>
      <c r="HB8" s="168"/>
      <c r="HC8" s="168"/>
      <c r="HD8" s="168"/>
      <c r="HE8" s="168"/>
      <c r="HF8" s="168">
        <v>1</v>
      </c>
      <c r="HG8" s="168"/>
      <c r="HH8" s="168"/>
      <c r="HI8" s="168"/>
      <c r="HJ8" s="168"/>
      <c r="HK8" s="168"/>
      <c r="HL8" s="168"/>
      <c r="HM8" s="168"/>
      <c r="HN8" s="168"/>
      <c r="HO8" s="168"/>
      <c r="HP8" s="168"/>
      <c r="HQ8" s="168"/>
      <c r="HR8" s="168"/>
      <c r="HS8" s="168"/>
      <c r="HT8" s="168"/>
      <c r="HU8" s="168"/>
      <c r="HV8" s="168"/>
      <c r="HW8" s="168"/>
      <c r="HX8" s="168"/>
      <c r="HY8" s="168"/>
      <c r="HZ8" s="168"/>
      <c r="IA8" s="168"/>
      <c r="IB8" s="168"/>
      <c r="IC8" s="168"/>
      <c r="ID8" s="168"/>
      <c r="IE8" s="168"/>
      <c r="IF8" s="168">
        <v>2</v>
      </c>
      <c r="IG8" s="168">
        <v>2</v>
      </c>
      <c r="IH8" s="168"/>
      <c r="II8" s="168"/>
      <c r="IJ8" s="168"/>
      <c r="IK8" s="168"/>
      <c r="IL8" s="168"/>
      <c r="IM8" s="168"/>
      <c r="IN8" s="168"/>
      <c r="IO8" s="168"/>
      <c r="IP8" s="168"/>
      <c r="IQ8" s="168"/>
      <c r="IR8" s="168"/>
      <c r="IS8" s="168"/>
      <c r="IT8" s="168"/>
      <c r="IU8" s="168"/>
      <c r="IV8" s="168"/>
      <c r="IW8" s="168"/>
      <c r="IX8" s="168"/>
      <c r="IY8" s="168"/>
      <c r="IZ8" s="168"/>
      <c r="JA8" s="168"/>
      <c r="JB8" s="168"/>
      <c r="JC8" s="168"/>
      <c r="JD8" s="168"/>
      <c r="JE8" s="168"/>
      <c r="JF8" s="168"/>
      <c r="JG8" s="168"/>
      <c r="JH8" s="168"/>
      <c r="JI8" s="168"/>
      <c r="JJ8" s="168"/>
      <c r="JK8" s="168"/>
      <c r="JL8" s="168"/>
      <c r="JM8" s="168"/>
      <c r="JN8" s="168"/>
      <c r="JO8" s="168"/>
      <c r="JP8" s="168">
        <v>1</v>
      </c>
      <c r="JQ8" s="168"/>
      <c r="JR8" s="168"/>
      <c r="JS8" s="168"/>
      <c r="JT8" s="168"/>
      <c r="JU8" s="168"/>
      <c r="JV8" s="168"/>
      <c r="JW8" s="168"/>
      <c r="JX8" s="168"/>
      <c r="JY8" s="168"/>
      <c r="JZ8" s="168"/>
      <c r="KA8" s="168"/>
      <c r="KB8" s="168"/>
      <c r="KC8" s="168"/>
      <c r="KD8" s="168"/>
      <c r="KE8" s="168">
        <v>1</v>
      </c>
      <c r="KF8" s="168"/>
      <c r="KG8" s="168"/>
      <c r="KH8" s="168"/>
      <c r="KI8" s="168"/>
      <c r="KJ8" s="168"/>
      <c r="KK8" s="168"/>
      <c r="KL8" s="168"/>
      <c r="KM8" s="168"/>
      <c r="KN8" s="168">
        <v>6</v>
      </c>
      <c r="KO8" s="168">
        <v>2</v>
      </c>
      <c r="KP8" s="168"/>
      <c r="KQ8" s="168"/>
      <c r="KR8" s="168"/>
      <c r="KS8" s="168"/>
      <c r="KT8" s="168">
        <v>8</v>
      </c>
      <c r="KU8" s="168">
        <v>5</v>
      </c>
      <c r="KV8" s="168">
        <f>KT8+KN8+KJ8+KH8+KF8+KD8+KB8+JZ8+JX8+JV8+JT8+JR8+JP8+JN8+JL8+JJ8+JH8+JF8+JD8+JB8+IZ8+IX8+IV8+IT8+IR8+IP8+IN8+IL8+IJ8+IH8+IF8+ID8+IB8+HZ8+HX8+HV8+HT8+HR8+HP8+HN8+HL8+HJ8+HH8+HF8+HD8+HB8+GZ8+GX8+GV8+GT8+GR8+GP8+GN8+GL8+GJ8+KL8</f>
        <v>22</v>
      </c>
      <c r="KW8" s="168">
        <f t="shared" si="30"/>
        <v>16</v>
      </c>
      <c r="KX8" s="168">
        <f>KW8+KV8</f>
        <v>38</v>
      </c>
      <c r="KY8" s="168">
        <v>20</v>
      </c>
      <c r="KZ8" s="168">
        <v>15</v>
      </c>
      <c r="LA8" s="168"/>
      <c r="LB8" s="168"/>
      <c r="LC8" s="168">
        <v>1</v>
      </c>
      <c r="LD8" s="168"/>
      <c r="LE8" s="168"/>
      <c r="LF8" s="168"/>
      <c r="LG8" s="168"/>
      <c r="LH8" s="168"/>
      <c r="LI8" s="168"/>
      <c r="LJ8" s="168"/>
      <c r="LK8" s="168"/>
      <c r="LL8" s="168">
        <v>1</v>
      </c>
      <c r="LM8" s="168"/>
      <c r="LN8" s="168"/>
      <c r="LO8" s="168">
        <v>1</v>
      </c>
      <c r="LP8" s="168"/>
      <c r="LQ8" s="168">
        <f t="shared" si="31"/>
        <v>22</v>
      </c>
      <c r="LR8" s="168">
        <f t="shared" si="32"/>
        <v>16</v>
      </c>
      <c r="LS8" s="168">
        <f>LR8+LQ8</f>
        <v>38</v>
      </c>
      <c r="LT8" s="168">
        <v>1</v>
      </c>
      <c r="LU8" s="168">
        <v>1</v>
      </c>
      <c r="LV8" s="168"/>
      <c r="LW8" s="168"/>
      <c r="LX8" s="168"/>
      <c r="LY8" s="168"/>
      <c r="LZ8" s="168">
        <v>21</v>
      </c>
      <c r="MA8" s="168">
        <v>15</v>
      </c>
      <c r="MB8" s="168">
        <f t="shared" si="7"/>
        <v>22</v>
      </c>
      <c r="MC8" s="168">
        <f t="shared" si="7"/>
        <v>16</v>
      </c>
      <c r="MD8" s="168">
        <f t="shared" si="8"/>
        <v>38</v>
      </c>
      <c r="ME8" s="168"/>
      <c r="MF8" s="168"/>
      <c r="MG8" s="168">
        <v>3</v>
      </c>
      <c r="MH8" s="168">
        <v>2</v>
      </c>
      <c r="MI8" s="168">
        <v>7</v>
      </c>
      <c r="MJ8" s="168">
        <v>1</v>
      </c>
      <c r="MK8" s="168">
        <v>7</v>
      </c>
      <c r="ML8" s="168">
        <v>9</v>
      </c>
      <c r="MM8" s="168">
        <v>5</v>
      </c>
      <c r="MN8" s="168">
        <v>4</v>
      </c>
      <c r="MO8" s="168">
        <f t="shared" si="9"/>
        <v>22</v>
      </c>
      <c r="MP8" s="168">
        <f t="shared" si="10"/>
        <v>16</v>
      </c>
      <c r="MQ8" s="168">
        <f t="shared" si="11"/>
        <v>38</v>
      </c>
      <c r="MR8" s="168"/>
      <c r="MS8" s="168">
        <v>2</v>
      </c>
      <c r="MT8" s="168">
        <v>20</v>
      </c>
      <c r="MU8" s="168">
        <v>12</v>
      </c>
      <c r="MV8" s="168"/>
      <c r="MW8" s="168">
        <v>2</v>
      </c>
      <c r="MX8" s="168">
        <v>2</v>
      </c>
      <c r="MY8" s="168"/>
      <c r="MZ8" s="168">
        <f t="shared" si="12"/>
        <v>22</v>
      </c>
      <c r="NA8" s="168">
        <f t="shared" si="12"/>
        <v>16</v>
      </c>
      <c r="NB8" s="168">
        <f t="shared" si="13"/>
        <v>38</v>
      </c>
      <c r="NC8" s="168"/>
      <c r="ND8" s="168"/>
      <c r="NE8" s="168"/>
      <c r="NF8" s="168"/>
      <c r="NG8" s="168"/>
      <c r="NH8" s="168"/>
      <c r="NI8" s="168">
        <v>9</v>
      </c>
      <c r="NJ8" s="168">
        <v>6</v>
      </c>
      <c r="NK8" s="168">
        <v>8</v>
      </c>
      <c r="NL8" s="168">
        <v>4</v>
      </c>
      <c r="NM8" s="168">
        <v>3</v>
      </c>
      <c r="NN8" s="168">
        <v>5</v>
      </c>
      <c r="NO8" s="168"/>
      <c r="NP8" s="168"/>
      <c r="NQ8" s="168">
        <v>2</v>
      </c>
      <c r="NR8" s="168">
        <v>1</v>
      </c>
      <c r="NS8" s="168"/>
      <c r="NT8" s="168"/>
      <c r="NU8" s="168"/>
      <c r="NV8" s="168"/>
      <c r="NW8" s="168">
        <f t="shared" si="14"/>
        <v>22</v>
      </c>
      <c r="NX8" s="168">
        <f t="shared" si="14"/>
        <v>16</v>
      </c>
      <c r="NY8" s="168">
        <f>NX8+NW8</f>
        <v>38</v>
      </c>
      <c r="NZ8" s="168"/>
      <c r="OA8" s="168"/>
      <c r="OB8" s="168"/>
      <c r="OC8" s="168"/>
      <c r="OD8" s="168"/>
      <c r="OE8" s="168"/>
      <c r="OF8" s="168">
        <f t="shared" si="15"/>
        <v>0</v>
      </c>
      <c r="OG8" s="168">
        <f t="shared" si="15"/>
        <v>0</v>
      </c>
      <c r="OH8" s="168">
        <f>OG8+OF8</f>
        <v>0</v>
      </c>
      <c r="OI8" s="168"/>
      <c r="OJ8" s="168">
        <v>1</v>
      </c>
      <c r="OK8" s="168">
        <v>1</v>
      </c>
      <c r="OL8" s="168"/>
      <c r="OM8" s="168"/>
      <c r="ON8" s="168">
        <v>1</v>
      </c>
      <c r="OO8" s="168"/>
      <c r="OP8" s="168">
        <v>1</v>
      </c>
      <c r="OQ8" s="168"/>
      <c r="OR8" s="168"/>
      <c r="OS8" s="168"/>
      <c r="OT8" s="168"/>
      <c r="OU8" s="169">
        <v>1</v>
      </c>
      <c r="OV8" s="169"/>
      <c r="OW8" s="169">
        <v>1975</v>
      </c>
      <c r="OX8" s="169" t="s">
        <v>412</v>
      </c>
      <c r="OY8" s="169">
        <v>2</v>
      </c>
      <c r="OZ8" s="169"/>
      <c r="PA8" s="169">
        <v>1</v>
      </c>
      <c r="PB8" s="169"/>
      <c r="PC8" s="169">
        <v>1</v>
      </c>
      <c r="PD8" s="169"/>
      <c r="PE8" s="169"/>
      <c r="PF8" s="169"/>
      <c r="PG8" s="169"/>
      <c r="PH8" s="169"/>
      <c r="PI8" s="169">
        <v>1</v>
      </c>
      <c r="PJ8" s="169">
        <v>1</v>
      </c>
      <c r="PK8" s="169"/>
      <c r="PL8" s="169">
        <v>6</v>
      </c>
      <c r="PM8" s="169">
        <v>24</v>
      </c>
      <c r="PN8" s="169">
        <v>4</v>
      </c>
      <c r="PO8" s="169">
        <f>PN8+PM8</f>
        <v>28</v>
      </c>
      <c r="PP8" s="169">
        <v>1</v>
      </c>
      <c r="PQ8" s="169"/>
      <c r="PR8" s="169"/>
      <c r="PS8" s="169"/>
      <c r="PT8" s="169"/>
      <c r="PU8" s="169"/>
      <c r="PV8" s="169">
        <v>1</v>
      </c>
      <c r="PW8" s="169"/>
      <c r="PX8" s="169"/>
      <c r="PY8" s="169">
        <v>1</v>
      </c>
      <c r="PZ8" s="169"/>
      <c r="QA8" s="169">
        <v>1</v>
      </c>
      <c r="QB8" s="169">
        <v>1</v>
      </c>
      <c r="QC8" s="169"/>
      <c r="QD8" s="169">
        <v>1</v>
      </c>
      <c r="QE8" s="169"/>
      <c r="QF8" s="169"/>
      <c r="QG8" s="169"/>
      <c r="QH8" s="169"/>
      <c r="QI8" s="169">
        <v>1</v>
      </c>
      <c r="QJ8" s="169"/>
      <c r="QK8" s="169">
        <v>1</v>
      </c>
      <c r="QL8" s="169"/>
      <c r="QM8" s="169">
        <v>1</v>
      </c>
      <c r="QN8" s="169"/>
      <c r="QO8" s="169">
        <v>1</v>
      </c>
      <c r="QP8" s="169"/>
      <c r="QQ8" s="169"/>
      <c r="QR8" s="169">
        <v>1</v>
      </c>
      <c r="QS8" s="169"/>
      <c r="QT8" s="169"/>
      <c r="QU8" s="169">
        <v>1</v>
      </c>
      <c r="QV8" s="169"/>
      <c r="QW8" s="169"/>
      <c r="QX8" s="169"/>
      <c r="QY8" s="169">
        <v>1</v>
      </c>
      <c r="QZ8" s="169"/>
      <c r="RA8" s="169"/>
      <c r="RB8" s="169">
        <v>1</v>
      </c>
      <c r="RC8" s="169"/>
      <c r="RD8" s="169">
        <v>1</v>
      </c>
      <c r="RE8" s="169"/>
      <c r="RF8" s="169">
        <v>1</v>
      </c>
      <c r="RG8" s="169"/>
      <c r="RH8" s="169"/>
      <c r="RI8" s="169">
        <v>1</v>
      </c>
      <c r="RJ8" s="169"/>
      <c r="RK8" s="169"/>
      <c r="RL8" s="169">
        <v>1</v>
      </c>
      <c r="RM8" s="169"/>
      <c r="RN8" s="169"/>
      <c r="RO8" s="168">
        <v>316</v>
      </c>
      <c r="RP8" s="168"/>
      <c r="RQ8" s="168">
        <v>375</v>
      </c>
      <c r="RR8" s="168"/>
      <c r="RS8" s="168">
        <v>10</v>
      </c>
      <c r="RT8" s="168">
        <v>20</v>
      </c>
      <c r="RU8" s="170">
        <v>15</v>
      </c>
      <c r="RV8" s="170">
        <v>15</v>
      </c>
      <c r="RW8" s="170">
        <v>1</v>
      </c>
      <c r="RX8" s="170"/>
      <c r="RY8" s="170"/>
      <c r="RZ8" s="170"/>
      <c r="SA8" s="169"/>
      <c r="SB8" s="169">
        <v>1</v>
      </c>
      <c r="SC8" s="169"/>
      <c r="SD8" s="169"/>
      <c r="SE8" s="169"/>
      <c r="SF8" s="169"/>
      <c r="SG8" s="169"/>
      <c r="SH8" s="169"/>
      <c r="SI8" s="169"/>
      <c r="SJ8" s="169"/>
      <c r="SK8" s="169"/>
      <c r="SL8" s="169"/>
      <c r="SM8" s="169"/>
      <c r="SN8" s="169">
        <f>SM8+SL8</f>
        <v>0</v>
      </c>
      <c r="SO8" s="169">
        <v>3</v>
      </c>
      <c r="SP8" s="169">
        <v>3</v>
      </c>
      <c r="SQ8" s="169" t="s">
        <v>468</v>
      </c>
      <c r="SR8" s="169" t="s">
        <v>500</v>
      </c>
      <c r="SS8" s="175">
        <v>7800070051</v>
      </c>
    </row>
    <row r="9" spans="1:513" s="171" customFormat="1" ht="22.5" customHeight="1">
      <c r="A9" s="168" t="s">
        <v>184</v>
      </c>
      <c r="B9" s="168" t="s">
        <v>204</v>
      </c>
      <c r="C9" s="168">
        <v>4</v>
      </c>
      <c r="D9" s="168">
        <v>1400172</v>
      </c>
      <c r="E9" s="168" t="s">
        <v>205</v>
      </c>
      <c r="F9" s="168"/>
      <c r="G9" s="168">
        <v>1</v>
      </c>
      <c r="H9" s="168"/>
      <c r="I9" s="168">
        <v>1</v>
      </c>
      <c r="J9" s="168"/>
      <c r="K9" s="168">
        <v>1</v>
      </c>
      <c r="L9" s="168"/>
      <c r="M9" s="168"/>
      <c r="N9" s="168"/>
      <c r="O9" s="168">
        <v>1</v>
      </c>
      <c r="P9" s="168"/>
      <c r="Q9" s="168">
        <v>1</v>
      </c>
      <c r="R9" s="168"/>
      <c r="S9" s="168"/>
      <c r="T9" s="168"/>
      <c r="U9" s="168"/>
      <c r="V9" s="168"/>
      <c r="W9" s="168">
        <v>77</v>
      </c>
      <c r="X9" s="168"/>
      <c r="Y9" s="168">
        <v>64</v>
      </c>
      <c r="Z9" s="168"/>
      <c r="AA9" s="168">
        <v>56</v>
      </c>
      <c r="AB9" s="168"/>
      <c r="AC9" s="168">
        <v>23</v>
      </c>
      <c r="AD9" s="168"/>
      <c r="AE9" s="168">
        <v>29</v>
      </c>
      <c r="AF9" s="168">
        <f t="shared" si="16"/>
        <v>0</v>
      </c>
      <c r="AG9" s="168">
        <f t="shared" si="16"/>
        <v>249</v>
      </c>
      <c r="AH9" s="168">
        <f>SUM(AF9:AG9)</f>
        <v>249</v>
      </c>
      <c r="AI9" s="168"/>
      <c r="AJ9" s="168">
        <v>77</v>
      </c>
      <c r="AK9" s="168"/>
      <c r="AL9" s="168">
        <v>64</v>
      </c>
      <c r="AM9" s="168"/>
      <c r="AN9" s="168">
        <v>56</v>
      </c>
      <c r="AO9" s="168"/>
      <c r="AP9" s="168">
        <v>23</v>
      </c>
      <c r="AQ9" s="168"/>
      <c r="AR9" s="168">
        <v>29</v>
      </c>
      <c r="AS9" s="168">
        <f t="shared" si="17"/>
        <v>0</v>
      </c>
      <c r="AT9" s="168">
        <f t="shared" si="17"/>
        <v>249</v>
      </c>
      <c r="AU9" s="168">
        <f>SUM(AS9:AT9)</f>
        <v>249</v>
      </c>
      <c r="AV9" s="168"/>
      <c r="AW9" s="168">
        <v>46</v>
      </c>
      <c r="AX9" s="168"/>
      <c r="AY9" s="168">
        <v>23</v>
      </c>
      <c r="AZ9" s="168"/>
      <c r="BA9" s="168">
        <v>29</v>
      </c>
      <c r="BB9" s="168"/>
      <c r="BC9" s="168">
        <v>15</v>
      </c>
      <c r="BD9" s="168"/>
      <c r="BE9" s="168">
        <v>29</v>
      </c>
      <c r="BF9" s="168">
        <f t="shared" si="18"/>
        <v>0</v>
      </c>
      <c r="BG9" s="168">
        <f t="shared" si="18"/>
        <v>142</v>
      </c>
      <c r="BH9" s="168">
        <f>SUM(BF9:BG9)</f>
        <v>142</v>
      </c>
      <c r="BI9" s="168"/>
      <c r="BJ9" s="168">
        <v>31</v>
      </c>
      <c r="BK9" s="168"/>
      <c r="BL9" s="168">
        <v>22</v>
      </c>
      <c r="BM9" s="168"/>
      <c r="BN9" s="168">
        <v>28</v>
      </c>
      <c r="BO9" s="168"/>
      <c r="BP9" s="168">
        <v>15</v>
      </c>
      <c r="BQ9" s="168"/>
      <c r="BR9" s="168">
        <v>29</v>
      </c>
      <c r="BS9" s="168">
        <f t="shared" si="19"/>
        <v>0</v>
      </c>
      <c r="BT9" s="168">
        <f t="shared" si="19"/>
        <v>125</v>
      </c>
      <c r="BU9" s="168">
        <f>SUM(BS9:BT9)</f>
        <v>125</v>
      </c>
      <c r="BV9" s="168">
        <f>AI9</f>
        <v>0</v>
      </c>
      <c r="BW9" s="168">
        <f>AJ9</f>
        <v>77</v>
      </c>
      <c r="BX9" s="168">
        <f>AV9+AK9</f>
        <v>0</v>
      </c>
      <c r="BY9" s="168">
        <f>AL9+AW9</f>
        <v>110</v>
      </c>
      <c r="BZ9" s="168">
        <f>BI9+AX9+AM9</f>
        <v>0</v>
      </c>
      <c r="CA9" s="168">
        <f>AN9+AY9+BJ9</f>
        <v>110</v>
      </c>
      <c r="CB9" s="168">
        <f>BK9+AZ9+AO9</f>
        <v>0</v>
      </c>
      <c r="CC9" s="168">
        <f>AP9+BA9+BL9</f>
        <v>74</v>
      </c>
      <c r="CD9" s="168">
        <f t="shared" si="1"/>
        <v>0</v>
      </c>
      <c r="CE9" s="168">
        <f t="shared" si="1"/>
        <v>72</v>
      </c>
      <c r="CF9" s="168">
        <f t="shared" si="2"/>
        <v>0</v>
      </c>
      <c r="CG9" s="168">
        <f t="shared" si="2"/>
        <v>44</v>
      </c>
      <c r="CH9" s="168">
        <f t="shared" si="3"/>
        <v>0</v>
      </c>
      <c r="CI9" s="168">
        <f t="shared" si="3"/>
        <v>29</v>
      </c>
      <c r="CJ9" s="168">
        <f>BV9+BX9+BZ9+CB9+CD9+CF9+CH9</f>
        <v>0</v>
      </c>
      <c r="CK9" s="168">
        <f>BW9+BY9+CA9+CC9+CE9+CG9+CI9</f>
        <v>516</v>
      </c>
      <c r="CL9" s="168">
        <f>SUM(CJ9:CK9)</f>
        <v>516</v>
      </c>
      <c r="CM9" s="168"/>
      <c r="CN9" s="168">
        <v>7</v>
      </c>
      <c r="CO9" s="168"/>
      <c r="CP9" s="168"/>
      <c r="CQ9" s="168">
        <v>4</v>
      </c>
      <c r="CR9" s="168"/>
      <c r="CS9" s="168"/>
      <c r="CT9" s="168">
        <v>3</v>
      </c>
      <c r="CU9" s="168"/>
      <c r="CV9" s="168">
        <f t="shared" si="20"/>
        <v>0</v>
      </c>
      <c r="CW9" s="168">
        <f t="shared" si="20"/>
        <v>14</v>
      </c>
      <c r="CX9" s="168">
        <f t="shared" si="20"/>
        <v>0</v>
      </c>
      <c r="CY9" s="168">
        <f>SUM(CV9:CX9)</f>
        <v>14</v>
      </c>
      <c r="CZ9" s="168"/>
      <c r="DA9" s="168">
        <v>1</v>
      </c>
      <c r="DB9" s="168"/>
      <c r="DC9" s="168">
        <v>4</v>
      </c>
      <c r="DD9" s="168"/>
      <c r="DE9" s="168">
        <v>1</v>
      </c>
      <c r="DF9" s="168">
        <f t="shared" si="21"/>
        <v>0</v>
      </c>
      <c r="DG9" s="168">
        <f t="shared" si="21"/>
        <v>6</v>
      </c>
      <c r="DH9" s="168">
        <f>SUM(DF9:DG9)</f>
        <v>6</v>
      </c>
      <c r="DI9" s="168"/>
      <c r="DJ9" s="168"/>
      <c r="DK9" s="168"/>
      <c r="DL9" s="168"/>
      <c r="DM9" s="168"/>
      <c r="DN9" s="168"/>
      <c r="DO9" s="168">
        <f t="shared" si="5"/>
        <v>0</v>
      </c>
      <c r="DP9" s="168">
        <f t="shared" si="5"/>
        <v>0</v>
      </c>
      <c r="DQ9" s="168">
        <f>SUM(DO9:DP9)</f>
        <v>0</v>
      </c>
      <c r="DR9" s="168"/>
      <c r="DS9" s="168">
        <v>137</v>
      </c>
      <c r="DT9" s="168"/>
      <c r="DU9" s="168">
        <v>116</v>
      </c>
      <c r="DV9" s="168"/>
      <c r="DW9" s="168">
        <v>102</v>
      </c>
      <c r="DX9" s="168">
        <f t="shared" si="22"/>
        <v>0</v>
      </c>
      <c r="DY9" s="168">
        <f t="shared" si="22"/>
        <v>355</v>
      </c>
      <c r="DZ9" s="168">
        <f>SUM(DX9:DY9)</f>
        <v>355</v>
      </c>
      <c r="EA9" s="168"/>
      <c r="EB9" s="168">
        <v>3</v>
      </c>
      <c r="EC9" s="168"/>
      <c r="ED9" s="168">
        <v>2</v>
      </c>
      <c r="EE9" s="168"/>
      <c r="EF9" s="168">
        <v>8</v>
      </c>
      <c r="EG9" s="168">
        <f t="shared" si="23"/>
        <v>0</v>
      </c>
      <c r="EH9" s="168">
        <f t="shared" si="23"/>
        <v>13</v>
      </c>
      <c r="EI9" s="168">
        <f>SUM(EG9:EH9)</f>
        <v>13</v>
      </c>
      <c r="EJ9" s="168"/>
      <c r="EK9" s="168">
        <v>3</v>
      </c>
      <c r="EL9" s="168"/>
      <c r="EM9" s="168">
        <v>2</v>
      </c>
      <c r="EN9" s="168"/>
      <c r="EO9" s="168"/>
      <c r="EP9" s="168">
        <f t="shared" si="24"/>
        <v>0</v>
      </c>
      <c r="EQ9" s="168">
        <f t="shared" si="24"/>
        <v>5</v>
      </c>
      <c r="ER9" s="168">
        <f>SUM(EP9:EQ9)</f>
        <v>5</v>
      </c>
      <c r="ES9" s="168"/>
      <c r="ET9" s="168"/>
      <c r="EU9" s="168"/>
      <c r="EV9" s="168"/>
      <c r="EW9" s="168"/>
      <c r="EX9" s="168">
        <v>1</v>
      </c>
      <c r="EY9" s="168">
        <f t="shared" si="25"/>
        <v>0</v>
      </c>
      <c r="EZ9" s="168">
        <f t="shared" si="26"/>
        <v>1</v>
      </c>
      <c r="FA9" s="168">
        <f t="shared" si="27"/>
        <v>1</v>
      </c>
      <c r="FB9" s="168"/>
      <c r="FC9" s="168">
        <v>1</v>
      </c>
      <c r="FD9" s="168"/>
      <c r="FE9" s="168">
        <v>3</v>
      </c>
      <c r="FF9" s="168"/>
      <c r="FG9" s="168">
        <v>34</v>
      </c>
      <c r="FH9" s="168"/>
      <c r="FI9" s="168">
        <v>23</v>
      </c>
      <c r="FJ9" s="168"/>
      <c r="FK9" s="168"/>
      <c r="FL9" s="168">
        <f t="shared" si="6"/>
        <v>0</v>
      </c>
      <c r="FM9" s="168">
        <f t="shared" si="6"/>
        <v>61</v>
      </c>
      <c r="FN9" s="168">
        <f>SUM(FL9:FM9)</f>
        <v>61</v>
      </c>
      <c r="FO9" s="168">
        <v>1</v>
      </c>
      <c r="FP9" s="168">
        <v>4</v>
      </c>
      <c r="FQ9" s="168"/>
      <c r="FR9" s="168">
        <v>1</v>
      </c>
      <c r="FS9" s="168"/>
      <c r="FT9" s="168"/>
      <c r="FU9" s="168"/>
      <c r="FV9" s="168"/>
      <c r="FW9" s="168"/>
      <c r="FX9" s="168">
        <v>1</v>
      </c>
      <c r="FY9" s="168"/>
      <c r="FZ9" s="168"/>
      <c r="GA9" s="168"/>
      <c r="GB9" s="168"/>
      <c r="GC9" s="168"/>
      <c r="GD9" s="168"/>
      <c r="GE9" s="168"/>
      <c r="GF9" s="168"/>
      <c r="GG9" s="168">
        <f t="shared" si="28"/>
        <v>1</v>
      </c>
      <c r="GH9" s="168">
        <f t="shared" si="29"/>
        <v>6</v>
      </c>
      <c r="GI9" s="168">
        <f>GH9+GG9</f>
        <v>7</v>
      </c>
      <c r="GJ9" s="168"/>
      <c r="GK9" s="168">
        <v>5</v>
      </c>
      <c r="GL9" s="168"/>
      <c r="GM9" s="168">
        <v>4</v>
      </c>
      <c r="GN9" s="168"/>
      <c r="GO9" s="168">
        <v>1</v>
      </c>
      <c r="GP9" s="168"/>
      <c r="GQ9" s="168"/>
      <c r="GR9" s="168"/>
      <c r="GS9" s="168">
        <v>3</v>
      </c>
      <c r="GT9" s="168"/>
      <c r="GU9" s="168">
        <v>3</v>
      </c>
      <c r="GV9" s="168"/>
      <c r="GW9" s="168"/>
      <c r="GX9" s="168"/>
      <c r="GY9" s="168"/>
      <c r="GZ9" s="168"/>
      <c r="HA9" s="168"/>
      <c r="HB9" s="168"/>
      <c r="HC9" s="168"/>
      <c r="HD9" s="168"/>
      <c r="HE9" s="168"/>
      <c r="HF9" s="168"/>
      <c r="HG9" s="168">
        <v>1</v>
      </c>
      <c r="HH9" s="168"/>
      <c r="HI9" s="168">
        <v>2</v>
      </c>
      <c r="HJ9" s="168"/>
      <c r="HK9" s="168"/>
      <c r="HL9" s="168"/>
      <c r="HM9" s="168"/>
      <c r="HN9" s="168"/>
      <c r="HO9" s="168"/>
      <c r="HP9" s="168"/>
      <c r="HQ9" s="168"/>
      <c r="HR9" s="168"/>
      <c r="HS9" s="168"/>
      <c r="HT9" s="168"/>
      <c r="HU9" s="168"/>
      <c r="HV9" s="168"/>
      <c r="HW9" s="168"/>
      <c r="HX9" s="168"/>
      <c r="HY9" s="168"/>
      <c r="HZ9" s="168"/>
      <c r="IA9" s="168"/>
      <c r="IB9" s="168"/>
      <c r="IC9" s="168"/>
      <c r="ID9" s="168"/>
      <c r="IE9" s="168"/>
      <c r="IF9" s="168"/>
      <c r="IG9" s="168">
        <v>7</v>
      </c>
      <c r="IH9" s="168"/>
      <c r="II9" s="168">
        <v>1</v>
      </c>
      <c r="IJ9" s="168"/>
      <c r="IK9" s="168"/>
      <c r="IL9" s="168"/>
      <c r="IM9" s="168"/>
      <c r="IN9" s="168"/>
      <c r="IO9" s="168">
        <v>2</v>
      </c>
      <c r="IP9" s="168"/>
      <c r="IQ9" s="168"/>
      <c r="IR9" s="168"/>
      <c r="IS9" s="168"/>
      <c r="IT9" s="168"/>
      <c r="IU9" s="168"/>
      <c r="IV9" s="168"/>
      <c r="IW9" s="168"/>
      <c r="IX9" s="168"/>
      <c r="IY9" s="168"/>
      <c r="IZ9" s="168"/>
      <c r="JA9" s="168"/>
      <c r="JB9" s="168"/>
      <c r="JC9" s="168">
        <v>3</v>
      </c>
      <c r="JD9" s="168"/>
      <c r="JE9" s="168"/>
      <c r="JF9" s="168"/>
      <c r="JG9" s="168"/>
      <c r="JH9" s="168"/>
      <c r="JI9" s="168"/>
      <c r="JJ9" s="168"/>
      <c r="JK9" s="168"/>
      <c r="JL9" s="168"/>
      <c r="JM9" s="168"/>
      <c r="JN9" s="168"/>
      <c r="JO9" s="168"/>
      <c r="JP9" s="168"/>
      <c r="JQ9" s="168"/>
      <c r="JR9" s="168"/>
      <c r="JS9" s="168"/>
      <c r="JT9" s="168"/>
      <c r="JU9" s="168"/>
      <c r="JV9" s="168"/>
      <c r="JW9" s="168"/>
      <c r="JX9" s="168"/>
      <c r="JY9" s="168"/>
      <c r="JZ9" s="168"/>
      <c r="KA9" s="168"/>
      <c r="KB9" s="168"/>
      <c r="KC9" s="168"/>
      <c r="KD9" s="168"/>
      <c r="KE9" s="168"/>
      <c r="KF9" s="168"/>
      <c r="KG9" s="168"/>
      <c r="KH9" s="168"/>
      <c r="KI9" s="168"/>
      <c r="KJ9" s="168"/>
      <c r="KK9" s="168"/>
      <c r="KL9" s="168"/>
      <c r="KM9" s="168"/>
      <c r="KN9" s="168"/>
      <c r="KO9" s="168">
        <v>17</v>
      </c>
      <c r="KP9" s="168"/>
      <c r="KQ9" s="168"/>
      <c r="KR9" s="168"/>
      <c r="KS9" s="168"/>
      <c r="KT9" s="168"/>
      <c r="KU9" s="168">
        <v>12</v>
      </c>
      <c r="KV9" s="168">
        <f>KT9+KN9+KJ9+KH9+KF9+KD9+KB9+JZ9+JX9+JV9+JT9+JR9+JP9+JN9+JL9+JJ9+JH9+JF9+JD9+JB9+IZ9+IX9+IV9+IT9+IR9+IP9+IN9+IL9+IJ9+IH9+IF9+ID9+IB9+HZ9+HX9+HV9+HT9+HR9+HP9+HN9+HL9+HJ9+HH9+HF9+HD9+HB9+GZ9+GX9+GV9+GT9+GR9+GP9+GN9+GL9+GJ9</f>
        <v>0</v>
      </c>
      <c r="KW9" s="168">
        <f>KU9+KO9+KK9+KI9+KG9+KE9+KC9+KA9+JY9+JW9+JU9+JS9+JQ9+JO9+JM9+JK9+JI9+JG9+JE9+JC9+JA9+IY9+IW9+IU9+IS9+IQ9+IO9+IM9+IK9+II9+IG9+IE9+IC9+IA9+HY9+HW9+HU9+HS9+HQ9+HO9+HM9+HK9+HI9+HG9+HE9+HC9+HA9+GY9+GW9+GU9+GS9+GQ9+GO9+GM9+GK9</f>
        <v>61</v>
      </c>
      <c r="KX9" s="168">
        <f>KW9+KV9</f>
        <v>61</v>
      </c>
      <c r="KY9" s="168"/>
      <c r="KZ9" s="168">
        <v>57</v>
      </c>
      <c r="LA9" s="168"/>
      <c r="LB9" s="168"/>
      <c r="LC9" s="168"/>
      <c r="LD9" s="168"/>
      <c r="LE9" s="168"/>
      <c r="LF9" s="168"/>
      <c r="LG9" s="168"/>
      <c r="LH9" s="168"/>
      <c r="LI9" s="168"/>
      <c r="LJ9" s="168">
        <v>3</v>
      </c>
      <c r="LK9" s="168"/>
      <c r="LL9" s="168"/>
      <c r="LM9" s="168"/>
      <c r="LN9" s="168"/>
      <c r="LO9" s="168"/>
      <c r="LP9" s="168">
        <v>1</v>
      </c>
      <c r="LQ9" s="168">
        <f t="shared" si="31"/>
        <v>0</v>
      </c>
      <c r="LR9" s="168">
        <f t="shared" si="32"/>
        <v>61</v>
      </c>
      <c r="LS9" s="168">
        <f>LR9+LQ9</f>
        <v>61</v>
      </c>
      <c r="LT9" s="168"/>
      <c r="LU9" s="168">
        <v>4</v>
      </c>
      <c r="LV9" s="168"/>
      <c r="LW9" s="168">
        <v>4</v>
      </c>
      <c r="LX9" s="168"/>
      <c r="LY9" s="168">
        <v>3</v>
      </c>
      <c r="LZ9" s="168"/>
      <c r="MA9" s="168">
        <v>50</v>
      </c>
      <c r="MB9" s="168">
        <f t="shared" si="7"/>
        <v>0</v>
      </c>
      <c r="MC9" s="168">
        <f t="shared" si="7"/>
        <v>61</v>
      </c>
      <c r="MD9" s="168">
        <f t="shared" si="8"/>
        <v>61</v>
      </c>
      <c r="ME9" s="168"/>
      <c r="MF9" s="168">
        <v>2</v>
      </c>
      <c r="MG9" s="168"/>
      <c r="MH9" s="168">
        <v>8</v>
      </c>
      <c r="MI9" s="168"/>
      <c r="MJ9" s="168">
        <v>22</v>
      </c>
      <c r="MK9" s="168"/>
      <c r="ML9" s="168">
        <v>27</v>
      </c>
      <c r="MM9" s="168"/>
      <c r="MN9" s="168">
        <v>2</v>
      </c>
      <c r="MO9" s="168">
        <f t="shared" si="9"/>
        <v>0</v>
      </c>
      <c r="MP9" s="168">
        <f t="shared" si="10"/>
        <v>61</v>
      </c>
      <c r="MQ9" s="168">
        <f t="shared" si="11"/>
        <v>61</v>
      </c>
      <c r="MR9" s="168"/>
      <c r="MS9" s="168">
        <v>12</v>
      </c>
      <c r="MT9" s="168"/>
      <c r="MU9" s="168">
        <v>48</v>
      </c>
      <c r="MV9" s="168"/>
      <c r="MW9" s="168">
        <v>1</v>
      </c>
      <c r="MX9" s="168"/>
      <c r="MY9" s="168"/>
      <c r="MZ9" s="168">
        <f t="shared" si="12"/>
        <v>0</v>
      </c>
      <c r="NA9" s="168">
        <f t="shared" si="12"/>
        <v>61</v>
      </c>
      <c r="NB9" s="168">
        <f t="shared" si="13"/>
        <v>61</v>
      </c>
      <c r="NC9" s="168"/>
      <c r="ND9" s="168">
        <v>2</v>
      </c>
      <c r="NE9" s="168"/>
      <c r="NF9" s="168"/>
      <c r="NG9" s="168"/>
      <c r="NH9" s="168">
        <v>2</v>
      </c>
      <c r="NI9" s="168"/>
      <c r="NJ9" s="168">
        <v>15</v>
      </c>
      <c r="NK9" s="168"/>
      <c r="NL9" s="168">
        <v>17</v>
      </c>
      <c r="NM9" s="168"/>
      <c r="NN9" s="168">
        <v>24</v>
      </c>
      <c r="NO9" s="168"/>
      <c r="NP9" s="168"/>
      <c r="NQ9" s="168"/>
      <c r="NR9" s="168">
        <v>3</v>
      </c>
      <c r="NS9" s="168"/>
      <c r="NT9" s="168"/>
      <c r="NU9" s="168"/>
      <c r="NV9" s="168"/>
      <c r="NW9" s="168">
        <f t="shared" si="14"/>
        <v>0</v>
      </c>
      <c r="NX9" s="168">
        <f t="shared" si="14"/>
        <v>61</v>
      </c>
      <c r="NY9" s="168">
        <f>NX9+NW9</f>
        <v>61</v>
      </c>
      <c r="NZ9" s="168"/>
      <c r="OA9" s="168"/>
      <c r="OB9" s="168"/>
      <c r="OC9" s="168"/>
      <c r="OD9" s="168"/>
      <c r="OE9" s="168"/>
      <c r="OF9" s="168">
        <f t="shared" si="15"/>
        <v>0</v>
      </c>
      <c r="OG9" s="168">
        <f t="shared" si="15"/>
        <v>0</v>
      </c>
      <c r="OH9" s="168">
        <f>OG9+OF9</f>
        <v>0</v>
      </c>
      <c r="OI9" s="168"/>
      <c r="OJ9" s="168">
        <v>1</v>
      </c>
      <c r="OK9" s="168">
        <v>1</v>
      </c>
      <c r="OL9" s="168"/>
      <c r="OM9" s="168"/>
      <c r="ON9" s="168">
        <v>1</v>
      </c>
      <c r="OO9" s="168"/>
      <c r="OP9" s="168">
        <v>1</v>
      </c>
      <c r="OQ9" s="168"/>
      <c r="OR9" s="168"/>
      <c r="OS9" s="168"/>
      <c r="OT9" s="168"/>
      <c r="OU9" s="169">
        <v>1</v>
      </c>
      <c r="OV9" s="169"/>
      <c r="OW9" s="169">
        <v>1979</v>
      </c>
      <c r="OX9" s="169" t="s">
        <v>399</v>
      </c>
      <c r="OY9" s="169">
        <v>2</v>
      </c>
      <c r="OZ9" s="169"/>
      <c r="PA9" s="169">
        <v>1</v>
      </c>
      <c r="PB9" s="169"/>
      <c r="PC9" s="169">
        <v>1</v>
      </c>
      <c r="PD9" s="169"/>
      <c r="PE9" s="169"/>
      <c r="PF9" s="169"/>
      <c r="PG9" s="169"/>
      <c r="PH9" s="169">
        <v>1</v>
      </c>
      <c r="PI9" s="169"/>
      <c r="PJ9" s="169">
        <v>1</v>
      </c>
      <c r="PK9" s="169"/>
      <c r="PL9" s="169">
        <v>6</v>
      </c>
      <c r="PM9" s="169">
        <v>18</v>
      </c>
      <c r="PN9" s="169">
        <v>13</v>
      </c>
      <c r="PO9" s="169">
        <f>PN9+PM9</f>
        <v>31</v>
      </c>
      <c r="PP9" s="169">
        <v>1</v>
      </c>
      <c r="PQ9" s="169"/>
      <c r="PR9" s="169"/>
      <c r="PS9" s="169"/>
      <c r="PT9" s="169"/>
      <c r="PU9" s="169"/>
      <c r="PV9" s="169">
        <v>1</v>
      </c>
      <c r="PW9" s="169"/>
      <c r="PX9" s="169">
        <v>1</v>
      </c>
      <c r="PY9" s="169"/>
      <c r="PZ9" s="169"/>
      <c r="QA9" s="169">
        <v>1</v>
      </c>
      <c r="QB9" s="169">
        <v>1</v>
      </c>
      <c r="QC9" s="169"/>
      <c r="QD9" s="169">
        <v>1</v>
      </c>
      <c r="QE9" s="169"/>
      <c r="QF9" s="169"/>
      <c r="QG9" s="169"/>
      <c r="QH9" s="169"/>
      <c r="QI9" s="169">
        <v>1</v>
      </c>
      <c r="QJ9" s="169"/>
      <c r="QK9" s="169">
        <v>1</v>
      </c>
      <c r="QL9" s="169"/>
      <c r="QM9" s="169">
        <v>1</v>
      </c>
      <c r="QN9" s="169"/>
      <c r="QO9" s="169">
        <v>1</v>
      </c>
      <c r="QP9" s="169"/>
      <c r="QQ9" s="169"/>
      <c r="QR9" s="169"/>
      <c r="QS9" s="169">
        <v>1</v>
      </c>
      <c r="QT9" s="169"/>
      <c r="QU9" s="169">
        <v>1</v>
      </c>
      <c r="QV9" s="169"/>
      <c r="QW9" s="169"/>
      <c r="QX9" s="169"/>
      <c r="QY9" s="169"/>
      <c r="QZ9" s="169">
        <v>1</v>
      </c>
      <c r="RA9" s="169"/>
      <c r="RB9" s="169">
        <v>1</v>
      </c>
      <c r="RC9" s="169"/>
      <c r="RD9" s="169">
        <v>1</v>
      </c>
      <c r="RE9" s="169"/>
      <c r="RF9" s="169"/>
      <c r="RG9" s="169">
        <v>1</v>
      </c>
      <c r="RH9" s="169"/>
      <c r="RI9" s="169">
        <v>1</v>
      </c>
      <c r="RJ9" s="169"/>
      <c r="RK9" s="169"/>
      <c r="RL9" s="169"/>
      <c r="RM9" s="169">
        <v>1</v>
      </c>
      <c r="RN9" s="169"/>
      <c r="RO9" s="168">
        <v>250</v>
      </c>
      <c r="RP9" s="168"/>
      <c r="RQ9" s="168">
        <v>250</v>
      </c>
      <c r="RR9" s="168"/>
      <c r="RS9" s="168">
        <v>20</v>
      </c>
      <c r="RT9" s="168">
        <v>10</v>
      </c>
      <c r="RU9" s="170">
        <v>12</v>
      </c>
      <c r="RV9" s="170"/>
      <c r="RW9" s="170">
        <v>5</v>
      </c>
      <c r="RX9" s="170"/>
      <c r="RY9" s="170">
        <v>1</v>
      </c>
      <c r="RZ9" s="170"/>
      <c r="SA9" s="169"/>
      <c r="SB9" s="169">
        <v>1</v>
      </c>
      <c r="SC9" s="169"/>
      <c r="SD9" s="169"/>
      <c r="SE9" s="169"/>
      <c r="SF9" s="169"/>
      <c r="SG9" s="169"/>
      <c r="SH9" s="169"/>
      <c r="SI9" s="169"/>
      <c r="SJ9" s="169"/>
      <c r="SK9" s="169"/>
      <c r="SL9" s="169"/>
      <c r="SM9" s="169"/>
      <c r="SN9" s="169">
        <f>SM9+SL9</f>
        <v>0</v>
      </c>
      <c r="SO9" s="169">
        <v>2</v>
      </c>
      <c r="SP9" s="169">
        <v>2</v>
      </c>
      <c r="SQ9" s="169" t="s">
        <v>486</v>
      </c>
      <c r="SR9" s="169" t="s">
        <v>501</v>
      </c>
      <c r="SS9" s="206">
        <v>7817806358</v>
      </c>
    </row>
    <row r="10" spans="1:513" s="171" customFormat="1" ht="22.5" customHeight="1">
      <c r="A10" s="168" t="s">
        <v>184</v>
      </c>
      <c r="B10" s="168" t="s">
        <v>204</v>
      </c>
      <c r="C10" s="168">
        <v>5</v>
      </c>
      <c r="D10" s="168">
        <v>1400629</v>
      </c>
      <c r="E10" s="168" t="s">
        <v>403</v>
      </c>
      <c r="F10" s="168">
        <v>1</v>
      </c>
      <c r="G10" s="168"/>
      <c r="H10" s="168"/>
      <c r="I10" s="168">
        <v>1</v>
      </c>
      <c r="J10" s="168"/>
      <c r="K10" s="168"/>
      <c r="L10" s="168"/>
      <c r="M10" s="168"/>
      <c r="N10" s="168">
        <v>1</v>
      </c>
      <c r="O10" s="168"/>
      <c r="P10" s="168">
        <v>1</v>
      </c>
      <c r="Q10" s="168"/>
      <c r="R10" s="168"/>
      <c r="S10" s="168">
        <v>1</v>
      </c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>
        <f t="shared" si="16"/>
        <v>0</v>
      </c>
      <c r="AG10" s="168">
        <f t="shared" si="16"/>
        <v>0</v>
      </c>
      <c r="AH10" s="168">
        <f>SUM(AF10:AG10)</f>
        <v>0</v>
      </c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>
        <f t="shared" si="17"/>
        <v>0</v>
      </c>
      <c r="AT10" s="168">
        <f t="shared" si="17"/>
        <v>0</v>
      </c>
      <c r="AU10" s="168">
        <f>SUM(AS10:AT10)</f>
        <v>0</v>
      </c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>
        <f t="shared" si="18"/>
        <v>0</v>
      </c>
      <c r="BG10" s="168">
        <f t="shared" si="18"/>
        <v>0</v>
      </c>
      <c r="BH10" s="168">
        <f>SUM(BF10:BG10)</f>
        <v>0</v>
      </c>
      <c r="BI10" s="168"/>
      <c r="BJ10" s="168"/>
      <c r="BK10" s="168"/>
      <c r="BL10" s="168"/>
      <c r="BM10" s="168"/>
      <c r="BN10" s="168"/>
      <c r="BO10" s="168">
        <v>6</v>
      </c>
      <c r="BP10" s="168"/>
      <c r="BQ10" s="168">
        <v>27</v>
      </c>
      <c r="BR10" s="168"/>
      <c r="BS10" s="168">
        <f t="shared" si="19"/>
        <v>33</v>
      </c>
      <c r="BT10" s="168">
        <f t="shared" si="19"/>
        <v>0</v>
      </c>
      <c r="BU10" s="168">
        <f>SUM(BS10:BT10)</f>
        <v>33</v>
      </c>
      <c r="BV10" s="168">
        <f>AI10</f>
        <v>0</v>
      </c>
      <c r="BW10" s="168">
        <f>AJ10</f>
        <v>0</v>
      </c>
      <c r="BX10" s="168">
        <f>AV10+AK10</f>
        <v>0</v>
      </c>
      <c r="BY10" s="168">
        <f>AL10+AW10</f>
        <v>0</v>
      </c>
      <c r="BZ10" s="168">
        <f>BI10+AX10+AM10</f>
        <v>0</v>
      </c>
      <c r="CA10" s="168">
        <f>AN10+AY10+BJ10</f>
        <v>0</v>
      </c>
      <c r="CB10" s="168">
        <f>BK10+AZ10+AO10</f>
        <v>0</v>
      </c>
      <c r="CC10" s="168">
        <f>AP10+BA10+BL10</f>
        <v>0</v>
      </c>
      <c r="CD10" s="168">
        <f t="shared" si="1"/>
        <v>0</v>
      </c>
      <c r="CE10" s="168">
        <f t="shared" si="1"/>
        <v>0</v>
      </c>
      <c r="CF10" s="168">
        <f t="shared" si="2"/>
        <v>6</v>
      </c>
      <c r="CG10" s="168">
        <f t="shared" si="2"/>
        <v>0</v>
      </c>
      <c r="CH10" s="168">
        <f t="shared" si="3"/>
        <v>27</v>
      </c>
      <c r="CI10" s="168">
        <f t="shared" si="3"/>
        <v>0</v>
      </c>
      <c r="CJ10" s="168">
        <f>BV10+BX10+BZ10+CB10+CD10+CF10+CH10</f>
        <v>33</v>
      </c>
      <c r="CK10" s="168">
        <f>BW10+BY10+CA10+CC10+CE10+CG10+CI10</f>
        <v>0</v>
      </c>
      <c r="CL10" s="168">
        <f>SUM(CJ10:CK10)</f>
        <v>33</v>
      </c>
      <c r="CM10" s="168"/>
      <c r="CN10" s="168"/>
      <c r="CO10" s="168"/>
      <c r="CP10" s="168"/>
      <c r="CQ10" s="168"/>
      <c r="CR10" s="168"/>
      <c r="CS10" s="168">
        <v>1</v>
      </c>
      <c r="CT10" s="168"/>
      <c r="CU10" s="168"/>
      <c r="CV10" s="168">
        <f t="shared" si="20"/>
        <v>1</v>
      </c>
      <c r="CW10" s="168">
        <f t="shared" si="20"/>
        <v>0</v>
      </c>
      <c r="CX10" s="168">
        <f t="shared" si="20"/>
        <v>0</v>
      </c>
      <c r="CY10" s="168">
        <f>SUM(CV10:CX10)</f>
        <v>1</v>
      </c>
      <c r="CZ10" s="168"/>
      <c r="DA10" s="168"/>
      <c r="DB10" s="168"/>
      <c r="DC10" s="168"/>
      <c r="DD10" s="168"/>
      <c r="DE10" s="168"/>
      <c r="DF10" s="168">
        <f t="shared" si="21"/>
        <v>0</v>
      </c>
      <c r="DG10" s="168">
        <f t="shared" si="21"/>
        <v>0</v>
      </c>
      <c r="DH10" s="168">
        <f>SUM(DF10:DG10)</f>
        <v>0</v>
      </c>
      <c r="DI10" s="168"/>
      <c r="DJ10" s="168"/>
      <c r="DK10" s="168"/>
      <c r="DL10" s="168"/>
      <c r="DM10" s="168"/>
      <c r="DN10" s="168"/>
      <c r="DO10" s="168">
        <f t="shared" si="5"/>
        <v>0</v>
      </c>
      <c r="DP10" s="168">
        <f t="shared" si="5"/>
        <v>0</v>
      </c>
      <c r="DQ10" s="168">
        <f>SUM(DO10:DP10)</f>
        <v>0</v>
      </c>
      <c r="DR10" s="168"/>
      <c r="DS10" s="168"/>
      <c r="DT10" s="168">
        <v>2</v>
      </c>
      <c r="DU10" s="168"/>
      <c r="DV10" s="168"/>
      <c r="DW10" s="168"/>
      <c r="DX10" s="168">
        <f t="shared" si="22"/>
        <v>2</v>
      </c>
      <c r="DY10" s="168">
        <f t="shared" si="22"/>
        <v>0</v>
      </c>
      <c r="DZ10" s="168">
        <f>SUM(DX10:DY10)</f>
        <v>2</v>
      </c>
      <c r="EA10" s="168"/>
      <c r="EB10" s="168"/>
      <c r="EC10" s="168">
        <v>3</v>
      </c>
      <c r="ED10" s="168"/>
      <c r="EE10" s="168"/>
      <c r="EF10" s="168"/>
      <c r="EG10" s="168">
        <f t="shared" si="23"/>
        <v>3</v>
      </c>
      <c r="EH10" s="168">
        <f t="shared" si="23"/>
        <v>0</v>
      </c>
      <c r="EI10" s="168">
        <f>SUM(EG10:EH10)</f>
        <v>3</v>
      </c>
      <c r="EJ10" s="168"/>
      <c r="EK10" s="168"/>
      <c r="EL10" s="168"/>
      <c r="EM10" s="168"/>
      <c r="EN10" s="168"/>
      <c r="EO10" s="168"/>
      <c r="EP10" s="168">
        <f t="shared" si="24"/>
        <v>0</v>
      </c>
      <c r="EQ10" s="168">
        <f t="shared" si="24"/>
        <v>0</v>
      </c>
      <c r="ER10" s="168">
        <f>SUM(EP10:EQ10)</f>
        <v>0</v>
      </c>
      <c r="ES10" s="168"/>
      <c r="ET10" s="168"/>
      <c r="EU10" s="168"/>
      <c r="EV10" s="168"/>
      <c r="EW10" s="168"/>
      <c r="EX10" s="168"/>
      <c r="EY10" s="168">
        <f t="shared" si="25"/>
        <v>0</v>
      </c>
      <c r="EZ10" s="168">
        <f t="shared" si="26"/>
        <v>0</v>
      </c>
      <c r="FA10" s="168">
        <f t="shared" si="27"/>
        <v>0</v>
      </c>
      <c r="FB10" s="168">
        <v>1</v>
      </c>
      <c r="FC10" s="168"/>
      <c r="FD10" s="168">
        <v>3</v>
      </c>
      <c r="FE10" s="168"/>
      <c r="FF10" s="168">
        <v>15</v>
      </c>
      <c r="FG10" s="168"/>
      <c r="FH10" s="168">
        <v>6</v>
      </c>
      <c r="FI10" s="168"/>
      <c r="FJ10" s="168"/>
      <c r="FK10" s="168"/>
      <c r="FL10" s="168">
        <f t="shared" si="6"/>
        <v>25</v>
      </c>
      <c r="FM10" s="168">
        <f t="shared" si="6"/>
        <v>0</v>
      </c>
      <c r="FN10" s="168">
        <f>SUM(FL10:FM10)</f>
        <v>25</v>
      </c>
      <c r="FO10" s="168">
        <v>1</v>
      </c>
      <c r="FP10" s="168"/>
      <c r="FQ10" s="168"/>
      <c r="FR10" s="168"/>
      <c r="FS10" s="168"/>
      <c r="FT10" s="168"/>
      <c r="FU10" s="168"/>
      <c r="FV10" s="168"/>
      <c r="FW10" s="168">
        <v>1</v>
      </c>
      <c r="FX10" s="168"/>
      <c r="FY10" s="168"/>
      <c r="FZ10" s="168"/>
      <c r="GA10" s="168"/>
      <c r="GB10" s="168"/>
      <c r="GC10" s="168"/>
      <c r="GD10" s="168"/>
      <c r="GE10" s="168"/>
      <c r="GF10" s="168"/>
      <c r="GG10" s="168">
        <f t="shared" si="28"/>
        <v>2</v>
      </c>
      <c r="GH10" s="168">
        <f t="shared" si="29"/>
        <v>0</v>
      </c>
      <c r="GI10" s="168">
        <f>GH10+GG10</f>
        <v>2</v>
      </c>
      <c r="GJ10" s="168">
        <v>1</v>
      </c>
      <c r="GK10" s="168"/>
      <c r="GL10" s="168">
        <v>1</v>
      </c>
      <c r="GM10" s="168"/>
      <c r="GN10" s="168">
        <v>1</v>
      </c>
      <c r="GO10" s="168"/>
      <c r="GP10" s="168"/>
      <c r="GQ10" s="168"/>
      <c r="GR10" s="168">
        <v>1</v>
      </c>
      <c r="GS10" s="168"/>
      <c r="GT10" s="168">
        <v>1</v>
      </c>
      <c r="GU10" s="168"/>
      <c r="GV10" s="168"/>
      <c r="GW10" s="168"/>
      <c r="GX10" s="168"/>
      <c r="GY10" s="168"/>
      <c r="GZ10" s="168"/>
      <c r="HA10" s="168"/>
      <c r="HB10" s="168"/>
      <c r="HC10" s="168"/>
      <c r="HD10" s="168"/>
      <c r="HE10" s="168"/>
      <c r="HF10" s="168">
        <v>1</v>
      </c>
      <c r="HG10" s="168"/>
      <c r="HH10" s="168">
        <v>1</v>
      </c>
      <c r="HI10" s="168"/>
      <c r="HJ10" s="168"/>
      <c r="HK10" s="168"/>
      <c r="HL10" s="168"/>
      <c r="HM10" s="168"/>
      <c r="HN10" s="168"/>
      <c r="HO10" s="168"/>
      <c r="HP10" s="168"/>
      <c r="HQ10" s="168"/>
      <c r="HR10" s="168"/>
      <c r="HS10" s="168"/>
      <c r="HT10" s="168"/>
      <c r="HU10" s="168"/>
      <c r="HV10" s="168"/>
      <c r="HW10" s="168"/>
      <c r="HX10" s="168"/>
      <c r="HY10" s="168"/>
      <c r="HZ10" s="168"/>
      <c r="IA10" s="168"/>
      <c r="IB10" s="168"/>
      <c r="IC10" s="168"/>
      <c r="ID10" s="168">
        <v>1</v>
      </c>
      <c r="IE10" s="168"/>
      <c r="IF10" s="168"/>
      <c r="IG10" s="168"/>
      <c r="IH10" s="168">
        <v>3</v>
      </c>
      <c r="II10" s="168"/>
      <c r="IJ10" s="168">
        <v>1</v>
      </c>
      <c r="IK10" s="168"/>
      <c r="IL10" s="168"/>
      <c r="IM10" s="168"/>
      <c r="IN10" s="168"/>
      <c r="IO10" s="168"/>
      <c r="IP10" s="168"/>
      <c r="IQ10" s="168"/>
      <c r="IR10" s="168"/>
      <c r="IS10" s="168"/>
      <c r="IT10" s="168"/>
      <c r="IU10" s="168"/>
      <c r="IV10" s="168"/>
      <c r="IW10" s="168"/>
      <c r="IX10" s="168"/>
      <c r="IY10" s="168"/>
      <c r="IZ10" s="168"/>
      <c r="JA10" s="168"/>
      <c r="JB10" s="168"/>
      <c r="JC10" s="168"/>
      <c r="JD10" s="168"/>
      <c r="JE10" s="168"/>
      <c r="JF10" s="168"/>
      <c r="JG10" s="168"/>
      <c r="JH10" s="168"/>
      <c r="JI10" s="168"/>
      <c r="JJ10" s="168"/>
      <c r="JK10" s="168"/>
      <c r="JL10" s="168"/>
      <c r="JM10" s="168"/>
      <c r="JN10" s="168"/>
      <c r="JO10" s="168"/>
      <c r="JP10" s="168"/>
      <c r="JQ10" s="168"/>
      <c r="JR10" s="168">
        <v>2</v>
      </c>
      <c r="JS10" s="168"/>
      <c r="JT10" s="168"/>
      <c r="JU10" s="168"/>
      <c r="JV10" s="168"/>
      <c r="JW10" s="168"/>
      <c r="JX10" s="168"/>
      <c r="JY10" s="168"/>
      <c r="JZ10" s="168"/>
      <c r="KA10" s="168"/>
      <c r="KB10" s="168"/>
      <c r="KC10" s="168"/>
      <c r="KD10" s="168"/>
      <c r="KE10" s="168"/>
      <c r="KF10" s="168"/>
      <c r="KG10" s="168"/>
      <c r="KH10" s="168">
        <v>1</v>
      </c>
      <c r="KI10" s="168"/>
      <c r="KJ10" s="168"/>
      <c r="KK10" s="168"/>
      <c r="KL10" s="168"/>
      <c r="KM10" s="168"/>
      <c r="KN10" s="168">
        <v>7</v>
      </c>
      <c r="KO10" s="168"/>
      <c r="KP10" s="168"/>
      <c r="KQ10" s="168"/>
      <c r="KR10" s="168"/>
      <c r="KS10" s="168"/>
      <c r="KT10" s="168">
        <v>3</v>
      </c>
      <c r="KU10" s="168"/>
      <c r="KV10" s="168">
        <f>KT10+KN10+KJ10+KH10+KF10+KD10+KB10+JZ10+JX10+JV10+JT10+JR10+JP10+JN10+JL10+JJ10+JH10+JF10+JD10+JB10+IZ10+IX10+IV10+IT10+IR10+IP10+IN10+IL10+IJ10+IH10+IF10+ID10+IB10+HZ10+HX10+HV10+HT10+HR10+HP10+HN10+HL10+HJ10+HH10+HF10+HD10+HB10+GZ10+GX10+GV10+GT10+GR10+GP10+GN10+GL10+GJ10</f>
        <v>25</v>
      </c>
      <c r="KW10" s="168">
        <f>KU10+KO10+KK10+KI10+KG10+KE10+KC10+KA10+JY10+JW10+JU10+JS10+JQ10+JO10+JM10+JK10+JI10+JG10+JE10+JC10+JA10+IY10+IW10+IU10+IS10+IQ10+IO10+IM10+IK10+II10+IG10+IE10+IC10+IA10+HY10+HW10+HU10+HS10+HQ10+HO10+HM10+HK10+HI10+HG10+HE10+HC10+HA10+GY10+GW10+GU10+GS10+GQ10+GO10+GM10+GK10</f>
        <v>0</v>
      </c>
      <c r="KX10" s="168">
        <f>KW10+KV10</f>
        <v>25</v>
      </c>
      <c r="KY10" s="168">
        <v>25</v>
      </c>
      <c r="KZ10" s="168"/>
      <c r="LA10" s="168"/>
      <c r="LB10" s="168"/>
      <c r="LC10" s="168"/>
      <c r="LD10" s="168"/>
      <c r="LE10" s="168"/>
      <c r="LF10" s="168"/>
      <c r="LG10" s="168"/>
      <c r="LH10" s="168"/>
      <c r="LI10" s="168"/>
      <c r="LJ10" s="168"/>
      <c r="LK10" s="168"/>
      <c r="LL10" s="168"/>
      <c r="LM10" s="168"/>
      <c r="LN10" s="168"/>
      <c r="LO10" s="168"/>
      <c r="LP10" s="168"/>
      <c r="LQ10" s="168">
        <f t="shared" si="31"/>
        <v>25</v>
      </c>
      <c r="LR10" s="168">
        <f t="shared" si="32"/>
        <v>0</v>
      </c>
      <c r="LS10" s="168">
        <f>LR10+LQ10</f>
        <v>25</v>
      </c>
      <c r="LT10" s="168">
        <v>6</v>
      </c>
      <c r="LU10" s="168"/>
      <c r="LV10" s="168"/>
      <c r="LW10" s="168"/>
      <c r="LX10" s="168">
        <v>4</v>
      </c>
      <c r="LY10" s="168"/>
      <c r="LZ10" s="168">
        <v>15</v>
      </c>
      <c r="MA10" s="168"/>
      <c r="MB10" s="168">
        <f t="shared" si="7"/>
        <v>25</v>
      </c>
      <c r="MC10" s="168">
        <f t="shared" si="7"/>
        <v>0</v>
      </c>
      <c r="MD10" s="168">
        <f t="shared" si="8"/>
        <v>25</v>
      </c>
      <c r="ME10" s="168">
        <v>8</v>
      </c>
      <c r="MF10" s="168"/>
      <c r="MG10" s="168">
        <v>6</v>
      </c>
      <c r="MH10" s="168"/>
      <c r="MI10" s="168">
        <v>2</v>
      </c>
      <c r="MJ10" s="168"/>
      <c r="MK10" s="168">
        <v>9</v>
      </c>
      <c r="ML10" s="168"/>
      <c r="MM10" s="168"/>
      <c r="MN10" s="168"/>
      <c r="MO10" s="168">
        <f t="shared" si="9"/>
        <v>25</v>
      </c>
      <c r="MP10" s="168">
        <f t="shared" si="10"/>
        <v>0</v>
      </c>
      <c r="MQ10" s="168">
        <f t="shared" si="11"/>
        <v>25</v>
      </c>
      <c r="MR10" s="168">
        <v>1</v>
      </c>
      <c r="MS10" s="168"/>
      <c r="MT10" s="168">
        <v>24</v>
      </c>
      <c r="MU10" s="168"/>
      <c r="MV10" s="168"/>
      <c r="MW10" s="168"/>
      <c r="MX10" s="168"/>
      <c r="MY10" s="168"/>
      <c r="MZ10" s="168">
        <f t="shared" si="12"/>
        <v>25</v>
      </c>
      <c r="NA10" s="168">
        <f t="shared" si="12"/>
        <v>0</v>
      </c>
      <c r="NB10" s="168">
        <f t="shared" si="13"/>
        <v>25</v>
      </c>
      <c r="NC10" s="168">
        <v>20</v>
      </c>
      <c r="ND10" s="168"/>
      <c r="NE10" s="168">
        <v>1</v>
      </c>
      <c r="NF10" s="168"/>
      <c r="NG10" s="168">
        <v>3</v>
      </c>
      <c r="NH10" s="168"/>
      <c r="NI10" s="168">
        <v>2</v>
      </c>
      <c r="NJ10" s="168"/>
      <c r="NK10" s="168">
        <v>2</v>
      </c>
      <c r="NL10" s="168"/>
      <c r="NM10" s="168">
        <v>12</v>
      </c>
      <c r="NN10" s="168"/>
      <c r="NO10" s="168"/>
      <c r="NP10" s="168"/>
      <c r="NQ10" s="168">
        <v>5</v>
      </c>
      <c r="NR10" s="168"/>
      <c r="NS10" s="168"/>
      <c r="NT10" s="168"/>
      <c r="NU10" s="168"/>
      <c r="NV10" s="168"/>
      <c r="NW10" s="168">
        <f t="shared" si="14"/>
        <v>25</v>
      </c>
      <c r="NX10" s="168">
        <f t="shared" si="14"/>
        <v>0</v>
      </c>
      <c r="NY10" s="168">
        <f>NX10+NW10</f>
        <v>25</v>
      </c>
      <c r="NZ10" s="168"/>
      <c r="OA10" s="168"/>
      <c r="OB10" s="168"/>
      <c r="OC10" s="168"/>
      <c r="OD10" s="168"/>
      <c r="OE10" s="168"/>
      <c r="OF10" s="168">
        <f t="shared" si="15"/>
        <v>0</v>
      </c>
      <c r="OG10" s="168">
        <f t="shared" si="15"/>
        <v>0</v>
      </c>
      <c r="OH10" s="168">
        <f>OG10+OF10</f>
        <v>0</v>
      </c>
      <c r="OI10" s="168">
        <v>1</v>
      </c>
      <c r="OJ10" s="168"/>
      <c r="OK10" s="168">
        <v>1</v>
      </c>
      <c r="OL10" s="168"/>
      <c r="OM10" s="168"/>
      <c r="ON10" s="168">
        <v>1</v>
      </c>
      <c r="OO10" s="168"/>
      <c r="OP10" s="168">
        <v>1</v>
      </c>
      <c r="OQ10" s="168"/>
      <c r="OR10" s="168"/>
      <c r="OS10" s="168"/>
      <c r="OT10" s="168"/>
      <c r="OU10" s="169"/>
      <c r="OV10" s="169"/>
      <c r="OW10" s="169"/>
      <c r="OX10" s="169"/>
      <c r="OY10" s="169"/>
      <c r="OZ10" s="169"/>
      <c r="PA10" s="169"/>
      <c r="PB10" s="169"/>
      <c r="PC10" s="169"/>
      <c r="PD10" s="169"/>
      <c r="PE10" s="169"/>
      <c r="PF10" s="169"/>
      <c r="PG10" s="169"/>
      <c r="PH10" s="169"/>
      <c r="PI10" s="169"/>
      <c r="PJ10" s="169"/>
      <c r="PK10" s="169"/>
      <c r="PL10" s="169"/>
      <c r="PM10" s="169"/>
      <c r="PN10" s="169"/>
      <c r="PO10" s="169">
        <f>PN10+PM10</f>
        <v>0</v>
      </c>
      <c r="PP10" s="169"/>
      <c r="PQ10" s="169"/>
      <c r="PR10" s="169"/>
      <c r="PS10" s="169"/>
      <c r="PT10" s="169"/>
      <c r="PU10" s="169"/>
      <c r="PV10" s="169"/>
      <c r="PW10" s="169"/>
      <c r="PX10" s="169"/>
      <c r="PY10" s="169"/>
      <c r="PZ10" s="169"/>
      <c r="QA10" s="169"/>
      <c r="QB10" s="169"/>
      <c r="QC10" s="169"/>
      <c r="QD10" s="169"/>
      <c r="QE10" s="169"/>
      <c r="QF10" s="169"/>
      <c r="QG10" s="169"/>
      <c r="QH10" s="169"/>
      <c r="QI10" s="169"/>
      <c r="QJ10" s="169"/>
      <c r="QK10" s="169"/>
      <c r="QL10" s="169"/>
      <c r="QM10" s="169"/>
      <c r="QN10" s="169"/>
      <c r="QO10" s="169"/>
      <c r="QP10" s="169"/>
      <c r="QQ10" s="169"/>
      <c r="QR10" s="169"/>
      <c r="QS10" s="169"/>
      <c r="QT10" s="169"/>
      <c r="QU10" s="169"/>
      <c r="QV10" s="169"/>
      <c r="QW10" s="169"/>
      <c r="QX10" s="169"/>
      <c r="QY10" s="169"/>
      <c r="QZ10" s="169"/>
      <c r="RA10" s="169"/>
      <c r="RB10" s="169"/>
      <c r="RC10" s="169"/>
      <c r="RD10" s="169"/>
      <c r="RE10" s="169"/>
      <c r="RF10" s="169"/>
      <c r="RG10" s="169"/>
      <c r="RH10" s="169"/>
      <c r="RI10" s="169"/>
      <c r="RJ10" s="169"/>
      <c r="RK10" s="169"/>
      <c r="RL10" s="169"/>
      <c r="RM10" s="169"/>
      <c r="RN10" s="169"/>
      <c r="RO10" s="168">
        <v>150</v>
      </c>
      <c r="RP10" s="168"/>
      <c r="RQ10" s="168"/>
      <c r="RR10" s="168"/>
      <c r="RS10" s="168">
        <v>15</v>
      </c>
      <c r="RT10" s="168"/>
      <c r="RU10" s="170">
        <v>24</v>
      </c>
      <c r="RV10" s="170"/>
      <c r="RW10" s="170">
        <v>2</v>
      </c>
      <c r="RX10" s="170"/>
      <c r="RY10" s="170">
        <v>1</v>
      </c>
      <c r="RZ10" s="170"/>
      <c r="SA10" s="169"/>
      <c r="SB10" s="169">
        <v>1</v>
      </c>
      <c r="SC10" s="169"/>
      <c r="SD10" s="169"/>
      <c r="SE10" s="169"/>
      <c r="SF10" s="169"/>
      <c r="SG10" s="169"/>
      <c r="SH10" s="169"/>
      <c r="SI10" s="169"/>
      <c r="SJ10" s="169"/>
      <c r="SK10" s="169"/>
      <c r="SL10" s="169"/>
      <c r="SM10" s="169"/>
      <c r="SN10" s="169">
        <f>SM10+SL10</f>
        <v>0</v>
      </c>
      <c r="SO10" s="169"/>
      <c r="SP10" s="169"/>
      <c r="SQ10" s="169" t="s">
        <v>559</v>
      </c>
      <c r="SR10" s="169" t="s">
        <v>499</v>
      </c>
      <c r="SS10" s="175">
        <v>7801361410</v>
      </c>
    </row>
    <row r="11" spans="1:513" s="194" customFormat="1" ht="19.5" customHeight="1">
      <c r="A11" s="221" t="s">
        <v>193</v>
      </c>
      <c r="B11" s="242"/>
      <c r="C11" s="242"/>
      <c r="D11" s="242"/>
      <c r="E11" s="222"/>
      <c r="F11" s="193">
        <f t="shared" ref="F11" si="33">F10+F9+F8+F7+F6</f>
        <v>4</v>
      </c>
      <c r="G11" s="193">
        <f t="shared" ref="G11:BR11" si="34">G10+G9+G8+G7+G6</f>
        <v>1</v>
      </c>
      <c r="H11" s="193">
        <f t="shared" si="34"/>
        <v>0</v>
      </c>
      <c r="I11" s="193">
        <f t="shared" si="34"/>
        <v>5</v>
      </c>
      <c r="J11" s="193">
        <f t="shared" si="34"/>
        <v>0</v>
      </c>
      <c r="K11" s="193">
        <f t="shared" si="34"/>
        <v>4</v>
      </c>
      <c r="L11" s="193">
        <f t="shared" si="34"/>
        <v>0</v>
      </c>
      <c r="M11" s="193">
        <f t="shared" si="34"/>
        <v>0</v>
      </c>
      <c r="N11" s="193">
        <f t="shared" si="34"/>
        <v>1</v>
      </c>
      <c r="O11" s="193">
        <f t="shared" si="34"/>
        <v>4</v>
      </c>
      <c r="P11" s="193">
        <f t="shared" si="34"/>
        <v>1</v>
      </c>
      <c r="Q11" s="193">
        <f t="shared" si="34"/>
        <v>4</v>
      </c>
      <c r="R11" s="193">
        <f t="shared" si="34"/>
        <v>0</v>
      </c>
      <c r="S11" s="193">
        <f t="shared" si="34"/>
        <v>1</v>
      </c>
      <c r="T11" s="193">
        <f t="shared" si="34"/>
        <v>0</v>
      </c>
      <c r="U11" s="193">
        <f t="shared" si="34"/>
        <v>0</v>
      </c>
      <c r="V11" s="193">
        <f t="shared" si="34"/>
        <v>216</v>
      </c>
      <c r="W11" s="193">
        <f t="shared" si="34"/>
        <v>77</v>
      </c>
      <c r="X11" s="193">
        <f t="shared" si="34"/>
        <v>168</v>
      </c>
      <c r="Y11" s="193">
        <f t="shared" si="34"/>
        <v>64</v>
      </c>
      <c r="Z11" s="193">
        <f t="shared" si="34"/>
        <v>113</v>
      </c>
      <c r="AA11" s="193">
        <f t="shared" si="34"/>
        <v>56</v>
      </c>
      <c r="AB11" s="193">
        <f t="shared" si="34"/>
        <v>69</v>
      </c>
      <c r="AC11" s="193">
        <f t="shared" si="34"/>
        <v>23</v>
      </c>
      <c r="AD11" s="193">
        <f t="shared" si="34"/>
        <v>40</v>
      </c>
      <c r="AE11" s="193">
        <f t="shared" si="34"/>
        <v>29</v>
      </c>
      <c r="AF11" s="193">
        <f t="shared" si="34"/>
        <v>606</v>
      </c>
      <c r="AG11" s="193">
        <f t="shared" si="34"/>
        <v>249</v>
      </c>
      <c r="AH11" s="193">
        <f t="shared" si="34"/>
        <v>855</v>
      </c>
      <c r="AI11" s="193">
        <f t="shared" si="34"/>
        <v>216</v>
      </c>
      <c r="AJ11" s="193">
        <f t="shared" si="34"/>
        <v>77</v>
      </c>
      <c r="AK11" s="193">
        <f t="shared" si="34"/>
        <v>173</v>
      </c>
      <c r="AL11" s="193">
        <f t="shared" si="34"/>
        <v>64</v>
      </c>
      <c r="AM11" s="193">
        <f t="shared" si="34"/>
        <v>125</v>
      </c>
      <c r="AN11" s="193">
        <f t="shared" si="34"/>
        <v>56</v>
      </c>
      <c r="AO11" s="193">
        <f t="shared" si="34"/>
        <v>80</v>
      </c>
      <c r="AP11" s="193">
        <f t="shared" si="34"/>
        <v>23</v>
      </c>
      <c r="AQ11" s="193">
        <f t="shared" si="34"/>
        <v>55</v>
      </c>
      <c r="AR11" s="193">
        <f t="shared" si="34"/>
        <v>29</v>
      </c>
      <c r="AS11" s="193">
        <f t="shared" si="34"/>
        <v>649</v>
      </c>
      <c r="AT11" s="193">
        <f t="shared" si="34"/>
        <v>249</v>
      </c>
      <c r="AU11" s="193">
        <f t="shared" si="34"/>
        <v>898</v>
      </c>
      <c r="AV11" s="193">
        <f t="shared" si="34"/>
        <v>127</v>
      </c>
      <c r="AW11" s="193">
        <f t="shared" si="34"/>
        <v>46</v>
      </c>
      <c r="AX11" s="193">
        <f t="shared" si="34"/>
        <v>94</v>
      </c>
      <c r="AY11" s="193">
        <f t="shared" si="34"/>
        <v>23</v>
      </c>
      <c r="AZ11" s="193">
        <f t="shared" si="34"/>
        <v>102</v>
      </c>
      <c r="BA11" s="193">
        <f t="shared" si="34"/>
        <v>29</v>
      </c>
      <c r="BB11" s="193">
        <f t="shared" si="34"/>
        <v>68</v>
      </c>
      <c r="BC11" s="193">
        <f t="shared" si="34"/>
        <v>15</v>
      </c>
      <c r="BD11" s="193">
        <f t="shared" si="34"/>
        <v>41</v>
      </c>
      <c r="BE11" s="193">
        <f t="shared" si="34"/>
        <v>29</v>
      </c>
      <c r="BF11" s="193">
        <f t="shared" si="34"/>
        <v>432</v>
      </c>
      <c r="BG11" s="193">
        <f t="shared" si="34"/>
        <v>142</v>
      </c>
      <c r="BH11" s="193">
        <f t="shared" si="34"/>
        <v>574</v>
      </c>
      <c r="BI11" s="193">
        <f t="shared" si="34"/>
        <v>59</v>
      </c>
      <c r="BJ11" s="193">
        <f t="shared" si="34"/>
        <v>31</v>
      </c>
      <c r="BK11" s="193">
        <f t="shared" si="34"/>
        <v>106</v>
      </c>
      <c r="BL11" s="193">
        <f t="shared" si="34"/>
        <v>22</v>
      </c>
      <c r="BM11" s="193">
        <f t="shared" si="34"/>
        <v>70</v>
      </c>
      <c r="BN11" s="193">
        <f t="shared" si="34"/>
        <v>28</v>
      </c>
      <c r="BO11" s="193">
        <f t="shared" si="34"/>
        <v>49</v>
      </c>
      <c r="BP11" s="193">
        <f t="shared" si="34"/>
        <v>15</v>
      </c>
      <c r="BQ11" s="193">
        <f t="shared" si="34"/>
        <v>69</v>
      </c>
      <c r="BR11" s="193">
        <f t="shared" si="34"/>
        <v>29</v>
      </c>
      <c r="BS11" s="193">
        <f t="shared" ref="BS11:ED11" si="35">BS10+BS9+BS8+BS7+BS6</f>
        <v>353</v>
      </c>
      <c r="BT11" s="193">
        <f t="shared" si="35"/>
        <v>125</v>
      </c>
      <c r="BU11" s="193">
        <f t="shared" si="35"/>
        <v>478</v>
      </c>
      <c r="BV11" s="193">
        <f t="shared" si="35"/>
        <v>216</v>
      </c>
      <c r="BW11" s="193">
        <f t="shared" si="35"/>
        <v>77</v>
      </c>
      <c r="BX11" s="193">
        <f t="shared" si="35"/>
        <v>300</v>
      </c>
      <c r="BY11" s="193">
        <f t="shared" si="35"/>
        <v>110</v>
      </c>
      <c r="BZ11" s="193">
        <f t="shared" si="35"/>
        <v>278</v>
      </c>
      <c r="CA11" s="193">
        <f t="shared" si="35"/>
        <v>110</v>
      </c>
      <c r="CB11" s="193">
        <f t="shared" si="35"/>
        <v>288</v>
      </c>
      <c r="CC11" s="193">
        <f t="shared" si="35"/>
        <v>74</v>
      </c>
      <c r="CD11" s="193">
        <f t="shared" si="35"/>
        <v>193</v>
      </c>
      <c r="CE11" s="193">
        <f t="shared" si="35"/>
        <v>72</v>
      </c>
      <c r="CF11" s="193">
        <f t="shared" si="35"/>
        <v>90</v>
      </c>
      <c r="CG11" s="193">
        <f t="shared" si="35"/>
        <v>44</v>
      </c>
      <c r="CH11" s="193">
        <f t="shared" si="35"/>
        <v>69</v>
      </c>
      <c r="CI11" s="193">
        <f t="shared" si="35"/>
        <v>29</v>
      </c>
      <c r="CJ11" s="193">
        <f t="shared" si="35"/>
        <v>1434</v>
      </c>
      <c r="CK11" s="193">
        <f t="shared" si="35"/>
        <v>516</v>
      </c>
      <c r="CL11" s="193">
        <f>CL10+CL9+CL8+CL7+CL6</f>
        <v>1950</v>
      </c>
      <c r="CM11" s="193">
        <f t="shared" si="35"/>
        <v>15</v>
      </c>
      <c r="CN11" s="193">
        <f t="shared" si="35"/>
        <v>7</v>
      </c>
      <c r="CO11" s="193">
        <f t="shared" si="35"/>
        <v>0</v>
      </c>
      <c r="CP11" s="193">
        <f t="shared" si="35"/>
        <v>17</v>
      </c>
      <c r="CQ11" s="193">
        <f t="shared" si="35"/>
        <v>4</v>
      </c>
      <c r="CR11" s="193">
        <f t="shared" si="35"/>
        <v>0</v>
      </c>
      <c r="CS11" s="193">
        <f t="shared" si="35"/>
        <v>15</v>
      </c>
      <c r="CT11" s="193">
        <f t="shared" si="35"/>
        <v>3</v>
      </c>
      <c r="CU11" s="193">
        <f t="shared" si="35"/>
        <v>0</v>
      </c>
      <c r="CV11" s="193">
        <f t="shared" si="35"/>
        <v>47</v>
      </c>
      <c r="CW11" s="193">
        <f t="shared" si="35"/>
        <v>14</v>
      </c>
      <c r="CX11" s="193">
        <f t="shared" si="35"/>
        <v>0</v>
      </c>
      <c r="CY11" s="193">
        <f t="shared" si="35"/>
        <v>61</v>
      </c>
      <c r="CZ11" s="193">
        <f t="shared" si="35"/>
        <v>24</v>
      </c>
      <c r="DA11" s="193">
        <f t="shared" si="35"/>
        <v>1</v>
      </c>
      <c r="DB11" s="193">
        <f t="shared" si="35"/>
        <v>10</v>
      </c>
      <c r="DC11" s="193">
        <f t="shared" si="35"/>
        <v>4</v>
      </c>
      <c r="DD11" s="193">
        <f t="shared" si="35"/>
        <v>5</v>
      </c>
      <c r="DE11" s="193">
        <f t="shared" si="35"/>
        <v>1</v>
      </c>
      <c r="DF11" s="193">
        <f t="shared" si="35"/>
        <v>39</v>
      </c>
      <c r="DG11" s="193">
        <f t="shared" si="35"/>
        <v>6</v>
      </c>
      <c r="DH11" s="193">
        <f t="shared" si="35"/>
        <v>45</v>
      </c>
      <c r="DI11" s="193">
        <f t="shared" si="35"/>
        <v>0</v>
      </c>
      <c r="DJ11" s="193">
        <f t="shared" si="35"/>
        <v>0</v>
      </c>
      <c r="DK11" s="193">
        <f t="shared" si="35"/>
        <v>0</v>
      </c>
      <c r="DL11" s="193">
        <f t="shared" si="35"/>
        <v>0</v>
      </c>
      <c r="DM11" s="193">
        <f t="shared" si="35"/>
        <v>0</v>
      </c>
      <c r="DN11" s="193">
        <f t="shared" si="35"/>
        <v>0</v>
      </c>
      <c r="DO11" s="193">
        <f t="shared" si="35"/>
        <v>0</v>
      </c>
      <c r="DP11" s="193">
        <f t="shared" si="35"/>
        <v>0</v>
      </c>
      <c r="DQ11" s="193">
        <f t="shared" si="35"/>
        <v>0</v>
      </c>
      <c r="DR11" s="193">
        <f t="shared" si="35"/>
        <v>396</v>
      </c>
      <c r="DS11" s="193">
        <f t="shared" si="35"/>
        <v>137</v>
      </c>
      <c r="DT11" s="193">
        <f t="shared" si="35"/>
        <v>201</v>
      </c>
      <c r="DU11" s="193">
        <f t="shared" si="35"/>
        <v>116</v>
      </c>
      <c r="DV11" s="193">
        <f t="shared" si="35"/>
        <v>258</v>
      </c>
      <c r="DW11" s="193">
        <f t="shared" si="35"/>
        <v>102</v>
      </c>
      <c r="DX11" s="193">
        <f t="shared" si="35"/>
        <v>855</v>
      </c>
      <c r="DY11" s="193">
        <f t="shared" si="35"/>
        <v>355</v>
      </c>
      <c r="DZ11" s="193">
        <f t="shared" si="35"/>
        <v>1210</v>
      </c>
      <c r="EA11" s="193">
        <f t="shared" si="35"/>
        <v>69</v>
      </c>
      <c r="EB11" s="193">
        <f t="shared" si="35"/>
        <v>3</v>
      </c>
      <c r="EC11" s="193">
        <f t="shared" si="35"/>
        <v>24</v>
      </c>
      <c r="ED11" s="193">
        <f t="shared" si="35"/>
        <v>2</v>
      </c>
      <c r="EE11" s="193">
        <f t="shared" ref="EE11:GR11" si="36">EE10+EE9+EE8+EE7+EE6</f>
        <v>91</v>
      </c>
      <c r="EF11" s="193">
        <f t="shared" si="36"/>
        <v>8</v>
      </c>
      <c r="EG11" s="193">
        <f t="shared" si="36"/>
        <v>184</v>
      </c>
      <c r="EH11" s="193">
        <f t="shared" si="36"/>
        <v>13</v>
      </c>
      <c r="EI11" s="193">
        <f t="shared" si="36"/>
        <v>197</v>
      </c>
      <c r="EJ11" s="193">
        <f t="shared" si="36"/>
        <v>22</v>
      </c>
      <c r="EK11" s="193">
        <f t="shared" si="36"/>
        <v>3</v>
      </c>
      <c r="EL11" s="193">
        <f t="shared" si="36"/>
        <v>7</v>
      </c>
      <c r="EM11" s="193">
        <f t="shared" si="36"/>
        <v>2</v>
      </c>
      <c r="EN11" s="193">
        <f t="shared" si="36"/>
        <v>28</v>
      </c>
      <c r="EO11" s="193">
        <f t="shared" si="36"/>
        <v>0</v>
      </c>
      <c r="EP11" s="193">
        <f t="shared" si="36"/>
        <v>57</v>
      </c>
      <c r="EQ11" s="193">
        <f t="shared" si="36"/>
        <v>5</v>
      </c>
      <c r="ER11" s="193">
        <f t="shared" si="36"/>
        <v>62</v>
      </c>
      <c r="ES11" s="193">
        <f t="shared" si="36"/>
        <v>0</v>
      </c>
      <c r="ET11" s="193">
        <f t="shared" si="36"/>
        <v>0</v>
      </c>
      <c r="EU11" s="193">
        <f t="shared" si="36"/>
        <v>0</v>
      </c>
      <c r="EV11" s="193">
        <f t="shared" si="36"/>
        <v>0</v>
      </c>
      <c r="EW11" s="193">
        <f t="shared" si="36"/>
        <v>29</v>
      </c>
      <c r="EX11" s="193">
        <f t="shared" si="36"/>
        <v>1</v>
      </c>
      <c r="EY11" s="115">
        <f t="shared" si="25"/>
        <v>29</v>
      </c>
      <c r="EZ11" s="115">
        <f t="shared" si="26"/>
        <v>1</v>
      </c>
      <c r="FA11" s="115">
        <f t="shared" si="27"/>
        <v>30</v>
      </c>
      <c r="FB11" s="193">
        <f t="shared" si="36"/>
        <v>4</v>
      </c>
      <c r="FC11" s="193">
        <f t="shared" si="36"/>
        <v>1</v>
      </c>
      <c r="FD11" s="193">
        <f t="shared" si="36"/>
        <v>10</v>
      </c>
      <c r="FE11" s="193">
        <f t="shared" si="36"/>
        <v>5</v>
      </c>
      <c r="FF11" s="193">
        <f t="shared" si="36"/>
        <v>68</v>
      </c>
      <c r="FG11" s="193">
        <f t="shared" si="36"/>
        <v>74</v>
      </c>
      <c r="FH11" s="193">
        <f t="shared" si="36"/>
        <v>32</v>
      </c>
      <c r="FI11" s="193">
        <f t="shared" si="36"/>
        <v>46</v>
      </c>
      <c r="FJ11" s="193">
        <f t="shared" si="36"/>
        <v>0</v>
      </c>
      <c r="FK11" s="193">
        <f t="shared" si="36"/>
        <v>0</v>
      </c>
      <c r="FL11" s="193">
        <f t="shared" si="36"/>
        <v>114</v>
      </c>
      <c r="FM11" s="193">
        <f t="shared" si="36"/>
        <v>126</v>
      </c>
      <c r="FN11" s="193">
        <f t="shared" si="36"/>
        <v>240</v>
      </c>
      <c r="FO11" s="193">
        <f t="shared" si="36"/>
        <v>10</v>
      </c>
      <c r="FP11" s="193">
        <f t="shared" si="36"/>
        <v>9</v>
      </c>
      <c r="FQ11" s="193">
        <f t="shared" si="36"/>
        <v>1</v>
      </c>
      <c r="FR11" s="193">
        <f t="shared" si="36"/>
        <v>3</v>
      </c>
      <c r="FS11" s="193">
        <f t="shared" si="36"/>
        <v>1</v>
      </c>
      <c r="FT11" s="193">
        <f t="shared" si="36"/>
        <v>0</v>
      </c>
      <c r="FU11" s="193">
        <f t="shared" si="36"/>
        <v>0</v>
      </c>
      <c r="FV11" s="193">
        <f t="shared" si="36"/>
        <v>0</v>
      </c>
      <c r="FW11" s="193">
        <f t="shared" si="36"/>
        <v>6</v>
      </c>
      <c r="FX11" s="193">
        <f t="shared" si="36"/>
        <v>2</v>
      </c>
      <c r="FY11" s="193">
        <f t="shared" si="36"/>
        <v>3</v>
      </c>
      <c r="FZ11" s="193">
        <f t="shared" si="36"/>
        <v>0</v>
      </c>
      <c r="GA11" s="193">
        <f t="shared" si="36"/>
        <v>0</v>
      </c>
      <c r="GB11" s="193">
        <f t="shared" si="36"/>
        <v>0</v>
      </c>
      <c r="GC11" s="193"/>
      <c r="GD11" s="193"/>
      <c r="GE11" s="193">
        <f t="shared" si="36"/>
        <v>0</v>
      </c>
      <c r="GF11" s="193">
        <f t="shared" si="36"/>
        <v>0</v>
      </c>
      <c r="GG11" s="193">
        <f t="shared" si="36"/>
        <v>21</v>
      </c>
      <c r="GH11" s="193">
        <f t="shared" si="36"/>
        <v>14</v>
      </c>
      <c r="GI11" s="193">
        <f t="shared" si="36"/>
        <v>35</v>
      </c>
      <c r="GJ11" s="193">
        <f t="shared" si="36"/>
        <v>4</v>
      </c>
      <c r="GK11" s="193">
        <f t="shared" si="36"/>
        <v>11</v>
      </c>
      <c r="GL11" s="193">
        <f t="shared" si="36"/>
        <v>3</v>
      </c>
      <c r="GM11" s="193">
        <f t="shared" si="36"/>
        <v>6</v>
      </c>
      <c r="GN11" s="193">
        <f t="shared" si="36"/>
        <v>4</v>
      </c>
      <c r="GO11" s="193">
        <f t="shared" si="36"/>
        <v>3</v>
      </c>
      <c r="GP11" s="193">
        <f t="shared" si="36"/>
        <v>0</v>
      </c>
      <c r="GQ11" s="193">
        <f t="shared" si="36"/>
        <v>0</v>
      </c>
      <c r="GR11" s="193">
        <f t="shared" si="36"/>
        <v>2</v>
      </c>
      <c r="GS11" s="193">
        <f t="shared" ref="GS11:JD11" si="37">GS10+GS9+GS8+GS7+GS6</f>
        <v>8</v>
      </c>
      <c r="GT11" s="193">
        <f t="shared" si="37"/>
        <v>5</v>
      </c>
      <c r="GU11" s="193">
        <f t="shared" si="37"/>
        <v>4</v>
      </c>
      <c r="GV11" s="193">
        <f t="shared" si="37"/>
        <v>1</v>
      </c>
      <c r="GW11" s="193">
        <f t="shared" si="37"/>
        <v>0</v>
      </c>
      <c r="GX11" s="193">
        <f t="shared" si="37"/>
        <v>0</v>
      </c>
      <c r="GY11" s="193">
        <f t="shared" si="37"/>
        <v>0</v>
      </c>
      <c r="GZ11" s="193">
        <f t="shared" si="37"/>
        <v>0</v>
      </c>
      <c r="HA11" s="193">
        <f t="shared" si="37"/>
        <v>0</v>
      </c>
      <c r="HB11" s="193">
        <f t="shared" si="37"/>
        <v>0</v>
      </c>
      <c r="HC11" s="193">
        <f t="shared" si="37"/>
        <v>0</v>
      </c>
      <c r="HD11" s="193">
        <f t="shared" si="37"/>
        <v>0</v>
      </c>
      <c r="HE11" s="193">
        <f t="shared" si="37"/>
        <v>0</v>
      </c>
      <c r="HF11" s="193">
        <f t="shared" si="37"/>
        <v>5</v>
      </c>
      <c r="HG11" s="193">
        <f t="shared" si="37"/>
        <v>2</v>
      </c>
      <c r="HH11" s="193">
        <f t="shared" si="37"/>
        <v>1</v>
      </c>
      <c r="HI11" s="193">
        <f t="shared" si="37"/>
        <v>2</v>
      </c>
      <c r="HJ11" s="193">
        <f t="shared" si="37"/>
        <v>0</v>
      </c>
      <c r="HK11" s="193">
        <f t="shared" si="37"/>
        <v>0</v>
      </c>
      <c r="HL11" s="193">
        <f t="shared" si="37"/>
        <v>0</v>
      </c>
      <c r="HM11" s="193">
        <f t="shared" si="37"/>
        <v>0</v>
      </c>
      <c r="HN11" s="193">
        <f t="shared" si="37"/>
        <v>0</v>
      </c>
      <c r="HO11" s="193">
        <f t="shared" si="37"/>
        <v>0</v>
      </c>
      <c r="HP11" s="193">
        <f t="shared" si="37"/>
        <v>0</v>
      </c>
      <c r="HQ11" s="193">
        <f t="shared" si="37"/>
        <v>0</v>
      </c>
      <c r="HR11" s="193">
        <f t="shared" si="37"/>
        <v>0</v>
      </c>
      <c r="HS11" s="193">
        <f t="shared" si="37"/>
        <v>0</v>
      </c>
      <c r="HT11" s="193">
        <f t="shared" si="37"/>
        <v>0</v>
      </c>
      <c r="HU11" s="193">
        <f t="shared" si="37"/>
        <v>0</v>
      </c>
      <c r="HV11" s="193">
        <f t="shared" si="37"/>
        <v>0</v>
      </c>
      <c r="HW11" s="193">
        <f t="shared" si="37"/>
        <v>0</v>
      </c>
      <c r="HX11" s="193">
        <f t="shared" si="37"/>
        <v>0</v>
      </c>
      <c r="HY11" s="193">
        <f t="shared" si="37"/>
        <v>0</v>
      </c>
      <c r="HZ11" s="193">
        <f t="shared" si="37"/>
        <v>0</v>
      </c>
      <c r="IA11" s="193">
        <f t="shared" si="37"/>
        <v>0</v>
      </c>
      <c r="IB11" s="193">
        <f t="shared" si="37"/>
        <v>0</v>
      </c>
      <c r="IC11" s="193">
        <f t="shared" si="37"/>
        <v>0</v>
      </c>
      <c r="ID11" s="193">
        <f t="shared" si="37"/>
        <v>1</v>
      </c>
      <c r="IE11" s="193">
        <f t="shared" si="37"/>
        <v>0</v>
      </c>
      <c r="IF11" s="193">
        <f t="shared" si="37"/>
        <v>11</v>
      </c>
      <c r="IG11" s="193">
        <f t="shared" si="37"/>
        <v>32</v>
      </c>
      <c r="IH11" s="193">
        <f t="shared" si="37"/>
        <v>6</v>
      </c>
      <c r="II11" s="193">
        <f t="shared" si="37"/>
        <v>5</v>
      </c>
      <c r="IJ11" s="193">
        <f t="shared" si="37"/>
        <v>9</v>
      </c>
      <c r="IK11" s="193">
        <f t="shared" si="37"/>
        <v>0</v>
      </c>
      <c r="IL11" s="193">
        <f t="shared" si="37"/>
        <v>0</v>
      </c>
      <c r="IM11" s="193">
        <f t="shared" si="37"/>
        <v>0</v>
      </c>
      <c r="IN11" s="193">
        <f t="shared" si="37"/>
        <v>2</v>
      </c>
      <c r="IO11" s="193">
        <f t="shared" si="37"/>
        <v>2</v>
      </c>
      <c r="IP11" s="193">
        <f t="shared" si="37"/>
        <v>0</v>
      </c>
      <c r="IQ11" s="193">
        <f t="shared" si="37"/>
        <v>0</v>
      </c>
      <c r="IR11" s="193">
        <f t="shared" si="37"/>
        <v>0</v>
      </c>
      <c r="IS11" s="193">
        <f t="shared" si="37"/>
        <v>0</v>
      </c>
      <c r="IT11" s="193">
        <f t="shared" si="37"/>
        <v>0</v>
      </c>
      <c r="IU11" s="193">
        <f t="shared" si="37"/>
        <v>0</v>
      </c>
      <c r="IV11" s="193">
        <f t="shared" si="37"/>
        <v>0</v>
      </c>
      <c r="IW11" s="193">
        <f t="shared" si="37"/>
        <v>0</v>
      </c>
      <c r="IX11" s="193">
        <f t="shared" si="37"/>
        <v>0</v>
      </c>
      <c r="IY11" s="193">
        <f t="shared" si="37"/>
        <v>0</v>
      </c>
      <c r="IZ11" s="193">
        <f t="shared" si="37"/>
        <v>0</v>
      </c>
      <c r="JA11" s="193">
        <f t="shared" si="37"/>
        <v>0</v>
      </c>
      <c r="JB11" s="193">
        <f t="shared" si="37"/>
        <v>0</v>
      </c>
      <c r="JC11" s="193">
        <f t="shared" si="37"/>
        <v>3</v>
      </c>
      <c r="JD11" s="193">
        <f t="shared" si="37"/>
        <v>0</v>
      </c>
      <c r="JE11" s="193">
        <f t="shared" ref="JE11:LN11" si="38">JE10+JE9+JE8+JE7+JE6</f>
        <v>0</v>
      </c>
      <c r="JF11" s="193">
        <f t="shared" si="38"/>
        <v>0</v>
      </c>
      <c r="JG11" s="193">
        <f t="shared" si="38"/>
        <v>0</v>
      </c>
      <c r="JH11" s="193">
        <f t="shared" si="38"/>
        <v>0</v>
      </c>
      <c r="JI11" s="193">
        <f t="shared" si="38"/>
        <v>0</v>
      </c>
      <c r="JJ11" s="193">
        <f t="shared" si="38"/>
        <v>3</v>
      </c>
      <c r="JK11" s="193">
        <f t="shared" si="38"/>
        <v>0</v>
      </c>
      <c r="JL11" s="193">
        <f t="shared" si="38"/>
        <v>0</v>
      </c>
      <c r="JM11" s="193">
        <f t="shared" si="38"/>
        <v>0</v>
      </c>
      <c r="JN11" s="193">
        <f t="shared" si="38"/>
        <v>0</v>
      </c>
      <c r="JO11" s="193">
        <f t="shared" si="38"/>
        <v>0</v>
      </c>
      <c r="JP11" s="193">
        <f t="shared" si="38"/>
        <v>1</v>
      </c>
      <c r="JQ11" s="193">
        <f t="shared" si="38"/>
        <v>0</v>
      </c>
      <c r="JR11" s="193">
        <f t="shared" si="38"/>
        <v>2</v>
      </c>
      <c r="JS11" s="193">
        <f t="shared" si="38"/>
        <v>0</v>
      </c>
      <c r="JT11" s="193">
        <f t="shared" si="38"/>
        <v>0</v>
      </c>
      <c r="JU11" s="193">
        <f t="shared" si="38"/>
        <v>0</v>
      </c>
      <c r="JV11" s="193">
        <f t="shared" si="38"/>
        <v>0</v>
      </c>
      <c r="JW11" s="193">
        <f t="shared" si="38"/>
        <v>0</v>
      </c>
      <c r="JX11" s="193">
        <f t="shared" si="38"/>
        <v>0</v>
      </c>
      <c r="JY11" s="193">
        <f t="shared" si="38"/>
        <v>0</v>
      </c>
      <c r="JZ11" s="193">
        <f t="shared" si="38"/>
        <v>0</v>
      </c>
      <c r="KA11" s="193">
        <f t="shared" si="38"/>
        <v>0</v>
      </c>
      <c r="KB11" s="193">
        <f t="shared" si="38"/>
        <v>0</v>
      </c>
      <c r="KC11" s="193">
        <f t="shared" si="38"/>
        <v>0</v>
      </c>
      <c r="KD11" s="193">
        <f t="shared" si="38"/>
        <v>0</v>
      </c>
      <c r="KE11" s="193">
        <f t="shared" si="38"/>
        <v>1</v>
      </c>
      <c r="KF11" s="193">
        <f t="shared" si="38"/>
        <v>0</v>
      </c>
      <c r="KG11" s="193">
        <f t="shared" si="38"/>
        <v>0</v>
      </c>
      <c r="KH11" s="193">
        <f t="shared" si="38"/>
        <v>1</v>
      </c>
      <c r="KI11" s="193">
        <f t="shared" si="38"/>
        <v>0</v>
      </c>
      <c r="KJ11" s="193">
        <f t="shared" si="38"/>
        <v>0</v>
      </c>
      <c r="KK11" s="193">
        <f t="shared" si="38"/>
        <v>0</v>
      </c>
      <c r="KL11" s="193">
        <f t="shared" si="38"/>
        <v>0</v>
      </c>
      <c r="KM11" s="193">
        <f t="shared" si="38"/>
        <v>0</v>
      </c>
      <c r="KN11" s="193">
        <f t="shared" si="38"/>
        <v>23</v>
      </c>
      <c r="KO11" s="193">
        <f t="shared" si="38"/>
        <v>26</v>
      </c>
      <c r="KP11" s="193">
        <f t="shared" si="38"/>
        <v>0</v>
      </c>
      <c r="KQ11" s="193">
        <f t="shared" si="38"/>
        <v>0</v>
      </c>
      <c r="KR11" s="193">
        <f t="shared" si="38"/>
        <v>0</v>
      </c>
      <c r="KS11" s="193">
        <f t="shared" si="38"/>
        <v>0</v>
      </c>
      <c r="KT11" s="193">
        <f t="shared" si="38"/>
        <v>30</v>
      </c>
      <c r="KU11" s="193">
        <f t="shared" si="38"/>
        <v>21</v>
      </c>
      <c r="KV11" s="193">
        <f t="shared" si="38"/>
        <v>114</v>
      </c>
      <c r="KW11" s="193">
        <f t="shared" si="38"/>
        <v>126</v>
      </c>
      <c r="KX11" s="193">
        <f t="shared" si="38"/>
        <v>240</v>
      </c>
      <c r="KY11" s="193">
        <f t="shared" si="38"/>
        <v>106</v>
      </c>
      <c r="KZ11" s="193">
        <f t="shared" si="38"/>
        <v>115</v>
      </c>
      <c r="LA11" s="193">
        <f t="shared" si="38"/>
        <v>0</v>
      </c>
      <c r="LB11" s="193">
        <f t="shared" si="38"/>
        <v>0</v>
      </c>
      <c r="LC11" s="193">
        <f t="shared" si="38"/>
        <v>3</v>
      </c>
      <c r="LD11" s="193">
        <f t="shared" si="38"/>
        <v>0</v>
      </c>
      <c r="LE11" s="193">
        <f t="shared" si="38"/>
        <v>0</v>
      </c>
      <c r="LF11" s="193">
        <f t="shared" si="38"/>
        <v>0</v>
      </c>
      <c r="LG11" s="193">
        <f t="shared" si="38"/>
        <v>1</v>
      </c>
      <c r="LH11" s="193">
        <f t="shared" si="38"/>
        <v>0</v>
      </c>
      <c r="LI11" s="193">
        <f t="shared" si="38"/>
        <v>1</v>
      </c>
      <c r="LJ11" s="193">
        <f t="shared" si="38"/>
        <v>6</v>
      </c>
      <c r="LK11" s="193">
        <f t="shared" si="38"/>
        <v>0</v>
      </c>
      <c r="LL11" s="193">
        <f t="shared" si="38"/>
        <v>3</v>
      </c>
      <c r="LM11" s="193">
        <f t="shared" si="38"/>
        <v>0</v>
      </c>
      <c r="LN11" s="193">
        <f t="shared" si="38"/>
        <v>0</v>
      </c>
      <c r="LO11" s="193">
        <f t="shared" ref="LO11:LP11" si="39">LO10+LO9+LO8+LO7+LO6</f>
        <v>3</v>
      </c>
      <c r="LP11" s="193">
        <f t="shared" si="39"/>
        <v>2</v>
      </c>
      <c r="LQ11" s="168">
        <f t="shared" si="31"/>
        <v>114</v>
      </c>
      <c r="LR11" s="168">
        <f t="shared" si="32"/>
        <v>126</v>
      </c>
      <c r="LS11" s="193">
        <f t="shared" ref="LS11:OA11" si="40">LS10+LS9+LS8+LS7+LS6</f>
        <v>240</v>
      </c>
      <c r="LT11" s="193">
        <f t="shared" si="40"/>
        <v>7</v>
      </c>
      <c r="LU11" s="193">
        <f t="shared" si="40"/>
        <v>5</v>
      </c>
      <c r="LV11" s="193">
        <f t="shared" si="40"/>
        <v>8</v>
      </c>
      <c r="LW11" s="193">
        <f t="shared" si="40"/>
        <v>10</v>
      </c>
      <c r="LX11" s="193">
        <f t="shared" si="40"/>
        <v>24</v>
      </c>
      <c r="LY11" s="193">
        <f t="shared" si="40"/>
        <v>16</v>
      </c>
      <c r="LZ11" s="193">
        <f t="shared" si="40"/>
        <v>75</v>
      </c>
      <c r="MA11" s="193">
        <f t="shared" si="40"/>
        <v>95</v>
      </c>
      <c r="MB11" s="193">
        <f t="shared" si="40"/>
        <v>114</v>
      </c>
      <c r="MC11" s="193">
        <f t="shared" si="40"/>
        <v>126</v>
      </c>
      <c r="MD11" s="193">
        <f t="shared" si="40"/>
        <v>240</v>
      </c>
      <c r="ME11" s="193">
        <f t="shared" si="40"/>
        <v>8</v>
      </c>
      <c r="MF11" s="193">
        <f t="shared" si="40"/>
        <v>2</v>
      </c>
      <c r="MG11" s="193">
        <f t="shared" si="40"/>
        <v>19</v>
      </c>
      <c r="MH11" s="193">
        <f t="shared" si="40"/>
        <v>15</v>
      </c>
      <c r="MI11" s="193">
        <f t="shared" si="40"/>
        <v>38</v>
      </c>
      <c r="MJ11" s="193">
        <f t="shared" si="40"/>
        <v>36</v>
      </c>
      <c r="MK11" s="193">
        <f t="shared" si="40"/>
        <v>39</v>
      </c>
      <c r="ML11" s="193">
        <f t="shared" si="40"/>
        <v>60</v>
      </c>
      <c r="MM11" s="193">
        <f t="shared" si="40"/>
        <v>10</v>
      </c>
      <c r="MN11" s="193">
        <f t="shared" si="40"/>
        <v>13</v>
      </c>
      <c r="MO11" s="193">
        <f t="shared" si="40"/>
        <v>114</v>
      </c>
      <c r="MP11" s="193">
        <f t="shared" si="40"/>
        <v>126</v>
      </c>
      <c r="MQ11" s="193">
        <f t="shared" si="40"/>
        <v>240</v>
      </c>
      <c r="MR11" s="193">
        <f t="shared" si="40"/>
        <v>2</v>
      </c>
      <c r="MS11" s="193">
        <f t="shared" si="40"/>
        <v>19</v>
      </c>
      <c r="MT11" s="193">
        <f t="shared" si="40"/>
        <v>109</v>
      </c>
      <c r="MU11" s="193">
        <f t="shared" si="40"/>
        <v>100</v>
      </c>
      <c r="MV11" s="193">
        <f t="shared" si="40"/>
        <v>1</v>
      </c>
      <c r="MW11" s="193">
        <f t="shared" si="40"/>
        <v>6</v>
      </c>
      <c r="MX11" s="193">
        <f t="shared" si="40"/>
        <v>2</v>
      </c>
      <c r="MY11" s="193">
        <f t="shared" si="40"/>
        <v>1</v>
      </c>
      <c r="MZ11" s="193">
        <f t="shared" si="40"/>
        <v>114</v>
      </c>
      <c r="NA11" s="193">
        <f t="shared" si="40"/>
        <v>126</v>
      </c>
      <c r="NB11" s="193">
        <f t="shared" si="40"/>
        <v>240</v>
      </c>
      <c r="NC11" s="193">
        <f t="shared" si="40"/>
        <v>43</v>
      </c>
      <c r="ND11" s="193">
        <f t="shared" si="40"/>
        <v>17</v>
      </c>
      <c r="NE11" s="193">
        <f t="shared" si="40"/>
        <v>2</v>
      </c>
      <c r="NF11" s="193">
        <f t="shared" si="40"/>
        <v>0</v>
      </c>
      <c r="NG11" s="193">
        <f t="shared" si="40"/>
        <v>3</v>
      </c>
      <c r="NH11" s="193">
        <f t="shared" si="40"/>
        <v>2</v>
      </c>
      <c r="NI11" s="193">
        <f t="shared" si="40"/>
        <v>29</v>
      </c>
      <c r="NJ11" s="193">
        <f t="shared" si="40"/>
        <v>38</v>
      </c>
      <c r="NK11" s="193">
        <f t="shared" si="40"/>
        <v>31</v>
      </c>
      <c r="NL11" s="193">
        <f t="shared" si="40"/>
        <v>39</v>
      </c>
      <c r="NM11" s="193">
        <f t="shared" si="40"/>
        <v>27</v>
      </c>
      <c r="NN11" s="193">
        <f t="shared" si="40"/>
        <v>40</v>
      </c>
      <c r="NO11" s="193">
        <f t="shared" si="40"/>
        <v>0</v>
      </c>
      <c r="NP11" s="193">
        <f t="shared" si="40"/>
        <v>0</v>
      </c>
      <c r="NQ11" s="193">
        <f t="shared" si="40"/>
        <v>19</v>
      </c>
      <c r="NR11" s="193">
        <f t="shared" si="40"/>
        <v>7</v>
      </c>
      <c r="NS11" s="193">
        <f t="shared" si="40"/>
        <v>3</v>
      </c>
      <c r="NT11" s="193">
        <f t="shared" si="40"/>
        <v>0</v>
      </c>
      <c r="NU11" s="193">
        <f t="shared" si="40"/>
        <v>0</v>
      </c>
      <c r="NV11" s="193">
        <f t="shared" si="40"/>
        <v>0</v>
      </c>
      <c r="NW11" s="193">
        <f t="shared" si="40"/>
        <v>114</v>
      </c>
      <c r="NX11" s="193">
        <f t="shared" si="40"/>
        <v>126</v>
      </c>
      <c r="NY11" s="193">
        <f t="shared" si="40"/>
        <v>240</v>
      </c>
      <c r="NZ11" s="193">
        <f t="shared" si="40"/>
        <v>0</v>
      </c>
      <c r="OA11" s="193">
        <f t="shared" si="40"/>
        <v>0</v>
      </c>
      <c r="OB11" s="193">
        <f t="shared" ref="OB11:QS11" si="41">OB10+OB9+OB8+OB7+OB6</f>
        <v>1</v>
      </c>
      <c r="OC11" s="193">
        <f t="shared" si="41"/>
        <v>0</v>
      </c>
      <c r="OD11" s="193">
        <f t="shared" si="41"/>
        <v>0</v>
      </c>
      <c r="OE11" s="193">
        <f t="shared" si="41"/>
        <v>0</v>
      </c>
      <c r="OF11" s="193">
        <f t="shared" si="41"/>
        <v>1</v>
      </c>
      <c r="OG11" s="193">
        <f t="shared" si="41"/>
        <v>0</v>
      </c>
      <c r="OH11" s="193">
        <f t="shared" si="41"/>
        <v>1</v>
      </c>
      <c r="OI11" s="193">
        <f t="shared" ref="OI11:OT11" si="42">OI10+OI9+OI8+OI7+OI6</f>
        <v>1</v>
      </c>
      <c r="OJ11" s="193">
        <f t="shared" si="42"/>
        <v>4</v>
      </c>
      <c r="OK11" s="193">
        <f t="shared" si="42"/>
        <v>5</v>
      </c>
      <c r="OL11" s="193">
        <f t="shared" si="42"/>
        <v>0</v>
      </c>
      <c r="OM11" s="193">
        <f t="shared" si="42"/>
        <v>0</v>
      </c>
      <c r="ON11" s="193">
        <f t="shared" si="42"/>
        <v>5</v>
      </c>
      <c r="OO11" s="193">
        <f t="shared" si="42"/>
        <v>0</v>
      </c>
      <c r="OP11" s="193">
        <f t="shared" si="42"/>
        <v>5</v>
      </c>
      <c r="OQ11" s="193">
        <f t="shared" si="42"/>
        <v>0</v>
      </c>
      <c r="OR11" s="193">
        <f t="shared" si="42"/>
        <v>0</v>
      </c>
      <c r="OS11" s="193">
        <f t="shared" si="42"/>
        <v>0</v>
      </c>
      <c r="OT11" s="193">
        <f t="shared" si="42"/>
        <v>0</v>
      </c>
      <c r="OU11" s="193">
        <f t="shared" si="41"/>
        <v>4</v>
      </c>
      <c r="OV11" s="193">
        <f t="shared" si="41"/>
        <v>0</v>
      </c>
      <c r="OW11" s="193"/>
      <c r="OX11" s="193"/>
      <c r="OY11" s="193"/>
      <c r="OZ11" s="193">
        <f t="shared" si="41"/>
        <v>1</v>
      </c>
      <c r="PA11" s="193">
        <f t="shared" si="41"/>
        <v>3</v>
      </c>
      <c r="PB11" s="193">
        <f t="shared" si="41"/>
        <v>0</v>
      </c>
      <c r="PC11" s="193">
        <f t="shared" si="41"/>
        <v>3</v>
      </c>
      <c r="PD11" s="193">
        <f t="shared" si="41"/>
        <v>1</v>
      </c>
      <c r="PE11" s="193">
        <f t="shared" si="41"/>
        <v>0</v>
      </c>
      <c r="PF11" s="193">
        <f t="shared" si="41"/>
        <v>0</v>
      </c>
      <c r="PG11" s="193">
        <f t="shared" si="41"/>
        <v>0</v>
      </c>
      <c r="PH11" s="193">
        <f t="shared" si="41"/>
        <v>1</v>
      </c>
      <c r="PI11" s="193">
        <f t="shared" si="41"/>
        <v>3</v>
      </c>
      <c r="PJ11" s="193">
        <f t="shared" si="41"/>
        <v>3</v>
      </c>
      <c r="PK11" s="193">
        <f t="shared" si="41"/>
        <v>1</v>
      </c>
      <c r="PL11" s="193">
        <f t="shared" si="41"/>
        <v>17</v>
      </c>
      <c r="PM11" s="193">
        <f t="shared" si="41"/>
        <v>91</v>
      </c>
      <c r="PN11" s="193">
        <f t="shared" si="41"/>
        <v>32</v>
      </c>
      <c r="PO11" s="193">
        <f t="shared" si="41"/>
        <v>123</v>
      </c>
      <c r="PP11" s="193">
        <f t="shared" si="41"/>
        <v>4</v>
      </c>
      <c r="PQ11" s="193">
        <f t="shared" si="41"/>
        <v>0</v>
      </c>
      <c r="PR11" s="193">
        <f t="shared" si="41"/>
        <v>0</v>
      </c>
      <c r="PS11" s="193">
        <f t="shared" si="41"/>
        <v>0</v>
      </c>
      <c r="PT11" s="193">
        <f t="shared" si="41"/>
        <v>0</v>
      </c>
      <c r="PU11" s="193">
        <f t="shared" si="41"/>
        <v>0</v>
      </c>
      <c r="PV11" s="193">
        <f t="shared" ref="PV11:QH11" si="43">PV10+PV9+PV8+PV7+PV6</f>
        <v>4</v>
      </c>
      <c r="PW11" s="193">
        <f t="shared" si="43"/>
        <v>0</v>
      </c>
      <c r="PX11" s="193">
        <f t="shared" si="43"/>
        <v>3</v>
      </c>
      <c r="PY11" s="193">
        <f t="shared" si="43"/>
        <v>1</v>
      </c>
      <c r="PZ11" s="193">
        <f t="shared" si="43"/>
        <v>2</v>
      </c>
      <c r="QA11" s="193">
        <f t="shared" si="43"/>
        <v>2</v>
      </c>
      <c r="QB11" s="193">
        <f t="shared" si="43"/>
        <v>4</v>
      </c>
      <c r="QC11" s="193">
        <f t="shared" si="43"/>
        <v>0</v>
      </c>
      <c r="QD11" s="193">
        <f t="shared" si="43"/>
        <v>4</v>
      </c>
      <c r="QE11" s="193">
        <f t="shared" si="43"/>
        <v>0</v>
      </c>
      <c r="QF11" s="193">
        <f t="shared" si="43"/>
        <v>0</v>
      </c>
      <c r="QG11" s="193">
        <f t="shared" si="43"/>
        <v>0</v>
      </c>
      <c r="QH11" s="193">
        <f t="shared" si="43"/>
        <v>0</v>
      </c>
      <c r="QI11" s="193">
        <f t="shared" si="41"/>
        <v>4</v>
      </c>
      <c r="QJ11" s="193">
        <f t="shared" si="41"/>
        <v>0</v>
      </c>
      <c r="QK11" s="193">
        <f t="shared" si="41"/>
        <v>2</v>
      </c>
      <c r="QL11" s="193">
        <f t="shared" si="41"/>
        <v>2</v>
      </c>
      <c r="QM11" s="193">
        <f t="shared" si="41"/>
        <v>4</v>
      </c>
      <c r="QN11" s="193">
        <f t="shared" si="41"/>
        <v>0</v>
      </c>
      <c r="QO11" s="193">
        <f t="shared" si="41"/>
        <v>4</v>
      </c>
      <c r="QP11" s="193">
        <f t="shared" si="41"/>
        <v>0</v>
      </c>
      <c r="QQ11" s="193">
        <f t="shared" si="41"/>
        <v>0</v>
      </c>
      <c r="QR11" s="193">
        <f t="shared" si="41"/>
        <v>2</v>
      </c>
      <c r="QS11" s="193">
        <f t="shared" si="41"/>
        <v>2</v>
      </c>
      <c r="QT11" s="193">
        <f t="shared" ref="QT11:SP11" si="44">QT10+QT9+QT8+QT7+QT6</f>
        <v>0</v>
      </c>
      <c r="QU11" s="193">
        <f t="shared" si="44"/>
        <v>4</v>
      </c>
      <c r="QV11" s="193">
        <f t="shared" si="44"/>
        <v>0</v>
      </c>
      <c r="QW11" s="193">
        <f t="shared" si="44"/>
        <v>0</v>
      </c>
      <c r="QX11" s="193">
        <f t="shared" si="44"/>
        <v>0</v>
      </c>
      <c r="QY11" s="193">
        <f t="shared" si="44"/>
        <v>2</v>
      </c>
      <c r="QZ11" s="193">
        <f t="shared" si="44"/>
        <v>2</v>
      </c>
      <c r="RA11" s="193">
        <f t="shared" si="44"/>
        <v>0</v>
      </c>
      <c r="RB11" s="193">
        <f>RB10+RB9+RB8+RB7+RB6</f>
        <v>4</v>
      </c>
      <c r="RC11" s="193">
        <f>RC10+RC9+RC8+RC7+RC6</f>
        <v>0</v>
      </c>
      <c r="RD11" s="193">
        <f t="shared" si="44"/>
        <v>4</v>
      </c>
      <c r="RE11" s="193">
        <f t="shared" si="44"/>
        <v>0</v>
      </c>
      <c r="RF11" s="193">
        <f t="shared" si="44"/>
        <v>3</v>
      </c>
      <c r="RG11" s="193">
        <f t="shared" si="44"/>
        <v>1</v>
      </c>
      <c r="RH11" s="193">
        <f t="shared" si="44"/>
        <v>0</v>
      </c>
      <c r="RI11" s="193">
        <f t="shared" si="44"/>
        <v>4</v>
      </c>
      <c r="RJ11" s="193">
        <f t="shared" si="44"/>
        <v>0</v>
      </c>
      <c r="RK11" s="193">
        <f t="shared" si="44"/>
        <v>0</v>
      </c>
      <c r="RL11" s="193">
        <f t="shared" si="44"/>
        <v>2</v>
      </c>
      <c r="RM11" s="193">
        <f t="shared" si="44"/>
        <v>2</v>
      </c>
      <c r="RN11" s="193">
        <f t="shared" si="44"/>
        <v>0</v>
      </c>
      <c r="RO11" s="193"/>
      <c r="RP11" s="193"/>
      <c r="RQ11" s="193"/>
      <c r="RR11" s="193"/>
      <c r="RS11" s="193"/>
      <c r="RT11" s="193"/>
      <c r="RU11" s="193">
        <f t="shared" si="44"/>
        <v>86</v>
      </c>
      <c r="RV11" s="193">
        <f t="shared" si="44"/>
        <v>20</v>
      </c>
      <c r="RW11" s="193">
        <f t="shared" si="44"/>
        <v>15</v>
      </c>
      <c r="RX11" s="193">
        <f t="shared" si="44"/>
        <v>2</v>
      </c>
      <c r="RY11" s="193">
        <f t="shared" si="44"/>
        <v>3</v>
      </c>
      <c r="RZ11" s="193">
        <f t="shared" si="44"/>
        <v>1</v>
      </c>
      <c r="SA11" s="193">
        <f t="shared" si="44"/>
        <v>2</v>
      </c>
      <c r="SB11" s="193">
        <f t="shared" si="44"/>
        <v>3</v>
      </c>
      <c r="SC11" s="193">
        <f t="shared" si="44"/>
        <v>0</v>
      </c>
      <c r="SD11" s="193">
        <f t="shared" si="44"/>
        <v>0</v>
      </c>
      <c r="SE11" s="193">
        <f t="shared" si="44"/>
        <v>2</v>
      </c>
      <c r="SF11" s="193">
        <f t="shared" si="44"/>
        <v>0</v>
      </c>
      <c r="SG11" s="193">
        <f t="shared" si="44"/>
        <v>0</v>
      </c>
      <c r="SH11" s="193">
        <f t="shared" si="44"/>
        <v>0</v>
      </c>
      <c r="SI11" s="193">
        <f t="shared" si="44"/>
        <v>2</v>
      </c>
      <c r="SJ11" s="193">
        <f t="shared" si="44"/>
        <v>0</v>
      </c>
      <c r="SK11" s="193">
        <f t="shared" si="44"/>
        <v>0</v>
      </c>
      <c r="SL11" s="193">
        <f t="shared" si="44"/>
        <v>372</v>
      </c>
      <c r="SM11" s="193">
        <f t="shared" si="44"/>
        <v>50</v>
      </c>
      <c r="SN11" s="193">
        <f t="shared" si="44"/>
        <v>422</v>
      </c>
      <c r="SO11" s="193">
        <f t="shared" si="44"/>
        <v>14</v>
      </c>
      <c r="SP11" s="193">
        <f t="shared" si="44"/>
        <v>14</v>
      </c>
      <c r="SQ11" s="193"/>
      <c r="SR11" s="193"/>
      <c r="SS11" s="195"/>
    </row>
    <row r="12" spans="1:513" s="194" customFormat="1" ht="19.5" customHeight="1">
      <c r="A12" s="221" t="s">
        <v>194</v>
      </c>
      <c r="B12" s="242"/>
      <c r="C12" s="242"/>
      <c r="D12" s="242"/>
      <c r="E12" s="222"/>
      <c r="F12" s="193">
        <f>F11</f>
        <v>4</v>
      </c>
      <c r="G12" s="193">
        <f t="shared" ref="G12:BR12" si="45">G11</f>
        <v>1</v>
      </c>
      <c r="H12" s="193">
        <f t="shared" si="45"/>
        <v>0</v>
      </c>
      <c r="I12" s="193">
        <f t="shared" si="45"/>
        <v>5</v>
      </c>
      <c r="J12" s="193">
        <f t="shared" si="45"/>
        <v>0</v>
      </c>
      <c r="K12" s="193">
        <f t="shared" si="45"/>
        <v>4</v>
      </c>
      <c r="L12" s="193">
        <f t="shared" si="45"/>
        <v>0</v>
      </c>
      <c r="M12" s="193">
        <f t="shared" si="45"/>
        <v>0</v>
      </c>
      <c r="N12" s="193">
        <f t="shared" si="45"/>
        <v>1</v>
      </c>
      <c r="O12" s="193">
        <f t="shared" si="45"/>
        <v>4</v>
      </c>
      <c r="P12" s="193">
        <f t="shared" si="45"/>
        <v>1</v>
      </c>
      <c r="Q12" s="193">
        <f t="shared" si="45"/>
        <v>4</v>
      </c>
      <c r="R12" s="193">
        <f t="shared" si="45"/>
        <v>0</v>
      </c>
      <c r="S12" s="193">
        <f t="shared" si="45"/>
        <v>1</v>
      </c>
      <c r="T12" s="193">
        <f t="shared" si="45"/>
        <v>0</v>
      </c>
      <c r="U12" s="193">
        <f t="shared" si="45"/>
        <v>0</v>
      </c>
      <c r="V12" s="193">
        <f t="shared" si="45"/>
        <v>216</v>
      </c>
      <c r="W12" s="193">
        <f t="shared" si="45"/>
        <v>77</v>
      </c>
      <c r="X12" s="193">
        <f t="shared" si="45"/>
        <v>168</v>
      </c>
      <c r="Y12" s="193">
        <f t="shared" si="45"/>
        <v>64</v>
      </c>
      <c r="Z12" s="193">
        <f t="shared" si="45"/>
        <v>113</v>
      </c>
      <c r="AA12" s="193">
        <f t="shared" si="45"/>
        <v>56</v>
      </c>
      <c r="AB12" s="193">
        <f t="shared" si="45"/>
        <v>69</v>
      </c>
      <c r="AC12" s="193">
        <f t="shared" si="45"/>
        <v>23</v>
      </c>
      <c r="AD12" s="193">
        <f t="shared" si="45"/>
        <v>40</v>
      </c>
      <c r="AE12" s="193">
        <f t="shared" si="45"/>
        <v>29</v>
      </c>
      <c r="AF12" s="193">
        <f t="shared" si="45"/>
        <v>606</v>
      </c>
      <c r="AG12" s="193">
        <f t="shared" si="45"/>
        <v>249</v>
      </c>
      <c r="AH12" s="193">
        <f t="shared" si="45"/>
        <v>855</v>
      </c>
      <c r="AI12" s="193">
        <f t="shared" si="45"/>
        <v>216</v>
      </c>
      <c r="AJ12" s="193">
        <f t="shared" si="45"/>
        <v>77</v>
      </c>
      <c r="AK12" s="193">
        <f t="shared" si="45"/>
        <v>173</v>
      </c>
      <c r="AL12" s="193">
        <f t="shared" si="45"/>
        <v>64</v>
      </c>
      <c r="AM12" s="193">
        <f t="shared" si="45"/>
        <v>125</v>
      </c>
      <c r="AN12" s="193">
        <f t="shared" si="45"/>
        <v>56</v>
      </c>
      <c r="AO12" s="193">
        <f t="shared" si="45"/>
        <v>80</v>
      </c>
      <c r="AP12" s="193">
        <f t="shared" si="45"/>
        <v>23</v>
      </c>
      <c r="AQ12" s="193">
        <f t="shared" si="45"/>
        <v>55</v>
      </c>
      <c r="AR12" s="193">
        <f t="shared" si="45"/>
        <v>29</v>
      </c>
      <c r="AS12" s="193">
        <f t="shared" si="45"/>
        <v>649</v>
      </c>
      <c r="AT12" s="193">
        <f t="shared" si="45"/>
        <v>249</v>
      </c>
      <c r="AU12" s="193">
        <f t="shared" si="45"/>
        <v>898</v>
      </c>
      <c r="AV12" s="193">
        <f t="shared" si="45"/>
        <v>127</v>
      </c>
      <c r="AW12" s="193">
        <f t="shared" si="45"/>
        <v>46</v>
      </c>
      <c r="AX12" s="193">
        <f t="shared" si="45"/>
        <v>94</v>
      </c>
      <c r="AY12" s="193">
        <f t="shared" si="45"/>
        <v>23</v>
      </c>
      <c r="AZ12" s="193">
        <f t="shared" si="45"/>
        <v>102</v>
      </c>
      <c r="BA12" s="193">
        <f t="shared" si="45"/>
        <v>29</v>
      </c>
      <c r="BB12" s="193">
        <f t="shared" si="45"/>
        <v>68</v>
      </c>
      <c r="BC12" s="193">
        <f t="shared" si="45"/>
        <v>15</v>
      </c>
      <c r="BD12" s="193">
        <f t="shared" si="45"/>
        <v>41</v>
      </c>
      <c r="BE12" s="193">
        <f t="shared" si="45"/>
        <v>29</v>
      </c>
      <c r="BF12" s="193">
        <f t="shared" si="45"/>
        <v>432</v>
      </c>
      <c r="BG12" s="193">
        <f t="shared" si="45"/>
        <v>142</v>
      </c>
      <c r="BH12" s="193">
        <f t="shared" si="45"/>
        <v>574</v>
      </c>
      <c r="BI12" s="193">
        <f t="shared" si="45"/>
        <v>59</v>
      </c>
      <c r="BJ12" s="193">
        <f t="shared" si="45"/>
        <v>31</v>
      </c>
      <c r="BK12" s="193">
        <f t="shared" si="45"/>
        <v>106</v>
      </c>
      <c r="BL12" s="193">
        <f t="shared" si="45"/>
        <v>22</v>
      </c>
      <c r="BM12" s="193">
        <f t="shared" si="45"/>
        <v>70</v>
      </c>
      <c r="BN12" s="193">
        <f t="shared" si="45"/>
        <v>28</v>
      </c>
      <c r="BO12" s="193">
        <f t="shared" si="45"/>
        <v>49</v>
      </c>
      <c r="BP12" s="193">
        <f t="shared" si="45"/>
        <v>15</v>
      </c>
      <c r="BQ12" s="193">
        <f t="shared" si="45"/>
        <v>69</v>
      </c>
      <c r="BR12" s="193">
        <f t="shared" si="45"/>
        <v>29</v>
      </c>
      <c r="BS12" s="193">
        <f t="shared" ref="BS12:ED12" si="46">BS11</f>
        <v>353</v>
      </c>
      <c r="BT12" s="193">
        <f t="shared" si="46"/>
        <v>125</v>
      </c>
      <c r="BU12" s="193">
        <f t="shared" si="46"/>
        <v>478</v>
      </c>
      <c r="BV12" s="193">
        <f t="shared" si="46"/>
        <v>216</v>
      </c>
      <c r="BW12" s="193">
        <f t="shared" si="46"/>
        <v>77</v>
      </c>
      <c r="BX12" s="193">
        <f t="shared" si="46"/>
        <v>300</v>
      </c>
      <c r="BY12" s="193">
        <f t="shared" si="46"/>
        <v>110</v>
      </c>
      <c r="BZ12" s="193">
        <f t="shared" si="46"/>
        <v>278</v>
      </c>
      <c r="CA12" s="193">
        <f t="shared" si="46"/>
        <v>110</v>
      </c>
      <c r="CB12" s="193">
        <f t="shared" si="46"/>
        <v>288</v>
      </c>
      <c r="CC12" s="193">
        <f t="shared" si="46"/>
        <v>74</v>
      </c>
      <c r="CD12" s="193">
        <f t="shared" si="46"/>
        <v>193</v>
      </c>
      <c r="CE12" s="193">
        <f t="shared" si="46"/>
        <v>72</v>
      </c>
      <c r="CF12" s="193">
        <f t="shared" si="46"/>
        <v>90</v>
      </c>
      <c r="CG12" s="193">
        <f t="shared" si="46"/>
        <v>44</v>
      </c>
      <c r="CH12" s="193">
        <f t="shared" si="46"/>
        <v>69</v>
      </c>
      <c r="CI12" s="193">
        <f t="shared" si="46"/>
        <v>29</v>
      </c>
      <c r="CJ12" s="193">
        <f t="shared" si="46"/>
        <v>1434</v>
      </c>
      <c r="CK12" s="193">
        <f t="shared" si="46"/>
        <v>516</v>
      </c>
      <c r="CL12" s="193">
        <f>CL11</f>
        <v>1950</v>
      </c>
      <c r="CM12" s="193">
        <f t="shared" si="46"/>
        <v>15</v>
      </c>
      <c r="CN12" s="193">
        <f t="shared" si="46"/>
        <v>7</v>
      </c>
      <c r="CO12" s="193">
        <f t="shared" si="46"/>
        <v>0</v>
      </c>
      <c r="CP12" s="193">
        <f t="shared" si="46"/>
        <v>17</v>
      </c>
      <c r="CQ12" s="193">
        <f t="shared" si="46"/>
        <v>4</v>
      </c>
      <c r="CR12" s="193">
        <f t="shared" si="46"/>
        <v>0</v>
      </c>
      <c r="CS12" s="193">
        <f t="shared" si="46"/>
        <v>15</v>
      </c>
      <c r="CT12" s="193">
        <f t="shared" si="46"/>
        <v>3</v>
      </c>
      <c r="CU12" s="193">
        <f t="shared" si="46"/>
        <v>0</v>
      </c>
      <c r="CV12" s="193">
        <f t="shared" si="46"/>
        <v>47</v>
      </c>
      <c r="CW12" s="193">
        <f t="shared" si="46"/>
        <v>14</v>
      </c>
      <c r="CX12" s="193">
        <f t="shared" si="46"/>
        <v>0</v>
      </c>
      <c r="CY12" s="193">
        <f t="shared" si="46"/>
        <v>61</v>
      </c>
      <c r="CZ12" s="193">
        <f t="shared" si="46"/>
        <v>24</v>
      </c>
      <c r="DA12" s="193">
        <f t="shared" si="46"/>
        <v>1</v>
      </c>
      <c r="DB12" s="193">
        <f t="shared" si="46"/>
        <v>10</v>
      </c>
      <c r="DC12" s="193">
        <f t="shared" si="46"/>
        <v>4</v>
      </c>
      <c r="DD12" s="193">
        <f t="shared" si="46"/>
        <v>5</v>
      </c>
      <c r="DE12" s="193">
        <f t="shared" si="46"/>
        <v>1</v>
      </c>
      <c r="DF12" s="193">
        <f t="shared" si="46"/>
        <v>39</v>
      </c>
      <c r="DG12" s="193">
        <f t="shared" si="46"/>
        <v>6</v>
      </c>
      <c r="DH12" s="193">
        <f t="shared" si="46"/>
        <v>45</v>
      </c>
      <c r="DI12" s="193">
        <f t="shared" si="46"/>
        <v>0</v>
      </c>
      <c r="DJ12" s="193">
        <f t="shared" si="46"/>
        <v>0</v>
      </c>
      <c r="DK12" s="193">
        <f t="shared" si="46"/>
        <v>0</v>
      </c>
      <c r="DL12" s="193">
        <f t="shared" si="46"/>
        <v>0</v>
      </c>
      <c r="DM12" s="193">
        <f t="shared" si="46"/>
        <v>0</v>
      </c>
      <c r="DN12" s="193">
        <f t="shared" si="46"/>
        <v>0</v>
      </c>
      <c r="DO12" s="193">
        <f t="shared" si="46"/>
        <v>0</v>
      </c>
      <c r="DP12" s="193">
        <f t="shared" si="46"/>
        <v>0</v>
      </c>
      <c r="DQ12" s="193">
        <f t="shared" si="46"/>
        <v>0</v>
      </c>
      <c r="DR12" s="193">
        <f t="shared" si="46"/>
        <v>396</v>
      </c>
      <c r="DS12" s="193">
        <f t="shared" si="46"/>
        <v>137</v>
      </c>
      <c r="DT12" s="193">
        <f t="shared" si="46"/>
        <v>201</v>
      </c>
      <c r="DU12" s="193">
        <f t="shared" si="46"/>
        <v>116</v>
      </c>
      <c r="DV12" s="193">
        <f t="shared" si="46"/>
        <v>258</v>
      </c>
      <c r="DW12" s="193">
        <f t="shared" si="46"/>
        <v>102</v>
      </c>
      <c r="DX12" s="193">
        <f t="shared" si="46"/>
        <v>855</v>
      </c>
      <c r="DY12" s="193">
        <f t="shared" si="46"/>
        <v>355</v>
      </c>
      <c r="DZ12" s="193">
        <f t="shared" si="46"/>
        <v>1210</v>
      </c>
      <c r="EA12" s="193">
        <f t="shared" si="46"/>
        <v>69</v>
      </c>
      <c r="EB12" s="193">
        <f t="shared" si="46"/>
        <v>3</v>
      </c>
      <c r="EC12" s="193">
        <f t="shared" si="46"/>
        <v>24</v>
      </c>
      <c r="ED12" s="193">
        <f t="shared" si="46"/>
        <v>2</v>
      </c>
      <c r="EE12" s="193">
        <f t="shared" ref="EE12:GR12" si="47">EE11</f>
        <v>91</v>
      </c>
      <c r="EF12" s="193">
        <f t="shared" si="47"/>
        <v>8</v>
      </c>
      <c r="EG12" s="193">
        <f t="shared" si="47"/>
        <v>184</v>
      </c>
      <c r="EH12" s="193">
        <f t="shared" si="47"/>
        <v>13</v>
      </c>
      <c r="EI12" s="193">
        <f t="shared" si="47"/>
        <v>197</v>
      </c>
      <c r="EJ12" s="193">
        <f t="shared" si="47"/>
        <v>22</v>
      </c>
      <c r="EK12" s="193">
        <f t="shared" si="47"/>
        <v>3</v>
      </c>
      <c r="EL12" s="193">
        <f t="shared" si="47"/>
        <v>7</v>
      </c>
      <c r="EM12" s="193">
        <f t="shared" si="47"/>
        <v>2</v>
      </c>
      <c r="EN12" s="193">
        <f t="shared" si="47"/>
        <v>28</v>
      </c>
      <c r="EO12" s="193">
        <f t="shared" si="47"/>
        <v>0</v>
      </c>
      <c r="EP12" s="193">
        <f t="shared" si="47"/>
        <v>57</v>
      </c>
      <c r="EQ12" s="193">
        <f t="shared" si="47"/>
        <v>5</v>
      </c>
      <c r="ER12" s="193">
        <f t="shared" si="47"/>
        <v>62</v>
      </c>
      <c r="ES12" s="193">
        <f t="shared" si="47"/>
        <v>0</v>
      </c>
      <c r="ET12" s="193">
        <f t="shared" si="47"/>
        <v>0</v>
      </c>
      <c r="EU12" s="193">
        <f t="shared" si="47"/>
        <v>0</v>
      </c>
      <c r="EV12" s="193">
        <f t="shared" si="47"/>
        <v>0</v>
      </c>
      <c r="EW12" s="193">
        <f t="shared" si="47"/>
        <v>29</v>
      </c>
      <c r="EX12" s="193">
        <f t="shared" si="47"/>
        <v>1</v>
      </c>
      <c r="EY12" s="115">
        <f t="shared" si="25"/>
        <v>29</v>
      </c>
      <c r="EZ12" s="115">
        <f t="shared" si="26"/>
        <v>1</v>
      </c>
      <c r="FA12" s="115">
        <f t="shared" si="27"/>
        <v>30</v>
      </c>
      <c r="FB12" s="193">
        <f t="shared" si="47"/>
        <v>4</v>
      </c>
      <c r="FC12" s="193">
        <f t="shared" si="47"/>
        <v>1</v>
      </c>
      <c r="FD12" s="193">
        <f t="shared" si="47"/>
        <v>10</v>
      </c>
      <c r="FE12" s="193">
        <f t="shared" si="47"/>
        <v>5</v>
      </c>
      <c r="FF12" s="193">
        <f t="shared" si="47"/>
        <v>68</v>
      </c>
      <c r="FG12" s="193">
        <f t="shared" si="47"/>
        <v>74</v>
      </c>
      <c r="FH12" s="193">
        <f t="shared" si="47"/>
        <v>32</v>
      </c>
      <c r="FI12" s="193">
        <f t="shared" si="47"/>
        <v>46</v>
      </c>
      <c r="FJ12" s="193">
        <f t="shared" si="47"/>
        <v>0</v>
      </c>
      <c r="FK12" s="193">
        <f t="shared" si="47"/>
        <v>0</v>
      </c>
      <c r="FL12" s="193">
        <f t="shared" si="47"/>
        <v>114</v>
      </c>
      <c r="FM12" s="193">
        <f t="shared" si="47"/>
        <v>126</v>
      </c>
      <c r="FN12" s="193">
        <f t="shared" si="47"/>
        <v>240</v>
      </c>
      <c r="FO12" s="193">
        <f t="shared" si="47"/>
        <v>10</v>
      </c>
      <c r="FP12" s="193">
        <f t="shared" si="47"/>
        <v>9</v>
      </c>
      <c r="FQ12" s="193">
        <f t="shared" si="47"/>
        <v>1</v>
      </c>
      <c r="FR12" s="193">
        <f t="shared" si="47"/>
        <v>3</v>
      </c>
      <c r="FS12" s="193">
        <f t="shared" si="47"/>
        <v>1</v>
      </c>
      <c r="FT12" s="193">
        <f t="shared" si="47"/>
        <v>0</v>
      </c>
      <c r="FU12" s="193">
        <f t="shared" si="47"/>
        <v>0</v>
      </c>
      <c r="FV12" s="193">
        <f t="shared" si="47"/>
        <v>0</v>
      </c>
      <c r="FW12" s="193">
        <f t="shared" si="47"/>
        <v>6</v>
      </c>
      <c r="FX12" s="193">
        <f t="shared" si="47"/>
        <v>2</v>
      </c>
      <c r="FY12" s="193">
        <f t="shared" si="47"/>
        <v>3</v>
      </c>
      <c r="FZ12" s="193">
        <f t="shared" si="47"/>
        <v>0</v>
      </c>
      <c r="GA12" s="193">
        <f t="shared" si="47"/>
        <v>0</v>
      </c>
      <c r="GB12" s="193">
        <f t="shared" si="47"/>
        <v>0</v>
      </c>
      <c r="GC12" s="193"/>
      <c r="GD12" s="193"/>
      <c r="GE12" s="193">
        <f t="shared" si="47"/>
        <v>0</v>
      </c>
      <c r="GF12" s="193">
        <f t="shared" si="47"/>
        <v>0</v>
      </c>
      <c r="GG12" s="193">
        <f t="shared" si="47"/>
        <v>21</v>
      </c>
      <c r="GH12" s="193">
        <f t="shared" si="47"/>
        <v>14</v>
      </c>
      <c r="GI12" s="193">
        <f t="shared" si="47"/>
        <v>35</v>
      </c>
      <c r="GJ12" s="193">
        <f t="shared" si="47"/>
        <v>4</v>
      </c>
      <c r="GK12" s="193">
        <f t="shared" si="47"/>
        <v>11</v>
      </c>
      <c r="GL12" s="193">
        <f t="shared" si="47"/>
        <v>3</v>
      </c>
      <c r="GM12" s="193">
        <f t="shared" si="47"/>
        <v>6</v>
      </c>
      <c r="GN12" s="193">
        <f t="shared" si="47"/>
        <v>4</v>
      </c>
      <c r="GO12" s="193">
        <f t="shared" si="47"/>
        <v>3</v>
      </c>
      <c r="GP12" s="193">
        <f t="shared" si="47"/>
        <v>0</v>
      </c>
      <c r="GQ12" s="193">
        <f t="shared" si="47"/>
        <v>0</v>
      </c>
      <c r="GR12" s="193">
        <f t="shared" si="47"/>
        <v>2</v>
      </c>
      <c r="GS12" s="193">
        <f t="shared" ref="GS12:JD12" si="48">GS11</f>
        <v>8</v>
      </c>
      <c r="GT12" s="193">
        <f t="shared" si="48"/>
        <v>5</v>
      </c>
      <c r="GU12" s="193">
        <f t="shared" si="48"/>
        <v>4</v>
      </c>
      <c r="GV12" s="193">
        <f t="shared" si="48"/>
        <v>1</v>
      </c>
      <c r="GW12" s="193">
        <f t="shared" si="48"/>
        <v>0</v>
      </c>
      <c r="GX12" s="193">
        <f t="shared" si="48"/>
        <v>0</v>
      </c>
      <c r="GY12" s="193">
        <f t="shared" si="48"/>
        <v>0</v>
      </c>
      <c r="GZ12" s="193">
        <f t="shared" si="48"/>
        <v>0</v>
      </c>
      <c r="HA12" s="193">
        <f t="shared" si="48"/>
        <v>0</v>
      </c>
      <c r="HB12" s="193">
        <f t="shared" si="48"/>
        <v>0</v>
      </c>
      <c r="HC12" s="193">
        <f t="shared" si="48"/>
        <v>0</v>
      </c>
      <c r="HD12" s="193">
        <f t="shared" si="48"/>
        <v>0</v>
      </c>
      <c r="HE12" s="193">
        <f t="shared" si="48"/>
        <v>0</v>
      </c>
      <c r="HF12" s="193">
        <f t="shared" si="48"/>
        <v>5</v>
      </c>
      <c r="HG12" s="193">
        <f t="shared" si="48"/>
        <v>2</v>
      </c>
      <c r="HH12" s="193">
        <f t="shared" si="48"/>
        <v>1</v>
      </c>
      <c r="HI12" s="193">
        <f t="shared" si="48"/>
        <v>2</v>
      </c>
      <c r="HJ12" s="193">
        <f t="shared" si="48"/>
        <v>0</v>
      </c>
      <c r="HK12" s="193">
        <f t="shared" si="48"/>
        <v>0</v>
      </c>
      <c r="HL12" s="193">
        <f t="shared" si="48"/>
        <v>0</v>
      </c>
      <c r="HM12" s="193">
        <f t="shared" si="48"/>
        <v>0</v>
      </c>
      <c r="HN12" s="193">
        <f t="shared" si="48"/>
        <v>0</v>
      </c>
      <c r="HO12" s="193">
        <f t="shared" si="48"/>
        <v>0</v>
      </c>
      <c r="HP12" s="193">
        <f t="shared" si="48"/>
        <v>0</v>
      </c>
      <c r="HQ12" s="193">
        <f t="shared" si="48"/>
        <v>0</v>
      </c>
      <c r="HR12" s="193">
        <f t="shared" si="48"/>
        <v>0</v>
      </c>
      <c r="HS12" s="193">
        <f t="shared" si="48"/>
        <v>0</v>
      </c>
      <c r="HT12" s="193">
        <f t="shared" si="48"/>
        <v>0</v>
      </c>
      <c r="HU12" s="193">
        <f t="shared" si="48"/>
        <v>0</v>
      </c>
      <c r="HV12" s="193">
        <f t="shared" si="48"/>
        <v>0</v>
      </c>
      <c r="HW12" s="193">
        <f t="shared" si="48"/>
        <v>0</v>
      </c>
      <c r="HX12" s="193">
        <f t="shared" si="48"/>
        <v>0</v>
      </c>
      <c r="HY12" s="193">
        <f t="shared" si="48"/>
        <v>0</v>
      </c>
      <c r="HZ12" s="193">
        <f t="shared" si="48"/>
        <v>0</v>
      </c>
      <c r="IA12" s="193">
        <f t="shared" si="48"/>
        <v>0</v>
      </c>
      <c r="IB12" s="193">
        <f t="shared" si="48"/>
        <v>0</v>
      </c>
      <c r="IC12" s="193">
        <f t="shared" si="48"/>
        <v>0</v>
      </c>
      <c r="ID12" s="193">
        <f t="shared" si="48"/>
        <v>1</v>
      </c>
      <c r="IE12" s="193">
        <f t="shared" si="48"/>
        <v>0</v>
      </c>
      <c r="IF12" s="193">
        <f t="shared" si="48"/>
        <v>11</v>
      </c>
      <c r="IG12" s="193">
        <f t="shared" si="48"/>
        <v>32</v>
      </c>
      <c r="IH12" s="193">
        <f t="shared" si="48"/>
        <v>6</v>
      </c>
      <c r="II12" s="193">
        <f t="shared" si="48"/>
        <v>5</v>
      </c>
      <c r="IJ12" s="193">
        <f t="shared" si="48"/>
        <v>9</v>
      </c>
      <c r="IK12" s="193">
        <f t="shared" si="48"/>
        <v>0</v>
      </c>
      <c r="IL12" s="193">
        <f t="shared" si="48"/>
        <v>0</v>
      </c>
      <c r="IM12" s="193">
        <f t="shared" si="48"/>
        <v>0</v>
      </c>
      <c r="IN12" s="193">
        <f t="shared" si="48"/>
        <v>2</v>
      </c>
      <c r="IO12" s="193">
        <f t="shared" si="48"/>
        <v>2</v>
      </c>
      <c r="IP12" s="193">
        <f t="shared" si="48"/>
        <v>0</v>
      </c>
      <c r="IQ12" s="193">
        <f t="shared" si="48"/>
        <v>0</v>
      </c>
      <c r="IR12" s="193">
        <f t="shared" si="48"/>
        <v>0</v>
      </c>
      <c r="IS12" s="193">
        <f t="shared" si="48"/>
        <v>0</v>
      </c>
      <c r="IT12" s="193">
        <f t="shared" si="48"/>
        <v>0</v>
      </c>
      <c r="IU12" s="193">
        <f t="shared" si="48"/>
        <v>0</v>
      </c>
      <c r="IV12" s="193">
        <f t="shared" si="48"/>
        <v>0</v>
      </c>
      <c r="IW12" s="193">
        <f t="shared" si="48"/>
        <v>0</v>
      </c>
      <c r="IX12" s="193">
        <f t="shared" si="48"/>
        <v>0</v>
      </c>
      <c r="IY12" s="193">
        <f t="shared" si="48"/>
        <v>0</v>
      </c>
      <c r="IZ12" s="193">
        <f t="shared" si="48"/>
        <v>0</v>
      </c>
      <c r="JA12" s="193">
        <f t="shared" si="48"/>
        <v>0</v>
      </c>
      <c r="JB12" s="193">
        <f t="shared" si="48"/>
        <v>0</v>
      </c>
      <c r="JC12" s="193">
        <f t="shared" si="48"/>
        <v>3</v>
      </c>
      <c r="JD12" s="193">
        <f t="shared" si="48"/>
        <v>0</v>
      </c>
      <c r="JE12" s="193">
        <f t="shared" ref="JE12:LN12" si="49">JE11</f>
        <v>0</v>
      </c>
      <c r="JF12" s="193">
        <f t="shared" si="49"/>
        <v>0</v>
      </c>
      <c r="JG12" s="193">
        <f t="shared" si="49"/>
        <v>0</v>
      </c>
      <c r="JH12" s="193">
        <f t="shared" si="49"/>
        <v>0</v>
      </c>
      <c r="JI12" s="193">
        <f t="shared" si="49"/>
        <v>0</v>
      </c>
      <c r="JJ12" s="193">
        <f t="shared" si="49"/>
        <v>3</v>
      </c>
      <c r="JK12" s="193">
        <f t="shared" si="49"/>
        <v>0</v>
      </c>
      <c r="JL12" s="193">
        <f t="shared" si="49"/>
        <v>0</v>
      </c>
      <c r="JM12" s="193">
        <f t="shared" si="49"/>
        <v>0</v>
      </c>
      <c r="JN12" s="193">
        <f t="shared" si="49"/>
        <v>0</v>
      </c>
      <c r="JO12" s="193">
        <f t="shared" si="49"/>
        <v>0</v>
      </c>
      <c r="JP12" s="193">
        <f t="shared" si="49"/>
        <v>1</v>
      </c>
      <c r="JQ12" s="193">
        <f t="shared" si="49"/>
        <v>0</v>
      </c>
      <c r="JR12" s="193">
        <f t="shared" si="49"/>
        <v>2</v>
      </c>
      <c r="JS12" s="193">
        <f t="shared" si="49"/>
        <v>0</v>
      </c>
      <c r="JT12" s="193">
        <f t="shared" si="49"/>
        <v>0</v>
      </c>
      <c r="JU12" s="193">
        <f t="shared" si="49"/>
        <v>0</v>
      </c>
      <c r="JV12" s="193">
        <f t="shared" si="49"/>
        <v>0</v>
      </c>
      <c r="JW12" s="193">
        <f t="shared" si="49"/>
        <v>0</v>
      </c>
      <c r="JX12" s="193">
        <f t="shared" si="49"/>
        <v>0</v>
      </c>
      <c r="JY12" s="193">
        <f t="shared" si="49"/>
        <v>0</v>
      </c>
      <c r="JZ12" s="193">
        <f t="shared" si="49"/>
        <v>0</v>
      </c>
      <c r="KA12" s="193">
        <f t="shared" si="49"/>
        <v>0</v>
      </c>
      <c r="KB12" s="193">
        <f t="shared" si="49"/>
        <v>0</v>
      </c>
      <c r="KC12" s="193">
        <f t="shared" si="49"/>
        <v>0</v>
      </c>
      <c r="KD12" s="193">
        <f t="shared" si="49"/>
        <v>0</v>
      </c>
      <c r="KE12" s="193">
        <f t="shared" si="49"/>
        <v>1</v>
      </c>
      <c r="KF12" s="193">
        <f t="shared" si="49"/>
        <v>0</v>
      </c>
      <c r="KG12" s="193">
        <f t="shared" si="49"/>
        <v>0</v>
      </c>
      <c r="KH12" s="193">
        <f t="shared" si="49"/>
        <v>1</v>
      </c>
      <c r="KI12" s="193">
        <f t="shared" si="49"/>
        <v>0</v>
      </c>
      <c r="KJ12" s="193">
        <f t="shared" si="49"/>
        <v>0</v>
      </c>
      <c r="KK12" s="193">
        <f t="shared" si="49"/>
        <v>0</v>
      </c>
      <c r="KL12" s="193">
        <f t="shared" si="49"/>
        <v>0</v>
      </c>
      <c r="KM12" s="193">
        <f t="shared" si="49"/>
        <v>0</v>
      </c>
      <c r="KN12" s="193">
        <f t="shared" si="49"/>
        <v>23</v>
      </c>
      <c r="KO12" s="193">
        <f t="shared" si="49"/>
        <v>26</v>
      </c>
      <c r="KP12" s="193">
        <f t="shared" si="49"/>
        <v>0</v>
      </c>
      <c r="KQ12" s="193">
        <f t="shared" si="49"/>
        <v>0</v>
      </c>
      <c r="KR12" s="193">
        <f t="shared" si="49"/>
        <v>0</v>
      </c>
      <c r="KS12" s="193">
        <f t="shared" si="49"/>
        <v>0</v>
      </c>
      <c r="KT12" s="193">
        <f t="shared" si="49"/>
        <v>30</v>
      </c>
      <c r="KU12" s="193">
        <f t="shared" si="49"/>
        <v>21</v>
      </c>
      <c r="KV12" s="193">
        <f t="shared" si="49"/>
        <v>114</v>
      </c>
      <c r="KW12" s="193">
        <f t="shared" si="49"/>
        <v>126</v>
      </c>
      <c r="KX12" s="193">
        <f t="shared" si="49"/>
        <v>240</v>
      </c>
      <c r="KY12" s="193">
        <f t="shared" si="49"/>
        <v>106</v>
      </c>
      <c r="KZ12" s="193">
        <f t="shared" si="49"/>
        <v>115</v>
      </c>
      <c r="LA12" s="193">
        <f t="shared" si="49"/>
        <v>0</v>
      </c>
      <c r="LB12" s="193">
        <f t="shared" si="49"/>
        <v>0</v>
      </c>
      <c r="LC12" s="193">
        <f t="shared" si="49"/>
        <v>3</v>
      </c>
      <c r="LD12" s="193">
        <f t="shared" si="49"/>
        <v>0</v>
      </c>
      <c r="LE12" s="193">
        <f t="shared" si="49"/>
        <v>0</v>
      </c>
      <c r="LF12" s="193">
        <f t="shared" si="49"/>
        <v>0</v>
      </c>
      <c r="LG12" s="193">
        <f t="shared" si="49"/>
        <v>1</v>
      </c>
      <c r="LH12" s="193">
        <f t="shared" si="49"/>
        <v>0</v>
      </c>
      <c r="LI12" s="193">
        <f t="shared" si="49"/>
        <v>1</v>
      </c>
      <c r="LJ12" s="193">
        <f t="shared" si="49"/>
        <v>6</v>
      </c>
      <c r="LK12" s="193">
        <f t="shared" si="49"/>
        <v>0</v>
      </c>
      <c r="LL12" s="193">
        <f t="shared" si="49"/>
        <v>3</v>
      </c>
      <c r="LM12" s="193">
        <f t="shared" si="49"/>
        <v>0</v>
      </c>
      <c r="LN12" s="193">
        <f t="shared" si="49"/>
        <v>0</v>
      </c>
      <c r="LO12" s="193">
        <f t="shared" ref="LO12:LP12" si="50">LO11</f>
        <v>3</v>
      </c>
      <c r="LP12" s="193">
        <f t="shared" si="50"/>
        <v>2</v>
      </c>
      <c r="LQ12" s="168">
        <f t="shared" si="31"/>
        <v>114</v>
      </c>
      <c r="LR12" s="168">
        <f t="shared" si="32"/>
        <v>126</v>
      </c>
      <c r="LS12" s="193">
        <f t="shared" ref="LS12:OA12" si="51">LS11</f>
        <v>240</v>
      </c>
      <c r="LT12" s="193">
        <f t="shared" si="51"/>
        <v>7</v>
      </c>
      <c r="LU12" s="193">
        <f t="shared" si="51"/>
        <v>5</v>
      </c>
      <c r="LV12" s="193">
        <f t="shared" si="51"/>
        <v>8</v>
      </c>
      <c r="LW12" s="193">
        <f t="shared" si="51"/>
        <v>10</v>
      </c>
      <c r="LX12" s="193">
        <f t="shared" si="51"/>
        <v>24</v>
      </c>
      <c r="LY12" s="193">
        <f t="shared" si="51"/>
        <v>16</v>
      </c>
      <c r="LZ12" s="193">
        <f t="shared" si="51"/>
        <v>75</v>
      </c>
      <c r="MA12" s="193">
        <f t="shared" si="51"/>
        <v>95</v>
      </c>
      <c r="MB12" s="193">
        <f t="shared" si="51"/>
        <v>114</v>
      </c>
      <c r="MC12" s="193">
        <f t="shared" si="51"/>
        <v>126</v>
      </c>
      <c r="MD12" s="193">
        <f t="shared" si="51"/>
        <v>240</v>
      </c>
      <c r="ME12" s="193">
        <f t="shared" si="51"/>
        <v>8</v>
      </c>
      <c r="MF12" s="193">
        <f t="shared" si="51"/>
        <v>2</v>
      </c>
      <c r="MG12" s="193">
        <f t="shared" si="51"/>
        <v>19</v>
      </c>
      <c r="MH12" s="193">
        <f t="shared" si="51"/>
        <v>15</v>
      </c>
      <c r="MI12" s="193">
        <f t="shared" si="51"/>
        <v>38</v>
      </c>
      <c r="MJ12" s="193">
        <f t="shared" si="51"/>
        <v>36</v>
      </c>
      <c r="MK12" s="193">
        <f t="shared" si="51"/>
        <v>39</v>
      </c>
      <c r="ML12" s="193">
        <f t="shared" si="51"/>
        <v>60</v>
      </c>
      <c r="MM12" s="193">
        <f t="shared" si="51"/>
        <v>10</v>
      </c>
      <c r="MN12" s="193">
        <f t="shared" si="51"/>
        <v>13</v>
      </c>
      <c r="MO12" s="193">
        <f t="shared" si="51"/>
        <v>114</v>
      </c>
      <c r="MP12" s="193">
        <f t="shared" si="51"/>
        <v>126</v>
      </c>
      <c r="MQ12" s="193">
        <f t="shared" si="51"/>
        <v>240</v>
      </c>
      <c r="MR12" s="193">
        <f t="shared" si="51"/>
        <v>2</v>
      </c>
      <c r="MS12" s="193">
        <f t="shared" si="51"/>
        <v>19</v>
      </c>
      <c r="MT12" s="193">
        <f t="shared" si="51"/>
        <v>109</v>
      </c>
      <c r="MU12" s="193">
        <f t="shared" si="51"/>
        <v>100</v>
      </c>
      <c r="MV12" s="193">
        <f t="shared" si="51"/>
        <v>1</v>
      </c>
      <c r="MW12" s="193">
        <f t="shared" si="51"/>
        <v>6</v>
      </c>
      <c r="MX12" s="193">
        <f t="shared" si="51"/>
        <v>2</v>
      </c>
      <c r="MY12" s="193">
        <f t="shared" si="51"/>
        <v>1</v>
      </c>
      <c r="MZ12" s="193">
        <f t="shared" si="51"/>
        <v>114</v>
      </c>
      <c r="NA12" s="193">
        <f t="shared" si="51"/>
        <v>126</v>
      </c>
      <c r="NB12" s="193">
        <f t="shared" si="51"/>
        <v>240</v>
      </c>
      <c r="NC12" s="193">
        <f t="shared" si="51"/>
        <v>43</v>
      </c>
      <c r="ND12" s="193">
        <f t="shared" si="51"/>
        <v>17</v>
      </c>
      <c r="NE12" s="193">
        <f t="shared" si="51"/>
        <v>2</v>
      </c>
      <c r="NF12" s="193">
        <f t="shared" si="51"/>
        <v>0</v>
      </c>
      <c r="NG12" s="193">
        <f t="shared" si="51"/>
        <v>3</v>
      </c>
      <c r="NH12" s="193">
        <f t="shared" si="51"/>
        <v>2</v>
      </c>
      <c r="NI12" s="193">
        <f t="shared" si="51"/>
        <v>29</v>
      </c>
      <c r="NJ12" s="193">
        <f t="shared" si="51"/>
        <v>38</v>
      </c>
      <c r="NK12" s="193">
        <f t="shared" si="51"/>
        <v>31</v>
      </c>
      <c r="NL12" s="193">
        <f t="shared" si="51"/>
        <v>39</v>
      </c>
      <c r="NM12" s="193">
        <f t="shared" si="51"/>
        <v>27</v>
      </c>
      <c r="NN12" s="193">
        <f t="shared" si="51"/>
        <v>40</v>
      </c>
      <c r="NO12" s="193">
        <f t="shared" si="51"/>
        <v>0</v>
      </c>
      <c r="NP12" s="193">
        <f t="shared" si="51"/>
        <v>0</v>
      </c>
      <c r="NQ12" s="193">
        <f t="shared" si="51"/>
        <v>19</v>
      </c>
      <c r="NR12" s="193">
        <f t="shared" si="51"/>
        <v>7</v>
      </c>
      <c r="NS12" s="193">
        <f t="shared" si="51"/>
        <v>3</v>
      </c>
      <c r="NT12" s="193">
        <f t="shared" si="51"/>
        <v>0</v>
      </c>
      <c r="NU12" s="193">
        <f t="shared" si="51"/>
        <v>0</v>
      </c>
      <c r="NV12" s="193">
        <f t="shared" si="51"/>
        <v>0</v>
      </c>
      <c r="NW12" s="193">
        <f t="shared" si="51"/>
        <v>114</v>
      </c>
      <c r="NX12" s="193">
        <f t="shared" si="51"/>
        <v>126</v>
      </c>
      <c r="NY12" s="193">
        <f t="shared" si="51"/>
        <v>240</v>
      </c>
      <c r="NZ12" s="193">
        <f t="shared" si="51"/>
        <v>0</v>
      </c>
      <c r="OA12" s="193">
        <f t="shared" si="51"/>
        <v>0</v>
      </c>
      <c r="OB12" s="193">
        <f t="shared" ref="OB12:QS12" si="52">OB11</f>
        <v>1</v>
      </c>
      <c r="OC12" s="193">
        <f t="shared" si="52"/>
        <v>0</v>
      </c>
      <c r="OD12" s="193">
        <f t="shared" si="52"/>
        <v>0</v>
      </c>
      <c r="OE12" s="193">
        <f t="shared" si="52"/>
        <v>0</v>
      </c>
      <c r="OF12" s="193">
        <f t="shared" si="52"/>
        <v>1</v>
      </c>
      <c r="OG12" s="193">
        <f t="shared" si="52"/>
        <v>0</v>
      </c>
      <c r="OH12" s="193">
        <f t="shared" si="52"/>
        <v>1</v>
      </c>
      <c r="OI12" s="193">
        <f t="shared" ref="OI12:OT12" si="53">OI11</f>
        <v>1</v>
      </c>
      <c r="OJ12" s="193">
        <f t="shared" si="53"/>
        <v>4</v>
      </c>
      <c r="OK12" s="193">
        <f t="shared" si="53"/>
        <v>5</v>
      </c>
      <c r="OL12" s="193">
        <f t="shared" si="53"/>
        <v>0</v>
      </c>
      <c r="OM12" s="193">
        <f t="shared" si="53"/>
        <v>0</v>
      </c>
      <c r="ON12" s="193">
        <f t="shared" si="53"/>
        <v>5</v>
      </c>
      <c r="OO12" s="193">
        <f t="shared" si="53"/>
        <v>0</v>
      </c>
      <c r="OP12" s="193">
        <f t="shared" si="53"/>
        <v>5</v>
      </c>
      <c r="OQ12" s="193">
        <f t="shared" si="53"/>
        <v>0</v>
      </c>
      <c r="OR12" s="193">
        <f t="shared" si="53"/>
        <v>0</v>
      </c>
      <c r="OS12" s="193">
        <f t="shared" si="53"/>
        <v>0</v>
      </c>
      <c r="OT12" s="193">
        <f t="shared" si="53"/>
        <v>0</v>
      </c>
      <c r="OU12" s="193">
        <f t="shared" si="52"/>
        <v>4</v>
      </c>
      <c r="OV12" s="193">
        <f t="shared" si="52"/>
        <v>0</v>
      </c>
      <c r="OW12" s="193"/>
      <c r="OX12" s="193"/>
      <c r="OY12" s="193"/>
      <c r="OZ12" s="193">
        <f t="shared" si="52"/>
        <v>1</v>
      </c>
      <c r="PA12" s="193">
        <f t="shared" si="52"/>
        <v>3</v>
      </c>
      <c r="PB12" s="193">
        <f t="shared" si="52"/>
        <v>0</v>
      </c>
      <c r="PC12" s="193">
        <f t="shared" si="52"/>
        <v>3</v>
      </c>
      <c r="PD12" s="193">
        <f t="shared" si="52"/>
        <v>1</v>
      </c>
      <c r="PE12" s="193">
        <f t="shared" si="52"/>
        <v>0</v>
      </c>
      <c r="PF12" s="193">
        <f t="shared" si="52"/>
        <v>0</v>
      </c>
      <c r="PG12" s="193">
        <f t="shared" si="52"/>
        <v>0</v>
      </c>
      <c r="PH12" s="193">
        <f t="shared" si="52"/>
        <v>1</v>
      </c>
      <c r="PI12" s="193">
        <f t="shared" si="52"/>
        <v>3</v>
      </c>
      <c r="PJ12" s="193">
        <f t="shared" si="52"/>
        <v>3</v>
      </c>
      <c r="PK12" s="193">
        <f t="shared" si="52"/>
        <v>1</v>
      </c>
      <c r="PL12" s="193">
        <f t="shared" si="52"/>
        <v>17</v>
      </c>
      <c r="PM12" s="193">
        <f t="shared" si="52"/>
        <v>91</v>
      </c>
      <c r="PN12" s="193">
        <f t="shared" si="52"/>
        <v>32</v>
      </c>
      <c r="PO12" s="193">
        <f t="shared" si="52"/>
        <v>123</v>
      </c>
      <c r="PP12" s="193">
        <f t="shared" si="52"/>
        <v>4</v>
      </c>
      <c r="PQ12" s="193">
        <f t="shared" si="52"/>
        <v>0</v>
      </c>
      <c r="PR12" s="193">
        <f t="shared" si="52"/>
        <v>0</v>
      </c>
      <c r="PS12" s="193">
        <f t="shared" si="52"/>
        <v>0</v>
      </c>
      <c r="PT12" s="193">
        <f t="shared" si="52"/>
        <v>0</v>
      </c>
      <c r="PU12" s="193">
        <f t="shared" si="52"/>
        <v>0</v>
      </c>
      <c r="PV12" s="193">
        <f t="shared" ref="PV12:QH12" si="54">PV11</f>
        <v>4</v>
      </c>
      <c r="PW12" s="193">
        <f t="shared" si="54"/>
        <v>0</v>
      </c>
      <c r="PX12" s="193">
        <f t="shared" si="54"/>
        <v>3</v>
      </c>
      <c r="PY12" s="193">
        <f t="shared" si="54"/>
        <v>1</v>
      </c>
      <c r="PZ12" s="193">
        <f t="shared" si="54"/>
        <v>2</v>
      </c>
      <c r="QA12" s="193">
        <f t="shared" si="54"/>
        <v>2</v>
      </c>
      <c r="QB12" s="193">
        <f t="shared" si="54"/>
        <v>4</v>
      </c>
      <c r="QC12" s="193">
        <f t="shared" si="54"/>
        <v>0</v>
      </c>
      <c r="QD12" s="193">
        <f t="shared" si="54"/>
        <v>4</v>
      </c>
      <c r="QE12" s="193">
        <f t="shared" si="54"/>
        <v>0</v>
      </c>
      <c r="QF12" s="193">
        <f t="shared" si="54"/>
        <v>0</v>
      </c>
      <c r="QG12" s="193">
        <f t="shared" si="54"/>
        <v>0</v>
      </c>
      <c r="QH12" s="193">
        <f t="shared" si="54"/>
        <v>0</v>
      </c>
      <c r="QI12" s="193">
        <f t="shared" si="52"/>
        <v>4</v>
      </c>
      <c r="QJ12" s="193">
        <f t="shared" si="52"/>
        <v>0</v>
      </c>
      <c r="QK12" s="193">
        <f t="shared" si="52"/>
        <v>2</v>
      </c>
      <c r="QL12" s="193">
        <f t="shared" si="52"/>
        <v>2</v>
      </c>
      <c r="QM12" s="193">
        <f t="shared" si="52"/>
        <v>4</v>
      </c>
      <c r="QN12" s="193">
        <f t="shared" si="52"/>
        <v>0</v>
      </c>
      <c r="QO12" s="193">
        <f t="shared" si="52"/>
        <v>4</v>
      </c>
      <c r="QP12" s="193">
        <f t="shared" si="52"/>
        <v>0</v>
      </c>
      <c r="QQ12" s="193">
        <f t="shared" si="52"/>
        <v>0</v>
      </c>
      <c r="QR12" s="193">
        <f t="shared" si="52"/>
        <v>2</v>
      </c>
      <c r="QS12" s="193">
        <f t="shared" si="52"/>
        <v>2</v>
      </c>
      <c r="QT12" s="193">
        <f t="shared" ref="QT12:SP12" si="55">QT11</f>
        <v>0</v>
      </c>
      <c r="QU12" s="193">
        <f t="shared" si="55"/>
        <v>4</v>
      </c>
      <c r="QV12" s="193">
        <f t="shared" si="55"/>
        <v>0</v>
      </c>
      <c r="QW12" s="193">
        <f t="shared" si="55"/>
        <v>0</v>
      </c>
      <c r="QX12" s="193">
        <f t="shared" si="55"/>
        <v>0</v>
      </c>
      <c r="QY12" s="193">
        <f t="shared" si="55"/>
        <v>2</v>
      </c>
      <c r="QZ12" s="193">
        <f t="shared" si="55"/>
        <v>2</v>
      </c>
      <c r="RA12" s="193">
        <f t="shared" si="55"/>
        <v>0</v>
      </c>
      <c r="RB12" s="193">
        <f>RB11</f>
        <v>4</v>
      </c>
      <c r="RC12" s="193">
        <f>RC11</f>
        <v>0</v>
      </c>
      <c r="RD12" s="193">
        <f t="shared" si="55"/>
        <v>4</v>
      </c>
      <c r="RE12" s="193">
        <f t="shared" si="55"/>
        <v>0</v>
      </c>
      <c r="RF12" s="193">
        <f t="shared" si="55"/>
        <v>3</v>
      </c>
      <c r="RG12" s="193">
        <f t="shared" si="55"/>
        <v>1</v>
      </c>
      <c r="RH12" s="193">
        <f t="shared" si="55"/>
        <v>0</v>
      </c>
      <c r="RI12" s="193">
        <f t="shared" si="55"/>
        <v>4</v>
      </c>
      <c r="RJ12" s="193">
        <f t="shared" si="55"/>
        <v>0</v>
      </c>
      <c r="RK12" s="193">
        <f t="shared" si="55"/>
        <v>0</v>
      </c>
      <c r="RL12" s="193">
        <f t="shared" si="55"/>
        <v>2</v>
      </c>
      <c r="RM12" s="193">
        <f t="shared" si="55"/>
        <v>2</v>
      </c>
      <c r="RN12" s="193">
        <f t="shared" si="55"/>
        <v>0</v>
      </c>
      <c r="RO12" s="193"/>
      <c r="RP12" s="193"/>
      <c r="RQ12" s="193"/>
      <c r="RR12" s="193"/>
      <c r="RS12" s="193"/>
      <c r="RT12" s="193"/>
      <c r="RU12" s="193">
        <f t="shared" si="55"/>
        <v>86</v>
      </c>
      <c r="RV12" s="193">
        <f t="shared" si="55"/>
        <v>20</v>
      </c>
      <c r="RW12" s="193">
        <f t="shared" si="55"/>
        <v>15</v>
      </c>
      <c r="RX12" s="193">
        <f t="shared" si="55"/>
        <v>2</v>
      </c>
      <c r="RY12" s="193">
        <f t="shared" si="55"/>
        <v>3</v>
      </c>
      <c r="RZ12" s="193">
        <f t="shared" si="55"/>
        <v>1</v>
      </c>
      <c r="SA12" s="193">
        <f t="shared" si="55"/>
        <v>2</v>
      </c>
      <c r="SB12" s="193">
        <f t="shared" si="55"/>
        <v>3</v>
      </c>
      <c r="SC12" s="193">
        <f t="shared" si="55"/>
        <v>0</v>
      </c>
      <c r="SD12" s="193">
        <f t="shared" si="55"/>
        <v>0</v>
      </c>
      <c r="SE12" s="193">
        <f t="shared" si="55"/>
        <v>2</v>
      </c>
      <c r="SF12" s="193">
        <f t="shared" si="55"/>
        <v>0</v>
      </c>
      <c r="SG12" s="193">
        <f t="shared" si="55"/>
        <v>0</v>
      </c>
      <c r="SH12" s="193">
        <f t="shared" si="55"/>
        <v>0</v>
      </c>
      <c r="SI12" s="193">
        <f t="shared" si="55"/>
        <v>2</v>
      </c>
      <c r="SJ12" s="193">
        <f t="shared" si="55"/>
        <v>0</v>
      </c>
      <c r="SK12" s="193">
        <f t="shared" si="55"/>
        <v>0</v>
      </c>
      <c r="SL12" s="193">
        <f t="shared" si="55"/>
        <v>372</v>
      </c>
      <c r="SM12" s="193">
        <f t="shared" si="55"/>
        <v>50</v>
      </c>
      <c r="SN12" s="193">
        <f t="shared" si="55"/>
        <v>422</v>
      </c>
      <c r="SO12" s="193">
        <f t="shared" si="55"/>
        <v>14</v>
      </c>
      <c r="SP12" s="193">
        <f t="shared" si="55"/>
        <v>14</v>
      </c>
      <c r="SQ12" s="193"/>
      <c r="SR12" s="193"/>
      <c r="SS12" s="195"/>
    </row>
    <row r="13" spans="1:513" s="171" customFormat="1" ht="24.75" customHeight="1">
      <c r="A13" s="168" t="s">
        <v>185</v>
      </c>
      <c r="B13" s="168" t="s">
        <v>110</v>
      </c>
      <c r="C13" s="168">
        <v>6</v>
      </c>
      <c r="D13" s="168">
        <v>1400173</v>
      </c>
      <c r="E13" s="168" t="s">
        <v>206</v>
      </c>
      <c r="F13" s="168">
        <v>1</v>
      </c>
      <c r="G13" s="168"/>
      <c r="H13" s="168"/>
      <c r="I13" s="168">
        <v>1</v>
      </c>
      <c r="J13" s="168"/>
      <c r="K13" s="168">
        <v>1</v>
      </c>
      <c r="L13" s="168"/>
      <c r="M13" s="168"/>
      <c r="N13" s="168"/>
      <c r="O13" s="168">
        <v>1</v>
      </c>
      <c r="P13" s="168"/>
      <c r="Q13" s="168">
        <v>1</v>
      </c>
      <c r="R13" s="168"/>
      <c r="S13" s="168"/>
      <c r="T13" s="168"/>
      <c r="U13" s="168"/>
      <c r="V13" s="168">
        <v>24</v>
      </c>
      <c r="W13" s="168"/>
      <c r="X13" s="168">
        <v>9</v>
      </c>
      <c r="Y13" s="168"/>
      <c r="Z13" s="168">
        <v>7</v>
      </c>
      <c r="AA13" s="168"/>
      <c r="AB13" s="168">
        <v>11</v>
      </c>
      <c r="AC13" s="168"/>
      <c r="AD13" s="168">
        <v>2</v>
      </c>
      <c r="AE13" s="168"/>
      <c r="AF13" s="168">
        <f t="shared" ref="AF13" si="56">AD13+AB13+Z13+X13+V13</f>
        <v>53</v>
      </c>
      <c r="AG13" s="168">
        <f t="shared" ref="AG13" si="57">AE13+AC13+AA13+Y13+W13</f>
        <v>0</v>
      </c>
      <c r="AH13" s="168">
        <f>SUM(AF13:AG13)</f>
        <v>53</v>
      </c>
      <c r="AI13" s="168">
        <v>24</v>
      </c>
      <c r="AJ13" s="168"/>
      <c r="AK13" s="168">
        <v>9</v>
      </c>
      <c r="AL13" s="168"/>
      <c r="AM13" s="168">
        <v>7</v>
      </c>
      <c r="AN13" s="168"/>
      <c r="AO13" s="168">
        <v>11</v>
      </c>
      <c r="AP13" s="168"/>
      <c r="AQ13" s="168">
        <v>2</v>
      </c>
      <c r="AR13" s="168"/>
      <c r="AS13" s="168">
        <f>AQ13+AO13+AM13+AK13+AI13</f>
        <v>53</v>
      </c>
      <c r="AT13" s="168">
        <f>AR13+AP13+AN13+AL13+AJ13</f>
        <v>0</v>
      </c>
      <c r="AU13" s="168">
        <f>SUM(AS13:AT13)</f>
        <v>53</v>
      </c>
      <c r="AV13" s="168">
        <v>12</v>
      </c>
      <c r="AW13" s="168"/>
      <c r="AX13" s="168">
        <v>7</v>
      </c>
      <c r="AY13" s="168"/>
      <c r="AZ13" s="168">
        <v>13</v>
      </c>
      <c r="BA13" s="168"/>
      <c r="BB13" s="168">
        <v>4</v>
      </c>
      <c r="BC13" s="168"/>
      <c r="BD13" s="168">
        <v>2</v>
      </c>
      <c r="BE13" s="168"/>
      <c r="BF13" s="168">
        <f>BD13+BB13+AZ13+AX13+AV13</f>
        <v>38</v>
      </c>
      <c r="BG13" s="168">
        <f>BE13+BC13+BA13+AY13+AW13</f>
        <v>0</v>
      </c>
      <c r="BH13" s="168">
        <f>SUM(BF13:BG13)</f>
        <v>38</v>
      </c>
      <c r="BI13" s="168">
        <v>6</v>
      </c>
      <c r="BJ13" s="168"/>
      <c r="BK13" s="168">
        <v>14</v>
      </c>
      <c r="BL13" s="168"/>
      <c r="BM13" s="168">
        <v>14</v>
      </c>
      <c r="BN13" s="168"/>
      <c r="BO13" s="168">
        <v>5</v>
      </c>
      <c r="BP13" s="168"/>
      <c r="BQ13" s="168">
        <v>1</v>
      </c>
      <c r="BR13" s="168"/>
      <c r="BS13" s="168">
        <f>BQ13+BO13+BM13+BK13+BI13</f>
        <v>40</v>
      </c>
      <c r="BT13" s="168">
        <f>BR13+BP13+BN13+BL13+BJ13</f>
        <v>0</v>
      </c>
      <c r="BU13" s="168">
        <f>SUM(BS13:BT13)</f>
        <v>40</v>
      </c>
      <c r="BV13" s="168">
        <f>AI13</f>
        <v>24</v>
      </c>
      <c r="BW13" s="168">
        <f>AJ13</f>
        <v>0</v>
      </c>
      <c r="BX13" s="168">
        <f>AV13+AK13</f>
        <v>21</v>
      </c>
      <c r="BY13" s="168">
        <f>AL13+AW13</f>
        <v>0</v>
      </c>
      <c r="BZ13" s="168">
        <f>BI13+AX13+AM13</f>
        <v>20</v>
      </c>
      <c r="CA13" s="168">
        <f>AN13+AY13+BJ13</f>
        <v>0</v>
      </c>
      <c r="CB13" s="168">
        <f>BK13+AZ13+AO13</f>
        <v>38</v>
      </c>
      <c r="CC13" s="168">
        <f>AP13+BA13+BL13</f>
        <v>0</v>
      </c>
      <c r="CD13" s="168">
        <f>BM13+BB13+AQ13</f>
        <v>20</v>
      </c>
      <c r="CE13" s="168">
        <f>BN13+BC13+AR13</f>
        <v>0</v>
      </c>
      <c r="CF13" s="168">
        <f>BO13+BD13</f>
        <v>7</v>
      </c>
      <c r="CG13" s="168">
        <f>BP13+BE13</f>
        <v>0</v>
      </c>
      <c r="CH13" s="168">
        <f>BQ13</f>
        <v>1</v>
      </c>
      <c r="CI13" s="168">
        <f>BR13</f>
        <v>0</v>
      </c>
      <c r="CJ13" s="168">
        <f>BV13+BX13+BZ13+CB13+CD13+CF13+CH13</f>
        <v>131</v>
      </c>
      <c r="CK13" s="168">
        <f>BW13+BY13+CA13+CC13+CE13+CG13+CI13</f>
        <v>0</v>
      </c>
      <c r="CL13" s="168">
        <f>SUM(CJ13:CK13)</f>
        <v>131</v>
      </c>
      <c r="CM13" s="168">
        <v>1</v>
      </c>
      <c r="CN13" s="168"/>
      <c r="CO13" s="168"/>
      <c r="CP13" s="168">
        <v>1</v>
      </c>
      <c r="CQ13" s="168"/>
      <c r="CR13" s="168"/>
      <c r="CS13" s="168">
        <v>1</v>
      </c>
      <c r="CT13" s="168"/>
      <c r="CU13" s="168"/>
      <c r="CV13" s="168">
        <f>CS13+CP13+CM13</f>
        <v>3</v>
      </c>
      <c r="CW13" s="168">
        <f>CT13+CQ13+CN13</f>
        <v>0</v>
      </c>
      <c r="CX13" s="168">
        <f>CU13+CR13+CO13</f>
        <v>0</v>
      </c>
      <c r="CY13" s="168">
        <f>SUM(CV13:CX13)</f>
        <v>3</v>
      </c>
      <c r="CZ13" s="168"/>
      <c r="DA13" s="168"/>
      <c r="DB13" s="168"/>
      <c r="DC13" s="168"/>
      <c r="DD13" s="168">
        <v>1</v>
      </c>
      <c r="DE13" s="168"/>
      <c r="DF13" s="168">
        <f>DD13+DB13+CZ13</f>
        <v>1</v>
      </c>
      <c r="DG13" s="168">
        <f>DE13+DC13+DA13</f>
        <v>0</v>
      </c>
      <c r="DH13" s="168">
        <f>SUM(DF13:DG13)</f>
        <v>1</v>
      </c>
      <c r="DI13" s="168"/>
      <c r="DJ13" s="168"/>
      <c r="DK13" s="168"/>
      <c r="DL13" s="168"/>
      <c r="DM13" s="168"/>
      <c r="DN13" s="168"/>
      <c r="DO13" s="168">
        <f>DM13+DK13+DI13</f>
        <v>0</v>
      </c>
      <c r="DP13" s="168">
        <f>DN13+DL13+DJ13</f>
        <v>0</v>
      </c>
      <c r="DQ13" s="168">
        <f>SUM(DO13:DP13)</f>
        <v>0</v>
      </c>
      <c r="DR13" s="168">
        <v>31</v>
      </c>
      <c r="DS13" s="168"/>
      <c r="DT13" s="168">
        <v>18</v>
      </c>
      <c r="DU13" s="168"/>
      <c r="DV13" s="168">
        <v>28</v>
      </c>
      <c r="DW13" s="168"/>
      <c r="DX13" s="168">
        <f>DV13+DT13+DR13</f>
        <v>77</v>
      </c>
      <c r="DY13" s="168">
        <f>DW13+DU13+DS13</f>
        <v>0</v>
      </c>
      <c r="DZ13" s="168">
        <f>SUM(DX13:DY13)</f>
        <v>77</v>
      </c>
      <c r="EA13" s="168">
        <v>5</v>
      </c>
      <c r="EB13" s="168"/>
      <c r="EC13" s="168">
        <v>5</v>
      </c>
      <c r="ED13" s="168"/>
      <c r="EE13" s="168">
        <v>11</v>
      </c>
      <c r="EF13" s="168"/>
      <c r="EG13" s="168">
        <f>EE13+EC13+EA13</f>
        <v>21</v>
      </c>
      <c r="EH13" s="168">
        <f>EF13+ED13+EB13</f>
        <v>0</v>
      </c>
      <c r="EI13" s="168">
        <f>SUM(EG13:EH13)</f>
        <v>21</v>
      </c>
      <c r="EJ13" s="168"/>
      <c r="EK13" s="168"/>
      <c r="EL13" s="168">
        <v>1</v>
      </c>
      <c r="EM13" s="168"/>
      <c r="EN13" s="168"/>
      <c r="EO13" s="168"/>
      <c r="EP13" s="168">
        <f>EN13+EL13+EJ13</f>
        <v>1</v>
      </c>
      <c r="EQ13" s="168">
        <f>EO13+EM13+EK13</f>
        <v>0</v>
      </c>
      <c r="ER13" s="168">
        <f>SUM(EP13:EQ13)</f>
        <v>1</v>
      </c>
      <c r="ES13" s="168"/>
      <c r="ET13" s="168"/>
      <c r="EU13" s="168"/>
      <c r="EV13" s="168"/>
      <c r="EW13" s="168"/>
      <c r="EX13" s="168"/>
      <c r="EY13" s="168">
        <f t="shared" si="25"/>
        <v>0</v>
      </c>
      <c r="EZ13" s="168">
        <f t="shared" si="26"/>
        <v>0</v>
      </c>
      <c r="FA13" s="168">
        <f t="shared" si="27"/>
        <v>0</v>
      </c>
      <c r="FB13" s="168">
        <v>1</v>
      </c>
      <c r="FC13" s="168"/>
      <c r="FD13" s="168">
        <v>3</v>
      </c>
      <c r="FE13" s="168"/>
      <c r="FF13" s="168">
        <v>24</v>
      </c>
      <c r="FG13" s="168">
        <v>12</v>
      </c>
      <c r="FH13" s="168">
        <v>6</v>
      </c>
      <c r="FI13" s="168">
        <v>4</v>
      </c>
      <c r="FJ13" s="168"/>
      <c r="FK13" s="168"/>
      <c r="FL13" s="168">
        <f>FJ13+FH13+FF13+FD13+FB13</f>
        <v>34</v>
      </c>
      <c r="FM13" s="168">
        <f>FK13+FI13+FG13+FE13+FC13</f>
        <v>16</v>
      </c>
      <c r="FN13" s="168">
        <f>SUM(FL13:FM13)</f>
        <v>50</v>
      </c>
      <c r="FO13" s="168"/>
      <c r="FP13" s="168"/>
      <c r="FQ13" s="168"/>
      <c r="FR13" s="168"/>
      <c r="FS13" s="168"/>
      <c r="FT13" s="168"/>
      <c r="FU13" s="168"/>
      <c r="FV13" s="168"/>
      <c r="FW13" s="168">
        <v>2</v>
      </c>
      <c r="FX13" s="168"/>
      <c r="FY13" s="168"/>
      <c r="FZ13" s="168"/>
      <c r="GA13" s="168"/>
      <c r="GB13" s="168"/>
      <c r="GC13" s="168"/>
      <c r="GD13" s="168"/>
      <c r="GE13" s="168"/>
      <c r="GF13" s="168"/>
      <c r="GG13" s="168">
        <f t="shared" ref="GG13" si="58">GE13+GA13+FY13+FW13+FU13+FS13+FO13+FQ13+GC13</f>
        <v>2</v>
      </c>
      <c r="GH13" s="168">
        <f t="shared" ref="GH13" si="59">GF13+GB13+FZ13+FX13+FV13+FT13+FP13+FR13+GD13</f>
        <v>0</v>
      </c>
      <c r="GI13" s="168">
        <f>GH13+GG13</f>
        <v>2</v>
      </c>
      <c r="GJ13" s="168">
        <v>1</v>
      </c>
      <c r="GK13" s="168">
        <v>1</v>
      </c>
      <c r="GL13" s="168">
        <v>1</v>
      </c>
      <c r="GM13" s="168">
        <v>1</v>
      </c>
      <c r="GN13" s="168">
        <v>1</v>
      </c>
      <c r="GO13" s="168">
        <v>1</v>
      </c>
      <c r="GP13" s="168">
        <v>1</v>
      </c>
      <c r="GQ13" s="168"/>
      <c r="GR13" s="168">
        <v>1</v>
      </c>
      <c r="GS13" s="168">
        <v>2</v>
      </c>
      <c r="GT13" s="168"/>
      <c r="GU13" s="168">
        <v>1</v>
      </c>
      <c r="GV13" s="168"/>
      <c r="GW13" s="168"/>
      <c r="GX13" s="168"/>
      <c r="GY13" s="168"/>
      <c r="GZ13" s="168"/>
      <c r="HA13" s="168"/>
      <c r="HB13" s="168"/>
      <c r="HC13" s="168"/>
      <c r="HD13" s="168"/>
      <c r="HE13" s="168"/>
      <c r="HF13" s="168">
        <v>1</v>
      </c>
      <c r="HG13" s="168"/>
      <c r="HH13" s="168"/>
      <c r="HI13" s="168"/>
      <c r="HJ13" s="168">
        <v>1</v>
      </c>
      <c r="HK13" s="168">
        <v>1</v>
      </c>
      <c r="HL13" s="168"/>
      <c r="HM13" s="168"/>
      <c r="HN13" s="168"/>
      <c r="HO13" s="168"/>
      <c r="HP13" s="168">
        <v>1</v>
      </c>
      <c r="HQ13" s="168"/>
      <c r="HR13" s="168">
        <v>1</v>
      </c>
      <c r="HS13" s="168"/>
      <c r="HT13" s="168"/>
      <c r="HU13" s="168"/>
      <c r="HV13" s="168"/>
      <c r="HW13" s="168"/>
      <c r="HX13" s="168">
        <v>1</v>
      </c>
      <c r="HY13" s="168">
        <v>2</v>
      </c>
      <c r="HZ13" s="168"/>
      <c r="IA13" s="168"/>
      <c r="IB13" s="168">
        <v>1</v>
      </c>
      <c r="IC13" s="168">
        <v>1</v>
      </c>
      <c r="ID13" s="168"/>
      <c r="IE13" s="168"/>
      <c r="IF13" s="168"/>
      <c r="IG13" s="168"/>
      <c r="IH13" s="168">
        <v>1</v>
      </c>
      <c r="II13" s="168">
        <v>1</v>
      </c>
      <c r="IJ13" s="168"/>
      <c r="IK13" s="168"/>
      <c r="IL13" s="168"/>
      <c r="IM13" s="168"/>
      <c r="IN13" s="168"/>
      <c r="IO13" s="168"/>
      <c r="IP13" s="168"/>
      <c r="IQ13" s="168"/>
      <c r="IR13" s="168"/>
      <c r="IS13" s="168"/>
      <c r="IT13" s="168"/>
      <c r="IU13" s="168"/>
      <c r="IV13" s="168"/>
      <c r="IW13" s="168"/>
      <c r="IX13" s="168"/>
      <c r="IY13" s="168"/>
      <c r="IZ13" s="168"/>
      <c r="JA13" s="168"/>
      <c r="JB13" s="168">
        <v>11</v>
      </c>
      <c r="JC13" s="168">
        <v>3</v>
      </c>
      <c r="JD13" s="168"/>
      <c r="JE13" s="168"/>
      <c r="JF13" s="168"/>
      <c r="JG13" s="168"/>
      <c r="JH13" s="168">
        <v>1</v>
      </c>
      <c r="JI13" s="168"/>
      <c r="JJ13" s="168"/>
      <c r="JK13" s="168"/>
      <c r="JL13" s="168"/>
      <c r="JM13" s="168"/>
      <c r="JN13" s="168"/>
      <c r="JO13" s="168"/>
      <c r="JP13" s="168">
        <v>1</v>
      </c>
      <c r="JQ13" s="168"/>
      <c r="JR13" s="168"/>
      <c r="JS13" s="168"/>
      <c r="JT13" s="168"/>
      <c r="JU13" s="168"/>
      <c r="JV13" s="168"/>
      <c r="JW13" s="168"/>
      <c r="JX13" s="168"/>
      <c r="JY13" s="168"/>
      <c r="JZ13" s="168"/>
      <c r="KA13" s="168"/>
      <c r="KB13" s="168"/>
      <c r="KC13" s="168"/>
      <c r="KD13" s="168"/>
      <c r="KE13" s="168"/>
      <c r="KF13" s="168"/>
      <c r="KG13" s="168"/>
      <c r="KH13" s="168"/>
      <c r="KI13" s="168"/>
      <c r="KJ13" s="168"/>
      <c r="KK13" s="168"/>
      <c r="KL13" s="168"/>
      <c r="KM13" s="168"/>
      <c r="KN13" s="168">
        <v>9</v>
      </c>
      <c r="KO13" s="168">
        <v>2</v>
      </c>
      <c r="KP13" s="168"/>
      <c r="KQ13" s="168"/>
      <c r="KR13" s="168"/>
      <c r="KS13" s="168"/>
      <c r="KT13" s="168"/>
      <c r="KU13" s="168"/>
      <c r="KV13" s="168">
        <f>KT13+KN13+KJ13+KH13+KF13+KD13+KB13+JZ13+JX13+JV13+JT13+JR13+JP13+JN13+JL13+JJ13+JH13+JF13+JD13+JB13+IZ13+IX13+IV13+IT13+IR13+IP13+IN13+IL13+IJ13+IH13+IF13+ID13+IB13+HZ13+HX13+HV13+HT13+HR13+HP13+HN13+HL13+HJ13+HH13+HF13+HD13+HB13+GZ13+GX13+GV13+GT13+GR13+GP13+GN13+GL13+GJ13+KL13</f>
        <v>34</v>
      </c>
      <c r="KW13" s="168">
        <f>KU13+KO13+KK13+KI13+KG13+KE13+KC13+KA13+JY13+JW13+JU13+JS13+JQ13+JO13+JM13+JK13+JI13+JG13+JE13+JC13+JA13+IY13+IW13+IU13+IS13+IQ13+IO13+IM13+IK13+II13+IG13+IE13+IC13+IA13+HY13+HW13+HU13+HS13+HQ13+HO13+HM13+HK13+HI13+HG13+HE13+HC13+HA13+GY13+GW13+GU13+GS13+GQ13+GO13+GM13+GK13</f>
        <v>16</v>
      </c>
      <c r="KX13" s="168">
        <f>KW13+KV13</f>
        <v>50</v>
      </c>
      <c r="KY13" s="168">
        <v>28</v>
      </c>
      <c r="KZ13" s="168">
        <v>13</v>
      </c>
      <c r="LA13" s="168"/>
      <c r="LB13" s="168"/>
      <c r="LC13" s="168">
        <v>3</v>
      </c>
      <c r="LD13" s="168"/>
      <c r="LE13" s="168"/>
      <c r="LF13" s="168"/>
      <c r="LG13" s="168">
        <v>1</v>
      </c>
      <c r="LH13" s="168"/>
      <c r="LI13" s="168">
        <v>1</v>
      </c>
      <c r="LJ13" s="168">
        <v>3</v>
      </c>
      <c r="LK13" s="168"/>
      <c r="LL13" s="168"/>
      <c r="LM13" s="168"/>
      <c r="LN13" s="168"/>
      <c r="LO13" s="168">
        <v>1</v>
      </c>
      <c r="LP13" s="168"/>
      <c r="LQ13" s="168">
        <f t="shared" si="31"/>
        <v>34</v>
      </c>
      <c r="LR13" s="168">
        <f t="shared" si="32"/>
        <v>16</v>
      </c>
      <c r="LS13" s="168">
        <f>LR13+LQ13</f>
        <v>50</v>
      </c>
      <c r="LT13" s="168">
        <v>2</v>
      </c>
      <c r="LU13" s="168">
        <v>1</v>
      </c>
      <c r="LV13" s="168">
        <v>12</v>
      </c>
      <c r="LW13" s="168">
        <v>2</v>
      </c>
      <c r="LX13" s="168"/>
      <c r="LY13" s="168">
        <v>2</v>
      </c>
      <c r="LZ13" s="168">
        <v>20</v>
      </c>
      <c r="MA13" s="168">
        <v>11</v>
      </c>
      <c r="MB13" s="168">
        <f>LX13+LV13+LT13+LZ13</f>
        <v>34</v>
      </c>
      <c r="MC13" s="168">
        <f>LY13+LW13+LU13+MA13</f>
        <v>16</v>
      </c>
      <c r="MD13" s="168">
        <f>MC13+MB13</f>
        <v>50</v>
      </c>
      <c r="ME13" s="168"/>
      <c r="MF13" s="168"/>
      <c r="MG13" s="168">
        <v>3</v>
      </c>
      <c r="MH13" s="168">
        <v>5</v>
      </c>
      <c r="MI13" s="168">
        <v>16</v>
      </c>
      <c r="MJ13" s="168">
        <v>6</v>
      </c>
      <c r="MK13" s="168">
        <v>11</v>
      </c>
      <c r="ML13" s="168">
        <v>5</v>
      </c>
      <c r="MM13" s="168">
        <v>4</v>
      </c>
      <c r="MN13" s="168"/>
      <c r="MO13" s="168">
        <f>MM13+MK13+MI13+MG13+ME13</f>
        <v>34</v>
      </c>
      <c r="MP13" s="168">
        <f>MN13+ML13+MJ13+MH13+MF13</f>
        <v>16</v>
      </c>
      <c r="MQ13" s="168">
        <f>MP13+MO13</f>
        <v>50</v>
      </c>
      <c r="MR13" s="168">
        <v>2</v>
      </c>
      <c r="MS13" s="168">
        <v>2</v>
      </c>
      <c r="MT13" s="168">
        <v>32</v>
      </c>
      <c r="MU13" s="168">
        <v>13</v>
      </c>
      <c r="MV13" s="168"/>
      <c r="MW13" s="168"/>
      <c r="MX13" s="168"/>
      <c r="MY13" s="168">
        <v>1</v>
      </c>
      <c r="MZ13" s="168">
        <f>MX13+MV13+MT13+MR13</f>
        <v>34</v>
      </c>
      <c r="NA13" s="168">
        <f>MY13+MW13+MU13+MS13</f>
        <v>16</v>
      </c>
      <c r="NB13" s="168">
        <f t="shared" ref="NB13" si="60">NA13+MZ13</f>
        <v>50</v>
      </c>
      <c r="NC13" s="168"/>
      <c r="ND13" s="168"/>
      <c r="NE13" s="168">
        <v>1</v>
      </c>
      <c r="NF13" s="168"/>
      <c r="NG13" s="168"/>
      <c r="NH13" s="168"/>
      <c r="NI13" s="168">
        <v>5</v>
      </c>
      <c r="NJ13" s="168">
        <v>5</v>
      </c>
      <c r="NK13" s="168">
        <v>22</v>
      </c>
      <c r="NL13" s="168">
        <v>9</v>
      </c>
      <c r="NM13" s="168"/>
      <c r="NN13" s="168"/>
      <c r="NO13" s="168"/>
      <c r="NP13" s="168"/>
      <c r="NQ13" s="168">
        <v>4</v>
      </c>
      <c r="NR13" s="168">
        <v>2</v>
      </c>
      <c r="NS13" s="168">
        <v>2</v>
      </c>
      <c r="NT13" s="168"/>
      <c r="NU13" s="168"/>
      <c r="NV13" s="168"/>
      <c r="NW13" s="168">
        <f>NU13+NS13+NQ13+NO13+NM13+NK13+NG13+NI13+NE13</f>
        <v>34</v>
      </c>
      <c r="NX13" s="168">
        <f>NV13+NT13+NR13+NP13+NN13+NL13+NH13+NJ13+NF13</f>
        <v>16</v>
      </c>
      <c r="NY13" s="168">
        <f>NX13+NW13</f>
        <v>50</v>
      </c>
      <c r="NZ13" s="168"/>
      <c r="OA13" s="168"/>
      <c r="OB13" s="168"/>
      <c r="OC13" s="168"/>
      <c r="OD13" s="168"/>
      <c r="OE13" s="168"/>
      <c r="OF13" s="168">
        <f>OD13+OB13+NZ13</f>
        <v>0</v>
      </c>
      <c r="OG13" s="168">
        <f>OE13+OC13+OA13</f>
        <v>0</v>
      </c>
      <c r="OH13" s="168">
        <f>OG13+OF13</f>
        <v>0</v>
      </c>
      <c r="OI13" s="168"/>
      <c r="OJ13" s="168">
        <v>1</v>
      </c>
      <c r="OK13" s="168">
        <v>1</v>
      </c>
      <c r="OL13" s="168"/>
      <c r="OM13" s="168"/>
      <c r="ON13" s="168">
        <v>1</v>
      </c>
      <c r="OO13" s="168"/>
      <c r="OP13" s="168">
        <v>1</v>
      </c>
      <c r="OQ13" s="168"/>
      <c r="OR13" s="168"/>
      <c r="OS13" s="168"/>
      <c r="OT13" s="168">
        <v>1</v>
      </c>
      <c r="OU13" s="169">
        <v>1</v>
      </c>
      <c r="OV13" s="169"/>
      <c r="OW13" s="169">
        <v>1976</v>
      </c>
      <c r="OX13" s="169" t="s">
        <v>410</v>
      </c>
      <c r="OY13" s="169">
        <v>3</v>
      </c>
      <c r="OZ13" s="169">
        <v>1</v>
      </c>
      <c r="PA13" s="169"/>
      <c r="PB13" s="169"/>
      <c r="PC13" s="169"/>
      <c r="PD13" s="169">
        <v>1</v>
      </c>
      <c r="PE13" s="169"/>
      <c r="PF13" s="169"/>
      <c r="PG13" s="169"/>
      <c r="PH13" s="169">
        <v>1</v>
      </c>
      <c r="PI13" s="169"/>
      <c r="PJ13" s="169">
        <v>1</v>
      </c>
      <c r="PK13" s="169"/>
      <c r="PL13" s="169">
        <v>6</v>
      </c>
      <c r="PM13" s="169">
        <v>18</v>
      </c>
      <c r="PN13" s="169">
        <v>7</v>
      </c>
      <c r="PO13" s="169">
        <f>PN13+PM13</f>
        <v>25</v>
      </c>
      <c r="PP13" s="169">
        <v>1</v>
      </c>
      <c r="PQ13" s="169"/>
      <c r="PR13" s="169"/>
      <c r="PS13" s="169"/>
      <c r="PT13" s="169"/>
      <c r="PU13" s="169"/>
      <c r="PV13" s="169">
        <v>1</v>
      </c>
      <c r="PW13" s="169"/>
      <c r="PX13" s="169">
        <v>1</v>
      </c>
      <c r="PY13" s="169"/>
      <c r="PZ13" s="169">
        <v>1</v>
      </c>
      <c r="QA13" s="169"/>
      <c r="QB13" s="169">
        <v>1</v>
      </c>
      <c r="QC13" s="169"/>
      <c r="QD13" s="169">
        <v>1</v>
      </c>
      <c r="QE13" s="169"/>
      <c r="QF13" s="169"/>
      <c r="QG13" s="169"/>
      <c r="QH13" s="169"/>
      <c r="QI13" s="169">
        <v>1</v>
      </c>
      <c r="QJ13" s="169"/>
      <c r="QK13" s="169"/>
      <c r="QL13" s="169">
        <v>1</v>
      </c>
      <c r="QM13" s="169">
        <v>1</v>
      </c>
      <c r="QN13" s="169"/>
      <c r="QO13" s="169">
        <v>1</v>
      </c>
      <c r="QP13" s="169"/>
      <c r="QQ13" s="169"/>
      <c r="QR13" s="169">
        <v>1</v>
      </c>
      <c r="QS13" s="169"/>
      <c r="QT13" s="169"/>
      <c r="QU13" s="169">
        <v>1</v>
      </c>
      <c r="QV13" s="169"/>
      <c r="QW13" s="169"/>
      <c r="QX13" s="169"/>
      <c r="QY13" s="169"/>
      <c r="QZ13" s="169">
        <v>1</v>
      </c>
      <c r="RA13" s="169"/>
      <c r="RB13" s="169">
        <v>1</v>
      </c>
      <c r="RC13" s="169"/>
      <c r="RD13" s="169">
        <v>1</v>
      </c>
      <c r="RE13" s="169"/>
      <c r="RF13" s="169">
        <v>1</v>
      </c>
      <c r="RG13" s="169"/>
      <c r="RH13" s="169"/>
      <c r="RI13" s="169">
        <v>1</v>
      </c>
      <c r="RJ13" s="169"/>
      <c r="RK13" s="169"/>
      <c r="RL13" s="169">
        <v>1</v>
      </c>
      <c r="RM13" s="169"/>
      <c r="RN13" s="169"/>
      <c r="RO13" s="168">
        <v>240</v>
      </c>
      <c r="RP13" s="168">
        <v>10</v>
      </c>
      <c r="RQ13" s="168">
        <v>150</v>
      </c>
      <c r="RR13" s="168">
        <v>40</v>
      </c>
      <c r="RS13" s="168">
        <v>12</v>
      </c>
      <c r="RT13" s="168">
        <v>12</v>
      </c>
      <c r="RU13" s="170">
        <v>10</v>
      </c>
      <c r="RV13" s="170">
        <v>20</v>
      </c>
      <c r="RW13" s="170">
        <v>2</v>
      </c>
      <c r="RX13" s="170">
        <v>2</v>
      </c>
      <c r="RY13" s="170">
        <v>1</v>
      </c>
      <c r="RZ13" s="170">
        <v>3</v>
      </c>
      <c r="SA13" s="169"/>
      <c r="SB13" s="169">
        <v>1</v>
      </c>
      <c r="SC13" s="169"/>
      <c r="SD13" s="169"/>
      <c r="SE13" s="169"/>
      <c r="SF13" s="169"/>
      <c r="SG13" s="169"/>
      <c r="SH13" s="169"/>
      <c r="SI13" s="169"/>
      <c r="SJ13" s="169"/>
      <c r="SK13" s="169"/>
      <c r="SL13" s="169"/>
      <c r="SM13" s="169"/>
      <c r="SN13" s="169">
        <f>SM13+SL13</f>
        <v>0</v>
      </c>
      <c r="SO13" s="169">
        <v>7</v>
      </c>
      <c r="SP13" s="169">
        <v>7</v>
      </c>
      <c r="SQ13" s="169" t="s">
        <v>467</v>
      </c>
      <c r="SR13" s="169" t="s">
        <v>495</v>
      </c>
      <c r="SS13" s="175">
        <v>7803484077</v>
      </c>
    </row>
    <row r="14" spans="1:513" s="194" customFormat="1" ht="15" customHeight="1">
      <c r="A14" s="221" t="s">
        <v>195</v>
      </c>
      <c r="B14" s="242"/>
      <c r="C14" s="242"/>
      <c r="D14" s="242"/>
      <c r="E14" s="222"/>
      <c r="F14" s="193">
        <f>F13</f>
        <v>1</v>
      </c>
      <c r="G14" s="193">
        <f t="shared" ref="G14:BR15" si="61">G13</f>
        <v>0</v>
      </c>
      <c r="H14" s="193">
        <f t="shared" si="61"/>
        <v>0</v>
      </c>
      <c r="I14" s="193">
        <f t="shared" si="61"/>
        <v>1</v>
      </c>
      <c r="J14" s="193">
        <f t="shared" si="61"/>
        <v>0</v>
      </c>
      <c r="K14" s="193">
        <f t="shared" si="61"/>
        <v>1</v>
      </c>
      <c r="L14" s="193">
        <f t="shared" si="61"/>
        <v>0</v>
      </c>
      <c r="M14" s="193">
        <f t="shared" si="61"/>
        <v>0</v>
      </c>
      <c r="N14" s="193">
        <f t="shared" si="61"/>
        <v>0</v>
      </c>
      <c r="O14" s="193">
        <f t="shared" si="61"/>
        <v>1</v>
      </c>
      <c r="P14" s="193">
        <f t="shared" si="61"/>
        <v>0</v>
      </c>
      <c r="Q14" s="193">
        <f t="shared" si="61"/>
        <v>1</v>
      </c>
      <c r="R14" s="193">
        <f t="shared" si="61"/>
        <v>0</v>
      </c>
      <c r="S14" s="193">
        <f t="shared" si="61"/>
        <v>0</v>
      </c>
      <c r="T14" s="193">
        <f t="shared" si="61"/>
        <v>0</v>
      </c>
      <c r="U14" s="193">
        <f t="shared" si="61"/>
        <v>0</v>
      </c>
      <c r="V14" s="193">
        <f t="shared" si="61"/>
        <v>24</v>
      </c>
      <c r="W14" s="193">
        <f t="shared" si="61"/>
        <v>0</v>
      </c>
      <c r="X14" s="193">
        <f t="shared" si="61"/>
        <v>9</v>
      </c>
      <c r="Y14" s="193">
        <f t="shared" si="61"/>
        <v>0</v>
      </c>
      <c r="Z14" s="193">
        <f t="shared" si="61"/>
        <v>7</v>
      </c>
      <c r="AA14" s="193">
        <f t="shared" si="61"/>
        <v>0</v>
      </c>
      <c r="AB14" s="193">
        <f t="shared" si="61"/>
        <v>11</v>
      </c>
      <c r="AC14" s="193">
        <f t="shared" si="61"/>
        <v>0</v>
      </c>
      <c r="AD14" s="193">
        <f t="shared" si="61"/>
        <v>2</v>
      </c>
      <c r="AE14" s="193">
        <f t="shared" si="61"/>
        <v>0</v>
      </c>
      <c r="AF14" s="193">
        <f t="shared" si="61"/>
        <v>53</v>
      </c>
      <c r="AG14" s="193">
        <f t="shared" si="61"/>
        <v>0</v>
      </c>
      <c r="AH14" s="193">
        <f t="shared" si="61"/>
        <v>53</v>
      </c>
      <c r="AI14" s="193">
        <f t="shared" si="61"/>
        <v>24</v>
      </c>
      <c r="AJ14" s="193">
        <f t="shared" si="61"/>
        <v>0</v>
      </c>
      <c r="AK14" s="193">
        <f t="shared" si="61"/>
        <v>9</v>
      </c>
      <c r="AL14" s="193">
        <f t="shared" si="61"/>
        <v>0</v>
      </c>
      <c r="AM14" s="193">
        <f t="shared" si="61"/>
        <v>7</v>
      </c>
      <c r="AN14" s="193">
        <f t="shared" si="61"/>
        <v>0</v>
      </c>
      <c r="AO14" s="193">
        <f t="shared" si="61"/>
        <v>11</v>
      </c>
      <c r="AP14" s="193">
        <f t="shared" si="61"/>
        <v>0</v>
      </c>
      <c r="AQ14" s="193">
        <f t="shared" si="61"/>
        <v>2</v>
      </c>
      <c r="AR14" s="193">
        <f t="shared" si="61"/>
        <v>0</v>
      </c>
      <c r="AS14" s="193">
        <f t="shared" si="61"/>
        <v>53</v>
      </c>
      <c r="AT14" s="193">
        <f t="shared" si="61"/>
        <v>0</v>
      </c>
      <c r="AU14" s="193">
        <f t="shared" si="61"/>
        <v>53</v>
      </c>
      <c r="AV14" s="193">
        <f t="shared" si="61"/>
        <v>12</v>
      </c>
      <c r="AW14" s="193">
        <f t="shared" si="61"/>
        <v>0</v>
      </c>
      <c r="AX14" s="193">
        <f t="shared" si="61"/>
        <v>7</v>
      </c>
      <c r="AY14" s="193">
        <f t="shared" si="61"/>
        <v>0</v>
      </c>
      <c r="AZ14" s="193">
        <f t="shared" si="61"/>
        <v>13</v>
      </c>
      <c r="BA14" s="193">
        <f t="shared" si="61"/>
        <v>0</v>
      </c>
      <c r="BB14" s="193">
        <f t="shared" si="61"/>
        <v>4</v>
      </c>
      <c r="BC14" s="193">
        <f t="shared" si="61"/>
        <v>0</v>
      </c>
      <c r="BD14" s="193">
        <f t="shared" si="61"/>
        <v>2</v>
      </c>
      <c r="BE14" s="193">
        <f t="shared" si="61"/>
        <v>0</v>
      </c>
      <c r="BF14" s="193">
        <f t="shared" si="61"/>
        <v>38</v>
      </c>
      <c r="BG14" s="193">
        <f t="shared" si="61"/>
        <v>0</v>
      </c>
      <c r="BH14" s="193">
        <f t="shared" si="61"/>
        <v>38</v>
      </c>
      <c r="BI14" s="193">
        <f t="shared" si="61"/>
        <v>6</v>
      </c>
      <c r="BJ14" s="193">
        <f t="shared" si="61"/>
        <v>0</v>
      </c>
      <c r="BK14" s="193">
        <f t="shared" si="61"/>
        <v>14</v>
      </c>
      <c r="BL14" s="193">
        <f t="shared" si="61"/>
        <v>0</v>
      </c>
      <c r="BM14" s="193">
        <f t="shared" si="61"/>
        <v>14</v>
      </c>
      <c r="BN14" s="193">
        <f t="shared" si="61"/>
        <v>0</v>
      </c>
      <c r="BO14" s="193">
        <f t="shared" si="61"/>
        <v>5</v>
      </c>
      <c r="BP14" s="193">
        <f t="shared" si="61"/>
        <v>0</v>
      </c>
      <c r="BQ14" s="193">
        <f t="shared" si="61"/>
        <v>1</v>
      </c>
      <c r="BR14" s="193">
        <f t="shared" si="61"/>
        <v>0</v>
      </c>
      <c r="BS14" s="193">
        <f t="shared" ref="BS14:ED15" si="62">BS13</f>
        <v>40</v>
      </c>
      <c r="BT14" s="193">
        <f t="shared" si="62"/>
        <v>0</v>
      </c>
      <c r="BU14" s="193">
        <f t="shared" si="62"/>
        <v>40</v>
      </c>
      <c r="BV14" s="193">
        <f t="shared" si="62"/>
        <v>24</v>
      </c>
      <c r="BW14" s="193">
        <f t="shared" si="62"/>
        <v>0</v>
      </c>
      <c r="BX14" s="193">
        <f t="shared" si="62"/>
        <v>21</v>
      </c>
      <c r="BY14" s="193">
        <f t="shared" si="62"/>
        <v>0</v>
      </c>
      <c r="BZ14" s="193">
        <f t="shared" si="62"/>
        <v>20</v>
      </c>
      <c r="CA14" s="193">
        <f t="shared" si="62"/>
        <v>0</v>
      </c>
      <c r="CB14" s="193">
        <f t="shared" si="62"/>
        <v>38</v>
      </c>
      <c r="CC14" s="193">
        <f t="shared" si="62"/>
        <v>0</v>
      </c>
      <c r="CD14" s="193">
        <f t="shared" si="62"/>
        <v>20</v>
      </c>
      <c r="CE14" s="193">
        <f t="shared" si="62"/>
        <v>0</v>
      </c>
      <c r="CF14" s="193">
        <f t="shared" si="62"/>
        <v>7</v>
      </c>
      <c r="CG14" s="193">
        <f t="shared" si="62"/>
        <v>0</v>
      </c>
      <c r="CH14" s="193">
        <f t="shared" si="62"/>
        <v>1</v>
      </c>
      <c r="CI14" s="193">
        <f t="shared" si="62"/>
        <v>0</v>
      </c>
      <c r="CJ14" s="193">
        <f t="shared" si="62"/>
        <v>131</v>
      </c>
      <c r="CK14" s="193">
        <f t="shared" si="62"/>
        <v>0</v>
      </c>
      <c r="CL14" s="193">
        <f t="shared" si="62"/>
        <v>131</v>
      </c>
      <c r="CM14" s="193">
        <f t="shared" si="62"/>
        <v>1</v>
      </c>
      <c r="CN14" s="193">
        <f t="shared" si="62"/>
        <v>0</v>
      </c>
      <c r="CO14" s="193">
        <f t="shared" si="62"/>
        <v>0</v>
      </c>
      <c r="CP14" s="193">
        <f t="shared" si="62"/>
        <v>1</v>
      </c>
      <c r="CQ14" s="193">
        <f t="shared" si="62"/>
        <v>0</v>
      </c>
      <c r="CR14" s="193">
        <f t="shared" si="62"/>
        <v>0</v>
      </c>
      <c r="CS14" s="193">
        <f t="shared" si="62"/>
        <v>1</v>
      </c>
      <c r="CT14" s="193">
        <f t="shared" si="62"/>
        <v>0</v>
      </c>
      <c r="CU14" s="193">
        <f t="shared" si="62"/>
        <v>0</v>
      </c>
      <c r="CV14" s="193">
        <f t="shared" si="62"/>
        <v>3</v>
      </c>
      <c r="CW14" s="193">
        <f t="shared" si="62"/>
        <v>0</v>
      </c>
      <c r="CX14" s="193">
        <f t="shared" si="62"/>
        <v>0</v>
      </c>
      <c r="CY14" s="193">
        <f t="shared" si="62"/>
        <v>3</v>
      </c>
      <c r="CZ14" s="193">
        <f t="shared" si="62"/>
        <v>0</v>
      </c>
      <c r="DA14" s="193">
        <f t="shared" si="62"/>
        <v>0</v>
      </c>
      <c r="DB14" s="193">
        <f t="shared" si="62"/>
        <v>0</v>
      </c>
      <c r="DC14" s="193">
        <f t="shared" si="62"/>
        <v>0</v>
      </c>
      <c r="DD14" s="193">
        <f t="shared" si="62"/>
        <v>1</v>
      </c>
      <c r="DE14" s="193">
        <f t="shared" si="62"/>
        <v>0</v>
      </c>
      <c r="DF14" s="193">
        <f t="shared" si="62"/>
        <v>1</v>
      </c>
      <c r="DG14" s="193">
        <f t="shared" si="62"/>
        <v>0</v>
      </c>
      <c r="DH14" s="193">
        <f t="shared" si="62"/>
        <v>1</v>
      </c>
      <c r="DI14" s="193">
        <f t="shared" si="62"/>
        <v>0</v>
      </c>
      <c r="DJ14" s="193">
        <f t="shared" si="62"/>
        <v>0</v>
      </c>
      <c r="DK14" s="193">
        <f t="shared" si="62"/>
        <v>0</v>
      </c>
      <c r="DL14" s="193">
        <f t="shared" si="62"/>
        <v>0</v>
      </c>
      <c r="DM14" s="193">
        <f t="shared" si="62"/>
        <v>0</v>
      </c>
      <c r="DN14" s="193">
        <f t="shared" si="62"/>
        <v>0</v>
      </c>
      <c r="DO14" s="193">
        <f t="shared" si="62"/>
        <v>0</v>
      </c>
      <c r="DP14" s="193">
        <f t="shared" si="62"/>
        <v>0</v>
      </c>
      <c r="DQ14" s="193">
        <f t="shared" si="62"/>
        <v>0</v>
      </c>
      <c r="DR14" s="193">
        <f t="shared" si="62"/>
        <v>31</v>
      </c>
      <c r="DS14" s="193">
        <f t="shared" si="62"/>
        <v>0</v>
      </c>
      <c r="DT14" s="193">
        <f t="shared" si="62"/>
        <v>18</v>
      </c>
      <c r="DU14" s="193">
        <f t="shared" si="62"/>
        <v>0</v>
      </c>
      <c r="DV14" s="193">
        <f t="shared" si="62"/>
        <v>28</v>
      </c>
      <c r="DW14" s="193">
        <f t="shared" si="62"/>
        <v>0</v>
      </c>
      <c r="DX14" s="193">
        <f t="shared" si="62"/>
        <v>77</v>
      </c>
      <c r="DY14" s="193">
        <f t="shared" si="62"/>
        <v>0</v>
      </c>
      <c r="DZ14" s="193">
        <f t="shared" si="62"/>
        <v>77</v>
      </c>
      <c r="EA14" s="193">
        <f t="shared" si="62"/>
        <v>5</v>
      </c>
      <c r="EB14" s="193">
        <f t="shared" si="62"/>
        <v>0</v>
      </c>
      <c r="EC14" s="193">
        <f t="shared" si="62"/>
        <v>5</v>
      </c>
      <c r="ED14" s="193">
        <f t="shared" si="62"/>
        <v>0</v>
      </c>
      <c r="EE14" s="193">
        <f t="shared" ref="EE14:GR15" si="63">EE13</f>
        <v>11</v>
      </c>
      <c r="EF14" s="193">
        <f t="shared" si="63"/>
        <v>0</v>
      </c>
      <c r="EG14" s="193">
        <f t="shared" si="63"/>
        <v>21</v>
      </c>
      <c r="EH14" s="193">
        <f t="shared" si="63"/>
        <v>0</v>
      </c>
      <c r="EI14" s="193">
        <f t="shared" si="63"/>
        <v>21</v>
      </c>
      <c r="EJ14" s="193">
        <f t="shared" si="63"/>
        <v>0</v>
      </c>
      <c r="EK14" s="193">
        <f t="shared" si="63"/>
        <v>0</v>
      </c>
      <c r="EL14" s="193">
        <f t="shared" si="63"/>
        <v>1</v>
      </c>
      <c r="EM14" s="193">
        <f t="shared" si="63"/>
        <v>0</v>
      </c>
      <c r="EN14" s="193">
        <f t="shared" si="63"/>
        <v>0</v>
      </c>
      <c r="EO14" s="193">
        <f t="shared" si="63"/>
        <v>0</v>
      </c>
      <c r="EP14" s="193">
        <f t="shared" si="63"/>
        <v>1</v>
      </c>
      <c r="EQ14" s="193">
        <f t="shared" si="63"/>
        <v>0</v>
      </c>
      <c r="ER14" s="193">
        <f t="shared" si="63"/>
        <v>1</v>
      </c>
      <c r="ES14" s="193">
        <f t="shared" si="63"/>
        <v>0</v>
      </c>
      <c r="ET14" s="193">
        <f t="shared" si="63"/>
        <v>0</v>
      </c>
      <c r="EU14" s="193">
        <f t="shared" si="63"/>
        <v>0</v>
      </c>
      <c r="EV14" s="193">
        <f t="shared" si="63"/>
        <v>0</v>
      </c>
      <c r="EW14" s="193">
        <f t="shared" si="63"/>
        <v>0</v>
      </c>
      <c r="EX14" s="193">
        <f t="shared" si="63"/>
        <v>0</v>
      </c>
      <c r="EY14" s="115">
        <f t="shared" si="25"/>
        <v>0</v>
      </c>
      <c r="EZ14" s="115">
        <f t="shared" si="26"/>
        <v>0</v>
      </c>
      <c r="FA14" s="115">
        <f t="shared" si="27"/>
        <v>0</v>
      </c>
      <c r="FB14" s="193">
        <f t="shared" si="63"/>
        <v>1</v>
      </c>
      <c r="FC14" s="193">
        <f t="shared" si="63"/>
        <v>0</v>
      </c>
      <c r="FD14" s="193">
        <f t="shared" si="63"/>
        <v>3</v>
      </c>
      <c r="FE14" s="193">
        <f t="shared" si="63"/>
        <v>0</v>
      </c>
      <c r="FF14" s="193">
        <f t="shared" si="63"/>
        <v>24</v>
      </c>
      <c r="FG14" s="193">
        <f t="shared" si="63"/>
        <v>12</v>
      </c>
      <c r="FH14" s="193">
        <f t="shared" si="63"/>
        <v>6</v>
      </c>
      <c r="FI14" s="193">
        <f t="shared" si="63"/>
        <v>4</v>
      </c>
      <c r="FJ14" s="193">
        <f t="shared" si="63"/>
        <v>0</v>
      </c>
      <c r="FK14" s="193">
        <f t="shared" si="63"/>
        <v>0</v>
      </c>
      <c r="FL14" s="193">
        <f t="shared" si="63"/>
        <v>34</v>
      </c>
      <c r="FM14" s="193">
        <f t="shared" si="63"/>
        <v>16</v>
      </c>
      <c r="FN14" s="193">
        <f t="shared" si="63"/>
        <v>50</v>
      </c>
      <c r="FO14" s="193">
        <f t="shared" si="63"/>
        <v>0</v>
      </c>
      <c r="FP14" s="193">
        <f t="shared" si="63"/>
        <v>0</v>
      </c>
      <c r="FQ14" s="193">
        <f t="shared" si="63"/>
        <v>0</v>
      </c>
      <c r="FR14" s="193">
        <f t="shared" si="63"/>
        <v>0</v>
      </c>
      <c r="FS14" s="193">
        <f t="shared" si="63"/>
        <v>0</v>
      </c>
      <c r="FT14" s="193">
        <f t="shared" si="63"/>
        <v>0</v>
      </c>
      <c r="FU14" s="193">
        <f t="shared" si="63"/>
        <v>0</v>
      </c>
      <c r="FV14" s="193">
        <f t="shared" si="63"/>
        <v>0</v>
      </c>
      <c r="FW14" s="193">
        <f t="shared" si="63"/>
        <v>2</v>
      </c>
      <c r="FX14" s="193">
        <f t="shared" si="63"/>
        <v>0</v>
      </c>
      <c r="FY14" s="193">
        <f t="shared" si="63"/>
        <v>0</v>
      </c>
      <c r="FZ14" s="193">
        <f t="shared" si="63"/>
        <v>0</v>
      </c>
      <c r="GA14" s="193">
        <f t="shared" si="63"/>
        <v>0</v>
      </c>
      <c r="GB14" s="193">
        <f t="shared" si="63"/>
        <v>0</v>
      </c>
      <c r="GC14" s="193"/>
      <c r="GD14" s="193"/>
      <c r="GE14" s="193">
        <f t="shared" si="63"/>
        <v>0</v>
      </c>
      <c r="GF14" s="193">
        <f t="shared" si="63"/>
        <v>0</v>
      </c>
      <c r="GG14" s="193">
        <f t="shared" si="63"/>
        <v>2</v>
      </c>
      <c r="GH14" s="193">
        <f t="shared" si="63"/>
        <v>0</v>
      </c>
      <c r="GI14" s="193">
        <f t="shared" si="63"/>
        <v>2</v>
      </c>
      <c r="GJ14" s="193">
        <f t="shared" si="63"/>
        <v>1</v>
      </c>
      <c r="GK14" s="193">
        <f t="shared" si="63"/>
        <v>1</v>
      </c>
      <c r="GL14" s="193">
        <f t="shared" si="63"/>
        <v>1</v>
      </c>
      <c r="GM14" s="193">
        <f t="shared" si="63"/>
        <v>1</v>
      </c>
      <c r="GN14" s="193">
        <f t="shared" si="63"/>
        <v>1</v>
      </c>
      <c r="GO14" s="193">
        <f t="shared" si="63"/>
        <v>1</v>
      </c>
      <c r="GP14" s="193">
        <f t="shared" si="63"/>
        <v>1</v>
      </c>
      <c r="GQ14" s="193">
        <f t="shared" si="63"/>
        <v>0</v>
      </c>
      <c r="GR14" s="193">
        <f t="shared" si="63"/>
        <v>1</v>
      </c>
      <c r="GS14" s="193">
        <f t="shared" ref="GS14:JD15" si="64">GS13</f>
        <v>2</v>
      </c>
      <c r="GT14" s="193">
        <f t="shared" si="64"/>
        <v>0</v>
      </c>
      <c r="GU14" s="193">
        <f t="shared" si="64"/>
        <v>1</v>
      </c>
      <c r="GV14" s="193">
        <f t="shared" si="64"/>
        <v>0</v>
      </c>
      <c r="GW14" s="193">
        <f t="shared" si="64"/>
        <v>0</v>
      </c>
      <c r="GX14" s="193">
        <f t="shared" si="64"/>
        <v>0</v>
      </c>
      <c r="GY14" s="193">
        <f t="shared" si="64"/>
        <v>0</v>
      </c>
      <c r="GZ14" s="193">
        <f t="shared" si="64"/>
        <v>0</v>
      </c>
      <c r="HA14" s="193">
        <f t="shared" si="64"/>
        <v>0</v>
      </c>
      <c r="HB14" s="193">
        <f t="shared" si="64"/>
        <v>0</v>
      </c>
      <c r="HC14" s="193">
        <f t="shared" si="64"/>
        <v>0</v>
      </c>
      <c r="HD14" s="193">
        <f t="shared" si="64"/>
        <v>0</v>
      </c>
      <c r="HE14" s="193">
        <f t="shared" si="64"/>
        <v>0</v>
      </c>
      <c r="HF14" s="193">
        <f t="shared" si="64"/>
        <v>1</v>
      </c>
      <c r="HG14" s="193">
        <f t="shared" si="64"/>
        <v>0</v>
      </c>
      <c r="HH14" s="193">
        <f t="shared" si="64"/>
        <v>0</v>
      </c>
      <c r="HI14" s="193">
        <f t="shared" si="64"/>
        <v>0</v>
      </c>
      <c r="HJ14" s="193">
        <f t="shared" si="64"/>
        <v>1</v>
      </c>
      <c r="HK14" s="193">
        <f t="shared" si="64"/>
        <v>1</v>
      </c>
      <c r="HL14" s="193">
        <f t="shared" si="64"/>
        <v>0</v>
      </c>
      <c r="HM14" s="193">
        <f t="shared" si="64"/>
        <v>0</v>
      </c>
      <c r="HN14" s="193">
        <f t="shared" si="64"/>
        <v>0</v>
      </c>
      <c r="HO14" s="193">
        <f t="shared" si="64"/>
        <v>0</v>
      </c>
      <c r="HP14" s="193">
        <f t="shared" si="64"/>
        <v>1</v>
      </c>
      <c r="HQ14" s="193">
        <f t="shared" si="64"/>
        <v>0</v>
      </c>
      <c r="HR14" s="193">
        <f t="shared" si="64"/>
        <v>1</v>
      </c>
      <c r="HS14" s="193">
        <f t="shared" si="64"/>
        <v>0</v>
      </c>
      <c r="HT14" s="193">
        <f t="shared" si="64"/>
        <v>0</v>
      </c>
      <c r="HU14" s="193">
        <f t="shared" si="64"/>
        <v>0</v>
      </c>
      <c r="HV14" s="193">
        <f t="shared" si="64"/>
        <v>0</v>
      </c>
      <c r="HW14" s="193">
        <f t="shared" si="64"/>
        <v>0</v>
      </c>
      <c r="HX14" s="193">
        <f t="shared" si="64"/>
        <v>1</v>
      </c>
      <c r="HY14" s="193">
        <f t="shared" si="64"/>
        <v>2</v>
      </c>
      <c r="HZ14" s="193">
        <f t="shared" si="64"/>
        <v>0</v>
      </c>
      <c r="IA14" s="193">
        <f t="shared" si="64"/>
        <v>0</v>
      </c>
      <c r="IB14" s="193">
        <f t="shared" si="64"/>
        <v>1</v>
      </c>
      <c r="IC14" s="193">
        <f t="shared" si="64"/>
        <v>1</v>
      </c>
      <c r="ID14" s="193">
        <f t="shared" si="64"/>
        <v>0</v>
      </c>
      <c r="IE14" s="193">
        <f t="shared" si="64"/>
        <v>0</v>
      </c>
      <c r="IF14" s="193">
        <f t="shared" si="64"/>
        <v>0</v>
      </c>
      <c r="IG14" s="193">
        <f t="shared" si="64"/>
        <v>0</v>
      </c>
      <c r="IH14" s="193">
        <f t="shared" si="64"/>
        <v>1</v>
      </c>
      <c r="II14" s="193">
        <f t="shared" si="64"/>
        <v>1</v>
      </c>
      <c r="IJ14" s="193">
        <f t="shared" si="64"/>
        <v>0</v>
      </c>
      <c r="IK14" s="193">
        <f t="shared" si="64"/>
        <v>0</v>
      </c>
      <c r="IL14" s="193">
        <f t="shared" si="64"/>
        <v>0</v>
      </c>
      <c r="IM14" s="193">
        <f t="shared" si="64"/>
        <v>0</v>
      </c>
      <c r="IN14" s="193">
        <f t="shared" si="64"/>
        <v>0</v>
      </c>
      <c r="IO14" s="193">
        <f t="shared" si="64"/>
        <v>0</v>
      </c>
      <c r="IP14" s="193">
        <f t="shared" si="64"/>
        <v>0</v>
      </c>
      <c r="IQ14" s="193">
        <f t="shared" si="64"/>
        <v>0</v>
      </c>
      <c r="IR14" s="193">
        <f t="shared" si="64"/>
        <v>0</v>
      </c>
      <c r="IS14" s="193">
        <f t="shared" si="64"/>
        <v>0</v>
      </c>
      <c r="IT14" s="193">
        <f t="shared" si="64"/>
        <v>0</v>
      </c>
      <c r="IU14" s="193">
        <f t="shared" si="64"/>
        <v>0</v>
      </c>
      <c r="IV14" s="193">
        <f t="shared" si="64"/>
        <v>0</v>
      </c>
      <c r="IW14" s="193">
        <f t="shared" si="64"/>
        <v>0</v>
      </c>
      <c r="IX14" s="193">
        <f t="shared" si="64"/>
        <v>0</v>
      </c>
      <c r="IY14" s="193">
        <f t="shared" si="64"/>
        <v>0</v>
      </c>
      <c r="IZ14" s="193">
        <f t="shared" si="64"/>
        <v>0</v>
      </c>
      <c r="JA14" s="193">
        <f t="shared" si="64"/>
        <v>0</v>
      </c>
      <c r="JB14" s="193">
        <f t="shared" si="64"/>
        <v>11</v>
      </c>
      <c r="JC14" s="193">
        <f t="shared" si="64"/>
        <v>3</v>
      </c>
      <c r="JD14" s="193">
        <f t="shared" si="64"/>
        <v>0</v>
      </c>
      <c r="JE14" s="193">
        <f t="shared" ref="JE14:LN15" si="65">JE13</f>
        <v>0</v>
      </c>
      <c r="JF14" s="193">
        <f t="shared" si="65"/>
        <v>0</v>
      </c>
      <c r="JG14" s="193">
        <f t="shared" si="65"/>
        <v>0</v>
      </c>
      <c r="JH14" s="193">
        <f t="shared" si="65"/>
        <v>1</v>
      </c>
      <c r="JI14" s="193">
        <f t="shared" si="65"/>
        <v>0</v>
      </c>
      <c r="JJ14" s="193">
        <f t="shared" si="65"/>
        <v>0</v>
      </c>
      <c r="JK14" s="193">
        <f t="shared" si="65"/>
        <v>0</v>
      </c>
      <c r="JL14" s="193">
        <f t="shared" si="65"/>
        <v>0</v>
      </c>
      <c r="JM14" s="193">
        <f t="shared" si="65"/>
        <v>0</v>
      </c>
      <c r="JN14" s="193">
        <f t="shared" si="65"/>
        <v>0</v>
      </c>
      <c r="JO14" s="193">
        <f t="shared" si="65"/>
        <v>0</v>
      </c>
      <c r="JP14" s="193">
        <f t="shared" si="65"/>
        <v>1</v>
      </c>
      <c r="JQ14" s="193">
        <f t="shared" si="65"/>
        <v>0</v>
      </c>
      <c r="JR14" s="193">
        <f t="shared" si="65"/>
        <v>0</v>
      </c>
      <c r="JS14" s="193">
        <f t="shared" si="65"/>
        <v>0</v>
      </c>
      <c r="JT14" s="193">
        <f t="shared" si="65"/>
        <v>0</v>
      </c>
      <c r="JU14" s="193">
        <f t="shared" si="65"/>
        <v>0</v>
      </c>
      <c r="JV14" s="193">
        <f t="shared" si="65"/>
        <v>0</v>
      </c>
      <c r="JW14" s="193">
        <f t="shared" si="65"/>
        <v>0</v>
      </c>
      <c r="JX14" s="193">
        <f t="shared" si="65"/>
        <v>0</v>
      </c>
      <c r="JY14" s="193">
        <f t="shared" si="65"/>
        <v>0</v>
      </c>
      <c r="JZ14" s="193">
        <f t="shared" si="65"/>
        <v>0</v>
      </c>
      <c r="KA14" s="193">
        <f t="shared" si="65"/>
        <v>0</v>
      </c>
      <c r="KB14" s="193">
        <f t="shared" si="65"/>
        <v>0</v>
      </c>
      <c r="KC14" s="193">
        <f t="shared" si="65"/>
        <v>0</v>
      </c>
      <c r="KD14" s="193">
        <f t="shared" si="65"/>
        <v>0</v>
      </c>
      <c r="KE14" s="193">
        <f t="shared" si="65"/>
        <v>0</v>
      </c>
      <c r="KF14" s="193">
        <f t="shared" si="65"/>
        <v>0</v>
      </c>
      <c r="KG14" s="193">
        <f t="shared" si="65"/>
        <v>0</v>
      </c>
      <c r="KH14" s="193">
        <f t="shared" si="65"/>
        <v>0</v>
      </c>
      <c r="KI14" s="193">
        <f t="shared" si="65"/>
        <v>0</v>
      </c>
      <c r="KJ14" s="193">
        <f t="shared" si="65"/>
        <v>0</v>
      </c>
      <c r="KK14" s="193">
        <f t="shared" si="65"/>
        <v>0</v>
      </c>
      <c r="KL14" s="193">
        <f t="shared" si="65"/>
        <v>0</v>
      </c>
      <c r="KM14" s="193">
        <f t="shared" si="65"/>
        <v>0</v>
      </c>
      <c r="KN14" s="193">
        <f t="shared" si="65"/>
        <v>9</v>
      </c>
      <c r="KO14" s="193">
        <f t="shared" si="65"/>
        <v>2</v>
      </c>
      <c r="KP14" s="193">
        <f t="shared" si="65"/>
        <v>0</v>
      </c>
      <c r="KQ14" s="193">
        <f t="shared" si="65"/>
        <v>0</v>
      </c>
      <c r="KR14" s="193">
        <f t="shared" si="65"/>
        <v>0</v>
      </c>
      <c r="KS14" s="193">
        <f t="shared" si="65"/>
        <v>0</v>
      </c>
      <c r="KT14" s="193">
        <f t="shared" si="65"/>
        <v>0</v>
      </c>
      <c r="KU14" s="193">
        <f t="shared" si="65"/>
        <v>0</v>
      </c>
      <c r="KV14" s="193">
        <f t="shared" si="65"/>
        <v>34</v>
      </c>
      <c r="KW14" s="193">
        <f t="shared" si="65"/>
        <v>16</v>
      </c>
      <c r="KX14" s="193">
        <f t="shared" ref="KX14:KZ14" si="66">KX13</f>
        <v>50</v>
      </c>
      <c r="KY14" s="193">
        <f t="shared" si="66"/>
        <v>28</v>
      </c>
      <c r="KZ14" s="193">
        <f t="shared" si="66"/>
        <v>13</v>
      </c>
      <c r="LA14" s="193">
        <f t="shared" si="65"/>
        <v>0</v>
      </c>
      <c r="LB14" s="193">
        <f t="shared" si="65"/>
        <v>0</v>
      </c>
      <c r="LC14" s="193">
        <f t="shared" si="65"/>
        <v>3</v>
      </c>
      <c r="LD14" s="193">
        <f t="shared" si="65"/>
        <v>0</v>
      </c>
      <c r="LE14" s="193">
        <f t="shared" si="65"/>
        <v>0</v>
      </c>
      <c r="LF14" s="193">
        <f t="shared" si="65"/>
        <v>0</v>
      </c>
      <c r="LG14" s="193">
        <f t="shared" si="65"/>
        <v>1</v>
      </c>
      <c r="LH14" s="193">
        <f t="shared" si="65"/>
        <v>0</v>
      </c>
      <c r="LI14" s="193">
        <f t="shared" si="65"/>
        <v>1</v>
      </c>
      <c r="LJ14" s="193">
        <f t="shared" si="65"/>
        <v>3</v>
      </c>
      <c r="LK14" s="193">
        <f t="shared" si="65"/>
        <v>0</v>
      </c>
      <c r="LL14" s="193">
        <f t="shared" si="65"/>
        <v>0</v>
      </c>
      <c r="LM14" s="193">
        <f t="shared" si="65"/>
        <v>0</v>
      </c>
      <c r="LN14" s="193">
        <f t="shared" si="65"/>
        <v>0</v>
      </c>
      <c r="LO14" s="193">
        <f t="shared" ref="LO14:LP14" si="67">LO13</f>
        <v>1</v>
      </c>
      <c r="LP14" s="193">
        <f t="shared" si="67"/>
        <v>0</v>
      </c>
      <c r="LQ14" s="168">
        <f t="shared" si="31"/>
        <v>34</v>
      </c>
      <c r="LR14" s="168">
        <f t="shared" si="32"/>
        <v>16</v>
      </c>
      <c r="LS14" s="193">
        <f t="shared" ref="LS14:OA15" si="68">LS13</f>
        <v>50</v>
      </c>
      <c r="LT14" s="193">
        <f t="shared" si="68"/>
        <v>2</v>
      </c>
      <c r="LU14" s="193">
        <f t="shared" si="68"/>
        <v>1</v>
      </c>
      <c r="LV14" s="193">
        <f t="shared" si="68"/>
        <v>12</v>
      </c>
      <c r="LW14" s="193">
        <f t="shared" si="68"/>
        <v>2</v>
      </c>
      <c r="LX14" s="193">
        <f t="shared" si="68"/>
        <v>0</v>
      </c>
      <c r="LY14" s="193">
        <f t="shared" ref="LY14:MB14" si="69">LY13</f>
        <v>2</v>
      </c>
      <c r="LZ14" s="193">
        <f t="shared" si="69"/>
        <v>20</v>
      </c>
      <c r="MA14" s="193">
        <f t="shared" si="69"/>
        <v>11</v>
      </c>
      <c r="MB14" s="193">
        <f t="shared" si="69"/>
        <v>34</v>
      </c>
      <c r="MC14" s="193">
        <f t="shared" si="68"/>
        <v>16</v>
      </c>
      <c r="MD14" s="193">
        <f t="shared" si="68"/>
        <v>50</v>
      </c>
      <c r="ME14" s="193">
        <f t="shared" si="68"/>
        <v>0</v>
      </c>
      <c r="MF14" s="193">
        <f t="shared" si="68"/>
        <v>0</v>
      </c>
      <c r="MG14" s="193">
        <f t="shared" si="68"/>
        <v>3</v>
      </c>
      <c r="MH14" s="193">
        <f t="shared" si="68"/>
        <v>5</v>
      </c>
      <c r="MI14" s="193">
        <f t="shared" si="68"/>
        <v>16</v>
      </c>
      <c r="MJ14" s="193">
        <f t="shared" si="68"/>
        <v>6</v>
      </c>
      <c r="MK14" s="193">
        <f t="shared" si="68"/>
        <v>11</v>
      </c>
      <c r="ML14" s="193">
        <f t="shared" si="68"/>
        <v>5</v>
      </c>
      <c r="MM14" s="193">
        <f t="shared" si="68"/>
        <v>4</v>
      </c>
      <c r="MN14" s="193">
        <f t="shared" si="68"/>
        <v>0</v>
      </c>
      <c r="MO14" s="193">
        <f t="shared" si="68"/>
        <v>34</v>
      </c>
      <c r="MP14" s="193">
        <f t="shared" si="68"/>
        <v>16</v>
      </c>
      <c r="MQ14" s="193">
        <f t="shared" si="68"/>
        <v>50</v>
      </c>
      <c r="MR14" s="193">
        <f t="shared" si="68"/>
        <v>2</v>
      </c>
      <c r="MS14" s="193">
        <f t="shared" si="68"/>
        <v>2</v>
      </c>
      <c r="MT14" s="193">
        <f t="shared" si="68"/>
        <v>32</v>
      </c>
      <c r="MU14" s="193">
        <f t="shared" si="68"/>
        <v>13</v>
      </c>
      <c r="MV14" s="193">
        <f t="shared" si="68"/>
        <v>0</v>
      </c>
      <c r="MW14" s="193">
        <f t="shared" si="68"/>
        <v>0</v>
      </c>
      <c r="MX14" s="193">
        <f t="shared" si="68"/>
        <v>0</v>
      </c>
      <c r="MY14" s="193">
        <f t="shared" si="68"/>
        <v>1</v>
      </c>
      <c r="MZ14" s="193">
        <f t="shared" si="68"/>
        <v>34</v>
      </c>
      <c r="NA14" s="193">
        <f t="shared" si="68"/>
        <v>16</v>
      </c>
      <c r="NB14" s="193">
        <f t="shared" si="68"/>
        <v>50</v>
      </c>
      <c r="NC14" s="193">
        <f t="shared" si="68"/>
        <v>0</v>
      </c>
      <c r="ND14" s="193">
        <f t="shared" si="68"/>
        <v>0</v>
      </c>
      <c r="NE14" s="193">
        <f t="shared" si="68"/>
        <v>1</v>
      </c>
      <c r="NF14" s="193">
        <f t="shared" si="68"/>
        <v>0</v>
      </c>
      <c r="NG14" s="193">
        <f t="shared" si="68"/>
        <v>0</v>
      </c>
      <c r="NH14" s="193">
        <f t="shared" si="68"/>
        <v>0</v>
      </c>
      <c r="NI14" s="193">
        <f t="shared" si="68"/>
        <v>5</v>
      </c>
      <c r="NJ14" s="193">
        <f t="shared" si="68"/>
        <v>5</v>
      </c>
      <c r="NK14" s="193">
        <f t="shared" si="68"/>
        <v>22</v>
      </c>
      <c r="NL14" s="193">
        <f t="shared" si="68"/>
        <v>9</v>
      </c>
      <c r="NM14" s="193">
        <f t="shared" si="68"/>
        <v>0</v>
      </c>
      <c r="NN14" s="193">
        <f t="shared" si="68"/>
        <v>0</v>
      </c>
      <c r="NO14" s="193">
        <f t="shared" si="68"/>
        <v>0</v>
      </c>
      <c r="NP14" s="193">
        <f t="shared" si="68"/>
        <v>0</v>
      </c>
      <c r="NQ14" s="193">
        <f t="shared" si="68"/>
        <v>4</v>
      </c>
      <c r="NR14" s="193">
        <f t="shared" si="68"/>
        <v>2</v>
      </c>
      <c r="NS14" s="193">
        <f t="shared" si="68"/>
        <v>2</v>
      </c>
      <c r="NT14" s="193">
        <f t="shared" si="68"/>
        <v>0</v>
      </c>
      <c r="NU14" s="193">
        <f t="shared" si="68"/>
        <v>0</v>
      </c>
      <c r="NV14" s="193">
        <f t="shared" si="68"/>
        <v>0</v>
      </c>
      <c r="NW14" s="193">
        <f t="shared" si="68"/>
        <v>34</v>
      </c>
      <c r="NX14" s="193">
        <f t="shared" si="68"/>
        <v>16</v>
      </c>
      <c r="NY14" s="193">
        <f t="shared" si="68"/>
        <v>50</v>
      </c>
      <c r="NZ14" s="193">
        <f t="shared" si="68"/>
        <v>0</v>
      </c>
      <c r="OA14" s="193">
        <f t="shared" si="68"/>
        <v>0</v>
      </c>
      <c r="OB14" s="193">
        <f t="shared" ref="OB14:QS15" si="70">OB13</f>
        <v>0</v>
      </c>
      <c r="OC14" s="193">
        <f t="shared" si="70"/>
        <v>0</v>
      </c>
      <c r="OD14" s="193">
        <f t="shared" si="70"/>
        <v>0</v>
      </c>
      <c r="OE14" s="193">
        <f t="shared" si="70"/>
        <v>0</v>
      </c>
      <c r="OF14" s="193">
        <f t="shared" si="70"/>
        <v>0</v>
      </c>
      <c r="OG14" s="193">
        <f t="shared" si="70"/>
        <v>0</v>
      </c>
      <c r="OH14" s="193">
        <f t="shared" si="70"/>
        <v>0</v>
      </c>
      <c r="OI14" s="193">
        <f t="shared" ref="OI14:OT15" si="71">OI13</f>
        <v>0</v>
      </c>
      <c r="OJ14" s="193">
        <f t="shared" si="71"/>
        <v>1</v>
      </c>
      <c r="OK14" s="193">
        <f t="shared" si="71"/>
        <v>1</v>
      </c>
      <c r="OL14" s="193">
        <f t="shared" si="71"/>
        <v>0</v>
      </c>
      <c r="OM14" s="193">
        <f t="shared" si="71"/>
        <v>0</v>
      </c>
      <c r="ON14" s="193">
        <f t="shared" si="71"/>
        <v>1</v>
      </c>
      <c r="OO14" s="193">
        <f t="shared" si="71"/>
        <v>0</v>
      </c>
      <c r="OP14" s="193">
        <f t="shared" si="71"/>
        <v>1</v>
      </c>
      <c r="OQ14" s="193">
        <f t="shared" si="71"/>
        <v>0</v>
      </c>
      <c r="OR14" s="193">
        <f t="shared" si="71"/>
        <v>0</v>
      </c>
      <c r="OS14" s="193">
        <f t="shared" si="71"/>
        <v>0</v>
      </c>
      <c r="OT14" s="193">
        <f t="shared" si="71"/>
        <v>1</v>
      </c>
      <c r="OU14" s="193">
        <f t="shared" si="70"/>
        <v>1</v>
      </c>
      <c r="OV14" s="193">
        <f t="shared" si="70"/>
        <v>0</v>
      </c>
      <c r="OW14" s="193"/>
      <c r="OX14" s="193"/>
      <c r="OY14" s="193"/>
      <c r="OZ14" s="193">
        <f t="shared" si="70"/>
        <v>1</v>
      </c>
      <c r="PA14" s="193">
        <f t="shared" si="70"/>
        <v>0</v>
      </c>
      <c r="PB14" s="193">
        <f t="shared" si="70"/>
        <v>0</v>
      </c>
      <c r="PC14" s="193">
        <f t="shared" si="70"/>
        <v>0</v>
      </c>
      <c r="PD14" s="193">
        <f t="shared" si="70"/>
        <v>1</v>
      </c>
      <c r="PE14" s="193">
        <f t="shared" si="70"/>
        <v>0</v>
      </c>
      <c r="PF14" s="193">
        <f t="shared" si="70"/>
        <v>0</v>
      </c>
      <c r="PG14" s="193">
        <f t="shared" si="70"/>
        <v>0</v>
      </c>
      <c r="PH14" s="193">
        <f t="shared" si="70"/>
        <v>1</v>
      </c>
      <c r="PI14" s="193">
        <f t="shared" si="70"/>
        <v>0</v>
      </c>
      <c r="PJ14" s="193">
        <f t="shared" si="70"/>
        <v>1</v>
      </c>
      <c r="PK14" s="193">
        <f t="shared" si="70"/>
        <v>0</v>
      </c>
      <c r="PL14" s="193">
        <f t="shared" si="70"/>
        <v>6</v>
      </c>
      <c r="PM14" s="193">
        <f t="shared" si="70"/>
        <v>18</v>
      </c>
      <c r="PN14" s="193">
        <f t="shared" si="70"/>
        <v>7</v>
      </c>
      <c r="PO14" s="193">
        <f t="shared" si="70"/>
        <v>25</v>
      </c>
      <c r="PP14" s="193">
        <f t="shared" si="70"/>
        <v>1</v>
      </c>
      <c r="PQ14" s="193">
        <f t="shared" si="70"/>
        <v>0</v>
      </c>
      <c r="PR14" s="193">
        <f t="shared" si="70"/>
        <v>0</v>
      </c>
      <c r="PS14" s="193">
        <f t="shared" si="70"/>
        <v>0</v>
      </c>
      <c r="PT14" s="193">
        <f t="shared" si="70"/>
        <v>0</v>
      </c>
      <c r="PU14" s="193">
        <f t="shared" si="70"/>
        <v>0</v>
      </c>
      <c r="PV14" s="193">
        <f t="shared" ref="PV14:QH15" si="72">PV13</f>
        <v>1</v>
      </c>
      <c r="PW14" s="193">
        <f t="shared" si="72"/>
        <v>0</v>
      </c>
      <c r="PX14" s="193">
        <f t="shared" si="72"/>
        <v>1</v>
      </c>
      <c r="PY14" s="193">
        <f t="shared" si="72"/>
        <v>0</v>
      </c>
      <c r="PZ14" s="193">
        <f t="shared" si="72"/>
        <v>1</v>
      </c>
      <c r="QA14" s="193">
        <f t="shared" si="72"/>
        <v>0</v>
      </c>
      <c r="QB14" s="193">
        <f t="shared" si="72"/>
        <v>1</v>
      </c>
      <c r="QC14" s="193">
        <f t="shared" si="72"/>
        <v>0</v>
      </c>
      <c r="QD14" s="193">
        <f t="shared" si="72"/>
        <v>1</v>
      </c>
      <c r="QE14" s="193">
        <f t="shared" si="72"/>
        <v>0</v>
      </c>
      <c r="QF14" s="193">
        <f t="shared" si="72"/>
        <v>0</v>
      </c>
      <c r="QG14" s="193">
        <f t="shared" si="72"/>
        <v>0</v>
      </c>
      <c r="QH14" s="193">
        <f t="shared" si="72"/>
        <v>0</v>
      </c>
      <c r="QI14" s="193">
        <f t="shared" si="70"/>
        <v>1</v>
      </c>
      <c r="QJ14" s="193">
        <f t="shared" si="70"/>
        <v>0</v>
      </c>
      <c r="QK14" s="193">
        <f t="shared" si="70"/>
        <v>0</v>
      </c>
      <c r="QL14" s="193">
        <f t="shared" si="70"/>
        <v>1</v>
      </c>
      <c r="QM14" s="193">
        <f t="shared" si="70"/>
        <v>1</v>
      </c>
      <c r="QN14" s="193">
        <f t="shared" si="70"/>
        <v>0</v>
      </c>
      <c r="QO14" s="193">
        <f t="shared" si="70"/>
        <v>1</v>
      </c>
      <c r="QP14" s="193">
        <f t="shared" si="70"/>
        <v>0</v>
      </c>
      <c r="QQ14" s="193">
        <f t="shared" si="70"/>
        <v>0</v>
      </c>
      <c r="QR14" s="193">
        <f t="shared" si="70"/>
        <v>1</v>
      </c>
      <c r="QS14" s="193">
        <f t="shared" si="70"/>
        <v>0</v>
      </c>
      <c r="QT14" s="193">
        <f t="shared" ref="QT14:SP15" si="73">QT13</f>
        <v>0</v>
      </c>
      <c r="QU14" s="193">
        <f t="shared" si="73"/>
        <v>1</v>
      </c>
      <c r="QV14" s="193">
        <f t="shared" si="73"/>
        <v>0</v>
      </c>
      <c r="QW14" s="193">
        <f t="shared" si="73"/>
        <v>0</v>
      </c>
      <c r="QX14" s="193">
        <f t="shared" si="73"/>
        <v>0</v>
      </c>
      <c r="QY14" s="193">
        <f t="shared" si="73"/>
        <v>0</v>
      </c>
      <c r="QZ14" s="193">
        <f t="shared" si="73"/>
        <v>1</v>
      </c>
      <c r="RA14" s="193">
        <f t="shared" si="73"/>
        <v>0</v>
      </c>
      <c r="RB14" s="193">
        <f>RB13</f>
        <v>1</v>
      </c>
      <c r="RC14" s="193">
        <f>RC13</f>
        <v>0</v>
      </c>
      <c r="RD14" s="193">
        <f t="shared" si="73"/>
        <v>1</v>
      </c>
      <c r="RE14" s="193">
        <f t="shared" si="73"/>
        <v>0</v>
      </c>
      <c r="RF14" s="193">
        <f t="shared" si="73"/>
        <v>1</v>
      </c>
      <c r="RG14" s="193">
        <f t="shared" si="73"/>
        <v>0</v>
      </c>
      <c r="RH14" s="193">
        <f t="shared" si="73"/>
        <v>0</v>
      </c>
      <c r="RI14" s="193">
        <f t="shared" si="73"/>
        <v>1</v>
      </c>
      <c r="RJ14" s="193">
        <f t="shared" si="73"/>
        <v>0</v>
      </c>
      <c r="RK14" s="193">
        <f t="shared" si="73"/>
        <v>0</v>
      </c>
      <c r="RL14" s="193">
        <f t="shared" si="73"/>
        <v>1</v>
      </c>
      <c r="RM14" s="193">
        <f t="shared" si="73"/>
        <v>0</v>
      </c>
      <c r="RN14" s="193">
        <f t="shared" si="73"/>
        <v>0</v>
      </c>
      <c r="RO14" s="193"/>
      <c r="RP14" s="193"/>
      <c r="RQ14" s="193"/>
      <c r="RR14" s="193"/>
      <c r="RS14" s="193"/>
      <c r="RT14" s="193"/>
      <c r="RU14" s="193">
        <f t="shared" si="73"/>
        <v>10</v>
      </c>
      <c r="RV14" s="193">
        <f t="shared" si="73"/>
        <v>20</v>
      </c>
      <c r="RW14" s="193">
        <f t="shared" si="73"/>
        <v>2</v>
      </c>
      <c r="RX14" s="193">
        <f t="shared" si="73"/>
        <v>2</v>
      </c>
      <c r="RY14" s="193">
        <f t="shared" si="73"/>
        <v>1</v>
      </c>
      <c r="RZ14" s="193">
        <f t="shared" si="73"/>
        <v>3</v>
      </c>
      <c r="SA14" s="193">
        <f t="shared" si="73"/>
        <v>0</v>
      </c>
      <c r="SB14" s="193">
        <f t="shared" si="73"/>
        <v>1</v>
      </c>
      <c r="SC14" s="193">
        <f t="shared" si="73"/>
        <v>0</v>
      </c>
      <c r="SD14" s="193">
        <f t="shared" si="73"/>
        <v>0</v>
      </c>
      <c r="SE14" s="193">
        <f t="shared" si="73"/>
        <v>0</v>
      </c>
      <c r="SF14" s="193">
        <f t="shared" si="73"/>
        <v>0</v>
      </c>
      <c r="SG14" s="193">
        <f t="shared" si="73"/>
        <v>0</v>
      </c>
      <c r="SH14" s="193">
        <f t="shared" si="73"/>
        <v>0</v>
      </c>
      <c r="SI14" s="193">
        <f t="shared" si="73"/>
        <v>0</v>
      </c>
      <c r="SJ14" s="193">
        <f t="shared" si="73"/>
        <v>0</v>
      </c>
      <c r="SK14" s="193">
        <f t="shared" si="73"/>
        <v>0</v>
      </c>
      <c r="SL14" s="193">
        <f t="shared" si="73"/>
        <v>0</v>
      </c>
      <c r="SM14" s="193">
        <f t="shared" si="73"/>
        <v>0</v>
      </c>
      <c r="SN14" s="193">
        <f t="shared" si="73"/>
        <v>0</v>
      </c>
      <c r="SO14" s="193">
        <f t="shared" si="73"/>
        <v>7</v>
      </c>
      <c r="SP14" s="193">
        <f t="shared" si="73"/>
        <v>7</v>
      </c>
      <c r="SQ14" s="193"/>
      <c r="SR14" s="193"/>
      <c r="SS14" s="195"/>
    </row>
    <row r="15" spans="1:513" s="194" customFormat="1" ht="15" customHeight="1">
      <c r="A15" s="221" t="s">
        <v>196</v>
      </c>
      <c r="B15" s="242"/>
      <c r="C15" s="242"/>
      <c r="D15" s="242"/>
      <c r="E15" s="222"/>
      <c r="F15" s="193">
        <f>F14</f>
        <v>1</v>
      </c>
      <c r="G15" s="193">
        <f t="shared" si="61"/>
        <v>0</v>
      </c>
      <c r="H15" s="193">
        <f t="shared" si="61"/>
        <v>0</v>
      </c>
      <c r="I15" s="193">
        <f t="shared" si="61"/>
        <v>1</v>
      </c>
      <c r="J15" s="193">
        <f t="shared" si="61"/>
        <v>0</v>
      </c>
      <c r="K15" s="193">
        <f t="shared" si="61"/>
        <v>1</v>
      </c>
      <c r="L15" s="193">
        <f t="shared" si="61"/>
        <v>0</v>
      </c>
      <c r="M15" s="193">
        <f t="shared" si="61"/>
        <v>0</v>
      </c>
      <c r="N15" s="193">
        <f t="shared" si="61"/>
        <v>0</v>
      </c>
      <c r="O15" s="193">
        <f t="shared" si="61"/>
        <v>1</v>
      </c>
      <c r="P15" s="193">
        <f t="shared" si="61"/>
        <v>0</v>
      </c>
      <c r="Q15" s="193">
        <f t="shared" si="61"/>
        <v>1</v>
      </c>
      <c r="R15" s="193">
        <f t="shared" si="61"/>
        <v>0</v>
      </c>
      <c r="S15" s="193">
        <f t="shared" si="61"/>
        <v>0</v>
      </c>
      <c r="T15" s="193">
        <f t="shared" si="61"/>
        <v>0</v>
      </c>
      <c r="U15" s="193">
        <f t="shared" si="61"/>
        <v>0</v>
      </c>
      <c r="V15" s="193">
        <f t="shared" si="61"/>
        <v>24</v>
      </c>
      <c r="W15" s="193">
        <f t="shared" si="61"/>
        <v>0</v>
      </c>
      <c r="X15" s="193">
        <f t="shared" si="61"/>
        <v>9</v>
      </c>
      <c r="Y15" s="193">
        <f t="shared" si="61"/>
        <v>0</v>
      </c>
      <c r="Z15" s="193">
        <f t="shared" si="61"/>
        <v>7</v>
      </c>
      <c r="AA15" s="193">
        <f t="shared" si="61"/>
        <v>0</v>
      </c>
      <c r="AB15" s="193">
        <f t="shared" si="61"/>
        <v>11</v>
      </c>
      <c r="AC15" s="193">
        <f t="shared" si="61"/>
        <v>0</v>
      </c>
      <c r="AD15" s="193">
        <f t="shared" si="61"/>
        <v>2</v>
      </c>
      <c r="AE15" s="193">
        <f t="shared" si="61"/>
        <v>0</v>
      </c>
      <c r="AF15" s="193">
        <f t="shared" si="61"/>
        <v>53</v>
      </c>
      <c r="AG15" s="193">
        <f t="shared" si="61"/>
        <v>0</v>
      </c>
      <c r="AH15" s="193">
        <f t="shared" si="61"/>
        <v>53</v>
      </c>
      <c r="AI15" s="193">
        <f t="shared" si="61"/>
        <v>24</v>
      </c>
      <c r="AJ15" s="193">
        <f t="shared" si="61"/>
        <v>0</v>
      </c>
      <c r="AK15" s="193">
        <f t="shared" si="61"/>
        <v>9</v>
      </c>
      <c r="AL15" s="193">
        <f t="shared" si="61"/>
        <v>0</v>
      </c>
      <c r="AM15" s="193">
        <f t="shared" si="61"/>
        <v>7</v>
      </c>
      <c r="AN15" s="193">
        <f t="shared" si="61"/>
        <v>0</v>
      </c>
      <c r="AO15" s="193">
        <f t="shared" si="61"/>
        <v>11</v>
      </c>
      <c r="AP15" s="193">
        <f t="shared" si="61"/>
        <v>0</v>
      </c>
      <c r="AQ15" s="193">
        <f t="shared" si="61"/>
        <v>2</v>
      </c>
      <c r="AR15" s="193">
        <f t="shared" si="61"/>
        <v>0</v>
      </c>
      <c r="AS15" s="193">
        <f t="shared" si="61"/>
        <v>53</v>
      </c>
      <c r="AT15" s="193">
        <f t="shared" si="61"/>
        <v>0</v>
      </c>
      <c r="AU15" s="193">
        <f t="shared" si="61"/>
        <v>53</v>
      </c>
      <c r="AV15" s="193">
        <f t="shared" si="61"/>
        <v>12</v>
      </c>
      <c r="AW15" s="193">
        <f t="shared" si="61"/>
        <v>0</v>
      </c>
      <c r="AX15" s="193">
        <f t="shared" si="61"/>
        <v>7</v>
      </c>
      <c r="AY15" s="193">
        <f t="shared" si="61"/>
        <v>0</v>
      </c>
      <c r="AZ15" s="193">
        <f t="shared" si="61"/>
        <v>13</v>
      </c>
      <c r="BA15" s="193">
        <f t="shared" si="61"/>
        <v>0</v>
      </c>
      <c r="BB15" s="193">
        <f t="shared" si="61"/>
        <v>4</v>
      </c>
      <c r="BC15" s="193">
        <f t="shared" si="61"/>
        <v>0</v>
      </c>
      <c r="BD15" s="193">
        <f t="shared" si="61"/>
        <v>2</v>
      </c>
      <c r="BE15" s="193">
        <f t="shared" si="61"/>
        <v>0</v>
      </c>
      <c r="BF15" s="193">
        <f t="shared" si="61"/>
        <v>38</v>
      </c>
      <c r="BG15" s="193">
        <f t="shared" si="61"/>
        <v>0</v>
      </c>
      <c r="BH15" s="193">
        <f t="shared" si="61"/>
        <v>38</v>
      </c>
      <c r="BI15" s="193">
        <f t="shared" si="61"/>
        <v>6</v>
      </c>
      <c r="BJ15" s="193">
        <f t="shared" si="61"/>
        <v>0</v>
      </c>
      <c r="BK15" s="193">
        <f t="shared" si="61"/>
        <v>14</v>
      </c>
      <c r="BL15" s="193">
        <f t="shared" si="61"/>
        <v>0</v>
      </c>
      <c r="BM15" s="193">
        <f t="shared" si="61"/>
        <v>14</v>
      </c>
      <c r="BN15" s="193">
        <f t="shared" si="61"/>
        <v>0</v>
      </c>
      <c r="BO15" s="193">
        <f t="shared" si="61"/>
        <v>5</v>
      </c>
      <c r="BP15" s="193">
        <f t="shared" si="61"/>
        <v>0</v>
      </c>
      <c r="BQ15" s="193">
        <f t="shared" si="61"/>
        <v>1</v>
      </c>
      <c r="BR15" s="193">
        <f t="shared" si="61"/>
        <v>0</v>
      </c>
      <c r="BS15" s="193">
        <f t="shared" si="62"/>
        <v>40</v>
      </c>
      <c r="BT15" s="193">
        <f t="shared" si="62"/>
        <v>0</v>
      </c>
      <c r="BU15" s="193">
        <f t="shared" si="62"/>
        <v>40</v>
      </c>
      <c r="BV15" s="193">
        <f t="shared" si="62"/>
        <v>24</v>
      </c>
      <c r="BW15" s="193">
        <f t="shared" si="62"/>
        <v>0</v>
      </c>
      <c r="BX15" s="193">
        <f t="shared" si="62"/>
        <v>21</v>
      </c>
      <c r="BY15" s="193">
        <f t="shared" si="62"/>
        <v>0</v>
      </c>
      <c r="BZ15" s="193">
        <f t="shared" si="62"/>
        <v>20</v>
      </c>
      <c r="CA15" s="193">
        <f t="shared" si="62"/>
        <v>0</v>
      </c>
      <c r="CB15" s="193">
        <f t="shared" si="62"/>
        <v>38</v>
      </c>
      <c r="CC15" s="193">
        <f t="shared" si="62"/>
        <v>0</v>
      </c>
      <c r="CD15" s="193">
        <f t="shared" si="62"/>
        <v>20</v>
      </c>
      <c r="CE15" s="193">
        <f t="shared" si="62"/>
        <v>0</v>
      </c>
      <c r="CF15" s="193">
        <f t="shared" si="62"/>
        <v>7</v>
      </c>
      <c r="CG15" s="193">
        <f t="shared" si="62"/>
        <v>0</v>
      </c>
      <c r="CH15" s="193">
        <f t="shared" si="62"/>
        <v>1</v>
      </c>
      <c r="CI15" s="193">
        <f t="shared" si="62"/>
        <v>0</v>
      </c>
      <c r="CJ15" s="193">
        <f t="shared" si="62"/>
        <v>131</v>
      </c>
      <c r="CK15" s="193">
        <f t="shared" si="62"/>
        <v>0</v>
      </c>
      <c r="CL15" s="193">
        <f t="shared" si="62"/>
        <v>131</v>
      </c>
      <c r="CM15" s="193">
        <f t="shared" si="62"/>
        <v>1</v>
      </c>
      <c r="CN15" s="193">
        <f t="shared" si="62"/>
        <v>0</v>
      </c>
      <c r="CO15" s="193">
        <f t="shared" si="62"/>
        <v>0</v>
      </c>
      <c r="CP15" s="193">
        <f t="shared" si="62"/>
        <v>1</v>
      </c>
      <c r="CQ15" s="193">
        <f t="shared" si="62"/>
        <v>0</v>
      </c>
      <c r="CR15" s="193">
        <f t="shared" si="62"/>
        <v>0</v>
      </c>
      <c r="CS15" s="193">
        <f t="shared" si="62"/>
        <v>1</v>
      </c>
      <c r="CT15" s="193">
        <f t="shared" si="62"/>
        <v>0</v>
      </c>
      <c r="CU15" s="193">
        <f t="shared" si="62"/>
        <v>0</v>
      </c>
      <c r="CV15" s="193">
        <f t="shared" si="62"/>
        <v>3</v>
      </c>
      <c r="CW15" s="193">
        <f t="shared" si="62"/>
        <v>0</v>
      </c>
      <c r="CX15" s="193">
        <f t="shared" si="62"/>
        <v>0</v>
      </c>
      <c r="CY15" s="193">
        <f t="shared" si="62"/>
        <v>3</v>
      </c>
      <c r="CZ15" s="193">
        <f t="shared" si="62"/>
        <v>0</v>
      </c>
      <c r="DA15" s="193">
        <f t="shared" si="62"/>
        <v>0</v>
      </c>
      <c r="DB15" s="193">
        <f t="shared" si="62"/>
        <v>0</v>
      </c>
      <c r="DC15" s="193">
        <f t="shared" si="62"/>
        <v>0</v>
      </c>
      <c r="DD15" s="193">
        <f t="shared" si="62"/>
        <v>1</v>
      </c>
      <c r="DE15" s="193">
        <f t="shared" si="62"/>
        <v>0</v>
      </c>
      <c r="DF15" s="193">
        <f t="shared" si="62"/>
        <v>1</v>
      </c>
      <c r="DG15" s="193">
        <f t="shared" si="62"/>
        <v>0</v>
      </c>
      <c r="DH15" s="193">
        <f t="shared" si="62"/>
        <v>1</v>
      </c>
      <c r="DI15" s="193">
        <f t="shared" si="62"/>
        <v>0</v>
      </c>
      <c r="DJ15" s="193">
        <f t="shared" si="62"/>
        <v>0</v>
      </c>
      <c r="DK15" s="193">
        <f t="shared" si="62"/>
        <v>0</v>
      </c>
      <c r="DL15" s="193">
        <f t="shared" si="62"/>
        <v>0</v>
      </c>
      <c r="DM15" s="193">
        <f t="shared" si="62"/>
        <v>0</v>
      </c>
      <c r="DN15" s="193">
        <f t="shared" si="62"/>
        <v>0</v>
      </c>
      <c r="DO15" s="193">
        <f t="shared" si="62"/>
        <v>0</v>
      </c>
      <c r="DP15" s="193">
        <f t="shared" si="62"/>
        <v>0</v>
      </c>
      <c r="DQ15" s="193">
        <f t="shared" si="62"/>
        <v>0</v>
      </c>
      <c r="DR15" s="193">
        <f t="shared" si="62"/>
        <v>31</v>
      </c>
      <c r="DS15" s="193">
        <f t="shared" si="62"/>
        <v>0</v>
      </c>
      <c r="DT15" s="193">
        <f t="shared" si="62"/>
        <v>18</v>
      </c>
      <c r="DU15" s="193">
        <f t="shared" si="62"/>
        <v>0</v>
      </c>
      <c r="DV15" s="193">
        <f t="shared" si="62"/>
        <v>28</v>
      </c>
      <c r="DW15" s="193">
        <f t="shared" si="62"/>
        <v>0</v>
      </c>
      <c r="DX15" s="193">
        <f t="shared" si="62"/>
        <v>77</v>
      </c>
      <c r="DY15" s="193">
        <f t="shared" si="62"/>
        <v>0</v>
      </c>
      <c r="DZ15" s="193">
        <f t="shared" si="62"/>
        <v>77</v>
      </c>
      <c r="EA15" s="193">
        <f t="shared" si="62"/>
        <v>5</v>
      </c>
      <c r="EB15" s="193">
        <f t="shared" si="62"/>
        <v>0</v>
      </c>
      <c r="EC15" s="193">
        <f t="shared" si="62"/>
        <v>5</v>
      </c>
      <c r="ED15" s="193">
        <f t="shared" si="62"/>
        <v>0</v>
      </c>
      <c r="EE15" s="193">
        <f t="shared" si="63"/>
        <v>11</v>
      </c>
      <c r="EF15" s="193">
        <f t="shared" si="63"/>
        <v>0</v>
      </c>
      <c r="EG15" s="193">
        <f t="shared" si="63"/>
        <v>21</v>
      </c>
      <c r="EH15" s="193">
        <f t="shared" si="63"/>
        <v>0</v>
      </c>
      <c r="EI15" s="193">
        <f t="shared" si="63"/>
        <v>21</v>
      </c>
      <c r="EJ15" s="193">
        <f t="shared" si="63"/>
        <v>0</v>
      </c>
      <c r="EK15" s="193">
        <f t="shared" si="63"/>
        <v>0</v>
      </c>
      <c r="EL15" s="193">
        <f t="shared" si="63"/>
        <v>1</v>
      </c>
      <c r="EM15" s="193">
        <f t="shared" si="63"/>
        <v>0</v>
      </c>
      <c r="EN15" s="193">
        <f t="shared" si="63"/>
        <v>0</v>
      </c>
      <c r="EO15" s="193">
        <f t="shared" si="63"/>
        <v>0</v>
      </c>
      <c r="EP15" s="193">
        <f t="shared" si="63"/>
        <v>1</v>
      </c>
      <c r="EQ15" s="193">
        <f t="shared" si="63"/>
        <v>0</v>
      </c>
      <c r="ER15" s="193">
        <f t="shared" si="63"/>
        <v>1</v>
      </c>
      <c r="ES15" s="193">
        <f t="shared" si="63"/>
        <v>0</v>
      </c>
      <c r="ET15" s="193">
        <f t="shared" si="63"/>
        <v>0</v>
      </c>
      <c r="EU15" s="193">
        <f t="shared" si="63"/>
        <v>0</v>
      </c>
      <c r="EV15" s="193">
        <f t="shared" si="63"/>
        <v>0</v>
      </c>
      <c r="EW15" s="193">
        <f t="shared" si="63"/>
        <v>0</v>
      </c>
      <c r="EX15" s="193">
        <f t="shared" si="63"/>
        <v>0</v>
      </c>
      <c r="EY15" s="115">
        <f t="shared" si="25"/>
        <v>0</v>
      </c>
      <c r="EZ15" s="115">
        <f t="shared" si="26"/>
        <v>0</v>
      </c>
      <c r="FA15" s="115">
        <f t="shared" si="27"/>
        <v>0</v>
      </c>
      <c r="FB15" s="193">
        <f t="shared" si="63"/>
        <v>1</v>
      </c>
      <c r="FC15" s="193">
        <f t="shared" si="63"/>
        <v>0</v>
      </c>
      <c r="FD15" s="193">
        <f t="shared" si="63"/>
        <v>3</v>
      </c>
      <c r="FE15" s="193">
        <f t="shared" si="63"/>
        <v>0</v>
      </c>
      <c r="FF15" s="193">
        <f t="shared" si="63"/>
        <v>24</v>
      </c>
      <c r="FG15" s="193">
        <f t="shared" si="63"/>
        <v>12</v>
      </c>
      <c r="FH15" s="193">
        <f t="shared" si="63"/>
        <v>6</v>
      </c>
      <c r="FI15" s="193">
        <f t="shared" si="63"/>
        <v>4</v>
      </c>
      <c r="FJ15" s="193">
        <f t="shared" si="63"/>
        <v>0</v>
      </c>
      <c r="FK15" s="193">
        <f t="shared" si="63"/>
        <v>0</v>
      </c>
      <c r="FL15" s="193">
        <f t="shared" si="63"/>
        <v>34</v>
      </c>
      <c r="FM15" s="193">
        <f t="shared" si="63"/>
        <v>16</v>
      </c>
      <c r="FN15" s="193">
        <f t="shared" si="63"/>
        <v>50</v>
      </c>
      <c r="FO15" s="193">
        <f t="shared" si="63"/>
        <v>0</v>
      </c>
      <c r="FP15" s="193">
        <f t="shared" si="63"/>
        <v>0</v>
      </c>
      <c r="FQ15" s="193">
        <f t="shared" si="63"/>
        <v>0</v>
      </c>
      <c r="FR15" s="193">
        <f t="shared" si="63"/>
        <v>0</v>
      </c>
      <c r="FS15" s="193">
        <f t="shared" si="63"/>
        <v>0</v>
      </c>
      <c r="FT15" s="193">
        <f t="shared" si="63"/>
        <v>0</v>
      </c>
      <c r="FU15" s="193">
        <f t="shared" si="63"/>
        <v>0</v>
      </c>
      <c r="FV15" s="193">
        <f t="shared" si="63"/>
        <v>0</v>
      </c>
      <c r="FW15" s="193">
        <f t="shared" si="63"/>
        <v>2</v>
      </c>
      <c r="FX15" s="193">
        <f t="shared" si="63"/>
        <v>0</v>
      </c>
      <c r="FY15" s="193">
        <f t="shared" si="63"/>
        <v>0</v>
      </c>
      <c r="FZ15" s="193">
        <f t="shared" si="63"/>
        <v>0</v>
      </c>
      <c r="GA15" s="193">
        <f t="shared" si="63"/>
        <v>0</v>
      </c>
      <c r="GB15" s="193">
        <f t="shared" si="63"/>
        <v>0</v>
      </c>
      <c r="GC15" s="193"/>
      <c r="GD15" s="193"/>
      <c r="GE15" s="193">
        <f t="shared" si="63"/>
        <v>0</v>
      </c>
      <c r="GF15" s="193">
        <f t="shared" si="63"/>
        <v>0</v>
      </c>
      <c r="GG15" s="193">
        <f t="shared" si="63"/>
        <v>2</v>
      </c>
      <c r="GH15" s="193">
        <f t="shared" si="63"/>
        <v>0</v>
      </c>
      <c r="GI15" s="193">
        <f t="shared" si="63"/>
        <v>2</v>
      </c>
      <c r="GJ15" s="193">
        <f t="shared" si="63"/>
        <v>1</v>
      </c>
      <c r="GK15" s="193">
        <f t="shared" si="63"/>
        <v>1</v>
      </c>
      <c r="GL15" s="193">
        <f t="shared" si="63"/>
        <v>1</v>
      </c>
      <c r="GM15" s="193">
        <f t="shared" si="63"/>
        <v>1</v>
      </c>
      <c r="GN15" s="193">
        <f t="shared" si="63"/>
        <v>1</v>
      </c>
      <c r="GO15" s="193">
        <f t="shared" si="63"/>
        <v>1</v>
      </c>
      <c r="GP15" s="193">
        <f t="shared" si="63"/>
        <v>1</v>
      </c>
      <c r="GQ15" s="193">
        <f t="shared" si="63"/>
        <v>0</v>
      </c>
      <c r="GR15" s="193">
        <f t="shared" si="63"/>
        <v>1</v>
      </c>
      <c r="GS15" s="193">
        <f t="shared" si="64"/>
        <v>2</v>
      </c>
      <c r="GT15" s="193">
        <f t="shared" si="64"/>
        <v>0</v>
      </c>
      <c r="GU15" s="193">
        <f t="shared" si="64"/>
        <v>1</v>
      </c>
      <c r="GV15" s="193">
        <f t="shared" si="64"/>
        <v>0</v>
      </c>
      <c r="GW15" s="193">
        <f t="shared" si="64"/>
        <v>0</v>
      </c>
      <c r="GX15" s="193">
        <f t="shared" si="64"/>
        <v>0</v>
      </c>
      <c r="GY15" s="193">
        <f t="shared" si="64"/>
        <v>0</v>
      </c>
      <c r="GZ15" s="193">
        <f t="shared" si="64"/>
        <v>0</v>
      </c>
      <c r="HA15" s="193">
        <f t="shared" si="64"/>
        <v>0</v>
      </c>
      <c r="HB15" s="193">
        <f t="shared" si="64"/>
        <v>0</v>
      </c>
      <c r="HC15" s="193">
        <f t="shared" si="64"/>
        <v>0</v>
      </c>
      <c r="HD15" s="193">
        <f t="shared" si="64"/>
        <v>0</v>
      </c>
      <c r="HE15" s="193">
        <f t="shared" si="64"/>
        <v>0</v>
      </c>
      <c r="HF15" s="193">
        <f t="shared" si="64"/>
        <v>1</v>
      </c>
      <c r="HG15" s="193">
        <f t="shared" si="64"/>
        <v>0</v>
      </c>
      <c r="HH15" s="193">
        <f t="shared" si="64"/>
        <v>0</v>
      </c>
      <c r="HI15" s="193">
        <f t="shared" si="64"/>
        <v>0</v>
      </c>
      <c r="HJ15" s="193">
        <f t="shared" si="64"/>
        <v>1</v>
      </c>
      <c r="HK15" s="193">
        <f t="shared" si="64"/>
        <v>1</v>
      </c>
      <c r="HL15" s="193">
        <f t="shared" si="64"/>
        <v>0</v>
      </c>
      <c r="HM15" s="193">
        <f t="shared" si="64"/>
        <v>0</v>
      </c>
      <c r="HN15" s="193">
        <f t="shared" si="64"/>
        <v>0</v>
      </c>
      <c r="HO15" s="193">
        <f t="shared" si="64"/>
        <v>0</v>
      </c>
      <c r="HP15" s="193">
        <f t="shared" si="64"/>
        <v>1</v>
      </c>
      <c r="HQ15" s="193">
        <f t="shared" si="64"/>
        <v>0</v>
      </c>
      <c r="HR15" s="193">
        <f t="shared" si="64"/>
        <v>1</v>
      </c>
      <c r="HS15" s="193">
        <f t="shared" si="64"/>
        <v>0</v>
      </c>
      <c r="HT15" s="193">
        <f t="shared" si="64"/>
        <v>0</v>
      </c>
      <c r="HU15" s="193">
        <f t="shared" si="64"/>
        <v>0</v>
      </c>
      <c r="HV15" s="193">
        <f t="shared" si="64"/>
        <v>0</v>
      </c>
      <c r="HW15" s="193">
        <f t="shared" si="64"/>
        <v>0</v>
      </c>
      <c r="HX15" s="193">
        <f t="shared" si="64"/>
        <v>1</v>
      </c>
      <c r="HY15" s="193">
        <f t="shared" si="64"/>
        <v>2</v>
      </c>
      <c r="HZ15" s="193">
        <f t="shared" si="64"/>
        <v>0</v>
      </c>
      <c r="IA15" s="193">
        <f t="shared" si="64"/>
        <v>0</v>
      </c>
      <c r="IB15" s="193">
        <f t="shared" si="64"/>
        <v>1</v>
      </c>
      <c r="IC15" s="193">
        <f t="shared" si="64"/>
        <v>1</v>
      </c>
      <c r="ID15" s="193">
        <f t="shared" si="64"/>
        <v>0</v>
      </c>
      <c r="IE15" s="193">
        <f t="shared" si="64"/>
        <v>0</v>
      </c>
      <c r="IF15" s="193">
        <f t="shared" si="64"/>
        <v>0</v>
      </c>
      <c r="IG15" s="193">
        <f t="shared" si="64"/>
        <v>0</v>
      </c>
      <c r="IH15" s="193">
        <f t="shared" si="64"/>
        <v>1</v>
      </c>
      <c r="II15" s="193">
        <f t="shared" si="64"/>
        <v>1</v>
      </c>
      <c r="IJ15" s="193">
        <f t="shared" si="64"/>
        <v>0</v>
      </c>
      <c r="IK15" s="193">
        <f t="shared" si="64"/>
        <v>0</v>
      </c>
      <c r="IL15" s="193">
        <f t="shared" si="64"/>
        <v>0</v>
      </c>
      <c r="IM15" s="193">
        <f t="shared" si="64"/>
        <v>0</v>
      </c>
      <c r="IN15" s="193">
        <f t="shared" si="64"/>
        <v>0</v>
      </c>
      <c r="IO15" s="193">
        <f t="shared" si="64"/>
        <v>0</v>
      </c>
      <c r="IP15" s="193">
        <f t="shared" si="64"/>
        <v>0</v>
      </c>
      <c r="IQ15" s="193">
        <f t="shared" si="64"/>
        <v>0</v>
      </c>
      <c r="IR15" s="193">
        <f t="shared" si="64"/>
        <v>0</v>
      </c>
      <c r="IS15" s="193">
        <f t="shared" si="64"/>
        <v>0</v>
      </c>
      <c r="IT15" s="193">
        <f t="shared" si="64"/>
        <v>0</v>
      </c>
      <c r="IU15" s="193">
        <f t="shared" si="64"/>
        <v>0</v>
      </c>
      <c r="IV15" s="193">
        <f t="shared" si="64"/>
        <v>0</v>
      </c>
      <c r="IW15" s="193">
        <f t="shared" si="64"/>
        <v>0</v>
      </c>
      <c r="IX15" s="193">
        <f t="shared" si="64"/>
        <v>0</v>
      </c>
      <c r="IY15" s="193">
        <f t="shared" si="64"/>
        <v>0</v>
      </c>
      <c r="IZ15" s="193">
        <f t="shared" si="64"/>
        <v>0</v>
      </c>
      <c r="JA15" s="193">
        <f t="shared" si="64"/>
        <v>0</v>
      </c>
      <c r="JB15" s="193">
        <f t="shared" si="64"/>
        <v>11</v>
      </c>
      <c r="JC15" s="193">
        <f t="shared" si="64"/>
        <v>3</v>
      </c>
      <c r="JD15" s="193">
        <f t="shared" si="64"/>
        <v>0</v>
      </c>
      <c r="JE15" s="193">
        <f t="shared" si="65"/>
        <v>0</v>
      </c>
      <c r="JF15" s="193">
        <f t="shared" si="65"/>
        <v>0</v>
      </c>
      <c r="JG15" s="193">
        <f t="shared" si="65"/>
        <v>0</v>
      </c>
      <c r="JH15" s="193">
        <f t="shared" si="65"/>
        <v>1</v>
      </c>
      <c r="JI15" s="193">
        <f t="shared" si="65"/>
        <v>0</v>
      </c>
      <c r="JJ15" s="193">
        <f t="shared" si="65"/>
        <v>0</v>
      </c>
      <c r="JK15" s="193">
        <f t="shared" si="65"/>
        <v>0</v>
      </c>
      <c r="JL15" s="193">
        <f t="shared" si="65"/>
        <v>0</v>
      </c>
      <c r="JM15" s="193">
        <f t="shared" si="65"/>
        <v>0</v>
      </c>
      <c r="JN15" s="193">
        <f t="shared" si="65"/>
        <v>0</v>
      </c>
      <c r="JO15" s="193">
        <f t="shared" si="65"/>
        <v>0</v>
      </c>
      <c r="JP15" s="193">
        <f t="shared" si="65"/>
        <v>1</v>
      </c>
      <c r="JQ15" s="193">
        <f t="shared" si="65"/>
        <v>0</v>
      </c>
      <c r="JR15" s="193">
        <f t="shared" si="65"/>
        <v>0</v>
      </c>
      <c r="JS15" s="193">
        <f t="shared" si="65"/>
        <v>0</v>
      </c>
      <c r="JT15" s="193">
        <f t="shared" si="65"/>
        <v>0</v>
      </c>
      <c r="JU15" s="193">
        <f t="shared" si="65"/>
        <v>0</v>
      </c>
      <c r="JV15" s="193">
        <f t="shared" si="65"/>
        <v>0</v>
      </c>
      <c r="JW15" s="193">
        <f t="shared" si="65"/>
        <v>0</v>
      </c>
      <c r="JX15" s="193">
        <f t="shared" si="65"/>
        <v>0</v>
      </c>
      <c r="JY15" s="193">
        <f t="shared" si="65"/>
        <v>0</v>
      </c>
      <c r="JZ15" s="193">
        <f t="shared" si="65"/>
        <v>0</v>
      </c>
      <c r="KA15" s="193">
        <f t="shared" si="65"/>
        <v>0</v>
      </c>
      <c r="KB15" s="193">
        <f t="shared" si="65"/>
        <v>0</v>
      </c>
      <c r="KC15" s="193">
        <f t="shared" si="65"/>
        <v>0</v>
      </c>
      <c r="KD15" s="193">
        <f t="shared" si="65"/>
        <v>0</v>
      </c>
      <c r="KE15" s="193">
        <f t="shared" si="65"/>
        <v>0</v>
      </c>
      <c r="KF15" s="193">
        <f t="shared" si="65"/>
        <v>0</v>
      </c>
      <c r="KG15" s="193">
        <f t="shared" si="65"/>
        <v>0</v>
      </c>
      <c r="KH15" s="193">
        <f t="shared" si="65"/>
        <v>0</v>
      </c>
      <c r="KI15" s="193">
        <f t="shared" si="65"/>
        <v>0</v>
      </c>
      <c r="KJ15" s="193">
        <f t="shared" si="65"/>
        <v>0</v>
      </c>
      <c r="KK15" s="193">
        <f t="shared" si="65"/>
        <v>0</v>
      </c>
      <c r="KL15" s="193">
        <f t="shared" si="65"/>
        <v>0</v>
      </c>
      <c r="KM15" s="193">
        <f t="shared" si="65"/>
        <v>0</v>
      </c>
      <c r="KN15" s="193">
        <f t="shared" si="65"/>
        <v>9</v>
      </c>
      <c r="KO15" s="193">
        <f t="shared" si="65"/>
        <v>2</v>
      </c>
      <c r="KP15" s="193">
        <f t="shared" si="65"/>
        <v>0</v>
      </c>
      <c r="KQ15" s="193">
        <f t="shared" si="65"/>
        <v>0</v>
      </c>
      <c r="KR15" s="193">
        <f t="shared" si="65"/>
        <v>0</v>
      </c>
      <c r="KS15" s="193">
        <f t="shared" si="65"/>
        <v>0</v>
      </c>
      <c r="KT15" s="193">
        <f t="shared" si="65"/>
        <v>0</v>
      </c>
      <c r="KU15" s="193">
        <f t="shared" si="65"/>
        <v>0</v>
      </c>
      <c r="KV15" s="193">
        <f t="shared" si="65"/>
        <v>34</v>
      </c>
      <c r="KW15" s="193">
        <f t="shared" si="65"/>
        <v>16</v>
      </c>
      <c r="KX15" s="193">
        <f t="shared" ref="KX15:KZ15" si="74">KX14</f>
        <v>50</v>
      </c>
      <c r="KY15" s="193">
        <f t="shared" si="74"/>
        <v>28</v>
      </c>
      <c r="KZ15" s="193">
        <f t="shared" si="74"/>
        <v>13</v>
      </c>
      <c r="LA15" s="193">
        <f t="shared" si="65"/>
        <v>0</v>
      </c>
      <c r="LB15" s="193">
        <f t="shared" si="65"/>
        <v>0</v>
      </c>
      <c r="LC15" s="193">
        <f t="shared" si="65"/>
        <v>3</v>
      </c>
      <c r="LD15" s="193">
        <f t="shared" si="65"/>
        <v>0</v>
      </c>
      <c r="LE15" s="193">
        <f t="shared" si="65"/>
        <v>0</v>
      </c>
      <c r="LF15" s="193">
        <f t="shared" si="65"/>
        <v>0</v>
      </c>
      <c r="LG15" s="193">
        <f t="shared" si="65"/>
        <v>1</v>
      </c>
      <c r="LH15" s="193">
        <f t="shared" si="65"/>
        <v>0</v>
      </c>
      <c r="LI15" s="193">
        <f t="shared" si="65"/>
        <v>1</v>
      </c>
      <c r="LJ15" s="193">
        <f t="shared" si="65"/>
        <v>3</v>
      </c>
      <c r="LK15" s="193">
        <f t="shared" si="65"/>
        <v>0</v>
      </c>
      <c r="LL15" s="193">
        <f t="shared" si="65"/>
        <v>0</v>
      </c>
      <c r="LM15" s="193">
        <f t="shared" si="65"/>
        <v>0</v>
      </c>
      <c r="LN15" s="193">
        <f t="shared" si="65"/>
        <v>0</v>
      </c>
      <c r="LO15" s="193">
        <f t="shared" ref="LO15:LP15" si="75">LO14</f>
        <v>1</v>
      </c>
      <c r="LP15" s="193">
        <f t="shared" si="75"/>
        <v>0</v>
      </c>
      <c r="LQ15" s="168">
        <f t="shared" si="31"/>
        <v>34</v>
      </c>
      <c r="LR15" s="168">
        <f t="shared" si="32"/>
        <v>16</v>
      </c>
      <c r="LS15" s="193">
        <f t="shared" si="68"/>
        <v>50</v>
      </c>
      <c r="LT15" s="193">
        <f t="shared" si="68"/>
        <v>2</v>
      </c>
      <c r="LU15" s="193">
        <f t="shared" si="68"/>
        <v>1</v>
      </c>
      <c r="LV15" s="193">
        <f t="shared" si="68"/>
        <v>12</v>
      </c>
      <c r="LW15" s="193">
        <f t="shared" si="68"/>
        <v>2</v>
      </c>
      <c r="LX15" s="193">
        <f t="shared" si="68"/>
        <v>0</v>
      </c>
      <c r="LY15" s="193">
        <f t="shared" ref="LY15:MB15" si="76">LY14</f>
        <v>2</v>
      </c>
      <c r="LZ15" s="193">
        <f t="shared" si="76"/>
        <v>20</v>
      </c>
      <c r="MA15" s="193">
        <f t="shared" si="76"/>
        <v>11</v>
      </c>
      <c r="MB15" s="193">
        <f t="shared" si="76"/>
        <v>34</v>
      </c>
      <c r="MC15" s="193">
        <f t="shared" si="68"/>
        <v>16</v>
      </c>
      <c r="MD15" s="193">
        <f t="shared" si="68"/>
        <v>50</v>
      </c>
      <c r="ME15" s="193">
        <f t="shared" si="68"/>
        <v>0</v>
      </c>
      <c r="MF15" s="193">
        <f t="shared" si="68"/>
        <v>0</v>
      </c>
      <c r="MG15" s="193">
        <f t="shared" si="68"/>
        <v>3</v>
      </c>
      <c r="MH15" s="193">
        <f t="shared" si="68"/>
        <v>5</v>
      </c>
      <c r="MI15" s="193">
        <f t="shared" si="68"/>
        <v>16</v>
      </c>
      <c r="MJ15" s="193">
        <f t="shared" si="68"/>
        <v>6</v>
      </c>
      <c r="MK15" s="193">
        <f t="shared" si="68"/>
        <v>11</v>
      </c>
      <c r="ML15" s="193">
        <f t="shared" si="68"/>
        <v>5</v>
      </c>
      <c r="MM15" s="193">
        <f t="shared" si="68"/>
        <v>4</v>
      </c>
      <c r="MN15" s="193">
        <f t="shared" si="68"/>
        <v>0</v>
      </c>
      <c r="MO15" s="193">
        <f t="shared" si="68"/>
        <v>34</v>
      </c>
      <c r="MP15" s="193">
        <f t="shared" si="68"/>
        <v>16</v>
      </c>
      <c r="MQ15" s="193">
        <f t="shared" si="68"/>
        <v>50</v>
      </c>
      <c r="MR15" s="193">
        <f t="shared" si="68"/>
        <v>2</v>
      </c>
      <c r="MS15" s="193">
        <f t="shared" si="68"/>
        <v>2</v>
      </c>
      <c r="MT15" s="193">
        <f t="shared" si="68"/>
        <v>32</v>
      </c>
      <c r="MU15" s="193">
        <f t="shared" si="68"/>
        <v>13</v>
      </c>
      <c r="MV15" s="193">
        <f t="shared" si="68"/>
        <v>0</v>
      </c>
      <c r="MW15" s="193">
        <f t="shared" si="68"/>
        <v>0</v>
      </c>
      <c r="MX15" s="193">
        <f t="shared" si="68"/>
        <v>0</v>
      </c>
      <c r="MY15" s="193">
        <f t="shared" si="68"/>
        <v>1</v>
      </c>
      <c r="MZ15" s="193">
        <f t="shared" si="68"/>
        <v>34</v>
      </c>
      <c r="NA15" s="193">
        <f t="shared" si="68"/>
        <v>16</v>
      </c>
      <c r="NB15" s="193">
        <f t="shared" si="68"/>
        <v>50</v>
      </c>
      <c r="NC15" s="193">
        <f t="shared" si="68"/>
        <v>0</v>
      </c>
      <c r="ND15" s="193">
        <f t="shared" si="68"/>
        <v>0</v>
      </c>
      <c r="NE15" s="193">
        <f t="shared" si="68"/>
        <v>1</v>
      </c>
      <c r="NF15" s="193">
        <f t="shared" si="68"/>
        <v>0</v>
      </c>
      <c r="NG15" s="193">
        <f t="shared" si="68"/>
        <v>0</v>
      </c>
      <c r="NH15" s="193">
        <f t="shared" si="68"/>
        <v>0</v>
      </c>
      <c r="NI15" s="193">
        <f t="shared" si="68"/>
        <v>5</v>
      </c>
      <c r="NJ15" s="193">
        <f t="shared" si="68"/>
        <v>5</v>
      </c>
      <c r="NK15" s="193">
        <f t="shared" si="68"/>
        <v>22</v>
      </c>
      <c r="NL15" s="193">
        <f t="shared" si="68"/>
        <v>9</v>
      </c>
      <c r="NM15" s="193">
        <f t="shared" si="68"/>
        <v>0</v>
      </c>
      <c r="NN15" s="193">
        <f t="shared" si="68"/>
        <v>0</v>
      </c>
      <c r="NO15" s="193">
        <f t="shared" si="68"/>
        <v>0</v>
      </c>
      <c r="NP15" s="193">
        <f t="shared" si="68"/>
        <v>0</v>
      </c>
      <c r="NQ15" s="193">
        <f t="shared" si="68"/>
        <v>4</v>
      </c>
      <c r="NR15" s="193">
        <f t="shared" si="68"/>
        <v>2</v>
      </c>
      <c r="NS15" s="193">
        <f t="shared" si="68"/>
        <v>2</v>
      </c>
      <c r="NT15" s="193">
        <f t="shared" si="68"/>
        <v>0</v>
      </c>
      <c r="NU15" s="193">
        <f t="shared" si="68"/>
        <v>0</v>
      </c>
      <c r="NV15" s="193">
        <f t="shared" si="68"/>
        <v>0</v>
      </c>
      <c r="NW15" s="193">
        <f t="shared" si="68"/>
        <v>34</v>
      </c>
      <c r="NX15" s="193">
        <f t="shared" si="68"/>
        <v>16</v>
      </c>
      <c r="NY15" s="193">
        <f t="shared" si="68"/>
        <v>50</v>
      </c>
      <c r="NZ15" s="193">
        <f t="shared" si="68"/>
        <v>0</v>
      </c>
      <c r="OA15" s="193">
        <f t="shared" si="68"/>
        <v>0</v>
      </c>
      <c r="OB15" s="193">
        <f t="shared" si="70"/>
        <v>0</v>
      </c>
      <c r="OC15" s="193">
        <f t="shared" si="70"/>
        <v>0</v>
      </c>
      <c r="OD15" s="193">
        <f t="shared" si="70"/>
        <v>0</v>
      </c>
      <c r="OE15" s="193">
        <f t="shared" si="70"/>
        <v>0</v>
      </c>
      <c r="OF15" s="193">
        <f t="shared" si="70"/>
        <v>0</v>
      </c>
      <c r="OG15" s="193">
        <f t="shared" si="70"/>
        <v>0</v>
      </c>
      <c r="OH15" s="193">
        <f t="shared" si="70"/>
        <v>0</v>
      </c>
      <c r="OI15" s="193">
        <f t="shared" si="71"/>
        <v>0</v>
      </c>
      <c r="OJ15" s="193">
        <f t="shared" si="71"/>
        <v>1</v>
      </c>
      <c r="OK15" s="193">
        <f t="shared" si="71"/>
        <v>1</v>
      </c>
      <c r="OL15" s="193">
        <f t="shared" si="71"/>
        <v>0</v>
      </c>
      <c r="OM15" s="193">
        <f t="shared" si="71"/>
        <v>0</v>
      </c>
      <c r="ON15" s="193">
        <f t="shared" si="71"/>
        <v>1</v>
      </c>
      <c r="OO15" s="193">
        <f t="shared" si="71"/>
        <v>0</v>
      </c>
      <c r="OP15" s="193">
        <f t="shared" si="71"/>
        <v>1</v>
      </c>
      <c r="OQ15" s="193">
        <f t="shared" si="71"/>
        <v>0</v>
      </c>
      <c r="OR15" s="193">
        <f t="shared" si="71"/>
        <v>0</v>
      </c>
      <c r="OS15" s="193">
        <f t="shared" si="71"/>
        <v>0</v>
      </c>
      <c r="OT15" s="193">
        <f t="shared" si="71"/>
        <v>1</v>
      </c>
      <c r="OU15" s="193">
        <f t="shared" si="70"/>
        <v>1</v>
      </c>
      <c r="OV15" s="193">
        <f t="shared" si="70"/>
        <v>0</v>
      </c>
      <c r="OW15" s="193"/>
      <c r="OX15" s="193"/>
      <c r="OY15" s="193"/>
      <c r="OZ15" s="193">
        <f t="shared" si="70"/>
        <v>1</v>
      </c>
      <c r="PA15" s="193">
        <f t="shared" si="70"/>
        <v>0</v>
      </c>
      <c r="PB15" s="193">
        <f t="shared" si="70"/>
        <v>0</v>
      </c>
      <c r="PC15" s="193">
        <f t="shared" si="70"/>
        <v>0</v>
      </c>
      <c r="PD15" s="193">
        <f t="shared" si="70"/>
        <v>1</v>
      </c>
      <c r="PE15" s="193">
        <f t="shared" si="70"/>
        <v>0</v>
      </c>
      <c r="PF15" s="193">
        <f t="shared" si="70"/>
        <v>0</v>
      </c>
      <c r="PG15" s="193">
        <f t="shared" si="70"/>
        <v>0</v>
      </c>
      <c r="PH15" s="193">
        <f t="shared" si="70"/>
        <v>1</v>
      </c>
      <c r="PI15" s="193">
        <f t="shared" si="70"/>
        <v>0</v>
      </c>
      <c r="PJ15" s="193">
        <f t="shared" si="70"/>
        <v>1</v>
      </c>
      <c r="PK15" s="193">
        <f t="shared" si="70"/>
        <v>0</v>
      </c>
      <c r="PL15" s="193">
        <f t="shared" si="70"/>
        <v>6</v>
      </c>
      <c r="PM15" s="193">
        <f t="shared" si="70"/>
        <v>18</v>
      </c>
      <c r="PN15" s="193">
        <f t="shared" si="70"/>
        <v>7</v>
      </c>
      <c r="PO15" s="193">
        <f t="shared" si="70"/>
        <v>25</v>
      </c>
      <c r="PP15" s="193">
        <f t="shared" si="70"/>
        <v>1</v>
      </c>
      <c r="PQ15" s="193">
        <f t="shared" si="70"/>
        <v>0</v>
      </c>
      <c r="PR15" s="193">
        <f t="shared" si="70"/>
        <v>0</v>
      </c>
      <c r="PS15" s="193">
        <f t="shared" si="70"/>
        <v>0</v>
      </c>
      <c r="PT15" s="193">
        <f t="shared" si="70"/>
        <v>0</v>
      </c>
      <c r="PU15" s="193">
        <f t="shared" si="70"/>
        <v>0</v>
      </c>
      <c r="PV15" s="193">
        <f t="shared" si="72"/>
        <v>1</v>
      </c>
      <c r="PW15" s="193">
        <f t="shared" si="72"/>
        <v>0</v>
      </c>
      <c r="PX15" s="193">
        <f t="shared" si="72"/>
        <v>1</v>
      </c>
      <c r="PY15" s="193">
        <f t="shared" si="72"/>
        <v>0</v>
      </c>
      <c r="PZ15" s="193">
        <f t="shared" si="72"/>
        <v>1</v>
      </c>
      <c r="QA15" s="193">
        <f t="shared" si="72"/>
        <v>0</v>
      </c>
      <c r="QB15" s="193">
        <f t="shared" si="72"/>
        <v>1</v>
      </c>
      <c r="QC15" s="193">
        <f t="shared" si="72"/>
        <v>0</v>
      </c>
      <c r="QD15" s="193">
        <f t="shared" si="72"/>
        <v>1</v>
      </c>
      <c r="QE15" s="193">
        <f t="shared" si="72"/>
        <v>0</v>
      </c>
      <c r="QF15" s="193">
        <f t="shared" si="72"/>
        <v>0</v>
      </c>
      <c r="QG15" s="193">
        <f t="shared" si="72"/>
        <v>0</v>
      </c>
      <c r="QH15" s="193">
        <f t="shared" si="72"/>
        <v>0</v>
      </c>
      <c r="QI15" s="193">
        <f t="shared" si="70"/>
        <v>1</v>
      </c>
      <c r="QJ15" s="193">
        <f t="shared" si="70"/>
        <v>0</v>
      </c>
      <c r="QK15" s="193">
        <f t="shared" si="70"/>
        <v>0</v>
      </c>
      <c r="QL15" s="193">
        <f t="shared" si="70"/>
        <v>1</v>
      </c>
      <c r="QM15" s="193">
        <f t="shared" si="70"/>
        <v>1</v>
      </c>
      <c r="QN15" s="193">
        <f t="shared" si="70"/>
        <v>0</v>
      </c>
      <c r="QO15" s="193">
        <f t="shared" si="70"/>
        <v>1</v>
      </c>
      <c r="QP15" s="193">
        <f t="shared" si="70"/>
        <v>0</v>
      </c>
      <c r="QQ15" s="193">
        <f t="shared" si="70"/>
        <v>0</v>
      </c>
      <c r="QR15" s="193">
        <f t="shared" si="70"/>
        <v>1</v>
      </c>
      <c r="QS15" s="193">
        <f t="shared" si="70"/>
        <v>0</v>
      </c>
      <c r="QT15" s="193">
        <f t="shared" si="73"/>
        <v>0</v>
      </c>
      <c r="QU15" s="193">
        <f t="shared" si="73"/>
        <v>1</v>
      </c>
      <c r="QV15" s="193">
        <f t="shared" si="73"/>
        <v>0</v>
      </c>
      <c r="QW15" s="193">
        <f t="shared" si="73"/>
        <v>0</v>
      </c>
      <c r="QX15" s="193">
        <f t="shared" si="73"/>
        <v>0</v>
      </c>
      <c r="QY15" s="193">
        <f t="shared" si="73"/>
        <v>0</v>
      </c>
      <c r="QZ15" s="193">
        <f t="shared" si="73"/>
        <v>1</v>
      </c>
      <c r="RA15" s="193">
        <f t="shared" si="73"/>
        <v>0</v>
      </c>
      <c r="RB15" s="193">
        <f>RB14</f>
        <v>1</v>
      </c>
      <c r="RC15" s="193">
        <f>RC14</f>
        <v>0</v>
      </c>
      <c r="RD15" s="193">
        <f t="shared" si="73"/>
        <v>1</v>
      </c>
      <c r="RE15" s="193">
        <f t="shared" si="73"/>
        <v>0</v>
      </c>
      <c r="RF15" s="193">
        <f t="shared" si="73"/>
        <v>1</v>
      </c>
      <c r="RG15" s="193">
        <f t="shared" si="73"/>
        <v>0</v>
      </c>
      <c r="RH15" s="193">
        <f t="shared" si="73"/>
        <v>0</v>
      </c>
      <c r="RI15" s="193">
        <f t="shared" si="73"/>
        <v>1</v>
      </c>
      <c r="RJ15" s="193">
        <f t="shared" si="73"/>
        <v>0</v>
      </c>
      <c r="RK15" s="193">
        <f t="shared" si="73"/>
        <v>0</v>
      </c>
      <c r="RL15" s="193">
        <f t="shared" si="73"/>
        <v>1</v>
      </c>
      <c r="RM15" s="193">
        <f t="shared" si="73"/>
        <v>0</v>
      </c>
      <c r="RN15" s="193">
        <f t="shared" si="73"/>
        <v>0</v>
      </c>
      <c r="RO15" s="193"/>
      <c r="RP15" s="193"/>
      <c r="RQ15" s="193"/>
      <c r="RR15" s="193"/>
      <c r="RS15" s="193"/>
      <c r="RT15" s="193"/>
      <c r="RU15" s="193">
        <f t="shared" si="73"/>
        <v>10</v>
      </c>
      <c r="RV15" s="193">
        <f t="shared" si="73"/>
        <v>20</v>
      </c>
      <c r="RW15" s="193">
        <f t="shared" si="73"/>
        <v>2</v>
      </c>
      <c r="RX15" s="193">
        <f t="shared" si="73"/>
        <v>2</v>
      </c>
      <c r="RY15" s="193">
        <f t="shared" si="73"/>
        <v>1</v>
      </c>
      <c r="RZ15" s="193">
        <f t="shared" si="73"/>
        <v>3</v>
      </c>
      <c r="SA15" s="193">
        <f t="shared" si="73"/>
        <v>0</v>
      </c>
      <c r="SB15" s="193">
        <f t="shared" si="73"/>
        <v>1</v>
      </c>
      <c r="SC15" s="193">
        <f t="shared" si="73"/>
        <v>0</v>
      </c>
      <c r="SD15" s="193">
        <f t="shared" si="73"/>
        <v>0</v>
      </c>
      <c r="SE15" s="193">
        <f t="shared" si="73"/>
        <v>0</v>
      </c>
      <c r="SF15" s="193">
        <f t="shared" si="73"/>
        <v>0</v>
      </c>
      <c r="SG15" s="193">
        <f t="shared" si="73"/>
        <v>0</v>
      </c>
      <c r="SH15" s="193">
        <f t="shared" si="73"/>
        <v>0</v>
      </c>
      <c r="SI15" s="193">
        <f t="shared" si="73"/>
        <v>0</v>
      </c>
      <c r="SJ15" s="193">
        <f t="shared" si="73"/>
        <v>0</v>
      </c>
      <c r="SK15" s="193">
        <f t="shared" si="73"/>
        <v>0</v>
      </c>
      <c r="SL15" s="193">
        <f t="shared" si="73"/>
        <v>0</v>
      </c>
      <c r="SM15" s="193">
        <f t="shared" si="73"/>
        <v>0</v>
      </c>
      <c r="SN15" s="193">
        <f t="shared" si="73"/>
        <v>0</v>
      </c>
      <c r="SO15" s="193">
        <f t="shared" si="73"/>
        <v>7</v>
      </c>
      <c r="SP15" s="193">
        <f t="shared" si="73"/>
        <v>7</v>
      </c>
      <c r="SQ15" s="193"/>
      <c r="SR15" s="193"/>
      <c r="SS15" s="177"/>
    </row>
    <row r="16" spans="1:513" s="171" customFormat="1" ht="26.25" customHeight="1">
      <c r="A16" s="168" t="s">
        <v>109</v>
      </c>
      <c r="B16" s="168" t="s">
        <v>110</v>
      </c>
      <c r="C16" s="168">
        <v>7</v>
      </c>
      <c r="D16" s="168">
        <v>1400174</v>
      </c>
      <c r="E16" s="168" t="s">
        <v>404</v>
      </c>
      <c r="F16" s="168">
        <v>1</v>
      </c>
      <c r="G16" s="168"/>
      <c r="H16" s="168"/>
      <c r="I16" s="168">
        <v>1</v>
      </c>
      <c r="J16" s="168"/>
      <c r="K16" s="168">
        <v>1</v>
      </c>
      <c r="L16" s="168"/>
      <c r="M16" s="168"/>
      <c r="N16" s="168"/>
      <c r="O16" s="168">
        <v>1</v>
      </c>
      <c r="P16" s="168"/>
      <c r="Q16" s="168">
        <v>1</v>
      </c>
      <c r="R16" s="168"/>
      <c r="S16" s="168"/>
      <c r="T16" s="168"/>
      <c r="U16" s="168"/>
      <c r="V16" s="168">
        <v>34</v>
      </c>
      <c r="W16" s="168"/>
      <c r="X16" s="168">
        <v>66</v>
      </c>
      <c r="Y16" s="168"/>
      <c r="Z16" s="168">
        <v>34</v>
      </c>
      <c r="AA16" s="168"/>
      <c r="AB16" s="168">
        <v>22</v>
      </c>
      <c r="AC16" s="168"/>
      <c r="AD16" s="168">
        <v>8</v>
      </c>
      <c r="AE16" s="168"/>
      <c r="AF16" s="168">
        <f>AD16+AB16+Z16+X16+V16</f>
        <v>164</v>
      </c>
      <c r="AG16" s="168">
        <f>AE16+AC16+AA16+Y16+W16</f>
        <v>0</v>
      </c>
      <c r="AH16" s="168">
        <f>SUM(AF16:AG16)</f>
        <v>164</v>
      </c>
      <c r="AI16" s="168">
        <v>34</v>
      </c>
      <c r="AJ16" s="168"/>
      <c r="AK16" s="168">
        <v>66</v>
      </c>
      <c r="AL16" s="168"/>
      <c r="AM16" s="168">
        <v>34</v>
      </c>
      <c r="AN16" s="168"/>
      <c r="AO16" s="168">
        <v>22</v>
      </c>
      <c r="AP16" s="168"/>
      <c r="AQ16" s="168">
        <v>8</v>
      </c>
      <c r="AR16" s="168"/>
      <c r="AS16" s="168">
        <f>AQ16+AO16+AM16+AK16+AI16</f>
        <v>164</v>
      </c>
      <c r="AT16" s="168">
        <f>AR16+AP16+AN16+AL16+AJ16</f>
        <v>0</v>
      </c>
      <c r="AU16" s="168">
        <f>SUM(AS16:AT16)</f>
        <v>164</v>
      </c>
      <c r="AV16" s="168">
        <v>2</v>
      </c>
      <c r="AW16" s="168"/>
      <c r="AX16" s="168">
        <v>6</v>
      </c>
      <c r="AY16" s="168"/>
      <c r="AZ16" s="168">
        <v>10</v>
      </c>
      <c r="BA16" s="168"/>
      <c r="BB16" s="168">
        <v>24</v>
      </c>
      <c r="BC16" s="168"/>
      <c r="BD16" s="168">
        <v>15</v>
      </c>
      <c r="BE16" s="168"/>
      <c r="BF16" s="168">
        <f>BD16+BB16+AZ16+AX16+AV16</f>
        <v>57</v>
      </c>
      <c r="BG16" s="168">
        <f>BE16+BC16+BA16+AY16+AW16</f>
        <v>0</v>
      </c>
      <c r="BH16" s="168">
        <f>SUM(BF16:BG16)</f>
        <v>57</v>
      </c>
      <c r="BI16" s="168">
        <v>7</v>
      </c>
      <c r="BJ16" s="168"/>
      <c r="BK16" s="168">
        <v>27</v>
      </c>
      <c r="BL16" s="168"/>
      <c r="BM16" s="168">
        <v>12</v>
      </c>
      <c r="BN16" s="168"/>
      <c r="BO16" s="168">
        <v>12</v>
      </c>
      <c r="BP16" s="168"/>
      <c r="BQ16" s="168">
        <v>5</v>
      </c>
      <c r="BR16" s="168"/>
      <c r="BS16" s="168">
        <f>BQ16+BO16+BM16+BK16+BI16</f>
        <v>63</v>
      </c>
      <c r="BT16" s="168">
        <f>BR16+BP16+BN16+BL16+BJ16</f>
        <v>0</v>
      </c>
      <c r="BU16" s="168">
        <f>SUM(BS16:BT16)</f>
        <v>63</v>
      </c>
      <c r="BV16" s="168">
        <f>AI16</f>
        <v>34</v>
      </c>
      <c r="BW16" s="168">
        <f>AJ16</f>
        <v>0</v>
      </c>
      <c r="BX16" s="168">
        <f>AV16+AK16</f>
        <v>68</v>
      </c>
      <c r="BY16" s="168">
        <f>AL16+AW16</f>
        <v>0</v>
      </c>
      <c r="BZ16" s="168">
        <f>BI16+AX16+AM16</f>
        <v>47</v>
      </c>
      <c r="CA16" s="168">
        <f>AN16+AY16+BJ16</f>
        <v>0</v>
      </c>
      <c r="CB16" s="168">
        <f>BK16+AZ16+AO16</f>
        <v>59</v>
      </c>
      <c r="CC16" s="168">
        <f>AP16+BA16+BL16</f>
        <v>0</v>
      </c>
      <c r="CD16" s="168">
        <f>BM16+BB16+AQ16</f>
        <v>44</v>
      </c>
      <c r="CE16" s="168">
        <f>BN16+BC16+AR16</f>
        <v>0</v>
      </c>
      <c r="CF16" s="168">
        <f>BO16+BD16</f>
        <v>27</v>
      </c>
      <c r="CG16" s="168">
        <f>BP16+BE16</f>
        <v>0</v>
      </c>
      <c r="CH16" s="168">
        <f>BQ16</f>
        <v>5</v>
      </c>
      <c r="CI16" s="168">
        <f>BR16</f>
        <v>0</v>
      </c>
      <c r="CJ16" s="168">
        <f>BV16+BX16+BZ16+CB16+CD16+CF16+CH16</f>
        <v>284</v>
      </c>
      <c r="CK16" s="168">
        <f>BW16+BY16+CA16+CC16+CE16+CG16+CI16</f>
        <v>0</v>
      </c>
      <c r="CL16" s="168">
        <f>SUM(CJ16:CK16)</f>
        <v>284</v>
      </c>
      <c r="CM16" s="168">
        <v>5</v>
      </c>
      <c r="CN16" s="168"/>
      <c r="CO16" s="168"/>
      <c r="CP16" s="168">
        <v>3</v>
      </c>
      <c r="CQ16" s="168"/>
      <c r="CR16" s="168"/>
      <c r="CS16" s="168">
        <v>3</v>
      </c>
      <c r="CT16" s="168"/>
      <c r="CU16" s="168"/>
      <c r="CV16" s="168">
        <f t="shared" ref="CV16:CX17" si="77">CS16+CP16+CM16</f>
        <v>11</v>
      </c>
      <c r="CW16" s="168">
        <f t="shared" si="77"/>
        <v>0</v>
      </c>
      <c r="CX16" s="168">
        <f t="shared" si="77"/>
        <v>0</v>
      </c>
      <c r="CY16" s="168">
        <f>SUM(CV16:CX16)</f>
        <v>11</v>
      </c>
      <c r="CZ16" s="168">
        <v>6</v>
      </c>
      <c r="DA16" s="168"/>
      <c r="DB16" s="168">
        <v>2</v>
      </c>
      <c r="DC16" s="168"/>
      <c r="DD16" s="168">
        <v>10</v>
      </c>
      <c r="DE16" s="168"/>
      <c r="DF16" s="168">
        <f>DD16+DB16+CZ16</f>
        <v>18</v>
      </c>
      <c r="DG16" s="168">
        <f>DE16+DC16+DA16</f>
        <v>0</v>
      </c>
      <c r="DH16" s="168">
        <f>SUM(DF16:DG16)</f>
        <v>18</v>
      </c>
      <c r="DI16" s="168"/>
      <c r="DJ16" s="168"/>
      <c r="DK16" s="168"/>
      <c r="DL16" s="168"/>
      <c r="DM16" s="168"/>
      <c r="DN16" s="168"/>
      <c r="DO16" s="168">
        <f>DM16+DK16+DI16</f>
        <v>0</v>
      </c>
      <c r="DP16" s="168">
        <f>DN16+DL16+DJ16</f>
        <v>0</v>
      </c>
      <c r="DQ16" s="168">
        <f>SUM(DO16:DP16)</f>
        <v>0</v>
      </c>
      <c r="DR16" s="168">
        <v>54</v>
      </c>
      <c r="DS16" s="168">
        <v>22</v>
      </c>
      <c r="DT16" s="168">
        <v>44</v>
      </c>
      <c r="DU16" s="168">
        <v>21</v>
      </c>
      <c r="DV16" s="168">
        <v>40</v>
      </c>
      <c r="DW16" s="168">
        <v>23</v>
      </c>
      <c r="DX16" s="168">
        <f>DV16+DT16+DR16</f>
        <v>138</v>
      </c>
      <c r="DY16" s="168">
        <f>DW16+DU16+DS16</f>
        <v>66</v>
      </c>
      <c r="DZ16" s="168">
        <f>SUM(DX16:DY16)</f>
        <v>204</v>
      </c>
      <c r="EA16" s="168"/>
      <c r="EB16" s="168"/>
      <c r="EC16" s="168"/>
      <c r="ED16" s="168"/>
      <c r="EE16" s="168">
        <v>16</v>
      </c>
      <c r="EF16" s="168">
        <v>1</v>
      </c>
      <c r="EG16" s="168">
        <f>EE16+EC16+EA16</f>
        <v>16</v>
      </c>
      <c r="EH16" s="168">
        <f>EF16+ED16+EB16</f>
        <v>1</v>
      </c>
      <c r="EI16" s="168">
        <f>SUM(EG16:EH16)</f>
        <v>17</v>
      </c>
      <c r="EJ16" s="168"/>
      <c r="EK16" s="168"/>
      <c r="EL16" s="168"/>
      <c r="EM16" s="168"/>
      <c r="EN16" s="168"/>
      <c r="EO16" s="168"/>
      <c r="EP16" s="168">
        <f>EN16+EL16+EJ16</f>
        <v>0</v>
      </c>
      <c r="EQ16" s="168">
        <f>EO16+EM16+EK16</f>
        <v>0</v>
      </c>
      <c r="ER16" s="168">
        <f>SUM(EP16:EQ16)</f>
        <v>0</v>
      </c>
      <c r="ES16" s="168"/>
      <c r="ET16" s="168"/>
      <c r="EU16" s="168"/>
      <c r="EV16" s="168"/>
      <c r="EW16" s="168"/>
      <c r="EX16" s="168"/>
      <c r="EY16" s="168">
        <f t="shared" si="25"/>
        <v>0</v>
      </c>
      <c r="EZ16" s="168">
        <f t="shared" si="26"/>
        <v>0</v>
      </c>
      <c r="FA16" s="168">
        <f t="shared" si="27"/>
        <v>0</v>
      </c>
      <c r="FB16" s="168">
        <v>1</v>
      </c>
      <c r="FC16" s="168"/>
      <c r="FD16" s="168">
        <v>2</v>
      </c>
      <c r="FE16" s="168">
        <v>1</v>
      </c>
      <c r="FF16" s="168">
        <v>33</v>
      </c>
      <c r="FG16" s="168">
        <v>40</v>
      </c>
      <c r="FH16" s="168">
        <v>13</v>
      </c>
      <c r="FI16" s="168">
        <v>19</v>
      </c>
      <c r="FJ16" s="168"/>
      <c r="FK16" s="168"/>
      <c r="FL16" s="168">
        <f>FJ16+FH16+FF16+FD16+FB16</f>
        <v>49</v>
      </c>
      <c r="FM16" s="168">
        <f>FK16+FI16+FG16+FE16+FC16</f>
        <v>60</v>
      </c>
      <c r="FN16" s="168">
        <f>SUM(FL16:FM16)</f>
        <v>109</v>
      </c>
      <c r="FO16" s="168"/>
      <c r="FP16" s="168"/>
      <c r="FQ16" s="168"/>
      <c r="FR16" s="168"/>
      <c r="FS16" s="168">
        <v>1</v>
      </c>
      <c r="FT16" s="168"/>
      <c r="FU16" s="168"/>
      <c r="FV16" s="168"/>
      <c r="FW16" s="168">
        <v>6</v>
      </c>
      <c r="FX16" s="168">
        <v>1</v>
      </c>
      <c r="FY16" s="168"/>
      <c r="FZ16" s="168"/>
      <c r="GA16" s="168"/>
      <c r="GB16" s="168"/>
      <c r="GC16" s="168"/>
      <c r="GD16" s="168"/>
      <c r="GE16" s="168"/>
      <c r="GF16" s="168"/>
      <c r="GG16" s="168">
        <f t="shared" ref="GG16" si="78">GE16+GA16+FY16+FW16+FU16+FS16+FO16+FQ16+GC16</f>
        <v>7</v>
      </c>
      <c r="GH16" s="168">
        <f t="shared" ref="GH16" si="79">GF16+GB16+FZ16+FX16+FV16+FT16+FP16+FR16+GD16</f>
        <v>1</v>
      </c>
      <c r="GI16" s="168">
        <f>GH16+GG16</f>
        <v>8</v>
      </c>
      <c r="GJ16" s="168">
        <v>1</v>
      </c>
      <c r="GK16" s="168">
        <v>4</v>
      </c>
      <c r="GL16" s="168">
        <v>2</v>
      </c>
      <c r="GM16" s="168"/>
      <c r="GN16" s="168">
        <v>2</v>
      </c>
      <c r="GO16" s="168">
        <v>4</v>
      </c>
      <c r="GP16" s="168"/>
      <c r="GQ16" s="168"/>
      <c r="GR16" s="168">
        <v>1</v>
      </c>
      <c r="GS16" s="168">
        <v>2</v>
      </c>
      <c r="GT16" s="168"/>
      <c r="GU16" s="168">
        <v>3</v>
      </c>
      <c r="GV16" s="168">
        <v>1</v>
      </c>
      <c r="GW16" s="168">
        <v>2</v>
      </c>
      <c r="GX16" s="168"/>
      <c r="GY16" s="168"/>
      <c r="GZ16" s="168"/>
      <c r="HA16" s="168"/>
      <c r="HB16" s="168"/>
      <c r="HC16" s="168"/>
      <c r="HD16" s="168"/>
      <c r="HE16" s="168"/>
      <c r="HF16" s="168"/>
      <c r="HG16" s="168"/>
      <c r="HH16" s="168"/>
      <c r="HI16" s="168"/>
      <c r="HJ16" s="168"/>
      <c r="HK16" s="168"/>
      <c r="HL16" s="168"/>
      <c r="HM16" s="168"/>
      <c r="HN16" s="168"/>
      <c r="HO16" s="168"/>
      <c r="HP16" s="168">
        <v>1</v>
      </c>
      <c r="HQ16" s="168"/>
      <c r="HR16" s="168"/>
      <c r="HS16" s="168">
        <v>1</v>
      </c>
      <c r="HT16" s="168"/>
      <c r="HU16" s="168"/>
      <c r="HV16" s="168">
        <v>3</v>
      </c>
      <c r="HW16" s="168"/>
      <c r="HX16" s="168">
        <v>1</v>
      </c>
      <c r="HY16" s="168"/>
      <c r="HZ16" s="168"/>
      <c r="IA16" s="168"/>
      <c r="IB16" s="168"/>
      <c r="IC16" s="168"/>
      <c r="ID16" s="168"/>
      <c r="IE16" s="168"/>
      <c r="IF16" s="168">
        <v>2</v>
      </c>
      <c r="IG16" s="168">
        <v>1</v>
      </c>
      <c r="IH16" s="168">
        <v>5</v>
      </c>
      <c r="II16" s="168">
        <v>1</v>
      </c>
      <c r="IJ16" s="168">
        <v>2</v>
      </c>
      <c r="IK16" s="168">
        <v>1</v>
      </c>
      <c r="IL16" s="168"/>
      <c r="IM16" s="168"/>
      <c r="IN16" s="168"/>
      <c r="IO16" s="168"/>
      <c r="IP16" s="168"/>
      <c r="IQ16" s="168"/>
      <c r="IR16" s="168"/>
      <c r="IS16" s="168"/>
      <c r="IT16" s="168"/>
      <c r="IU16" s="168"/>
      <c r="IV16" s="168"/>
      <c r="IW16" s="168"/>
      <c r="IX16" s="168"/>
      <c r="IY16" s="168"/>
      <c r="IZ16" s="168"/>
      <c r="JA16" s="168"/>
      <c r="JB16" s="168"/>
      <c r="JC16" s="168"/>
      <c r="JD16" s="168"/>
      <c r="JE16" s="168"/>
      <c r="JF16" s="168"/>
      <c r="JG16" s="168"/>
      <c r="JH16" s="168"/>
      <c r="JI16" s="168"/>
      <c r="JJ16" s="168"/>
      <c r="JK16" s="168"/>
      <c r="JL16" s="168"/>
      <c r="JM16" s="168"/>
      <c r="JN16" s="168">
        <v>3</v>
      </c>
      <c r="JO16" s="168">
        <v>1</v>
      </c>
      <c r="JP16" s="168"/>
      <c r="JQ16" s="168">
        <v>1</v>
      </c>
      <c r="JR16" s="168"/>
      <c r="JS16" s="168">
        <v>1</v>
      </c>
      <c r="JT16" s="168"/>
      <c r="JU16" s="168">
        <v>4</v>
      </c>
      <c r="JV16" s="168"/>
      <c r="JW16" s="168"/>
      <c r="JX16" s="168"/>
      <c r="JY16" s="168"/>
      <c r="JZ16" s="168"/>
      <c r="KA16" s="168"/>
      <c r="KB16" s="168"/>
      <c r="KC16" s="168"/>
      <c r="KD16" s="168"/>
      <c r="KE16" s="168">
        <v>1</v>
      </c>
      <c r="KF16" s="168"/>
      <c r="KG16" s="168"/>
      <c r="KH16" s="168"/>
      <c r="KI16" s="168"/>
      <c r="KJ16" s="168"/>
      <c r="KK16" s="168"/>
      <c r="KL16" s="168"/>
      <c r="KM16" s="168"/>
      <c r="KN16" s="168">
        <v>12</v>
      </c>
      <c r="KO16" s="168">
        <v>13</v>
      </c>
      <c r="KP16" s="168"/>
      <c r="KQ16" s="168"/>
      <c r="KR16" s="168"/>
      <c r="KS16" s="168"/>
      <c r="KT16" s="168">
        <v>13</v>
      </c>
      <c r="KU16" s="168">
        <v>20</v>
      </c>
      <c r="KV16" s="168">
        <f>KT16+KN16+KJ16+KH16+KF16+KD16+KB16+JZ16+JX16+JV16+JT16+JR16+JP16+JN16+JL16+JJ16+JH16+JF16+JD16+JB16+IZ16+IX16+IV16+IT16+IR16+IP16+IN16+IL16+IJ16+IH16+IF16+ID16+IB16+HZ16+HX16+HV16+HT16+HR16+HP16+HN16+HL16+HJ16+HH16+HF16+HD16+HB16+GZ16+GX16+GV16+GT16+GR16+GP16+GN16+GL16+GJ16</f>
        <v>49</v>
      </c>
      <c r="KW16" s="168">
        <f>KU16+KO16+KK16+KI16+KG16+KE16+KC16+KA16+JY16+JW16+JU16+JS16+JQ16+JO16+JM16+JK16+JI16+JG16+JE16+JC16+JA16+IY16+IW16+IU16+IS16+IQ16+IO16+IM16+IK16+II16+IG16+IE16+IC16+IA16+HY16+HW16+HU16+HS16+HQ16+HO16+HM16+HK16+HI16+HG16+HE16+HC16+HA16+GY16+GW16+GU16+GS16+GQ16+GO16+GM16+GK16</f>
        <v>60</v>
      </c>
      <c r="KX16" s="168">
        <f>KW16+KV16</f>
        <v>109</v>
      </c>
      <c r="KY16" s="168">
        <v>48</v>
      </c>
      <c r="KZ16" s="168">
        <v>60</v>
      </c>
      <c r="LA16" s="168"/>
      <c r="LB16" s="168"/>
      <c r="LC16" s="168"/>
      <c r="LD16" s="168"/>
      <c r="LE16" s="168"/>
      <c r="LF16" s="168"/>
      <c r="LG16" s="168">
        <v>1</v>
      </c>
      <c r="LH16" s="168"/>
      <c r="LI16" s="168"/>
      <c r="LJ16" s="168"/>
      <c r="LK16" s="168"/>
      <c r="LL16" s="168"/>
      <c r="LM16" s="168"/>
      <c r="LN16" s="168"/>
      <c r="LO16" s="168"/>
      <c r="LP16" s="168"/>
      <c r="LQ16" s="168">
        <f t="shared" si="31"/>
        <v>49</v>
      </c>
      <c r="LR16" s="168">
        <f t="shared" si="32"/>
        <v>60</v>
      </c>
      <c r="LS16" s="168">
        <f>LR16+LQ16</f>
        <v>109</v>
      </c>
      <c r="LT16" s="168">
        <v>30</v>
      </c>
      <c r="LU16" s="168">
        <v>51</v>
      </c>
      <c r="LV16" s="168">
        <v>5</v>
      </c>
      <c r="LW16" s="168">
        <v>2</v>
      </c>
      <c r="LX16" s="168">
        <v>1</v>
      </c>
      <c r="LY16" s="168"/>
      <c r="LZ16" s="168">
        <v>13</v>
      </c>
      <c r="MA16" s="168">
        <v>7</v>
      </c>
      <c r="MB16" s="168">
        <f>LX16+LV16+LT16+LZ16</f>
        <v>49</v>
      </c>
      <c r="MC16" s="168">
        <f>LY16+LW16+LU16+MA16</f>
        <v>60</v>
      </c>
      <c r="MD16" s="168">
        <f>MC16+MB16</f>
        <v>109</v>
      </c>
      <c r="ME16" s="168">
        <v>2</v>
      </c>
      <c r="MF16" s="168">
        <v>5</v>
      </c>
      <c r="MG16" s="168">
        <v>27</v>
      </c>
      <c r="MH16" s="168">
        <v>41</v>
      </c>
      <c r="MI16" s="168">
        <v>9</v>
      </c>
      <c r="MJ16" s="168">
        <v>8</v>
      </c>
      <c r="MK16" s="168">
        <v>9</v>
      </c>
      <c r="ML16" s="168">
        <v>5</v>
      </c>
      <c r="MM16" s="168">
        <v>2</v>
      </c>
      <c r="MN16" s="168">
        <v>1</v>
      </c>
      <c r="MO16" s="168">
        <f>MM16+MK16+MI16+MG16+ME16</f>
        <v>49</v>
      </c>
      <c r="MP16" s="168">
        <f>MN16+ML16+MJ16+MH16+MF16</f>
        <v>60</v>
      </c>
      <c r="MQ16" s="168">
        <f>MP16+MO16</f>
        <v>109</v>
      </c>
      <c r="MR16" s="168">
        <v>7</v>
      </c>
      <c r="MS16" s="168">
        <v>9</v>
      </c>
      <c r="MT16" s="168">
        <v>42</v>
      </c>
      <c r="MU16" s="168">
        <v>51</v>
      </c>
      <c r="MV16" s="168"/>
      <c r="MW16" s="168"/>
      <c r="MX16" s="168"/>
      <c r="MY16" s="168"/>
      <c r="MZ16" s="168">
        <f>MX16+MV16+MT16+MR16</f>
        <v>49</v>
      </c>
      <c r="NA16" s="168">
        <f>MY16+MW16+MU16+MS16</f>
        <v>60</v>
      </c>
      <c r="NB16" s="168">
        <f t="shared" ref="NB16" si="80">NA16+MZ16</f>
        <v>109</v>
      </c>
      <c r="NC16" s="168"/>
      <c r="ND16" s="168"/>
      <c r="NE16" s="168">
        <v>1</v>
      </c>
      <c r="NF16" s="168"/>
      <c r="NG16" s="168"/>
      <c r="NH16" s="168"/>
      <c r="NI16" s="168">
        <v>12</v>
      </c>
      <c r="NJ16" s="168">
        <v>19</v>
      </c>
      <c r="NK16" s="168">
        <v>32</v>
      </c>
      <c r="NL16" s="168">
        <v>30</v>
      </c>
      <c r="NM16" s="168">
        <v>3</v>
      </c>
      <c r="NN16" s="168">
        <v>10</v>
      </c>
      <c r="NO16" s="168"/>
      <c r="NP16" s="168"/>
      <c r="NQ16" s="168">
        <v>1</v>
      </c>
      <c r="NR16" s="168">
        <v>1</v>
      </c>
      <c r="NS16" s="168"/>
      <c r="NT16" s="168"/>
      <c r="NU16" s="168"/>
      <c r="NV16" s="168"/>
      <c r="NW16" s="168">
        <f>NU16+NS16+NQ16+NO16+NM16+NK16+NG16+NI16+NE16</f>
        <v>49</v>
      </c>
      <c r="NX16" s="168">
        <f>NV16+NT16+NR16+NP16+NN16+NL16+NH16+NJ16+NF16</f>
        <v>60</v>
      </c>
      <c r="NY16" s="168">
        <f>NX16+NW16</f>
        <v>109</v>
      </c>
      <c r="NZ16" s="168"/>
      <c r="OA16" s="168"/>
      <c r="OB16" s="168"/>
      <c r="OC16" s="168"/>
      <c r="OD16" s="168"/>
      <c r="OE16" s="168"/>
      <c r="OF16" s="168">
        <f>OD16+OB16+NZ16</f>
        <v>0</v>
      </c>
      <c r="OG16" s="168">
        <f>OE16+OC16+OA16</f>
        <v>0</v>
      </c>
      <c r="OH16" s="168">
        <f>OG16+OF16</f>
        <v>0</v>
      </c>
      <c r="OI16" s="168"/>
      <c r="OJ16" s="168">
        <v>1</v>
      </c>
      <c r="OK16" s="168">
        <v>1</v>
      </c>
      <c r="OL16" s="168"/>
      <c r="OM16" s="168"/>
      <c r="ON16" s="168">
        <v>1</v>
      </c>
      <c r="OO16" s="168"/>
      <c r="OP16" s="168">
        <v>1</v>
      </c>
      <c r="OQ16" s="168"/>
      <c r="OR16" s="168"/>
      <c r="OS16" s="168"/>
      <c r="OT16" s="168"/>
      <c r="OU16" s="169">
        <v>1</v>
      </c>
      <c r="OV16" s="169"/>
      <c r="OW16" s="169">
        <v>1980</v>
      </c>
      <c r="OX16" s="169" t="s">
        <v>405</v>
      </c>
      <c r="OY16" s="169">
        <v>3</v>
      </c>
      <c r="OZ16" s="169">
        <v>1</v>
      </c>
      <c r="PA16" s="169"/>
      <c r="PB16" s="169">
        <v>1</v>
      </c>
      <c r="PC16" s="169"/>
      <c r="PD16" s="169"/>
      <c r="PE16" s="169"/>
      <c r="PF16" s="169"/>
      <c r="PG16" s="169">
        <v>1</v>
      </c>
      <c r="PH16" s="169"/>
      <c r="PI16" s="169"/>
      <c r="PJ16" s="169">
        <v>1</v>
      </c>
      <c r="PK16" s="169"/>
      <c r="PL16" s="169">
        <v>12</v>
      </c>
      <c r="PM16" s="169">
        <v>12</v>
      </c>
      <c r="PN16" s="169">
        <v>10</v>
      </c>
      <c r="PO16" s="169">
        <f>PN16+PM16</f>
        <v>22</v>
      </c>
      <c r="PP16" s="169"/>
      <c r="PQ16" s="169"/>
      <c r="PR16" s="169"/>
      <c r="PS16" s="169">
        <v>1</v>
      </c>
      <c r="PT16" s="169"/>
      <c r="PU16" s="169"/>
      <c r="PV16" s="169">
        <v>1</v>
      </c>
      <c r="PW16" s="169"/>
      <c r="PX16" s="169">
        <v>1</v>
      </c>
      <c r="PY16" s="169"/>
      <c r="PZ16" s="169"/>
      <c r="QA16" s="169">
        <v>1</v>
      </c>
      <c r="QB16" s="169">
        <v>1</v>
      </c>
      <c r="QC16" s="169"/>
      <c r="QD16" s="169">
        <v>1</v>
      </c>
      <c r="QE16" s="169"/>
      <c r="QF16" s="169"/>
      <c r="QG16" s="169"/>
      <c r="QH16" s="169"/>
      <c r="QI16" s="169">
        <v>1</v>
      </c>
      <c r="QJ16" s="169"/>
      <c r="QK16" s="169"/>
      <c r="QL16" s="169">
        <v>1</v>
      </c>
      <c r="QM16" s="169">
        <v>1</v>
      </c>
      <c r="QN16" s="169"/>
      <c r="QO16" s="169">
        <v>1</v>
      </c>
      <c r="QP16" s="169"/>
      <c r="QQ16" s="169"/>
      <c r="QR16" s="169"/>
      <c r="QS16" s="169">
        <v>1</v>
      </c>
      <c r="QT16" s="169"/>
      <c r="QU16" s="169">
        <v>1</v>
      </c>
      <c r="QV16" s="169"/>
      <c r="QW16" s="169">
        <v>1</v>
      </c>
      <c r="QX16" s="169">
        <v>1</v>
      </c>
      <c r="QY16" s="169">
        <v>1</v>
      </c>
      <c r="QZ16" s="169"/>
      <c r="RA16" s="169"/>
      <c r="RB16" s="169">
        <v>1</v>
      </c>
      <c r="RC16" s="169"/>
      <c r="RD16" s="169">
        <v>1</v>
      </c>
      <c r="RE16" s="169"/>
      <c r="RF16" s="169">
        <v>1</v>
      </c>
      <c r="RG16" s="169"/>
      <c r="RH16" s="169"/>
      <c r="RI16" s="169">
        <v>1</v>
      </c>
      <c r="RJ16" s="169"/>
      <c r="RK16" s="169"/>
      <c r="RL16" s="169"/>
      <c r="RM16" s="169">
        <v>1</v>
      </c>
      <c r="RN16" s="169"/>
      <c r="RO16" s="168">
        <v>340</v>
      </c>
      <c r="RP16" s="168">
        <v>45</v>
      </c>
      <c r="RQ16" s="168">
        <v>50</v>
      </c>
      <c r="RR16" s="168">
        <v>50</v>
      </c>
      <c r="RS16" s="168">
        <v>10</v>
      </c>
      <c r="RT16" s="168">
        <v>15</v>
      </c>
      <c r="RU16" s="170">
        <v>4</v>
      </c>
      <c r="RV16" s="170">
        <v>11</v>
      </c>
      <c r="RW16" s="170"/>
      <c r="RX16" s="170">
        <v>1</v>
      </c>
      <c r="RY16" s="170"/>
      <c r="RZ16" s="170"/>
      <c r="SA16" s="169">
        <v>1</v>
      </c>
      <c r="SB16" s="169"/>
      <c r="SC16" s="169"/>
      <c r="SD16" s="169"/>
      <c r="SE16" s="169">
        <v>1</v>
      </c>
      <c r="SF16" s="169"/>
      <c r="SG16" s="169"/>
      <c r="SH16" s="169"/>
      <c r="SI16" s="169"/>
      <c r="SJ16" s="169"/>
      <c r="SK16" s="169">
        <v>1</v>
      </c>
      <c r="SL16" s="169">
        <v>80</v>
      </c>
      <c r="SM16" s="169">
        <v>10</v>
      </c>
      <c r="SN16" s="169">
        <f>SM16+SL16</f>
        <v>90</v>
      </c>
      <c r="SO16" s="169">
        <v>5</v>
      </c>
      <c r="SP16" s="169">
        <v>5</v>
      </c>
      <c r="SQ16" s="169" t="s">
        <v>494</v>
      </c>
      <c r="SR16" s="169" t="s">
        <v>564</v>
      </c>
      <c r="SS16" s="178">
        <v>7812391658</v>
      </c>
    </row>
    <row r="17" spans="1:513" s="171" customFormat="1" ht="26.25" customHeight="1">
      <c r="A17" s="168" t="s">
        <v>109</v>
      </c>
      <c r="B17" s="168" t="s">
        <v>110</v>
      </c>
      <c r="C17" s="168">
        <v>8</v>
      </c>
      <c r="D17" s="168">
        <v>1401694</v>
      </c>
      <c r="E17" s="168" t="s">
        <v>549</v>
      </c>
      <c r="F17" s="168"/>
      <c r="G17" s="168">
        <v>1</v>
      </c>
      <c r="H17" s="168"/>
      <c r="I17" s="168">
        <v>1</v>
      </c>
      <c r="J17" s="168"/>
      <c r="K17" s="168">
        <v>1</v>
      </c>
      <c r="L17" s="168"/>
      <c r="M17" s="168"/>
      <c r="N17" s="168"/>
      <c r="O17" s="168">
        <v>1</v>
      </c>
      <c r="P17" s="168"/>
      <c r="Q17" s="168"/>
      <c r="R17" s="168"/>
      <c r="S17" s="168">
        <v>1</v>
      </c>
      <c r="T17" s="168"/>
      <c r="U17" s="168">
        <v>1</v>
      </c>
      <c r="V17" s="168"/>
      <c r="W17" s="168">
        <v>15</v>
      </c>
      <c r="X17" s="168"/>
      <c r="Y17" s="168">
        <v>13</v>
      </c>
      <c r="Z17" s="168"/>
      <c r="AA17" s="168">
        <v>5</v>
      </c>
      <c r="AB17" s="168"/>
      <c r="AC17" s="168">
        <v>10</v>
      </c>
      <c r="AD17" s="168"/>
      <c r="AE17" s="168">
        <v>9</v>
      </c>
      <c r="AF17" s="168">
        <f>AD17+AB17+Z17+X17+V17</f>
        <v>0</v>
      </c>
      <c r="AG17" s="168">
        <f>AE17+AC17+AA17+Y17+W17</f>
        <v>52</v>
      </c>
      <c r="AH17" s="168">
        <f>SUM(AF17:AG17)</f>
        <v>52</v>
      </c>
      <c r="AI17" s="168"/>
      <c r="AJ17" s="168">
        <v>15</v>
      </c>
      <c r="AK17" s="168"/>
      <c r="AL17" s="168">
        <v>13</v>
      </c>
      <c r="AM17" s="168"/>
      <c r="AN17" s="168">
        <v>5</v>
      </c>
      <c r="AO17" s="168"/>
      <c r="AP17" s="168">
        <v>10</v>
      </c>
      <c r="AQ17" s="168"/>
      <c r="AR17" s="168">
        <v>9</v>
      </c>
      <c r="AS17" s="168">
        <f>AQ17+AO17+AM17+AK17+AI17</f>
        <v>0</v>
      </c>
      <c r="AT17" s="168">
        <f>AR17+AP17+AN17+AL17+AJ17</f>
        <v>52</v>
      </c>
      <c r="AU17" s="168">
        <f>SUM(AS17:AT17)</f>
        <v>52</v>
      </c>
      <c r="AV17" s="168"/>
      <c r="AW17" s="168">
        <v>3</v>
      </c>
      <c r="AX17" s="168"/>
      <c r="AY17" s="168">
        <v>8</v>
      </c>
      <c r="AZ17" s="168"/>
      <c r="BA17" s="168">
        <v>4</v>
      </c>
      <c r="BB17" s="168"/>
      <c r="BC17" s="168">
        <v>1</v>
      </c>
      <c r="BD17" s="168"/>
      <c r="BE17" s="168">
        <v>8</v>
      </c>
      <c r="BF17" s="168">
        <f>BD17+BB17+AZ17+AX17+AV17</f>
        <v>0</v>
      </c>
      <c r="BG17" s="168">
        <f>BE17+BC17+BA17+AY17+AW17</f>
        <v>24</v>
      </c>
      <c r="BH17" s="168">
        <f>SUM(BF17:BG17)</f>
        <v>24</v>
      </c>
      <c r="BI17" s="168"/>
      <c r="BJ17" s="168">
        <v>1</v>
      </c>
      <c r="BK17" s="168"/>
      <c r="BL17" s="168">
        <v>6</v>
      </c>
      <c r="BM17" s="168"/>
      <c r="BN17" s="168">
        <v>4</v>
      </c>
      <c r="BO17" s="168"/>
      <c r="BP17" s="168">
        <v>7</v>
      </c>
      <c r="BQ17" s="168"/>
      <c r="BR17" s="168"/>
      <c r="BS17" s="168">
        <f>BQ17+BO17+BM17+BK17+BI17</f>
        <v>0</v>
      </c>
      <c r="BT17" s="168">
        <f>BR17+BP17+BN17+BL17+BJ17</f>
        <v>18</v>
      </c>
      <c r="BU17" s="168">
        <f>SUM(BS17:BT17)</f>
        <v>18</v>
      </c>
      <c r="BV17" s="168">
        <f>AI17</f>
        <v>0</v>
      </c>
      <c r="BW17" s="168">
        <f>AJ17</f>
        <v>15</v>
      </c>
      <c r="BX17" s="168">
        <f>AV17+AK17</f>
        <v>0</v>
      </c>
      <c r="BY17" s="168">
        <f>AL17+AW17</f>
        <v>16</v>
      </c>
      <c r="BZ17" s="168">
        <f>BI17+AX17+AM17</f>
        <v>0</v>
      </c>
      <c r="CA17" s="168">
        <f>AN17+AY17+BJ17</f>
        <v>14</v>
      </c>
      <c r="CB17" s="168">
        <f>BK17+AZ17+AO17</f>
        <v>0</v>
      </c>
      <c r="CC17" s="168">
        <f>AP17+BA17+BL17</f>
        <v>20</v>
      </c>
      <c r="CD17" s="168">
        <f>BM17+BB17+AQ17</f>
        <v>0</v>
      </c>
      <c r="CE17" s="168">
        <f>BN17+BC17+AR17</f>
        <v>14</v>
      </c>
      <c r="CF17" s="168">
        <f>BO17+BD17</f>
        <v>0</v>
      </c>
      <c r="CG17" s="168">
        <f>BP17+BE17</f>
        <v>15</v>
      </c>
      <c r="CH17" s="168">
        <f>BQ17</f>
        <v>0</v>
      </c>
      <c r="CI17" s="168">
        <f>BR17</f>
        <v>0</v>
      </c>
      <c r="CJ17" s="168">
        <f>BV17+BX17+BZ17+CB17+CD17+CF17+CH17</f>
        <v>0</v>
      </c>
      <c r="CK17" s="168">
        <f>BW17+BY17+CA17+CC17+CE17+CG17+CI17</f>
        <v>94</v>
      </c>
      <c r="CL17" s="168">
        <f>SUM(CJ17:CK17)</f>
        <v>94</v>
      </c>
      <c r="CM17" s="168"/>
      <c r="CN17" s="168">
        <v>2</v>
      </c>
      <c r="CO17" s="168"/>
      <c r="CP17" s="168"/>
      <c r="CQ17" s="168">
        <v>1</v>
      </c>
      <c r="CR17" s="168"/>
      <c r="CS17" s="168"/>
      <c r="CT17" s="168">
        <v>1</v>
      </c>
      <c r="CU17" s="168"/>
      <c r="CV17" s="168">
        <f t="shared" si="77"/>
        <v>0</v>
      </c>
      <c r="CW17" s="168">
        <f t="shared" si="77"/>
        <v>4</v>
      </c>
      <c r="CX17" s="168">
        <f t="shared" si="77"/>
        <v>0</v>
      </c>
      <c r="CY17" s="168">
        <f>SUM(CV17:CX17)</f>
        <v>4</v>
      </c>
      <c r="CZ17" s="168"/>
      <c r="DA17" s="168"/>
      <c r="DB17" s="168"/>
      <c r="DC17" s="168"/>
      <c r="DD17" s="168"/>
      <c r="DE17" s="168"/>
      <c r="DF17" s="168">
        <f>DD17+DB17+CZ17</f>
        <v>0</v>
      </c>
      <c r="DG17" s="168">
        <f>DE17+DC17+DA17</f>
        <v>0</v>
      </c>
      <c r="DH17" s="168">
        <f>SUM(DF17:DG17)</f>
        <v>0</v>
      </c>
      <c r="DI17" s="168"/>
      <c r="DJ17" s="168"/>
      <c r="DK17" s="168"/>
      <c r="DL17" s="168"/>
      <c r="DM17" s="168"/>
      <c r="DN17" s="168"/>
      <c r="DO17" s="168"/>
      <c r="DP17" s="168"/>
      <c r="DQ17" s="168"/>
      <c r="DR17" s="168"/>
      <c r="DS17" s="168"/>
      <c r="DT17" s="168"/>
      <c r="DU17" s="168"/>
      <c r="DV17" s="168"/>
      <c r="DW17" s="168"/>
      <c r="DX17" s="168">
        <f>DV17+DT17+DR17</f>
        <v>0</v>
      </c>
      <c r="DY17" s="168">
        <f>DW17+DU17+DS17</f>
        <v>0</v>
      </c>
      <c r="DZ17" s="168">
        <f>SUM(DX17:DY17)</f>
        <v>0</v>
      </c>
      <c r="EA17" s="168"/>
      <c r="EB17" s="168"/>
      <c r="EC17" s="168"/>
      <c r="ED17" s="168"/>
      <c r="EE17" s="168"/>
      <c r="EF17" s="168"/>
      <c r="EG17" s="168">
        <f>EE17+EC17+EA17</f>
        <v>0</v>
      </c>
      <c r="EH17" s="168">
        <f>EF17+ED17+EB17</f>
        <v>0</v>
      </c>
      <c r="EI17" s="168">
        <f>SUM(EG17:EH17)</f>
        <v>0</v>
      </c>
      <c r="EJ17" s="168"/>
      <c r="EK17" s="168"/>
      <c r="EL17" s="168"/>
      <c r="EM17" s="168"/>
      <c r="EN17" s="168"/>
      <c r="EO17" s="168"/>
      <c r="EP17" s="168">
        <f>EN17+EL17+EJ17</f>
        <v>0</v>
      </c>
      <c r="EQ17" s="168">
        <f>EO17+EM17+EK17</f>
        <v>0</v>
      </c>
      <c r="ER17" s="168">
        <f>SUM(EP17:EQ17)</f>
        <v>0</v>
      </c>
      <c r="ES17" s="168"/>
      <c r="ET17" s="168"/>
      <c r="EU17" s="168"/>
      <c r="EV17" s="168"/>
      <c r="EW17" s="168"/>
      <c r="EX17" s="168"/>
      <c r="EY17" s="168">
        <f t="shared" ref="EY17" si="81">EW17+EU17+ES17</f>
        <v>0</v>
      </c>
      <c r="EZ17" s="168">
        <f t="shared" ref="EZ17" si="82">EX17+EV17+ET17</f>
        <v>0</v>
      </c>
      <c r="FA17" s="168">
        <f t="shared" ref="FA17" si="83">SUM(EY17:EZ17)</f>
        <v>0</v>
      </c>
      <c r="FB17" s="168"/>
      <c r="FC17" s="168">
        <v>1</v>
      </c>
      <c r="FD17" s="168"/>
      <c r="FE17" s="168"/>
      <c r="FF17" s="168"/>
      <c r="FG17" s="168"/>
      <c r="FH17" s="168"/>
      <c r="FI17" s="168"/>
      <c r="FJ17" s="168"/>
      <c r="FK17" s="168"/>
      <c r="FL17" s="168">
        <f>FJ17+FH17+FF17+FD17+FB17</f>
        <v>0</v>
      </c>
      <c r="FM17" s="168">
        <f>FK17+FI17+FG17+FE17+FC17</f>
        <v>1</v>
      </c>
      <c r="FN17" s="168">
        <f>SUM(FL17:FM17)</f>
        <v>1</v>
      </c>
      <c r="FO17" s="168"/>
      <c r="FP17" s="168"/>
      <c r="FQ17" s="168"/>
      <c r="FR17" s="168"/>
      <c r="FS17" s="168"/>
      <c r="FT17" s="168"/>
      <c r="FU17" s="168"/>
      <c r="FV17" s="168"/>
      <c r="FW17" s="168"/>
      <c r="FX17" s="168"/>
      <c r="FY17" s="168"/>
      <c r="FZ17" s="168"/>
      <c r="GA17" s="168"/>
      <c r="GB17" s="168"/>
      <c r="GC17" s="168"/>
      <c r="GD17" s="168"/>
      <c r="GE17" s="168"/>
      <c r="GF17" s="168"/>
      <c r="GG17" s="168">
        <f t="shared" ref="GG17" si="84">GE17+GA17+FY17+FW17+FU17+FS17+FO17+FQ17+GC17</f>
        <v>0</v>
      </c>
      <c r="GH17" s="168">
        <f t="shared" ref="GH17" si="85">GF17+GB17+FZ17+FX17+FV17+FT17+FP17+FR17+GD17</f>
        <v>0</v>
      </c>
      <c r="GI17" s="168">
        <f>GH17+GG17</f>
        <v>0</v>
      </c>
      <c r="GJ17" s="168"/>
      <c r="GK17" s="168"/>
      <c r="GL17" s="168"/>
      <c r="GM17" s="168"/>
      <c r="GN17" s="168"/>
      <c r="GO17" s="168"/>
      <c r="GP17" s="168"/>
      <c r="GQ17" s="168"/>
      <c r="GR17" s="168"/>
      <c r="GS17" s="168"/>
      <c r="GT17" s="168"/>
      <c r="GU17" s="168"/>
      <c r="GV17" s="168"/>
      <c r="GW17" s="168"/>
      <c r="GX17" s="168"/>
      <c r="GY17" s="168"/>
      <c r="GZ17" s="168"/>
      <c r="HA17" s="168"/>
      <c r="HB17" s="168"/>
      <c r="HC17" s="168"/>
      <c r="HD17" s="168"/>
      <c r="HE17" s="168"/>
      <c r="HF17" s="168"/>
      <c r="HG17" s="168"/>
      <c r="HH17" s="168"/>
      <c r="HI17" s="168"/>
      <c r="HJ17" s="168"/>
      <c r="HK17" s="168"/>
      <c r="HL17" s="168"/>
      <c r="HM17" s="168"/>
      <c r="HN17" s="168"/>
      <c r="HO17" s="168"/>
      <c r="HP17" s="168"/>
      <c r="HQ17" s="168"/>
      <c r="HR17" s="168"/>
      <c r="HS17" s="168"/>
      <c r="HT17" s="168"/>
      <c r="HU17" s="168"/>
      <c r="HV17" s="168"/>
      <c r="HW17" s="168"/>
      <c r="HX17" s="168"/>
      <c r="HY17" s="168"/>
      <c r="HZ17" s="168"/>
      <c r="IA17" s="168"/>
      <c r="IB17" s="168"/>
      <c r="IC17" s="168"/>
      <c r="ID17" s="168"/>
      <c r="IE17" s="168"/>
      <c r="IF17" s="168"/>
      <c r="IG17" s="168"/>
      <c r="IH17" s="168"/>
      <c r="II17" s="168"/>
      <c r="IJ17" s="168"/>
      <c r="IK17" s="168"/>
      <c r="IL17" s="168"/>
      <c r="IM17" s="168"/>
      <c r="IN17" s="168"/>
      <c r="IO17" s="168"/>
      <c r="IP17" s="168"/>
      <c r="IQ17" s="168"/>
      <c r="IR17" s="168"/>
      <c r="IS17" s="168"/>
      <c r="IT17" s="168"/>
      <c r="IU17" s="168"/>
      <c r="IV17" s="168"/>
      <c r="IW17" s="168"/>
      <c r="IX17" s="168"/>
      <c r="IY17" s="168"/>
      <c r="IZ17" s="168"/>
      <c r="JA17" s="168"/>
      <c r="JB17" s="168"/>
      <c r="JC17" s="168"/>
      <c r="JD17" s="168"/>
      <c r="JE17" s="168"/>
      <c r="JF17" s="168"/>
      <c r="JG17" s="168"/>
      <c r="JH17" s="168"/>
      <c r="JI17" s="168"/>
      <c r="JJ17" s="168"/>
      <c r="JK17" s="168"/>
      <c r="JL17" s="168"/>
      <c r="JM17" s="168"/>
      <c r="JN17" s="168"/>
      <c r="JO17" s="168"/>
      <c r="JP17" s="168"/>
      <c r="JQ17" s="168"/>
      <c r="JR17" s="168"/>
      <c r="JS17" s="168"/>
      <c r="JT17" s="168"/>
      <c r="JU17" s="168"/>
      <c r="JV17" s="168"/>
      <c r="JW17" s="168"/>
      <c r="JX17" s="168"/>
      <c r="JY17" s="168"/>
      <c r="JZ17" s="168"/>
      <c r="KA17" s="168"/>
      <c r="KB17" s="168"/>
      <c r="KC17" s="168"/>
      <c r="KD17" s="168"/>
      <c r="KE17" s="168"/>
      <c r="KF17" s="168"/>
      <c r="KG17" s="168"/>
      <c r="KH17" s="168"/>
      <c r="KI17" s="168"/>
      <c r="KJ17" s="168"/>
      <c r="KK17" s="168"/>
      <c r="KL17" s="168"/>
      <c r="KM17" s="168"/>
      <c r="KN17" s="168"/>
      <c r="KO17" s="168"/>
      <c r="KP17" s="168"/>
      <c r="KQ17" s="168"/>
      <c r="KR17" s="168"/>
      <c r="KS17" s="168"/>
      <c r="KT17" s="168"/>
      <c r="KU17" s="168">
        <v>1</v>
      </c>
      <c r="KV17" s="168">
        <f>KT17+KN17+KJ17+KH17+KF17+KD17+KB17+JZ17+JX17+JV17+JT17+JR17+JP17+JN17+JL17+JJ17+JH17+JF17+JD17+JB17+IZ17+IX17+IV17+IT17+IR17+IP17+IN17+IL17+IJ17+IH17+IF17+ID17+IB17+HZ17+HX17+HV17+HT17+HR17+HP17+HN17+HL17+HJ17+HH17+HF17+HD17+HB17+GZ17+GX17+GV17+GT17+GR17+GP17+GN17+GL17+GJ17</f>
        <v>0</v>
      </c>
      <c r="KW17" s="168">
        <f>KU17+KO17+KK17+KI17+KG17+KE17+KC17+KA17+JY17+JW17+JU17+JS17+JQ17+JO17+JM17+JK17+JI17+JG17+JE17+JC17+JA17+IY17+IW17+IU17+IS17+IQ17+IO17+IM17+IK17+II17+IG17+IE17+IC17+IA17+HY17+HW17+HU17+HS17+HQ17+HO17+HM17+HK17+HI17+HG17+HE17+HC17+HA17+GY17+GW17+GU17+GS17+GQ17+GO17+GM17+GK17</f>
        <v>1</v>
      </c>
      <c r="KX17" s="168">
        <f>KW17+KV17</f>
        <v>1</v>
      </c>
      <c r="KY17" s="168"/>
      <c r="KZ17" s="168">
        <v>1</v>
      </c>
      <c r="LA17" s="168"/>
      <c r="LB17" s="168"/>
      <c r="LC17" s="168"/>
      <c r="LD17" s="168"/>
      <c r="LE17" s="168"/>
      <c r="LF17" s="168"/>
      <c r="LG17" s="168"/>
      <c r="LH17" s="168"/>
      <c r="LI17" s="168"/>
      <c r="LJ17" s="168"/>
      <c r="LK17" s="168"/>
      <c r="LL17" s="168"/>
      <c r="LM17" s="168"/>
      <c r="LN17" s="168"/>
      <c r="LO17" s="168"/>
      <c r="LP17" s="168"/>
      <c r="LQ17" s="168">
        <f t="shared" ref="LQ17" si="86">LA17+LC17+KY17+LE17+LG17+LI17+LK17+LM17+LO17</f>
        <v>0</v>
      </c>
      <c r="LR17" s="168">
        <f t="shared" ref="LR17" si="87">LB17+LD17+KZ17+LF17+LH17+LJ17+LL17+LN17+LP17</f>
        <v>1</v>
      </c>
      <c r="LS17" s="168">
        <f>LR17+LQ17</f>
        <v>1</v>
      </c>
      <c r="LT17" s="168"/>
      <c r="LU17" s="168"/>
      <c r="LV17" s="168"/>
      <c r="LW17" s="168"/>
      <c r="LX17" s="168"/>
      <c r="LY17" s="168"/>
      <c r="LZ17" s="168"/>
      <c r="MA17" s="168">
        <v>1</v>
      </c>
      <c r="MB17" s="168">
        <f>LX17+LV17+LT17+LZ17</f>
        <v>0</v>
      </c>
      <c r="MC17" s="168">
        <f>LY17+LW17+LU17+MA17</f>
        <v>1</v>
      </c>
      <c r="MD17" s="168">
        <f>MC17+MB17</f>
        <v>1</v>
      </c>
      <c r="ME17" s="168"/>
      <c r="MF17" s="168"/>
      <c r="MG17" s="168"/>
      <c r="MH17" s="168"/>
      <c r="MI17" s="168"/>
      <c r="MJ17" s="168"/>
      <c r="MK17" s="168"/>
      <c r="ML17" s="168">
        <v>1</v>
      </c>
      <c r="MM17" s="168"/>
      <c r="MN17" s="168"/>
      <c r="MO17" s="168">
        <f>MM17+MK17+MI17+MG17+ME17</f>
        <v>0</v>
      </c>
      <c r="MP17" s="168">
        <f>MN17+ML17+MJ17+MH17+MF17</f>
        <v>1</v>
      </c>
      <c r="MQ17" s="168">
        <f>MP17+MO17</f>
        <v>1</v>
      </c>
      <c r="MR17" s="168"/>
      <c r="MS17" s="168">
        <v>1</v>
      </c>
      <c r="MT17" s="168"/>
      <c r="MU17" s="168"/>
      <c r="MV17" s="168"/>
      <c r="MW17" s="168"/>
      <c r="MX17" s="168"/>
      <c r="MY17" s="168"/>
      <c r="MZ17" s="168">
        <f>MX17+MV17+MT17+MR17</f>
        <v>0</v>
      </c>
      <c r="NA17" s="168">
        <f>MY17+MW17+MU17+MS17</f>
        <v>1</v>
      </c>
      <c r="NB17" s="168">
        <f t="shared" ref="NB17" si="88">NA17+MZ17</f>
        <v>1</v>
      </c>
      <c r="NC17" s="168"/>
      <c r="ND17" s="168"/>
      <c r="NE17" s="168"/>
      <c r="NF17" s="168"/>
      <c r="NG17" s="168"/>
      <c r="NH17" s="168"/>
      <c r="NI17" s="168"/>
      <c r="NJ17" s="168"/>
      <c r="NK17" s="168"/>
      <c r="NL17" s="168"/>
      <c r="NM17" s="168"/>
      <c r="NN17" s="168"/>
      <c r="NO17" s="168"/>
      <c r="NP17" s="168"/>
      <c r="NQ17" s="168"/>
      <c r="NR17" s="168">
        <v>1</v>
      </c>
      <c r="NS17" s="168"/>
      <c r="NT17" s="168"/>
      <c r="NU17" s="168"/>
      <c r="NV17" s="168"/>
      <c r="NW17" s="168">
        <f>NU17+NS17+NQ17+NO17+NM17+NK17+NG17+NI17+NE17</f>
        <v>0</v>
      </c>
      <c r="NX17" s="168">
        <f>NV17+NT17+NR17+NP17+NN17+NL17+NH17+NJ17+NF17</f>
        <v>1</v>
      </c>
      <c r="NY17" s="168">
        <f>NX17+NW17</f>
        <v>1</v>
      </c>
      <c r="NZ17" s="168"/>
      <c r="OA17" s="168"/>
      <c r="OB17" s="168"/>
      <c r="OC17" s="168"/>
      <c r="OD17" s="168"/>
      <c r="OE17" s="168"/>
      <c r="OF17" s="168">
        <f>OD17+OB17+NZ17</f>
        <v>0</v>
      </c>
      <c r="OG17" s="168">
        <f>OE17+OC17+OA17</f>
        <v>0</v>
      </c>
      <c r="OH17" s="168">
        <f>OG17+OF17</f>
        <v>0</v>
      </c>
      <c r="OI17" s="168"/>
      <c r="OJ17" s="168">
        <v>1</v>
      </c>
      <c r="OK17" s="168">
        <v>1</v>
      </c>
      <c r="OL17" s="168"/>
      <c r="OM17" s="168"/>
      <c r="ON17" s="168">
        <v>1</v>
      </c>
      <c r="OO17" s="168"/>
      <c r="OP17" s="168">
        <v>1</v>
      </c>
      <c r="OQ17" s="168"/>
      <c r="OR17" s="168"/>
      <c r="OS17" s="168"/>
      <c r="OT17" s="168"/>
      <c r="OU17" s="169">
        <v>1</v>
      </c>
      <c r="OV17" s="169"/>
      <c r="OW17" s="169">
        <v>2024</v>
      </c>
      <c r="OX17" s="169"/>
      <c r="OY17" s="169"/>
      <c r="OZ17" s="169"/>
      <c r="PA17" s="169">
        <v>1</v>
      </c>
      <c r="PB17" s="169"/>
      <c r="PC17" s="169"/>
      <c r="PD17" s="169">
        <v>1</v>
      </c>
      <c r="PE17" s="169"/>
      <c r="PF17" s="169"/>
      <c r="PG17" s="169"/>
      <c r="PH17" s="169"/>
      <c r="PI17" s="169">
        <v>1</v>
      </c>
      <c r="PJ17" s="169"/>
      <c r="PK17" s="169">
        <v>1</v>
      </c>
      <c r="PL17" s="169"/>
      <c r="PM17" s="169">
        <v>24</v>
      </c>
      <c r="PN17" s="169">
        <v>4</v>
      </c>
      <c r="PO17" s="72">
        <f>PN17+PM17</f>
        <v>28</v>
      </c>
      <c r="PP17" s="169">
        <v>1</v>
      </c>
      <c r="PQ17" s="169"/>
      <c r="PR17" s="169"/>
      <c r="PS17" s="169"/>
      <c r="PT17" s="169"/>
      <c r="PU17" s="169"/>
      <c r="PV17" s="169">
        <v>1</v>
      </c>
      <c r="PW17" s="169"/>
      <c r="PX17" s="169">
        <v>1</v>
      </c>
      <c r="PY17" s="169"/>
      <c r="PZ17" s="169">
        <v>1</v>
      </c>
      <c r="QA17" s="169"/>
      <c r="QB17" s="169">
        <v>1</v>
      </c>
      <c r="QC17" s="169"/>
      <c r="QD17" s="169">
        <v>1</v>
      </c>
      <c r="QE17" s="169"/>
      <c r="QF17" s="169"/>
      <c r="QG17" s="169"/>
      <c r="QH17" s="169"/>
      <c r="QI17" s="169">
        <v>1</v>
      </c>
      <c r="QJ17" s="169"/>
      <c r="QK17" s="169"/>
      <c r="QL17" s="169">
        <v>1</v>
      </c>
      <c r="QM17" s="169">
        <v>1</v>
      </c>
      <c r="QN17" s="169"/>
      <c r="QO17" s="169">
        <v>1</v>
      </c>
      <c r="QP17" s="169"/>
      <c r="QQ17" s="169"/>
      <c r="QR17" s="169">
        <v>1</v>
      </c>
      <c r="QS17" s="169"/>
      <c r="QT17" s="169"/>
      <c r="QU17" s="169"/>
      <c r="QV17" s="169">
        <v>1</v>
      </c>
      <c r="QW17" s="169"/>
      <c r="QX17" s="169"/>
      <c r="QY17" s="169"/>
      <c r="QZ17" s="169"/>
      <c r="RA17" s="169"/>
      <c r="RB17" s="169">
        <v>1</v>
      </c>
      <c r="RC17" s="169"/>
      <c r="RD17" s="169"/>
      <c r="RE17" s="169">
        <v>1</v>
      </c>
      <c r="RF17" s="169"/>
      <c r="RG17" s="169">
        <v>1</v>
      </c>
      <c r="RH17" s="169"/>
      <c r="RI17" s="169">
        <v>1</v>
      </c>
      <c r="RJ17" s="169"/>
      <c r="RK17" s="169"/>
      <c r="RL17" s="169">
        <v>1</v>
      </c>
      <c r="RM17" s="169"/>
      <c r="RN17" s="169"/>
      <c r="RO17" s="168">
        <v>210</v>
      </c>
      <c r="RP17" s="168"/>
      <c r="RQ17" s="168"/>
      <c r="RR17" s="168"/>
      <c r="RS17" s="168">
        <v>20</v>
      </c>
      <c r="RT17" s="168"/>
      <c r="RU17" s="170"/>
      <c r="RV17" s="170"/>
      <c r="RW17" s="170"/>
      <c r="RX17" s="170"/>
      <c r="RY17" s="170"/>
      <c r="RZ17" s="170"/>
      <c r="SA17" s="169"/>
      <c r="SB17" s="169">
        <v>1</v>
      </c>
      <c r="SC17" s="169"/>
      <c r="SD17" s="169"/>
      <c r="SE17" s="169"/>
      <c r="SF17" s="169"/>
      <c r="SG17" s="169"/>
      <c r="SH17" s="169"/>
      <c r="SI17" s="169"/>
      <c r="SJ17" s="169"/>
      <c r="SK17" s="169"/>
      <c r="SL17" s="169"/>
      <c r="SM17" s="169"/>
      <c r="SN17" s="169"/>
      <c r="SO17" s="169"/>
      <c r="SP17" s="169"/>
      <c r="SQ17" s="169" t="s">
        <v>494</v>
      </c>
      <c r="SR17" s="169" t="s">
        <v>550</v>
      </c>
      <c r="SS17" s="178">
        <v>7730803031</v>
      </c>
    </row>
    <row r="18" spans="1:513" s="194" customFormat="1" ht="17.25" customHeight="1">
      <c r="A18" s="221" t="s">
        <v>199</v>
      </c>
      <c r="B18" s="242"/>
      <c r="C18" s="242"/>
      <c r="D18" s="242"/>
      <c r="E18" s="222"/>
      <c r="F18" s="193">
        <f>F16</f>
        <v>1</v>
      </c>
      <c r="G18" s="193">
        <f>G16+G17</f>
        <v>1</v>
      </c>
      <c r="H18" s="193">
        <f t="shared" ref="H18:BS18" si="89">H16+H17</f>
        <v>0</v>
      </c>
      <c r="I18" s="193">
        <f t="shared" si="89"/>
        <v>2</v>
      </c>
      <c r="J18" s="193">
        <f t="shared" si="89"/>
        <v>0</v>
      </c>
      <c r="K18" s="193">
        <f t="shared" si="89"/>
        <v>2</v>
      </c>
      <c r="L18" s="193">
        <f t="shared" si="89"/>
        <v>0</v>
      </c>
      <c r="M18" s="193">
        <f t="shared" si="89"/>
        <v>0</v>
      </c>
      <c r="N18" s="193">
        <f t="shared" si="89"/>
        <v>0</v>
      </c>
      <c r="O18" s="193">
        <f t="shared" si="89"/>
        <v>2</v>
      </c>
      <c r="P18" s="193">
        <f t="shared" si="89"/>
        <v>0</v>
      </c>
      <c r="Q18" s="193">
        <f t="shared" si="89"/>
        <v>1</v>
      </c>
      <c r="R18" s="193">
        <f t="shared" si="89"/>
        <v>0</v>
      </c>
      <c r="S18" s="193">
        <f t="shared" si="89"/>
        <v>1</v>
      </c>
      <c r="T18" s="193">
        <f t="shared" si="89"/>
        <v>0</v>
      </c>
      <c r="U18" s="193">
        <f t="shared" si="89"/>
        <v>1</v>
      </c>
      <c r="V18" s="193">
        <f t="shared" si="89"/>
        <v>34</v>
      </c>
      <c r="W18" s="193">
        <f t="shared" si="89"/>
        <v>15</v>
      </c>
      <c r="X18" s="193">
        <f t="shared" si="89"/>
        <v>66</v>
      </c>
      <c r="Y18" s="193">
        <f t="shared" si="89"/>
        <v>13</v>
      </c>
      <c r="Z18" s="193">
        <f t="shared" si="89"/>
        <v>34</v>
      </c>
      <c r="AA18" s="193">
        <f t="shared" si="89"/>
        <v>5</v>
      </c>
      <c r="AB18" s="193">
        <f t="shared" si="89"/>
        <v>22</v>
      </c>
      <c r="AC18" s="193">
        <f t="shared" si="89"/>
        <v>10</v>
      </c>
      <c r="AD18" s="193">
        <f t="shared" si="89"/>
        <v>8</v>
      </c>
      <c r="AE18" s="193">
        <f t="shared" si="89"/>
        <v>9</v>
      </c>
      <c r="AF18" s="193">
        <f t="shared" si="89"/>
        <v>164</v>
      </c>
      <c r="AG18" s="193">
        <f t="shared" si="89"/>
        <v>52</v>
      </c>
      <c r="AH18" s="193">
        <f t="shared" si="89"/>
        <v>216</v>
      </c>
      <c r="AI18" s="193">
        <f t="shared" si="89"/>
        <v>34</v>
      </c>
      <c r="AJ18" s="193">
        <f t="shared" si="89"/>
        <v>15</v>
      </c>
      <c r="AK18" s="193">
        <f t="shared" si="89"/>
        <v>66</v>
      </c>
      <c r="AL18" s="193">
        <f t="shared" si="89"/>
        <v>13</v>
      </c>
      <c r="AM18" s="193">
        <f t="shared" si="89"/>
        <v>34</v>
      </c>
      <c r="AN18" s="193">
        <f t="shared" si="89"/>
        <v>5</v>
      </c>
      <c r="AO18" s="193">
        <f t="shared" si="89"/>
        <v>22</v>
      </c>
      <c r="AP18" s="193">
        <f t="shared" si="89"/>
        <v>10</v>
      </c>
      <c r="AQ18" s="193">
        <f t="shared" si="89"/>
        <v>8</v>
      </c>
      <c r="AR18" s="193">
        <f t="shared" si="89"/>
        <v>9</v>
      </c>
      <c r="AS18" s="193">
        <f t="shared" si="89"/>
        <v>164</v>
      </c>
      <c r="AT18" s="193">
        <f t="shared" si="89"/>
        <v>52</v>
      </c>
      <c r="AU18" s="193">
        <f t="shared" si="89"/>
        <v>216</v>
      </c>
      <c r="AV18" s="193">
        <f t="shared" si="89"/>
        <v>2</v>
      </c>
      <c r="AW18" s="193">
        <f t="shared" si="89"/>
        <v>3</v>
      </c>
      <c r="AX18" s="193">
        <f t="shared" si="89"/>
        <v>6</v>
      </c>
      <c r="AY18" s="193">
        <f t="shared" si="89"/>
        <v>8</v>
      </c>
      <c r="AZ18" s="193">
        <f t="shared" si="89"/>
        <v>10</v>
      </c>
      <c r="BA18" s="193">
        <f t="shared" si="89"/>
        <v>4</v>
      </c>
      <c r="BB18" s="193">
        <f t="shared" si="89"/>
        <v>24</v>
      </c>
      <c r="BC18" s="193">
        <f t="shared" si="89"/>
        <v>1</v>
      </c>
      <c r="BD18" s="193">
        <f t="shared" si="89"/>
        <v>15</v>
      </c>
      <c r="BE18" s="193">
        <f t="shared" si="89"/>
        <v>8</v>
      </c>
      <c r="BF18" s="193">
        <f t="shared" si="89"/>
        <v>57</v>
      </c>
      <c r="BG18" s="193">
        <f t="shared" si="89"/>
        <v>24</v>
      </c>
      <c r="BH18" s="193">
        <f t="shared" si="89"/>
        <v>81</v>
      </c>
      <c r="BI18" s="193">
        <f t="shared" si="89"/>
        <v>7</v>
      </c>
      <c r="BJ18" s="193">
        <f t="shared" si="89"/>
        <v>1</v>
      </c>
      <c r="BK18" s="193">
        <f t="shared" si="89"/>
        <v>27</v>
      </c>
      <c r="BL18" s="193">
        <f t="shared" si="89"/>
        <v>6</v>
      </c>
      <c r="BM18" s="193">
        <f t="shared" si="89"/>
        <v>12</v>
      </c>
      <c r="BN18" s="193">
        <f t="shared" si="89"/>
        <v>4</v>
      </c>
      <c r="BO18" s="193">
        <f t="shared" si="89"/>
        <v>12</v>
      </c>
      <c r="BP18" s="193">
        <f t="shared" si="89"/>
        <v>7</v>
      </c>
      <c r="BQ18" s="193">
        <f t="shared" si="89"/>
        <v>5</v>
      </c>
      <c r="BR18" s="193">
        <f t="shared" si="89"/>
        <v>0</v>
      </c>
      <c r="BS18" s="193">
        <f t="shared" si="89"/>
        <v>63</v>
      </c>
      <c r="BT18" s="193">
        <f t="shared" ref="BT18:EE18" si="90">BT16+BT17</f>
        <v>18</v>
      </c>
      <c r="BU18" s="193">
        <f t="shared" si="90"/>
        <v>81</v>
      </c>
      <c r="BV18" s="193">
        <f t="shared" si="90"/>
        <v>34</v>
      </c>
      <c r="BW18" s="193">
        <f t="shared" si="90"/>
        <v>15</v>
      </c>
      <c r="BX18" s="193">
        <f t="shared" si="90"/>
        <v>68</v>
      </c>
      <c r="BY18" s="193">
        <f t="shared" si="90"/>
        <v>16</v>
      </c>
      <c r="BZ18" s="193">
        <f t="shared" si="90"/>
        <v>47</v>
      </c>
      <c r="CA18" s="193">
        <f t="shared" si="90"/>
        <v>14</v>
      </c>
      <c r="CB18" s="193">
        <f t="shared" si="90"/>
        <v>59</v>
      </c>
      <c r="CC18" s="193">
        <f t="shared" si="90"/>
        <v>20</v>
      </c>
      <c r="CD18" s="193">
        <f t="shared" si="90"/>
        <v>44</v>
      </c>
      <c r="CE18" s="193">
        <f t="shared" si="90"/>
        <v>14</v>
      </c>
      <c r="CF18" s="193">
        <f t="shared" si="90"/>
        <v>27</v>
      </c>
      <c r="CG18" s="193">
        <f t="shared" si="90"/>
        <v>15</v>
      </c>
      <c r="CH18" s="193">
        <f t="shared" si="90"/>
        <v>5</v>
      </c>
      <c r="CI18" s="193">
        <f t="shared" si="90"/>
        <v>0</v>
      </c>
      <c r="CJ18" s="193">
        <f t="shared" si="90"/>
        <v>284</v>
      </c>
      <c r="CK18" s="193">
        <f t="shared" si="90"/>
        <v>94</v>
      </c>
      <c r="CL18" s="193">
        <f t="shared" si="90"/>
        <v>378</v>
      </c>
      <c r="CM18" s="193">
        <f t="shared" si="90"/>
        <v>5</v>
      </c>
      <c r="CN18" s="193">
        <f t="shared" si="90"/>
        <v>2</v>
      </c>
      <c r="CO18" s="193">
        <f t="shared" si="90"/>
        <v>0</v>
      </c>
      <c r="CP18" s="193">
        <f t="shared" si="90"/>
        <v>3</v>
      </c>
      <c r="CQ18" s="193">
        <f t="shared" si="90"/>
        <v>1</v>
      </c>
      <c r="CR18" s="193">
        <f t="shared" si="90"/>
        <v>0</v>
      </c>
      <c r="CS18" s="193">
        <f t="shared" si="90"/>
        <v>3</v>
      </c>
      <c r="CT18" s="193">
        <f t="shared" si="90"/>
        <v>1</v>
      </c>
      <c r="CU18" s="193">
        <f t="shared" si="90"/>
        <v>0</v>
      </c>
      <c r="CV18" s="193">
        <f t="shared" si="90"/>
        <v>11</v>
      </c>
      <c r="CW18" s="193">
        <f t="shared" si="90"/>
        <v>4</v>
      </c>
      <c r="CX18" s="193">
        <f t="shared" si="90"/>
        <v>0</v>
      </c>
      <c r="CY18" s="193">
        <f t="shared" si="90"/>
        <v>15</v>
      </c>
      <c r="CZ18" s="193">
        <f t="shared" si="90"/>
        <v>6</v>
      </c>
      <c r="DA18" s="193">
        <f t="shared" si="90"/>
        <v>0</v>
      </c>
      <c r="DB18" s="193">
        <f t="shared" si="90"/>
        <v>2</v>
      </c>
      <c r="DC18" s="193">
        <f t="shared" si="90"/>
        <v>0</v>
      </c>
      <c r="DD18" s="193">
        <f t="shared" si="90"/>
        <v>10</v>
      </c>
      <c r="DE18" s="193">
        <f t="shared" si="90"/>
        <v>0</v>
      </c>
      <c r="DF18" s="193">
        <f t="shared" si="90"/>
        <v>18</v>
      </c>
      <c r="DG18" s="193">
        <f t="shared" si="90"/>
        <v>0</v>
      </c>
      <c r="DH18" s="193">
        <f t="shared" si="90"/>
        <v>18</v>
      </c>
      <c r="DI18" s="193">
        <f t="shared" si="90"/>
        <v>0</v>
      </c>
      <c r="DJ18" s="193">
        <f t="shared" si="90"/>
        <v>0</v>
      </c>
      <c r="DK18" s="193">
        <f t="shared" si="90"/>
        <v>0</v>
      </c>
      <c r="DL18" s="193">
        <f t="shared" si="90"/>
        <v>0</v>
      </c>
      <c r="DM18" s="193">
        <f t="shared" si="90"/>
        <v>0</v>
      </c>
      <c r="DN18" s="193">
        <f t="shared" si="90"/>
        <v>0</v>
      </c>
      <c r="DO18" s="193">
        <f t="shared" si="90"/>
        <v>0</v>
      </c>
      <c r="DP18" s="193">
        <f t="shared" si="90"/>
        <v>0</v>
      </c>
      <c r="DQ18" s="193">
        <f t="shared" si="90"/>
        <v>0</v>
      </c>
      <c r="DR18" s="193">
        <f t="shared" si="90"/>
        <v>54</v>
      </c>
      <c r="DS18" s="193">
        <f t="shared" si="90"/>
        <v>22</v>
      </c>
      <c r="DT18" s="193">
        <f t="shared" si="90"/>
        <v>44</v>
      </c>
      <c r="DU18" s="193">
        <f t="shared" si="90"/>
        <v>21</v>
      </c>
      <c r="DV18" s="193">
        <f t="shared" si="90"/>
        <v>40</v>
      </c>
      <c r="DW18" s="193">
        <f t="shared" si="90"/>
        <v>23</v>
      </c>
      <c r="DX18" s="193">
        <f t="shared" si="90"/>
        <v>138</v>
      </c>
      <c r="DY18" s="193">
        <f t="shared" si="90"/>
        <v>66</v>
      </c>
      <c r="DZ18" s="193">
        <f t="shared" si="90"/>
        <v>204</v>
      </c>
      <c r="EA18" s="193">
        <f t="shared" si="90"/>
        <v>0</v>
      </c>
      <c r="EB18" s="193">
        <f t="shared" si="90"/>
        <v>0</v>
      </c>
      <c r="EC18" s="193">
        <f t="shared" si="90"/>
        <v>0</v>
      </c>
      <c r="ED18" s="193">
        <f t="shared" si="90"/>
        <v>0</v>
      </c>
      <c r="EE18" s="193">
        <f t="shared" si="90"/>
        <v>16</v>
      </c>
      <c r="EF18" s="193">
        <f t="shared" ref="EF18:GQ18" si="91">EF16+EF17</f>
        <v>1</v>
      </c>
      <c r="EG18" s="193">
        <f t="shared" si="91"/>
        <v>16</v>
      </c>
      <c r="EH18" s="193">
        <f t="shared" si="91"/>
        <v>1</v>
      </c>
      <c r="EI18" s="193">
        <f t="shared" si="91"/>
        <v>17</v>
      </c>
      <c r="EJ18" s="193">
        <f t="shared" si="91"/>
        <v>0</v>
      </c>
      <c r="EK18" s="193">
        <f t="shared" si="91"/>
        <v>0</v>
      </c>
      <c r="EL18" s="193">
        <f t="shared" si="91"/>
        <v>0</v>
      </c>
      <c r="EM18" s="193">
        <f t="shared" si="91"/>
        <v>0</v>
      </c>
      <c r="EN18" s="193">
        <f t="shared" si="91"/>
        <v>0</v>
      </c>
      <c r="EO18" s="193">
        <f t="shared" si="91"/>
        <v>0</v>
      </c>
      <c r="EP18" s="193">
        <f t="shared" si="91"/>
        <v>0</v>
      </c>
      <c r="EQ18" s="193">
        <f t="shared" si="91"/>
        <v>0</v>
      </c>
      <c r="ER18" s="193">
        <f t="shared" si="91"/>
        <v>0</v>
      </c>
      <c r="ES18" s="193">
        <f t="shared" si="91"/>
        <v>0</v>
      </c>
      <c r="ET18" s="193">
        <f t="shared" si="91"/>
        <v>0</v>
      </c>
      <c r="EU18" s="193">
        <f t="shared" si="91"/>
        <v>0</v>
      </c>
      <c r="EV18" s="193">
        <f t="shared" si="91"/>
        <v>0</v>
      </c>
      <c r="EW18" s="193">
        <f t="shared" si="91"/>
        <v>0</v>
      </c>
      <c r="EX18" s="193">
        <f t="shared" si="91"/>
        <v>0</v>
      </c>
      <c r="EY18" s="193">
        <f t="shared" si="91"/>
        <v>0</v>
      </c>
      <c r="EZ18" s="193">
        <f t="shared" si="91"/>
        <v>0</v>
      </c>
      <c r="FA18" s="193">
        <f t="shared" si="91"/>
        <v>0</v>
      </c>
      <c r="FB18" s="193">
        <f t="shared" si="91"/>
        <v>1</v>
      </c>
      <c r="FC18" s="193">
        <f t="shared" si="91"/>
        <v>1</v>
      </c>
      <c r="FD18" s="193">
        <f t="shared" si="91"/>
        <v>2</v>
      </c>
      <c r="FE18" s="193">
        <f t="shared" si="91"/>
        <v>1</v>
      </c>
      <c r="FF18" s="193">
        <f t="shared" si="91"/>
        <v>33</v>
      </c>
      <c r="FG18" s="193">
        <f t="shared" si="91"/>
        <v>40</v>
      </c>
      <c r="FH18" s="193">
        <f t="shared" si="91"/>
        <v>13</v>
      </c>
      <c r="FI18" s="193">
        <f t="shared" si="91"/>
        <v>19</v>
      </c>
      <c r="FJ18" s="193">
        <f t="shared" si="91"/>
        <v>0</v>
      </c>
      <c r="FK18" s="193">
        <f t="shared" si="91"/>
        <v>0</v>
      </c>
      <c r="FL18" s="193">
        <f t="shared" si="91"/>
        <v>49</v>
      </c>
      <c r="FM18" s="193">
        <f t="shared" si="91"/>
        <v>61</v>
      </c>
      <c r="FN18" s="193">
        <f t="shared" si="91"/>
        <v>110</v>
      </c>
      <c r="FO18" s="193">
        <f t="shared" si="91"/>
        <v>0</v>
      </c>
      <c r="FP18" s="193">
        <f t="shared" si="91"/>
        <v>0</v>
      </c>
      <c r="FQ18" s="193">
        <f t="shared" si="91"/>
        <v>0</v>
      </c>
      <c r="FR18" s="193">
        <f t="shared" si="91"/>
        <v>0</v>
      </c>
      <c r="FS18" s="193">
        <f t="shared" si="91"/>
        <v>1</v>
      </c>
      <c r="FT18" s="193">
        <f t="shared" si="91"/>
        <v>0</v>
      </c>
      <c r="FU18" s="193">
        <f t="shared" si="91"/>
        <v>0</v>
      </c>
      <c r="FV18" s="193">
        <f t="shared" si="91"/>
        <v>0</v>
      </c>
      <c r="FW18" s="193">
        <f t="shared" si="91"/>
        <v>6</v>
      </c>
      <c r="FX18" s="193">
        <f t="shared" si="91"/>
        <v>1</v>
      </c>
      <c r="FY18" s="193">
        <f t="shared" si="91"/>
        <v>0</v>
      </c>
      <c r="FZ18" s="193">
        <f t="shared" si="91"/>
        <v>0</v>
      </c>
      <c r="GA18" s="193">
        <f t="shared" si="91"/>
        <v>0</v>
      </c>
      <c r="GB18" s="193">
        <f t="shared" si="91"/>
        <v>0</v>
      </c>
      <c r="GC18" s="193">
        <f t="shared" si="91"/>
        <v>0</v>
      </c>
      <c r="GD18" s="193">
        <f t="shared" si="91"/>
        <v>0</v>
      </c>
      <c r="GE18" s="193">
        <f t="shared" si="91"/>
        <v>0</v>
      </c>
      <c r="GF18" s="193">
        <f t="shared" si="91"/>
        <v>0</v>
      </c>
      <c r="GG18" s="193">
        <f t="shared" si="91"/>
        <v>7</v>
      </c>
      <c r="GH18" s="193">
        <f t="shared" si="91"/>
        <v>1</v>
      </c>
      <c r="GI18" s="193">
        <f t="shared" si="91"/>
        <v>8</v>
      </c>
      <c r="GJ18" s="193">
        <f t="shared" si="91"/>
        <v>1</v>
      </c>
      <c r="GK18" s="193">
        <f t="shared" si="91"/>
        <v>4</v>
      </c>
      <c r="GL18" s="193">
        <f t="shared" si="91"/>
        <v>2</v>
      </c>
      <c r="GM18" s="193">
        <f t="shared" si="91"/>
        <v>0</v>
      </c>
      <c r="GN18" s="193">
        <f t="shared" si="91"/>
        <v>2</v>
      </c>
      <c r="GO18" s="193">
        <f t="shared" si="91"/>
        <v>4</v>
      </c>
      <c r="GP18" s="193">
        <f t="shared" si="91"/>
        <v>0</v>
      </c>
      <c r="GQ18" s="193">
        <f t="shared" si="91"/>
        <v>0</v>
      </c>
      <c r="GR18" s="193">
        <f t="shared" ref="GR18:JC18" si="92">GR16+GR17</f>
        <v>1</v>
      </c>
      <c r="GS18" s="193">
        <f t="shared" si="92"/>
        <v>2</v>
      </c>
      <c r="GT18" s="193">
        <f t="shared" si="92"/>
        <v>0</v>
      </c>
      <c r="GU18" s="193">
        <f t="shared" si="92"/>
        <v>3</v>
      </c>
      <c r="GV18" s="193">
        <f t="shared" si="92"/>
        <v>1</v>
      </c>
      <c r="GW18" s="193">
        <f t="shared" si="92"/>
        <v>2</v>
      </c>
      <c r="GX18" s="193">
        <f t="shared" si="92"/>
        <v>0</v>
      </c>
      <c r="GY18" s="193">
        <f t="shared" si="92"/>
        <v>0</v>
      </c>
      <c r="GZ18" s="193">
        <f t="shared" si="92"/>
        <v>0</v>
      </c>
      <c r="HA18" s="193">
        <f t="shared" si="92"/>
        <v>0</v>
      </c>
      <c r="HB18" s="193">
        <f t="shared" si="92"/>
        <v>0</v>
      </c>
      <c r="HC18" s="193">
        <f t="shared" si="92"/>
        <v>0</v>
      </c>
      <c r="HD18" s="193">
        <f t="shared" si="92"/>
        <v>0</v>
      </c>
      <c r="HE18" s="193">
        <f t="shared" si="92"/>
        <v>0</v>
      </c>
      <c r="HF18" s="193">
        <f t="shared" si="92"/>
        <v>0</v>
      </c>
      <c r="HG18" s="193">
        <f t="shared" si="92"/>
        <v>0</v>
      </c>
      <c r="HH18" s="193">
        <f t="shared" si="92"/>
        <v>0</v>
      </c>
      <c r="HI18" s="193">
        <f t="shared" si="92"/>
        <v>0</v>
      </c>
      <c r="HJ18" s="193">
        <f t="shared" si="92"/>
        <v>0</v>
      </c>
      <c r="HK18" s="193">
        <f t="shared" si="92"/>
        <v>0</v>
      </c>
      <c r="HL18" s="193">
        <f t="shared" si="92"/>
        <v>0</v>
      </c>
      <c r="HM18" s="193">
        <f t="shared" si="92"/>
        <v>0</v>
      </c>
      <c r="HN18" s="193">
        <f t="shared" si="92"/>
        <v>0</v>
      </c>
      <c r="HO18" s="193">
        <f t="shared" si="92"/>
        <v>0</v>
      </c>
      <c r="HP18" s="193">
        <f t="shared" si="92"/>
        <v>1</v>
      </c>
      <c r="HQ18" s="193">
        <f t="shared" si="92"/>
        <v>0</v>
      </c>
      <c r="HR18" s="193">
        <f t="shared" si="92"/>
        <v>0</v>
      </c>
      <c r="HS18" s="193">
        <f t="shared" si="92"/>
        <v>1</v>
      </c>
      <c r="HT18" s="193">
        <f t="shared" si="92"/>
        <v>0</v>
      </c>
      <c r="HU18" s="193">
        <f t="shared" si="92"/>
        <v>0</v>
      </c>
      <c r="HV18" s="193">
        <f t="shared" si="92"/>
        <v>3</v>
      </c>
      <c r="HW18" s="193">
        <f t="shared" si="92"/>
        <v>0</v>
      </c>
      <c r="HX18" s="193">
        <f t="shared" si="92"/>
        <v>1</v>
      </c>
      <c r="HY18" s="193">
        <f t="shared" si="92"/>
        <v>0</v>
      </c>
      <c r="HZ18" s="193">
        <f t="shared" si="92"/>
        <v>0</v>
      </c>
      <c r="IA18" s="193">
        <f t="shared" si="92"/>
        <v>0</v>
      </c>
      <c r="IB18" s="193">
        <f t="shared" si="92"/>
        <v>0</v>
      </c>
      <c r="IC18" s="193">
        <f t="shared" si="92"/>
        <v>0</v>
      </c>
      <c r="ID18" s="193">
        <f t="shared" si="92"/>
        <v>0</v>
      </c>
      <c r="IE18" s="193">
        <f t="shared" si="92"/>
        <v>0</v>
      </c>
      <c r="IF18" s="193">
        <f t="shared" si="92"/>
        <v>2</v>
      </c>
      <c r="IG18" s="193">
        <f t="shared" si="92"/>
        <v>1</v>
      </c>
      <c r="IH18" s="193">
        <f t="shared" si="92"/>
        <v>5</v>
      </c>
      <c r="II18" s="193">
        <f t="shared" si="92"/>
        <v>1</v>
      </c>
      <c r="IJ18" s="193">
        <f t="shared" si="92"/>
        <v>2</v>
      </c>
      <c r="IK18" s="193">
        <f t="shared" si="92"/>
        <v>1</v>
      </c>
      <c r="IL18" s="193">
        <f t="shared" si="92"/>
        <v>0</v>
      </c>
      <c r="IM18" s="193">
        <f t="shared" si="92"/>
        <v>0</v>
      </c>
      <c r="IN18" s="193">
        <f t="shared" si="92"/>
        <v>0</v>
      </c>
      <c r="IO18" s="193">
        <f t="shared" si="92"/>
        <v>0</v>
      </c>
      <c r="IP18" s="193">
        <f t="shared" si="92"/>
        <v>0</v>
      </c>
      <c r="IQ18" s="193">
        <f t="shared" si="92"/>
        <v>0</v>
      </c>
      <c r="IR18" s="193">
        <f t="shared" si="92"/>
        <v>0</v>
      </c>
      <c r="IS18" s="193">
        <f t="shared" si="92"/>
        <v>0</v>
      </c>
      <c r="IT18" s="193">
        <f t="shared" si="92"/>
        <v>0</v>
      </c>
      <c r="IU18" s="193">
        <f t="shared" si="92"/>
        <v>0</v>
      </c>
      <c r="IV18" s="193">
        <f t="shared" si="92"/>
        <v>0</v>
      </c>
      <c r="IW18" s="193">
        <f t="shared" si="92"/>
        <v>0</v>
      </c>
      <c r="IX18" s="193">
        <f t="shared" si="92"/>
        <v>0</v>
      </c>
      <c r="IY18" s="193">
        <f t="shared" si="92"/>
        <v>0</v>
      </c>
      <c r="IZ18" s="193">
        <f t="shared" si="92"/>
        <v>0</v>
      </c>
      <c r="JA18" s="193">
        <f t="shared" si="92"/>
        <v>0</v>
      </c>
      <c r="JB18" s="193">
        <f t="shared" si="92"/>
        <v>0</v>
      </c>
      <c r="JC18" s="193">
        <f t="shared" si="92"/>
        <v>0</v>
      </c>
      <c r="JD18" s="193">
        <f t="shared" ref="JD18:LO18" si="93">JD16+JD17</f>
        <v>0</v>
      </c>
      <c r="JE18" s="193">
        <f t="shared" si="93"/>
        <v>0</v>
      </c>
      <c r="JF18" s="193">
        <f t="shared" si="93"/>
        <v>0</v>
      </c>
      <c r="JG18" s="193">
        <f t="shared" si="93"/>
        <v>0</v>
      </c>
      <c r="JH18" s="193">
        <f t="shared" si="93"/>
        <v>0</v>
      </c>
      <c r="JI18" s="193">
        <f t="shared" si="93"/>
        <v>0</v>
      </c>
      <c r="JJ18" s="193">
        <f t="shared" si="93"/>
        <v>0</v>
      </c>
      <c r="JK18" s="193">
        <f t="shared" si="93"/>
        <v>0</v>
      </c>
      <c r="JL18" s="193">
        <f t="shared" si="93"/>
        <v>0</v>
      </c>
      <c r="JM18" s="193">
        <f t="shared" si="93"/>
        <v>0</v>
      </c>
      <c r="JN18" s="193">
        <f t="shared" si="93"/>
        <v>3</v>
      </c>
      <c r="JO18" s="193">
        <f t="shared" si="93"/>
        <v>1</v>
      </c>
      <c r="JP18" s="193">
        <f t="shared" si="93"/>
        <v>0</v>
      </c>
      <c r="JQ18" s="193">
        <f t="shared" si="93"/>
        <v>1</v>
      </c>
      <c r="JR18" s="193">
        <f t="shared" si="93"/>
        <v>0</v>
      </c>
      <c r="JS18" s="193">
        <f t="shared" si="93"/>
        <v>1</v>
      </c>
      <c r="JT18" s="193">
        <f t="shared" si="93"/>
        <v>0</v>
      </c>
      <c r="JU18" s="193">
        <f t="shared" si="93"/>
        <v>4</v>
      </c>
      <c r="JV18" s="193">
        <f t="shared" si="93"/>
        <v>0</v>
      </c>
      <c r="JW18" s="193">
        <f t="shared" si="93"/>
        <v>0</v>
      </c>
      <c r="JX18" s="193">
        <f t="shared" si="93"/>
        <v>0</v>
      </c>
      <c r="JY18" s="193">
        <f t="shared" si="93"/>
        <v>0</v>
      </c>
      <c r="JZ18" s="193">
        <f t="shared" si="93"/>
        <v>0</v>
      </c>
      <c r="KA18" s="193">
        <f t="shared" si="93"/>
        <v>0</v>
      </c>
      <c r="KB18" s="193">
        <f t="shared" si="93"/>
        <v>0</v>
      </c>
      <c r="KC18" s="193">
        <f t="shared" si="93"/>
        <v>0</v>
      </c>
      <c r="KD18" s="193">
        <f t="shared" si="93"/>
        <v>0</v>
      </c>
      <c r="KE18" s="193">
        <f t="shared" si="93"/>
        <v>1</v>
      </c>
      <c r="KF18" s="193">
        <f t="shared" si="93"/>
        <v>0</v>
      </c>
      <c r="KG18" s="193">
        <f t="shared" si="93"/>
        <v>0</v>
      </c>
      <c r="KH18" s="193">
        <f t="shared" si="93"/>
        <v>0</v>
      </c>
      <c r="KI18" s="193">
        <f t="shared" si="93"/>
        <v>0</v>
      </c>
      <c r="KJ18" s="193">
        <f t="shared" si="93"/>
        <v>0</v>
      </c>
      <c r="KK18" s="193">
        <f t="shared" si="93"/>
        <v>0</v>
      </c>
      <c r="KL18" s="193">
        <f t="shared" si="93"/>
        <v>0</v>
      </c>
      <c r="KM18" s="193">
        <f t="shared" si="93"/>
        <v>0</v>
      </c>
      <c r="KN18" s="193">
        <f t="shared" si="93"/>
        <v>12</v>
      </c>
      <c r="KO18" s="193">
        <f t="shared" si="93"/>
        <v>13</v>
      </c>
      <c r="KP18" s="193">
        <f t="shared" si="93"/>
        <v>0</v>
      </c>
      <c r="KQ18" s="193">
        <f t="shared" si="93"/>
        <v>0</v>
      </c>
      <c r="KR18" s="193">
        <f t="shared" si="93"/>
        <v>0</v>
      </c>
      <c r="KS18" s="193">
        <f t="shared" si="93"/>
        <v>0</v>
      </c>
      <c r="KT18" s="193">
        <f t="shared" si="93"/>
        <v>13</v>
      </c>
      <c r="KU18" s="193">
        <f t="shared" si="93"/>
        <v>21</v>
      </c>
      <c r="KV18" s="193">
        <f t="shared" si="93"/>
        <v>49</v>
      </c>
      <c r="KW18" s="193">
        <f t="shared" si="93"/>
        <v>61</v>
      </c>
      <c r="KX18" s="193">
        <f t="shared" si="93"/>
        <v>110</v>
      </c>
      <c r="KY18" s="193">
        <f t="shared" si="93"/>
        <v>48</v>
      </c>
      <c r="KZ18" s="193">
        <f t="shared" si="93"/>
        <v>61</v>
      </c>
      <c r="LA18" s="193">
        <f t="shared" si="93"/>
        <v>0</v>
      </c>
      <c r="LB18" s="193">
        <f t="shared" si="93"/>
        <v>0</v>
      </c>
      <c r="LC18" s="193">
        <f t="shared" si="93"/>
        <v>0</v>
      </c>
      <c r="LD18" s="193">
        <f t="shared" si="93"/>
        <v>0</v>
      </c>
      <c r="LE18" s="193">
        <f t="shared" si="93"/>
        <v>0</v>
      </c>
      <c r="LF18" s="193">
        <f t="shared" si="93"/>
        <v>0</v>
      </c>
      <c r="LG18" s="193">
        <f t="shared" si="93"/>
        <v>1</v>
      </c>
      <c r="LH18" s="193">
        <f t="shared" si="93"/>
        <v>0</v>
      </c>
      <c r="LI18" s="193">
        <f t="shared" si="93"/>
        <v>0</v>
      </c>
      <c r="LJ18" s="193">
        <f t="shared" si="93"/>
        <v>0</v>
      </c>
      <c r="LK18" s="193">
        <f t="shared" si="93"/>
        <v>0</v>
      </c>
      <c r="LL18" s="193">
        <f t="shared" si="93"/>
        <v>0</v>
      </c>
      <c r="LM18" s="193">
        <f t="shared" si="93"/>
        <v>0</v>
      </c>
      <c r="LN18" s="193">
        <f t="shared" si="93"/>
        <v>0</v>
      </c>
      <c r="LO18" s="193">
        <f t="shared" si="93"/>
        <v>0</v>
      </c>
      <c r="LP18" s="193">
        <f t="shared" ref="LP18:OA18" si="94">LP16+LP17</f>
        <v>0</v>
      </c>
      <c r="LQ18" s="193">
        <f t="shared" si="94"/>
        <v>49</v>
      </c>
      <c r="LR18" s="193">
        <f t="shared" si="94"/>
        <v>61</v>
      </c>
      <c r="LS18" s="193">
        <f t="shared" si="94"/>
        <v>110</v>
      </c>
      <c r="LT18" s="193">
        <f t="shared" si="94"/>
        <v>30</v>
      </c>
      <c r="LU18" s="193">
        <f t="shared" si="94"/>
        <v>51</v>
      </c>
      <c r="LV18" s="193">
        <f t="shared" si="94"/>
        <v>5</v>
      </c>
      <c r="LW18" s="193">
        <f t="shared" si="94"/>
        <v>2</v>
      </c>
      <c r="LX18" s="193">
        <f t="shared" si="94"/>
        <v>1</v>
      </c>
      <c r="LY18" s="193">
        <f t="shared" si="94"/>
        <v>0</v>
      </c>
      <c r="LZ18" s="193">
        <f t="shared" si="94"/>
        <v>13</v>
      </c>
      <c r="MA18" s="193">
        <f t="shared" si="94"/>
        <v>8</v>
      </c>
      <c r="MB18" s="193">
        <f t="shared" si="94"/>
        <v>49</v>
      </c>
      <c r="MC18" s="193">
        <f t="shared" si="94"/>
        <v>61</v>
      </c>
      <c r="MD18" s="193">
        <f t="shared" si="94"/>
        <v>110</v>
      </c>
      <c r="ME18" s="193">
        <f t="shared" si="94"/>
        <v>2</v>
      </c>
      <c r="MF18" s="193">
        <f t="shared" si="94"/>
        <v>5</v>
      </c>
      <c r="MG18" s="193">
        <f t="shared" si="94"/>
        <v>27</v>
      </c>
      <c r="MH18" s="193">
        <f t="shared" si="94"/>
        <v>41</v>
      </c>
      <c r="MI18" s="193">
        <f t="shared" si="94"/>
        <v>9</v>
      </c>
      <c r="MJ18" s="193">
        <f t="shared" si="94"/>
        <v>8</v>
      </c>
      <c r="MK18" s="193">
        <f t="shared" si="94"/>
        <v>9</v>
      </c>
      <c r="ML18" s="193">
        <f t="shared" si="94"/>
        <v>6</v>
      </c>
      <c r="MM18" s="193">
        <f t="shared" si="94"/>
        <v>2</v>
      </c>
      <c r="MN18" s="193">
        <f t="shared" si="94"/>
        <v>1</v>
      </c>
      <c r="MO18" s="193">
        <f t="shared" si="94"/>
        <v>49</v>
      </c>
      <c r="MP18" s="193">
        <f t="shared" si="94"/>
        <v>61</v>
      </c>
      <c r="MQ18" s="193">
        <f t="shared" si="94"/>
        <v>110</v>
      </c>
      <c r="MR18" s="193">
        <f t="shared" si="94"/>
        <v>7</v>
      </c>
      <c r="MS18" s="193">
        <f t="shared" si="94"/>
        <v>10</v>
      </c>
      <c r="MT18" s="193">
        <f t="shared" si="94"/>
        <v>42</v>
      </c>
      <c r="MU18" s="193">
        <f t="shared" si="94"/>
        <v>51</v>
      </c>
      <c r="MV18" s="193">
        <f t="shared" si="94"/>
        <v>0</v>
      </c>
      <c r="MW18" s="193">
        <f t="shared" si="94"/>
        <v>0</v>
      </c>
      <c r="MX18" s="193">
        <f t="shared" si="94"/>
        <v>0</v>
      </c>
      <c r="MY18" s="193">
        <f t="shared" si="94"/>
        <v>0</v>
      </c>
      <c r="MZ18" s="193">
        <f t="shared" si="94"/>
        <v>49</v>
      </c>
      <c r="NA18" s="193">
        <f t="shared" si="94"/>
        <v>61</v>
      </c>
      <c r="NB18" s="193">
        <f t="shared" si="94"/>
        <v>110</v>
      </c>
      <c r="NC18" s="193">
        <f t="shared" si="94"/>
        <v>0</v>
      </c>
      <c r="ND18" s="193">
        <f t="shared" si="94"/>
        <v>0</v>
      </c>
      <c r="NE18" s="193">
        <f t="shared" si="94"/>
        <v>1</v>
      </c>
      <c r="NF18" s="193">
        <f t="shared" si="94"/>
        <v>0</v>
      </c>
      <c r="NG18" s="193">
        <f t="shared" si="94"/>
        <v>0</v>
      </c>
      <c r="NH18" s="193">
        <f t="shared" si="94"/>
        <v>0</v>
      </c>
      <c r="NI18" s="193">
        <f t="shared" si="94"/>
        <v>12</v>
      </c>
      <c r="NJ18" s="193">
        <f t="shared" si="94"/>
        <v>19</v>
      </c>
      <c r="NK18" s="193">
        <f t="shared" si="94"/>
        <v>32</v>
      </c>
      <c r="NL18" s="193">
        <f t="shared" si="94"/>
        <v>30</v>
      </c>
      <c r="NM18" s="193">
        <f t="shared" si="94"/>
        <v>3</v>
      </c>
      <c r="NN18" s="193">
        <f t="shared" si="94"/>
        <v>10</v>
      </c>
      <c r="NO18" s="193">
        <f t="shared" si="94"/>
        <v>0</v>
      </c>
      <c r="NP18" s="193">
        <f t="shared" si="94"/>
        <v>0</v>
      </c>
      <c r="NQ18" s="193">
        <f t="shared" si="94"/>
        <v>1</v>
      </c>
      <c r="NR18" s="193">
        <f t="shared" si="94"/>
        <v>2</v>
      </c>
      <c r="NS18" s="193">
        <f t="shared" si="94"/>
        <v>0</v>
      </c>
      <c r="NT18" s="193">
        <f t="shared" si="94"/>
        <v>0</v>
      </c>
      <c r="NU18" s="193">
        <f t="shared" si="94"/>
        <v>0</v>
      </c>
      <c r="NV18" s="193">
        <f t="shared" si="94"/>
        <v>0</v>
      </c>
      <c r="NW18" s="193">
        <f t="shared" si="94"/>
        <v>49</v>
      </c>
      <c r="NX18" s="193">
        <f t="shared" si="94"/>
        <v>61</v>
      </c>
      <c r="NY18" s="193">
        <f t="shared" si="94"/>
        <v>110</v>
      </c>
      <c r="NZ18" s="193">
        <f t="shared" si="94"/>
        <v>0</v>
      </c>
      <c r="OA18" s="193">
        <f t="shared" si="94"/>
        <v>0</v>
      </c>
      <c r="OB18" s="193">
        <f t="shared" ref="OB18:QM18" si="95">OB16+OB17</f>
        <v>0</v>
      </c>
      <c r="OC18" s="193">
        <f t="shared" si="95"/>
        <v>0</v>
      </c>
      <c r="OD18" s="193">
        <f t="shared" si="95"/>
        <v>0</v>
      </c>
      <c r="OE18" s="193">
        <f t="shared" si="95"/>
        <v>0</v>
      </c>
      <c r="OF18" s="193">
        <f t="shared" si="95"/>
        <v>0</v>
      </c>
      <c r="OG18" s="193">
        <f t="shared" si="95"/>
        <v>0</v>
      </c>
      <c r="OH18" s="193">
        <f t="shared" si="95"/>
        <v>0</v>
      </c>
      <c r="OI18" s="193">
        <f t="shared" si="95"/>
        <v>0</v>
      </c>
      <c r="OJ18" s="193">
        <f t="shared" si="95"/>
        <v>2</v>
      </c>
      <c r="OK18" s="193">
        <f t="shared" si="95"/>
        <v>2</v>
      </c>
      <c r="OL18" s="193">
        <f t="shared" si="95"/>
        <v>0</v>
      </c>
      <c r="OM18" s="193">
        <f t="shared" si="95"/>
        <v>0</v>
      </c>
      <c r="ON18" s="193">
        <f t="shared" si="95"/>
        <v>2</v>
      </c>
      <c r="OO18" s="193">
        <f t="shared" si="95"/>
        <v>0</v>
      </c>
      <c r="OP18" s="193">
        <f t="shared" si="95"/>
        <v>2</v>
      </c>
      <c r="OQ18" s="193">
        <f t="shared" si="95"/>
        <v>0</v>
      </c>
      <c r="OR18" s="193">
        <f t="shared" si="95"/>
        <v>0</v>
      </c>
      <c r="OS18" s="193">
        <f t="shared" si="95"/>
        <v>0</v>
      </c>
      <c r="OT18" s="193">
        <f t="shared" si="95"/>
        <v>0</v>
      </c>
      <c r="OU18" s="193">
        <f t="shared" si="95"/>
        <v>2</v>
      </c>
      <c r="OV18" s="193">
        <f t="shared" si="95"/>
        <v>0</v>
      </c>
      <c r="OW18" s="193"/>
      <c r="OX18" s="193"/>
      <c r="OY18" s="193">
        <f t="shared" si="95"/>
        <v>3</v>
      </c>
      <c r="OZ18" s="193">
        <f t="shared" si="95"/>
        <v>1</v>
      </c>
      <c r="PA18" s="193">
        <f t="shared" si="95"/>
        <v>1</v>
      </c>
      <c r="PB18" s="193">
        <f t="shared" si="95"/>
        <v>1</v>
      </c>
      <c r="PC18" s="193">
        <f t="shared" si="95"/>
        <v>0</v>
      </c>
      <c r="PD18" s="193">
        <f t="shared" si="95"/>
        <v>1</v>
      </c>
      <c r="PE18" s="193">
        <f t="shared" si="95"/>
        <v>0</v>
      </c>
      <c r="PF18" s="193">
        <f t="shared" si="95"/>
        <v>0</v>
      </c>
      <c r="PG18" s="193">
        <f t="shared" si="95"/>
        <v>1</v>
      </c>
      <c r="PH18" s="193">
        <f t="shared" si="95"/>
        <v>0</v>
      </c>
      <c r="PI18" s="193">
        <f t="shared" si="95"/>
        <v>1</v>
      </c>
      <c r="PJ18" s="193">
        <f t="shared" si="95"/>
        <v>1</v>
      </c>
      <c r="PK18" s="193">
        <f t="shared" si="95"/>
        <v>1</v>
      </c>
      <c r="PL18" s="193">
        <f t="shared" si="95"/>
        <v>12</v>
      </c>
      <c r="PM18" s="193">
        <f t="shared" si="95"/>
        <v>36</v>
      </c>
      <c r="PN18" s="193">
        <f t="shared" si="95"/>
        <v>14</v>
      </c>
      <c r="PO18" s="193">
        <f t="shared" si="95"/>
        <v>50</v>
      </c>
      <c r="PP18" s="193">
        <f t="shared" si="95"/>
        <v>1</v>
      </c>
      <c r="PQ18" s="193">
        <f t="shared" si="95"/>
        <v>0</v>
      </c>
      <c r="PR18" s="193">
        <f t="shared" si="95"/>
        <v>0</v>
      </c>
      <c r="PS18" s="193">
        <f t="shared" si="95"/>
        <v>1</v>
      </c>
      <c r="PT18" s="193">
        <f t="shared" si="95"/>
        <v>0</v>
      </c>
      <c r="PU18" s="193">
        <f t="shared" si="95"/>
        <v>0</v>
      </c>
      <c r="PV18" s="193">
        <f t="shared" si="95"/>
        <v>2</v>
      </c>
      <c r="PW18" s="193">
        <f t="shared" si="95"/>
        <v>0</v>
      </c>
      <c r="PX18" s="193">
        <f t="shared" si="95"/>
        <v>2</v>
      </c>
      <c r="PY18" s="193">
        <f t="shared" si="95"/>
        <v>0</v>
      </c>
      <c r="PZ18" s="193">
        <f t="shared" si="95"/>
        <v>1</v>
      </c>
      <c r="QA18" s="193">
        <f t="shared" si="95"/>
        <v>1</v>
      </c>
      <c r="QB18" s="193">
        <f t="shared" si="95"/>
        <v>2</v>
      </c>
      <c r="QC18" s="193">
        <f t="shared" si="95"/>
        <v>0</v>
      </c>
      <c r="QD18" s="193">
        <f t="shared" si="95"/>
        <v>2</v>
      </c>
      <c r="QE18" s="193">
        <f t="shared" si="95"/>
        <v>0</v>
      </c>
      <c r="QF18" s="193">
        <f t="shared" si="95"/>
        <v>0</v>
      </c>
      <c r="QG18" s="193">
        <f t="shared" si="95"/>
        <v>0</v>
      </c>
      <c r="QH18" s="193">
        <f t="shared" si="95"/>
        <v>0</v>
      </c>
      <c r="QI18" s="193">
        <f t="shared" si="95"/>
        <v>2</v>
      </c>
      <c r="QJ18" s="193">
        <f t="shared" si="95"/>
        <v>0</v>
      </c>
      <c r="QK18" s="193">
        <f t="shared" si="95"/>
        <v>0</v>
      </c>
      <c r="QL18" s="193">
        <f t="shared" si="95"/>
        <v>2</v>
      </c>
      <c r="QM18" s="193">
        <f t="shared" si="95"/>
        <v>2</v>
      </c>
      <c r="QN18" s="193">
        <f t="shared" ref="QN18:SP18" si="96">QN16+QN17</f>
        <v>0</v>
      </c>
      <c r="QO18" s="193">
        <f t="shared" si="96"/>
        <v>2</v>
      </c>
      <c r="QP18" s="193">
        <f t="shared" si="96"/>
        <v>0</v>
      </c>
      <c r="QQ18" s="193">
        <f t="shared" si="96"/>
        <v>0</v>
      </c>
      <c r="QR18" s="193">
        <f t="shared" si="96"/>
        <v>1</v>
      </c>
      <c r="QS18" s="193">
        <f t="shared" si="96"/>
        <v>1</v>
      </c>
      <c r="QT18" s="193">
        <f t="shared" si="96"/>
        <v>0</v>
      </c>
      <c r="QU18" s="193">
        <f t="shared" si="96"/>
        <v>1</v>
      </c>
      <c r="QV18" s="193">
        <f t="shared" si="96"/>
        <v>1</v>
      </c>
      <c r="QW18" s="193">
        <f t="shared" si="96"/>
        <v>1</v>
      </c>
      <c r="QX18" s="193">
        <f t="shared" si="96"/>
        <v>1</v>
      </c>
      <c r="QY18" s="193">
        <f t="shared" si="96"/>
        <v>1</v>
      </c>
      <c r="QZ18" s="193">
        <f t="shared" si="96"/>
        <v>0</v>
      </c>
      <c r="RA18" s="193">
        <f t="shared" si="96"/>
        <v>0</v>
      </c>
      <c r="RB18" s="193">
        <f t="shared" si="96"/>
        <v>2</v>
      </c>
      <c r="RC18" s="193">
        <f t="shared" si="96"/>
        <v>0</v>
      </c>
      <c r="RD18" s="193">
        <f t="shared" si="96"/>
        <v>1</v>
      </c>
      <c r="RE18" s="193">
        <f t="shared" si="96"/>
        <v>1</v>
      </c>
      <c r="RF18" s="193">
        <f t="shared" si="96"/>
        <v>1</v>
      </c>
      <c r="RG18" s="193">
        <f t="shared" si="96"/>
        <v>1</v>
      </c>
      <c r="RH18" s="193">
        <f t="shared" si="96"/>
        <v>0</v>
      </c>
      <c r="RI18" s="193">
        <f t="shared" si="96"/>
        <v>2</v>
      </c>
      <c r="RJ18" s="193">
        <f t="shared" si="96"/>
        <v>0</v>
      </c>
      <c r="RK18" s="193">
        <f t="shared" si="96"/>
        <v>0</v>
      </c>
      <c r="RL18" s="193">
        <f t="shared" si="96"/>
        <v>1</v>
      </c>
      <c r="RM18" s="193">
        <f t="shared" si="96"/>
        <v>1</v>
      </c>
      <c r="RN18" s="193">
        <f t="shared" si="96"/>
        <v>0</v>
      </c>
      <c r="RO18" s="193">
        <f t="shared" si="96"/>
        <v>550</v>
      </c>
      <c r="RP18" s="193">
        <f t="shared" si="96"/>
        <v>45</v>
      </c>
      <c r="RQ18" s="193">
        <f t="shared" si="96"/>
        <v>50</v>
      </c>
      <c r="RR18" s="193">
        <f t="shared" si="96"/>
        <v>50</v>
      </c>
      <c r="RS18" s="193">
        <f t="shared" si="96"/>
        <v>30</v>
      </c>
      <c r="RT18" s="193">
        <f t="shared" si="96"/>
        <v>15</v>
      </c>
      <c r="RU18" s="193">
        <f t="shared" si="96"/>
        <v>4</v>
      </c>
      <c r="RV18" s="193">
        <f t="shared" si="96"/>
        <v>11</v>
      </c>
      <c r="RW18" s="193">
        <f t="shared" si="96"/>
        <v>0</v>
      </c>
      <c r="RX18" s="193">
        <f t="shared" si="96"/>
        <v>1</v>
      </c>
      <c r="RY18" s="193">
        <f t="shared" si="96"/>
        <v>0</v>
      </c>
      <c r="RZ18" s="193">
        <f t="shared" si="96"/>
        <v>0</v>
      </c>
      <c r="SA18" s="193">
        <f t="shared" si="96"/>
        <v>1</v>
      </c>
      <c r="SB18" s="193">
        <f t="shared" si="96"/>
        <v>1</v>
      </c>
      <c r="SC18" s="193">
        <f t="shared" si="96"/>
        <v>0</v>
      </c>
      <c r="SD18" s="193">
        <f t="shared" si="96"/>
        <v>0</v>
      </c>
      <c r="SE18" s="193">
        <f t="shared" si="96"/>
        <v>1</v>
      </c>
      <c r="SF18" s="193">
        <f t="shared" si="96"/>
        <v>0</v>
      </c>
      <c r="SG18" s="193">
        <f t="shared" si="96"/>
        <v>0</v>
      </c>
      <c r="SH18" s="193">
        <f t="shared" si="96"/>
        <v>0</v>
      </c>
      <c r="SI18" s="193">
        <f t="shared" si="96"/>
        <v>0</v>
      </c>
      <c r="SJ18" s="193">
        <f t="shared" si="96"/>
        <v>0</v>
      </c>
      <c r="SK18" s="193">
        <f t="shared" si="96"/>
        <v>1</v>
      </c>
      <c r="SL18" s="193">
        <f t="shared" si="96"/>
        <v>80</v>
      </c>
      <c r="SM18" s="193">
        <f t="shared" si="96"/>
        <v>10</v>
      </c>
      <c r="SN18" s="193">
        <f t="shared" si="96"/>
        <v>90</v>
      </c>
      <c r="SO18" s="193">
        <f t="shared" si="96"/>
        <v>5</v>
      </c>
      <c r="SP18" s="193">
        <f t="shared" si="96"/>
        <v>5</v>
      </c>
      <c r="SQ18" s="193"/>
      <c r="SR18" s="193"/>
      <c r="SS18" s="195"/>
    </row>
    <row r="19" spans="1:513" s="194" customFormat="1" ht="19.5" customHeight="1">
      <c r="A19" s="221" t="s">
        <v>197</v>
      </c>
      <c r="B19" s="242"/>
      <c r="C19" s="242"/>
      <c r="D19" s="242"/>
      <c r="E19" s="222"/>
      <c r="F19" s="193">
        <f>F18</f>
        <v>1</v>
      </c>
      <c r="G19" s="193">
        <f t="shared" ref="G19:BR19" si="97">G18</f>
        <v>1</v>
      </c>
      <c r="H19" s="193">
        <f t="shared" si="97"/>
        <v>0</v>
      </c>
      <c r="I19" s="193">
        <f t="shared" si="97"/>
        <v>2</v>
      </c>
      <c r="J19" s="193">
        <f t="shared" si="97"/>
        <v>0</v>
      </c>
      <c r="K19" s="193">
        <f t="shared" si="97"/>
        <v>2</v>
      </c>
      <c r="L19" s="193">
        <f t="shared" si="97"/>
        <v>0</v>
      </c>
      <c r="M19" s="193">
        <f t="shared" si="97"/>
        <v>0</v>
      </c>
      <c r="N19" s="193">
        <f t="shared" si="97"/>
        <v>0</v>
      </c>
      <c r="O19" s="193">
        <f t="shared" si="97"/>
        <v>2</v>
      </c>
      <c r="P19" s="193">
        <f t="shared" si="97"/>
        <v>0</v>
      </c>
      <c r="Q19" s="193">
        <f t="shared" si="97"/>
        <v>1</v>
      </c>
      <c r="R19" s="193">
        <f t="shared" si="97"/>
        <v>0</v>
      </c>
      <c r="S19" s="193">
        <f t="shared" si="97"/>
        <v>1</v>
      </c>
      <c r="T19" s="193">
        <f t="shared" si="97"/>
        <v>0</v>
      </c>
      <c r="U19" s="193">
        <f t="shared" si="97"/>
        <v>1</v>
      </c>
      <c r="V19" s="193">
        <f t="shared" si="97"/>
        <v>34</v>
      </c>
      <c r="W19" s="193">
        <f t="shared" si="97"/>
        <v>15</v>
      </c>
      <c r="X19" s="193">
        <f t="shared" si="97"/>
        <v>66</v>
      </c>
      <c r="Y19" s="193">
        <f t="shared" si="97"/>
        <v>13</v>
      </c>
      <c r="Z19" s="193">
        <f t="shared" si="97"/>
        <v>34</v>
      </c>
      <c r="AA19" s="193">
        <f t="shared" si="97"/>
        <v>5</v>
      </c>
      <c r="AB19" s="193">
        <f t="shared" si="97"/>
        <v>22</v>
      </c>
      <c r="AC19" s="193">
        <f t="shared" si="97"/>
        <v>10</v>
      </c>
      <c r="AD19" s="193">
        <f t="shared" si="97"/>
        <v>8</v>
      </c>
      <c r="AE19" s="193">
        <f t="shared" si="97"/>
        <v>9</v>
      </c>
      <c r="AF19" s="193">
        <f t="shared" si="97"/>
        <v>164</v>
      </c>
      <c r="AG19" s="193">
        <f t="shared" si="97"/>
        <v>52</v>
      </c>
      <c r="AH19" s="193">
        <f t="shared" si="97"/>
        <v>216</v>
      </c>
      <c r="AI19" s="193">
        <f t="shared" si="97"/>
        <v>34</v>
      </c>
      <c r="AJ19" s="193">
        <f t="shared" si="97"/>
        <v>15</v>
      </c>
      <c r="AK19" s="193">
        <f t="shared" si="97"/>
        <v>66</v>
      </c>
      <c r="AL19" s="193">
        <f t="shared" si="97"/>
        <v>13</v>
      </c>
      <c r="AM19" s="193">
        <f t="shared" si="97"/>
        <v>34</v>
      </c>
      <c r="AN19" s="193">
        <f t="shared" si="97"/>
        <v>5</v>
      </c>
      <c r="AO19" s="193">
        <f t="shared" si="97"/>
        <v>22</v>
      </c>
      <c r="AP19" s="193">
        <f t="shared" si="97"/>
        <v>10</v>
      </c>
      <c r="AQ19" s="193">
        <f t="shared" si="97"/>
        <v>8</v>
      </c>
      <c r="AR19" s="193">
        <f t="shared" si="97"/>
        <v>9</v>
      </c>
      <c r="AS19" s="193">
        <f t="shared" si="97"/>
        <v>164</v>
      </c>
      <c r="AT19" s="193">
        <f t="shared" si="97"/>
        <v>52</v>
      </c>
      <c r="AU19" s="193">
        <f t="shared" si="97"/>
        <v>216</v>
      </c>
      <c r="AV19" s="193">
        <f t="shared" si="97"/>
        <v>2</v>
      </c>
      <c r="AW19" s="193">
        <f t="shared" si="97"/>
        <v>3</v>
      </c>
      <c r="AX19" s="193">
        <f t="shared" si="97"/>
        <v>6</v>
      </c>
      <c r="AY19" s="193">
        <f t="shared" si="97"/>
        <v>8</v>
      </c>
      <c r="AZ19" s="193">
        <f t="shared" si="97"/>
        <v>10</v>
      </c>
      <c r="BA19" s="193">
        <f t="shared" si="97"/>
        <v>4</v>
      </c>
      <c r="BB19" s="193">
        <f t="shared" si="97"/>
        <v>24</v>
      </c>
      <c r="BC19" s="193">
        <f t="shared" si="97"/>
        <v>1</v>
      </c>
      <c r="BD19" s="193">
        <f t="shared" si="97"/>
        <v>15</v>
      </c>
      <c r="BE19" s="193">
        <f t="shared" si="97"/>
        <v>8</v>
      </c>
      <c r="BF19" s="193">
        <f t="shared" si="97"/>
        <v>57</v>
      </c>
      <c r="BG19" s="193">
        <f t="shared" si="97"/>
        <v>24</v>
      </c>
      <c r="BH19" s="193">
        <f t="shared" si="97"/>
        <v>81</v>
      </c>
      <c r="BI19" s="193">
        <f t="shared" si="97"/>
        <v>7</v>
      </c>
      <c r="BJ19" s="193">
        <f t="shared" si="97"/>
        <v>1</v>
      </c>
      <c r="BK19" s="193">
        <f t="shared" si="97"/>
        <v>27</v>
      </c>
      <c r="BL19" s="193">
        <f t="shared" si="97"/>
        <v>6</v>
      </c>
      <c r="BM19" s="193">
        <f t="shared" si="97"/>
        <v>12</v>
      </c>
      <c r="BN19" s="193">
        <f t="shared" si="97"/>
        <v>4</v>
      </c>
      <c r="BO19" s="193">
        <f t="shared" si="97"/>
        <v>12</v>
      </c>
      <c r="BP19" s="193">
        <f t="shared" si="97"/>
        <v>7</v>
      </c>
      <c r="BQ19" s="193">
        <f t="shared" si="97"/>
        <v>5</v>
      </c>
      <c r="BR19" s="193">
        <f t="shared" si="97"/>
        <v>0</v>
      </c>
      <c r="BS19" s="193">
        <f t="shared" ref="BS19:ED19" si="98">BS18</f>
        <v>63</v>
      </c>
      <c r="BT19" s="193">
        <f t="shared" si="98"/>
        <v>18</v>
      </c>
      <c r="BU19" s="193">
        <f t="shared" si="98"/>
        <v>81</v>
      </c>
      <c r="BV19" s="193">
        <f t="shared" si="98"/>
        <v>34</v>
      </c>
      <c r="BW19" s="193">
        <f t="shared" si="98"/>
        <v>15</v>
      </c>
      <c r="BX19" s="193">
        <f t="shared" si="98"/>
        <v>68</v>
      </c>
      <c r="BY19" s="193">
        <f t="shared" si="98"/>
        <v>16</v>
      </c>
      <c r="BZ19" s="193">
        <f t="shared" si="98"/>
        <v>47</v>
      </c>
      <c r="CA19" s="193">
        <f t="shared" si="98"/>
        <v>14</v>
      </c>
      <c r="CB19" s="193">
        <f t="shared" si="98"/>
        <v>59</v>
      </c>
      <c r="CC19" s="193">
        <f t="shared" si="98"/>
        <v>20</v>
      </c>
      <c r="CD19" s="193">
        <f t="shared" si="98"/>
        <v>44</v>
      </c>
      <c r="CE19" s="193">
        <f t="shared" si="98"/>
        <v>14</v>
      </c>
      <c r="CF19" s="193">
        <f t="shared" si="98"/>
        <v>27</v>
      </c>
      <c r="CG19" s="193">
        <f t="shared" si="98"/>
        <v>15</v>
      </c>
      <c r="CH19" s="193">
        <f t="shared" si="98"/>
        <v>5</v>
      </c>
      <c r="CI19" s="193">
        <f t="shared" si="98"/>
        <v>0</v>
      </c>
      <c r="CJ19" s="193">
        <f t="shared" si="98"/>
        <v>284</v>
      </c>
      <c r="CK19" s="193">
        <f t="shared" si="98"/>
        <v>94</v>
      </c>
      <c r="CL19" s="193">
        <f t="shared" si="98"/>
        <v>378</v>
      </c>
      <c r="CM19" s="193">
        <f t="shared" si="98"/>
        <v>5</v>
      </c>
      <c r="CN19" s="193">
        <f t="shared" si="98"/>
        <v>2</v>
      </c>
      <c r="CO19" s="193">
        <f t="shared" si="98"/>
        <v>0</v>
      </c>
      <c r="CP19" s="193">
        <f t="shared" si="98"/>
        <v>3</v>
      </c>
      <c r="CQ19" s="193">
        <f t="shared" si="98"/>
        <v>1</v>
      </c>
      <c r="CR19" s="193">
        <f t="shared" si="98"/>
        <v>0</v>
      </c>
      <c r="CS19" s="193">
        <f t="shared" si="98"/>
        <v>3</v>
      </c>
      <c r="CT19" s="193">
        <f t="shared" si="98"/>
        <v>1</v>
      </c>
      <c r="CU19" s="193">
        <f t="shared" si="98"/>
        <v>0</v>
      </c>
      <c r="CV19" s="193">
        <f t="shared" si="98"/>
        <v>11</v>
      </c>
      <c r="CW19" s="193">
        <f t="shared" si="98"/>
        <v>4</v>
      </c>
      <c r="CX19" s="193">
        <f t="shared" si="98"/>
        <v>0</v>
      </c>
      <c r="CY19" s="193">
        <f t="shared" si="98"/>
        <v>15</v>
      </c>
      <c r="CZ19" s="193">
        <f t="shared" si="98"/>
        <v>6</v>
      </c>
      <c r="DA19" s="193">
        <f t="shared" si="98"/>
        <v>0</v>
      </c>
      <c r="DB19" s="193">
        <f t="shared" si="98"/>
        <v>2</v>
      </c>
      <c r="DC19" s="193">
        <f t="shared" si="98"/>
        <v>0</v>
      </c>
      <c r="DD19" s="193">
        <f t="shared" si="98"/>
        <v>10</v>
      </c>
      <c r="DE19" s="193">
        <f t="shared" si="98"/>
        <v>0</v>
      </c>
      <c r="DF19" s="193">
        <f t="shared" si="98"/>
        <v>18</v>
      </c>
      <c r="DG19" s="193">
        <f t="shared" si="98"/>
        <v>0</v>
      </c>
      <c r="DH19" s="193">
        <f t="shared" si="98"/>
        <v>18</v>
      </c>
      <c r="DI19" s="193">
        <f t="shared" si="98"/>
        <v>0</v>
      </c>
      <c r="DJ19" s="193">
        <f t="shared" si="98"/>
        <v>0</v>
      </c>
      <c r="DK19" s="193">
        <f t="shared" si="98"/>
        <v>0</v>
      </c>
      <c r="DL19" s="193">
        <f t="shared" si="98"/>
        <v>0</v>
      </c>
      <c r="DM19" s="193">
        <f t="shared" si="98"/>
        <v>0</v>
      </c>
      <c r="DN19" s="193">
        <f t="shared" si="98"/>
        <v>0</v>
      </c>
      <c r="DO19" s="193">
        <f t="shared" si="98"/>
        <v>0</v>
      </c>
      <c r="DP19" s="193">
        <f t="shared" si="98"/>
        <v>0</v>
      </c>
      <c r="DQ19" s="193">
        <f t="shared" si="98"/>
        <v>0</v>
      </c>
      <c r="DR19" s="193">
        <f t="shared" si="98"/>
        <v>54</v>
      </c>
      <c r="DS19" s="193">
        <f t="shared" si="98"/>
        <v>22</v>
      </c>
      <c r="DT19" s="193">
        <f t="shared" si="98"/>
        <v>44</v>
      </c>
      <c r="DU19" s="193">
        <f t="shared" si="98"/>
        <v>21</v>
      </c>
      <c r="DV19" s="193">
        <f t="shared" si="98"/>
        <v>40</v>
      </c>
      <c r="DW19" s="193">
        <f t="shared" si="98"/>
        <v>23</v>
      </c>
      <c r="DX19" s="193">
        <f t="shared" si="98"/>
        <v>138</v>
      </c>
      <c r="DY19" s="193">
        <f t="shared" si="98"/>
        <v>66</v>
      </c>
      <c r="DZ19" s="193">
        <f t="shared" si="98"/>
        <v>204</v>
      </c>
      <c r="EA19" s="193">
        <f t="shared" si="98"/>
        <v>0</v>
      </c>
      <c r="EB19" s="193">
        <f t="shared" si="98"/>
        <v>0</v>
      </c>
      <c r="EC19" s="193">
        <f t="shared" si="98"/>
        <v>0</v>
      </c>
      <c r="ED19" s="193">
        <f t="shared" si="98"/>
        <v>0</v>
      </c>
      <c r="EE19" s="193">
        <f t="shared" ref="EE19:GR19" si="99">EE18</f>
        <v>16</v>
      </c>
      <c r="EF19" s="193">
        <f t="shared" si="99"/>
        <v>1</v>
      </c>
      <c r="EG19" s="193">
        <f t="shared" si="99"/>
        <v>16</v>
      </c>
      <c r="EH19" s="193">
        <f t="shared" si="99"/>
        <v>1</v>
      </c>
      <c r="EI19" s="193">
        <f t="shared" si="99"/>
        <v>17</v>
      </c>
      <c r="EJ19" s="193">
        <f t="shared" si="99"/>
        <v>0</v>
      </c>
      <c r="EK19" s="193">
        <f t="shared" si="99"/>
        <v>0</v>
      </c>
      <c r="EL19" s="193">
        <f t="shared" si="99"/>
        <v>0</v>
      </c>
      <c r="EM19" s="193">
        <f t="shared" si="99"/>
        <v>0</v>
      </c>
      <c r="EN19" s="193">
        <f t="shared" si="99"/>
        <v>0</v>
      </c>
      <c r="EO19" s="193">
        <f t="shared" si="99"/>
        <v>0</v>
      </c>
      <c r="EP19" s="193">
        <f t="shared" si="99"/>
        <v>0</v>
      </c>
      <c r="EQ19" s="193">
        <f t="shared" si="99"/>
        <v>0</v>
      </c>
      <c r="ER19" s="193">
        <f t="shared" si="99"/>
        <v>0</v>
      </c>
      <c r="ES19" s="193">
        <f t="shared" si="99"/>
        <v>0</v>
      </c>
      <c r="ET19" s="193">
        <f t="shared" si="99"/>
        <v>0</v>
      </c>
      <c r="EU19" s="193">
        <f t="shared" si="99"/>
        <v>0</v>
      </c>
      <c r="EV19" s="193">
        <f t="shared" si="99"/>
        <v>0</v>
      </c>
      <c r="EW19" s="193">
        <f t="shared" si="99"/>
        <v>0</v>
      </c>
      <c r="EX19" s="193">
        <f t="shared" si="99"/>
        <v>0</v>
      </c>
      <c r="EY19" s="193">
        <f t="shared" si="99"/>
        <v>0</v>
      </c>
      <c r="EZ19" s="193">
        <f t="shared" si="99"/>
        <v>0</v>
      </c>
      <c r="FA19" s="193">
        <f t="shared" si="99"/>
        <v>0</v>
      </c>
      <c r="FB19" s="193">
        <f t="shared" si="99"/>
        <v>1</v>
      </c>
      <c r="FC19" s="193">
        <f t="shared" si="99"/>
        <v>1</v>
      </c>
      <c r="FD19" s="193">
        <f t="shared" si="99"/>
        <v>2</v>
      </c>
      <c r="FE19" s="193">
        <f t="shared" si="99"/>
        <v>1</v>
      </c>
      <c r="FF19" s="193">
        <f t="shared" si="99"/>
        <v>33</v>
      </c>
      <c r="FG19" s="193">
        <f t="shared" si="99"/>
        <v>40</v>
      </c>
      <c r="FH19" s="193">
        <f t="shared" si="99"/>
        <v>13</v>
      </c>
      <c r="FI19" s="193">
        <f t="shared" si="99"/>
        <v>19</v>
      </c>
      <c r="FJ19" s="193">
        <f t="shared" si="99"/>
        <v>0</v>
      </c>
      <c r="FK19" s="193">
        <f t="shared" si="99"/>
        <v>0</v>
      </c>
      <c r="FL19" s="193">
        <f t="shared" si="99"/>
        <v>49</v>
      </c>
      <c r="FM19" s="193">
        <f t="shared" si="99"/>
        <v>61</v>
      </c>
      <c r="FN19" s="193">
        <f t="shared" si="99"/>
        <v>110</v>
      </c>
      <c r="FO19" s="193">
        <f t="shared" si="99"/>
        <v>0</v>
      </c>
      <c r="FP19" s="193">
        <f t="shared" si="99"/>
        <v>0</v>
      </c>
      <c r="FQ19" s="193">
        <f t="shared" si="99"/>
        <v>0</v>
      </c>
      <c r="FR19" s="193">
        <f t="shared" si="99"/>
        <v>0</v>
      </c>
      <c r="FS19" s="193">
        <f t="shared" si="99"/>
        <v>1</v>
      </c>
      <c r="FT19" s="193">
        <f t="shared" si="99"/>
        <v>0</v>
      </c>
      <c r="FU19" s="193">
        <f t="shared" si="99"/>
        <v>0</v>
      </c>
      <c r="FV19" s="193">
        <f t="shared" si="99"/>
        <v>0</v>
      </c>
      <c r="FW19" s="193">
        <f t="shared" si="99"/>
        <v>6</v>
      </c>
      <c r="FX19" s="193">
        <f t="shared" si="99"/>
        <v>1</v>
      </c>
      <c r="FY19" s="193">
        <f t="shared" si="99"/>
        <v>0</v>
      </c>
      <c r="FZ19" s="193">
        <f t="shared" si="99"/>
        <v>0</v>
      </c>
      <c r="GA19" s="193">
        <f t="shared" si="99"/>
        <v>0</v>
      </c>
      <c r="GB19" s="193">
        <f t="shared" si="99"/>
        <v>0</v>
      </c>
      <c r="GC19" s="193"/>
      <c r="GD19" s="193"/>
      <c r="GE19" s="193">
        <f t="shared" si="99"/>
        <v>0</v>
      </c>
      <c r="GF19" s="193">
        <f t="shared" si="99"/>
        <v>0</v>
      </c>
      <c r="GG19" s="193">
        <f t="shared" si="99"/>
        <v>7</v>
      </c>
      <c r="GH19" s="193">
        <f t="shared" si="99"/>
        <v>1</v>
      </c>
      <c r="GI19" s="193">
        <f t="shared" si="99"/>
        <v>8</v>
      </c>
      <c r="GJ19" s="193">
        <f t="shared" si="99"/>
        <v>1</v>
      </c>
      <c r="GK19" s="193">
        <f t="shared" si="99"/>
        <v>4</v>
      </c>
      <c r="GL19" s="193">
        <f t="shared" si="99"/>
        <v>2</v>
      </c>
      <c r="GM19" s="193">
        <f t="shared" si="99"/>
        <v>0</v>
      </c>
      <c r="GN19" s="193">
        <f t="shared" si="99"/>
        <v>2</v>
      </c>
      <c r="GO19" s="193">
        <f t="shared" si="99"/>
        <v>4</v>
      </c>
      <c r="GP19" s="193">
        <f t="shared" si="99"/>
        <v>0</v>
      </c>
      <c r="GQ19" s="193">
        <f t="shared" si="99"/>
        <v>0</v>
      </c>
      <c r="GR19" s="193">
        <f t="shared" si="99"/>
        <v>1</v>
      </c>
      <c r="GS19" s="193">
        <f t="shared" ref="GS19:JD19" si="100">GS18</f>
        <v>2</v>
      </c>
      <c r="GT19" s="193">
        <f t="shared" si="100"/>
        <v>0</v>
      </c>
      <c r="GU19" s="193">
        <f t="shared" si="100"/>
        <v>3</v>
      </c>
      <c r="GV19" s="193">
        <f t="shared" si="100"/>
        <v>1</v>
      </c>
      <c r="GW19" s="193">
        <f t="shared" si="100"/>
        <v>2</v>
      </c>
      <c r="GX19" s="193">
        <f t="shared" si="100"/>
        <v>0</v>
      </c>
      <c r="GY19" s="193">
        <f t="shared" si="100"/>
        <v>0</v>
      </c>
      <c r="GZ19" s="193">
        <f t="shared" si="100"/>
        <v>0</v>
      </c>
      <c r="HA19" s="193">
        <f t="shared" si="100"/>
        <v>0</v>
      </c>
      <c r="HB19" s="193">
        <f t="shared" si="100"/>
        <v>0</v>
      </c>
      <c r="HC19" s="193">
        <f t="shared" si="100"/>
        <v>0</v>
      </c>
      <c r="HD19" s="193">
        <f t="shared" si="100"/>
        <v>0</v>
      </c>
      <c r="HE19" s="193">
        <f t="shared" si="100"/>
        <v>0</v>
      </c>
      <c r="HF19" s="193">
        <f t="shared" si="100"/>
        <v>0</v>
      </c>
      <c r="HG19" s="193">
        <f t="shared" si="100"/>
        <v>0</v>
      </c>
      <c r="HH19" s="193">
        <f t="shared" si="100"/>
        <v>0</v>
      </c>
      <c r="HI19" s="193">
        <f t="shared" si="100"/>
        <v>0</v>
      </c>
      <c r="HJ19" s="193">
        <f t="shared" si="100"/>
        <v>0</v>
      </c>
      <c r="HK19" s="193">
        <f t="shared" si="100"/>
        <v>0</v>
      </c>
      <c r="HL19" s="193">
        <f t="shared" si="100"/>
        <v>0</v>
      </c>
      <c r="HM19" s="193">
        <f t="shared" si="100"/>
        <v>0</v>
      </c>
      <c r="HN19" s="193">
        <f t="shared" si="100"/>
        <v>0</v>
      </c>
      <c r="HO19" s="193">
        <f t="shared" si="100"/>
        <v>0</v>
      </c>
      <c r="HP19" s="193">
        <f t="shared" si="100"/>
        <v>1</v>
      </c>
      <c r="HQ19" s="193">
        <f t="shared" si="100"/>
        <v>0</v>
      </c>
      <c r="HR19" s="193">
        <f t="shared" si="100"/>
        <v>0</v>
      </c>
      <c r="HS19" s="193">
        <f t="shared" si="100"/>
        <v>1</v>
      </c>
      <c r="HT19" s="193">
        <f t="shared" si="100"/>
        <v>0</v>
      </c>
      <c r="HU19" s="193">
        <f t="shared" si="100"/>
        <v>0</v>
      </c>
      <c r="HV19" s="193">
        <f t="shared" si="100"/>
        <v>3</v>
      </c>
      <c r="HW19" s="193">
        <f t="shared" si="100"/>
        <v>0</v>
      </c>
      <c r="HX19" s="193">
        <f t="shared" si="100"/>
        <v>1</v>
      </c>
      <c r="HY19" s="193">
        <f t="shared" si="100"/>
        <v>0</v>
      </c>
      <c r="HZ19" s="193">
        <f t="shared" si="100"/>
        <v>0</v>
      </c>
      <c r="IA19" s="193">
        <f t="shared" si="100"/>
        <v>0</v>
      </c>
      <c r="IB19" s="193">
        <f t="shared" si="100"/>
        <v>0</v>
      </c>
      <c r="IC19" s="193">
        <f t="shared" si="100"/>
        <v>0</v>
      </c>
      <c r="ID19" s="193">
        <f t="shared" si="100"/>
        <v>0</v>
      </c>
      <c r="IE19" s="193">
        <f t="shared" si="100"/>
        <v>0</v>
      </c>
      <c r="IF19" s="193">
        <f t="shared" si="100"/>
        <v>2</v>
      </c>
      <c r="IG19" s="193">
        <f t="shared" si="100"/>
        <v>1</v>
      </c>
      <c r="IH19" s="193">
        <f t="shared" si="100"/>
        <v>5</v>
      </c>
      <c r="II19" s="193">
        <f t="shared" si="100"/>
        <v>1</v>
      </c>
      <c r="IJ19" s="193">
        <f t="shared" si="100"/>
        <v>2</v>
      </c>
      <c r="IK19" s="193">
        <f t="shared" si="100"/>
        <v>1</v>
      </c>
      <c r="IL19" s="193">
        <f t="shared" si="100"/>
        <v>0</v>
      </c>
      <c r="IM19" s="193">
        <f t="shared" si="100"/>
        <v>0</v>
      </c>
      <c r="IN19" s="193">
        <f t="shared" si="100"/>
        <v>0</v>
      </c>
      <c r="IO19" s="193">
        <f t="shared" si="100"/>
        <v>0</v>
      </c>
      <c r="IP19" s="193">
        <f t="shared" si="100"/>
        <v>0</v>
      </c>
      <c r="IQ19" s="193">
        <f t="shared" si="100"/>
        <v>0</v>
      </c>
      <c r="IR19" s="193">
        <f t="shared" si="100"/>
        <v>0</v>
      </c>
      <c r="IS19" s="193">
        <f t="shared" si="100"/>
        <v>0</v>
      </c>
      <c r="IT19" s="193">
        <f t="shared" si="100"/>
        <v>0</v>
      </c>
      <c r="IU19" s="193">
        <f t="shared" si="100"/>
        <v>0</v>
      </c>
      <c r="IV19" s="193">
        <f t="shared" si="100"/>
        <v>0</v>
      </c>
      <c r="IW19" s="193">
        <f t="shared" si="100"/>
        <v>0</v>
      </c>
      <c r="IX19" s="193">
        <f t="shared" si="100"/>
        <v>0</v>
      </c>
      <c r="IY19" s="193">
        <f t="shared" si="100"/>
        <v>0</v>
      </c>
      <c r="IZ19" s="193">
        <f t="shared" si="100"/>
        <v>0</v>
      </c>
      <c r="JA19" s="193">
        <f t="shared" si="100"/>
        <v>0</v>
      </c>
      <c r="JB19" s="193">
        <f t="shared" si="100"/>
        <v>0</v>
      </c>
      <c r="JC19" s="193">
        <f t="shared" si="100"/>
        <v>0</v>
      </c>
      <c r="JD19" s="193">
        <f t="shared" si="100"/>
        <v>0</v>
      </c>
      <c r="JE19" s="193">
        <f t="shared" ref="JE19:LN19" si="101">JE18</f>
        <v>0</v>
      </c>
      <c r="JF19" s="193">
        <f t="shared" si="101"/>
        <v>0</v>
      </c>
      <c r="JG19" s="193">
        <f t="shared" si="101"/>
        <v>0</v>
      </c>
      <c r="JH19" s="193">
        <f t="shared" si="101"/>
        <v>0</v>
      </c>
      <c r="JI19" s="193">
        <f t="shared" si="101"/>
        <v>0</v>
      </c>
      <c r="JJ19" s="193">
        <f t="shared" si="101"/>
        <v>0</v>
      </c>
      <c r="JK19" s="193">
        <f t="shared" si="101"/>
        <v>0</v>
      </c>
      <c r="JL19" s="193">
        <f t="shared" si="101"/>
        <v>0</v>
      </c>
      <c r="JM19" s="193">
        <f t="shared" si="101"/>
        <v>0</v>
      </c>
      <c r="JN19" s="193">
        <f t="shared" si="101"/>
        <v>3</v>
      </c>
      <c r="JO19" s="193">
        <f t="shared" si="101"/>
        <v>1</v>
      </c>
      <c r="JP19" s="193">
        <f t="shared" si="101"/>
        <v>0</v>
      </c>
      <c r="JQ19" s="193">
        <f t="shared" si="101"/>
        <v>1</v>
      </c>
      <c r="JR19" s="193">
        <f t="shared" si="101"/>
        <v>0</v>
      </c>
      <c r="JS19" s="193">
        <f t="shared" si="101"/>
        <v>1</v>
      </c>
      <c r="JT19" s="193">
        <f t="shared" si="101"/>
        <v>0</v>
      </c>
      <c r="JU19" s="193">
        <f t="shared" si="101"/>
        <v>4</v>
      </c>
      <c r="JV19" s="193">
        <f t="shared" si="101"/>
        <v>0</v>
      </c>
      <c r="JW19" s="193">
        <f t="shared" si="101"/>
        <v>0</v>
      </c>
      <c r="JX19" s="193">
        <f t="shared" si="101"/>
        <v>0</v>
      </c>
      <c r="JY19" s="193">
        <f t="shared" si="101"/>
        <v>0</v>
      </c>
      <c r="JZ19" s="193">
        <f t="shared" si="101"/>
        <v>0</v>
      </c>
      <c r="KA19" s="193">
        <f t="shared" si="101"/>
        <v>0</v>
      </c>
      <c r="KB19" s="193">
        <f t="shared" si="101"/>
        <v>0</v>
      </c>
      <c r="KC19" s="193">
        <f t="shared" si="101"/>
        <v>0</v>
      </c>
      <c r="KD19" s="193">
        <f t="shared" si="101"/>
        <v>0</v>
      </c>
      <c r="KE19" s="193">
        <f t="shared" si="101"/>
        <v>1</v>
      </c>
      <c r="KF19" s="193">
        <f t="shared" si="101"/>
        <v>0</v>
      </c>
      <c r="KG19" s="193">
        <f t="shared" si="101"/>
        <v>0</v>
      </c>
      <c r="KH19" s="193">
        <f t="shared" si="101"/>
        <v>0</v>
      </c>
      <c r="KI19" s="193">
        <f t="shared" si="101"/>
        <v>0</v>
      </c>
      <c r="KJ19" s="193">
        <f t="shared" si="101"/>
        <v>0</v>
      </c>
      <c r="KK19" s="193">
        <f t="shared" si="101"/>
        <v>0</v>
      </c>
      <c r="KL19" s="193">
        <f t="shared" si="101"/>
        <v>0</v>
      </c>
      <c r="KM19" s="193">
        <f t="shared" si="101"/>
        <v>0</v>
      </c>
      <c r="KN19" s="193">
        <f t="shared" si="101"/>
        <v>12</v>
      </c>
      <c r="KO19" s="193">
        <f t="shared" si="101"/>
        <v>13</v>
      </c>
      <c r="KP19" s="193">
        <f t="shared" si="101"/>
        <v>0</v>
      </c>
      <c r="KQ19" s="193">
        <f t="shared" si="101"/>
        <v>0</v>
      </c>
      <c r="KR19" s="193">
        <f t="shared" si="101"/>
        <v>0</v>
      </c>
      <c r="KS19" s="193">
        <f t="shared" si="101"/>
        <v>0</v>
      </c>
      <c r="KT19" s="193">
        <f t="shared" si="101"/>
        <v>13</v>
      </c>
      <c r="KU19" s="193">
        <f t="shared" si="101"/>
        <v>21</v>
      </c>
      <c r="KV19" s="193">
        <f t="shared" si="101"/>
        <v>49</v>
      </c>
      <c r="KW19" s="193">
        <f t="shared" si="101"/>
        <v>61</v>
      </c>
      <c r="KX19" s="193">
        <f t="shared" si="101"/>
        <v>110</v>
      </c>
      <c r="KY19" s="193">
        <f t="shared" si="101"/>
        <v>48</v>
      </c>
      <c r="KZ19" s="193">
        <f t="shared" si="101"/>
        <v>61</v>
      </c>
      <c r="LA19" s="193">
        <f t="shared" si="101"/>
        <v>0</v>
      </c>
      <c r="LB19" s="193">
        <f t="shared" si="101"/>
        <v>0</v>
      </c>
      <c r="LC19" s="193">
        <f t="shared" si="101"/>
        <v>0</v>
      </c>
      <c r="LD19" s="193">
        <f t="shared" si="101"/>
        <v>0</v>
      </c>
      <c r="LE19" s="193">
        <f t="shared" si="101"/>
        <v>0</v>
      </c>
      <c r="LF19" s="193">
        <f t="shared" si="101"/>
        <v>0</v>
      </c>
      <c r="LG19" s="193">
        <f t="shared" si="101"/>
        <v>1</v>
      </c>
      <c r="LH19" s="193">
        <f t="shared" si="101"/>
        <v>0</v>
      </c>
      <c r="LI19" s="193">
        <f t="shared" si="101"/>
        <v>0</v>
      </c>
      <c r="LJ19" s="193">
        <f t="shared" si="101"/>
        <v>0</v>
      </c>
      <c r="LK19" s="193">
        <f t="shared" si="101"/>
        <v>0</v>
      </c>
      <c r="LL19" s="193">
        <f t="shared" si="101"/>
        <v>0</v>
      </c>
      <c r="LM19" s="193">
        <f t="shared" si="101"/>
        <v>0</v>
      </c>
      <c r="LN19" s="193">
        <f t="shared" si="101"/>
        <v>0</v>
      </c>
      <c r="LO19" s="193">
        <f t="shared" ref="LO19:LP19" si="102">LO18</f>
        <v>0</v>
      </c>
      <c r="LP19" s="193">
        <f t="shared" si="102"/>
        <v>0</v>
      </c>
      <c r="LQ19" s="168">
        <f t="shared" si="31"/>
        <v>49</v>
      </c>
      <c r="LR19" s="168">
        <f t="shared" si="32"/>
        <v>61</v>
      </c>
      <c r="LS19" s="193">
        <f t="shared" ref="LS19:OA19" si="103">LS18</f>
        <v>110</v>
      </c>
      <c r="LT19" s="193">
        <f t="shared" si="103"/>
        <v>30</v>
      </c>
      <c r="LU19" s="193">
        <f t="shared" si="103"/>
        <v>51</v>
      </c>
      <c r="LV19" s="193">
        <f t="shared" si="103"/>
        <v>5</v>
      </c>
      <c r="LW19" s="193">
        <f t="shared" si="103"/>
        <v>2</v>
      </c>
      <c r="LX19" s="193">
        <f t="shared" si="103"/>
        <v>1</v>
      </c>
      <c r="LY19" s="193">
        <f t="shared" si="103"/>
        <v>0</v>
      </c>
      <c r="LZ19" s="193">
        <f t="shared" si="103"/>
        <v>13</v>
      </c>
      <c r="MA19" s="193">
        <f t="shared" si="103"/>
        <v>8</v>
      </c>
      <c r="MB19" s="193">
        <f t="shared" si="103"/>
        <v>49</v>
      </c>
      <c r="MC19" s="193">
        <f t="shared" si="103"/>
        <v>61</v>
      </c>
      <c r="MD19" s="193">
        <f t="shared" si="103"/>
        <v>110</v>
      </c>
      <c r="ME19" s="193">
        <f t="shared" si="103"/>
        <v>2</v>
      </c>
      <c r="MF19" s="193">
        <f t="shared" si="103"/>
        <v>5</v>
      </c>
      <c r="MG19" s="193">
        <f t="shared" si="103"/>
        <v>27</v>
      </c>
      <c r="MH19" s="193">
        <f t="shared" si="103"/>
        <v>41</v>
      </c>
      <c r="MI19" s="193">
        <f t="shared" si="103"/>
        <v>9</v>
      </c>
      <c r="MJ19" s="193">
        <f t="shared" si="103"/>
        <v>8</v>
      </c>
      <c r="MK19" s="193">
        <f t="shared" si="103"/>
        <v>9</v>
      </c>
      <c r="ML19" s="193">
        <f t="shared" si="103"/>
        <v>6</v>
      </c>
      <c r="MM19" s="193">
        <f t="shared" si="103"/>
        <v>2</v>
      </c>
      <c r="MN19" s="193">
        <f t="shared" si="103"/>
        <v>1</v>
      </c>
      <c r="MO19" s="193">
        <f t="shared" si="103"/>
        <v>49</v>
      </c>
      <c r="MP19" s="193">
        <f t="shared" si="103"/>
        <v>61</v>
      </c>
      <c r="MQ19" s="193">
        <f t="shared" si="103"/>
        <v>110</v>
      </c>
      <c r="MR19" s="193">
        <f t="shared" si="103"/>
        <v>7</v>
      </c>
      <c r="MS19" s="193">
        <f t="shared" si="103"/>
        <v>10</v>
      </c>
      <c r="MT19" s="193">
        <f t="shared" si="103"/>
        <v>42</v>
      </c>
      <c r="MU19" s="193">
        <f t="shared" si="103"/>
        <v>51</v>
      </c>
      <c r="MV19" s="193">
        <f t="shared" si="103"/>
        <v>0</v>
      </c>
      <c r="MW19" s="193">
        <f t="shared" si="103"/>
        <v>0</v>
      </c>
      <c r="MX19" s="193">
        <f t="shared" si="103"/>
        <v>0</v>
      </c>
      <c r="MY19" s="193">
        <f t="shared" si="103"/>
        <v>0</v>
      </c>
      <c r="MZ19" s="193">
        <f t="shared" si="103"/>
        <v>49</v>
      </c>
      <c r="NA19" s="193">
        <f t="shared" si="103"/>
        <v>61</v>
      </c>
      <c r="NB19" s="193">
        <f t="shared" si="103"/>
        <v>110</v>
      </c>
      <c r="NC19" s="193">
        <f t="shared" si="103"/>
        <v>0</v>
      </c>
      <c r="ND19" s="193">
        <f t="shared" si="103"/>
        <v>0</v>
      </c>
      <c r="NE19" s="193">
        <f t="shared" si="103"/>
        <v>1</v>
      </c>
      <c r="NF19" s="193">
        <f t="shared" si="103"/>
        <v>0</v>
      </c>
      <c r="NG19" s="193">
        <f t="shared" si="103"/>
        <v>0</v>
      </c>
      <c r="NH19" s="193">
        <f t="shared" si="103"/>
        <v>0</v>
      </c>
      <c r="NI19" s="193">
        <f t="shared" si="103"/>
        <v>12</v>
      </c>
      <c r="NJ19" s="193">
        <f t="shared" si="103"/>
        <v>19</v>
      </c>
      <c r="NK19" s="193">
        <f t="shared" si="103"/>
        <v>32</v>
      </c>
      <c r="NL19" s="193">
        <f t="shared" si="103"/>
        <v>30</v>
      </c>
      <c r="NM19" s="193">
        <f t="shared" si="103"/>
        <v>3</v>
      </c>
      <c r="NN19" s="193">
        <f t="shared" si="103"/>
        <v>10</v>
      </c>
      <c r="NO19" s="193">
        <f t="shared" si="103"/>
        <v>0</v>
      </c>
      <c r="NP19" s="193">
        <f t="shared" si="103"/>
        <v>0</v>
      </c>
      <c r="NQ19" s="193">
        <f t="shared" si="103"/>
        <v>1</v>
      </c>
      <c r="NR19" s="193">
        <f t="shared" si="103"/>
        <v>2</v>
      </c>
      <c r="NS19" s="193">
        <f t="shared" si="103"/>
        <v>0</v>
      </c>
      <c r="NT19" s="193">
        <f t="shared" si="103"/>
        <v>0</v>
      </c>
      <c r="NU19" s="193">
        <f t="shared" si="103"/>
        <v>0</v>
      </c>
      <c r="NV19" s="193">
        <f t="shared" si="103"/>
        <v>0</v>
      </c>
      <c r="NW19" s="193">
        <f t="shared" si="103"/>
        <v>49</v>
      </c>
      <c r="NX19" s="193">
        <f t="shared" si="103"/>
        <v>61</v>
      </c>
      <c r="NY19" s="193">
        <f t="shared" si="103"/>
        <v>110</v>
      </c>
      <c r="NZ19" s="193">
        <f t="shared" si="103"/>
        <v>0</v>
      </c>
      <c r="OA19" s="193">
        <f t="shared" si="103"/>
        <v>0</v>
      </c>
      <c r="OB19" s="193">
        <f t="shared" ref="OB19:QS19" si="104">OB18</f>
        <v>0</v>
      </c>
      <c r="OC19" s="193">
        <f t="shared" si="104"/>
        <v>0</v>
      </c>
      <c r="OD19" s="193">
        <f t="shared" si="104"/>
        <v>0</v>
      </c>
      <c r="OE19" s="193">
        <f t="shared" si="104"/>
        <v>0</v>
      </c>
      <c r="OF19" s="193">
        <f t="shared" si="104"/>
        <v>0</v>
      </c>
      <c r="OG19" s="193">
        <f t="shared" si="104"/>
        <v>0</v>
      </c>
      <c r="OH19" s="193">
        <f t="shared" si="104"/>
        <v>0</v>
      </c>
      <c r="OI19" s="193">
        <f t="shared" ref="OI19:OT19" si="105">OI18</f>
        <v>0</v>
      </c>
      <c r="OJ19" s="193">
        <f t="shared" si="105"/>
        <v>2</v>
      </c>
      <c r="OK19" s="193">
        <f t="shared" si="105"/>
        <v>2</v>
      </c>
      <c r="OL19" s="193">
        <f t="shared" si="105"/>
        <v>0</v>
      </c>
      <c r="OM19" s="193">
        <f t="shared" si="105"/>
        <v>0</v>
      </c>
      <c r="ON19" s="193">
        <f t="shared" si="105"/>
        <v>2</v>
      </c>
      <c r="OO19" s="193">
        <f t="shared" si="105"/>
        <v>0</v>
      </c>
      <c r="OP19" s="193">
        <f t="shared" si="105"/>
        <v>2</v>
      </c>
      <c r="OQ19" s="193">
        <f t="shared" si="105"/>
        <v>0</v>
      </c>
      <c r="OR19" s="193">
        <f t="shared" si="105"/>
        <v>0</v>
      </c>
      <c r="OS19" s="193">
        <f t="shared" si="105"/>
        <v>0</v>
      </c>
      <c r="OT19" s="193">
        <f t="shared" si="105"/>
        <v>0</v>
      </c>
      <c r="OU19" s="193">
        <f t="shared" si="104"/>
        <v>2</v>
      </c>
      <c r="OV19" s="193">
        <f t="shared" si="104"/>
        <v>0</v>
      </c>
      <c r="OW19" s="193"/>
      <c r="OX19" s="193"/>
      <c r="OY19" s="193"/>
      <c r="OZ19" s="193">
        <f t="shared" si="104"/>
        <v>1</v>
      </c>
      <c r="PA19" s="193">
        <f t="shared" si="104"/>
        <v>1</v>
      </c>
      <c r="PB19" s="193">
        <f t="shared" si="104"/>
        <v>1</v>
      </c>
      <c r="PC19" s="193">
        <f t="shared" si="104"/>
        <v>0</v>
      </c>
      <c r="PD19" s="193">
        <f t="shared" si="104"/>
        <v>1</v>
      </c>
      <c r="PE19" s="193">
        <f t="shared" si="104"/>
        <v>0</v>
      </c>
      <c r="PF19" s="193">
        <f t="shared" si="104"/>
        <v>0</v>
      </c>
      <c r="PG19" s="193">
        <f t="shared" si="104"/>
        <v>1</v>
      </c>
      <c r="PH19" s="193">
        <f t="shared" si="104"/>
        <v>0</v>
      </c>
      <c r="PI19" s="193">
        <f t="shared" si="104"/>
        <v>1</v>
      </c>
      <c r="PJ19" s="193">
        <f t="shared" si="104"/>
        <v>1</v>
      </c>
      <c r="PK19" s="193">
        <f t="shared" si="104"/>
        <v>1</v>
      </c>
      <c r="PL19" s="193">
        <f t="shared" si="104"/>
        <v>12</v>
      </c>
      <c r="PM19" s="193">
        <f t="shared" si="104"/>
        <v>36</v>
      </c>
      <c r="PN19" s="193">
        <f t="shared" si="104"/>
        <v>14</v>
      </c>
      <c r="PO19" s="193">
        <f t="shared" si="104"/>
        <v>50</v>
      </c>
      <c r="PP19" s="193">
        <f t="shared" si="104"/>
        <v>1</v>
      </c>
      <c r="PQ19" s="193">
        <f t="shared" si="104"/>
        <v>0</v>
      </c>
      <c r="PR19" s="193">
        <f t="shared" si="104"/>
        <v>0</v>
      </c>
      <c r="PS19" s="193">
        <f t="shared" si="104"/>
        <v>1</v>
      </c>
      <c r="PT19" s="193">
        <f t="shared" si="104"/>
        <v>0</v>
      </c>
      <c r="PU19" s="193">
        <f t="shared" si="104"/>
        <v>0</v>
      </c>
      <c r="PV19" s="193">
        <f t="shared" ref="PV19:QH19" si="106">PV18</f>
        <v>2</v>
      </c>
      <c r="PW19" s="193">
        <f t="shared" si="106"/>
        <v>0</v>
      </c>
      <c r="PX19" s="193">
        <f t="shared" si="106"/>
        <v>2</v>
      </c>
      <c r="PY19" s="193">
        <f t="shared" si="106"/>
        <v>0</v>
      </c>
      <c r="PZ19" s="193">
        <f t="shared" si="106"/>
        <v>1</v>
      </c>
      <c r="QA19" s="193">
        <f t="shared" si="106"/>
        <v>1</v>
      </c>
      <c r="QB19" s="193">
        <f t="shared" si="106"/>
        <v>2</v>
      </c>
      <c r="QC19" s="193">
        <f t="shared" si="106"/>
        <v>0</v>
      </c>
      <c r="QD19" s="193">
        <f t="shared" si="106"/>
        <v>2</v>
      </c>
      <c r="QE19" s="193">
        <f t="shared" si="106"/>
        <v>0</v>
      </c>
      <c r="QF19" s="193">
        <f t="shared" si="106"/>
        <v>0</v>
      </c>
      <c r="QG19" s="193">
        <f t="shared" si="106"/>
        <v>0</v>
      </c>
      <c r="QH19" s="193">
        <f t="shared" si="106"/>
        <v>0</v>
      </c>
      <c r="QI19" s="193">
        <f t="shared" si="104"/>
        <v>2</v>
      </c>
      <c r="QJ19" s="193">
        <f t="shared" si="104"/>
        <v>0</v>
      </c>
      <c r="QK19" s="193">
        <f t="shared" si="104"/>
        <v>0</v>
      </c>
      <c r="QL19" s="193">
        <f t="shared" si="104"/>
        <v>2</v>
      </c>
      <c r="QM19" s="193">
        <f t="shared" si="104"/>
        <v>2</v>
      </c>
      <c r="QN19" s="193">
        <f t="shared" si="104"/>
        <v>0</v>
      </c>
      <c r="QO19" s="193">
        <f t="shared" si="104"/>
        <v>2</v>
      </c>
      <c r="QP19" s="193">
        <f t="shared" si="104"/>
        <v>0</v>
      </c>
      <c r="QQ19" s="193">
        <f t="shared" si="104"/>
        <v>0</v>
      </c>
      <c r="QR19" s="193">
        <f t="shared" si="104"/>
        <v>1</v>
      </c>
      <c r="QS19" s="193">
        <f t="shared" si="104"/>
        <v>1</v>
      </c>
      <c r="QT19" s="193">
        <f t="shared" ref="QT19:SP19" si="107">QT18</f>
        <v>0</v>
      </c>
      <c r="QU19" s="193">
        <f t="shared" si="107"/>
        <v>1</v>
      </c>
      <c r="QV19" s="193">
        <f t="shared" si="107"/>
        <v>1</v>
      </c>
      <c r="QW19" s="193">
        <f t="shared" si="107"/>
        <v>1</v>
      </c>
      <c r="QX19" s="193">
        <f t="shared" si="107"/>
        <v>1</v>
      </c>
      <c r="QY19" s="193">
        <f t="shared" si="107"/>
        <v>1</v>
      </c>
      <c r="QZ19" s="193">
        <f t="shared" si="107"/>
        <v>0</v>
      </c>
      <c r="RA19" s="193">
        <f t="shared" si="107"/>
        <v>0</v>
      </c>
      <c r="RB19" s="193">
        <f>RB18</f>
        <v>2</v>
      </c>
      <c r="RC19" s="193">
        <f>RC18</f>
        <v>0</v>
      </c>
      <c r="RD19" s="193">
        <f t="shared" si="107"/>
        <v>1</v>
      </c>
      <c r="RE19" s="193">
        <f t="shared" si="107"/>
        <v>1</v>
      </c>
      <c r="RF19" s="193">
        <f t="shared" si="107"/>
        <v>1</v>
      </c>
      <c r="RG19" s="193">
        <f t="shared" si="107"/>
        <v>1</v>
      </c>
      <c r="RH19" s="193">
        <f t="shared" si="107"/>
        <v>0</v>
      </c>
      <c r="RI19" s="193">
        <f t="shared" si="107"/>
        <v>2</v>
      </c>
      <c r="RJ19" s="193">
        <f t="shared" si="107"/>
        <v>0</v>
      </c>
      <c r="RK19" s="193">
        <f t="shared" si="107"/>
        <v>0</v>
      </c>
      <c r="RL19" s="193">
        <f t="shared" si="107"/>
        <v>1</v>
      </c>
      <c r="RM19" s="193">
        <f t="shared" si="107"/>
        <v>1</v>
      </c>
      <c r="RN19" s="193">
        <f t="shared" si="107"/>
        <v>0</v>
      </c>
      <c r="RO19" s="193"/>
      <c r="RP19" s="193"/>
      <c r="RQ19" s="193"/>
      <c r="RR19" s="193"/>
      <c r="RS19" s="193"/>
      <c r="RT19" s="193"/>
      <c r="RU19" s="193">
        <f t="shared" si="107"/>
        <v>4</v>
      </c>
      <c r="RV19" s="193">
        <f t="shared" si="107"/>
        <v>11</v>
      </c>
      <c r="RW19" s="193">
        <f t="shared" si="107"/>
        <v>0</v>
      </c>
      <c r="RX19" s="193">
        <f t="shared" si="107"/>
        <v>1</v>
      </c>
      <c r="RY19" s="193">
        <f t="shared" si="107"/>
        <v>0</v>
      </c>
      <c r="RZ19" s="193">
        <f t="shared" si="107"/>
        <v>0</v>
      </c>
      <c r="SA19" s="193">
        <f t="shared" si="107"/>
        <v>1</v>
      </c>
      <c r="SB19" s="193">
        <f t="shared" si="107"/>
        <v>1</v>
      </c>
      <c r="SC19" s="193">
        <f t="shared" si="107"/>
        <v>0</v>
      </c>
      <c r="SD19" s="193">
        <f t="shared" si="107"/>
        <v>0</v>
      </c>
      <c r="SE19" s="193">
        <f t="shared" si="107"/>
        <v>1</v>
      </c>
      <c r="SF19" s="193">
        <f t="shared" si="107"/>
        <v>0</v>
      </c>
      <c r="SG19" s="193">
        <f t="shared" si="107"/>
        <v>0</v>
      </c>
      <c r="SH19" s="193">
        <f t="shared" si="107"/>
        <v>0</v>
      </c>
      <c r="SI19" s="193">
        <f t="shared" si="107"/>
        <v>0</v>
      </c>
      <c r="SJ19" s="193">
        <f t="shared" si="107"/>
        <v>0</v>
      </c>
      <c r="SK19" s="193">
        <f t="shared" si="107"/>
        <v>1</v>
      </c>
      <c r="SL19" s="193">
        <f t="shared" si="107"/>
        <v>80</v>
      </c>
      <c r="SM19" s="193">
        <f t="shared" si="107"/>
        <v>10</v>
      </c>
      <c r="SN19" s="193">
        <f t="shared" si="107"/>
        <v>90</v>
      </c>
      <c r="SO19" s="193">
        <f t="shared" si="107"/>
        <v>5</v>
      </c>
      <c r="SP19" s="193">
        <f t="shared" si="107"/>
        <v>5</v>
      </c>
      <c r="SQ19" s="193"/>
      <c r="SR19" s="193"/>
      <c r="SS19" s="195"/>
    </row>
    <row r="20" spans="1:513" s="194" customFormat="1" ht="21.75" customHeight="1">
      <c r="A20" s="221" t="s">
        <v>198</v>
      </c>
      <c r="B20" s="242"/>
      <c r="C20" s="242"/>
      <c r="D20" s="242"/>
      <c r="E20" s="222"/>
      <c r="F20" s="193">
        <f>F19+F15+F12</f>
        <v>6</v>
      </c>
      <c r="G20" s="193">
        <f t="shared" ref="G20:BR20" si="108">G19+G15+G12</f>
        <v>2</v>
      </c>
      <c r="H20" s="193">
        <f t="shared" si="108"/>
        <v>0</v>
      </c>
      <c r="I20" s="193">
        <f t="shared" si="108"/>
        <v>8</v>
      </c>
      <c r="J20" s="193">
        <f t="shared" si="108"/>
        <v>0</v>
      </c>
      <c r="K20" s="193">
        <f t="shared" si="108"/>
        <v>7</v>
      </c>
      <c r="L20" s="193">
        <f t="shared" si="108"/>
        <v>0</v>
      </c>
      <c r="M20" s="193">
        <f t="shared" si="108"/>
        <v>0</v>
      </c>
      <c r="N20" s="193">
        <f t="shared" si="108"/>
        <v>1</v>
      </c>
      <c r="O20" s="193">
        <f t="shared" si="108"/>
        <v>7</v>
      </c>
      <c r="P20" s="193">
        <f t="shared" si="108"/>
        <v>1</v>
      </c>
      <c r="Q20" s="193">
        <f t="shared" si="108"/>
        <v>6</v>
      </c>
      <c r="R20" s="193">
        <f t="shared" si="108"/>
        <v>0</v>
      </c>
      <c r="S20" s="193">
        <f t="shared" si="108"/>
        <v>2</v>
      </c>
      <c r="T20" s="193">
        <f t="shared" si="108"/>
        <v>0</v>
      </c>
      <c r="U20" s="193">
        <f t="shared" si="108"/>
        <v>1</v>
      </c>
      <c r="V20" s="193">
        <f t="shared" si="108"/>
        <v>274</v>
      </c>
      <c r="W20" s="193">
        <f t="shared" si="108"/>
        <v>92</v>
      </c>
      <c r="X20" s="193">
        <f t="shared" si="108"/>
        <v>243</v>
      </c>
      <c r="Y20" s="193">
        <f t="shared" si="108"/>
        <v>77</v>
      </c>
      <c r="Z20" s="193">
        <f t="shared" si="108"/>
        <v>154</v>
      </c>
      <c r="AA20" s="193">
        <f t="shared" si="108"/>
        <v>61</v>
      </c>
      <c r="AB20" s="193">
        <f t="shared" si="108"/>
        <v>102</v>
      </c>
      <c r="AC20" s="193">
        <f t="shared" si="108"/>
        <v>33</v>
      </c>
      <c r="AD20" s="193">
        <f t="shared" si="108"/>
        <v>50</v>
      </c>
      <c r="AE20" s="193">
        <f t="shared" si="108"/>
        <v>38</v>
      </c>
      <c r="AF20" s="193">
        <f t="shared" si="108"/>
        <v>823</v>
      </c>
      <c r="AG20" s="193">
        <f t="shared" si="108"/>
        <v>301</v>
      </c>
      <c r="AH20" s="193">
        <f t="shared" si="108"/>
        <v>1124</v>
      </c>
      <c r="AI20" s="193">
        <f t="shared" si="108"/>
        <v>274</v>
      </c>
      <c r="AJ20" s="193">
        <f t="shared" si="108"/>
        <v>92</v>
      </c>
      <c r="AK20" s="193">
        <f t="shared" si="108"/>
        <v>248</v>
      </c>
      <c r="AL20" s="193">
        <f t="shared" si="108"/>
        <v>77</v>
      </c>
      <c r="AM20" s="193">
        <f t="shared" si="108"/>
        <v>166</v>
      </c>
      <c r="AN20" s="193">
        <f t="shared" si="108"/>
        <v>61</v>
      </c>
      <c r="AO20" s="193">
        <f t="shared" si="108"/>
        <v>113</v>
      </c>
      <c r="AP20" s="193">
        <f t="shared" si="108"/>
        <v>33</v>
      </c>
      <c r="AQ20" s="193">
        <f t="shared" si="108"/>
        <v>65</v>
      </c>
      <c r="AR20" s="193">
        <f t="shared" si="108"/>
        <v>38</v>
      </c>
      <c r="AS20" s="193">
        <f t="shared" si="108"/>
        <v>866</v>
      </c>
      <c r="AT20" s="193">
        <f t="shared" si="108"/>
        <v>301</v>
      </c>
      <c r="AU20" s="193">
        <f t="shared" si="108"/>
        <v>1167</v>
      </c>
      <c r="AV20" s="193">
        <f t="shared" si="108"/>
        <v>141</v>
      </c>
      <c r="AW20" s="193">
        <f t="shared" si="108"/>
        <v>49</v>
      </c>
      <c r="AX20" s="193">
        <f t="shared" si="108"/>
        <v>107</v>
      </c>
      <c r="AY20" s="193">
        <f t="shared" si="108"/>
        <v>31</v>
      </c>
      <c r="AZ20" s="193">
        <f t="shared" si="108"/>
        <v>125</v>
      </c>
      <c r="BA20" s="193">
        <f t="shared" si="108"/>
        <v>33</v>
      </c>
      <c r="BB20" s="193">
        <f t="shared" si="108"/>
        <v>96</v>
      </c>
      <c r="BC20" s="193">
        <f t="shared" si="108"/>
        <v>16</v>
      </c>
      <c r="BD20" s="193">
        <f t="shared" si="108"/>
        <v>58</v>
      </c>
      <c r="BE20" s="193">
        <f t="shared" si="108"/>
        <v>37</v>
      </c>
      <c r="BF20" s="193">
        <f t="shared" si="108"/>
        <v>527</v>
      </c>
      <c r="BG20" s="193">
        <f t="shared" si="108"/>
        <v>166</v>
      </c>
      <c r="BH20" s="193">
        <f t="shared" si="108"/>
        <v>693</v>
      </c>
      <c r="BI20" s="193">
        <f t="shared" si="108"/>
        <v>72</v>
      </c>
      <c r="BJ20" s="193">
        <f t="shared" si="108"/>
        <v>32</v>
      </c>
      <c r="BK20" s="193">
        <f t="shared" si="108"/>
        <v>147</v>
      </c>
      <c r="BL20" s="193">
        <f t="shared" si="108"/>
        <v>28</v>
      </c>
      <c r="BM20" s="193">
        <f t="shared" si="108"/>
        <v>96</v>
      </c>
      <c r="BN20" s="193">
        <f t="shared" si="108"/>
        <v>32</v>
      </c>
      <c r="BO20" s="193">
        <f t="shared" si="108"/>
        <v>66</v>
      </c>
      <c r="BP20" s="193">
        <f t="shared" si="108"/>
        <v>22</v>
      </c>
      <c r="BQ20" s="193">
        <f t="shared" si="108"/>
        <v>75</v>
      </c>
      <c r="BR20" s="193">
        <f t="shared" si="108"/>
        <v>29</v>
      </c>
      <c r="BS20" s="193">
        <f t="shared" ref="BS20:ED20" si="109">BS19+BS15+BS12</f>
        <v>456</v>
      </c>
      <c r="BT20" s="193">
        <f t="shared" si="109"/>
        <v>143</v>
      </c>
      <c r="BU20" s="193">
        <f t="shared" si="109"/>
        <v>599</v>
      </c>
      <c r="BV20" s="193">
        <f t="shared" si="109"/>
        <v>274</v>
      </c>
      <c r="BW20" s="193">
        <f t="shared" si="109"/>
        <v>92</v>
      </c>
      <c r="BX20" s="193">
        <f t="shared" si="109"/>
        <v>389</v>
      </c>
      <c r="BY20" s="193">
        <f t="shared" si="109"/>
        <v>126</v>
      </c>
      <c r="BZ20" s="193">
        <f t="shared" si="109"/>
        <v>345</v>
      </c>
      <c r="CA20" s="193">
        <f t="shared" si="109"/>
        <v>124</v>
      </c>
      <c r="CB20" s="193">
        <f t="shared" si="109"/>
        <v>385</v>
      </c>
      <c r="CC20" s="193">
        <f t="shared" si="109"/>
        <v>94</v>
      </c>
      <c r="CD20" s="193">
        <f t="shared" si="109"/>
        <v>257</v>
      </c>
      <c r="CE20" s="193">
        <f t="shared" si="109"/>
        <v>86</v>
      </c>
      <c r="CF20" s="193">
        <f t="shared" si="109"/>
        <v>124</v>
      </c>
      <c r="CG20" s="193">
        <f t="shared" si="109"/>
        <v>59</v>
      </c>
      <c r="CH20" s="193">
        <f t="shared" si="109"/>
        <v>75</v>
      </c>
      <c r="CI20" s="193">
        <f t="shared" si="109"/>
        <v>29</v>
      </c>
      <c r="CJ20" s="193">
        <f t="shared" si="109"/>
        <v>1849</v>
      </c>
      <c r="CK20" s="193">
        <f t="shared" si="109"/>
        <v>610</v>
      </c>
      <c r="CL20" s="193">
        <f>CL19+CL15+CL12</f>
        <v>2459</v>
      </c>
      <c r="CM20" s="193">
        <f t="shared" si="109"/>
        <v>21</v>
      </c>
      <c r="CN20" s="193">
        <f t="shared" si="109"/>
        <v>9</v>
      </c>
      <c r="CO20" s="193">
        <f t="shared" si="109"/>
        <v>0</v>
      </c>
      <c r="CP20" s="193">
        <f t="shared" si="109"/>
        <v>21</v>
      </c>
      <c r="CQ20" s="193">
        <f t="shared" si="109"/>
        <v>5</v>
      </c>
      <c r="CR20" s="193">
        <f t="shared" si="109"/>
        <v>0</v>
      </c>
      <c r="CS20" s="193">
        <f t="shared" si="109"/>
        <v>19</v>
      </c>
      <c r="CT20" s="193">
        <f t="shared" si="109"/>
        <v>4</v>
      </c>
      <c r="CU20" s="193">
        <f t="shared" si="109"/>
        <v>0</v>
      </c>
      <c r="CV20" s="193">
        <f t="shared" si="109"/>
        <v>61</v>
      </c>
      <c r="CW20" s="193">
        <f t="shared" si="109"/>
        <v>18</v>
      </c>
      <c r="CX20" s="193">
        <f t="shared" si="109"/>
        <v>0</v>
      </c>
      <c r="CY20" s="193">
        <f t="shared" si="109"/>
        <v>79</v>
      </c>
      <c r="CZ20" s="193">
        <f t="shared" si="109"/>
        <v>30</v>
      </c>
      <c r="DA20" s="193">
        <f t="shared" si="109"/>
        <v>1</v>
      </c>
      <c r="DB20" s="193">
        <f t="shared" si="109"/>
        <v>12</v>
      </c>
      <c r="DC20" s="193">
        <f t="shared" si="109"/>
        <v>4</v>
      </c>
      <c r="DD20" s="193">
        <f t="shared" si="109"/>
        <v>16</v>
      </c>
      <c r="DE20" s="193">
        <f t="shared" si="109"/>
        <v>1</v>
      </c>
      <c r="DF20" s="193">
        <f t="shared" si="109"/>
        <v>58</v>
      </c>
      <c r="DG20" s="193">
        <f t="shared" si="109"/>
        <v>6</v>
      </c>
      <c r="DH20" s="193">
        <f t="shared" si="109"/>
        <v>64</v>
      </c>
      <c r="DI20" s="193">
        <f t="shared" si="109"/>
        <v>0</v>
      </c>
      <c r="DJ20" s="193">
        <f t="shared" si="109"/>
        <v>0</v>
      </c>
      <c r="DK20" s="193">
        <f t="shared" si="109"/>
        <v>0</v>
      </c>
      <c r="DL20" s="193">
        <f t="shared" si="109"/>
        <v>0</v>
      </c>
      <c r="DM20" s="193">
        <f t="shared" si="109"/>
        <v>0</v>
      </c>
      <c r="DN20" s="193">
        <f t="shared" si="109"/>
        <v>0</v>
      </c>
      <c r="DO20" s="193">
        <f t="shared" si="109"/>
        <v>0</v>
      </c>
      <c r="DP20" s="193">
        <f t="shared" si="109"/>
        <v>0</v>
      </c>
      <c r="DQ20" s="193">
        <f t="shared" si="109"/>
        <v>0</v>
      </c>
      <c r="DR20" s="193">
        <f t="shared" si="109"/>
        <v>481</v>
      </c>
      <c r="DS20" s="193">
        <f t="shared" si="109"/>
        <v>159</v>
      </c>
      <c r="DT20" s="193">
        <f t="shared" si="109"/>
        <v>263</v>
      </c>
      <c r="DU20" s="193">
        <f t="shared" si="109"/>
        <v>137</v>
      </c>
      <c r="DV20" s="193">
        <f t="shared" si="109"/>
        <v>326</v>
      </c>
      <c r="DW20" s="193">
        <f t="shared" si="109"/>
        <v>125</v>
      </c>
      <c r="DX20" s="193">
        <f t="shared" si="109"/>
        <v>1070</v>
      </c>
      <c r="DY20" s="193">
        <f t="shared" si="109"/>
        <v>421</v>
      </c>
      <c r="DZ20" s="193">
        <f t="shared" si="109"/>
        <v>1491</v>
      </c>
      <c r="EA20" s="193">
        <f t="shared" si="109"/>
        <v>74</v>
      </c>
      <c r="EB20" s="193">
        <f t="shared" si="109"/>
        <v>3</v>
      </c>
      <c r="EC20" s="193">
        <f t="shared" si="109"/>
        <v>29</v>
      </c>
      <c r="ED20" s="193">
        <f t="shared" si="109"/>
        <v>2</v>
      </c>
      <c r="EE20" s="193">
        <f t="shared" ref="EE20:FJ20" si="110">EE19+EE15+EE12</f>
        <v>118</v>
      </c>
      <c r="EF20" s="193">
        <f t="shared" si="110"/>
        <v>9</v>
      </c>
      <c r="EG20" s="193">
        <f t="shared" si="110"/>
        <v>221</v>
      </c>
      <c r="EH20" s="193">
        <f t="shared" si="110"/>
        <v>14</v>
      </c>
      <c r="EI20" s="193">
        <f t="shared" si="110"/>
        <v>235</v>
      </c>
      <c r="EJ20" s="193">
        <f t="shared" si="110"/>
        <v>22</v>
      </c>
      <c r="EK20" s="193">
        <f t="shared" si="110"/>
        <v>3</v>
      </c>
      <c r="EL20" s="193">
        <f t="shared" si="110"/>
        <v>8</v>
      </c>
      <c r="EM20" s="193">
        <f t="shared" si="110"/>
        <v>2</v>
      </c>
      <c r="EN20" s="193">
        <f t="shared" si="110"/>
        <v>28</v>
      </c>
      <c r="EO20" s="193">
        <f t="shared" si="110"/>
        <v>0</v>
      </c>
      <c r="EP20" s="193">
        <f t="shared" si="110"/>
        <v>58</v>
      </c>
      <c r="EQ20" s="193">
        <f t="shared" si="110"/>
        <v>5</v>
      </c>
      <c r="ER20" s="193">
        <f t="shared" si="110"/>
        <v>63</v>
      </c>
      <c r="ES20" s="193">
        <f t="shared" si="110"/>
        <v>0</v>
      </c>
      <c r="ET20" s="193">
        <f t="shared" si="110"/>
        <v>0</v>
      </c>
      <c r="EU20" s="193">
        <f t="shared" si="110"/>
        <v>0</v>
      </c>
      <c r="EV20" s="193">
        <f t="shared" si="110"/>
        <v>0</v>
      </c>
      <c r="EW20" s="193">
        <f t="shared" si="110"/>
        <v>29</v>
      </c>
      <c r="EX20" s="193">
        <f t="shared" si="110"/>
        <v>1</v>
      </c>
      <c r="EY20" s="193">
        <f t="shared" si="110"/>
        <v>29</v>
      </c>
      <c r="EZ20" s="193">
        <f t="shared" si="110"/>
        <v>1</v>
      </c>
      <c r="FA20" s="193">
        <f t="shared" si="110"/>
        <v>30</v>
      </c>
      <c r="FB20" s="193">
        <f t="shared" si="110"/>
        <v>6</v>
      </c>
      <c r="FC20" s="193">
        <f t="shared" si="110"/>
        <v>2</v>
      </c>
      <c r="FD20" s="193">
        <f t="shared" si="110"/>
        <v>15</v>
      </c>
      <c r="FE20" s="193">
        <f t="shared" si="110"/>
        <v>6</v>
      </c>
      <c r="FF20" s="193">
        <f t="shared" si="110"/>
        <v>125</v>
      </c>
      <c r="FG20" s="193">
        <f t="shared" si="110"/>
        <v>126</v>
      </c>
      <c r="FH20" s="193">
        <f t="shared" si="110"/>
        <v>51</v>
      </c>
      <c r="FI20" s="193">
        <f t="shared" si="110"/>
        <v>69</v>
      </c>
      <c r="FJ20" s="193">
        <f t="shared" si="110"/>
        <v>0</v>
      </c>
      <c r="FK20" s="193">
        <f t="shared" ref="FK20:GB20" si="111">FK19+FK15+FK12</f>
        <v>0</v>
      </c>
      <c r="FL20" s="193">
        <f t="shared" si="111"/>
        <v>197</v>
      </c>
      <c r="FM20" s="193">
        <f t="shared" si="111"/>
        <v>203</v>
      </c>
      <c r="FN20" s="193">
        <f t="shared" si="111"/>
        <v>400</v>
      </c>
      <c r="FO20" s="193">
        <f t="shared" si="111"/>
        <v>10</v>
      </c>
      <c r="FP20" s="193">
        <f t="shared" si="111"/>
        <v>9</v>
      </c>
      <c r="FQ20" s="193">
        <f t="shared" si="111"/>
        <v>1</v>
      </c>
      <c r="FR20" s="193">
        <f t="shared" si="111"/>
        <v>3</v>
      </c>
      <c r="FS20" s="193">
        <f t="shared" si="111"/>
        <v>2</v>
      </c>
      <c r="FT20" s="193">
        <f t="shared" si="111"/>
        <v>0</v>
      </c>
      <c r="FU20" s="193">
        <f t="shared" si="111"/>
        <v>0</v>
      </c>
      <c r="FV20" s="193">
        <f t="shared" si="111"/>
        <v>0</v>
      </c>
      <c r="FW20" s="193">
        <f t="shared" si="111"/>
        <v>14</v>
      </c>
      <c r="FX20" s="193">
        <f t="shared" si="111"/>
        <v>3</v>
      </c>
      <c r="FY20" s="193">
        <f t="shared" si="111"/>
        <v>3</v>
      </c>
      <c r="FZ20" s="193">
        <f t="shared" si="111"/>
        <v>0</v>
      </c>
      <c r="GA20" s="193">
        <f t="shared" si="111"/>
        <v>0</v>
      </c>
      <c r="GB20" s="193">
        <f t="shared" si="111"/>
        <v>0</v>
      </c>
      <c r="GC20" s="193"/>
      <c r="GD20" s="193"/>
      <c r="GE20" s="193">
        <f t="shared" ref="GE20:GR20" si="112">GE19+GE15+GE12</f>
        <v>0</v>
      </c>
      <c r="GF20" s="193">
        <f t="shared" si="112"/>
        <v>0</v>
      </c>
      <c r="GG20" s="193">
        <f t="shared" si="112"/>
        <v>30</v>
      </c>
      <c r="GH20" s="193">
        <f t="shared" si="112"/>
        <v>15</v>
      </c>
      <c r="GI20" s="193">
        <f t="shared" si="112"/>
        <v>45</v>
      </c>
      <c r="GJ20" s="193">
        <f t="shared" si="112"/>
        <v>6</v>
      </c>
      <c r="GK20" s="193">
        <f t="shared" si="112"/>
        <v>16</v>
      </c>
      <c r="GL20" s="193">
        <f t="shared" si="112"/>
        <v>6</v>
      </c>
      <c r="GM20" s="193">
        <f t="shared" si="112"/>
        <v>7</v>
      </c>
      <c r="GN20" s="193">
        <f t="shared" si="112"/>
        <v>7</v>
      </c>
      <c r="GO20" s="193">
        <f t="shared" si="112"/>
        <v>8</v>
      </c>
      <c r="GP20" s="193">
        <f t="shared" si="112"/>
        <v>1</v>
      </c>
      <c r="GQ20" s="193">
        <f t="shared" si="112"/>
        <v>0</v>
      </c>
      <c r="GR20" s="193">
        <f t="shared" si="112"/>
        <v>4</v>
      </c>
      <c r="GS20" s="193">
        <f t="shared" ref="GS20:JD20" si="113">GS19+GS15+GS12</f>
        <v>12</v>
      </c>
      <c r="GT20" s="193">
        <f t="shared" si="113"/>
        <v>5</v>
      </c>
      <c r="GU20" s="193">
        <f t="shared" si="113"/>
        <v>8</v>
      </c>
      <c r="GV20" s="193">
        <f t="shared" si="113"/>
        <v>2</v>
      </c>
      <c r="GW20" s="193">
        <f t="shared" si="113"/>
        <v>2</v>
      </c>
      <c r="GX20" s="193">
        <f t="shared" si="113"/>
        <v>0</v>
      </c>
      <c r="GY20" s="193">
        <f t="shared" si="113"/>
        <v>0</v>
      </c>
      <c r="GZ20" s="193">
        <f t="shared" si="113"/>
        <v>0</v>
      </c>
      <c r="HA20" s="193">
        <f t="shared" si="113"/>
        <v>0</v>
      </c>
      <c r="HB20" s="193">
        <f t="shared" si="113"/>
        <v>0</v>
      </c>
      <c r="HC20" s="193">
        <f t="shared" si="113"/>
        <v>0</v>
      </c>
      <c r="HD20" s="193">
        <f t="shared" si="113"/>
        <v>0</v>
      </c>
      <c r="HE20" s="193">
        <f t="shared" si="113"/>
        <v>0</v>
      </c>
      <c r="HF20" s="193">
        <f t="shared" si="113"/>
        <v>6</v>
      </c>
      <c r="HG20" s="193">
        <f t="shared" si="113"/>
        <v>2</v>
      </c>
      <c r="HH20" s="193">
        <f t="shared" si="113"/>
        <v>1</v>
      </c>
      <c r="HI20" s="193">
        <f t="shared" si="113"/>
        <v>2</v>
      </c>
      <c r="HJ20" s="193">
        <f t="shared" si="113"/>
        <v>1</v>
      </c>
      <c r="HK20" s="193">
        <f t="shared" si="113"/>
        <v>1</v>
      </c>
      <c r="HL20" s="193">
        <f t="shared" si="113"/>
        <v>0</v>
      </c>
      <c r="HM20" s="193">
        <f t="shared" si="113"/>
        <v>0</v>
      </c>
      <c r="HN20" s="193">
        <f t="shared" si="113"/>
        <v>0</v>
      </c>
      <c r="HO20" s="193">
        <f t="shared" si="113"/>
        <v>0</v>
      </c>
      <c r="HP20" s="193">
        <f t="shared" si="113"/>
        <v>2</v>
      </c>
      <c r="HQ20" s="193">
        <f t="shared" si="113"/>
        <v>0</v>
      </c>
      <c r="HR20" s="193">
        <f t="shared" si="113"/>
        <v>1</v>
      </c>
      <c r="HS20" s="193">
        <f t="shared" si="113"/>
        <v>1</v>
      </c>
      <c r="HT20" s="193">
        <f t="shared" si="113"/>
        <v>0</v>
      </c>
      <c r="HU20" s="193">
        <f t="shared" si="113"/>
        <v>0</v>
      </c>
      <c r="HV20" s="193">
        <f t="shared" si="113"/>
        <v>3</v>
      </c>
      <c r="HW20" s="193">
        <f t="shared" si="113"/>
        <v>0</v>
      </c>
      <c r="HX20" s="193">
        <f t="shared" si="113"/>
        <v>2</v>
      </c>
      <c r="HY20" s="193">
        <f t="shared" si="113"/>
        <v>2</v>
      </c>
      <c r="HZ20" s="193">
        <f t="shared" si="113"/>
        <v>0</v>
      </c>
      <c r="IA20" s="193">
        <f t="shared" si="113"/>
        <v>0</v>
      </c>
      <c r="IB20" s="193">
        <f t="shared" si="113"/>
        <v>1</v>
      </c>
      <c r="IC20" s="193">
        <f t="shared" si="113"/>
        <v>1</v>
      </c>
      <c r="ID20" s="193">
        <f t="shared" si="113"/>
        <v>1</v>
      </c>
      <c r="IE20" s="193">
        <f t="shared" si="113"/>
        <v>0</v>
      </c>
      <c r="IF20" s="193">
        <f t="shared" si="113"/>
        <v>13</v>
      </c>
      <c r="IG20" s="193">
        <f t="shared" si="113"/>
        <v>33</v>
      </c>
      <c r="IH20" s="193">
        <f t="shared" si="113"/>
        <v>12</v>
      </c>
      <c r="II20" s="193">
        <f t="shared" si="113"/>
        <v>7</v>
      </c>
      <c r="IJ20" s="193">
        <f t="shared" si="113"/>
        <v>11</v>
      </c>
      <c r="IK20" s="193">
        <f t="shared" si="113"/>
        <v>1</v>
      </c>
      <c r="IL20" s="193">
        <f t="shared" si="113"/>
        <v>0</v>
      </c>
      <c r="IM20" s="193">
        <f t="shared" si="113"/>
        <v>0</v>
      </c>
      <c r="IN20" s="193">
        <f t="shared" si="113"/>
        <v>2</v>
      </c>
      <c r="IO20" s="193">
        <f t="shared" si="113"/>
        <v>2</v>
      </c>
      <c r="IP20" s="193">
        <f t="shared" si="113"/>
        <v>0</v>
      </c>
      <c r="IQ20" s="193">
        <f t="shared" si="113"/>
        <v>0</v>
      </c>
      <c r="IR20" s="193">
        <f t="shared" si="113"/>
        <v>0</v>
      </c>
      <c r="IS20" s="193">
        <f t="shared" si="113"/>
        <v>0</v>
      </c>
      <c r="IT20" s="193">
        <f t="shared" si="113"/>
        <v>0</v>
      </c>
      <c r="IU20" s="193">
        <f t="shared" si="113"/>
        <v>0</v>
      </c>
      <c r="IV20" s="193">
        <f t="shared" si="113"/>
        <v>0</v>
      </c>
      <c r="IW20" s="193">
        <f t="shared" si="113"/>
        <v>0</v>
      </c>
      <c r="IX20" s="193">
        <f t="shared" si="113"/>
        <v>0</v>
      </c>
      <c r="IY20" s="193">
        <f t="shared" si="113"/>
        <v>0</v>
      </c>
      <c r="IZ20" s="193">
        <f t="shared" si="113"/>
        <v>0</v>
      </c>
      <c r="JA20" s="193">
        <f t="shared" si="113"/>
        <v>0</v>
      </c>
      <c r="JB20" s="193">
        <f t="shared" si="113"/>
        <v>11</v>
      </c>
      <c r="JC20" s="193">
        <f t="shared" si="113"/>
        <v>6</v>
      </c>
      <c r="JD20" s="193">
        <f t="shared" si="113"/>
        <v>0</v>
      </c>
      <c r="JE20" s="193">
        <f t="shared" ref="JE20:LN20" si="114">JE19+JE15+JE12</f>
        <v>0</v>
      </c>
      <c r="JF20" s="193">
        <f t="shared" si="114"/>
        <v>0</v>
      </c>
      <c r="JG20" s="193">
        <f t="shared" si="114"/>
        <v>0</v>
      </c>
      <c r="JH20" s="193">
        <f t="shared" si="114"/>
        <v>1</v>
      </c>
      <c r="JI20" s="193">
        <f t="shared" si="114"/>
        <v>0</v>
      </c>
      <c r="JJ20" s="193">
        <f t="shared" si="114"/>
        <v>3</v>
      </c>
      <c r="JK20" s="193">
        <f t="shared" si="114"/>
        <v>0</v>
      </c>
      <c r="JL20" s="193">
        <f t="shared" si="114"/>
        <v>0</v>
      </c>
      <c r="JM20" s="193">
        <f t="shared" si="114"/>
        <v>0</v>
      </c>
      <c r="JN20" s="193">
        <f t="shared" si="114"/>
        <v>3</v>
      </c>
      <c r="JO20" s="193">
        <f t="shared" si="114"/>
        <v>1</v>
      </c>
      <c r="JP20" s="193">
        <f t="shared" si="114"/>
        <v>2</v>
      </c>
      <c r="JQ20" s="193">
        <f t="shared" si="114"/>
        <v>1</v>
      </c>
      <c r="JR20" s="193">
        <f t="shared" si="114"/>
        <v>2</v>
      </c>
      <c r="JS20" s="193">
        <f t="shared" si="114"/>
        <v>1</v>
      </c>
      <c r="JT20" s="193">
        <f t="shared" si="114"/>
        <v>0</v>
      </c>
      <c r="JU20" s="193">
        <f t="shared" si="114"/>
        <v>4</v>
      </c>
      <c r="JV20" s="193">
        <f t="shared" si="114"/>
        <v>0</v>
      </c>
      <c r="JW20" s="193">
        <f t="shared" si="114"/>
        <v>0</v>
      </c>
      <c r="JX20" s="193">
        <f t="shared" si="114"/>
        <v>0</v>
      </c>
      <c r="JY20" s="193">
        <f t="shared" si="114"/>
        <v>0</v>
      </c>
      <c r="JZ20" s="193">
        <f t="shared" si="114"/>
        <v>0</v>
      </c>
      <c r="KA20" s="193">
        <f t="shared" si="114"/>
        <v>0</v>
      </c>
      <c r="KB20" s="193">
        <f t="shared" si="114"/>
        <v>0</v>
      </c>
      <c r="KC20" s="193">
        <f t="shared" si="114"/>
        <v>0</v>
      </c>
      <c r="KD20" s="193">
        <f t="shared" si="114"/>
        <v>0</v>
      </c>
      <c r="KE20" s="193">
        <f t="shared" si="114"/>
        <v>2</v>
      </c>
      <c r="KF20" s="193">
        <f t="shared" si="114"/>
        <v>0</v>
      </c>
      <c r="KG20" s="193">
        <f t="shared" si="114"/>
        <v>0</v>
      </c>
      <c r="KH20" s="193">
        <f t="shared" si="114"/>
        <v>1</v>
      </c>
      <c r="KI20" s="193">
        <f t="shared" si="114"/>
        <v>0</v>
      </c>
      <c r="KJ20" s="193">
        <f t="shared" si="114"/>
        <v>0</v>
      </c>
      <c r="KK20" s="193">
        <f t="shared" si="114"/>
        <v>0</v>
      </c>
      <c r="KL20" s="193">
        <f t="shared" si="114"/>
        <v>0</v>
      </c>
      <c r="KM20" s="193">
        <f t="shared" si="114"/>
        <v>0</v>
      </c>
      <c r="KN20" s="193">
        <f t="shared" si="114"/>
        <v>44</v>
      </c>
      <c r="KO20" s="193">
        <f t="shared" si="114"/>
        <v>41</v>
      </c>
      <c r="KP20" s="193">
        <f t="shared" si="114"/>
        <v>0</v>
      </c>
      <c r="KQ20" s="193">
        <f t="shared" si="114"/>
        <v>0</v>
      </c>
      <c r="KR20" s="193">
        <f t="shared" si="114"/>
        <v>0</v>
      </c>
      <c r="KS20" s="193">
        <f t="shared" si="114"/>
        <v>0</v>
      </c>
      <c r="KT20" s="193">
        <f t="shared" si="114"/>
        <v>43</v>
      </c>
      <c r="KU20" s="193">
        <f t="shared" si="114"/>
        <v>42</v>
      </c>
      <c r="KV20" s="193">
        <f t="shared" si="114"/>
        <v>197</v>
      </c>
      <c r="KW20" s="193">
        <f t="shared" si="114"/>
        <v>203</v>
      </c>
      <c r="KX20" s="193">
        <f t="shared" si="114"/>
        <v>400</v>
      </c>
      <c r="KY20" s="193">
        <f t="shared" si="114"/>
        <v>182</v>
      </c>
      <c r="KZ20" s="193">
        <f t="shared" si="114"/>
        <v>189</v>
      </c>
      <c r="LA20" s="193">
        <f t="shared" si="114"/>
        <v>0</v>
      </c>
      <c r="LB20" s="193">
        <f t="shared" si="114"/>
        <v>0</v>
      </c>
      <c r="LC20" s="193">
        <f t="shared" si="114"/>
        <v>6</v>
      </c>
      <c r="LD20" s="193">
        <f t="shared" si="114"/>
        <v>0</v>
      </c>
      <c r="LE20" s="193">
        <f t="shared" si="114"/>
        <v>0</v>
      </c>
      <c r="LF20" s="193">
        <f t="shared" si="114"/>
        <v>0</v>
      </c>
      <c r="LG20" s="193">
        <f t="shared" si="114"/>
        <v>3</v>
      </c>
      <c r="LH20" s="193">
        <f t="shared" si="114"/>
        <v>0</v>
      </c>
      <c r="LI20" s="193">
        <f t="shared" si="114"/>
        <v>2</v>
      </c>
      <c r="LJ20" s="193">
        <f t="shared" si="114"/>
        <v>9</v>
      </c>
      <c r="LK20" s="193">
        <f t="shared" si="114"/>
        <v>0</v>
      </c>
      <c r="LL20" s="193">
        <f t="shared" si="114"/>
        <v>3</v>
      </c>
      <c r="LM20" s="193">
        <f t="shared" si="114"/>
        <v>0</v>
      </c>
      <c r="LN20" s="193">
        <f t="shared" si="114"/>
        <v>0</v>
      </c>
      <c r="LO20" s="193">
        <f t="shared" ref="LO20:LP20" si="115">LO19+LO15+LO12</f>
        <v>4</v>
      </c>
      <c r="LP20" s="193">
        <f t="shared" si="115"/>
        <v>2</v>
      </c>
      <c r="LQ20" s="168">
        <f t="shared" si="31"/>
        <v>197</v>
      </c>
      <c r="LR20" s="168">
        <f t="shared" si="32"/>
        <v>203</v>
      </c>
      <c r="LS20" s="193">
        <f t="shared" ref="LS20:OA20" si="116">LS19+LS15+LS12</f>
        <v>400</v>
      </c>
      <c r="LT20" s="193">
        <f t="shared" si="116"/>
        <v>39</v>
      </c>
      <c r="LU20" s="193">
        <f t="shared" si="116"/>
        <v>57</v>
      </c>
      <c r="LV20" s="193">
        <f t="shared" si="116"/>
        <v>25</v>
      </c>
      <c r="LW20" s="193">
        <f t="shared" si="116"/>
        <v>14</v>
      </c>
      <c r="LX20" s="193">
        <f t="shared" si="116"/>
        <v>25</v>
      </c>
      <c r="LY20" s="193">
        <f t="shared" si="116"/>
        <v>18</v>
      </c>
      <c r="LZ20" s="193">
        <f t="shared" si="116"/>
        <v>108</v>
      </c>
      <c r="MA20" s="193">
        <f t="shared" si="116"/>
        <v>114</v>
      </c>
      <c r="MB20" s="193">
        <f t="shared" si="116"/>
        <v>197</v>
      </c>
      <c r="MC20" s="193">
        <f t="shared" si="116"/>
        <v>203</v>
      </c>
      <c r="MD20" s="193">
        <f t="shared" si="116"/>
        <v>400</v>
      </c>
      <c r="ME20" s="193">
        <f t="shared" si="116"/>
        <v>10</v>
      </c>
      <c r="MF20" s="193">
        <f t="shared" si="116"/>
        <v>7</v>
      </c>
      <c r="MG20" s="193">
        <f t="shared" si="116"/>
        <v>49</v>
      </c>
      <c r="MH20" s="193">
        <f t="shared" si="116"/>
        <v>61</v>
      </c>
      <c r="MI20" s="193">
        <f t="shared" si="116"/>
        <v>63</v>
      </c>
      <c r="MJ20" s="193">
        <f t="shared" si="116"/>
        <v>50</v>
      </c>
      <c r="MK20" s="193">
        <f t="shared" si="116"/>
        <v>59</v>
      </c>
      <c r="ML20" s="193">
        <f t="shared" si="116"/>
        <v>71</v>
      </c>
      <c r="MM20" s="193">
        <f t="shared" si="116"/>
        <v>16</v>
      </c>
      <c r="MN20" s="193">
        <f t="shared" si="116"/>
        <v>14</v>
      </c>
      <c r="MO20" s="193">
        <f t="shared" si="116"/>
        <v>197</v>
      </c>
      <c r="MP20" s="193">
        <f t="shared" si="116"/>
        <v>203</v>
      </c>
      <c r="MQ20" s="193">
        <f t="shared" si="116"/>
        <v>400</v>
      </c>
      <c r="MR20" s="193">
        <f t="shared" si="116"/>
        <v>11</v>
      </c>
      <c r="MS20" s="193">
        <f t="shared" si="116"/>
        <v>31</v>
      </c>
      <c r="MT20" s="193">
        <f t="shared" si="116"/>
        <v>183</v>
      </c>
      <c r="MU20" s="193">
        <f t="shared" si="116"/>
        <v>164</v>
      </c>
      <c r="MV20" s="193">
        <f t="shared" si="116"/>
        <v>1</v>
      </c>
      <c r="MW20" s="193">
        <f t="shared" si="116"/>
        <v>6</v>
      </c>
      <c r="MX20" s="193">
        <f t="shared" si="116"/>
        <v>2</v>
      </c>
      <c r="MY20" s="193">
        <f t="shared" si="116"/>
        <v>2</v>
      </c>
      <c r="MZ20" s="193">
        <f t="shared" si="116"/>
        <v>197</v>
      </c>
      <c r="NA20" s="193">
        <f t="shared" si="116"/>
        <v>203</v>
      </c>
      <c r="NB20" s="193">
        <f t="shared" si="116"/>
        <v>400</v>
      </c>
      <c r="NC20" s="193">
        <f t="shared" si="116"/>
        <v>43</v>
      </c>
      <c r="ND20" s="193">
        <f t="shared" si="116"/>
        <v>17</v>
      </c>
      <c r="NE20" s="193">
        <f t="shared" si="116"/>
        <v>4</v>
      </c>
      <c r="NF20" s="193">
        <f t="shared" si="116"/>
        <v>0</v>
      </c>
      <c r="NG20" s="193">
        <f t="shared" si="116"/>
        <v>3</v>
      </c>
      <c r="NH20" s="193">
        <f t="shared" si="116"/>
        <v>2</v>
      </c>
      <c r="NI20" s="193">
        <f t="shared" si="116"/>
        <v>46</v>
      </c>
      <c r="NJ20" s="193">
        <f t="shared" si="116"/>
        <v>62</v>
      </c>
      <c r="NK20" s="193">
        <f t="shared" si="116"/>
        <v>85</v>
      </c>
      <c r="NL20" s="193">
        <f t="shared" si="116"/>
        <v>78</v>
      </c>
      <c r="NM20" s="193">
        <f t="shared" si="116"/>
        <v>30</v>
      </c>
      <c r="NN20" s="193">
        <f t="shared" si="116"/>
        <v>50</v>
      </c>
      <c r="NO20" s="193">
        <f t="shared" si="116"/>
        <v>0</v>
      </c>
      <c r="NP20" s="193">
        <f t="shared" si="116"/>
        <v>0</v>
      </c>
      <c r="NQ20" s="193">
        <f t="shared" si="116"/>
        <v>24</v>
      </c>
      <c r="NR20" s="193">
        <f t="shared" si="116"/>
        <v>11</v>
      </c>
      <c r="NS20" s="193">
        <f t="shared" si="116"/>
        <v>5</v>
      </c>
      <c r="NT20" s="193">
        <f t="shared" si="116"/>
        <v>0</v>
      </c>
      <c r="NU20" s="193">
        <f t="shared" si="116"/>
        <v>0</v>
      </c>
      <c r="NV20" s="193">
        <f t="shared" si="116"/>
        <v>0</v>
      </c>
      <c r="NW20" s="193">
        <f t="shared" si="116"/>
        <v>197</v>
      </c>
      <c r="NX20" s="193">
        <f t="shared" si="116"/>
        <v>203</v>
      </c>
      <c r="NY20" s="193">
        <f t="shared" si="116"/>
        <v>400</v>
      </c>
      <c r="NZ20" s="193">
        <f t="shared" si="116"/>
        <v>0</v>
      </c>
      <c r="OA20" s="193">
        <f t="shared" si="116"/>
        <v>0</v>
      </c>
      <c r="OB20" s="193">
        <f t="shared" ref="OB20:QS20" si="117">OB19+OB15+OB12</f>
        <v>1</v>
      </c>
      <c r="OC20" s="193">
        <f t="shared" si="117"/>
        <v>0</v>
      </c>
      <c r="OD20" s="193">
        <f t="shared" si="117"/>
        <v>0</v>
      </c>
      <c r="OE20" s="193">
        <f t="shared" si="117"/>
        <v>0</v>
      </c>
      <c r="OF20" s="193">
        <f t="shared" si="117"/>
        <v>1</v>
      </c>
      <c r="OG20" s="193">
        <f t="shared" si="117"/>
        <v>0</v>
      </c>
      <c r="OH20" s="193">
        <f t="shared" si="117"/>
        <v>1</v>
      </c>
      <c r="OI20" s="193">
        <f t="shared" ref="OI20:OT20" si="118">OI19+OI15+OI12</f>
        <v>1</v>
      </c>
      <c r="OJ20" s="193">
        <f t="shared" si="118"/>
        <v>7</v>
      </c>
      <c r="OK20" s="193">
        <f t="shared" si="118"/>
        <v>8</v>
      </c>
      <c r="OL20" s="193">
        <f t="shared" si="118"/>
        <v>0</v>
      </c>
      <c r="OM20" s="193">
        <f t="shared" si="118"/>
        <v>0</v>
      </c>
      <c r="ON20" s="193">
        <f t="shared" si="118"/>
        <v>8</v>
      </c>
      <c r="OO20" s="193">
        <f t="shared" si="118"/>
        <v>0</v>
      </c>
      <c r="OP20" s="193">
        <f t="shared" si="118"/>
        <v>8</v>
      </c>
      <c r="OQ20" s="193">
        <f t="shared" si="118"/>
        <v>0</v>
      </c>
      <c r="OR20" s="193">
        <f t="shared" si="118"/>
        <v>0</v>
      </c>
      <c r="OS20" s="193">
        <f t="shared" si="118"/>
        <v>0</v>
      </c>
      <c r="OT20" s="193">
        <f t="shared" si="118"/>
        <v>1</v>
      </c>
      <c r="OU20" s="193">
        <f t="shared" si="117"/>
        <v>7</v>
      </c>
      <c r="OV20" s="193">
        <f t="shared" si="117"/>
        <v>0</v>
      </c>
      <c r="OW20" s="193"/>
      <c r="OX20" s="193"/>
      <c r="OY20" s="193"/>
      <c r="OZ20" s="193">
        <f t="shared" si="117"/>
        <v>3</v>
      </c>
      <c r="PA20" s="193">
        <f t="shared" si="117"/>
        <v>4</v>
      </c>
      <c r="PB20" s="193">
        <f t="shared" si="117"/>
        <v>1</v>
      </c>
      <c r="PC20" s="193">
        <f t="shared" si="117"/>
        <v>3</v>
      </c>
      <c r="PD20" s="193">
        <f t="shared" si="117"/>
        <v>3</v>
      </c>
      <c r="PE20" s="193">
        <f t="shared" si="117"/>
        <v>0</v>
      </c>
      <c r="PF20" s="193">
        <f t="shared" si="117"/>
        <v>0</v>
      </c>
      <c r="PG20" s="193">
        <f t="shared" si="117"/>
        <v>1</v>
      </c>
      <c r="PH20" s="193">
        <f t="shared" si="117"/>
        <v>2</v>
      </c>
      <c r="PI20" s="193">
        <f t="shared" si="117"/>
        <v>4</v>
      </c>
      <c r="PJ20" s="193">
        <f t="shared" si="117"/>
        <v>5</v>
      </c>
      <c r="PK20" s="193">
        <f t="shared" si="117"/>
        <v>2</v>
      </c>
      <c r="PL20" s="193">
        <f t="shared" si="117"/>
        <v>35</v>
      </c>
      <c r="PM20" s="193">
        <f t="shared" si="117"/>
        <v>145</v>
      </c>
      <c r="PN20" s="193">
        <f t="shared" si="117"/>
        <v>53</v>
      </c>
      <c r="PO20" s="193">
        <f t="shared" si="117"/>
        <v>198</v>
      </c>
      <c r="PP20" s="193">
        <f t="shared" si="117"/>
        <v>6</v>
      </c>
      <c r="PQ20" s="193">
        <f t="shared" si="117"/>
        <v>0</v>
      </c>
      <c r="PR20" s="193">
        <f t="shared" si="117"/>
        <v>0</v>
      </c>
      <c r="PS20" s="193">
        <f t="shared" si="117"/>
        <v>1</v>
      </c>
      <c r="PT20" s="193">
        <f t="shared" si="117"/>
        <v>0</v>
      </c>
      <c r="PU20" s="193">
        <f t="shared" si="117"/>
        <v>0</v>
      </c>
      <c r="PV20" s="193">
        <f t="shared" ref="PV20:QH20" si="119">PV19+PV15+PV12</f>
        <v>7</v>
      </c>
      <c r="PW20" s="193">
        <f t="shared" si="119"/>
        <v>0</v>
      </c>
      <c r="PX20" s="193">
        <f t="shared" si="119"/>
        <v>6</v>
      </c>
      <c r="PY20" s="193">
        <f t="shared" si="119"/>
        <v>1</v>
      </c>
      <c r="PZ20" s="193">
        <f t="shared" si="119"/>
        <v>4</v>
      </c>
      <c r="QA20" s="193">
        <f t="shared" si="119"/>
        <v>3</v>
      </c>
      <c r="QB20" s="193">
        <f t="shared" si="119"/>
        <v>7</v>
      </c>
      <c r="QC20" s="193">
        <f t="shared" si="119"/>
        <v>0</v>
      </c>
      <c r="QD20" s="193">
        <f t="shared" si="119"/>
        <v>7</v>
      </c>
      <c r="QE20" s="193">
        <f t="shared" si="119"/>
        <v>0</v>
      </c>
      <c r="QF20" s="193">
        <f t="shared" si="119"/>
        <v>0</v>
      </c>
      <c r="QG20" s="193">
        <f t="shared" si="119"/>
        <v>0</v>
      </c>
      <c r="QH20" s="193">
        <f t="shared" si="119"/>
        <v>0</v>
      </c>
      <c r="QI20" s="193">
        <f t="shared" si="117"/>
        <v>7</v>
      </c>
      <c r="QJ20" s="193">
        <f t="shared" si="117"/>
        <v>0</v>
      </c>
      <c r="QK20" s="193">
        <f t="shared" si="117"/>
        <v>2</v>
      </c>
      <c r="QL20" s="193">
        <f t="shared" si="117"/>
        <v>5</v>
      </c>
      <c r="QM20" s="193">
        <f t="shared" si="117"/>
        <v>7</v>
      </c>
      <c r="QN20" s="193">
        <f t="shared" si="117"/>
        <v>0</v>
      </c>
      <c r="QO20" s="193">
        <f t="shared" si="117"/>
        <v>7</v>
      </c>
      <c r="QP20" s="193">
        <f t="shared" si="117"/>
        <v>0</v>
      </c>
      <c r="QQ20" s="193">
        <f t="shared" si="117"/>
        <v>0</v>
      </c>
      <c r="QR20" s="193">
        <f t="shared" si="117"/>
        <v>4</v>
      </c>
      <c r="QS20" s="193">
        <f t="shared" si="117"/>
        <v>3</v>
      </c>
      <c r="QT20" s="193">
        <f t="shared" ref="QT20:SP20" si="120">QT19+QT15+QT12</f>
        <v>0</v>
      </c>
      <c r="QU20" s="193">
        <f t="shared" si="120"/>
        <v>6</v>
      </c>
      <c r="QV20" s="193">
        <f t="shared" si="120"/>
        <v>1</v>
      </c>
      <c r="QW20" s="193">
        <f t="shared" si="120"/>
        <v>1</v>
      </c>
      <c r="QX20" s="193">
        <f t="shared" si="120"/>
        <v>1</v>
      </c>
      <c r="QY20" s="193">
        <f t="shared" si="120"/>
        <v>3</v>
      </c>
      <c r="QZ20" s="193">
        <f t="shared" si="120"/>
        <v>3</v>
      </c>
      <c r="RA20" s="193">
        <f t="shared" si="120"/>
        <v>0</v>
      </c>
      <c r="RB20" s="193">
        <f>RB19+RB15+RB12</f>
        <v>7</v>
      </c>
      <c r="RC20" s="193">
        <f>RC19+RC15+RC12</f>
        <v>0</v>
      </c>
      <c r="RD20" s="193">
        <f t="shared" si="120"/>
        <v>6</v>
      </c>
      <c r="RE20" s="193">
        <f t="shared" si="120"/>
        <v>1</v>
      </c>
      <c r="RF20" s="193">
        <f t="shared" si="120"/>
        <v>5</v>
      </c>
      <c r="RG20" s="193">
        <f t="shared" si="120"/>
        <v>2</v>
      </c>
      <c r="RH20" s="193">
        <f t="shared" si="120"/>
        <v>0</v>
      </c>
      <c r="RI20" s="193">
        <f t="shared" si="120"/>
        <v>7</v>
      </c>
      <c r="RJ20" s="193">
        <f t="shared" si="120"/>
        <v>0</v>
      </c>
      <c r="RK20" s="193">
        <f t="shared" si="120"/>
        <v>0</v>
      </c>
      <c r="RL20" s="193">
        <f t="shared" si="120"/>
        <v>4</v>
      </c>
      <c r="RM20" s="193">
        <f t="shared" si="120"/>
        <v>3</v>
      </c>
      <c r="RN20" s="193">
        <f t="shared" si="120"/>
        <v>0</v>
      </c>
      <c r="RO20" s="193"/>
      <c r="RP20" s="193"/>
      <c r="RQ20" s="193"/>
      <c r="RR20" s="193"/>
      <c r="RS20" s="193"/>
      <c r="RT20" s="193"/>
      <c r="RU20" s="193">
        <f t="shared" si="120"/>
        <v>100</v>
      </c>
      <c r="RV20" s="193">
        <f t="shared" si="120"/>
        <v>51</v>
      </c>
      <c r="RW20" s="193">
        <f t="shared" si="120"/>
        <v>17</v>
      </c>
      <c r="RX20" s="193">
        <f t="shared" si="120"/>
        <v>5</v>
      </c>
      <c r="RY20" s="193">
        <f t="shared" si="120"/>
        <v>4</v>
      </c>
      <c r="RZ20" s="193">
        <f t="shared" si="120"/>
        <v>4</v>
      </c>
      <c r="SA20" s="193">
        <f t="shared" si="120"/>
        <v>3</v>
      </c>
      <c r="SB20" s="193">
        <f t="shared" si="120"/>
        <v>5</v>
      </c>
      <c r="SC20" s="193">
        <f t="shared" si="120"/>
        <v>0</v>
      </c>
      <c r="SD20" s="193">
        <f t="shared" si="120"/>
        <v>0</v>
      </c>
      <c r="SE20" s="193">
        <f t="shared" si="120"/>
        <v>3</v>
      </c>
      <c r="SF20" s="193">
        <f t="shared" si="120"/>
        <v>0</v>
      </c>
      <c r="SG20" s="193">
        <f t="shared" si="120"/>
        <v>0</v>
      </c>
      <c r="SH20" s="193">
        <f t="shared" si="120"/>
        <v>0</v>
      </c>
      <c r="SI20" s="193">
        <f t="shared" si="120"/>
        <v>2</v>
      </c>
      <c r="SJ20" s="193">
        <f t="shared" si="120"/>
        <v>0</v>
      </c>
      <c r="SK20" s="193">
        <f t="shared" si="120"/>
        <v>1</v>
      </c>
      <c r="SL20" s="193">
        <f t="shared" si="120"/>
        <v>452</v>
      </c>
      <c r="SM20" s="193">
        <f t="shared" si="120"/>
        <v>60</v>
      </c>
      <c r="SN20" s="193">
        <f t="shared" si="120"/>
        <v>512</v>
      </c>
      <c r="SO20" s="193">
        <f t="shared" si="120"/>
        <v>26</v>
      </c>
      <c r="SP20" s="193">
        <f t="shared" si="120"/>
        <v>26</v>
      </c>
      <c r="SQ20" s="193"/>
      <c r="SR20" s="193"/>
      <c r="SS20" s="195"/>
    </row>
    <row r="21" spans="1:513" s="171" customFormat="1" ht="19.5" customHeight="1">
      <c r="A21" s="168" t="s">
        <v>184</v>
      </c>
      <c r="B21" s="168" t="s">
        <v>204</v>
      </c>
      <c r="C21" s="168">
        <v>8</v>
      </c>
      <c r="D21" s="168">
        <v>1401081</v>
      </c>
      <c r="E21" s="168" t="s">
        <v>367</v>
      </c>
      <c r="F21" s="168">
        <v>1</v>
      </c>
      <c r="G21" s="168"/>
      <c r="H21" s="168"/>
      <c r="I21" s="168">
        <v>1</v>
      </c>
      <c r="J21" s="168"/>
      <c r="K21" s="168"/>
      <c r="L21" s="168">
        <v>1</v>
      </c>
      <c r="M21" s="168"/>
      <c r="N21" s="168"/>
      <c r="O21" s="168"/>
      <c r="P21" s="168">
        <v>1</v>
      </c>
      <c r="Q21" s="168"/>
      <c r="R21" s="168"/>
      <c r="S21" s="168">
        <v>1</v>
      </c>
      <c r="T21" s="168"/>
      <c r="U21" s="168"/>
      <c r="V21" s="168"/>
      <c r="W21" s="168"/>
      <c r="X21" s="168">
        <v>40</v>
      </c>
      <c r="Y21" s="168"/>
      <c r="Z21" s="168">
        <v>100</v>
      </c>
      <c r="AA21" s="168"/>
      <c r="AB21" s="168">
        <v>44</v>
      </c>
      <c r="AC21" s="168"/>
      <c r="AD21" s="168">
        <v>14</v>
      </c>
      <c r="AE21" s="168"/>
      <c r="AF21" s="168">
        <f t="shared" ref="AF21:AG23" si="121">AD21+AB21+Z21+X21+V21</f>
        <v>198</v>
      </c>
      <c r="AG21" s="168">
        <f t="shared" si="121"/>
        <v>0</v>
      </c>
      <c r="AH21" s="168">
        <f>AG21+AF21</f>
        <v>198</v>
      </c>
      <c r="AI21" s="168"/>
      <c r="AJ21" s="168"/>
      <c r="AK21" s="168">
        <v>40</v>
      </c>
      <c r="AL21" s="168"/>
      <c r="AM21" s="168">
        <v>100</v>
      </c>
      <c r="AN21" s="168"/>
      <c r="AO21" s="168">
        <v>44</v>
      </c>
      <c r="AP21" s="168"/>
      <c r="AQ21" s="168">
        <v>14</v>
      </c>
      <c r="AR21" s="168"/>
      <c r="AS21" s="168">
        <f t="shared" ref="AS21:AT23" si="122">AQ21+AO21+AM21+AK21+AI21</f>
        <v>198</v>
      </c>
      <c r="AT21" s="168">
        <f t="shared" si="122"/>
        <v>0</v>
      </c>
      <c r="AU21" s="168">
        <f>AT21+AS21</f>
        <v>198</v>
      </c>
      <c r="AV21" s="168"/>
      <c r="AW21" s="168"/>
      <c r="AX21" s="168">
        <v>20</v>
      </c>
      <c r="AY21" s="168"/>
      <c r="AZ21" s="168">
        <v>34</v>
      </c>
      <c r="BA21" s="168"/>
      <c r="BB21" s="168">
        <v>36</v>
      </c>
      <c r="BC21" s="168"/>
      <c r="BD21" s="168"/>
      <c r="BE21" s="168"/>
      <c r="BF21" s="168">
        <f t="shared" ref="BF21:BG23" si="123">BD21+BB21+AZ21+AX21+AV21</f>
        <v>90</v>
      </c>
      <c r="BG21" s="168">
        <f t="shared" si="123"/>
        <v>0</v>
      </c>
      <c r="BH21" s="168">
        <f>BG21+BF21</f>
        <v>90</v>
      </c>
      <c r="BI21" s="168">
        <v>10</v>
      </c>
      <c r="BJ21" s="168"/>
      <c r="BK21" s="168">
        <v>10</v>
      </c>
      <c r="BL21" s="168"/>
      <c r="BM21" s="168">
        <v>28</v>
      </c>
      <c r="BN21" s="168"/>
      <c r="BO21" s="168">
        <v>19</v>
      </c>
      <c r="BP21" s="168"/>
      <c r="BQ21" s="168">
        <v>22</v>
      </c>
      <c r="BR21" s="168"/>
      <c r="BS21" s="168">
        <f t="shared" ref="BS21:BT23" si="124">BQ21+BO21+BM21+BK21+BI21</f>
        <v>89</v>
      </c>
      <c r="BT21" s="168">
        <f t="shared" si="124"/>
        <v>0</v>
      </c>
      <c r="BU21" s="168">
        <f>BT21+BS21</f>
        <v>89</v>
      </c>
      <c r="BV21" s="168">
        <f t="shared" ref="BV21:BW23" si="125">AI21</f>
        <v>0</v>
      </c>
      <c r="BW21" s="168">
        <f t="shared" si="125"/>
        <v>0</v>
      </c>
      <c r="BX21" s="168">
        <f>AV21+AK21</f>
        <v>40</v>
      </c>
      <c r="BY21" s="168">
        <f>AL21+AW21</f>
        <v>0</v>
      </c>
      <c r="BZ21" s="168">
        <f>BI21+AX21+AM21</f>
        <v>130</v>
      </c>
      <c r="CA21" s="168">
        <f>AN21+AY21+BJ21</f>
        <v>0</v>
      </c>
      <c r="CB21" s="168">
        <f>BK21+AZ21+AO21</f>
        <v>88</v>
      </c>
      <c r="CC21" s="168">
        <f>AP21+BA21+BL21</f>
        <v>0</v>
      </c>
      <c r="CD21" s="168">
        <f t="shared" ref="CD21:CE23" si="126">BM21+BB21+AQ21</f>
        <v>78</v>
      </c>
      <c r="CE21" s="168">
        <f t="shared" si="126"/>
        <v>0</v>
      </c>
      <c r="CF21" s="168">
        <f t="shared" ref="CF21:CG23" si="127">BO21+BD21</f>
        <v>19</v>
      </c>
      <c r="CG21" s="168">
        <f t="shared" si="127"/>
        <v>0</v>
      </c>
      <c r="CH21" s="168">
        <f t="shared" ref="CH21:CI23" si="128">BQ21</f>
        <v>22</v>
      </c>
      <c r="CI21" s="168">
        <f t="shared" si="128"/>
        <v>0</v>
      </c>
      <c r="CJ21" s="168">
        <f t="shared" ref="CJ21:CK23" si="129">BV21+BX21+BZ21+CB21+CD21+CF21+CH21</f>
        <v>377</v>
      </c>
      <c r="CK21" s="168">
        <f t="shared" si="129"/>
        <v>0</v>
      </c>
      <c r="CL21" s="168">
        <f>SUM(CJ21:CK21)</f>
        <v>377</v>
      </c>
      <c r="CM21" s="168">
        <v>5</v>
      </c>
      <c r="CN21" s="168"/>
      <c r="CO21" s="168"/>
      <c r="CP21" s="168">
        <v>4</v>
      </c>
      <c r="CQ21" s="168"/>
      <c r="CR21" s="168"/>
      <c r="CS21" s="168">
        <v>3</v>
      </c>
      <c r="CT21" s="168"/>
      <c r="CU21" s="168"/>
      <c r="CV21" s="168">
        <f t="shared" ref="CV21:CX21" si="130">CS21+CP21+CM21</f>
        <v>12</v>
      </c>
      <c r="CW21" s="168">
        <f t="shared" si="130"/>
        <v>0</v>
      </c>
      <c r="CX21" s="168">
        <f t="shared" si="130"/>
        <v>0</v>
      </c>
      <c r="CY21" s="168">
        <f>CX21+CW21+CV21</f>
        <v>12</v>
      </c>
      <c r="CZ21" s="168">
        <v>4</v>
      </c>
      <c r="DA21" s="168"/>
      <c r="DB21" s="168">
        <v>2</v>
      </c>
      <c r="DC21" s="168"/>
      <c r="DD21" s="168">
        <v>8</v>
      </c>
      <c r="DE21" s="168"/>
      <c r="DF21" s="168">
        <f t="shared" ref="DF21:DG21" si="131">DD21+DB21+CZ21</f>
        <v>14</v>
      </c>
      <c r="DG21" s="168">
        <f t="shared" si="131"/>
        <v>0</v>
      </c>
      <c r="DH21" s="168">
        <f>DG21+DF21</f>
        <v>14</v>
      </c>
      <c r="DI21" s="168"/>
      <c r="DJ21" s="168"/>
      <c r="DK21" s="168"/>
      <c r="DL21" s="168"/>
      <c r="DM21" s="168"/>
      <c r="DN21" s="168"/>
      <c r="DO21" s="168">
        <f t="shared" ref="DO21:DP23" si="132">DM21+DK21+DI21</f>
        <v>0</v>
      </c>
      <c r="DP21" s="168">
        <f t="shared" si="132"/>
        <v>0</v>
      </c>
      <c r="DQ21" s="168">
        <f>DP21+DO21</f>
        <v>0</v>
      </c>
      <c r="DR21" s="168">
        <v>86</v>
      </c>
      <c r="DS21" s="168"/>
      <c r="DT21" s="168">
        <v>28</v>
      </c>
      <c r="DU21" s="168"/>
      <c r="DV21" s="168">
        <v>102</v>
      </c>
      <c r="DW21" s="168"/>
      <c r="DX21" s="168">
        <f t="shared" ref="DX21:DY21" si="133">DV21+DT21+DR21</f>
        <v>216</v>
      </c>
      <c r="DY21" s="168">
        <f t="shared" si="133"/>
        <v>0</v>
      </c>
      <c r="DZ21" s="168">
        <f>DY21+DX21</f>
        <v>216</v>
      </c>
      <c r="EA21" s="168">
        <v>14</v>
      </c>
      <c r="EB21" s="168"/>
      <c r="EC21" s="168"/>
      <c r="ED21" s="168"/>
      <c r="EE21" s="168">
        <v>26</v>
      </c>
      <c r="EF21" s="168"/>
      <c r="EG21" s="168">
        <f t="shared" ref="EG21:EH21" si="134">EE21+EC21+EA21</f>
        <v>40</v>
      </c>
      <c r="EH21" s="168">
        <f t="shared" si="134"/>
        <v>0</v>
      </c>
      <c r="EI21" s="168">
        <f>EH21+EG21</f>
        <v>40</v>
      </c>
      <c r="EJ21" s="168">
        <v>4</v>
      </c>
      <c r="EK21" s="168"/>
      <c r="EL21" s="168">
        <v>2</v>
      </c>
      <c r="EM21" s="168"/>
      <c r="EN21" s="168"/>
      <c r="EO21" s="168"/>
      <c r="EP21" s="168">
        <f t="shared" ref="EP21:EQ21" si="135">EN21+EL21+EJ21</f>
        <v>6</v>
      </c>
      <c r="EQ21" s="168">
        <f t="shared" si="135"/>
        <v>0</v>
      </c>
      <c r="ER21" s="168">
        <f>EQ21+EP21</f>
        <v>6</v>
      </c>
      <c r="ES21" s="168"/>
      <c r="ET21" s="168"/>
      <c r="EU21" s="168"/>
      <c r="EV21" s="168"/>
      <c r="EW21" s="168"/>
      <c r="EX21" s="168"/>
      <c r="EY21" s="168">
        <f>EY20+EY16+EY13</f>
        <v>29</v>
      </c>
      <c r="EZ21" s="168">
        <f t="shared" ref="EZ21" si="136">EX21+EV21+ET21</f>
        <v>0</v>
      </c>
      <c r="FA21" s="168">
        <f>EZ21+EY21</f>
        <v>29</v>
      </c>
      <c r="FB21" s="168">
        <v>1</v>
      </c>
      <c r="FC21" s="168"/>
      <c r="FD21" s="168">
        <v>1</v>
      </c>
      <c r="FE21" s="168">
        <v>1</v>
      </c>
      <c r="FF21" s="168">
        <v>17</v>
      </c>
      <c r="FG21" s="168">
        <v>5</v>
      </c>
      <c r="FH21" s="168">
        <v>1</v>
      </c>
      <c r="FI21" s="168"/>
      <c r="FJ21" s="168"/>
      <c r="FK21" s="168"/>
      <c r="FL21" s="168">
        <f>FJ21+FH21+FF21+FD21+FB21</f>
        <v>20</v>
      </c>
      <c r="FM21" s="168">
        <f>FK21+FI21+FG21+FE21+FC21</f>
        <v>6</v>
      </c>
      <c r="FN21" s="168">
        <f>FM21+FL21</f>
        <v>26</v>
      </c>
      <c r="FO21" s="168"/>
      <c r="FP21" s="168"/>
      <c r="FQ21" s="168"/>
      <c r="FR21" s="168">
        <v>1</v>
      </c>
      <c r="FS21" s="168"/>
      <c r="FT21" s="168"/>
      <c r="FU21" s="168"/>
      <c r="FV21" s="168"/>
      <c r="FW21" s="168">
        <v>1</v>
      </c>
      <c r="FX21" s="168"/>
      <c r="FY21" s="168"/>
      <c r="FZ21" s="168"/>
      <c r="GA21" s="168"/>
      <c r="GB21" s="168"/>
      <c r="GC21" s="168"/>
      <c r="GD21" s="168"/>
      <c r="GE21" s="168"/>
      <c r="GF21" s="168"/>
      <c r="GG21" s="168">
        <f t="shared" ref="GG21:GG22" si="137">GE21+GA21+FY21+FW21+FU21+FS21+FO21+FQ21+GC21</f>
        <v>1</v>
      </c>
      <c r="GH21" s="168">
        <f t="shared" ref="GH21:GH22" si="138">GF21+GB21+FZ21+FX21+FV21+FT21+FP21+FR21+GD21</f>
        <v>1</v>
      </c>
      <c r="GI21" s="168">
        <f>GH21+GG21</f>
        <v>2</v>
      </c>
      <c r="GJ21" s="168">
        <v>1</v>
      </c>
      <c r="GK21" s="168"/>
      <c r="GL21" s="168"/>
      <c r="GM21" s="168">
        <v>1</v>
      </c>
      <c r="GN21" s="168">
        <v>2</v>
      </c>
      <c r="GO21" s="168"/>
      <c r="GP21" s="168"/>
      <c r="GQ21" s="168"/>
      <c r="GR21" s="168">
        <v>1</v>
      </c>
      <c r="GS21" s="168"/>
      <c r="GT21" s="168"/>
      <c r="GU21" s="168"/>
      <c r="GV21" s="168"/>
      <c r="GW21" s="168"/>
      <c r="GX21" s="168"/>
      <c r="GY21" s="168"/>
      <c r="GZ21" s="168"/>
      <c r="HA21" s="168"/>
      <c r="HB21" s="168">
        <v>1</v>
      </c>
      <c r="HC21" s="168"/>
      <c r="HD21" s="168"/>
      <c r="HE21" s="168"/>
      <c r="HF21" s="168">
        <v>1</v>
      </c>
      <c r="HG21" s="168"/>
      <c r="HH21" s="168"/>
      <c r="HI21" s="168"/>
      <c r="HJ21" s="168"/>
      <c r="HK21" s="168"/>
      <c r="HL21" s="168"/>
      <c r="HM21" s="168"/>
      <c r="HN21" s="168"/>
      <c r="HO21" s="168"/>
      <c r="HP21" s="168"/>
      <c r="HQ21" s="168"/>
      <c r="HR21" s="168"/>
      <c r="HS21" s="168"/>
      <c r="HT21" s="168"/>
      <c r="HU21" s="168"/>
      <c r="HV21" s="168"/>
      <c r="HW21" s="168"/>
      <c r="HX21" s="168"/>
      <c r="HY21" s="168"/>
      <c r="HZ21" s="168"/>
      <c r="IA21" s="168"/>
      <c r="IB21" s="168"/>
      <c r="IC21" s="168"/>
      <c r="ID21" s="168"/>
      <c r="IE21" s="168"/>
      <c r="IF21" s="168"/>
      <c r="IG21" s="168"/>
      <c r="IH21" s="168"/>
      <c r="II21" s="168"/>
      <c r="IJ21" s="168"/>
      <c r="IK21" s="168"/>
      <c r="IL21" s="168"/>
      <c r="IM21" s="168"/>
      <c r="IN21" s="168"/>
      <c r="IO21" s="168"/>
      <c r="IP21" s="168"/>
      <c r="IQ21" s="168"/>
      <c r="IR21" s="168"/>
      <c r="IS21" s="168"/>
      <c r="IT21" s="168"/>
      <c r="IU21" s="168"/>
      <c r="IV21" s="168"/>
      <c r="IW21" s="168"/>
      <c r="IX21" s="168"/>
      <c r="IY21" s="168"/>
      <c r="IZ21" s="168"/>
      <c r="JA21" s="168"/>
      <c r="JB21" s="168"/>
      <c r="JC21" s="168"/>
      <c r="JD21" s="168"/>
      <c r="JE21" s="168"/>
      <c r="JF21" s="168"/>
      <c r="JG21" s="168"/>
      <c r="JH21" s="168"/>
      <c r="JI21" s="168"/>
      <c r="JJ21" s="168"/>
      <c r="JK21" s="168"/>
      <c r="JL21" s="168">
        <v>2</v>
      </c>
      <c r="JM21" s="168"/>
      <c r="JN21" s="168">
        <v>3</v>
      </c>
      <c r="JO21" s="168"/>
      <c r="JP21" s="168">
        <v>3</v>
      </c>
      <c r="JQ21" s="168">
        <v>1</v>
      </c>
      <c r="JR21" s="168"/>
      <c r="JS21" s="168"/>
      <c r="JT21" s="168">
        <v>5</v>
      </c>
      <c r="JU21" s="168">
        <v>1</v>
      </c>
      <c r="JV21" s="168"/>
      <c r="JW21" s="168"/>
      <c r="JX21" s="168"/>
      <c r="JY21" s="168"/>
      <c r="JZ21" s="168"/>
      <c r="KA21" s="168"/>
      <c r="KB21" s="168"/>
      <c r="KC21" s="168"/>
      <c r="KD21" s="168"/>
      <c r="KE21" s="168"/>
      <c r="KF21" s="168"/>
      <c r="KG21" s="168"/>
      <c r="KH21" s="168"/>
      <c r="KI21" s="168">
        <v>1</v>
      </c>
      <c r="KJ21" s="168"/>
      <c r="KK21" s="168"/>
      <c r="KL21" s="168"/>
      <c r="KM21" s="168"/>
      <c r="KN21" s="168">
        <v>1</v>
      </c>
      <c r="KO21" s="168">
        <v>2</v>
      </c>
      <c r="KP21" s="168"/>
      <c r="KQ21" s="168"/>
      <c r="KR21" s="168"/>
      <c r="KS21" s="168"/>
      <c r="KT21" s="168"/>
      <c r="KU21" s="168"/>
      <c r="KV21" s="168">
        <f>KT21+KN21+KJ21+KH21+KF21+KD21+KB21+JZ21+JX21+JV21+JT21+JR21+JP21+JN21+JL21+JJ21+JH21+JF21+JD21+JB21+IZ21+IX21+IV21+IT21+IR21+IP21+IN21+IL21+IJ21+IH21+IF21+ID21+IB21+HZ21+HX21+HV21+HT21+HR21+HP21+HN21+HL21+HJ21+HH21+HF21+HD21+HB21+GZ21+GX21+GV21+GT21+GR21+GP21+GN21+GL21+GJ21</f>
        <v>20</v>
      </c>
      <c r="KW21" s="168">
        <f>KU21+KO21+KK21+KI21+KG21+KE21+KC21+KA21+JY21+JW21+JU21+JS21+JQ21+JO21+JM21+JK21+JI21+JG21+JE21+JC21+JA21+IY21+IW21+IU21+IS21+IQ21+IO21+IM21+IK21+II21+IG21+IE21+IC21+IA21+HY21+HW21+HU21+HS21+HQ21+HO21+HM21+HK21+HI21+HG21+HE21+HC21+HA21+GY21+GW21+GU21+GS21+GQ21+GO21+GM21+GK21</f>
        <v>6</v>
      </c>
      <c r="KX21" s="168">
        <f>KW21+KV21</f>
        <v>26</v>
      </c>
      <c r="KY21" s="168">
        <v>14</v>
      </c>
      <c r="KZ21" s="168">
        <v>4</v>
      </c>
      <c r="LA21" s="168"/>
      <c r="LB21" s="168"/>
      <c r="LC21" s="168"/>
      <c r="LD21" s="168">
        <v>1</v>
      </c>
      <c r="LE21" s="168"/>
      <c r="LF21" s="168"/>
      <c r="LG21" s="168">
        <v>2</v>
      </c>
      <c r="LH21" s="168"/>
      <c r="LI21" s="168">
        <v>1</v>
      </c>
      <c r="LJ21" s="168">
        <v>1</v>
      </c>
      <c r="LK21" s="168"/>
      <c r="LL21" s="168"/>
      <c r="LM21" s="168"/>
      <c r="LN21" s="168"/>
      <c r="LO21" s="168">
        <v>3</v>
      </c>
      <c r="LP21" s="168"/>
      <c r="LQ21" s="168">
        <f t="shared" si="31"/>
        <v>20</v>
      </c>
      <c r="LR21" s="168">
        <f t="shared" si="32"/>
        <v>6</v>
      </c>
      <c r="LS21" s="168">
        <f>LR21+LQ21</f>
        <v>26</v>
      </c>
      <c r="LT21" s="168">
        <v>6</v>
      </c>
      <c r="LU21" s="168">
        <v>3</v>
      </c>
      <c r="LV21" s="168">
        <v>4</v>
      </c>
      <c r="LW21" s="168">
        <v>1</v>
      </c>
      <c r="LX21" s="168">
        <v>4</v>
      </c>
      <c r="LY21" s="168">
        <v>1</v>
      </c>
      <c r="LZ21" s="168">
        <v>6</v>
      </c>
      <c r="MA21" s="168">
        <v>1</v>
      </c>
      <c r="MB21" s="168">
        <f t="shared" ref="MB21:MC23" si="139">LX21+LV21+LT21+LZ21</f>
        <v>20</v>
      </c>
      <c r="MC21" s="168">
        <f t="shared" si="139"/>
        <v>6</v>
      </c>
      <c r="MD21" s="168">
        <f t="shared" ref="MD21:MD23" si="140">MC21+MB21</f>
        <v>26</v>
      </c>
      <c r="ME21" s="168">
        <v>5</v>
      </c>
      <c r="MF21" s="168">
        <v>4</v>
      </c>
      <c r="MG21" s="168">
        <v>5</v>
      </c>
      <c r="MH21" s="168"/>
      <c r="MI21" s="168">
        <v>3</v>
      </c>
      <c r="MJ21" s="168"/>
      <c r="MK21" s="168">
        <v>7</v>
      </c>
      <c r="ML21" s="168">
        <v>2</v>
      </c>
      <c r="MM21" s="168"/>
      <c r="MN21" s="168"/>
      <c r="MO21" s="168">
        <f t="shared" ref="MO21:MO23" si="141">MM21+MK21+MI21+MG21+ME21</f>
        <v>20</v>
      </c>
      <c r="MP21" s="168">
        <f t="shared" ref="MP21:MP23" si="142">MN21+ML21+MJ21+MH21+MF21</f>
        <v>6</v>
      </c>
      <c r="MQ21" s="168">
        <f t="shared" ref="MQ21:MQ23" si="143">MP21+MO21</f>
        <v>26</v>
      </c>
      <c r="MR21" s="168">
        <v>1</v>
      </c>
      <c r="MS21" s="168">
        <v>2</v>
      </c>
      <c r="MT21" s="168">
        <v>19</v>
      </c>
      <c r="MU21" s="168">
        <v>4</v>
      </c>
      <c r="MV21" s="168"/>
      <c r="MW21" s="168"/>
      <c r="MX21" s="168"/>
      <c r="MY21" s="168"/>
      <c r="MZ21" s="168">
        <f t="shared" ref="MZ21:NA23" si="144">MX21+MV21+MT21+MR21</f>
        <v>20</v>
      </c>
      <c r="NA21" s="168">
        <f t="shared" si="144"/>
        <v>6</v>
      </c>
      <c r="NB21" s="168">
        <f t="shared" ref="NB21:NB23" si="145">NA21+MZ21</f>
        <v>26</v>
      </c>
      <c r="NC21" s="168">
        <v>20</v>
      </c>
      <c r="ND21" s="168">
        <v>6</v>
      </c>
      <c r="NE21" s="168"/>
      <c r="NF21" s="168"/>
      <c r="NG21" s="168"/>
      <c r="NH21" s="168"/>
      <c r="NI21" s="168">
        <v>1</v>
      </c>
      <c r="NJ21" s="168"/>
      <c r="NK21" s="168">
        <v>14</v>
      </c>
      <c r="NL21" s="168">
        <v>5</v>
      </c>
      <c r="NM21" s="168">
        <v>2</v>
      </c>
      <c r="NN21" s="168">
        <v>1</v>
      </c>
      <c r="NO21" s="168"/>
      <c r="NP21" s="168"/>
      <c r="NQ21" s="168">
        <v>1</v>
      </c>
      <c r="NR21" s="168"/>
      <c r="NS21" s="168">
        <v>2</v>
      </c>
      <c r="NT21" s="168"/>
      <c r="NU21" s="168"/>
      <c r="NV21" s="168"/>
      <c r="NW21" s="168">
        <f>NU21+NS21+NQ21+NO21+NM21+NK21+NG21+NI21+NE21</f>
        <v>20</v>
      </c>
      <c r="NX21" s="168">
        <f>NV21+NT21+NR21+NP21+NN21+NL21+NH21+NJ21+NF21</f>
        <v>6</v>
      </c>
      <c r="NY21" s="168">
        <f>NX21+NW21</f>
        <v>26</v>
      </c>
      <c r="NZ21" s="168"/>
      <c r="OA21" s="168"/>
      <c r="OB21" s="168"/>
      <c r="OC21" s="168"/>
      <c r="OD21" s="168"/>
      <c r="OE21" s="168"/>
      <c r="OF21" s="168">
        <f t="shared" ref="OF21:OG22" si="146">OD21+OB21+NZ21</f>
        <v>0</v>
      </c>
      <c r="OG21" s="168">
        <f t="shared" si="146"/>
        <v>0</v>
      </c>
      <c r="OH21" s="168">
        <f>OG21+OF21</f>
        <v>0</v>
      </c>
      <c r="OI21" s="168"/>
      <c r="OJ21" s="168">
        <v>1</v>
      </c>
      <c r="OK21" s="168">
        <v>1</v>
      </c>
      <c r="OL21" s="168"/>
      <c r="OM21" s="168">
        <v>1</v>
      </c>
      <c r="ON21" s="168"/>
      <c r="OO21" s="168"/>
      <c r="OP21" s="168">
        <v>1</v>
      </c>
      <c r="OQ21" s="168"/>
      <c r="OR21" s="168"/>
      <c r="OS21" s="168"/>
      <c r="OT21" s="168"/>
      <c r="OU21" s="169"/>
      <c r="OV21" s="169"/>
      <c r="OW21" s="169"/>
      <c r="OX21" s="169"/>
      <c r="OY21" s="169"/>
      <c r="OZ21" s="169"/>
      <c r="PA21" s="169"/>
      <c r="PB21" s="169"/>
      <c r="PC21" s="169"/>
      <c r="PD21" s="169"/>
      <c r="PE21" s="169"/>
      <c r="PF21" s="169"/>
      <c r="PG21" s="169"/>
      <c r="PH21" s="169"/>
      <c r="PI21" s="169"/>
      <c r="PJ21" s="169"/>
      <c r="PK21" s="169"/>
      <c r="PL21" s="169"/>
      <c r="PM21" s="169"/>
      <c r="PN21" s="169"/>
      <c r="PO21" s="169">
        <f>PN21+PM21</f>
        <v>0</v>
      </c>
      <c r="PP21" s="169"/>
      <c r="PQ21" s="169"/>
      <c r="PR21" s="169"/>
      <c r="PS21" s="169"/>
      <c r="PT21" s="169"/>
      <c r="PU21" s="169"/>
      <c r="PV21" s="169"/>
      <c r="PW21" s="169"/>
      <c r="PX21" s="169"/>
      <c r="PY21" s="169"/>
      <c r="PZ21" s="169"/>
      <c r="QA21" s="169"/>
      <c r="QB21" s="169"/>
      <c r="QC21" s="169"/>
      <c r="QD21" s="169"/>
      <c r="QE21" s="169"/>
      <c r="QF21" s="169"/>
      <c r="QG21" s="169"/>
      <c r="QH21" s="169"/>
      <c r="QI21" s="169"/>
      <c r="QJ21" s="169"/>
      <c r="QK21" s="169"/>
      <c r="QL21" s="169"/>
      <c r="QM21" s="169"/>
      <c r="QN21" s="169"/>
      <c r="QO21" s="169"/>
      <c r="QP21" s="169"/>
      <c r="QQ21" s="169"/>
      <c r="QR21" s="169"/>
      <c r="QS21" s="169"/>
      <c r="QT21" s="169"/>
      <c r="QU21" s="169"/>
      <c r="QV21" s="169"/>
      <c r="QW21" s="169"/>
      <c r="QX21" s="169"/>
      <c r="QY21" s="169"/>
      <c r="QZ21" s="169"/>
      <c r="RA21" s="169"/>
      <c r="RB21" s="169"/>
      <c r="RC21" s="169"/>
      <c r="RD21" s="169"/>
      <c r="RE21" s="169"/>
      <c r="RF21" s="169"/>
      <c r="RG21" s="169"/>
      <c r="RH21" s="169"/>
      <c r="RI21" s="169"/>
      <c r="RJ21" s="169"/>
      <c r="RK21" s="169"/>
      <c r="RL21" s="169"/>
      <c r="RM21" s="169"/>
      <c r="RN21" s="169"/>
      <c r="RO21" s="168"/>
      <c r="RP21" s="168"/>
      <c r="RQ21" s="168"/>
      <c r="RR21" s="168"/>
      <c r="RS21" s="168">
        <v>4</v>
      </c>
      <c r="RT21" s="168"/>
      <c r="RU21" s="170">
        <v>1</v>
      </c>
      <c r="RV21" s="170"/>
      <c r="RW21" s="170"/>
      <c r="RX21" s="170"/>
      <c r="RY21" s="170">
        <v>1</v>
      </c>
      <c r="RZ21" s="170"/>
      <c r="SA21" s="169"/>
      <c r="SB21" s="169">
        <v>1</v>
      </c>
      <c r="SC21" s="169"/>
      <c r="SD21" s="169"/>
      <c r="SE21" s="169"/>
      <c r="SF21" s="169"/>
      <c r="SG21" s="169"/>
      <c r="SH21" s="169"/>
      <c r="SI21" s="169"/>
      <c r="SJ21" s="169"/>
      <c r="SK21" s="169"/>
      <c r="SL21" s="169"/>
      <c r="SM21" s="169"/>
      <c r="SN21" s="169">
        <f>SM21+SL21</f>
        <v>0</v>
      </c>
      <c r="SO21" s="169"/>
      <c r="SP21" s="169"/>
      <c r="SQ21" s="169" t="s">
        <v>551</v>
      </c>
      <c r="SR21" s="169" t="s">
        <v>508</v>
      </c>
      <c r="SS21" s="175">
        <v>7802836052</v>
      </c>
    </row>
    <row r="22" spans="1:513" s="171" customFormat="1" ht="22.5" customHeight="1">
      <c r="A22" s="168" t="s">
        <v>184</v>
      </c>
      <c r="B22" s="168" t="s">
        <v>204</v>
      </c>
      <c r="C22" s="168">
        <v>9</v>
      </c>
      <c r="D22" s="168">
        <v>1401220</v>
      </c>
      <c r="E22" s="168" t="s">
        <v>496</v>
      </c>
      <c r="F22" s="168"/>
      <c r="G22" s="168">
        <v>1</v>
      </c>
      <c r="H22" s="168"/>
      <c r="I22" s="168">
        <v>1</v>
      </c>
      <c r="J22" s="168"/>
      <c r="K22" s="168">
        <v>1</v>
      </c>
      <c r="L22" s="168"/>
      <c r="M22" s="168"/>
      <c r="N22" s="168"/>
      <c r="O22" s="168">
        <v>1</v>
      </c>
      <c r="P22" s="168"/>
      <c r="Q22" s="168">
        <v>1</v>
      </c>
      <c r="R22" s="168"/>
      <c r="S22" s="168"/>
      <c r="T22" s="168"/>
      <c r="U22" s="168"/>
      <c r="V22" s="168"/>
      <c r="W22" s="168">
        <v>29</v>
      </c>
      <c r="X22" s="168"/>
      <c r="Y22" s="168">
        <v>42</v>
      </c>
      <c r="Z22" s="168"/>
      <c r="AA22" s="168">
        <v>24</v>
      </c>
      <c r="AB22" s="168"/>
      <c r="AC22" s="168">
        <v>24</v>
      </c>
      <c r="AD22" s="168"/>
      <c r="AE22" s="168">
        <v>23</v>
      </c>
      <c r="AF22" s="168">
        <f t="shared" ref="AF22" si="147">AD22+AB22+Z22+X22+V22</f>
        <v>0</v>
      </c>
      <c r="AG22" s="168">
        <f t="shared" ref="AG22" si="148">AE22+AC22+AA22+Y22+W22</f>
        <v>142</v>
      </c>
      <c r="AH22" s="168">
        <f>AG22+AF22</f>
        <v>142</v>
      </c>
      <c r="AI22" s="168"/>
      <c r="AJ22" s="168">
        <v>29</v>
      </c>
      <c r="AK22" s="168"/>
      <c r="AL22" s="168">
        <v>42</v>
      </c>
      <c r="AM22" s="168"/>
      <c r="AN22" s="168">
        <v>24</v>
      </c>
      <c r="AO22" s="168"/>
      <c r="AP22" s="168">
        <v>24</v>
      </c>
      <c r="AQ22" s="168"/>
      <c r="AR22" s="168">
        <v>23</v>
      </c>
      <c r="AS22" s="168">
        <f t="shared" ref="AS22" si="149">AQ22+AO22+AM22+AK22+AI22</f>
        <v>0</v>
      </c>
      <c r="AT22" s="168">
        <f t="shared" ref="AT22" si="150">AR22+AP22+AN22+AL22+AJ22</f>
        <v>142</v>
      </c>
      <c r="AU22" s="168">
        <f>AT22+AS22</f>
        <v>142</v>
      </c>
      <c r="AV22" s="168"/>
      <c r="AW22" s="168">
        <v>14</v>
      </c>
      <c r="AX22" s="168"/>
      <c r="AY22" s="168">
        <v>19</v>
      </c>
      <c r="AZ22" s="168"/>
      <c r="BA22" s="168">
        <v>17</v>
      </c>
      <c r="BB22" s="168"/>
      <c r="BC22" s="168">
        <v>12</v>
      </c>
      <c r="BD22" s="168"/>
      <c r="BE22" s="168">
        <v>15</v>
      </c>
      <c r="BF22" s="168">
        <f t="shared" ref="BF22" si="151">BD22+BB22+AZ22+AX22+AV22</f>
        <v>0</v>
      </c>
      <c r="BG22" s="168">
        <f t="shared" ref="BG22" si="152">BE22+BC22+BA22+AY22+AW22</f>
        <v>77</v>
      </c>
      <c r="BH22" s="168">
        <f>BG22+BF22</f>
        <v>77</v>
      </c>
      <c r="BI22" s="168"/>
      <c r="BJ22" s="168">
        <v>9</v>
      </c>
      <c r="BK22" s="168"/>
      <c r="BL22" s="168">
        <v>9</v>
      </c>
      <c r="BM22" s="168"/>
      <c r="BN22" s="168">
        <v>12</v>
      </c>
      <c r="BO22" s="168"/>
      <c r="BP22" s="168">
        <v>30</v>
      </c>
      <c r="BQ22" s="168"/>
      <c r="BR22" s="168"/>
      <c r="BS22" s="168">
        <f t="shared" ref="BS22" si="153">BQ22+BO22+BM22+BK22+BI22</f>
        <v>0</v>
      </c>
      <c r="BT22" s="168">
        <f t="shared" ref="BT22" si="154">BR22+BP22+BN22+BL22+BJ22</f>
        <v>60</v>
      </c>
      <c r="BU22" s="168">
        <f>BT22+BS22</f>
        <v>60</v>
      </c>
      <c r="BV22" s="168">
        <f t="shared" ref="BV22" si="155">AI22</f>
        <v>0</v>
      </c>
      <c r="BW22" s="168">
        <f t="shared" ref="BW22" si="156">AJ22</f>
        <v>29</v>
      </c>
      <c r="BX22" s="168">
        <f>AV22+AK22</f>
        <v>0</v>
      </c>
      <c r="BY22" s="168">
        <f>AL22+AW22</f>
        <v>56</v>
      </c>
      <c r="BZ22" s="168">
        <f>BI22+AX22+AM22</f>
        <v>0</v>
      </c>
      <c r="CA22" s="168">
        <f>AN22+AY22+BJ22</f>
        <v>52</v>
      </c>
      <c r="CB22" s="168">
        <f>BK22+AZ22+AO22</f>
        <v>0</v>
      </c>
      <c r="CC22" s="168">
        <f>AP22+BA22+BL22</f>
        <v>50</v>
      </c>
      <c r="CD22" s="168">
        <f t="shared" ref="CD22" si="157">BM22+BB22+AQ22</f>
        <v>0</v>
      </c>
      <c r="CE22" s="168">
        <f t="shared" ref="CE22" si="158">BN22+BC22+AR22</f>
        <v>47</v>
      </c>
      <c r="CF22" s="168">
        <f t="shared" ref="CF22" si="159">BO22+BD22</f>
        <v>0</v>
      </c>
      <c r="CG22" s="168">
        <f t="shared" ref="CG22" si="160">BP22+BE22</f>
        <v>45</v>
      </c>
      <c r="CH22" s="168">
        <f t="shared" ref="CH22" si="161">BQ22</f>
        <v>0</v>
      </c>
      <c r="CI22" s="168">
        <f t="shared" ref="CI22" si="162">BR22</f>
        <v>0</v>
      </c>
      <c r="CJ22" s="168">
        <f t="shared" ref="CJ22" si="163">BV22+BX22+BZ22+CB22+CD22+CF22+CH22</f>
        <v>0</v>
      </c>
      <c r="CK22" s="168">
        <f t="shared" ref="CK22" si="164">BW22+BY22+CA22+CC22+CE22+CG22+CI22</f>
        <v>279</v>
      </c>
      <c r="CL22" s="168">
        <f>SUM(CJ22:CK22)</f>
        <v>279</v>
      </c>
      <c r="CM22" s="168"/>
      <c r="CN22" s="168">
        <v>4</v>
      </c>
      <c r="CO22" s="168"/>
      <c r="CP22" s="168"/>
      <c r="CQ22" s="168">
        <v>2</v>
      </c>
      <c r="CR22" s="168"/>
      <c r="CS22" s="168"/>
      <c r="CT22" s="168">
        <v>2</v>
      </c>
      <c r="CU22" s="168"/>
      <c r="CV22" s="168">
        <f t="shared" ref="CV22" si="165">CS22+CP22+CM22</f>
        <v>0</v>
      </c>
      <c r="CW22" s="168">
        <f t="shared" ref="CW22" si="166">CT22+CQ22+CN22</f>
        <v>8</v>
      </c>
      <c r="CX22" s="168">
        <f t="shared" ref="CX22" si="167">CU22+CR22+CO22</f>
        <v>0</v>
      </c>
      <c r="CY22" s="168">
        <f>CX22+CW22+CV22</f>
        <v>8</v>
      </c>
      <c r="CZ22" s="168"/>
      <c r="DA22" s="168">
        <v>3</v>
      </c>
      <c r="DB22" s="168"/>
      <c r="DC22" s="168">
        <v>2</v>
      </c>
      <c r="DD22" s="168"/>
      <c r="DE22" s="168">
        <v>3</v>
      </c>
      <c r="DF22" s="168">
        <f t="shared" ref="DF22" si="168">DD22+DB22+CZ22</f>
        <v>0</v>
      </c>
      <c r="DG22" s="168">
        <f t="shared" ref="DG22" si="169">DE22+DC22+DA22</f>
        <v>8</v>
      </c>
      <c r="DH22" s="168">
        <f>DG22+DF22</f>
        <v>8</v>
      </c>
      <c r="DI22" s="168"/>
      <c r="DJ22" s="168"/>
      <c r="DK22" s="168"/>
      <c r="DL22" s="168"/>
      <c r="DM22" s="168"/>
      <c r="DN22" s="168"/>
      <c r="DO22" s="168"/>
      <c r="DP22" s="168"/>
      <c r="DQ22" s="168"/>
      <c r="DR22" s="168"/>
      <c r="DS22" s="168">
        <v>57</v>
      </c>
      <c r="DT22" s="168"/>
      <c r="DU22" s="168">
        <v>42</v>
      </c>
      <c r="DV22" s="168"/>
      <c r="DW22" s="168">
        <v>41</v>
      </c>
      <c r="DX22" s="168">
        <f t="shared" ref="DX22" si="170">DV22+DT22+DR22</f>
        <v>0</v>
      </c>
      <c r="DY22" s="168">
        <f t="shared" ref="DY22" si="171">DW22+DU22+DS22</f>
        <v>140</v>
      </c>
      <c r="DZ22" s="168">
        <f>DY22+DX22</f>
        <v>140</v>
      </c>
      <c r="EA22" s="168"/>
      <c r="EB22" s="168">
        <v>13</v>
      </c>
      <c r="EC22" s="168"/>
      <c r="ED22" s="168">
        <v>4</v>
      </c>
      <c r="EE22" s="168"/>
      <c r="EF22" s="168">
        <v>1</v>
      </c>
      <c r="EG22" s="168">
        <f t="shared" ref="EG22" si="172">EE22+EC22+EA22</f>
        <v>0</v>
      </c>
      <c r="EH22" s="168">
        <f t="shared" ref="EH22" si="173">EF22+ED22+EB22</f>
        <v>18</v>
      </c>
      <c r="EI22" s="168">
        <f>EH22+EG22</f>
        <v>18</v>
      </c>
      <c r="EJ22" s="168"/>
      <c r="EK22" s="168">
        <v>2</v>
      </c>
      <c r="EL22" s="168"/>
      <c r="EM22" s="168">
        <v>6</v>
      </c>
      <c r="EN22" s="168"/>
      <c r="EO22" s="168"/>
      <c r="EP22" s="168">
        <f t="shared" ref="EP22" si="174">EN22+EL22+EJ22</f>
        <v>0</v>
      </c>
      <c r="EQ22" s="168">
        <f t="shared" ref="EQ22" si="175">EO22+EM22+EK22</f>
        <v>8</v>
      </c>
      <c r="ER22" s="168">
        <f>EQ22+EP22</f>
        <v>8</v>
      </c>
      <c r="ES22" s="168"/>
      <c r="ET22" s="168"/>
      <c r="EU22" s="168"/>
      <c r="EV22" s="168"/>
      <c r="EW22" s="168"/>
      <c r="EX22" s="168"/>
      <c r="EY22" s="168">
        <f t="shared" ref="EY22" si="176">EW22+EU22+ES22</f>
        <v>0</v>
      </c>
      <c r="EZ22" s="168">
        <f t="shared" ref="EZ22" si="177">EX22+EV22+ET22</f>
        <v>0</v>
      </c>
      <c r="FA22" s="168">
        <f>EZ22+EY22</f>
        <v>0</v>
      </c>
      <c r="FB22" s="168"/>
      <c r="FC22" s="168">
        <v>1</v>
      </c>
      <c r="FD22" s="168"/>
      <c r="FE22" s="168">
        <v>2</v>
      </c>
      <c r="FF22" s="168"/>
      <c r="FG22" s="168">
        <v>18</v>
      </c>
      <c r="FH22" s="168"/>
      <c r="FI22" s="168">
        <v>1</v>
      </c>
      <c r="FJ22" s="168"/>
      <c r="FK22" s="168"/>
      <c r="FL22" s="168">
        <f>FJ22+FH22+FF22+FD22+FB22</f>
        <v>0</v>
      </c>
      <c r="FM22" s="168">
        <f>FK22+FI22+FG22+FE22+FC22</f>
        <v>22</v>
      </c>
      <c r="FN22" s="168">
        <f>FM22+FL22</f>
        <v>22</v>
      </c>
      <c r="FO22" s="168"/>
      <c r="FP22" s="168">
        <v>3</v>
      </c>
      <c r="FQ22" s="168"/>
      <c r="FR22" s="168"/>
      <c r="FS22" s="168"/>
      <c r="FT22" s="168"/>
      <c r="FU22" s="168"/>
      <c r="FV22" s="168"/>
      <c r="FW22" s="168"/>
      <c r="FX22" s="168">
        <v>1</v>
      </c>
      <c r="FY22" s="168"/>
      <c r="FZ22" s="168"/>
      <c r="GA22" s="168"/>
      <c r="GB22" s="168"/>
      <c r="GC22" s="168"/>
      <c r="GD22" s="168"/>
      <c r="GE22" s="168"/>
      <c r="GF22" s="168"/>
      <c r="GG22" s="168">
        <f t="shared" si="137"/>
        <v>0</v>
      </c>
      <c r="GH22" s="168">
        <f t="shared" si="138"/>
        <v>4</v>
      </c>
      <c r="GI22" s="168">
        <f>GH22+GG22</f>
        <v>4</v>
      </c>
      <c r="GJ22" s="168"/>
      <c r="GK22" s="168"/>
      <c r="GL22" s="168"/>
      <c r="GM22" s="168">
        <v>2</v>
      </c>
      <c r="GN22" s="168"/>
      <c r="GO22" s="168">
        <v>1</v>
      </c>
      <c r="GP22" s="168"/>
      <c r="GQ22" s="168">
        <v>1</v>
      </c>
      <c r="GR22" s="168"/>
      <c r="GS22" s="168">
        <v>1</v>
      </c>
      <c r="GT22" s="168"/>
      <c r="GU22" s="168"/>
      <c r="GV22" s="168"/>
      <c r="GW22" s="168"/>
      <c r="GX22" s="168"/>
      <c r="GY22" s="168"/>
      <c r="GZ22" s="168"/>
      <c r="HA22" s="168">
        <v>1</v>
      </c>
      <c r="HB22" s="168"/>
      <c r="HC22" s="168"/>
      <c r="HD22" s="168"/>
      <c r="HE22" s="168"/>
      <c r="HF22" s="168"/>
      <c r="HG22" s="168">
        <v>1</v>
      </c>
      <c r="HH22" s="168"/>
      <c r="HI22" s="168"/>
      <c r="HJ22" s="168"/>
      <c r="HK22" s="168"/>
      <c r="HL22" s="168"/>
      <c r="HM22" s="168"/>
      <c r="HN22" s="168"/>
      <c r="HO22" s="168"/>
      <c r="HP22" s="168"/>
      <c r="HQ22" s="168"/>
      <c r="HR22" s="168"/>
      <c r="HS22" s="168"/>
      <c r="HT22" s="168"/>
      <c r="HU22" s="168"/>
      <c r="HV22" s="168"/>
      <c r="HW22" s="168"/>
      <c r="HX22" s="168"/>
      <c r="HY22" s="168"/>
      <c r="HZ22" s="168"/>
      <c r="IA22" s="168"/>
      <c r="IB22" s="168"/>
      <c r="IC22" s="168"/>
      <c r="ID22" s="168"/>
      <c r="IE22" s="168"/>
      <c r="IF22" s="168"/>
      <c r="IG22" s="168"/>
      <c r="IH22" s="168"/>
      <c r="II22" s="168"/>
      <c r="IJ22" s="168"/>
      <c r="IK22" s="168"/>
      <c r="IL22" s="168"/>
      <c r="IM22" s="168"/>
      <c r="IN22" s="168"/>
      <c r="IO22" s="168"/>
      <c r="IP22" s="168"/>
      <c r="IQ22" s="168"/>
      <c r="IR22" s="168"/>
      <c r="IS22" s="168"/>
      <c r="IT22" s="168"/>
      <c r="IU22" s="168"/>
      <c r="IV22" s="168"/>
      <c r="IW22" s="168"/>
      <c r="IX22" s="168"/>
      <c r="IY22" s="168"/>
      <c r="IZ22" s="168"/>
      <c r="JA22" s="168"/>
      <c r="JB22" s="168"/>
      <c r="JC22" s="168"/>
      <c r="JD22" s="168"/>
      <c r="JE22" s="168"/>
      <c r="JF22" s="168"/>
      <c r="JG22" s="168"/>
      <c r="JH22" s="168"/>
      <c r="JI22" s="168"/>
      <c r="JJ22" s="168"/>
      <c r="JK22" s="168"/>
      <c r="JL22" s="168"/>
      <c r="JM22" s="168"/>
      <c r="JN22" s="168"/>
      <c r="JO22" s="168">
        <v>1</v>
      </c>
      <c r="JP22" s="168"/>
      <c r="JQ22" s="168">
        <v>3</v>
      </c>
      <c r="JR22" s="168"/>
      <c r="JS22" s="168">
        <v>2</v>
      </c>
      <c r="JT22" s="168"/>
      <c r="JU22" s="168"/>
      <c r="JV22" s="168"/>
      <c r="JW22" s="168"/>
      <c r="JX22" s="168"/>
      <c r="JY22" s="168"/>
      <c r="JZ22" s="168"/>
      <c r="KA22" s="168"/>
      <c r="KB22" s="168"/>
      <c r="KC22" s="168"/>
      <c r="KD22" s="168"/>
      <c r="KE22" s="168"/>
      <c r="KF22" s="168"/>
      <c r="KG22" s="168"/>
      <c r="KH22" s="168"/>
      <c r="KI22" s="168">
        <v>3</v>
      </c>
      <c r="KJ22" s="168"/>
      <c r="KK22" s="168"/>
      <c r="KL22" s="168"/>
      <c r="KM22" s="168"/>
      <c r="KN22" s="168"/>
      <c r="KO22" s="168">
        <v>1</v>
      </c>
      <c r="KP22" s="168"/>
      <c r="KQ22" s="168"/>
      <c r="KR22" s="168"/>
      <c r="KS22" s="168"/>
      <c r="KT22" s="168"/>
      <c r="KU22" s="168">
        <v>5</v>
      </c>
      <c r="KV22" s="168">
        <f t="shared" ref="KV22" si="178">KT22+KN22+KJ22+KH22+KF22+KD22+KB22+JZ22+JX22+JV22+JT22+JR22+JP22+JN22+JL22+JJ22+JH22+JF22+JD22+JB22+IZ22+IX22+IV22+IT22+IR22+IP22+IN22+IL22+IJ22+IH22+IF22+ID22+IB22+HZ22+HX22+HV22+HT22+HR22+HP22+HN22+HL22+HJ22+HH22+HF22+HD22+HB22+GZ22+GX22+GV22+GT22+GR22+GP22+GN22+GL22+GJ22</f>
        <v>0</v>
      </c>
      <c r="KW22" s="168">
        <f t="shared" ref="KW22" si="179">KU22+KO22+KK22+KI22+KG22+KE22+KC22+KA22+JY22+JW22+JU22+JS22+JQ22+JO22+JM22+JK22+JI22+JG22+JE22+JC22+JA22+IY22+IW22+IU22+IS22+IQ22+IO22+IM22+IK22+II22+IG22+IE22+IC22+IA22+HY22+HW22+HU22+HS22+HQ22+HO22+HM22+HK22+HI22+HG22+HE22+HC22+HA22+GY22+GW22+GU22+GS22+GQ22+GO22+GM22+GK22</f>
        <v>22</v>
      </c>
      <c r="KX22" s="168">
        <f t="shared" ref="KX22" si="180">KW22+KV22</f>
        <v>22</v>
      </c>
      <c r="KY22" s="168"/>
      <c r="KZ22" s="168">
        <v>18</v>
      </c>
      <c r="LA22" s="168"/>
      <c r="LB22" s="168"/>
      <c r="LC22" s="168"/>
      <c r="LD22" s="168">
        <v>2</v>
      </c>
      <c r="LE22" s="168"/>
      <c r="LF22" s="168"/>
      <c r="LG22" s="168"/>
      <c r="LH22" s="168"/>
      <c r="LI22" s="168"/>
      <c r="LJ22" s="168"/>
      <c r="LK22" s="168"/>
      <c r="LL22" s="168">
        <v>2</v>
      </c>
      <c r="LM22" s="168"/>
      <c r="LN22" s="168"/>
      <c r="LO22" s="168"/>
      <c r="LP22" s="168"/>
      <c r="LQ22" s="168">
        <f t="shared" si="31"/>
        <v>0</v>
      </c>
      <c r="LR22" s="168">
        <f t="shared" si="32"/>
        <v>22</v>
      </c>
      <c r="LS22" s="168">
        <f t="shared" ref="LS22" si="181">LR22+LQ22</f>
        <v>22</v>
      </c>
      <c r="LT22" s="168"/>
      <c r="LU22" s="168">
        <v>1</v>
      </c>
      <c r="LV22" s="168"/>
      <c r="LW22" s="168">
        <v>1</v>
      </c>
      <c r="LX22" s="168"/>
      <c r="LY22" s="168">
        <v>8</v>
      </c>
      <c r="LZ22" s="168"/>
      <c r="MA22" s="168">
        <v>12</v>
      </c>
      <c r="MB22" s="168">
        <f t="shared" si="139"/>
        <v>0</v>
      </c>
      <c r="MC22" s="168">
        <f t="shared" si="139"/>
        <v>22</v>
      </c>
      <c r="MD22" s="168">
        <f t="shared" ref="MD22" si="182">MC22+MB22</f>
        <v>22</v>
      </c>
      <c r="ME22" s="168"/>
      <c r="MF22" s="168"/>
      <c r="MG22" s="168"/>
      <c r="MH22" s="168">
        <v>6</v>
      </c>
      <c r="MI22" s="168"/>
      <c r="MJ22" s="168">
        <v>4</v>
      </c>
      <c r="MK22" s="168"/>
      <c r="ML22" s="168">
        <v>10</v>
      </c>
      <c r="MM22" s="168"/>
      <c r="MN22" s="168">
        <v>2</v>
      </c>
      <c r="MO22" s="168">
        <f t="shared" ref="MO22" si="183">MM22+MK22+MI22+MG22+ME22</f>
        <v>0</v>
      </c>
      <c r="MP22" s="168">
        <f t="shared" ref="MP22" si="184">MN22+ML22+MJ22+MH22+MF22</f>
        <v>22</v>
      </c>
      <c r="MQ22" s="168">
        <f t="shared" ref="MQ22" si="185">MP22+MO22</f>
        <v>22</v>
      </c>
      <c r="MR22" s="168"/>
      <c r="MS22" s="168">
        <v>2</v>
      </c>
      <c r="MT22" s="168"/>
      <c r="MU22" s="168">
        <v>18</v>
      </c>
      <c r="MV22" s="168"/>
      <c r="MW22" s="168">
        <v>1</v>
      </c>
      <c r="MX22" s="168"/>
      <c r="MY22" s="168">
        <v>1</v>
      </c>
      <c r="MZ22" s="168">
        <f t="shared" ref="MZ22" si="186">MX22+MV22+MT22+MR22</f>
        <v>0</v>
      </c>
      <c r="NA22" s="168">
        <f t="shared" ref="NA22" si="187">MY22+MW22+MU22+MS22</f>
        <v>22</v>
      </c>
      <c r="NB22" s="168">
        <f t="shared" ref="NB22" si="188">NA22+MZ22</f>
        <v>22</v>
      </c>
      <c r="NC22" s="168"/>
      <c r="ND22" s="168"/>
      <c r="NE22" s="168"/>
      <c r="NF22" s="168">
        <v>1</v>
      </c>
      <c r="NG22" s="168"/>
      <c r="NH22" s="168"/>
      <c r="NI22" s="168"/>
      <c r="NJ22" s="168"/>
      <c r="NK22" s="168"/>
      <c r="NL22" s="168">
        <v>14</v>
      </c>
      <c r="NM22" s="168"/>
      <c r="NN22" s="168">
        <v>4</v>
      </c>
      <c r="NO22" s="168"/>
      <c r="NP22" s="168"/>
      <c r="NQ22" s="168"/>
      <c r="NR22" s="168">
        <v>3</v>
      </c>
      <c r="NS22" s="168"/>
      <c r="NT22" s="168"/>
      <c r="NU22" s="168"/>
      <c r="NV22" s="168"/>
      <c r="NW22" s="168">
        <f t="shared" ref="NW22" si="189">NU22+NS22+NQ22+NO22+NM22+NK22+NG22+NI22+NE22</f>
        <v>0</v>
      </c>
      <c r="NX22" s="168">
        <f t="shared" ref="NX22" si="190">NV22+NT22+NR22+NP22+NN22+NL22+NH22+NJ22+NF22</f>
        <v>22</v>
      </c>
      <c r="NY22" s="168">
        <f t="shared" ref="NY22" si="191">NX22+NW22</f>
        <v>22</v>
      </c>
      <c r="NZ22" s="168"/>
      <c r="OA22" s="168"/>
      <c r="OB22" s="168"/>
      <c r="OC22" s="168"/>
      <c r="OD22" s="168"/>
      <c r="OE22" s="168"/>
      <c r="OF22" s="168">
        <f t="shared" si="146"/>
        <v>0</v>
      </c>
      <c r="OG22" s="168">
        <f t="shared" si="146"/>
        <v>0</v>
      </c>
      <c r="OH22" s="168">
        <f>OG22+OF22</f>
        <v>0</v>
      </c>
      <c r="OI22" s="168"/>
      <c r="OJ22" s="168">
        <v>1</v>
      </c>
      <c r="OK22" s="168">
        <v>1</v>
      </c>
      <c r="OL22" s="168"/>
      <c r="OM22" s="168"/>
      <c r="ON22" s="168">
        <v>1</v>
      </c>
      <c r="OO22" s="168">
        <v>1</v>
      </c>
      <c r="OP22" s="168"/>
      <c r="OQ22" s="168"/>
      <c r="OR22" s="168"/>
      <c r="OS22" s="168"/>
      <c r="OT22" s="168">
        <v>1</v>
      </c>
      <c r="OU22" s="169">
        <v>1</v>
      </c>
      <c r="OV22" s="169"/>
      <c r="OW22" s="169">
        <v>2024</v>
      </c>
      <c r="OX22" s="169"/>
      <c r="OY22" s="169"/>
      <c r="OZ22" s="169" t="s">
        <v>135</v>
      </c>
      <c r="PA22" s="169">
        <v>1</v>
      </c>
      <c r="PB22" s="169"/>
      <c r="PC22" s="169"/>
      <c r="PD22" s="169">
        <v>1</v>
      </c>
      <c r="PE22" s="169"/>
      <c r="PF22" s="169"/>
      <c r="PG22" s="169"/>
      <c r="PH22" s="169"/>
      <c r="PI22" s="169">
        <v>1</v>
      </c>
      <c r="PJ22" s="169"/>
      <c r="PK22" s="169">
        <v>1</v>
      </c>
      <c r="PL22" s="169"/>
      <c r="PM22" s="169">
        <v>24</v>
      </c>
      <c r="PN22" s="169">
        <v>6</v>
      </c>
      <c r="PO22" s="169">
        <f t="shared" ref="PO22:PO23" si="192">PN22+PM22</f>
        <v>30</v>
      </c>
      <c r="PP22" s="169">
        <v>1</v>
      </c>
      <c r="PQ22" s="169"/>
      <c r="PR22" s="169"/>
      <c r="PS22" s="169"/>
      <c r="PT22" s="169"/>
      <c r="PU22" s="169"/>
      <c r="PV22" s="169">
        <v>1</v>
      </c>
      <c r="PW22" s="169"/>
      <c r="PX22" s="169">
        <v>1</v>
      </c>
      <c r="PY22" s="169"/>
      <c r="PZ22" s="169">
        <v>1</v>
      </c>
      <c r="QA22" s="169"/>
      <c r="QB22" s="169">
        <v>1</v>
      </c>
      <c r="QC22" s="169"/>
      <c r="QD22" s="169">
        <v>1</v>
      </c>
      <c r="QE22" s="169"/>
      <c r="QF22" s="169"/>
      <c r="QG22" s="169"/>
      <c r="QH22" s="169"/>
      <c r="QI22" s="169">
        <v>1</v>
      </c>
      <c r="QJ22" s="169"/>
      <c r="QK22" s="169">
        <v>1</v>
      </c>
      <c r="QL22" s="169"/>
      <c r="QM22" s="169">
        <v>1</v>
      </c>
      <c r="QN22" s="169"/>
      <c r="QO22" s="169">
        <v>1</v>
      </c>
      <c r="QP22" s="169"/>
      <c r="QQ22" s="169"/>
      <c r="QR22" s="169">
        <v>1</v>
      </c>
      <c r="QS22" s="169"/>
      <c r="QT22" s="169"/>
      <c r="QU22" s="169">
        <v>1</v>
      </c>
      <c r="QV22" s="169"/>
      <c r="QW22" s="169"/>
      <c r="QX22" s="169"/>
      <c r="QY22" s="169"/>
      <c r="QZ22" s="169"/>
      <c r="RA22" s="169">
        <v>1</v>
      </c>
      <c r="RB22" s="169">
        <v>1</v>
      </c>
      <c r="RC22" s="169"/>
      <c r="RD22" s="169"/>
      <c r="RE22" s="169">
        <v>1</v>
      </c>
      <c r="RF22" s="169">
        <v>1</v>
      </c>
      <c r="RG22" s="169"/>
      <c r="RH22" s="169"/>
      <c r="RI22" s="169"/>
      <c r="RJ22" s="169">
        <v>1</v>
      </c>
      <c r="RK22" s="169"/>
      <c r="RL22" s="169">
        <v>1</v>
      </c>
      <c r="RM22" s="169"/>
      <c r="RN22" s="169"/>
      <c r="RO22" s="168">
        <v>359</v>
      </c>
      <c r="RP22" s="168">
        <v>1</v>
      </c>
      <c r="RQ22" s="168"/>
      <c r="RR22" s="168"/>
      <c r="RS22" s="168">
        <v>24</v>
      </c>
      <c r="RT22" s="168"/>
      <c r="RU22" s="170"/>
      <c r="RV22" s="170">
        <v>8</v>
      </c>
      <c r="RW22" s="170">
        <v>2</v>
      </c>
      <c r="RX22" s="170"/>
      <c r="RY22" s="170">
        <v>1</v>
      </c>
      <c r="RZ22" s="170"/>
      <c r="SA22" s="169"/>
      <c r="SB22" s="169">
        <v>1</v>
      </c>
      <c r="SC22" s="169"/>
      <c r="SD22" s="169"/>
      <c r="SE22" s="169"/>
      <c r="SF22" s="169"/>
      <c r="SG22" s="169"/>
      <c r="SH22" s="169"/>
      <c r="SI22" s="169"/>
      <c r="SJ22" s="169"/>
      <c r="SK22" s="169"/>
      <c r="SL22" s="169"/>
      <c r="SM22" s="169"/>
      <c r="SN22" s="169">
        <f>SM22+SL22</f>
        <v>0</v>
      </c>
      <c r="SO22" s="169"/>
      <c r="SP22" s="169"/>
      <c r="SQ22" s="169" t="s">
        <v>552</v>
      </c>
      <c r="SR22" s="169" t="s">
        <v>498</v>
      </c>
      <c r="SS22" s="175">
        <v>7802630274</v>
      </c>
    </row>
    <row r="23" spans="1:513" s="171" customFormat="1" ht="19.5" customHeight="1">
      <c r="A23" s="168" t="s">
        <v>184</v>
      </c>
      <c r="B23" s="168" t="s">
        <v>204</v>
      </c>
      <c r="C23" s="168"/>
      <c r="D23" s="168"/>
      <c r="E23" s="168" t="s">
        <v>487</v>
      </c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>
        <f t="shared" si="121"/>
        <v>0</v>
      </c>
      <c r="AG23" s="168">
        <f t="shared" si="121"/>
        <v>0</v>
      </c>
      <c r="AH23" s="168">
        <f>AG23+AF23</f>
        <v>0</v>
      </c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>
        <f t="shared" si="122"/>
        <v>0</v>
      </c>
      <c r="AT23" s="168">
        <f t="shared" si="122"/>
        <v>0</v>
      </c>
      <c r="AU23" s="168">
        <f>AT23+AS23</f>
        <v>0</v>
      </c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>
        <f t="shared" si="123"/>
        <v>0</v>
      </c>
      <c r="BG23" s="168">
        <f t="shared" si="123"/>
        <v>0</v>
      </c>
      <c r="BH23" s="168">
        <f>BG23+BF23</f>
        <v>0</v>
      </c>
      <c r="BI23" s="168"/>
      <c r="BJ23" s="168"/>
      <c r="BK23" s="168"/>
      <c r="BL23" s="168"/>
      <c r="BM23" s="168">
        <v>45</v>
      </c>
      <c r="BN23" s="168"/>
      <c r="BO23" s="168">
        <v>115</v>
      </c>
      <c r="BP23" s="168"/>
      <c r="BQ23" s="168">
        <v>20</v>
      </c>
      <c r="BR23" s="168"/>
      <c r="BS23" s="168">
        <f t="shared" si="124"/>
        <v>180</v>
      </c>
      <c r="BT23" s="168">
        <f t="shared" si="124"/>
        <v>0</v>
      </c>
      <c r="BU23" s="168">
        <f>BT23+BS23</f>
        <v>180</v>
      </c>
      <c r="BV23" s="168">
        <f t="shared" si="125"/>
        <v>0</v>
      </c>
      <c r="BW23" s="168">
        <f t="shared" si="125"/>
        <v>0</v>
      </c>
      <c r="BX23" s="168">
        <f>AV23+AK23</f>
        <v>0</v>
      </c>
      <c r="BY23" s="168">
        <f>AL23+AW23</f>
        <v>0</v>
      </c>
      <c r="BZ23" s="168">
        <f>BI23+AX23+AM23</f>
        <v>0</v>
      </c>
      <c r="CA23" s="168">
        <f>AN23+AY23+BJ23</f>
        <v>0</v>
      </c>
      <c r="CB23" s="168">
        <f>BK23+AZ23+AO23</f>
        <v>0</v>
      </c>
      <c r="CC23" s="168">
        <f>AP23+BA23+BL23</f>
        <v>0</v>
      </c>
      <c r="CD23" s="168">
        <f t="shared" si="126"/>
        <v>45</v>
      </c>
      <c r="CE23" s="168">
        <f t="shared" si="126"/>
        <v>0</v>
      </c>
      <c r="CF23" s="168">
        <f t="shared" si="127"/>
        <v>115</v>
      </c>
      <c r="CG23" s="168">
        <f t="shared" si="127"/>
        <v>0</v>
      </c>
      <c r="CH23" s="168">
        <f t="shared" si="128"/>
        <v>20</v>
      </c>
      <c r="CI23" s="168">
        <f t="shared" si="128"/>
        <v>0</v>
      </c>
      <c r="CJ23" s="168">
        <f t="shared" si="129"/>
        <v>180</v>
      </c>
      <c r="CK23" s="168">
        <f t="shared" si="129"/>
        <v>0</v>
      </c>
      <c r="CL23" s="168">
        <f>SUM(CJ23:CK23)</f>
        <v>180</v>
      </c>
      <c r="CM23" s="168"/>
      <c r="CN23" s="168"/>
      <c r="CO23" s="168"/>
      <c r="CP23" s="168"/>
      <c r="CQ23" s="168"/>
      <c r="CR23" s="168"/>
      <c r="CS23" s="168">
        <v>3</v>
      </c>
      <c r="CT23" s="168"/>
      <c r="CU23" s="168"/>
      <c r="CV23" s="168">
        <f>CS23+CP23+CM23</f>
        <v>3</v>
      </c>
      <c r="CW23" s="168">
        <f>CT23+CQ23+CN23</f>
        <v>0</v>
      </c>
      <c r="CX23" s="168">
        <f>CU23+CR23+CO23</f>
        <v>0</v>
      </c>
      <c r="CY23" s="168">
        <f>CX23+CW23+CV23</f>
        <v>3</v>
      </c>
      <c r="CZ23" s="168"/>
      <c r="DA23" s="168"/>
      <c r="DB23" s="168"/>
      <c r="DC23" s="168"/>
      <c r="DD23" s="168">
        <v>2</v>
      </c>
      <c r="DE23" s="168"/>
      <c r="DF23" s="168">
        <f t="shared" ref="DF23" si="193">DD23+DB23+CZ23</f>
        <v>2</v>
      </c>
      <c r="DG23" s="168">
        <f t="shared" ref="DG23" si="194">DE23+DC23+DA23</f>
        <v>0</v>
      </c>
      <c r="DH23" s="168">
        <f>DG23+DF23</f>
        <v>2</v>
      </c>
      <c r="DI23" s="168"/>
      <c r="DJ23" s="168"/>
      <c r="DK23" s="168"/>
      <c r="DL23" s="168"/>
      <c r="DM23" s="168"/>
      <c r="DN23" s="168"/>
      <c r="DO23" s="168">
        <f t="shared" si="132"/>
        <v>0</v>
      </c>
      <c r="DP23" s="168">
        <f t="shared" si="132"/>
        <v>0</v>
      </c>
      <c r="DQ23" s="168">
        <f>DP23+DO23</f>
        <v>0</v>
      </c>
      <c r="DR23" s="168">
        <v>1</v>
      </c>
      <c r="DS23" s="168"/>
      <c r="DT23" s="168">
        <v>7</v>
      </c>
      <c r="DU23" s="168"/>
      <c r="DV23" s="168">
        <v>28</v>
      </c>
      <c r="DW23" s="168"/>
      <c r="DX23" s="168">
        <f t="shared" ref="DX23" si="195">DV23+DT23+DR23</f>
        <v>36</v>
      </c>
      <c r="DY23" s="168">
        <f t="shared" ref="DY23" si="196">DW23+DU23+DS23</f>
        <v>0</v>
      </c>
      <c r="DZ23" s="168">
        <f>DY23+DX23</f>
        <v>36</v>
      </c>
      <c r="EA23" s="168"/>
      <c r="EB23" s="168"/>
      <c r="EC23" s="168">
        <v>1</v>
      </c>
      <c r="ED23" s="168"/>
      <c r="EE23" s="168">
        <v>12</v>
      </c>
      <c r="EF23" s="168"/>
      <c r="EG23" s="168">
        <f t="shared" ref="EG23" si="197">EE23+EC23+EA23</f>
        <v>13</v>
      </c>
      <c r="EH23" s="168">
        <f t="shared" ref="EH23" si="198">EF23+ED23+EB23</f>
        <v>0</v>
      </c>
      <c r="EI23" s="168">
        <f>EH23+EG23</f>
        <v>13</v>
      </c>
      <c r="EJ23" s="168"/>
      <c r="EK23" s="168"/>
      <c r="EL23" s="168">
        <v>1</v>
      </c>
      <c r="EM23" s="168"/>
      <c r="EN23" s="168"/>
      <c r="EO23" s="168"/>
      <c r="EP23" s="168">
        <f t="shared" ref="EP23" si="199">EN23+EL23+EJ23</f>
        <v>1</v>
      </c>
      <c r="EQ23" s="168">
        <f t="shared" ref="EQ23" si="200">EO23+EM23+EK23</f>
        <v>0</v>
      </c>
      <c r="ER23" s="168">
        <f>EQ23+EP23</f>
        <v>1</v>
      </c>
      <c r="ES23" s="168"/>
      <c r="ET23" s="168"/>
      <c r="EU23" s="168"/>
      <c r="EV23" s="168"/>
      <c r="EW23" s="168"/>
      <c r="EX23" s="168"/>
      <c r="EY23" s="168">
        <f t="shared" ref="EY23" si="201">EW23+EU23+ES23</f>
        <v>0</v>
      </c>
      <c r="EZ23" s="168">
        <f t="shared" ref="EZ23" si="202">EX23+EV23+ET23</f>
        <v>0</v>
      </c>
      <c r="FA23" s="168">
        <f>EZ23+EY23</f>
        <v>0</v>
      </c>
      <c r="FB23" s="168"/>
      <c r="FC23" s="168"/>
      <c r="FD23" s="168"/>
      <c r="FE23" s="168"/>
      <c r="FF23" s="168"/>
      <c r="FG23" s="168"/>
      <c r="FH23" s="168"/>
      <c r="FI23" s="168"/>
      <c r="FJ23" s="168"/>
      <c r="FK23" s="168"/>
      <c r="FL23" s="168">
        <f t="shared" ref="FL23" si="203">FJ23+FH23+FF23+FD23+FB23</f>
        <v>0</v>
      </c>
      <c r="FM23" s="168">
        <f t="shared" ref="FM23" si="204">FK23+FI23+FG23+FE23+FC23</f>
        <v>0</v>
      </c>
      <c r="FN23" s="168">
        <f t="shared" ref="FN23" si="205">FM23+FL23</f>
        <v>0</v>
      </c>
      <c r="FO23" s="168"/>
      <c r="FP23" s="168"/>
      <c r="FQ23" s="168"/>
      <c r="FR23" s="168"/>
      <c r="FS23" s="168"/>
      <c r="FT23" s="168"/>
      <c r="FU23" s="168"/>
      <c r="FV23" s="168"/>
      <c r="FW23" s="168"/>
      <c r="FX23" s="168"/>
      <c r="FY23" s="168"/>
      <c r="FZ23" s="168"/>
      <c r="GA23" s="168"/>
      <c r="GB23" s="168"/>
      <c r="GC23" s="168"/>
      <c r="GD23" s="168"/>
      <c r="GE23" s="168"/>
      <c r="GF23" s="168"/>
      <c r="GG23" s="168"/>
      <c r="GH23" s="168"/>
      <c r="GI23" s="168"/>
      <c r="GJ23" s="168"/>
      <c r="GK23" s="168"/>
      <c r="GL23" s="168"/>
      <c r="GM23" s="168"/>
      <c r="GN23" s="168"/>
      <c r="GO23" s="168"/>
      <c r="GP23" s="168"/>
      <c r="GQ23" s="168"/>
      <c r="GR23" s="168"/>
      <c r="GS23" s="168"/>
      <c r="GT23" s="168"/>
      <c r="GU23" s="168"/>
      <c r="GV23" s="168"/>
      <c r="GW23" s="168"/>
      <c r="GX23" s="168"/>
      <c r="GY23" s="168"/>
      <c r="GZ23" s="168"/>
      <c r="HA23" s="168"/>
      <c r="HB23" s="168"/>
      <c r="HC23" s="168"/>
      <c r="HD23" s="168"/>
      <c r="HE23" s="168"/>
      <c r="HF23" s="168"/>
      <c r="HG23" s="168"/>
      <c r="HH23" s="168"/>
      <c r="HI23" s="168"/>
      <c r="HJ23" s="168"/>
      <c r="HK23" s="168"/>
      <c r="HL23" s="168"/>
      <c r="HM23" s="168"/>
      <c r="HN23" s="168"/>
      <c r="HO23" s="168"/>
      <c r="HP23" s="168"/>
      <c r="HQ23" s="168"/>
      <c r="HR23" s="168"/>
      <c r="HS23" s="168"/>
      <c r="HT23" s="168"/>
      <c r="HU23" s="168"/>
      <c r="HV23" s="168"/>
      <c r="HW23" s="168"/>
      <c r="HX23" s="168"/>
      <c r="HY23" s="168"/>
      <c r="HZ23" s="168"/>
      <c r="IA23" s="168"/>
      <c r="IB23" s="168"/>
      <c r="IC23" s="168"/>
      <c r="ID23" s="168"/>
      <c r="IE23" s="168"/>
      <c r="IF23" s="168"/>
      <c r="IG23" s="168"/>
      <c r="IH23" s="168"/>
      <c r="II23" s="168"/>
      <c r="IJ23" s="168"/>
      <c r="IK23" s="168"/>
      <c r="IL23" s="168"/>
      <c r="IM23" s="168"/>
      <c r="IN23" s="168"/>
      <c r="IO23" s="168"/>
      <c r="IP23" s="168"/>
      <c r="IQ23" s="168"/>
      <c r="IR23" s="168"/>
      <c r="IS23" s="168"/>
      <c r="IT23" s="168"/>
      <c r="IU23" s="168"/>
      <c r="IV23" s="168"/>
      <c r="IW23" s="168"/>
      <c r="IX23" s="168"/>
      <c r="IY23" s="168"/>
      <c r="IZ23" s="168"/>
      <c r="JA23" s="168"/>
      <c r="JB23" s="168"/>
      <c r="JC23" s="168"/>
      <c r="JD23" s="168"/>
      <c r="JE23" s="168"/>
      <c r="JF23" s="168"/>
      <c r="JG23" s="168"/>
      <c r="JH23" s="168"/>
      <c r="JI23" s="168"/>
      <c r="JJ23" s="168"/>
      <c r="JK23" s="168"/>
      <c r="JL23" s="168"/>
      <c r="JM23" s="168"/>
      <c r="JN23" s="168"/>
      <c r="JO23" s="168"/>
      <c r="JP23" s="168"/>
      <c r="JQ23" s="168"/>
      <c r="JR23" s="168"/>
      <c r="JS23" s="168"/>
      <c r="JT23" s="168"/>
      <c r="JU23" s="168"/>
      <c r="JV23" s="168"/>
      <c r="JW23" s="168"/>
      <c r="JX23" s="168"/>
      <c r="JY23" s="168"/>
      <c r="JZ23" s="168"/>
      <c r="KA23" s="168"/>
      <c r="KB23" s="168"/>
      <c r="KC23" s="168"/>
      <c r="KD23" s="168"/>
      <c r="KE23" s="168"/>
      <c r="KF23" s="168"/>
      <c r="KG23" s="168"/>
      <c r="KH23" s="168"/>
      <c r="KI23" s="168"/>
      <c r="KJ23" s="168"/>
      <c r="KK23" s="168"/>
      <c r="KL23" s="168"/>
      <c r="KM23" s="168"/>
      <c r="KN23" s="168"/>
      <c r="KO23" s="168"/>
      <c r="KP23" s="168"/>
      <c r="KQ23" s="168"/>
      <c r="KR23" s="168"/>
      <c r="KS23" s="168"/>
      <c r="KT23" s="168"/>
      <c r="KU23" s="168"/>
      <c r="KV23" s="168"/>
      <c r="KW23" s="168"/>
      <c r="KX23" s="168"/>
      <c r="KY23" s="168"/>
      <c r="KZ23" s="168"/>
      <c r="LA23" s="168"/>
      <c r="LB23" s="168"/>
      <c r="LC23" s="168"/>
      <c r="LD23" s="168"/>
      <c r="LE23" s="168"/>
      <c r="LF23" s="168"/>
      <c r="LG23" s="168"/>
      <c r="LH23" s="168"/>
      <c r="LI23" s="168"/>
      <c r="LJ23" s="168"/>
      <c r="LK23" s="168"/>
      <c r="LL23" s="168"/>
      <c r="LM23" s="168"/>
      <c r="LN23" s="168"/>
      <c r="LO23" s="168"/>
      <c r="LP23" s="168"/>
      <c r="LQ23" s="168"/>
      <c r="LR23" s="168"/>
      <c r="LS23" s="168"/>
      <c r="LT23" s="168"/>
      <c r="LU23" s="168"/>
      <c r="LV23" s="168"/>
      <c r="LW23" s="168"/>
      <c r="LX23" s="168"/>
      <c r="LY23" s="168"/>
      <c r="LZ23" s="168"/>
      <c r="MA23" s="168"/>
      <c r="MB23" s="168">
        <f t="shared" si="139"/>
        <v>0</v>
      </c>
      <c r="MC23" s="168">
        <f t="shared" si="139"/>
        <v>0</v>
      </c>
      <c r="MD23" s="168">
        <f t="shared" si="140"/>
        <v>0</v>
      </c>
      <c r="ME23" s="168"/>
      <c r="MF23" s="168"/>
      <c r="MG23" s="168"/>
      <c r="MH23" s="168"/>
      <c r="MI23" s="168"/>
      <c r="MJ23" s="168"/>
      <c r="MK23" s="168"/>
      <c r="ML23" s="168"/>
      <c r="MM23" s="168"/>
      <c r="MN23" s="168"/>
      <c r="MO23" s="168">
        <f t="shared" si="141"/>
        <v>0</v>
      </c>
      <c r="MP23" s="168">
        <f t="shared" si="142"/>
        <v>0</v>
      </c>
      <c r="MQ23" s="168">
        <f t="shared" si="143"/>
        <v>0</v>
      </c>
      <c r="MR23" s="168"/>
      <c r="MS23" s="168"/>
      <c r="MT23" s="168"/>
      <c r="MU23" s="168"/>
      <c r="MV23" s="168"/>
      <c r="MW23" s="168"/>
      <c r="MX23" s="168"/>
      <c r="MY23" s="168"/>
      <c r="MZ23" s="168">
        <f t="shared" si="144"/>
        <v>0</v>
      </c>
      <c r="NA23" s="168">
        <f t="shared" si="144"/>
        <v>0</v>
      </c>
      <c r="NB23" s="168">
        <f t="shared" si="145"/>
        <v>0</v>
      </c>
      <c r="NC23" s="168"/>
      <c r="ND23" s="168"/>
      <c r="NE23" s="168"/>
      <c r="NF23" s="168"/>
      <c r="NG23" s="168"/>
      <c r="NH23" s="168"/>
      <c r="NI23" s="168"/>
      <c r="NJ23" s="168"/>
      <c r="NK23" s="168"/>
      <c r="NL23" s="168"/>
      <c r="NM23" s="168"/>
      <c r="NN23" s="168"/>
      <c r="NO23" s="168"/>
      <c r="NP23" s="168"/>
      <c r="NQ23" s="168"/>
      <c r="NR23" s="168"/>
      <c r="NS23" s="168"/>
      <c r="NT23" s="168"/>
      <c r="NU23" s="168"/>
      <c r="NV23" s="168"/>
      <c r="NW23" s="168"/>
      <c r="NX23" s="168"/>
      <c r="NY23" s="168"/>
      <c r="NZ23" s="168"/>
      <c r="OA23" s="168"/>
      <c r="OB23" s="168"/>
      <c r="OC23" s="168"/>
      <c r="OD23" s="168"/>
      <c r="OE23" s="168"/>
      <c r="OF23" s="168"/>
      <c r="OG23" s="168"/>
      <c r="OH23" s="168"/>
      <c r="OI23" s="168"/>
      <c r="OJ23" s="168"/>
      <c r="OK23" s="168"/>
      <c r="OL23" s="168"/>
      <c r="OM23" s="168"/>
      <c r="ON23" s="168"/>
      <c r="OO23" s="168"/>
      <c r="OP23" s="168"/>
      <c r="OQ23" s="168"/>
      <c r="OR23" s="168"/>
      <c r="OS23" s="168"/>
      <c r="OT23" s="168"/>
      <c r="OU23" s="169"/>
      <c r="OV23" s="169"/>
      <c r="OW23" s="169"/>
      <c r="OX23" s="169"/>
      <c r="OY23" s="169"/>
      <c r="OZ23" s="169"/>
      <c r="PA23" s="169"/>
      <c r="PB23" s="169"/>
      <c r="PC23" s="169"/>
      <c r="PD23" s="169"/>
      <c r="PE23" s="169"/>
      <c r="PF23" s="169"/>
      <c r="PG23" s="169"/>
      <c r="PH23" s="169"/>
      <c r="PI23" s="169"/>
      <c r="PJ23" s="169"/>
      <c r="PK23" s="169"/>
      <c r="PL23" s="169"/>
      <c r="PM23" s="169"/>
      <c r="PN23" s="169"/>
      <c r="PO23" s="169">
        <f t="shared" si="192"/>
        <v>0</v>
      </c>
      <c r="PP23" s="169"/>
      <c r="PQ23" s="169"/>
      <c r="PR23" s="169"/>
      <c r="PS23" s="169"/>
      <c r="PT23" s="169"/>
      <c r="PU23" s="169"/>
      <c r="PV23" s="169"/>
      <c r="PW23" s="169"/>
      <c r="PX23" s="169"/>
      <c r="PY23" s="169"/>
      <c r="PZ23" s="169"/>
      <c r="QA23" s="169"/>
      <c r="QB23" s="169"/>
      <c r="QC23" s="169"/>
      <c r="QD23" s="169"/>
      <c r="QE23" s="169"/>
      <c r="QF23" s="169"/>
      <c r="QG23" s="169"/>
      <c r="QH23" s="169"/>
      <c r="QI23" s="169"/>
      <c r="QJ23" s="169"/>
      <c r="QK23" s="169"/>
      <c r="QL23" s="169"/>
      <c r="QM23" s="169"/>
      <c r="QN23" s="169"/>
      <c r="QO23" s="169"/>
      <c r="QP23" s="169"/>
      <c r="QQ23" s="169"/>
      <c r="QR23" s="169"/>
      <c r="QS23" s="169"/>
      <c r="QT23" s="169"/>
      <c r="QU23" s="169"/>
      <c r="QV23" s="169"/>
      <c r="QW23" s="169"/>
      <c r="QX23" s="169"/>
      <c r="QY23" s="169"/>
      <c r="QZ23" s="169"/>
      <c r="RA23" s="169"/>
      <c r="RB23" s="169"/>
      <c r="RC23" s="169"/>
      <c r="RD23" s="169"/>
      <c r="RE23" s="169"/>
      <c r="RF23" s="169"/>
      <c r="RG23" s="169"/>
      <c r="RH23" s="169"/>
      <c r="RI23" s="169"/>
      <c r="RJ23" s="169"/>
      <c r="RK23" s="169"/>
      <c r="RL23" s="169"/>
      <c r="RM23" s="169"/>
      <c r="RN23" s="169"/>
      <c r="RO23" s="168"/>
      <c r="RP23" s="168"/>
      <c r="RQ23" s="168"/>
      <c r="RR23" s="168"/>
      <c r="RS23" s="168"/>
      <c r="RT23" s="168"/>
      <c r="RU23" s="170"/>
      <c r="RV23" s="170"/>
      <c r="RW23" s="170"/>
      <c r="RX23" s="170"/>
      <c r="RY23" s="170"/>
      <c r="RZ23" s="170"/>
      <c r="SA23" s="169"/>
      <c r="SB23" s="169"/>
      <c r="SC23" s="169"/>
      <c r="SD23" s="169"/>
      <c r="SE23" s="169"/>
      <c r="SF23" s="169"/>
      <c r="SG23" s="169"/>
      <c r="SH23" s="169"/>
      <c r="SI23" s="169"/>
      <c r="SJ23" s="169"/>
      <c r="SK23" s="169"/>
      <c r="SL23" s="169"/>
      <c r="SM23" s="169"/>
      <c r="SN23" s="169">
        <f>SM23+SL23</f>
        <v>0</v>
      </c>
      <c r="SO23" s="169"/>
      <c r="SP23" s="169"/>
      <c r="SQ23" s="169"/>
      <c r="SR23" s="169"/>
      <c r="SS23" s="175"/>
    </row>
    <row r="24" spans="1:513" ht="15" customHeight="1">
      <c r="A24" s="117"/>
      <c r="B24" s="118"/>
      <c r="C24" s="118"/>
      <c r="D24" s="118"/>
      <c r="E24" s="119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115"/>
      <c r="CD24" s="115"/>
      <c r="CE24" s="115"/>
      <c r="CF24" s="115"/>
      <c r="CG24" s="115"/>
      <c r="CH24" s="115"/>
      <c r="CI24" s="115"/>
      <c r="CJ24" s="115"/>
      <c r="CK24" s="115"/>
      <c r="CL24" s="115"/>
      <c r="CM24" s="115"/>
      <c r="CN24" s="115"/>
      <c r="CO24" s="115"/>
      <c r="CP24" s="115"/>
      <c r="CQ24" s="115"/>
      <c r="CR24" s="115"/>
      <c r="CS24" s="115"/>
      <c r="CT24" s="115"/>
      <c r="CU24" s="115"/>
      <c r="CV24" s="115"/>
      <c r="CW24" s="115"/>
      <c r="CX24" s="115"/>
      <c r="CY24" s="115"/>
      <c r="CZ24" s="115"/>
      <c r="DA24" s="115"/>
      <c r="DB24" s="115"/>
      <c r="DC24" s="115"/>
      <c r="DD24" s="115"/>
      <c r="DE24" s="115"/>
      <c r="DF24" s="115"/>
      <c r="DG24" s="115"/>
      <c r="DH24" s="115"/>
      <c r="DI24" s="115"/>
      <c r="DJ24" s="115"/>
      <c r="DK24" s="115"/>
      <c r="DL24" s="115"/>
      <c r="DM24" s="115"/>
      <c r="DN24" s="115"/>
      <c r="DO24" s="115"/>
      <c r="DP24" s="115"/>
      <c r="DQ24" s="115"/>
      <c r="DR24" s="115"/>
      <c r="DS24" s="115"/>
      <c r="DT24" s="115"/>
      <c r="DU24" s="115"/>
      <c r="DV24" s="115"/>
      <c r="DW24" s="115"/>
      <c r="DX24" s="115"/>
      <c r="DY24" s="115"/>
      <c r="DZ24" s="115"/>
      <c r="EA24" s="115"/>
      <c r="EB24" s="115"/>
      <c r="EC24" s="115"/>
      <c r="ED24" s="115"/>
      <c r="EE24" s="115"/>
      <c r="EF24" s="115"/>
      <c r="EG24" s="115"/>
      <c r="EH24" s="115"/>
      <c r="EI24" s="115"/>
      <c r="EJ24" s="115"/>
      <c r="EK24" s="115"/>
      <c r="EL24" s="115"/>
      <c r="EM24" s="115"/>
      <c r="EN24" s="115"/>
      <c r="EO24" s="115"/>
      <c r="EP24" s="115"/>
      <c r="EQ24" s="115"/>
      <c r="ER24" s="115"/>
      <c r="ES24" s="115"/>
      <c r="ET24" s="115"/>
      <c r="EU24" s="115"/>
      <c r="EV24" s="115"/>
      <c r="EW24" s="115"/>
      <c r="EX24" s="115"/>
      <c r="EY24" s="115"/>
      <c r="EZ24" s="115"/>
      <c r="FA24" s="115"/>
      <c r="FB24" s="115"/>
      <c r="FC24" s="115"/>
      <c r="FD24" s="115"/>
      <c r="FE24" s="115"/>
      <c r="FF24" s="115"/>
      <c r="FG24" s="115"/>
      <c r="FH24" s="115"/>
      <c r="FI24" s="115"/>
      <c r="FJ24" s="115"/>
      <c r="FK24" s="115"/>
      <c r="FL24" s="115"/>
      <c r="FM24" s="115"/>
      <c r="FN24" s="115"/>
      <c r="FO24" s="115"/>
      <c r="FP24" s="115"/>
      <c r="FQ24" s="115"/>
      <c r="FR24" s="115"/>
      <c r="FS24" s="115"/>
      <c r="FT24" s="115"/>
      <c r="FU24" s="115"/>
      <c r="FV24" s="115"/>
      <c r="FW24" s="115"/>
      <c r="FX24" s="115"/>
      <c r="FY24" s="115"/>
      <c r="FZ24" s="115"/>
      <c r="GA24" s="115"/>
      <c r="GB24" s="115"/>
      <c r="GC24" s="115"/>
      <c r="GD24" s="115"/>
      <c r="GE24" s="115"/>
      <c r="GF24" s="115"/>
      <c r="GG24" s="115"/>
      <c r="GH24" s="115"/>
      <c r="GI24" s="115"/>
      <c r="GJ24" s="115"/>
      <c r="GK24" s="115"/>
      <c r="GL24" s="115"/>
      <c r="GM24" s="115"/>
      <c r="GN24" s="115"/>
      <c r="GO24" s="115"/>
      <c r="GP24" s="115"/>
      <c r="GQ24" s="115"/>
      <c r="GR24" s="115"/>
      <c r="GS24" s="115"/>
      <c r="GT24" s="115"/>
      <c r="GU24" s="115"/>
      <c r="GV24" s="115"/>
      <c r="GW24" s="115"/>
      <c r="GX24" s="115"/>
      <c r="GY24" s="115"/>
      <c r="GZ24" s="115"/>
      <c r="HA24" s="115"/>
      <c r="HB24" s="115"/>
      <c r="HC24" s="115"/>
      <c r="HD24" s="115"/>
      <c r="HE24" s="115"/>
      <c r="HF24" s="115"/>
      <c r="HG24" s="115"/>
      <c r="HH24" s="115"/>
      <c r="HI24" s="115"/>
      <c r="HJ24" s="115"/>
      <c r="HK24" s="115"/>
      <c r="HL24" s="115"/>
      <c r="HM24" s="115"/>
      <c r="HN24" s="115"/>
      <c r="HO24" s="115"/>
      <c r="HP24" s="115"/>
      <c r="HQ24" s="115"/>
      <c r="HR24" s="115"/>
      <c r="HS24" s="115"/>
      <c r="HT24" s="115"/>
      <c r="HU24" s="115"/>
      <c r="HV24" s="115"/>
      <c r="HW24" s="115"/>
      <c r="HX24" s="115"/>
      <c r="HY24" s="115"/>
      <c r="HZ24" s="115"/>
      <c r="IA24" s="115"/>
      <c r="IB24" s="115"/>
      <c r="IC24" s="115"/>
      <c r="ID24" s="115"/>
      <c r="IE24" s="115"/>
      <c r="IF24" s="115"/>
      <c r="IG24" s="115"/>
      <c r="IH24" s="115"/>
      <c r="II24" s="115"/>
      <c r="IJ24" s="115"/>
      <c r="IK24" s="115"/>
      <c r="IL24" s="115"/>
      <c r="IM24" s="115"/>
      <c r="IN24" s="115"/>
      <c r="IO24" s="115"/>
      <c r="IP24" s="115"/>
      <c r="IQ24" s="115"/>
      <c r="IR24" s="115"/>
      <c r="IS24" s="115"/>
      <c r="IT24" s="115"/>
      <c r="IU24" s="115"/>
      <c r="IV24" s="115"/>
      <c r="IW24" s="115"/>
      <c r="IX24" s="115"/>
      <c r="IY24" s="115"/>
      <c r="IZ24" s="115"/>
      <c r="JA24" s="115"/>
      <c r="JB24" s="115"/>
      <c r="JC24" s="115"/>
      <c r="JD24" s="115"/>
      <c r="JE24" s="115"/>
      <c r="JF24" s="115"/>
      <c r="JG24" s="115"/>
      <c r="JH24" s="115"/>
      <c r="JI24" s="115"/>
      <c r="JJ24" s="115"/>
      <c r="JK24" s="115"/>
      <c r="JL24" s="115"/>
      <c r="JM24" s="115"/>
      <c r="JN24" s="115"/>
      <c r="JO24" s="115"/>
      <c r="JP24" s="115"/>
      <c r="JQ24" s="115"/>
      <c r="JR24" s="115"/>
      <c r="JS24" s="115"/>
      <c r="JT24" s="115"/>
      <c r="JU24" s="115"/>
      <c r="JV24" s="115"/>
      <c r="JW24" s="115"/>
      <c r="JX24" s="115"/>
      <c r="JY24" s="115"/>
      <c r="JZ24" s="115"/>
      <c r="KA24" s="115"/>
      <c r="KB24" s="115"/>
      <c r="KC24" s="115"/>
      <c r="KD24" s="115"/>
      <c r="KE24" s="115"/>
      <c r="KF24" s="115"/>
      <c r="KG24" s="115"/>
      <c r="KH24" s="115"/>
      <c r="KI24" s="115"/>
      <c r="KJ24" s="115"/>
      <c r="KK24" s="115"/>
      <c r="KL24" s="115"/>
      <c r="KM24" s="115"/>
      <c r="KN24" s="115"/>
      <c r="KO24" s="115"/>
      <c r="KP24" s="115"/>
      <c r="KQ24" s="115"/>
      <c r="KR24" s="115"/>
      <c r="KS24" s="115"/>
      <c r="KT24" s="115"/>
      <c r="KU24" s="115"/>
      <c r="KV24" s="115"/>
      <c r="KW24" s="115"/>
      <c r="KX24" s="115"/>
      <c r="KY24" s="115"/>
      <c r="KZ24" s="115"/>
      <c r="LA24" s="115"/>
      <c r="LB24" s="115"/>
      <c r="LC24" s="115"/>
      <c r="LD24" s="115"/>
      <c r="LE24" s="115"/>
      <c r="LF24" s="115"/>
      <c r="LG24" s="115"/>
      <c r="LH24" s="115"/>
      <c r="LI24" s="115"/>
      <c r="LJ24" s="115"/>
      <c r="LK24" s="115"/>
      <c r="LL24" s="115"/>
      <c r="LM24" s="115"/>
      <c r="LN24" s="115"/>
      <c r="LO24" s="115"/>
      <c r="LP24" s="115"/>
      <c r="LQ24" s="115"/>
      <c r="LR24" s="115"/>
      <c r="LS24" s="115"/>
      <c r="LT24" s="115"/>
      <c r="LU24" s="115"/>
      <c r="LV24" s="115"/>
      <c r="LW24" s="115"/>
      <c r="LX24" s="115"/>
      <c r="LY24" s="115"/>
      <c r="LZ24" s="115"/>
      <c r="MA24" s="115"/>
      <c r="MB24" s="115"/>
      <c r="MC24" s="115"/>
      <c r="MD24" s="115"/>
      <c r="ME24" s="115"/>
      <c r="MF24" s="115"/>
      <c r="MG24" s="115"/>
      <c r="MH24" s="115"/>
      <c r="MI24" s="115"/>
      <c r="MJ24" s="115"/>
      <c r="MK24" s="115"/>
      <c r="ML24" s="115"/>
      <c r="MM24" s="115"/>
      <c r="MN24" s="115"/>
      <c r="MO24" s="115"/>
      <c r="MP24" s="115"/>
      <c r="MQ24" s="115"/>
      <c r="MR24" s="115"/>
      <c r="MS24" s="115"/>
      <c r="MT24" s="115"/>
      <c r="MU24" s="115"/>
      <c r="MV24" s="115"/>
      <c r="MW24" s="115"/>
      <c r="MX24" s="115"/>
      <c r="MY24" s="115"/>
      <c r="MZ24" s="115"/>
      <c r="NA24" s="115"/>
      <c r="NB24" s="115"/>
      <c r="NC24" s="115"/>
      <c r="ND24" s="115"/>
      <c r="NE24" s="115"/>
      <c r="NF24" s="115"/>
      <c r="NG24" s="115"/>
      <c r="NH24" s="115"/>
      <c r="NI24" s="115"/>
      <c r="NJ24" s="115"/>
      <c r="NK24" s="115"/>
      <c r="NL24" s="115"/>
      <c r="NM24" s="115"/>
      <c r="NN24" s="115"/>
      <c r="NO24" s="115"/>
      <c r="NP24" s="115"/>
      <c r="NQ24" s="115"/>
      <c r="NR24" s="115"/>
      <c r="NS24" s="115"/>
      <c r="NT24" s="115"/>
      <c r="NU24" s="115"/>
      <c r="NV24" s="115"/>
      <c r="NW24" s="115"/>
      <c r="NX24" s="115"/>
      <c r="NY24" s="115"/>
      <c r="NZ24" s="115"/>
      <c r="OA24" s="115"/>
      <c r="OB24" s="115"/>
      <c r="OC24" s="115"/>
      <c r="OD24" s="115"/>
      <c r="OE24" s="115"/>
      <c r="OF24" s="115"/>
      <c r="OG24" s="115"/>
      <c r="OH24" s="115"/>
      <c r="OI24" s="115"/>
      <c r="OJ24" s="115"/>
      <c r="OK24" s="115"/>
      <c r="OL24" s="115"/>
      <c r="OM24" s="115"/>
      <c r="ON24" s="115"/>
      <c r="OO24" s="115"/>
      <c r="OP24" s="115"/>
      <c r="OQ24" s="115"/>
      <c r="OR24" s="115"/>
      <c r="OS24" s="115"/>
      <c r="OT24" s="115"/>
      <c r="OU24" s="72"/>
      <c r="OV24" s="72"/>
      <c r="OW24" s="72"/>
      <c r="OX24" s="72"/>
      <c r="OY24" s="72"/>
      <c r="OZ24" s="72"/>
      <c r="PA24" s="72"/>
      <c r="PB24" s="72"/>
      <c r="PC24" s="72"/>
      <c r="PD24" s="72"/>
      <c r="PE24" s="72"/>
      <c r="PF24" s="72"/>
      <c r="PG24" s="72"/>
      <c r="PH24" s="72"/>
      <c r="PI24" s="72"/>
      <c r="PJ24" s="72"/>
      <c r="PK24" s="72"/>
      <c r="PL24" s="72"/>
      <c r="PM24" s="72"/>
      <c r="PN24" s="72"/>
      <c r="PO24" s="72"/>
      <c r="PP24" s="72"/>
      <c r="PQ24" s="72"/>
      <c r="PR24" s="72"/>
      <c r="PS24" s="72"/>
      <c r="PT24" s="72"/>
      <c r="PU24" s="72"/>
      <c r="PV24" s="72"/>
      <c r="PW24" s="72"/>
      <c r="PX24" s="72"/>
      <c r="PY24" s="72"/>
      <c r="PZ24" s="72"/>
      <c r="QA24" s="72"/>
      <c r="QB24" s="72"/>
      <c r="QC24" s="72"/>
      <c r="QD24" s="72"/>
      <c r="QE24" s="72"/>
      <c r="QF24" s="72"/>
      <c r="QG24" s="72"/>
      <c r="QH24" s="72"/>
      <c r="QI24" s="72"/>
      <c r="QJ24" s="72"/>
      <c r="QK24" s="72"/>
      <c r="QL24" s="72"/>
      <c r="QM24" s="72"/>
      <c r="QN24" s="72"/>
      <c r="QO24" s="72"/>
      <c r="QP24" s="72"/>
      <c r="QQ24" s="72"/>
      <c r="QR24" s="72"/>
      <c r="QS24" s="72"/>
      <c r="QT24" s="72"/>
      <c r="QU24" s="72"/>
      <c r="QV24" s="72"/>
      <c r="QW24" s="72"/>
      <c r="QX24" s="72"/>
      <c r="QY24" s="72"/>
      <c r="QZ24" s="72"/>
      <c r="RA24" s="72"/>
      <c r="RB24" s="72"/>
      <c r="RC24" s="72"/>
      <c r="RD24" s="72"/>
      <c r="RE24" s="72"/>
      <c r="RF24" s="72"/>
      <c r="RG24" s="72"/>
      <c r="RH24" s="72"/>
      <c r="RI24" s="72"/>
      <c r="RJ24" s="72"/>
      <c r="RK24" s="72"/>
      <c r="RL24" s="72"/>
      <c r="RM24" s="72"/>
      <c r="RN24" s="72"/>
      <c r="RO24" s="115"/>
      <c r="RP24" s="115"/>
      <c r="RQ24" s="115"/>
      <c r="RR24" s="115"/>
      <c r="RS24" s="115"/>
      <c r="RT24" s="115"/>
      <c r="RU24" s="116"/>
      <c r="RV24" s="116"/>
      <c r="RW24" s="116"/>
      <c r="RX24" s="116"/>
      <c r="RY24" s="116"/>
      <c r="RZ24" s="116"/>
      <c r="SA24" s="72"/>
      <c r="SB24" s="72"/>
      <c r="SC24" s="72"/>
      <c r="SD24" s="72"/>
      <c r="SE24" s="72"/>
      <c r="SF24" s="72"/>
      <c r="SG24" s="72"/>
      <c r="SH24" s="72"/>
      <c r="SI24" s="72"/>
      <c r="SJ24" s="72"/>
      <c r="SK24" s="72"/>
      <c r="SL24" s="72"/>
      <c r="SM24" s="72"/>
      <c r="SN24" s="72"/>
      <c r="SO24" s="72"/>
      <c r="SP24" s="72"/>
      <c r="SQ24" s="72"/>
      <c r="SR24" s="72"/>
      <c r="SS24" s="176"/>
    </row>
    <row r="25" spans="1:513" s="194" customFormat="1" ht="19.5" customHeight="1">
      <c r="A25" s="221" t="s">
        <v>201</v>
      </c>
      <c r="B25" s="242"/>
      <c r="C25" s="242"/>
      <c r="D25" s="242"/>
      <c r="E25" s="222"/>
      <c r="F25" s="193">
        <f t="shared" ref="F25" si="206">SUM(F21:F23)</f>
        <v>1</v>
      </c>
      <c r="G25" s="193">
        <f t="shared" ref="G25:BR25" si="207">SUM(G21:G23)</f>
        <v>1</v>
      </c>
      <c r="H25" s="193">
        <f t="shared" si="207"/>
        <v>0</v>
      </c>
      <c r="I25" s="193">
        <f t="shared" si="207"/>
        <v>2</v>
      </c>
      <c r="J25" s="193">
        <f t="shared" si="207"/>
        <v>0</v>
      </c>
      <c r="K25" s="193">
        <f t="shared" si="207"/>
        <v>1</v>
      </c>
      <c r="L25" s="193">
        <f t="shared" si="207"/>
        <v>1</v>
      </c>
      <c r="M25" s="193">
        <f t="shared" si="207"/>
        <v>0</v>
      </c>
      <c r="N25" s="193">
        <f t="shared" si="207"/>
        <v>0</v>
      </c>
      <c r="O25" s="193">
        <f t="shared" si="207"/>
        <v>1</v>
      </c>
      <c r="P25" s="193">
        <f t="shared" si="207"/>
        <v>1</v>
      </c>
      <c r="Q25" s="193">
        <f t="shared" si="207"/>
        <v>1</v>
      </c>
      <c r="R25" s="193">
        <f t="shared" si="207"/>
        <v>0</v>
      </c>
      <c r="S25" s="193">
        <f t="shared" si="207"/>
        <v>1</v>
      </c>
      <c r="T25" s="193">
        <f t="shared" si="207"/>
        <v>0</v>
      </c>
      <c r="U25" s="193">
        <f t="shared" si="207"/>
        <v>0</v>
      </c>
      <c r="V25" s="193">
        <f t="shared" si="207"/>
        <v>0</v>
      </c>
      <c r="W25" s="193">
        <f t="shared" si="207"/>
        <v>29</v>
      </c>
      <c r="X25" s="193">
        <f t="shared" si="207"/>
        <v>40</v>
      </c>
      <c r="Y25" s="193">
        <f t="shared" si="207"/>
        <v>42</v>
      </c>
      <c r="Z25" s="193">
        <f t="shared" si="207"/>
        <v>100</v>
      </c>
      <c r="AA25" s="193">
        <f t="shared" si="207"/>
        <v>24</v>
      </c>
      <c r="AB25" s="193">
        <f t="shared" si="207"/>
        <v>44</v>
      </c>
      <c r="AC25" s="193">
        <f t="shared" si="207"/>
        <v>24</v>
      </c>
      <c r="AD25" s="193">
        <f t="shared" si="207"/>
        <v>14</v>
      </c>
      <c r="AE25" s="193">
        <f t="shared" si="207"/>
        <v>23</v>
      </c>
      <c r="AF25" s="193">
        <f t="shared" si="207"/>
        <v>198</v>
      </c>
      <c r="AG25" s="193">
        <f t="shared" si="207"/>
        <v>142</v>
      </c>
      <c r="AH25" s="193">
        <f t="shared" si="207"/>
        <v>340</v>
      </c>
      <c r="AI25" s="193">
        <f t="shared" si="207"/>
        <v>0</v>
      </c>
      <c r="AJ25" s="193">
        <f t="shared" si="207"/>
        <v>29</v>
      </c>
      <c r="AK25" s="193">
        <f t="shared" si="207"/>
        <v>40</v>
      </c>
      <c r="AL25" s="193">
        <f t="shared" si="207"/>
        <v>42</v>
      </c>
      <c r="AM25" s="193">
        <f t="shared" si="207"/>
        <v>100</v>
      </c>
      <c r="AN25" s="193">
        <f t="shared" si="207"/>
        <v>24</v>
      </c>
      <c r="AO25" s="193">
        <f t="shared" si="207"/>
        <v>44</v>
      </c>
      <c r="AP25" s="193">
        <f t="shared" si="207"/>
        <v>24</v>
      </c>
      <c r="AQ25" s="193">
        <f t="shared" si="207"/>
        <v>14</v>
      </c>
      <c r="AR25" s="193">
        <f t="shared" si="207"/>
        <v>23</v>
      </c>
      <c r="AS25" s="193">
        <f t="shared" si="207"/>
        <v>198</v>
      </c>
      <c r="AT25" s="193">
        <f t="shared" si="207"/>
        <v>142</v>
      </c>
      <c r="AU25" s="193">
        <f t="shared" si="207"/>
        <v>340</v>
      </c>
      <c r="AV25" s="193">
        <f t="shared" si="207"/>
        <v>0</v>
      </c>
      <c r="AW25" s="193">
        <f t="shared" si="207"/>
        <v>14</v>
      </c>
      <c r="AX25" s="193">
        <f t="shared" si="207"/>
        <v>20</v>
      </c>
      <c r="AY25" s="193">
        <f t="shared" si="207"/>
        <v>19</v>
      </c>
      <c r="AZ25" s="193">
        <f t="shared" si="207"/>
        <v>34</v>
      </c>
      <c r="BA25" s="193">
        <f t="shared" si="207"/>
        <v>17</v>
      </c>
      <c r="BB25" s="193">
        <f t="shared" si="207"/>
        <v>36</v>
      </c>
      <c r="BC25" s="193">
        <f t="shared" si="207"/>
        <v>12</v>
      </c>
      <c r="BD25" s="193">
        <f t="shared" si="207"/>
        <v>0</v>
      </c>
      <c r="BE25" s="193">
        <f t="shared" si="207"/>
        <v>15</v>
      </c>
      <c r="BF25" s="193">
        <f t="shared" si="207"/>
        <v>90</v>
      </c>
      <c r="BG25" s="193">
        <f t="shared" si="207"/>
        <v>77</v>
      </c>
      <c r="BH25" s="193">
        <f t="shared" si="207"/>
        <v>167</v>
      </c>
      <c r="BI25" s="193">
        <f t="shared" si="207"/>
        <v>10</v>
      </c>
      <c r="BJ25" s="193">
        <f t="shared" si="207"/>
        <v>9</v>
      </c>
      <c r="BK25" s="193">
        <f t="shared" si="207"/>
        <v>10</v>
      </c>
      <c r="BL25" s="193">
        <f t="shared" si="207"/>
        <v>9</v>
      </c>
      <c r="BM25" s="193">
        <f t="shared" si="207"/>
        <v>73</v>
      </c>
      <c r="BN25" s="193">
        <f t="shared" si="207"/>
        <v>12</v>
      </c>
      <c r="BO25" s="193">
        <f t="shared" si="207"/>
        <v>134</v>
      </c>
      <c r="BP25" s="193">
        <f t="shared" si="207"/>
        <v>30</v>
      </c>
      <c r="BQ25" s="193">
        <f t="shared" si="207"/>
        <v>42</v>
      </c>
      <c r="BR25" s="193">
        <f t="shared" si="207"/>
        <v>0</v>
      </c>
      <c r="BS25" s="193">
        <f t="shared" ref="BS25:ED25" si="208">SUM(BS21:BS23)</f>
        <v>269</v>
      </c>
      <c r="BT25" s="193">
        <f t="shared" si="208"/>
        <v>60</v>
      </c>
      <c r="BU25" s="193">
        <f t="shared" si="208"/>
        <v>329</v>
      </c>
      <c r="BV25" s="193">
        <f t="shared" si="208"/>
        <v>0</v>
      </c>
      <c r="BW25" s="193">
        <f t="shared" si="208"/>
        <v>29</v>
      </c>
      <c r="BX25" s="193">
        <f t="shared" si="208"/>
        <v>40</v>
      </c>
      <c r="BY25" s="193">
        <f t="shared" si="208"/>
        <v>56</v>
      </c>
      <c r="BZ25" s="193">
        <f t="shared" si="208"/>
        <v>130</v>
      </c>
      <c r="CA25" s="193">
        <f t="shared" si="208"/>
        <v>52</v>
      </c>
      <c r="CB25" s="193">
        <f t="shared" si="208"/>
        <v>88</v>
      </c>
      <c r="CC25" s="193">
        <f t="shared" si="208"/>
        <v>50</v>
      </c>
      <c r="CD25" s="193">
        <f t="shared" si="208"/>
        <v>123</v>
      </c>
      <c r="CE25" s="193">
        <f t="shared" si="208"/>
        <v>47</v>
      </c>
      <c r="CF25" s="193">
        <f t="shared" si="208"/>
        <v>134</v>
      </c>
      <c r="CG25" s="193">
        <f t="shared" si="208"/>
        <v>45</v>
      </c>
      <c r="CH25" s="193">
        <f t="shared" si="208"/>
        <v>42</v>
      </c>
      <c r="CI25" s="193">
        <f t="shared" si="208"/>
        <v>0</v>
      </c>
      <c r="CJ25" s="193">
        <f t="shared" si="208"/>
        <v>557</v>
      </c>
      <c r="CK25" s="193">
        <f t="shared" si="208"/>
        <v>279</v>
      </c>
      <c r="CL25" s="193">
        <f>SUM(CL21:CL23)</f>
        <v>836</v>
      </c>
      <c r="CM25" s="193">
        <f>SUM(CM21:CM23)</f>
        <v>5</v>
      </c>
      <c r="CN25" s="193">
        <f t="shared" si="208"/>
        <v>4</v>
      </c>
      <c r="CO25" s="193">
        <f t="shared" si="208"/>
        <v>0</v>
      </c>
      <c r="CP25" s="193">
        <f t="shared" si="208"/>
        <v>4</v>
      </c>
      <c r="CQ25" s="193">
        <f t="shared" si="208"/>
        <v>2</v>
      </c>
      <c r="CR25" s="193">
        <f t="shared" si="208"/>
        <v>0</v>
      </c>
      <c r="CS25" s="193">
        <f t="shared" si="208"/>
        <v>6</v>
      </c>
      <c r="CT25" s="193">
        <f t="shared" si="208"/>
        <v>2</v>
      </c>
      <c r="CU25" s="193">
        <f t="shared" si="208"/>
        <v>0</v>
      </c>
      <c r="CV25" s="193">
        <f t="shared" si="208"/>
        <v>15</v>
      </c>
      <c r="CW25" s="193">
        <f t="shared" si="208"/>
        <v>8</v>
      </c>
      <c r="CX25" s="193">
        <f t="shared" si="208"/>
        <v>0</v>
      </c>
      <c r="CY25" s="193">
        <f t="shared" si="208"/>
        <v>23</v>
      </c>
      <c r="CZ25" s="193">
        <f t="shared" si="208"/>
        <v>4</v>
      </c>
      <c r="DA25" s="193">
        <f t="shared" si="208"/>
        <v>3</v>
      </c>
      <c r="DB25" s="193">
        <f t="shared" si="208"/>
        <v>2</v>
      </c>
      <c r="DC25" s="193">
        <f t="shared" si="208"/>
        <v>2</v>
      </c>
      <c r="DD25" s="193">
        <f t="shared" si="208"/>
        <v>10</v>
      </c>
      <c r="DE25" s="193">
        <f t="shared" si="208"/>
        <v>3</v>
      </c>
      <c r="DF25" s="193">
        <f t="shared" si="208"/>
        <v>16</v>
      </c>
      <c r="DG25" s="193">
        <f t="shared" si="208"/>
        <v>8</v>
      </c>
      <c r="DH25" s="193">
        <f t="shared" si="208"/>
        <v>24</v>
      </c>
      <c r="DI25" s="193">
        <f t="shared" si="208"/>
        <v>0</v>
      </c>
      <c r="DJ25" s="193">
        <f t="shared" si="208"/>
        <v>0</v>
      </c>
      <c r="DK25" s="193">
        <f t="shared" si="208"/>
        <v>0</v>
      </c>
      <c r="DL25" s="193">
        <f t="shared" si="208"/>
        <v>0</v>
      </c>
      <c r="DM25" s="193">
        <f t="shared" si="208"/>
        <v>0</v>
      </c>
      <c r="DN25" s="193">
        <f t="shared" si="208"/>
        <v>0</v>
      </c>
      <c r="DO25" s="193">
        <f t="shared" si="208"/>
        <v>0</v>
      </c>
      <c r="DP25" s="193">
        <f t="shared" si="208"/>
        <v>0</v>
      </c>
      <c r="DQ25" s="193">
        <f t="shared" si="208"/>
        <v>0</v>
      </c>
      <c r="DR25" s="193">
        <f t="shared" si="208"/>
        <v>87</v>
      </c>
      <c r="DS25" s="193">
        <f t="shared" si="208"/>
        <v>57</v>
      </c>
      <c r="DT25" s="193">
        <f t="shared" si="208"/>
        <v>35</v>
      </c>
      <c r="DU25" s="193">
        <f t="shared" si="208"/>
        <v>42</v>
      </c>
      <c r="DV25" s="193">
        <f t="shared" si="208"/>
        <v>130</v>
      </c>
      <c r="DW25" s="193">
        <f t="shared" si="208"/>
        <v>41</v>
      </c>
      <c r="DX25" s="193">
        <f t="shared" si="208"/>
        <v>252</v>
      </c>
      <c r="DY25" s="193">
        <f t="shared" si="208"/>
        <v>140</v>
      </c>
      <c r="DZ25" s="193">
        <f t="shared" si="208"/>
        <v>392</v>
      </c>
      <c r="EA25" s="193">
        <f t="shared" si="208"/>
        <v>14</v>
      </c>
      <c r="EB25" s="193">
        <f t="shared" si="208"/>
        <v>13</v>
      </c>
      <c r="EC25" s="193">
        <f t="shared" si="208"/>
        <v>1</v>
      </c>
      <c r="ED25" s="193">
        <f t="shared" si="208"/>
        <v>4</v>
      </c>
      <c r="EE25" s="193">
        <f t="shared" ref="EE25:GR25" si="209">SUM(EE21:EE23)</f>
        <v>38</v>
      </c>
      <c r="EF25" s="193">
        <f t="shared" si="209"/>
        <v>1</v>
      </c>
      <c r="EG25" s="193">
        <f t="shared" si="209"/>
        <v>53</v>
      </c>
      <c r="EH25" s="193">
        <f t="shared" si="209"/>
        <v>18</v>
      </c>
      <c r="EI25" s="193">
        <f t="shared" si="209"/>
        <v>71</v>
      </c>
      <c r="EJ25" s="193">
        <f t="shared" si="209"/>
        <v>4</v>
      </c>
      <c r="EK25" s="193">
        <f t="shared" si="209"/>
        <v>2</v>
      </c>
      <c r="EL25" s="193">
        <f t="shared" si="209"/>
        <v>3</v>
      </c>
      <c r="EM25" s="193">
        <f t="shared" si="209"/>
        <v>6</v>
      </c>
      <c r="EN25" s="193">
        <f t="shared" si="209"/>
        <v>0</v>
      </c>
      <c r="EO25" s="193">
        <f t="shared" si="209"/>
        <v>0</v>
      </c>
      <c r="EP25" s="193">
        <f t="shared" si="209"/>
        <v>7</v>
      </c>
      <c r="EQ25" s="193">
        <f t="shared" si="209"/>
        <v>8</v>
      </c>
      <c r="ER25" s="193">
        <f t="shared" si="209"/>
        <v>15</v>
      </c>
      <c r="ES25" s="193">
        <f t="shared" si="209"/>
        <v>0</v>
      </c>
      <c r="ET25" s="193">
        <f t="shared" si="209"/>
        <v>0</v>
      </c>
      <c r="EU25" s="193">
        <f t="shared" si="209"/>
        <v>0</v>
      </c>
      <c r="EV25" s="193">
        <f t="shared" si="209"/>
        <v>0</v>
      </c>
      <c r="EW25" s="193">
        <f t="shared" si="209"/>
        <v>0</v>
      </c>
      <c r="EX25" s="193">
        <f t="shared" si="209"/>
        <v>0</v>
      </c>
      <c r="EY25" s="193">
        <f t="shared" si="209"/>
        <v>29</v>
      </c>
      <c r="EZ25" s="193">
        <f t="shared" si="209"/>
        <v>0</v>
      </c>
      <c r="FA25" s="193">
        <f t="shared" si="209"/>
        <v>29</v>
      </c>
      <c r="FB25" s="193">
        <f t="shared" si="209"/>
        <v>1</v>
      </c>
      <c r="FC25" s="193">
        <f t="shared" si="209"/>
        <v>1</v>
      </c>
      <c r="FD25" s="193">
        <f t="shared" si="209"/>
        <v>1</v>
      </c>
      <c r="FE25" s="193">
        <f t="shared" si="209"/>
        <v>3</v>
      </c>
      <c r="FF25" s="193">
        <f t="shared" si="209"/>
        <v>17</v>
      </c>
      <c r="FG25" s="193">
        <f t="shared" si="209"/>
        <v>23</v>
      </c>
      <c r="FH25" s="193">
        <f t="shared" si="209"/>
        <v>1</v>
      </c>
      <c r="FI25" s="193">
        <f t="shared" si="209"/>
        <v>1</v>
      </c>
      <c r="FJ25" s="193">
        <f t="shared" si="209"/>
        <v>0</v>
      </c>
      <c r="FK25" s="193">
        <f t="shared" si="209"/>
        <v>0</v>
      </c>
      <c r="FL25" s="193">
        <f t="shared" si="209"/>
        <v>20</v>
      </c>
      <c r="FM25" s="193">
        <f t="shared" si="209"/>
        <v>28</v>
      </c>
      <c r="FN25" s="193">
        <f t="shared" si="209"/>
        <v>48</v>
      </c>
      <c r="FO25" s="193">
        <f t="shared" si="209"/>
        <v>0</v>
      </c>
      <c r="FP25" s="193">
        <f t="shared" si="209"/>
        <v>3</v>
      </c>
      <c r="FQ25" s="193">
        <f t="shared" si="209"/>
        <v>0</v>
      </c>
      <c r="FR25" s="193">
        <f t="shared" si="209"/>
        <v>1</v>
      </c>
      <c r="FS25" s="193">
        <f t="shared" si="209"/>
        <v>0</v>
      </c>
      <c r="FT25" s="193">
        <f t="shared" si="209"/>
        <v>0</v>
      </c>
      <c r="FU25" s="193">
        <f t="shared" si="209"/>
        <v>0</v>
      </c>
      <c r="FV25" s="193">
        <f t="shared" si="209"/>
        <v>0</v>
      </c>
      <c r="FW25" s="193">
        <f t="shared" si="209"/>
        <v>1</v>
      </c>
      <c r="FX25" s="193">
        <f t="shared" si="209"/>
        <v>1</v>
      </c>
      <c r="FY25" s="193">
        <f t="shared" si="209"/>
        <v>0</v>
      </c>
      <c r="FZ25" s="193">
        <f t="shared" si="209"/>
        <v>0</v>
      </c>
      <c r="GA25" s="193">
        <f t="shared" si="209"/>
        <v>0</v>
      </c>
      <c r="GB25" s="193">
        <f t="shared" si="209"/>
        <v>0</v>
      </c>
      <c r="GC25" s="193"/>
      <c r="GD25" s="193"/>
      <c r="GE25" s="193">
        <f t="shared" si="209"/>
        <v>0</v>
      </c>
      <c r="GF25" s="193">
        <f t="shared" si="209"/>
        <v>0</v>
      </c>
      <c r="GG25" s="193">
        <f t="shared" si="209"/>
        <v>1</v>
      </c>
      <c r="GH25" s="193">
        <f t="shared" si="209"/>
        <v>5</v>
      </c>
      <c r="GI25" s="193">
        <f t="shared" si="209"/>
        <v>6</v>
      </c>
      <c r="GJ25" s="193">
        <f t="shared" si="209"/>
        <v>1</v>
      </c>
      <c r="GK25" s="193">
        <f t="shared" si="209"/>
        <v>0</v>
      </c>
      <c r="GL25" s="193">
        <f t="shared" si="209"/>
        <v>0</v>
      </c>
      <c r="GM25" s="193">
        <f t="shared" si="209"/>
        <v>3</v>
      </c>
      <c r="GN25" s="193">
        <f t="shared" si="209"/>
        <v>2</v>
      </c>
      <c r="GO25" s="193">
        <f t="shared" si="209"/>
        <v>1</v>
      </c>
      <c r="GP25" s="193">
        <f t="shared" si="209"/>
        <v>0</v>
      </c>
      <c r="GQ25" s="193">
        <f t="shared" si="209"/>
        <v>1</v>
      </c>
      <c r="GR25" s="193">
        <f t="shared" si="209"/>
        <v>1</v>
      </c>
      <c r="GS25" s="193">
        <f t="shared" ref="GS25:JD25" si="210">SUM(GS21:GS23)</f>
        <v>1</v>
      </c>
      <c r="GT25" s="193">
        <f t="shared" si="210"/>
        <v>0</v>
      </c>
      <c r="GU25" s="193">
        <f t="shared" si="210"/>
        <v>0</v>
      </c>
      <c r="GV25" s="193">
        <f t="shared" si="210"/>
        <v>0</v>
      </c>
      <c r="GW25" s="193">
        <f t="shared" si="210"/>
        <v>0</v>
      </c>
      <c r="GX25" s="193">
        <f t="shared" si="210"/>
        <v>0</v>
      </c>
      <c r="GY25" s="193">
        <f t="shared" si="210"/>
        <v>0</v>
      </c>
      <c r="GZ25" s="193">
        <f t="shared" si="210"/>
        <v>0</v>
      </c>
      <c r="HA25" s="193">
        <f t="shared" si="210"/>
        <v>1</v>
      </c>
      <c r="HB25" s="193">
        <f t="shared" si="210"/>
        <v>1</v>
      </c>
      <c r="HC25" s="193">
        <f t="shared" si="210"/>
        <v>0</v>
      </c>
      <c r="HD25" s="193">
        <f t="shared" si="210"/>
        <v>0</v>
      </c>
      <c r="HE25" s="193">
        <f t="shared" si="210"/>
        <v>0</v>
      </c>
      <c r="HF25" s="193">
        <f t="shared" si="210"/>
        <v>1</v>
      </c>
      <c r="HG25" s="193">
        <f t="shared" si="210"/>
        <v>1</v>
      </c>
      <c r="HH25" s="193">
        <f t="shared" si="210"/>
        <v>0</v>
      </c>
      <c r="HI25" s="193">
        <f t="shared" si="210"/>
        <v>0</v>
      </c>
      <c r="HJ25" s="193">
        <f t="shared" si="210"/>
        <v>0</v>
      </c>
      <c r="HK25" s="193">
        <f t="shared" si="210"/>
        <v>0</v>
      </c>
      <c r="HL25" s="193">
        <f t="shared" si="210"/>
        <v>0</v>
      </c>
      <c r="HM25" s="193">
        <f t="shared" si="210"/>
        <v>0</v>
      </c>
      <c r="HN25" s="193">
        <f t="shared" si="210"/>
        <v>0</v>
      </c>
      <c r="HO25" s="193">
        <f t="shared" si="210"/>
        <v>0</v>
      </c>
      <c r="HP25" s="193">
        <f t="shared" si="210"/>
        <v>0</v>
      </c>
      <c r="HQ25" s="193">
        <f t="shared" si="210"/>
        <v>0</v>
      </c>
      <c r="HR25" s="193">
        <f t="shared" si="210"/>
        <v>0</v>
      </c>
      <c r="HS25" s="193">
        <f t="shared" si="210"/>
        <v>0</v>
      </c>
      <c r="HT25" s="193">
        <f t="shared" si="210"/>
        <v>0</v>
      </c>
      <c r="HU25" s="193">
        <f t="shared" si="210"/>
        <v>0</v>
      </c>
      <c r="HV25" s="193">
        <f t="shared" si="210"/>
        <v>0</v>
      </c>
      <c r="HW25" s="193">
        <f t="shared" si="210"/>
        <v>0</v>
      </c>
      <c r="HX25" s="193">
        <f t="shared" si="210"/>
        <v>0</v>
      </c>
      <c r="HY25" s="193">
        <f t="shared" si="210"/>
        <v>0</v>
      </c>
      <c r="HZ25" s="193">
        <f t="shared" si="210"/>
        <v>0</v>
      </c>
      <c r="IA25" s="193">
        <f t="shared" si="210"/>
        <v>0</v>
      </c>
      <c r="IB25" s="193">
        <f t="shared" si="210"/>
        <v>0</v>
      </c>
      <c r="IC25" s="193">
        <f t="shared" si="210"/>
        <v>0</v>
      </c>
      <c r="ID25" s="193">
        <f t="shared" si="210"/>
        <v>0</v>
      </c>
      <c r="IE25" s="193">
        <f t="shared" si="210"/>
        <v>0</v>
      </c>
      <c r="IF25" s="193">
        <f t="shared" si="210"/>
        <v>0</v>
      </c>
      <c r="IG25" s="193">
        <f t="shared" si="210"/>
        <v>0</v>
      </c>
      <c r="IH25" s="193">
        <f t="shared" si="210"/>
        <v>0</v>
      </c>
      <c r="II25" s="193">
        <f t="shared" si="210"/>
        <v>0</v>
      </c>
      <c r="IJ25" s="193">
        <f t="shared" si="210"/>
        <v>0</v>
      </c>
      <c r="IK25" s="193">
        <f t="shared" si="210"/>
        <v>0</v>
      </c>
      <c r="IL25" s="193">
        <f t="shared" si="210"/>
        <v>0</v>
      </c>
      <c r="IM25" s="193">
        <f t="shared" si="210"/>
        <v>0</v>
      </c>
      <c r="IN25" s="193">
        <f t="shared" si="210"/>
        <v>0</v>
      </c>
      <c r="IO25" s="193">
        <f t="shared" si="210"/>
        <v>0</v>
      </c>
      <c r="IP25" s="193">
        <f t="shared" si="210"/>
        <v>0</v>
      </c>
      <c r="IQ25" s="193">
        <f t="shared" si="210"/>
        <v>0</v>
      </c>
      <c r="IR25" s="193">
        <f t="shared" si="210"/>
        <v>0</v>
      </c>
      <c r="IS25" s="193">
        <f t="shared" si="210"/>
        <v>0</v>
      </c>
      <c r="IT25" s="193">
        <f t="shared" si="210"/>
        <v>0</v>
      </c>
      <c r="IU25" s="193">
        <f t="shared" si="210"/>
        <v>0</v>
      </c>
      <c r="IV25" s="193">
        <f t="shared" si="210"/>
        <v>0</v>
      </c>
      <c r="IW25" s="193">
        <f t="shared" si="210"/>
        <v>0</v>
      </c>
      <c r="IX25" s="193">
        <f t="shared" si="210"/>
        <v>0</v>
      </c>
      <c r="IY25" s="193">
        <f t="shared" si="210"/>
        <v>0</v>
      </c>
      <c r="IZ25" s="193">
        <f t="shared" si="210"/>
        <v>0</v>
      </c>
      <c r="JA25" s="193">
        <f t="shared" si="210"/>
        <v>0</v>
      </c>
      <c r="JB25" s="193">
        <f t="shared" si="210"/>
        <v>0</v>
      </c>
      <c r="JC25" s="193">
        <f t="shared" si="210"/>
        <v>0</v>
      </c>
      <c r="JD25" s="193">
        <f t="shared" si="210"/>
        <v>0</v>
      </c>
      <c r="JE25" s="193">
        <f t="shared" ref="JE25:LN25" si="211">SUM(JE21:JE23)</f>
        <v>0</v>
      </c>
      <c r="JF25" s="193">
        <f t="shared" si="211"/>
        <v>0</v>
      </c>
      <c r="JG25" s="193">
        <f t="shared" si="211"/>
        <v>0</v>
      </c>
      <c r="JH25" s="193">
        <f t="shared" si="211"/>
        <v>0</v>
      </c>
      <c r="JI25" s="193">
        <f t="shared" si="211"/>
        <v>0</v>
      </c>
      <c r="JJ25" s="193">
        <f t="shared" si="211"/>
        <v>0</v>
      </c>
      <c r="JK25" s="193">
        <f t="shared" si="211"/>
        <v>0</v>
      </c>
      <c r="JL25" s="193">
        <f t="shared" si="211"/>
        <v>2</v>
      </c>
      <c r="JM25" s="193">
        <f t="shared" si="211"/>
        <v>0</v>
      </c>
      <c r="JN25" s="193">
        <f t="shared" si="211"/>
        <v>3</v>
      </c>
      <c r="JO25" s="193">
        <f t="shared" si="211"/>
        <v>1</v>
      </c>
      <c r="JP25" s="193">
        <f t="shared" si="211"/>
        <v>3</v>
      </c>
      <c r="JQ25" s="193">
        <f t="shared" si="211"/>
        <v>4</v>
      </c>
      <c r="JR25" s="193">
        <f t="shared" si="211"/>
        <v>0</v>
      </c>
      <c r="JS25" s="193">
        <f t="shared" si="211"/>
        <v>2</v>
      </c>
      <c r="JT25" s="193">
        <f t="shared" si="211"/>
        <v>5</v>
      </c>
      <c r="JU25" s="193">
        <f t="shared" si="211"/>
        <v>1</v>
      </c>
      <c r="JV25" s="193">
        <f t="shared" si="211"/>
        <v>0</v>
      </c>
      <c r="JW25" s="193">
        <f t="shared" si="211"/>
        <v>0</v>
      </c>
      <c r="JX25" s="193">
        <f t="shared" si="211"/>
        <v>0</v>
      </c>
      <c r="JY25" s="193">
        <f t="shared" si="211"/>
        <v>0</v>
      </c>
      <c r="JZ25" s="193">
        <f t="shared" si="211"/>
        <v>0</v>
      </c>
      <c r="KA25" s="193">
        <f t="shared" si="211"/>
        <v>0</v>
      </c>
      <c r="KB25" s="193">
        <f t="shared" si="211"/>
        <v>0</v>
      </c>
      <c r="KC25" s="193">
        <f t="shared" si="211"/>
        <v>0</v>
      </c>
      <c r="KD25" s="193">
        <f t="shared" si="211"/>
        <v>0</v>
      </c>
      <c r="KE25" s="193">
        <f t="shared" si="211"/>
        <v>0</v>
      </c>
      <c r="KF25" s="193">
        <f t="shared" si="211"/>
        <v>0</v>
      </c>
      <c r="KG25" s="193">
        <f t="shared" si="211"/>
        <v>0</v>
      </c>
      <c r="KH25" s="193">
        <f t="shared" si="211"/>
        <v>0</v>
      </c>
      <c r="KI25" s="193">
        <f t="shared" si="211"/>
        <v>4</v>
      </c>
      <c r="KJ25" s="193">
        <f t="shared" si="211"/>
        <v>0</v>
      </c>
      <c r="KK25" s="193">
        <f t="shared" si="211"/>
        <v>0</v>
      </c>
      <c r="KL25" s="193">
        <f t="shared" si="211"/>
        <v>0</v>
      </c>
      <c r="KM25" s="193">
        <f t="shared" si="211"/>
        <v>0</v>
      </c>
      <c r="KN25" s="193">
        <f t="shared" si="211"/>
        <v>1</v>
      </c>
      <c r="KO25" s="193">
        <f t="shared" si="211"/>
        <v>3</v>
      </c>
      <c r="KP25" s="193">
        <f t="shared" si="211"/>
        <v>0</v>
      </c>
      <c r="KQ25" s="193">
        <f t="shared" si="211"/>
        <v>0</v>
      </c>
      <c r="KR25" s="193">
        <f t="shared" si="211"/>
        <v>0</v>
      </c>
      <c r="KS25" s="193">
        <f t="shared" si="211"/>
        <v>0</v>
      </c>
      <c r="KT25" s="193">
        <f t="shared" si="211"/>
        <v>0</v>
      </c>
      <c r="KU25" s="193">
        <f t="shared" si="211"/>
        <v>5</v>
      </c>
      <c r="KV25" s="193">
        <f t="shared" si="211"/>
        <v>20</v>
      </c>
      <c r="KW25" s="193">
        <f t="shared" si="211"/>
        <v>28</v>
      </c>
      <c r="KX25" s="193">
        <f t="shared" si="211"/>
        <v>48</v>
      </c>
      <c r="KY25" s="193">
        <f t="shared" si="211"/>
        <v>14</v>
      </c>
      <c r="KZ25" s="193">
        <f t="shared" si="211"/>
        <v>22</v>
      </c>
      <c r="LA25" s="193">
        <f t="shared" si="211"/>
        <v>0</v>
      </c>
      <c r="LB25" s="193">
        <f t="shared" si="211"/>
        <v>0</v>
      </c>
      <c r="LC25" s="193">
        <f t="shared" si="211"/>
        <v>0</v>
      </c>
      <c r="LD25" s="193">
        <f t="shared" si="211"/>
        <v>3</v>
      </c>
      <c r="LE25" s="193">
        <f t="shared" si="211"/>
        <v>0</v>
      </c>
      <c r="LF25" s="193">
        <f t="shared" si="211"/>
        <v>0</v>
      </c>
      <c r="LG25" s="193">
        <f t="shared" si="211"/>
        <v>2</v>
      </c>
      <c r="LH25" s="193">
        <f t="shared" si="211"/>
        <v>0</v>
      </c>
      <c r="LI25" s="193">
        <f t="shared" si="211"/>
        <v>1</v>
      </c>
      <c r="LJ25" s="193">
        <f t="shared" si="211"/>
        <v>1</v>
      </c>
      <c r="LK25" s="193">
        <f t="shared" si="211"/>
        <v>0</v>
      </c>
      <c r="LL25" s="193">
        <f t="shared" si="211"/>
        <v>2</v>
      </c>
      <c r="LM25" s="193">
        <f t="shared" si="211"/>
        <v>0</v>
      </c>
      <c r="LN25" s="193">
        <f t="shared" si="211"/>
        <v>0</v>
      </c>
      <c r="LO25" s="193">
        <f t="shared" ref="LO25:LP25" si="212">SUM(LO21:LO23)</f>
        <v>3</v>
      </c>
      <c r="LP25" s="193">
        <f t="shared" si="212"/>
        <v>0</v>
      </c>
      <c r="LQ25" s="193">
        <f t="shared" ref="LQ25:OA25" si="213">SUM(LQ21:LQ23)</f>
        <v>20</v>
      </c>
      <c r="LR25" s="193">
        <f t="shared" si="213"/>
        <v>28</v>
      </c>
      <c r="LS25" s="193">
        <f t="shared" si="213"/>
        <v>48</v>
      </c>
      <c r="LT25" s="193">
        <f t="shared" si="213"/>
        <v>6</v>
      </c>
      <c r="LU25" s="193">
        <f t="shared" si="213"/>
        <v>4</v>
      </c>
      <c r="LV25" s="193">
        <f t="shared" si="213"/>
        <v>4</v>
      </c>
      <c r="LW25" s="193">
        <f t="shared" si="213"/>
        <v>2</v>
      </c>
      <c r="LX25" s="193">
        <f t="shared" si="213"/>
        <v>4</v>
      </c>
      <c r="LY25" s="193">
        <f t="shared" si="213"/>
        <v>9</v>
      </c>
      <c r="LZ25" s="193">
        <f t="shared" si="213"/>
        <v>6</v>
      </c>
      <c r="MA25" s="193">
        <f t="shared" si="213"/>
        <v>13</v>
      </c>
      <c r="MB25" s="193">
        <f t="shared" si="213"/>
        <v>20</v>
      </c>
      <c r="MC25" s="193">
        <f t="shared" si="213"/>
        <v>28</v>
      </c>
      <c r="MD25" s="193">
        <f t="shared" si="213"/>
        <v>48</v>
      </c>
      <c r="ME25" s="193">
        <f t="shared" si="213"/>
        <v>5</v>
      </c>
      <c r="MF25" s="193">
        <f t="shared" si="213"/>
        <v>4</v>
      </c>
      <c r="MG25" s="193">
        <f t="shared" si="213"/>
        <v>5</v>
      </c>
      <c r="MH25" s="193">
        <f t="shared" si="213"/>
        <v>6</v>
      </c>
      <c r="MI25" s="193">
        <f t="shared" si="213"/>
        <v>3</v>
      </c>
      <c r="MJ25" s="193">
        <f t="shared" si="213"/>
        <v>4</v>
      </c>
      <c r="MK25" s="193">
        <f t="shared" si="213"/>
        <v>7</v>
      </c>
      <c r="ML25" s="193">
        <f t="shared" si="213"/>
        <v>12</v>
      </c>
      <c r="MM25" s="193">
        <f t="shared" si="213"/>
        <v>0</v>
      </c>
      <c r="MN25" s="193">
        <f t="shared" si="213"/>
        <v>2</v>
      </c>
      <c r="MO25" s="193">
        <f t="shared" si="213"/>
        <v>20</v>
      </c>
      <c r="MP25" s="193">
        <f t="shared" si="213"/>
        <v>28</v>
      </c>
      <c r="MQ25" s="193">
        <f t="shared" si="213"/>
        <v>48</v>
      </c>
      <c r="MR25" s="193">
        <f t="shared" si="213"/>
        <v>1</v>
      </c>
      <c r="MS25" s="193">
        <f t="shared" si="213"/>
        <v>4</v>
      </c>
      <c r="MT25" s="193">
        <f t="shared" si="213"/>
        <v>19</v>
      </c>
      <c r="MU25" s="193">
        <f t="shared" si="213"/>
        <v>22</v>
      </c>
      <c r="MV25" s="193">
        <f t="shared" si="213"/>
        <v>0</v>
      </c>
      <c r="MW25" s="193">
        <f t="shared" si="213"/>
        <v>1</v>
      </c>
      <c r="MX25" s="193">
        <f t="shared" si="213"/>
        <v>0</v>
      </c>
      <c r="MY25" s="193">
        <f t="shared" si="213"/>
        <v>1</v>
      </c>
      <c r="MZ25" s="193">
        <f t="shared" si="213"/>
        <v>20</v>
      </c>
      <c r="NA25" s="193">
        <f t="shared" si="213"/>
        <v>28</v>
      </c>
      <c r="NB25" s="193">
        <f t="shared" si="213"/>
        <v>48</v>
      </c>
      <c r="NC25" s="193">
        <f t="shared" si="213"/>
        <v>20</v>
      </c>
      <c r="ND25" s="193">
        <f t="shared" si="213"/>
        <v>6</v>
      </c>
      <c r="NE25" s="193">
        <f t="shared" si="213"/>
        <v>0</v>
      </c>
      <c r="NF25" s="193">
        <f t="shared" si="213"/>
        <v>1</v>
      </c>
      <c r="NG25" s="193">
        <f t="shared" si="213"/>
        <v>0</v>
      </c>
      <c r="NH25" s="193">
        <f t="shared" si="213"/>
        <v>0</v>
      </c>
      <c r="NI25" s="193">
        <f t="shared" si="213"/>
        <v>1</v>
      </c>
      <c r="NJ25" s="193">
        <f t="shared" si="213"/>
        <v>0</v>
      </c>
      <c r="NK25" s="193">
        <f t="shared" si="213"/>
        <v>14</v>
      </c>
      <c r="NL25" s="193">
        <f t="shared" si="213"/>
        <v>19</v>
      </c>
      <c r="NM25" s="193">
        <f t="shared" si="213"/>
        <v>2</v>
      </c>
      <c r="NN25" s="193">
        <f t="shared" si="213"/>
        <v>5</v>
      </c>
      <c r="NO25" s="193">
        <f t="shared" si="213"/>
        <v>0</v>
      </c>
      <c r="NP25" s="193">
        <f t="shared" si="213"/>
        <v>0</v>
      </c>
      <c r="NQ25" s="193">
        <f t="shared" si="213"/>
        <v>1</v>
      </c>
      <c r="NR25" s="193">
        <f t="shared" si="213"/>
        <v>3</v>
      </c>
      <c r="NS25" s="193">
        <f t="shared" si="213"/>
        <v>2</v>
      </c>
      <c r="NT25" s="193">
        <f t="shared" si="213"/>
        <v>0</v>
      </c>
      <c r="NU25" s="193">
        <f t="shared" si="213"/>
        <v>0</v>
      </c>
      <c r="NV25" s="193">
        <f t="shared" si="213"/>
        <v>0</v>
      </c>
      <c r="NW25" s="193">
        <f t="shared" si="213"/>
        <v>20</v>
      </c>
      <c r="NX25" s="193">
        <f t="shared" si="213"/>
        <v>28</v>
      </c>
      <c r="NY25" s="193">
        <f t="shared" si="213"/>
        <v>48</v>
      </c>
      <c r="NZ25" s="193">
        <f t="shared" si="213"/>
        <v>0</v>
      </c>
      <c r="OA25" s="193">
        <f t="shared" si="213"/>
        <v>0</v>
      </c>
      <c r="OB25" s="193">
        <f t="shared" ref="OB25:QS25" si="214">SUM(OB21:OB23)</f>
        <v>0</v>
      </c>
      <c r="OC25" s="193">
        <f t="shared" si="214"/>
        <v>0</v>
      </c>
      <c r="OD25" s="193">
        <f>SUM(OD21:OD23)</f>
        <v>0</v>
      </c>
      <c r="OE25" s="193">
        <f t="shared" si="214"/>
        <v>0</v>
      </c>
      <c r="OF25" s="193">
        <f t="shared" si="214"/>
        <v>0</v>
      </c>
      <c r="OG25" s="193">
        <f t="shared" si="214"/>
        <v>0</v>
      </c>
      <c r="OH25" s="193">
        <f t="shared" si="214"/>
        <v>0</v>
      </c>
      <c r="OI25" s="193">
        <f t="shared" ref="OI25:OT25" si="215">SUM(OI21:OI23)</f>
        <v>0</v>
      </c>
      <c r="OJ25" s="193">
        <f t="shared" si="215"/>
        <v>2</v>
      </c>
      <c r="OK25" s="193">
        <f t="shared" si="215"/>
        <v>2</v>
      </c>
      <c r="OL25" s="193">
        <f t="shared" si="215"/>
        <v>0</v>
      </c>
      <c r="OM25" s="193">
        <f t="shared" si="215"/>
        <v>1</v>
      </c>
      <c r="ON25" s="193">
        <f t="shared" si="215"/>
        <v>1</v>
      </c>
      <c r="OO25" s="193">
        <f t="shared" si="215"/>
        <v>1</v>
      </c>
      <c r="OP25" s="193">
        <f t="shared" si="215"/>
        <v>1</v>
      </c>
      <c r="OQ25" s="193">
        <f t="shared" si="215"/>
        <v>0</v>
      </c>
      <c r="OR25" s="193">
        <f t="shared" si="215"/>
        <v>0</v>
      </c>
      <c r="OS25" s="193">
        <f t="shared" si="215"/>
        <v>0</v>
      </c>
      <c r="OT25" s="193">
        <f t="shared" si="215"/>
        <v>1</v>
      </c>
      <c r="OU25" s="193">
        <f t="shared" si="214"/>
        <v>1</v>
      </c>
      <c r="OV25" s="193">
        <f t="shared" si="214"/>
        <v>0</v>
      </c>
      <c r="OW25" s="193"/>
      <c r="OX25" s="193"/>
      <c r="OY25" s="193"/>
      <c r="OZ25" s="193">
        <f t="shared" si="214"/>
        <v>0</v>
      </c>
      <c r="PA25" s="193">
        <f t="shared" si="214"/>
        <v>1</v>
      </c>
      <c r="PB25" s="193">
        <f t="shared" si="214"/>
        <v>0</v>
      </c>
      <c r="PC25" s="193">
        <f t="shared" si="214"/>
        <v>0</v>
      </c>
      <c r="PD25" s="193">
        <f t="shared" si="214"/>
        <v>1</v>
      </c>
      <c r="PE25" s="193">
        <f t="shared" si="214"/>
        <v>0</v>
      </c>
      <c r="PF25" s="193">
        <f t="shared" si="214"/>
        <v>0</v>
      </c>
      <c r="PG25" s="193">
        <f t="shared" si="214"/>
        <v>0</v>
      </c>
      <c r="PH25" s="193">
        <f t="shared" si="214"/>
        <v>0</v>
      </c>
      <c r="PI25" s="193">
        <f t="shared" si="214"/>
        <v>1</v>
      </c>
      <c r="PJ25" s="193">
        <f t="shared" si="214"/>
        <v>0</v>
      </c>
      <c r="PK25" s="193">
        <f t="shared" si="214"/>
        <v>1</v>
      </c>
      <c r="PL25" s="193">
        <f t="shared" si="214"/>
        <v>0</v>
      </c>
      <c r="PM25" s="193">
        <f t="shared" si="214"/>
        <v>24</v>
      </c>
      <c r="PN25" s="193">
        <f t="shared" si="214"/>
        <v>6</v>
      </c>
      <c r="PO25" s="193">
        <f t="shared" si="214"/>
        <v>30</v>
      </c>
      <c r="PP25" s="193">
        <f t="shared" si="214"/>
        <v>1</v>
      </c>
      <c r="PQ25" s="193">
        <f t="shared" si="214"/>
        <v>0</v>
      </c>
      <c r="PR25" s="193">
        <f t="shared" si="214"/>
        <v>0</v>
      </c>
      <c r="PS25" s="193">
        <f t="shared" si="214"/>
        <v>0</v>
      </c>
      <c r="PT25" s="193">
        <f t="shared" si="214"/>
        <v>0</v>
      </c>
      <c r="PU25" s="193">
        <f t="shared" si="214"/>
        <v>0</v>
      </c>
      <c r="PV25" s="193">
        <f t="shared" ref="PV25:QH25" si="216">SUM(PV21:PV23)</f>
        <v>1</v>
      </c>
      <c r="PW25" s="193">
        <f t="shared" si="216"/>
        <v>0</v>
      </c>
      <c r="PX25" s="193">
        <f t="shared" si="216"/>
        <v>1</v>
      </c>
      <c r="PY25" s="193">
        <f t="shared" si="216"/>
        <v>0</v>
      </c>
      <c r="PZ25" s="193">
        <f t="shared" si="216"/>
        <v>1</v>
      </c>
      <c r="QA25" s="193">
        <f t="shared" si="216"/>
        <v>0</v>
      </c>
      <c r="QB25" s="193">
        <f t="shared" si="216"/>
        <v>1</v>
      </c>
      <c r="QC25" s="193">
        <f t="shared" si="216"/>
        <v>0</v>
      </c>
      <c r="QD25" s="193">
        <f t="shared" si="216"/>
        <v>1</v>
      </c>
      <c r="QE25" s="193">
        <f t="shared" si="216"/>
        <v>0</v>
      </c>
      <c r="QF25" s="193">
        <f t="shared" si="216"/>
        <v>0</v>
      </c>
      <c r="QG25" s="193">
        <f t="shared" si="216"/>
        <v>0</v>
      </c>
      <c r="QH25" s="193">
        <f t="shared" si="216"/>
        <v>0</v>
      </c>
      <c r="QI25" s="193">
        <f t="shared" si="214"/>
        <v>1</v>
      </c>
      <c r="QJ25" s="193">
        <f t="shared" si="214"/>
        <v>0</v>
      </c>
      <c r="QK25" s="193">
        <f t="shared" si="214"/>
        <v>1</v>
      </c>
      <c r="QL25" s="193">
        <f t="shared" si="214"/>
        <v>0</v>
      </c>
      <c r="QM25" s="193">
        <f t="shared" si="214"/>
        <v>1</v>
      </c>
      <c r="QN25" s="193">
        <f t="shared" si="214"/>
        <v>0</v>
      </c>
      <c r="QO25" s="193">
        <f t="shared" si="214"/>
        <v>1</v>
      </c>
      <c r="QP25" s="193">
        <f t="shared" si="214"/>
        <v>0</v>
      </c>
      <c r="QQ25" s="193">
        <f t="shared" si="214"/>
        <v>0</v>
      </c>
      <c r="QR25" s="193">
        <f t="shared" si="214"/>
        <v>1</v>
      </c>
      <c r="QS25" s="193">
        <f t="shared" si="214"/>
        <v>0</v>
      </c>
      <c r="QT25" s="193">
        <f t="shared" ref="QT25:SP25" si="217">SUM(QT21:QT23)</f>
        <v>0</v>
      </c>
      <c r="QU25" s="193">
        <f t="shared" si="217"/>
        <v>1</v>
      </c>
      <c r="QV25" s="193">
        <f t="shared" si="217"/>
        <v>0</v>
      </c>
      <c r="QW25" s="193">
        <f t="shared" si="217"/>
        <v>0</v>
      </c>
      <c r="QX25" s="193">
        <f t="shared" si="217"/>
        <v>0</v>
      </c>
      <c r="QY25" s="193">
        <f t="shared" si="217"/>
        <v>0</v>
      </c>
      <c r="QZ25" s="193">
        <f t="shared" si="217"/>
        <v>0</v>
      </c>
      <c r="RA25" s="193">
        <f t="shared" si="217"/>
        <v>1</v>
      </c>
      <c r="RB25" s="193">
        <f>SUM(RB21:RB23)</f>
        <v>1</v>
      </c>
      <c r="RC25" s="193">
        <f>SUM(RC21:RC23)</f>
        <v>0</v>
      </c>
      <c r="RD25" s="193">
        <f t="shared" si="217"/>
        <v>0</v>
      </c>
      <c r="RE25" s="193">
        <f t="shared" si="217"/>
        <v>1</v>
      </c>
      <c r="RF25" s="193">
        <f t="shared" si="217"/>
        <v>1</v>
      </c>
      <c r="RG25" s="193">
        <f t="shared" si="217"/>
        <v>0</v>
      </c>
      <c r="RH25" s="193">
        <f t="shared" si="217"/>
        <v>0</v>
      </c>
      <c r="RI25" s="193">
        <f t="shared" si="217"/>
        <v>0</v>
      </c>
      <c r="RJ25" s="193">
        <f t="shared" si="217"/>
        <v>1</v>
      </c>
      <c r="RK25" s="193">
        <f t="shared" si="217"/>
        <v>0</v>
      </c>
      <c r="RL25" s="193">
        <f t="shared" si="217"/>
        <v>1</v>
      </c>
      <c r="RM25" s="193">
        <f t="shared" si="217"/>
        <v>0</v>
      </c>
      <c r="RN25" s="193">
        <f t="shared" si="217"/>
        <v>0</v>
      </c>
      <c r="RO25" s="193"/>
      <c r="RP25" s="193"/>
      <c r="RQ25" s="193"/>
      <c r="RR25" s="193"/>
      <c r="RS25" s="193"/>
      <c r="RT25" s="193"/>
      <c r="RU25" s="193">
        <f t="shared" si="217"/>
        <v>1</v>
      </c>
      <c r="RV25" s="193">
        <f t="shared" si="217"/>
        <v>8</v>
      </c>
      <c r="RW25" s="193">
        <f t="shared" si="217"/>
        <v>2</v>
      </c>
      <c r="RX25" s="193">
        <f t="shared" si="217"/>
        <v>0</v>
      </c>
      <c r="RY25" s="193">
        <f t="shared" si="217"/>
        <v>2</v>
      </c>
      <c r="RZ25" s="193">
        <f t="shared" si="217"/>
        <v>0</v>
      </c>
      <c r="SA25" s="193">
        <f t="shared" si="217"/>
        <v>0</v>
      </c>
      <c r="SB25" s="193">
        <f t="shared" si="217"/>
        <v>2</v>
      </c>
      <c r="SC25" s="193">
        <f t="shared" si="217"/>
        <v>0</v>
      </c>
      <c r="SD25" s="193">
        <f t="shared" si="217"/>
        <v>0</v>
      </c>
      <c r="SE25" s="193">
        <f t="shared" si="217"/>
        <v>0</v>
      </c>
      <c r="SF25" s="193">
        <f t="shared" si="217"/>
        <v>0</v>
      </c>
      <c r="SG25" s="193">
        <f t="shared" si="217"/>
        <v>0</v>
      </c>
      <c r="SH25" s="193">
        <f t="shared" si="217"/>
        <v>0</v>
      </c>
      <c r="SI25" s="193">
        <f t="shared" si="217"/>
        <v>0</v>
      </c>
      <c r="SJ25" s="193">
        <f t="shared" si="217"/>
        <v>0</v>
      </c>
      <c r="SK25" s="193">
        <f t="shared" si="217"/>
        <v>0</v>
      </c>
      <c r="SL25" s="193">
        <f t="shared" si="217"/>
        <v>0</v>
      </c>
      <c r="SM25" s="193">
        <f t="shared" si="217"/>
        <v>0</v>
      </c>
      <c r="SN25" s="193">
        <f t="shared" si="217"/>
        <v>0</v>
      </c>
      <c r="SO25" s="193">
        <f t="shared" si="217"/>
        <v>0</v>
      </c>
      <c r="SP25" s="193">
        <f t="shared" si="217"/>
        <v>0</v>
      </c>
      <c r="SQ25" s="193"/>
      <c r="SR25" s="193"/>
      <c r="SS25" s="195"/>
    </row>
    <row r="26" spans="1:513" s="194" customFormat="1" ht="18" customHeight="1">
      <c r="A26" s="221" t="s">
        <v>200</v>
      </c>
      <c r="B26" s="242"/>
      <c r="C26" s="242"/>
      <c r="D26" s="242"/>
      <c r="E26" s="222"/>
      <c r="F26" s="193">
        <f>F25</f>
        <v>1</v>
      </c>
      <c r="G26" s="193">
        <f t="shared" ref="G26:BR26" si="218">G25</f>
        <v>1</v>
      </c>
      <c r="H26" s="193">
        <f t="shared" si="218"/>
        <v>0</v>
      </c>
      <c r="I26" s="193">
        <f t="shared" si="218"/>
        <v>2</v>
      </c>
      <c r="J26" s="193">
        <f t="shared" si="218"/>
        <v>0</v>
      </c>
      <c r="K26" s="193">
        <f t="shared" si="218"/>
        <v>1</v>
      </c>
      <c r="L26" s="193">
        <f t="shared" si="218"/>
        <v>1</v>
      </c>
      <c r="M26" s="193">
        <f t="shared" si="218"/>
        <v>0</v>
      </c>
      <c r="N26" s="193">
        <f t="shared" si="218"/>
        <v>0</v>
      </c>
      <c r="O26" s="193">
        <f t="shared" si="218"/>
        <v>1</v>
      </c>
      <c r="P26" s="193">
        <f t="shared" si="218"/>
        <v>1</v>
      </c>
      <c r="Q26" s="193">
        <f t="shared" si="218"/>
        <v>1</v>
      </c>
      <c r="R26" s="193">
        <f t="shared" si="218"/>
        <v>0</v>
      </c>
      <c r="S26" s="193">
        <f t="shared" si="218"/>
        <v>1</v>
      </c>
      <c r="T26" s="193">
        <f t="shared" si="218"/>
        <v>0</v>
      </c>
      <c r="U26" s="193">
        <f t="shared" si="218"/>
        <v>0</v>
      </c>
      <c r="V26" s="193">
        <f t="shared" si="218"/>
        <v>0</v>
      </c>
      <c r="W26" s="193">
        <f t="shared" si="218"/>
        <v>29</v>
      </c>
      <c r="X26" s="193">
        <f t="shared" si="218"/>
        <v>40</v>
      </c>
      <c r="Y26" s="193">
        <f t="shared" si="218"/>
        <v>42</v>
      </c>
      <c r="Z26" s="193">
        <f t="shared" si="218"/>
        <v>100</v>
      </c>
      <c r="AA26" s="193">
        <f t="shared" si="218"/>
        <v>24</v>
      </c>
      <c r="AB26" s="193">
        <f t="shared" si="218"/>
        <v>44</v>
      </c>
      <c r="AC26" s="193">
        <f t="shared" si="218"/>
        <v>24</v>
      </c>
      <c r="AD26" s="193">
        <f t="shared" si="218"/>
        <v>14</v>
      </c>
      <c r="AE26" s="193">
        <f t="shared" si="218"/>
        <v>23</v>
      </c>
      <c r="AF26" s="193">
        <f t="shared" si="218"/>
        <v>198</v>
      </c>
      <c r="AG26" s="193">
        <f t="shared" si="218"/>
        <v>142</v>
      </c>
      <c r="AH26" s="193">
        <f t="shared" si="218"/>
        <v>340</v>
      </c>
      <c r="AI26" s="193">
        <f t="shared" si="218"/>
        <v>0</v>
      </c>
      <c r="AJ26" s="193">
        <f t="shared" si="218"/>
        <v>29</v>
      </c>
      <c r="AK26" s="193">
        <f t="shared" si="218"/>
        <v>40</v>
      </c>
      <c r="AL26" s="193">
        <f t="shared" si="218"/>
        <v>42</v>
      </c>
      <c r="AM26" s="193">
        <f t="shared" si="218"/>
        <v>100</v>
      </c>
      <c r="AN26" s="193">
        <f t="shared" si="218"/>
        <v>24</v>
      </c>
      <c r="AO26" s="193">
        <f t="shared" si="218"/>
        <v>44</v>
      </c>
      <c r="AP26" s="193">
        <f t="shared" si="218"/>
        <v>24</v>
      </c>
      <c r="AQ26" s="193">
        <f t="shared" si="218"/>
        <v>14</v>
      </c>
      <c r="AR26" s="193">
        <f t="shared" si="218"/>
        <v>23</v>
      </c>
      <c r="AS26" s="193">
        <f t="shared" si="218"/>
        <v>198</v>
      </c>
      <c r="AT26" s="193">
        <f t="shared" si="218"/>
        <v>142</v>
      </c>
      <c r="AU26" s="193">
        <f t="shared" si="218"/>
        <v>340</v>
      </c>
      <c r="AV26" s="193">
        <f t="shared" si="218"/>
        <v>0</v>
      </c>
      <c r="AW26" s="193">
        <f t="shared" si="218"/>
        <v>14</v>
      </c>
      <c r="AX26" s="193">
        <f t="shared" si="218"/>
        <v>20</v>
      </c>
      <c r="AY26" s="193">
        <f t="shared" si="218"/>
        <v>19</v>
      </c>
      <c r="AZ26" s="193">
        <f t="shared" si="218"/>
        <v>34</v>
      </c>
      <c r="BA26" s="193">
        <f t="shared" si="218"/>
        <v>17</v>
      </c>
      <c r="BB26" s="193">
        <f t="shared" si="218"/>
        <v>36</v>
      </c>
      <c r="BC26" s="193">
        <f t="shared" si="218"/>
        <v>12</v>
      </c>
      <c r="BD26" s="193">
        <f t="shared" si="218"/>
        <v>0</v>
      </c>
      <c r="BE26" s="193">
        <f t="shared" si="218"/>
        <v>15</v>
      </c>
      <c r="BF26" s="193">
        <f t="shared" si="218"/>
        <v>90</v>
      </c>
      <c r="BG26" s="193">
        <f t="shared" si="218"/>
        <v>77</v>
      </c>
      <c r="BH26" s="193">
        <f t="shared" si="218"/>
        <v>167</v>
      </c>
      <c r="BI26" s="193">
        <f t="shared" si="218"/>
        <v>10</v>
      </c>
      <c r="BJ26" s="193">
        <f t="shared" si="218"/>
        <v>9</v>
      </c>
      <c r="BK26" s="193">
        <f t="shared" si="218"/>
        <v>10</v>
      </c>
      <c r="BL26" s="193">
        <f t="shared" si="218"/>
        <v>9</v>
      </c>
      <c r="BM26" s="193">
        <f t="shared" si="218"/>
        <v>73</v>
      </c>
      <c r="BN26" s="193">
        <f t="shared" si="218"/>
        <v>12</v>
      </c>
      <c r="BO26" s="193">
        <f t="shared" si="218"/>
        <v>134</v>
      </c>
      <c r="BP26" s="193">
        <f t="shared" si="218"/>
        <v>30</v>
      </c>
      <c r="BQ26" s="193">
        <f t="shared" si="218"/>
        <v>42</v>
      </c>
      <c r="BR26" s="193">
        <f t="shared" si="218"/>
        <v>0</v>
      </c>
      <c r="BS26" s="193">
        <f t="shared" ref="BS26:ED26" si="219">BS25</f>
        <v>269</v>
      </c>
      <c r="BT26" s="193">
        <f t="shared" si="219"/>
        <v>60</v>
      </c>
      <c r="BU26" s="193">
        <f t="shared" si="219"/>
        <v>329</v>
      </c>
      <c r="BV26" s="193">
        <f t="shared" si="219"/>
        <v>0</v>
      </c>
      <c r="BW26" s="193">
        <f t="shared" si="219"/>
        <v>29</v>
      </c>
      <c r="BX26" s="193">
        <f t="shared" si="219"/>
        <v>40</v>
      </c>
      <c r="BY26" s="193">
        <f t="shared" si="219"/>
        <v>56</v>
      </c>
      <c r="BZ26" s="193">
        <f t="shared" si="219"/>
        <v>130</v>
      </c>
      <c r="CA26" s="193">
        <f t="shared" si="219"/>
        <v>52</v>
      </c>
      <c r="CB26" s="193">
        <f t="shared" si="219"/>
        <v>88</v>
      </c>
      <c r="CC26" s="193">
        <f t="shared" si="219"/>
        <v>50</v>
      </c>
      <c r="CD26" s="193">
        <f t="shared" si="219"/>
        <v>123</v>
      </c>
      <c r="CE26" s="193">
        <f t="shared" si="219"/>
        <v>47</v>
      </c>
      <c r="CF26" s="193">
        <f t="shared" si="219"/>
        <v>134</v>
      </c>
      <c r="CG26" s="193">
        <f t="shared" si="219"/>
        <v>45</v>
      </c>
      <c r="CH26" s="193">
        <f t="shared" si="219"/>
        <v>42</v>
      </c>
      <c r="CI26" s="193">
        <f t="shared" si="219"/>
        <v>0</v>
      </c>
      <c r="CJ26" s="193">
        <f t="shared" si="219"/>
        <v>557</v>
      </c>
      <c r="CK26" s="193">
        <f t="shared" si="219"/>
        <v>279</v>
      </c>
      <c r="CL26" s="193">
        <f>CL25</f>
        <v>836</v>
      </c>
      <c r="CM26" s="193">
        <f>CM25</f>
        <v>5</v>
      </c>
      <c r="CN26" s="193">
        <f t="shared" si="219"/>
        <v>4</v>
      </c>
      <c r="CO26" s="193">
        <f t="shared" si="219"/>
        <v>0</v>
      </c>
      <c r="CP26" s="193">
        <f t="shared" si="219"/>
        <v>4</v>
      </c>
      <c r="CQ26" s="193">
        <f t="shared" si="219"/>
        <v>2</v>
      </c>
      <c r="CR26" s="193">
        <f t="shared" si="219"/>
        <v>0</v>
      </c>
      <c r="CS26" s="193">
        <f t="shared" si="219"/>
        <v>6</v>
      </c>
      <c r="CT26" s="193">
        <f t="shared" si="219"/>
        <v>2</v>
      </c>
      <c r="CU26" s="193">
        <f t="shared" si="219"/>
        <v>0</v>
      </c>
      <c r="CV26" s="193">
        <f t="shared" si="219"/>
        <v>15</v>
      </c>
      <c r="CW26" s="193">
        <f t="shared" si="219"/>
        <v>8</v>
      </c>
      <c r="CX26" s="193">
        <f t="shared" si="219"/>
        <v>0</v>
      </c>
      <c r="CY26" s="193">
        <f t="shared" si="219"/>
        <v>23</v>
      </c>
      <c r="CZ26" s="193">
        <f t="shared" si="219"/>
        <v>4</v>
      </c>
      <c r="DA26" s="193">
        <f t="shared" si="219"/>
        <v>3</v>
      </c>
      <c r="DB26" s="193">
        <f t="shared" si="219"/>
        <v>2</v>
      </c>
      <c r="DC26" s="193">
        <f t="shared" si="219"/>
        <v>2</v>
      </c>
      <c r="DD26" s="193">
        <f t="shared" si="219"/>
        <v>10</v>
      </c>
      <c r="DE26" s="193">
        <f t="shared" si="219"/>
        <v>3</v>
      </c>
      <c r="DF26" s="193">
        <f t="shared" si="219"/>
        <v>16</v>
      </c>
      <c r="DG26" s="193">
        <f t="shared" si="219"/>
        <v>8</v>
      </c>
      <c r="DH26" s="193">
        <f t="shared" si="219"/>
        <v>24</v>
      </c>
      <c r="DI26" s="193">
        <f t="shared" si="219"/>
        <v>0</v>
      </c>
      <c r="DJ26" s="193">
        <f t="shared" si="219"/>
        <v>0</v>
      </c>
      <c r="DK26" s="193">
        <f t="shared" si="219"/>
        <v>0</v>
      </c>
      <c r="DL26" s="193">
        <f t="shared" si="219"/>
        <v>0</v>
      </c>
      <c r="DM26" s="193">
        <f t="shared" si="219"/>
        <v>0</v>
      </c>
      <c r="DN26" s="193">
        <f t="shared" si="219"/>
        <v>0</v>
      </c>
      <c r="DO26" s="193">
        <f t="shared" si="219"/>
        <v>0</v>
      </c>
      <c r="DP26" s="193">
        <f t="shared" si="219"/>
        <v>0</v>
      </c>
      <c r="DQ26" s="193">
        <f t="shared" si="219"/>
        <v>0</v>
      </c>
      <c r="DR26" s="193">
        <f t="shared" si="219"/>
        <v>87</v>
      </c>
      <c r="DS26" s="193">
        <f t="shared" si="219"/>
        <v>57</v>
      </c>
      <c r="DT26" s="193">
        <f t="shared" si="219"/>
        <v>35</v>
      </c>
      <c r="DU26" s="193">
        <f t="shared" si="219"/>
        <v>42</v>
      </c>
      <c r="DV26" s="193">
        <f t="shared" si="219"/>
        <v>130</v>
      </c>
      <c r="DW26" s="193">
        <f t="shared" si="219"/>
        <v>41</v>
      </c>
      <c r="DX26" s="193">
        <f t="shared" si="219"/>
        <v>252</v>
      </c>
      <c r="DY26" s="193">
        <f t="shared" si="219"/>
        <v>140</v>
      </c>
      <c r="DZ26" s="193">
        <f t="shared" si="219"/>
        <v>392</v>
      </c>
      <c r="EA26" s="193">
        <f t="shared" si="219"/>
        <v>14</v>
      </c>
      <c r="EB26" s="193">
        <f t="shared" si="219"/>
        <v>13</v>
      </c>
      <c r="EC26" s="193">
        <f t="shared" si="219"/>
        <v>1</v>
      </c>
      <c r="ED26" s="193">
        <f t="shared" si="219"/>
        <v>4</v>
      </c>
      <c r="EE26" s="193">
        <f t="shared" ref="EE26:GR26" si="220">EE25</f>
        <v>38</v>
      </c>
      <c r="EF26" s="193">
        <f t="shared" si="220"/>
        <v>1</v>
      </c>
      <c r="EG26" s="193">
        <f t="shared" si="220"/>
        <v>53</v>
      </c>
      <c r="EH26" s="193">
        <f t="shared" si="220"/>
        <v>18</v>
      </c>
      <c r="EI26" s="193">
        <f t="shared" si="220"/>
        <v>71</v>
      </c>
      <c r="EJ26" s="193">
        <f t="shared" si="220"/>
        <v>4</v>
      </c>
      <c r="EK26" s="193">
        <f t="shared" si="220"/>
        <v>2</v>
      </c>
      <c r="EL26" s="193">
        <f t="shared" si="220"/>
        <v>3</v>
      </c>
      <c r="EM26" s="193">
        <f t="shared" si="220"/>
        <v>6</v>
      </c>
      <c r="EN26" s="193">
        <f t="shared" si="220"/>
        <v>0</v>
      </c>
      <c r="EO26" s="193">
        <f t="shared" si="220"/>
        <v>0</v>
      </c>
      <c r="EP26" s="193">
        <f t="shared" si="220"/>
        <v>7</v>
      </c>
      <c r="EQ26" s="193">
        <f t="shared" si="220"/>
        <v>8</v>
      </c>
      <c r="ER26" s="193">
        <f t="shared" si="220"/>
        <v>15</v>
      </c>
      <c r="ES26" s="193">
        <f t="shared" si="220"/>
        <v>0</v>
      </c>
      <c r="ET26" s="193">
        <f t="shared" si="220"/>
        <v>0</v>
      </c>
      <c r="EU26" s="193">
        <f t="shared" si="220"/>
        <v>0</v>
      </c>
      <c r="EV26" s="193">
        <f t="shared" si="220"/>
        <v>0</v>
      </c>
      <c r="EW26" s="193">
        <f t="shared" si="220"/>
        <v>0</v>
      </c>
      <c r="EX26" s="193">
        <f t="shared" si="220"/>
        <v>0</v>
      </c>
      <c r="EY26" s="193">
        <f t="shared" si="220"/>
        <v>29</v>
      </c>
      <c r="EZ26" s="193">
        <f t="shared" si="220"/>
        <v>0</v>
      </c>
      <c r="FA26" s="193">
        <f t="shared" si="220"/>
        <v>29</v>
      </c>
      <c r="FB26" s="193">
        <f t="shared" si="220"/>
        <v>1</v>
      </c>
      <c r="FC26" s="193">
        <f t="shared" si="220"/>
        <v>1</v>
      </c>
      <c r="FD26" s="193">
        <f t="shared" si="220"/>
        <v>1</v>
      </c>
      <c r="FE26" s="193">
        <f t="shared" si="220"/>
        <v>3</v>
      </c>
      <c r="FF26" s="193">
        <f t="shared" si="220"/>
        <v>17</v>
      </c>
      <c r="FG26" s="193">
        <f t="shared" si="220"/>
        <v>23</v>
      </c>
      <c r="FH26" s="193">
        <f t="shared" si="220"/>
        <v>1</v>
      </c>
      <c r="FI26" s="193">
        <f t="shared" si="220"/>
        <v>1</v>
      </c>
      <c r="FJ26" s="193">
        <f t="shared" si="220"/>
        <v>0</v>
      </c>
      <c r="FK26" s="193">
        <f t="shared" si="220"/>
        <v>0</v>
      </c>
      <c r="FL26" s="193">
        <f t="shared" si="220"/>
        <v>20</v>
      </c>
      <c r="FM26" s="193">
        <f t="shared" si="220"/>
        <v>28</v>
      </c>
      <c r="FN26" s="193">
        <f t="shared" si="220"/>
        <v>48</v>
      </c>
      <c r="FO26" s="193">
        <f t="shared" si="220"/>
        <v>0</v>
      </c>
      <c r="FP26" s="193">
        <f t="shared" si="220"/>
        <v>3</v>
      </c>
      <c r="FQ26" s="193">
        <f t="shared" si="220"/>
        <v>0</v>
      </c>
      <c r="FR26" s="193">
        <f t="shared" si="220"/>
        <v>1</v>
      </c>
      <c r="FS26" s="193">
        <f t="shared" si="220"/>
        <v>0</v>
      </c>
      <c r="FT26" s="193">
        <f t="shared" si="220"/>
        <v>0</v>
      </c>
      <c r="FU26" s="193">
        <f t="shared" si="220"/>
        <v>0</v>
      </c>
      <c r="FV26" s="193">
        <f t="shared" si="220"/>
        <v>0</v>
      </c>
      <c r="FW26" s="193">
        <f t="shared" si="220"/>
        <v>1</v>
      </c>
      <c r="FX26" s="193">
        <f t="shared" si="220"/>
        <v>1</v>
      </c>
      <c r="FY26" s="193">
        <f t="shared" si="220"/>
        <v>0</v>
      </c>
      <c r="FZ26" s="193">
        <f t="shared" si="220"/>
        <v>0</v>
      </c>
      <c r="GA26" s="193">
        <f t="shared" si="220"/>
        <v>0</v>
      </c>
      <c r="GB26" s="193">
        <f t="shared" si="220"/>
        <v>0</v>
      </c>
      <c r="GC26" s="193"/>
      <c r="GD26" s="193"/>
      <c r="GE26" s="193">
        <f t="shared" si="220"/>
        <v>0</v>
      </c>
      <c r="GF26" s="193">
        <f t="shared" si="220"/>
        <v>0</v>
      </c>
      <c r="GG26" s="193">
        <f t="shared" si="220"/>
        <v>1</v>
      </c>
      <c r="GH26" s="193">
        <f t="shared" si="220"/>
        <v>5</v>
      </c>
      <c r="GI26" s="193">
        <f t="shared" si="220"/>
        <v>6</v>
      </c>
      <c r="GJ26" s="193">
        <f t="shared" si="220"/>
        <v>1</v>
      </c>
      <c r="GK26" s="193">
        <f t="shared" si="220"/>
        <v>0</v>
      </c>
      <c r="GL26" s="193">
        <f t="shared" si="220"/>
        <v>0</v>
      </c>
      <c r="GM26" s="193">
        <f t="shared" si="220"/>
        <v>3</v>
      </c>
      <c r="GN26" s="193">
        <f t="shared" si="220"/>
        <v>2</v>
      </c>
      <c r="GO26" s="193">
        <f t="shared" si="220"/>
        <v>1</v>
      </c>
      <c r="GP26" s="193">
        <f t="shared" si="220"/>
        <v>0</v>
      </c>
      <c r="GQ26" s="193">
        <f t="shared" si="220"/>
        <v>1</v>
      </c>
      <c r="GR26" s="193">
        <f t="shared" si="220"/>
        <v>1</v>
      </c>
      <c r="GS26" s="193">
        <f t="shared" ref="GS26:JD26" si="221">GS25</f>
        <v>1</v>
      </c>
      <c r="GT26" s="193">
        <f t="shared" si="221"/>
        <v>0</v>
      </c>
      <c r="GU26" s="193">
        <f t="shared" si="221"/>
        <v>0</v>
      </c>
      <c r="GV26" s="193">
        <f t="shared" si="221"/>
        <v>0</v>
      </c>
      <c r="GW26" s="193">
        <f t="shared" si="221"/>
        <v>0</v>
      </c>
      <c r="GX26" s="193">
        <f t="shared" si="221"/>
        <v>0</v>
      </c>
      <c r="GY26" s="193">
        <f t="shared" si="221"/>
        <v>0</v>
      </c>
      <c r="GZ26" s="193">
        <f t="shared" si="221"/>
        <v>0</v>
      </c>
      <c r="HA26" s="193">
        <f t="shared" si="221"/>
        <v>1</v>
      </c>
      <c r="HB26" s="193">
        <f t="shared" si="221"/>
        <v>1</v>
      </c>
      <c r="HC26" s="193">
        <f t="shared" si="221"/>
        <v>0</v>
      </c>
      <c r="HD26" s="193">
        <f t="shared" si="221"/>
        <v>0</v>
      </c>
      <c r="HE26" s="193">
        <f t="shared" si="221"/>
        <v>0</v>
      </c>
      <c r="HF26" s="193">
        <f t="shared" si="221"/>
        <v>1</v>
      </c>
      <c r="HG26" s="193">
        <f t="shared" si="221"/>
        <v>1</v>
      </c>
      <c r="HH26" s="193">
        <f t="shared" si="221"/>
        <v>0</v>
      </c>
      <c r="HI26" s="193">
        <f t="shared" si="221"/>
        <v>0</v>
      </c>
      <c r="HJ26" s="193">
        <f t="shared" si="221"/>
        <v>0</v>
      </c>
      <c r="HK26" s="193">
        <f t="shared" si="221"/>
        <v>0</v>
      </c>
      <c r="HL26" s="193">
        <f t="shared" si="221"/>
        <v>0</v>
      </c>
      <c r="HM26" s="193">
        <f t="shared" si="221"/>
        <v>0</v>
      </c>
      <c r="HN26" s="193">
        <f t="shared" si="221"/>
        <v>0</v>
      </c>
      <c r="HO26" s="193">
        <f t="shared" si="221"/>
        <v>0</v>
      </c>
      <c r="HP26" s="193">
        <f t="shared" si="221"/>
        <v>0</v>
      </c>
      <c r="HQ26" s="193">
        <f t="shared" si="221"/>
        <v>0</v>
      </c>
      <c r="HR26" s="193">
        <f t="shared" si="221"/>
        <v>0</v>
      </c>
      <c r="HS26" s="193">
        <f t="shared" si="221"/>
        <v>0</v>
      </c>
      <c r="HT26" s="193">
        <f t="shared" si="221"/>
        <v>0</v>
      </c>
      <c r="HU26" s="193">
        <f t="shared" si="221"/>
        <v>0</v>
      </c>
      <c r="HV26" s="193">
        <f t="shared" si="221"/>
        <v>0</v>
      </c>
      <c r="HW26" s="193">
        <f t="shared" si="221"/>
        <v>0</v>
      </c>
      <c r="HX26" s="193">
        <f t="shared" si="221"/>
        <v>0</v>
      </c>
      <c r="HY26" s="193">
        <f t="shared" si="221"/>
        <v>0</v>
      </c>
      <c r="HZ26" s="193">
        <f t="shared" si="221"/>
        <v>0</v>
      </c>
      <c r="IA26" s="193">
        <f t="shared" si="221"/>
        <v>0</v>
      </c>
      <c r="IB26" s="193">
        <f t="shared" si="221"/>
        <v>0</v>
      </c>
      <c r="IC26" s="193">
        <f t="shared" si="221"/>
        <v>0</v>
      </c>
      <c r="ID26" s="193">
        <f t="shared" si="221"/>
        <v>0</v>
      </c>
      <c r="IE26" s="193">
        <f t="shared" si="221"/>
        <v>0</v>
      </c>
      <c r="IF26" s="193">
        <f t="shared" si="221"/>
        <v>0</v>
      </c>
      <c r="IG26" s="193">
        <f t="shared" si="221"/>
        <v>0</v>
      </c>
      <c r="IH26" s="193">
        <f t="shared" si="221"/>
        <v>0</v>
      </c>
      <c r="II26" s="193">
        <f t="shared" si="221"/>
        <v>0</v>
      </c>
      <c r="IJ26" s="193">
        <f t="shared" si="221"/>
        <v>0</v>
      </c>
      <c r="IK26" s="193">
        <f t="shared" si="221"/>
        <v>0</v>
      </c>
      <c r="IL26" s="193">
        <f t="shared" si="221"/>
        <v>0</v>
      </c>
      <c r="IM26" s="193">
        <f t="shared" si="221"/>
        <v>0</v>
      </c>
      <c r="IN26" s="193">
        <f t="shared" si="221"/>
        <v>0</v>
      </c>
      <c r="IO26" s="193">
        <f t="shared" si="221"/>
        <v>0</v>
      </c>
      <c r="IP26" s="193">
        <f t="shared" si="221"/>
        <v>0</v>
      </c>
      <c r="IQ26" s="193">
        <f t="shared" si="221"/>
        <v>0</v>
      </c>
      <c r="IR26" s="193">
        <f t="shared" si="221"/>
        <v>0</v>
      </c>
      <c r="IS26" s="193">
        <f t="shared" si="221"/>
        <v>0</v>
      </c>
      <c r="IT26" s="193">
        <f t="shared" si="221"/>
        <v>0</v>
      </c>
      <c r="IU26" s="193">
        <f t="shared" si="221"/>
        <v>0</v>
      </c>
      <c r="IV26" s="193">
        <f t="shared" si="221"/>
        <v>0</v>
      </c>
      <c r="IW26" s="193">
        <f t="shared" si="221"/>
        <v>0</v>
      </c>
      <c r="IX26" s="193">
        <f t="shared" si="221"/>
        <v>0</v>
      </c>
      <c r="IY26" s="193">
        <f t="shared" si="221"/>
        <v>0</v>
      </c>
      <c r="IZ26" s="193">
        <f t="shared" si="221"/>
        <v>0</v>
      </c>
      <c r="JA26" s="193">
        <f t="shared" si="221"/>
        <v>0</v>
      </c>
      <c r="JB26" s="193">
        <f t="shared" si="221"/>
        <v>0</v>
      </c>
      <c r="JC26" s="193">
        <f t="shared" si="221"/>
        <v>0</v>
      </c>
      <c r="JD26" s="193">
        <f t="shared" si="221"/>
        <v>0</v>
      </c>
      <c r="JE26" s="193">
        <f t="shared" ref="JE26:LN26" si="222">JE25</f>
        <v>0</v>
      </c>
      <c r="JF26" s="193">
        <f t="shared" si="222"/>
        <v>0</v>
      </c>
      <c r="JG26" s="193">
        <f t="shared" si="222"/>
        <v>0</v>
      </c>
      <c r="JH26" s="193">
        <f t="shared" si="222"/>
        <v>0</v>
      </c>
      <c r="JI26" s="193">
        <f t="shared" si="222"/>
        <v>0</v>
      </c>
      <c r="JJ26" s="193">
        <f t="shared" si="222"/>
        <v>0</v>
      </c>
      <c r="JK26" s="193">
        <f t="shared" si="222"/>
        <v>0</v>
      </c>
      <c r="JL26" s="193">
        <f t="shared" si="222"/>
        <v>2</v>
      </c>
      <c r="JM26" s="193">
        <f t="shared" si="222"/>
        <v>0</v>
      </c>
      <c r="JN26" s="193">
        <f t="shared" si="222"/>
        <v>3</v>
      </c>
      <c r="JO26" s="193">
        <f t="shared" si="222"/>
        <v>1</v>
      </c>
      <c r="JP26" s="193">
        <f t="shared" si="222"/>
        <v>3</v>
      </c>
      <c r="JQ26" s="193">
        <f t="shared" si="222"/>
        <v>4</v>
      </c>
      <c r="JR26" s="193">
        <f t="shared" si="222"/>
        <v>0</v>
      </c>
      <c r="JS26" s="193">
        <f t="shared" si="222"/>
        <v>2</v>
      </c>
      <c r="JT26" s="193">
        <f t="shared" si="222"/>
        <v>5</v>
      </c>
      <c r="JU26" s="193">
        <f t="shared" si="222"/>
        <v>1</v>
      </c>
      <c r="JV26" s="193">
        <f t="shared" si="222"/>
        <v>0</v>
      </c>
      <c r="JW26" s="193">
        <f t="shared" si="222"/>
        <v>0</v>
      </c>
      <c r="JX26" s="193">
        <f t="shared" si="222"/>
        <v>0</v>
      </c>
      <c r="JY26" s="193">
        <f t="shared" si="222"/>
        <v>0</v>
      </c>
      <c r="JZ26" s="193">
        <f t="shared" si="222"/>
        <v>0</v>
      </c>
      <c r="KA26" s="193">
        <f t="shared" si="222"/>
        <v>0</v>
      </c>
      <c r="KB26" s="193">
        <f t="shared" si="222"/>
        <v>0</v>
      </c>
      <c r="KC26" s="193">
        <f t="shared" si="222"/>
        <v>0</v>
      </c>
      <c r="KD26" s="193">
        <f t="shared" si="222"/>
        <v>0</v>
      </c>
      <c r="KE26" s="193">
        <f t="shared" si="222"/>
        <v>0</v>
      </c>
      <c r="KF26" s="193">
        <f t="shared" si="222"/>
        <v>0</v>
      </c>
      <c r="KG26" s="193">
        <f t="shared" si="222"/>
        <v>0</v>
      </c>
      <c r="KH26" s="193">
        <f t="shared" si="222"/>
        <v>0</v>
      </c>
      <c r="KI26" s="193">
        <f t="shared" si="222"/>
        <v>4</v>
      </c>
      <c r="KJ26" s="193">
        <f t="shared" si="222"/>
        <v>0</v>
      </c>
      <c r="KK26" s="193">
        <f t="shared" si="222"/>
        <v>0</v>
      </c>
      <c r="KL26" s="193">
        <f t="shared" si="222"/>
        <v>0</v>
      </c>
      <c r="KM26" s="193">
        <f t="shared" si="222"/>
        <v>0</v>
      </c>
      <c r="KN26" s="193">
        <f t="shared" si="222"/>
        <v>1</v>
      </c>
      <c r="KO26" s="193">
        <f t="shared" si="222"/>
        <v>3</v>
      </c>
      <c r="KP26" s="193">
        <f t="shared" si="222"/>
        <v>0</v>
      </c>
      <c r="KQ26" s="193">
        <f t="shared" si="222"/>
        <v>0</v>
      </c>
      <c r="KR26" s="193">
        <f t="shared" si="222"/>
        <v>0</v>
      </c>
      <c r="KS26" s="193">
        <f t="shared" si="222"/>
        <v>0</v>
      </c>
      <c r="KT26" s="193">
        <f t="shared" si="222"/>
        <v>0</v>
      </c>
      <c r="KU26" s="193">
        <f t="shared" si="222"/>
        <v>5</v>
      </c>
      <c r="KV26" s="193">
        <f t="shared" si="222"/>
        <v>20</v>
      </c>
      <c r="KW26" s="193">
        <f t="shared" si="222"/>
        <v>28</v>
      </c>
      <c r="KX26" s="193">
        <f t="shared" si="222"/>
        <v>48</v>
      </c>
      <c r="KY26" s="193">
        <f t="shared" si="222"/>
        <v>14</v>
      </c>
      <c r="KZ26" s="193">
        <f t="shared" si="222"/>
        <v>22</v>
      </c>
      <c r="LA26" s="193">
        <f t="shared" si="222"/>
        <v>0</v>
      </c>
      <c r="LB26" s="193">
        <f t="shared" si="222"/>
        <v>0</v>
      </c>
      <c r="LC26" s="193">
        <f t="shared" si="222"/>
        <v>0</v>
      </c>
      <c r="LD26" s="193">
        <f t="shared" si="222"/>
        <v>3</v>
      </c>
      <c r="LE26" s="193">
        <f t="shared" si="222"/>
        <v>0</v>
      </c>
      <c r="LF26" s="193">
        <f t="shared" si="222"/>
        <v>0</v>
      </c>
      <c r="LG26" s="193">
        <f t="shared" si="222"/>
        <v>2</v>
      </c>
      <c r="LH26" s="193">
        <f t="shared" si="222"/>
        <v>0</v>
      </c>
      <c r="LI26" s="193">
        <f t="shared" si="222"/>
        <v>1</v>
      </c>
      <c r="LJ26" s="193">
        <f t="shared" si="222"/>
        <v>1</v>
      </c>
      <c r="LK26" s="193">
        <f t="shared" si="222"/>
        <v>0</v>
      </c>
      <c r="LL26" s="193">
        <f t="shared" si="222"/>
        <v>2</v>
      </c>
      <c r="LM26" s="193">
        <f t="shared" si="222"/>
        <v>0</v>
      </c>
      <c r="LN26" s="193">
        <f t="shared" si="222"/>
        <v>0</v>
      </c>
      <c r="LO26" s="193">
        <f t="shared" ref="LO26:LP26" si="223">LO25</f>
        <v>3</v>
      </c>
      <c r="LP26" s="193">
        <f t="shared" si="223"/>
        <v>0</v>
      </c>
      <c r="LQ26" s="193">
        <f t="shared" ref="LQ26:OA26" si="224">LQ25</f>
        <v>20</v>
      </c>
      <c r="LR26" s="193">
        <f t="shared" si="224"/>
        <v>28</v>
      </c>
      <c r="LS26" s="193">
        <f t="shared" si="224"/>
        <v>48</v>
      </c>
      <c r="LT26" s="193">
        <f t="shared" si="224"/>
        <v>6</v>
      </c>
      <c r="LU26" s="193">
        <f t="shared" si="224"/>
        <v>4</v>
      </c>
      <c r="LV26" s="193">
        <f t="shared" si="224"/>
        <v>4</v>
      </c>
      <c r="LW26" s="193">
        <f t="shared" si="224"/>
        <v>2</v>
      </c>
      <c r="LX26" s="193">
        <f t="shared" si="224"/>
        <v>4</v>
      </c>
      <c r="LY26" s="193">
        <f t="shared" si="224"/>
        <v>9</v>
      </c>
      <c r="LZ26" s="193">
        <f t="shared" si="224"/>
        <v>6</v>
      </c>
      <c r="MA26" s="193">
        <f t="shared" si="224"/>
        <v>13</v>
      </c>
      <c r="MB26" s="193">
        <f t="shared" si="224"/>
        <v>20</v>
      </c>
      <c r="MC26" s="193">
        <f t="shared" si="224"/>
        <v>28</v>
      </c>
      <c r="MD26" s="193">
        <f t="shared" si="224"/>
        <v>48</v>
      </c>
      <c r="ME26" s="193">
        <f t="shared" si="224"/>
        <v>5</v>
      </c>
      <c r="MF26" s="193">
        <f t="shared" si="224"/>
        <v>4</v>
      </c>
      <c r="MG26" s="193">
        <f t="shared" si="224"/>
        <v>5</v>
      </c>
      <c r="MH26" s="193">
        <f t="shared" si="224"/>
        <v>6</v>
      </c>
      <c r="MI26" s="193">
        <f t="shared" si="224"/>
        <v>3</v>
      </c>
      <c r="MJ26" s="193">
        <f t="shared" si="224"/>
        <v>4</v>
      </c>
      <c r="MK26" s="193">
        <f t="shared" si="224"/>
        <v>7</v>
      </c>
      <c r="ML26" s="193">
        <f t="shared" si="224"/>
        <v>12</v>
      </c>
      <c r="MM26" s="193">
        <f t="shared" si="224"/>
        <v>0</v>
      </c>
      <c r="MN26" s="193">
        <f t="shared" si="224"/>
        <v>2</v>
      </c>
      <c r="MO26" s="193">
        <f t="shared" si="224"/>
        <v>20</v>
      </c>
      <c r="MP26" s="193">
        <f t="shared" si="224"/>
        <v>28</v>
      </c>
      <c r="MQ26" s="193">
        <f t="shared" si="224"/>
        <v>48</v>
      </c>
      <c r="MR26" s="193">
        <f t="shared" si="224"/>
        <v>1</v>
      </c>
      <c r="MS26" s="193">
        <f t="shared" si="224"/>
        <v>4</v>
      </c>
      <c r="MT26" s="193">
        <f t="shared" si="224"/>
        <v>19</v>
      </c>
      <c r="MU26" s="193">
        <f t="shared" si="224"/>
        <v>22</v>
      </c>
      <c r="MV26" s="193">
        <f t="shared" si="224"/>
        <v>0</v>
      </c>
      <c r="MW26" s="193">
        <f t="shared" si="224"/>
        <v>1</v>
      </c>
      <c r="MX26" s="193">
        <f t="shared" si="224"/>
        <v>0</v>
      </c>
      <c r="MY26" s="193">
        <f t="shared" si="224"/>
        <v>1</v>
      </c>
      <c r="MZ26" s="193">
        <f t="shared" si="224"/>
        <v>20</v>
      </c>
      <c r="NA26" s="193">
        <f t="shared" si="224"/>
        <v>28</v>
      </c>
      <c r="NB26" s="193">
        <f t="shared" si="224"/>
        <v>48</v>
      </c>
      <c r="NC26" s="193">
        <f t="shared" si="224"/>
        <v>20</v>
      </c>
      <c r="ND26" s="193">
        <f t="shared" si="224"/>
        <v>6</v>
      </c>
      <c r="NE26" s="193">
        <f t="shared" si="224"/>
        <v>0</v>
      </c>
      <c r="NF26" s="193">
        <f t="shared" si="224"/>
        <v>1</v>
      </c>
      <c r="NG26" s="193">
        <f t="shared" si="224"/>
        <v>0</v>
      </c>
      <c r="NH26" s="193">
        <f t="shared" si="224"/>
        <v>0</v>
      </c>
      <c r="NI26" s="193">
        <f t="shared" si="224"/>
        <v>1</v>
      </c>
      <c r="NJ26" s="193">
        <f t="shared" si="224"/>
        <v>0</v>
      </c>
      <c r="NK26" s="193">
        <f t="shared" si="224"/>
        <v>14</v>
      </c>
      <c r="NL26" s="193">
        <f t="shared" si="224"/>
        <v>19</v>
      </c>
      <c r="NM26" s="193">
        <f t="shared" si="224"/>
        <v>2</v>
      </c>
      <c r="NN26" s="193">
        <f t="shared" si="224"/>
        <v>5</v>
      </c>
      <c r="NO26" s="193">
        <f t="shared" si="224"/>
        <v>0</v>
      </c>
      <c r="NP26" s="193">
        <f t="shared" si="224"/>
        <v>0</v>
      </c>
      <c r="NQ26" s="193">
        <f t="shared" si="224"/>
        <v>1</v>
      </c>
      <c r="NR26" s="193">
        <f t="shared" si="224"/>
        <v>3</v>
      </c>
      <c r="NS26" s="193">
        <f t="shared" si="224"/>
        <v>2</v>
      </c>
      <c r="NT26" s="193">
        <f t="shared" si="224"/>
        <v>0</v>
      </c>
      <c r="NU26" s="193">
        <f t="shared" si="224"/>
        <v>0</v>
      </c>
      <c r="NV26" s="193">
        <f t="shared" si="224"/>
        <v>0</v>
      </c>
      <c r="NW26" s="193">
        <f t="shared" si="224"/>
        <v>20</v>
      </c>
      <c r="NX26" s="193">
        <f t="shared" si="224"/>
        <v>28</v>
      </c>
      <c r="NY26" s="193">
        <f t="shared" si="224"/>
        <v>48</v>
      </c>
      <c r="NZ26" s="193">
        <f t="shared" si="224"/>
        <v>0</v>
      </c>
      <c r="OA26" s="193">
        <f t="shared" si="224"/>
        <v>0</v>
      </c>
      <c r="OB26" s="193">
        <f t="shared" ref="OB26:QS26" si="225">OB25</f>
        <v>0</v>
      </c>
      <c r="OC26" s="193">
        <f t="shared" si="225"/>
        <v>0</v>
      </c>
      <c r="OD26" s="193">
        <f t="shared" si="225"/>
        <v>0</v>
      </c>
      <c r="OE26" s="193">
        <f t="shared" si="225"/>
        <v>0</v>
      </c>
      <c r="OF26" s="193">
        <f t="shared" si="225"/>
        <v>0</v>
      </c>
      <c r="OG26" s="193">
        <f t="shared" si="225"/>
        <v>0</v>
      </c>
      <c r="OH26" s="193">
        <f t="shared" si="225"/>
        <v>0</v>
      </c>
      <c r="OI26" s="193">
        <f t="shared" ref="OI26:OT26" si="226">OI25</f>
        <v>0</v>
      </c>
      <c r="OJ26" s="193">
        <f t="shared" si="226"/>
        <v>2</v>
      </c>
      <c r="OK26" s="193">
        <f t="shared" si="226"/>
        <v>2</v>
      </c>
      <c r="OL26" s="193">
        <f t="shared" si="226"/>
        <v>0</v>
      </c>
      <c r="OM26" s="193">
        <f t="shared" si="226"/>
        <v>1</v>
      </c>
      <c r="ON26" s="193">
        <f t="shared" si="226"/>
        <v>1</v>
      </c>
      <c r="OO26" s="193">
        <f t="shared" si="226"/>
        <v>1</v>
      </c>
      <c r="OP26" s="193">
        <f t="shared" si="226"/>
        <v>1</v>
      </c>
      <c r="OQ26" s="193">
        <f t="shared" si="226"/>
        <v>0</v>
      </c>
      <c r="OR26" s="193">
        <f t="shared" si="226"/>
        <v>0</v>
      </c>
      <c r="OS26" s="193">
        <f t="shared" si="226"/>
        <v>0</v>
      </c>
      <c r="OT26" s="193">
        <f t="shared" si="226"/>
        <v>1</v>
      </c>
      <c r="OU26" s="193">
        <f t="shared" si="225"/>
        <v>1</v>
      </c>
      <c r="OV26" s="193">
        <f t="shared" si="225"/>
        <v>0</v>
      </c>
      <c r="OW26" s="193"/>
      <c r="OX26" s="193"/>
      <c r="OY26" s="193"/>
      <c r="OZ26" s="193">
        <f t="shared" si="225"/>
        <v>0</v>
      </c>
      <c r="PA26" s="193">
        <f t="shared" si="225"/>
        <v>1</v>
      </c>
      <c r="PB26" s="193">
        <f t="shared" si="225"/>
        <v>0</v>
      </c>
      <c r="PC26" s="193">
        <f t="shared" si="225"/>
        <v>0</v>
      </c>
      <c r="PD26" s="193">
        <f t="shared" si="225"/>
        <v>1</v>
      </c>
      <c r="PE26" s="193">
        <f t="shared" si="225"/>
        <v>0</v>
      </c>
      <c r="PF26" s="193">
        <f t="shared" si="225"/>
        <v>0</v>
      </c>
      <c r="PG26" s="193">
        <f t="shared" si="225"/>
        <v>0</v>
      </c>
      <c r="PH26" s="193">
        <f t="shared" si="225"/>
        <v>0</v>
      </c>
      <c r="PI26" s="193">
        <f t="shared" si="225"/>
        <v>1</v>
      </c>
      <c r="PJ26" s="193">
        <f t="shared" si="225"/>
        <v>0</v>
      </c>
      <c r="PK26" s="193">
        <f t="shared" si="225"/>
        <v>1</v>
      </c>
      <c r="PL26" s="193">
        <f t="shared" si="225"/>
        <v>0</v>
      </c>
      <c r="PM26" s="193">
        <f t="shared" si="225"/>
        <v>24</v>
      </c>
      <c r="PN26" s="193">
        <f t="shared" si="225"/>
        <v>6</v>
      </c>
      <c r="PO26" s="193">
        <f t="shared" si="225"/>
        <v>30</v>
      </c>
      <c r="PP26" s="193">
        <f t="shared" si="225"/>
        <v>1</v>
      </c>
      <c r="PQ26" s="193">
        <f t="shared" si="225"/>
        <v>0</v>
      </c>
      <c r="PR26" s="193">
        <f t="shared" si="225"/>
        <v>0</v>
      </c>
      <c r="PS26" s="193">
        <f t="shared" si="225"/>
        <v>0</v>
      </c>
      <c r="PT26" s="193">
        <f t="shared" si="225"/>
        <v>0</v>
      </c>
      <c r="PU26" s="193">
        <f t="shared" si="225"/>
        <v>0</v>
      </c>
      <c r="PV26" s="193">
        <f t="shared" ref="PV26:QH26" si="227">PV25</f>
        <v>1</v>
      </c>
      <c r="PW26" s="193">
        <f t="shared" si="227"/>
        <v>0</v>
      </c>
      <c r="PX26" s="193">
        <f t="shared" si="227"/>
        <v>1</v>
      </c>
      <c r="PY26" s="193">
        <f t="shared" si="227"/>
        <v>0</v>
      </c>
      <c r="PZ26" s="193">
        <f t="shared" si="227"/>
        <v>1</v>
      </c>
      <c r="QA26" s="193">
        <f t="shared" si="227"/>
        <v>0</v>
      </c>
      <c r="QB26" s="193">
        <f t="shared" si="227"/>
        <v>1</v>
      </c>
      <c r="QC26" s="193">
        <f t="shared" si="227"/>
        <v>0</v>
      </c>
      <c r="QD26" s="193">
        <f t="shared" si="227"/>
        <v>1</v>
      </c>
      <c r="QE26" s="193">
        <f t="shared" si="227"/>
        <v>0</v>
      </c>
      <c r="QF26" s="193">
        <f t="shared" si="227"/>
        <v>0</v>
      </c>
      <c r="QG26" s="193">
        <f t="shared" si="227"/>
        <v>0</v>
      </c>
      <c r="QH26" s="193">
        <f t="shared" si="227"/>
        <v>0</v>
      </c>
      <c r="QI26" s="193">
        <f t="shared" si="225"/>
        <v>1</v>
      </c>
      <c r="QJ26" s="193">
        <f t="shared" si="225"/>
        <v>0</v>
      </c>
      <c r="QK26" s="193">
        <f t="shared" si="225"/>
        <v>1</v>
      </c>
      <c r="QL26" s="193">
        <f t="shared" si="225"/>
        <v>0</v>
      </c>
      <c r="QM26" s="193">
        <f t="shared" si="225"/>
        <v>1</v>
      </c>
      <c r="QN26" s="193">
        <f t="shared" si="225"/>
        <v>0</v>
      </c>
      <c r="QO26" s="193">
        <f t="shared" si="225"/>
        <v>1</v>
      </c>
      <c r="QP26" s="193">
        <f t="shared" si="225"/>
        <v>0</v>
      </c>
      <c r="QQ26" s="193">
        <f t="shared" si="225"/>
        <v>0</v>
      </c>
      <c r="QR26" s="193">
        <f t="shared" si="225"/>
        <v>1</v>
      </c>
      <c r="QS26" s="193">
        <f t="shared" si="225"/>
        <v>0</v>
      </c>
      <c r="QT26" s="193">
        <f t="shared" ref="QT26:SP26" si="228">QT25</f>
        <v>0</v>
      </c>
      <c r="QU26" s="193">
        <f t="shared" si="228"/>
        <v>1</v>
      </c>
      <c r="QV26" s="193">
        <f t="shared" si="228"/>
        <v>0</v>
      </c>
      <c r="QW26" s="193">
        <f t="shared" si="228"/>
        <v>0</v>
      </c>
      <c r="QX26" s="193">
        <f t="shared" si="228"/>
        <v>0</v>
      </c>
      <c r="QY26" s="193">
        <f t="shared" si="228"/>
        <v>0</v>
      </c>
      <c r="QZ26" s="193">
        <f t="shared" si="228"/>
        <v>0</v>
      </c>
      <c r="RA26" s="193">
        <f t="shared" si="228"/>
        <v>1</v>
      </c>
      <c r="RB26" s="193">
        <f>RB25</f>
        <v>1</v>
      </c>
      <c r="RC26" s="193">
        <f>RC25</f>
        <v>0</v>
      </c>
      <c r="RD26" s="193">
        <f t="shared" si="228"/>
        <v>0</v>
      </c>
      <c r="RE26" s="193">
        <f t="shared" si="228"/>
        <v>1</v>
      </c>
      <c r="RF26" s="193">
        <f t="shared" si="228"/>
        <v>1</v>
      </c>
      <c r="RG26" s="193">
        <f t="shared" si="228"/>
        <v>0</v>
      </c>
      <c r="RH26" s="193">
        <f t="shared" si="228"/>
        <v>0</v>
      </c>
      <c r="RI26" s="193">
        <f t="shared" si="228"/>
        <v>0</v>
      </c>
      <c r="RJ26" s="193">
        <f t="shared" si="228"/>
        <v>1</v>
      </c>
      <c r="RK26" s="193">
        <f t="shared" si="228"/>
        <v>0</v>
      </c>
      <c r="RL26" s="193">
        <f t="shared" si="228"/>
        <v>1</v>
      </c>
      <c r="RM26" s="193">
        <f t="shared" si="228"/>
        <v>0</v>
      </c>
      <c r="RN26" s="193">
        <f t="shared" si="228"/>
        <v>0</v>
      </c>
      <c r="RO26" s="193"/>
      <c r="RP26" s="193"/>
      <c r="RQ26" s="193"/>
      <c r="RR26" s="193"/>
      <c r="RS26" s="193"/>
      <c r="RT26" s="193"/>
      <c r="RU26" s="193">
        <f t="shared" si="228"/>
        <v>1</v>
      </c>
      <c r="RV26" s="193">
        <f t="shared" si="228"/>
        <v>8</v>
      </c>
      <c r="RW26" s="193">
        <f t="shared" si="228"/>
        <v>2</v>
      </c>
      <c r="RX26" s="193">
        <f t="shared" si="228"/>
        <v>0</v>
      </c>
      <c r="RY26" s="193">
        <f t="shared" si="228"/>
        <v>2</v>
      </c>
      <c r="RZ26" s="193">
        <f t="shared" si="228"/>
        <v>0</v>
      </c>
      <c r="SA26" s="193">
        <f t="shared" si="228"/>
        <v>0</v>
      </c>
      <c r="SB26" s="193">
        <f t="shared" si="228"/>
        <v>2</v>
      </c>
      <c r="SC26" s="193">
        <f t="shared" si="228"/>
        <v>0</v>
      </c>
      <c r="SD26" s="193">
        <f t="shared" si="228"/>
        <v>0</v>
      </c>
      <c r="SE26" s="193">
        <f t="shared" si="228"/>
        <v>0</v>
      </c>
      <c r="SF26" s="193">
        <f t="shared" si="228"/>
        <v>0</v>
      </c>
      <c r="SG26" s="193">
        <f t="shared" si="228"/>
        <v>0</v>
      </c>
      <c r="SH26" s="193">
        <f t="shared" si="228"/>
        <v>0</v>
      </c>
      <c r="SI26" s="193">
        <f t="shared" si="228"/>
        <v>0</v>
      </c>
      <c r="SJ26" s="193">
        <f t="shared" si="228"/>
        <v>0</v>
      </c>
      <c r="SK26" s="193">
        <f t="shared" si="228"/>
        <v>0</v>
      </c>
      <c r="SL26" s="193">
        <f t="shared" si="228"/>
        <v>0</v>
      </c>
      <c r="SM26" s="193">
        <f t="shared" si="228"/>
        <v>0</v>
      </c>
      <c r="SN26" s="193">
        <f t="shared" si="228"/>
        <v>0</v>
      </c>
      <c r="SO26" s="193">
        <f t="shared" si="228"/>
        <v>0</v>
      </c>
      <c r="SP26" s="193">
        <f t="shared" si="228"/>
        <v>0</v>
      </c>
      <c r="SQ26" s="193"/>
      <c r="SR26" s="193"/>
      <c r="SS26" s="195"/>
    </row>
    <row r="27" spans="1:513" s="171" customFormat="1" ht="23.25" customHeight="1">
      <c r="A27" s="168" t="s">
        <v>185</v>
      </c>
      <c r="B27" s="168" t="s">
        <v>110</v>
      </c>
      <c r="C27" s="168"/>
      <c r="D27" s="168"/>
      <c r="E27" s="168" t="s">
        <v>332</v>
      </c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>
        <v>3</v>
      </c>
      <c r="W27" s="168"/>
      <c r="X27" s="168">
        <v>7</v>
      </c>
      <c r="Y27" s="168"/>
      <c r="Z27" s="168">
        <v>4</v>
      </c>
      <c r="AA27" s="168"/>
      <c r="AB27" s="168">
        <v>6</v>
      </c>
      <c r="AC27" s="168"/>
      <c r="AD27" s="168">
        <v>5</v>
      </c>
      <c r="AE27" s="168"/>
      <c r="AF27" s="168">
        <f t="shared" ref="AF27:AG28" si="229">AD27+AB27+Z27+X27+V27</f>
        <v>25</v>
      </c>
      <c r="AG27" s="168">
        <f t="shared" si="229"/>
        <v>0</v>
      </c>
      <c r="AH27" s="168">
        <f>AG27+AF27</f>
        <v>25</v>
      </c>
      <c r="AI27" s="168">
        <v>3</v>
      </c>
      <c r="AJ27" s="168"/>
      <c r="AK27" s="168">
        <v>7</v>
      </c>
      <c r="AL27" s="168"/>
      <c r="AM27" s="168">
        <v>4</v>
      </c>
      <c r="AN27" s="168"/>
      <c r="AO27" s="168">
        <v>6</v>
      </c>
      <c r="AP27" s="168"/>
      <c r="AQ27" s="168">
        <v>5</v>
      </c>
      <c r="AR27" s="168"/>
      <c r="AS27" s="168">
        <f t="shared" ref="AS27:AT28" si="230">AQ27+AO27+AM27+AK27+AI27</f>
        <v>25</v>
      </c>
      <c r="AT27" s="168">
        <f t="shared" si="230"/>
        <v>0</v>
      </c>
      <c r="AU27" s="168">
        <f>AT27+AS27</f>
        <v>25</v>
      </c>
      <c r="AV27" s="168">
        <v>4</v>
      </c>
      <c r="AW27" s="168"/>
      <c r="AX27" s="168">
        <v>3</v>
      </c>
      <c r="AY27" s="168"/>
      <c r="AZ27" s="168">
        <v>7</v>
      </c>
      <c r="BA27" s="168"/>
      <c r="BB27" s="168">
        <v>4</v>
      </c>
      <c r="BC27" s="168"/>
      <c r="BD27" s="168">
        <v>2</v>
      </c>
      <c r="BE27" s="168"/>
      <c r="BF27" s="168">
        <f t="shared" ref="BF27:BG28" si="231">BD27+BB27+AZ27+AX27+AV27</f>
        <v>20</v>
      </c>
      <c r="BG27" s="168">
        <f t="shared" si="231"/>
        <v>0</v>
      </c>
      <c r="BH27" s="168">
        <f>BG27+BF27</f>
        <v>20</v>
      </c>
      <c r="BI27" s="168"/>
      <c r="BJ27" s="168"/>
      <c r="BK27" s="168">
        <v>8</v>
      </c>
      <c r="BL27" s="168"/>
      <c r="BM27" s="168">
        <v>9</v>
      </c>
      <c r="BN27" s="168"/>
      <c r="BO27" s="168">
        <v>8</v>
      </c>
      <c r="BP27" s="168"/>
      <c r="BQ27" s="168">
        <v>8</v>
      </c>
      <c r="BR27" s="168"/>
      <c r="BS27" s="168">
        <f t="shared" ref="BS27:BT28" si="232">BQ27+BO27+BM27+BK27+BI27</f>
        <v>33</v>
      </c>
      <c r="BT27" s="168">
        <f t="shared" si="232"/>
        <v>0</v>
      </c>
      <c r="BU27" s="168">
        <f>BT27+BS27</f>
        <v>33</v>
      </c>
      <c r="BV27" s="168">
        <f t="shared" ref="BV27:BW28" si="233">AI27</f>
        <v>3</v>
      </c>
      <c r="BW27" s="168">
        <f t="shared" si="233"/>
        <v>0</v>
      </c>
      <c r="BX27" s="168">
        <f>AV27+AK27</f>
        <v>11</v>
      </c>
      <c r="BY27" s="168">
        <f>AL27+AW27</f>
        <v>0</v>
      </c>
      <c r="BZ27" s="168">
        <f>BI27+AX27+AM27</f>
        <v>7</v>
      </c>
      <c r="CA27" s="168">
        <f>AN27+AY27+BJ27</f>
        <v>0</v>
      </c>
      <c r="CB27" s="168">
        <f>BK27+AZ27+AO27</f>
        <v>21</v>
      </c>
      <c r="CC27" s="168">
        <f>AP27+BA27+BL27</f>
        <v>0</v>
      </c>
      <c r="CD27" s="168">
        <f t="shared" ref="CD27:CE28" si="234">BM27+BB27+AQ27</f>
        <v>18</v>
      </c>
      <c r="CE27" s="168">
        <f t="shared" si="234"/>
        <v>0</v>
      </c>
      <c r="CF27" s="168">
        <f t="shared" ref="CF27:CG28" si="235">BO27+BD27</f>
        <v>10</v>
      </c>
      <c r="CG27" s="168">
        <f t="shared" si="235"/>
        <v>0</v>
      </c>
      <c r="CH27" s="168">
        <f t="shared" ref="CH27:CI28" si="236">BQ27</f>
        <v>8</v>
      </c>
      <c r="CI27" s="168">
        <f t="shared" si="236"/>
        <v>0</v>
      </c>
      <c r="CJ27" s="168">
        <f t="shared" ref="CJ27:CK28" si="237">BV27+BX27+BZ27+CB27+CD27+CF27+CH27</f>
        <v>78</v>
      </c>
      <c r="CK27" s="168">
        <f t="shared" si="237"/>
        <v>0</v>
      </c>
      <c r="CL27" s="168">
        <f>SUM(CJ27:CK27)</f>
        <v>78</v>
      </c>
      <c r="CM27" s="168">
        <v>1</v>
      </c>
      <c r="CN27" s="168"/>
      <c r="CO27" s="168"/>
      <c r="CP27" s="168">
        <v>1</v>
      </c>
      <c r="CQ27" s="168"/>
      <c r="CR27" s="168"/>
      <c r="CS27" s="168">
        <v>1</v>
      </c>
      <c r="CT27" s="168"/>
      <c r="CU27" s="168"/>
      <c r="CV27" s="168">
        <f t="shared" ref="CV27:CX27" si="238">CS27+CP27+CM27</f>
        <v>3</v>
      </c>
      <c r="CW27" s="168">
        <f t="shared" si="238"/>
        <v>0</v>
      </c>
      <c r="CX27" s="168">
        <f t="shared" si="238"/>
        <v>0</v>
      </c>
      <c r="CY27" s="168">
        <f>CX27+CW27+CV27</f>
        <v>3</v>
      </c>
      <c r="CZ27" s="168">
        <v>1</v>
      </c>
      <c r="DA27" s="168"/>
      <c r="DB27" s="168"/>
      <c r="DC27" s="168"/>
      <c r="DD27" s="168">
        <v>1</v>
      </c>
      <c r="DE27" s="168"/>
      <c r="DF27" s="168">
        <f>DD27+DB27+CZ27</f>
        <v>2</v>
      </c>
      <c r="DG27" s="168">
        <f>DE27+DC27+DA27</f>
        <v>0</v>
      </c>
      <c r="DH27" s="168">
        <f>DG27+DF27</f>
        <v>2</v>
      </c>
      <c r="DI27" s="168"/>
      <c r="DJ27" s="168"/>
      <c r="DK27" s="168"/>
      <c r="DL27" s="168"/>
      <c r="DM27" s="168"/>
      <c r="DN27" s="168"/>
      <c r="DO27" s="168">
        <f>DM27+DK27+DI27</f>
        <v>0</v>
      </c>
      <c r="DP27" s="168">
        <f>DN27+DL27+DJ27</f>
        <v>0</v>
      </c>
      <c r="DQ27" s="168">
        <f>DP27+DO27</f>
        <v>0</v>
      </c>
      <c r="DR27" s="168">
        <v>18</v>
      </c>
      <c r="DS27" s="168"/>
      <c r="DT27" s="168">
        <v>18</v>
      </c>
      <c r="DU27" s="168"/>
      <c r="DV27" s="168">
        <v>20</v>
      </c>
      <c r="DW27" s="168"/>
      <c r="DX27" s="168">
        <f>DV27+DT27+DR27</f>
        <v>56</v>
      </c>
      <c r="DY27" s="168">
        <f>DW27+DU27+DS27</f>
        <v>0</v>
      </c>
      <c r="DZ27" s="168">
        <f>DY27+DX27</f>
        <v>56</v>
      </c>
      <c r="EA27" s="168">
        <v>1</v>
      </c>
      <c r="EB27" s="168"/>
      <c r="EC27" s="168">
        <v>2</v>
      </c>
      <c r="ED27" s="168"/>
      <c r="EE27" s="168">
        <v>11</v>
      </c>
      <c r="EF27" s="168"/>
      <c r="EG27" s="168">
        <f>EE27+EC27+EA27</f>
        <v>14</v>
      </c>
      <c r="EH27" s="168">
        <f>EF27+ED27+EB27</f>
        <v>0</v>
      </c>
      <c r="EI27" s="168">
        <f>EH27+EG27</f>
        <v>14</v>
      </c>
      <c r="EJ27" s="168">
        <v>1</v>
      </c>
      <c r="EK27" s="168"/>
      <c r="EL27" s="168"/>
      <c r="EM27" s="168"/>
      <c r="EN27" s="168">
        <v>5</v>
      </c>
      <c r="EO27" s="168"/>
      <c r="EP27" s="168">
        <f>EN27+EL27+EJ27</f>
        <v>6</v>
      </c>
      <c r="EQ27" s="168">
        <f>EO27+EM27+EK27</f>
        <v>0</v>
      </c>
      <c r="ER27" s="168">
        <f>EQ27+EP27</f>
        <v>6</v>
      </c>
      <c r="ES27" s="168"/>
      <c r="ET27" s="168"/>
      <c r="EU27" s="168"/>
      <c r="EV27" s="168"/>
      <c r="EW27" s="168"/>
      <c r="EX27" s="168"/>
      <c r="EY27" s="168">
        <f>EW27+EU27+ES27</f>
        <v>0</v>
      </c>
      <c r="EZ27" s="168">
        <f>EX27+EV27+ET27</f>
        <v>0</v>
      </c>
      <c r="FA27" s="168">
        <f>EZ27+EY27</f>
        <v>0</v>
      </c>
      <c r="FB27" s="168"/>
      <c r="FC27" s="168"/>
      <c r="FD27" s="168"/>
      <c r="FE27" s="168"/>
      <c r="FF27" s="168"/>
      <c r="FG27" s="168"/>
      <c r="FH27" s="168"/>
      <c r="FI27" s="168"/>
      <c r="FJ27" s="168"/>
      <c r="FK27" s="168"/>
      <c r="FL27" s="168">
        <f>FJ27+FH27+FF27+FD27+FB27</f>
        <v>0</v>
      </c>
      <c r="FM27" s="168">
        <f>FK27+FI27+FG27+FE27+FC27</f>
        <v>0</v>
      </c>
      <c r="FN27" s="168">
        <f>FM27+FL27</f>
        <v>0</v>
      </c>
      <c r="FO27" s="168"/>
      <c r="FP27" s="168"/>
      <c r="FQ27" s="168"/>
      <c r="FR27" s="168"/>
      <c r="FS27" s="168"/>
      <c r="FT27" s="168"/>
      <c r="FU27" s="168"/>
      <c r="FV27" s="168"/>
      <c r="FW27" s="168"/>
      <c r="FX27" s="168"/>
      <c r="FY27" s="168"/>
      <c r="FZ27" s="168"/>
      <c r="GA27" s="168"/>
      <c r="GB27" s="168"/>
      <c r="GC27" s="168"/>
      <c r="GD27" s="168"/>
      <c r="GE27" s="168"/>
      <c r="GF27" s="168"/>
      <c r="GG27" s="168">
        <f>GE27+GA27+FY27+FW27+FU27+FS27+FO27</f>
        <v>0</v>
      </c>
      <c r="GH27" s="168">
        <f>GF27+GB27+FZ27+FX27+FV27+FT27+FP27</f>
        <v>0</v>
      </c>
      <c r="GI27" s="168">
        <f>GH27+GG27</f>
        <v>0</v>
      </c>
      <c r="GJ27" s="168"/>
      <c r="GK27" s="168"/>
      <c r="GL27" s="168"/>
      <c r="GM27" s="168"/>
      <c r="GN27" s="168"/>
      <c r="GO27" s="168"/>
      <c r="GP27" s="168"/>
      <c r="GQ27" s="168"/>
      <c r="GR27" s="168"/>
      <c r="GS27" s="168"/>
      <c r="GT27" s="168"/>
      <c r="GU27" s="168"/>
      <c r="GV27" s="168"/>
      <c r="GW27" s="168"/>
      <c r="GX27" s="168"/>
      <c r="GY27" s="168"/>
      <c r="GZ27" s="168"/>
      <c r="HA27" s="168"/>
      <c r="HB27" s="168"/>
      <c r="HC27" s="168"/>
      <c r="HD27" s="168"/>
      <c r="HE27" s="168"/>
      <c r="HF27" s="168"/>
      <c r="HG27" s="168"/>
      <c r="HH27" s="168"/>
      <c r="HI27" s="168"/>
      <c r="HJ27" s="168"/>
      <c r="HK27" s="168"/>
      <c r="HL27" s="168"/>
      <c r="HM27" s="168"/>
      <c r="HN27" s="168"/>
      <c r="HO27" s="168"/>
      <c r="HP27" s="168"/>
      <c r="HQ27" s="168"/>
      <c r="HR27" s="168"/>
      <c r="HS27" s="168"/>
      <c r="HT27" s="168"/>
      <c r="HU27" s="168"/>
      <c r="HV27" s="168"/>
      <c r="HW27" s="168"/>
      <c r="HX27" s="168"/>
      <c r="HY27" s="168"/>
      <c r="HZ27" s="168"/>
      <c r="IA27" s="168"/>
      <c r="IB27" s="168"/>
      <c r="IC27" s="168"/>
      <c r="ID27" s="168"/>
      <c r="IE27" s="168"/>
      <c r="IF27" s="168"/>
      <c r="IG27" s="168"/>
      <c r="IH27" s="168"/>
      <c r="II27" s="168"/>
      <c r="IJ27" s="168"/>
      <c r="IK27" s="168"/>
      <c r="IL27" s="168"/>
      <c r="IM27" s="168"/>
      <c r="IN27" s="168"/>
      <c r="IO27" s="168"/>
      <c r="IP27" s="168"/>
      <c r="IQ27" s="168"/>
      <c r="IR27" s="168"/>
      <c r="IS27" s="168"/>
      <c r="IT27" s="168"/>
      <c r="IU27" s="168"/>
      <c r="IV27" s="168"/>
      <c r="IW27" s="168"/>
      <c r="IX27" s="168"/>
      <c r="IY27" s="168"/>
      <c r="IZ27" s="168"/>
      <c r="JA27" s="168"/>
      <c r="JB27" s="168"/>
      <c r="JC27" s="168"/>
      <c r="JD27" s="168"/>
      <c r="JE27" s="168"/>
      <c r="JF27" s="168"/>
      <c r="JG27" s="168"/>
      <c r="JH27" s="168"/>
      <c r="JI27" s="168"/>
      <c r="JJ27" s="168"/>
      <c r="JK27" s="168"/>
      <c r="JL27" s="168"/>
      <c r="JM27" s="168"/>
      <c r="JN27" s="168"/>
      <c r="JO27" s="168"/>
      <c r="JP27" s="168"/>
      <c r="JQ27" s="168"/>
      <c r="JR27" s="168"/>
      <c r="JS27" s="168"/>
      <c r="JT27" s="168"/>
      <c r="JU27" s="168"/>
      <c r="JV27" s="168"/>
      <c r="JW27" s="168"/>
      <c r="JX27" s="168"/>
      <c r="JY27" s="168"/>
      <c r="JZ27" s="168"/>
      <c r="KA27" s="168"/>
      <c r="KB27" s="168"/>
      <c r="KC27" s="168"/>
      <c r="KD27" s="168"/>
      <c r="KE27" s="168"/>
      <c r="KF27" s="168"/>
      <c r="KG27" s="168"/>
      <c r="KH27" s="168"/>
      <c r="KI27" s="168"/>
      <c r="KJ27" s="168"/>
      <c r="KK27" s="168"/>
      <c r="KL27" s="168"/>
      <c r="KM27" s="168"/>
      <c r="KN27" s="168"/>
      <c r="KO27" s="168"/>
      <c r="KP27" s="168"/>
      <c r="KQ27" s="168"/>
      <c r="KR27" s="168"/>
      <c r="KS27" s="168"/>
      <c r="KT27" s="168"/>
      <c r="KU27" s="168"/>
      <c r="KV27" s="168">
        <f>KT27+KN27+KJ27+KH27+KF27+KD27+KB27+JZ27+JX27+JV27+JT27+JR27+JP27+JN27+JL27+JJ27+JH27+JF27+JD27+JB27+IZ27+IX27+IV27+IT27+IR27+IP27+IN27+IL27+IJ27+IH27+IF27+ID27+IB27+HZ27+HX27+HV27+HT27+HR27+HP27+HN27+HL27+HJ27+HH27+HF27+HD27+HB27+GZ27+GX27+GV27+GT27+GR27+GP27+GN27+GL27+GJ27</f>
        <v>0</v>
      </c>
      <c r="KW27" s="168">
        <f>KU27+KO27+KK27+KI27+KG27+KE27+KC27+KA27+JY27+JW27+JU27+JS27+JQ27+JO27+JM27+JK27+JI27+JG27+JE27+JC27+JA27+IY27+IW27+IU27+IS27+IQ27+IO27+IM27+IK27+II27+IG27+IE27+IC27+IA27+HY27+HW27+HU27+HS27+HQ27+HO27+HM27+HK27+HI27+HG27+HE27+HC27+HA27+GY27+GW27+GU27+GS27+GQ27+GO27+GM27+GK27</f>
        <v>0</v>
      </c>
      <c r="KX27" s="168">
        <f>KW27+KV27</f>
        <v>0</v>
      </c>
      <c r="KY27" s="168"/>
      <c r="KZ27" s="168"/>
      <c r="LA27" s="168"/>
      <c r="LB27" s="168"/>
      <c r="LC27" s="168"/>
      <c r="LD27" s="168"/>
      <c r="LE27" s="168"/>
      <c r="LF27" s="168"/>
      <c r="LG27" s="168"/>
      <c r="LH27" s="168"/>
      <c r="LI27" s="168"/>
      <c r="LJ27" s="168"/>
      <c r="LK27" s="168"/>
      <c r="LL27" s="168"/>
      <c r="LM27" s="168"/>
      <c r="LN27" s="168"/>
      <c r="LO27" s="168"/>
      <c r="LP27" s="168"/>
      <c r="LQ27" s="168">
        <f t="shared" ref="LQ27:LQ28" si="239">LA27+LC27+KY27+LE27+LG27+LI27+LK27+LM27+LO27</f>
        <v>0</v>
      </c>
      <c r="LR27" s="168">
        <f t="shared" ref="LR27:LR28" si="240">LB27+LD27+KZ27+LF27+LH27+LJ27+LL27+LN27+LP27</f>
        <v>0</v>
      </c>
      <c r="LS27" s="115">
        <f t="shared" ref="LS27:LS28" si="241">LR27+LQ27</f>
        <v>0</v>
      </c>
      <c r="LT27" s="168"/>
      <c r="LU27" s="168"/>
      <c r="LV27" s="168"/>
      <c r="LW27" s="168"/>
      <c r="LX27" s="168"/>
      <c r="LY27" s="168"/>
      <c r="LZ27" s="168"/>
      <c r="MA27" s="168"/>
      <c r="MB27" s="168"/>
      <c r="MC27" s="168"/>
      <c r="MD27" s="168"/>
      <c r="ME27" s="168"/>
      <c r="MF27" s="168"/>
      <c r="MG27" s="168"/>
      <c r="MH27" s="168"/>
      <c r="MI27" s="168"/>
      <c r="MJ27" s="168"/>
      <c r="MK27" s="168"/>
      <c r="ML27" s="168"/>
      <c r="MM27" s="168"/>
      <c r="MN27" s="168"/>
      <c r="MO27" s="168"/>
      <c r="MP27" s="168"/>
      <c r="MQ27" s="168"/>
      <c r="MR27" s="168"/>
      <c r="MS27" s="168"/>
      <c r="MT27" s="168"/>
      <c r="MU27" s="168"/>
      <c r="MV27" s="168"/>
      <c r="MW27" s="168"/>
      <c r="MX27" s="168"/>
      <c r="MY27" s="168"/>
      <c r="MZ27" s="168"/>
      <c r="NA27" s="168"/>
      <c r="NB27" s="168"/>
      <c r="NC27" s="168"/>
      <c r="ND27" s="168"/>
      <c r="NE27" s="168"/>
      <c r="NF27" s="168"/>
      <c r="NG27" s="168"/>
      <c r="NH27" s="168"/>
      <c r="NI27" s="168"/>
      <c r="NJ27" s="168"/>
      <c r="NK27" s="168"/>
      <c r="NL27" s="168"/>
      <c r="NM27" s="168"/>
      <c r="NN27" s="168"/>
      <c r="NO27" s="168"/>
      <c r="NP27" s="168"/>
      <c r="NQ27" s="168"/>
      <c r="NR27" s="168"/>
      <c r="NS27" s="168"/>
      <c r="NT27" s="168"/>
      <c r="NU27" s="168"/>
      <c r="NV27" s="168"/>
      <c r="NW27" s="168">
        <f>NU27+NS27+NQ27+NO27+NM27+NK27+NG27+NI27+NE27</f>
        <v>0</v>
      </c>
      <c r="NX27" s="168">
        <f>NV27+NT27+NR27+NP27+NN27+NL27+NH27+NJ27+NF27</f>
        <v>0</v>
      </c>
      <c r="NY27" s="168">
        <f>NX27+NW27</f>
        <v>0</v>
      </c>
      <c r="NZ27" s="168"/>
      <c r="OA27" s="168"/>
      <c r="OB27" s="168"/>
      <c r="OC27" s="168"/>
      <c r="OD27" s="168"/>
      <c r="OE27" s="168"/>
      <c r="OF27" s="168">
        <f>OD27+OB27+NZ27</f>
        <v>0</v>
      </c>
      <c r="OG27" s="168">
        <f>OE27+OC27+OA27</f>
        <v>0</v>
      </c>
      <c r="OH27" s="168">
        <f>OG27+OF27</f>
        <v>0</v>
      </c>
      <c r="OI27" s="168"/>
      <c r="OJ27" s="168"/>
      <c r="OK27" s="168"/>
      <c r="OL27" s="168"/>
      <c r="OM27" s="168"/>
      <c r="ON27" s="168"/>
      <c r="OO27" s="168"/>
      <c r="OP27" s="168"/>
      <c r="OQ27" s="168"/>
      <c r="OR27" s="168"/>
      <c r="OS27" s="168"/>
      <c r="OT27" s="168"/>
      <c r="OU27" s="169"/>
      <c r="OV27" s="169"/>
      <c r="OW27" s="169"/>
      <c r="OX27" s="169"/>
      <c r="OY27" s="169"/>
      <c r="OZ27" s="169"/>
      <c r="PA27" s="169"/>
      <c r="PB27" s="169"/>
      <c r="PC27" s="169"/>
      <c r="PD27" s="169"/>
      <c r="PE27" s="169"/>
      <c r="PF27" s="169"/>
      <c r="PG27" s="169"/>
      <c r="PH27" s="169"/>
      <c r="PI27" s="169"/>
      <c r="PJ27" s="169"/>
      <c r="PK27" s="169"/>
      <c r="PL27" s="169"/>
      <c r="PM27" s="169"/>
      <c r="PN27" s="169"/>
      <c r="PO27" s="169">
        <f>PN27+PM27</f>
        <v>0</v>
      </c>
      <c r="PP27" s="169"/>
      <c r="PQ27" s="169"/>
      <c r="PR27" s="169"/>
      <c r="PS27" s="169"/>
      <c r="PT27" s="169"/>
      <c r="PU27" s="169"/>
      <c r="PV27" s="169"/>
      <c r="PW27" s="169"/>
      <c r="PX27" s="169"/>
      <c r="PY27" s="169"/>
      <c r="PZ27" s="169"/>
      <c r="QA27" s="169"/>
      <c r="QB27" s="169"/>
      <c r="QC27" s="169"/>
      <c r="QD27" s="169"/>
      <c r="QE27" s="169"/>
      <c r="QF27" s="169"/>
      <c r="QG27" s="169"/>
      <c r="QH27" s="169"/>
      <c r="QI27" s="169"/>
      <c r="QJ27" s="169"/>
      <c r="QK27" s="169"/>
      <c r="QL27" s="169"/>
      <c r="QM27" s="169"/>
      <c r="QN27" s="169"/>
      <c r="QO27" s="169"/>
      <c r="QP27" s="169"/>
      <c r="QQ27" s="169"/>
      <c r="QR27" s="169"/>
      <c r="QS27" s="169"/>
      <c r="QT27" s="169"/>
      <c r="QU27" s="169"/>
      <c r="QV27" s="169"/>
      <c r="QW27" s="169"/>
      <c r="QX27" s="169"/>
      <c r="QY27" s="169"/>
      <c r="QZ27" s="169"/>
      <c r="RA27" s="169"/>
      <c r="RB27" s="169"/>
      <c r="RC27" s="169"/>
      <c r="RD27" s="169"/>
      <c r="RE27" s="169"/>
      <c r="RF27" s="169"/>
      <c r="RG27" s="169"/>
      <c r="RH27" s="169"/>
      <c r="RI27" s="169"/>
      <c r="RJ27" s="169"/>
      <c r="RK27" s="169"/>
      <c r="RL27" s="169"/>
      <c r="RM27" s="169"/>
      <c r="RN27" s="169"/>
      <c r="RO27" s="168"/>
      <c r="RP27" s="168"/>
      <c r="RQ27" s="168"/>
      <c r="RR27" s="168"/>
      <c r="RS27" s="168"/>
      <c r="RT27" s="168"/>
      <c r="RU27" s="170"/>
      <c r="RV27" s="170"/>
      <c r="RW27" s="170"/>
      <c r="RX27" s="170"/>
      <c r="RY27" s="170"/>
      <c r="RZ27" s="170"/>
      <c r="SA27" s="169"/>
      <c r="SB27" s="169"/>
      <c r="SC27" s="169"/>
      <c r="SD27" s="169"/>
      <c r="SE27" s="169"/>
      <c r="SF27" s="169"/>
      <c r="SG27" s="169"/>
      <c r="SH27" s="169"/>
      <c r="SI27" s="169"/>
      <c r="SJ27" s="169"/>
      <c r="SK27" s="169"/>
      <c r="SL27" s="169"/>
      <c r="SM27" s="169"/>
      <c r="SN27" s="169">
        <f>SM27+SL27</f>
        <v>0</v>
      </c>
      <c r="SO27" s="169"/>
      <c r="SP27" s="169"/>
      <c r="SQ27" s="169"/>
      <c r="SR27" s="169"/>
      <c r="SS27" s="175"/>
    </row>
    <row r="28" spans="1:513" s="171" customFormat="1" ht="23.25" customHeight="1">
      <c r="A28" s="168"/>
      <c r="B28" s="168"/>
      <c r="C28" s="168"/>
      <c r="D28" s="168"/>
      <c r="E28" s="168" t="s">
        <v>522</v>
      </c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>
        <v>5</v>
      </c>
      <c r="W28" s="168"/>
      <c r="X28" s="168">
        <v>12</v>
      </c>
      <c r="Y28" s="168"/>
      <c r="Z28" s="168">
        <v>5</v>
      </c>
      <c r="AA28" s="168"/>
      <c r="AB28" s="168">
        <v>4</v>
      </c>
      <c r="AC28" s="168"/>
      <c r="AD28" s="168">
        <v>3</v>
      </c>
      <c r="AE28" s="168"/>
      <c r="AF28" s="168">
        <f t="shared" si="229"/>
        <v>29</v>
      </c>
      <c r="AG28" s="168">
        <f t="shared" si="229"/>
        <v>0</v>
      </c>
      <c r="AH28" s="168">
        <f>AG28+AF28</f>
        <v>29</v>
      </c>
      <c r="AI28" s="168">
        <v>5</v>
      </c>
      <c r="AJ28" s="168"/>
      <c r="AK28" s="168">
        <v>12</v>
      </c>
      <c r="AL28" s="168"/>
      <c r="AM28" s="168">
        <v>5</v>
      </c>
      <c r="AN28" s="168"/>
      <c r="AO28" s="168">
        <v>4</v>
      </c>
      <c r="AP28" s="168"/>
      <c r="AQ28" s="168">
        <v>3</v>
      </c>
      <c r="AR28" s="168"/>
      <c r="AS28" s="168">
        <f t="shared" si="230"/>
        <v>29</v>
      </c>
      <c r="AT28" s="168">
        <f t="shared" si="230"/>
        <v>0</v>
      </c>
      <c r="AU28" s="168">
        <f>AT28+AS28</f>
        <v>29</v>
      </c>
      <c r="AV28" s="168">
        <v>1</v>
      </c>
      <c r="AW28" s="168"/>
      <c r="AX28" s="168">
        <v>1</v>
      </c>
      <c r="AY28" s="168"/>
      <c r="AZ28" s="168">
        <v>3</v>
      </c>
      <c r="BA28" s="168"/>
      <c r="BB28" s="168"/>
      <c r="BC28" s="168"/>
      <c r="BD28" s="168"/>
      <c r="BE28" s="168"/>
      <c r="BF28" s="168">
        <f t="shared" si="231"/>
        <v>5</v>
      </c>
      <c r="BG28" s="168">
        <f t="shared" si="231"/>
        <v>0</v>
      </c>
      <c r="BH28" s="168">
        <f>BG28+BF28</f>
        <v>5</v>
      </c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>
        <f t="shared" si="232"/>
        <v>0</v>
      </c>
      <c r="BT28" s="168">
        <f t="shared" si="232"/>
        <v>0</v>
      </c>
      <c r="BU28" s="168">
        <f>BT28+BS28</f>
        <v>0</v>
      </c>
      <c r="BV28" s="168">
        <f t="shared" si="233"/>
        <v>5</v>
      </c>
      <c r="BW28" s="168">
        <f t="shared" si="233"/>
        <v>0</v>
      </c>
      <c r="BX28" s="168">
        <f>AV28+AK28</f>
        <v>13</v>
      </c>
      <c r="BY28" s="168">
        <f>AL28+AW28</f>
        <v>0</v>
      </c>
      <c r="BZ28" s="168">
        <f>BI28+AX28+AM28</f>
        <v>6</v>
      </c>
      <c r="CA28" s="168">
        <f>AN28+AY28+BJ28</f>
        <v>0</v>
      </c>
      <c r="CB28" s="168">
        <f>BK28+AZ28+AO28</f>
        <v>7</v>
      </c>
      <c r="CC28" s="168">
        <f>AP28+BA28+BL28</f>
        <v>0</v>
      </c>
      <c r="CD28" s="168">
        <f t="shared" si="234"/>
        <v>3</v>
      </c>
      <c r="CE28" s="168">
        <f t="shared" si="234"/>
        <v>0</v>
      </c>
      <c r="CF28" s="168">
        <f t="shared" si="235"/>
        <v>0</v>
      </c>
      <c r="CG28" s="168">
        <f t="shared" si="235"/>
        <v>0</v>
      </c>
      <c r="CH28" s="168">
        <f t="shared" si="236"/>
        <v>0</v>
      </c>
      <c r="CI28" s="168">
        <f t="shared" si="236"/>
        <v>0</v>
      </c>
      <c r="CJ28" s="168">
        <f t="shared" si="237"/>
        <v>34</v>
      </c>
      <c r="CK28" s="168">
        <f t="shared" si="237"/>
        <v>0</v>
      </c>
      <c r="CL28" s="168">
        <f>SUM(CJ28:CK28)</f>
        <v>34</v>
      </c>
      <c r="CM28" s="168">
        <v>1</v>
      </c>
      <c r="CN28" s="168"/>
      <c r="CO28" s="168"/>
      <c r="CP28" s="168">
        <v>1</v>
      </c>
      <c r="CQ28" s="168"/>
      <c r="CR28" s="168"/>
      <c r="CS28" s="168"/>
      <c r="CT28" s="168"/>
      <c r="CU28" s="168"/>
      <c r="CV28" s="168">
        <f t="shared" ref="CV28" si="242">CS28+CP28+CM28</f>
        <v>2</v>
      </c>
      <c r="CW28" s="168">
        <f t="shared" ref="CW28" si="243">CT28+CQ28+CN28</f>
        <v>0</v>
      </c>
      <c r="CX28" s="168">
        <f t="shared" ref="CX28" si="244">CU28+CR28+CO28</f>
        <v>0</v>
      </c>
      <c r="CY28" s="168">
        <f>CX28+CW28+CV28</f>
        <v>2</v>
      </c>
      <c r="CZ28" s="168">
        <v>1</v>
      </c>
      <c r="DA28" s="168"/>
      <c r="DB28" s="168"/>
      <c r="DC28" s="168"/>
      <c r="DD28" s="168"/>
      <c r="DE28" s="168"/>
      <c r="DF28" s="168">
        <f>DD28+DB28+CZ28</f>
        <v>1</v>
      </c>
      <c r="DG28" s="168">
        <f>DE28+DC28+DA28</f>
        <v>0</v>
      </c>
      <c r="DH28" s="168">
        <f>DG28+DF28</f>
        <v>1</v>
      </c>
      <c r="DI28" s="168"/>
      <c r="DJ28" s="168"/>
      <c r="DK28" s="168"/>
      <c r="DL28" s="168"/>
      <c r="DM28" s="168"/>
      <c r="DN28" s="168"/>
      <c r="DO28" s="168"/>
      <c r="DP28" s="168"/>
      <c r="DQ28" s="168"/>
      <c r="DR28" s="168">
        <v>7</v>
      </c>
      <c r="DS28" s="168"/>
      <c r="DT28" s="168"/>
      <c r="DU28" s="168"/>
      <c r="DV28" s="168"/>
      <c r="DW28" s="168"/>
      <c r="DX28" s="168">
        <f>DV28+DT28+DR28</f>
        <v>7</v>
      </c>
      <c r="DY28" s="168">
        <f>DW28+DU28+DS28</f>
        <v>0</v>
      </c>
      <c r="DZ28" s="168">
        <f>DY28+DX28</f>
        <v>7</v>
      </c>
      <c r="EA28" s="168"/>
      <c r="EB28" s="168"/>
      <c r="EC28" s="168"/>
      <c r="ED28" s="168"/>
      <c r="EE28" s="168"/>
      <c r="EF28" s="168"/>
      <c r="EG28" s="168">
        <f>EE28+EC28+EA28</f>
        <v>0</v>
      </c>
      <c r="EH28" s="168">
        <f>EF28+ED28+EB28</f>
        <v>0</v>
      </c>
      <c r="EI28" s="168">
        <f>EH28+EG28</f>
        <v>0</v>
      </c>
      <c r="EJ28" s="168"/>
      <c r="EK28" s="168"/>
      <c r="EL28" s="168"/>
      <c r="EM28" s="168"/>
      <c r="EN28" s="168"/>
      <c r="EO28" s="168"/>
      <c r="EP28" s="168">
        <f>EN28+EL28+EJ28</f>
        <v>0</v>
      </c>
      <c r="EQ28" s="168">
        <f>EO28+EM28+EK28</f>
        <v>0</v>
      </c>
      <c r="ER28" s="168">
        <f>EQ28+EP28</f>
        <v>0</v>
      </c>
      <c r="ES28" s="168"/>
      <c r="ET28" s="168"/>
      <c r="EU28" s="168"/>
      <c r="EV28" s="168"/>
      <c r="EW28" s="168"/>
      <c r="EX28" s="168"/>
      <c r="EY28" s="168">
        <f>EW28+EU28+ES28</f>
        <v>0</v>
      </c>
      <c r="EZ28" s="168">
        <f>EX28+EV28+ET28</f>
        <v>0</v>
      </c>
      <c r="FA28" s="168">
        <f>EZ28+EY28</f>
        <v>0</v>
      </c>
      <c r="FB28" s="168"/>
      <c r="FC28" s="168"/>
      <c r="FD28" s="168"/>
      <c r="FE28" s="168"/>
      <c r="FF28" s="168"/>
      <c r="FG28" s="168"/>
      <c r="FH28" s="168"/>
      <c r="FI28" s="168"/>
      <c r="FJ28" s="168"/>
      <c r="FK28" s="168"/>
      <c r="FL28" s="168"/>
      <c r="FM28" s="168"/>
      <c r="FN28" s="168"/>
      <c r="FO28" s="168"/>
      <c r="FP28" s="168"/>
      <c r="FQ28" s="168"/>
      <c r="FR28" s="168"/>
      <c r="FS28" s="168"/>
      <c r="FT28" s="168"/>
      <c r="FU28" s="168"/>
      <c r="FV28" s="168"/>
      <c r="FW28" s="168"/>
      <c r="FX28" s="168"/>
      <c r="FY28" s="168"/>
      <c r="FZ28" s="168"/>
      <c r="GA28" s="168"/>
      <c r="GB28" s="168"/>
      <c r="GC28" s="168"/>
      <c r="GD28" s="168"/>
      <c r="GE28" s="168"/>
      <c r="GF28" s="168"/>
      <c r="GG28" s="168"/>
      <c r="GH28" s="168"/>
      <c r="GI28" s="168"/>
      <c r="GJ28" s="168"/>
      <c r="GK28" s="168"/>
      <c r="GL28" s="168"/>
      <c r="GM28" s="168"/>
      <c r="GN28" s="168"/>
      <c r="GO28" s="168"/>
      <c r="GP28" s="168"/>
      <c r="GQ28" s="168"/>
      <c r="GR28" s="168"/>
      <c r="GS28" s="168"/>
      <c r="GT28" s="168"/>
      <c r="GU28" s="168"/>
      <c r="GV28" s="168"/>
      <c r="GW28" s="168"/>
      <c r="GX28" s="168"/>
      <c r="GY28" s="168"/>
      <c r="GZ28" s="168"/>
      <c r="HA28" s="168"/>
      <c r="HB28" s="168"/>
      <c r="HC28" s="168"/>
      <c r="HD28" s="168"/>
      <c r="HE28" s="168"/>
      <c r="HF28" s="168"/>
      <c r="HG28" s="168"/>
      <c r="HH28" s="168"/>
      <c r="HI28" s="168"/>
      <c r="HJ28" s="168"/>
      <c r="HK28" s="168"/>
      <c r="HL28" s="168"/>
      <c r="HM28" s="168"/>
      <c r="HN28" s="168"/>
      <c r="HO28" s="168"/>
      <c r="HP28" s="168"/>
      <c r="HQ28" s="168"/>
      <c r="HR28" s="168"/>
      <c r="HS28" s="168"/>
      <c r="HT28" s="168"/>
      <c r="HU28" s="168"/>
      <c r="HV28" s="168"/>
      <c r="HW28" s="168"/>
      <c r="HX28" s="168"/>
      <c r="HY28" s="168"/>
      <c r="HZ28" s="168"/>
      <c r="IA28" s="168"/>
      <c r="IB28" s="168"/>
      <c r="IC28" s="168"/>
      <c r="ID28" s="168"/>
      <c r="IE28" s="168"/>
      <c r="IF28" s="168"/>
      <c r="IG28" s="168"/>
      <c r="IH28" s="168"/>
      <c r="II28" s="168"/>
      <c r="IJ28" s="168"/>
      <c r="IK28" s="168"/>
      <c r="IL28" s="168"/>
      <c r="IM28" s="168"/>
      <c r="IN28" s="168"/>
      <c r="IO28" s="168"/>
      <c r="IP28" s="168"/>
      <c r="IQ28" s="168"/>
      <c r="IR28" s="168"/>
      <c r="IS28" s="168"/>
      <c r="IT28" s="168"/>
      <c r="IU28" s="168"/>
      <c r="IV28" s="168"/>
      <c r="IW28" s="168"/>
      <c r="IX28" s="168"/>
      <c r="IY28" s="168"/>
      <c r="IZ28" s="168"/>
      <c r="JA28" s="168"/>
      <c r="JB28" s="168"/>
      <c r="JC28" s="168"/>
      <c r="JD28" s="168"/>
      <c r="JE28" s="168"/>
      <c r="JF28" s="168"/>
      <c r="JG28" s="168"/>
      <c r="JH28" s="168"/>
      <c r="JI28" s="168"/>
      <c r="JJ28" s="168"/>
      <c r="JK28" s="168"/>
      <c r="JL28" s="168"/>
      <c r="JM28" s="168"/>
      <c r="JN28" s="168"/>
      <c r="JO28" s="168"/>
      <c r="JP28" s="168"/>
      <c r="JQ28" s="168"/>
      <c r="JR28" s="168"/>
      <c r="JS28" s="168"/>
      <c r="JT28" s="168"/>
      <c r="JU28" s="168"/>
      <c r="JV28" s="168"/>
      <c r="JW28" s="168"/>
      <c r="JX28" s="168"/>
      <c r="JY28" s="168"/>
      <c r="JZ28" s="168"/>
      <c r="KA28" s="168"/>
      <c r="KB28" s="168"/>
      <c r="KC28" s="168"/>
      <c r="KD28" s="168"/>
      <c r="KE28" s="168"/>
      <c r="KF28" s="168"/>
      <c r="KG28" s="168"/>
      <c r="KH28" s="168"/>
      <c r="KI28" s="168"/>
      <c r="KJ28" s="168"/>
      <c r="KK28" s="168"/>
      <c r="KL28" s="168"/>
      <c r="KM28" s="168"/>
      <c r="KN28" s="168"/>
      <c r="KO28" s="168"/>
      <c r="KP28" s="168"/>
      <c r="KQ28" s="168"/>
      <c r="KR28" s="168"/>
      <c r="KS28" s="168"/>
      <c r="KT28" s="168"/>
      <c r="KU28" s="168"/>
      <c r="KV28" s="168"/>
      <c r="KW28" s="168"/>
      <c r="KX28" s="168"/>
      <c r="KY28" s="168"/>
      <c r="KZ28" s="168"/>
      <c r="LA28" s="168"/>
      <c r="LB28" s="168"/>
      <c r="LC28" s="168"/>
      <c r="LD28" s="168"/>
      <c r="LE28" s="168"/>
      <c r="LF28" s="168"/>
      <c r="LG28" s="168"/>
      <c r="LH28" s="168"/>
      <c r="LI28" s="168"/>
      <c r="LJ28" s="168"/>
      <c r="LK28" s="168"/>
      <c r="LL28" s="168"/>
      <c r="LM28" s="168"/>
      <c r="LN28" s="168"/>
      <c r="LO28" s="168"/>
      <c r="LP28" s="168"/>
      <c r="LQ28" s="168">
        <f t="shared" si="239"/>
        <v>0</v>
      </c>
      <c r="LR28" s="168">
        <f t="shared" si="240"/>
        <v>0</v>
      </c>
      <c r="LS28" s="168">
        <f t="shared" si="241"/>
        <v>0</v>
      </c>
      <c r="LT28" s="168"/>
      <c r="LU28" s="168"/>
      <c r="LV28" s="168"/>
      <c r="LW28" s="168"/>
      <c r="LX28" s="168"/>
      <c r="LY28" s="168"/>
      <c r="LZ28" s="168"/>
      <c r="MA28" s="168"/>
      <c r="MB28" s="168"/>
      <c r="MC28" s="168"/>
      <c r="MD28" s="168"/>
      <c r="ME28" s="168"/>
      <c r="MF28" s="168"/>
      <c r="MG28" s="168"/>
      <c r="MH28" s="168"/>
      <c r="MI28" s="168"/>
      <c r="MJ28" s="168"/>
      <c r="MK28" s="168"/>
      <c r="ML28" s="168"/>
      <c r="MM28" s="168"/>
      <c r="MN28" s="168"/>
      <c r="MO28" s="168"/>
      <c r="MP28" s="168"/>
      <c r="MQ28" s="168"/>
      <c r="MR28" s="168"/>
      <c r="MS28" s="168"/>
      <c r="MT28" s="168"/>
      <c r="MU28" s="168"/>
      <c r="MV28" s="168"/>
      <c r="MW28" s="168"/>
      <c r="MX28" s="168"/>
      <c r="MY28" s="168"/>
      <c r="MZ28" s="168"/>
      <c r="NA28" s="168"/>
      <c r="NB28" s="168"/>
      <c r="NC28" s="168"/>
      <c r="ND28" s="168"/>
      <c r="NE28" s="168"/>
      <c r="NF28" s="168"/>
      <c r="NG28" s="168"/>
      <c r="NH28" s="168"/>
      <c r="NI28" s="168"/>
      <c r="NJ28" s="168"/>
      <c r="NK28" s="168"/>
      <c r="NL28" s="168"/>
      <c r="NM28" s="168"/>
      <c r="NN28" s="168"/>
      <c r="NO28" s="168"/>
      <c r="NP28" s="168"/>
      <c r="NQ28" s="168"/>
      <c r="NR28" s="168"/>
      <c r="NS28" s="168"/>
      <c r="NT28" s="168"/>
      <c r="NU28" s="168"/>
      <c r="NV28" s="168"/>
      <c r="NW28" s="168"/>
      <c r="NX28" s="168"/>
      <c r="NY28" s="168"/>
      <c r="NZ28" s="168"/>
      <c r="OA28" s="168"/>
      <c r="OB28" s="168"/>
      <c r="OC28" s="168"/>
      <c r="OD28" s="168"/>
      <c r="OE28" s="168"/>
      <c r="OF28" s="168"/>
      <c r="OG28" s="168"/>
      <c r="OH28" s="168"/>
      <c r="OI28" s="168"/>
      <c r="OJ28" s="168"/>
      <c r="OK28" s="168"/>
      <c r="OL28" s="168"/>
      <c r="OM28" s="168"/>
      <c r="ON28" s="168"/>
      <c r="OO28" s="168"/>
      <c r="OP28" s="168"/>
      <c r="OQ28" s="168"/>
      <c r="OR28" s="168"/>
      <c r="OS28" s="168"/>
      <c r="OT28" s="168"/>
      <c r="OU28" s="169"/>
      <c r="OV28" s="169"/>
      <c r="OW28" s="169"/>
      <c r="OX28" s="169"/>
      <c r="OY28" s="169"/>
      <c r="OZ28" s="169"/>
      <c r="PA28" s="169"/>
      <c r="PB28" s="169"/>
      <c r="PC28" s="169"/>
      <c r="PD28" s="169"/>
      <c r="PE28" s="169"/>
      <c r="PF28" s="169"/>
      <c r="PG28" s="169"/>
      <c r="PH28" s="169"/>
      <c r="PI28" s="169"/>
      <c r="PJ28" s="169"/>
      <c r="PK28" s="169"/>
      <c r="PL28" s="169"/>
      <c r="PM28" s="169"/>
      <c r="PN28" s="169"/>
      <c r="PO28" s="169"/>
      <c r="PP28" s="169"/>
      <c r="PQ28" s="169"/>
      <c r="PR28" s="169"/>
      <c r="PS28" s="169"/>
      <c r="PT28" s="169"/>
      <c r="PU28" s="169"/>
      <c r="PV28" s="169"/>
      <c r="PW28" s="169"/>
      <c r="PX28" s="169"/>
      <c r="PY28" s="169"/>
      <c r="PZ28" s="169"/>
      <c r="QA28" s="169"/>
      <c r="QB28" s="169"/>
      <c r="QC28" s="169"/>
      <c r="QD28" s="169"/>
      <c r="QE28" s="169"/>
      <c r="QF28" s="169"/>
      <c r="QG28" s="169"/>
      <c r="QH28" s="169"/>
      <c r="QI28" s="169"/>
      <c r="QJ28" s="169"/>
      <c r="QK28" s="169"/>
      <c r="QL28" s="169"/>
      <c r="QM28" s="169"/>
      <c r="QN28" s="169"/>
      <c r="QO28" s="169"/>
      <c r="QP28" s="169"/>
      <c r="QQ28" s="169"/>
      <c r="QR28" s="169"/>
      <c r="QS28" s="169"/>
      <c r="QT28" s="169"/>
      <c r="QU28" s="169"/>
      <c r="QV28" s="169"/>
      <c r="QW28" s="169"/>
      <c r="QX28" s="169"/>
      <c r="QY28" s="169"/>
      <c r="QZ28" s="169"/>
      <c r="RA28" s="169"/>
      <c r="RB28" s="169"/>
      <c r="RC28" s="169"/>
      <c r="RD28" s="169"/>
      <c r="RE28" s="169"/>
      <c r="RF28" s="169"/>
      <c r="RG28" s="169"/>
      <c r="RH28" s="169"/>
      <c r="RI28" s="169"/>
      <c r="RJ28" s="169"/>
      <c r="RK28" s="169"/>
      <c r="RL28" s="169"/>
      <c r="RM28" s="169"/>
      <c r="RN28" s="169"/>
      <c r="RO28" s="168"/>
      <c r="RP28" s="168"/>
      <c r="RQ28" s="168"/>
      <c r="RR28" s="168"/>
      <c r="RS28" s="168"/>
      <c r="RT28" s="168"/>
      <c r="RU28" s="170"/>
      <c r="RV28" s="170"/>
      <c r="RW28" s="170"/>
      <c r="RX28" s="170"/>
      <c r="RY28" s="170"/>
      <c r="RZ28" s="170"/>
      <c r="SA28" s="169"/>
      <c r="SB28" s="169"/>
      <c r="SC28" s="169"/>
      <c r="SD28" s="169"/>
      <c r="SE28" s="169"/>
      <c r="SF28" s="169"/>
      <c r="SG28" s="169"/>
      <c r="SH28" s="169"/>
      <c r="SI28" s="169"/>
      <c r="SJ28" s="169"/>
      <c r="SK28" s="169"/>
      <c r="SL28" s="169"/>
      <c r="SM28" s="169"/>
      <c r="SN28" s="169"/>
      <c r="SO28" s="169"/>
      <c r="SP28" s="169"/>
      <c r="SQ28" s="169"/>
      <c r="SR28" s="169"/>
      <c r="SS28" s="175"/>
    </row>
    <row r="29" spans="1:513" ht="23.25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5"/>
      <c r="CF29" s="115"/>
      <c r="CG29" s="115"/>
      <c r="CH29" s="115"/>
      <c r="CI29" s="115"/>
      <c r="CJ29" s="115"/>
      <c r="CK29" s="115"/>
      <c r="CL29" s="115"/>
      <c r="CM29" s="115"/>
      <c r="CN29" s="115"/>
      <c r="CO29" s="115"/>
      <c r="CP29" s="115"/>
      <c r="CQ29" s="115"/>
      <c r="CR29" s="115"/>
      <c r="CS29" s="115"/>
      <c r="CT29" s="115"/>
      <c r="CU29" s="115"/>
      <c r="CV29" s="115"/>
      <c r="CW29" s="115"/>
      <c r="CX29" s="115"/>
      <c r="CY29" s="115"/>
      <c r="CZ29" s="115"/>
      <c r="DA29" s="115"/>
      <c r="DB29" s="115"/>
      <c r="DC29" s="115"/>
      <c r="DD29" s="115"/>
      <c r="DE29" s="115"/>
      <c r="DF29" s="115"/>
      <c r="DG29" s="115"/>
      <c r="DH29" s="115"/>
      <c r="DI29" s="115"/>
      <c r="DJ29" s="115"/>
      <c r="DK29" s="115"/>
      <c r="DL29" s="115"/>
      <c r="DM29" s="115"/>
      <c r="DN29" s="115"/>
      <c r="DO29" s="115"/>
      <c r="DP29" s="115"/>
      <c r="DQ29" s="115"/>
      <c r="DR29" s="115"/>
      <c r="DS29" s="115"/>
      <c r="DT29" s="115"/>
      <c r="DU29" s="115"/>
      <c r="DV29" s="115"/>
      <c r="DW29" s="115"/>
      <c r="DX29" s="115"/>
      <c r="DY29" s="115"/>
      <c r="DZ29" s="115"/>
      <c r="EA29" s="115"/>
      <c r="EB29" s="115"/>
      <c r="EC29" s="115"/>
      <c r="ED29" s="115"/>
      <c r="EE29" s="115"/>
      <c r="EF29" s="115"/>
      <c r="EG29" s="115"/>
      <c r="EH29" s="115"/>
      <c r="EI29" s="115"/>
      <c r="EJ29" s="115"/>
      <c r="EK29" s="115"/>
      <c r="EL29" s="115"/>
      <c r="EM29" s="115"/>
      <c r="EN29" s="115"/>
      <c r="EO29" s="115"/>
      <c r="EP29" s="115"/>
      <c r="EQ29" s="115"/>
      <c r="ER29" s="115"/>
      <c r="ES29" s="115"/>
      <c r="ET29" s="115"/>
      <c r="EU29" s="115"/>
      <c r="EV29" s="115"/>
      <c r="EW29" s="115"/>
      <c r="EX29" s="115"/>
      <c r="EY29" s="115"/>
      <c r="EZ29" s="115"/>
      <c r="FA29" s="115"/>
      <c r="FB29" s="115"/>
      <c r="FC29" s="115"/>
      <c r="FD29" s="115"/>
      <c r="FE29" s="115"/>
      <c r="FF29" s="115"/>
      <c r="FG29" s="115"/>
      <c r="FH29" s="115"/>
      <c r="FI29" s="115"/>
      <c r="FJ29" s="115"/>
      <c r="FK29" s="115"/>
      <c r="FL29" s="115"/>
      <c r="FM29" s="115"/>
      <c r="FN29" s="115"/>
      <c r="FO29" s="115"/>
      <c r="FP29" s="115"/>
      <c r="FQ29" s="115"/>
      <c r="FR29" s="115"/>
      <c r="FS29" s="115"/>
      <c r="FT29" s="115"/>
      <c r="FU29" s="115"/>
      <c r="FV29" s="115"/>
      <c r="FW29" s="115"/>
      <c r="FX29" s="115"/>
      <c r="FY29" s="115"/>
      <c r="FZ29" s="115"/>
      <c r="GA29" s="115"/>
      <c r="GB29" s="115"/>
      <c r="GC29" s="115"/>
      <c r="GD29" s="115"/>
      <c r="GE29" s="115"/>
      <c r="GF29" s="115"/>
      <c r="GG29" s="115"/>
      <c r="GH29" s="115"/>
      <c r="GI29" s="115"/>
      <c r="GJ29" s="115"/>
      <c r="GK29" s="115"/>
      <c r="GL29" s="115"/>
      <c r="GM29" s="115"/>
      <c r="GN29" s="115"/>
      <c r="GO29" s="115"/>
      <c r="GP29" s="115"/>
      <c r="GQ29" s="115"/>
      <c r="GR29" s="115"/>
      <c r="GS29" s="115"/>
      <c r="GT29" s="115"/>
      <c r="GU29" s="115"/>
      <c r="GV29" s="115"/>
      <c r="GW29" s="115"/>
      <c r="GX29" s="115"/>
      <c r="GY29" s="115"/>
      <c r="GZ29" s="115"/>
      <c r="HA29" s="115"/>
      <c r="HB29" s="115"/>
      <c r="HC29" s="115"/>
      <c r="HD29" s="115"/>
      <c r="HE29" s="115"/>
      <c r="HF29" s="115"/>
      <c r="HG29" s="115"/>
      <c r="HH29" s="115"/>
      <c r="HI29" s="115"/>
      <c r="HJ29" s="115"/>
      <c r="HK29" s="115"/>
      <c r="HL29" s="115"/>
      <c r="HM29" s="115"/>
      <c r="HN29" s="115"/>
      <c r="HO29" s="115"/>
      <c r="HP29" s="115"/>
      <c r="HQ29" s="115"/>
      <c r="HR29" s="115"/>
      <c r="HS29" s="115"/>
      <c r="HT29" s="115"/>
      <c r="HU29" s="115"/>
      <c r="HV29" s="115"/>
      <c r="HW29" s="115"/>
      <c r="HX29" s="115"/>
      <c r="HY29" s="115"/>
      <c r="HZ29" s="115"/>
      <c r="IA29" s="115"/>
      <c r="IB29" s="115"/>
      <c r="IC29" s="115"/>
      <c r="ID29" s="115"/>
      <c r="IE29" s="115"/>
      <c r="IF29" s="115"/>
      <c r="IG29" s="115"/>
      <c r="IH29" s="115"/>
      <c r="II29" s="115"/>
      <c r="IJ29" s="115"/>
      <c r="IK29" s="115"/>
      <c r="IL29" s="115"/>
      <c r="IM29" s="115"/>
      <c r="IN29" s="115"/>
      <c r="IO29" s="115"/>
      <c r="IP29" s="115"/>
      <c r="IQ29" s="115"/>
      <c r="IR29" s="115"/>
      <c r="IS29" s="115"/>
      <c r="IT29" s="115"/>
      <c r="IU29" s="115"/>
      <c r="IV29" s="115"/>
      <c r="IW29" s="115"/>
      <c r="IX29" s="115"/>
      <c r="IY29" s="115"/>
      <c r="IZ29" s="115"/>
      <c r="JA29" s="115"/>
      <c r="JB29" s="115"/>
      <c r="JC29" s="115"/>
      <c r="JD29" s="115"/>
      <c r="JE29" s="115"/>
      <c r="JF29" s="115"/>
      <c r="JG29" s="115"/>
      <c r="JH29" s="115"/>
      <c r="JI29" s="115"/>
      <c r="JJ29" s="115"/>
      <c r="JK29" s="115"/>
      <c r="JL29" s="115"/>
      <c r="JM29" s="115"/>
      <c r="JN29" s="115"/>
      <c r="JO29" s="115"/>
      <c r="JP29" s="115"/>
      <c r="JQ29" s="115"/>
      <c r="JR29" s="115"/>
      <c r="JS29" s="115"/>
      <c r="JT29" s="115"/>
      <c r="JU29" s="115"/>
      <c r="JV29" s="115"/>
      <c r="JW29" s="115"/>
      <c r="JX29" s="115"/>
      <c r="JY29" s="115"/>
      <c r="JZ29" s="115"/>
      <c r="KA29" s="115"/>
      <c r="KB29" s="115"/>
      <c r="KC29" s="115"/>
      <c r="KD29" s="115"/>
      <c r="KE29" s="115"/>
      <c r="KF29" s="115"/>
      <c r="KG29" s="115"/>
      <c r="KH29" s="115"/>
      <c r="KI29" s="115"/>
      <c r="KJ29" s="115"/>
      <c r="KK29" s="115"/>
      <c r="KL29" s="115"/>
      <c r="KM29" s="115"/>
      <c r="KN29" s="115"/>
      <c r="KO29" s="115"/>
      <c r="KP29" s="115"/>
      <c r="KQ29" s="115"/>
      <c r="KR29" s="115"/>
      <c r="KS29" s="115"/>
      <c r="KT29" s="115"/>
      <c r="KU29" s="115"/>
      <c r="KV29" s="115"/>
      <c r="KW29" s="115"/>
      <c r="KX29" s="115"/>
      <c r="KY29" s="115"/>
      <c r="KZ29" s="115"/>
      <c r="LA29" s="115"/>
      <c r="LB29" s="115"/>
      <c r="LC29" s="115"/>
      <c r="LD29" s="115"/>
      <c r="LE29" s="115"/>
      <c r="LF29" s="115"/>
      <c r="LG29" s="115"/>
      <c r="LH29" s="115"/>
      <c r="LI29" s="115"/>
      <c r="LJ29" s="115"/>
      <c r="LK29" s="115"/>
      <c r="LL29" s="115"/>
      <c r="LM29" s="115"/>
      <c r="LN29" s="115"/>
      <c r="LO29" s="115"/>
      <c r="LP29" s="115"/>
      <c r="LQ29" s="168"/>
      <c r="LR29" s="168"/>
      <c r="LS29" s="115"/>
      <c r="LT29" s="115"/>
      <c r="LU29" s="115"/>
      <c r="LV29" s="115"/>
      <c r="LW29" s="115"/>
      <c r="LX29" s="115"/>
      <c r="LY29" s="115"/>
      <c r="LZ29" s="115"/>
      <c r="MA29" s="115"/>
      <c r="MB29" s="115"/>
      <c r="MC29" s="115"/>
      <c r="MD29" s="115"/>
      <c r="ME29" s="115"/>
      <c r="MF29" s="115"/>
      <c r="MG29" s="115"/>
      <c r="MH29" s="115"/>
      <c r="MI29" s="115"/>
      <c r="MJ29" s="115"/>
      <c r="MK29" s="115"/>
      <c r="ML29" s="115"/>
      <c r="MM29" s="115"/>
      <c r="MN29" s="115"/>
      <c r="MO29" s="115"/>
      <c r="MP29" s="115"/>
      <c r="MQ29" s="115"/>
      <c r="MR29" s="115"/>
      <c r="MS29" s="115"/>
      <c r="MT29" s="115"/>
      <c r="MU29" s="115"/>
      <c r="MV29" s="115"/>
      <c r="MW29" s="115"/>
      <c r="MX29" s="115"/>
      <c r="MY29" s="115"/>
      <c r="MZ29" s="115"/>
      <c r="NA29" s="115"/>
      <c r="NB29" s="115"/>
      <c r="NC29" s="115"/>
      <c r="ND29" s="115"/>
      <c r="NE29" s="115"/>
      <c r="NF29" s="115"/>
      <c r="NG29" s="115"/>
      <c r="NH29" s="115"/>
      <c r="NI29" s="115"/>
      <c r="NJ29" s="115"/>
      <c r="NK29" s="115"/>
      <c r="NL29" s="115"/>
      <c r="NM29" s="115"/>
      <c r="NN29" s="115"/>
      <c r="NO29" s="115"/>
      <c r="NP29" s="115"/>
      <c r="NQ29" s="115"/>
      <c r="NR29" s="115"/>
      <c r="NS29" s="115"/>
      <c r="NT29" s="115"/>
      <c r="NU29" s="115"/>
      <c r="NV29" s="115"/>
      <c r="NW29" s="115"/>
      <c r="NX29" s="115"/>
      <c r="NY29" s="115"/>
      <c r="NZ29" s="115"/>
      <c r="OA29" s="115"/>
      <c r="OB29" s="115"/>
      <c r="OC29" s="115"/>
      <c r="OD29" s="115"/>
      <c r="OE29" s="115"/>
      <c r="OF29" s="115"/>
      <c r="OG29" s="115"/>
      <c r="OH29" s="115"/>
      <c r="OI29" s="115"/>
      <c r="OJ29" s="115"/>
      <c r="OK29" s="115"/>
      <c r="OL29" s="115"/>
      <c r="OM29" s="115"/>
      <c r="ON29" s="115"/>
      <c r="OO29" s="115"/>
      <c r="OP29" s="115"/>
      <c r="OQ29" s="115"/>
      <c r="OR29" s="115"/>
      <c r="OS29" s="115"/>
      <c r="OT29" s="115"/>
      <c r="OU29" s="72"/>
      <c r="OV29" s="72"/>
      <c r="OW29" s="72"/>
      <c r="OX29" s="72"/>
      <c r="OY29" s="72"/>
      <c r="OZ29" s="72"/>
      <c r="PA29" s="72"/>
      <c r="PB29" s="72"/>
      <c r="PC29" s="72"/>
      <c r="PD29" s="72"/>
      <c r="PE29" s="72"/>
      <c r="PF29" s="72"/>
      <c r="PG29" s="72"/>
      <c r="PH29" s="72"/>
      <c r="PI29" s="72"/>
      <c r="PJ29" s="72"/>
      <c r="PK29" s="72"/>
      <c r="PL29" s="72"/>
      <c r="PM29" s="72"/>
      <c r="PN29" s="72"/>
      <c r="PO29" s="72"/>
      <c r="PP29" s="72"/>
      <c r="PQ29" s="72"/>
      <c r="PR29" s="72"/>
      <c r="PS29" s="72"/>
      <c r="PT29" s="72"/>
      <c r="PU29" s="72"/>
      <c r="PV29" s="72"/>
      <c r="PW29" s="72"/>
      <c r="PX29" s="72"/>
      <c r="PY29" s="72"/>
      <c r="PZ29" s="72"/>
      <c r="QA29" s="72"/>
      <c r="QB29" s="72"/>
      <c r="QC29" s="72"/>
      <c r="QD29" s="72"/>
      <c r="QE29" s="72"/>
      <c r="QF29" s="72"/>
      <c r="QG29" s="72"/>
      <c r="QH29" s="72"/>
      <c r="QI29" s="72"/>
      <c r="QJ29" s="72"/>
      <c r="QK29" s="72"/>
      <c r="QL29" s="72"/>
      <c r="QM29" s="72"/>
      <c r="QN29" s="72"/>
      <c r="QO29" s="72"/>
      <c r="QP29" s="72"/>
      <c r="QQ29" s="72"/>
      <c r="QR29" s="72"/>
      <c r="QS29" s="72"/>
      <c r="QT29" s="72"/>
      <c r="QU29" s="72"/>
      <c r="QV29" s="72"/>
      <c r="QW29" s="72"/>
      <c r="QX29" s="72"/>
      <c r="QY29" s="72"/>
      <c r="QZ29" s="72"/>
      <c r="RA29" s="72"/>
      <c r="RB29" s="72"/>
      <c r="RC29" s="72"/>
      <c r="RD29" s="72"/>
      <c r="RE29" s="72"/>
      <c r="RF29" s="72"/>
      <c r="RG29" s="72"/>
      <c r="RH29" s="72"/>
      <c r="RI29" s="72"/>
      <c r="RJ29" s="72"/>
      <c r="RK29" s="72"/>
      <c r="RL29" s="72"/>
      <c r="RM29" s="72"/>
      <c r="RN29" s="72"/>
      <c r="RO29" s="115"/>
      <c r="RP29" s="115"/>
      <c r="RQ29" s="115"/>
      <c r="RR29" s="115"/>
      <c r="RS29" s="115"/>
      <c r="RT29" s="115"/>
      <c r="RU29" s="116"/>
      <c r="RV29" s="116"/>
      <c r="RW29" s="116"/>
      <c r="RX29" s="116"/>
      <c r="RY29" s="116"/>
      <c r="RZ29" s="116"/>
      <c r="SA29" s="72"/>
      <c r="SB29" s="72"/>
      <c r="SC29" s="72"/>
      <c r="SD29" s="72"/>
      <c r="SE29" s="72"/>
      <c r="SF29" s="72"/>
      <c r="SG29" s="72"/>
      <c r="SH29" s="72"/>
      <c r="SI29" s="72"/>
      <c r="SJ29" s="72"/>
      <c r="SK29" s="72"/>
      <c r="SL29" s="72"/>
      <c r="SM29" s="72"/>
      <c r="SN29" s="72"/>
      <c r="SO29" s="72"/>
      <c r="SP29" s="72"/>
      <c r="SQ29" s="72"/>
      <c r="SR29" s="72"/>
      <c r="SS29" s="176"/>
    </row>
    <row r="30" spans="1:513" s="194" customFormat="1" ht="20.25" customHeight="1">
      <c r="A30" s="221" t="s">
        <v>202</v>
      </c>
      <c r="B30" s="242"/>
      <c r="C30" s="242"/>
      <c r="D30" s="242"/>
      <c r="E30" s="222"/>
      <c r="F30" s="193">
        <f>F27+F29+F28</f>
        <v>0</v>
      </c>
      <c r="G30" s="193">
        <f t="shared" ref="G30:BR30" si="245">G27+G29+G28</f>
        <v>0</v>
      </c>
      <c r="H30" s="193">
        <f t="shared" si="245"/>
        <v>0</v>
      </c>
      <c r="I30" s="193">
        <f t="shared" si="245"/>
        <v>0</v>
      </c>
      <c r="J30" s="193">
        <f t="shared" si="245"/>
        <v>0</v>
      </c>
      <c r="K30" s="193">
        <f t="shared" si="245"/>
        <v>0</v>
      </c>
      <c r="L30" s="193">
        <f t="shared" si="245"/>
        <v>0</v>
      </c>
      <c r="M30" s="193">
        <f t="shared" si="245"/>
        <v>0</v>
      </c>
      <c r="N30" s="193">
        <f t="shared" si="245"/>
        <v>0</v>
      </c>
      <c r="O30" s="193">
        <f t="shared" si="245"/>
        <v>0</v>
      </c>
      <c r="P30" s="193">
        <f t="shared" si="245"/>
        <v>0</v>
      </c>
      <c r="Q30" s="193">
        <f t="shared" si="245"/>
        <v>0</v>
      </c>
      <c r="R30" s="193">
        <f t="shared" si="245"/>
        <v>0</v>
      </c>
      <c r="S30" s="193">
        <f t="shared" si="245"/>
        <v>0</v>
      </c>
      <c r="T30" s="193">
        <f t="shared" si="245"/>
        <v>0</v>
      </c>
      <c r="U30" s="193">
        <f t="shared" si="245"/>
        <v>0</v>
      </c>
      <c r="V30" s="193">
        <f t="shared" si="245"/>
        <v>8</v>
      </c>
      <c r="W30" s="193">
        <f t="shared" si="245"/>
        <v>0</v>
      </c>
      <c r="X30" s="193">
        <f t="shared" si="245"/>
        <v>19</v>
      </c>
      <c r="Y30" s="193">
        <f t="shared" si="245"/>
        <v>0</v>
      </c>
      <c r="Z30" s="193">
        <f t="shared" si="245"/>
        <v>9</v>
      </c>
      <c r="AA30" s="193">
        <f t="shared" si="245"/>
        <v>0</v>
      </c>
      <c r="AB30" s="193">
        <f t="shared" si="245"/>
        <v>10</v>
      </c>
      <c r="AC30" s="193">
        <f t="shared" si="245"/>
        <v>0</v>
      </c>
      <c r="AD30" s="193">
        <f t="shared" si="245"/>
        <v>8</v>
      </c>
      <c r="AE30" s="193">
        <f t="shared" si="245"/>
        <v>0</v>
      </c>
      <c r="AF30" s="193">
        <f t="shared" si="245"/>
        <v>54</v>
      </c>
      <c r="AG30" s="193">
        <f t="shared" si="245"/>
        <v>0</v>
      </c>
      <c r="AH30" s="193">
        <f t="shared" si="245"/>
        <v>54</v>
      </c>
      <c r="AI30" s="193">
        <f t="shared" si="245"/>
        <v>8</v>
      </c>
      <c r="AJ30" s="193">
        <f t="shared" si="245"/>
        <v>0</v>
      </c>
      <c r="AK30" s="193">
        <f t="shared" si="245"/>
        <v>19</v>
      </c>
      <c r="AL30" s="193">
        <f t="shared" si="245"/>
        <v>0</v>
      </c>
      <c r="AM30" s="193">
        <f t="shared" si="245"/>
        <v>9</v>
      </c>
      <c r="AN30" s="193">
        <f t="shared" si="245"/>
        <v>0</v>
      </c>
      <c r="AO30" s="193">
        <f t="shared" si="245"/>
        <v>10</v>
      </c>
      <c r="AP30" s="193">
        <f t="shared" si="245"/>
        <v>0</v>
      </c>
      <c r="AQ30" s="193">
        <f t="shared" si="245"/>
        <v>8</v>
      </c>
      <c r="AR30" s="193">
        <f t="shared" si="245"/>
        <v>0</v>
      </c>
      <c r="AS30" s="193">
        <f t="shared" si="245"/>
        <v>54</v>
      </c>
      <c r="AT30" s="193">
        <f t="shared" si="245"/>
        <v>0</v>
      </c>
      <c r="AU30" s="193">
        <f t="shared" si="245"/>
        <v>54</v>
      </c>
      <c r="AV30" s="193">
        <f t="shared" si="245"/>
        <v>5</v>
      </c>
      <c r="AW30" s="193">
        <f t="shared" si="245"/>
        <v>0</v>
      </c>
      <c r="AX30" s="193">
        <f t="shared" si="245"/>
        <v>4</v>
      </c>
      <c r="AY30" s="193">
        <f t="shared" si="245"/>
        <v>0</v>
      </c>
      <c r="AZ30" s="193">
        <f t="shared" si="245"/>
        <v>10</v>
      </c>
      <c r="BA30" s="193">
        <f t="shared" si="245"/>
        <v>0</v>
      </c>
      <c r="BB30" s="193">
        <f t="shared" si="245"/>
        <v>4</v>
      </c>
      <c r="BC30" s="193">
        <f t="shared" si="245"/>
        <v>0</v>
      </c>
      <c r="BD30" s="193">
        <f t="shared" si="245"/>
        <v>2</v>
      </c>
      <c r="BE30" s="193">
        <f t="shared" si="245"/>
        <v>0</v>
      </c>
      <c r="BF30" s="193">
        <f t="shared" si="245"/>
        <v>25</v>
      </c>
      <c r="BG30" s="193">
        <f t="shared" si="245"/>
        <v>0</v>
      </c>
      <c r="BH30" s="193">
        <f t="shared" si="245"/>
        <v>25</v>
      </c>
      <c r="BI30" s="193">
        <f t="shared" si="245"/>
        <v>0</v>
      </c>
      <c r="BJ30" s="193">
        <f t="shared" si="245"/>
        <v>0</v>
      </c>
      <c r="BK30" s="193">
        <f t="shared" si="245"/>
        <v>8</v>
      </c>
      <c r="BL30" s="193">
        <f t="shared" si="245"/>
        <v>0</v>
      </c>
      <c r="BM30" s="193">
        <f t="shared" si="245"/>
        <v>9</v>
      </c>
      <c r="BN30" s="193">
        <f t="shared" si="245"/>
        <v>0</v>
      </c>
      <c r="BO30" s="193">
        <f t="shared" si="245"/>
        <v>8</v>
      </c>
      <c r="BP30" s="193">
        <f t="shared" si="245"/>
        <v>0</v>
      </c>
      <c r="BQ30" s="193">
        <f t="shared" si="245"/>
        <v>8</v>
      </c>
      <c r="BR30" s="193">
        <f t="shared" si="245"/>
        <v>0</v>
      </c>
      <c r="BS30" s="193">
        <f t="shared" ref="BS30:ED30" si="246">BS27+BS29+BS28</f>
        <v>33</v>
      </c>
      <c r="BT30" s="193">
        <f t="shared" si="246"/>
        <v>0</v>
      </c>
      <c r="BU30" s="193">
        <f t="shared" si="246"/>
        <v>33</v>
      </c>
      <c r="BV30" s="193">
        <f t="shared" si="246"/>
        <v>8</v>
      </c>
      <c r="BW30" s="193">
        <f t="shared" si="246"/>
        <v>0</v>
      </c>
      <c r="BX30" s="193">
        <f t="shared" si="246"/>
        <v>24</v>
      </c>
      <c r="BY30" s="193">
        <f t="shared" si="246"/>
        <v>0</v>
      </c>
      <c r="BZ30" s="193">
        <f t="shared" si="246"/>
        <v>13</v>
      </c>
      <c r="CA30" s="193">
        <f t="shared" si="246"/>
        <v>0</v>
      </c>
      <c r="CB30" s="193">
        <f t="shared" si="246"/>
        <v>28</v>
      </c>
      <c r="CC30" s="193">
        <f t="shared" si="246"/>
        <v>0</v>
      </c>
      <c r="CD30" s="193">
        <f t="shared" si="246"/>
        <v>21</v>
      </c>
      <c r="CE30" s="193">
        <f t="shared" si="246"/>
        <v>0</v>
      </c>
      <c r="CF30" s="193">
        <f t="shared" si="246"/>
        <v>10</v>
      </c>
      <c r="CG30" s="193">
        <f t="shared" si="246"/>
        <v>0</v>
      </c>
      <c r="CH30" s="193">
        <f t="shared" si="246"/>
        <v>8</v>
      </c>
      <c r="CI30" s="193">
        <f t="shared" si="246"/>
        <v>0</v>
      </c>
      <c r="CJ30" s="193">
        <f t="shared" si="246"/>
        <v>112</v>
      </c>
      <c r="CK30" s="193">
        <f t="shared" si="246"/>
        <v>0</v>
      </c>
      <c r="CL30" s="193">
        <f t="shared" si="246"/>
        <v>112</v>
      </c>
      <c r="CM30" s="193">
        <f t="shared" si="246"/>
        <v>2</v>
      </c>
      <c r="CN30" s="193">
        <f t="shared" si="246"/>
        <v>0</v>
      </c>
      <c r="CO30" s="193">
        <f t="shared" si="246"/>
        <v>0</v>
      </c>
      <c r="CP30" s="193">
        <f t="shared" si="246"/>
        <v>2</v>
      </c>
      <c r="CQ30" s="193">
        <f t="shared" si="246"/>
        <v>0</v>
      </c>
      <c r="CR30" s="193">
        <f t="shared" si="246"/>
        <v>0</v>
      </c>
      <c r="CS30" s="193">
        <f t="shared" si="246"/>
        <v>1</v>
      </c>
      <c r="CT30" s="193">
        <f t="shared" si="246"/>
        <v>0</v>
      </c>
      <c r="CU30" s="193">
        <f t="shared" si="246"/>
        <v>0</v>
      </c>
      <c r="CV30" s="193">
        <f t="shared" si="246"/>
        <v>5</v>
      </c>
      <c r="CW30" s="193">
        <f t="shared" si="246"/>
        <v>0</v>
      </c>
      <c r="CX30" s="193">
        <f t="shared" si="246"/>
        <v>0</v>
      </c>
      <c r="CY30" s="193">
        <f t="shared" si="246"/>
        <v>5</v>
      </c>
      <c r="CZ30" s="193">
        <f t="shared" si="246"/>
        <v>2</v>
      </c>
      <c r="DA30" s="193">
        <f t="shared" si="246"/>
        <v>0</v>
      </c>
      <c r="DB30" s="193">
        <f t="shared" si="246"/>
        <v>0</v>
      </c>
      <c r="DC30" s="193">
        <f t="shared" si="246"/>
        <v>0</v>
      </c>
      <c r="DD30" s="193">
        <f t="shared" si="246"/>
        <v>1</v>
      </c>
      <c r="DE30" s="193">
        <f t="shared" si="246"/>
        <v>0</v>
      </c>
      <c r="DF30" s="193">
        <f t="shared" si="246"/>
        <v>3</v>
      </c>
      <c r="DG30" s="193">
        <f t="shared" si="246"/>
        <v>0</v>
      </c>
      <c r="DH30" s="193">
        <f t="shared" si="246"/>
        <v>3</v>
      </c>
      <c r="DI30" s="193">
        <f t="shared" si="246"/>
        <v>0</v>
      </c>
      <c r="DJ30" s="193">
        <f t="shared" si="246"/>
        <v>0</v>
      </c>
      <c r="DK30" s="193">
        <f t="shared" si="246"/>
        <v>0</v>
      </c>
      <c r="DL30" s="193">
        <f t="shared" si="246"/>
        <v>0</v>
      </c>
      <c r="DM30" s="193">
        <f t="shared" si="246"/>
        <v>0</v>
      </c>
      <c r="DN30" s="193">
        <f t="shared" si="246"/>
        <v>0</v>
      </c>
      <c r="DO30" s="193">
        <f t="shared" si="246"/>
        <v>0</v>
      </c>
      <c r="DP30" s="193">
        <f t="shared" si="246"/>
        <v>0</v>
      </c>
      <c r="DQ30" s="193">
        <f t="shared" si="246"/>
        <v>0</v>
      </c>
      <c r="DR30" s="193">
        <f t="shared" si="246"/>
        <v>25</v>
      </c>
      <c r="DS30" s="193">
        <f t="shared" si="246"/>
        <v>0</v>
      </c>
      <c r="DT30" s="193">
        <f t="shared" si="246"/>
        <v>18</v>
      </c>
      <c r="DU30" s="193">
        <f t="shared" si="246"/>
        <v>0</v>
      </c>
      <c r="DV30" s="193">
        <f t="shared" si="246"/>
        <v>20</v>
      </c>
      <c r="DW30" s="193">
        <f t="shared" si="246"/>
        <v>0</v>
      </c>
      <c r="DX30" s="193">
        <f t="shared" si="246"/>
        <v>63</v>
      </c>
      <c r="DY30" s="193">
        <f t="shared" si="246"/>
        <v>0</v>
      </c>
      <c r="DZ30" s="193">
        <f t="shared" si="246"/>
        <v>63</v>
      </c>
      <c r="EA30" s="193">
        <f t="shared" si="246"/>
        <v>1</v>
      </c>
      <c r="EB30" s="193">
        <f t="shared" si="246"/>
        <v>0</v>
      </c>
      <c r="EC30" s="193">
        <f t="shared" si="246"/>
        <v>2</v>
      </c>
      <c r="ED30" s="193">
        <f t="shared" si="246"/>
        <v>0</v>
      </c>
      <c r="EE30" s="193">
        <f t="shared" ref="EE30:GP30" si="247">EE27+EE29+EE28</f>
        <v>11</v>
      </c>
      <c r="EF30" s="193">
        <f t="shared" si="247"/>
        <v>0</v>
      </c>
      <c r="EG30" s="193">
        <f t="shared" si="247"/>
        <v>14</v>
      </c>
      <c r="EH30" s="193">
        <f t="shared" si="247"/>
        <v>0</v>
      </c>
      <c r="EI30" s="193">
        <f t="shared" si="247"/>
        <v>14</v>
      </c>
      <c r="EJ30" s="193">
        <f t="shared" si="247"/>
        <v>1</v>
      </c>
      <c r="EK30" s="193">
        <f t="shared" si="247"/>
        <v>0</v>
      </c>
      <c r="EL30" s="193">
        <f t="shared" si="247"/>
        <v>0</v>
      </c>
      <c r="EM30" s="193">
        <f t="shared" si="247"/>
        <v>0</v>
      </c>
      <c r="EN30" s="193">
        <f t="shared" si="247"/>
        <v>5</v>
      </c>
      <c r="EO30" s="193">
        <f t="shared" si="247"/>
        <v>0</v>
      </c>
      <c r="EP30" s="193">
        <f t="shared" si="247"/>
        <v>6</v>
      </c>
      <c r="EQ30" s="193">
        <f t="shared" si="247"/>
        <v>0</v>
      </c>
      <c r="ER30" s="193">
        <f t="shared" si="247"/>
        <v>6</v>
      </c>
      <c r="ES30" s="193">
        <f t="shared" si="247"/>
        <v>0</v>
      </c>
      <c r="ET30" s="193">
        <f t="shared" si="247"/>
        <v>0</v>
      </c>
      <c r="EU30" s="193">
        <f t="shared" si="247"/>
        <v>0</v>
      </c>
      <c r="EV30" s="193">
        <f t="shared" si="247"/>
        <v>0</v>
      </c>
      <c r="EW30" s="193">
        <f t="shared" si="247"/>
        <v>0</v>
      </c>
      <c r="EX30" s="193">
        <f t="shared" si="247"/>
        <v>0</v>
      </c>
      <c r="EY30" s="193">
        <f t="shared" si="247"/>
        <v>0</v>
      </c>
      <c r="EZ30" s="193">
        <f t="shared" si="247"/>
        <v>0</v>
      </c>
      <c r="FA30" s="193">
        <f t="shared" si="247"/>
        <v>0</v>
      </c>
      <c r="FB30" s="193">
        <f t="shared" si="247"/>
        <v>0</v>
      </c>
      <c r="FC30" s="193">
        <f t="shared" si="247"/>
        <v>0</v>
      </c>
      <c r="FD30" s="193">
        <f t="shared" si="247"/>
        <v>0</v>
      </c>
      <c r="FE30" s="193">
        <f t="shared" si="247"/>
        <v>0</v>
      </c>
      <c r="FF30" s="193">
        <f t="shared" si="247"/>
        <v>0</v>
      </c>
      <c r="FG30" s="193">
        <f t="shared" si="247"/>
        <v>0</v>
      </c>
      <c r="FH30" s="193">
        <f t="shared" si="247"/>
        <v>0</v>
      </c>
      <c r="FI30" s="193">
        <f t="shared" si="247"/>
        <v>0</v>
      </c>
      <c r="FJ30" s="193">
        <f t="shared" si="247"/>
        <v>0</v>
      </c>
      <c r="FK30" s="193">
        <f t="shared" si="247"/>
        <v>0</v>
      </c>
      <c r="FL30" s="193">
        <f t="shared" si="247"/>
        <v>0</v>
      </c>
      <c r="FM30" s="193">
        <f t="shared" si="247"/>
        <v>0</v>
      </c>
      <c r="FN30" s="193">
        <f t="shared" si="247"/>
        <v>0</v>
      </c>
      <c r="FO30" s="193">
        <f t="shared" si="247"/>
        <v>0</v>
      </c>
      <c r="FP30" s="193">
        <f t="shared" si="247"/>
        <v>0</v>
      </c>
      <c r="FQ30" s="193">
        <f t="shared" si="247"/>
        <v>0</v>
      </c>
      <c r="FR30" s="193">
        <f t="shared" si="247"/>
        <v>0</v>
      </c>
      <c r="FS30" s="193">
        <f t="shared" si="247"/>
        <v>0</v>
      </c>
      <c r="FT30" s="193">
        <f t="shared" si="247"/>
        <v>0</v>
      </c>
      <c r="FU30" s="193">
        <f t="shared" si="247"/>
        <v>0</v>
      </c>
      <c r="FV30" s="193">
        <f t="shared" si="247"/>
        <v>0</v>
      </c>
      <c r="FW30" s="193">
        <f t="shared" si="247"/>
        <v>0</v>
      </c>
      <c r="FX30" s="193">
        <f t="shared" si="247"/>
        <v>0</v>
      </c>
      <c r="FY30" s="193">
        <f t="shared" si="247"/>
        <v>0</v>
      </c>
      <c r="FZ30" s="193">
        <f t="shared" si="247"/>
        <v>0</v>
      </c>
      <c r="GA30" s="193">
        <f t="shared" si="247"/>
        <v>0</v>
      </c>
      <c r="GB30" s="193">
        <f t="shared" si="247"/>
        <v>0</v>
      </c>
      <c r="GC30" s="193">
        <f t="shared" si="247"/>
        <v>0</v>
      </c>
      <c r="GD30" s="193">
        <f t="shared" si="247"/>
        <v>0</v>
      </c>
      <c r="GE30" s="193">
        <f t="shared" si="247"/>
        <v>0</v>
      </c>
      <c r="GF30" s="193">
        <f t="shared" si="247"/>
        <v>0</v>
      </c>
      <c r="GG30" s="193">
        <f t="shared" si="247"/>
        <v>0</v>
      </c>
      <c r="GH30" s="193">
        <f t="shared" si="247"/>
        <v>0</v>
      </c>
      <c r="GI30" s="193">
        <f t="shared" si="247"/>
        <v>0</v>
      </c>
      <c r="GJ30" s="193">
        <f t="shared" si="247"/>
        <v>0</v>
      </c>
      <c r="GK30" s="193">
        <f t="shared" si="247"/>
        <v>0</v>
      </c>
      <c r="GL30" s="193">
        <f t="shared" si="247"/>
        <v>0</v>
      </c>
      <c r="GM30" s="193">
        <f t="shared" si="247"/>
        <v>0</v>
      </c>
      <c r="GN30" s="193">
        <f t="shared" si="247"/>
        <v>0</v>
      </c>
      <c r="GO30" s="193">
        <f t="shared" si="247"/>
        <v>0</v>
      </c>
      <c r="GP30" s="193">
        <f t="shared" si="247"/>
        <v>0</v>
      </c>
      <c r="GQ30" s="193">
        <f t="shared" ref="GQ30:JB30" si="248">GQ27+GQ29+GQ28</f>
        <v>0</v>
      </c>
      <c r="GR30" s="193">
        <f t="shared" si="248"/>
        <v>0</v>
      </c>
      <c r="GS30" s="193">
        <f t="shared" si="248"/>
        <v>0</v>
      </c>
      <c r="GT30" s="193">
        <f t="shared" si="248"/>
        <v>0</v>
      </c>
      <c r="GU30" s="193">
        <f t="shared" si="248"/>
        <v>0</v>
      </c>
      <c r="GV30" s="193">
        <f t="shared" si="248"/>
        <v>0</v>
      </c>
      <c r="GW30" s="193">
        <f t="shared" si="248"/>
        <v>0</v>
      </c>
      <c r="GX30" s="193">
        <f t="shared" si="248"/>
        <v>0</v>
      </c>
      <c r="GY30" s="193">
        <f t="shared" si="248"/>
        <v>0</v>
      </c>
      <c r="GZ30" s="193">
        <f t="shared" si="248"/>
        <v>0</v>
      </c>
      <c r="HA30" s="193">
        <f t="shared" si="248"/>
        <v>0</v>
      </c>
      <c r="HB30" s="193">
        <f t="shared" si="248"/>
        <v>0</v>
      </c>
      <c r="HC30" s="193">
        <f t="shared" si="248"/>
        <v>0</v>
      </c>
      <c r="HD30" s="193">
        <f t="shared" si="248"/>
        <v>0</v>
      </c>
      <c r="HE30" s="193">
        <f t="shared" si="248"/>
        <v>0</v>
      </c>
      <c r="HF30" s="193">
        <f t="shared" si="248"/>
        <v>0</v>
      </c>
      <c r="HG30" s="193">
        <f t="shared" si="248"/>
        <v>0</v>
      </c>
      <c r="HH30" s="193">
        <f t="shared" si="248"/>
        <v>0</v>
      </c>
      <c r="HI30" s="193">
        <f t="shared" si="248"/>
        <v>0</v>
      </c>
      <c r="HJ30" s="193">
        <f t="shared" si="248"/>
        <v>0</v>
      </c>
      <c r="HK30" s="193">
        <f t="shared" si="248"/>
        <v>0</v>
      </c>
      <c r="HL30" s="193">
        <f t="shared" si="248"/>
        <v>0</v>
      </c>
      <c r="HM30" s="193">
        <f t="shared" si="248"/>
        <v>0</v>
      </c>
      <c r="HN30" s="193">
        <f t="shared" si="248"/>
        <v>0</v>
      </c>
      <c r="HO30" s="193">
        <f t="shared" si="248"/>
        <v>0</v>
      </c>
      <c r="HP30" s="193">
        <f t="shared" si="248"/>
        <v>0</v>
      </c>
      <c r="HQ30" s="193">
        <f t="shared" si="248"/>
        <v>0</v>
      </c>
      <c r="HR30" s="193">
        <f t="shared" si="248"/>
        <v>0</v>
      </c>
      <c r="HS30" s="193">
        <f t="shared" si="248"/>
        <v>0</v>
      </c>
      <c r="HT30" s="193">
        <f t="shared" si="248"/>
        <v>0</v>
      </c>
      <c r="HU30" s="193">
        <f t="shared" si="248"/>
        <v>0</v>
      </c>
      <c r="HV30" s="193">
        <f t="shared" si="248"/>
        <v>0</v>
      </c>
      <c r="HW30" s="193">
        <f t="shared" si="248"/>
        <v>0</v>
      </c>
      <c r="HX30" s="193">
        <f t="shared" si="248"/>
        <v>0</v>
      </c>
      <c r="HY30" s="193">
        <f t="shared" si="248"/>
        <v>0</v>
      </c>
      <c r="HZ30" s="193">
        <f t="shared" si="248"/>
        <v>0</v>
      </c>
      <c r="IA30" s="193">
        <f t="shared" si="248"/>
        <v>0</v>
      </c>
      <c r="IB30" s="193">
        <f t="shared" si="248"/>
        <v>0</v>
      </c>
      <c r="IC30" s="193">
        <f t="shared" si="248"/>
        <v>0</v>
      </c>
      <c r="ID30" s="193">
        <f t="shared" si="248"/>
        <v>0</v>
      </c>
      <c r="IE30" s="193">
        <f t="shared" si="248"/>
        <v>0</v>
      </c>
      <c r="IF30" s="193">
        <f t="shared" si="248"/>
        <v>0</v>
      </c>
      <c r="IG30" s="193">
        <f t="shared" si="248"/>
        <v>0</v>
      </c>
      <c r="IH30" s="193">
        <f t="shared" si="248"/>
        <v>0</v>
      </c>
      <c r="II30" s="193">
        <f t="shared" si="248"/>
        <v>0</v>
      </c>
      <c r="IJ30" s="193">
        <f t="shared" si="248"/>
        <v>0</v>
      </c>
      <c r="IK30" s="193">
        <f t="shared" si="248"/>
        <v>0</v>
      </c>
      <c r="IL30" s="193">
        <f t="shared" si="248"/>
        <v>0</v>
      </c>
      <c r="IM30" s="193">
        <f t="shared" si="248"/>
        <v>0</v>
      </c>
      <c r="IN30" s="193">
        <f t="shared" si="248"/>
        <v>0</v>
      </c>
      <c r="IO30" s="193">
        <f t="shared" si="248"/>
        <v>0</v>
      </c>
      <c r="IP30" s="193">
        <f t="shared" si="248"/>
        <v>0</v>
      </c>
      <c r="IQ30" s="193">
        <f t="shared" si="248"/>
        <v>0</v>
      </c>
      <c r="IR30" s="193">
        <f t="shared" si="248"/>
        <v>0</v>
      </c>
      <c r="IS30" s="193">
        <f t="shared" si="248"/>
        <v>0</v>
      </c>
      <c r="IT30" s="193">
        <f t="shared" si="248"/>
        <v>0</v>
      </c>
      <c r="IU30" s="193">
        <f t="shared" si="248"/>
        <v>0</v>
      </c>
      <c r="IV30" s="193">
        <f t="shared" si="248"/>
        <v>0</v>
      </c>
      <c r="IW30" s="193">
        <f t="shared" si="248"/>
        <v>0</v>
      </c>
      <c r="IX30" s="193">
        <f t="shared" si="248"/>
        <v>0</v>
      </c>
      <c r="IY30" s="193">
        <f t="shared" si="248"/>
        <v>0</v>
      </c>
      <c r="IZ30" s="193">
        <f t="shared" si="248"/>
        <v>0</v>
      </c>
      <c r="JA30" s="193">
        <f t="shared" si="248"/>
        <v>0</v>
      </c>
      <c r="JB30" s="193">
        <f t="shared" si="248"/>
        <v>0</v>
      </c>
      <c r="JC30" s="193">
        <f t="shared" ref="JC30:LN30" si="249">JC27+JC29+JC28</f>
        <v>0</v>
      </c>
      <c r="JD30" s="193">
        <f t="shared" si="249"/>
        <v>0</v>
      </c>
      <c r="JE30" s="193">
        <f t="shared" si="249"/>
        <v>0</v>
      </c>
      <c r="JF30" s="193">
        <f t="shared" si="249"/>
        <v>0</v>
      </c>
      <c r="JG30" s="193">
        <f t="shared" si="249"/>
        <v>0</v>
      </c>
      <c r="JH30" s="193">
        <f t="shared" si="249"/>
        <v>0</v>
      </c>
      <c r="JI30" s="193">
        <f t="shared" si="249"/>
        <v>0</v>
      </c>
      <c r="JJ30" s="193">
        <f t="shared" si="249"/>
        <v>0</v>
      </c>
      <c r="JK30" s="193">
        <f t="shared" si="249"/>
        <v>0</v>
      </c>
      <c r="JL30" s="193">
        <f t="shared" si="249"/>
        <v>0</v>
      </c>
      <c r="JM30" s="193">
        <f t="shared" si="249"/>
        <v>0</v>
      </c>
      <c r="JN30" s="193">
        <f t="shared" si="249"/>
        <v>0</v>
      </c>
      <c r="JO30" s="193">
        <f t="shared" si="249"/>
        <v>0</v>
      </c>
      <c r="JP30" s="193">
        <f t="shared" si="249"/>
        <v>0</v>
      </c>
      <c r="JQ30" s="193">
        <f t="shared" si="249"/>
        <v>0</v>
      </c>
      <c r="JR30" s="193">
        <f t="shared" si="249"/>
        <v>0</v>
      </c>
      <c r="JS30" s="193">
        <f t="shared" si="249"/>
        <v>0</v>
      </c>
      <c r="JT30" s="193">
        <f t="shared" si="249"/>
        <v>0</v>
      </c>
      <c r="JU30" s="193">
        <f t="shared" si="249"/>
        <v>0</v>
      </c>
      <c r="JV30" s="193">
        <f t="shared" si="249"/>
        <v>0</v>
      </c>
      <c r="JW30" s="193">
        <f t="shared" si="249"/>
        <v>0</v>
      </c>
      <c r="JX30" s="193">
        <f t="shared" si="249"/>
        <v>0</v>
      </c>
      <c r="JY30" s="193">
        <f t="shared" si="249"/>
        <v>0</v>
      </c>
      <c r="JZ30" s="193">
        <f t="shared" si="249"/>
        <v>0</v>
      </c>
      <c r="KA30" s="193">
        <f t="shared" si="249"/>
        <v>0</v>
      </c>
      <c r="KB30" s="193">
        <f t="shared" si="249"/>
        <v>0</v>
      </c>
      <c r="KC30" s="193">
        <f t="shared" si="249"/>
        <v>0</v>
      </c>
      <c r="KD30" s="193">
        <f t="shared" si="249"/>
        <v>0</v>
      </c>
      <c r="KE30" s="193">
        <f t="shared" si="249"/>
        <v>0</v>
      </c>
      <c r="KF30" s="193">
        <f t="shared" si="249"/>
        <v>0</v>
      </c>
      <c r="KG30" s="193">
        <f t="shared" si="249"/>
        <v>0</v>
      </c>
      <c r="KH30" s="193">
        <f t="shared" si="249"/>
        <v>0</v>
      </c>
      <c r="KI30" s="193">
        <f t="shared" si="249"/>
        <v>0</v>
      </c>
      <c r="KJ30" s="193">
        <f t="shared" si="249"/>
        <v>0</v>
      </c>
      <c r="KK30" s="193">
        <f t="shared" si="249"/>
        <v>0</v>
      </c>
      <c r="KL30" s="193">
        <f t="shared" si="249"/>
        <v>0</v>
      </c>
      <c r="KM30" s="193">
        <f t="shared" si="249"/>
        <v>0</v>
      </c>
      <c r="KN30" s="193">
        <f t="shared" si="249"/>
        <v>0</v>
      </c>
      <c r="KO30" s="193">
        <f t="shared" si="249"/>
        <v>0</v>
      </c>
      <c r="KP30" s="193">
        <f t="shared" si="249"/>
        <v>0</v>
      </c>
      <c r="KQ30" s="193">
        <f t="shared" si="249"/>
        <v>0</v>
      </c>
      <c r="KR30" s="193">
        <f t="shared" si="249"/>
        <v>0</v>
      </c>
      <c r="KS30" s="193">
        <f t="shared" si="249"/>
        <v>0</v>
      </c>
      <c r="KT30" s="193">
        <f t="shared" si="249"/>
        <v>0</v>
      </c>
      <c r="KU30" s="193">
        <f t="shared" si="249"/>
        <v>0</v>
      </c>
      <c r="KV30" s="193">
        <f t="shared" si="249"/>
        <v>0</v>
      </c>
      <c r="KW30" s="193">
        <f t="shared" si="249"/>
        <v>0</v>
      </c>
      <c r="KX30" s="193">
        <f t="shared" si="249"/>
        <v>0</v>
      </c>
      <c r="KY30" s="193">
        <f t="shared" si="249"/>
        <v>0</v>
      </c>
      <c r="KZ30" s="193">
        <f t="shared" si="249"/>
        <v>0</v>
      </c>
      <c r="LA30" s="193">
        <f t="shared" si="249"/>
        <v>0</v>
      </c>
      <c r="LB30" s="193">
        <f t="shared" si="249"/>
        <v>0</v>
      </c>
      <c r="LC30" s="193">
        <f t="shared" si="249"/>
        <v>0</v>
      </c>
      <c r="LD30" s="193">
        <f t="shared" si="249"/>
        <v>0</v>
      </c>
      <c r="LE30" s="193">
        <f t="shared" si="249"/>
        <v>0</v>
      </c>
      <c r="LF30" s="193">
        <f t="shared" si="249"/>
        <v>0</v>
      </c>
      <c r="LG30" s="193">
        <f t="shared" si="249"/>
        <v>0</v>
      </c>
      <c r="LH30" s="193">
        <f t="shared" si="249"/>
        <v>0</v>
      </c>
      <c r="LI30" s="193">
        <f t="shared" si="249"/>
        <v>0</v>
      </c>
      <c r="LJ30" s="193">
        <f t="shared" si="249"/>
        <v>0</v>
      </c>
      <c r="LK30" s="193">
        <f t="shared" si="249"/>
        <v>0</v>
      </c>
      <c r="LL30" s="193">
        <f t="shared" si="249"/>
        <v>0</v>
      </c>
      <c r="LM30" s="193">
        <f t="shared" si="249"/>
        <v>0</v>
      </c>
      <c r="LN30" s="193">
        <f t="shared" si="249"/>
        <v>0</v>
      </c>
      <c r="LO30" s="193">
        <f t="shared" ref="LO30:NW30" si="250">LO27+LO29+LO28</f>
        <v>0</v>
      </c>
      <c r="LP30" s="193">
        <f t="shared" si="250"/>
        <v>0</v>
      </c>
      <c r="LQ30" s="193">
        <f t="shared" si="250"/>
        <v>0</v>
      </c>
      <c r="LR30" s="193">
        <f t="shared" si="250"/>
        <v>0</v>
      </c>
      <c r="LS30" s="193">
        <f t="shared" si="250"/>
        <v>0</v>
      </c>
      <c r="LT30" s="193">
        <f t="shared" si="250"/>
        <v>0</v>
      </c>
      <c r="LU30" s="193">
        <f t="shared" si="250"/>
        <v>0</v>
      </c>
      <c r="LV30" s="193">
        <f t="shared" si="250"/>
        <v>0</v>
      </c>
      <c r="LW30" s="193">
        <f t="shared" si="250"/>
        <v>0</v>
      </c>
      <c r="LX30" s="193">
        <f t="shared" si="250"/>
        <v>0</v>
      </c>
      <c r="LY30" s="193">
        <f t="shared" si="250"/>
        <v>0</v>
      </c>
      <c r="LZ30" s="193">
        <f t="shared" si="250"/>
        <v>0</v>
      </c>
      <c r="MA30" s="193">
        <f t="shared" si="250"/>
        <v>0</v>
      </c>
      <c r="MB30" s="193">
        <f t="shared" si="250"/>
        <v>0</v>
      </c>
      <c r="MC30" s="193">
        <f t="shared" si="250"/>
        <v>0</v>
      </c>
      <c r="MD30" s="193">
        <f t="shared" si="250"/>
        <v>0</v>
      </c>
      <c r="ME30" s="193">
        <f t="shared" si="250"/>
        <v>0</v>
      </c>
      <c r="MF30" s="193">
        <f t="shared" si="250"/>
        <v>0</v>
      </c>
      <c r="MG30" s="193">
        <f t="shared" si="250"/>
        <v>0</v>
      </c>
      <c r="MH30" s="193">
        <f t="shared" si="250"/>
        <v>0</v>
      </c>
      <c r="MI30" s="193">
        <f t="shared" si="250"/>
        <v>0</v>
      </c>
      <c r="MJ30" s="193">
        <f t="shared" si="250"/>
        <v>0</v>
      </c>
      <c r="MK30" s="193">
        <f t="shared" si="250"/>
        <v>0</v>
      </c>
      <c r="ML30" s="193">
        <f t="shared" si="250"/>
        <v>0</v>
      </c>
      <c r="MM30" s="193">
        <f t="shared" si="250"/>
        <v>0</v>
      </c>
      <c r="MN30" s="193">
        <f t="shared" si="250"/>
        <v>0</v>
      </c>
      <c r="MO30" s="193">
        <f t="shared" si="250"/>
        <v>0</v>
      </c>
      <c r="MP30" s="193">
        <f t="shared" si="250"/>
        <v>0</v>
      </c>
      <c r="MQ30" s="193">
        <f t="shared" si="250"/>
        <v>0</v>
      </c>
      <c r="MR30" s="193">
        <f t="shared" si="250"/>
        <v>0</v>
      </c>
      <c r="MS30" s="193">
        <f t="shared" si="250"/>
        <v>0</v>
      </c>
      <c r="MT30" s="193">
        <f t="shared" si="250"/>
        <v>0</v>
      </c>
      <c r="MU30" s="193">
        <f t="shared" si="250"/>
        <v>0</v>
      </c>
      <c r="MV30" s="193">
        <f t="shared" si="250"/>
        <v>0</v>
      </c>
      <c r="MW30" s="193">
        <f t="shared" si="250"/>
        <v>0</v>
      </c>
      <c r="MX30" s="193">
        <f t="shared" si="250"/>
        <v>0</v>
      </c>
      <c r="MY30" s="193">
        <f t="shared" si="250"/>
        <v>0</v>
      </c>
      <c r="MZ30" s="193">
        <f t="shared" si="250"/>
        <v>0</v>
      </c>
      <c r="NA30" s="193">
        <f t="shared" si="250"/>
        <v>0</v>
      </c>
      <c r="NB30" s="193">
        <f t="shared" si="250"/>
        <v>0</v>
      </c>
      <c r="NC30" s="193">
        <f t="shared" si="250"/>
        <v>0</v>
      </c>
      <c r="ND30" s="193">
        <f t="shared" si="250"/>
        <v>0</v>
      </c>
      <c r="NE30" s="193">
        <f t="shared" si="250"/>
        <v>0</v>
      </c>
      <c r="NF30" s="193">
        <f t="shared" si="250"/>
        <v>0</v>
      </c>
      <c r="NG30" s="193">
        <f t="shared" si="250"/>
        <v>0</v>
      </c>
      <c r="NH30" s="193">
        <f t="shared" si="250"/>
        <v>0</v>
      </c>
      <c r="NI30" s="193">
        <f t="shared" si="250"/>
        <v>0</v>
      </c>
      <c r="NJ30" s="193">
        <f t="shared" si="250"/>
        <v>0</v>
      </c>
      <c r="NK30" s="193">
        <f t="shared" si="250"/>
        <v>0</v>
      </c>
      <c r="NL30" s="193">
        <f t="shared" si="250"/>
        <v>0</v>
      </c>
      <c r="NM30" s="193">
        <f t="shared" si="250"/>
        <v>0</v>
      </c>
      <c r="NN30" s="193">
        <f t="shared" si="250"/>
        <v>0</v>
      </c>
      <c r="NO30" s="193">
        <f t="shared" si="250"/>
        <v>0</v>
      </c>
      <c r="NP30" s="193">
        <f t="shared" si="250"/>
        <v>0</v>
      </c>
      <c r="NQ30" s="193">
        <f t="shared" si="250"/>
        <v>0</v>
      </c>
      <c r="NR30" s="193">
        <f t="shared" si="250"/>
        <v>0</v>
      </c>
      <c r="NS30" s="193">
        <f t="shared" si="250"/>
        <v>0</v>
      </c>
      <c r="NT30" s="193">
        <f t="shared" si="250"/>
        <v>0</v>
      </c>
      <c r="NU30" s="193">
        <f t="shared" si="250"/>
        <v>0</v>
      </c>
      <c r="NV30" s="193">
        <f t="shared" si="250"/>
        <v>0</v>
      </c>
      <c r="NW30" s="193">
        <f t="shared" si="250"/>
        <v>0</v>
      </c>
      <c r="NX30" s="193">
        <f t="shared" ref="NX30:QI30" si="251">NX27+NX29+NX28</f>
        <v>0</v>
      </c>
      <c r="NY30" s="193">
        <f t="shared" si="251"/>
        <v>0</v>
      </c>
      <c r="NZ30" s="193">
        <f t="shared" si="251"/>
        <v>0</v>
      </c>
      <c r="OA30" s="193">
        <f t="shared" si="251"/>
        <v>0</v>
      </c>
      <c r="OB30" s="193">
        <f t="shared" si="251"/>
        <v>0</v>
      </c>
      <c r="OC30" s="193">
        <f t="shared" si="251"/>
        <v>0</v>
      </c>
      <c r="OD30" s="193">
        <f t="shared" si="251"/>
        <v>0</v>
      </c>
      <c r="OE30" s="193">
        <f t="shared" si="251"/>
        <v>0</v>
      </c>
      <c r="OF30" s="193">
        <f t="shared" si="251"/>
        <v>0</v>
      </c>
      <c r="OG30" s="193">
        <f t="shared" si="251"/>
        <v>0</v>
      </c>
      <c r="OH30" s="193">
        <f t="shared" si="251"/>
        <v>0</v>
      </c>
      <c r="OI30" s="193">
        <f t="shared" si="251"/>
        <v>0</v>
      </c>
      <c r="OJ30" s="193">
        <f t="shared" si="251"/>
        <v>0</v>
      </c>
      <c r="OK30" s="193">
        <f t="shared" si="251"/>
        <v>0</v>
      </c>
      <c r="OL30" s="193">
        <f t="shared" si="251"/>
        <v>0</v>
      </c>
      <c r="OM30" s="193">
        <f t="shared" si="251"/>
        <v>0</v>
      </c>
      <c r="ON30" s="193">
        <f t="shared" si="251"/>
        <v>0</v>
      </c>
      <c r="OO30" s="193">
        <f t="shared" si="251"/>
        <v>0</v>
      </c>
      <c r="OP30" s="193">
        <f t="shared" si="251"/>
        <v>0</v>
      </c>
      <c r="OQ30" s="193">
        <f t="shared" si="251"/>
        <v>0</v>
      </c>
      <c r="OR30" s="193">
        <f t="shared" si="251"/>
        <v>0</v>
      </c>
      <c r="OS30" s="193">
        <f t="shared" si="251"/>
        <v>0</v>
      </c>
      <c r="OT30" s="193">
        <f t="shared" si="251"/>
        <v>0</v>
      </c>
      <c r="OU30" s="193">
        <f t="shared" si="251"/>
        <v>0</v>
      </c>
      <c r="OV30" s="193">
        <f t="shared" si="251"/>
        <v>0</v>
      </c>
      <c r="OW30" s="193">
        <f t="shared" si="251"/>
        <v>0</v>
      </c>
      <c r="OX30" s="193">
        <f t="shared" si="251"/>
        <v>0</v>
      </c>
      <c r="OY30" s="193">
        <f t="shared" si="251"/>
        <v>0</v>
      </c>
      <c r="OZ30" s="193">
        <f t="shared" si="251"/>
        <v>0</v>
      </c>
      <c r="PA30" s="193">
        <f t="shared" si="251"/>
        <v>0</v>
      </c>
      <c r="PB30" s="193">
        <f t="shared" si="251"/>
        <v>0</v>
      </c>
      <c r="PC30" s="193">
        <f t="shared" si="251"/>
        <v>0</v>
      </c>
      <c r="PD30" s="193">
        <f t="shared" si="251"/>
        <v>0</v>
      </c>
      <c r="PE30" s="193">
        <f t="shared" si="251"/>
        <v>0</v>
      </c>
      <c r="PF30" s="193">
        <f t="shared" si="251"/>
        <v>0</v>
      </c>
      <c r="PG30" s="193">
        <f t="shared" si="251"/>
        <v>0</v>
      </c>
      <c r="PH30" s="193">
        <f t="shared" si="251"/>
        <v>0</v>
      </c>
      <c r="PI30" s="193">
        <f t="shared" si="251"/>
        <v>0</v>
      </c>
      <c r="PJ30" s="193">
        <f t="shared" si="251"/>
        <v>0</v>
      </c>
      <c r="PK30" s="193">
        <f t="shared" si="251"/>
        <v>0</v>
      </c>
      <c r="PL30" s="193">
        <f t="shared" si="251"/>
        <v>0</v>
      </c>
      <c r="PM30" s="193">
        <f t="shared" si="251"/>
        <v>0</v>
      </c>
      <c r="PN30" s="193">
        <f t="shared" si="251"/>
        <v>0</v>
      </c>
      <c r="PO30" s="193">
        <f t="shared" si="251"/>
        <v>0</v>
      </c>
      <c r="PP30" s="193">
        <f t="shared" si="251"/>
        <v>0</v>
      </c>
      <c r="PQ30" s="193">
        <f t="shared" si="251"/>
        <v>0</v>
      </c>
      <c r="PR30" s="193">
        <f t="shared" si="251"/>
        <v>0</v>
      </c>
      <c r="PS30" s="193">
        <f t="shared" si="251"/>
        <v>0</v>
      </c>
      <c r="PT30" s="193">
        <f t="shared" si="251"/>
        <v>0</v>
      </c>
      <c r="PU30" s="193">
        <f t="shared" si="251"/>
        <v>0</v>
      </c>
      <c r="PV30" s="193">
        <f t="shared" si="251"/>
        <v>0</v>
      </c>
      <c r="PW30" s="193">
        <f t="shared" si="251"/>
        <v>0</v>
      </c>
      <c r="PX30" s="193">
        <f t="shared" si="251"/>
        <v>0</v>
      </c>
      <c r="PY30" s="193">
        <f t="shared" si="251"/>
        <v>0</v>
      </c>
      <c r="PZ30" s="193">
        <f t="shared" si="251"/>
        <v>0</v>
      </c>
      <c r="QA30" s="193">
        <f t="shared" si="251"/>
        <v>0</v>
      </c>
      <c r="QB30" s="193">
        <f t="shared" si="251"/>
        <v>0</v>
      </c>
      <c r="QC30" s="193">
        <f t="shared" si="251"/>
        <v>0</v>
      </c>
      <c r="QD30" s="193">
        <f t="shared" si="251"/>
        <v>0</v>
      </c>
      <c r="QE30" s="193">
        <f t="shared" si="251"/>
        <v>0</v>
      </c>
      <c r="QF30" s="193">
        <f t="shared" si="251"/>
        <v>0</v>
      </c>
      <c r="QG30" s="193">
        <f t="shared" si="251"/>
        <v>0</v>
      </c>
      <c r="QH30" s="193">
        <f t="shared" si="251"/>
        <v>0</v>
      </c>
      <c r="QI30" s="193">
        <f t="shared" si="251"/>
        <v>0</v>
      </c>
      <c r="QJ30" s="193">
        <f t="shared" ref="QJ30:SP30" si="252">QJ27+QJ29+QJ28</f>
        <v>0</v>
      </c>
      <c r="QK30" s="193">
        <f t="shared" si="252"/>
        <v>0</v>
      </c>
      <c r="QL30" s="193">
        <f t="shared" si="252"/>
        <v>0</v>
      </c>
      <c r="QM30" s="193">
        <f t="shared" si="252"/>
        <v>0</v>
      </c>
      <c r="QN30" s="193">
        <f t="shared" si="252"/>
        <v>0</v>
      </c>
      <c r="QO30" s="193">
        <f t="shared" si="252"/>
        <v>0</v>
      </c>
      <c r="QP30" s="193">
        <f t="shared" si="252"/>
        <v>0</v>
      </c>
      <c r="QQ30" s="193">
        <f t="shared" si="252"/>
        <v>0</v>
      </c>
      <c r="QR30" s="193">
        <f t="shared" si="252"/>
        <v>0</v>
      </c>
      <c r="QS30" s="193">
        <f t="shared" si="252"/>
        <v>0</v>
      </c>
      <c r="QT30" s="193">
        <f t="shared" si="252"/>
        <v>0</v>
      </c>
      <c r="QU30" s="193">
        <f t="shared" si="252"/>
        <v>0</v>
      </c>
      <c r="QV30" s="193">
        <f t="shared" si="252"/>
        <v>0</v>
      </c>
      <c r="QW30" s="193">
        <f t="shared" si="252"/>
        <v>0</v>
      </c>
      <c r="QX30" s="193">
        <f t="shared" si="252"/>
        <v>0</v>
      </c>
      <c r="QY30" s="193">
        <f t="shared" si="252"/>
        <v>0</v>
      </c>
      <c r="QZ30" s="193">
        <f t="shared" si="252"/>
        <v>0</v>
      </c>
      <c r="RA30" s="193">
        <f t="shared" si="252"/>
        <v>0</v>
      </c>
      <c r="RB30" s="193">
        <f t="shared" si="252"/>
        <v>0</v>
      </c>
      <c r="RC30" s="193">
        <f t="shared" si="252"/>
        <v>0</v>
      </c>
      <c r="RD30" s="193">
        <f t="shared" si="252"/>
        <v>0</v>
      </c>
      <c r="RE30" s="193">
        <f t="shared" si="252"/>
        <v>0</v>
      </c>
      <c r="RF30" s="193">
        <f t="shared" si="252"/>
        <v>0</v>
      </c>
      <c r="RG30" s="193">
        <f t="shared" si="252"/>
        <v>0</v>
      </c>
      <c r="RH30" s="193">
        <f t="shared" si="252"/>
        <v>0</v>
      </c>
      <c r="RI30" s="193">
        <f t="shared" si="252"/>
        <v>0</v>
      </c>
      <c r="RJ30" s="193">
        <f t="shared" si="252"/>
        <v>0</v>
      </c>
      <c r="RK30" s="193">
        <f t="shared" si="252"/>
        <v>0</v>
      </c>
      <c r="RL30" s="193">
        <f t="shared" si="252"/>
        <v>0</v>
      </c>
      <c r="RM30" s="193">
        <f t="shared" si="252"/>
        <v>0</v>
      </c>
      <c r="RN30" s="193">
        <f t="shared" si="252"/>
        <v>0</v>
      </c>
      <c r="RO30" s="193">
        <f t="shared" si="252"/>
        <v>0</v>
      </c>
      <c r="RP30" s="193">
        <f t="shared" si="252"/>
        <v>0</v>
      </c>
      <c r="RQ30" s="193">
        <f t="shared" si="252"/>
        <v>0</v>
      </c>
      <c r="RR30" s="193">
        <f t="shared" si="252"/>
        <v>0</v>
      </c>
      <c r="RS30" s="193">
        <f t="shared" si="252"/>
        <v>0</v>
      </c>
      <c r="RT30" s="193">
        <f t="shared" si="252"/>
        <v>0</v>
      </c>
      <c r="RU30" s="193">
        <f t="shared" si="252"/>
        <v>0</v>
      </c>
      <c r="RV30" s="193">
        <f t="shared" si="252"/>
        <v>0</v>
      </c>
      <c r="RW30" s="193">
        <f t="shared" si="252"/>
        <v>0</v>
      </c>
      <c r="RX30" s="193">
        <f t="shared" si="252"/>
        <v>0</v>
      </c>
      <c r="RY30" s="193">
        <f t="shared" si="252"/>
        <v>0</v>
      </c>
      <c r="RZ30" s="193">
        <f t="shared" si="252"/>
        <v>0</v>
      </c>
      <c r="SA30" s="193">
        <f t="shared" si="252"/>
        <v>0</v>
      </c>
      <c r="SB30" s="193">
        <f t="shared" si="252"/>
        <v>0</v>
      </c>
      <c r="SC30" s="193">
        <f t="shared" si="252"/>
        <v>0</v>
      </c>
      <c r="SD30" s="193">
        <f t="shared" si="252"/>
        <v>0</v>
      </c>
      <c r="SE30" s="193">
        <f t="shared" si="252"/>
        <v>0</v>
      </c>
      <c r="SF30" s="193">
        <f t="shared" si="252"/>
        <v>0</v>
      </c>
      <c r="SG30" s="193">
        <f t="shared" si="252"/>
        <v>0</v>
      </c>
      <c r="SH30" s="193">
        <f t="shared" si="252"/>
        <v>0</v>
      </c>
      <c r="SI30" s="193">
        <f t="shared" si="252"/>
        <v>0</v>
      </c>
      <c r="SJ30" s="193">
        <f t="shared" si="252"/>
        <v>0</v>
      </c>
      <c r="SK30" s="193">
        <f t="shared" si="252"/>
        <v>0</v>
      </c>
      <c r="SL30" s="193">
        <f t="shared" si="252"/>
        <v>0</v>
      </c>
      <c r="SM30" s="193">
        <f t="shared" si="252"/>
        <v>0</v>
      </c>
      <c r="SN30" s="193">
        <f t="shared" si="252"/>
        <v>0</v>
      </c>
      <c r="SO30" s="193">
        <f t="shared" si="252"/>
        <v>0</v>
      </c>
      <c r="SP30" s="193">
        <f t="shared" si="252"/>
        <v>0</v>
      </c>
      <c r="SQ30" s="193"/>
      <c r="SR30" s="193"/>
      <c r="SS30" s="195"/>
    </row>
    <row r="31" spans="1:513" s="194" customFormat="1" ht="15" customHeight="1">
      <c r="A31" s="221" t="s">
        <v>203</v>
      </c>
      <c r="B31" s="242"/>
      <c r="C31" s="242"/>
      <c r="D31" s="242"/>
      <c r="E31" s="222"/>
      <c r="F31" s="193">
        <f>F30</f>
        <v>0</v>
      </c>
      <c r="G31" s="193">
        <f t="shared" ref="G31:BR31" si="253">G30</f>
        <v>0</v>
      </c>
      <c r="H31" s="193">
        <f t="shared" si="253"/>
        <v>0</v>
      </c>
      <c r="I31" s="193">
        <f t="shared" si="253"/>
        <v>0</v>
      </c>
      <c r="J31" s="193">
        <f t="shared" si="253"/>
        <v>0</v>
      </c>
      <c r="K31" s="193">
        <f t="shared" si="253"/>
        <v>0</v>
      </c>
      <c r="L31" s="193">
        <f t="shared" si="253"/>
        <v>0</v>
      </c>
      <c r="M31" s="193">
        <f t="shared" si="253"/>
        <v>0</v>
      </c>
      <c r="N31" s="193">
        <f t="shared" si="253"/>
        <v>0</v>
      </c>
      <c r="O31" s="193">
        <f t="shared" si="253"/>
        <v>0</v>
      </c>
      <c r="P31" s="193">
        <f t="shared" si="253"/>
        <v>0</v>
      </c>
      <c r="Q31" s="193">
        <f t="shared" si="253"/>
        <v>0</v>
      </c>
      <c r="R31" s="193">
        <f t="shared" si="253"/>
        <v>0</v>
      </c>
      <c r="S31" s="193">
        <f t="shared" si="253"/>
        <v>0</v>
      </c>
      <c r="T31" s="193">
        <f t="shared" si="253"/>
        <v>0</v>
      </c>
      <c r="U31" s="193">
        <f t="shared" si="253"/>
        <v>0</v>
      </c>
      <c r="V31" s="193">
        <f t="shared" si="253"/>
        <v>8</v>
      </c>
      <c r="W31" s="193">
        <f t="shared" si="253"/>
        <v>0</v>
      </c>
      <c r="X31" s="193">
        <f t="shared" si="253"/>
        <v>19</v>
      </c>
      <c r="Y31" s="193">
        <f t="shared" si="253"/>
        <v>0</v>
      </c>
      <c r="Z31" s="193">
        <f t="shared" si="253"/>
        <v>9</v>
      </c>
      <c r="AA31" s="193">
        <f t="shared" si="253"/>
        <v>0</v>
      </c>
      <c r="AB31" s="193">
        <f t="shared" si="253"/>
        <v>10</v>
      </c>
      <c r="AC31" s="193">
        <f t="shared" si="253"/>
        <v>0</v>
      </c>
      <c r="AD31" s="193">
        <f t="shared" si="253"/>
        <v>8</v>
      </c>
      <c r="AE31" s="193">
        <f t="shared" si="253"/>
        <v>0</v>
      </c>
      <c r="AF31" s="193">
        <f t="shared" si="253"/>
        <v>54</v>
      </c>
      <c r="AG31" s="193">
        <f t="shared" si="253"/>
        <v>0</v>
      </c>
      <c r="AH31" s="193">
        <f t="shared" si="253"/>
        <v>54</v>
      </c>
      <c r="AI31" s="193">
        <f t="shared" si="253"/>
        <v>8</v>
      </c>
      <c r="AJ31" s="193">
        <f t="shared" si="253"/>
        <v>0</v>
      </c>
      <c r="AK31" s="193">
        <f t="shared" si="253"/>
        <v>19</v>
      </c>
      <c r="AL31" s="193">
        <f t="shared" si="253"/>
        <v>0</v>
      </c>
      <c r="AM31" s="193">
        <f t="shared" si="253"/>
        <v>9</v>
      </c>
      <c r="AN31" s="193">
        <f t="shared" si="253"/>
        <v>0</v>
      </c>
      <c r="AO31" s="193">
        <f t="shared" si="253"/>
        <v>10</v>
      </c>
      <c r="AP31" s="193">
        <f t="shared" si="253"/>
        <v>0</v>
      </c>
      <c r="AQ31" s="193">
        <f t="shared" si="253"/>
        <v>8</v>
      </c>
      <c r="AR31" s="193">
        <f t="shared" si="253"/>
        <v>0</v>
      </c>
      <c r="AS31" s="193">
        <f t="shared" si="253"/>
        <v>54</v>
      </c>
      <c r="AT31" s="193">
        <f t="shared" si="253"/>
        <v>0</v>
      </c>
      <c r="AU31" s="193">
        <f t="shared" si="253"/>
        <v>54</v>
      </c>
      <c r="AV31" s="193">
        <f t="shared" si="253"/>
        <v>5</v>
      </c>
      <c r="AW31" s="193">
        <f t="shared" si="253"/>
        <v>0</v>
      </c>
      <c r="AX31" s="193">
        <f t="shared" si="253"/>
        <v>4</v>
      </c>
      <c r="AY31" s="193">
        <f t="shared" si="253"/>
        <v>0</v>
      </c>
      <c r="AZ31" s="193">
        <f t="shared" si="253"/>
        <v>10</v>
      </c>
      <c r="BA31" s="193">
        <f t="shared" si="253"/>
        <v>0</v>
      </c>
      <c r="BB31" s="193">
        <f t="shared" si="253"/>
        <v>4</v>
      </c>
      <c r="BC31" s="193">
        <f t="shared" si="253"/>
        <v>0</v>
      </c>
      <c r="BD31" s="193">
        <f t="shared" si="253"/>
        <v>2</v>
      </c>
      <c r="BE31" s="193">
        <f t="shared" si="253"/>
        <v>0</v>
      </c>
      <c r="BF31" s="193">
        <f t="shared" si="253"/>
        <v>25</v>
      </c>
      <c r="BG31" s="193">
        <f t="shared" si="253"/>
        <v>0</v>
      </c>
      <c r="BH31" s="193">
        <f t="shared" si="253"/>
        <v>25</v>
      </c>
      <c r="BI31" s="193">
        <f t="shared" si="253"/>
        <v>0</v>
      </c>
      <c r="BJ31" s="193">
        <f t="shared" si="253"/>
        <v>0</v>
      </c>
      <c r="BK31" s="193">
        <f t="shared" si="253"/>
        <v>8</v>
      </c>
      <c r="BL31" s="193">
        <f t="shared" si="253"/>
        <v>0</v>
      </c>
      <c r="BM31" s="193">
        <f t="shared" si="253"/>
        <v>9</v>
      </c>
      <c r="BN31" s="193">
        <f t="shared" si="253"/>
        <v>0</v>
      </c>
      <c r="BO31" s="193">
        <f t="shared" si="253"/>
        <v>8</v>
      </c>
      <c r="BP31" s="193">
        <f t="shared" si="253"/>
        <v>0</v>
      </c>
      <c r="BQ31" s="193">
        <f t="shared" si="253"/>
        <v>8</v>
      </c>
      <c r="BR31" s="193">
        <f t="shared" si="253"/>
        <v>0</v>
      </c>
      <c r="BS31" s="193">
        <f t="shared" ref="BS31:ED31" si="254">BS30</f>
        <v>33</v>
      </c>
      <c r="BT31" s="193">
        <f t="shared" si="254"/>
        <v>0</v>
      </c>
      <c r="BU31" s="193">
        <f t="shared" si="254"/>
        <v>33</v>
      </c>
      <c r="BV31" s="193">
        <f t="shared" si="254"/>
        <v>8</v>
      </c>
      <c r="BW31" s="193">
        <f t="shared" si="254"/>
        <v>0</v>
      </c>
      <c r="BX31" s="193">
        <f t="shared" si="254"/>
        <v>24</v>
      </c>
      <c r="BY31" s="193">
        <f t="shared" si="254"/>
        <v>0</v>
      </c>
      <c r="BZ31" s="193">
        <f t="shared" si="254"/>
        <v>13</v>
      </c>
      <c r="CA31" s="193">
        <f t="shared" si="254"/>
        <v>0</v>
      </c>
      <c r="CB31" s="193">
        <f t="shared" si="254"/>
        <v>28</v>
      </c>
      <c r="CC31" s="193">
        <f t="shared" si="254"/>
        <v>0</v>
      </c>
      <c r="CD31" s="193">
        <f t="shared" si="254"/>
        <v>21</v>
      </c>
      <c r="CE31" s="193">
        <f t="shared" si="254"/>
        <v>0</v>
      </c>
      <c r="CF31" s="193">
        <f t="shared" si="254"/>
        <v>10</v>
      </c>
      <c r="CG31" s="193">
        <f t="shared" si="254"/>
        <v>0</v>
      </c>
      <c r="CH31" s="193">
        <f t="shared" si="254"/>
        <v>8</v>
      </c>
      <c r="CI31" s="193">
        <f t="shared" si="254"/>
        <v>0</v>
      </c>
      <c r="CJ31" s="193">
        <f t="shared" si="254"/>
        <v>112</v>
      </c>
      <c r="CK31" s="193">
        <f t="shared" si="254"/>
        <v>0</v>
      </c>
      <c r="CL31" s="193">
        <f t="shared" si="254"/>
        <v>112</v>
      </c>
      <c r="CM31" s="193">
        <f t="shared" si="254"/>
        <v>2</v>
      </c>
      <c r="CN31" s="193">
        <f t="shared" si="254"/>
        <v>0</v>
      </c>
      <c r="CO31" s="193">
        <f t="shared" si="254"/>
        <v>0</v>
      </c>
      <c r="CP31" s="193">
        <f t="shared" si="254"/>
        <v>2</v>
      </c>
      <c r="CQ31" s="193">
        <f t="shared" si="254"/>
        <v>0</v>
      </c>
      <c r="CR31" s="193">
        <f t="shared" si="254"/>
        <v>0</v>
      </c>
      <c r="CS31" s="193">
        <f t="shared" si="254"/>
        <v>1</v>
      </c>
      <c r="CT31" s="193">
        <f t="shared" si="254"/>
        <v>0</v>
      </c>
      <c r="CU31" s="193">
        <f t="shared" si="254"/>
        <v>0</v>
      </c>
      <c r="CV31" s="193">
        <f t="shared" si="254"/>
        <v>5</v>
      </c>
      <c r="CW31" s="193">
        <f t="shared" si="254"/>
        <v>0</v>
      </c>
      <c r="CX31" s="193">
        <f t="shared" si="254"/>
        <v>0</v>
      </c>
      <c r="CY31" s="193">
        <f t="shared" si="254"/>
        <v>5</v>
      </c>
      <c r="CZ31" s="193">
        <f t="shared" si="254"/>
        <v>2</v>
      </c>
      <c r="DA31" s="193">
        <f t="shared" si="254"/>
        <v>0</v>
      </c>
      <c r="DB31" s="193">
        <f t="shared" si="254"/>
        <v>0</v>
      </c>
      <c r="DC31" s="193">
        <f t="shared" si="254"/>
        <v>0</v>
      </c>
      <c r="DD31" s="193">
        <f t="shared" si="254"/>
        <v>1</v>
      </c>
      <c r="DE31" s="193">
        <f t="shared" si="254"/>
        <v>0</v>
      </c>
      <c r="DF31" s="193">
        <f t="shared" si="254"/>
        <v>3</v>
      </c>
      <c r="DG31" s="193">
        <f t="shared" si="254"/>
        <v>0</v>
      </c>
      <c r="DH31" s="193">
        <f t="shared" si="254"/>
        <v>3</v>
      </c>
      <c r="DI31" s="193">
        <f t="shared" si="254"/>
        <v>0</v>
      </c>
      <c r="DJ31" s="193">
        <f t="shared" si="254"/>
        <v>0</v>
      </c>
      <c r="DK31" s="193">
        <f t="shared" si="254"/>
        <v>0</v>
      </c>
      <c r="DL31" s="193">
        <f t="shared" si="254"/>
        <v>0</v>
      </c>
      <c r="DM31" s="193">
        <f t="shared" si="254"/>
        <v>0</v>
      </c>
      <c r="DN31" s="193">
        <f t="shared" si="254"/>
        <v>0</v>
      </c>
      <c r="DO31" s="193">
        <f t="shared" si="254"/>
        <v>0</v>
      </c>
      <c r="DP31" s="193">
        <f t="shared" si="254"/>
        <v>0</v>
      </c>
      <c r="DQ31" s="193">
        <f t="shared" si="254"/>
        <v>0</v>
      </c>
      <c r="DR31" s="193">
        <f t="shared" si="254"/>
        <v>25</v>
      </c>
      <c r="DS31" s="193">
        <f t="shared" si="254"/>
        <v>0</v>
      </c>
      <c r="DT31" s="193">
        <f t="shared" si="254"/>
        <v>18</v>
      </c>
      <c r="DU31" s="193">
        <f t="shared" si="254"/>
        <v>0</v>
      </c>
      <c r="DV31" s="193">
        <f t="shared" si="254"/>
        <v>20</v>
      </c>
      <c r="DW31" s="193">
        <f t="shared" si="254"/>
        <v>0</v>
      </c>
      <c r="DX31" s="193">
        <f t="shared" si="254"/>
        <v>63</v>
      </c>
      <c r="DY31" s="193">
        <f t="shared" si="254"/>
        <v>0</v>
      </c>
      <c r="DZ31" s="193">
        <f t="shared" si="254"/>
        <v>63</v>
      </c>
      <c r="EA31" s="193">
        <f t="shared" si="254"/>
        <v>1</v>
      </c>
      <c r="EB31" s="193">
        <f t="shared" si="254"/>
        <v>0</v>
      </c>
      <c r="EC31" s="193">
        <f t="shared" si="254"/>
        <v>2</v>
      </c>
      <c r="ED31" s="193">
        <f t="shared" si="254"/>
        <v>0</v>
      </c>
      <c r="EE31" s="193">
        <f t="shared" ref="EE31:GP31" si="255">EE30</f>
        <v>11</v>
      </c>
      <c r="EF31" s="193">
        <f t="shared" si="255"/>
        <v>0</v>
      </c>
      <c r="EG31" s="193">
        <f t="shared" si="255"/>
        <v>14</v>
      </c>
      <c r="EH31" s="193">
        <f t="shared" si="255"/>
        <v>0</v>
      </c>
      <c r="EI31" s="193">
        <f t="shared" si="255"/>
        <v>14</v>
      </c>
      <c r="EJ31" s="193">
        <f t="shared" si="255"/>
        <v>1</v>
      </c>
      <c r="EK31" s="193">
        <f t="shared" si="255"/>
        <v>0</v>
      </c>
      <c r="EL31" s="193">
        <f t="shared" si="255"/>
        <v>0</v>
      </c>
      <c r="EM31" s="193">
        <f t="shared" si="255"/>
        <v>0</v>
      </c>
      <c r="EN31" s="193">
        <f t="shared" si="255"/>
        <v>5</v>
      </c>
      <c r="EO31" s="193">
        <f t="shared" si="255"/>
        <v>0</v>
      </c>
      <c r="EP31" s="193">
        <f t="shared" si="255"/>
        <v>6</v>
      </c>
      <c r="EQ31" s="193">
        <f t="shared" si="255"/>
        <v>0</v>
      </c>
      <c r="ER31" s="193">
        <f t="shared" si="255"/>
        <v>6</v>
      </c>
      <c r="ES31" s="193">
        <f t="shared" si="255"/>
        <v>0</v>
      </c>
      <c r="ET31" s="193">
        <f t="shared" si="255"/>
        <v>0</v>
      </c>
      <c r="EU31" s="193">
        <f t="shared" si="255"/>
        <v>0</v>
      </c>
      <c r="EV31" s="193">
        <f t="shared" si="255"/>
        <v>0</v>
      </c>
      <c r="EW31" s="193">
        <f t="shared" si="255"/>
        <v>0</v>
      </c>
      <c r="EX31" s="193">
        <f t="shared" si="255"/>
        <v>0</v>
      </c>
      <c r="EY31" s="193">
        <f t="shared" si="255"/>
        <v>0</v>
      </c>
      <c r="EZ31" s="193">
        <f t="shared" si="255"/>
        <v>0</v>
      </c>
      <c r="FA31" s="193">
        <f t="shared" si="255"/>
        <v>0</v>
      </c>
      <c r="FB31" s="193">
        <f t="shared" si="255"/>
        <v>0</v>
      </c>
      <c r="FC31" s="193">
        <f t="shared" si="255"/>
        <v>0</v>
      </c>
      <c r="FD31" s="193">
        <f t="shared" si="255"/>
        <v>0</v>
      </c>
      <c r="FE31" s="193">
        <f t="shared" si="255"/>
        <v>0</v>
      </c>
      <c r="FF31" s="193">
        <f t="shared" si="255"/>
        <v>0</v>
      </c>
      <c r="FG31" s="193">
        <f t="shared" si="255"/>
        <v>0</v>
      </c>
      <c r="FH31" s="193">
        <f t="shared" si="255"/>
        <v>0</v>
      </c>
      <c r="FI31" s="193">
        <f t="shared" si="255"/>
        <v>0</v>
      </c>
      <c r="FJ31" s="193">
        <f t="shared" si="255"/>
        <v>0</v>
      </c>
      <c r="FK31" s="193">
        <f t="shared" si="255"/>
        <v>0</v>
      </c>
      <c r="FL31" s="193">
        <f t="shared" si="255"/>
        <v>0</v>
      </c>
      <c r="FM31" s="193">
        <f t="shared" si="255"/>
        <v>0</v>
      </c>
      <c r="FN31" s="193">
        <f t="shared" si="255"/>
        <v>0</v>
      </c>
      <c r="FO31" s="193">
        <f t="shared" si="255"/>
        <v>0</v>
      </c>
      <c r="FP31" s="193">
        <f t="shared" si="255"/>
        <v>0</v>
      </c>
      <c r="FQ31" s="193">
        <f t="shared" si="255"/>
        <v>0</v>
      </c>
      <c r="FR31" s="193">
        <f t="shared" si="255"/>
        <v>0</v>
      </c>
      <c r="FS31" s="193">
        <f t="shared" si="255"/>
        <v>0</v>
      </c>
      <c r="FT31" s="193">
        <f t="shared" si="255"/>
        <v>0</v>
      </c>
      <c r="FU31" s="193">
        <f t="shared" si="255"/>
        <v>0</v>
      </c>
      <c r="FV31" s="193">
        <f t="shared" si="255"/>
        <v>0</v>
      </c>
      <c r="FW31" s="193">
        <f t="shared" si="255"/>
        <v>0</v>
      </c>
      <c r="FX31" s="193">
        <f t="shared" si="255"/>
        <v>0</v>
      </c>
      <c r="FY31" s="193">
        <f t="shared" si="255"/>
        <v>0</v>
      </c>
      <c r="FZ31" s="193">
        <f t="shared" si="255"/>
        <v>0</v>
      </c>
      <c r="GA31" s="193">
        <f t="shared" si="255"/>
        <v>0</v>
      </c>
      <c r="GB31" s="193">
        <f t="shared" si="255"/>
        <v>0</v>
      </c>
      <c r="GC31" s="193">
        <f t="shared" si="255"/>
        <v>0</v>
      </c>
      <c r="GD31" s="193">
        <f t="shared" si="255"/>
        <v>0</v>
      </c>
      <c r="GE31" s="193">
        <f t="shared" si="255"/>
        <v>0</v>
      </c>
      <c r="GF31" s="193">
        <f t="shared" si="255"/>
        <v>0</v>
      </c>
      <c r="GG31" s="193">
        <f t="shared" si="255"/>
        <v>0</v>
      </c>
      <c r="GH31" s="193">
        <f t="shared" si="255"/>
        <v>0</v>
      </c>
      <c r="GI31" s="193">
        <f t="shared" si="255"/>
        <v>0</v>
      </c>
      <c r="GJ31" s="193">
        <f t="shared" si="255"/>
        <v>0</v>
      </c>
      <c r="GK31" s="193">
        <f t="shared" si="255"/>
        <v>0</v>
      </c>
      <c r="GL31" s="193">
        <f t="shared" si="255"/>
        <v>0</v>
      </c>
      <c r="GM31" s="193">
        <f t="shared" si="255"/>
        <v>0</v>
      </c>
      <c r="GN31" s="193">
        <f t="shared" si="255"/>
        <v>0</v>
      </c>
      <c r="GO31" s="193">
        <f t="shared" si="255"/>
        <v>0</v>
      </c>
      <c r="GP31" s="193">
        <f t="shared" si="255"/>
        <v>0</v>
      </c>
      <c r="GQ31" s="193">
        <f t="shared" ref="GQ31:JB31" si="256">GQ30</f>
        <v>0</v>
      </c>
      <c r="GR31" s="193">
        <f t="shared" si="256"/>
        <v>0</v>
      </c>
      <c r="GS31" s="193">
        <f t="shared" si="256"/>
        <v>0</v>
      </c>
      <c r="GT31" s="193">
        <f t="shared" si="256"/>
        <v>0</v>
      </c>
      <c r="GU31" s="193">
        <f t="shared" si="256"/>
        <v>0</v>
      </c>
      <c r="GV31" s="193">
        <f t="shared" si="256"/>
        <v>0</v>
      </c>
      <c r="GW31" s="193">
        <f t="shared" si="256"/>
        <v>0</v>
      </c>
      <c r="GX31" s="193">
        <f t="shared" si="256"/>
        <v>0</v>
      </c>
      <c r="GY31" s="193">
        <f t="shared" si="256"/>
        <v>0</v>
      </c>
      <c r="GZ31" s="193">
        <f t="shared" si="256"/>
        <v>0</v>
      </c>
      <c r="HA31" s="193">
        <f t="shared" si="256"/>
        <v>0</v>
      </c>
      <c r="HB31" s="193">
        <f t="shared" si="256"/>
        <v>0</v>
      </c>
      <c r="HC31" s="193">
        <f t="shared" si="256"/>
        <v>0</v>
      </c>
      <c r="HD31" s="193">
        <f t="shared" si="256"/>
        <v>0</v>
      </c>
      <c r="HE31" s="193">
        <f t="shared" si="256"/>
        <v>0</v>
      </c>
      <c r="HF31" s="193">
        <f t="shared" si="256"/>
        <v>0</v>
      </c>
      <c r="HG31" s="193">
        <f t="shared" si="256"/>
        <v>0</v>
      </c>
      <c r="HH31" s="193">
        <f t="shared" si="256"/>
        <v>0</v>
      </c>
      <c r="HI31" s="193">
        <f t="shared" si="256"/>
        <v>0</v>
      </c>
      <c r="HJ31" s="193">
        <f t="shared" si="256"/>
        <v>0</v>
      </c>
      <c r="HK31" s="193">
        <f t="shared" si="256"/>
        <v>0</v>
      </c>
      <c r="HL31" s="193">
        <f t="shared" si="256"/>
        <v>0</v>
      </c>
      <c r="HM31" s="193">
        <f t="shared" si="256"/>
        <v>0</v>
      </c>
      <c r="HN31" s="193">
        <f t="shared" si="256"/>
        <v>0</v>
      </c>
      <c r="HO31" s="193">
        <f t="shared" si="256"/>
        <v>0</v>
      </c>
      <c r="HP31" s="193">
        <f t="shared" si="256"/>
        <v>0</v>
      </c>
      <c r="HQ31" s="193">
        <f t="shared" si="256"/>
        <v>0</v>
      </c>
      <c r="HR31" s="193">
        <f t="shared" si="256"/>
        <v>0</v>
      </c>
      <c r="HS31" s="193">
        <f t="shared" si="256"/>
        <v>0</v>
      </c>
      <c r="HT31" s="193">
        <f t="shared" si="256"/>
        <v>0</v>
      </c>
      <c r="HU31" s="193">
        <f t="shared" si="256"/>
        <v>0</v>
      </c>
      <c r="HV31" s="193">
        <f t="shared" si="256"/>
        <v>0</v>
      </c>
      <c r="HW31" s="193">
        <f t="shared" si="256"/>
        <v>0</v>
      </c>
      <c r="HX31" s="193">
        <f t="shared" si="256"/>
        <v>0</v>
      </c>
      <c r="HY31" s="193">
        <f t="shared" si="256"/>
        <v>0</v>
      </c>
      <c r="HZ31" s="193">
        <f t="shared" si="256"/>
        <v>0</v>
      </c>
      <c r="IA31" s="193">
        <f t="shared" si="256"/>
        <v>0</v>
      </c>
      <c r="IB31" s="193">
        <f t="shared" si="256"/>
        <v>0</v>
      </c>
      <c r="IC31" s="193">
        <f t="shared" si="256"/>
        <v>0</v>
      </c>
      <c r="ID31" s="193">
        <f t="shared" si="256"/>
        <v>0</v>
      </c>
      <c r="IE31" s="193">
        <f t="shared" si="256"/>
        <v>0</v>
      </c>
      <c r="IF31" s="193">
        <f t="shared" si="256"/>
        <v>0</v>
      </c>
      <c r="IG31" s="193">
        <f t="shared" si="256"/>
        <v>0</v>
      </c>
      <c r="IH31" s="193">
        <f t="shared" si="256"/>
        <v>0</v>
      </c>
      <c r="II31" s="193">
        <f t="shared" si="256"/>
        <v>0</v>
      </c>
      <c r="IJ31" s="193">
        <f t="shared" si="256"/>
        <v>0</v>
      </c>
      <c r="IK31" s="193">
        <f t="shared" si="256"/>
        <v>0</v>
      </c>
      <c r="IL31" s="193">
        <f t="shared" si="256"/>
        <v>0</v>
      </c>
      <c r="IM31" s="193">
        <f t="shared" si="256"/>
        <v>0</v>
      </c>
      <c r="IN31" s="193">
        <f t="shared" si="256"/>
        <v>0</v>
      </c>
      <c r="IO31" s="193">
        <f t="shared" si="256"/>
        <v>0</v>
      </c>
      <c r="IP31" s="193">
        <f t="shared" si="256"/>
        <v>0</v>
      </c>
      <c r="IQ31" s="193">
        <f t="shared" si="256"/>
        <v>0</v>
      </c>
      <c r="IR31" s="193">
        <f t="shared" si="256"/>
        <v>0</v>
      </c>
      <c r="IS31" s="193">
        <f t="shared" si="256"/>
        <v>0</v>
      </c>
      <c r="IT31" s="193">
        <f t="shared" si="256"/>
        <v>0</v>
      </c>
      <c r="IU31" s="193">
        <f t="shared" si="256"/>
        <v>0</v>
      </c>
      <c r="IV31" s="193">
        <f t="shared" si="256"/>
        <v>0</v>
      </c>
      <c r="IW31" s="193">
        <f t="shared" si="256"/>
        <v>0</v>
      </c>
      <c r="IX31" s="193">
        <f t="shared" si="256"/>
        <v>0</v>
      </c>
      <c r="IY31" s="193">
        <f t="shared" si="256"/>
        <v>0</v>
      </c>
      <c r="IZ31" s="193">
        <f t="shared" si="256"/>
        <v>0</v>
      </c>
      <c r="JA31" s="193">
        <f t="shared" si="256"/>
        <v>0</v>
      </c>
      <c r="JB31" s="193">
        <f t="shared" si="256"/>
        <v>0</v>
      </c>
      <c r="JC31" s="193">
        <f t="shared" ref="JC31:LN31" si="257">JC30</f>
        <v>0</v>
      </c>
      <c r="JD31" s="193">
        <f t="shared" si="257"/>
        <v>0</v>
      </c>
      <c r="JE31" s="193">
        <f t="shared" si="257"/>
        <v>0</v>
      </c>
      <c r="JF31" s="193">
        <f t="shared" si="257"/>
        <v>0</v>
      </c>
      <c r="JG31" s="193">
        <f t="shared" si="257"/>
        <v>0</v>
      </c>
      <c r="JH31" s="193">
        <f t="shared" si="257"/>
        <v>0</v>
      </c>
      <c r="JI31" s="193">
        <f t="shared" si="257"/>
        <v>0</v>
      </c>
      <c r="JJ31" s="193">
        <f t="shared" si="257"/>
        <v>0</v>
      </c>
      <c r="JK31" s="193">
        <f t="shared" si="257"/>
        <v>0</v>
      </c>
      <c r="JL31" s="193">
        <f t="shared" si="257"/>
        <v>0</v>
      </c>
      <c r="JM31" s="193">
        <f t="shared" si="257"/>
        <v>0</v>
      </c>
      <c r="JN31" s="193">
        <f t="shared" si="257"/>
        <v>0</v>
      </c>
      <c r="JO31" s="193">
        <f t="shared" si="257"/>
        <v>0</v>
      </c>
      <c r="JP31" s="193">
        <f t="shared" si="257"/>
        <v>0</v>
      </c>
      <c r="JQ31" s="193">
        <f t="shared" si="257"/>
        <v>0</v>
      </c>
      <c r="JR31" s="193">
        <f t="shared" si="257"/>
        <v>0</v>
      </c>
      <c r="JS31" s="193">
        <f t="shared" si="257"/>
        <v>0</v>
      </c>
      <c r="JT31" s="193">
        <f t="shared" si="257"/>
        <v>0</v>
      </c>
      <c r="JU31" s="193">
        <f t="shared" si="257"/>
        <v>0</v>
      </c>
      <c r="JV31" s="193">
        <f t="shared" si="257"/>
        <v>0</v>
      </c>
      <c r="JW31" s="193">
        <f t="shared" si="257"/>
        <v>0</v>
      </c>
      <c r="JX31" s="193">
        <f t="shared" si="257"/>
        <v>0</v>
      </c>
      <c r="JY31" s="193">
        <f t="shared" si="257"/>
        <v>0</v>
      </c>
      <c r="JZ31" s="193">
        <f t="shared" si="257"/>
        <v>0</v>
      </c>
      <c r="KA31" s="193">
        <f t="shared" si="257"/>
        <v>0</v>
      </c>
      <c r="KB31" s="193">
        <f t="shared" si="257"/>
        <v>0</v>
      </c>
      <c r="KC31" s="193">
        <f t="shared" si="257"/>
        <v>0</v>
      </c>
      <c r="KD31" s="193">
        <f t="shared" si="257"/>
        <v>0</v>
      </c>
      <c r="KE31" s="193">
        <f t="shared" si="257"/>
        <v>0</v>
      </c>
      <c r="KF31" s="193">
        <f t="shared" si="257"/>
        <v>0</v>
      </c>
      <c r="KG31" s="193">
        <f t="shared" si="257"/>
        <v>0</v>
      </c>
      <c r="KH31" s="193">
        <f t="shared" si="257"/>
        <v>0</v>
      </c>
      <c r="KI31" s="193">
        <f t="shared" si="257"/>
        <v>0</v>
      </c>
      <c r="KJ31" s="193">
        <f t="shared" si="257"/>
        <v>0</v>
      </c>
      <c r="KK31" s="193">
        <f t="shared" si="257"/>
        <v>0</v>
      </c>
      <c r="KL31" s="193">
        <f t="shared" si="257"/>
        <v>0</v>
      </c>
      <c r="KM31" s="193">
        <f t="shared" si="257"/>
        <v>0</v>
      </c>
      <c r="KN31" s="193">
        <f t="shared" si="257"/>
        <v>0</v>
      </c>
      <c r="KO31" s="193">
        <f t="shared" si="257"/>
        <v>0</v>
      </c>
      <c r="KP31" s="193">
        <f t="shared" si="257"/>
        <v>0</v>
      </c>
      <c r="KQ31" s="193">
        <f t="shared" si="257"/>
        <v>0</v>
      </c>
      <c r="KR31" s="193">
        <f t="shared" si="257"/>
        <v>0</v>
      </c>
      <c r="KS31" s="193">
        <f t="shared" si="257"/>
        <v>0</v>
      </c>
      <c r="KT31" s="193">
        <f t="shared" si="257"/>
        <v>0</v>
      </c>
      <c r="KU31" s="193">
        <f t="shared" si="257"/>
        <v>0</v>
      </c>
      <c r="KV31" s="193">
        <f t="shared" si="257"/>
        <v>0</v>
      </c>
      <c r="KW31" s="193">
        <f t="shared" si="257"/>
        <v>0</v>
      </c>
      <c r="KX31" s="193">
        <f t="shared" si="257"/>
        <v>0</v>
      </c>
      <c r="KY31" s="193">
        <f t="shared" si="257"/>
        <v>0</v>
      </c>
      <c r="KZ31" s="193">
        <f t="shared" si="257"/>
        <v>0</v>
      </c>
      <c r="LA31" s="193">
        <f t="shared" si="257"/>
        <v>0</v>
      </c>
      <c r="LB31" s="193">
        <f t="shared" si="257"/>
        <v>0</v>
      </c>
      <c r="LC31" s="193">
        <f t="shared" si="257"/>
        <v>0</v>
      </c>
      <c r="LD31" s="193">
        <f t="shared" si="257"/>
        <v>0</v>
      </c>
      <c r="LE31" s="193">
        <f t="shared" si="257"/>
        <v>0</v>
      </c>
      <c r="LF31" s="193">
        <f t="shared" si="257"/>
        <v>0</v>
      </c>
      <c r="LG31" s="193">
        <f t="shared" si="257"/>
        <v>0</v>
      </c>
      <c r="LH31" s="193">
        <f t="shared" si="257"/>
        <v>0</v>
      </c>
      <c r="LI31" s="193">
        <f t="shared" si="257"/>
        <v>0</v>
      </c>
      <c r="LJ31" s="193">
        <f t="shared" si="257"/>
        <v>0</v>
      </c>
      <c r="LK31" s="193">
        <f t="shared" si="257"/>
        <v>0</v>
      </c>
      <c r="LL31" s="193">
        <f t="shared" si="257"/>
        <v>0</v>
      </c>
      <c r="LM31" s="193">
        <f t="shared" si="257"/>
        <v>0</v>
      </c>
      <c r="LN31" s="193">
        <f t="shared" si="257"/>
        <v>0</v>
      </c>
      <c r="LO31" s="193">
        <f t="shared" ref="LO31:NW31" si="258">LO30</f>
        <v>0</v>
      </c>
      <c r="LP31" s="193">
        <f t="shared" si="258"/>
        <v>0</v>
      </c>
      <c r="LQ31" s="193">
        <f t="shared" si="258"/>
        <v>0</v>
      </c>
      <c r="LR31" s="193">
        <f t="shared" si="258"/>
        <v>0</v>
      </c>
      <c r="LS31" s="193">
        <f t="shared" si="258"/>
        <v>0</v>
      </c>
      <c r="LT31" s="193">
        <f t="shared" si="258"/>
        <v>0</v>
      </c>
      <c r="LU31" s="193">
        <f t="shared" si="258"/>
        <v>0</v>
      </c>
      <c r="LV31" s="193">
        <f t="shared" si="258"/>
        <v>0</v>
      </c>
      <c r="LW31" s="193">
        <f t="shared" si="258"/>
        <v>0</v>
      </c>
      <c r="LX31" s="193">
        <f t="shared" si="258"/>
        <v>0</v>
      </c>
      <c r="LY31" s="193">
        <f t="shared" si="258"/>
        <v>0</v>
      </c>
      <c r="LZ31" s="193">
        <f t="shared" si="258"/>
        <v>0</v>
      </c>
      <c r="MA31" s="193">
        <f t="shared" si="258"/>
        <v>0</v>
      </c>
      <c r="MB31" s="193">
        <f t="shared" si="258"/>
        <v>0</v>
      </c>
      <c r="MC31" s="193">
        <f t="shared" si="258"/>
        <v>0</v>
      </c>
      <c r="MD31" s="193">
        <f t="shared" si="258"/>
        <v>0</v>
      </c>
      <c r="ME31" s="193">
        <f t="shared" si="258"/>
        <v>0</v>
      </c>
      <c r="MF31" s="193">
        <f t="shared" si="258"/>
        <v>0</v>
      </c>
      <c r="MG31" s="193">
        <f t="shared" si="258"/>
        <v>0</v>
      </c>
      <c r="MH31" s="193">
        <f t="shared" si="258"/>
        <v>0</v>
      </c>
      <c r="MI31" s="193">
        <f t="shared" si="258"/>
        <v>0</v>
      </c>
      <c r="MJ31" s="193">
        <f t="shared" si="258"/>
        <v>0</v>
      </c>
      <c r="MK31" s="193">
        <f t="shared" si="258"/>
        <v>0</v>
      </c>
      <c r="ML31" s="193">
        <f t="shared" si="258"/>
        <v>0</v>
      </c>
      <c r="MM31" s="193">
        <f t="shared" si="258"/>
        <v>0</v>
      </c>
      <c r="MN31" s="193">
        <f t="shared" si="258"/>
        <v>0</v>
      </c>
      <c r="MO31" s="193">
        <f t="shared" si="258"/>
        <v>0</v>
      </c>
      <c r="MP31" s="193">
        <f t="shared" si="258"/>
        <v>0</v>
      </c>
      <c r="MQ31" s="193">
        <f t="shared" si="258"/>
        <v>0</v>
      </c>
      <c r="MR31" s="193">
        <f t="shared" si="258"/>
        <v>0</v>
      </c>
      <c r="MS31" s="193">
        <f t="shared" si="258"/>
        <v>0</v>
      </c>
      <c r="MT31" s="193">
        <f t="shared" si="258"/>
        <v>0</v>
      </c>
      <c r="MU31" s="193">
        <f t="shared" si="258"/>
        <v>0</v>
      </c>
      <c r="MV31" s="193">
        <f t="shared" si="258"/>
        <v>0</v>
      </c>
      <c r="MW31" s="193">
        <f t="shared" si="258"/>
        <v>0</v>
      </c>
      <c r="MX31" s="193">
        <f t="shared" si="258"/>
        <v>0</v>
      </c>
      <c r="MY31" s="193">
        <f t="shared" si="258"/>
        <v>0</v>
      </c>
      <c r="MZ31" s="193">
        <f t="shared" si="258"/>
        <v>0</v>
      </c>
      <c r="NA31" s="193">
        <f t="shared" si="258"/>
        <v>0</v>
      </c>
      <c r="NB31" s="193">
        <f t="shared" si="258"/>
        <v>0</v>
      </c>
      <c r="NC31" s="193">
        <f t="shared" si="258"/>
        <v>0</v>
      </c>
      <c r="ND31" s="193">
        <f t="shared" si="258"/>
        <v>0</v>
      </c>
      <c r="NE31" s="193">
        <f t="shared" si="258"/>
        <v>0</v>
      </c>
      <c r="NF31" s="193">
        <f t="shared" si="258"/>
        <v>0</v>
      </c>
      <c r="NG31" s="193">
        <f t="shared" si="258"/>
        <v>0</v>
      </c>
      <c r="NH31" s="193">
        <f t="shared" si="258"/>
        <v>0</v>
      </c>
      <c r="NI31" s="193">
        <f t="shared" si="258"/>
        <v>0</v>
      </c>
      <c r="NJ31" s="193">
        <f t="shared" si="258"/>
        <v>0</v>
      </c>
      <c r="NK31" s="193">
        <f t="shared" si="258"/>
        <v>0</v>
      </c>
      <c r="NL31" s="193">
        <f t="shared" si="258"/>
        <v>0</v>
      </c>
      <c r="NM31" s="193">
        <f t="shared" si="258"/>
        <v>0</v>
      </c>
      <c r="NN31" s="193">
        <f t="shared" si="258"/>
        <v>0</v>
      </c>
      <c r="NO31" s="193">
        <f t="shared" si="258"/>
        <v>0</v>
      </c>
      <c r="NP31" s="193">
        <f t="shared" si="258"/>
        <v>0</v>
      </c>
      <c r="NQ31" s="193">
        <f t="shared" si="258"/>
        <v>0</v>
      </c>
      <c r="NR31" s="193">
        <f t="shared" si="258"/>
        <v>0</v>
      </c>
      <c r="NS31" s="193">
        <f t="shared" si="258"/>
        <v>0</v>
      </c>
      <c r="NT31" s="193">
        <f t="shared" si="258"/>
        <v>0</v>
      </c>
      <c r="NU31" s="193">
        <f t="shared" si="258"/>
        <v>0</v>
      </c>
      <c r="NV31" s="193">
        <f t="shared" si="258"/>
        <v>0</v>
      </c>
      <c r="NW31" s="193">
        <f t="shared" si="258"/>
        <v>0</v>
      </c>
      <c r="NX31" s="193">
        <f t="shared" ref="NX31:QI31" si="259">NX30</f>
        <v>0</v>
      </c>
      <c r="NY31" s="193">
        <f t="shared" si="259"/>
        <v>0</v>
      </c>
      <c r="NZ31" s="193">
        <f t="shared" si="259"/>
        <v>0</v>
      </c>
      <c r="OA31" s="193">
        <f t="shared" si="259"/>
        <v>0</v>
      </c>
      <c r="OB31" s="193">
        <f t="shared" si="259"/>
        <v>0</v>
      </c>
      <c r="OC31" s="193">
        <f t="shared" si="259"/>
        <v>0</v>
      </c>
      <c r="OD31" s="193">
        <f t="shared" si="259"/>
        <v>0</v>
      </c>
      <c r="OE31" s="193">
        <f t="shared" si="259"/>
        <v>0</v>
      </c>
      <c r="OF31" s="193">
        <f t="shared" si="259"/>
        <v>0</v>
      </c>
      <c r="OG31" s="193">
        <f t="shared" si="259"/>
        <v>0</v>
      </c>
      <c r="OH31" s="193">
        <f t="shared" si="259"/>
        <v>0</v>
      </c>
      <c r="OI31" s="193">
        <f t="shared" si="259"/>
        <v>0</v>
      </c>
      <c r="OJ31" s="193">
        <f t="shared" si="259"/>
        <v>0</v>
      </c>
      <c r="OK31" s="193">
        <f t="shared" si="259"/>
        <v>0</v>
      </c>
      <c r="OL31" s="193">
        <f t="shared" si="259"/>
        <v>0</v>
      </c>
      <c r="OM31" s="193">
        <f t="shared" si="259"/>
        <v>0</v>
      </c>
      <c r="ON31" s="193">
        <f t="shared" si="259"/>
        <v>0</v>
      </c>
      <c r="OO31" s="193">
        <f t="shared" si="259"/>
        <v>0</v>
      </c>
      <c r="OP31" s="193">
        <f t="shared" si="259"/>
        <v>0</v>
      </c>
      <c r="OQ31" s="193">
        <f t="shared" si="259"/>
        <v>0</v>
      </c>
      <c r="OR31" s="193">
        <f t="shared" si="259"/>
        <v>0</v>
      </c>
      <c r="OS31" s="193">
        <f t="shared" si="259"/>
        <v>0</v>
      </c>
      <c r="OT31" s="193">
        <f t="shared" si="259"/>
        <v>0</v>
      </c>
      <c r="OU31" s="193">
        <f t="shared" si="259"/>
        <v>0</v>
      </c>
      <c r="OV31" s="193">
        <f t="shared" si="259"/>
        <v>0</v>
      </c>
      <c r="OW31" s="193">
        <f t="shared" si="259"/>
        <v>0</v>
      </c>
      <c r="OX31" s="193">
        <f t="shared" si="259"/>
        <v>0</v>
      </c>
      <c r="OY31" s="193">
        <f t="shared" si="259"/>
        <v>0</v>
      </c>
      <c r="OZ31" s="193">
        <f t="shared" si="259"/>
        <v>0</v>
      </c>
      <c r="PA31" s="193">
        <f t="shared" si="259"/>
        <v>0</v>
      </c>
      <c r="PB31" s="193">
        <f t="shared" si="259"/>
        <v>0</v>
      </c>
      <c r="PC31" s="193">
        <f t="shared" si="259"/>
        <v>0</v>
      </c>
      <c r="PD31" s="193">
        <f t="shared" si="259"/>
        <v>0</v>
      </c>
      <c r="PE31" s="193">
        <f t="shared" si="259"/>
        <v>0</v>
      </c>
      <c r="PF31" s="193">
        <f t="shared" si="259"/>
        <v>0</v>
      </c>
      <c r="PG31" s="193">
        <f t="shared" si="259"/>
        <v>0</v>
      </c>
      <c r="PH31" s="193">
        <f t="shared" si="259"/>
        <v>0</v>
      </c>
      <c r="PI31" s="193">
        <f t="shared" si="259"/>
        <v>0</v>
      </c>
      <c r="PJ31" s="193">
        <f t="shared" si="259"/>
        <v>0</v>
      </c>
      <c r="PK31" s="193">
        <f t="shared" si="259"/>
        <v>0</v>
      </c>
      <c r="PL31" s="193">
        <f t="shared" si="259"/>
        <v>0</v>
      </c>
      <c r="PM31" s="193">
        <f t="shared" si="259"/>
        <v>0</v>
      </c>
      <c r="PN31" s="193">
        <f t="shared" si="259"/>
        <v>0</v>
      </c>
      <c r="PO31" s="193">
        <f t="shared" si="259"/>
        <v>0</v>
      </c>
      <c r="PP31" s="193">
        <f t="shared" si="259"/>
        <v>0</v>
      </c>
      <c r="PQ31" s="193">
        <f t="shared" si="259"/>
        <v>0</v>
      </c>
      <c r="PR31" s="193">
        <f t="shared" si="259"/>
        <v>0</v>
      </c>
      <c r="PS31" s="193">
        <f t="shared" si="259"/>
        <v>0</v>
      </c>
      <c r="PT31" s="193">
        <f t="shared" si="259"/>
        <v>0</v>
      </c>
      <c r="PU31" s="193">
        <f t="shared" si="259"/>
        <v>0</v>
      </c>
      <c r="PV31" s="193">
        <f t="shared" si="259"/>
        <v>0</v>
      </c>
      <c r="PW31" s="193">
        <f t="shared" si="259"/>
        <v>0</v>
      </c>
      <c r="PX31" s="193">
        <f t="shared" si="259"/>
        <v>0</v>
      </c>
      <c r="PY31" s="193">
        <f t="shared" si="259"/>
        <v>0</v>
      </c>
      <c r="PZ31" s="193">
        <f t="shared" si="259"/>
        <v>0</v>
      </c>
      <c r="QA31" s="193">
        <f t="shared" si="259"/>
        <v>0</v>
      </c>
      <c r="QB31" s="193">
        <f t="shared" si="259"/>
        <v>0</v>
      </c>
      <c r="QC31" s="193">
        <f t="shared" si="259"/>
        <v>0</v>
      </c>
      <c r="QD31" s="193">
        <f t="shared" si="259"/>
        <v>0</v>
      </c>
      <c r="QE31" s="193">
        <f t="shared" si="259"/>
        <v>0</v>
      </c>
      <c r="QF31" s="193">
        <f t="shared" si="259"/>
        <v>0</v>
      </c>
      <c r="QG31" s="193">
        <f t="shared" si="259"/>
        <v>0</v>
      </c>
      <c r="QH31" s="193">
        <f t="shared" si="259"/>
        <v>0</v>
      </c>
      <c r="QI31" s="193">
        <f t="shared" si="259"/>
        <v>0</v>
      </c>
      <c r="QJ31" s="193">
        <f t="shared" ref="QJ31:SP31" si="260">QJ30</f>
        <v>0</v>
      </c>
      <c r="QK31" s="193">
        <f t="shared" si="260"/>
        <v>0</v>
      </c>
      <c r="QL31" s="193">
        <f t="shared" si="260"/>
        <v>0</v>
      </c>
      <c r="QM31" s="193">
        <f t="shared" si="260"/>
        <v>0</v>
      </c>
      <c r="QN31" s="193">
        <f t="shared" si="260"/>
        <v>0</v>
      </c>
      <c r="QO31" s="193">
        <f t="shared" si="260"/>
        <v>0</v>
      </c>
      <c r="QP31" s="193">
        <f t="shared" si="260"/>
        <v>0</v>
      </c>
      <c r="QQ31" s="193">
        <f t="shared" si="260"/>
        <v>0</v>
      </c>
      <c r="QR31" s="193">
        <f t="shared" si="260"/>
        <v>0</v>
      </c>
      <c r="QS31" s="193">
        <f t="shared" si="260"/>
        <v>0</v>
      </c>
      <c r="QT31" s="193">
        <f t="shared" si="260"/>
        <v>0</v>
      </c>
      <c r="QU31" s="193">
        <f t="shared" si="260"/>
        <v>0</v>
      </c>
      <c r="QV31" s="193">
        <f t="shared" si="260"/>
        <v>0</v>
      </c>
      <c r="QW31" s="193">
        <f t="shared" si="260"/>
        <v>0</v>
      </c>
      <c r="QX31" s="193">
        <f t="shared" si="260"/>
        <v>0</v>
      </c>
      <c r="QY31" s="193">
        <f t="shared" si="260"/>
        <v>0</v>
      </c>
      <c r="QZ31" s="193">
        <f t="shared" si="260"/>
        <v>0</v>
      </c>
      <c r="RA31" s="193">
        <f t="shared" si="260"/>
        <v>0</v>
      </c>
      <c r="RB31" s="193">
        <f t="shared" si="260"/>
        <v>0</v>
      </c>
      <c r="RC31" s="193">
        <f t="shared" si="260"/>
        <v>0</v>
      </c>
      <c r="RD31" s="193">
        <f t="shared" si="260"/>
        <v>0</v>
      </c>
      <c r="RE31" s="193">
        <f t="shared" si="260"/>
        <v>0</v>
      </c>
      <c r="RF31" s="193">
        <f t="shared" si="260"/>
        <v>0</v>
      </c>
      <c r="RG31" s="193">
        <f t="shared" si="260"/>
        <v>0</v>
      </c>
      <c r="RH31" s="193">
        <f t="shared" si="260"/>
        <v>0</v>
      </c>
      <c r="RI31" s="193">
        <f t="shared" si="260"/>
        <v>0</v>
      </c>
      <c r="RJ31" s="193">
        <f t="shared" si="260"/>
        <v>0</v>
      </c>
      <c r="RK31" s="193">
        <f t="shared" si="260"/>
        <v>0</v>
      </c>
      <c r="RL31" s="193">
        <f t="shared" si="260"/>
        <v>0</v>
      </c>
      <c r="RM31" s="193">
        <f t="shared" si="260"/>
        <v>0</v>
      </c>
      <c r="RN31" s="193">
        <f t="shared" si="260"/>
        <v>0</v>
      </c>
      <c r="RO31" s="193">
        <f t="shared" si="260"/>
        <v>0</v>
      </c>
      <c r="RP31" s="193">
        <f t="shared" si="260"/>
        <v>0</v>
      </c>
      <c r="RQ31" s="193">
        <f t="shared" si="260"/>
        <v>0</v>
      </c>
      <c r="RR31" s="193">
        <f t="shared" si="260"/>
        <v>0</v>
      </c>
      <c r="RS31" s="193">
        <f t="shared" si="260"/>
        <v>0</v>
      </c>
      <c r="RT31" s="193">
        <f t="shared" si="260"/>
        <v>0</v>
      </c>
      <c r="RU31" s="193">
        <f t="shared" si="260"/>
        <v>0</v>
      </c>
      <c r="RV31" s="193">
        <f t="shared" si="260"/>
        <v>0</v>
      </c>
      <c r="RW31" s="193">
        <f t="shared" si="260"/>
        <v>0</v>
      </c>
      <c r="RX31" s="193">
        <f t="shared" si="260"/>
        <v>0</v>
      </c>
      <c r="RY31" s="193">
        <f t="shared" si="260"/>
        <v>0</v>
      </c>
      <c r="RZ31" s="193">
        <f t="shared" si="260"/>
        <v>0</v>
      </c>
      <c r="SA31" s="193">
        <f t="shared" si="260"/>
        <v>0</v>
      </c>
      <c r="SB31" s="193">
        <f t="shared" si="260"/>
        <v>0</v>
      </c>
      <c r="SC31" s="193">
        <f t="shared" si="260"/>
        <v>0</v>
      </c>
      <c r="SD31" s="193">
        <f t="shared" si="260"/>
        <v>0</v>
      </c>
      <c r="SE31" s="193">
        <f t="shared" si="260"/>
        <v>0</v>
      </c>
      <c r="SF31" s="193">
        <f t="shared" si="260"/>
        <v>0</v>
      </c>
      <c r="SG31" s="193">
        <f t="shared" si="260"/>
        <v>0</v>
      </c>
      <c r="SH31" s="193">
        <f t="shared" si="260"/>
        <v>0</v>
      </c>
      <c r="SI31" s="193">
        <f t="shared" si="260"/>
        <v>0</v>
      </c>
      <c r="SJ31" s="193">
        <f t="shared" si="260"/>
        <v>0</v>
      </c>
      <c r="SK31" s="193">
        <f t="shared" si="260"/>
        <v>0</v>
      </c>
      <c r="SL31" s="193">
        <f t="shared" si="260"/>
        <v>0</v>
      </c>
      <c r="SM31" s="193">
        <f t="shared" si="260"/>
        <v>0</v>
      </c>
      <c r="SN31" s="193">
        <f t="shared" si="260"/>
        <v>0</v>
      </c>
      <c r="SO31" s="193">
        <f t="shared" si="260"/>
        <v>0</v>
      </c>
      <c r="SP31" s="193">
        <f t="shared" si="260"/>
        <v>0</v>
      </c>
      <c r="SQ31" s="193"/>
      <c r="SR31" s="193"/>
      <c r="SS31" s="195"/>
    </row>
    <row r="32" spans="1:513" s="171" customFormat="1" ht="21" customHeight="1">
      <c r="A32" s="168" t="s">
        <v>184</v>
      </c>
      <c r="B32" s="168" t="s">
        <v>110</v>
      </c>
      <c r="C32" s="168"/>
      <c r="D32" s="168"/>
      <c r="E32" s="168" t="s">
        <v>491</v>
      </c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>
        <v>11</v>
      </c>
      <c r="X32" s="168"/>
      <c r="Y32" s="168">
        <v>14</v>
      </c>
      <c r="Z32" s="168"/>
      <c r="AA32" s="168">
        <v>21</v>
      </c>
      <c r="AB32" s="168"/>
      <c r="AC32" s="168">
        <v>7</v>
      </c>
      <c r="AD32" s="168"/>
      <c r="AE32" s="168">
        <v>3</v>
      </c>
      <c r="AF32" s="168">
        <f>AD32+AB32+Z32+X32+V32</f>
        <v>0</v>
      </c>
      <c r="AG32" s="168">
        <f>AE32+AC32+AA32+Y32+W32</f>
        <v>56</v>
      </c>
      <c r="AH32" s="168">
        <f>AG32+AF32</f>
        <v>56</v>
      </c>
      <c r="AI32" s="168"/>
      <c r="AJ32" s="168">
        <v>11</v>
      </c>
      <c r="AK32" s="168"/>
      <c r="AL32" s="168">
        <v>14</v>
      </c>
      <c r="AM32" s="168"/>
      <c r="AN32" s="168">
        <v>21</v>
      </c>
      <c r="AO32" s="168"/>
      <c r="AP32" s="168">
        <v>7</v>
      </c>
      <c r="AQ32" s="168"/>
      <c r="AR32" s="168">
        <v>3</v>
      </c>
      <c r="AS32" s="168">
        <f>AQ32+AO32+AM32+AK32+AI32</f>
        <v>0</v>
      </c>
      <c r="AT32" s="168">
        <f>AR32+AP32+AN32+AL32+AJ32</f>
        <v>56</v>
      </c>
      <c r="AU32" s="168">
        <f>AT32+AS32</f>
        <v>56</v>
      </c>
      <c r="AV32" s="168"/>
      <c r="AW32" s="168">
        <v>6</v>
      </c>
      <c r="AX32" s="168"/>
      <c r="AY32" s="168">
        <v>8</v>
      </c>
      <c r="AZ32" s="168"/>
      <c r="BA32" s="168">
        <v>8</v>
      </c>
      <c r="BB32" s="168"/>
      <c r="BC32" s="168">
        <v>9</v>
      </c>
      <c r="BD32" s="168"/>
      <c r="BE32" s="168">
        <v>17</v>
      </c>
      <c r="BF32" s="168">
        <f>BD32+BB32+AZ32+AX32+AV32</f>
        <v>0</v>
      </c>
      <c r="BG32" s="168">
        <f>BE32+BC32+BA32+AY32+AW32</f>
        <v>48</v>
      </c>
      <c r="BH32" s="168">
        <f>BG32+BF32</f>
        <v>48</v>
      </c>
      <c r="BI32" s="168"/>
      <c r="BJ32" s="168">
        <v>5</v>
      </c>
      <c r="BK32" s="168"/>
      <c r="BL32" s="168">
        <v>6</v>
      </c>
      <c r="BM32" s="168"/>
      <c r="BN32" s="168">
        <v>3</v>
      </c>
      <c r="BO32" s="168"/>
      <c r="BP32" s="168">
        <v>3</v>
      </c>
      <c r="BQ32" s="168"/>
      <c r="BR32" s="168">
        <v>4</v>
      </c>
      <c r="BS32" s="168">
        <f>BQ32+BO32+BM32+BK32+BI32</f>
        <v>0</v>
      </c>
      <c r="BT32" s="168">
        <f>BR32+BP32+BN32+BL32+BJ32</f>
        <v>21</v>
      </c>
      <c r="BU32" s="168">
        <f>BT32+BS32</f>
        <v>21</v>
      </c>
      <c r="BV32" s="168">
        <f>AI32</f>
        <v>0</v>
      </c>
      <c r="BW32" s="168">
        <f>AJ32</f>
        <v>11</v>
      </c>
      <c r="BX32" s="168">
        <f>AV32+AK32</f>
        <v>0</v>
      </c>
      <c r="BY32" s="168">
        <f>AL32+AW32</f>
        <v>20</v>
      </c>
      <c r="BZ32" s="168">
        <f>BI32+AX32+AM32</f>
        <v>0</v>
      </c>
      <c r="CA32" s="168">
        <f>AN32+AY32+BJ32</f>
        <v>34</v>
      </c>
      <c r="CB32" s="168">
        <f>BK32+AZ32+AO32</f>
        <v>0</v>
      </c>
      <c r="CC32" s="168">
        <f>AP32+BA32+BL32</f>
        <v>21</v>
      </c>
      <c r="CD32" s="168">
        <f>BM32+BB32+AQ32</f>
        <v>0</v>
      </c>
      <c r="CE32" s="168">
        <f>BN32+BC32+AR32</f>
        <v>15</v>
      </c>
      <c r="CF32" s="168">
        <f>BO32+BD32</f>
        <v>0</v>
      </c>
      <c r="CG32" s="168">
        <f>BP32+BE32</f>
        <v>20</v>
      </c>
      <c r="CH32" s="168">
        <f>BQ32</f>
        <v>0</v>
      </c>
      <c r="CI32" s="168">
        <f>BR32</f>
        <v>4</v>
      </c>
      <c r="CJ32" s="168">
        <f>BV32+BX32+BZ32+CB32+CD32+CF32+CH32</f>
        <v>0</v>
      </c>
      <c r="CK32" s="168">
        <f>BW32+BY32+CA32+CC32+CE32+CG32+CI32</f>
        <v>125</v>
      </c>
      <c r="CL32" s="168">
        <f>SUM(CJ32:CK32)</f>
        <v>125</v>
      </c>
      <c r="CM32" s="168"/>
      <c r="CN32" s="168">
        <v>1</v>
      </c>
      <c r="CO32" s="168"/>
      <c r="CP32" s="168"/>
      <c r="CQ32" s="168">
        <v>1</v>
      </c>
      <c r="CR32" s="168"/>
      <c r="CS32" s="168"/>
      <c r="CT32" s="168">
        <v>1</v>
      </c>
      <c r="CU32" s="168"/>
      <c r="CV32" s="168">
        <f t="shared" ref="CV32:CX33" si="261">CS32+CP32+CM32</f>
        <v>0</v>
      </c>
      <c r="CW32" s="168">
        <f t="shared" si="261"/>
        <v>3</v>
      </c>
      <c r="CX32" s="168">
        <f t="shared" si="261"/>
        <v>0</v>
      </c>
      <c r="CY32" s="168">
        <f>CX32+CW32+CV32</f>
        <v>3</v>
      </c>
      <c r="CZ32" s="168"/>
      <c r="DA32" s="168">
        <v>2</v>
      </c>
      <c r="DB32" s="168"/>
      <c r="DC32" s="168">
        <v>1</v>
      </c>
      <c r="DD32" s="168"/>
      <c r="DE32" s="168"/>
      <c r="DF32" s="168">
        <f>DD32+DB32+CZ32</f>
        <v>0</v>
      </c>
      <c r="DG32" s="168">
        <f>DE32+DC32+DA32</f>
        <v>3</v>
      </c>
      <c r="DH32" s="168">
        <f>DG32+DF32</f>
        <v>3</v>
      </c>
      <c r="DI32" s="168"/>
      <c r="DJ32" s="168"/>
      <c r="DK32" s="168"/>
      <c r="DL32" s="168"/>
      <c r="DM32" s="168"/>
      <c r="DN32" s="168"/>
      <c r="DO32" s="168">
        <f>DM32+DK32+DI32</f>
        <v>0</v>
      </c>
      <c r="DP32" s="168">
        <f>DN32+DL32+DJ32</f>
        <v>0</v>
      </c>
      <c r="DQ32" s="168">
        <f>DP32+DO32</f>
        <v>0</v>
      </c>
      <c r="DR32" s="168"/>
      <c r="DS32" s="168">
        <v>42</v>
      </c>
      <c r="DT32" s="168"/>
      <c r="DU32" s="168">
        <v>20</v>
      </c>
      <c r="DV32" s="168"/>
      <c r="DW32" s="168">
        <v>16</v>
      </c>
      <c r="DX32" s="168">
        <f>DV32+DT32+DR32</f>
        <v>0</v>
      </c>
      <c r="DY32" s="168">
        <f>DW32+DU32+DS32</f>
        <v>78</v>
      </c>
      <c r="DZ32" s="168">
        <f>DY32+DX32</f>
        <v>78</v>
      </c>
      <c r="EA32" s="168"/>
      <c r="EB32" s="168">
        <v>2</v>
      </c>
      <c r="EC32" s="168"/>
      <c r="ED32" s="168">
        <v>1</v>
      </c>
      <c r="EE32" s="168"/>
      <c r="EF32" s="168"/>
      <c r="EG32" s="168">
        <f>EE32+EC32+EA32</f>
        <v>0</v>
      </c>
      <c r="EH32" s="168">
        <f>EF32+ED32+EB32</f>
        <v>3</v>
      </c>
      <c r="EI32" s="168">
        <f>EH32+EG32</f>
        <v>3</v>
      </c>
      <c r="EJ32" s="168"/>
      <c r="EK32" s="168">
        <v>2</v>
      </c>
      <c r="EL32" s="168"/>
      <c r="EM32" s="168"/>
      <c r="EN32" s="168"/>
      <c r="EO32" s="168"/>
      <c r="EP32" s="168">
        <f>EN32+EL32+EJ32</f>
        <v>0</v>
      </c>
      <c r="EQ32" s="168">
        <f>EO32+EM32+EK32</f>
        <v>2</v>
      </c>
      <c r="ER32" s="168">
        <f>EQ32+EP32</f>
        <v>2</v>
      </c>
      <c r="ES32" s="168"/>
      <c r="ET32" s="168"/>
      <c r="EU32" s="168"/>
      <c r="EV32" s="168"/>
      <c r="EW32" s="168"/>
      <c r="EX32" s="168">
        <v>1</v>
      </c>
      <c r="EY32" s="168">
        <f>EW32+EU32+ES32</f>
        <v>0</v>
      </c>
      <c r="EZ32" s="168">
        <f>EX32+EV32+ET32</f>
        <v>1</v>
      </c>
      <c r="FA32" s="168">
        <f>EZ32+EY32</f>
        <v>1</v>
      </c>
      <c r="FB32" s="168"/>
      <c r="FC32" s="168"/>
      <c r="FD32" s="168"/>
      <c r="FE32" s="168"/>
      <c r="FF32" s="168"/>
      <c r="FG32" s="168"/>
      <c r="FH32" s="168"/>
      <c r="FI32" s="168"/>
      <c r="FJ32" s="168"/>
      <c r="FK32" s="168"/>
      <c r="FL32" s="168">
        <f>FJ32+FH32+FF32+FD32+FB32</f>
        <v>0</v>
      </c>
      <c r="FM32" s="168">
        <f>FK32+FI32+FG32+FE32+FC32</f>
        <v>0</v>
      </c>
      <c r="FN32" s="168">
        <f>FM32+FL32</f>
        <v>0</v>
      </c>
      <c r="FO32" s="168"/>
      <c r="FP32" s="168"/>
      <c r="FQ32" s="168"/>
      <c r="FR32" s="168"/>
      <c r="FS32" s="168"/>
      <c r="FT32" s="168"/>
      <c r="FU32" s="168"/>
      <c r="FV32" s="168"/>
      <c r="FW32" s="168"/>
      <c r="FX32" s="168"/>
      <c r="FY32" s="168"/>
      <c r="FZ32" s="168"/>
      <c r="GA32" s="168"/>
      <c r="GB32" s="168"/>
      <c r="GC32" s="168"/>
      <c r="GD32" s="168"/>
      <c r="GE32" s="168"/>
      <c r="GF32" s="168"/>
      <c r="GG32" s="168">
        <f>GE32+GA32+FY32+FW32+FU32+FS32+FO32</f>
        <v>0</v>
      </c>
      <c r="GH32" s="168">
        <f>GF32+GB32+FZ32+FX32+FV32+FT32+FP32</f>
        <v>0</v>
      </c>
      <c r="GI32" s="168">
        <f>GH32+GG32</f>
        <v>0</v>
      </c>
      <c r="GJ32" s="168"/>
      <c r="GK32" s="168"/>
      <c r="GL32" s="168"/>
      <c r="GM32" s="168"/>
      <c r="GN32" s="168"/>
      <c r="GO32" s="168"/>
      <c r="GP32" s="168"/>
      <c r="GQ32" s="168"/>
      <c r="GR32" s="168"/>
      <c r="GS32" s="168"/>
      <c r="GT32" s="168"/>
      <c r="GU32" s="168"/>
      <c r="GV32" s="168"/>
      <c r="GW32" s="168"/>
      <c r="GX32" s="168"/>
      <c r="GY32" s="168"/>
      <c r="GZ32" s="168"/>
      <c r="HA32" s="168"/>
      <c r="HB32" s="168"/>
      <c r="HC32" s="168"/>
      <c r="HD32" s="168"/>
      <c r="HE32" s="168"/>
      <c r="HF32" s="168"/>
      <c r="HG32" s="168"/>
      <c r="HH32" s="168"/>
      <c r="HI32" s="168"/>
      <c r="HJ32" s="168"/>
      <c r="HK32" s="168"/>
      <c r="HL32" s="168"/>
      <c r="HM32" s="168"/>
      <c r="HN32" s="168"/>
      <c r="HO32" s="168"/>
      <c r="HP32" s="168"/>
      <c r="HQ32" s="168"/>
      <c r="HR32" s="168"/>
      <c r="HS32" s="168"/>
      <c r="HT32" s="168"/>
      <c r="HU32" s="168"/>
      <c r="HV32" s="168"/>
      <c r="HW32" s="168"/>
      <c r="HX32" s="168"/>
      <c r="HY32" s="168"/>
      <c r="HZ32" s="168"/>
      <c r="IA32" s="168"/>
      <c r="IB32" s="168"/>
      <c r="IC32" s="168"/>
      <c r="ID32" s="168"/>
      <c r="IE32" s="168"/>
      <c r="IF32" s="168"/>
      <c r="IG32" s="168"/>
      <c r="IH32" s="168"/>
      <c r="II32" s="168"/>
      <c r="IJ32" s="168"/>
      <c r="IK32" s="168"/>
      <c r="IL32" s="168"/>
      <c r="IM32" s="168"/>
      <c r="IN32" s="168"/>
      <c r="IO32" s="168"/>
      <c r="IP32" s="168"/>
      <c r="IQ32" s="168"/>
      <c r="IR32" s="168"/>
      <c r="IS32" s="168"/>
      <c r="IT32" s="168"/>
      <c r="IU32" s="168"/>
      <c r="IV32" s="168"/>
      <c r="IW32" s="168"/>
      <c r="IX32" s="168"/>
      <c r="IY32" s="168"/>
      <c r="IZ32" s="168"/>
      <c r="JA32" s="168"/>
      <c r="JB32" s="168"/>
      <c r="JC32" s="168"/>
      <c r="JD32" s="168"/>
      <c r="JE32" s="168"/>
      <c r="JF32" s="168"/>
      <c r="JG32" s="168"/>
      <c r="JH32" s="168"/>
      <c r="JI32" s="168"/>
      <c r="JJ32" s="168"/>
      <c r="JK32" s="168"/>
      <c r="JL32" s="168"/>
      <c r="JM32" s="168"/>
      <c r="JN32" s="168"/>
      <c r="JO32" s="168"/>
      <c r="JP32" s="168"/>
      <c r="JQ32" s="168"/>
      <c r="JR32" s="168"/>
      <c r="JS32" s="168"/>
      <c r="JT32" s="168"/>
      <c r="JU32" s="168"/>
      <c r="JV32" s="168"/>
      <c r="JW32" s="168"/>
      <c r="JX32" s="168"/>
      <c r="JY32" s="168"/>
      <c r="JZ32" s="168"/>
      <c r="KA32" s="168"/>
      <c r="KB32" s="168"/>
      <c r="KC32" s="168"/>
      <c r="KD32" s="168"/>
      <c r="KE32" s="168"/>
      <c r="KF32" s="168"/>
      <c r="KG32" s="168"/>
      <c r="KH32" s="168"/>
      <c r="KI32" s="168"/>
      <c r="KJ32" s="168"/>
      <c r="KK32" s="168"/>
      <c r="KL32" s="168"/>
      <c r="KM32" s="168"/>
      <c r="KN32" s="168"/>
      <c r="KO32" s="168"/>
      <c r="KP32" s="168"/>
      <c r="KQ32" s="168"/>
      <c r="KR32" s="168"/>
      <c r="KS32" s="168"/>
      <c r="KT32" s="168"/>
      <c r="KU32" s="168"/>
      <c r="KV32" s="168">
        <f>KT32+KN32+KJ32+KH32+KF32+KD32+KB32+JZ32+JX32+JV32+JT32+JR32+JP32+JN32+JL32+JJ32+JH32+JF32+JD32+JB32+IZ32+IX32+IV32+IT32+IR32+IP32+IN32+IL32+IJ32+IH32+IF32+ID32+IB32+HZ32+HX32+HV32+HT32+HR32+HP32+HN32+HL32+HJ32+HH32+HF32+HD32+HB32+GZ32+GX32+GV32+GT32+GR32+GP32+GN32+GL32+GJ32</f>
        <v>0</v>
      </c>
      <c r="KW32" s="168">
        <f>KU32+KO32+KK32+KI32+KG32+KE32+KC32+KA32+JY32+JW32+JU32+JS32+JQ32+JO32+JM32+JK32+JI32+JG32+JE32+JC32+JA32+IY32+IW32+IU32+IS32+IQ32+IO32+IM32+IK32+II32+IG32+IE32+IC32+IA32+HY32+HW32+HU32+HS32+HQ32+HO32+HM32+HK32+HI32+HG32+HE32+HC32+HA32+GY32+GW32+GU32+GS32+GQ32+GO32+GM32+GK32</f>
        <v>0</v>
      </c>
      <c r="KX32" s="168">
        <f>KW32+KV32</f>
        <v>0</v>
      </c>
      <c r="KY32" s="168"/>
      <c r="KZ32" s="168"/>
      <c r="LA32" s="168"/>
      <c r="LB32" s="168"/>
      <c r="LC32" s="168"/>
      <c r="LD32" s="168"/>
      <c r="LE32" s="168"/>
      <c r="LF32" s="168"/>
      <c r="LG32" s="168"/>
      <c r="LH32" s="168"/>
      <c r="LI32" s="168"/>
      <c r="LJ32" s="168"/>
      <c r="LK32" s="168"/>
      <c r="LL32" s="168"/>
      <c r="LM32" s="168"/>
      <c r="LN32" s="168"/>
      <c r="LO32" s="168"/>
      <c r="LP32" s="168"/>
      <c r="LQ32" s="168">
        <f t="shared" ref="LQ32:LQ33" si="262">LA32+LC32+KY32+LE32+LG32+LI32+LK32+LM32+LO32</f>
        <v>0</v>
      </c>
      <c r="LR32" s="168">
        <f t="shared" ref="LR32:LR33" si="263">LB32+LD32+KZ32+LF32+LH32+LJ32+LL32+LN32+LP32</f>
        <v>0</v>
      </c>
      <c r="LS32" s="168">
        <f t="shared" ref="LS32:LS33" si="264">LR32+LQ32</f>
        <v>0</v>
      </c>
      <c r="LT32" s="168"/>
      <c r="LU32" s="168"/>
      <c r="LV32" s="168"/>
      <c r="LW32" s="168"/>
      <c r="LX32" s="168"/>
      <c r="LY32" s="168"/>
      <c r="LZ32" s="168"/>
      <c r="MA32" s="168"/>
      <c r="MB32" s="168"/>
      <c r="MC32" s="168"/>
      <c r="MD32" s="168"/>
      <c r="ME32" s="168"/>
      <c r="MF32" s="168"/>
      <c r="MG32" s="168"/>
      <c r="MH32" s="168"/>
      <c r="MI32" s="168"/>
      <c r="MJ32" s="168"/>
      <c r="MK32" s="168"/>
      <c r="ML32" s="168"/>
      <c r="MM32" s="168"/>
      <c r="MN32" s="168"/>
      <c r="MO32" s="168"/>
      <c r="MP32" s="168"/>
      <c r="MQ32" s="168"/>
      <c r="MR32" s="168"/>
      <c r="MS32" s="168"/>
      <c r="MT32" s="168"/>
      <c r="MU32" s="168"/>
      <c r="MV32" s="168"/>
      <c r="MW32" s="168"/>
      <c r="MX32" s="168"/>
      <c r="MY32" s="168"/>
      <c r="MZ32" s="168"/>
      <c r="NA32" s="168"/>
      <c r="NB32" s="168"/>
      <c r="NC32" s="168"/>
      <c r="ND32" s="168"/>
      <c r="NE32" s="168"/>
      <c r="NF32" s="168"/>
      <c r="NG32" s="168"/>
      <c r="NH32" s="168"/>
      <c r="NI32" s="168"/>
      <c r="NJ32" s="168"/>
      <c r="NK32" s="168"/>
      <c r="NL32" s="168"/>
      <c r="NM32" s="168"/>
      <c r="NN32" s="168"/>
      <c r="NO32" s="168"/>
      <c r="NP32" s="168"/>
      <c r="NQ32" s="168"/>
      <c r="NR32" s="168"/>
      <c r="NS32" s="168"/>
      <c r="NT32" s="168"/>
      <c r="NU32" s="168"/>
      <c r="NV32" s="168"/>
      <c r="NW32" s="168">
        <f>NU32+NS32+NQ32+NO32+NM32+NK32+NG32+NI32+NE32</f>
        <v>0</v>
      </c>
      <c r="NX32" s="168">
        <f>NV32+NT32+NR32+NP32+NN32+NL32+NH32+NJ32+NF32</f>
        <v>0</v>
      </c>
      <c r="NY32" s="168">
        <f>NX32+NW32</f>
        <v>0</v>
      </c>
      <c r="NZ32" s="168"/>
      <c r="OA32" s="168"/>
      <c r="OB32" s="168"/>
      <c r="OC32" s="168"/>
      <c r="OD32" s="168"/>
      <c r="OE32" s="168"/>
      <c r="OF32" s="168">
        <f>OD32+OB32+NZ32</f>
        <v>0</v>
      </c>
      <c r="OG32" s="168">
        <f>OE32+OC32+OA32</f>
        <v>0</v>
      </c>
      <c r="OH32" s="168">
        <f>OG32+OF32</f>
        <v>0</v>
      </c>
      <c r="OI32" s="168"/>
      <c r="OJ32" s="168"/>
      <c r="OK32" s="168"/>
      <c r="OL32" s="168"/>
      <c r="OM32" s="168"/>
      <c r="ON32" s="168"/>
      <c r="OO32" s="168"/>
      <c r="OP32" s="168"/>
      <c r="OQ32" s="168"/>
      <c r="OR32" s="168"/>
      <c r="OS32" s="168"/>
      <c r="OT32" s="168"/>
      <c r="OU32" s="169"/>
      <c r="OV32" s="169"/>
      <c r="OW32" s="169"/>
      <c r="OX32" s="169"/>
      <c r="OY32" s="169"/>
      <c r="OZ32" s="169"/>
      <c r="PA32" s="169"/>
      <c r="PB32" s="169"/>
      <c r="PC32" s="169"/>
      <c r="PD32" s="169"/>
      <c r="PE32" s="169"/>
      <c r="PF32" s="169"/>
      <c r="PG32" s="169"/>
      <c r="PH32" s="169"/>
      <c r="PI32" s="169"/>
      <c r="PJ32" s="169"/>
      <c r="PK32" s="169"/>
      <c r="PL32" s="169"/>
      <c r="PM32" s="169"/>
      <c r="PN32" s="169"/>
      <c r="PO32" s="169">
        <f>PN32+PM32</f>
        <v>0</v>
      </c>
      <c r="PP32" s="169"/>
      <c r="PQ32" s="169"/>
      <c r="PR32" s="169"/>
      <c r="PS32" s="169"/>
      <c r="PT32" s="169"/>
      <c r="PU32" s="169"/>
      <c r="PV32" s="169"/>
      <c r="PW32" s="169"/>
      <c r="PX32" s="169"/>
      <c r="PY32" s="169"/>
      <c r="PZ32" s="169"/>
      <c r="QA32" s="169"/>
      <c r="QB32" s="169"/>
      <c r="QC32" s="169"/>
      <c r="QD32" s="169"/>
      <c r="QE32" s="169"/>
      <c r="QF32" s="169"/>
      <c r="QG32" s="169"/>
      <c r="QH32" s="169"/>
      <c r="QI32" s="169"/>
      <c r="QJ32" s="169"/>
      <c r="QK32" s="169"/>
      <c r="QL32" s="169"/>
      <c r="QM32" s="169"/>
      <c r="QN32" s="169"/>
      <c r="QO32" s="169"/>
      <c r="QP32" s="169"/>
      <c r="QQ32" s="169"/>
      <c r="QR32" s="169"/>
      <c r="QS32" s="169"/>
      <c r="QT32" s="169"/>
      <c r="QU32" s="169"/>
      <c r="QV32" s="169"/>
      <c r="QW32" s="169"/>
      <c r="QX32" s="169"/>
      <c r="QY32" s="169"/>
      <c r="QZ32" s="169"/>
      <c r="RA32" s="169"/>
      <c r="RB32" s="169"/>
      <c r="RC32" s="169"/>
      <c r="RD32" s="169"/>
      <c r="RE32" s="169"/>
      <c r="RF32" s="169"/>
      <c r="RG32" s="169"/>
      <c r="RH32" s="169"/>
      <c r="RI32" s="169"/>
      <c r="RJ32" s="169"/>
      <c r="RK32" s="169"/>
      <c r="RL32" s="169"/>
      <c r="RM32" s="169"/>
      <c r="RN32" s="169"/>
      <c r="RO32" s="168"/>
      <c r="RP32" s="168"/>
      <c r="RQ32" s="168"/>
      <c r="RR32" s="168"/>
      <c r="RS32" s="168"/>
      <c r="RT32" s="168"/>
      <c r="RU32" s="170"/>
      <c r="RV32" s="170"/>
      <c r="RW32" s="170"/>
      <c r="RX32" s="170"/>
      <c r="RY32" s="170"/>
      <c r="RZ32" s="170"/>
      <c r="SA32" s="169"/>
      <c r="SB32" s="169"/>
      <c r="SC32" s="169"/>
      <c r="SD32" s="169"/>
      <c r="SE32" s="169"/>
      <c r="SF32" s="169"/>
      <c r="SG32" s="169"/>
      <c r="SH32" s="169"/>
      <c r="SI32" s="169"/>
      <c r="SJ32" s="169"/>
      <c r="SK32" s="169"/>
      <c r="SL32" s="169"/>
      <c r="SM32" s="169"/>
      <c r="SN32" s="169">
        <f>SM32+SL32</f>
        <v>0</v>
      </c>
      <c r="SO32" s="169"/>
      <c r="SP32" s="169"/>
      <c r="SQ32" s="169"/>
      <c r="SR32" s="169"/>
      <c r="SS32" s="175"/>
    </row>
    <row r="33" spans="1:513" s="171" customFormat="1" ht="21" customHeight="1">
      <c r="A33" s="168" t="s">
        <v>184</v>
      </c>
      <c r="B33" s="168" t="s">
        <v>110</v>
      </c>
      <c r="C33" s="168"/>
      <c r="D33" s="168"/>
      <c r="E33" s="168" t="s">
        <v>497</v>
      </c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>
        <v>24</v>
      </c>
      <c r="X33" s="168"/>
      <c r="Y33" s="168">
        <v>34</v>
      </c>
      <c r="Z33" s="168"/>
      <c r="AA33" s="168">
        <v>20</v>
      </c>
      <c r="AB33" s="168"/>
      <c r="AC33" s="168">
        <v>14</v>
      </c>
      <c r="AD33" s="168"/>
      <c r="AE33" s="168">
        <v>19</v>
      </c>
      <c r="AF33" s="168">
        <f>AD33+AB33+Z33+X33+V33</f>
        <v>0</v>
      </c>
      <c r="AG33" s="168">
        <f>AE33+AC33+AA33+Y33+W33</f>
        <v>111</v>
      </c>
      <c r="AH33" s="168">
        <f>AG33+AF33</f>
        <v>111</v>
      </c>
      <c r="AI33" s="168"/>
      <c r="AJ33" s="168">
        <v>24</v>
      </c>
      <c r="AK33" s="168"/>
      <c r="AL33" s="168">
        <v>34</v>
      </c>
      <c r="AM33" s="168"/>
      <c r="AN33" s="168">
        <v>20</v>
      </c>
      <c r="AO33" s="168"/>
      <c r="AP33" s="168">
        <v>14</v>
      </c>
      <c r="AQ33" s="168"/>
      <c r="AR33" s="168">
        <v>19</v>
      </c>
      <c r="AS33" s="168">
        <f>AQ33+AO33+AM33+AK33+AI33</f>
        <v>0</v>
      </c>
      <c r="AT33" s="168">
        <f>AR33+AP33+AN33+AL33+AJ33</f>
        <v>111</v>
      </c>
      <c r="AU33" s="168">
        <f>AT33+AS33</f>
        <v>111</v>
      </c>
      <c r="AV33" s="168"/>
      <c r="AW33" s="168">
        <v>12</v>
      </c>
      <c r="AX33" s="168"/>
      <c r="AY33" s="168">
        <v>9</v>
      </c>
      <c r="AZ33" s="168"/>
      <c r="BA33" s="168">
        <v>6</v>
      </c>
      <c r="BB33" s="168"/>
      <c r="BC33" s="168">
        <v>10</v>
      </c>
      <c r="BD33" s="168"/>
      <c r="BE33" s="168">
        <v>17</v>
      </c>
      <c r="BF33" s="168">
        <f>BD33+BB33+AZ33+AX33+AV33</f>
        <v>0</v>
      </c>
      <c r="BG33" s="168">
        <f>BE33+BC33+BA33+AY33+AW33</f>
        <v>54</v>
      </c>
      <c r="BH33" s="168">
        <f>BG33+BF33</f>
        <v>54</v>
      </c>
      <c r="BI33" s="168"/>
      <c r="BJ33" s="168">
        <v>13</v>
      </c>
      <c r="BK33" s="168"/>
      <c r="BL33" s="168">
        <v>15</v>
      </c>
      <c r="BM33" s="168"/>
      <c r="BN33" s="168">
        <v>15</v>
      </c>
      <c r="BO33" s="168"/>
      <c r="BP33" s="168">
        <v>13</v>
      </c>
      <c r="BQ33" s="168"/>
      <c r="BR33" s="168"/>
      <c r="BS33" s="168">
        <f>BQ33+BO33+BM33+BK33+BI33</f>
        <v>0</v>
      </c>
      <c r="BT33" s="168">
        <f>BR33+BP33+BN33+BL33+BJ33</f>
        <v>56</v>
      </c>
      <c r="BU33" s="168">
        <f>BT33+BS33</f>
        <v>56</v>
      </c>
      <c r="BV33" s="168">
        <f>AI33</f>
        <v>0</v>
      </c>
      <c r="BW33" s="168">
        <f>AJ33</f>
        <v>24</v>
      </c>
      <c r="BX33" s="168">
        <f>AV33+AK33</f>
        <v>0</v>
      </c>
      <c r="BY33" s="168">
        <f>AL33+AW33</f>
        <v>46</v>
      </c>
      <c r="BZ33" s="168">
        <f>BI33+AX33+AM33</f>
        <v>0</v>
      </c>
      <c r="CA33" s="168">
        <f>AN33+AY33+BJ33</f>
        <v>42</v>
      </c>
      <c r="CB33" s="168">
        <f>BK33+AZ33+AO33</f>
        <v>0</v>
      </c>
      <c r="CC33" s="168">
        <f>AP33+BA33+BL33</f>
        <v>35</v>
      </c>
      <c r="CD33" s="168">
        <f>BM33+BB33+AQ33</f>
        <v>0</v>
      </c>
      <c r="CE33" s="168">
        <f>BN33+BC33+AR33</f>
        <v>44</v>
      </c>
      <c r="CF33" s="168">
        <f>BO33+BD33</f>
        <v>0</v>
      </c>
      <c r="CG33" s="168">
        <f>BP33+BE33</f>
        <v>30</v>
      </c>
      <c r="CH33" s="168">
        <f>BQ33</f>
        <v>0</v>
      </c>
      <c r="CI33" s="168">
        <f>BR33</f>
        <v>0</v>
      </c>
      <c r="CJ33" s="168">
        <f>BV33+BX33+BZ33+CB33+CD33+CF33+CH33</f>
        <v>0</v>
      </c>
      <c r="CK33" s="168">
        <f>BW33+BY33+CA33+CC33+CE33+CG33+CI33</f>
        <v>221</v>
      </c>
      <c r="CL33" s="168">
        <f>SUM(CJ33:CK33)</f>
        <v>221</v>
      </c>
      <c r="CM33" s="168"/>
      <c r="CN33" s="168">
        <v>3</v>
      </c>
      <c r="CO33" s="168"/>
      <c r="CP33" s="168"/>
      <c r="CQ33" s="168">
        <v>2</v>
      </c>
      <c r="CR33" s="168"/>
      <c r="CS33" s="168"/>
      <c r="CT33" s="168">
        <v>2</v>
      </c>
      <c r="CU33" s="168"/>
      <c r="CV33" s="168">
        <f t="shared" si="261"/>
        <v>0</v>
      </c>
      <c r="CW33" s="168">
        <f t="shared" si="261"/>
        <v>7</v>
      </c>
      <c r="CX33" s="168">
        <f t="shared" si="261"/>
        <v>0</v>
      </c>
      <c r="CY33" s="168">
        <f>CX33+CW33+CV33</f>
        <v>7</v>
      </c>
      <c r="CZ33" s="168"/>
      <c r="DA33" s="168">
        <v>1</v>
      </c>
      <c r="DB33" s="168"/>
      <c r="DC33" s="168">
        <v>4</v>
      </c>
      <c r="DD33" s="168"/>
      <c r="DE33" s="168"/>
      <c r="DF33" s="168">
        <f>DD33+DB33+CZ33</f>
        <v>0</v>
      </c>
      <c r="DG33" s="168">
        <f>DE33+DC33+DA33</f>
        <v>5</v>
      </c>
      <c r="DH33" s="168">
        <f>DG33+DF33</f>
        <v>5</v>
      </c>
      <c r="DI33" s="168"/>
      <c r="DJ33" s="168"/>
      <c r="DK33" s="168"/>
      <c r="DL33" s="168"/>
      <c r="DM33" s="168"/>
      <c r="DN33" s="168"/>
      <c r="DO33" s="168"/>
      <c r="DP33" s="168"/>
      <c r="DQ33" s="168"/>
      <c r="DR33" s="168"/>
      <c r="DS33" s="168">
        <v>42</v>
      </c>
      <c r="DT33" s="168"/>
      <c r="DU33" s="168">
        <v>46</v>
      </c>
      <c r="DV33" s="168"/>
      <c r="DW33" s="168">
        <v>44</v>
      </c>
      <c r="DX33" s="168">
        <f>DV33+DT33+DR33</f>
        <v>0</v>
      </c>
      <c r="DY33" s="168">
        <f>DW33+DU33+DS33</f>
        <v>132</v>
      </c>
      <c r="DZ33" s="168">
        <f>DY33+DX33</f>
        <v>132</v>
      </c>
      <c r="EA33" s="168"/>
      <c r="EB33" s="168">
        <v>2</v>
      </c>
      <c r="EC33" s="168"/>
      <c r="ED33" s="168">
        <v>4</v>
      </c>
      <c r="EE33" s="168"/>
      <c r="EF33" s="168">
        <v>4</v>
      </c>
      <c r="EG33" s="168">
        <f>EE33+EC33+EA33</f>
        <v>0</v>
      </c>
      <c r="EH33" s="168">
        <f>EF33+ED33+EB33</f>
        <v>10</v>
      </c>
      <c r="EI33" s="168">
        <f>EH33+EG33</f>
        <v>10</v>
      </c>
      <c r="EJ33" s="168"/>
      <c r="EK33" s="168">
        <v>3</v>
      </c>
      <c r="EL33" s="168"/>
      <c r="EM33" s="168">
        <v>2</v>
      </c>
      <c r="EN33" s="168"/>
      <c r="EO33" s="168"/>
      <c r="EP33" s="168">
        <f>EN33+EL33+EJ33</f>
        <v>0</v>
      </c>
      <c r="EQ33" s="168">
        <f>EO33+EM33+EK33</f>
        <v>5</v>
      </c>
      <c r="ER33" s="168">
        <f>EQ33+EP33</f>
        <v>5</v>
      </c>
      <c r="ES33" s="168"/>
      <c r="ET33" s="168"/>
      <c r="EU33" s="168"/>
      <c r="EV33" s="168"/>
      <c r="EW33" s="168"/>
      <c r="EX33" s="168"/>
      <c r="EY33" s="168">
        <f>EW33+EU33+ES33</f>
        <v>0</v>
      </c>
      <c r="EZ33" s="168">
        <f>EX33+EV33+ET33</f>
        <v>0</v>
      </c>
      <c r="FA33" s="168">
        <f>EZ33+EY33</f>
        <v>0</v>
      </c>
      <c r="FB33" s="168"/>
      <c r="FC33" s="168"/>
      <c r="FD33" s="168"/>
      <c r="FE33" s="168"/>
      <c r="FF33" s="168"/>
      <c r="FG33" s="168"/>
      <c r="FH33" s="168"/>
      <c r="FI33" s="168"/>
      <c r="FJ33" s="168"/>
      <c r="FK33" s="168"/>
      <c r="FL33" s="168">
        <f>FJ33+FH33+FF33+FD33+FB33</f>
        <v>0</v>
      </c>
      <c r="FM33" s="168">
        <f>FK33+FI33+FG33+FE33+FC33</f>
        <v>0</v>
      </c>
      <c r="FN33" s="168">
        <f>FM33+FL33</f>
        <v>0</v>
      </c>
      <c r="FO33" s="168"/>
      <c r="FP33" s="168"/>
      <c r="FQ33" s="168"/>
      <c r="FR33" s="168"/>
      <c r="FS33" s="168"/>
      <c r="FT33" s="168"/>
      <c r="FU33" s="168"/>
      <c r="FV33" s="168"/>
      <c r="FW33" s="168"/>
      <c r="FX33" s="168"/>
      <c r="FY33" s="168"/>
      <c r="FZ33" s="168"/>
      <c r="GA33" s="168"/>
      <c r="GB33" s="168"/>
      <c r="GC33" s="168"/>
      <c r="GD33" s="168"/>
      <c r="GE33" s="168"/>
      <c r="GF33" s="168"/>
      <c r="GG33" s="168"/>
      <c r="GH33" s="168"/>
      <c r="GI33" s="168"/>
      <c r="GJ33" s="168"/>
      <c r="GK33" s="168"/>
      <c r="GL33" s="168"/>
      <c r="GM33" s="168"/>
      <c r="GN33" s="168"/>
      <c r="GO33" s="168"/>
      <c r="GP33" s="168"/>
      <c r="GQ33" s="168"/>
      <c r="GR33" s="168"/>
      <c r="GS33" s="168"/>
      <c r="GT33" s="168"/>
      <c r="GU33" s="168"/>
      <c r="GV33" s="168"/>
      <c r="GW33" s="168"/>
      <c r="GX33" s="168"/>
      <c r="GY33" s="168"/>
      <c r="GZ33" s="168"/>
      <c r="HA33" s="168"/>
      <c r="HB33" s="168"/>
      <c r="HC33" s="168"/>
      <c r="HD33" s="168"/>
      <c r="HE33" s="168"/>
      <c r="HF33" s="168"/>
      <c r="HG33" s="168"/>
      <c r="HH33" s="168"/>
      <c r="HI33" s="168"/>
      <c r="HJ33" s="168"/>
      <c r="HK33" s="168"/>
      <c r="HL33" s="168"/>
      <c r="HM33" s="168"/>
      <c r="HN33" s="168"/>
      <c r="HO33" s="168"/>
      <c r="HP33" s="168"/>
      <c r="HQ33" s="168"/>
      <c r="HR33" s="168"/>
      <c r="HS33" s="168"/>
      <c r="HT33" s="168"/>
      <c r="HU33" s="168"/>
      <c r="HV33" s="168"/>
      <c r="HW33" s="168"/>
      <c r="HX33" s="168"/>
      <c r="HY33" s="168"/>
      <c r="HZ33" s="168"/>
      <c r="IA33" s="168"/>
      <c r="IB33" s="168"/>
      <c r="IC33" s="168"/>
      <c r="ID33" s="168"/>
      <c r="IE33" s="168"/>
      <c r="IF33" s="168"/>
      <c r="IG33" s="168"/>
      <c r="IH33" s="168"/>
      <c r="II33" s="168"/>
      <c r="IJ33" s="168"/>
      <c r="IK33" s="168"/>
      <c r="IL33" s="168"/>
      <c r="IM33" s="168"/>
      <c r="IN33" s="168"/>
      <c r="IO33" s="168"/>
      <c r="IP33" s="168"/>
      <c r="IQ33" s="168"/>
      <c r="IR33" s="168"/>
      <c r="IS33" s="168"/>
      <c r="IT33" s="168"/>
      <c r="IU33" s="168"/>
      <c r="IV33" s="168"/>
      <c r="IW33" s="168"/>
      <c r="IX33" s="168"/>
      <c r="IY33" s="168"/>
      <c r="IZ33" s="168"/>
      <c r="JA33" s="168"/>
      <c r="JB33" s="168"/>
      <c r="JC33" s="168"/>
      <c r="JD33" s="168"/>
      <c r="JE33" s="168"/>
      <c r="JF33" s="168"/>
      <c r="JG33" s="168"/>
      <c r="JH33" s="168"/>
      <c r="JI33" s="168"/>
      <c r="JJ33" s="168"/>
      <c r="JK33" s="168"/>
      <c r="JL33" s="168"/>
      <c r="JM33" s="168"/>
      <c r="JN33" s="168"/>
      <c r="JO33" s="168"/>
      <c r="JP33" s="168"/>
      <c r="JQ33" s="168"/>
      <c r="JR33" s="168"/>
      <c r="JS33" s="168"/>
      <c r="JT33" s="168"/>
      <c r="JU33" s="168"/>
      <c r="JV33" s="168"/>
      <c r="JW33" s="168"/>
      <c r="JX33" s="168"/>
      <c r="JY33" s="168"/>
      <c r="JZ33" s="168"/>
      <c r="KA33" s="168"/>
      <c r="KB33" s="168"/>
      <c r="KC33" s="168"/>
      <c r="KD33" s="168"/>
      <c r="KE33" s="168"/>
      <c r="KF33" s="168"/>
      <c r="KG33" s="168"/>
      <c r="KH33" s="168"/>
      <c r="KI33" s="168"/>
      <c r="KJ33" s="168"/>
      <c r="KK33" s="168"/>
      <c r="KL33" s="168"/>
      <c r="KM33" s="168"/>
      <c r="KN33" s="168"/>
      <c r="KO33" s="168"/>
      <c r="KP33" s="168"/>
      <c r="KQ33" s="168"/>
      <c r="KR33" s="168"/>
      <c r="KS33" s="168"/>
      <c r="KT33" s="168"/>
      <c r="KU33" s="168"/>
      <c r="KV33" s="168"/>
      <c r="KW33" s="168"/>
      <c r="KX33" s="168"/>
      <c r="KY33" s="168"/>
      <c r="KZ33" s="168"/>
      <c r="LA33" s="168"/>
      <c r="LB33" s="168"/>
      <c r="LC33" s="168"/>
      <c r="LD33" s="168"/>
      <c r="LE33" s="168"/>
      <c r="LF33" s="168"/>
      <c r="LG33" s="168"/>
      <c r="LH33" s="168"/>
      <c r="LI33" s="168"/>
      <c r="LJ33" s="168"/>
      <c r="LK33" s="168"/>
      <c r="LL33" s="168"/>
      <c r="LM33" s="168"/>
      <c r="LN33" s="168"/>
      <c r="LO33" s="168"/>
      <c r="LP33" s="168"/>
      <c r="LQ33" s="168">
        <f t="shared" si="262"/>
        <v>0</v>
      </c>
      <c r="LR33" s="168">
        <f t="shared" si="263"/>
        <v>0</v>
      </c>
      <c r="LS33" s="168">
        <f t="shared" si="264"/>
        <v>0</v>
      </c>
      <c r="LT33" s="168"/>
      <c r="LU33" s="168"/>
      <c r="LV33" s="168"/>
      <c r="LW33" s="168"/>
      <c r="LX33" s="168"/>
      <c r="LY33" s="168"/>
      <c r="LZ33" s="168"/>
      <c r="MA33" s="168"/>
      <c r="MB33" s="168"/>
      <c r="MC33" s="168"/>
      <c r="MD33" s="168"/>
      <c r="ME33" s="168"/>
      <c r="MF33" s="168"/>
      <c r="MG33" s="168"/>
      <c r="MH33" s="168"/>
      <c r="MI33" s="168"/>
      <c r="MJ33" s="168"/>
      <c r="MK33" s="168"/>
      <c r="ML33" s="168"/>
      <c r="MM33" s="168"/>
      <c r="MN33" s="168"/>
      <c r="MO33" s="168"/>
      <c r="MP33" s="168"/>
      <c r="MQ33" s="168"/>
      <c r="MR33" s="168"/>
      <c r="MS33" s="168"/>
      <c r="MT33" s="168"/>
      <c r="MU33" s="168"/>
      <c r="MV33" s="168"/>
      <c r="MW33" s="168"/>
      <c r="MX33" s="168"/>
      <c r="MY33" s="168"/>
      <c r="MZ33" s="168"/>
      <c r="NA33" s="168"/>
      <c r="NB33" s="168"/>
      <c r="NC33" s="168"/>
      <c r="ND33" s="168"/>
      <c r="NE33" s="168"/>
      <c r="NF33" s="168"/>
      <c r="NG33" s="168"/>
      <c r="NH33" s="168"/>
      <c r="NI33" s="168"/>
      <c r="NJ33" s="168"/>
      <c r="NK33" s="168"/>
      <c r="NL33" s="168"/>
      <c r="NM33" s="168"/>
      <c r="NN33" s="168"/>
      <c r="NO33" s="168"/>
      <c r="NP33" s="168"/>
      <c r="NQ33" s="168"/>
      <c r="NR33" s="168"/>
      <c r="NS33" s="168"/>
      <c r="NT33" s="168"/>
      <c r="NU33" s="168"/>
      <c r="NV33" s="168"/>
      <c r="NW33" s="168"/>
      <c r="NX33" s="168"/>
      <c r="NY33" s="168"/>
      <c r="NZ33" s="168"/>
      <c r="OA33" s="168"/>
      <c r="OB33" s="168"/>
      <c r="OC33" s="168"/>
      <c r="OD33" s="168"/>
      <c r="OE33" s="168"/>
      <c r="OF33" s="168"/>
      <c r="OG33" s="168"/>
      <c r="OH33" s="168"/>
      <c r="OI33" s="168"/>
      <c r="OJ33" s="168"/>
      <c r="OK33" s="168"/>
      <c r="OL33" s="168"/>
      <c r="OM33" s="168"/>
      <c r="ON33" s="168"/>
      <c r="OO33" s="168"/>
      <c r="OP33" s="168"/>
      <c r="OQ33" s="168"/>
      <c r="OR33" s="168"/>
      <c r="OS33" s="168"/>
      <c r="OT33" s="168"/>
      <c r="OU33" s="169"/>
      <c r="OV33" s="169"/>
      <c r="OW33" s="169"/>
      <c r="OX33" s="169"/>
      <c r="OY33" s="169"/>
      <c r="OZ33" s="169"/>
      <c r="PA33" s="169"/>
      <c r="PB33" s="169"/>
      <c r="PC33" s="169"/>
      <c r="PD33" s="169"/>
      <c r="PE33" s="169"/>
      <c r="PF33" s="169"/>
      <c r="PG33" s="169"/>
      <c r="PH33" s="169"/>
      <c r="PI33" s="169"/>
      <c r="PJ33" s="169"/>
      <c r="PK33" s="169"/>
      <c r="PL33" s="169"/>
      <c r="PM33" s="169"/>
      <c r="PN33" s="169"/>
      <c r="PO33" s="169"/>
      <c r="PP33" s="169"/>
      <c r="PQ33" s="169"/>
      <c r="PR33" s="169"/>
      <c r="PS33" s="169"/>
      <c r="PT33" s="169"/>
      <c r="PU33" s="169"/>
      <c r="PV33" s="169"/>
      <c r="PW33" s="169"/>
      <c r="PX33" s="169"/>
      <c r="PY33" s="169"/>
      <c r="PZ33" s="169"/>
      <c r="QA33" s="169"/>
      <c r="QB33" s="169"/>
      <c r="QC33" s="169"/>
      <c r="QD33" s="169"/>
      <c r="QE33" s="169"/>
      <c r="QF33" s="169"/>
      <c r="QG33" s="169"/>
      <c r="QH33" s="169"/>
      <c r="QI33" s="169"/>
      <c r="QJ33" s="169"/>
      <c r="QK33" s="169"/>
      <c r="QL33" s="169"/>
      <c r="QM33" s="169"/>
      <c r="QN33" s="169"/>
      <c r="QO33" s="169"/>
      <c r="QP33" s="169"/>
      <c r="QQ33" s="169"/>
      <c r="QR33" s="169"/>
      <c r="QS33" s="169"/>
      <c r="QT33" s="169"/>
      <c r="QU33" s="169"/>
      <c r="QV33" s="169"/>
      <c r="QW33" s="169"/>
      <c r="QX33" s="169"/>
      <c r="QY33" s="169"/>
      <c r="QZ33" s="169"/>
      <c r="RA33" s="169"/>
      <c r="RB33" s="169"/>
      <c r="RC33" s="169"/>
      <c r="RD33" s="169"/>
      <c r="RE33" s="169"/>
      <c r="RF33" s="169"/>
      <c r="RG33" s="169"/>
      <c r="RH33" s="169"/>
      <c r="RI33" s="169"/>
      <c r="RJ33" s="169"/>
      <c r="RK33" s="169"/>
      <c r="RL33" s="169"/>
      <c r="RM33" s="169"/>
      <c r="RN33" s="169"/>
      <c r="RO33" s="168"/>
      <c r="RP33" s="168"/>
      <c r="RQ33" s="168"/>
      <c r="RR33" s="168"/>
      <c r="RS33" s="168"/>
      <c r="RT33" s="168"/>
      <c r="RU33" s="170"/>
      <c r="RV33" s="170"/>
      <c r="RW33" s="170"/>
      <c r="RX33" s="170"/>
      <c r="RY33" s="170"/>
      <c r="RZ33" s="170"/>
      <c r="SA33" s="169"/>
      <c r="SB33" s="169"/>
      <c r="SC33" s="169"/>
      <c r="SD33" s="169"/>
      <c r="SE33" s="169"/>
      <c r="SF33" s="169"/>
      <c r="SG33" s="169"/>
      <c r="SH33" s="169"/>
      <c r="SI33" s="169"/>
      <c r="SJ33" s="169"/>
      <c r="SK33" s="169"/>
      <c r="SL33" s="169"/>
      <c r="SM33" s="169"/>
      <c r="SN33" s="169"/>
      <c r="SO33" s="169"/>
      <c r="SP33" s="169"/>
      <c r="SQ33" s="169"/>
      <c r="SR33" s="169"/>
      <c r="SS33" s="175"/>
    </row>
    <row r="34" spans="1:513" s="194" customFormat="1" ht="20.25" customHeight="1">
      <c r="A34" s="221" t="s">
        <v>335</v>
      </c>
      <c r="B34" s="242"/>
      <c r="C34" s="242"/>
      <c r="D34" s="242"/>
      <c r="E34" s="222"/>
      <c r="F34" s="193">
        <f>F32+F33</f>
        <v>0</v>
      </c>
      <c r="G34" s="193">
        <f t="shared" ref="G34:BR34" si="265">G32+G33</f>
        <v>0</v>
      </c>
      <c r="H34" s="193">
        <f t="shared" si="265"/>
        <v>0</v>
      </c>
      <c r="I34" s="193">
        <f t="shared" si="265"/>
        <v>0</v>
      </c>
      <c r="J34" s="193">
        <f t="shared" si="265"/>
        <v>0</v>
      </c>
      <c r="K34" s="193">
        <f t="shared" si="265"/>
        <v>0</v>
      </c>
      <c r="L34" s="193">
        <f t="shared" si="265"/>
        <v>0</v>
      </c>
      <c r="M34" s="193">
        <f t="shared" si="265"/>
        <v>0</v>
      </c>
      <c r="N34" s="193">
        <f t="shared" si="265"/>
        <v>0</v>
      </c>
      <c r="O34" s="193">
        <f t="shared" si="265"/>
        <v>0</v>
      </c>
      <c r="P34" s="193">
        <f t="shared" si="265"/>
        <v>0</v>
      </c>
      <c r="Q34" s="193">
        <f t="shared" si="265"/>
        <v>0</v>
      </c>
      <c r="R34" s="193">
        <f t="shared" si="265"/>
        <v>0</v>
      </c>
      <c r="S34" s="193">
        <f t="shared" si="265"/>
        <v>0</v>
      </c>
      <c r="T34" s="193">
        <f t="shared" si="265"/>
        <v>0</v>
      </c>
      <c r="U34" s="193">
        <f t="shared" si="265"/>
        <v>0</v>
      </c>
      <c r="V34" s="193">
        <f t="shared" si="265"/>
        <v>0</v>
      </c>
      <c r="W34" s="193">
        <f t="shared" si="265"/>
        <v>35</v>
      </c>
      <c r="X34" s="193">
        <f t="shared" si="265"/>
        <v>0</v>
      </c>
      <c r="Y34" s="193">
        <f t="shared" si="265"/>
        <v>48</v>
      </c>
      <c r="Z34" s="193">
        <f t="shared" si="265"/>
        <v>0</v>
      </c>
      <c r="AA34" s="193">
        <f t="shared" si="265"/>
        <v>41</v>
      </c>
      <c r="AB34" s="193">
        <f t="shared" si="265"/>
        <v>0</v>
      </c>
      <c r="AC34" s="193">
        <f t="shared" si="265"/>
        <v>21</v>
      </c>
      <c r="AD34" s="193">
        <f t="shared" si="265"/>
        <v>0</v>
      </c>
      <c r="AE34" s="193">
        <f t="shared" si="265"/>
        <v>22</v>
      </c>
      <c r="AF34" s="193">
        <f t="shared" si="265"/>
        <v>0</v>
      </c>
      <c r="AG34" s="193">
        <f t="shared" si="265"/>
        <v>167</v>
      </c>
      <c r="AH34" s="193">
        <f t="shared" si="265"/>
        <v>167</v>
      </c>
      <c r="AI34" s="193">
        <f t="shared" si="265"/>
        <v>0</v>
      </c>
      <c r="AJ34" s="193">
        <f t="shared" si="265"/>
        <v>35</v>
      </c>
      <c r="AK34" s="193">
        <f t="shared" si="265"/>
        <v>0</v>
      </c>
      <c r="AL34" s="193">
        <f t="shared" si="265"/>
        <v>48</v>
      </c>
      <c r="AM34" s="193">
        <f t="shared" si="265"/>
        <v>0</v>
      </c>
      <c r="AN34" s="193">
        <f t="shared" si="265"/>
        <v>41</v>
      </c>
      <c r="AO34" s="193">
        <f t="shared" si="265"/>
        <v>0</v>
      </c>
      <c r="AP34" s="193">
        <f t="shared" si="265"/>
        <v>21</v>
      </c>
      <c r="AQ34" s="193">
        <f t="shared" si="265"/>
        <v>0</v>
      </c>
      <c r="AR34" s="193">
        <f t="shared" si="265"/>
        <v>22</v>
      </c>
      <c r="AS34" s="193">
        <f t="shared" si="265"/>
        <v>0</v>
      </c>
      <c r="AT34" s="193">
        <f t="shared" si="265"/>
        <v>167</v>
      </c>
      <c r="AU34" s="193">
        <f t="shared" si="265"/>
        <v>167</v>
      </c>
      <c r="AV34" s="193">
        <f t="shared" si="265"/>
        <v>0</v>
      </c>
      <c r="AW34" s="193">
        <f t="shared" si="265"/>
        <v>18</v>
      </c>
      <c r="AX34" s="193">
        <f t="shared" si="265"/>
        <v>0</v>
      </c>
      <c r="AY34" s="193">
        <f t="shared" si="265"/>
        <v>17</v>
      </c>
      <c r="AZ34" s="193">
        <f t="shared" si="265"/>
        <v>0</v>
      </c>
      <c r="BA34" s="193">
        <f t="shared" si="265"/>
        <v>14</v>
      </c>
      <c r="BB34" s="193">
        <f t="shared" si="265"/>
        <v>0</v>
      </c>
      <c r="BC34" s="193">
        <f t="shared" si="265"/>
        <v>19</v>
      </c>
      <c r="BD34" s="193">
        <f t="shared" si="265"/>
        <v>0</v>
      </c>
      <c r="BE34" s="193">
        <f t="shared" si="265"/>
        <v>34</v>
      </c>
      <c r="BF34" s="193">
        <f t="shared" si="265"/>
        <v>0</v>
      </c>
      <c r="BG34" s="193">
        <f t="shared" si="265"/>
        <v>102</v>
      </c>
      <c r="BH34" s="193">
        <f t="shared" si="265"/>
        <v>102</v>
      </c>
      <c r="BI34" s="193">
        <f t="shared" si="265"/>
        <v>0</v>
      </c>
      <c r="BJ34" s="193">
        <f t="shared" si="265"/>
        <v>18</v>
      </c>
      <c r="BK34" s="193">
        <f t="shared" si="265"/>
        <v>0</v>
      </c>
      <c r="BL34" s="193">
        <f t="shared" si="265"/>
        <v>21</v>
      </c>
      <c r="BM34" s="193">
        <f t="shared" si="265"/>
        <v>0</v>
      </c>
      <c r="BN34" s="193">
        <f t="shared" si="265"/>
        <v>18</v>
      </c>
      <c r="BO34" s="193">
        <f t="shared" si="265"/>
        <v>0</v>
      </c>
      <c r="BP34" s="193">
        <f t="shared" si="265"/>
        <v>16</v>
      </c>
      <c r="BQ34" s="193">
        <f t="shared" si="265"/>
        <v>0</v>
      </c>
      <c r="BR34" s="193">
        <f t="shared" si="265"/>
        <v>4</v>
      </c>
      <c r="BS34" s="193">
        <f t="shared" ref="BS34:ED34" si="266">BS32+BS33</f>
        <v>0</v>
      </c>
      <c r="BT34" s="193">
        <f t="shared" si="266"/>
        <v>77</v>
      </c>
      <c r="BU34" s="193">
        <f t="shared" si="266"/>
        <v>77</v>
      </c>
      <c r="BV34" s="193">
        <f t="shared" si="266"/>
        <v>0</v>
      </c>
      <c r="BW34" s="193">
        <f t="shared" si="266"/>
        <v>35</v>
      </c>
      <c r="BX34" s="193">
        <f t="shared" si="266"/>
        <v>0</v>
      </c>
      <c r="BY34" s="193">
        <f t="shared" si="266"/>
        <v>66</v>
      </c>
      <c r="BZ34" s="193">
        <f t="shared" si="266"/>
        <v>0</v>
      </c>
      <c r="CA34" s="193">
        <f t="shared" si="266"/>
        <v>76</v>
      </c>
      <c r="CB34" s="193">
        <f t="shared" si="266"/>
        <v>0</v>
      </c>
      <c r="CC34" s="193">
        <f t="shared" si="266"/>
        <v>56</v>
      </c>
      <c r="CD34" s="193">
        <f t="shared" si="266"/>
        <v>0</v>
      </c>
      <c r="CE34" s="193">
        <f t="shared" si="266"/>
        <v>59</v>
      </c>
      <c r="CF34" s="193">
        <f t="shared" si="266"/>
        <v>0</v>
      </c>
      <c r="CG34" s="193">
        <f t="shared" si="266"/>
        <v>50</v>
      </c>
      <c r="CH34" s="193">
        <f t="shared" si="266"/>
        <v>0</v>
      </c>
      <c r="CI34" s="193">
        <f t="shared" si="266"/>
        <v>4</v>
      </c>
      <c r="CJ34" s="193">
        <f t="shared" si="266"/>
        <v>0</v>
      </c>
      <c r="CK34" s="193">
        <f t="shared" si="266"/>
        <v>346</v>
      </c>
      <c r="CL34" s="193">
        <f t="shared" si="266"/>
        <v>346</v>
      </c>
      <c r="CM34" s="193">
        <f t="shared" si="266"/>
        <v>0</v>
      </c>
      <c r="CN34" s="193">
        <f t="shared" si="266"/>
        <v>4</v>
      </c>
      <c r="CO34" s="193">
        <f t="shared" si="266"/>
        <v>0</v>
      </c>
      <c r="CP34" s="193">
        <f t="shared" si="266"/>
        <v>0</v>
      </c>
      <c r="CQ34" s="193">
        <f t="shared" si="266"/>
        <v>3</v>
      </c>
      <c r="CR34" s="193">
        <f t="shared" si="266"/>
        <v>0</v>
      </c>
      <c r="CS34" s="193">
        <f t="shared" si="266"/>
        <v>0</v>
      </c>
      <c r="CT34" s="193">
        <f t="shared" si="266"/>
        <v>3</v>
      </c>
      <c r="CU34" s="193">
        <f t="shared" si="266"/>
        <v>0</v>
      </c>
      <c r="CV34" s="193">
        <f t="shared" si="266"/>
        <v>0</v>
      </c>
      <c r="CW34" s="193">
        <f t="shared" si="266"/>
        <v>10</v>
      </c>
      <c r="CX34" s="193">
        <f t="shared" si="266"/>
        <v>0</v>
      </c>
      <c r="CY34" s="193">
        <f t="shared" si="266"/>
        <v>10</v>
      </c>
      <c r="CZ34" s="193">
        <f t="shared" si="266"/>
        <v>0</v>
      </c>
      <c r="DA34" s="193">
        <f t="shared" si="266"/>
        <v>3</v>
      </c>
      <c r="DB34" s="193">
        <f t="shared" si="266"/>
        <v>0</v>
      </c>
      <c r="DC34" s="193">
        <f t="shared" si="266"/>
        <v>5</v>
      </c>
      <c r="DD34" s="193">
        <f t="shared" si="266"/>
        <v>0</v>
      </c>
      <c r="DE34" s="193">
        <f t="shared" si="266"/>
        <v>0</v>
      </c>
      <c r="DF34" s="193">
        <f t="shared" si="266"/>
        <v>0</v>
      </c>
      <c r="DG34" s="193">
        <f t="shared" si="266"/>
        <v>8</v>
      </c>
      <c r="DH34" s="193">
        <f t="shared" si="266"/>
        <v>8</v>
      </c>
      <c r="DI34" s="193">
        <f t="shared" si="266"/>
        <v>0</v>
      </c>
      <c r="DJ34" s="193">
        <f t="shared" si="266"/>
        <v>0</v>
      </c>
      <c r="DK34" s="193">
        <f t="shared" si="266"/>
        <v>0</v>
      </c>
      <c r="DL34" s="193">
        <f t="shared" si="266"/>
        <v>0</v>
      </c>
      <c r="DM34" s="193">
        <f t="shared" si="266"/>
        <v>0</v>
      </c>
      <c r="DN34" s="193">
        <f t="shared" si="266"/>
        <v>0</v>
      </c>
      <c r="DO34" s="193">
        <f t="shared" si="266"/>
        <v>0</v>
      </c>
      <c r="DP34" s="193">
        <f t="shared" si="266"/>
        <v>0</v>
      </c>
      <c r="DQ34" s="193">
        <f t="shared" si="266"/>
        <v>0</v>
      </c>
      <c r="DR34" s="193">
        <f t="shared" si="266"/>
        <v>0</v>
      </c>
      <c r="DS34" s="193">
        <f t="shared" si="266"/>
        <v>84</v>
      </c>
      <c r="DT34" s="193">
        <f t="shared" si="266"/>
        <v>0</v>
      </c>
      <c r="DU34" s="193">
        <f t="shared" si="266"/>
        <v>66</v>
      </c>
      <c r="DV34" s="193">
        <f t="shared" si="266"/>
        <v>0</v>
      </c>
      <c r="DW34" s="193">
        <f t="shared" si="266"/>
        <v>60</v>
      </c>
      <c r="DX34" s="193">
        <f t="shared" si="266"/>
        <v>0</v>
      </c>
      <c r="DY34" s="193">
        <f t="shared" si="266"/>
        <v>210</v>
      </c>
      <c r="DZ34" s="193">
        <f t="shared" si="266"/>
        <v>210</v>
      </c>
      <c r="EA34" s="193">
        <f t="shared" si="266"/>
        <v>0</v>
      </c>
      <c r="EB34" s="193">
        <f t="shared" si="266"/>
        <v>4</v>
      </c>
      <c r="EC34" s="193">
        <f t="shared" si="266"/>
        <v>0</v>
      </c>
      <c r="ED34" s="193">
        <f t="shared" si="266"/>
        <v>5</v>
      </c>
      <c r="EE34" s="193">
        <f t="shared" ref="EE34:GR34" si="267">EE32+EE33</f>
        <v>0</v>
      </c>
      <c r="EF34" s="193">
        <f t="shared" si="267"/>
        <v>4</v>
      </c>
      <c r="EG34" s="193">
        <f t="shared" si="267"/>
        <v>0</v>
      </c>
      <c r="EH34" s="193">
        <f t="shared" si="267"/>
        <v>13</v>
      </c>
      <c r="EI34" s="193">
        <f t="shared" si="267"/>
        <v>13</v>
      </c>
      <c r="EJ34" s="193">
        <f t="shared" si="267"/>
        <v>0</v>
      </c>
      <c r="EK34" s="193">
        <f t="shared" si="267"/>
        <v>5</v>
      </c>
      <c r="EL34" s="193">
        <f t="shared" si="267"/>
        <v>0</v>
      </c>
      <c r="EM34" s="193">
        <f t="shared" si="267"/>
        <v>2</v>
      </c>
      <c r="EN34" s="193">
        <f t="shared" si="267"/>
        <v>0</v>
      </c>
      <c r="EO34" s="193">
        <f t="shared" si="267"/>
        <v>0</v>
      </c>
      <c r="EP34" s="193">
        <f t="shared" si="267"/>
        <v>0</v>
      </c>
      <c r="EQ34" s="193">
        <f t="shared" si="267"/>
        <v>7</v>
      </c>
      <c r="ER34" s="193">
        <f t="shared" si="267"/>
        <v>7</v>
      </c>
      <c r="ES34" s="193">
        <f t="shared" si="267"/>
        <v>0</v>
      </c>
      <c r="ET34" s="193">
        <f t="shared" si="267"/>
        <v>0</v>
      </c>
      <c r="EU34" s="193">
        <f t="shared" si="267"/>
        <v>0</v>
      </c>
      <c r="EV34" s="193">
        <f t="shared" si="267"/>
        <v>0</v>
      </c>
      <c r="EW34" s="193">
        <f t="shared" si="267"/>
        <v>0</v>
      </c>
      <c r="EX34" s="193">
        <f t="shared" si="267"/>
        <v>1</v>
      </c>
      <c r="EY34" s="193">
        <f t="shared" si="267"/>
        <v>0</v>
      </c>
      <c r="EZ34" s="193">
        <f t="shared" si="267"/>
        <v>1</v>
      </c>
      <c r="FA34" s="193">
        <f t="shared" si="267"/>
        <v>1</v>
      </c>
      <c r="FB34" s="193">
        <f t="shared" si="267"/>
        <v>0</v>
      </c>
      <c r="FC34" s="193">
        <f t="shared" si="267"/>
        <v>0</v>
      </c>
      <c r="FD34" s="193">
        <f t="shared" si="267"/>
        <v>0</v>
      </c>
      <c r="FE34" s="193">
        <f t="shared" si="267"/>
        <v>0</v>
      </c>
      <c r="FF34" s="193">
        <f t="shared" si="267"/>
        <v>0</v>
      </c>
      <c r="FG34" s="193">
        <f t="shared" si="267"/>
        <v>0</v>
      </c>
      <c r="FH34" s="193">
        <f t="shared" si="267"/>
        <v>0</v>
      </c>
      <c r="FI34" s="193">
        <f t="shared" si="267"/>
        <v>0</v>
      </c>
      <c r="FJ34" s="193">
        <f t="shared" si="267"/>
        <v>0</v>
      </c>
      <c r="FK34" s="193">
        <f t="shared" si="267"/>
        <v>0</v>
      </c>
      <c r="FL34" s="193">
        <f t="shared" si="267"/>
        <v>0</v>
      </c>
      <c r="FM34" s="193">
        <f t="shared" si="267"/>
        <v>0</v>
      </c>
      <c r="FN34" s="193">
        <f t="shared" si="267"/>
        <v>0</v>
      </c>
      <c r="FO34" s="193">
        <f t="shared" si="267"/>
        <v>0</v>
      </c>
      <c r="FP34" s="193">
        <f t="shared" si="267"/>
        <v>0</v>
      </c>
      <c r="FQ34" s="193">
        <f t="shared" si="267"/>
        <v>0</v>
      </c>
      <c r="FR34" s="193">
        <f t="shared" si="267"/>
        <v>0</v>
      </c>
      <c r="FS34" s="193">
        <f t="shared" si="267"/>
        <v>0</v>
      </c>
      <c r="FT34" s="193">
        <f t="shared" si="267"/>
        <v>0</v>
      </c>
      <c r="FU34" s="193">
        <f t="shared" si="267"/>
        <v>0</v>
      </c>
      <c r="FV34" s="193">
        <f t="shared" si="267"/>
        <v>0</v>
      </c>
      <c r="FW34" s="193">
        <f t="shared" si="267"/>
        <v>0</v>
      </c>
      <c r="FX34" s="193">
        <f t="shared" si="267"/>
        <v>0</v>
      </c>
      <c r="FY34" s="193">
        <f t="shared" si="267"/>
        <v>0</v>
      </c>
      <c r="FZ34" s="193">
        <f t="shared" si="267"/>
        <v>0</v>
      </c>
      <c r="GA34" s="193">
        <f t="shared" si="267"/>
        <v>0</v>
      </c>
      <c r="GB34" s="193">
        <f t="shared" si="267"/>
        <v>0</v>
      </c>
      <c r="GC34" s="193"/>
      <c r="GD34" s="193"/>
      <c r="GE34" s="193">
        <f t="shared" si="267"/>
        <v>0</v>
      </c>
      <c r="GF34" s="193">
        <f t="shared" si="267"/>
        <v>0</v>
      </c>
      <c r="GG34" s="193">
        <f t="shared" si="267"/>
        <v>0</v>
      </c>
      <c r="GH34" s="193">
        <f t="shared" si="267"/>
        <v>0</v>
      </c>
      <c r="GI34" s="193">
        <f t="shared" si="267"/>
        <v>0</v>
      </c>
      <c r="GJ34" s="193">
        <f t="shared" si="267"/>
        <v>0</v>
      </c>
      <c r="GK34" s="193">
        <f t="shared" si="267"/>
        <v>0</v>
      </c>
      <c r="GL34" s="193">
        <f t="shared" si="267"/>
        <v>0</v>
      </c>
      <c r="GM34" s="193">
        <f t="shared" si="267"/>
        <v>0</v>
      </c>
      <c r="GN34" s="193">
        <f t="shared" si="267"/>
        <v>0</v>
      </c>
      <c r="GO34" s="193">
        <f t="shared" si="267"/>
        <v>0</v>
      </c>
      <c r="GP34" s="193">
        <f t="shared" si="267"/>
        <v>0</v>
      </c>
      <c r="GQ34" s="193">
        <f t="shared" si="267"/>
        <v>0</v>
      </c>
      <c r="GR34" s="193">
        <f t="shared" si="267"/>
        <v>0</v>
      </c>
      <c r="GS34" s="193">
        <f t="shared" ref="GS34:JD34" si="268">GS32+GS33</f>
        <v>0</v>
      </c>
      <c r="GT34" s="193">
        <f t="shared" si="268"/>
        <v>0</v>
      </c>
      <c r="GU34" s="193">
        <f t="shared" si="268"/>
        <v>0</v>
      </c>
      <c r="GV34" s="193">
        <f t="shared" si="268"/>
        <v>0</v>
      </c>
      <c r="GW34" s="193">
        <f t="shared" si="268"/>
        <v>0</v>
      </c>
      <c r="GX34" s="193">
        <f t="shared" si="268"/>
        <v>0</v>
      </c>
      <c r="GY34" s="193">
        <f t="shared" si="268"/>
        <v>0</v>
      </c>
      <c r="GZ34" s="193">
        <f t="shared" si="268"/>
        <v>0</v>
      </c>
      <c r="HA34" s="193">
        <f t="shared" si="268"/>
        <v>0</v>
      </c>
      <c r="HB34" s="193">
        <f t="shared" si="268"/>
        <v>0</v>
      </c>
      <c r="HC34" s="193">
        <f t="shared" si="268"/>
        <v>0</v>
      </c>
      <c r="HD34" s="193">
        <f t="shared" si="268"/>
        <v>0</v>
      </c>
      <c r="HE34" s="193">
        <f t="shared" si="268"/>
        <v>0</v>
      </c>
      <c r="HF34" s="193">
        <f t="shared" si="268"/>
        <v>0</v>
      </c>
      <c r="HG34" s="193">
        <f t="shared" si="268"/>
        <v>0</v>
      </c>
      <c r="HH34" s="193">
        <f t="shared" si="268"/>
        <v>0</v>
      </c>
      <c r="HI34" s="193">
        <f t="shared" si="268"/>
        <v>0</v>
      </c>
      <c r="HJ34" s="193">
        <f t="shared" si="268"/>
        <v>0</v>
      </c>
      <c r="HK34" s="193">
        <f t="shared" si="268"/>
        <v>0</v>
      </c>
      <c r="HL34" s="193">
        <f t="shared" si="268"/>
        <v>0</v>
      </c>
      <c r="HM34" s="193">
        <f t="shared" si="268"/>
        <v>0</v>
      </c>
      <c r="HN34" s="193">
        <f t="shared" si="268"/>
        <v>0</v>
      </c>
      <c r="HO34" s="193">
        <f t="shared" si="268"/>
        <v>0</v>
      </c>
      <c r="HP34" s="193">
        <f t="shared" si="268"/>
        <v>0</v>
      </c>
      <c r="HQ34" s="193">
        <f t="shared" si="268"/>
        <v>0</v>
      </c>
      <c r="HR34" s="193">
        <f t="shared" si="268"/>
        <v>0</v>
      </c>
      <c r="HS34" s="193">
        <f t="shared" si="268"/>
        <v>0</v>
      </c>
      <c r="HT34" s="193">
        <f t="shared" si="268"/>
        <v>0</v>
      </c>
      <c r="HU34" s="193">
        <f t="shared" si="268"/>
        <v>0</v>
      </c>
      <c r="HV34" s="193">
        <f t="shared" si="268"/>
        <v>0</v>
      </c>
      <c r="HW34" s="193">
        <f t="shared" si="268"/>
        <v>0</v>
      </c>
      <c r="HX34" s="193">
        <f t="shared" si="268"/>
        <v>0</v>
      </c>
      <c r="HY34" s="193">
        <f t="shared" si="268"/>
        <v>0</v>
      </c>
      <c r="HZ34" s="193">
        <f t="shared" si="268"/>
        <v>0</v>
      </c>
      <c r="IA34" s="193">
        <f t="shared" si="268"/>
        <v>0</v>
      </c>
      <c r="IB34" s="193">
        <f t="shared" si="268"/>
        <v>0</v>
      </c>
      <c r="IC34" s="193">
        <f t="shared" si="268"/>
        <v>0</v>
      </c>
      <c r="ID34" s="193">
        <f t="shared" si="268"/>
        <v>0</v>
      </c>
      <c r="IE34" s="193">
        <f t="shared" si="268"/>
        <v>0</v>
      </c>
      <c r="IF34" s="193">
        <f t="shared" si="268"/>
        <v>0</v>
      </c>
      <c r="IG34" s="193">
        <f t="shared" si="268"/>
        <v>0</v>
      </c>
      <c r="IH34" s="193">
        <f t="shared" si="268"/>
        <v>0</v>
      </c>
      <c r="II34" s="193">
        <f t="shared" si="268"/>
        <v>0</v>
      </c>
      <c r="IJ34" s="193">
        <f t="shared" si="268"/>
        <v>0</v>
      </c>
      <c r="IK34" s="193">
        <f t="shared" si="268"/>
        <v>0</v>
      </c>
      <c r="IL34" s="193">
        <f t="shared" si="268"/>
        <v>0</v>
      </c>
      <c r="IM34" s="193">
        <f t="shared" si="268"/>
        <v>0</v>
      </c>
      <c r="IN34" s="193">
        <f t="shared" si="268"/>
        <v>0</v>
      </c>
      <c r="IO34" s="193">
        <f t="shared" si="268"/>
        <v>0</v>
      </c>
      <c r="IP34" s="193">
        <f t="shared" si="268"/>
        <v>0</v>
      </c>
      <c r="IQ34" s="193">
        <f t="shared" si="268"/>
        <v>0</v>
      </c>
      <c r="IR34" s="193">
        <f t="shared" si="268"/>
        <v>0</v>
      </c>
      <c r="IS34" s="193">
        <f t="shared" si="268"/>
        <v>0</v>
      </c>
      <c r="IT34" s="193">
        <f t="shared" si="268"/>
        <v>0</v>
      </c>
      <c r="IU34" s="193">
        <f t="shared" si="268"/>
        <v>0</v>
      </c>
      <c r="IV34" s="193">
        <f t="shared" si="268"/>
        <v>0</v>
      </c>
      <c r="IW34" s="193">
        <f t="shared" si="268"/>
        <v>0</v>
      </c>
      <c r="IX34" s="193">
        <f t="shared" si="268"/>
        <v>0</v>
      </c>
      <c r="IY34" s="193">
        <f t="shared" si="268"/>
        <v>0</v>
      </c>
      <c r="IZ34" s="193">
        <f t="shared" si="268"/>
        <v>0</v>
      </c>
      <c r="JA34" s="193">
        <f t="shared" si="268"/>
        <v>0</v>
      </c>
      <c r="JB34" s="193">
        <f t="shared" si="268"/>
        <v>0</v>
      </c>
      <c r="JC34" s="193">
        <f t="shared" si="268"/>
        <v>0</v>
      </c>
      <c r="JD34" s="193">
        <f t="shared" si="268"/>
        <v>0</v>
      </c>
      <c r="JE34" s="193">
        <f t="shared" ref="JE34:LN34" si="269">JE32+JE33</f>
        <v>0</v>
      </c>
      <c r="JF34" s="193">
        <f t="shared" si="269"/>
        <v>0</v>
      </c>
      <c r="JG34" s="193">
        <f t="shared" si="269"/>
        <v>0</v>
      </c>
      <c r="JH34" s="193">
        <f t="shared" si="269"/>
        <v>0</v>
      </c>
      <c r="JI34" s="193">
        <f t="shared" si="269"/>
        <v>0</v>
      </c>
      <c r="JJ34" s="193">
        <f t="shared" si="269"/>
        <v>0</v>
      </c>
      <c r="JK34" s="193">
        <f t="shared" si="269"/>
        <v>0</v>
      </c>
      <c r="JL34" s="193">
        <f t="shared" si="269"/>
        <v>0</v>
      </c>
      <c r="JM34" s="193">
        <f t="shared" si="269"/>
        <v>0</v>
      </c>
      <c r="JN34" s="193">
        <f t="shared" si="269"/>
        <v>0</v>
      </c>
      <c r="JO34" s="193">
        <f t="shared" si="269"/>
        <v>0</v>
      </c>
      <c r="JP34" s="193">
        <f t="shared" si="269"/>
        <v>0</v>
      </c>
      <c r="JQ34" s="193">
        <f t="shared" si="269"/>
        <v>0</v>
      </c>
      <c r="JR34" s="193">
        <f t="shared" si="269"/>
        <v>0</v>
      </c>
      <c r="JS34" s="193">
        <f t="shared" si="269"/>
        <v>0</v>
      </c>
      <c r="JT34" s="193">
        <f t="shared" si="269"/>
        <v>0</v>
      </c>
      <c r="JU34" s="193">
        <f t="shared" si="269"/>
        <v>0</v>
      </c>
      <c r="JV34" s="193">
        <f t="shared" si="269"/>
        <v>0</v>
      </c>
      <c r="JW34" s="193">
        <f t="shared" si="269"/>
        <v>0</v>
      </c>
      <c r="JX34" s="193">
        <f t="shared" si="269"/>
        <v>0</v>
      </c>
      <c r="JY34" s="193">
        <f t="shared" si="269"/>
        <v>0</v>
      </c>
      <c r="JZ34" s="193">
        <f t="shared" si="269"/>
        <v>0</v>
      </c>
      <c r="KA34" s="193">
        <f t="shared" si="269"/>
        <v>0</v>
      </c>
      <c r="KB34" s="193">
        <f t="shared" si="269"/>
        <v>0</v>
      </c>
      <c r="KC34" s="193">
        <f t="shared" si="269"/>
        <v>0</v>
      </c>
      <c r="KD34" s="193">
        <f t="shared" si="269"/>
        <v>0</v>
      </c>
      <c r="KE34" s="193">
        <f t="shared" si="269"/>
        <v>0</v>
      </c>
      <c r="KF34" s="193">
        <f t="shared" si="269"/>
        <v>0</v>
      </c>
      <c r="KG34" s="193">
        <f t="shared" si="269"/>
        <v>0</v>
      </c>
      <c r="KH34" s="193">
        <f t="shared" si="269"/>
        <v>0</v>
      </c>
      <c r="KI34" s="193">
        <f t="shared" si="269"/>
        <v>0</v>
      </c>
      <c r="KJ34" s="193">
        <f t="shared" si="269"/>
        <v>0</v>
      </c>
      <c r="KK34" s="193">
        <f t="shared" si="269"/>
        <v>0</v>
      </c>
      <c r="KL34" s="193">
        <f t="shared" si="269"/>
        <v>0</v>
      </c>
      <c r="KM34" s="193">
        <f t="shared" si="269"/>
        <v>0</v>
      </c>
      <c r="KN34" s="193">
        <f t="shared" si="269"/>
        <v>0</v>
      </c>
      <c r="KO34" s="193">
        <f t="shared" si="269"/>
        <v>0</v>
      </c>
      <c r="KP34" s="193">
        <f t="shared" si="269"/>
        <v>0</v>
      </c>
      <c r="KQ34" s="193">
        <f t="shared" si="269"/>
        <v>0</v>
      </c>
      <c r="KR34" s="193">
        <f t="shared" si="269"/>
        <v>0</v>
      </c>
      <c r="KS34" s="193">
        <f t="shared" si="269"/>
        <v>0</v>
      </c>
      <c r="KT34" s="193">
        <f t="shared" si="269"/>
        <v>0</v>
      </c>
      <c r="KU34" s="193">
        <f t="shared" si="269"/>
        <v>0</v>
      </c>
      <c r="KV34" s="193">
        <f t="shared" si="269"/>
        <v>0</v>
      </c>
      <c r="KW34" s="193">
        <f t="shared" si="269"/>
        <v>0</v>
      </c>
      <c r="KX34" s="193">
        <f t="shared" si="269"/>
        <v>0</v>
      </c>
      <c r="KY34" s="193">
        <f t="shared" si="269"/>
        <v>0</v>
      </c>
      <c r="KZ34" s="193">
        <f t="shared" si="269"/>
        <v>0</v>
      </c>
      <c r="LA34" s="193">
        <f t="shared" si="269"/>
        <v>0</v>
      </c>
      <c r="LB34" s="193">
        <f t="shared" si="269"/>
        <v>0</v>
      </c>
      <c r="LC34" s="193">
        <f t="shared" si="269"/>
        <v>0</v>
      </c>
      <c r="LD34" s="193">
        <f t="shared" si="269"/>
        <v>0</v>
      </c>
      <c r="LE34" s="193">
        <f t="shared" si="269"/>
        <v>0</v>
      </c>
      <c r="LF34" s="193">
        <f t="shared" si="269"/>
        <v>0</v>
      </c>
      <c r="LG34" s="193">
        <f t="shared" si="269"/>
        <v>0</v>
      </c>
      <c r="LH34" s="193">
        <f t="shared" si="269"/>
        <v>0</v>
      </c>
      <c r="LI34" s="193">
        <f t="shared" si="269"/>
        <v>0</v>
      </c>
      <c r="LJ34" s="193">
        <f t="shared" si="269"/>
        <v>0</v>
      </c>
      <c r="LK34" s="193">
        <f t="shared" si="269"/>
        <v>0</v>
      </c>
      <c r="LL34" s="193">
        <f t="shared" si="269"/>
        <v>0</v>
      </c>
      <c r="LM34" s="193">
        <f t="shared" si="269"/>
        <v>0</v>
      </c>
      <c r="LN34" s="193">
        <f t="shared" si="269"/>
        <v>0</v>
      </c>
      <c r="LO34" s="193">
        <f t="shared" ref="LO34:LP34" si="270">LO32+LO33</f>
        <v>0</v>
      </c>
      <c r="LP34" s="193">
        <f t="shared" si="270"/>
        <v>0</v>
      </c>
      <c r="LQ34" s="193">
        <f t="shared" ref="LQ34:OA34" si="271">LQ32+LQ33</f>
        <v>0</v>
      </c>
      <c r="LR34" s="193">
        <f t="shared" si="271"/>
        <v>0</v>
      </c>
      <c r="LS34" s="193">
        <f t="shared" si="271"/>
        <v>0</v>
      </c>
      <c r="LT34" s="193">
        <f t="shared" si="271"/>
        <v>0</v>
      </c>
      <c r="LU34" s="193">
        <f t="shared" si="271"/>
        <v>0</v>
      </c>
      <c r="LV34" s="193">
        <f t="shared" si="271"/>
        <v>0</v>
      </c>
      <c r="LW34" s="193">
        <f t="shared" si="271"/>
        <v>0</v>
      </c>
      <c r="LX34" s="193">
        <f t="shared" si="271"/>
        <v>0</v>
      </c>
      <c r="LY34" s="193">
        <f t="shared" si="271"/>
        <v>0</v>
      </c>
      <c r="LZ34" s="193">
        <f t="shared" si="271"/>
        <v>0</v>
      </c>
      <c r="MA34" s="193">
        <f t="shared" si="271"/>
        <v>0</v>
      </c>
      <c r="MB34" s="193">
        <f t="shared" si="271"/>
        <v>0</v>
      </c>
      <c r="MC34" s="193">
        <f t="shared" si="271"/>
        <v>0</v>
      </c>
      <c r="MD34" s="193">
        <f t="shared" si="271"/>
        <v>0</v>
      </c>
      <c r="ME34" s="193">
        <f t="shared" si="271"/>
        <v>0</v>
      </c>
      <c r="MF34" s="193">
        <f t="shared" si="271"/>
        <v>0</v>
      </c>
      <c r="MG34" s="193">
        <f t="shared" si="271"/>
        <v>0</v>
      </c>
      <c r="MH34" s="193">
        <f t="shared" si="271"/>
        <v>0</v>
      </c>
      <c r="MI34" s="193">
        <f t="shared" si="271"/>
        <v>0</v>
      </c>
      <c r="MJ34" s="193">
        <f t="shared" si="271"/>
        <v>0</v>
      </c>
      <c r="MK34" s="193">
        <f t="shared" si="271"/>
        <v>0</v>
      </c>
      <c r="ML34" s="193">
        <f t="shared" si="271"/>
        <v>0</v>
      </c>
      <c r="MM34" s="193">
        <f t="shared" si="271"/>
        <v>0</v>
      </c>
      <c r="MN34" s="193">
        <f t="shared" si="271"/>
        <v>0</v>
      </c>
      <c r="MO34" s="193">
        <f t="shared" si="271"/>
        <v>0</v>
      </c>
      <c r="MP34" s="193">
        <f t="shared" si="271"/>
        <v>0</v>
      </c>
      <c r="MQ34" s="193">
        <f t="shared" si="271"/>
        <v>0</v>
      </c>
      <c r="MR34" s="193">
        <f t="shared" si="271"/>
        <v>0</v>
      </c>
      <c r="MS34" s="193">
        <f t="shared" si="271"/>
        <v>0</v>
      </c>
      <c r="MT34" s="193">
        <f t="shared" si="271"/>
        <v>0</v>
      </c>
      <c r="MU34" s="193">
        <f t="shared" si="271"/>
        <v>0</v>
      </c>
      <c r="MV34" s="193">
        <f t="shared" si="271"/>
        <v>0</v>
      </c>
      <c r="MW34" s="193">
        <f t="shared" si="271"/>
        <v>0</v>
      </c>
      <c r="MX34" s="193">
        <f t="shared" si="271"/>
        <v>0</v>
      </c>
      <c r="MY34" s="193">
        <f t="shared" si="271"/>
        <v>0</v>
      </c>
      <c r="MZ34" s="193">
        <f t="shared" si="271"/>
        <v>0</v>
      </c>
      <c r="NA34" s="193">
        <f t="shared" si="271"/>
        <v>0</v>
      </c>
      <c r="NB34" s="193">
        <f t="shared" si="271"/>
        <v>0</v>
      </c>
      <c r="NC34" s="193">
        <f t="shared" si="271"/>
        <v>0</v>
      </c>
      <c r="ND34" s="193">
        <f t="shared" si="271"/>
        <v>0</v>
      </c>
      <c r="NE34" s="193">
        <f t="shared" si="271"/>
        <v>0</v>
      </c>
      <c r="NF34" s="193">
        <f t="shared" si="271"/>
        <v>0</v>
      </c>
      <c r="NG34" s="193">
        <f t="shared" si="271"/>
        <v>0</v>
      </c>
      <c r="NH34" s="193">
        <f t="shared" si="271"/>
        <v>0</v>
      </c>
      <c r="NI34" s="193">
        <f t="shared" si="271"/>
        <v>0</v>
      </c>
      <c r="NJ34" s="193">
        <f t="shared" si="271"/>
        <v>0</v>
      </c>
      <c r="NK34" s="193">
        <f t="shared" si="271"/>
        <v>0</v>
      </c>
      <c r="NL34" s="193">
        <f t="shared" si="271"/>
        <v>0</v>
      </c>
      <c r="NM34" s="193">
        <f t="shared" si="271"/>
        <v>0</v>
      </c>
      <c r="NN34" s="193">
        <f t="shared" si="271"/>
        <v>0</v>
      </c>
      <c r="NO34" s="193">
        <f t="shared" si="271"/>
        <v>0</v>
      </c>
      <c r="NP34" s="193">
        <f t="shared" si="271"/>
        <v>0</v>
      </c>
      <c r="NQ34" s="193">
        <f t="shared" si="271"/>
        <v>0</v>
      </c>
      <c r="NR34" s="193">
        <f t="shared" si="271"/>
        <v>0</v>
      </c>
      <c r="NS34" s="193">
        <f t="shared" si="271"/>
        <v>0</v>
      </c>
      <c r="NT34" s="193">
        <f t="shared" si="271"/>
        <v>0</v>
      </c>
      <c r="NU34" s="193">
        <f t="shared" si="271"/>
        <v>0</v>
      </c>
      <c r="NV34" s="193">
        <f t="shared" si="271"/>
        <v>0</v>
      </c>
      <c r="NW34" s="193">
        <f t="shared" si="271"/>
        <v>0</v>
      </c>
      <c r="NX34" s="193">
        <f t="shared" si="271"/>
        <v>0</v>
      </c>
      <c r="NY34" s="193">
        <f t="shared" si="271"/>
        <v>0</v>
      </c>
      <c r="NZ34" s="193">
        <f t="shared" si="271"/>
        <v>0</v>
      </c>
      <c r="OA34" s="193">
        <f t="shared" si="271"/>
        <v>0</v>
      </c>
      <c r="OB34" s="193">
        <f t="shared" ref="OB34:QS34" si="272">OB32+OB33</f>
        <v>0</v>
      </c>
      <c r="OC34" s="193">
        <f t="shared" si="272"/>
        <v>0</v>
      </c>
      <c r="OD34" s="193">
        <f t="shared" si="272"/>
        <v>0</v>
      </c>
      <c r="OE34" s="193">
        <f t="shared" si="272"/>
        <v>0</v>
      </c>
      <c r="OF34" s="193">
        <f t="shared" si="272"/>
        <v>0</v>
      </c>
      <c r="OG34" s="193">
        <f t="shared" si="272"/>
        <v>0</v>
      </c>
      <c r="OH34" s="193">
        <f t="shared" si="272"/>
        <v>0</v>
      </c>
      <c r="OI34" s="193">
        <f t="shared" ref="OI34:OT34" si="273">OI32+OI33</f>
        <v>0</v>
      </c>
      <c r="OJ34" s="193">
        <f t="shared" si="273"/>
        <v>0</v>
      </c>
      <c r="OK34" s="193">
        <f t="shared" si="273"/>
        <v>0</v>
      </c>
      <c r="OL34" s="193">
        <f t="shared" si="273"/>
        <v>0</v>
      </c>
      <c r="OM34" s="193">
        <f t="shared" si="273"/>
        <v>0</v>
      </c>
      <c r="ON34" s="193">
        <f t="shared" si="273"/>
        <v>0</v>
      </c>
      <c r="OO34" s="193">
        <f t="shared" si="273"/>
        <v>0</v>
      </c>
      <c r="OP34" s="193">
        <f t="shared" si="273"/>
        <v>0</v>
      </c>
      <c r="OQ34" s="193">
        <f t="shared" si="273"/>
        <v>0</v>
      </c>
      <c r="OR34" s="193">
        <f t="shared" si="273"/>
        <v>0</v>
      </c>
      <c r="OS34" s="193">
        <f t="shared" si="273"/>
        <v>0</v>
      </c>
      <c r="OT34" s="193">
        <f t="shared" si="273"/>
        <v>0</v>
      </c>
      <c r="OU34" s="193">
        <f t="shared" si="272"/>
        <v>0</v>
      </c>
      <c r="OV34" s="193">
        <f t="shared" si="272"/>
        <v>0</v>
      </c>
      <c r="OW34" s="193">
        <f t="shared" si="272"/>
        <v>0</v>
      </c>
      <c r="OX34" s="193">
        <f t="shared" si="272"/>
        <v>0</v>
      </c>
      <c r="OY34" s="193">
        <f t="shared" si="272"/>
        <v>0</v>
      </c>
      <c r="OZ34" s="193">
        <f t="shared" si="272"/>
        <v>0</v>
      </c>
      <c r="PA34" s="193">
        <f t="shared" si="272"/>
        <v>0</v>
      </c>
      <c r="PB34" s="193">
        <f t="shared" si="272"/>
        <v>0</v>
      </c>
      <c r="PC34" s="193">
        <f t="shared" si="272"/>
        <v>0</v>
      </c>
      <c r="PD34" s="193">
        <f t="shared" si="272"/>
        <v>0</v>
      </c>
      <c r="PE34" s="193">
        <f t="shared" si="272"/>
        <v>0</v>
      </c>
      <c r="PF34" s="193">
        <f t="shared" si="272"/>
        <v>0</v>
      </c>
      <c r="PG34" s="193">
        <f t="shared" si="272"/>
        <v>0</v>
      </c>
      <c r="PH34" s="193">
        <f t="shared" si="272"/>
        <v>0</v>
      </c>
      <c r="PI34" s="193">
        <f t="shared" si="272"/>
        <v>0</v>
      </c>
      <c r="PJ34" s="193">
        <f t="shared" si="272"/>
        <v>0</v>
      </c>
      <c r="PK34" s="193">
        <f t="shared" si="272"/>
        <v>0</v>
      </c>
      <c r="PL34" s="193">
        <f t="shared" si="272"/>
        <v>0</v>
      </c>
      <c r="PM34" s="193">
        <f t="shared" si="272"/>
        <v>0</v>
      </c>
      <c r="PN34" s="193">
        <f t="shared" si="272"/>
        <v>0</v>
      </c>
      <c r="PO34" s="193">
        <f t="shared" si="272"/>
        <v>0</v>
      </c>
      <c r="PP34" s="193">
        <f t="shared" si="272"/>
        <v>0</v>
      </c>
      <c r="PQ34" s="193">
        <f t="shared" si="272"/>
        <v>0</v>
      </c>
      <c r="PR34" s="193">
        <f t="shared" si="272"/>
        <v>0</v>
      </c>
      <c r="PS34" s="193">
        <f t="shared" si="272"/>
        <v>0</v>
      </c>
      <c r="PT34" s="193">
        <f t="shared" si="272"/>
        <v>0</v>
      </c>
      <c r="PU34" s="193">
        <f t="shared" si="272"/>
        <v>0</v>
      </c>
      <c r="PV34" s="193">
        <f t="shared" ref="PV34:QA34" si="274">PV32</f>
        <v>0</v>
      </c>
      <c r="PW34" s="193">
        <f t="shared" si="274"/>
        <v>0</v>
      </c>
      <c r="PX34" s="193">
        <f t="shared" si="274"/>
        <v>0</v>
      </c>
      <c r="PY34" s="193">
        <f t="shared" si="274"/>
        <v>0</v>
      </c>
      <c r="PZ34" s="193">
        <f t="shared" si="274"/>
        <v>0</v>
      </c>
      <c r="QA34" s="193">
        <f t="shared" si="274"/>
        <v>0</v>
      </c>
      <c r="QB34" s="193">
        <f t="shared" ref="QB34:QH34" si="275">QB32+QB33</f>
        <v>0</v>
      </c>
      <c r="QC34" s="193">
        <f t="shared" si="275"/>
        <v>0</v>
      </c>
      <c r="QD34" s="193">
        <f t="shared" si="275"/>
        <v>0</v>
      </c>
      <c r="QE34" s="193">
        <f t="shared" si="275"/>
        <v>0</v>
      </c>
      <c r="QF34" s="193">
        <f t="shared" si="275"/>
        <v>0</v>
      </c>
      <c r="QG34" s="193">
        <f t="shared" si="275"/>
        <v>0</v>
      </c>
      <c r="QH34" s="193">
        <f t="shared" si="275"/>
        <v>0</v>
      </c>
      <c r="QI34" s="193">
        <f t="shared" si="272"/>
        <v>0</v>
      </c>
      <c r="QJ34" s="193">
        <f t="shared" si="272"/>
        <v>0</v>
      </c>
      <c r="QK34" s="193">
        <f t="shared" si="272"/>
        <v>0</v>
      </c>
      <c r="QL34" s="193">
        <f t="shared" si="272"/>
        <v>0</v>
      </c>
      <c r="QM34" s="193">
        <f t="shared" si="272"/>
        <v>0</v>
      </c>
      <c r="QN34" s="193">
        <f t="shared" si="272"/>
        <v>0</v>
      </c>
      <c r="QO34" s="193">
        <f t="shared" si="272"/>
        <v>0</v>
      </c>
      <c r="QP34" s="193">
        <f t="shared" si="272"/>
        <v>0</v>
      </c>
      <c r="QQ34" s="193">
        <f t="shared" si="272"/>
        <v>0</v>
      </c>
      <c r="QR34" s="193">
        <f t="shared" si="272"/>
        <v>0</v>
      </c>
      <c r="QS34" s="193">
        <f t="shared" si="272"/>
        <v>0</v>
      </c>
      <c r="QT34" s="193">
        <f t="shared" ref="QT34" si="276">QT32+QT33</f>
        <v>0</v>
      </c>
      <c r="QU34" s="193"/>
      <c r="QV34" s="193"/>
      <c r="QW34" s="193"/>
      <c r="QX34" s="193"/>
      <c r="QY34" s="193"/>
      <c r="QZ34" s="193"/>
      <c r="RA34" s="193"/>
      <c r="RB34" s="193">
        <f>RB32+RB33</f>
        <v>0</v>
      </c>
      <c r="RC34" s="193">
        <f>RC32</f>
        <v>0</v>
      </c>
      <c r="RD34" s="193">
        <f t="shared" ref="RD34:RE34" si="277">RD32</f>
        <v>0</v>
      </c>
      <c r="RE34" s="193">
        <f t="shared" si="277"/>
        <v>0</v>
      </c>
      <c r="RF34" s="193">
        <f t="shared" ref="RF34:RU34" si="278">RF32</f>
        <v>0</v>
      </c>
      <c r="RG34" s="193">
        <f t="shared" si="278"/>
        <v>0</v>
      </c>
      <c r="RH34" s="193">
        <f t="shared" si="278"/>
        <v>0</v>
      </c>
      <c r="RI34" s="193">
        <f t="shared" si="278"/>
        <v>0</v>
      </c>
      <c r="RJ34" s="193">
        <f t="shared" si="278"/>
        <v>0</v>
      </c>
      <c r="RK34" s="193">
        <f t="shared" si="278"/>
        <v>0</v>
      </c>
      <c r="RL34" s="193">
        <f t="shared" si="278"/>
        <v>0</v>
      </c>
      <c r="RM34" s="193">
        <f t="shared" si="278"/>
        <v>0</v>
      </c>
      <c r="RN34" s="193">
        <f t="shared" si="278"/>
        <v>0</v>
      </c>
      <c r="RO34" s="193"/>
      <c r="RP34" s="193"/>
      <c r="RQ34" s="193"/>
      <c r="RR34" s="193"/>
      <c r="RS34" s="193"/>
      <c r="RT34" s="193"/>
      <c r="RU34" s="193">
        <f t="shared" si="278"/>
        <v>0</v>
      </c>
      <c r="RV34" s="193"/>
      <c r="RW34" s="193">
        <f>RW32</f>
        <v>0</v>
      </c>
      <c r="RX34" s="193"/>
      <c r="RY34" s="193">
        <f>RY32</f>
        <v>0</v>
      </c>
      <c r="RZ34" s="193"/>
      <c r="SA34" s="193">
        <f t="shared" ref="SA34:SG34" si="279">SA32</f>
        <v>0</v>
      </c>
      <c r="SB34" s="193">
        <f t="shared" si="279"/>
        <v>0</v>
      </c>
      <c r="SC34" s="193">
        <f t="shared" si="279"/>
        <v>0</v>
      </c>
      <c r="SD34" s="193">
        <f t="shared" si="279"/>
        <v>0</v>
      </c>
      <c r="SE34" s="193">
        <f t="shared" si="279"/>
        <v>0</v>
      </c>
      <c r="SF34" s="193">
        <f t="shared" si="279"/>
        <v>0</v>
      </c>
      <c r="SG34" s="193">
        <f t="shared" si="279"/>
        <v>0</v>
      </c>
      <c r="SH34" s="193"/>
      <c r="SI34" s="193">
        <f t="shared" ref="SI34:SN34" si="280">SI32</f>
        <v>0</v>
      </c>
      <c r="SJ34" s="193">
        <f t="shared" si="280"/>
        <v>0</v>
      </c>
      <c r="SK34" s="193">
        <f t="shared" si="280"/>
        <v>0</v>
      </c>
      <c r="SL34" s="193">
        <f t="shared" si="280"/>
        <v>0</v>
      </c>
      <c r="SM34" s="193">
        <f t="shared" si="280"/>
        <v>0</v>
      </c>
      <c r="SN34" s="193">
        <f t="shared" si="280"/>
        <v>0</v>
      </c>
      <c r="SO34" s="193">
        <f t="shared" ref="SO34:SP34" si="281">SO32</f>
        <v>0</v>
      </c>
      <c r="SP34" s="193">
        <f t="shared" si="281"/>
        <v>0</v>
      </c>
      <c r="SQ34" s="193"/>
      <c r="SR34" s="193"/>
      <c r="SS34" s="195"/>
    </row>
    <row r="35" spans="1:513" s="194" customFormat="1" ht="19.5" customHeight="1">
      <c r="A35" s="221" t="s">
        <v>334</v>
      </c>
      <c r="B35" s="242"/>
      <c r="C35" s="242"/>
      <c r="D35" s="242"/>
      <c r="E35" s="222"/>
      <c r="F35" s="193">
        <f>F34</f>
        <v>0</v>
      </c>
      <c r="G35" s="193">
        <f t="shared" ref="G35:BR35" si="282">G34</f>
        <v>0</v>
      </c>
      <c r="H35" s="193">
        <f t="shared" si="282"/>
        <v>0</v>
      </c>
      <c r="I35" s="193">
        <f t="shared" si="282"/>
        <v>0</v>
      </c>
      <c r="J35" s="193">
        <f t="shared" si="282"/>
        <v>0</v>
      </c>
      <c r="K35" s="193">
        <f t="shared" si="282"/>
        <v>0</v>
      </c>
      <c r="L35" s="193">
        <f t="shared" si="282"/>
        <v>0</v>
      </c>
      <c r="M35" s="193">
        <f t="shared" si="282"/>
        <v>0</v>
      </c>
      <c r="N35" s="193">
        <f t="shared" si="282"/>
        <v>0</v>
      </c>
      <c r="O35" s="193">
        <f t="shared" si="282"/>
        <v>0</v>
      </c>
      <c r="P35" s="193">
        <f t="shared" si="282"/>
        <v>0</v>
      </c>
      <c r="Q35" s="193">
        <f t="shared" si="282"/>
        <v>0</v>
      </c>
      <c r="R35" s="193">
        <f t="shared" si="282"/>
        <v>0</v>
      </c>
      <c r="S35" s="193">
        <f t="shared" si="282"/>
        <v>0</v>
      </c>
      <c r="T35" s="193">
        <f t="shared" si="282"/>
        <v>0</v>
      </c>
      <c r="U35" s="193">
        <f t="shared" si="282"/>
        <v>0</v>
      </c>
      <c r="V35" s="193">
        <f t="shared" si="282"/>
        <v>0</v>
      </c>
      <c r="W35" s="193">
        <f t="shared" si="282"/>
        <v>35</v>
      </c>
      <c r="X35" s="193">
        <f t="shared" si="282"/>
        <v>0</v>
      </c>
      <c r="Y35" s="193">
        <f t="shared" si="282"/>
        <v>48</v>
      </c>
      <c r="Z35" s="193">
        <f t="shared" si="282"/>
        <v>0</v>
      </c>
      <c r="AA35" s="193">
        <f t="shared" si="282"/>
        <v>41</v>
      </c>
      <c r="AB35" s="193">
        <f t="shared" si="282"/>
        <v>0</v>
      </c>
      <c r="AC35" s="193">
        <f t="shared" si="282"/>
        <v>21</v>
      </c>
      <c r="AD35" s="193">
        <f t="shared" si="282"/>
        <v>0</v>
      </c>
      <c r="AE35" s="193">
        <f t="shared" si="282"/>
        <v>22</v>
      </c>
      <c r="AF35" s="193">
        <f t="shared" si="282"/>
        <v>0</v>
      </c>
      <c r="AG35" s="193">
        <f t="shared" si="282"/>
        <v>167</v>
      </c>
      <c r="AH35" s="193">
        <f t="shared" si="282"/>
        <v>167</v>
      </c>
      <c r="AI35" s="193">
        <f t="shared" si="282"/>
        <v>0</v>
      </c>
      <c r="AJ35" s="193">
        <f t="shared" si="282"/>
        <v>35</v>
      </c>
      <c r="AK35" s="193">
        <f t="shared" si="282"/>
        <v>0</v>
      </c>
      <c r="AL35" s="193">
        <f t="shared" si="282"/>
        <v>48</v>
      </c>
      <c r="AM35" s="193">
        <f t="shared" si="282"/>
        <v>0</v>
      </c>
      <c r="AN35" s="193">
        <f t="shared" si="282"/>
        <v>41</v>
      </c>
      <c r="AO35" s="193">
        <f t="shared" si="282"/>
        <v>0</v>
      </c>
      <c r="AP35" s="193">
        <f t="shared" si="282"/>
        <v>21</v>
      </c>
      <c r="AQ35" s="193">
        <f t="shared" si="282"/>
        <v>0</v>
      </c>
      <c r="AR35" s="193">
        <f t="shared" si="282"/>
        <v>22</v>
      </c>
      <c r="AS35" s="193">
        <f t="shared" si="282"/>
        <v>0</v>
      </c>
      <c r="AT35" s="193">
        <f t="shared" si="282"/>
        <v>167</v>
      </c>
      <c r="AU35" s="193">
        <f t="shared" si="282"/>
        <v>167</v>
      </c>
      <c r="AV35" s="193">
        <f t="shared" si="282"/>
        <v>0</v>
      </c>
      <c r="AW35" s="193">
        <f t="shared" si="282"/>
        <v>18</v>
      </c>
      <c r="AX35" s="193">
        <f t="shared" si="282"/>
        <v>0</v>
      </c>
      <c r="AY35" s="193">
        <f t="shared" si="282"/>
        <v>17</v>
      </c>
      <c r="AZ35" s="193">
        <f t="shared" si="282"/>
        <v>0</v>
      </c>
      <c r="BA35" s="193">
        <f t="shared" si="282"/>
        <v>14</v>
      </c>
      <c r="BB35" s="193">
        <f t="shared" si="282"/>
        <v>0</v>
      </c>
      <c r="BC35" s="193">
        <f t="shared" si="282"/>
        <v>19</v>
      </c>
      <c r="BD35" s="193">
        <f t="shared" si="282"/>
        <v>0</v>
      </c>
      <c r="BE35" s="193">
        <f t="shared" si="282"/>
        <v>34</v>
      </c>
      <c r="BF35" s="193">
        <f t="shared" si="282"/>
        <v>0</v>
      </c>
      <c r="BG35" s="193">
        <f t="shared" si="282"/>
        <v>102</v>
      </c>
      <c r="BH35" s="193">
        <f t="shared" si="282"/>
        <v>102</v>
      </c>
      <c r="BI35" s="193">
        <f t="shared" si="282"/>
        <v>0</v>
      </c>
      <c r="BJ35" s="193">
        <f t="shared" si="282"/>
        <v>18</v>
      </c>
      <c r="BK35" s="193">
        <f t="shared" si="282"/>
        <v>0</v>
      </c>
      <c r="BL35" s="193">
        <f t="shared" si="282"/>
        <v>21</v>
      </c>
      <c r="BM35" s="193">
        <f t="shared" si="282"/>
        <v>0</v>
      </c>
      <c r="BN35" s="193">
        <f t="shared" si="282"/>
        <v>18</v>
      </c>
      <c r="BO35" s="193">
        <f t="shared" si="282"/>
        <v>0</v>
      </c>
      <c r="BP35" s="193">
        <f t="shared" si="282"/>
        <v>16</v>
      </c>
      <c r="BQ35" s="193">
        <f t="shared" si="282"/>
        <v>0</v>
      </c>
      <c r="BR35" s="193">
        <f t="shared" si="282"/>
        <v>4</v>
      </c>
      <c r="BS35" s="193">
        <f t="shared" ref="BS35:ED35" si="283">BS34</f>
        <v>0</v>
      </c>
      <c r="BT35" s="193">
        <f t="shared" si="283"/>
        <v>77</v>
      </c>
      <c r="BU35" s="193">
        <f t="shared" si="283"/>
        <v>77</v>
      </c>
      <c r="BV35" s="193">
        <f t="shared" si="283"/>
        <v>0</v>
      </c>
      <c r="BW35" s="193">
        <f t="shared" si="283"/>
        <v>35</v>
      </c>
      <c r="BX35" s="193">
        <f t="shared" si="283"/>
        <v>0</v>
      </c>
      <c r="BY35" s="193">
        <f t="shared" si="283"/>
        <v>66</v>
      </c>
      <c r="BZ35" s="193">
        <f t="shared" si="283"/>
        <v>0</v>
      </c>
      <c r="CA35" s="193">
        <f t="shared" si="283"/>
        <v>76</v>
      </c>
      <c r="CB35" s="193">
        <f t="shared" si="283"/>
        <v>0</v>
      </c>
      <c r="CC35" s="193">
        <f t="shared" si="283"/>
        <v>56</v>
      </c>
      <c r="CD35" s="193">
        <f t="shared" si="283"/>
        <v>0</v>
      </c>
      <c r="CE35" s="193">
        <f t="shared" si="283"/>
        <v>59</v>
      </c>
      <c r="CF35" s="193">
        <f t="shared" si="283"/>
        <v>0</v>
      </c>
      <c r="CG35" s="193">
        <f t="shared" si="283"/>
        <v>50</v>
      </c>
      <c r="CH35" s="193">
        <f t="shared" si="283"/>
        <v>0</v>
      </c>
      <c r="CI35" s="193">
        <f t="shared" si="283"/>
        <v>4</v>
      </c>
      <c r="CJ35" s="193">
        <f t="shared" si="283"/>
        <v>0</v>
      </c>
      <c r="CK35" s="193">
        <f t="shared" si="283"/>
        <v>346</v>
      </c>
      <c r="CL35" s="193">
        <f t="shared" si="283"/>
        <v>346</v>
      </c>
      <c r="CM35" s="193">
        <f t="shared" si="283"/>
        <v>0</v>
      </c>
      <c r="CN35" s="193">
        <f t="shared" si="283"/>
        <v>4</v>
      </c>
      <c r="CO35" s="193">
        <f t="shared" si="283"/>
        <v>0</v>
      </c>
      <c r="CP35" s="193">
        <f t="shared" si="283"/>
        <v>0</v>
      </c>
      <c r="CQ35" s="193">
        <f t="shared" si="283"/>
        <v>3</v>
      </c>
      <c r="CR35" s="193">
        <f t="shared" si="283"/>
        <v>0</v>
      </c>
      <c r="CS35" s="193">
        <f t="shared" si="283"/>
        <v>0</v>
      </c>
      <c r="CT35" s="193">
        <f t="shared" si="283"/>
        <v>3</v>
      </c>
      <c r="CU35" s="193">
        <f t="shared" si="283"/>
        <v>0</v>
      </c>
      <c r="CV35" s="193">
        <f t="shared" si="283"/>
        <v>0</v>
      </c>
      <c r="CW35" s="193">
        <f t="shared" si="283"/>
        <v>10</v>
      </c>
      <c r="CX35" s="193">
        <f t="shared" si="283"/>
        <v>0</v>
      </c>
      <c r="CY35" s="193">
        <f t="shared" si="283"/>
        <v>10</v>
      </c>
      <c r="CZ35" s="193">
        <f t="shared" si="283"/>
        <v>0</v>
      </c>
      <c r="DA35" s="193">
        <f t="shared" si="283"/>
        <v>3</v>
      </c>
      <c r="DB35" s="193">
        <f t="shared" si="283"/>
        <v>0</v>
      </c>
      <c r="DC35" s="193">
        <f t="shared" si="283"/>
        <v>5</v>
      </c>
      <c r="DD35" s="193">
        <f t="shared" si="283"/>
        <v>0</v>
      </c>
      <c r="DE35" s="193">
        <f t="shared" si="283"/>
        <v>0</v>
      </c>
      <c r="DF35" s="193">
        <f t="shared" si="283"/>
        <v>0</v>
      </c>
      <c r="DG35" s="193">
        <f t="shared" si="283"/>
        <v>8</v>
      </c>
      <c r="DH35" s="193">
        <f t="shared" si="283"/>
        <v>8</v>
      </c>
      <c r="DI35" s="193">
        <f t="shared" si="283"/>
        <v>0</v>
      </c>
      <c r="DJ35" s="193">
        <f t="shared" si="283"/>
        <v>0</v>
      </c>
      <c r="DK35" s="193">
        <f t="shared" si="283"/>
        <v>0</v>
      </c>
      <c r="DL35" s="193">
        <f t="shared" si="283"/>
        <v>0</v>
      </c>
      <c r="DM35" s="193">
        <f t="shared" si="283"/>
        <v>0</v>
      </c>
      <c r="DN35" s="193">
        <f t="shared" si="283"/>
        <v>0</v>
      </c>
      <c r="DO35" s="193">
        <f t="shared" si="283"/>
        <v>0</v>
      </c>
      <c r="DP35" s="193">
        <f t="shared" si="283"/>
        <v>0</v>
      </c>
      <c r="DQ35" s="193">
        <f t="shared" si="283"/>
        <v>0</v>
      </c>
      <c r="DR35" s="193">
        <f t="shared" si="283"/>
        <v>0</v>
      </c>
      <c r="DS35" s="193">
        <f t="shared" si="283"/>
        <v>84</v>
      </c>
      <c r="DT35" s="193">
        <f t="shared" si="283"/>
        <v>0</v>
      </c>
      <c r="DU35" s="193">
        <f t="shared" si="283"/>
        <v>66</v>
      </c>
      <c r="DV35" s="193">
        <f t="shared" si="283"/>
        <v>0</v>
      </c>
      <c r="DW35" s="193">
        <f t="shared" si="283"/>
        <v>60</v>
      </c>
      <c r="DX35" s="193">
        <f t="shared" si="283"/>
        <v>0</v>
      </c>
      <c r="DY35" s="193">
        <f t="shared" si="283"/>
        <v>210</v>
      </c>
      <c r="DZ35" s="193">
        <f t="shared" si="283"/>
        <v>210</v>
      </c>
      <c r="EA35" s="193">
        <f t="shared" si="283"/>
        <v>0</v>
      </c>
      <c r="EB35" s="193">
        <f t="shared" si="283"/>
        <v>4</v>
      </c>
      <c r="EC35" s="193">
        <f t="shared" si="283"/>
        <v>0</v>
      </c>
      <c r="ED35" s="193">
        <f t="shared" si="283"/>
        <v>5</v>
      </c>
      <c r="EE35" s="193">
        <f t="shared" ref="EE35:GR35" si="284">EE34</f>
        <v>0</v>
      </c>
      <c r="EF35" s="193">
        <f t="shared" si="284"/>
        <v>4</v>
      </c>
      <c r="EG35" s="193">
        <f t="shared" si="284"/>
        <v>0</v>
      </c>
      <c r="EH35" s="193">
        <f t="shared" si="284"/>
        <v>13</v>
      </c>
      <c r="EI35" s="193">
        <f t="shared" si="284"/>
        <v>13</v>
      </c>
      <c r="EJ35" s="193">
        <f t="shared" si="284"/>
        <v>0</v>
      </c>
      <c r="EK35" s="193">
        <f t="shared" si="284"/>
        <v>5</v>
      </c>
      <c r="EL35" s="193">
        <f t="shared" si="284"/>
        <v>0</v>
      </c>
      <c r="EM35" s="193">
        <f t="shared" si="284"/>
        <v>2</v>
      </c>
      <c r="EN35" s="193">
        <f t="shared" si="284"/>
        <v>0</v>
      </c>
      <c r="EO35" s="193">
        <f t="shared" si="284"/>
        <v>0</v>
      </c>
      <c r="EP35" s="193">
        <f t="shared" si="284"/>
        <v>0</v>
      </c>
      <c r="EQ35" s="193">
        <f t="shared" si="284"/>
        <v>7</v>
      </c>
      <c r="ER35" s="193">
        <f t="shared" si="284"/>
        <v>7</v>
      </c>
      <c r="ES35" s="193">
        <f t="shared" si="284"/>
        <v>0</v>
      </c>
      <c r="ET35" s="193">
        <f t="shared" si="284"/>
        <v>0</v>
      </c>
      <c r="EU35" s="193">
        <f t="shared" si="284"/>
        <v>0</v>
      </c>
      <c r="EV35" s="193">
        <f t="shared" si="284"/>
        <v>0</v>
      </c>
      <c r="EW35" s="193">
        <f t="shared" si="284"/>
        <v>0</v>
      </c>
      <c r="EX35" s="193">
        <f t="shared" si="284"/>
        <v>1</v>
      </c>
      <c r="EY35" s="193">
        <f t="shared" si="284"/>
        <v>0</v>
      </c>
      <c r="EZ35" s="193">
        <f t="shared" si="284"/>
        <v>1</v>
      </c>
      <c r="FA35" s="193">
        <f t="shared" si="284"/>
        <v>1</v>
      </c>
      <c r="FB35" s="193">
        <f t="shared" si="284"/>
        <v>0</v>
      </c>
      <c r="FC35" s="193">
        <f t="shared" si="284"/>
        <v>0</v>
      </c>
      <c r="FD35" s="193">
        <f t="shared" si="284"/>
        <v>0</v>
      </c>
      <c r="FE35" s="193">
        <f t="shared" si="284"/>
        <v>0</v>
      </c>
      <c r="FF35" s="193">
        <f t="shared" si="284"/>
        <v>0</v>
      </c>
      <c r="FG35" s="193">
        <f t="shared" si="284"/>
        <v>0</v>
      </c>
      <c r="FH35" s="193">
        <f t="shared" si="284"/>
        <v>0</v>
      </c>
      <c r="FI35" s="193">
        <f t="shared" si="284"/>
        <v>0</v>
      </c>
      <c r="FJ35" s="193">
        <f t="shared" si="284"/>
        <v>0</v>
      </c>
      <c r="FK35" s="193">
        <f t="shared" si="284"/>
        <v>0</v>
      </c>
      <c r="FL35" s="193">
        <f t="shared" si="284"/>
        <v>0</v>
      </c>
      <c r="FM35" s="193">
        <f t="shared" si="284"/>
        <v>0</v>
      </c>
      <c r="FN35" s="193">
        <f t="shared" si="284"/>
        <v>0</v>
      </c>
      <c r="FO35" s="193">
        <f t="shared" si="284"/>
        <v>0</v>
      </c>
      <c r="FP35" s="193">
        <f t="shared" si="284"/>
        <v>0</v>
      </c>
      <c r="FQ35" s="193">
        <f t="shared" si="284"/>
        <v>0</v>
      </c>
      <c r="FR35" s="193">
        <f t="shared" si="284"/>
        <v>0</v>
      </c>
      <c r="FS35" s="193">
        <f t="shared" si="284"/>
        <v>0</v>
      </c>
      <c r="FT35" s="193">
        <f t="shared" si="284"/>
        <v>0</v>
      </c>
      <c r="FU35" s="193">
        <f t="shared" si="284"/>
        <v>0</v>
      </c>
      <c r="FV35" s="193">
        <f t="shared" si="284"/>
        <v>0</v>
      </c>
      <c r="FW35" s="193">
        <f t="shared" si="284"/>
        <v>0</v>
      </c>
      <c r="FX35" s="193">
        <f t="shared" si="284"/>
        <v>0</v>
      </c>
      <c r="FY35" s="193">
        <f t="shared" si="284"/>
        <v>0</v>
      </c>
      <c r="FZ35" s="193">
        <f t="shared" si="284"/>
        <v>0</v>
      </c>
      <c r="GA35" s="193">
        <f t="shared" si="284"/>
        <v>0</v>
      </c>
      <c r="GB35" s="193">
        <f t="shared" si="284"/>
        <v>0</v>
      </c>
      <c r="GC35" s="193"/>
      <c r="GD35" s="193"/>
      <c r="GE35" s="193">
        <f t="shared" si="284"/>
        <v>0</v>
      </c>
      <c r="GF35" s="193">
        <f t="shared" si="284"/>
        <v>0</v>
      </c>
      <c r="GG35" s="193">
        <f t="shared" si="284"/>
        <v>0</v>
      </c>
      <c r="GH35" s="193">
        <f t="shared" si="284"/>
        <v>0</v>
      </c>
      <c r="GI35" s="193">
        <f t="shared" si="284"/>
        <v>0</v>
      </c>
      <c r="GJ35" s="193">
        <f t="shared" si="284"/>
        <v>0</v>
      </c>
      <c r="GK35" s="193">
        <f t="shared" si="284"/>
        <v>0</v>
      </c>
      <c r="GL35" s="193">
        <f t="shared" si="284"/>
        <v>0</v>
      </c>
      <c r="GM35" s="193">
        <f t="shared" si="284"/>
        <v>0</v>
      </c>
      <c r="GN35" s="193">
        <f t="shared" si="284"/>
        <v>0</v>
      </c>
      <c r="GO35" s="193">
        <f t="shared" si="284"/>
        <v>0</v>
      </c>
      <c r="GP35" s="193">
        <f t="shared" si="284"/>
        <v>0</v>
      </c>
      <c r="GQ35" s="193">
        <f t="shared" si="284"/>
        <v>0</v>
      </c>
      <c r="GR35" s="193">
        <f t="shared" si="284"/>
        <v>0</v>
      </c>
      <c r="GS35" s="193">
        <f t="shared" ref="GS35:JD35" si="285">GS34</f>
        <v>0</v>
      </c>
      <c r="GT35" s="193">
        <f t="shared" si="285"/>
        <v>0</v>
      </c>
      <c r="GU35" s="193">
        <f t="shared" si="285"/>
        <v>0</v>
      </c>
      <c r="GV35" s="193">
        <f t="shared" si="285"/>
        <v>0</v>
      </c>
      <c r="GW35" s="193">
        <f t="shared" si="285"/>
        <v>0</v>
      </c>
      <c r="GX35" s="193">
        <f t="shared" si="285"/>
        <v>0</v>
      </c>
      <c r="GY35" s="193">
        <f t="shared" si="285"/>
        <v>0</v>
      </c>
      <c r="GZ35" s="193">
        <f t="shared" si="285"/>
        <v>0</v>
      </c>
      <c r="HA35" s="193">
        <f t="shared" si="285"/>
        <v>0</v>
      </c>
      <c r="HB35" s="193">
        <f t="shared" si="285"/>
        <v>0</v>
      </c>
      <c r="HC35" s="193">
        <f t="shared" si="285"/>
        <v>0</v>
      </c>
      <c r="HD35" s="193">
        <f t="shared" si="285"/>
        <v>0</v>
      </c>
      <c r="HE35" s="193">
        <f t="shared" si="285"/>
        <v>0</v>
      </c>
      <c r="HF35" s="193">
        <f t="shared" si="285"/>
        <v>0</v>
      </c>
      <c r="HG35" s="193">
        <f t="shared" si="285"/>
        <v>0</v>
      </c>
      <c r="HH35" s="193">
        <f t="shared" si="285"/>
        <v>0</v>
      </c>
      <c r="HI35" s="193">
        <f t="shared" si="285"/>
        <v>0</v>
      </c>
      <c r="HJ35" s="193">
        <f t="shared" si="285"/>
        <v>0</v>
      </c>
      <c r="HK35" s="193">
        <f t="shared" si="285"/>
        <v>0</v>
      </c>
      <c r="HL35" s="193">
        <f t="shared" si="285"/>
        <v>0</v>
      </c>
      <c r="HM35" s="193">
        <f t="shared" si="285"/>
        <v>0</v>
      </c>
      <c r="HN35" s="193">
        <f t="shared" si="285"/>
        <v>0</v>
      </c>
      <c r="HO35" s="193">
        <f t="shared" si="285"/>
        <v>0</v>
      </c>
      <c r="HP35" s="193">
        <f t="shared" si="285"/>
        <v>0</v>
      </c>
      <c r="HQ35" s="193">
        <f t="shared" si="285"/>
        <v>0</v>
      </c>
      <c r="HR35" s="193">
        <f t="shared" si="285"/>
        <v>0</v>
      </c>
      <c r="HS35" s="193">
        <f t="shared" si="285"/>
        <v>0</v>
      </c>
      <c r="HT35" s="193">
        <f t="shared" si="285"/>
        <v>0</v>
      </c>
      <c r="HU35" s="193">
        <f t="shared" si="285"/>
        <v>0</v>
      </c>
      <c r="HV35" s="193">
        <f t="shared" si="285"/>
        <v>0</v>
      </c>
      <c r="HW35" s="193">
        <f t="shared" si="285"/>
        <v>0</v>
      </c>
      <c r="HX35" s="193">
        <f t="shared" si="285"/>
        <v>0</v>
      </c>
      <c r="HY35" s="193">
        <f t="shared" si="285"/>
        <v>0</v>
      </c>
      <c r="HZ35" s="193">
        <f t="shared" si="285"/>
        <v>0</v>
      </c>
      <c r="IA35" s="193">
        <f t="shared" si="285"/>
        <v>0</v>
      </c>
      <c r="IB35" s="193">
        <f t="shared" si="285"/>
        <v>0</v>
      </c>
      <c r="IC35" s="193">
        <f t="shared" si="285"/>
        <v>0</v>
      </c>
      <c r="ID35" s="193">
        <f t="shared" si="285"/>
        <v>0</v>
      </c>
      <c r="IE35" s="193">
        <f t="shared" si="285"/>
        <v>0</v>
      </c>
      <c r="IF35" s="193">
        <f t="shared" si="285"/>
        <v>0</v>
      </c>
      <c r="IG35" s="193">
        <f t="shared" si="285"/>
        <v>0</v>
      </c>
      <c r="IH35" s="193">
        <f t="shared" si="285"/>
        <v>0</v>
      </c>
      <c r="II35" s="193">
        <f t="shared" si="285"/>
        <v>0</v>
      </c>
      <c r="IJ35" s="193">
        <f t="shared" si="285"/>
        <v>0</v>
      </c>
      <c r="IK35" s="193">
        <f t="shared" si="285"/>
        <v>0</v>
      </c>
      <c r="IL35" s="193">
        <f t="shared" si="285"/>
        <v>0</v>
      </c>
      <c r="IM35" s="193">
        <f t="shared" si="285"/>
        <v>0</v>
      </c>
      <c r="IN35" s="193">
        <f t="shared" si="285"/>
        <v>0</v>
      </c>
      <c r="IO35" s="193">
        <f t="shared" si="285"/>
        <v>0</v>
      </c>
      <c r="IP35" s="193">
        <f t="shared" si="285"/>
        <v>0</v>
      </c>
      <c r="IQ35" s="193">
        <f t="shared" si="285"/>
        <v>0</v>
      </c>
      <c r="IR35" s="193">
        <f t="shared" si="285"/>
        <v>0</v>
      </c>
      <c r="IS35" s="193">
        <f t="shared" si="285"/>
        <v>0</v>
      </c>
      <c r="IT35" s="193">
        <f t="shared" si="285"/>
        <v>0</v>
      </c>
      <c r="IU35" s="193">
        <f t="shared" si="285"/>
        <v>0</v>
      </c>
      <c r="IV35" s="193">
        <f t="shared" si="285"/>
        <v>0</v>
      </c>
      <c r="IW35" s="193">
        <f t="shared" si="285"/>
        <v>0</v>
      </c>
      <c r="IX35" s="193">
        <f t="shared" si="285"/>
        <v>0</v>
      </c>
      <c r="IY35" s="193">
        <f t="shared" si="285"/>
        <v>0</v>
      </c>
      <c r="IZ35" s="193">
        <f t="shared" si="285"/>
        <v>0</v>
      </c>
      <c r="JA35" s="193">
        <f t="shared" si="285"/>
        <v>0</v>
      </c>
      <c r="JB35" s="193">
        <f t="shared" si="285"/>
        <v>0</v>
      </c>
      <c r="JC35" s="193">
        <f t="shared" si="285"/>
        <v>0</v>
      </c>
      <c r="JD35" s="193">
        <f t="shared" si="285"/>
        <v>0</v>
      </c>
      <c r="JE35" s="193">
        <f t="shared" ref="JE35:LN35" si="286">JE34</f>
        <v>0</v>
      </c>
      <c r="JF35" s="193">
        <f t="shared" si="286"/>
        <v>0</v>
      </c>
      <c r="JG35" s="193">
        <f t="shared" si="286"/>
        <v>0</v>
      </c>
      <c r="JH35" s="193">
        <f t="shared" si="286"/>
        <v>0</v>
      </c>
      <c r="JI35" s="193">
        <f t="shared" si="286"/>
        <v>0</v>
      </c>
      <c r="JJ35" s="193">
        <f t="shared" si="286"/>
        <v>0</v>
      </c>
      <c r="JK35" s="193">
        <f t="shared" si="286"/>
        <v>0</v>
      </c>
      <c r="JL35" s="193">
        <f t="shared" si="286"/>
        <v>0</v>
      </c>
      <c r="JM35" s="193">
        <f t="shared" si="286"/>
        <v>0</v>
      </c>
      <c r="JN35" s="193">
        <f t="shared" si="286"/>
        <v>0</v>
      </c>
      <c r="JO35" s="193">
        <f t="shared" si="286"/>
        <v>0</v>
      </c>
      <c r="JP35" s="193">
        <f t="shared" si="286"/>
        <v>0</v>
      </c>
      <c r="JQ35" s="193">
        <f t="shared" si="286"/>
        <v>0</v>
      </c>
      <c r="JR35" s="193">
        <f t="shared" si="286"/>
        <v>0</v>
      </c>
      <c r="JS35" s="193">
        <f t="shared" si="286"/>
        <v>0</v>
      </c>
      <c r="JT35" s="193">
        <f t="shared" si="286"/>
        <v>0</v>
      </c>
      <c r="JU35" s="193">
        <f t="shared" si="286"/>
        <v>0</v>
      </c>
      <c r="JV35" s="193">
        <f t="shared" si="286"/>
        <v>0</v>
      </c>
      <c r="JW35" s="193">
        <f t="shared" si="286"/>
        <v>0</v>
      </c>
      <c r="JX35" s="193">
        <f t="shared" si="286"/>
        <v>0</v>
      </c>
      <c r="JY35" s="193">
        <f t="shared" si="286"/>
        <v>0</v>
      </c>
      <c r="JZ35" s="193">
        <f t="shared" si="286"/>
        <v>0</v>
      </c>
      <c r="KA35" s="193">
        <f t="shared" si="286"/>
        <v>0</v>
      </c>
      <c r="KB35" s="193">
        <f t="shared" si="286"/>
        <v>0</v>
      </c>
      <c r="KC35" s="193">
        <f t="shared" si="286"/>
        <v>0</v>
      </c>
      <c r="KD35" s="193">
        <f t="shared" si="286"/>
        <v>0</v>
      </c>
      <c r="KE35" s="193">
        <f t="shared" si="286"/>
        <v>0</v>
      </c>
      <c r="KF35" s="193">
        <f t="shared" si="286"/>
        <v>0</v>
      </c>
      <c r="KG35" s="193">
        <f t="shared" si="286"/>
        <v>0</v>
      </c>
      <c r="KH35" s="193">
        <f t="shared" si="286"/>
        <v>0</v>
      </c>
      <c r="KI35" s="193">
        <f t="shared" si="286"/>
        <v>0</v>
      </c>
      <c r="KJ35" s="193">
        <f t="shared" si="286"/>
        <v>0</v>
      </c>
      <c r="KK35" s="193">
        <f t="shared" si="286"/>
        <v>0</v>
      </c>
      <c r="KL35" s="193">
        <f t="shared" si="286"/>
        <v>0</v>
      </c>
      <c r="KM35" s="193">
        <f t="shared" si="286"/>
        <v>0</v>
      </c>
      <c r="KN35" s="193">
        <f t="shared" si="286"/>
        <v>0</v>
      </c>
      <c r="KO35" s="193">
        <f t="shared" si="286"/>
        <v>0</v>
      </c>
      <c r="KP35" s="193">
        <f t="shared" si="286"/>
        <v>0</v>
      </c>
      <c r="KQ35" s="193">
        <f t="shared" si="286"/>
        <v>0</v>
      </c>
      <c r="KR35" s="193">
        <f t="shared" si="286"/>
        <v>0</v>
      </c>
      <c r="KS35" s="193">
        <f t="shared" si="286"/>
        <v>0</v>
      </c>
      <c r="KT35" s="193">
        <f t="shared" si="286"/>
        <v>0</v>
      </c>
      <c r="KU35" s="193">
        <f t="shared" si="286"/>
        <v>0</v>
      </c>
      <c r="KV35" s="193">
        <f t="shared" si="286"/>
        <v>0</v>
      </c>
      <c r="KW35" s="193">
        <f t="shared" si="286"/>
        <v>0</v>
      </c>
      <c r="KX35" s="193">
        <f t="shared" si="286"/>
        <v>0</v>
      </c>
      <c r="KY35" s="193">
        <f t="shared" si="286"/>
        <v>0</v>
      </c>
      <c r="KZ35" s="193">
        <f t="shared" si="286"/>
        <v>0</v>
      </c>
      <c r="LA35" s="193">
        <f t="shared" si="286"/>
        <v>0</v>
      </c>
      <c r="LB35" s="193">
        <f t="shared" si="286"/>
        <v>0</v>
      </c>
      <c r="LC35" s="193">
        <f t="shared" si="286"/>
        <v>0</v>
      </c>
      <c r="LD35" s="193">
        <f t="shared" si="286"/>
        <v>0</v>
      </c>
      <c r="LE35" s="193">
        <f t="shared" si="286"/>
        <v>0</v>
      </c>
      <c r="LF35" s="193">
        <f t="shared" si="286"/>
        <v>0</v>
      </c>
      <c r="LG35" s="193">
        <f t="shared" si="286"/>
        <v>0</v>
      </c>
      <c r="LH35" s="193">
        <f t="shared" si="286"/>
        <v>0</v>
      </c>
      <c r="LI35" s="193">
        <f t="shared" si="286"/>
        <v>0</v>
      </c>
      <c r="LJ35" s="193">
        <f t="shared" si="286"/>
        <v>0</v>
      </c>
      <c r="LK35" s="193">
        <f t="shared" si="286"/>
        <v>0</v>
      </c>
      <c r="LL35" s="193">
        <f t="shared" si="286"/>
        <v>0</v>
      </c>
      <c r="LM35" s="193">
        <f t="shared" si="286"/>
        <v>0</v>
      </c>
      <c r="LN35" s="193">
        <f t="shared" si="286"/>
        <v>0</v>
      </c>
      <c r="LO35" s="193">
        <f t="shared" ref="LO35:LP35" si="287">LO34</f>
        <v>0</v>
      </c>
      <c r="LP35" s="193">
        <f t="shared" si="287"/>
        <v>0</v>
      </c>
      <c r="LQ35" s="193">
        <f t="shared" ref="LQ35:LW35" si="288">LQ34</f>
        <v>0</v>
      </c>
      <c r="LR35" s="193">
        <f t="shared" si="288"/>
        <v>0</v>
      </c>
      <c r="LS35" s="193">
        <f t="shared" si="288"/>
        <v>0</v>
      </c>
      <c r="LT35" s="193">
        <f t="shared" si="288"/>
        <v>0</v>
      </c>
      <c r="LU35" s="193">
        <f t="shared" si="288"/>
        <v>0</v>
      </c>
      <c r="LV35" s="193">
        <f t="shared" si="288"/>
        <v>0</v>
      </c>
      <c r="LW35" s="193">
        <f t="shared" si="288"/>
        <v>0</v>
      </c>
      <c r="LX35" s="193">
        <f t="shared" ref="LX35:MY35" si="289">LX34</f>
        <v>0</v>
      </c>
      <c r="LY35" s="193">
        <f t="shared" ref="LY35:MB35" si="290">LY34</f>
        <v>0</v>
      </c>
      <c r="LZ35" s="193">
        <f t="shared" si="290"/>
        <v>0</v>
      </c>
      <c r="MA35" s="193">
        <f t="shared" si="290"/>
        <v>0</v>
      </c>
      <c r="MB35" s="193">
        <f t="shared" si="290"/>
        <v>0</v>
      </c>
      <c r="MC35" s="193">
        <f t="shared" si="289"/>
        <v>0</v>
      </c>
      <c r="MD35" s="193">
        <f t="shared" si="289"/>
        <v>0</v>
      </c>
      <c r="ME35" s="193">
        <f t="shared" si="289"/>
        <v>0</v>
      </c>
      <c r="MF35" s="193">
        <f t="shared" si="289"/>
        <v>0</v>
      </c>
      <c r="MG35" s="193">
        <f t="shared" si="289"/>
        <v>0</v>
      </c>
      <c r="MH35" s="193">
        <f t="shared" si="289"/>
        <v>0</v>
      </c>
      <c r="MI35" s="193">
        <f t="shared" si="289"/>
        <v>0</v>
      </c>
      <c r="MJ35" s="193">
        <f t="shared" si="289"/>
        <v>0</v>
      </c>
      <c r="MK35" s="193">
        <f t="shared" si="289"/>
        <v>0</v>
      </c>
      <c r="ML35" s="193">
        <f t="shared" si="289"/>
        <v>0</v>
      </c>
      <c r="MM35" s="193">
        <f t="shared" si="289"/>
        <v>0</v>
      </c>
      <c r="MN35" s="193">
        <f t="shared" si="289"/>
        <v>0</v>
      </c>
      <c r="MO35" s="193">
        <f t="shared" si="289"/>
        <v>0</v>
      </c>
      <c r="MP35" s="193">
        <f t="shared" si="289"/>
        <v>0</v>
      </c>
      <c r="MQ35" s="193">
        <f t="shared" si="289"/>
        <v>0</v>
      </c>
      <c r="MR35" s="193">
        <f t="shared" si="289"/>
        <v>0</v>
      </c>
      <c r="MS35" s="193">
        <f t="shared" si="289"/>
        <v>0</v>
      </c>
      <c r="MT35" s="193">
        <f t="shared" si="289"/>
        <v>0</v>
      </c>
      <c r="MU35" s="193">
        <f t="shared" si="289"/>
        <v>0</v>
      </c>
      <c r="MV35" s="193">
        <f t="shared" si="289"/>
        <v>0</v>
      </c>
      <c r="MW35" s="193">
        <f t="shared" si="289"/>
        <v>0</v>
      </c>
      <c r="MX35" s="193">
        <f t="shared" si="289"/>
        <v>0</v>
      </c>
      <c r="MY35" s="193">
        <f t="shared" si="289"/>
        <v>0</v>
      </c>
      <c r="MZ35" s="193">
        <f t="shared" ref="MZ35:PJ35" si="291">MZ34</f>
        <v>0</v>
      </c>
      <c r="NA35" s="193">
        <f t="shared" si="291"/>
        <v>0</v>
      </c>
      <c r="NB35" s="193">
        <f t="shared" ref="NB35" si="292">NB34</f>
        <v>0</v>
      </c>
      <c r="NC35" s="193">
        <f t="shared" si="291"/>
        <v>0</v>
      </c>
      <c r="ND35" s="193">
        <f t="shared" si="291"/>
        <v>0</v>
      </c>
      <c r="NE35" s="193">
        <f t="shared" si="291"/>
        <v>0</v>
      </c>
      <c r="NF35" s="193">
        <f t="shared" si="291"/>
        <v>0</v>
      </c>
      <c r="NG35" s="193">
        <f t="shared" si="291"/>
        <v>0</v>
      </c>
      <c r="NH35" s="193">
        <f t="shared" si="291"/>
        <v>0</v>
      </c>
      <c r="NI35" s="193">
        <f>NI34</f>
        <v>0</v>
      </c>
      <c r="NJ35" s="193">
        <f>NJ34</f>
        <v>0</v>
      </c>
      <c r="NK35" s="193">
        <f t="shared" si="291"/>
        <v>0</v>
      </c>
      <c r="NL35" s="193">
        <f t="shared" si="291"/>
        <v>0</v>
      </c>
      <c r="NM35" s="193">
        <f t="shared" si="291"/>
        <v>0</v>
      </c>
      <c r="NN35" s="193">
        <f t="shared" si="291"/>
        <v>0</v>
      </c>
      <c r="NO35" s="193">
        <f t="shared" si="291"/>
        <v>0</v>
      </c>
      <c r="NP35" s="193">
        <f t="shared" si="291"/>
        <v>0</v>
      </c>
      <c r="NQ35" s="193">
        <f t="shared" si="291"/>
        <v>0</v>
      </c>
      <c r="NR35" s="193">
        <f t="shared" si="291"/>
        <v>0</v>
      </c>
      <c r="NS35" s="193">
        <f t="shared" si="291"/>
        <v>0</v>
      </c>
      <c r="NT35" s="193">
        <f t="shared" si="291"/>
        <v>0</v>
      </c>
      <c r="NU35" s="193">
        <f t="shared" si="291"/>
        <v>0</v>
      </c>
      <c r="NV35" s="193">
        <f t="shared" si="291"/>
        <v>0</v>
      </c>
      <c r="NW35" s="193">
        <f t="shared" si="291"/>
        <v>0</v>
      </c>
      <c r="NX35" s="193">
        <f t="shared" si="291"/>
        <v>0</v>
      </c>
      <c r="NY35" s="193">
        <f t="shared" si="291"/>
        <v>0</v>
      </c>
      <c r="NZ35" s="193">
        <f t="shared" si="291"/>
        <v>0</v>
      </c>
      <c r="OA35" s="193">
        <f t="shared" si="291"/>
        <v>0</v>
      </c>
      <c r="OB35" s="193">
        <f t="shared" si="291"/>
        <v>0</v>
      </c>
      <c r="OC35" s="193">
        <f t="shared" si="291"/>
        <v>0</v>
      </c>
      <c r="OD35" s="193">
        <f t="shared" si="291"/>
        <v>0</v>
      </c>
      <c r="OE35" s="193">
        <f t="shared" si="291"/>
        <v>0</v>
      </c>
      <c r="OF35" s="193">
        <f t="shared" si="291"/>
        <v>0</v>
      </c>
      <c r="OG35" s="193">
        <f t="shared" si="291"/>
        <v>0</v>
      </c>
      <c r="OH35" s="193">
        <f t="shared" si="291"/>
        <v>0</v>
      </c>
      <c r="OI35" s="193">
        <f t="shared" ref="OI35:OT35" si="293">OI34</f>
        <v>0</v>
      </c>
      <c r="OJ35" s="193">
        <f t="shared" si="293"/>
        <v>0</v>
      </c>
      <c r="OK35" s="193">
        <f t="shared" si="293"/>
        <v>0</v>
      </c>
      <c r="OL35" s="193">
        <f t="shared" si="293"/>
        <v>0</v>
      </c>
      <c r="OM35" s="193">
        <f t="shared" si="293"/>
        <v>0</v>
      </c>
      <c r="ON35" s="193">
        <f t="shared" si="293"/>
        <v>0</v>
      </c>
      <c r="OO35" s="193">
        <f t="shared" si="293"/>
        <v>0</v>
      </c>
      <c r="OP35" s="193">
        <f t="shared" si="293"/>
        <v>0</v>
      </c>
      <c r="OQ35" s="193">
        <f t="shared" si="293"/>
        <v>0</v>
      </c>
      <c r="OR35" s="193">
        <f t="shared" si="293"/>
        <v>0</v>
      </c>
      <c r="OS35" s="193">
        <f t="shared" si="293"/>
        <v>0</v>
      </c>
      <c r="OT35" s="193">
        <f t="shared" si="293"/>
        <v>0</v>
      </c>
      <c r="OU35" s="193">
        <f t="shared" si="291"/>
        <v>0</v>
      </c>
      <c r="OV35" s="193">
        <f t="shared" si="291"/>
        <v>0</v>
      </c>
      <c r="OW35" s="193"/>
      <c r="OX35" s="193"/>
      <c r="OY35" s="193"/>
      <c r="OZ35" s="193">
        <f t="shared" ref="OZ35:PA35" si="294">OZ34</f>
        <v>0</v>
      </c>
      <c r="PA35" s="193">
        <f t="shared" si="294"/>
        <v>0</v>
      </c>
      <c r="PB35" s="193">
        <f t="shared" si="291"/>
        <v>0</v>
      </c>
      <c r="PC35" s="193">
        <f t="shared" si="291"/>
        <v>0</v>
      </c>
      <c r="PD35" s="193">
        <f t="shared" si="291"/>
        <v>0</v>
      </c>
      <c r="PE35" s="193">
        <f t="shared" ref="PE35:PI35" si="295">PE34</f>
        <v>0</v>
      </c>
      <c r="PF35" s="193">
        <f t="shared" si="295"/>
        <v>0</v>
      </c>
      <c r="PG35" s="193">
        <f t="shared" si="295"/>
        <v>0</v>
      </c>
      <c r="PH35" s="193">
        <f t="shared" si="295"/>
        <v>0</v>
      </c>
      <c r="PI35" s="193">
        <f t="shared" si="295"/>
        <v>0</v>
      </c>
      <c r="PJ35" s="193">
        <f t="shared" si="291"/>
        <v>0</v>
      </c>
      <c r="PK35" s="193">
        <f t="shared" ref="PK35:QJ35" si="296">PK34</f>
        <v>0</v>
      </c>
      <c r="PL35" s="193">
        <f t="shared" si="296"/>
        <v>0</v>
      </c>
      <c r="PM35" s="193">
        <f t="shared" si="296"/>
        <v>0</v>
      </c>
      <c r="PN35" s="193">
        <f t="shared" si="296"/>
        <v>0</v>
      </c>
      <c r="PO35" s="193">
        <f t="shared" si="296"/>
        <v>0</v>
      </c>
      <c r="PP35" s="193">
        <f t="shared" si="296"/>
        <v>0</v>
      </c>
      <c r="PQ35" s="193">
        <f t="shared" si="296"/>
        <v>0</v>
      </c>
      <c r="PR35" s="193">
        <f t="shared" si="296"/>
        <v>0</v>
      </c>
      <c r="PS35" s="193">
        <f t="shared" si="296"/>
        <v>0</v>
      </c>
      <c r="PT35" s="193">
        <f t="shared" si="296"/>
        <v>0</v>
      </c>
      <c r="PU35" s="193">
        <f t="shared" si="296"/>
        <v>0</v>
      </c>
      <c r="PV35" s="193">
        <f>PV34</f>
        <v>0</v>
      </c>
      <c r="PW35" s="193">
        <f t="shared" ref="PW35:QA35" si="297">PW34</f>
        <v>0</v>
      </c>
      <c r="PX35" s="193">
        <f t="shared" si="297"/>
        <v>0</v>
      </c>
      <c r="PY35" s="193">
        <f t="shared" si="297"/>
        <v>0</v>
      </c>
      <c r="PZ35" s="193">
        <f t="shared" si="297"/>
        <v>0</v>
      </c>
      <c r="QA35" s="193">
        <f t="shared" si="297"/>
        <v>0</v>
      </c>
      <c r="QB35" s="193">
        <f t="shared" ref="QB35:QH35" si="298">QB34</f>
        <v>0</v>
      </c>
      <c r="QC35" s="193">
        <f t="shared" si="298"/>
        <v>0</v>
      </c>
      <c r="QD35" s="193">
        <f t="shared" si="298"/>
        <v>0</v>
      </c>
      <c r="QE35" s="193">
        <f t="shared" si="298"/>
        <v>0</v>
      </c>
      <c r="QF35" s="193">
        <f t="shared" si="298"/>
        <v>0</v>
      </c>
      <c r="QG35" s="193">
        <f t="shared" si="298"/>
        <v>0</v>
      </c>
      <c r="QH35" s="193">
        <f t="shared" si="298"/>
        <v>0</v>
      </c>
      <c r="QI35" s="193">
        <f t="shared" si="296"/>
        <v>0</v>
      </c>
      <c r="QJ35" s="193">
        <f t="shared" si="296"/>
        <v>0</v>
      </c>
      <c r="QK35" s="193">
        <f t="shared" ref="QK35:RE35" si="299">QK34</f>
        <v>0</v>
      </c>
      <c r="QL35" s="193">
        <f t="shared" si="299"/>
        <v>0</v>
      </c>
      <c r="QM35" s="193">
        <f t="shared" si="299"/>
        <v>0</v>
      </c>
      <c r="QN35" s="193">
        <f t="shared" si="299"/>
        <v>0</v>
      </c>
      <c r="QO35" s="193"/>
      <c r="QP35" s="193"/>
      <c r="QQ35" s="193"/>
      <c r="QR35" s="193"/>
      <c r="QS35" s="193"/>
      <c r="QT35" s="193"/>
      <c r="QU35" s="193"/>
      <c r="QV35" s="193"/>
      <c r="QW35" s="193"/>
      <c r="QX35" s="193"/>
      <c r="QY35" s="193"/>
      <c r="QZ35" s="193"/>
      <c r="RA35" s="193"/>
      <c r="RB35" s="193">
        <f>RB34</f>
        <v>0</v>
      </c>
      <c r="RC35" s="193">
        <f>RC34</f>
        <v>0</v>
      </c>
      <c r="RD35" s="193">
        <f t="shared" si="299"/>
        <v>0</v>
      </c>
      <c r="RE35" s="193">
        <f t="shared" si="299"/>
        <v>0</v>
      </c>
      <c r="RF35" s="193">
        <f t="shared" ref="RF35:RN35" si="300">RF34</f>
        <v>0</v>
      </c>
      <c r="RG35" s="193">
        <f t="shared" si="300"/>
        <v>0</v>
      </c>
      <c r="RH35" s="193">
        <f t="shared" si="300"/>
        <v>0</v>
      </c>
      <c r="RI35" s="193">
        <f t="shared" si="300"/>
        <v>0</v>
      </c>
      <c r="RJ35" s="193">
        <f t="shared" si="300"/>
        <v>0</v>
      </c>
      <c r="RK35" s="193">
        <f t="shared" si="300"/>
        <v>0</v>
      </c>
      <c r="RL35" s="193">
        <f t="shared" si="300"/>
        <v>0</v>
      </c>
      <c r="RM35" s="193">
        <f t="shared" si="300"/>
        <v>0</v>
      </c>
      <c r="RN35" s="193">
        <f t="shared" si="300"/>
        <v>0</v>
      </c>
      <c r="RO35" s="193"/>
      <c r="RP35" s="193"/>
      <c r="RQ35" s="193"/>
      <c r="RR35" s="193"/>
      <c r="RS35" s="193"/>
      <c r="RT35" s="193"/>
      <c r="RU35" s="193">
        <f t="shared" ref="RU35" si="301">RU34</f>
        <v>0</v>
      </c>
      <c r="RV35" s="193"/>
      <c r="RW35" s="193">
        <f>RW34</f>
        <v>0</v>
      </c>
      <c r="RX35" s="193"/>
      <c r="RY35" s="193">
        <f>RY34</f>
        <v>0</v>
      </c>
      <c r="RZ35" s="193"/>
      <c r="SA35" s="193">
        <f t="shared" ref="SA35:SG35" si="302">SA34</f>
        <v>0</v>
      </c>
      <c r="SB35" s="193">
        <f t="shared" si="302"/>
        <v>0</v>
      </c>
      <c r="SC35" s="193">
        <f t="shared" si="302"/>
        <v>0</v>
      </c>
      <c r="SD35" s="193">
        <f t="shared" si="302"/>
        <v>0</v>
      </c>
      <c r="SE35" s="193">
        <f t="shared" si="302"/>
        <v>0</v>
      </c>
      <c r="SF35" s="193">
        <f t="shared" si="302"/>
        <v>0</v>
      </c>
      <c r="SG35" s="193">
        <f t="shared" si="302"/>
        <v>0</v>
      </c>
      <c r="SH35" s="193"/>
      <c r="SI35" s="193">
        <f t="shared" ref="SI35:SN35" si="303">SI34</f>
        <v>0</v>
      </c>
      <c r="SJ35" s="193">
        <f t="shared" si="303"/>
        <v>0</v>
      </c>
      <c r="SK35" s="193">
        <f t="shared" si="303"/>
        <v>0</v>
      </c>
      <c r="SL35" s="193">
        <f t="shared" si="303"/>
        <v>0</v>
      </c>
      <c r="SM35" s="193">
        <f t="shared" si="303"/>
        <v>0</v>
      </c>
      <c r="SN35" s="193">
        <f t="shared" si="303"/>
        <v>0</v>
      </c>
      <c r="SO35" s="193">
        <f t="shared" ref="SO35:SP35" si="304">SO34</f>
        <v>0</v>
      </c>
      <c r="SP35" s="193">
        <f t="shared" si="304"/>
        <v>0</v>
      </c>
      <c r="SQ35" s="193"/>
      <c r="SR35" s="193"/>
      <c r="SS35" s="195"/>
    </row>
    <row r="36" spans="1:513" s="171" customFormat="1" ht="18" customHeight="1">
      <c r="A36" s="168"/>
      <c r="B36" s="168"/>
      <c r="C36" s="168"/>
      <c r="D36" s="168"/>
      <c r="E36" s="168" t="s">
        <v>409</v>
      </c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>
        <f t="shared" ref="AF36:AG36" si="305">AD36+AB36+Z36+X36+V36</f>
        <v>0</v>
      </c>
      <c r="AG36" s="168">
        <f t="shared" si="305"/>
        <v>0</v>
      </c>
      <c r="AH36" s="168">
        <f t="shared" ref="AH36:AH42" si="306">AG36+AF36</f>
        <v>0</v>
      </c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>
        <f t="shared" ref="AS36" si="307">AQ36+AO36+AM36+AK36+AI36</f>
        <v>0</v>
      </c>
      <c r="AT36" s="168">
        <f t="shared" ref="AT36" si="308">AR36+AP36+AN36+AL36+AJ36</f>
        <v>0</v>
      </c>
      <c r="AU36" s="168">
        <f t="shared" ref="AU36:AU42" si="309">AT36+AS36</f>
        <v>0</v>
      </c>
      <c r="AV36" s="168">
        <v>40</v>
      </c>
      <c r="AW36" s="168"/>
      <c r="AX36" s="168">
        <v>22</v>
      </c>
      <c r="AY36" s="168"/>
      <c r="AZ36" s="168">
        <v>25</v>
      </c>
      <c r="BA36" s="168"/>
      <c r="BB36" s="168">
        <v>5</v>
      </c>
      <c r="BC36" s="168"/>
      <c r="BD36" s="168">
        <v>10</v>
      </c>
      <c r="BE36" s="168"/>
      <c r="BF36" s="168">
        <f t="shared" ref="BF36" si="310">BD36+BB36+AZ36+AX36+AV36</f>
        <v>102</v>
      </c>
      <c r="BG36" s="168">
        <f t="shared" ref="BG36" si="311">BE36+BC36+BA36+AY36+AW36</f>
        <v>0</v>
      </c>
      <c r="BH36" s="168">
        <f t="shared" ref="BH36:BH42" si="312">BG36+BF36</f>
        <v>102</v>
      </c>
      <c r="BI36" s="168">
        <v>8</v>
      </c>
      <c r="BJ36" s="168"/>
      <c r="BK36" s="168">
        <v>14</v>
      </c>
      <c r="BL36" s="168"/>
      <c r="BM36" s="168">
        <v>9</v>
      </c>
      <c r="BN36" s="168"/>
      <c r="BO36" s="168">
        <v>5</v>
      </c>
      <c r="BP36" s="168"/>
      <c r="BQ36" s="168">
        <v>5</v>
      </c>
      <c r="BR36" s="168"/>
      <c r="BS36" s="168">
        <f t="shared" ref="BS36" si="313">BQ36+BO36+BM36+BK36+BI36</f>
        <v>41</v>
      </c>
      <c r="BT36" s="168">
        <f t="shared" ref="BT36" si="314">BR36+BP36+BN36+BL36+BJ36</f>
        <v>0</v>
      </c>
      <c r="BU36" s="168">
        <f t="shared" ref="BU36:BU42" si="315">BT36+BS36</f>
        <v>41</v>
      </c>
      <c r="BV36" s="168">
        <f t="shared" ref="BV36" si="316">AI36</f>
        <v>0</v>
      </c>
      <c r="BW36" s="168">
        <f t="shared" ref="BW36" si="317">AJ36</f>
        <v>0</v>
      </c>
      <c r="BX36" s="168">
        <f t="shared" ref="BX36:BX42" si="318">AV36+AK36</f>
        <v>40</v>
      </c>
      <c r="BY36" s="168">
        <f t="shared" ref="BY36:BY42" si="319">AL36+AW36</f>
        <v>0</v>
      </c>
      <c r="BZ36" s="168">
        <f t="shared" ref="BZ36:BZ42" si="320">BI36+AX36+AM36</f>
        <v>30</v>
      </c>
      <c r="CA36" s="168">
        <f t="shared" ref="CA36:CA42" si="321">AN36+AY36+BJ36</f>
        <v>0</v>
      </c>
      <c r="CB36" s="168">
        <f t="shared" ref="CB36:CB42" si="322">BK36+AZ36+AO36</f>
        <v>39</v>
      </c>
      <c r="CC36" s="168">
        <f t="shared" ref="CC36:CC42" si="323">AP36+BA36+BL36</f>
        <v>0</v>
      </c>
      <c r="CD36" s="168">
        <f t="shared" ref="CD36" si="324">BM36+BB36+AQ36</f>
        <v>14</v>
      </c>
      <c r="CE36" s="168">
        <f t="shared" ref="CE36" si="325">BN36+BC36+AR36</f>
        <v>0</v>
      </c>
      <c r="CF36" s="168">
        <f t="shared" ref="CF36" si="326">BO36+BD36</f>
        <v>15</v>
      </c>
      <c r="CG36" s="168">
        <f t="shared" ref="CG36" si="327">BP36+BE36</f>
        <v>0</v>
      </c>
      <c r="CH36" s="168">
        <f t="shared" ref="CH36" si="328">BQ36</f>
        <v>5</v>
      </c>
      <c r="CI36" s="168">
        <f t="shared" ref="CI36" si="329">BR36</f>
        <v>0</v>
      </c>
      <c r="CJ36" s="168">
        <f t="shared" ref="CJ36" si="330">CH36+CF36+CD36+CB36+BZ36+BX36+BV36</f>
        <v>143</v>
      </c>
      <c r="CK36" s="168">
        <f t="shared" ref="CK36" si="331">CI36+CG36+CE36+CC36+CA36+BY36+BW36</f>
        <v>0</v>
      </c>
      <c r="CL36" s="168">
        <f t="shared" ref="CL36:CL42" si="332">CK36+CJ36</f>
        <v>143</v>
      </c>
      <c r="CM36" s="168"/>
      <c r="CN36" s="168"/>
      <c r="CO36" s="168"/>
      <c r="CP36" s="168">
        <v>3</v>
      </c>
      <c r="CQ36" s="168"/>
      <c r="CR36" s="168"/>
      <c r="CS36" s="168">
        <v>2</v>
      </c>
      <c r="CT36" s="168"/>
      <c r="CU36" s="168"/>
      <c r="CV36" s="168">
        <f t="shared" ref="CV36" si="333">CS36+CP36+CM36</f>
        <v>5</v>
      </c>
      <c r="CW36" s="168">
        <f t="shared" ref="CW36" si="334">CT36+CQ36+CN36</f>
        <v>0</v>
      </c>
      <c r="CX36" s="168">
        <f t="shared" ref="CX36" si="335">CU36+CR36+CO36</f>
        <v>0</v>
      </c>
      <c r="CY36" s="168">
        <f t="shared" ref="CY36:CY42" si="336">CX36+CW36+CV36</f>
        <v>5</v>
      </c>
      <c r="CZ36" s="168"/>
      <c r="DA36" s="168"/>
      <c r="DB36" s="168"/>
      <c r="DC36" s="168"/>
      <c r="DD36" s="168">
        <v>1</v>
      </c>
      <c r="DE36" s="168"/>
      <c r="DF36" s="168">
        <f t="shared" ref="DF36" si="337">DD36+DB36+CZ36</f>
        <v>1</v>
      </c>
      <c r="DG36" s="168">
        <f t="shared" ref="DG36" si="338">DE36+DC36+DA36</f>
        <v>0</v>
      </c>
      <c r="DH36" s="168">
        <f t="shared" ref="DH36:DH42" si="339">DG36+DF36</f>
        <v>1</v>
      </c>
      <c r="DI36" s="168"/>
      <c r="DJ36" s="168"/>
      <c r="DK36" s="168"/>
      <c r="DL36" s="168"/>
      <c r="DM36" s="168"/>
      <c r="DN36" s="168"/>
      <c r="DO36" s="168">
        <f t="shared" ref="DO36" si="340">DM36+DK36+DI36</f>
        <v>0</v>
      </c>
      <c r="DP36" s="168">
        <f t="shared" ref="DP36" si="341">DN36+DL36+DJ36</f>
        <v>0</v>
      </c>
      <c r="DQ36" s="168">
        <f>DP36+DO36</f>
        <v>0</v>
      </c>
      <c r="DR36" s="168">
        <v>101</v>
      </c>
      <c r="DS36" s="168"/>
      <c r="DT36" s="168">
        <v>29</v>
      </c>
      <c r="DU36" s="168"/>
      <c r="DV36" s="168">
        <v>51</v>
      </c>
      <c r="DW36" s="168"/>
      <c r="DX36" s="168">
        <f t="shared" ref="DX36" si="342">DV36+DT36+DR36</f>
        <v>181</v>
      </c>
      <c r="DY36" s="168">
        <f t="shared" ref="DY36" si="343">DW36+DU36+DS36</f>
        <v>0</v>
      </c>
      <c r="DZ36" s="168">
        <f t="shared" ref="DZ36:DZ42" si="344">DY36+DX36</f>
        <v>181</v>
      </c>
      <c r="EA36" s="168">
        <v>12</v>
      </c>
      <c r="EB36" s="168"/>
      <c r="EC36" s="168">
        <v>3</v>
      </c>
      <c r="ED36" s="168"/>
      <c r="EE36" s="168">
        <v>12</v>
      </c>
      <c r="EF36" s="168"/>
      <c r="EG36" s="168">
        <f t="shared" ref="EG36" si="345">EE36+EC36+EA36</f>
        <v>27</v>
      </c>
      <c r="EH36" s="168">
        <f t="shared" ref="EH36" si="346">EF36+ED36+EB36</f>
        <v>0</v>
      </c>
      <c r="EI36" s="168">
        <f t="shared" ref="EI36:EI42" si="347">EH36+EG36</f>
        <v>27</v>
      </c>
      <c r="EJ36" s="168">
        <v>5</v>
      </c>
      <c r="EK36" s="168"/>
      <c r="EL36" s="168">
        <v>2</v>
      </c>
      <c r="EM36" s="168"/>
      <c r="EN36" s="168">
        <v>2</v>
      </c>
      <c r="EO36" s="168"/>
      <c r="EP36" s="168">
        <f t="shared" ref="EP36" si="348">EN36+EL36+EJ36</f>
        <v>9</v>
      </c>
      <c r="EQ36" s="168">
        <f t="shared" ref="EQ36" si="349">EO36+EM36+EK36</f>
        <v>0</v>
      </c>
      <c r="ER36" s="168">
        <f t="shared" ref="ER36:ER42" si="350">EQ36+EP36</f>
        <v>9</v>
      </c>
      <c r="ES36" s="168"/>
      <c r="ET36" s="168"/>
      <c r="EU36" s="168"/>
      <c r="EV36" s="168"/>
      <c r="EW36" s="168"/>
      <c r="EX36" s="168"/>
      <c r="EY36" s="168">
        <f t="shared" ref="EY36" si="351">EW36+EU36+ES36</f>
        <v>0</v>
      </c>
      <c r="EZ36" s="168">
        <f t="shared" ref="EZ36" si="352">EX36+EV36+ET36</f>
        <v>0</v>
      </c>
      <c r="FA36" s="168">
        <f>EZ36+EY36</f>
        <v>0</v>
      </c>
      <c r="FB36" s="168"/>
      <c r="FC36" s="168"/>
      <c r="FD36" s="168"/>
      <c r="FE36" s="168"/>
      <c r="FF36" s="168"/>
      <c r="FG36" s="168"/>
      <c r="FH36" s="168"/>
      <c r="FI36" s="168"/>
      <c r="FJ36" s="168"/>
      <c r="FK36" s="168"/>
      <c r="FL36" s="168">
        <f t="shared" ref="FL36:FL43" si="353">FJ36+FH36+FF36+FD36+FB36</f>
        <v>0</v>
      </c>
      <c r="FM36" s="168">
        <f t="shared" ref="FM36:FM43" si="354">FK36+FI36+FG36+FE36+FC36</f>
        <v>0</v>
      </c>
      <c r="FN36" s="168">
        <f t="shared" ref="FN36:FN43" si="355">FM36+FL36</f>
        <v>0</v>
      </c>
      <c r="FO36" s="168"/>
      <c r="FP36" s="168"/>
      <c r="FQ36" s="168"/>
      <c r="FR36" s="168"/>
      <c r="FS36" s="168"/>
      <c r="FT36" s="168"/>
      <c r="FU36" s="168"/>
      <c r="FV36" s="168"/>
      <c r="FW36" s="168"/>
      <c r="FX36" s="168"/>
      <c r="FY36" s="168"/>
      <c r="FZ36" s="168"/>
      <c r="GA36" s="168"/>
      <c r="GB36" s="168"/>
      <c r="GC36" s="168"/>
      <c r="GD36" s="168"/>
      <c r="GE36" s="168"/>
      <c r="GF36" s="168"/>
      <c r="GG36" s="168">
        <f>GE36+GA36+FY36+FW36+FU36+FS36+FO36</f>
        <v>0</v>
      </c>
      <c r="GH36" s="168">
        <f>GF36+GB36+FZ36+FX36+FV36+FT36+FP36</f>
        <v>0</v>
      </c>
      <c r="GI36" s="168">
        <f>GH36+GG36</f>
        <v>0</v>
      </c>
      <c r="GJ36" s="168"/>
      <c r="GK36" s="168"/>
      <c r="GL36" s="168"/>
      <c r="GM36" s="168"/>
      <c r="GN36" s="168"/>
      <c r="GO36" s="168"/>
      <c r="GP36" s="168"/>
      <c r="GQ36" s="168"/>
      <c r="GR36" s="168"/>
      <c r="GS36" s="168"/>
      <c r="GT36" s="168"/>
      <c r="GU36" s="168"/>
      <c r="GV36" s="168"/>
      <c r="GW36" s="168"/>
      <c r="GX36" s="168"/>
      <c r="GY36" s="168"/>
      <c r="GZ36" s="168"/>
      <c r="HA36" s="168"/>
      <c r="HB36" s="168"/>
      <c r="HC36" s="168"/>
      <c r="HD36" s="168"/>
      <c r="HE36" s="168"/>
      <c r="HF36" s="168"/>
      <c r="HG36" s="168"/>
      <c r="HH36" s="168"/>
      <c r="HI36" s="168"/>
      <c r="HJ36" s="168"/>
      <c r="HK36" s="168"/>
      <c r="HL36" s="168"/>
      <c r="HM36" s="168"/>
      <c r="HN36" s="168"/>
      <c r="HO36" s="168"/>
      <c r="HP36" s="168"/>
      <c r="HQ36" s="168"/>
      <c r="HR36" s="168"/>
      <c r="HS36" s="168"/>
      <c r="HT36" s="168"/>
      <c r="HU36" s="168"/>
      <c r="HV36" s="168"/>
      <c r="HW36" s="168"/>
      <c r="HX36" s="168"/>
      <c r="HY36" s="168"/>
      <c r="HZ36" s="168"/>
      <c r="IA36" s="168"/>
      <c r="IB36" s="168"/>
      <c r="IC36" s="168"/>
      <c r="ID36" s="168"/>
      <c r="IE36" s="168"/>
      <c r="IF36" s="168"/>
      <c r="IG36" s="168"/>
      <c r="IH36" s="168"/>
      <c r="II36" s="168"/>
      <c r="IJ36" s="168"/>
      <c r="IK36" s="168"/>
      <c r="IL36" s="168"/>
      <c r="IM36" s="168"/>
      <c r="IN36" s="168"/>
      <c r="IO36" s="168"/>
      <c r="IP36" s="168"/>
      <c r="IQ36" s="168"/>
      <c r="IR36" s="168"/>
      <c r="IS36" s="168"/>
      <c r="IT36" s="168"/>
      <c r="IU36" s="168"/>
      <c r="IV36" s="168"/>
      <c r="IW36" s="168"/>
      <c r="IX36" s="168"/>
      <c r="IY36" s="168"/>
      <c r="IZ36" s="168"/>
      <c r="JA36" s="168"/>
      <c r="JB36" s="168"/>
      <c r="JC36" s="168"/>
      <c r="JD36" s="168"/>
      <c r="JE36" s="168"/>
      <c r="JF36" s="168"/>
      <c r="JG36" s="168"/>
      <c r="JH36" s="168"/>
      <c r="JI36" s="168"/>
      <c r="JJ36" s="168"/>
      <c r="JK36" s="168"/>
      <c r="JL36" s="168"/>
      <c r="JM36" s="168"/>
      <c r="JN36" s="168"/>
      <c r="JO36" s="168"/>
      <c r="JP36" s="168"/>
      <c r="JQ36" s="168"/>
      <c r="JR36" s="168"/>
      <c r="JS36" s="168"/>
      <c r="JT36" s="168"/>
      <c r="JU36" s="168"/>
      <c r="JV36" s="168"/>
      <c r="JW36" s="168"/>
      <c r="JX36" s="168"/>
      <c r="JY36" s="168"/>
      <c r="JZ36" s="168"/>
      <c r="KA36" s="168"/>
      <c r="KB36" s="168"/>
      <c r="KC36" s="168"/>
      <c r="KD36" s="168"/>
      <c r="KE36" s="168"/>
      <c r="KF36" s="168"/>
      <c r="KG36" s="168"/>
      <c r="KH36" s="168"/>
      <c r="KI36" s="168"/>
      <c r="KJ36" s="168"/>
      <c r="KK36" s="168"/>
      <c r="KL36" s="168"/>
      <c r="KM36" s="168"/>
      <c r="KN36" s="168"/>
      <c r="KO36" s="168"/>
      <c r="KP36" s="168"/>
      <c r="KQ36" s="168"/>
      <c r="KR36" s="168"/>
      <c r="KS36" s="168"/>
      <c r="KT36" s="168"/>
      <c r="KU36" s="168"/>
      <c r="KV36" s="168">
        <f>KT36+KN36+KJ36+KH36+KF36+KD36+KB36+JZ36+JX36+JV36+JT36+JR36+JP36+JN36+JL36+JJ36+JH36+JF36+JD36+JB36+IZ36+IX36+IV36+IT36+IR36+IP36+IN36+IL36+IJ36+IH36+IF36+ID36+IB36+HZ36+HX36+HV36+HT36+HR36+HP36+HN36+HL36+HJ36+HH36+HF36+HD36+HB36+GZ36+GX36+GV36+GT36+GR36+GP36+GN36+GL36+GJ36</f>
        <v>0</v>
      </c>
      <c r="KW36" s="168">
        <f>KU36+KO36+KK36+KI36+KG36+KE36+KC36+KA36+JY36+JW36+JU36+JS36+JQ36+JO36+JM36+JK36+JI36+JG36+JE36+JC36+JA36+IY36+IW36+IU36+IS36+IQ36+IO36+IM36+IK36+II36+IG36+IE36+IC36+IA36+HY36+HW36+HU36+HS36+HQ36+HO36+HM36+HK36+HI36+HG36+HE36+HC36+HA36+GY36+GW36+GU36+GS36+GQ36+GO36+GM36+GK36</f>
        <v>0</v>
      </c>
      <c r="KX36" s="168">
        <f>KW36+KV36</f>
        <v>0</v>
      </c>
      <c r="KY36" s="168"/>
      <c r="KZ36" s="168"/>
      <c r="LA36" s="168"/>
      <c r="LB36" s="168"/>
      <c r="LC36" s="168"/>
      <c r="LD36" s="168"/>
      <c r="LE36" s="168"/>
      <c r="LF36" s="168"/>
      <c r="LG36" s="168"/>
      <c r="LH36" s="168"/>
      <c r="LI36" s="168"/>
      <c r="LJ36" s="168"/>
      <c r="LK36" s="168"/>
      <c r="LL36" s="168"/>
      <c r="LM36" s="168"/>
      <c r="LN36" s="168"/>
      <c r="LO36" s="168"/>
      <c r="LP36" s="168"/>
      <c r="LQ36" s="168">
        <f t="shared" ref="LQ36" si="356">LA36+LC36+KY36+LE36+LG36+LI36+LK36+LM36+LO36</f>
        <v>0</v>
      </c>
      <c r="LR36" s="168">
        <f t="shared" ref="LR36" si="357">LB36+LD36+KZ36+LF36+LH36+LJ36+LL36+LN36+LP36</f>
        <v>0</v>
      </c>
      <c r="LS36" s="168">
        <f t="shared" ref="LS36" si="358">LR36+LQ36</f>
        <v>0</v>
      </c>
      <c r="LT36" s="168"/>
      <c r="LU36" s="168"/>
      <c r="LV36" s="168"/>
      <c r="LW36" s="168"/>
      <c r="LX36" s="168"/>
      <c r="LY36" s="168"/>
      <c r="LZ36" s="168"/>
      <c r="MA36" s="168"/>
      <c r="MB36" s="168">
        <f t="shared" ref="MB36" si="359">LX36+LV36+LT36+LZ36</f>
        <v>0</v>
      </c>
      <c r="MC36" s="168">
        <f t="shared" ref="MC36" si="360">LY36+LW36+LU36+MA36</f>
        <v>0</v>
      </c>
      <c r="MD36" s="168">
        <f t="shared" ref="MD36" si="361">MC36+MB36</f>
        <v>0</v>
      </c>
      <c r="ME36" s="168"/>
      <c r="MF36" s="168"/>
      <c r="MG36" s="168"/>
      <c r="MH36" s="168"/>
      <c r="MI36" s="168"/>
      <c r="MJ36" s="168"/>
      <c r="MK36" s="168"/>
      <c r="ML36" s="168"/>
      <c r="MM36" s="168"/>
      <c r="MN36" s="168"/>
      <c r="MO36" s="168">
        <f t="shared" ref="MO36" si="362">MM36+MK36+MI36+MG36+ME36</f>
        <v>0</v>
      </c>
      <c r="MP36" s="168">
        <f t="shared" ref="MP36" si="363">MN36+ML36+MJ36+MH36+MF36</f>
        <v>0</v>
      </c>
      <c r="MQ36" s="168">
        <f t="shared" ref="MQ36" si="364">MP36+MO36</f>
        <v>0</v>
      </c>
      <c r="MR36" s="168"/>
      <c r="MS36" s="168"/>
      <c r="MT36" s="168"/>
      <c r="MU36" s="168"/>
      <c r="MV36" s="168"/>
      <c r="MW36" s="168"/>
      <c r="MX36" s="168"/>
      <c r="MY36" s="168"/>
      <c r="MZ36" s="168">
        <f t="shared" ref="MZ36:MZ39" si="365">MX36+MV36+MT36+MR36</f>
        <v>0</v>
      </c>
      <c r="NA36" s="168">
        <f t="shared" ref="NA36:NA39" si="366">MY36+MW36+MU36+MS36</f>
        <v>0</v>
      </c>
      <c r="NB36" s="168">
        <f t="shared" ref="NB36:NB39" si="367">NA36+MZ36</f>
        <v>0</v>
      </c>
      <c r="NC36" s="168"/>
      <c r="ND36" s="168"/>
      <c r="NE36" s="168"/>
      <c r="NF36" s="168"/>
      <c r="NG36" s="168"/>
      <c r="NH36" s="168"/>
      <c r="NI36" s="168"/>
      <c r="NJ36" s="168"/>
      <c r="NK36" s="168"/>
      <c r="NL36" s="168"/>
      <c r="NM36" s="168"/>
      <c r="NN36" s="168"/>
      <c r="NO36" s="168"/>
      <c r="NP36" s="168"/>
      <c r="NQ36" s="168"/>
      <c r="NR36" s="168"/>
      <c r="NS36" s="168"/>
      <c r="NT36" s="168"/>
      <c r="NU36" s="168"/>
      <c r="NV36" s="168"/>
      <c r="NW36" s="168">
        <f>NU36+NS36+NQ36+NO36+NM36+NK36+NG36+NI36+NE36</f>
        <v>0</v>
      </c>
      <c r="NX36" s="168">
        <f>NV36+NT36+NR36+NP36+NN36+NL36+NH36+NJ36+NF36</f>
        <v>0</v>
      </c>
      <c r="NY36" s="168">
        <f>NX36+NW36</f>
        <v>0</v>
      </c>
      <c r="NZ36" s="168"/>
      <c r="OA36" s="168"/>
      <c r="OB36" s="168"/>
      <c r="OC36" s="168"/>
      <c r="OD36" s="168"/>
      <c r="OE36" s="168"/>
      <c r="OF36" s="168"/>
      <c r="OG36" s="168"/>
      <c r="OH36" s="168"/>
      <c r="OI36" s="168"/>
      <c r="OJ36" s="168"/>
      <c r="OK36" s="168"/>
      <c r="OL36" s="168"/>
      <c r="OM36" s="168"/>
      <c r="ON36" s="168"/>
      <c r="OO36" s="168"/>
      <c r="OP36" s="168"/>
      <c r="OQ36" s="168"/>
      <c r="OR36" s="168"/>
      <c r="OS36" s="168"/>
      <c r="OT36" s="168"/>
      <c r="OU36" s="169"/>
      <c r="OV36" s="169"/>
      <c r="OW36" s="169"/>
      <c r="OX36" s="169"/>
      <c r="OY36" s="169"/>
      <c r="OZ36" s="169"/>
      <c r="PA36" s="169"/>
      <c r="PB36" s="169"/>
      <c r="PC36" s="169"/>
      <c r="PD36" s="169"/>
      <c r="PE36" s="169"/>
      <c r="PF36" s="169"/>
      <c r="PG36" s="169"/>
      <c r="PH36" s="169"/>
      <c r="PI36" s="169"/>
      <c r="PJ36" s="169"/>
      <c r="PK36" s="169"/>
      <c r="PL36" s="169"/>
      <c r="PM36" s="169"/>
      <c r="PN36" s="169"/>
      <c r="PO36" s="169">
        <f>SUM(PM36:PN36)</f>
        <v>0</v>
      </c>
      <c r="PP36" s="169"/>
      <c r="PQ36" s="169"/>
      <c r="PR36" s="169"/>
      <c r="PS36" s="169"/>
      <c r="PT36" s="169"/>
      <c r="PU36" s="169"/>
      <c r="PV36" s="169"/>
      <c r="PW36" s="169"/>
      <c r="PX36" s="169"/>
      <c r="PY36" s="169"/>
      <c r="PZ36" s="169"/>
      <c r="QA36" s="169"/>
      <c r="QB36" s="169"/>
      <c r="QC36" s="169"/>
      <c r="QD36" s="169"/>
      <c r="QE36" s="169"/>
      <c r="QF36" s="169"/>
      <c r="QG36" s="169"/>
      <c r="QH36" s="169"/>
      <c r="QI36" s="169"/>
      <c r="QJ36" s="169"/>
      <c r="QK36" s="169"/>
      <c r="QL36" s="169"/>
      <c r="QM36" s="169"/>
      <c r="QN36" s="169"/>
      <c r="QO36" s="169"/>
      <c r="QP36" s="169"/>
      <c r="QQ36" s="169"/>
      <c r="QR36" s="169"/>
      <c r="QS36" s="169"/>
      <c r="QT36" s="169"/>
      <c r="QU36" s="169"/>
      <c r="QV36" s="169"/>
      <c r="QW36" s="169"/>
      <c r="QX36" s="169"/>
      <c r="QY36" s="169"/>
      <c r="QZ36" s="169"/>
      <c r="RA36" s="169"/>
      <c r="RB36" s="169"/>
      <c r="RC36" s="169"/>
      <c r="RD36" s="169"/>
      <c r="RE36" s="169"/>
      <c r="RF36" s="169"/>
      <c r="RG36" s="169"/>
      <c r="RH36" s="169"/>
      <c r="RI36" s="169"/>
      <c r="RJ36" s="169"/>
      <c r="RK36" s="169"/>
      <c r="RL36" s="169"/>
      <c r="RM36" s="169"/>
      <c r="RN36" s="169"/>
      <c r="RO36" s="168"/>
      <c r="RP36" s="168"/>
      <c r="RQ36" s="168"/>
      <c r="RR36" s="168"/>
      <c r="RS36" s="168"/>
      <c r="RT36" s="168"/>
      <c r="RU36" s="170"/>
      <c r="RV36" s="170"/>
      <c r="RW36" s="170"/>
      <c r="RX36" s="170"/>
      <c r="RY36" s="170"/>
      <c r="RZ36" s="170"/>
      <c r="SA36" s="169"/>
      <c r="SB36" s="169"/>
      <c r="SC36" s="169"/>
      <c r="SD36" s="169"/>
      <c r="SE36" s="169"/>
      <c r="SF36" s="169"/>
      <c r="SG36" s="169"/>
      <c r="SH36" s="169"/>
      <c r="SI36" s="169"/>
      <c r="SJ36" s="169"/>
      <c r="SK36" s="169"/>
      <c r="SL36" s="169"/>
      <c r="SM36" s="169"/>
      <c r="SN36" s="169"/>
      <c r="SO36" s="169"/>
      <c r="SP36" s="169"/>
      <c r="SQ36" s="169"/>
      <c r="SR36" s="169"/>
      <c r="SS36" s="175"/>
    </row>
    <row r="37" spans="1:513" s="171" customFormat="1" ht="18" customHeight="1">
      <c r="A37" s="115" t="s">
        <v>184</v>
      </c>
      <c r="B37" s="115" t="s">
        <v>110</v>
      </c>
      <c r="C37" s="168"/>
      <c r="D37" s="168">
        <v>1401671</v>
      </c>
      <c r="E37" s="168" t="s">
        <v>553</v>
      </c>
      <c r="F37" s="168">
        <v>1</v>
      </c>
      <c r="G37" s="168"/>
      <c r="H37" s="168"/>
      <c r="I37" s="168">
        <v>1</v>
      </c>
      <c r="J37" s="168"/>
      <c r="K37" s="168">
        <v>1</v>
      </c>
      <c r="L37" s="168"/>
      <c r="M37" s="168"/>
      <c r="N37" s="168"/>
      <c r="O37" s="168">
        <v>1</v>
      </c>
      <c r="P37" s="168"/>
      <c r="Q37" s="168">
        <v>1</v>
      </c>
      <c r="R37" s="168"/>
      <c r="S37" s="168"/>
      <c r="T37" s="168"/>
      <c r="U37" s="168">
        <v>1</v>
      </c>
      <c r="V37" s="168">
        <v>166</v>
      </c>
      <c r="W37" s="168"/>
      <c r="X37" s="168">
        <v>101</v>
      </c>
      <c r="Y37" s="168"/>
      <c r="Z37" s="168">
        <v>68</v>
      </c>
      <c r="AA37" s="168"/>
      <c r="AB37" s="168">
        <v>43</v>
      </c>
      <c r="AC37" s="168"/>
      <c r="AD37" s="168">
        <v>27</v>
      </c>
      <c r="AE37" s="168"/>
      <c r="AF37" s="168">
        <f t="shared" ref="AF37" si="368">AD37+AB37+Z37+X37+V37</f>
        <v>405</v>
      </c>
      <c r="AG37" s="168">
        <f t="shared" ref="AG37" si="369">AE37+AC37+AA37+Y37+W37</f>
        <v>0</v>
      </c>
      <c r="AH37" s="168">
        <f t="shared" ref="AH37" si="370">AG37+AF37</f>
        <v>405</v>
      </c>
      <c r="AI37" s="168">
        <v>166</v>
      </c>
      <c r="AJ37" s="168"/>
      <c r="AK37" s="168">
        <v>101</v>
      </c>
      <c r="AL37" s="168"/>
      <c r="AM37" s="168">
        <v>68</v>
      </c>
      <c r="AN37" s="168"/>
      <c r="AO37" s="168">
        <v>43</v>
      </c>
      <c r="AP37" s="168"/>
      <c r="AQ37" s="168">
        <v>27</v>
      </c>
      <c r="AR37" s="168"/>
      <c r="AS37" s="168">
        <f t="shared" ref="AS37" si="371">AQ37+AO37+AM37+AK37+AI37</f>
        <v>405</v>
      </c>
      <c r="AT37" s="168">
        <f t="shared" ref="AT37" si="372">AR37+AP37+AN37+AL37+AJ37</f>
        <v>0</v>
      </c>
      <c r="AU37" s="168">
        <f t="shared" ref="AU37" si="373">AT37+AS37</f>
        <v>405</v>
      </c>
      <c r="AV37" s="168">
        <v>31</v>
      </c>
      <c r="AW37" s="168"/>
      <c r="AX37" s="168">
        <v>13</v>
      </c>
      <c r="AY37" s="168"/>
      <c r="AZ37" s="168">
        <v>10</v>
      </c>
      <c r="BA37" s="168"/>
      <c r="BB37" s="168">
        <v>6</v>
      </c>
      <c r="BC37" s="168"/>
      <c r="BD37" s="168">
        <v>4</v>
      </c>
      <c r="BE37" s="168"/>
      <c r="BF37" s="168">
        <f t="shared" ref="BF37" si="374">BD37+BB37+AZ37+AX37+AV37</f>
        <v>64</v>
      </c>
      <c r="BG37" s="168">
        <f t="shared" ref="BG37" si="375">BE37+BC37+BA37+AY37+AW37</f>
        <v>0</v>
      </c>
      <c r="BH37" s="168">
        <f t="shared" si="312"/>
        <v>64</v>
      </c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>
        <f t="shared" ref="BS37" si="376">BQ37+BO37+BM37+BK37+BI37</f>
        <v>0</v>
      </c>
      <c r="BT37" s="168">
        <f t="shared" ref="BT37" si="377">BR37+BP37+BN37+BL37+BJ37</f>
        <v>0</v>
      </c>
      <c r="BU37" s="168">
        <f t="shared" ref="BU37" si="378">BT37+BS37</f>
        <v>0</v>
      </c>
      <c r="BV37" s="168">
        <f t="shared" ref="BV37" si="379">AI37</f>
        <v>166</v>
      </c>
      <c r="BW37" s="168">
        <f t="shared" ref="BW37" si="380">AJ37</f>
        <v>0</v>
      </c>
      <c r="BX37" s="168">
        <f t="shared" ref="BX37" si="381">AV37+AK37</f>
        <v>132</v>
      </c>
      <c r="BY37" s="168">
        <f t="shared" ref="BY37" si="382">AL37+AW37</f>
        <v>0</v>
      </c>
      <c r="BZ37" s="168">
        <f t="shared" ref="BZ37" si="383">BI37+AX37+AM37</f>
        <v>81</v>
      </c>
      <c r="CA37" s="168">
        <f t="shared" ref="CA37" si="384">AN37+AY37+BJ37</f>
        <v>0</v>
      </c>
      <c r="CB37" s="168">
        <f t="shared" ref="CB37" si="385">BK37+AZ37+AO37</f>
        <v>53</v>
      </c>
      <c r="CC37" s="168">
        <f t="shared" ref="CC37" si="386">AP37+BA37+BL37</f>
        <v>0</v>
      </c>
      <c r="CD37" s="168">
        <f t="shared" ref="CD37" si="387">BM37+BB37+AQ37</f>
        <v>33</v>
      </c>
      <c r="CE37" s="168">
        <f t="shared" ref="CE37" si="388">BN37+BC37+AR37</f>
        <v>0</v>
      </c>
      <c r="CF37" s="168">
        <f t="shared" ref="CF37" si="389">BO37+BD37</f>
        <v>4</v>
      </c>
      <c r="CG37" s="168">
        <f t="shared" ref="CG37" si="390">BP37+BE37</f>
        <v>0</v>
      </c>
      <c r="CH37" s="168">
        <f t="shared" ref="CH37" si="391">BQ37</f>
        <v>0</v>
      </c>
      <c r="CI37" s="168">
        <f t="shared" ref="CI37" si="392">BR37</f>
        <v>0</v>
      </c>
      <c r="CJ37" s="168">
        <f t="shared" ref="CJ37" si="393">CH37+CF37+CD37+CB37+BZ37+BX37+BV37</f>
        <v>469</v>
      </c>
      <c r="CK37" s="168">
        <f t="shared" ref="CK37" si="394">CI37+CG37+CE37+CC37+CA37+BY37+BW37</f>
        <v>0</v>
      </c>
      <c r="CL37" s="168">
        <f t="shared" ref="CL37" si="395">CK37+CJ37</f>
        <v>469</v>
      </c>
      <c r="CM37" s="168">
        <v>7</v>
      </c>
      <c r="CN37" s="168"/>
      <c r="CO37" s="168"/>
      <c r="CP37" s="168">
        <v>2</v>
      </c>
      <c r="CQ37" s="168"/>
      <c r="CR37" s="168"/>
      <c r="CS37" s="168"/>
      <c r="CT37" s="168"/>
      <c r="CU37" s="168"/>
      <c r="CV37" s="168">
        <f t="shared" ref="CV37" si="396">CS37+CP37+CM37</f>
        <v>9</v>
      </c>
      <c r="CW37" s="168">
        <f t="shared" ref="CW37" si="397">CT37+CQ37+CN37</f>
        <v>0</v>
      </c>
      <c r="CX37" s="168">
        <f t="shared" ref="CX37" si="398">CU37+CR37+CO37</f>
        <v>0</v>
      </c>
      <c r="CY37" s="168">
        <f t="shared" ref="CY37" si="399">CX37+CW37+CV37</f>
        <v>9</v>
      </c>
      <c r="CZ37" s="168"/>
      <c r="DA37" s="168"/>
      <c r="DB37" s="168"/>
      <c r="DC37" s="168"/>
      <c r="DD37" s="168"/>
      <c r="DE37" s="168"/>
      <c r="DF37" s="168">
        <f t="shared" ref="DF37" si="400">DD37+DB37+CZ37</f>
        <v>0</v>
      </c>
      <c r="DG37" s="168">
        <f t="shared" ref="DG37" si="401">DE37+DC37+DA37</f>
        <v>0</v>
      </c>
      <c r="DH37" s="168">
        <f t="shared" si="339"/>
        <v>0</v>
      </c>
      <c r="DI37" s="168"/>
      <c r="DJ37" s="168"/>
      <c r="DK37" s="168"/>
      <c r="DL37" s="168"/>
      <c r="DM37" s="168"/>
      <c r="DN37" s="168"/>
      <c r="DO37" s="168"/>
      <c r="DP37" s="168"/>
      <c r="DQ37" s="168"/>
      <c r="DR37" s="168"/>
      <c r="DS37" s="168"/>
      <c r="DT37" s="168"/>
      <c r="DU37" s="168"/>
      <c r="DV37" s="168"/>
      <c r="DW37" s="168"/>
      <c r="DX37" s="168">
        <f t="shared" ref="DX37" si="402">DV37+DT37+DR37</f>
        <v>0</v>
      </c>
      <c r="DY37" s="168">
        <f t="shared" ref="DY37" si="403">DW37+DU37+DS37</f>
        <v>0</v>
      </c>
      <c r="DZ37" s="168">
        <f t="shared" ref="DZ37" si="404">DY37+DX37</f>
        <v>0</v>
      </c>
      <c r="EA37" s="168"/>
      <c r="EB37" s="168"/>
      <c r="EC37" s="168"/>
      <c r="ED37" s="168"/>
      <c r="EE37" s="168"/>
      <c r="EF37" s="168"/>
      <c r="EG37" s="168">
        <f t="shared" ref="EG37" si="405">EE37+EC37+EA37</f>
        <v>0</v>
      </c>
      <c r="EH37" s="168">
        <f t="shared" ref="EH37" si="406">EF37+ED37+EB37</f>
        <v>0</v>
      </c>
      <c r="EI37" s="168">
        <f t="shared" ref="EI37" si="407">EH37+EG37</f>
        <v>0</v>
      </c>
      <c r="EJ37" s="168"/>
      <c r="EK37" s="168"/>
      <c r="EL37" s="168"/>
      <c r="EM37" s="168"/>
      <c r="EN37" s="168"/>
      <c r="EO37" s="168"/>
      <c r="EP37" s="168">
        <f t="shared" ref="EP37" si="408">EN37+EL37+EJ37</f>
        <v>0</v>
      </c>
      <c r="EQ37" s="168">
        <f t="shared" ref="EQ37" si="409">EO37+EM37+EK37</f>
        <v>0</v>
      </c>
      <c r="ER37" s="168">
        <f t="shared" ref="ER37" si="410">EQ37+EP37</f>
        <v>0</v>
      </c>
      <c r="ES37" s="168"/>
      <c r="ET37" s="168"/>
      <c r="EU37" s="168"/>
      <c r="EV37" s="168"/>
      <c r="EW37" s="168"/>
      <c r="EX37" s="168"/>
      <c r="EY37" s="168">
        <f t="shared" ref="EY37" si="411">EW37+EU37+ES37</f>
        <v>0</v>
      </c>
      <c r="EZ37" s="168">
        <f t="shared" ref="EZ37" si="412">EX37+EV37+ET37</f>
        <v>0</v>
      </c>
      <c r="FA37" s="168">
        <f>EZ37+EY37</f>
        <v>0</v>
      </c>
      <c r="FB37" s="168">
        <v>1</v>
      </c>
      <c r="FC37" s="168"/>
      <c r="FD37" s="168"/>
      <c r="FE37" s="168"/>
      <c r="FF37" s="168"/>
      <c r="FG37" s="168"/>
      <c r="FH37" s="168"/>
      <c r="FI37" s="168"/>
      <c r="FJ37" s="168"/>
      <c r="FK37" s="168"/>
      <c r="FL37" s="168">
        <f t="shared" si="353"/>
        <v>1</v>
      </c>
      <c r="FM37" s="168">
        <f t="shared" si="354"/>
        <v>0</v>
      </c>
      <c r="FN37" s="168">
        <f t="shared" si="355"/>
        <v>1</v>
      </c>
      <c r="FO37" s="168"/>
      <c r="FP37" s="168"/>
      <c r="FQ37" s="168"/>
      <c r="FR37" s="168"/>
      <c r="FS37" s="168"/>
      <c r="FT37" s="168"/>
      <c r="FU37" s="168"/>
      <c r="FV37" s="168"/>
      <c r="FW37" s="168"/>
      <c r="FX37" s="168"/>
      <c r="FY37" s="168"/>
      <c r="FZ37" s="168"/>
      <c r="GA37" s="168"/>
      <c r="GB37" s="168"/>
      <c r="GC37" s="168"/>
      <c r="GD37" s="168"/>
      <c r="GE37" s="168"/>
      <c r="GF37" s="168"/>
      <c r="GG37" s="168">
        <f t="shared" ref="GG37:GG45" si="413">GE37+GA37+FY37+FW37+FU37+FS37+FO37</f>
        <v>0</v>
      </c>
      <c r="GH37" s="168">
        <f t="shared" ref="GH37:GH45" si="414">GF37+GB37+FZ37+FX37+FV37+FT37+FP37</f>
        <v>0</v>
      </c>
      <c r="GI37" s="168">
        <f t="shared" ref="GI37:GI45" si="415">GH37+GG37</f>
        <v>0</v>
      </c>
      <c r="GJ37" s="168"/>
      <c r="GK37" s="168"/>
      <c r="GL37" s="168"/>
      <c r="GM37" s="168"/>
      <c r="GN37" s="168"/>
      <c r="GO37" s="168"/>
      <c r="GP37" s="168"/>
      <c r="GQ37" s="168"/>
      <c r="GR37" s="168"/>
      <c r="GS37" s="168"/>
      <c r="GT37" s="168"/>
      <c r="GU37" s="168"/>
      <c r="GV37" s="168"/>
      <c r="GW37" s="168"/>
      <c r="GX37" s="168"/>
      <c r="GY37" s="168"/>
      <c r="GZ37" s="168"/>
      <c r="HA37" s="168"/>
      <c r="HB37" s="168"/>
      <c r="HC37" s="168"/>
      <c r="HD37" s="168"/>
      <c r="HE37" s="168"/>
      <c r="HF37" s="168"/>
      <c r="HG37" s="168"/>
      <c r="HH37" s="168"/>
      <c r="HI37" s="168"/>
      <c r="HJ37" s="168"/>
      <c r="HK37" s="168"/>
      <c r="HL37" s="168"/>
      <c r="HM37" s="168"/>
      <c r="HN37" s="168"/>
      <c r="HO37" s="168"/>
      <c r="HP37" s="168"/>
      <c r="HQ37" s="168"/>
      <c r="HR37" s="168"/>
      <c r="HS37" s="168"/>
      <c r="HT37" s="168"/>
      <c r="HU37" s="168"/>
      <c r="HV37" s="168"/>
      <c r="HW37" s="168"/>
      <c r="HX37" s="168"/>
      <c r="HY37" s="168"/>
      <c r="HZ37" s="168"/>
      <c r="IA37" s="168"/>
      <c r="IB37" s="168"/>
      <c r="IC37" s="168"/>
      <c r="ID37" s="168"/>
      <c r="IE37" s="168"/>
      <c r="IF37" s="168"/>
      <c r="IG37" s="168"/>
      <c r="IH37" s="168"/>
      <c r="II37" s="168"/>
      <c r="IJ37" s="168"/>
      <c r="IK37" s="168"/>
      <c r="IL37" s="168"/>
      <c r="IM37" s="168"/>
      <c r="IN37" s="168"/>
      <c r="IO37" s="168"/>
      <c r="IP37" s="168"/>
      <c r="IQ37" s="168"/>
      <c r="IR37" s="168"/>
      <c r="IS37" s="168"/>
      <c r="IT37" s="168"/>
      <c r="IU37" s="168"/>
      <c r="IV37" s="168"/>
      <c r="IW37" s="168"/>
      <c r="IX37" s="168"/>
      <c r="IY37" s="168"/>
      <c r="IZ37" s="168"/>
      <c r="JA37" s="168"/>
      <c r="JB37" s="168"/>
      <c r="JC37" s="168"/>
      <c r="JD37" s="168"/>
      <c r="JE37" s="168"/>
      <c r="JF37" s="168"/>
      <c r="JG37" s="168"/>
      <c r="JH37" s="168"/>
      <c r="JI37" s="168"/>
      <c r="JJ37" s="168"/>
      <c r="JK37" s="168"/>
      <c r="JL37" s="168"/>
      <c r="JM37" s="168"/>
      <c r="JN37" s="168"/>
      <c r="JO37" s="168"/>
      <c r="JP37" s="168"/>
      <c r="JQ37" s="168"/>
      <c r="JR37" s="168"/>
      <c r="JS37" s="168"/>
      <c r="JT37" s="168"/>
      <c r="JU37" s="168"/>
      <c r="JV37" s="168"/>
      <c r="JW37" s="168"/>
      <c r="JX37" s="168"/>
      <c r="JY37" s="168"/>
      <c r="JZ37" s="168"/>
      <c r="KA37" s="168"/>
      <c r="KB37" s="168"/>
      <c r="KC37" s="168"/>
      <c r="KD37" s="168"/>
      <c r="KE37" s="168"/>
      <c r="KF37" s="168"/>
      <c r="KG37" s="168"/>
      <c r="KH37" s="168"/>
      <c r="KI37" s="168"/>
      <c r="KJ37" s="168"/>
      <c r="KK37" s="168"/>
      <c r="KL37" s="168"/>
      <c r="KM37" s="168"/>
      <c r="KN37" s="168">
        <v>1</v>
      </c>
      <c r="KO37" s="168"/>
      <c r="KP37" s="168"/>
      <c r="KQ37" s="168"/>
      <c r="KR37" s="168"/>
      <c r="KS37" s="168"/>
      <c r="KT37" s="168"/>
      <c r="KU37" s="168"/>
      <c r="KV37" s="168">
        <f t="shared" ref="KV37:KV45" si="416">KT37+KN37+KJ37+KH37+KF37+KD37+KB37+JZ37+JX37+JV37+JT37+JR37+JP37+JN37+JL37+JJ37+JH37+JF37+JD37+JB37+IZ37+IX37+IV37+IT37+IR37+IP37+IN37+IL37+IJ37+IH37+IF37+ID37+IB37+HZ37+HX37+HV37+HT37+HR37+HP37+HN37+HL37+HJ37+HH37+HF37+HD37+HB37+GZ37+GX37+GV37+GT37+GR37+GP37+GN37+GL37+GJ37</f>
        <v>1</v>
      </c>
      <c r="KW37" s="168">
        <f t="shared" ref="KW37:KW45" si="417">KU37+KO37+KK37+KI37+KG37+KE37+KC37+KA37+JY37+JW37+JU37+JS37+JQ37+JO37+JM37+JK37+JI37+JG37+JE37+JC37+JA37+IY37+IW37+IU37+IS37+IQ37+IO37+IM37+IK37+II37+IG37+IE37+IC37+IA37+HY37+HW37+HU37+HS37+HQ37+HO37+HM37+HK37+HI37+HG37+HE37+HC37+HA37+GY37+GW37+GU37+GS37+GQ37+GO37+GM37+GK37</f>
        <v>0</v>
      </c>
      <c r="KX37" s="168">
        <f t="shared" ref="KX37:KX45" si="418">KW37+KV37</f>
        <v>1</v>
      </c>
      <c r="KY37" s="168">
        <v>1</v>
      </c>
      <c r="KZ37" s="168"/>
      <c r="LA37" s="168"/>
      <c r="LB37" s="168"/>
      <c r="LC37" s="168"/>
      <c r="LD37" s="168"/>
      <c r="LE37" s="168"/>
      <c r="LF37" s="168"/>
      <c r="LG37" s="168"/>
      <c r="LH37" s="168"/>
      <c r="LI37" s="168"/>
      <c r="LJ37" s="168"/>
      <c r="LK37" s="168"/>
      <c r="LL37" s="168"/>
      <c r="LM37" s="168"/>
      <c r="LN37" s="168"/>
      <c r="LO37" s="168"/>
      <c r="LP37" s="168"/>
      <c r="LQ37" s="168">
        <f t="shared" ref="LQ37:LQ45" si="419">LA37+LC37+KY37+LE37+LG37+LI37+LK37+LM37+LO37</f>
        <v>1</v>
      </c>
      <c r="LR37" s="168">
        <f t="shared" ref="LR37:LR45" si="420">LB37+LD37+KZ37+LF37+LH37+LJ37+LL37+LN37+LP37</f>
        <v>0</v>
      </c>
      <c r="LS37" s="168">
        <f t="shared" ref="LS37:LS45" si="421">LR37+LQ37</f>
        <v>1</v>
      </c>
      <c r="LT37" s="168"/>
      <c r="LU37" s="168"/>
      <c r="LV37" s="168"/>
      <c r="LW37" s="168"/>
      <c r="LX37" s="168"/>
      <c r="LY37" s="168"/>
      <c r="LZ37" s="168">
        <v>1</v>
      </c>
      <c r="MA37" s="168"/>
      <c r="MB37" s="168">
        <f t="shared" ref="MB37:MB45" si="422">LX37+LV37+LT37+LZ37</f>
        <v>1</v>
      </c>
      <c r="MC37" s="168">
        <f t="shared" ref="MC37:MC45" si="423">LY37+LW37+LU37+MA37</f>
        <v>0</v>
      </c>
      <c r="MD37" s="168">
        <f t="shared" ref="MD37:MD45" si="424">MC37+MB37</f>
        <v>1</v>
      </c>
      <c r="ME37" s="168"/>
      <c r="MF37" s="168"/>
      <c r="MG37" s="168"/>
      <c r="MH37" s="168"/>
      <c r="MI37" s="168">
        <v>1</v>
      </c>
      <c r="MJ37" s="168"/>
      <c r="MK37" s="168"/>
      <c r="ML37" s="168"/>
      <c r="MM37" s="168"/>
      <c r="MN37" s="168"/>
      <c r="MO37" s="168">
        <f t="shared" ref="MO37:MO45" si="425">MM37+MK37+MI37+MG37+ME37</f>
        <v>1</v>
      </c>
      <c r="MP37" s="168">
        <f t="shared" ref="MP37:MP45" si="426">MN37+ML37+MJ37+MH37+MF37</f>
        <v>0</v>
      </c>
      <c r="MQ37" s="168">
        <f t="shared" ref="MQ37:MQ45" si="427">MP37+MO37</f>
        <v>1</v>
      </c>
      <c r="MR37" s="168"/>
      <c r="MS37" s="168"/>
      <c r="MT37" s="168">
        <v>1</v>
      </c>
      <c r="MU37" s="168"/>
      <c r="MV37" s="168"/>
      <c r="MW37" s="168"/>
      <c r="MX37" s="168"/>
      <c r="MY37" s="168"/>
      <c r="MZ37" s="168">
        <f t="shared" si="365"/>
        <v>1</v>
      </c>
      <c r="NA37" s="168">
        <f t="shared" si="366"/>
        <v>0</v>
      </c>
      <c r="NB37" s="168">
        <f t="shared" si="367"/>
        <v>1</v>
      </c>
      <c r="NC37" s="168"/>
      <c r="ND37" s="168"/>
      <c r="NE37" s="168"/>
      <c r="NF37" s="168"/>
      <c r="NG37" s="168"/>
      <c r="NH37" s="168"/>
      <c r="NI37" s="168"/>
      <c r="NJ37" s="168"/>
      <c r="NK37" s="168"/>
      <c r="NL37" s="168"/>
      <c r="NM37" s="168"/>
      <c r="NN37" s="168"/>
      <c r="NO37" s="168"/>
      <c r="NP37" s="168"/>
      <c r="NQ37" s="168">
        <v>1</v>
      </c>
      <c r="NR37" s="168"/>
      <c r="NS37" s="168"/>
      <c r="NT37" s="168"/>
      <c r="NU37" s="168"/>
      <c r="NV37" s="168"/>
      <c r="NW37" s="168">
        <f t="shared" ref="NW37:NW45" si="428">NU37+NS37+NQ37+NO37+NM37+NK37+NG37+NI37+NE37</f>
        <v>1</v>
      </c>
      <c r="NX37" s="168">
        <f t="shared" ref="NX37:NX45" si="429">NV37+NT37+NR37+NP37+NN37+NL37+NH37+NJ37+NF37</f>
        <v>0</v>
      </c>
      <c r="NY37" s="168">
        <f t="shared" ref="NY37:NY45" si="430">NX37+NW37</f>
        <v>1</v>
      </c>
      <c r="NZ37" s="168"/>
      <c r="OA37" s="168"/>
      <c r="OB37" s="168"/>
      <c r="OC37" s="168"/>
      <c r="OD37" s="168"/>
      <c r="OE37" s="168"/>
      <c r="OF37" s="168"/>
      <c r="OG37" s="168"/>
      <c r="OH37" s="168"/>
      <c r="OI37" s="168"/>
      <c r="OJ37" s="168">
        <v>1</v>
      </c>
      <c r="OK37" s="168">
        <v>1</v>
      </c>
      <c r="OL37" s="168"/>
      <c r="OM37" s="168">
        <v>1</v>
      </c>
      <c r="ON37" s="168"/>
      <c r="OO37" s="168"/>
      <c r="OP37" s="168">
        <v>1</v>
      </c>
      <c r="OQ37" s="168"/>
      <c r="OR37" s="168"/>
      <c r="OS37" s="168"/>
      <c r="OT37" s="168"/>
      <c r="OU37" s="169">
        <v>1</v>
      </c>
      <c r="OV37" s="169"/>
      <c r="OW37" s="169">
        <v>2024</v>
      </c>
      <c r="OX37" s="169"/>
      <c r="OY37" s="169"/>
      <c r="OZ37" s="169">
        <v>1</v>
      </c>
      <c r="PA37" s="169"/>
      <c r="PB37" s="169"/>
      <c r="PC37" s="169"/>
      <c r="PD37" s="169">
        <v>1</v>
      </c>
      <c r="PE37" s="169"/>
      <c r="PF37" s="169"/>
      <c r="PG37" s="169"/>
      <c r="PH37" s="169"/>
      <c r="PI37" s="169">
        <v>1</v>
      </c>
      <c r="PJ37" s="169">
        <v>1</v>
      </c>
      <c r="PK37" s="169"/>
      <c r="PL37" s="169">
        <v>6</v>
      </c>
      <c r="PM37" s="169">
        <v>24</v>
      </c>
      <c r="PN37" s="169">
        <v>4</v>
      </c>
      <c r="PO37" s="169">
        <f t="shared" ref="PO37:PO40" si="431">SUM(PM37:PN37)</f>
        <v>28</v>
      </c>
      <c r="PP37" s="169">
        <v>1</v>
      </c>
      <c r="PQ37" s="169"/>
      <c r="PR37" s="169"/>
      <c r="PS37" s="169"/>
      <c r="PT37" s="169"/>
      <c r="PU37" s="169"/>
      <c r="PV37" s="169">
        <v>1</v>
      </c>
      <c r="PW37" s="169"/>
      <c r="PX37" s="169">
        <v>1</v>
      </c>
      <c r="PY37" s="169"/>
      <c r="PZ37" s="169">
        <v>1</v>
      </c>
      <c r="QA37" s="169"/>
      <c r="QB37" s="169">
        <v>1</v>
      </c>
      <c r="QC37" s="169"/>
      <c r="QD37" s="169">
        <v>1</v>
      </c>
      <c r="QE37" s="169"/>
      <c r="QF37" s="169"/>
      <c r="QG37" s="169"/>
      <c r="QH37" s="169"/>
      <c r="QI37" s="169">
        <v>1</v>
      </c>
      <c r="QJ37" s="169"/>
      <c r="QK37" s="169"/>
      <c r="QL37" s="169">
        <v>1</v>
      </c>
      <c r="QM37" s="169">
        <v>1</v>
      </c>
      <c r="QN37" s="169"/>
      <c r="QO37" s="169">
        <v>1</v>
      </c>
      <c r="QP37" s="169"/>
      <c r="QQ37" s="169"/>
      <c r="QR37" s="169">
        <v>1</v>
      </c>
      <c r="QS37" s="169"/>
      <c r="QT37" s="169"/>
      <c r="QU37" s="169">
        <v>1</v>
      </c>
      <c r="QV37" s="169"/>
      <c r="QW37" s="169"/>
      <c r="QX37" s="169"/>
      <c r="QY37" s="169"/>
      <c r="QZ37" s="169"/>
      <c r="RA37" s="169">
        <v>1</v>
      </c>
      <c r="RB37" s="169">
        <v>1</v>
      </c>
      <c r="RC37" s="169"/>
      <c r="RD37" s="169"/>
      <c r="RE37" s="169">
        <v>1</v>
      </c>
      <c r="RF37" s="169">
        <v>1</v>
      </c>
      <c r="RG37" s="169"/>
      <c r="RH37" s="169"/>
      <c r="RI37" s="169"/>
      <c r="RJ37" s="169">
        <v>1</v>
      </c>
      <c r="RK37" s="169"/>
      <c r="RL37" s="169">
        <v>1</v>
      </c>
      <c r="RM37" s="169"/>
      <c r="RN37" s="169"/>
      <c r="RO37" s="168">
        <v>360</v>
      </c>
      <c r="RP37" s="168"/>
      <c r="RQ37" s="168"/>
      <c r="RR37" s="168"/>
      <c r="RS37" s="168">
        <v>28</v>
      </c>
      <c r="RT37" s="168"/>
      <c r="RU37" s="170"/>
      <c r="RV37" s="170"/>
      <c r="RW37" s="170">
        <v>2</v>
      </c>
      <c r="RX37" s="170"/>
      <c r="RY37" s="170">
        <v>2</v>
      </c>
      <c r="RZ37" s="170"/>
      <c r="SA37" s="169"/>
      <c r="SB37" s="169">
        <v>1</v>
      </c>
      <c r="SC37" s="169"/>
      <c r="SD37" s="169"/>
      <c r="SE37" s="169"/>
      <c r="SF37" s="169"/>
      <c r="SG37" s="169"/>
      <c r="SH37" s="169"/>
      <c r="SI37" s="169"/>
      <c r="SJ37" s="169"/>
      <c r="SK37" s="169"/>
      <c r="SL37" s="169"/>
      <c r="SM37" s="169"/>
      <c r="SN37" s="169"/>
      <c r="SO37" s="169"/>
      <c r="SP37" s="169"/>
      <c r="SQ37" s="169" t="s">
        <v>554</v>
      </c>
      <c r="SR37" s="169" t="s">
        <v>555</v>
      </c>
      <c r="SS37" s="175">
        <v>7801502461</v>
      </c>
    </row>
    <row r="38" spans="1:513" s="171" customFormat="1" ht="18" customHeight="1">
      <c r="A38" s="168"/>
      <c r="B38" s="168"/>
      <c r="C38" s="168"/>
      <c r="D38" s="168"/>
      <c r="E38" s="168" t="s">
        <v>398</v>
      </c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>
        <v>16</v>
      </c>
      <c r="W38" s="168"/>
      <c r="X38" s="168">
        <v>21</v>
      </c>
      <c r="Y38" s="168"/>
      <c r="Z38" s="168">
        <v>21</v>
      </c>
      <c r="AA38" s="168"/>
      <c r="AB38" s="168">
        <v>7</v>
      </c>
      <c r="AC38" s="168"/>
      <c r="AD38" s="168">
        <v>8</v>
      </c>
      <c r="AE38" s="168"/>
      <c r="AF38" s="168">
        <f t="shared" ref="AF38:AF45" si="432">AD38+AB38+Z38+X38+V38</f>
        <v>73</v>
      </c>
      <c r="AG38" s="168">
        <f t="shared" ref="AG38:AG45" si="433">AE38+AC38+AA38+Y38+W38</f>
        <v>0</v>
      </c>
      <c r="AH38" s="168">
        <f>AG38+AF38</f>
        <v>73</v>
      </c>
      <c r="AI38" s="168">
        <v>16</v>
      </c>
      <c r="AJ38" s="168"/>
      <c r="AK38" s="168">
        <v>21</v>
      </c>
      <c r="AL38" s="168"/>
      <c r="AM38" s="168">
        <v>24</v>
      </c>
      <c r="AN38" s="168"/>
      <c r="AO38" s="168">
        <v>10</v>
      </c>
      <c r="AP38" s="168"/>
      <c r="AQ38" s="168">
        <v>11</v>
      </c>
      <c r="AR38" s="168"/>
      <c r="AS38" s="168">
        <f>AQ38+AO38+AM38+AK38+AI38</f>
        <v>82</v>
      </c>
      <c r="AT38" s="168">
        <f>AR38+AP38+AN38+AL38+AJ38</f>
        <v>0</v>
      </c>
      <c r="AU38" s="168">
        <f t="shared" si="309"/>
        <v>82</v>
      </c>
      <c r="AV38" s="168">
        <v>2</v>
      </c>
      <c r="AW38" s="168"/>
      <c r="AX38" s="168">
        <v>4</v>
      </c>
      <c r="AY38" s="168"/>
      <c r="AZ38" s="168">
        <v>5</v>
      </c>
      <c r="BA38" s="168"/>
      <c r="BB38" s="168">
        <v>5</v>
      </c>
      <c r="BC38" s="168"/>
      <c r="BD38" s="168">
        <v>4</v>
      </c>
      <c r="BE38" s="168"/>
      <c r="BF38" s="168">
        <f>BD38+BB38+AZ38+AX38+AV38</f>
        <v>20</v>
      </c>
      <c r="BG38" s="168">
        <f>BE38+BC38+BA38+AY38+AW38</f>
        <v>0</v>
      </c>
      <c r="BH38" s="168">
        <f t="shared" si="312"/>
        <v>20</v>
      </c>
      <c r="BI38" s="168">
        <v>1</v>
      </c>
      <c r="BJ38" s="168"/>
      <c r="BK38" s="168">
        <v>14</v>
      </c>
      <c r="BL38" s="168"/>
      <c r="BM38" s="168">
        <v>6</v>
      </c>
      <c r="BN38" s="168"/>
      <c r="BO38" s="168">
        <v>8</v>
      </c>
      <c r="BP38" s="168"/>
      <c r="BQ38" s="168">
        <v>7</v>
      </c>
      <c r="BR38" s="168"/>
      <c r="BS38" s="168">
        <f>BQ38+BO38+BM38+BK38+BI38</f>
        <v>36</v>
      </c>
      <c r="BT38" s="168">
        <f>BR38+BP38+BN38+BL38+BJ38</f>
        <v>0</v>
      </c>
      <c r="BU38" s="168">
        <f t="shared" si="315"/>
        <v>36</v>
      </c>
      <c r="BV38" s="168">
        <f>AI38</f>
        <v>16</v>
      </c>
      <c r="BW38" s="168">
        <f>AJ38</f>
        <v>0</v>
      </c>
      <c r="BX38" s="168">
        <f t="shared" si="318"/>
        <v>23</v>
      </c>
      <c r="BY38" s="168">
        <f t="shared" si="319"/>
        <v>0</v>
      </c>
      <c r="BZ38" s="168">
        <f t="shared" si="320"/>
        <v>29</v>
      </c>
      <c r="CA38" s="168">
        <f t="shared" si="321"/>
        <v>0</v>
      </c>
      <c r="CB38" s="168">
        <f t="shared" si="322"/>
        <v>29</v>
      </c>
      <c r="CC38" s="168">
        <f t="shared" si="323"/>
        <v>0</v>
      </c>
      <c r="CD38" s="168">
        <f>BM38+BB38+AQ38</f>
        <v>22</v>
      </c>
      <c r="CE38" s="168">
        <f>BN38+BC38+AR38</f>
        <v>0</v>
      </c>
      <c r="CF38" s="168">
        <f>BO38+BD38</f>
        <v>12</v>
      </c>
      <c r="CG38" s="168">
        <f>BP38+BE38</f>
        <v>0</v>
      </c>
      <c r="CH38" s="168">
        <f>BQ38</f>
        <v>7</v>
      </c>
      <c r="CI38" s="168">
        <f>BR38</f>
        <v>0</v>
      </c>
      <c r="CJ38" s="168">
        <f>CH38+CF38+CD38+CB38+BZ38+BX38+BV38</f>
        <v>138</v>
      </c>
      <c r="CK38" s="168">
        <f>CI38+CG38+CE38+CC38+CA38+BY38+BW38</f>
        <v>0</v>
      </c>
      <c r="CL38" s="168">
        <f t="shared" si="332"/>
        <v>138</v>
      </c>
      <c r="CM38" s="168">
        <v>2</v>
      </c>
      <c r="CN38" s="168"/>
      <c r="CO38" s="168"/>
      <c r="CP38" s="168">
        <v>1</v>
      </c>
      <c r="CQ38" s="168"/>
      <c r="CR38" s="168"/>
      <c r="CS38" s="168">
        <v>1</v>
      </c>
      <c r="CT38" s="168"/>
      <c r="CU38" s="168"/>
      <c r="CV38" s="168">
        <f t="shared" ref="CV38:CX39" si="434">CS38+CP38+CM38</f>
        <v>4</v>
      </c>
      <c r="CW38" s="168">
        <f t="shared" si="434"/>
        <v>0</v>
      </c>
      <c r="CX38" s="168">
        <f t="shared" si="434"/>
        <v>0</v>
      </c>
      <c r="CY38" s="168">
        <f t="shared" si="336"/>
        <v>4</v>
      </c>
      <c r="CZ38" s="168">
        <v>1</v>
      </c>
      <c r="DA38" s="168"/>
      <c r="DB38" s="168">
        <v>1</v>
      </c>
      <c r="DC38" s="168"/>
      <c r="DD38" s="168"/>
      <c r="DE38" s="168"/>
      <c r="DF38" s="168">
        <f>DD38+DB38+CZ38</f>
        <v>2</v>
      </c>
      <c r="DG38" s="168">
        <f>DE38+DC38+DA38</f>
        <v>0</v>
      </c>
      <c r="DH38" s="168">
        <f t="shared" si="339"/>
        <v>2</v>
      </c>
      <c r="DI38" s="168"/>
      <c r="DJ38" s="168"/>
      <c r="DK38" s="168"/>
      <c r="DL38" s="168"/>
      <c r="DM38" s="168"/>
      <c r="DN38" s="168"/>
      <c r="DO38" s="168">
        <f>DM38+DK38+DI38</f>
        <v>0</v>
      </c>
      <c r="DP38" s="168">
        <f>DN38+DL38+DJ38</f>
        <v>0</v>
      </c>
      <c r="DQ38" s="168">
        <f>DP38+DO38</f>
        <v>0</v>
      </c>
      <c r="DR38" s="168">
        <v>16</v>
      </c>
      <c r="DS38" s="168"/>
      <c r="DT38" s="168">
        <v>13</v>
      </c>
      <c r="DU38" s="168"/>
      <c r="DV38" s="168">
        <v>32</v>
      </c>
      <c r="DW38" s="168"/>
      <c r="DX38" s="168">
        <f>DV38+DT38+DR38</f>
        <v>61</v>
      </c>
      <c r="DY38" s="168">
        <f>DW38+DU38+DS38</f>
        <v>0</v>
      </c>
      <c r="DZ38" s="168">
        <f t="shared" si="344"/>
        <v>61</v>
      </c>
      <c r="EA38" s="168">
        <v>11</v>
      </c>
      <c r="EB38" s="168"/>
      <c r="EC38" s="168">
        <v>1</v>
      </c>
      <c r="ED38" s="168"/>
      <c r="EE38" s="168">
        <v>5</v>
      </c>
      <c r="EF38" s="168"/>
      <c r="EG38" s="168">
        <f>EE38+EC38+EA38</f>
        <v>17</v>
      </c>
      <c r="EH38" s="168">
        <f>EF38+ED38+EB38</f>
        <v>0</v>
      </c>
      <c r="EI38" s="168">
        <f t="shared" si="347"/>
        <v>17</v>
      </c>
      <c r="EJ38" s="168"/>
      <c r="EK38" s="168"/>
      <c r="EL38" s="168">
        <v>1</v>
      </c>
      <c r="EM38" s="168"/>
      <c r="EN38" s="168">
        <v>5</v>
      </c>
      <c r="EO38" s="168"/>
      <c r="EP38" s="168">
        <f>EN38+EL38+EJ38</f>
        <v>6</v>
      </c>
      <c r="EQ38" s="168">
        <f>EO38+EM38+EK38</f>
        <v>0</v>
      </c>
      <c r="ER38" s="168">
        <f t="shared" si="350"/>
        <v>6</v>
      </c>
      <c r="ES38" s="168"/>
      <c r="ET38" s="168"/>
      <c r="EU38" s="168"/>
      <c r="EV38" s="168"/>
      <c r="EW38" s="168">
        <v>1</v>
      </c>
      <c r="EX38" s="168"/>
      <c r="EY38" s="168">
        <f>EW38+EU38+ES38</f>
        <v>1</v>
      </c>
      <c r="EZ38" s="168">
        <f>EX38+EV38+ET38</f>
        <v>0</v>
      </c>
      <c r="FA38" s="168">
        <f>EZ38+EY38</f>
        <v>1</v>
      </c>
      <c r="FB38" s="168"/>
      <c r="FC38" s="168"/>
      <c r="FD38" s="168"/>
      <c r="FE38" s="168"/>
      <c r="FF38" s="168"/>
      <c r="FG38" s="168"/>
      <c r="FH38" s="168"/>
      <c r="FI38" s="168"/>
      <c r="FJ38" s="168"/>
      <c r="FK38" s="168"/>
      <c r="FL38" s="168">
        <f t="shared" si="353"/>
        <v>0</v>
      </c>
      <c r="FM38" s="168">
        <f t="shared" si="354"/>
        <v>0</v>
      </c>
      <c r="FN38" s="168">
        <f t="shared" si="355"/>
        <v>0</v>
      </c>
      <c r="FO38" s="168"/>
      <c r="FP38" s="168"/>
      <c r="FQ38" s="168"/>
      <c r="FR38" s="168"/>
      <c r="FS38" s="168"/>
      <c r="FT38" s="168"/>
      <c r="FU38" s="168"/>
      <c r="FV38" s="168"/>
      <c r="FW38" s="168"/>
      <c r="FX38" s="168"/>
      <c r="FY38" s="168"/>
      <c r="FZ38" s="168"/>
      <c r="GA38" s="168"/>
      <c r="GB38" s="168"/>
      <c r="GC38" s="168"/>
      <c r="GD38" s="168"/>
      <c r="GE38" s="168"/>
      <c r="GF38" s="168"/>
      <c r="GG38" s="168">
        <f t="shared" si="413"/>
        <v>0</v>
      </c>
      <c r="GH38" s="168">
        <f t="shared" si="414"/>
        <v>0</v>
      </c>
      <c r="GI38" s="168">
        <f t="shared" si="415"/>
        <v>0</v>
      </c>
      <c r="GJ38" s="168"/>
      <c r="GK38" s="168"/>
      <c r="GL38" s="168"/>
      <c r="GM38" s="168"/>
      <c r="GN38" s="168"/>
      <c r="GO38" s="168"/>
      <c r="GP38" s="168"/>
      <c r="GQ38" s="168"/>
      <c r="GR38" s="168"/>
      <c r="GS38" s="168"/>
      <c r="GT38" s="168"/>
      <c r="GU38" s="168"/>
      <c r="GV38" s="168"/>
      <c r="GW38" s="168"/>
      <c r="GX38" s="168"/>
      <c r="GY38" s="168"/>
      <c r="GZ38" s="168"/>
      <c r="HA38" s="168"/>
      <c r="HB38" s="168"/>
      <c r="HC38" s="168"/>
      <c r="HD38" s="168"/>
      <c r="HE38" s="168"/>
      <c r="HF38" s="168"/>
      <c r="HG38" s="168"/>
      <c r="HH38" s="168"/>
      <c r="HI38" s="168"/>
      <c r="HJ38" s="168"/>
      <c r="HK38" s="168"/>
      <c r="HL38" s="168"/>
      <c r="HM38" s="168"/>
      <c r="HN38" s="168"/>
      <c r="HO38" s="168"/>
      <c r="HP38" s="168"/>
      <c r="HQ38" s="168"/>
      <c r="HR38" s="168"/>
      <c r="HS38" s="168"/>
      <c r="HT38" s="168"/>
      <c r="HU38" s="168"/>
      <c r="HV38" s="168"/>
      <c r="HW38" s="168"/>
      <c r="HX38" s="168"/>
      <c r="HY38" s="168"/>
      <c r="HZ38" s="168"/>
      <c r="IA38" s="168"/>
      <c r="IB38" s="168"/>
      <c r="IC38" s="168"/>
      <c r="ID38" s="168"/>
      <c r="IE38" s="168"/>
      <c r="IF38" s="168"/>
      <c r="IG38" s="168"/>
      <c r="IH38" s="168"/>
      <c r="II38" s="168"/>
      <c r="IJ38" s="168"/>
      <c r="IK38" s="168"/>
      <c r="IL38" s="168"/>
      <c r="IM38" s="168"/>
      <c r="IN38" s="168"/>
      <c r="IO38" s="168"/>
      <c r="IP38" s="168"/>
      <c r="IQ38" s="168"/>
      <c r="IR38" s="168"/>
      <c r="IS38" s="168"/>
      <c r="IT38" s="168"/>
      <c r="IU38" s="168"/>
      <c r="IV38" s="168"/>
      <c r="IW38" s="168"/>
      <c r="IX38" s="168"/>
      <c r="IY38" s="168"/>
      <c r="IZ38" s="168"/>
      <c r="JA38" s="168"/>
      <c r="JB38" s="168"/>
      <c r="JC38" s="168"/>
      <c r="JD38" s="168"/>
      <c r="JE38" s="168"/>
      <c r="JF38" s="168"/>
      <c r="JG38" s="168"/>
      <c r="JH38" s="168"/>
      <c r="JI38" s="168"/>
      <c r="JJ38" s="168"/>
      <c r="JK38" s="168"/>
      <c r="JL38" s="168"/>
      <c r="JM38" s="168"/>
      <c r="JN38" s="168"/>
      <c r="JO38" s="168"/>
      <c r="JP38" s="168"/>
      <c r="JQ38" s="168"/>
      <c r="JR38" s="168"/>
      <c r="JS38" s="168"/>
      <c r="JT38" s="168"/>
      <c r="JU38" s="168"/>
      <c r="JV38" s="168"/>
      <c r="JW38" s="168"/>
      <c r="JX38" s="168"/>
      <c r="JY38" s="168"/>
      <c r="JZ38" s="168"/>
      <c r="KA38" s="168"/>
      <c r="KB38" s="168"/>
      <c r="KC38" s="168"/>
      <c r="KD38" s="168"/>
      <c r="KE38" s="168"/>
      <c r="KF38" s="168"/>
      <c r="KG38" s="168"/>
      <c r="KH38" s="168"/>
      <c r="KI38" s="168"/>
      <c r="KJ38" s="168"/>
      <c r="KK38" s="168"/>
      <c r="KL38" s="168"/>
      <c r="KM38" s="168"/>
      <c r="KN38" s="168"/>
      <c r="KO38" s="168"/>
      <c r="KP38" s="168"/>
      <c r="KQ38" s="168"/>
      <c r="KR38" s="168"/>
      <c r="KS38" s="168"/>
      <c r="KT38" s="168"/>
      <c r="KU38" s="168"/>
      <c r="KV38" s="168">
        <f t="shared" si="416"/>
        <v>0</v>
      </c>
      <c r="KW38" s="168">
        <f t="shared" si="417"/>
        <v>0</v>
      </c>
      <c r="KX38" s="168">
        <f t="shared" si="418"/>
        <v>0</v>
      </c>
      <c r="KY38" s="168"/>
      <c r="KZ38" s="168"/>
      <c r="LA38" s="168"/>
      <c r="LB38" s="168"/>
      <c r="LC38" s="168"/>
      <c r="LD38" s="168"/>
      <c r="LE38" s="168"/>
      <c r="LF38" s="168"/>
      <c r="LG38" s="168"/>
      <c r="LH38" s="168"/>
      <c r="LI38" s="168"/>
      <c r="LJ38" s="168"/>
      <c r="LK38" s="168"/>
      <c r="LL38" s="168"/>
      <c r="LM38" s="168"/>
      <c r="LN38" s="168"/>
      <c r="LO38" s="168"/>
      <c r="LP38" s="168"/>
      <c r="LQ38" s="168">
        <f t="shared" si="419"/>
        <v>0</v>
      </c>
      <c r="LR38" s="168">
        <f t="shared" si="420"/>
        <v>0</v>
      </c>
      <c r="LS38" s="168">
        <f t="shared" si="421"/>
        <v>0</v>
      </c>
      <c r="LT38" s="168"/>
      <c r="LU38" s="168"/>
      <c r="LV38" s="168"/>
      <c r="LW38" s="168"/>
      <c r="LX38" s="168"/>
      <c r="LY38" s="168"/>
      <c r="LZ38" s="168"/>
      <c r="MA38" s="168"/>
      <c r="MB38" s="168">
        <f t="shared" si="422"/>
        <v>0</v>
      </c>
      <c r="MC38" s="168">
        <f t="shared" si="423"/>
        <v>0</v>
      </c>
      <c r="MD38" s="168">
        <f t="shared" si="424"/>
        <v>0</v>
      </c>
      <c r="ME38" s="168"/>
      <c r="MF38" s="168"/>
      <c r="MG38" s="168"/>
      <c r="MH38" s="168"/>
      <c r="MI38" s="168"/>
      <c r="MJ38" s="168"/>
      <c r="MK38" s="168"/>
      <c r="ML38" s="168"/>
      <c r="MM38" s="168"/>
      <c r="MN38" s="168"/>
      <c r="MO38" s="168">
        <f t="shared" si="425"/>
        <v>0</v>
      </c>
      <c r="MP38" s="168">
        <f t="shared" si="426"/>
        <v>0</v>
      </c>
      <c r="MQ38" s="168">
        <f t="shared" si="427"/>
        <v>0</v>
      </c>
      <c r="MR38" s="168"/>
      <c r="MS38" s="168"/>
      <c r="MT38" s="168"/>
      <c r="MU38" s="168"/>
      <c r="MV38" s="168"/>
      <c r="MW38" s="168"/>
      <c r="MX38" s="168"/>
      <c r="MY38" s="168"/>
      <c r="MZ38" s="168">
        <f t="shared" si="365"/>
        <v>0</v>
      </c>
      <c r="NA38" s="168">
        <f t="shared" si="366"/>
        <v>0</v>
      </c>
      <c r="NB38" s="168">
        <f t="shared" si="367"/>
        <v>0</v>
      </c>
      <c r="NC38" s="168"/>
      <c r="ND38" s="168"/>
      <c r="NE38" s="168"/>
      <c r="NF38" s="168"/>
      <c r="NG38" s="168"/>
      <c r="NH38" s="168"/>
      <c r="NI38" s="168"/>
      <c r="NJ38" s="168"/>
      <c r="NK38" s="168"/>
      <c r="NL38" s="168"/>
      <c r="NM38" s="168"/>
      <c r="NN38" s="168"/>
      <c r="NO38" s="168"/>
      <c r="NP38" s="168"/>
      <c r="NQ38" s="168"/>
      <c r="NR38" s="168"/>
      <c r="NS38" s="168"/>
      <c r="NT38" s="168"/>
      <c r="NU38" s="168"/>
      <c r="NV38" s="168"/>
      <c r="NW38" s="168">
        <f t="shared" si="428"/>
        <v>0</v>
      </c>
      <c r="NX38" s="168">
        <f t="shared" si="429"/>
        <v>0</v>
      </c>
      <c r="NY38" s="168">
        <f t="shared" si="430"/>
        <v>0</v>
      </c>
      <c r="NZ38" s="168"/>
      <c r="OA38" s="168"/>
      <c r="OB38" s="168"/>
      <c r="OC38" s="168"/>
      <c r="OD38" s="168"/>
      <c r="OE38" s="168"/>
      <c r="OF38" s="168"/>
      <c r="OG38" s="168"/>
      <c r="OH38" s="168"/>
      <c r="OI38" s="168"/>
      <c r="OJ38" s="168"/>
      <c r="OK38" s="168"/>
      <c r="OL38" s="168"/>
      <c r="OM38" s="168"/>
      <c r="ON38" s="168"/>
      <c r="OO38" s="168"/>
      <c r="OP38" s="168"/>
      <c r="OQ38" s="168"/>
      <c r="OR38" s="168"/>
      <c r="OS38" s="168"/>
      <c r="OT38" s="168"/>
      <c r="OU38" s="169"/>
      <c r="OV38" s="169"/>
      <c r="OW38" s="169"/>
      <c r="OX38" s="169"/>
      <c r="OY38" s="169"/>
      <c r="OZ38" s="169"/>
      <c r="PA38" s="169"/>
      <c r="PB38" s="169"/>
      <c r="PC38" s="169"/>
      <c r="PD38" s="169"/>
      <c r="PE38" s="169"/>
      <c r="PF38" s="169"/>
      <c r="PG38" s="169"/>
      <c r="PH38" s="169"/>
      <c r="PI38" s="169"/>
      <c r="PJ38" s="169"/>
      <c r="PK38" s="169"/>
      <c r="PL38" s="169"/>
      <c r="PM38" s="169"/>
      <c r="PN38" s="169"/>
      <c r="PO38" s="169">
        <f t="shared" si="431"/>
        <v>0</v>
      </c>
      <c r="PP38" s="169"/>
      <c r="PQ38" s="169"/>
      <c r="PR38" s="169"/>
      <c r="PS38" s="169"/>
      <c r="PT38" s="169"/>
      <c r="PU38" s="169"/>
      <c r="PV38" s="169"/>
      <c r="PW38" s="169"/>
      <c r="PX38" s="169"/>
      <c r="PY38" s="169"/>
      <c r="PZ38" s="169"/>
      <c r="QA38" s="169"/>
      <c r="QB38" s="169"/>
      <c r="QC38" s="169"/>
      <c r="QD38" s="169"/>
      <c r="QE38" s="169"/>
      <c r="QF38" s="169"/>
      <c r="QG38" s="169"/>
      <c r="QH38" s="169"/>
      <c r="QI38" s="169"/>
      <c r="QJ38" s="169"/>
      <c r="QK38" s="169"/>
      <c r="QL38" s="169"/>
      <c r="QM38" s="169"/>
      <c r="QN38" s="169"/>
      <c r="QO38" s="169"/>
      <c r="QP38" s="169"/>
      <c r="QQ38" s="169"/>
      <c r="QR38" s="169"/>
      <c r="QS38" s="169"/>
      <c r="QT38" s="169"/>
      <c r="QU38" s="169"/>
      <c r="QV38" s="169"/>
      <c r="QW38" s="169"/>
      <c r="QX38" s="169"/>
      <c r="QY38" s="169"/>
      <c r="QZ38" s="169"/>
      <c r="RA38" s="169"/>
      <c r="RB38" s="169"/>
      <c r="RC38" s="169"/>
      <c r="RD38" s="169"/>
      <c r="RE38" s="169"/>
      <c r="RF38" s="169"/>
      <c r="RG38" s="169"/>
      <c r="RH38" s="169"/>
      <c r="RI38" s="169"/>
      <c r="RJ38" s="169"/>
      <c r="RK38" s="169"/>
      <c r="RL38" s="169"/>
      <c r="RM38" s="169"/>
      <c r="RN38" s="169"/>
      <c r="RO38" s="168"/>
      <c r="RP38" s="168"/>
      <c r="RQ38" s="168"/>
      <c r="RR38" s="168"/>
      <c r="RS38" s="168"/>
      <c r="RT38" s="168"/>
      <c r="RU38" s="170"/>
      <c r="RV38" s="170"/>
      <c r="RW38" s="170"/>
      <c r="RX38" s="170"/>
      <c r="RY38" s="170"/>
      <c r="RZ38" s="170"/>
      <c r="SA38" s="169"/>
      <c r="SB38" s="169"/>
      <c r="SC38" s="169"/>
      <c r="SD38" s="169"/>
      <c r="SE38" s="169"/>
      <c r="SF38" s="169"/>
      <c r="SG38" s="169"/>
      <c r="SH38" s="169"/>
      <c r="SI38" s="169"/>
      <c r="SJ38" s="169"/>
      <c r="SK38" s="169"/>
      <c r="SL38" s="169"/>
      <c r="SM38" s="169"/>
      <c r="SN38" s="169"/>
      <c r="SO38" s="169"/>
      <c r="SP38" s="169"/>
      <c r="SQ38" s="169"/>
      <c r="SR38" s="169" t="s">
        <v>510</v>
      </c>
      <c r="SS38" s="175">
        <v>7808504400</v>
      </c>
    </row>
    <row r="39" spans="1:513" s="171" customFormat="1" ht="18" customHeight="1">
      <c r="A39" s="168"/>
      <c r="B39" s="168"/>
      <c r="C39" s="168"/>
      <c r="D39" s="168"/>
      <c r="E39" s="168" t="s">
        <v>396</v>
      </c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>
        <v>31</v>
      </c>
      <c r="W39" s="168"/>
      <c r="X39" s="168">
        <v>30</v>
      </c>
      <c r="Y39" s="168"/>
      <c r="Z39" s="168">
        <v>15</v>
      </c>
      <c r="AA39" s="168"/>
      <c r="AB39" s="168">
        <v>4</v>
      </c>
      <c r="AC39" s="168"/>
      <c r="AD39" s="168">
        <v>3</v>
      </c>
      <c r="AE39" s="168"/>
      <c r="AF39" s="168">
        <f t="shared" si="432"/>
        <v>83</v>
      </c>
      <c r="AG39" s="168">
        <f t="shared" si="433"/>
        <v>0</v>
      </c>
      <c r="AH39" s="168">
        <f>AG39+AF39</f>
        <v>83</v>
      </c>
      <c r="AI39" s="168">
        <v>31</v>
      </c>
      <c r="AJ39" s="168"/>
      <c r="AK39" s="168">
        <v>30</v>
      </c>
      <c r="AL39" s="168"/>
      <c r="AM39" s="168">
        <v>15</v>
      </c>
      <c r="AN39" s="168"/>
      <c r="AO39" s="168">
        <v>4</v>
      </c>
      <c r="AP39" s="168"/>
      <c r="AQ39" s="168">
        <v>30</v>
      </c>
      <c r="AR39" s="168"/>
      <c r="AS39" s="168">
        <f>AQ39+AO39+AM39+AK39+AI39</f>
        <v>110</v>
      </c>
      <c r="AT39" s="168">
        <f>AR39+AP39+AN39+AL39+AJ39</f>
        <v>0</v>
      </c>
      <c r="AU39" s="168">
        <f t="shared" si="309"/>
        <v>110</v>
      </c>
      <c r="AV39" s="168">
        <v>12</v>
      </c>
      <c r="AW39" s="168"/>
      <c r="AX39" s="168">
        <v>8</v>
      </c>
      <c r="AY39" s="168"/>
      <c r="AZ39" s="168">
        <v>12</v>
      </c>
      <c r="BA39" s="168"/>
      <c r="BB39" s="168">
        <v>4</v>
      </c>
      <c r="BC39" s="168"/>
      <c r="BD39" s="168">
        <v>11</v>
      </c>
      <c r="BE39" s="168"/>
      <c r="BF39" s="168">
        <f>BD39+BB39+AZ39+AX39+AV39</f>
        <v>47</v>
      </c>
      <c r="BG39" s="168">
        <f>BE39+BC39+BA39+AY39+AW39</f>
        <v>0</v>
      </c>
      <c r="BH39" s="168">
        <f t="shared" si="312"/>
        <v>47</v>
      </c>
      <c r="BI39" s="168">
        <v>19</v>
      </c>
      <c r="BJ39" s="168"/>
      <c r="BK39" s="168">
        <v>34</v>
      </c>
      <c r="BL39" s="168"/>
      <c r="BM39" s="168">
        <v>24</v>
      </c>
      <c r="BN39" s="168"/>
      <c r="BO39" s="168">
        <v>13</v>
      </c>
      <c r="BP39" s="168"/>
      <c r="BQ39" s="168">
        <v>5</v>
      </c>
      <c r="BR39" s="168"/>
      <c r="BS39" s="168">
        <f>BQ39+BO39+BM39+BK39+BI39</f>
        <v>95</v>
      </c>
      <c r="BT39" s="168">
        <f>BR39+BP39+BN39+BL39+BJ39</f>
        <v>0</v>
      </c>
      <c r="BU39" s="168">
        <f t="shared" si="315"/>
        <v>95</v>
      </c>
      <c r="BV39" s="168">
        <f>AI39</f>
        <v>31</v>
      </c>
      <c r="BW39" s="168">
        <f>AJ39</f>
        <v>0</v>
      </c>
      <c r="BX39" s="168">
        <f t="shared" si="318"/>
        <v>42</v>
      </c>
      <c r="BY39" s="168">
        <f t="shared" si="319"/>
        <v>0</v>
      </c>
      <c r="BZ39" s="168">
        <f t="shared" si="320"/>
        <v>42</v>
      </c>
      <c r="CA39" s="168">
        <f t="shared" si="321"/>
        <v>0</v>
      </c>
      <c r="CB39" s="168">
        <f t="shared" si="322"/>
        <v>50</v>
      </c>
      <c r="CC39" s="168">
        <f t="shared" si="323"/>
        <v>0</v>
      </c>
      <c r="CD39" s="168">
        <f>BM39+BB39+AQ39</f>
        <v>58</v>
      </c>
      <c r="CE39" s="168">
        <f>BN39+BC39+AR39</f>
        <v>0</v>
      </c>
      <c r="CF39" s="168">
        <f>BO39+BD39</f>
        <v>24</v>
      </c>
      <c r="CG39" s="168">
        <f>BP39+BE39</f>
        <v>0</v>
      </c>
      <c r="CH39" s="168">
        <f>BQ39</f>
        <v>5</v>
      </c>
      <c r="CI39" s="168">
        <f>BR39</f>
        <v>0</v>
      </c>
      <c r="CJ39" s="168">
        <f>CH39+CF39+CD39+CB39+BZ39+BX39+BV39</f>
        <v>252</v>
      </c>
      <c r="CK39" s="168">
        <f>CI39+CG39+CE39+CC39+CA39+BY39+BW39</f>
        <v>0</v>
      </c>
      <c r="CL39" s="168">
        <f t="shared" si="332"/>
        <v>252</v>
      </c>
      <c r="CM39" s="168">
        <v>2</v>
      </c>
      <c r="CN39" s="168"/>
      <c r="CO39" s="168"/>
      <c r="CP39" s="168">
        <v>1</v>
      </c>
      <c r="CQ39" s="168"/>
      <c r="CR39" s="168"/>
      <c r="CS39" s="168">
        <v>2</v>
      </c>
      <c r="CT39" s="168"/>
      <c r="CU39" s="168"/>
      <c r="CV39" s="168">
        <f t="shared" si="434"/>
        <v>5</v>
      </c>
      <c r="CW39" s="168">
        <f t="shared" si="434"/>
        <v>0</v>
      </c>
      <c r="CX39" s="168">
        <f t="shared" si="434"/>
        <v>0</v>
      </c>
      <c r="CY39" s="168">
        <f t="shared" si="336"/>
        <v>5</v>
      </c>
      <c r="CZ39" s="168"/>
      <c r="DA39" s="168"/>
      <c r="DB39" s="168"/>
      <c r="DC39" s="168"/>
      <c r="DD39" s="168"/>
      <c r="DE39" s="168"/>
      <c r="DF39" s="168">
        <f>DD39+DB39+CZ39</f>
        <v>0</v>
      </c>
      <c r="DG39" s="168">
        <f>DE39+DC39+DA39</f>
        <v>0</v>
      </c>
      <c r="DH39" s="168">
        <f t="shared" si="339"/>
        <v>0</v>
      </c>
      <c r="DI39" s="168"/>
      <c r="DJ39" s="168"/>
      <c r="DK39" s="168"/>
      <c r="DL39" s="168"/>
      <c r="DM39" s="168"/>
      <c r="DN39" s="168"/>
      <c r="DO39" s="168">
        <f>DM39+DK39+DI39</f>
        <v>0</v>
      </c>
      <c r="DP39" s="168">
        <f>DN39+DL39+DJ39</f>
        <v>0</v>
      </c>
      <c r="DQ39" s="168">
        <f>DP39+DO39</f>
        <v>0</v>
      </c>
      <c r="DR39" s="168">
        <v>32</v>
      </c>
      <c r="DS39" s="168"/>
      <c r="DT39" s="168">
        <v>49</v>
      </c>
      <c r="DU39" s="168"/>
      <c r="DV39" s="168">
        <v>49</v>
      </c>
      <c r="DW39" s="168"/>
      <c r="DX39" s="168">
        <f>DV39+DT39+DR39</f>
        <v>130</v>
      </c>
      <c r="DY39" s="168">
        <f>DW39+DU39+DS39</f>
        <v>0</v>
      </c>
      <c r="DZ39" s="168">
        <f t="shared" si="344"/>
        <v>130</v>
      </c>
      <c r="EA39" s="168">
        <v>5</v>
      </c>
      <c r="EB39" s="168"/>
      <c r="EC39" s="168">
        <v>3</v>
      </c>
      <c r="ED39" s="168"/>
      <c r="EE39" s="168">
        <v>24</v>
      </c>
      <c r="EF39" s="168"/>
      <c r="EG39" s="168">
        <f>EE39+EC39+EA39</f>
        <v>32</v>
      </c>
      <c r="EH39" s="168">
        <f>EF39+ED39+EB39</f>
        <v>0</v>
      </c>
      <c r="EI39" s="168">
        <f t="shared" si="347"/>
        <v>32</v>
      </c>
      <c r="EJ39" s="168">
        <v>5</v>
      </c>
      <c r="EK39" s="168"/>
      <c r="EL39" s="168"/>
      <c r="EM39" s="168"/>
      <c r="EN39" s="168">
        <v>1</v>
      </c>
      <c r="EO39" s="168"/>
      <c r="EP39" s="168">
        <f>EN39+EL39+EJ39</f>
        <v>6</v>
      </c>
      <c r="EQ39" s="168">
        <f>EO39+EM39+EK39</f>
        <v>0</v>
      </c>
      <c r="ER39" s="168">
        <f t="shared" si="350"/>
        <v>6</v>
      </c>
      <c r="ES39" s="168"/>
      <c r="ET39" s="168"/>
      <c r="EU39" s="168"/>
      <c r="EV39" s="168"/>
      <c r="EW39" s="168">
        <v>13</v>
      </c>
      <c r="EX39" s="168"/>
      <c r="EY39" s="168">
        <f>EW39+EU39+ES39</f>
        <v>13</v>
      </c>
      <c r="EZ39" s="168">
        <f>EX39+EV39+ET39</f>
        <v>0</v>
      </c>
      <c r="FA39" s="168">
        <f>EZ39+EY39</f>
        <v>13</v>
      </c>
      <c r="FB39" s="168"/>
      <c r="FC39" s="168"/>
      <c r="FD39" s="168"/>
      <c r="FE39" s="168"/>
      <c r="FF39" s="168"/>
      <c r="FG39" s="168"/>
      <c r="FH39" s="168"/>
      <c r="FI39" s="168"/>
      <c r="FJ39" s="168"/>
      <c r="FK39" s="168"/>
      <c r="FL39" s="168">
        <f t="shared" si="353"/>
        <v>0</v>
      </c>
      <c r="FM39" s="168">
        <f t="shared" si="354"/>
        <v>0</v>
      </c>
      <c r="FN39" s="168">
        <f t="shared" si="355"/>
        <v>0</v>
      </c>
      <c r="FO39" s="168"/>
      <c r="FP39" s="168"/>
      <c r="FQ39" s="168"/>
      <c r="FR39" s="168"/>
      <c r="FS39" s="168"/>
      <c r="FT39" s="168"/>
      <c r="FU39" s="168"/>
      <c r="FV39" s="168"/>
      <c r="FW39" s="168"/>
      <c r="FX39" s="168"/>
      <c r="FY39" s="168"/>
      <c r="FZ39" s="168"/>
      <c r="GA39" s="168"/>
      <c r="GB39" s="168"/>
      <c r="GC39" s="168"/>
      <c r="GD39" s="168"/>
      <c r="GE39" s="168"/>
      <c r="GF39" s="168"/>
      <c r="GG39" s="168">
        <f t="shared" si="413"/>
        <v>0</v>
      </c>
      <c r="GH39" s="168">
        <f t="shared" si="414"/>
        <v>0</v>
      </c>
      <c r="GI39" s="168">
        <f t="shared" si="415"/>
        <v>0</v>
      </c>
      <c r="GJ39" s="168"/>
      <c r="GK39" s="168"/>
      <c r="GL39" s="168"/>
      <c r="GM39" s="168"/>
      <c r="GN39" s="168"/>
      <c r="GO39" s="168"/>
      <c r="GP39" s="168"/>
      <c r="GQ39" s="168"/>
      <c r="GR39" s="168"/>
      <c r="GS39" s="168"/>
      <c r="GT39" s="168"/>
      <c r="GU39" s="168"/>
      <c r="GV39" s="168"/>
      <c r="GW39" s="168"/>
      <c r="GX39" s="168"/>
      <c r="GY39" s="168"/>
      <c r="GZ39" s="168"/>
      <c r="HA39" s="168"/>
      <c r="HB39" s="168"/>
      <c r="HC39" s="168"/>
      <c r="HD39" s="168"/>
      <c r="HE39" s="168"/>
      <c r="HF39" s="168"/>
      <c r="HG39" s="168"/>
      <c r="HH39" s="168"/>
      <c r="HI39" s="168"/>
      <c r="HJ39" s="168"/>
      <c r="HK39" s="168"/>
      <c r="HL39" s="168"/>
      <c r="HM39" s="168"/>
      <c r="HN39" s="168"/>
      <c r="HO39" s="168"/>
      <c r="HP39" s="168"/>
      <c r="HQ39" s="168"/>
      <c r="HR39" s="168"/>
      <c r="HS39" s="168"/>
      <c r="HT39" s="168"/>
      <c r="HU39" s="168"/>
      <c r="HV39" s="168"/>
      <c r="HW39" s="168"/>
      <c r="HX39" s="168"/>
      <c r="HY39" s="168"/>
      <c r="HZ39" s="168"/>
      <c r="IA39" s="168"/>
      <c r="IB39" s="168"/>
      <c r="IC39" s="168"/>
      <c r="ID39" s="168"/>
      <c r="IE39" s="168"/>
      <c r="IF39" s="168"/>
      <c r="IG39" s="168"/>
      <c r="IH39" s="168"/>
      <c r="II39" s="168"/>
      <c r="IJ39" s="168"/>
      <c r="IK39" s="168"/>
      <c r="IL39" s="168"/>
      <c r="IM39" s="168"/>
      <c r="IN39" s="168"/>
      <c r="IO39" s="168"/>
      <c r="IP39" s="168"/>
      <c r="IQ39" s="168"/>
      <c r="IR39" s="168"/>
      <c r="IS39" s="168"/>
      <c r="IT39" s="168"/>
      <c r="IU39" s="168"/>
      <c r="IV39" s="168"/>
      <c r="IW39" s="168"/>
      <c r="IX39" s="168"/>
      <c r="IY39" s="168"/>
      <c r="IZ39" s="168"/>
      <c r="JA39" s="168"/>
      <c r="JB39" s="168"/>
      <c r="JC39" s="168"/>
      <c r="JD39" s="168"/>
      <c r="JE39" s="168"/>
      <c r="JF39" s="168"/>
      <c r="JG39" s="168"/>
      <c r="JH39" s="168"/>
      <c r="JI39" s="168"/>
      <c r="JJ39" s="168"/>
      <c r="JK39" s="168"/>
      <c r="JL39" s="168"/>
      <c r="JM39" s="168"/>
      <c r="JN39" s="168"/>
      <c r="JO39" s="168"/>
      <c r="JP39" s="168"/>
      <c r="JQ39" s="168"/>
      <c r="JR39" s="168"/>
      <c r="JS39" s="168"/>
      <c r="JT39" s="168"/>
      <c r="JU39" s="168"/>
      <c r="JV39" s="168"/>
      <c r="JW39" s="168"/>
      <c r="JX39" s="168"/>
      <c r="JY39" s="168"/>
      <c r="JZ39" s="168"/>
      <c r="KA39" s="168"/>
      <c r="KB39" s="168"/>
      <c r="KC39" s="168"/>
      <c r="KD39" s="168"/>
      <c r="KE39" s="168"/>
      <c r="KF39" s="168"/>
      <c r="KG39" s="168"/>
      <c r="KH39" s="168"/>
      <c r="KI39" s="168"/>
      <c r="KJ39" s="168"/>
      <c r="KK39" s="168"/>
      <c r="KL39" s="168"/>
      <c r="KM39" s="168"/>
      <c r="KN39" s="168"/>
      <c r="KO39" s="168"/>
      <c r="KP39" s="168"/>
      <c r="KQ39" s="168"/>
      <c r="KR39" s="168"/>
      <c r="KS39" s="168"/>
      <c r="KT39" s="168"/>
      <c r="KU39" s="168"/>
      <c r="KV39" s="168">
        <f t="shared" si="416"/>
        <v>0</v>
      </c>
      <c r="KW39" s="168">
        <f t="shared" si="417"/>
        <v>0</v>
      </c>
      <c r="KX39" s="168">
        <f t="shared" si="418"/>
        <v>0</v>
      </c>
      <c r="KY39" s="168"/>
      <c r="KZ39" s="168"/>
      <c r="LA39" s="168"/>
      <c r="LB39" s="168"/>
      <c r="LC39" s="168"/>
      <c r="LD39" s="168"/>
      <c r="LE39" s="168"/>
      <c r="LF39" s="168"/>
      <c r="LG39" s="168"/>
      <c r="LH39" s="168"/>
      <c r="LI39" s="168"/>
      <c r="LJ39" s="168"/>
      <c r="LK39" s="168"/>
      <c r="LL39" s="168"/>
      <c r="LM39" s="168"/>
      <c r="LN39" s="168"/>
      <c r="LO39" s="168"/>
      <c r="LP39" s="168"/>
      <c r="LQ39" s="168">
        <f t="shared" si="419"/>
        <v>0</v>
      </c>
      <c r="LR39" s="168">
        <f t="shared" si="420"/>
        <v>0</v>
      </c>
      <c r="LS39" s="168">
        <f t="shared" si="421"/>
        <v>0</v>
      </c>
      <c r="LT39" s="168"/>
      <c r="LU39" s="168"/>
      <c r="LV39" s="168"/>
      <c r="LW39" s="168"/>
      <c r="LX39" s="168"/>
      <c r="LY39" s="168"/>
      <c r="LZ39" s="168"/>
      <c r="MA39" s="168"/>
      <c r="MB39" s="168">
        <f t="shared" si="422"/>
        <v>0</v>
      </c>
      <c r="MC39" s="168">
        <f t="shared" si="423"/>
        <v>0</v>
      </c>
      <c r="MD39" s="168">
        <f t="shared" si="424"/>
        <v>0</v>
      </c>
      <c r="ME39" s="168"/>
      <c r="MF39" s="168"/>
      <c r="MG39" s="168"/>
      <c r="MH39" s="168"/>
      <c r="MI39" s="168"/>
      <c r="MJ39" s="168"/>
      <c r="MK39" s="168"/>
      <c r="ML39" s="168"/>
      <c r="MM39" s="168"/>
      <c r="MN39" s="168"/>
      <c r="MO39" s="168">
        <f t="shared" si="425"/>
        <v>0</v>
      </c>
      <c r="MP39" s="168">
        <f t="shared" si="426"/>
        <v>0</v>
      </c>
      <c r="MQ39" s="168">
        <f t="shared" si="427"/>
        <v>0</v>
      </c>
      <c r="MR39" s="168"/>
      <c r="MS39" s="168"/>
      <c r="MT39" s="168"/>
      <c r="MU39" s="168"/>
      <c r="MV39" s="168"/>
      <c r="MW39" s="168"/>
      <c r="MX39" s="168"/>
      <c r="MY39" s="168"/>
      <c r="MZ39" s="168">
        <f t="shared" si="365"/>
        <v>0</v>
      </c>
      <c r="NA39" s="168">
        <f t="shared" si="366"/>
        <v>0</v>
      </c>
      <c r="NB39" s="168">
        <f t="shared" si="367"/>
        <v>0</v>
      </c>
      <c r="NC39" s="168"/>
      <c r="ND39" s="168"/>
      <c r="NE39" s="168"/>
      <c r="NF39" s="168"/>
      <c r="NG39" s="168"/>
      <c r="NH39" s="168"/>
      <c r="NI39" s="168"/>
      <c r="NJ39" s="168"/>
      <c r="NK39" s="168"/>
      <c r="NL39" s="168"/>
      <c r="NM39" s="168"/>
      <c r="NN39" s="168"/>
      <c r="NO39" s="168"/>
      <c r="NP39" s="168"/>
      <c r="NQ39" s="168"/>
      <c r="NR39" s="168"/>
      <c r="NS39" s="168"/>
      <c r="NT39" s="168"/>
      <c r="NU39" s="168"/>
      <c r="NV39" s="168"/>
      <c r="NW39" s="168">
        <f t="shared" si="428"/>
        <v>0</v>
      </c>
      <c r="NX39" s="168">
        <f t="shared" si="429"/>
        <v>0</v>
      </c>
      <c r="NY39" s="168">
        <f t="shared" si="430"/>
        <v>0</v>
      </c>
      <c r="NZ39" s="168"/>
      <c r="OA39" s="168"/>
      <c r="OB39" s="168"/>
      <c r="OC39" s="168"/>
      <c r="OD39" s="168"/>
      <c r="OE39" s="168"/>
      <c r="OF39" s="168"/>
      <c r="OG39" s="168"/>
      <c r="OH39" s="168"/>
      <c r="OI39" s="168"/>
      <c r="OJ39" s="168"/>
      <c r="OK39" s="168"/>
      <c r="OL39" s="168"/>
      <c r="OM39" s="168"/>
      <c r="ON39" s="168"/>
      <c r="OO39" s="168"/>
      <c r="OP39" s="168"/>
      <c r="OQ39" s="168"/>
      <c r="OR39" s="168"/>
      <c r="OS39" s="168"/>
      <c r="OT39" s="168"/>
      <c r="OU39" s="169"/>
      <c r="OV39" s="169"/>
      <c r="OW39" s="169"/>
      <c r="OX39" s="169"/>
      <c r="OY39" s="169"/>
      <c r="OZ39" s="169"/>
      <c r="PA39" s="169"/>
      <c r="PB39" s="169"/>
      <c r="PC39" s="169"/>
      <c r="PD39" s="169"/>
      <c r="PE39" s="169"/>
      <c r="PF39" s="169"/>
      <c r="PG39" s="169"/>
      <c r="PH39" s="169"/>
      <c r="PI39" s="169"/>
      <c r="PJ39" s="169"/>
      <c r="PK39" s="169"/>
      <c r="PL39" s="169"/>
      <c r="PM39" s="169"/>
      <c r="PN39" s="169"/>
      <c r="PO39" s="169">
        <f t="shared" si="431"/>
        <v>0</v>
      </c>
      <c r="PP39" s="169"/>
      <c r="PQ39" s="169"/>
      <c r="PR39" s="169"/>
      <c r="PS39" s="169"/>
      <c r="PT39" s="169"/>
      <c r="PU39" s="169"/>
      <c r="PV39" s="169"/>
      <c r="PW39" s="169"/>
      <c r="PX39" s="169"/>
      <c r="PY39" s="169"/>
      <c r="PZ39" s="169"/>
      <c r="QA39" s="169"/>
      <c r="QB39" s="169"/>
      <c r="QC39" s="169"/>
      <c r="QD39" s="169"/>
      <c r="QE39" s="169"/>
      <c r="QF39" s="169"/>
      <c r="QG39" s="169"/>
      <c r="QH39" s="169"/>
      <c r="QI39" s="169"/>
      <c r="QJ39" s="169"/>
      <c r="QK39" s="169"/>
      <c r="QL39" s="169"/>
      <c r="QM39" s="169"/>
      <c r="QN39" s="169"/>
      <c r="QO39" s="169"/>
      <c r="QP39" s="169"/>
      <c r="QQ39" s="169"/>
      <c r="QR39" s="169"/>
      <c r="QS39" s="169"/>
      <c r="QT39" s="169"/>
      <c r="QU39" s="169"/>
      <c r="QV39" s="169"/>
      <c r="QW39" s="169"/>
      <c r="QX39" s="169"/>
      <c r="QY39" s="169"/>
      <c r="QZ39" s="169"/>
      <c r="RA39" s="169"/>
      <c r="RB39" s="169"/>
      <c r="RC39" s="169"/>
      <c r="RD39" s="169"/>
      <c r="RE39" s="169"/>
      <c r="RF39" s="169"/>
      <c r="RG39" s="169"/>
      <c r="RH39" s="169"/>
      <c r="RI39" s="169"/>
      <c r="RJ39" s="169"/>
      <c r="RK39" s="169"/>
      <c r="RL39" s="169"/>
      <c r="RM39" s="169"/>
      <c r="RN39" s="169"/>
      <c r="RO39" s="168"/>
      <c r="RP39" s="168"/>
      <c r="RQ39" s="168"/>
      <c r="RR39" s="168"/>
      <c r="RS39" s="168"/>
      <c r="RT39" s="168"/>
      <c r="RU39" s="170"/>
      <c r="RV39" s="170"/>
      <c r="RW39" s="170"/>
      <c r="RX39" s="170"/>
      <c r="RY39" s="170"/>
      <c r="RZ39" s="170"/>
      <c r="SA39" s="169"/>
      <c r="SB39" s="169"/>
      <c r="SC39" s="169"/>
      <c r="SD39" s="169"/>
      <c r="SE39" s="169"/>
      <c r="SF39" s="169"/>
      <c r="SG39" s="169"/>
      <c r="SH39" s="169"/>
      <c r="SI39" s="169"/>
      <c r="SJ39" s="169"/>
      <c r="SK39" s="169"/>
      <c r="SL39" s="169"/>
      <c r="SM39" s="169"/>
      <c r="SN39" s="169"/>
      <c r="SO39" s="169"/>
      <c r="SP39" s="169"/>
      <c r="SQ39" s="169"/>
      <c r="SR39" s="169"/>
      <c r="SS39" s="175"/>
    </row>
    <row r="40" spans="1:513" s="171" customFormat="1" ht="18" customHeight="1">
      <c r="A40" s="168"/>
      <c r="B40" s="168"/>
      <c r="C40" s="168"/>
      <c r="D40" s="168"/>
      <c r="E40" s="168" t="s">
        <v>395</v>
      </c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>
        <v>53</v>
      </c>
      <c r="X40" s="168"/>
      <c r="Y40" s="168">
        <v>53</v>
      </c>
      <c r="Z40" s="168"/>
      <c r="AA40" s="168">
        <v>43</v>
      </c>
      <c r="AB40" s="168"/>
      <c r="AC40" s="168">
        <v>25</v>
      </c>
      <c r="AD40" s="168"/>
      <c r="AE40" s="168">
        <v>35</v>
      </c>
      <c r="AF40" s="168">
        <f t="shared" si="432"/>
        <v>0</v>
      </c>
      <c r="AG40" s="168">
        <f t="shared" si="433"/>
        <v>209</v>
      </c>
      <c r="AH40" s="168">
        <f t="shared" si="306"/>
        <v>209</v>
      </c>
      <c r="AI40" s="168"/>
      <c r="AJ40" s="168">
        <v>53</v>
      </c>
      <c r="AK40" s="168"/>
      <c r="AL40" s="168">
        <v>53</v>
      </c>
      <c r="AM40" s="168"/>
      <c r="AN40" s="168">
        <v>43</v>
      </c>
      <c r="AO40" s="168"/>
      <c r="AP40" s="168">
        <v>25</v>
      </c>
      <c r="AQ40" s="168"/>
      <c r="AR40" s="168">
        <v>35</v>
      </c>
      <c r="AS40" s="168">
        <f t="shared" ref="AS40:AT40" si="435">AQ40+AO40+AM40+AK40+AI40</f>
        <v>0</v>
      </c>
      <c r="AT40" s="168">
        <f t="shared" si="435"/>
        <v>209</v>
      </c>
      <c r="AU40" s="168">
        <f t="shared" si="309"/>
        <v>209</v>
      </c>
      <c r="AV40" s="168"/>
      <c r="AW40" s="168">
        <v>19</v>
      </c>
      <c r="AX40" s="168"/>
      <c r="AY40" s="168">
        <v>17</v>
      </c>
      <c r="AZ40" s="168"/>
      <c r="BA40" s="168">
        <v>31</v>
      </c>
      <c r="BB40" s="168"/>
      <c r="BC40" s="168">
        <v>29</v>
      </c>
      <c r="BD40" s="168"/>
      <c r="BE40" s="168">
        <v>17</v>
      </c>
      <c r="BF40" s="168">
        <f t="shared" ref="BF40:BG40" si="436">BD40+BB40+AZ40+AX40+AV40</f>
        <v>0</v>
      </c>
      <c r="BG40" s="168">
        <f t="shared" si="436"/>
        <v>113</v>
      </c>
      <c r="BH40" s="168">
        <f t="shared" si="312"/>
        <v>113</v>
      </c>
      <c r="BI40" s="168"/>
      <c r="BJ40" s="168">
        <v>12</v>
      </c>
      <c r="BK40" s="168"/>
      <c r="BL40" s="168">
        <v>24</v>
      </c>
      <c r="BM40" s="168"/>
      <c r="BN40" s="168">
        <v>16</v>
      </c>
      <c r="BO40" s="168"/>
      <c r="BP40" s="168">
        <v>20</v>
      </c>
      <c r="BQ40" s="168"/>
      <c r="BR40" s="168">
        <v>23</v>
      </c>
      <c r="BS40" s="168">
        <f t="shared" ref="BS40:BT40" si="437">BQ40+BO40+BM40+BK40+BI40</f>
        <v>0</v>
      </c>
      <c r="BT40" s="168">
        <f t="shared" si="437"/>
        <v>95</v>
      </c>
      <c r="BU40" s="168">
        <f t="shared" si="315"/>
        <v>95</v>
      </c>
      <c r="BV40" s="168">
        <f t="shared" ref="BV40:BW40" si="438">AI40</f>
        <v>0</v>
      </c>
      <c r="BW40" s="168">
        <f t="shared" si="438"/>
        <v>53</v>
      </c>
      <c r="BX40" s="168">
        <f t="shared" si="318"/>
        <v>0</v>
      </c>
      <c r="BY40" s="168">
        <f t="shared" si="319"/>
        <v>72</v>
      </c>
      <c r="BZ40" s="168">
        <f t="shared" si="320"/>
        <v>0</v>
      </c>
      <c r="CA40" s="168">
        <f t="shared" si="321"/>
        <v>72</v>
      </c>
      <c r="CB40" s="168">
        <f t="shared" si="322"/>
        <v>0</v>
      </c>
      <c r="CC40" s="168">
        <f t="shared" si="323"/>
        <v>80</v>
      </c>
      <c r="CD40" s="168">
        <f t="shared" ref="CD40:CE40" si="439">BM40+BB40+AQ40</f>
        <v>0</v>
      </c>
      <c r="CE40" s="168">
        <f t="shared" si="439"/>
        <v>80</v>
      </c>
      <c r="CF40" s="168">
        <f t="shared" ref="CF40:CG40" si="440">BO40+BD40</f>
        <v>0</v>
      </c>
      <c r="CG40" s="168">
        <f t="shared" si="440"/>
        <v>37</v>
      </c>
      <c r="CH40" s="168">
        <f t="shared" ref="CH40:CI40" si="441">BQ40</f>
        <v>0</v>
      </c>
      <c r="CI40" s="168">
        <f t="shared" si="441"/>
        <v>23</v>
      </c>
      <c r="CJ40" s="168">
        <f t="shared" ref="CJ40:CK40" si="442">CH40+CF40+CD40+CB40+BZ40+BX40+BV40</f>
        <v>0</v>
      </c>
      <c r="CK40" s="168">
        <f t="shared" si="442"/>
        <v>417</v>
      </c>
      <c r="CL40" s="168">
        <f t="shared" si="332"/>
        <v>417</v>
      </c>
      <c r="CM40" s="168"/>
      <c r="CN40" s="168">
        <v>4</v>
      </c>
      <c r="CO40" s="168"/>
      <c r="CP40" s="168"/>
      <c r="CQ40" s="168">
        <v>3</v>
      </c>
      <c r="CR40" s="168"/>
      <c r="CS40" s="168"/>
      <c r="CT40" s="168">
        <v>3</v>
      </c>
      <c r="CU40" s="168"/>
      <c r="CV40" s="168">
        <f t="shared" ref="CV40:CX40" si="443">CS40+CP40+CM40</f>
        <v>0</v>
      </c>
      <c r="CW40" s="168">
        <f t="shared" si="443"/>
        <v>10</v>
      </c>
      <c r="CX40" s="168">
        <f t="shared" si="443"/>
        <v>0</v>
      </c>
      <c r="CY40" s="168">
        <f t="shared" si="336"/>
        <v>10</v>
      </c>
      <c r="CZ40" s="168"/>
      <c r="DA40" s="168">
        <v>4</v>
      </c>
      <c r="DB40" s="168"/>
      <c r="DC40" s="168">
        <v>3</v>
      </c>
      <c r="DD40" s="168"/>
      <c r="DE40" s="168">
        <v>2</v>
      </c>
      <c r="DF40" s="168">
        <f t="shared" ref="DF40:DG40" si="444">DD40+DB40+CZ40</f>
        <v>0</v>
      </c>
      <c r="DG40" s="168">
        <f t="shared" si="444"/>
        <v>9</v>
      </c>
      <c r="DH40" s="168">
        <f t="shared" si="339"/>
        <v>9</v>
      </c>
      <c r="DI40" s="168"/>
      <c r="DJ40" s="168"/>
      <c r="DK40" s="168"/>
      <c r="DL40" s="168"/>
      <c r="DM40" s="168"/>
      <c r="DN40" s="168"/>
      <c r="DO40" s="168">
        <f t="shared" ref="DO40:DP40" si="445">DM40+DK40+DI40</f>
        <v>0</v>
      </c>
      <c r="DP40" s="168">
        <f t="shared" si="445"/>
        <v>0</v>
      </c>
      <c r="DQ40" s="168">
        <f>DP40+DO40</f>
        <v>0</v>
      </c>
      <c r="DR40" s="168"/>
      <c r="DS40" s="168">
        <v>111</v>
      </c>
      <c r="DT40" s="168"/>
      <c r="DU40" s="168">
        <v>48</v>
      </c>
      <c r="DV40" s="168"/>
      <c r="DW40" s="168">
        <v>100</v>
      </c>
      <c r="DX40" s="168">
        <f t="shared" ref="DX40:DY40" si="446">DV40+DT40+DR40</f>
        <v>0</v>
      </c>
      <c r="DY40" s="168">
        <f t="shared" si="446"/>
        <v>259</v>
      </c>
      <c r="DZ40" s="168">
        <f t="shared" si="344"/>
        <v>259</v>
      </c>
      <c r="EA40" s="168"/>
      <c r="EB40" s="168">
        <v>8</v>
      </c>
      <c r="EC40" s="168"/>
      <c r="ED40" s="168">
        <v>1</v>
      </c>
      <c r="EE40" s="168"/>
      <c r="EF40" s="168">
        <v>6</v>
      </c>
      <c r="EG40" s="168">
        <f t="shared" ref="EG40:EH40" si="447">EE40+EC40+EA40</f>
        <v>0</v>
      </c>
      <c r="EH40" s="168">
        <f t="shared" si="447"/>
        <v>15</v>
      </c>
      <c r="EI40" s="168">
        <f t="shared" si="347"/>
        <v>15</v>
      </c>
      <c r="EJ40" s="168"/>
      <c r="EK40" s="168">
        <v>6</v>
      </c>
      <c r="EL40" s="168"/>
      <c r="EM40" s="168">
        <v>1</v>
      </c>
      <c r="EN40" s="168"/>
      <c r="EO40" s="168">
        <v>1</v>
      </c>
      <c r="EP40" s="168">
        <f t="shared" ref="EP40:EQ40" si="448">EN40+EL40+EJ40</f>
        <v>0</v>
      </c>
      <c r="EQ40" s="168">
        <f t="shared" si="448"/>
        <v>8</v>
      </c>
      <c r="ER40" s="168">
        <f t="shared" si="350"/>
        <v>8</v>
      </c>
      <c r="ES40" s="168"/>
      <c r="ET40" s="168"/>
      <c r="EU40" s="168"/>
      <c r="EV40" s="168"/>
      <c r="EW40" s="168"/>
      <c r="EX40" s="168"/>
      <c r="EY40" s="168">
        <f t="shared" ref="EY40:EZ40" si="449">EW40+EU40+ES40</f>
        <v>0</v>
      </c>
      <c r="EZ40" s="168">
        <f t="shared" si="449"/>
        <v>0</v>
      </c>
      <c r="FA40" s="168">
        <f>EZ40+EY40</f>
        <v>0</v>
      </c>
      <c r="FB40" s="168"/>
      <c r="FC40" s="168"/>
      <c r="FD40" s="168"/>
      <c r="FE40" s="168"/>
      <c r="FF40" s="168"/>
      <c r="FG40" s="168"/>
      <c r="FH40" s="168"/>
      <c r="FI40" s="168"/>
      <c r="FJ40" s="168"/>
      <c r="FK40" s="168"/>
      <c r="FL40" s="168">
        <f t="shared" si="353"/>
        <v>0</v>
      </c>
      <c r="FM40" s="168">
        <f t="shared" si="354"/>
        <v>0</v>
      </c>
      <c r="FN40" s="168">
        <f t="shared" si="355"/>
        <v>0</v>
      </c>
      <c r="FO40" s="168"/>
      <c r="FP40" s="168"/>
      <c r="FQ40" s="168"/>
      <c r="FR40" s="168"/>
      <c r="FS40" s="168"/>
      <c r="FT40" s="168"/>
      <c r="FU40" s="168"/>
      <c r="FV40" s="168"/>
      <c r="FW40" s="168"/>
      <c r="FX40" s="168"/>
      <c r="FY40" s="168"/>
      <c r="FZ40" s="168"/>
      <c r="GA40" s="168"/>
      <c r="GB40" s="168"/>
      <c r="GC40" s="168"/>
      <c r="GD40" s="168"/>
      <c r="GE40" s="168"/>
      <c r="GF40" s="168"/>
      <c r="GG40" s="168">
        <f t="shared" si="413"/>
        <v>0</v>
      </c>
      <c r="GH40" s="168">
        <f t="shared" si="414"/>
        <v>0</v>
      </c>
      <c r="GI40" s="168">
        <f t="shared" si="415"/>
        <v>0</v>
      </c>
      <c r="GJ40" s="168"/>
      <c r="GK40" s="168"/>
      <c r="GL40" s="168"/>
      <c r="GM40" s="168"/>
      <c r="GN40" s="168"/>
      <c r="GO40" s="168"/>
      <c r="GP40" s="168"/>
      <c r="GQ40" s="168"/>
      <c r="GR40" s="168"/>
      <c r="GS40" s="168"/>
      <c r="GT40" s="168"/>
      <c r="GU40" s="168"/>
      <c r="GV40" s="168"/>
      <c r="GW40" s="168"/>
      <c r="GX40" s="168"/>
      <c r="GY40" s="168"/>
      <c r="GZ40" s="168"/>
      <c r="HA40" s="168"/>
      <c r="HB40" s="168"/>
      <c r="HC40" s="168"/>
      <c r="HD40" s="168"/>
      <c r="HE40" s="168"/>
      <c r="HF40" s="168"/>
      <c r="HG40" s="168"/>
      <c r="HH40" s="168"/>
      <c r="HI40" s="168"/>
      <c r="HJ40" s="168"/>
      <c r="HK40" s="168"/>
      <c r="HL40" s="168"/>
      <c r="HM40" s="168"/>
      <c r="HN40" s="168"/>
      <c r="HO40" s="168"/>
      <c r="HP40" s="168"/>
      <c r="HQ40" s="168"/>
      <c r="HR40" s="168"/>
      <c r="HS40" s="168"/>
      <c r="HT40" s="168"/>
      <c r="HU40" s="168"/>
      <c r="HV40" s="168"/>
      <c r="HW40" s="168"/>
      <c r="HX40" s="168"/>
      <c r="HY40" s="168"/>
      <c r="HZ40" s="168"/>
      <c r="IA40" s="168"/>
      <c r="IB40" s="168"/>
      <c r="IC40" s="168"/>
      <c r="ID40" s="168"/>
      <c r="IE40" s="168"/>
      <c r="IF40" s="168"/>
      <c r="IG40" s="168"/>
      <c r="IH40" s="168"/>
      <c r="II40" s="168"/>
      <c r="IJ40" s="168"/>
      <c r="IK40" s="168"/>
      <c r="IL40" s="168"/>
      <c r="IM40" s="168"/>
      <c r="IN40" s="168"/>
      <c r="IO40" s="168"/>
      <c r="IP40" s="168"/>
      <c r="IQ40" s="168"/>
      <c r="IR40" s="168"/>
      <c r="IS40" s="168"/>
      <c r="IT40" s="168"/>
      <c r="IU40" s="168"/>
      <c r="IV40" s="168"/>
      <c r="IW40" s="168"/>
      <c r="IX40" s="168"/>
      <c r="IY40" s="168"/>
      <c r="IZ40" s="168"/>
      <c r="JA40" s="168"/>
      <c r="JB40" s="168"/>
      <c r="JC40" s="168"/>
      <c r="JD40" s="168"/>
      <c r="JE40" s="168"/>
      <c r="JF40" s="168"/>
      <c r="JG40" s="168"/>
      <c r="JH40" s="168"/>
      <c r="JI40" s="168"/>
      <c r="JJ40" s="168"/>
      <c r="JK40" s="168"/>
      <c r="JL40" s="168"/>
      <c r="JM40" s="168"/>
      <c r="JN40" s="168"/>
      <c r="JO40" s="168"/>
      <c r="JP40" s="168"/>
      <c r="JQ40" s="168"/>
      <c r="JR40" s="168"/>
      <c r="JS40" s="168"/>
      <c r="JT40" s="168"/>
      <c r="JU40" s="168"/>
      <c r="JV40" s="168"/>
      <c r="JW40" s="168"/>
      <c r="JX40" s="168"/>
      <c r="JY40" s="168"/>
      <c r="JZ40" s="168"/>
      <c r="KA40" s="168"/>
      <c r="KB40" s="168"/>
      <c r="KC40" s="168"/>
      <c r="KD40" s="168"/>
      <c r="KE40" s="168"/>
      <c r="KF40" s="168"/>
      <c r="KG40" s="168"/>
      <c r="KH40" s="168"/>
      <c r="KI40" s="168"/>
      <c r="KJ40" s="168"/>
      <c r="KK40" s="168"/>
      <c r="KL40" s="168"/>
      <c r="KM40" s="168"/>
      <c r="KN40" s="168"/>
      <c r="KO40" s="168"/>
      <c r="KP40" s="168"/>
      <c r="KQ40" s="168"/>
      <c r="KR40" s="168"/>
      <c r="KS40" s="168"/>
      <c r="KT40" s="168"/>
      <c r="KU40" s="168"/>
      <c r="KV40" s="168">
        <f t="shared" si="416"/>
        <v>0</v>
      </c>
      <c r="KW40" s="168">
        <f t="shared" si="417"/>
        <v>0</v>
      </c>
      <c r="KX40" s="168">
        <f t="shared" si="418"/>
        <v>0</v>
      </c>
      <c r="KY40" s="168"/>
      <c r="KZ40" s="168"/>
      <c r="LA40" s="168"/>
      <c r="LB40" s="168"/>
      <c r="LC40" s="168"/>
      <c r="LD40" s="168"/>
      <c r="LE40" s="168"/>
      <c r="LF40" s="168"/>
      <c r="LG40" s="168"/>
      <c r="LH40" s="168"/>
      <c r="LI40" s="168"/>
      <c r="LJ40" s="168"/>
      <c r="LK40" s="168"/>
      <c r="LL40" s="168"/>
      <c r="LM40" s="168"/>
      <c r="LN40" s="168"/>
      <c r="LO40" s="168"/>
      <c r="LP40" s="168"/>
      <c r="LQ40" s="168">
        <f t="shared" si="419"/>
        <v>0</v>
      </c>
      <c r="LR40" s="168">
        <f t="shared" si="420"/>
        <v>0</v>
      </c>
      <c r="LS40" s="168">
        <f t="shared" si="421"/>
        <v>0</v>
      </c>
      <c r="LT40" s="168"/>
      <c r="LU40" s="168"/>
      <c r="LV40" s="168"/>
      <c r="LW40" s="168"/>
      <c r="LX40" s="168"/>
      <c r="LY40" s="168"/>
      <c r="LZ40" s="168"/>
      <c r="MA40" s="168"/>
      <c r="MB40" s="168">
        <f t="shared" si="422"/>
        <v>0</v>
      </c>
      <c r="MC40" s="168">
        <f t="shared" si="423"/>
        <v>0</v>
      </c>
      <c r="MD40" s="168">
        <f t="shared" si="424"/>
        <v>0</v>
      </c>
      <c r="ME40" s="168"/>
      <c r="MF40" s="168"/>
      <c r="MG40" s="168"/>
      <c r="MH40" s="168"/>
      <c r="MI40" s="168"/>
      <c r="MJ40" s="168"/>
      <c r="MK40" s="168"/>
      <c r="ML40" s="168"/>
      <c r="MM40" s="168"/>
      <c r="MN40" s="168"/>
      <c r="MO40" s="168">
        <f t="shared" si="425"/>
        <v>0</v>
      </c>
      <c r="MP40" s="168">
        <f t="shared" si="426"/>
        <v>0</v>
      </c>
      <c r="MQ40" s="168">
        <f t="shared" si="427"/>
        <v>0</v>
      </c>
      <c r="MR40" s="168"/>
      <c r="MS40" s="168"/>
      <c r="MT40" s="168"/>
      <c r="MU40" s="168"/>
      <c r="MV40" s="168"/>
      <c r="MW40" s="168"/>
      <c r="MX40" s="168"/>
      <c r="MY40" s="168"/>
      <c r="MZ40" s="168"/>
      <c r="NA40" s="168"/>
      <c r="NB40" s="168"/>
      <c r="NC40" s="168"/>
      <c r="ND40" s="168"/>
      <c r="NE40" s="168"/>
      <c r="NF40" s="168"/>
      <c r="NG40" s="168"/>
      <c r="NH40" s="168"/>
      <c r="NI40" s="168"/>
      <c r="NJ40" s="168"/>
      <c r="NK40" s="168"/>
      <c r="NL40" s="168"/>
      <c r="NM40" s="168"/>
      <c r="NN40" s="168"/>
      <c r="NO40" s="168"/>
      <c r="NP40" s="168"/>
      <c r="NQ40" s="168"/>
      <c r="NR40" s="168"/>
      <c r="NS40" s="168"/>
      <c r="NT40" s="168"/>
      <c r="NU40" s="168"/>
      <c r="NV40" s="168"/>
      <c r="NW40" s="168">
        <f t="shared" si="428"/>
        <v>0</v>
      </c>
      <c r="NX40" s="168">
        <f t="shared" si="429"/>
        <v>0</v>
      </c>
      <c r="NY40" s="168">
        <f t="shared" si="430"/>
        <v>0</v>
      </c>
      <c r="NZ40" s="168"/>
      <c r="OA40" s="168"/>
      <c r="OB40" s="168"/>
      <c r="OC40" s="168"/>
      <c r="OD40" s="168"/>
      <c r="OE40" s="168"/>
      <c r="OF40" s="168"/>
      <c r="OG40" s="168"/>
      <c r="OH40" s="168"/>
      <c r="OI40" s="168"/>
      <c r="OJ40" s="168"/>
      <c r="OK40" s="168"/>
      <c r="OL40" s="168"/>
      <c r="OM40" s="168"/>
      <c r="ON40" s="168"/>
      <c r="OO40" s="168"/>
      <c r="OP40" s="168"/>
      <c r="OQ40" s="168"/>
      <c r="OR40" s="168"/>
      <c r="OS40" s="168"/>
      <c r="OT40" s="168"/>
      <c r="OU40" s="169"/>
      <c r="OV40" s="169"/>
      <c r="OW40" s="169"/>
      <c r="OX40" s="169"/>
      <c r="OY40" s="169"/>
      <c r="OZ40" s="169"/>
      <c r="PA40" s="169"/>
      <c r="PB40" s="169"/>
      <c r="PC40" s="169"/>
      <c r="PD40" s="169"/>
      <c r="PE40" s="169"/>
      <c r="PF40" s="169"/>
      <c r="PG40" s="169"/>
      <c r="PH40" s="169"/>
      <c r="PI40" s="169"/>
      <c r="PJ40" s="169"/>
      <c r="PK40" s="169"/>
      <c r="PL40" s="169"/>
      <c r="PM40" s="169"/>
      <c r="PN40" s="169"/>
      <c r="PO40" s="169">
        <f t="shared" si="431"/>
        <v>0</v>
      </c>
      <c r="PP40" s="169"/>
      <c r="PQ40" s="169"/>
      <c r="PR40" s="169"/>
      <c r="PS40" s="169"/>
      <c r="PT40" s="169"/>
      <c r="PU40" s="169"/>
      <c r="PV40" s="169"/>
      <c r="PW40" s="169"/>
      <c r="PX40" s="169"/>
      <c r="PY40" s="169"/>
      <c r="PZ40" s="169"/>
      <c r="QA40" s="169"/>
      <c r="QB40" s="169"/>
      <c r="QC40" s="169"/>
      <c r="QD40" s="169"/>
      <c r="QE40" s="169"/>
      <c r="QF40" s="169"/>
      <c r="QG40" s="169"/>
      <c r="QH40" s="169"/>
      <c r="QI40" s="169"/>
      <c r="QJ40" s="169"/>
      <c r="QK40" s="169"/>
      <c r="QL40" s="169"/>
      <c r="QM40" s="169"/>
      <c r="QN40" s="169"/>
      <c r="QO40" s="169"/>
      <c r="QP40" s="169"/>
      <c r="QQ40" s="169"/>
      <c r="QR40" s="169"/>
      <c r="QS40" s="169"/>
      <c r="QT40" s="169"/>
      <c r="QU40" s="169"/>
      <c r="QV40" s="169"/>
      <c r="QW40" s="169"/>
      <c r="QX40" s="169"/>
      <c r="QY40" s="169"/>
      <c r="QZ40" s="169"/>
      <c r="RA40" s="169"/>
      <c r="RB40" s="169"/>
      <c r="RC40" s="169"/>
      <c r="RD40" s="169"/>
      <c r="RE40" s="169"/>
      <c r="RF40" s="169"/>
      <c r="RG40" s="169"/>
      <c r="RH40" s="169"/>
      <c r="RI40" s="169"/>
      <c r="RJ40" s="169"/>
      <c r="RK40" s="169"/>
      <c r="RL40" s="169"/>
      <c r="RM40" s="169"/>
      <c r="RN40" s="169"/>
      <c r="RO40" s="168"/>
      <c r="RP40" s="168"/>
      <c r="RQ40" s="168"/>
      <c r="RR40" s="168"/>
      <c r="RS40" s="168"/>
      <c r="RT40" s="168"/>
      <c r="RU40" s="170"/>
      <c r="RV40" s="170"/>
      <c r="RW40" s="170"/>
      <c r="RX40" s="170"/>
      <c r="RY40" s="170"/>
      <c r="RZ40" s="170"/>
      <c r="SA40" s="169"/>
      <c r="SB40" s="169"/>
      <c r="SC40" s="169"/>
      <c r="SD40" s="169"/>
      <c r="SE40" s="169"/>
      <c r="SF40" s="169"/>
      <c r="SG40" s="169"/>
      <c r="SH40" s="169"/>
      <c r="SI40" s="169"/>
      <c r="SJ40" s="169"/>
      <c r="SK40" s="169"/>
      <c r="SL40" s="169"/>
      <c r="SM40" s="169"/>
      <c r="SN40" s="169"/>
      <c r="SO40" s="169"/>
      <c r="SP40" s="169"/>
      <c r="SQ40" s="169"/>
      <c r="SR40" s="169"/>
      <c r="SS40" s="175"/>
    </row>
    <row r="41" spans="1:513" s="171" customFormat="1" ht="18" customHeight="1">
      <c r="A41" s="168"/>
      <c r="B41" s="168"/>
      <c r="C41" s="168"/>
      <c r="D41" s="168"/>
      <c r="E41" s="168" t="s">
        <v>520</v>
      </c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>
        <v>54</v>
      </c>
      <c r="X41" s="168"/>
      <c r="Y41" s="168">
        <v>21</v>
      </c>
      <c r="Z41" s="168"/>
      <c r="AA41" s="168">
        <v>11</v>
      </c>
      <c r="AB41" s="168"/>
      <c r="AC41" s="168">
        <v>5</v>
      </c>
      <c r="AD41" s="168"/>
      <c r="AE41" s="168">
        <v>17</v>
      </c>
      <c r="AF41" s="168">
        <f t="shared" si="432"/>
        <v>0</v>
      </c>
      <c r="AG41" s="168">
        <f t="shared" si="433"/>
        <v>108</v>
      </c>
      <c r="AH41" s="168">
        <f t="shared" ref="AH41" si="450">AG41+AF41</f>
        <v>108</v>
      </c>
      <c r="AI41" s="168"/>
      <c r="AJ41" s="168">
        <v>54</v>
      </c>
      <c r="AK41" s="168"/>
      <c r="AL41" s="168">
        <v>21</v>
      </c>
      <c r="AM41" s="168"/>
      <c r="AN41" s="168">
        <v>11</v>
      </c>
      <c r="AO41" s="168"/>
      <c r="AP41" s="168">
        <v>5</v>
      </c>
      <c r="AQ41" s="168"/>
      <c r="AR41" s="168">
        <v>17</v>
      </c>
      <c r="AS41" s="168">
        <f t="shared" ref="AS41" si="451">AQ41+AO41+AM41+AK41+AI41</f>
        <v>0</v>
      </c>
      <c r="AT41" s="168">
        <f t="shared" ref="AT41" si="452">AR41+AP41+AN41+AL41+AJ41</f>
        <v>108</v>
      </c>
      <c r="AU41" s="168">
        <f t="shared" si="309"/>
        <v>108</v>
      </c>
      <c r="AV41" s="168"/>
      <c r="AW41" s="168">
        <v>23</v>
      </c>
      <c r="AX41" s="168"/>
      <c r="AY41" s="168">
        <v>13</v>
      </c>
      <c r="AZ41" s="168"/>
      <c r="BA41" s="168">
        <v>19</v>
      </c>
      <c r="BB41" s="168"/>
      <c r="BC41" s="168">
        <v>9</v>
      </c>
      <c r="BD41" s="168"/>
      <c r="BE41" s="168">
        <v>6</v>
      </c>
      <c r="BF41" s="168">
        <f t="shared" ref="BF41" si="453">BD41+BB41+AZ41+AX41+AV41</f>
        <v>0</v>
      </c>
      <c r="BG41" s="168">
        <f t="shared" ref="BG41" si="454">BE41+BC41+BA41+AY41+AW41</f>
        <v>70</v>
      </c>
      <c r="BH41" s="168">
        <f t="shared" si="312"/>
        <v>70</v>
      </c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>
        <f t="shared" ref="BS41" si="455">BQ41+BO41+BM41+BK41+BI41</f>
        <v>0</v>
      </c>
      <c r="BT41" s="168">
        <f t="shared" ref="BT41" si="456">BR41+BP41+BN41+BL41+BJ41</f>
        <v>0</v>
      </c>
      <c r="BU41" s="168">
        <f t="shared" si="315"/>
        <v>0</v>
      </c>
      <c r="BV41" s="168">
        <f t="shared" ref="BV41" si="457">AI41</f>
        <v>0</v>
      </c>
      <c r="BW41" s="168">
        <f t="shared" ref="BW41" si="458">AJ41</f>
        <v>54</v>
      </c>
      <c r="BX41" s="168">
        <f t="shared" si="318"/>
        <v>0</v>
      </c>
      <c r="BY41" s="168">
        <f t="shared" si="319"/>
        <v>44</v>
      </c>
      <c r="BZ41" s="168">
        <f t="shared" si="320"/>
        <v>0</v>
      </c>
      <c r="CA41" s="168">
        <f t="shared" si="321"/>
        <v>24</v>
      </c>
      <c r="CB41" s="168">
        <f t="shared" si="322"/>
        <v>0</v>
      </c>
      <c r="CC41" s="168">
        <f t="shared" si="323"/>
        <v>24</v>
      </c>
      <c r="CD41" s="168">
        <f t="shared" ref="CD41" si="459">BM41+BB41+AQ41</f>
        <v>0</v>
      </c>
      <c r="CE41" s="168">
        <f t="shared" ref="CE41" si="460">BN41+BC41+AR41</f>
        <v>26</v>
      </c>
      <c r="CF41" s="168">
        <f t="shared" ref="CF41" si="461">BO41+BD41</f>
        <v>0</v>
      </c>
      <c r="CG41" s="168">
        <f t="shared" ref="CG41" si="462">BP41+BE41</f>
        <v>6</v>
      </c>
      <c r="CH41" s="168">
        <f t="shared" ref="CH41" si="463">BQ41</f>
        <v>0</v>
      </c>
      <c r="CI41" s="168">
        <f t="shared" ref="CI41" si="464">BR41</f>
        <v>0</v>
      </c>
      <c r="CJ41" s="168">
        <f t="shared" ref="CJ41" si="465">CH41+CF41+CD41+CB41+BZ41+BX41+BV41</f>
        <v>0</v>
      </c>
      <c r="CK41" s="168">
        <f t="shared" ref="CK41" si="466">CI41+CG41+CE41+CC41+CA41+BY41+BW41</f>
        <v>178</v>
      </c>
      <c r="CL41" s="168">
        <f t="shared" si="332"/>
        <v>178</v>
      </c>
      <c r="CM41" s="168"/>
      <c r="CN41" s="168">
        <v>3</v>
      </c>
      <c r="CO41" s="168"/>
      <c r="CP41" s="168"/>
      <c r="CQ41" s="168">
        <v>2</v>
      </c>
      <c r="CR41" s="168"/>
      <c r="CS41" s="168"/>
      <c r="CT41" s="168"/>
      <c r="CU41" s="168"/>
      <c r="CV41" s="168">
        <f t="shared" ref="CV41" si="467">CS41+CP41+CM41</f>
        <v>0</v>
      </c>
      <c r="CW41" s="168">
        <f t="shared" ref="CW41" si="468">CT41+CQ41+CN41</f>
        <v>5</v>
      </c>
      <c r="CX41" s="168">
        <f t="shared" ref="CX41" si="469">CU41+CR41+CO41</f>
        <v>0</v>
      </c>
      <c r="CY41" s="168">
        <f t="shared" si="336"/>
        <v>5</v>
      </c>
      <c r="CZ41" s="168"/>
      <c r="DA41" s="168">
        <v>1</v>
      </c>
      <c r="DB41" s="168"/>
      <c r="DC41" s="168"/>
      <c r="DD41" s="168"/>
      <c r="DE41" s="168"/>
      <c r="DF41" s="168">
        <f t="shared" ref="DF41" si="470">DD41+DB41+CZ41</f>
        <v>0</v>
      </c>
      <c r="DG41" s="168">
        <f t="shared" ref="DG41" si="471">DE41+DC41+DA41</f>
        <v>1</v>
      </c>
      <c r="DH41" s="168">
        <f t="shared" si="339"/>
        <v>1</v>
      </c>
      <c r="DI41" s="168"/>
      <c r="DJ41" s="168"/>
      <c r="DK41" s="168"/>
      <c r="DL41" s="168"/>
      <c r="DM41" s="168"/>
      <c r="DN41" s="168"/>
      <c r="DO41" s="168"/>
      <c r="DP41" s="168"/>
      <c r="DQ41" s="168"/>
      <c r="DR41" s="168"/>
      <c r="DS41" s="168">
        <v>62</v>
      </c>
      <c r="DT41" s="168"/>
      <c r="DU41" s="168"/>
      <c r="DV41" s="168"/>
      <c r="DW41" s="168"/>
      <c r="DX41" s="168">
        <f t="shared" ref="DX41" si="472">DV41+DT41+DR41</f>
        <v>0</v>
      </c>
      <c r="DY41" s="168">
        <f t="shared" ref="DY41" si="473">DW41+DU41+DS41</f>
        <v>62</v>
      </c>
      <c r="DZ41" s="168">
        <f t="shared" si="344"/>
        <v>62</v>
      </c>
      <c r="EA41" s="168"/>
      <c r="EB41" s="168">
        <v>8</v>
      </c>
      <c r="EC41" s="168"/>
      <c r="ED41" s="168"/>
      <c r="EE41" s="168"/>
      <c r="EF41" s="168"/>
      <c r="EG41" s="168">
        <f t="shared" ref="EG41" si="474">EE41+EC41+EA41</f>
        <v>0</v>
      </c>
      <c r="EH41" s="168">
        <f t="shared" ref="EH41" si="475">EF41+ED41+EB41</f>
        <v>8</v>
      </c>
      <c r="EI41" s="168">
        <f t="shared" si="347"/>
        <v>8</v>
      </c>
      <c r="EJ41" s="168"/>
      <c r="EK41" s="168"/>
      <c r="EL41" s="168"/>
      <c r="EM41" s="168"/>
      <c r="EN41" s="168"/>
      <c r="EO41" s="168"/>
      <c r="EP41" s="168">
        <f t="shared" ref="EP41" si="476">EN41+EL41+EJ41</f>
        <v>0</v>
      </c>
      <c r="EQ41" s="168">
        <f t="shared" ref="EQ41" si="477">EO41+EM41+EK41</f>
        <v>0</v>
      </c>
      <c r="ER41" s="168">
        <f t="shared" si="350"/>
        <v>0</v>
      </c>
      <c r="ES41" s="168"/>
      <c r="ET41" s="168"/>
      <c r="EU41" s="168"/>
      <c r="EV41" s="168"/>
      <c r="EW41" s="168"/>
      <c r="EX41" s="168"/>
      <c r="EY41" s="168"/>
      <c r="EZ41" s="168"/>
      <c r="FA41" s="168"/>
      <c r="FB41" s="168"/>
      <c r="FC41" s="168"/>
      <c r="FD41" s="168"/>
      <c r="FE41" s="168"/>
      <c r="FF41" s="168"/>
      <c r="FG41" s="168"/>
      <c r="FH41" s="168"/>
      <c r="FI41" s="168"/>
      <c r="FJ41" s="168"/>
      <c r="FK41" s="168"/>
      <c r="FL41" s="168">
        <f t="shared" si="353"/>
        <v>0</v>
      </c>
      <c r="FM41" s="168">
        <f t="shared" si="354"/>
        <v>0</v>
      </c>
      <c r="FN41" s="168">
        <f t="shared" si="355"/>
        <v>0</v>
      </c>
      <c r="FO41" s="168"/>
      <c r="FP41" s="168"/>
      <c r="FQ41" s="168"/>
      <c r="FR41" s="168"/>
      <c r="FS41" s="168"/>
      <c r="FT41" s="168"/>
      <c r="FU41" s="168"/>
      <c r="FV41" s="168"/>
      <c r="FW41" s="168"/>
      <c r="FX41" s="168"/>
      <c r="FY41" s="168"/>
      <c r="FZ41" s="168"/>
      <c r="GA41" s="168"/>
      <c r="GB41" s="168"/>
      <c r="GC41" s="168"/>
      <c r="GD41" s="168"/>
      <c r="GE41" s="168"/>
      <c r="GF41" s="168"/>
      <c r="GG41" s="168">
        <f t="shared" si="413"/>
        <v>0</v>
      </c>
      <c r="GH41" s="168">
        <f t="shared" si="414"/>
        <v>0</v>
      </c>
      <c r="GI41" s="168">
        <f t="shared" si="415"/>
        <v>0</v>
      </c>
      <c r="GJ41" s="168"/>
      <c r="GK41" s="168"/>
      <c r="GL41" s="168"/>
      <c r="GM41" s="168"/>
      <c r="GN41" s="168"/>
      <c r="GO41" s="168"/>
      <c r="GP41" s="168"/>
      <c r="GQ41" s="168"/>
      <c r="GR41" s="168"/>
      <c r="GS41" s="168"/>
      <c r="GT41" s="168"/>
      <c r="GU41" s="168"/>
      <c r="GV41" s="168"/>
      <c r="GW41" s="168"/>
      <c r="GX41" s="168"/>
      <c r="GY41" s="168"/>
      <c r="GZ41" s="168"/>
      <c r="HA41" s="168"/>
      <c r="HB41" s="168"/>
      <c r="HC41" s="168"/>
      <c r="HD41" s="168"/>
      <c r="HE41" s="168"/>
      <c r="HF41" s="168"/>
      <c r="HG41" s="168"/>
      <c r="HH41" s="168"/>
      <c r="HI41" s="168"/>
      <c r="HJ41" s="168"/>
      <c r="HK41" s="168"/>
      <c r="HL41" s="168"/>
      <c r="HM41" s="168"/>
      <c r="HN41" s="168"/>
      <c r="HO41" s="168"/>
      <c r="HP41" s="168"/>
      <c r="HQ41" s="168"/>
      <c r="HR41" s="168"/>
      <c r="HS41" s="168"/>
      <c r="HT41" s="168"/>
      <c r="HU41" s="168"/>
      <c r="HV41" s="168"/>
      <c r="HW41" s="168"/>
      <c r="HX41" s="168"/>
      <c r="HY41" s="168"/>
      <c r="HZ41" s="168"/>
      <c r="IA41" s="168"/>
      <c r="IB41" s="168"/>
      <c r="IC41" s="168"/>
      <c r="ID41" s="168"/>
      <c r="IE41" s="168"/>
      <c r="IF41" s="168"/>
      <c r="IG41" s="168"/>
      <c r="IH41" s="168"/>
      <c r="II41" s="168"/>
      <c r="IJ41" s="168"/>
      <c r="IK41" s="168"/>
      <c r="IL41" s="168"/>
      <c r="IM41" s="168"/>
      <c r="IN41" s="168"/>
      <c r="IO41" s="168"/>
      <c r="IP41" s="168"/>
      <c r="IQ41" s="168"/>
      <c r="IR41" s="168"/>
      <c r="IS41" s="168"/>
      <c r="IT41" s="168"/>
      <c r="IU41" s="168"/>
      <c r="IV41" s="168"/>
      <c r="IW41" s="168"/>
      <c r="IX41" s="168"/>
      <c r="IY41" s="168"/>
      <c r="IZ41" s="168"/>
      <c r="JA41" s="168"/>
      <c r="JB41" s="168"/>
      <c r="JC41" s="168"/>
      <c r="JD41" s="168"/>
      <c r="JE41" s="168"/>
      <c r="JF41" s="168"/>
      <c r="JG41" s="168"/>
      <c r="JH41" s="168"/>
      <c r="JI41" s="168"/>
      <c r="JJ41" s="168"/>
      <c r="JK41" s="168"/>
      <c r="JL41" s="168"/>
      <c r="JM41" s="168"/>
      <c r="JN41" s="168"/>
      <c r="JO41" s="168"/>
      <c r="JP41" s="168"/>
      <c r="JQ41" s="168"/>
      <c r="JR41" s="168"/>
      <c r="JS41" s="168"/>
      <c r="JT41" s="168"/>
      <c r="JU41" s="168"/>
      <c r="JV41" s="168"/>
      <c r="JW41" s="168"/>
      <c r="JX41" s="168"/>
      <c r="JY41" s="168"/>
      <c r="JZ41" s="168"/>
      <c r="KA41" s="168"/>
      <c r="KB41" s="168"/>
      <c r="KC41" s="168"/>
      <c r="KD41" s="168"/>
      <c r="KE41" s="168"/>
      <c r="KF41" s="168"/>
      <c r="KG41" s="168"/>
      <c r="KH41" s="168"/>
      <c r="KI41" s="168"/>
      <c r="KJ41" s="168"/>
      <c r="KK41" s="168"/>
      <c r="KL41" s="168"/>
      <c r="KM41" s="168"/>
      <c r="KN41" s="168"/>
      <c r="KO41" s="168"/>
      <c r="KP41" s="168"/>
      <c r="KQ41" s="168"/>
      <c r="KR41" s="168"/>
      <c r="KS41" s="168"/>
      <c r="KT41" s="168"/>
      <c r="KU41" s="168"/>
      <c r="KV41" s="168">
        <f t="shared" si="416"/>
        <v>0</v>
      </c>
      <c r="KW41" s="168">
        <f t="shared" si="417"/>
        <v>0</v>
      </c>
      <c r="KX41" s="168">
        <f t="shared" si="418"/>
        <v>0</v>
      </c>
      <c r="KY41" s="168"/>
      <c r="KZ41" s="168"/>
      <c r="LA41" s="168"/>
      <c r="LB41" s="168"/>
      <c r="LC41" s="168"/>
      <c r="LD41" s="168"/>
      <c r="LE41" s="168"/>
      <c r="LF41" s="168"/>
      <c r="LG41" s="168"/>
      <c r="LH41" s="168"/>
      <c r="LI41" s="168"/>
      <c r="LJ41" s="168"/>
      <c r="LK41" s="168"/>
      <c r="LL41" s="168"/>
      <c r="LM41" s="168"/>
      <c r="LN41" s="168"/>
      <c r="LO41" s="168"/>
      <c r="LP41" s="168"/>
      <c r="LQ41" s="168">
        <f t="shared" si="419"/>
        <v>0</v>
      </c>
      <c r="LR41" s="168">
        <f t="shared" si="420"/>
        <v>0</v>
      </c>
      <c r="LS41" s="168">
        <f t="shared" si="421"/>
        <v>0</v>
      </c>
      <c r="LT41" s="168"/>
      <c r="LU41" s="168"/>
      <c r="LV41" s="168"/>
      <c r="LW41" s="168"/>
      <c r="LX41" s="168"/>
      <c r="LY41" s="168"/>
      <c r="LZ41" s="168"/>
      <c r="MA41" s="168"/>
      <c r="MB41" s="168">
        <f t="shared" si="422"/>
        <v>0</v>
      </c>
      <c r="MC41" s="168">
        <f t="shared" si="423"/>
        <v>0</v>
      </c>
      <c r="MD41" s="168">
        <f t="shared" si="424"/>
        <v>0</v>
      </c>
      <c r="ME41" s="168"/>
      <c r="MF41" s="168"/>
      <c r="MG41" s="168"/>
      <c r="MH41" s="168"/>
      <c r="MI41" s="168"/>
      <c r="MJ41" s="168"/>
      <c r="MK41" s="168"/>
      <c r="ML41" s="168"/>
      <c r="MM41" s="168"/>
      <c r="MN41" s="168"/>
      <c r="MO41" s="168">
        <f t="shared" si="425"/>
        <v>0</v>
      </c>
      <c r="MP41" s="168">
        <f t="shared" si="426"/>
        <v>0</v>
      </c>
      <c r="MQ41" s="168">
        <f t="shared" si="427"/>
        <v>0</v>
      </c>
      <c r="MR41" s="168"/>
      <c r="MS41" s="168"/>
      <c r="MT41" s="168"/>
      <c r="MU41" s="168"/>
      <c r="MV41" s="168"/>
      <c r="MW41" s="168"/>
      <c r="MX41" s="168"/>
      <c r="MY41" s="168"/>
      <c r="MZ41" s="168"/>
      <c r="NA41" s="168"/>
      <c r="NB41" s="168"/>
      <c r="NC41" s="168"/>
      <c r="ND41" s="168"/>
      <c r="NE41" s="168"/>
      <c r="NF41" s="168"/>
      <c r="NG41" s="168"/>
      <c r="NH41" s="168"/>
      <c r="NI41" s="168"/>
      <c r="NJ41" s="168"/>
      <c r="NK41" s="168"/>
      <c r="NL41" s="168"/>
      <c r="NM41" s="168"/>
      <c r="NN41" s="168"/>
      <c r="NO41" s="168"/>
      <c r="NP41" s="168"/>
      <c r="NQ41" s="168"/>
      <c r="NR41" s="168"/>
      <c r="NS41" s="168"/>
      <c r="NT41" s="168"/>
      <c r="NU41" s="168"/>
      <c r="NV41" s="168"/>
      <c r="NW41" s="168">
        <f t="shared" si="428"/>
        <v>0</v>
      </c>
      <c r="NX41" s="168">
        <f t="shared" si="429"/>
        <v>0</v>
      </c>
      <c r="NY41" s="168">
        <f t="shared" si="430"/>
        <v>0</v>
      </c>
      <c r="NZ41" s="168"/>
      <c r="OA41" s="168"/>
      <c r="OB41" s="168"/>
      <c r="OC41" s="168"/>
      <c r="OD41" s="168"/>
      <c r="OE41" s="168"/>
      <c r="OF41" s="168"/>
      <c r="OG41" s="168"/>
      <c r="OH41" s="168"/>
      <c r="OI41" s="168"/>
      <c r="OJ41" s="168"/>
      <c r="OK41" s="168"/>
      <c r="OL41" s="168"/>
      <c r="OM41" s="168"/>
      <c r="ON41" s="168"/>
      <c r="OO41" s="168"/>
      <c r="OP41" s="168"/>
      <c r="OQ41" s="168"/>
      <c r="OR41" s="168"/>
      <c r="OS41" s="168"/>
      <c r="OT41" s="168"/>
      <c r="OU41" s="169"/>
      <c r="OV41" s="169"/>
      <c r="OW41" s="169"/>
      <c r="OX41" s="169"/>
      <c r="OY41" s="169"/>
      <c r="OZ41" s="169"/>
      <c r="PA41" s="169"/>
      <c r="PB41" s="169"/>
      <c r="PC41" s="169"/>
      <c r="PD41" s="169"/>
      <c r="PE41" s="169"/>
      <c r="PF41" s="169"/>
      <c r="PG41" s="169"/>
      <c r="PH41" s="169"/>
      <c r="PI41" s="169"/>
      <c r="PJ41" s="169"/>
      <c r="PK41" s="169"/>
      <c r="PL41" s="169"/>
      <c r="PM41" s="169"/>
      <c r="PN41" s="169"/>
      <c r="PO41" s="169"/>
      <c r="PP41" s="169"/>
      <c r="PQ41" s="169"/>
      <c r="PR41" s="169"/>
      <c r="PS41" s="169"/>
      <c r="PT41" s="169"/>
      <c r="PU41" s="169"/>
      <c r="PV41" s="169"/>
      <c r="PW41" s="169"/>
      <c r="PX41" s="169"/>
      <c r="PY41" s="169"/>
      <c r="PZ41" s="169"/>
      <c r="QA41" s="169"/>
      <c r="QB41" s="169"/>
      <c r="QC41" s="169"/>
      <c r="QD41" s="169"/>
      <c r="QE41" s="169"/>
      <c r="QF41" s="169"/>
      <c r="QG41" s="169"/>
      <c r="QH41" s="169"/>
      <c r="QI41" s="169"/>
      <c r="QJ41" s="169"/>
      <c r="QK41" s="169"/>
      <c r="QL41" s="169"/>
      <c r="QM41" s="169"/>
      <c r="QN41" s="169"/>
      <c r="QO41" s="169"/>
      <c r="QP41" s="169"/>
      <c r="QQ41" s="169"/>
      <c r="QR41" s="169"/>
      <c r="QS41" s="169"/>
      <c r="QT41" s="169"/>
      <c r="QU41" s="169"/>
      <c r="QV41" s="169"/>
      <c r="QW41" s="169"/>
      <c r="QX41" s="169"/>
      <c r="QY41" s="169"/>
      <c r="QZ41" s="169"/>
      <c r="RA41" s="169"/>
      <c r="RB41" s="169"/>
      <c r="RC41" s="169"/>
      <c r="RD41" s="169"/>
      <c r="RE41" s="169"/>
      <c r="RF41" s="169"/>
      <c r="RG41" s="169"/>
      <c r="RH41" s="169"/>
      <c r="RI41" s="169"/>
      <c r="RJ41" s="169"/>
      <c r="RK41" s="169"/>
      <c r="RL41" s="169"/>
      <c r="RM41" s="169"/>
      <c r="RN41" s="169"/>
      <c r="RO41" s="168"/>
      <c r="RP41" s="168"/>
      <c r="RQ41" s="168"/>
      <c r="RR41" s="168"/>
      <c r="RS41" s="168"/>
      <c r="RT41" s="168"/>
      <c r="RU41" s="170"/>
      <c r="RV41" s="170"/>
      <c r="RW41" s="170"/>
      <c r="RX41" s="170"/>
      <c r="RY41" s="170"/>
      <c r="RZ41" s="170"/>
      <c r="SA41" s="169"/>
      <c r="SB41" s="169"/>
      <c r="SC41" s="169"/>
      <c r="SD41" s="169"/>
      <c r="SE41" s="169"/>
      <c r="SF41" s="169"/>
      <c r="SG41" s="169"/>
      <c r="SH41" s="169"/>
      <c r="SI41" s="169"/>
      <c r="SJ41" s="169"/>
      <c r="SK41" s="169"/>
      <c r="SL41" s="169"/>
      <c r="SM41" s="169"/>
      <c r="SN41" s="169"/>
      <c r="SO41" s="169"/>
      <c r="SP41" s="169"/>
      <c r="SQ41" s="169"/>
      <c r="SR41" s="169"/>
      <c r="SS41" s="175"/>
    </row>
    <row r="42" spans="1:513" s="171" customFormat="1" ht="18" customHeight="1">
      <c r="A42" s="168"/>
      <c r="B42" s="168"/>
      <c r="C42" s="168"/>
      <c r="D42" s="168"/>
      <c r="E42" s="168" t="s">
        <v>487</v>
      </c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>
        <v>11</v>
      </c>
      <c r="AA42" s="168"/>
      <c r="AB42" s="168">
        <v>26</v>
      </c>
      <c r="AC42" s="168"/>
      <c r="AD42" s="168">
        <v>47</v>
      </c>
      <c r="AE42" s="168"/>
      <c r="AF42" s="168">
        <f t="shared" si="432"/>
        <v>84</v>
      </c>
      <c r="AG42" s="168">
        <f t="shared" si="433"/>
        <v>0</v>
      </c>
      <c r="AH42" s="168">
        <f t="shared" si="306"/>
        <v>84</v>
      </c>
      <c r="AI42" s="168"/>
      <c r="AJ42" s="168"/>
      <c r="AK42" s="168"/>
      <c r="AL42" s="168"/>
      <c r="AM42" s="168">
        <v>11</v>
      </c>
      <c r="AN42" s="168"/>
      <c r="AO42" s="168">
        <v>26</v>
      </c>
      <c r="AP42" s="168"/>
      <c r="AQ42" s="168">
        <v>47</v>
      </c>
      <c r="AR42" s="168"/>
      <c r="AS42" s="168">
        <f t="shared" ref="AS42" si="478">AQ42+AO42+AM42+AK42+AI42</f>
        <v>84</v>
      </c>
      <c r="AT42" s="168">
        <f t="shared" ref="AT42" si="479">AR42+AP42+AN42+AL42+AJ42</f>
        <v>0</v>
      </c>
      <c r="AU42" s="168">
        <f t="shared" si="309"/>
        <v>84</v>
      </c>
      <c r="AV42" s="168"/>
      <c r="AW42" s="168"/>
      <c r="AX42" s="168">
        <v>14</v>
      </c>
      <c r="AY42" s="168"/>
      <c r="AZ42" s="168">
        <v>26</v>
      </c>
      <c r="BA42" s="168"/>
      <c r="BB42" s="168"/>
      <c r="BC42" s="168"/>
      <c r="BD42" s="168"/>
      <c r="BE42" s="168"/>
      <c r="BF42" s="168">
        <f t="shared" ref="BF42" si="480">BD42+BB42+AZ42+AX42+AV42</f>
        <v>40</v>
      </c>
      <c r="BG42" s="168">
        <f t="shared" ref="BG42" si="481">BE42+BC42+BA42+AY42+AW42</f>
        <v>0</v>
      </c>
      <c r="BH42" s="168">
        <f t="shared" si="312"/>
        <v>40</v>
      </c>
      <c r="BI42" s="168"/>
      <c r="BJ42" s="168"/>
      <c r="BK42" s="168"/>
      <c r="BL42" s="168"/>
      <c r="BM42" s="168">
        <v>110</v>
      </c>
      <c r="BN42" s="168"/>
      <c r="BO42" s="168">
        <v>198</v>
      </c>
      <c r="BP42" s="168"/>
      <c r="BQ42" s="168">
        <v>60</v>
      </c>
      <c r="BR42" s="168"/>
      <c r="BS42" s="168">
        <f t="shared" ref="BS42" si="482">BQ42+BO42+BM42+BK42+BI42</f>
        <v>368</v>
      </c>
      <c r="BT42" s="168">
        <f t="shared" ref="BT42" si="483">BR42+BP42+BN42+BL42+BJ42</f>
        <v>0</v>
      </c>
      <c r="BU42" s="168">
        <f t="shared" si="315"/>
        <v>368</v>
      </c>
      <c r="BV42" s="168">
        <f t="shared" ref="BV42" si="484">AI42</f>
        <v>0</v>
      </c>
      <c r="BW42" s="168">
        <f t="shared" ref="BW42" si="485">AJ42</f>
        <v>0</v>
      </c>
      <c r="BX42" s="168">
        <f t="shared" si="318"/>
        <v>0</v>
      </c>
      <c r="BY42" s="168">
        <f t="shared" si="319"/>
        <v>0</v>
      </c>
      <c r="BZ42" s="168">
        <f t="shared" si="320"/>
        <v>25</v>
      </c>
      <c r="CA42" s="168">
        <f t="shared" si="321"/>
        <v>0</v>
      </c>
      <c r="CB42" s="168">
        <f t="shared" si="322"/>
        <v>52</v>
      </c>
      <c r="CC42" s="168">
        <f t="shared" si="323"/>
        <v>0</v>
      </c>
      <c r="CD42" s="168">
        <f t="shared" ref="CD42" si="486">BM42+BB42+AQ42</f>
        <v>157</v>
      </c>
      <c r="CE42" s="168">
        <f t="shared" ref="CE42" si="487">BN42+BC42+AR42</f>
        <v>0</v>
      </c>
      <c r="CF42" s="168">
        <f t="shared" ref="CF42" si="488">BO42+BD42</f>
        <v>198</v>
      </c>
      <c r="CG42" s="168">
        <f t="shared" ref="CG42" si="489">BP42+BE42</f>
        <v>0</v>
      </c>
      <c r="CH42" s="168">
        <f t="shared" ref="CH42" si="490">BQ42</f>
        <v>60</v>
      </c>
      <c r="CI42" s="168">
        <f t="shared" ref="CI42" si="491">BR42</f>
        <v>0</v>
      </c>
      <c r="CJ42" s="168">
        <f t="shared" ref="CJ42" si="492">CH42+CF42+CD42+CB42+BZ42+BX42+BV42</f>
        <v>492</v>
      </c>
      <c r="CK42" s="168">
        <f t="shared" ref="CK42" si="493">CI42+CG42+CE42+CC42+CA42+BY42+BW42</f>
        <v>0</v>
      </c>
      <c r="CL42" s="168">
        <f t="shared" si="332"/>
        <v>492</v>
      </c>
      <c r="CM42" s="168">
        <v>2</v>
      </c>
      <c r="CN42" s="168"/>
      <c r="CO42" s="168"/>
      <c r="CP42" s="168">
        <v>1</v>
      </c>
      <c r="CQ42" s="168"/>
      <c r="CR42" s="168"/>
      <c r="CS42" s="168">
        <v>4</v>
      </c>
      <c r="CT42" s="168"/>
      <c r="CU42" s="168"/>
      <c r="CV42" s="168">
        <f t="shared" ref="CV42" si="494">CS42+CP42+CM42</f>
        <v>7</v>
      </c>
      <c r="CW42" s="168">
        <f t="shared" ref="CW42" si="495">CT42+CQ42+CN42</f>
        <v>0</v>
      </c>
      <c r="CX42" s="168">
        <f t="shared" ref="CX42" si="496">CU42+CR42+CO42</f>
        <v>0</v>
      </c>
      <c r="CY42" s="168">
        <f t="shared" si="336"/>
        <v>7</v>
      </c>
      <c r="CZ42" s="168"/>
      <c r="DA42" s="168"/>
      <c r="DB42" s="168"/>
      <c r="DC42" s="168"/>
      <c r="DD42" s="168">
        <v>3</v>
      </c>
      <c r="DE42" s="168"/>
      <c r="DF42" s="168">
        <f t="shared" ref="DF42" si="497">DD42+DB42+CZ42</f>
        <v>3</v>
      </c>
      <c r="DG42" s="168">
        <f t="shared" ref="DG42" si="498">DE42+DC42+DA42</f>
        <v>0</v>
      </c>
      <c r="DH42" s="168">
        <f t="shared" si="339"/>
        <v>3</v>
      </c>
      <c r="DI42" s="168"/>
      <c r="DJ42" s="168"/>
      <c r="DK42" s="168"/>
      <c r="DL42" s="168"/>
      <c r="DM42" s="168"/>
      <c r="DN42" s="168"/>
      <c r="DO42" s="168"/>
      <c r="DP42" s="168"/>
      <c r="DQ42" s="168"/>
      <c r="DR42" s="168">
        <v>29</v>
      </c>
      <c r="DS42" s="168"/>
      <c r="DT42" s="168">
        <v>35</v>
      </c>
      <c r="DU42" s="168"/>
      <c r="DV42" s="168">
        <v>62</v>
      </c>
      <c r="DW42" s="168"/>
      <c r="DX42" s="168">
        <f t="shared" ref="DX42" si="499">DV42+DT42+DR42</f>
        <v>126</v>
      </c>
      <c r="DY42" s="168">
        <f t="shared" ref="DY42" si="500">DW42+DU42+DS42</f>
        <v>0</v>
      </c>
      <c r="DZ42" s="168">
        <f t="shared" si="344"/>
        <v>126</v>
      </c>
      <c r="EA42" s="168">
        <v>2</v>
      </c>
      <c r="EB42" s="168"/>
      <c r="EC42" s="168">
        <v>4</v>
      </c>
      <c r="ED42" s="168"/>
      <c r="EE42" s="168">
        <v>22</v>
      </c>
      <c r="EF42" s="168"/>
      <c r="EG42" s="168">
        <f t="shared" ref="EG42" si="501">EE42+EC42+EA42</f>
        <v>28</v>
      </c>
      <c r="EH42" s="168">
        <f t="shared" ref="EH42" si="502">EF42+ED42+EB42</f>
        <v>0</v>
      </c>
      <c r="EI42" s="168">
        <f t="shared" si="347"/>
        <v>28</v>
      </c>
      <c r="EJ42" s="168">
        <v>4</v>
      </c>
      <c r="EK42" s="168"/>
      <c r="EL42" s="168">
        <v>1</v>
      </c>
      <c r="EM42" s="168"/>
      <c r="EN42" s="168"/>
      <c r="EO42" s="168"/>
      <c r="EP42" s="168">
        <f t="shared" ref="EP42" si="503">EN42+EL42+EJ42</f>
        <v>5</v>
      </c>
      <c r="EQ42" s="168">
        <f t="shared" ref="EQ42" si="504">EO42+EM42+EK42</f>
        <v>0</v>
      </c>
      <c r="ER42" s="168">
        <f t="shared" si="350"/>
        <v>5</v>
      </c>
      <c r="ES42" s="168"/>
      <c r="ET42" s="168"/>
      <c r="EU42" s="168"/>
      <c r="EV42" s="168"/>
      <c r="EW42" s="168"/>
      <c r="EX42" s="168"/>
      <c r="EY42" s="168">
        <f t="shared" ref="EY42" si="505">EW42+EU42+ES42</f>
        <v>0</v>
      </c>
      <c r="EZ42" s="168">
        <f t="shared" ref="EZ42" si="506">EX42+EV42+ET42</f>
        <v>0</v>
      </c>
      <c r="FA42" s="168">
        <f>EZ42+EY42</f>
        <v>0</v>
      </c>
      <c r="FB42" s="168"/>
      <c r="FC42" s="168"/>
      <c r="FD42" s="168"/>
      <c r="FE42" s="168"/>
      <c r="FF42" s="168"/>
      <c r="FG42" s="168"/>
      <c r="FH42" s="168"/>
      <c r="FI42" s="168"/>
      <c r="FJ42" s="168"/>
      <c r="FK42" s="168"/>
      <c r="FL42" s="168">
        <f t="shared" si="353"/>
        <v>0</v>
      </c>
      <c r="FM42" s="168">
        <f t="shared" si="354"/>
        <v>0</v>
      </c>
      <c r="FN42" s="168">
        <f t="shared" si="355"/>
        <v>0</v>
      </c>
      <c r="FO42" s="168"/>
      <c r="FP42" s="168"/>
      <c r="FQ42" s="168"/>
      <c r="FR42" s="168"/>
      <c r="FS42" s="168"/>
      <c r="FT42" s="168"/>
      <c r="FU42" s="168"/>
      <c r="FV42" s="168"/>
      <c r="FW42" s="168"/>
      <c r="FX42" s="168"/>
      <c r="FY42" s="168"/>
      <c r="FZ42" s="168"/>
      <c r="GA42" s="168"/>
      <c r="GB42" s="168"/>
      <c r="GC42" s="168"/>
      <c r="GD42" s="168"/>
      <c r="GE42" s="168"/>
      <c r="GF42" s="168"/>
      <c r="GG42" s="168">
        <f t="shared" si="413"/>
        <v>0</v>
      </c>
      <c r="GH42" s="168">
        <f t="shared" si="414"/>
        <v>0</v>
      </c>
      <c r="GI42" s="168">
        <f t="shared" si="415"/>
        <v>0</v>
      </c>
      <c r="GJ42" s="168"/>
      <c r="GK42" s="168"/>
      <c r="GL42" s="168"/>
      <c r="GM42" s="168"/>
      <c r="GN42" s="168"/>
      <c r="GO42" s="168"/>
      <c r="GP42" s="168"/>
      <c r="GQ42" s="168"/>
      <c r="GR42" s="168"/>
      <c r="GS42" s="168"/>
      <c r="GT42" s="168"/>
      <c r="GU42" s="168"/>
      <c r="GV42" s="168"/>
      <c r="GW42" s="168"/>
      <c r="GX42" s="168"/>
      <c r="GY42" s="168"/>
      <c r="GZ42" s="168"/>
      <c r="HA42" s="168"/>
      <c r="HB42" s="168"/>
      <c r="HC42" s="168"/>
      <c r="HD42" s="168"/>
      <c r="HE42" s="168"/>
      <c r="HF42" s="168"/>
      <c r="HG42" s="168"/>
      <c r="HH42" s="168"/>
      <c r="HI42" s="168"/>
      <c r="HJ42" s="168"/>
      <c r="HK42" s="168"/>
      <c r="HL42" s="168"/>
      <c r="HM42" s="168"/>
      <c r="HN42" s="168"/>
      <c r="HO42" s="168"/>
      <c r="HP42" s="168"/>
      <c r="HQ42" s="168"/>
      <c r="HR42" s="168"/>
      <c r="HS42" s="168"/>
      <c r="HT42" s="168"/>
      <c r="HU42" s="168"/>
      <c r="HV42" s="168"/>
      <c r="HW42" s="168"/>
      <c r="HX42" s="168"/>
      <c r="HY42" s="168"/>
      <c r="HZ42" s="168"/>
      <c r="IA42" s="168"/>
      <c r="IB42" s="168"/>
      <c r="IC42" s="168"/>
      <c r="ID42" s="168"/>
      <c r="IE42" s="168"/>
      <c r="IF42" s="168"/>
      <c r="IG42" s="168"/>
      <c r="IH42" s="168"/>
      <c r="II42" s="168"/>
      <c r="IJ42" s="168"/>
      <c r="IK42" s="168"/>
      <c r="IL42" s="168"/>
      <c r="IM42" s="168"/>
      <c r="IN42" s="168"/>
      <c r="IO42" s="168"/>
      <c r="IP42" s="168"/>
      <c r="IQ42" s="168"/>
      <c r="IR42" s="168"/>
      <c r="IS42" s="168"/>
      <c r="IT42" s="168"/>
      <c r="IU42" s="168"/>
      <c r="IV42" s="168"/>
      <c r="IW42" s="168"/>
      <c r="IX42" s="168"/>
      <c r="IY42" s="168"/>
      <c r="IZ42" s="168"/>
      <c r="JA42" s="168"/>
      <c r="JB42" s="168"/>
      <c r="JC42" s="168"/>
      <c r="JD42" s="168"/>
      <c r="JE42" s="168"/>
      <c r="JF42" s="168"/>
      <c r="JG42" s="168"/>
      <c r="JH42" s="168"/>
      <c r="JI42" s="168"/>
      <c r="JJ42" s="168"/>
      <c r="JK42" s="168"/>
      <c r="JL42" s="168"/>
      <c r="JM42" s="168"/>
      <c r="JN42" s="168"/>
      <c r="JO42" s="168"/>
      <c r="JP42" s="168"/>
      <c r="JQ42" s="168"/>
      <c r="JR42" s="168"/>
      <c r="JS42" s="168"/>
      <c r="JT42" s="168"/>
      <c r="JU42" s="168"/>
      <c r="JV42" s="168"/>
      <c r="JW42" s="168"/>
      <c r="JX42" s="168"/>
      <c r="JY42" s="168"/>
      <c r="JZ42" s="168"/>
      <c r="KA42" s="168"/>
      <c r="KB42" s="168"/>
      <c r="KC42" s="168"/>
      <c r="KD42" s="168"/>
      <c r="KE42" s="168"/>
      <c r="KF42" s="168"/>
      <c r="KG42" s="168"/>
      <c r="KH42" s="168"/>
      <c r="KI42" s="168"/>
      <c r="KJ42" s="168"/>
      <c r="KK42" s="168"/>
      <c r="KL42" s="168"/>
      <c r="KM42" s="168"/>
      <c r="KN42" s="168"/>
      <c r="KO42" s="168"/>
      <c r="KP42" s="168"/>
      <c r="KQ42" s="168"/>
      <c r="KR42" s="168"/>
      <c r="KS42" s="168"/>
      <c r="KT42" s="168"/>
      <c r="KU42" s="168"/>
      <c r="KV42" s="168">
        <f t="shared" si="416"/>
        <v>0</v>
      </c>
      <c r="KW42" s="168">
        <f t="shared" si="417"/>
        <v>0</v>
      </c>
      <c r="KX42" s="168">
        <f t="shared" si="418"/>
        <v>0</v>
      </c>
      <c r="KY42" s="168"/>
      <c r="KZ42" s="168"/>
      <c r="LA42" s="168"/>
      <c r="LB42" s="168"/>
      <c r="LC42" s="168"/>
      <c r="LD42" s="168"/>
      <c r="LE42" s="168"/>
      <c r="LF42" s="168"/>
      <c r="LG42" s="168"/>
      <c r="LH42" s="168"/>
      <c r="LI42" s="168"/>
      <c r="LJ42" s="168"/>
      <c r="LK42" s="168"/>
      <c r="LL42" s="168"/>
      <c r="LM42" s="168"/>
      <c r="LN42" s="168"/>
      <c r="LO42" s="168"/>
      <c r="LP42" s="168"/>
      <c r="LQ42" s="168">
        <f t="shared" si="419"/>
        <v>0</v>
      </c>
      <c r="LR42" s="168">
        <f t="shared" si="420"/>
        <v>0</v>
      </c>
      <c r="LS42" s="168">
        <f t="shared" si="421"/>
        <v>0</v>
      </c>
      <c r="LT42" s="168"/>
      <c r="LU42" s="168"/>
      <c r="LV42" s="168"/>
      <c r="LW42" s="168"/>
      <c r="LX42" s="168"/>
      <c r="LY42" s="168"/>
      <c r="LZ42" s="168"/>
      <c r="MA42" s="168"/>
      <c r="MB42" s="168">
        <f t="shared" si="422"/>
        <v>0</v>
      </c>
      <c r="MC42" s="168">
        <f t="shared" si="423"/>
        <v>0</v>
      </c>
      <c r="MD42" s="168">
        <f t="shared" si="424"/>
        <v>0</v>
      </c>
      <c r="ME42" s="168"/>
      <c r="MF42" s="168"/>
      <c r="MG42" s="168"/>
      <c r="MH42" s="168"/>
      <c r="MI42" s="168"/>
      <c r="MJ42" s="168"/>
      <c r="MK42" s="168"/>
      <c r="ML42" s="168"/>
      <c r="MM42" s="168"/>
      <c r="MN42" s="168"/>
      <c r="MO42" s="168">
        <f t="shared" si="425"/>
        <v>0</v>
      </c>
      <c r="MP42" s="168">
        <f t="shared" si="426"/>
        <v>0</v>
      </c>
      <c r="MQ42" s="168">
        <f t="shared" si="427"/>
        <v>0</v>
      </c>
      <c r="MR42" s="168"/>
      <c r="MS42" s="168"/>
      <c r="MT42" s="168"/>
      <c r="MU42" s="168"/>
      <c r="MV42" s="168"/>
      <c r="MW42" s="168"/>
      <c r="MX42" s="168"/>
      <c r="MY42" s="168"/>
      <c r="MZ42" s="168"/>
      <c r="NA42" s="168"/>
      <c r="NB42" s="168"/>
      <c r="NC42" s="168"/>
      <c r="ND42" s="168"/>
      <c r="NE42" s="168"/>
      <c r="NF42" s="168"/>
      <c r="NG42" s="168"/>
      <c r="NH42" s="168"/>
      <c r="NI42" s="168"/>
      <c r="NJ42" s="168"/>
      <c r="NK42" s="168"/>
      <c r="NL42" s="168"/>
      <c r="NM42" s="168"/>
      <c r="NN42" s="168"/>
      <c r="NO42" s="168"/>
      <c r="NP42" s="168"/>
      <c r="NQ42" s="168"/>
      <c r="NR42" s="168"/>
      <c r="NS42" s="168"/>
      <c r="NT42" s="168"/>
      <c r="NU42" s="168"/>
      <c r="NV42" s="168"/>
      <c r="NW42" s="168">
        <f t="shared" si="428"/>
        <v>0</v>
      </c>
      <c r="NX42" s="168">
        <f t="shared" si="429"/>
        <v>0</v>
      </c>
      <c r="NY42" s="168">
        <f t="shared" si="430"/>
        <v>0</v>
      </c>
      <c r="NZ42" s="168"/>
      <c r="OA42" s="168"/>
      <c r="OB42" s="168"/>
      <c r="OC42" s="168"/>
      <c r="OD42" s="168"/>
      <c r="OE42" s="168"/>
      <c r="OF42" s="168"/>
      <c r="OG42" s="168"/>
      <c r="OH42" s="168"/>
      <c r="OI42" s="168"/>
      <c r="OJ42" s="168"/>
      <c r="OK42" s="168"/>
      <c r="OL42" s="168"/>
      <c r="OM42" s="168"/>
      <c r="ON42" s="168"/>
      <c r="OO42" s="168"/>
      <c r="OP42" s="168"/>
      <c r="OQ42" s="168"/>
      <c r="OR42" s="168"/>
      <c r="OS42" s="168"/>
      <c r="OT42" s="168"/>
      <c r="OU42" s="169"/>
      <c r="OV42" s="169"/>
      <c r="OW42" s="169"/>
      <c r="OX42" s="169"/>
      <c r="OY42" s="169"/>
      <c r="OZ42" s="169"/>
      <c r="PA42" s="169"/>
      <c r="PB42" s="169"/>
      <c r="PC42" s="169"/>
      <c r="PD42" s="169"/>
      <c r="PE42" s="169"/>
      <c r="PF42" s="169"/>
      <c r="PG42" s="169"/>
      <c r="PH42" s="169"/>
      <c r="PI42" s="169"/>
      <c r="PJ42" s="169"/>
      <c r="PK42" s="169"/>
      <c r="PL42" s="169"/>
      <c r="PM42" s="169"/>
      <c r="PN42" s="169"/>
      <c r="PO42" s="169"/>
      <c r="PP42" s="169"/>
      <c r="PQ42" s="169"/>
      <c r="PR42" s="169"/>
      <c r="PS42" s="169"/>
      <c r="PT42" s="169"/>
      <c r="PU42" s="169"/>
      <c r="PV42" s="169"/>
      <c r="PW42" s="169"/>
      <c r="PX42" s="169"/>
      <c r="PY42" s="169"/>
      <c r="PZ42" s="169"/>
      <c r="QA42" s="169"/>
      <c r="QB42" s="169"/>
      <c r="QC42" s="169"/>
      <c r="QD42" s="169"/>
      <c r="QE42" s="169"/>
      <c r="QF42" s="169"/>
      <c r="QG42" s="169"/>
      <c r="QH42" s="169"/>
      <c r="QI42" s="169"/>
      <c r="QJ42" s="169"/>
      <c r="QK42" s="169"/>
      <c r="QL42" s="169"/>
      <c r="QM42" s="169"/>
      <c r="QN42" s="169"/>
      <c r="QO42" s="169"/>
      <c r="QP42" s="169"/>
      <c r="QQ42" s="169"/>
      <c r="QR42" s="169"/>
      <c r="QS42" s="169"/>
      <c r="QT42" s="169"/>
      <c r="QU42" s="169"/>
      <c r="QV42" s="169"/>
      <c r="QW42" s="169"/>
      <c r="QX42" s="169"/>
      <c r="QY42" s="169"/>
      <c r="QZ42" s="169"/>
      <c r="RA42" s="169"/>
      <c r="RB42" s="169"/>
      <c r="RC42" s="169"/>
      <c r="RD42" s="169"/>
      <c r="RE42" s="169"/>
      <c r="RF42" s="169"/>
      <c r="RG42" s="169"/>
      <c r="RH42" s="169"/>
      <c r="RI42" s="169"/>
      <c r="RJ42" s="169"/>
      <c r="RK42" s="169"/>
      <c r="RL42" s="169"/>
      <c r="RM42" s="169"/>
      <c r="RN42" s="169"/>
      <c r="RO42" s="168"/>
      <c r="RP42" s="168"/>
      <c r="RQ42" s="168"/>
      <c r="RR42" s="168"/>
      <c r="RS42" s="168"/>
      <c r="RT42" s="168"/>
      <c r="RU42" s="170"/>
      <c r="RV42" s="170"/>
      <c r="RW42" s="170"/>
      <c r="RX42" s="170"/>
      <c r="RY42" s="170"/>
      <c r="RZ42" s="170"/>
      <c r="SA42" s="169"/>
      <c r="SB42" s="169"/>
      <c r="SC42" s="169"/>
      <c r="SD42" s="169"/>
      <c r="SE42" s="169"/>
      <c r="SF42" s="169"/>
      <c r="SG42" s="169"/>
      <c r="SH42" s="169"/>
      <c r="SI42" s="169"/>
      <c r="SJ42" s="169"/>
      <c r="SK42" s="169"/>
      <c r="SL42" s="169"/>
      <c r="SM42" s="169"/>
      <c r="SN42" s="169"/>
      <c r="SO42" s="169"/>
      <c r="SP42" s="169"/>
      <c r="SQ42" s="169"/>
      <c r="SR42" s="169"/>
      <c r="SS42" s="175"/>
    </row>
    <row r="43" spans="1:513" s="171" customFormat="1" ht="18" customHeight="1">
      <c r="A43" s="168"/>
      <c r="B43" s="168"/>
      <c r="C43" s="168"/>
      <c r="D43" s="168"/>
      <c r="E43" s="168" t="s">
        <v>411</v>
      </c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>
        <v>24</v>
      </c>
      <c r="W43" s="168"/>
      <c r="X43" s="168">
        <v>28</v>
      </c>
      <c r="Y43" s="168"/>
      <c r="Z43" s="168">
        <v>12</v>
      </c>
      <c r="AA43" s="168"/>
      <c r="AB43" s="168">
        <v>8</v>
      </c>
      <c r="AC43" s="168"/>
      <c r="AD43" s="168">
        <v>5</v>
      </c>
      <c r="AE43" s="168"/>
      <c r="AF43" s="168">
        <f t="shared" si="432"/>
        <v>77</v>
      </c>
      <c r="AG43" s="168">
        <f t="shared" si="433"/>
        <v>0</v>
      </c>
      <c r="AH43" s="168">
        <f t="shared" ref="AH43:AH45" si="507">AG43+AF43</f>
        <v>77</v>
      </c>
      <c r="AI43" s="168">
        <v>24</v>
      </c>
      <c r="AJ43" s="168"/>
      <c r="AK43" s="168">
        <v>28</v>
      </c>
      <c r="AL43" s="168"/>
      <c r="AM43" s="168">
        <v>12</v>
      </c>
      <c r="AN43" s="168"/>
      <c r="AO43" s="168">
        <v>8</v>
      </c>
      <c r="AP43" s="168"/>
      <c r="AQ43" s="168">
        <v>5</v>
      </c>
      <c r="AR43" s="168"/>
      <c r="AS43" s="168">
        <f t="shared" ref="AS43:AS45" si="508">AQ43+AO43+AM43+AK43+AI43</f>
        <v>77</v>
      </c>
      <c r="AT43" s="168">
        <f t="shared" ref="AT43:AT45" si="509">AR43+AP43+AN43+AL43+AJ43</f>
        <v>0</v>
      </c>
      <c r="AU43" s="168">
        <f t="shared" ref="AU43:AU45" si="510">AT43+AS43</f>
        <v>77</v>
      </c>
      <c r="AV43" s="168">
        <v>8</v>
      </c>
      <c r="AW43" s="168"/>
      <c r="AX43" s="168">
        <v>11</v>
      </c>
      <c r="AY43" s="168"/>
      <c r="AZ43" s="168">
        <v>11</v>
      </c>
      <c r="BA43" s="168"/>
      <c r="BB43" s="168">
        <v>6</v>
      </c>
      <c r="BC43" s="168"/>
      <c r="BD43" s="168">
        <v>5</v>
      </c>
      <c r="BE43" s="168"/>
      <c r="BF43" s="168">
        <f t="shared" ref="BF43:BF45" si="511">BD43+BB43+AZ43+AX43+AV43</f>
        <v>41</v>
      </c>
      <c r="BG43" s="168">
        <f t="shared" ref="BG43:BG45" si="512">BE43+BC43+BA43+AY43+AW43</f>
        <v>0</v>
      </c>
      <c r="BH43" s="168">
        <f t="shared" ref="BH43:BH45" si="513">BG43+BF43</f>
        <v>41</v>
      </c>
      <c r="BI43" s="168">
        <v>8</v>
      </c>
      <c r="BJ43" s="168"/>
      <c r="BK43" s="168">
        <v>19</v>
      </c>
      <c r="BL43" s="168"/>
      <c r="BM43" s="168">
        <v>6</v>
      </c>
      <c r="BN43" s="168"/>
      <c r="BO43" s="168">
        <v>5</v>
      </c>
      <c r="BP43" s="168"/>
      <c r="BQ43" s="168">
        <v>4</v>
      </c>
      <c r="BR43" s="168"/>
      <c r="BS43" s="168">
        <f t="shared" ref="BS43:BS45" si="514">BQ43+BO43+BM43+BK43+BI43</f>
        <v>42</v>
      </c>
      <c r="BT43" s="168">
        <f t="shared" ref="BT43:BT45" si="515">BR43+BP43+BN43+BL43+BJ43</f>
        <v>0</v>
      </c>
      <c r="BU43" s="168">
        <f t="shared" ref="BU43:BU45" si="516">BT43+BS43</f>
        <v>42</v>
      </c>
      <c r="BV43" s="168">
        <f t="shared" ref="BV43:BV45" si="517">AI43</f>
        <v>24</v>
      </c>
      <c r="BW43" s="168">
        <f t="shared" ref="BW43:BW45" si="518">AJ43</f>
        <v>0</v>
      </c>
      <c r="BX43" s="168">
        <f t="shared" ref="BX43:BX45" si="519">AV43+AK43</f>
        <v>36</v>
      </c>
      <c r="BY43" s="168">
        <f t="shared" ref="BY43:BY45" si="520">AL43+AW43</f>
        <v>0</v>
      </c>
      <c r="BZ43" s="168">
        <f t="shared" ref="BZ43:BZ45" si="521">BI43+AX43+AM43</f>
        <v>31</v>
      </c>
      <c r="CA43" s="168">
        <f t="shared" ref="CA43:CA45" si="522">AN43+AY43+BJ43</f>
        <v>0</v>
      </c>
      <c r="CB43" s="168">
        <f t="shared" ref="CB43:CB45" si="523">BK43+AZ43+AO43</f>
        <v>38</v>
      </c>
      <c r="CC43" s="168">
        <f t="shared" ref="CC43:CC45" si="524">AP43+BA43+BL43</f>
        <v>0</v>
      </c>
      <c r="CD43" s="168">
        <f t="shared" ref="CD43:CD45" si="525">BM43+BB43+AQ43</f>
        <v>17</v>
      </c>
      <c r="CE43" s="168">
        <f t="shared" ref="CE43:CE45" si="526">BN43+BC43+AR43</f>
        <v>0</v>
      </c>
      <c r="CF43" s="168">
        <f t="shared" ref="CF43:CF45" si="527">BO43+BD43</f>
        <v>10</v>
      </c>
      <c r="CG43" s="168">
        <f t="shared" ref="CG43:CG45" si="528">BP43+BE43</f>
        <v>0</v>
      </c>
      <c r="CH43" s="168">
        <f t="shared" ref="CH43:CH45" si="529">BQ43</f>
        <v>4</v>
      </c>
      <c r="CI43" s="168">
        <f t="shared" ref="CI43:CI45" si="530">BR43</f>
        <v>0</v>
      </c>
      <c r="CJ43" s="168">
        <f t="shared" ref="CJ43:CJ45" si="531">CH43+CF43+CD43+CB43+BZ43+BX43+BV43</f>
        <v>160</v>
      </c>
      <c r="CK43" s="168">
        <f t="shared" ref="CK43:CK45" si="532">CI43+CG43+CE43+CC43+CA43+BY43+BW43</f>
        <v>0</v>
      </c>
      <c r="CL43" s="168">
        <f t="shared" ref="CL43:CL45" si="533">CK43+CJ43</f>
        <v>160</v>
      </c>
      <c r="CM43" s="168">
        <v>2</v>
      </c>
      <c r="CN43" s="168"/>
      <c r="CO43" s="168"/>
      <c r="CP43" s="168">
        <v>1</v>
      </c>
      <c r="CQ43" s="168"/>
      <c r="CR43" s="168"/>
      <c r="CS43" s="168">
        <v>1</v>
      </c>
      <c r="CT43" s="168"/>
      <c r="CU43" s="168"/>
      <c r="CV43" s="168">
        <f t="shared" ref="CV43:CV45" si="534">CS43+CP43+CM43</f>
        <v>4</v>
      </c>
      <c r="CW43" s="168">
        <f t="shared" ref="CW43:CW45" si="535">CT43+CQ43+CN43</f>
        <v>0</v>
      </c>
      <c r="CX43" s="168">
        <f t="shared" ref="CX43:CX45" si="536">CU43+CR43+CO43</f>
        <v>0</v>
      </c>
      <c r="CY43" s="168">
        <f t="shared" ref="CY43:CY45" si="537">CX43+CW43+CV43</f>
        <v>4</v>
      </c>
      <c r="CZ43" s="168"/>
      <c r="DA43" s="168"/>
      <c r="DB43" s="168">
        <v>1</v>
      </c>
      <c r="DC43" s="168"/>
      <c r="DD43" s="168"/>
      <c r="DE43" s="168"/>
      <c r="DF43" s="168">
        <f t="shared" ref="DF43:DF45" si="538">DD43+DB43+CZ43</f>
        <v>1</v>
      </c>
      <c r="DG43" s="168">
        <f t="shared" ref="DG43:DG45" si="539">DE43+DC43+DA43</f>
        <v>0</v>
      </c>
      <c r="DH43" s="168">
        <f t="shared" ref="DH43:DH45" si="540">DG43+DF43</f>
        <v>1</v>
      </c>
      <c r="DI43" s="168"/>
      <c r="DJ43" s="168"/>
      <c r="DK43" s="168"/>
      <c r="DL43" s="168"/>
      <c r="DM43" s="168"/>
      <c r="DN43" s="168"/>
      <c r="DO43" s="168">
        <f t="shared" ref="DO43:DO45" si="541">DM43+DK43+DI43</f>
        <v>0</v>
      </c>
      <c r="DP43" s="168">
        <f t="shared" ref="DP43:DP45" si="542">DN43+DL43+DJ43</f>
        <v>0</v>
      </c>
      <c r="DQ43" s="168">
        <f t="shared" ref="DQ43:DQ45" si="543">DP43+DO43</f>
        <v>0</v>
      </c>
      <c r="DR43" s="168">
        <v>28</v>
      </c>
      <c r="DS43" s="168"/>
      <c r="DT43" s="168">
        <v>27</v>
      </c>
      <c r="DU43" s="168"/>
      <c r="DV43" s="168">
        <v>42</v>
      </c>
      <c r="DW43" s="168"/>
      <c r="DX43" s="168">
        <f t="shared" ref="DX43:DX45" si="544">DV43+DT43+DR43</f>
        <v>97</v>
      </c>
      <c r="DY43" s="168">
        <f t="shared" ref="DY43:DY45" si="545">DW43+DU43+DS43</f>
        <v>0</v>
      </c>
      <c r="DZ43" s="168">
        <f t="shared" ref="DZ43:DZ45" si="546">DY43+DX43</f>
        <v>97</v>
      </c>
      <c r="EA43" s="168">
        <v>10</v>
      </c>
      <c r="EB43" s="168"/>
      <c r="EC43" s="168">
        <v>6</v>
      </c>
      <c r="ED43" s="168"/>
      <c r="EE43" s="168">
        <v>8</v>
      </c>
      <c r="EF43" s="168"/>
      <c r="EG43" s="168">
        <f t="shared" ref="EG43:EG45" si="547">EE43+EC43+EA43</f>
        <v>24</v>
      </c>
      <c r="EH43" s="168">
        <f t="shared" ref="EH43:EH45" si="548">EF43+ED43+EB43</f>
        <v>0</v>
      </c>
      <c r="EI43" s="168">
        <f t="shared" ref="EI43:EI45" si="549">EH43+EG43</f>
        <v>24</v>
      </c>
      <c r="EJ43" s="168"/>
      <c r="EK43" s="168"/>
      <c r="EL43" s="168"/>
      <c r="EM43" s="168"/>
      <c r="EN43" s="168">
        <v>4</v>
      </c>
      <c r="EO43" s="168"/>
      <c r="EP43" s="168">
        <f t="shared" ref="EP43:EP45" si="550">EN43+EL43+EJ43</f>
        <v>4</v>
      </c>
      <c r="EQ43" s="168">
        <f t="shared" ref="EQ43:EQ45" si="551">EO43+EM43+EK43</f>
        <v>0</v>
      </c>
      <c r="ER43" s="168">
        <f t="shared" ref="ER43:ER45" si="552">EQ43+EP43</f>
        <v>4</v>
      </c>
      <c r="ES43" s="168"/>
      <c r="ET43" s="168"/>
      <c r="EU43" s="168"/>
      <c r="EV43" s="168"/>
      <c r="EW43" s="168"/>
      <c r="EX43" s="168"/>
      <c r="EY43" s="168">
        <f t="shared" ref="EY43:EY45" si="553">EW43+EU43+ES43</f>
        <v>0</v>
      </c>
      <c r="EZ43" s="168">
        <f t="shared" ref="EZ43:EZ45" si="554">EX43+EV43+ET43</f>
        <v>0</v>
      </c>
      <c r="FA43" s="168">
        <f t="shared" ref="FA43:FA45" si="555">EZ43+EY43</f>
        <v>0</v>
      </c>
      <c r="FB43" s="168"/>
      <c r="FC43" s="168"/>
      <c r="FD43" s="168"/>
      <c r="FE43" s="168"/>
      <c r="FF43" s="168"/>
      <c r="FG43" s="168"/>
      <c r="FH43" s="168"/>
      <c r="FI43" s="168"/>
      <c r="FJ43" s="168"/>
      <c r="FK43" s="168"/>
      <c r="FL43" s="168">
        <f t="shared" si="353"/>
        <v>0</v>
      </c>
      <c r="FM43" s="168">
        <f t="shared" si="354"/>
        <v>0</v>
      </c>
      <c r="FN43" s="168">
        <f t="shared" si="355"/>
        <v>0</v>
      </c>
      <c r="FO43" s="168"/>
      <c r="FP43" s="168"/>
      <c r="FQ43" s="168"/>
      <c r="FR43" s="168"/>
      <c r="FS43" s="168"/>
      <c r="FT43" s="168"/>
      <c r="FU43" s="168"/>
      <c r="FV43" s="168"/>
      <c r="FW43" s="168"/>
      <c r="FX43" s="168"/>
      <c r="FY43" s="168"/>
      <c r="FZ43" s="168"/>
      <c r="GA43" s="168"/>
      <c r="GB43" s="168"/>
      <c r="GC43" s="168"/>
      <c r="GD43" s="168"/>
      <c r="GE43" s="168"/>
      <c r="GF43" s="168"/>
      <c r="GG43" s="168">
        <f t="shared" si="413"/>
        <v>0</v>
      </c>
      <c r="GH43" s="168">
        <f t="shared" si="414"/>
        <v>0</v>
      </c>
      <c r="GI43" s="168">
        <f t="shared" si="415"/>
        <v>0</v>
      </c>
      <c r="GJ43" s="168"/>
      <c r="GK43" s="168"/>
      <c r="GL43" s="168"/>
      <c r="GM43" s="168"/>
      <c r="GN43" s="168"/>
      <c r="GO43" s="168"/>
      <c r="GP43" s="168"/>
      <c r="GQ43" s="168"/>
      <c r="GR43" s="168"/>
      <c r="GS43" s="168"/>
      <c r="GT43" s="168"/>
      <c r="GU43" s="168"/>
      <c r="GV43" s="168"/>
      <c r="GW43" s="168"/>
      <c r="GX43" s="168"/>
      <c r="GY43" s="168"/>
      <c r="GZ43" s="168"/>
      <c r="HA43" s="168"/>
      <c r="HB43" s="168"/>
      <c r="HC43" s="168"/>
      <c r="HD43" s="168"/>
      <c r="HE43" s="168"/>
      <c r="HF43" s="168"/>
      <c r="HG43" s="168"/>
      <c r="HH43" s="168"/>
      <c r="HI43" s="168"/>
      <c r="HJ43" s="168"/>
      <c r="HK43" s="168"/>
      <c r="HL43" s="168"/>
      <c r="HM43" s="168"/>
      <c r="HN43" s="168"/>
      <c r="HO43" s="168"/>
      <c r="HP43" s="168"/>
      <c r="HQ43" s="168"/>
      <c r="HR43" s="168"/>
      <c r="HS43" s="168"/>
      <c r="HT43" s="168"/>
      <c r="HU43" s="168"/>
      <c r="HV43" s="168"/>
      <c r="HW43" s="168"/>
      <c r="HX43" s="168"/>
      <c r="HY43" s="168"/>
      <c r="HZ43" s="168"/>
      <c r="IA43" s="168"/>
      <c r="IB43" s="168"/>
      <c r="IC43" s="168"/>
      <c r="ID43" s="168"/>
      <c r="IE43" s="168"/>
      <c r="IF43" s="168"/>
      <c r="IG43" s="168"/>
      <c r="IH43" s="168"/>
      <c r="II43" s="168"/>
      <c r="IJ43" s="168"/>
      <c r="IK43" s="168"/>
      <c r="IL43" s="168"/>
      <c r="IM43" s="168"/>
      <c r="IN43" s="168"/>
      <c r="IO43" s="168"/>
      <c r="IP43" s="168"/>
      <c r="IQ43" s="168"/>
      <c r="IR43" s="168"/>
      <c r="IS43" s="168"/>
      <c r="IT43" s="168"/>
      <c r="IU43" s="168"/>
      <c r="IV43" s="168"/>
      <c r="IW43" s="168"/>
      <c r="IX43" s="168"/>
      <c r="IY43" s="168"/>
      <c r="IZ43" s="168"/>
      <c r="JA43" s="168"/>
      <c r="JB43" s="168"/>
      <c r="JC43" s="168"/>
      <c r="JD43" s="168"/>
      <c r="JE43" s="168"/>
      <c r="JF43" s="168"/>
      <c r="JG43" s="168"/>
      <c r="JH43" s="168"/>
      <c r="JI43" s="168"/>
      <c r="JJ43" s="168"/>
      <c r="JK43" s="168"/>
      <c r="JL43" s="168"/>
      <c r="JM43" s="168"/>
      <c r="JN43" s="168"/>
      <c r="JO43" s="168"/>
      <c r="JP43" s="168"/>
      <c r="JQ43" s="168"/>
      <c r="JR43" s="168"/>
      <c r="JS43" s="168"/>
      <c r="JT43" s="168"/>
      <c r="JU43" s="168"/>
      <c r="JV43" s="168"/>
      <c r="JW43" s="168"/>
      <c r="JX43" s="168"/>
      <c r="JY43" s="168"/>
      <c r="JZ43" s="168"/>
      <c r="KA43" s="168"/>
      <c r="KB43" s="168"/>
      <c r="KC43" s="168"/>
      <c r="KD43" s="168"/>
      <c r="KE43" s="168"/>
      <c r="KF43" s="168"/>
      <c r="KG43" s="168"/>
      <c r="KH43" s="168"/>
      <c r="KI43" s="168"/>
      <c r="KJ43" s="168"/>
      <c r="KK43" s="168"/>
      <c r="KL43" s="168"/>
      <c r="KM43" s="168"/>
      <c r="KN43" s="168"/>
      <c r="KO43" s="168"/>
      <c r="KP43" s="168"/>
      <c r="KQ43" s="168"/>
      <c r="KR43" s="168"/>
      <c r="KS43" s="168"/>
      <c r="KT43" s="168"/>
      <c r="KU43" s="168"/>
      <c r="KV43" s="168">
        <f t="shared" si="416"/>
        <v>0</v>
      </c>
      <c r="KW43" s="168">
        <f t="shared" si="417"/>
        <v>0</v>
      </c>
      <c r="KX43" s="168">
        <f t="shared" si="418"/>
        <v>0</v>
      </c>
      <c r="KY43" s="168"/>
      <c r="KZ43" s="168"/>
      <c r="LA43" s="168"/>
      <c r="LB43" s="168"/>
      <c r="LC43" s="168"/>
      <c r="LD43" s="168"/>
      <c r="LE43" s="168"/>
      <c r="LF43" s="168"/>
      <c r="LG43" s="168"/>
      <c r="LH43" s="168"/>
      <c r="LI43" s="168"/>
      <c r="LJ43" s="168"/>
      <c r="LK43" s="168"/>
      <c r="LL43" s="168"/>
      <c r="LM43" s="168"/>
      <c r="LN43" s="168"/>
      <c r="LO43" s="168"/>
      <c r="LP43" s="168"/>
      <c r="LQ43" s="168">
        <f t="shared" si="419"/>
        <v>0</v>
      </c>
      <c r="LR43" s="168">
        <f t="shared" si="420"/>
        <v>0</v>
      </c>
      <c r="LS43" s="168">
        <f t="shared" si="421"/>
        <v>0</v>
      </c>
      <c r="LT43" s="168"/>
      <c r="LU43" s="168"/>
      <c r="LV43" s="168"/>
      <c r="LW43" s="168"/>
      <c r="LX43" s="168"/>
      <c r="LY43" s="168"/>
      <c r="LZ43" s="168"/>
      <c r="MA43" s="168"/>
      <c r="MB43" s="168">
        <f t="shared" si="422"/>
        <v>0</v>
      </c>
      <c r="MC43" s="168">
        <f t="shared" si="423"/>
        <v>0</v>
      </c>
      <c r="MD43" s="168">
        <f t="shared" si="424"/>
        <v>0</v>
      </c>
      <c r="ME43" s="168"/>
      <c r="MF43" s="168"/>
      <c r="MG43" s="168"/>
      <c r="MH43" s="168"/>
      <c r="MI43" s="168"/>
      <c r="MJ43" s="168"/>
      <c r="MK43" s="168"/>
      <c r="ML43" s="168"/>
      <c r="MM43" s="168"/>
      <c r="MN43" s="168"/>
      <c r="MO43" s="168">
        <f t="shared" si="425"/>
        <v>0</v>
      </c>
      <c r="MP43" s="168">
        <f t="shared" si="426"/>
        <v>0</v>
      </c>
      <c r="MQ43" s="168">
        <f t="shared" si="427"/>
        <v>0</v>
      </c>
      <c r="MR43" s="168"/>
      <c r="MS43" s="168"/>
      <c r="MT43" s="168"/>
      <c r="MU43" s="168"/>
      <c r="MV43" s="168"/>
      <c r="MW43" s="168"/>
      <c r="MX43" s="168"/>
      <c r="MY43" s="168"/>
      <c r="MZ43" s="168"/>
      <c r="NA43" s="168"/>
      <c r="NB43" s="168"/>
      <c r="NC43" s="168"/>
      <c r="ND43" s="168"/>
      <c r="NE43" s="168"/>
      <c r="NF43" s="168"/>
      <c r="NG43" s="168"/>
      <c r="NH43" s="168"/>
      <c r="NI43" s="168"/>
      <c r="NJ43" s="168"/>
      <c r="NK43" s="168"/>
      <c r="NL43" s="168"/>
      <c r="NM43" s="168"/>
      <c r="NN43" s="168"/>
      <c r="NO43" s="168"/>
      <c r="NP43" s="168"/>
      <c r="NQ43" s="168"/>
      <c r="NR43" s="168"/>
      <c r="NS43" s="168"/>
      <c r="NT43" s="168"/>
      <c r="NU43" s="168"/>
      <c r="NV43" s="168"/>
      <c r="NW43" s="168">
        <f t="shared" si="428"/>
        <v>0</v>
      </c>
      <c r="NX43" s="168">
        <f t="shared" si="429"/>
        <v>0</v>
      </c>
      <c r="NY43" s="168">
        <f t="shared" si="430"/>
        <v>0</v>
      </c>
      <c r="NZ43" s="168"/>
      <c r="OA43" s="168"/>
      <c r="OB43" s="168"/>
      <c r="OC43" s="168"/>
      <c r="OD43" s="168"/>
      <c r="OE43" s="168"/>
      <c r="OF43" s="168"/>
      <c r="OG43" s="168"/>
      <c r="OH43" s="168"/>
      <c r="OI43" s="168"/>
      <c r="OJ43" s="168"/>
      <c r="OK43" s="168"/>
      <c r="OL43" s="168"/>
      <c r="OM43" s="168"/>
      <c r="ON43" s="168"/>
      <c r="OO43" s="168"/>
      <c r="OP43" s="168"/>
      <c r="OQ43" s="168"/>
      <c r="OR43" s="168"/>
      <c r="OS43" s="168"/>
      <c r="OT43" s="168"/>
      <c r="OU43" s="169"/>
      <c r="OV43" s="169"/>
      <c r="OW43" s="169"/>
      <c r="OX43" s="169"/>
      <c r="OY43" s="169"/>
      <c r="OZ43" s="169"/>
      <c r="PA43" s="169"/>
      <c r="PB43" s="169"/>
      <c r="PC43" s="169"/>
      <c r="PD43" s="169"/>
      <c r="PE43" s="169"/>
      <c r="PF43" s="169"/>
      <c r="PG43" s="169"/>
      <c r="PH43" s="169"/>
      <c r="PI43" s="169"/>
      <c r="PJ43" s="169"/>
      <c r="PK43" s="169"/>
      <c r="PL43" s="169"/>
      <c r="PM43" s="169"/>
      <c r="PN43" s="169"/>
      <c r="PO43" s="169"/>
      <c r="PP43" s="169"/>
      <c r="PQ43" s="169"/>
      <c r="PR43" s="169"/>
      <c r="PS43" s="169"/>
      <c r="PT43" s="169"/>
      <c r="PU43" s="169"/>
      <c r="PV43" s="169"/>
      <c r="PW43" s="169"/>
      <c r="PX43" s="169"/>
      <c r="PY43" s="169"/>
      <c r="PZ43" s="169"/>
      <c r="QA43" s="169"/>
      <c r="QB43" s="169"/>
      <c r="QC43" s="169"/>
      <c r="QD43" s="169"/>
      <c r="QE43" s="169"/>
      <c r="QF43" s="169"/>
      <c r="QG43" s="169"/>
      <c r="QH43" s="169"/>
      <c r="QI43" s="169"/>
      <c r="QJ43" s="169"/>
      <c r="QK43" s="169"/>
      <c r="QL43" s="169"/>
      <c r="QM43" s="169"/>
      <c r="QN43" s="169"/>
      <c r="QO43" s="169"/>
      <c r="QP43" s="169"/>
      <c r="QQ43" s="169"/>
      <c r="QR43" s="169"/>
      <c r="QS43" s="169"/>
      <c r="QT43" s="169"/>
      <c r="QU43" s="169"/>
      <c r="QV43" s="169"/>
      <c r="QW43" s="169"/>
      <c r="QX43" s="169"/>
      <c r="QY43" s="169"/>
      <c r="QZ43" s="169"/>
      <c r="RA43" s="169"/>
      <c r="RB43" s="169"/>
      <c r="RC43" s="169"/>
      <c r="RD43" s="169"/>
      <c r="RE43" s="169"/>
      <c r="RF43" s="169"/>
      <c r="RG43" s="169"/>
      <c r="RH43" s="169"/>
      <c r="RI43" s="169"/>
      <c r="RJ43" s="169"/>
      <c r="RK43" s="169"/>
      <c r="RL43" s="169"/>
      <c r="RM43" s="169"/>
      <c r="RN43" s="169"/>
      <c r="RO43" s="168"/>
      <c r="RP43" s="168"/>
      <c r="RQ43" s="168"/>
      <c r="RR43" s="168"/>
      <c r="RS43" s="168"/>
      <c r="RT43" s="168"/>
      <c r="RU43" s="170"/>
      <c r="RV43" s="170"/>
      <c r="RW43" s="170"/>
      <c r="RX43" s="170"/>
      <c r="RY43" s="170"/>
      <c r="RZ43" s="170"/>
      <c r="SA43" s="169"/>
      <c r="SB43" s="169"/>
      <c r="SC43" s="169"/>
      <c r="SD43" s="169"/>
      <c r="SE43" s="169"/>
      <c r="SF43" s="169"/>
      <c r="SG43" s="169"/>
      <c r="SH43" s="169"/>
      <c r="SI43" s="169"/>
      <c r="SJ43" s="169"/>
      <c r="SK43" s="169"/>
      <c r="SL43" s="169"/>
      <c r="SM43" s="169"/>
      <c r="SN43" s="169"/>
      <c r="SO43" s="169"/>
      <c r="SP43" s="169"/>
      <c r="SQ43" s="169"/>
      <c r="SR43" s="169"/>
      <c r="SS43" s="175"/>
    </row>
    <row r="44" spans="1:513" s="171" customFormat="1" ht="18" customHeight="1">
      <c r="A44" s="168"/>
      <c r="B44" s="168"/>
      <c r="C44" s="168"/>
      <c r="D44" s="168"/>
      <c r="E44" s="168" t="s">
        <v>565</v>
      </c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>
        <v>16</v>
      </c>
      <c r="X44" s="168"/>
      <c r="Y44" s="168">
        <v>20</v>
      </c>
      <c r="Z44" s="168"/>
      <c r="AA44" s="168">
        <v>36</v>
      </c>
      <c r="AB44" s="168"/>
      <c r="AC44" s="168">
        <v>20</v>
      </c>
      <c r="AD44" s="168"/>
      <c r="AE44" s="168">
        <v>14</v>
      </c>
      <c r="AF44" s="168">
        <f t="shared" ref="AF44" si="556">AD44+AB44+Z44+X44+V44</f>
        <v>0</v>
      </c>
      <c r="AG44" s="168">
        <f t="shared" ref="AG44" si="557">AE44+AC44+AA44+Y44+W44</f>
        <v>106</v>
      </c>
      <c r="AH44" s="168">
        <f t="shared" ref="AH44" si="558">AG44+AF44</f>
        <v>106</v>
      </c>
      <c r="AI44" s="168"/>
      <c r="AJ44" s="168">
        <v>16</v>
      </c>
      <c r="AK44" s="168"/>
      <c r="AL44" s="168">
        <v>20</v>
      </c>
      <c r="AM44" s="168"/>
      <c r="AN44" s="168">
        <v>36</v>
      </c>
      <c r="AO44" s="168"/>
      <c r="AP44" s="168">
        <v>20</v>
      </c>
      <c r="AQ44" s="168"/>
      <c r="AR44" s="168">
        <v>14</v>
      </c>
      <c r="AS44" s="168">
        <f t="shared" ref="AS44" si="559">AQ44+AO44+AM44+AK44+AI44</f>
        <v>0</v>
      </c>
      <c r="AT44" s="168">
        <f t="shared" ref="AT44" si="560">AR44+AP44+AN44+AL44+AJ44</f>
        <v>106</v>
      </c>
      <c r="AU44" s="168">
        <f t="shared" ref="AU44" si="561">AT44+AS44</f>
        <v>106</v>
      </c>
      <c r="AV44" s="168"/>
      <c r="AW44" s="168">
        <v>7</v>
      </c>
      <c r="AX44" s="168"/>
      <c r="AY44" s="168">
        <v>5</v>
      </c>
      <c r="AZ44" s="168"/>
      <c r="BA44" s="168">
        <v>7</v>
      </c>
      <c r="BB44" s="168"/>
      <c r="BC44" s="168">
        <v>8</v>
      </c>
      <c r="BD44" s="168"/>
      <c r="BE44" s="168">
        <v>3</v>
      </c>
      <c r="BF44" s="168">
        <f t="shared" ref="BF44" si="562">BD44+BB44+AZ44+AX44+AV44</f>
        <v>0</v>
      </c>
      <c r="BG44" s="168">
        <f t="shared" ref="BG44" si="563">BE44+BC44+BA44+AY44+AW44</f>
        <v>30</v>
      </c>
      <c r="BH44" s="168">
        <f t="shared" ref="BH44" si="564">BG44+BF44</f>
        <v>30</v>
      </c>
      <c r="BI44" s="168"/>
      <c r="BJ44" s="168">
        <v>2</v>
      </c>
      <c r="BK44" s="168"/>
      <c r="BL44" s="168">
        <v>5</v>
      </c>
      <c r="BM44" s="168"/>
      <c r="BN44" s="168">
        <v>5</v>
      </c>
      <c r="BO44" s="168"/>
      <c r="BP44" s="168">
        <v>5</v>
      </c>
      <c r="BQ44" s="168"/>
      <c r="BR44" s="168">
        <v>3</v>
      </c>
      <c r="BS44" s="168">
        <f t="shared" ref="BS44" si="565">BQ44+BO44+BM44+BK44+BI44</f>
        <v>0</v>
      </c>
      <c r="BT44" s="168">
        <f t="shared" ref="BT44" si="566">BR44+BP44+BN44+BL44+BJ44</f>
        <v>20</v>
      </c>
      <c r="BU44" s="168">
        <f t="shared" ref="BU44" si="567">BT44+BS44</f>
        <v>20</v>
      </c>
      <c r="BV44" s="168">
        <f t="shared" ref="BV44" si="568">AI44</f>
        <v>0</v>
      </c>
      <c r="BW44" s="168">
        <f t="shared" ref="BW44" si="569">AJ44</f>
        <v>16</v>
      </c>
      <c r="BX44" s="168">
        <f t="shared" ref="BX44" si="570">AV44+AK44</f>
        <v>0</v>
      </c>
      <c r="BY44" s="168">
        <f t="shared" ref="BY44" si="571">AL44+AW44</f>
        <v>27</v>
      </c>
      <c r="BZ44" s="168">
        <f t="shared" ref="BZ44" si="572">BI44+AX44+AM44</f>
        <v>0</v>
      </c>
      <c r="CA44" s="168">
        <f t="shared" ref="CA44" si="573">AN44+AY44+BJ44</f>
        <v>43</v>
      </c>
      <c r="CB44" s="168">
        <f t="shared" ref="CB44" si="574">BK44+AZ44+AO44</f>
        <v>0</v>
      </c>
      <c r="CC44" s="168">
        <f t="shared" ref="CC44" si="575">AP44+BA44+BL44</f>
        <v>32</v>
      </c>
      <c r="CD44" s="168">
        <f t="shared" ref="CD44" si="576">BM44+BB44+AQ44</f>
        <v>0</v>
      </c>
      <c r="CE44" s="168">
        <f t="shared" ref="CE44" si="577">BN44+BC44+AR44</f>
        <v>27</v>
      </c>
      <c r="CF44" s="168">
        <f t="shared" ref="CF44" si="578">BO44+BD44</f>
        <v>0</v>
      </c>
      <c r="CG44" s="168">
        <f t="shared" ref="CG44" si="579">BP44+BE44</f>
        <v>8</v>
      </c>
      <c r="CH44" s="168">
        <f t="shared" ref="CH44" si="580">BQ44</f>
        <v>0</v>
      </c>
      <c r="CI44" s="168">
        <f t="shared" ref="CI44" si="581">BR44</f>
        <v>3</v>
      </c>
      <c r="CJ44" s="168">
        <f t="shared" ref="CJ44" si="582">CH44+CF44+CD44+CB44+BZ44+BX44+BV44</f>
        <v>0</v>
      </c>
      <c r="CK44" s="168">
        <f t="shared" ref="CK44" si="583">CI44+CG44+CE44+CC44+CA44+BY44+BW44</f>
        <v>156</v>
      </c>
      <c r="CL44" s="168">
        <f t="shared" ref="CL44" si="584">CK44+CJ44</f>
        <v>156</v>
      </c>
      <c r="CM44" s="168"/>
      <c r="CN44" s="168">
        <v>4</v>
      </c>
      <c r="CO44" s="168"/>
      <c r="CP44" s="168"/>
      <c r="CQ44" s="168">
        <v>1</v>
      </c>
      <c r="CR44" s="168"/>
      <c r="CS44" s="168"/>
      <c r="CT44" s="168">
        <v>1</v>
      </c>
      <c r="CU44" s="168"/>
      <c r="CV44" s="168">
        <f t="shared" ref="CV44" si="585">CS44+CP44+CM44</f>
        <v>0</v>
      </c>
      <c r="CW44" s="168">
        <f t="shared" ref="CW44" si="586">CT44+CQ44+CN44</f>
        <v>6</v>
      </c>
      <c r="CX44" s="168">
        <f t="shared" ref="CX44" si="587">CU44+CR44+CO44</f>
        <v>0</v>
      </c>
      <c r="CY44" s="168">
        <f t="shared" ref="CY44" si="588">CX44+CW44+CV44</f>
        <v>6</v>
      </c>
      <c r="CZ44" s="168"/>
      <c r="DA44" s="168"/>
      <c r="DB44" s="168"/>
      <c r="DC44" s="168"/>
      <c r="DD44" s="168"/>
      <c r="DE44" s="168"/>
      <c r="DF44" s="168">
        <f t="shared" ref="DF44" si="589">DD44+DB44+CZ44</f>
        <v>0</v>
      </c>
      <c r="DG44" s="168">
        <f t="shared" ref="DG44" si="590">DE44+DC44+DA44</f>
        <v>0</v>
      </c>
      <c r="DH44" s="168">
        <f t="shared" ref="DH44" si="591">DG44+DF44</f>
        <v>0</v>
      </c>
      <c r="DI44" s="168"/>
      <c r="DJ44" s="168"/>
      <c r="DK44" s="168"/>
      <c r="DL44" s="168"/>
      <c r="DM44" s="168"/>
      <c r="DN44" s="168"/>
      <c r="DO44" s="168"/>
      <c r="DP44" s="168"/>
      <c r="DQ44" s="168"/>
      <c r="DR44" s="168"/>
      <c r="DS44" s="168"/>
      <c r="DT44" s="168"/>
      <c r="DU44" s="168"/>
      <c r="DV44" s="168"/>
      <c r="DW44" s="168"/>
      <c r="DX44" s="168">
        <f t="shared" ref="DX44" si="592">DV44+DT44+DR44</f>
        <v>0</v>
      </c>
      <c r="DY44" s="168">
        <f t="shared" ref="DY44" si="593">DW44+DU44+DS44</f>
        <v>0</v>
      </c>
      <c r="DZ44" s="168">
        <f t="shared" ref="DZ44" si="594">DY44+DX44</f>
        <v>0</v>
      </c>
      <c r="EA44" s="168"/>
      <c r="EB44" s="168"/>
      <c r="EC44" s="168"/>
      <c r="ED44" s="168"/>
      <c r="EE44" s="168"/>
      <c r="EF44" s="168"/>
      <c r="EG44" s="168">
        <f t="shared" ref="EG44" si="595">EE44+EC44+EA44</f>
        <v>0</v>
      </c>
      <c r="EH44" s="168">
        <f t="shared" ref="EH44" si="596">EF44+ED44+EB44</f>
        <v>0</v>
      </c>
      <c r="EI44" s="168">
        <f t="shared" ref="EI44" si="597">EH44+EG44</f>
        <v>0</v>
      </c>
      <c r="EJ44" s="168"/>
      <c r="EK44" s="168"/>
      <c r="EL44" s="168"/>
      <c r="EM44" s="168"/>
      <c r="EN44" s="168"/>
      <c r="EO44" s="168"/>
      <c r="EP44" s="168">
        <f t="shared" ref="EP44" si="598">EN44+EL44+EJ44</f>
        <v>0</v>
      </c>
      <c r="EQ44" s="168">
        <f t="shared" ref="EQ44" si="599">EO44+EM44+EK44</f>
        <v>0</v>
      </c>
      <c r="ER44" s="168">
        <f t="shared" ref="ER44" si="600">EQ44+EP44</f>
        <v>0</v>
      </c>
      <c r="ES44" s="168"/>
      <c r="ET44" s="168"/>
      <c r="EU44" s="168"/>
      <c r="EV44" s="168"/>
      <c r="EW44" s="168"/>
      <c r="EX44" s="168"/>
      <c r="EY44" s="168"/>
      <c r="EZ44" s="168"/>
      <c r="FA44" s="168"/>
      <c r="FB44" s="168"/>
      <c r="FC44" s="168"/>
      <c r="FD44" s="168"/>
      <c r="FE44" s="168"/>
      <c r="FF44" s="168"/>
      <c r="FG44" s="168"/>
      <c r="FH44" s="168"/>
      <c r="FI44" s="168"/>
      <c r="FJ44" s="168"/>
      <c r="FK44" s="168"/>
      <c r="FL44" s="168"/>
      <c r="FM44" s="168"/>
      <c r="FN44" s="168"/>
      <c r="FO44" s="168"/>
      <c r="FP44" s="168"/>
      <c r="FQ44" s="168"/>
      <c r="FR44" s="168"/>
      <c r="FS44" s="168"/>
      <c r="FT44" s="168"/>
      <c r="FU44" s="168"/>
      <c r="FV44" s="168"/>
      <c r="FW44" s="168"/>
      <c r="FX44" s="168"/>
      <c r="FY44" s="168"/>
      <c r="FZ44" s="168"/>
      <c r="GA44" s="168"/>
      <c r="GB44" s="168"/>
      <c r="GC44" s="168"/>
      <c r="GD44" s="168"/>
      <c r="GE44" s="168"/>
      <c r="GF44" s="168"/>
      <c r="GG44" s="168">
        <f t="shared" si="413"/>
        <v>0</v>
      </c>
      <c r="GH44" s="168">
        <f t="shared" si="414"/>
        <v>0</v>
      </c>
      <c r="GI44" s="168">
        <f t="shared" si="415"/>
        <v>0</v>
      </c>
      <c r="GJ44" s="168"/>
      <c r="GK44" s="168"/>
      <c r="GL44" s="168"/>
      <c r="GM44" s="168"/>
      <c r="GN44" s="168"/>
      <c r="GO44" s="168"/>
      <c r="GP44" s="168"/>
      <c r="GQ44" s="168"/>
      <c r="GR44" s="168"/>
      <c r="GS44" s="168"/>
      <c r="GT44" s="168"/>
      <c r="GU44" s="168"/>
      <c r="GV44" s="168"/>
      <c r="GW44" s="168"/>
      <c r="GX44" s="168"/>
      <c r="GY44" s="168"/>
      <c r="GZ44" s="168"/>
      <c r="HA44" s="168"/>
      <c r="HB44" s="168"/>
      <c r="HC44" s="168"/>
      <c r="HD44" s="168"/>
      <c r="HE44" s="168"/>
      <c r="HF44" s="168"/>
      <c r="HG44" s="168"/>
      <c r="HH44" s="168"/>
      <c r="HI44" s="168"/>
      <c r="HJ44" s="168"/>
      <c r="HK44" s="168"/>
      <c r="HL44" s="168"/>
      <c r="HM44" s="168"/>
      <c r="HN44" s="168"/>
      <c r="HO44" s="168"/>
      <c r="HP44" s="168"/>
      <c r="HQ44" s="168"/>
      <c r="HR44" s="168"/>
      <c r="HS44" s="168"/>
      <c r="HT44" s="168"/>
      <c r="HU44" s="168"/>
      <c r="HV44" s="168"/>
      <c r="HW44" s="168"/>
      <c r="HX44" s="168"/>
      <c r="HY44" s="168"/>
      <c r="HZ44" s="168"/>
      <c r="IA44" s="168"/>
      <c r="IB44" s="168"/>
      <c r="IC44" s="168"/>
      <c r="ID44" s="168"/>
      <c r="IE44" s="168"/>
      <c r="IF44" s="168"/>
      <c r="IG44" s="168"/>
      <c r="IH44" s="168"/>
      <c r="II44" s="168"/>
      <c r="IJ44" s="168"/>
      <c r="IK44" s="168"/>
      <c r="IL44" s="168"/>
      <c r="IM44" s="168"/>
      <c r="IN44" s="168"/>
      <c r="IO44" s="168"/>
      <c r="IP44" s="168"/>
      <c r="IQ44" s="168"/>
      <c r="IR44" s="168"/>
      <c r="IS44" s="168"/>
      <c r="IT44" s="168"/>
      <c r="IU44" s="168"/>
      <c r="IV44" s="168"/>
      <c r="IW44" s="168"/>
      <c r="IX44" s="168"/>
      <c r="IY44" s="168"/>
      <c r="IZ44" s="168"/>
      <c r="JA44" s="168"/>
      <c r="JB44" s="168"/>
      <c r="JC44" s="168"/>
      <c r="JD44" s="168"/>
      <c r="JE44" s="168"/>
      <c r="JF44" s="168"/>
      <c r="JG44" s="168"/>
      <c r="JH44" s="168"/>
      <c r="JI44" s="168"/>
      <c r="JJ44" s="168"/>
      <c r="JK44" s="168"/>
      <c r="JL44" s="168"/>
      <c r="JM44" s="168"/>
      <c r="JN44" s="168"/>
      <c r="JO44" s="168"/>
      <c r="JP44" s="168"/>
      <c r="JQ44" s="168"/>
      <c r="JR44" s="168"/>
      <c r="JS44" s="168"/>
      <c r="JT44" s="168"/>
      <c r="JU44" s="168"/>
      <c r="JV44" s="168"/>
      <c r="JW44" s="168"/>
      <c r="JX44" s="168"/>
      <c r="JY44" s="168"/>
      <c r="JZ44" s="168"/>
      <c r="KA44" s="168"/>
      <c r="KB44" s="168"/>
      <c r="KC44" s="168"/>
      <c r="KD44" s="168"/>
      <c r="KE44" s="168"/>
      <c r="KF44" s="168"/>
      <c r="KG44" s="168"/>
      <c r="KH44" s="168"/>
      <c r="KI44" s="168"/>
      <c r="KJ44" s="168"/>
      <c r="KK44" s="168"/>
      <c r="KL44" s="168"/>
      <c r="KM44" s="168"/>
      <c r="KN44" s="168"/>
      <c r="KO44" s="168"/>
      <c r="KP44" s="168"/>
      <c r="KQ44" s="168"/>
      <c r="KR44" s="168"/>
      <c r="KS44" s="168"/>
      <c r="KT44" s="168"/>
      <c r="KU44" s="168"/>
      <c r="KV44" s="168">
        <f t="shared" si="416"/>
        <v>0</v>
      </c>
      <c r="KW44" s="168">
        <f t="shared" si="417"/>
        <v>0</v>
      </c>
      <c r="KX44" s="168">
        <f t="shared" si="418"/>
        <v>0</v>
      </c>
      <c r="KY44" s="168"/>
      <c r="KZ44" s="168"/>
      <c r="LA44" s="168"/>
      <c r="LB44" s="168"/>
      <c r="LC44" s="168"/>
      <c r="LD44" s="168"/>
      <c r="LE44" s="168"/>
      <c r="LF44" s="168"/>
      <c r="LG44" s="168"/>
      <c r="LH44" s="168"/>
      <c r="LI44" s="168"/>
      <c r="LJ44" s="168"/>
      <c r="LK44" s="168"/>
      <c r="LL44" s="168"/>
      <c r="LM44" s="168"/>
      <c r="LN44" s="168"/>
      <c r="LO44" s="168"/>
      <c r="LP44" s="168"/>
      <c r="LQ44" s="168">
        <f t="shared" si="419"/>
        <v>0</v>
      </c>
      <c r="LR44" s="168">
        <f t="shared" si="420"/>
        <v>0</v>
      </c>
      <c r="LS44" s="168">
        <f t="shared" si="421"/>
        <v>0</v>
      </c>
      <c r="LT44" s="168"/>
      <c r="LU44" s="168"/>
      <c r="LV44" s="168"/>
      <c r="LW44" s="168"/>
      <c r="LX44" s="168"/>
      <c r="LY44" s="168"/>
      <c r="LZ44" s="168"/>
      <c r="MA44" s="168"/>
      <c r="MB44" s="168">
        <f t="shared" si="422"/>
        <v>0</v>
      </c>
      <c r="MC44" s="168">
        <f t="shared" si="423"/>
        <v>0</v>
      </c>
      <c r="MD44" s="168">
        <f t="shared" si="424"/>
        <v>0</v>
      </c>
      <c r="ME44" s="168"/>
      <c r="MF44" s="168"/>
      <c r="MG44" s="168"/>
      <c r="MH44" s="168"/>
      <c r="MI44" s="168"/>
      <c r="MJ44" s="168"/>
      <c r="MK44" s="168"/>
      <c r="ML44" s="168"/>
      <c r="MM44" s="168"/>
      <c r="MN44" s="168"/>
      <c r="MO44" s="168">
        <f t="shared" si="425"/>
        <v>0</v>
      </c>
      <c r="MP44" s="168">
        <f t="shared" si="426"/>
        <v>0</v>
      </c>
      <c r="MQ44" s="168">
        <f t="shared" si="427"/>
        <v>0</v>
      </c>
      <c r="MR44" s="168"/>
      <c r="MS44" s="168"/>
      <c r="MT44" s="168"/>
      <c r="MU44" s="168"/>
      <c r="MV44" s="168"/>
      <c r="MW44" s="168"/>
      <c r="MX44" s="168"/>
      <c r="MY44" s="168"/>
      <c r="MZ44" s="168"/>
      <c r="NA44" s="168"/>
      <c r="NB44" s="168"/>
      <c r="NC44" s="168"/>
      <c r="ND44" s="168"/>
      <c r="NE44" s="168"/>
      <c r="NF44" s="168"/>
      <c r="NG44" s="168"/>
      <c r="NH44" s="168"/>
      <c r="NI44" s="168"/>
      <c r="NJ44" s="168"/>
      <c r="NK44" s="168"/>
      <c r="NL44" s="168"/>
      <c r="NM44" s="168"/>
      <c r="NN44" s="168"/>
      <c r="NO44" s="168"/>
      <c r="NP44" s="168"/>
      <c r="NQ44" s="168"/>
      <c r="NR44" s="168"/>
      <c r="NS44" s="168"/>
      <c r="NT44" s="168"/>
      <c r="NU44" s="168"/>
      <c r="NV44" s="168"/>
      <c r="NW44" s="168">
        <f t="shared" si="428"/>
        <v>0</v>
      </c>
      <c r="NX44" s="168">
        <f t="shared" si="429"/>
        <v>0</v>
      </c>
      <c r="NY44" s="168">
        <f t="shared" si="430"/>
        <v>0</v>
      </c>
      <c r="NZ44" s="168"/>
      <c r="OA44" s="168"/>
      <c r="OB44" s="168"/>
      <c r="OC44" s="168"/>
      <c r="OD44" s="168"/>
      <c r="OE44" s="168"/>
      <c r="OF44" s="168"/>
      <c r="OG44" s="168"/>
      <c r="OH44" s="168"/>
      <c r="OI44" s="168"/>
      <c r="OJ44" s="168"/>
      <c r="OK44" s="168"/>
      <c r="OL44" s="168"/>
      <c r="OM44" s="168"/>
      <c r="ON44" s="168"/>
      <c r="OO44" s="168"/>
      <c r="OP44" s="168"/>
      <c r="OQ44" s="168"/>
      <c r="OR44" s="168"/>
      <c r="OS44" s="168"/>
      <c r="OT44" s="168"/>
      <c r="OU44" s="169"/>
      <c r="OV44" s="169"/>
      <c r="OW44" s="169"/>
      <c r="OX44" s="169"/>
      <c r="OY44" s="169"/>
      <c r="OZ44" s="169"/>
      <c r="PA44" s="169"/>
      <c r="PB44" s="169"/>
      <c r="PC44" s="169"/>
      <c r="PD44" s="169"/>
      <c r="PE44" s="169"/>
      <c r="PF44" s="169"/>
      <c r="PG44" s="169"/>
      <c r="PH44" s="169"/>
      <c r="PI44" s="169"/>
      <c r="PJ44" s="169"/>
      <c r="PK44" s="169"/>
      <c r="PL44" s="169"/>
      <c r="PM44" s="169"/>
      <c r="PN44" s="169"/>
      <c r="PO44" s="169"/>
      <c r="PP44" s="169"/>
      <c r="PQ44" s="169"/>
      <c r="PR44" s="169"/>
      <c r="PS44" s="169"/>
      <c r="PT44" s="169"/>
      <c r="PU44" s="169"/>
      <c r="PV44" s="169"/>
      <c r="PW44" s="169"/>
      <c r="PX44" s="169"/>
      <c r="PY44" s="169"/>
      <c r="PZ44" s="169"/>
      <c r="QA44" s="169"/>
      <c r="QB44" s="169"/>
      <c r="QC44" s="169"/>
      <c r="QD44" s="169"/>
      <c r="QE44" s="169"/>
      <c r="QF44" s="169"/>
      <c r="QG44" s="169"/>
      <c r="QH44" s="169"/>
      <c r="QI44" s="169"/>
      <c r="QJ44" s="169"/>
      <c r="QK44" s="169"/>
      <c r="QL44" s="169"/>
      <c r="QM44" s="169"/>
      <c r="QN44" s="169"/>
      <c r="QO44" s="169"/>
      <c r="QP44" s="169"/>
      <c r="QQ44" s="169"/>
      <c r="QR44" s="169"/>
      <c r="QS44" s="169"/>
      <c r="QT44" s="169"/>
      <c r="QU44" s="169"/>
      <c r="QV44" s="169"/>
      <c r="QW44" s="169"/>
      <c r="QX44" s="169"/>
      <c r="QY44" s="169"/>
      <c r="QZ44" s="169"/>
      <c r="RA44" s="169"/>
      <c r="RB44" s="169"/>
      <c r="RC44" s="169"/>
      <c r="RD44" s="169"/>
      <c r="RE44" s="169"/>
      <c r="RF44" s="169"/>
      <c r="RG44" s="169"/>
      <c r="RH44" s="169"/>
      <c r="RI44" s="169"/>
      <c r="RJ44" s="169"/>
      <c r="RK44" s="169"/>
      <c r="RL44" s="169"/>
      <c r="RM44" s="169"/>
      <c r="RN44" s="169"/>
      <c r="RO44" s="168"/>
      <c r="RP44" s="168"/>
      <c r="RQ44" s="168"/>
      <c r="RR44" s="168"/>
      <c r="RS44" s="168"/>
      <c r="RT44" s="168"/>
      <c r="RU44" s="170"/>
      <c r="RV44" s="170"/>
      <c r="RW44" s="170"/>
      <c r="RX44" s="170"/>
      <c r="RY44" s="170"/>
      <c r="RZ44" s="170"/>
      <c r="SA44" s="169"/>
      <c r="SB44" s="169"/>
      <c r="SC44" s="169"/>
      <c r="SD44" s="169"/>
      <c r="SE44" s="169"/>
      <c r="SF44" s="169"/>
      <c r="SG44" s="169"/>
      <c r="SH44" s="169"/>
      <c r="SI44" s="169"/>
      <c r="SJ44" s="169"/>
      <c r="SK44" s="169"/>
      <c r="SL44" s="169"/>
      <c r="SM44" s="169"/>
      <c r="SN44" s="169"/>
      <c r="SO44" s="169"/>
      <c r="SP44" s="169"/>
      <c r="SQ44" s="169"/>
      <c r="SR44" s="169"/>
      <c r="SS44" s="175"/>
    </row>
    <row r="45" spans="1:513" s="171" customFormat="1" ht="21.75" customHeight="1">
      <c r="A45" s="168"/>
      <c r="B45" s="168"/>
      <c r="C45" s="168"/>
      <c r="D45" s="168"/>
      <c r="E45" s="168" t="s">
        <v>556</v>
      </c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>
        <v>19</v>
      </c>
      <c r="W45" s="168"/>
      <c r="X45" s="168">
        <v>47</v>
      </c>
      <c r="Y45" s="168"/>
      <c r="Z45" s="168">
        <v>14</v>
      </c>
      <c r="AA45" s="168"/>
      <c r="AB45" s="168">
        <v>9</v>
      </c>
      <c r="AC45" s="168"/>
      <c r="AD45" s="168">
        <v>2</v>
      </c>
      <c r="AE45" s="168"/>
      <c r="AF45" s="168">
        <f t="shared" si="432"/>
        <v>91</v>
      </c>
      <c r="AG45" s="168">
        <f t="shared" si="433"/>
        <v>0</v>
      </c>
      <c r="AH45" s="168">
        <f t="shared" si="507"/>
        <v>91</v>
      </c>
      <c r="AI45" s="168">
        <v>19</v>
      </c>
      <c r="AJ45" s="168"/>
      <c r="AK45" s="168">
        <v>47</v>
      </c>
      <c r="AL45" s="168"/>
      <c r="AM45" s="168">
        <v>14</v>
      </c>
      <c r="AN45" s="168"/>
      <c r="AO45" s="168">
        <v>9</v>
      </c>
      <c r="AP45" s="168"/>
      <c r="AQ45" s="168">
        <v>2</v>
      </c>
      <c r="AR45" s="168"/>
      <c r="AS45" s="168">
        <f t="shared" si="508"/>
        <v>91</v>
      </c>
      <c r="AT45" s="168">
        <f t="shared" si="509"/>
        <v>0</v>
      </c>
      <c r="AU45" s="168">
        <f t="shared" si="510"/>
        <v>91</v>
      </c>
      <c r="AV45" s="168">
        <v>5</v>
      </c>
      <c r="AW45" s="168"/>
      <c r="AX45" s="168">
        <v>13</v>
      </c>
      <c r="AY45" s="168"/>
      <c r="AZ45" s="168">
        <v>16</v>
      </c>
      <c r="BA45" s="168"/>
      <c r="BB45" s="168">
        <v>8</v>
      </c>
      <c r="BC45" s="168"/>
      <c r="BD45" s="168">
        <v>8</v>
      </c>
      <c r="BE45" s="168"/>
      <c r="BF45" s="168">
        <f t="shared" si="511"/>
        <v>50</v>
      </c>
      <c r="BG45" s="168">
        <f t="shared" si="512"/>
        <v>0</v>
      </c>
      <c r="BH45" s="168">
        <f t="shared" si="513"/>
        <v>50</v>
      </c>
      <c r="BI45" s="168">
        <v>4</v>
      </c>
      <c r="BJ45" s="168"/>
      <c r="BK45" s="168">
        <v>13</v>
      </c>
      <c r="BL45" s="168"/>
      <c r="BM45" s="168">
        <v>12</v>
      </c>
      <c r="BN45" s="168"/>
      <c r="BO45" s="168">
        <v>14</v>
      </c>
      <c r="BP45" s="168"/>
      <c r="BQ45" s="168">
        <v>11</v>
      </c>
      <c r="BR45" s="168"/>
      <c r="BS45" s="168">
        <f t="shared" si="514"/>
        <v>54</v>
      </c>
      <c r="BT45" s="168">
        <f t="shared" si="515"/>
        <v>0</v>
      </c>
      <c r="BU45" s="168">
        <f t="shared" si="516"/>
        <v>54</v>
      </c>
      <c r="BV45" s="168">
        <f t="shared" si="517"/>
        <v>19</v>
      </c>
      <c r="BW45" s="168">
        <f t="shared" si="518"/>
        <v>0</v>
      </c>
      <c r="BX45" s="168">
        <f t="shared" si="519"/>
        <v>52</v>
      </c>
      <c r="BY45" s="168">
        <f t="shared" si="520"/>
        <v>0</v>
      </c>
      <c r="BZ45" s="168">
        <f t="shared" si="521"/>
        <v>31</v>
      </c>
      <c r="CA45" s="168">
        <f t="shared" si="522"/>
        <v>0</v>
      </c>
      <c r="CB45" s="168">
        <f t="shared" si="523"/>
        <v>38</v>
      </c>
      <c r="CC45" s="168">
        <f t="shared" si="524"/>
        <v>0</v>
      </c>
      <c r="CD45" s="168">
        <f t="shared" si="525"/>
        <v>22</v>
      </c>
      <c r="CE45" s="168">
        <f t="shared" si="526"/>
        <v>0</v>
      </c>
      <c r="CF45" s="168">
        <f t="shared" si="527"/>
        <v>22</v>
      </c>
      <c r="CG45" s="168">
        <f t="shared" si="528"/>
        <v>0</v>
      </c>
      <c r="CH45" s="168">
        <f t="shared" si="529"/>
        <v>11</v>
      </c>
      <c r="CI45" s="168">
        <f t="shared" si="530"/>
        <v>0</v>
      </c>
      <c r="CJ45" s="168">
        <f t="shared" si="531"/>
        <v>195</v>
      </c>
      <c r="CK45" s="168">
        <f t="shared" si="532"/>
        <v>0</v>
      </c>
      <c r="CL45" s="168">
        <f t="shared" si="533"/>
        <v>195</v>
      </c>
      <c r="CM45" s="168">
        <v>2</v>
      </c>
      <c r="CN45" s="168"/>
      <c r="CO45" s="168"/>
      <c r="CP45" s="168">
        <v>2</v>
      </c>
      <c r="CQ45" s="168"/>
      <c r="CR45" s="168"/>
      <c r="CS45" s="168">
        <v>2</v>
      </c>
      <c r="CT45" s="168"/>
      <c r="CU45" s="168"/>
      <c r="CV45" s="168">
        <f t="shared" si="534"/>
        <v>6</v>
      </c>
      <c r="CW45" s="168">
        <f t="shared" si="535"/>
        <v>0</v>
      </c>
      <c r="CX45" s="168">
        <f t="shared" si="536"/>
        <v>0</v>
      </c>
      <c r="CY45" s="168">
        <f t="shared" si="537"/>
        <v>6</v>
      </c>
      <c r="CZ45" s="168">
        <v>5</v>
      </c>
      <c r="DA45" s="168"/>
      <c r="DB45" s="168">
        <v>2</v>
      </c>
      <c r="DC45" s="168"/>
      <c r="DD45" s="168">
        <v>10</v>
      </c>
      <c r="DE45" s="168"/>
      <c r="DF45" s="168">
        <f t="shared" si="538"/>
        <v>17</v>
      </c>
      <c r="DG45" s="168">
        <f t="shared" si="539"/>
        <v>0</v>
      </c>
      <c r="DH45" s="168">
        <f t="shared" si="540"/>
        <v>17</v>
      </c>
      <c r="DI45" s="168"/>
      <c r="DJ45" s="168"/>
      <c r="DK45" s="168"/>
      <c r="DL45" s="168"/>
      <c r="DM45" s="168"/>
      <c r="DN45" s="168"/>
      <c r="DO45" s="168">
        <f t="shared" si="541"/>
        <v>0</v>
      </c>
      <c r="DP45" s="168">
        <f t="shared" si="542"/>
        <v>0</v>
      </c>
      <c r="DQ45" s="168">
        <f t="shared" si="543"/>
        <v>0</v>
      </c>
      <c r="DR45" s="168">
        <v>44</v>
      </c>
      <c r="DS45" s="168">
        <v>36</v>
      </c>
      <c r="DT45" s="168">
        <v>31</v>
      </c>
      <c r="DU45" s="168">
        <v>17</v>
      </c>
      <c r="DV45" s="168">
        <v>41</v>
      </c>
      <c r="DW45" s="168">
        <v>17</v>
      </c>
      <c r="DX45" s="168">
        <f t="shared" si="544"/>
        <v>116</v>
      </c>
      <c r="DY45" s="168">
        <f t="shared" si="545"/>
        <v>70</v>
      </c>
      <c r="DZ45" s="168">
        <f t="shared" si="546"/>
        <v>186</v>
      </c>
      <c r="EA45" s="168">
        <v>17</v>
      </c>
      <c r="EB45" s="168"/>
      <c r="EC45" s="168">
        <v>12</v>
      </c>
      <c r="ED45" s="168">
        <v>1</v>
      </c>
      <c r="EE45" s="168">
        <v>10</v>
      </c>
      <c r="EF45" s="168">
        <v>1</v>
      </c>
      <c r="EG45" s="168">
        <f t="shared" si="547"/>
        <v>39</v>
      </c>
      <c r="EH45" s="168">
        <f t="shared" si="548"/>
        <v>2</v>
      </c>
      <c r="EI45" s="168">
        <f t="shared" si="549"/>
        <v>41</v>
      </c>
      <c r="EJ45" s="168"/>
      <c r="EK45" s="168"/>
      <c r="EL45" s="168"/>
      <c r="EM45" s="168"/>
      <c r="EN45" s="168"/>
      <c r="EO45" s="168"/>
      <c r="EP45" s="168">
        <f t="shared" si="550"/>
        <v>0</v>
      </c>
      <c r="EQ45" s="168">
        <f t="shared" si="551"/>
        <v>0</v>
      </c>
      <c r="ER45" s="168">
        <f t="shared" si="552"/>
        <v>0</v>
      </c>
      <c r="ES45" s="168"/>
      <c r="ET45" s="168"/>
      <c r="EU45" s="168"/>
      <c r="EV45" s="168"/>
      <c r="EW45" s="168"/>
      <c r="EX45" s="168"/>
      <c r="EY45" s="168">
        <f t="shared" si="553"/>
        <v>0</v>
      </c>
      <c r="EZ45" s="168">
        <f t="shared" si="554"/>
        <v>0</v>
      </c>
      <c r="FA45" s="168">
        <f t="shared" si="555"/>
        <v>0</v>
      </c>
      <c r="FB45" s="168"/>
      <c r="FC45" s="168"/>
      <c r="FD45" s="168"/>
      <c r="FE45" s="168"/>
      <c r="FF45" s="168"/>
      <c r="FG45" s="168"/>
      <c r="FH45" s="168"/>
      <c r="FI45" s="168"/>
      <c r="FJ45" s="168"/>
      <c r="FK45" s="168"/>
      <c r="FL45" s="168"/>
      <c r="FM45" s="168"/>
      <c r="FN45" s="168"/>
      <c r="FO45" s="168"/>
      <c r="FP45" s="168"/>
      <c r="FQ45" s="168"/>
      <c r="FR45" s="168"/>
      <c r="FS45" s="168"/>
      <c r="FT45" s="168"/>
      <c r="FU45" s="168"/>
      <c r="FV45" s="168"/>
      <c r="FW45" s="168"/>
      <c r="FX45" s="168"/>
      <c r="FY45" s="168"/>
      <c r="FZ45" s="168"/>
      <c r="GA45" s="168"/>
      <c r="GB45" s="168"/>
      <c r="GC45" s="168"/>
      <c r="GD45" s="168"/>
      <c r="GE45" s="168"/>
      <c r="GF45" s="168"/>
      <c r="GG45" s="168">
        <f t="shared" si="413"/>
        <v>0</v>
      </c>
      <c r="GH45" s="168">
        <f t="shared" si="414"/>
        <v>0</v>
      </c>
      <c r="GI45" s="168">
        <f t="shared" si="415"/>
        <v>0</v>
      </c>
      <c r="GJ45" s="168"/>
      <c r="GK45" s="168"/>
      <c r="GL45" s="168"/>
      <c r="GM45" s="168"/>
      <c r="GN45" s="168"/>
      <c r="GO45" s="168"/>
      <c r="GP45" s="168"/>
      <c r="GQ45" s="168"/>
      <c r="GR45" s="168"/>
      <c r="GS45" s="168"/>
      <c r="GT45" s="168"/>
      <c r="GU45" s="168"/>
      <c r="GV45" s="168"/>
      <c r="GW45" s="168"/>
      <c r="GX45" s="168"/>
      <c r="GY45" s="168"/>
      <c r="GZ45" s="168"/>
      <c r="HA45" s="168"/>
      <c r="HB45" s="168"/>
      <c r="HC45" s="168"/>
      <c r="HD45" s="168"/>
      <c r="HE45" s="168"/>
      <c r="HF45" s="168"/>
      <c r="HG45" s="168"/>
      <c r="HH45" s="168"/>
      <c r="HI45" s="168"/>
      <c r="HJ45" s="168"/>
      <c r="HK45" s="168"/>
      <c r="HL45" s="168"/>
      <c r="HM45" s="168"/>
      <c r="HN45" s="168"/>
      <c r="HO45" s="168"/>
      <c r="HP45" s="168"/>
      <c r="HQ45" s="168"/>
      <c r="HR45" s="168"/>
      <c r="HS45" s="168"/>
      <c r="HT45" s="168"/>
      <c r="HU45" s="168"/>
      <c r="HV45" s="168"/>
      <c r="HW45" s="168"/>
      <c r="HX45" s="168"/>
      <c r="HY45" s="168"/>
      <c r="HZ45" s="168"/>
      <c r="IA45" s="168"/>
      <c r="IB45" s="168"/>
      <c r="IC45" s="168"/>
      <c r="ID45" s="168"/>
      <c r="IE45" s="168"/>
      <c r="IF45" s="168"/>
      <c r="IG45" s="168"/>
      <c r="IH45" s="168"/>
      <c r="II45" s="168"/>
      <c r="IJ45" s="168"/>
      <c r="IK45" s="168"/>
      <c r="IL45" s="168"/>
      <c r="IM45" s="168"/>
      <c r="IN45" s="168"/>
      <c r="IO45" s="168"/>
      <c r="IP45" s="168"/>
      <c r="IQ45" s="168"/>
      <c r="IR45" s="168"/>
      <c r="IS45" s="168"/>
      <c r="IT45" s="168"/>
      <c r="IU45" s="168"/>
      <c r="IV45" s="168"/>
      <c r="IW45" s="168"/>
      <c r="IX45" s="168"/>
      <c r="IY45" s="168"/>
      <c r="IZ45" s="168"/>
      <c r="JA45" s="168"/>
      <c r="JB45" s="168"/>
      <c r="JC45" s="168"/>
      <c r="JD45" s="168"/>
      <c r="JE45" s="168"/>
      <c r="JF45" s="168"/>
      <c r="JG45" s="168"/>
      <c r="JH45" s="168"/>
      <c r="JI45" s="168"/>
      <c r="JJ45" s="168"/>
      <c r="JK45" s="168"/>
      <c r="JL45" s="168"/>
      <c r="JM45" s="168"/>
      <c r="JN45" s="168"/>
      <c r="JO45" s="168"/>
      <c r="JP45" s="168"/>
      <c r="JQ45" s="168"/>
      <c r="JR45" s="168"/>
      <c r="JS45" s="168"/>
      <c r="JT45" s="168"/>
      <c r="JU45" s="168"/>
      <c r="JV45" s="168"/>
      <c r="JW45" s="168"/>
      <c r="JX45" s="168"/>
      <c r="JY45" s="168"/>
      <c r="JZ45" s="168"/>
      <c r="KA45" s="168"/>
      <c r="KB45" s="168"/>
      <c r="KC45" s="168"/>
      <c r="KD45" s="168"/>
      <c r="KE45" s="168"/>
      <c r="KF45" s="168"/>
      <c r="KG45" s="168"/>
      <c r="KH45" s="168"/>
      <c r="KI45" s="168"/>
      <c r="KJ45" s="168"/>
      <c r="KK45" s="168"/>
      <c r="KL45" s="168"/>
      <c r="KM45" s="168"/>
      <c r="KN45" s="168"/>
      <c r="KO45" s="168"/>
      <c r="KP45" s="168"/>
      <c r="KQ45" s="168"/>
      <c r="KR45" s="168"/>
      <c r="KS45" s="168"/>
      <c r="KT45" s="168"/>
      <c r="KU45" s="168"/>
      <c r="KV45" s="168">
        <f t="shared" si="416"/>
        <v>0</v>
      </c>
      <c r="KW45" s="168">
        <f t="shared" si="417"/>
        <v>0</v>
      </c>
      <c r="KX45" s="168">
        <f t="shared" si="418"/>
        <v>0</v>
      </c>
      <c r="KY45" s="168"/>
      <c r="KZ45" s="168"/>
      <c r="LA45" s="168"/>
      <c r="LB45" s="168"/>
      <c r="LC45" s="168"/>
      <c r="LD45" s="168"/>
      <c r="LE45" s="168"/>
      <c r="LF45" s="168"/>
      <c r="LG45" s="168"/>
      <c r="LH45" s="168"/>
      <c r="LI45" s="168"/>
      <c r="LJ45" s="168"/>
      <c r="LK45" s="168"/>
      <c r="LL45" s="168"/>
      <c r="LM45" s="168"/>
      <c r="LN45" s="168"/>
      <c r="LO45" s="168"/>
      <c r="LP45" s="168"/>
      <c r="LQ45" s="168">
        <f t="shared" si="419"/>
        <v>0</v>
      </c>
      <c r="LR45" s="168">
        <f t="shared" si="420"/>
        <v>0</v>
      </c>
      <c r="LS45" s="168">
        <f t="shared" si="421"/>
        <v>0</v>
      </c>
      <c r="LT45" s="168"/>
      <c r="LU45" s="168"/>
      <c r="LV45" s="168"/>
      <c r="LW45" s="168"/>
      <c r="LX45" s="168"/>
      <c r="LY45" s="168"/>
      <c r="LZ45" s="168"/>
      <c r="MA45" s="168"/>
      <c r="MB45" s="168">
        <f t="shared" si="422"/>
        <v>0</v>
      </c>
      <c r="MC45" s="168">
        <f t="shared" si="423"/>
        <v>0</v>
      </c>
      <c r="MD45" s="168">
        <f t="shared" si="424"/>
        <v>0</v>
      </c>
      <c r="ME45" s="168"/>
      <c r="MF45" s="168"/>
      <c r="MG45" s="168"/>
      <c r="MH45" s="168"/>
      <c r="MI45" s="168"/>
      <c r="MJ45" s="168"/>
      <c r="MK45" s="168"/>
      <c r="ML45" s="168"/>
      <c r="MM45" s="168"/>
      <c r="MN45" s="168"/>
      <c r="MO45" s="168">
        <f t="shared" si="425"/>
        <v>0</v>
      </c>
      <c r="MP45" s="168">
        <f t="shared" si="426"/>
        <v>0</v>
      </c>
      <c r="MQ45" s="168">
        <f t="shared" si="427"/>
        <v>0</v>
      </c>
      <c r="MR45" s="168"/>
      <c r="MS45" s="168"/>
      <c r="MT45" s="168"/>
      <c r="MU45" s="168"/>
      <c r="MV45" s="168"/>
      <c r="MW45" s="168"/>
      <c r="MX45" s="168"/>
      <c r="MY45" s="168"/>
      <c r="MZ45" s="168"/>
      <c r="NA45" s="168"/>
      <c r="NB45" s="168"/>
      <c r="NC45" s="168"/>
      <c r="ND45" s="168"/>
      <c r="NE45" s="168"/>
      <c r="NF45" s="168"/>
      <c r="NG45" s="168"/>
      <c r="NH45" s="168"/>
      <c r="NI45" s="168"/>
      <c r="NJ45" s="168"/>
      <c r="NK45" s="168"/>
      <c r="NL45" s="168"/>
      <c r="NM45" s="168"/>
      <c r="NN45" s="168"/>
      <c r="NO45" s="168"/>
      <c r="NP45" s="168"/>
      <c r="NQ45" s="168"/>
      <c r="NR45" s="168"/>
      <c r="NS45" s="168"/>
      <c r="NT45" s="168"/>
      <c r="NU45" s="168"/>
      <c r="NV45" s="168"/>
      <c r="NW45" s="168">
        <f t="shared" si="428"/>
        <v>0</v>
      </c>
      <c r="NX45" s="168">
        <f t="shared" si="429"/>
        <v>0</v>
      </c>
      <c r="NY45" s="168">
        <f t="shared" si="430"/>
        <v>0</v>
      </c>
      <c r="NZ45" s="168"/>
      <c r="OA45" s="168"/>
      <c r="OB45" s="168"/>
      <c r="OC45" s="168"/>
      <c r="OD45" s="168"/>
      <c r="OE45" s="168"/>
      <c r="OF45" s="168"/>
      <c r="OG45" s="168"/>
      <c r="OH45" s="168"/>
      <c r="OI45" s="168"/>
      <c r="OJ45" s="168"/>
      <c r="OK45" s="168"/>
      <c r="OL45" s="168"/>
      <c r="OM45" s="168"/>
      <c r="ON45" s="168"/>
      <c r="OO45" s="168"/>
      <c r="OP45" s="168"/>
      <c r="OQ45" s="168"/>
      <c r="OR45" s="168"/>
      <c r="OS45" s="168"/>
      <c r="OT45" s="168"/>
      <c r="OU45" s="169"/>
      <c r="OV45" s="169"/>
      <c r="OW45" s="169"/>
      <c r="OX45" s="169"/>
      <c r="OY45" s="169"/>
      <c r="OZ45" s="169"/>
      <c r="PA45" s="169"/>
      <c r="PB45" s="169"/>
      <c r="PC45" s="169"/>
      <c r="PD45" s="169"/>
      <c r="PE45" s="169"/>
      <c r="PF45" s="169"/>
      <c r="PG45" s="169"/>
      <c r="PH45" s="169"/>
      <c r="PI45" s="169"/>
      <c r="PJ45" s="169"/>
      <c r="PK45" s="169"/>
      <c r="PL45" s="169"/>
      <c r="PM45" s="169"/>
      <c r="PN45" s="169"/>
      <c r="PO45" s="169"/>
      <c r="PP45" s="169"/>
      <c r="PQ45" s="169"/>
      <c r="PR45" s="169"/>
      <c r="PS45" s="169"/>
      <c r="PT45" s="169"/>
      <c r="PU45" s="169"/>
      <c r="PV45" s="169"/>
      <c r="PW45" s="169"/>
      <c r="PX45" s="169"/>
      <c r="PY45" s="169"/>
      <c r="PZ45" s="169"/>
      <c r="QA45" s="169"/>
      <c r="QB45" s="169"/>
      <c r="QC45" s="169"/>
      <c r="QD45" s="169"/>
      <c r="QE45" s="169"/>
      <c r="QF45" s="169"/>
      <c r="QG45" s="169"/>
      <c r="QH45" s="169"/>
      <c r="QI45" s="169"/>
      <c r="QJ45" s="169"/>
      <c r="QK45" s="169"/>
      <c r="QL45" s="169"/>
      <c r="QM45" s="169"/>
      <c r="QN45" s="169"/>
      <c r="QO45" s="169"/>
      <c r="QP45" s="169"/>
      <c r="QQ45" s="169"/>
      <c r="QR45" s="169"/>
      <c r="QS45" s="169"/>
      <c r="QT45" s="169"/>
      <c r="QU45" s="169"/>
      <c r="QV45" s="169"/>
      <c r="QW45" s="169"/>
      <c r="QX45" s="169"/>
      <c r="QY45" s="169"/>
      <c r="QZ45" s="169"/>
      <c r="RA45" s="169"/>
      <c r="RB45" s="169"/>
      <c r="RC45" s="169"/>
      <c r="RD45" s="169"/>
      <c r="RE45" s="169"/>
      <c r="RF45" s="169"/>
      <c r="RG45" s="169"/>
      <c r="RH45" s="169"/>
      <c r="RI45" s="169"/>
      <c r="RJ45" s="169"/>
      <c r="RK45" s="169"/>
      <c r="RL45" s="169"/>
      <c r="RM45" s="169"/>
      <c r="RN45" s="169"/>
      <c r="RO45" s="168"/>
      <c r="RP45" s="168"/>
      <c r="RQ45" s="168"/>
      <c r="RR45" s="168"/>
      <c r="RS45" s="168"/>
      <c r="RT45" s="168"/>
      <c r="RU45" s="170"/>
      <c r="RV45" s="170"/>
      <c r="RW45" s="170"/>
      <c r="RX45" s="170"/>
      <c r="RY45" s="170"/>
      <c r="RZ45" s="170"/>
      <c r="SA45" s="169"/>
      <c r="SB45" s="169"/>
      <c r="SC45" s="169"/>
      <c r="SD45" s="169"/>
      <c r="SE45" s="169"/>
      <c r="SF45" s="169"/>
      <c r="SG45" s="169"/>
      <c r="SH45" s="169"/>
      <c r="SI45" s="169"/>
      <c r="SJ45" s="169"/>
      <c r="SK45" s="169"/>
      <c r="SL45" s="169"/>
      <c r="SM45" s="169"/>
      <c r="SN45" s="169"/>
      <c r="SO45" s="169"/>
      <c r="SP45" s="169"/>
      <c r="SQ45" s="169"/>
      <c r="SR45" s="169"/>
      <c r="SS45" s="175"/>
    </row>
    <row r="46" spans="1:513" s="194" customFormat="1" ht="20.25" customHeight="1">
      <c r="A46" s="221" t="s">
        <v>413</v>
      </c>
      <c r="B46" s="242"/>
      <c r="C46" s="242"/>
      <c r="D46" s="242"/>
      <c r="E46" s="222"/>
      <c r="F46" s="193">
        <f t="shared" ref="F46:AK46" si="601">SUM(F36:F45)</f>
        <v>1</v>
      </c>
      <c r="G46" s="193">
        <f t="shared" si="601"/>
        <v>0</v>
      </c>
      <c r="H46" s="193">
        <f t="shared" si="601"/>
        <v>0</v>
      </c>
      <c r="I46" s="193">
        <f t="shared" si="601"/>
        <v>1</v>
      </c>
      <c r="J46" s="193">
        <f t="shared" si="601"/>
        <v>0</v>
      </c>
      <c r="K46" s="193">
        <f t="shared" si="601"/>
        <v>1</v>
      </c>
      <c r="L46" s="193">
        <f t="shared" si="601"/>
        <v>0</v>
      </c>
      <c r="M46" s="193">
        <f t="shared" si="601"/>
        <v>0</v>
      </c>
      <c r="N46" s="193">
        <f t="shared" si="601"/>
        <v>0</v>
      </c>
      <c r="O46" s="193">
        <f t="shared" si="601"/>
        <v>1</v>
      </c>
      <c r="P46" s="193">
        <f t="shared" si="601"/>
        <v>0</v>
      </c>
      <c r="Q46" s="193">
        <f t="shared" si="601"/>
        <v>1</v>
      </c>
      <c r="R46" s="193">
        <f t="shared" si="601"/>
        <v>0</v>
      </c>
      <c r="S46" s="193">
        <f t="shared" si="601"/>
        <v>0</v>
      </c>
      <c r="T46" s="193">
        <f t="shared" si="601"/>
        <v>0</v>
      </c>
      <c r="U46" s="193">
        <f t="shared" si="601"/>
        <v>1</v>
      </c>
      <c r="V46" s="193">
        <f t="shared" si="601"/>
        <v>256</v>
      </c>
      <c r="W46" s="193">
        <f t="shared" si="601"/>
        <v>123</v>
      </c>
      <c r="X46" s="193">
        <f t="shared" si="601"/>
        <v>227</v>
      </c>
      <c r="Y46" s="193">
        <f t="shared" si="601"/>
        <v>94</v>
      </c>
      <c r="Z46" s="193">
        <f t="shared" si="601"/>
        <v>141</v>
      </c>
      <c r="AA46" s="193">
        <f t="shared" si="601"/>
        <v>90</v>
      </c>
      <c r="AB46" s="193">
        <f t="shared" si="601"/>
        <v>97</v>
      </c>
      <c r="AC46" s="193">
        <f t="shared" si="601"/>
        <v>50</v>
      </c>
      <c r="AD46" s="193">
        <f t="shared" si="601"/>
        <v>92</v>
      </c>
      <c r="AE46" s="193">
        <f t="shared" si="601"/>
        <v>66</v>
      </c>
      <c r="AF46" s="193">
        <f t="shared" si="601"/>
        <v>813</v>
      </c>
      <c r="AG46" s="193">
        <f t="shared" si="601"/>
        <v>423</v>
      </c>
      <c r="AH46" s="193">
        <f t="shared" si="601"/>
        <v>1236</v>
      </c>
      <c r="AI46" s="193">
        <f t="shared" si="601"/>
        <v>256</v>
      </c>
      <c r="AJ46" s="193">
        <f t="shared" si="601"/>
        <v>123</v>
      </c>
      <c r="AK46" s="193">
        <f t="shared" si="601"/>
        <v>227</v>
      </c>
      <c r="AL46" s="193">
        <f t="shared" ref="AL46:BQ46" si="602">SUM(AL36:AL45)</f>
        <v>94</v>
      </c>
      <c r="AM46" s="193">
        <f t="shared" si="602"/>
        <v>144</v>
      </c>
      <c r="AN46" s="193">
        <f t="shared" si="602"/>
        <v>90</v>
      </c>
      <c r="AO46" s="193">
        <f t="shared" si="602"/>
        <v>100</v>
      </c>
      <c r="AP46" s="193">
        <f t="shared" si="602"/>
        <v>50</v>
      </c>
      <c r="AQ46" s="193">
        <f t="shared" si="602"/>
        <v>122</v>
      </c>
      <c r="AR46" s="193">
        <f t="shared" si="602"/>
        <v>66</v>
      </c>
      <c r="AS46" s="193">
        <f t="shared" si="602"/>
        <v>849</v>
      </c>
      <c r="AT46" s="193">
        <f t="shared" si="602"/>
        <v>423</v>
      </c>
      <c r="AU46" s="193">
        <f t="shared" si="602"/>
        <v>1272</v>
      </c>
      <c r="AV46" s="193">
        <f t="shared" si="602"/>
        <v>98</v>
      </c>
      <c r="AW46" s="193">
        <f t="shared" si="602"/>
        <v>49</v>
      </c>
      <c r="AX46" s="193">
        <f t="shared" si="602"/>
        <v>85</v>
      </c>
      <c r="AY46" s="193">
        <f t="shared" si="602"/>
        <v>35</v>
      </c>
      <c r="AZ46" s="193">
        <f t="shared" si="602"/>
        <v>105</v>
      </c>
      <c r="BA46" s="193">
        <f t="shared" si="602"/>
        <v>57</v>
      </c>
      <c r="BB46" s="193">
        <f t="shared" si="602"/>
        <v>34</v>
      </c>
      <c r="BC46" s="193">
        <f t="shared" si="602"/>
        <v>46</v>
      </c>
      <c r="BD46" s="193">
        <f t="shared" si="602"/>
        <v>42</v>
      </c>
      <c r="BE46" s="193">
        <f t="shared" si="602"/>
        <v>26</v>
      </c>
      <c r="BF46" s="193">
        <f t="shared" si="602"/>
        <v>364</v>
      </c>
      <c r="BG46" s="193">
        <f t="shared" si="602"/>
        <v>213</v>
      </c>
      <c r="BH46" s="193">
        <f t="shared" si="602"/>
        <v>577</v>
      </c>
      <c r="BI46" s="193">
        <f t="shared" si="602"/>
        <v>40</v>
      </c>
      <c r="BJ46" s="193">
        <f t="shared" si="602"/>
        <v>14</v>
      </c>
      <c r="BK46" s="193">
        <f t="shared" si="602"/>
        <v>94</v>
      </c>
      <c r="BL46" s="193">
        <f t="shared" si="602"/>
        <v>29</v>
      </c>
      <c r="BM46" s="193">
        <f t="shared" si="602"/>
        <v>167</v>
      </c>
      <c r="BN46" s="193">
        <f t="shared" si="602"/>
        <v>21</v>
      </c>
      <c r="BO46" s="193">
        <f t="shared" si="602"/>
        <v>243</v>
      </c>
      <c r="BP46" s="193">
        <f t="shared" si="602"/>
        <v>25</v>
      </c>
      <c r="BQ46" s="193">
        <f t="shared" si="602"/>
        <v>92</v>
      </c>
      <c r="BR46" s="193">
        <f t="shared" ref="BR46:CW46" si="603">SUM(BR36:BR45)</f>
        <v>26</v>
      </c>
      <c r="BS46" s="193">
        <f t="shared" si="603"/>
        <v>636</v>
      </c>
      <c r="BT46" s="193">
        <f t="shared" si="603"/>
        <v>115</v>
      </c>
      <c r="BU46" s="193">
        <f t="shared" si="603"/>
        <v>751</v>
      </c>
      <c r="BV46" s="193">
        <f t="shared" si="603"/>
        <v>256</v>
      </c>
      <c r="BW46" s="193">
        <f t="shared" si="603"/>
        <v>123</v>
      </c>
      <c r="BX46" s="193">
        <f t="shared" si="603"/>
        <v>325</v>
      </c>
      <c r="BY46" s="193">
        <f t="shared" si="603"/>
        <v>143</v>
      </c>
      <c r="BZ46" s="193">
        <f t="shared" si="603"/>
        <v>269</v>
      </c>
      <c r="CA46" s="193">
        <f t="shared" si="603"/>
        <v>139</v>
      </c>
      <c r="CB46" s="193">
        <f t="shared" si="603"/>
        <v>299</v>
      </c>
      <c r="CC46" s="193">
        <f t="shared" si="603"/>
        <v>136</v>
      </c>
      <c r="CD46" s="193">
        <f t="shared" si="603"/>
        <v>323</v>
      </c>
      <c r="CE46" s="193">
        <f t="shared" si="603"/>
        <v>133</v>
      </c>
      <c r="CF46" s="193">
        <f t="shared" si="603"/>
        <v>285</v>
      </c>
      <c r="CG46" s="193">
        <f t="shared" si="603"/>
        <v>51</v>
      </c>
      <c r="CH46" s="193">
        <f t="shared" si="603"/>
        <v>92</v>
      </c>
      <c r="CI46" s="193">
        <f t="shared" si="603"/>
        <v>26</v>
      </c>
      <c r="CJ46" s="193">
        <f t="shared" si="603"/>
        <v>1849</v>
      </c>
      <c r="CK46" s="193">
        <f t="shared" si="603"/>
        <v>751</v>
      </c>
      <c r="CL46" s="193">
        <f t="shared" si="603"/>
        <v>2600</v>
      </c>
      <c r="CM46" s="193">
        <f t="shared" si="603"/>
        <v>17</v>
      </c>
      <c r="CN46" s="193">
        <f t="shared" si="603"/>
        <v>11</v>
      </c>
      <c r="CO46" s="193">
        <f t="shared" si="603"/>
        <v>0</v>
      </c>
      <c r="CP46" s="193">
        <f t="shared" si="603"/>
        <v>11</v>
      </c>
      <c r="CQ46" s="193">
        <f t="shared" si="603"/>
        <v>6</v>
      </c>
      <c r="CR46" s="193">
        <f t="shared" si="603"/>
        <v>0</v>
      </c>
      <c r="CS46" s="193">
        <f t="shared" si="603"/>
        <v>12</v>
      </c>
      <c r="CT46" s="193">
        <f t="shared" si="603"/>
        <v>4</v>
      </c>
      <c r="CU46" s="193">
        <f t="shared" si="603"/>
        <v>0</v>
      </c>
      <c r="CV46" s="193">
        <f t="shared" si="603"/>
        <v>40</v>
      </c>
      <c r="CW46" s="193">
        <f t="shared" si="603"/>
        <v>21</v>
      </c>
      <c r="CX46" s="193">
        <f t="shared" ref="CX46:EC46" si="604">SUM(CX36:CX45)</f>
        <v>0</v>
      </c>
      <c r="CY46" s="193">
        <f t="shared" si="604"/>
        <v>61</v>
      </c>
      <c r="CZ46" s="193">
        <f t="shared" si="604"/>
        <v>6</v>
      </c>
      <c r="DA46" s="193">
        <f t="shared" si="604"/>
        <v>5</v>
      </c>
      <c r="DB46" s="193">
        <f t="shared" si="604"/>
        <v>4</v>
      </c>
      <c r="DC46" s="193">
        <f t="shared" si="604"/>
        <v>3</v>
      </c>
      <c r="DD46" s="193">
        <f t="shared" si="604"/>
        <v>14</v>
      </c>
      <c r="DE46" s="193">
        <f t="shared" si="604"/>
        <v>2</v>
      </c>
      <c r="DF46" s="193">
        <f t="shared" si="604"/>
        <v>24</v>
      </c>
      <c r="DG46" s="193">
        <f t="shared" si="604"/>
        <v>10</v>
      </c>
      <c r="DH46" s="193">
        <f t="shared" si="604"/>
        <v>34</v>
      </c>
      <c r="DI46" s="193">
        <f t="shared" si="604"/>
        <v>0</v>
      </c>
      <c r="DJ46" s="193">
        <f t="shared" si="604"/>
        <v>0</v>
      </c>
      <c r="DK46" s="193">
        <f t="shared" si="604"/>
        <v>0</v>
      </c>
      <c r="DL46" s="193">
        <f t="shared" si="604"/>
        <v>0</v>
      </c>
      <c r="DM46" s="193">
        <f t="shared" si="604"/>
        <v>0</v>
      </c>
      <c r="DN46" s="193">
        <f t="shared" si="604"/>
        <v>0</v>
      </c>
      <c r="DO46" s="193">
        <f t="shared" si="604"/>
        <v>0</v>
      </c>
      <c r="DP46" s="193">
        <f t="shared" si="604"/>
        <v>0</v>
      </c>
      <c r="DQ46" s="193">
        <f t="shared" si="604"/>
        <v>0</v>
      </c>
      <c r="DR46" s="193">
        <f t="shared" si="604"/>
        <v>250</v>
      </c>
      <c r="DS46" s="193">
        <f t="shared" si="604"/>
        <v>209</v>
      </c>
      <c r="DT46" s="193">
        <f t="shared" si="604"/>
        <v>184</v>
      </c>
      <c r="DU46" s="193">
        <f t="shared" si="604"/>
        <v>65</v>
      </c>
      <c r="DV46" s="193">
        <f t="shared" si="604"/>
        <v>277</v>
      </c>
      <c r="DW46" s="193">
        <f t="shared" si="604"/>
        <v>117</v>
      </c>
      <c r="DX46" s="193">
        <f t="shared" si="604"/>
        <v>711</v>
      </c>
      <c r="DY46" s="193">
        <f t="shared" si="604"/>
        <v>391</v>
      </c>
      <c r="DZ46" s="193">
        <f t="shared" si="604"/>
        <v>1102</v>
      </c>
      <c r="EA46" s="193">
        <f t="shared" si="604"/>
        <v>57</v>
      </c>
      <c r="EB46" s="193">
        <f t="shared" si="604"/>
        <v>16</v>
      </c>
      <c r="EC46" s="193">
        <f t="shared" si="604"/>
        <v>29</v>
      </c>
      <c r="ED46" s="193">
        <f t="shared" ref="ED46:FI46" si="605">SUM(ED36:ED45)</f>
        <v>2</v>
      </c>
      <c r="EE46" s="193">
        <f t="shared" si="605"/>
        <v>81</v>
      </c>
      <c r="EF46" s="193">
        <f t="shared" si="605"/>
        <v>7</v>
      </c>
      <c r="EG46" s="193">
        <f t="shared" si="605"/>
        <v>167</v>
      </c>
      <c r="EH46" s="193">
        <f t="shared" si="605"/>
        <v>25</v>
      </c>
      <c r="EI46" s="193">
        <f t="shared" si="605"/>
        <v>192</v>
      </c>
      <c r="EJ46" s="193">
        <f t="shared" si="605"/>
        <v>14</v>
      </c>
      <c r="EK46" s="193">
        <f t="shared" si="605"/>
        <v>6</v>
      </c>
      <c r="EL46" s="193">
        <f t="shared" si="605"/>
        <v>4</v>
      </c>
      <c r="EM46" s="193">
        <f t="shared" si="605"/>
        <v>1</v>
      </c>
      <c r="EN46" s="193">
        <f t="shared" si="605"/>
        <v>12</v>
      </c>
      <c r="EO46" s="193">
        <f t="shared" si="605"/>
        <v>1</v>
      </c>
      <c r="EP46" s="193">
        <f t="shared" si="605"/>
        <v>30</v>
      </c>
      <c r="EQ46" s="193">
        <f t="shared" si="605"/>
        <v>8</v>
      </c>
      <c r="ER46" s="193">
        <f t="shared" si="605"/>
        <v>38</v>
      </c>
      <c r="ES46" s="193">
        <f t="shared" si="605"/>
        <v>0</v>
      </c>
      <c r="ET46" s="193">
        <f t="shared" si="605"/>
        <v>0</v>
      </c>
      <c r="EU46" s="193">
        <f t="shared" si="605"/>
        <v>0</v>
      </c>
      <c r="EV46" s="193">
        <f t="shared" si="605"/>
        <v>0</v>
      </c>
      <c r="EW46" s="193">
        <f t="shared" si="605"/>
        <v>14</v>
      </c>
      <c r="EX46" s="193">
        <f t="shared" si="605"/>
        <v>0</v>
      </c>
      <c r="EY46" s="193">
        <f t="shared" si="605"/>
        <v>14</v>
      </c>
      <c r="EZ46" s="193">
        <f t="shared" si="605"/>
        <v>0</v>
      </c>
      <c r="FA46" s="193">
        <f t="shared" si="605"/>
        <v>14</v>
      </c>
      <c r="FB46" s="193">
        <f t="shared" si="605"/>
        <v>1</v>
      </c>
      <c r="FC46" s="193">
        <f t="shared" si="605"/>
        <v>0</v>
      </c>
      <c r="FD46" s="193">
        <f t="shared" si="605"/>
        <v>0</v>
      </c>
      <c r="FE46" s="193">
        <f t="shared" si="605"/>
        <v>0</v>
      </c>
      <c r="FF46" s="193">
        <f t="shared" si="605"/>
        <v>0</v>
      </c>
      <c r="FG46" s="193">
        <f t="shared" si="605"/>
        <v>0</v>
      </c>
      <c r="FH46" s="193">
        <f t="shared" si="605"/>
        <v>0</v>
      </c>
      <c r="FI46" s="193">
        <f t="shared" si="605"/>
        <v>0</v>
      </c>
      <c r="FJ46" s="193">
        <f t="shared" ref="FJ46:GB46" si="606">SUM(FJ36:FJ45)</f>
        <v>0</v>
      </c>
      <c r="FK46" s="193">
        <f t="shared" si="606"/>
        <v>0</v>
      </c>
      <c r="FL46" s="193">
        <f t="shared" si="606"/>
        <v>1</v>
      </c>
      <c r="FM46" s="193">
        <f t="shared" si="606"/>
        <v>0</v>
      </c>
      <c r="FN46" s="193">
        <f t="shared" si="606"/>
        <v>1</v>
      </c>
      <c r="FO46" s="193">
        <f t="shared" si="606"/>
        <v>0</v>
      </c>
      <c r="FP46" s="193">
        <f t="shared" si="606"/>
        <v>0</v>
      </c>
      <c r="FQ46" s="193">
        <f t="shared" si="606"/>
        <v>0</v>
      </c>
      <c r="FR46" s="193">
        <f t="shared" si="606"/>
        <v>0</v>
      </c>
      <c r="FS46" s="193">
        <f t="shared" si="606"/>
        <v>0</v>
      </c>
      <c r="FT46" s="193">
        <f t="shared" si="606"/>
        <v>0</v>
      </c>
      <c r="FU46" s="193">
        <f t="shared" si="606"/>
        <v>0</v>
      </c>
      <c r="FV46" s="193">
        <f t="shared" si="606"/>
        <v>0</v>
      </c>
      <c r="FW46" s="193">
        <f t="shared" si="606"/>
        <v>0</v>
      </c>
      <c r="FX46" s="193">
        <f t="shared" si="606"/>
        <v>0</v>
      </c>
      <c r="FY46" s="193">
        <f t="shared" si="606"/>
        <v>0</v>
      </c>
      <c r="FZ46" s="193">
        <f t="shared" si="606"/>
        <v>0</v>
      </c>
      <c r="GA46" s="193">
        <f t="shared" si="606"/>
        <v>0</v>
      </c>
      <c r="GB46" s="193">
        <f t="shared" si="606"/>
        <v>0</v>
      </c>
      <c r="GC46" s="193"/>
      <c r="GD46" s="193"/>
      <c r="GE46" s="193">
        <f t="shared" ref="GE46:IP46" si="607">SUM(GE36:GE45)</f>
        <v>0</v>
      </c>
      <c r="GF46" s="193">
        <f t="shared" si="607"/>
        <v>0</v>
      </c>
      <c r="GG46" s="193">
        <f t="shared" si="607"/>
        <v>0</v>
      </c>
      <c r="GH46" s="193">
        <f t="shared" si="607"/>
        <v>0</v>
      </c>
      <c r="GI46" s="193">
        <f t="shared" si="607"/>
        <v>0</v>
      </c>
      <c r="GJ46" s="193">
        <f t="shared" si="607"/>
        <v>0</v>
      </c>
      <c r="GK46" s="193">
        <f t="shared" si="607"/>
        <v>0</v>
      </c>
      <c r="GL46" s="193">
        <f t="shared" si="607"/>
        <v>0</v>
      </c>
      <c r="GM46" s="193">
        <f t="shared" si="607"/>
        <v>0</v>
      </c>
      <c r="GN46" s="193">
        <f t="shared" si="607"/>
        <v>0</v>
      </c>
      <c r="GO46" s="193">
        <f t="shared" si="607"/>
        <v>0</v>
      </c>
      <c r="GP46" s="193">
        <f t="shared" si="607"/>
        <v>0</v>
      </c>
      <c r="GQ46" s="193">
        <f t="shared" si="607"/>
        <v>0</v>
      </c>
      <c r="GR46" s="193">
        <f t="shared" si="607"/>
        <v>0</v>
      </c>
      <c r="GS46" s="193">
        <f t="shared" si="607"/>
        <v>0</v>
      </c>
      <c r="GT46" s="193">
        <f t="shared" si="607"/>
        <v>0</v>
      </c>
      <c r="GU46" s="193">
        <f t="shared" si="607"/>
        <v>0</v>
      </c>
      <c r="GV46" s="193">
        <f t="shared" si="607"/>
        <v>0</v>
      </c>
      <c r="GW46" s="193">
        <f t="shared" si="607"/>
        <v>0</v>
      </c>
      <c r="GX46" s="193">
        <f t="shared" si="607"/>
        <v>0</v>
      </c>
      <c r="GY46" s="193">
        <f t="shared" si="607"/>
        <v>0</v>
      </c>
      <c r="GZ46" s="193">
        <f t="shared" si="607"/>
        <v>0</v>
      </c>
      <c r="HA46" s="193">
        <f t="shared" si="607"/>
        <v>0</v>
      </c>
      <c r="HB46" s="193">
        <f t="shared" si="607"/>
        <v>0</v>
      </c>
      <c r="HC46" s="193">
        <f t="shared" si="607"/>
        <v>0</v>
      </c>
      <c r="HD46" s="193">
        <f t="shared" si="607"/>
        <v>0</v>
      </c>
      <c r="HE46" s="193">
        <f t="shared" si="607"/>
        <v>0</v>
      </c>
      <c r="HF46" s="193">
        <f t="shared" si="607"/>
        <v>0</v>
      </c>
      <c r="HG46" s="193">
        <f t="shared" si="607"/>
        <v>0</v>
      </c>
      <c r="HH46" s="193">
        <f t="shared" si="607"/>
        <v>0</v>
      </c>
      <c r="HI46" s="193">
        <f t="shared" si="607"/>
        <v>0</v>
      </c>
      <c r="HJ46" s="193">
        <f t="shared" si="607"/>
        <v>0</v>
      </c>
      <c r="HK46" s="193">
        <f t="shared" si="607"/>
        <v>0</v>
      </c>
      <c r="HL46" s="193">
        <f t="shared" si="607"/>
        <v>0</v>
      </c>
      <c r="HM46" s="193">
        <f t="shared" si="607"/>
        <v>0</v>
      </c>
      <c r="HN46" s="193">
        <f t="shared" si="607"/>
        <v>0</v>
      </c>
      <c r="HO46" s="193">
        <f t="shared" si="607"/>
        <v>0</v>
      </c>
      <c r="HP46" s="193">
        <f t="shared" si="607"/>
        <v>0</v>
      </c>
      <c r="HQ46" s="193">
        <f t="shared" si="607"/>
        <v>0</v>
      </c>
      <c r="HR46" s="193">
        <f t="shared" si="607"/>
        <v>0</v>
      </c>
      <c r="HS46" s="193">
        <f t="shared" si="607"/>
        <v>0</v>
      </c>
      <c r="HT46" s="193">
        <f t="shared" si="607"/>
        <v>0</v>
      </c>
      <c r="HU46" s="193">
        <f t="shared" si="607"/>
        <v>0</v>
      </c>
      <c r="HV46" s="193">
        <f t="shared" si="607"/>
        <v>0</v>
      </c>
      <c r="HW46" s="193">
        <f t="shared" si="607"/>
        <v>0</v>
      </c>
      <c r="HX46" s="193">
        <f t="shared" si="607"/>
        <v>0</v>
      </c>
      <c r="HY46" s="193">
        <f t="shared" si="607"/>
        <v>0</v>
      </c>
      <c r="HZ46" s="193">
        <f t="shared" si="607"/>
        <v>0</v>
      </c>
      <c r="IA46" s="193">
        <f t="shared" si="607"/>
        <v>0</v>
      </c>
      <c r="IB46" s="193">
        <f t="shared" si="607"/>
        <v>0</v>
      </c>
      <c r="IC46" s="193">
        <f t="shared" si="607"/>
        <v>0</v>
      </c>
      <c r="ID46" s="193">
        <f t="shared" si="607"/>
        <v>0</v>
      </c>
      <c r="IE46" s="193">
        <f t="shared" si="607"/>
        <v>0</v>
      </c>
      <c r="IF46" s="193">
        <f t="shared" si="607"/>
        <v>0</v>
      </c>
      <c r="IG46" s="193">
        <f t="shared" si="607"/>
        <v>0</v>
      </c>
      <c r="IH46" s="193">
        <f t="shared" si="607"/>
        <v>0</v>
      </c>
      <c r="II46" s="193">
        <f t="shared" si="607"/>
        <v>0</v>
      </c>
      <c r="IJ46" s="193">
        <f t="shared" si="607"/>
        <v>0</v>
      </c>
      <c r="IK46" s="193">
        <f t="shared" si="607"/>
        <v>0</v>
      </c>
      <c r="IL46" s="193">
        <f t="shared" si="607"/>
        <v>0</v>
      </c>
      <c r="IM46" s="193">
        <f t="shared" si="607"/>
        <v>0</v>
      </c>
      <c r="IN46" s="193">
        <f t="shared" si="607"/>
        <v>0</v>
      </c>
      <c r="IO46" s="193">
        <f t="shared" si="607"/>
        <v>0</v>
      </c>
      <c r="IP46" s="193">
        <f t="shared" si="607"/>
        <v>0</v>
      </c>
      <c r="IQ46" s="193">
        <f t="shared" ref="IQ46:LB46" si="608">SUM(IQ36:IQ45)</f>
        <v>0</v>
      </c>
      <c r="IR46" s="193">
        <f t="shared" si="608"/>
        <v>0</v>
      </c>
      <c r="IS46" s="193">
        <f t="shared" si="608"/>
        <v>0</v>
      </c>
      <c r="IT46" s="193">
        <f t="shared" si="608"/>
        <v>0</v>
      </c>
      <c r="IU46" s="193">
        <f t="shared" si="608"/>
        <v>0</v>
      </c>
      <c r="IV46" s="193">
        <f t="shared" si="608"/>
        <v>0</v>
      </c>
      <c r="IW46" s="193">
        <f t="shared" si="608"/>
        <v>0</v>
      </c>
      <c r="IX46" s="193">
        <f t="shared" si="608"/>
        <v>0</v>
      </c>
      <c r="IY46" s="193">
        <f t="shared" si="608"/>
        <v>0</v>
      </c>
      <c r="IZ46" s="193">
        <f t="shared" si="608"/>
        <v>0</v>
      </c>
      <c r="JA46" s="193">
        <f t="shared" si="608"/>
        <v>0</v>
      </c>
      <c r="JB46" s="193">
        <f t="shared" si="608"/>
        <v>0</v>
      </c>
      <c r="JC46" s="193">
        <f t="shared" si="608"/>
        <v>0</v>
      </c>
      <c r="JD46" s="193">
        <f t="shared" si="608"/>
        <v>0</v>
      </c>
      <c r="JE46" s="193">
        <f t="shared" si="608"/>
        <v>0</v>
      </c>
      <c r="JF46" s="193">
        <f t="shared" si="608"/>
        <v>0</v>
      </c>
      <c r="JG46" s="193">
        <f t="shared" si="608"/>
        <v>0</v>
      </c>
      <c r="JH46" s="193">
        <f t="shared" si="608"/>
        <v>0</v>
      </c>
      <c r="JI46" s="193">
        <f t="shared" si="608"/>
        <v>0</v>
      </c>
      <c r="JJ46" s="193">
        <f t="shared" si="608"/>
        <v>0</v>
      </c>
      <c r="JK46" s="193">
        <f t="shared" si="608"/>
        <v>0</v>
      </c>
      <c r="JL46" s="193">
        <f t="shared" si="608"/>
        <v>0</v>
      </c>
      <c r="JM46" s="193">
        <f t="shared" si="608"/>
        <v>0</v>
      </c>
      <c r="JN46" s="193">
        <f t="shared" si="608"/>
        <v>0</v>
      </c>
      <c r="JO46" s="193">
        <f t="shared" si="608"/>
        <v>0</v>
      </c>
      <c r="JP46" s="193">
        <f t="shared" si="608"/>
        <v>0</v>
      </c>
      <c r="JQ46" s="193">
        <f t="shared" si="608"/>
        <v>0</v>
      </c>
      <c r="JR46" s="193">
        <f t="shared" si="608"/>
        <v>0</v>
      </c>
      <c r="JS46" s="193">
        <f t="shared" si="608"/>
        <v>0</v>
      </c>
      <c r="JT46" s="193">
        <f t="shared" si="608"/>
        <v>0</v>
      </c>
      <c r="JU46" s="193">
        <f t="shared" si="608"/>
        <v>0</v>
      </c>
      <c r="JV46" s="193">
        <f t="shared" si="608"/>
        <v>0</v>
      </c>
      <c r="JW46" s="193">
        <f t="shared" si="608"/>
        <v>0</v>
      </c>
      <c r="JX46" s="193">
        <f t="shared" si="608"/>
        <v>0</v>
      </c>
      <c r="JY46" s="193">
        <f t="shared" si="608"/>
        <v>0</v>
      </c>
      <c r="JZ46" s="193">
        <f t="shared" si="608"/>
        <v>0</v>
      </c>
      <c r="KA46" s="193">
        <f t="shared" si="608"/>
        <v>0</v>
      </c>
      <c r="KB46" s="193">
        <f t="shared" si="608"/>
        <v>0</v>
      </c>
      <c r="KC46" s="193">
        <f t="shared" si="608"/>
        <v>0</v>
      </c>
      <c r="KD46" s="193">
        <f t="shared" si="608"/>
        <v>0</v>
      </c>
      <c r="KE46" s="193">
        <f t="shared" si="608"/>
        <v>0</v>
      </c>
      <c r="KF46" s="193">
        <f t="shared" si="608"/>
        <v>0</v>
      </c>
      <c r="KG46" s="193">
        <f t="shared" si="608"/>
        <v>0</v>
      </c>
      <c r="KH46" s="193">
        <f t="shared" si="608"/>
        <v>0</v>
      </c>
      <c r="KI46" s="193">
        <f t="shared" si="608"/>
        <v>0</v>
      </c>
      <c r="KJ46" s="193">
        <f t="shared" si="608"/>
        <v>0</v>
      </c>
      <c r="KK46" s="193">
        <f t="shared" si="608"/>
        <v>0</v>
      </c>
      <c r="KL46" s="193">
        <f t="shared" si="608"/>
        <v>0</v>
      </c>
      <c r="KM46" s="193">
        <f t="shared" si="608"/>
        <v>0</v>
      </c>
      <c r="KN46" s="193">
        <f t="shared" si="608"/>
        <v>1</v>
      </c>
      <c r="KO46" s="193">
        <f t="shared" si="608"/>
        <v>0</v>
      </c>
      <c r="KP46" s="193">
        <f t="shared" si="608"/>
        <v>0</v>
      </c>
      <c r="KQ46" s="193">
        <f t="shared" si="608"/>
        <v>0</v>
      </c>
      <c r="KR46" s="193">
        <f t="shared" si="608"/>
        <v>0</v>
      </c>
      <c r="KS46" s="193">
        <f t="shared" si="608"/>
        <v>0</v>
      </c>
      <c r="KT46" s="193">
        <f t="shared" si="608"/>
        <v>0</v>
      </c>
      <c r="KU46" s="193">
        <f t="shared" si="608"/>
        <v>0</v>
      </c>
      <c r="KV46" s="193">
        <f t="shared" si="608"/>
        <v>1</v>
      </c>
      <c r="KW46" s="193">
        <f t="shared" si="608"/>
        <v>0</v>
      </c>
      <c r="KX46" s="193">
        <f t="shared" si="608"/>
        <v>1</v>
      </c>
      <c r="KY46" s="193">
        <f t="shared" si="608"/>
        <v>1</v>
      </c>
      <c r="KZ46" s="193">
        <f t="shared" si="608"/>
        <v>0</v>
      </c>
      <c r="LA46" s="193">
        <f t="shared" si="608"/>
        <v>0</v>
      </c>
      <c r="LB46" s="193">
        <f t="shared" si="608"/>
        <v>0</v>
      </c>
      <c r="LC46" s="193">
        <f t="shared" ref="LC46:NN46" si="609">SUM(LC36:LC45)</f>
        <v>0</v>
      </c>
      <c r="LD46" s="193">
        <f t="shared" si="609"/>
        <v>0</v>
      </c>
      <c r="LE46" s="193">
        <f t="shared" si="609"/>
        <v>0</v>
      </c>
      <c r="LF46" s="193">
        <f t="shared" si="609"/>
        <v>0</v>
      </c>
      <c r="LG46" s="193">
        <f t="shared" si="609"/>
        <v>0</v>
      </c>
      <c r="LH46" s="193">
        <f t="shared" si="609"/>
        <v>0</v>
      </c>
      <c r="LI46" s="193">
        <f t="shared" si="609"/>
        <v>0</v>
      </c>
      <c r="LJ46" s="193">
        <f t="shared" si="609"/>
        <v>0</v>
      </c>
      <c r="LK46" s="193">
        <f t="shared" si="609"/>
        <v>0</v>
      </c>
      <c r="LL46" s="193">
        <f t="shared" si="609"/>
        <v>0</v>
      </c>
      <c r="LM46" s="193">
        <f t="shared" si="609"/>
        <v>0</v>
      </c>
      <c r="LN46" s="193">
        <f t="shared" si="609"/>
        <v>0</v>
      </c>
      <c r="LO46" s="193">
        <f t="shared" si="609"/>
        <v>0</v>
      </c>
      <c r="LP46" s="193">
        <f t="shared" si="609"/>
        <v>0</v>
      </c>
      <c r="LQ46" s="193">
        <f t="shared" si="609"/>
        <v>1</v>
      </c>
      <c r="LR46" s="193">
        <f t="shared" si="609"/>
        <v>0</v>
      </c>
      <c r="LS46" s="193">
        <f t="shared" si="609"/>
        <v>1</v>
      </c>
      <c r="LT46" s="193">
        <f t="shared" si="609"/>
        <v>0</v>
      </c>
      <c r="LU46" s="193">
        <f t="shared" si="609"/>
        <v>0</v>
      </c>
      <c r="LV46" s="193">
        <f t="shared" si="609"/>
        <v>0</v>
      </c>
      <c r="LW46" s="193">
        <f t="shared" si="609"/>
        <v>0</v>
      </c>
      <c r="LX46" s="193">
        <f t="shared" si="609"/>
        <v>0</v>
      </c>
      <c r="LY46" s="193">
        <f t="shared" si="609"/>
        <v>0</v>
      </c>
      <c r="LZ46" s="193">
        <f t="shared" si="609"/>
        <v>1</v>
      </c>
      <c r="MA46" s="193">
        <f t="shared" si="609"/>
        <v>0</v>
      </c>
      <c r="MB46" s="193">
        <f t="shared" si="609"/>
        <v>1</v>
      </c>
      <c r="MC46" s="193">
        <f t="shared" si="609"/>
        <v>0</v>
      </c>
      <c r="MD46" s="193">
        <f t="shared" si="609"/>
        <v>1</v>
      </c>
      <c r="ME46" s="193">
        <f t="shared" si="609"/>
        <v>0</v>
      </c>
      <c r="MF46" s="193">
        <f t="shared" si="609"/>
        <v>0</v>
      </c>
      <c r="MG46" s="193">
        <f t="shared" si="609"/>
        <v>0</v>
      </c>
      <c r="MH46" s="193">
        <f t="shared" si="609"/>
        <v>0</v>
      </c>
      <c r="MI46" s="193">
        <f t="shared" si="609"/>
        <v>1</v>
      </c>
      <c r="MJ46" s="193">
        <f t="shared" si="609"/>
        <v>0</v>
      </c>
      <c r="MK46" s="193">
        <f t="shared" si="609"/>
        <v>0</v>
      </c>
      <c r="ML46" s="193">
        <f t="shared" si="609"/>
        <v>0</v>
      </c>
      <c r="MM46" s="193">
        <f t="shared" si="609"/>
        <v>0</v>
      </c>
      <c r="MN46" s="193">
        <f t="shared" si="609"/>
        <v>0</v>
      </c>
      <c r="MO46" s="193">
        <f t="shared" si="609"/>
        <v>1</v>
      </c>
      <c r="MP46" s="193">
        <f t="shared" si="609"/>
        <v>0</v>
      </c>
      <c r="MQ46" s="193">
        <f t="shared" si="609"/>
        <v>1</v>
      </c>
      <c r="MR46" s="193">
        <f t="shared" si="609"/>
        <v>0</v>
      </c>
      <c r="MS46" s="193">
        <f t="shared" si="609"/>
        <v>0</v>
      </c>
      <c r="MT46" s="193">
        <f t="shared" si="609"/>
        <v>1</v>
      </c>
      <c r="MU46" s="193">
        <f t="shared" si="609"/>
        <v>0</v>
      </c>
      <c r="MV46" s="193">
        <f t="shared" si="609"/>
        <v>0</v>
      </c>
      <c r="MW46" s="193">
        <f t="shared" si="609"/>
        <v>0</v>
      </c>
      <c r="MX46" s="193">
        <f t="shared" si="609"/>
        <v>0</v>
      </c>
      <c r="MY46" s="193">
        <f t="shared" si="609"/>
        <v>0</v>
      </c>
      <c r="MZ46" s="193">
        <f t="shared" si="609"/>
        <v>1</v>
      </c>
      <c r="NA46" s="193">
        <f t="shared" si="609"/>
        <v>0</v>
      </c>
      <c r="NB46" s="193">
        <f t="shared" si="609"/>
        <v>1</v>
      </c>
      <c r="NC46" s="193">
        <f t="shared" si="609"/>
        <v>0</v>
      </c>
      <c r="ND46" s="193">
        <f t="shared" si="609"/>
        <v>0</v>
      </c>
      <c r="NE46" s="193">
        <f t="shared" si="609"/>
        <v>0</v>
      </c>
      <c r="NF46" s="193">
        <f t="shared" si="609"/>
        <v>0</v>
      </c>
      <c r="NG46" s="193">
        <f t="shared" si="609"/>
        <v>0</v>
      </c>
      <c r="NH46" s="193">
        <f t="shared" si="609"/>
        <v>0</v>
      </c>
      <c r="NI46" s="193">
        <f t="shared" si="609"/>
        <v>0</v>
      </c>
      <c r="NJ46" s="193">
        <f t="shared" si="609"/>
        <v>0</v>
      </c>
      <c r="NK46" s="193">
        <f t="shared" si="609"/>
        <v>0</v>
      </c>
      <c r="NL46" s="193">
        <f t="shared" si="609"/>
        <v>0</v>
      </c>
      <c r="NM46" s="193">
        <f t="shared" si="609"/>
        <v>0</v>
      </c>
      <c r="NN46" s="193">
        <f t="shared" si="609"/>
        <v>0</v>
      </c>
      <c r="NO46" s="193">
        <f t="shared" ref="NO46:OV46" si="610">SUM(NO36:NO45)</f>
        <v>0</v>
      </c>
      <c r="NP46" s="193">
        <f t="shared" si="610"/>
        <v>0</v>
      </c>
      <c r="NQ46" s="193">
        <f t="shared" si="610"/>
        <v>1</v>
      </c>
      <c r="NR46" s="193">
        <f t="shared" si="610"/>
        <v>0</v>
      </c>
      <c r="NS46" s="193">
        <f t="shared" si="610"/>
        <v>0</v>
      </c>
      <c r="NT46" s="193">
        <f t="shared" si="610"/>
        <v>0</v>
      </c>
      <c r="NU46" s="193">
        <f t="shared" si="610"/>
        <v>0</v>
      </c>
      <c r="NV46" s="193">
        <f t="shared" si="610"/>
        <v>0</v>
      </c>
      <c r="NW46" s="193">
        <f t="shared" si="610"/>
        <v>1</v>
      </c>
      <c r="NX46" s="193">
        <f t="shared" si="610"/>
        <v>0</v>
      </c>
      <c r="NY46" s="193">
        <f t="shared" si="610"/>
        <v>1</v>
      </c>
      <c r="NZ46" s="193">
        <f t="shared" si="610"/>
        <v>0</v>
      </c>
      <c r="OA46" s="193">
        <f t="shared" si="610"/>
        <v>0</v>
      </c>
      <c r="OB46" s="193">
        <f t="shared" si="610"/>
        <v>0</v>
      </c>
      <c r="OC46" s="193">
        <f t="shared" si="610"/>
        <v>0</v>
      </c>
      <c r="OD46" s="193">
        <f t="shared" si="610"/>
        <v>0</v>
      </c>
      <c r="OE46" s="193">
        <f t="shared" si="610"/>
        <v>0</v>
      </c>
      <c r="OF46" s="193">
        <f t="shared" si="610"/>
        <v>0</v>
      </c>
      <c r="OG46" s="193">
        <f t="shared" si="610"/>
        <v>0</v>
      </c>
      <c r="OH46" s="193">
        <f t="shared" si="610"/>
        <v>0</v>
      </c>
      <c r="OI46" s="193">
        <f t="shared" si="610"/>
        <v>0</v>
      </c>
      <c r="OJ46" s="193">
        <f t="shared" si="610"/>
        <v>1</v>
      </c>
      <c r="OK46" s="193">
        <f t="shared" si="610"/>
        <v>1</v>
      </c>
      <c r="OL46" s="193">
        <f t="shared" si="610"/>
        <v>0</v>
      </c>
      <c r="OM46" s="193">
        <f t="shared" si="610"/>
        <v>1</v>
      </c>
      <c r="ON46" s="193">
        <f t="shared" si="610"/>
        <v>0</v>
      </c>
      <c r="OO46" s="193">
        <f t="shared" si="610"/>
        <v>0</v>
      </c>
      <c r="OP46" s="193">
        <f t="shared" si="610"/>
        <v>1</v>
      </c>
      <c r="OQ46" s="193">
        <f t="shared" si="610"/>
        <v>0</v>
      </c>
      <c r="OR46" s="193">
        <f t="shared" si="610"/>
        <v>0</v>
      </c>
      <c r="OS46" s="193">
        <f t="shared" si="610"/>
        <v>0</v>
      </c>
      <c r="OT46" s="193">
        <f t="shared" si="610"/>
        <v>0</v>
      </c>
      <c r="OU46" s="193">
        <f t="shared" si="610"/>
        <v>1</v>
      </c>
      <c r="OV46" s="193">
        <f t="shared" si="610"/>
        <v>0</v>
      </c>
      <c r="OW46" s="193"/>
      <c r="OX46" s="193"/>
      <c r="OY46" s="193"/>
      <c r="OZ46" s="193">
        <f t="shared" ref="OZ46:QE46" si="611">SUM(OZ36:OZ45)</f>
        <v>1</v>
      </c>
      <c r="PA46" s="193">
        <f t="shared" si="611"/>
        <v>0</v>
      </c>
      <c r="PB46" s="193">
        <f t="shared" si="611"/>
        <v>0</v>
      </c>
      <c r="PC46" s="193">
        <f t="shared" si="611"/>
        <v>0</v>
      </c>
      <c r="PD46" s="193">
        <f t="shared" si="611"/>
        <v>1</v>
      </c>
      <c r="PE46" s="193">
        <f t="shared" si="611"/>
        <v>0</v>
      </c>
      <c r="PF46" s="193">
        <f t="shared" si="611"/>
        <v>0</v>
      </c>
      <c r="PG46" s="193">
        <f t="shared" si="611"/>
        <v>0</v>
      </c>
      <c r="PH46" s="193">
        <f t="shared" si="611"/>
        <v>0</v>
      </c>
      <c r="PI46" s="193">
        <f t="shared" si="611"/>
        <v>1</v>
      </c>
      <c r="PJ46" s="193">
        <f t="shared" si="611"/>
        <v>1</v>
      </c>
      <c r="PK46" s="193">
        <f t="shared" si="611"/>
        <v>0</v>
      </c>
      <c r="PL46" s="193">
        <f t="shared" si="611"/>
        <v>6</v>
      </c>
      <c r="PM46" s="193">
        <f t="shared" si="611"/>
        <v>24</v>
      </c>
      <c r="PN46" s="193">
        <f t="shared" si="611"/>
        <v>4</v>
      </c>
      <c r="PO46" s="193">
        <f t="shared" si="611"/>
        <v>28</v>
      </c>
      <c r="PP46" s="193">
        <f t="shared" si="611"/>
        <v>1</v>
      </c>
      <c r="PQ46" s="193">
        <f t="shared" si="611"/>
        <v>0</v>
      </c>
      <c r="PR46" s="193">
        <f t="shared" si="611"/>
        <v>0</v>
      </c>
      <c r="PS46" s="193">
        <f t="shared" si="611"/>
        <v>0</v>
      </c>
      <c r="PT46" s="193">
        <f t="shared" si="611"/>
        <v>0</v>
      </c>
      <c r="PU46" s="193">
        <f t="shared" si="611"/>
        <v>0</v>
      </c>
      <c r="PV46" s="193">
        <f t="shared" si="611"/>
        <v>1</v>
      </c>
      <c r="PW46" s="193">
        <f t="shared" si="611"/>
        <v>0</v>
      </c>
      <c r="PX46" s="193">
        <f t="shared" si="611"/>
        <v>1</v>
      </c>
      <c r="PY46" s="193">
        <f t="shared" si="611"/>
        <v>0</v>
      </c>
      <c r="PZ46" s="193">
        <f t="shared" si="611"/>
        <v>1</v>
      </c>
      <c r="QA46" s="193">
        <f t="shared" si="611"/>
        <v>0</v>
      </c>
      <c r="QB46" s="193">
        <f t="shared" si="611"/>
        <v>1</v>
      </c>
      <c r="QC46" s="193">
        <f t="shared" si="611"/>
        <v>0</v>
      </c>
      <c r="QD46" s="193">
        <f t="shared" si="611"/>
        <v>1</v>
      </c>
      <c r="QE46" s="193">
        <f t="shared" si="611"/>
        <v>0</v>
      </c>
      <c r="QF46" s="193">
        <f t="shared" ref="QF46:RK46" si="612">SUM(QF36:QF45)</f>
        <v>0</v>
      </c>
      <c r="QG46" s="193">
        <f t="shared" si="612"/>
        <v>0</v>
      </c>
      <c r="QH46" s="193">
        <f t="shared" si="612"/>
        <v>0</v>
      </c>
      <c r="QI46" s="193">
        <f t="shared" si="612"/>
        <v>1</v>
      </c>
      <c r="QJ46" s="193">
        <f t="shared" si="612"/>
        <v>0</v>
      </c>
      <c r="QK46" s="193">
        <f t="shared" si="612"/>
        <v>0</v>
      </c>
      <c r="QL46" s="193">
        <f t="shared" si="612"/>
        <v>1</v>
      </c>
      <c r="QM46" s="193">
        <f t="shared" si="612"/>
        <v>1</v>
      </c>
      <c r="QN46" s="193">
        <f t="shared" si="612"/>
        <v>0</v>
      </c>
      <c r="QO46" s="193">
        <f t="shared" si="612"/>
        <v>1</v>
      </c>
      <c r="QP46" s="193">
        <f t="shared" si="612"/>
        <v>0</v>
      </c>
      <c r="QQ46" s="193">
        <f t="shared" si="612"/>
        <v>0</v>
      </c>
      <c r="QR46" s="193">
        <f t="shared" si="612"/>
        <v>1</v>
      </c>
      <c r="QS46" s="193">
        <f t="shared" si="612"/>
        <v>0</v>
      </c>
      <c r="QT46" s="193">
        <f t="shared" si="612"/>
        <v>0</v>
      </c>
      <c r="QU46" s="193">
        <f t="shared" si="612"/>
        <v>1</v>
      </c>
      <c r="QV46" s="193">
        <f t="shared" si="612"/>
        <v>0</v>
      </c>
      <c r="QW46" s="193">
        <f t="shared" si="612"/>
        <v>0</v>
      </c>
      <c r="QX46" s="193">
        <f t="shared" si="612"/>
        <v>0</v>
      </c>
      <c r="QY46" s="193">
        <f t="shared" si="612"/>
        <v>0</v>
      </c>
      <c r="QZ46" s="193">
        <f t="shared" si="612"/>
        <v>0</v>
      </c>
      <c r="RA46" s="193">
        <f t="shared" si="612"/>
        <v>1</v>
      </c>
      <c r="RB46" s="193">
        <f t="shared" si="612"/>
        <v>1</v>
      </c>
      <c r="RC46" s="193">
        <f t="shared" si="612"/>
        <v>0</v>
      </c>
      <c r="RD46" s="193">
        <f t="shared" si="612"/>
        <v>0</v>
      </c>
      <c r="RE46" s="193">
        <f t="shared" si="612"/>
        <v>1</v>
      </c>
      <c r="RF46" s="193">
        <f t="shared" si="612"/>
        <v>1</v>
      </c>
      <c r="RG46" s="193">
        <f t="shared" si="612"/>
        <v>0</v>
      </c>
      <c r="RH46" s="193">
        <f t="shared" si="612"/>
        <v>0</v>
      </c>
      <c r="RI46" s="193">
        <f t="shared" si="612"/>
        <v>0</v>
      </c>
      <c r="RJ46" s="193">
        <f t="shared" si="612"/>
        <v>1</v>
      </c>
      <c r="RK46" s="193">
        <f t="shared" si="612"/>
        <v>0</v>
      </c>
      <c r="RL46" s="193">
        <f t="shared" ref="RL46:RN46" si="613">SUM(RL36:RL45)</f>
        <v>1</v>
      </c>
      <c r="RM46" s="193">
        <f t="shared" si="613"/>
        <v>0</v>
      </c>
      <c r="RN46" s="193">
        <f t="shared" si="613"/>
        <v>0</v>
      </c>
      <c r="RO46" s="193"/>
      <c r="RP46" s="193"/>
      <c r="RQ46" s="193"/>
      <c r="RR46" s="193"/>
      <c r="RS46" s="193"/>
      <c r="RT46" s="193"/>
      <c r="RU46" s="193">
        <f t="shared" ref="RU46:SP46" si="614">SUM(RU36:RU45)</f>
        <v>0</v>
      </c>
      <c r="RV46" s="193">
        <f t="shared" si="614"/>
        <v>0</v>
      </c>
      <c r="RW46" s="193">
        <f t="shared" si="614"/>
        <v>2</v>
      </c>
      <c r="RX46" s="193">
        <f t="shared" si="614"/>
        <v>0</v>
      </c>
      <c r="RY46" s="193">
        <f t="shared" si="614"/>
        <v>2</v>
      </c>
      <c r="RZ46" s="193">
        <f t="shared" si="614"/>
        <v>0</v>
      </c>
      <c r="SA46" s="193">
        <f t="shared" si="614"/>
        <v>0</v>
      </c>
      <c r="SB46" s="193">
        <f t="shared" si="614"/>
        <v>1</v>
      </c>
      <c r="SC46" s="193">
        <f t="shared" si="614"/>
        <v>0</v>
      </c>
      <c r="SD46" s="193">
        <f t="shared" si="614"/>
        <v>0</v>
      </c>
      <c r="SE46" s="193">
        <f t="shared" si="614"/>
        <v>0</v>
      </c>
      <c r="SF46" s="193">
        <f t="shared" si="614"/>
        <v>0</v>
      </c>
      <c r="SG46" s="193">
        <f t="shared" si="614"/>
        <v>0</v>
      </c>
      <c r="SH46" s="193">
        <f t="shared" si="614"/>
        <v>0</v>
      </c>
      <c r="SI46" s="193">
        <f t="shared" si="614"/>
        <v>0</v>
      </c>
      <c r="SJ46" s="193">
        <f t="shared" si="614"/>
        <v>0</v>
      </c>
      <c r="SK46" s="193">
        <f t="shared" si="614"/>
        <v>0</v>
      </c>
      <c r="SL46" s="193">
        <f t="shared" si="614"/>
        <v>0</v>
      </c>
      <c r="SM46" s="193">
        <f t="shared" si="614"/>
        <v>0</v>
      </c>
      <c r="SN46" s="193">
        <f t="shared" si="614"/>
        <v>0</v>
      </c>
      <c r="SO46" s="193">
        <f t="shared" si="614"/>
        <v>0</v>
      </c>
      <c r="SP46" s="193">
        <f t="shared" si="614"/>
        <v>0</v>
      </c>
      <c r="SQ46" s="193"/>
      <c r="SR46" s="193"/>
      <c r="SS46" s="195"/>
    </row>
    <row r="47" spans="1:513" s="194" customFormat="1" ht="20.25" customHeight="1">
      <c r="A47" s="221" t="s">
        <v>470</v>
      </c>
      <c r="B47" s="242"/>
      <c r="C47" s="242"/>
      <c r="D47" s="242"/>
      <c r="E47" s="222"/>
      <c r="F47" s="193">
        <f t="shared" ref="F47:AK47" si="615">SUM(F36:F42)</f>
        <v>1</v>
      </c>
      <c r="G47" s="193">
        <f t="shared" si="615"/>
        <v>0</v>
      </c>
      <c r="H47" s="193">
        <f t="shared" si="615"/>
        <v>0</v>
      </c>
      <c r="I47" s="193">
        <f t="shared" si="615"/>
        <v>1</v>
      </c>
      <c r="J47" s="193">
        <f t="shared" si="615"/>
        <v>0</v>
      </c>
      <c r="K47" s="193">
        <f t="shared" si="615"/>
        <v>1</v>
      </c>
      <c r="L47" s="193">
        <f t="shared" si="615"/>
        <v>0</v>
      </c>
      <c r="M47" s="193">
        <f t="shared" si="615"/>
        <v>0</v>
      </c>
      <c r="N47" s="193">
        <f t="shared" si="615"/>
        <v>0</v>
      </c>
      <c r="O47" s="193">
        <f t="shared" si="615"/>
        <v>1</v>
      </c>
      <c r="P47" s="193">
        <f t="shared" si="615"/>
        <v>0</v>
      </c>
      <c r="Q47" s="193">
        <f t="shared" si="615"/>
        <v>1</v>
      </c>
      <c r="R47" s="193">
        <f t="shared" si="615"/>
        <v>0</v>
      </c>
      <c r="S47" s="193">
        <f t="shared" si="615"/>
        <v>0</v>
      </c>
      <c r="T47" s="193">
        <f t="shared" si="615"/>
        <v>0</v>
      </c>
      <c r="U47" s="193">
        <f t="shared" si="615"/>
        <v>1</v>
      </c>
      <c r="V47" s="193">
        <f t="shared" si="615"/>
        <v>213</v>
      </c>
      <c r="W47" s="193">
        <f t="shared" si="615"/>
        <v>107</v>
      </c>
      <c r="X47" s="193">
        <f t="shared" si="615"/>
        <v>152</v>
      </c>
      <c r="Y47" s="193">
        <f t="shared" si="615"/>
        <v>74</v>
      </c>
      <c r="Z47" s="193">
        <f t="shared" si="615"/>
        <v>115</v>
      </c>
      <c r="AA47" s="193">
        <f t="shared" si="615"/>
        <v>54</v>
      </c>
      <c r="AB47" s="193">
        <f t="shared" si="615"/>
        <v>80</v>
      </c>
      <c r="AC47" s="193">
        <f t="shared" si="615"/>
        <v>30</v>
      </c>
      <c r="AD47" s="193">
        <f t="shared" si="615"/>
        <v>85</v>
      </c>
      <c r="AE47" s="193">
        <f t="shared" si="615"/>
        <v>52</v>
      </c>
      <c r="AF47" s="193">
        <f t="shared" si="615"/>
        <v>645</v>
      </c>
      <c r="AG47" s="193">
        <f t="shared" si="615"/>
        <v>317</v>
      </c>
      <c r="AH47" s="193">
        <f t="shared" si="615"/>
        <v>962</v>
      </c>
      <c r="AI47" s="193">
        <f t="shared" si="615"/>
        <v>213</v>
      </c>
      <c r="AJ47" s="193">
        <f t="shared" si="615"/>
        <v>107</v>
      </c>
      <c r="AK47" s="193">
        <f t="shared" si="615"/>
        <v>152</v>
      </c>
      <c r="AL47" s="193">
        <f t="shared" ref="AL47:BQ47" si="616">SUM(AL36:AL42)</f>
        <v>74</v>
      </c>
      <c r="AM47" s="193">
        <f t="shared" si="616"/>
        <v>118</v>
      </c>
      <c r="AN47" s="193">
        <f t="shared" si="616"/>
        <v>54</v>
      </c>
      <c r="AO47" s="193">
        <f t="shared" si="616"/>
        <v>83</v>
      </c>
      <c r="AP47" s="193">
        <f t="shared" si="616"/>
        <v>30</v>
      </c>
      <c r="AQ47" s="193">
        <f t="shared" si="616"/>
        <v>115</v>
      </c>
      <c r="AR47" s="193">
        <f t="shared" si="616"/>
        <v>52</v>
      </c>
      <c r="AS47" s="193">
        <f t="shared" si="616"/>
        <v>681</v>
      </c>
      <c r="AT47" s="193">
        <f t="shared" si="616"/>
        <v>317</v>
      </c>
      <c r="AU47" s="193">
        <f t="shared" si="616"/>
        <v>998</v>
      </c>
      <c r="AV47" s="193">
        <f t="shared" si="616"/>
        <v>85</v>
      </c>
      <c r="AW47" s="193">
        <f t="shared" si="616"/>
        <v>42</v>
      </c>
      <c r="AX47" s="193">
        <f t="shared" si="616"/>
        <v>61</v>
      </c>
      <c r="AY47" s="193">
        <f t="shared" si="616"/>
        <v>30</v>
      </c>
      <c r="AZ47" s="193">
        <f t="shared" si="616"/>
        <v>78</v>
      </c>
      <c r="BA47" s="193">
        <f t="shared" si="616"/>
        <v>50</v>
      </c>
      <c r="BB47" s="193">
        <f t="shared" si="616"/>
        <v>20</v>
      </c>
      <c r="BC47" s="193">
        <f t="shared" si="616"/>
        <v>38</v>
      </c>
      <c r="BD47" s="193">
        <f t="shared" si="616"/>
        <v>29</v>
      </c>
      <c r="BE47" s="193">
        <f t="shared" si="616"/>
        <v>23</v>
      </c>
      <c r="BF47" s="193">
        <f t="shared" si="616"/>
        <v>273</v>
      </c>
      <c r="BG47" s="193">
        <f t="shared" si="616"/>
        <v>183</v>
      </c>
      <c r="BH47" s="193">
        <f t="shared" si="616"/>
        <v>456</v>
      </c>
      <c r="BI47" s="193">
        <f t="shared" si="616"/>
        <v>28</v>
      </c>
      <c r="BJ47" s="193">
        <f t="shared" si="616"/>
        <v>12</v>
      </c>
      <c r="BK47" s="193">
        <f t="shared" si="616"/>
        <v>62</v>
      </c>
      <c r="BL47" s="193">
        <f t="shared" si="616"/>
        <v>24</v>
      </c>
      <c r="BM47" s="193">
        <f t="shared" si="616"/>
        <v>149</v>
      </c>
      <c r="BN47" s="193">
        <f t="shared" si="616"/>
        <v>16</v>
      </c>
      <c r="BO47" s="193">
        <f t="shared" si="616"/>
        <v>224</v>
      </c>
      <c r="BP47" s="193">
        <f t="shared" si="616"/>
        <v>20</v>
      </c>
      <c r="BQ47" s="193">
        <f t="shared" si="616"/>
        <v>77</v>
      </c>
      <c r="BR47" s="193">
        <f t="shared" ref="BR47:CW47" si="617">SUM(BR36:BR42)</f>
        <v>23</v>
      </c>
      <c r="BS47" s="193">
        <f t="shared" si="617"/>
        <v>540</v>
      </c>
      <c r="BT47" s="193">
        <f t="shared" si="617"/>
        <v>95</v>
      </c>
      <c r="BU47" s="193">
        <f t="shared" si="617"/>
        <v>635</v>
      </c>
      <c r="BV47" s="193">
        <f t="shared" si="617"/>
        <v>213</v>
      </c>
      <c r="BW47" s="193">
        <f t="shared" si="617"/>
        <v>107</v>
      </c>
      <c r="BX47" s="193">
        <f t="shared" si="617"/>
        <v>237</v>
      </c>
      <c r="BY47" s="193">
        <f t="shared" si="617"/>
        <v>116</v>
      </c>
      <c r="BZ47" s="193">
        <f t="shared" si="617"/>
        <v>207</v>
      </c>
      <c r="CA47" s="193">
        <f t="shared" si="617"/>
        <v>96</v>
      </c>
      <c r="CB47" s="193">
        <f t="shared" si="617"/>
        <v>223</v>
      </c>
      <c r="CC47" s="193">
        <f t="shared" si="617"/>
        <v>104</v>
      </c>
      <c r="CD47" s="193">
        <f t="shared" si="617"/>
        <v>284</v>
      </c>
      <c r="CE47" s="193">
        <f t="shared" si="617"/>
        <v>106</v>
      </c>
      <c r="CF47" s="193">
        <f t="shared" si="617"/>
        <v>253</v>
      </c>
      <c r="CG47" s="193">
        <f t="shared" si="617"/>
        <v>43</v>
      </c>
      <c r="CH47" s="193">
        <f t="shared" si="617"/>
        <v>77</v>
      </c>
      <c r="CI47" s="193">
        <f t="shared" si="617"/>
        <v>23</v>
      </c>
      <c r="CJ47" s="193">
        <f t="shared" si="617"/>
        <v>1494</v>
      </c>
      <c r="CK47" s="193">
        <f t="shared" si="617"/>
        <v>595</v>
      </c>
      <c r="CL47" s="193">
        <f t="shared" si="617"/>
        <v>2089</v>
      </c>
      <c r="CM47" s="193">
        <f t="shared" si="617"/>
        <v>13</v>
      </c>
      <c r="CN47" s="193">
        <f t="shared" si="617"/>
        <v>7</v>
      </c>
      <c r="CO47" s="193">
        <f t="shared" si="617"/>
        <v>0</v>
      </c>
      <c r="CP47" s="193">
        <f t="shared" si="617"/>
        <v>8</v>
      </c>
      <c r="CQ47" s="193">
        <f t="shared" si="617"/>
        <v>5</v>
      </c>
      <c r="CR47" s="193">
        <f t="shared" si="617"/>
        <v>0</v>
      </c>
      <c r="CS47" s="193">
        <f t="shared" si="617"/>
        <v>9</v>
      </c>
      <c r="CT47" s="193">
        <f t="shared" si="617"/>
        <v>3</v>
      </c>
      <c r="CU47" s="193">
        <f t="shared" si="617"/>
        <v>0</v>
      </c>
      <c r="CV47" s="193">
        <f t="shared" si="617"/>
        <v>30</v>
      </c>
      <c r="CW47" s="193">
        <f t="shared" si="617"/>
        <v>15</v>
      </c>
      <c r="CX47" s="193">
        <f t="shared" ref="CX47:EC47" si="618">SUM(CX36:CX42)</f>
        <v>0</v>
      </c>
      <c r="CY47" s="193">
        <f t="shared" si="618"/>
        <v>45</v>
      </c>
      <c r="CZ47" s="193">
        <f t="shared" si="618"/>
        <v>1</v>
      </c>
      <c r="DA47" s="193">
        <f t="shared" si="618"/>
        <v>5</v>
      </c>
      <c r="DB47" s="193">
        <f t="shared" si="618"/>
        <v>1</v>
      </c>
      <c r="DC47" s="193">
        <f t="shared" si="618"/>
        <v>3</v>
      </c>
      <c r="DD47" s="193">
        <f t="shared" si="618"/>
        <v>4</v>
      </c>
      <c r="DE47" s="193">
        <f t="shared" si="618"/>
        <v>2</v>
      </c>
      <c r="DF47" s="193">
        <f t="shared" si="618"/>
        <v>6</v>
      </c>
      <c r="DG47" s="193">
        <f t="shared" si="618"/>
        <v>10</v>
      </c>
      <c r="DH47" s="193">
        <f t="shared" si="618"/>
        <v>16</v>
      </c>
      <c r="DI47" s="193">
        <f t="shared" si="618"/>
        <v>0</v>
      </c>
      <c r="DJ47" s="193">
        <f t="shared" si="618"/>
        <v>0</v>
      </c>
      <c r="DK47" s="193">
        <f t="shared" si="618"/>
        <v>0</v>
      </c>
      <c r="DL47" s="193">
        <f t="shared" si="618"/>
        <v>0</v>
      </c>
      <c r="DM47" s="193">
        <f t="shared" si="618"/>
        <v>0</v>
      </c>
      <c r="DN47" s="193">
        <f t="shared" si="618"/>
        <v>0</v>
      </c>
      <c r="DO47" s="193">
        <f t="shared" si="618"/>
        <v>0</v>
      </c>
      <c r="DP47" s="193">
        <f t="shared" si="618"/>
        <v>0</v>
      </c>
      <c r="DQ47" s="193">
        <f t="shared" si="618"/>
        <v>0</v>
      </c>
      <c r="DR47" s="193">
        <f t="shared" si="618"/>
        <v>178</v>
      </c>
      <c r="DS47" s="193">
        <f t="shared" si="618"/>
        <v>173</v>
      </c>
      <c r="DT47" s="193">
        <f t="shared" si="618"/>
        <v>126</v>
      </c>
      <c r="DU47" s="193">
        <f t="shared" si="618"/>
        <v>48</v>
      </c>
      <c r="DV47" s="193">
        <f t="shared" si="618"/>
        <v>194</v>
      </c>
      <c r="DW47" s="193">
        <f t="shared" si="618"/>
        <v>100</v>
      </c>
      <c r="DX47" s="193">
        <f t="shared" si="618"/>
        <v>498</v>
      </c>
      <c r="DY47" s="193">
        <f t="shared" si="618"/>
        <v>321</v>
      </c>
      <c r="DZ47" s="193">
        <f t="shared" si="618"/>
        <v>819</v>
      </c>
      <c r="EA47" s="193">
        <f t="shared" si="618"/>
        <v>30</v>
      </c>
      <c r="EB47" s="193">
        <f t="shared" si="618"/>
        <v>16</v>
      </c>
      <c r="EC47" s="193">
        <f t="shared" si="618"/>
        <v>11</v>
      </c>
      <c r="ED47" s="193">
        <f t="shared" ref="ED47:FI47" si="619">SUM(ED36:ED42)</f>
        <v>1</v>
      </c>
      <c r="EE47" s="193">
        <f t="shared" si="619"/>
        <v>63</v>
      </c>
      <c r="EF47" s="193">
        <f t="shared" si="619"/>
        <v>6</v>
      </c>
      <c r="EG47" s="193">
        <f t="shared" si="619"/>
        <v>104</v>
      </c>
      <c r="EH47" s="193">
        <f t="shared" si="619"/>
        <v>23</v>
      </c>
      <c r="EI47" s="193">
        <f t="shared" si="619"/>
        <v>127</v>
      </c>
      <c r="EJ47" s="193">
        <f t="shared" si="619"/>
        <v>14</v>
      </c>
      <c r="EK47" s="193">
        <f t="shared" si="619"/>
        <v>6</v>
      </c>
      <c r="EL47" s="193">
        <f t="shared" si="619"/>
        <v>4</v>
      </c>
      <c r="EM47" s="193">
        <f t="shared" si="619"/>
        <v>1</v>
      </c>
      <c r="EN47" s="193">
        <f t="shared" si="619"/>
        <v>8</v>
      </c>
      <c r="EO47" s="193">
        <f t="shared" si="619"/>
        <v>1</v>
      </c>
      <c r="EP47" s="193">
        <f t="shared" si="619"/>
        <v>26</v>
      </c>
      <c r="EQ47" s="193">
        <f t="shared" si="619"/>
        <v>8</v>
      </c>
      <c r="ER47" s="193">
        <f t="shared" si="619"/>
        <v>34</v>
      </c>
      <c r="ES47" s="193">
        <f t="shared" si="619"/>
        <v>0</v>
      </c>
      <c r="ET47" s="193">
        <f t="shared" si="619"/>
        <v>0</v>
      </c>
      <c r="EU47" s="193">
        <f t="shared" si="619"/>
        <v>0</v>
      </c>
      <c r="EV47" s="193">
        <f t="shared" si="619"/>
        <v>0</v>
      </c>
      <c r="EW47" s="193">
        <f t="shared" si="619"/>
        <v>14</v>
      </c>
      <c r="EX47" s="193">
        <f t="shared" si="619"/>
        <v>0</v>
      </c>
      <c r="EY47" s="193">
        <f t="shared" si="619"/>
        <v>14</v>
      </c>
      <c r="EZ47" s="193">
        <f t="shared" si="619"/>
        <v>0</v>
      </c>
      <c r="FA47" s="193">
        <f t="shared" si="619"/>
        <v>14</v>
      </c>
      <c r="FB47" s="193">
        <f t="shared" si="619"/>
        <v>1</v>
      </c>
      <c r="FC47" s="193">
        <f t="shared" si="619"/>
        <v>0</v>
      </c>
      <c r="FD47" s="193">
        <f t="shared" si="619"/>
        <v>0</v>
      </c>
      <c r="FE47" s="193">
        <f t="shared" si="619"/>
        <v>0</v>
      </c>
      <c r="FF47" s="193">
        <f t="shared" si="619"/>
        <v>0</v>
      </c>
      <c r="FG47" s="193">
        <f t="shared" si="619"/>
        <v>0</v>
      </c>
      <c r="FH47" s="193">
        <f t="shared" si="619"/>
        <v>0</v>
      </c>
      <c r="FI47" s="193">
        <f t="shared" si="619"/>
        <v>0</v>
      </c>
      <c r="FJ47" s="193">
        <f t="shared" ref="FJ47:GB47" si="620">SUM(FJ36:FJ42)</f>
        <v>0</v>
      </c>
      <c r="FK47" s="193">
        <f t="shared" si="620"/>
        <v>0</v>
      </c>
      <c r="FL47" s="193">
        <f t="shared" si="620"/>
        <v>1</v>
      </c>
      <c r="FM47" s="193">
        <f t="shared" si="620"/>
        <v>0</v>
      </c>
      <c r="FN47" s="193">
        <f t="shared" si="620"/>
        <v>1</v>
      </c>
      <c r="FO47" s="193">
        <f t="shared" si="620"/>
        <v>0</v>
      </c>
      <c r="FP47" s="193">
        <f t="shared" si="620"/>
        <v>0</v>
      </c>
      <c r="FQ47" s="193">
        <f t="shared" si="620"/>
        <v>0</v>
      </c>
      <c r="FR47" s="193">
        <f t="shared" si="620"/>
        <v>0</v>
      </c>
      <c r="FS47" s="193">
        <f t="shared" si="620"/>
        <v>0</v>
      </c>
      <c r="FT47" s="193">
        <f t="shared" si="620"/>
        <v>0</v>
      </c>
      <c r="FU47" s="193">
        <f t="shared" si="620"/>
        <v>0</v>
      </c>
      <c r="FV47" s="193">
        <f t="shared" si="620"/>
        <v>0</v>
      </c>
      <c r="FW47" s="193">
        <f t="shared" si="620"/>
        <v>0</v>
      </c>
      <c r="FX47" s="193">
        <f t="shared" si="620"/>
        <v>0</v>
      </c>
      <c r="FY47" s="193">
        <f t="shared" si="620"/>
        <v>0</v>
      </c>
      <c r="FZ47" s="193">
        <f t="shared" si="620"/>
        <v>0</v>
      </c>
      <c r="GA47" s="193">
        <f t="shared" si="620"/>
        <v>0</v>
      </c>
      <c r="GB47" s="193">
        <f t="shared" si="620"/>
        <v>0</v>
      </c>
      <c r="GC47" s="193"/>
      <c r="GD47" s="193"/>
      <c r="GE47" s="193">
        <f t="shared" ref="GE47:IP47" si="621">SUM(GE36:GE42)</f>
        <v>0</v>
      </c>
      <c r="GF47" s="193">
        <f t="shared" si="621"/>
        <v>0</v>
      </c>
      <c r="GG47" s="193">
        <f t="shared" si="621"/>
        <v>0</v>
      </c>
      <c r="GH47" s="193">
        <f t="shared" si="621"/>
        <v>0</v>
      </c>
      <c r="GI47" s="193">
        <f t="shared" si="621"/>
        <v>0</v>
      </c>
      <c r="GJ47" s="193">
        <f t="shared" si="621"/>
        <v>0</v>
      </c>
      <c r="GK47" s="193">
        <f t="shared" si="621"/>
        <v>0</v>
      </c>
      <c r="GL47" s="193">
        <f t="shared" si="621"/>
        <v>0</v>
      </c>
      <c r="GM47" s="193">
        <f t="shared" si="621"/>
        <v>0</v>
      </c>
      <c r="GN47" s="193">
        <f t="shared" si="621"/>
        <v>0</v>
      </c>
      <c r="GO47" s="193">
        <f t="shared" si="621"/>
        <v>0</v>
      </c>
      <c r="GP47" s="193">
        <f t="shared" si="621"/>
        <v>0</v>
      </c>
      <c r="GQ47" s="193">
        <f t="shared" si="621"/>
        <v>0</v>
      </c>
      <c r="GR47" s="193">
        <f t="shared" si="621"/>
        <v>0</v>
      </c>
      <c r="GS47" s="193">
        <f t="shared" si="621"/>
        <v>0</v>
      </c>
      <c r="GT47" s="193">
        <f t="shared" si="621"/>
        <v>0</v>
      </c>
      <c r="GU47" s="193">
        <f t="shared" si="621"/>
        <v>0</v>
      </c>
      <c r="GV47" s="193">
        <f t="shared" si="621"/>
        <v>0</v>
      </c>
      <c r="GW47" s="193">
        <f t="shared" si="621"/>
        <v>0</v>
      </c>
      <c r="GX47" s="193">
        <f t="shared" si="621"/>
        <v>0</v>
      </c>
      <c r="GY47" s="193">
        <f t="shared" si="621"/>
        <v>0</v>
      </c>
      <c r="GZ47" s="193">
        <f t="shared" si="621"/>
        <v>0</v>
      </c>
      <c r="HA47" s="193">
        <f t="shared" si="621"/>
        <v>0</v>
      </c>
      <c r="HB47" s="193">
        <f t="shared" si="621"/>
        <v>0</v>
      </c>
      <c r="HC47" s="193">
        <f t="shared" si="621"/>
        <v>0</v>
      </c>
      <c r="HD47" s="193">
        <f t="shared" si="621"/>
        <v>0</v>
      </c>
      <c r="HE47" s="193">
        <f t="shared" si="621"/>
        <v>0</v>
      </c>
      <c r="HF47" s="193">
        <f t="shared" si="621"/>
        <v>0</v>
      </c>
      <c r="HG47" s="193">
        <f t="shared" si="621"/>
        <v>0</v>
      </c>
      <c r="HH47" s="193">
        <f t="shared" si="621"/>
        <v>0</v>
      </c>
      <c r="HI47" s="193">
        <f t="shared" si="621"/>
        <v>0</v>
      </c>
      <c r="HJ47" s="193">
        <f t="shared" si="621"/>
        <v>0</v>
      </c>
      <c r="HK47" s="193">
        <f t="shared" si="621"/>
        <v>0</v>
      </c>
      <c r="HL47" s="193">
        <f t="shared" si="621"/>
        <v>0</v>
      </c>
      <c r="HM47" s="193">
        <f t="shared" si="621"/>
        <v>0</v>
      </c>
      <c r="HN47" s="193">
        <f t="shared" si="621"/>
        <v>0</v>
      </c>
      <c r="HO47" s="193">
        <f t="shared" si="621"/>
        <v>0</v>
      </c>
      <c r="HP47" s="193">
        <f t="shared" si="621"/>
        <v>0</v>
      </c>
      <c r="HQ47" s="193">
        <f t="shared" si="621"/>
        <v>0</v>
      </c>
      <c r="HR47" s="193">
        <f t="shared" si="621"/>
        <v>0</v>
      </c>
      <c r="HS47" s="193">
        <f t="shared" si="621"/>
        <v>0</v>
      </c>
      <c r="HT47" s="193">
        <f t="shared" si="621"/>
        <v>0</v>
      </c>
      <c r="HU47" s="193">
        <f t="shared" si="621"/>
        <v>0</v>
      </c>
      <c r="HV47" s="193">
        <f t="shared" si="621"/>
        <v>0</v>
      </c>
      <c r="HW47" s="193">
        <f t="shared" si="621"/>
        <v>0</v>
      </c>
      <c r="HX47" s="193">
        <f t="shared" si="621"/>
        <v>0</v>
      </c>
      <c r="HY47" s="193">
        <f t="shared" si="621"/>
        <v>0</v>
      </c>
      <c r="HZ47" s="193">
        <f t="shared" si="621"/>
        <v>0</v>
      </c>
      <c r="IA47" s="193">
        <f t="shared" si="621"/>
        <v>0</v>
      </c>
      <c r="IB47" s="193">
        <f t="shared" si="621"/>
        <v>0</v>
      </c>
      <c r="IC47" s="193">
        <f t="shared" si="621"/>
        <v>0</v>
      </c>
      <c r="ID47" s="193">
        <f t="shared" si="621"/>
        <v>0</v>
      </c>
      <c r="IE47" s="193">
        <f t="shared" si="621"/>
        <v>0</v>
      </c>
      <c r="IF47" s="193">
        <f t="shared" si="621"/>
        <v>0</v>
      </c>
      <c r="IG47" s="193">
        <f t="shared" si="621"/>
        <v>0</v>
      </c>
      <c r="IH47" s="193">
        <f t="shared" si="621"/>
        <v>0</v>
      </c>
      <c r="II47" s="193">
        <f t="shared" si="621"/>
        <v>0</v>
      </c>
      <c r="IJ47" s="193">
        <f t="shared" si="621"/>
        <v>0</v>
      </c>
      <c r="IK47" s="193">
        <f t="shared" si="621"/>
        <v>0</v>
      </c>
      <c r="IL47" s="193">
        <f t="shared" si="621"/>
        <v>0</v>
      </c>
      <c r="IM47" s="193">
        <f t="shared" si="621"/>
        <v>0</v>
      </c>
      <c r="IN47" s="193">
        <f t="shared" si="621"/>
        <v>0</v>
      </c>
      <c r="IO47" s="193">
        <f t="shared" si="621"/>
        <v>0</v>
      </c>
      <c r="IP47" s="193">
        <f t="shared" si="621"/>
        <v>0</v>
      </c>
      <c r="IQ47" s="193">
        <f t="shared" ref="IQ47:LB47" si="622">SUM(IQ36:IQ42)</f>
        <v>0</v>
      </c>
      <c r="IR47" s="193">
        <f t="shared" si="622"/>
        <v>0</v>
      </c>
      <c r="IS47" s="193">
        <f t="shared" si="622"/>
        <v>0</v>
      </c>
      <c r="IT47" s="193">
        <f t="shared" si="622"/>
        <v>0</v>
      </c>
      <c r="IU47" s="193">
        <f t="shared" si="622"/>
        <v>0</v>
      </c>
      <c r="IV47" s="193">
        <f t="shared" si="622"/>
        <v>0</v>
      </c>
      <c r="IW47" s="193">
        <f t="shared" si="622"/>
        <v>0</v>
      </c>
      <c r="IX47" s="193">
        <f t="shared" si="622"/>
        <v>0</v>
      </c>
      <c r="IY47" s="193">
        <f t="shared" si="622"/>
        <v>0</v>
      </c>
      <c r="IZ47" s="193">
        <f t="shared" si="622"/>
        <v>0</v>
      </c>
      <c r="JA47" s="193">
        <f t="shared" si="622"/>
        <v>0</v>
      </c>
      <c r="JB47" s="193">
        <f t="shared" si="622"/>
        <v>0</v>
      </c>
      <c r="JC47" s="193">
        <f t="shared" si="622"/>
        <v>0</v>
      </c>
      <c r="JD47" s="193">
        <f t="shared" si="622"/>
        <v>0</v>
      </c>
      <c r="JE47" s="193">
        <f t="shared" si="622"/>
        <v>0</v>
      </c>
      <c r="JF47" s="193">
        <f t="shared" si="622"/>
        <v>0</v>
      </c>
      <c r="JG47" s="193">
        <f t="shared" si="622"/>
        <v>0</v>
      </c>
      <c r="JH47" s="193">
        <f t="shared" si="622"/>
        <v>0</v>
      </c>
      <c r="JI47" s="193">
        <f t="shared" si="622"/>
        <v>0</v>
      </c>
      <c r="JJ47" s="193">
        <f t="shared" si="622"/>
        <v>0</v>
      </c>
      <c r="JK47" s="193">
        <f t="shared" si="622"/>
        <v>0</v>
      </c>
      <c r="JL47" s="193">
        <f t="shared" si="622"/>
        <v>0</v>
      </c>
      <c r="JM47" s="193">
        <f t="shared" si="622"/>
        <v>0</v>
      </c>
      <c r="JN47" s="193">
        <f t="shared" si="622"/>
        <v>0</v>
      </c>
      <c r="JO47" s="193">
        <f t="shared" si="622"/>
        <v>0</v>
      </c>
      <c r="JP47" s="193">
        <f t="shared" si="622"/>
        <v>0</v>
      </c>
      <c r="JQ47" s="193">
        <f t="shared" si="622"/>
        <v>0</v>
      </c>
      <c r="JR47" s="193">
        <f t="shared" si="622"/>
        <v>0</v>
      </c>
      <c r="JS47" s="193">
        <f t="shared" si="622"/>
        <v>0</v>
      </c>
      <c r="JT47" s="193">
        <f t="shared" si="622"/>
        <v>0</v>
      </c>
      <c r="JU47" s="193">
        <f t="shared" si="622"/>
        <v>0</v>
      </c>
      <c r="JV47" s="193">
        <f t="shared" si="622"/>
        <v>0</v>
      </c>
      <c r="JW47" s="193">
        <f t="shared" si="622"/>
        <v>0</v>
      </c>
      <c r="JX47" s="193">
        <f t="shared" si="622"/>
        <v>0</v>
      </c>
      <c r="JY47" s="193">
        <f t="shared" si="622"/>
        <v>0</v>
      </c>
      <c r="JZ47" s="193">
        <f t="shared" si="622"/>
        <v>0</v>
      </c>
      <c r="KA47" s="193">
        <f t="shared" si="622"/>
        <v>0</v>
      </c>
      <c r="KB47" s="193">
        <f t="shared" si="622"/>
        <v>0</v>
      </c>
      <c r="KC47" s="193">
        <f t="shared" si="622"/>
        <v>0</v>
      </c>
      <c r="KD47" s="193">
        <f t="shared" si="622"/>
        <v>0</v>
      </c>
      <c r="KE47" s="193">
        <f t="shared" si="622"/>
        <v>0</v>
      </c>
      <c r="KF47" s="193">
        <f t="shared" si="622"/>
        <v>0</v>
      </c>
      <c r="KG47" s="193">
        <f t="shared" si="622"/>
        <v>0</v>
      </c>
      <c r="KH47" s="193">
        <f t="shared" si="622"/>
        <v>0</v>
      </c>
      <c r="KI47" s="193">
        <f t="shared" si="622"/>
        <v>0</v>
      </c>
      <c r="KJ47" s="193">
        <f t="shared" si="622"/>
        <v>0</v>
      </c>
      <c r="KK47" s="193">
        <f t="shared" si="622"/>
        <v>0</v>
      </c>
      <c r="KL47" s="193">
        <f t="shared" si="622"/>
        <v>0</v>
      </c>
      <c r="KM47" s="193">
        <f t="shared" si="622"/>
        <v>0</v>
      </c>
      <c r="KN47" s="193">
        <f t="shared" si="622"/>
        <v>1</v>
      </c>
      <c r="KO47" s="193">
        <f t="shared" si="622"/>
        <v>0</v>
      </c>
      <c r="KP47" s="193">
        <f t="shared" si="622"/>
        <v>0</v>
      </c>
      <c r="KQ47" s="193">
        <f t="shared" si="622"/>
        <v>0</v>
      </c>
      <c r="KR47" s="193">
        <f t="shared" si="622"/>
        <v>0</v>
      </c>
      <c r="KS47" s="193">
        <f t="shared" si="622"/>
        <v>0</v>
      </c>
      <c r="KT47" s="193">
        <f t="shared" si="622"/>
        <v>0</v>
      </c>
      <c r="KU47" s="193">
        <f t="shared" si="622"/>
        <v>0</v>
      </c>
      <c r="KV47" s="193">
        <f t="shared" si="622"/>
        <v>1</v>
      </c>
      <c r="KW47" s="193">
        <f t="shared" si="622"/>
        <v>0</v>
      </c>
      <c r="KX47" s="193">
        <f t="shared" si="622"/>
        <v>1</v>
      </c>
      <c r="KY47" s="193">
        <f t="shared" si="622"/>
        <v>1</v>
      </c>
      <c r="KZ47" s="193">
        <f t="shared" si="622"/>
        <v>0</v>
      </c>
      <c r="LA47" s="193">
        <f t="shared" si="622"/>
        <v>0</v>
      </c>
      <c r="LB47" s="193">
        <f t="shared" si="622"/>
        <v>0</v>
      </c>
      <c r="LC47" s="193">
        <f t="shared" ref="LC47:NN47" si="623">SUM(LC36:LC42)</f>
        <v>0</v>
      </c>
      <c r="LD47" s="193">
        <f t="shared" si="623"/>
        <v>0</v>
      </c>
      <c r="LE47" s="193">
        <f t="shared" si="623"/>
        <v>0</v>
      </c>
      <c r="LF47" s="193">
        <f t="shared" si="623"/>
        <v>0</v>
      </c>
      <c r="LG47" s="193">
        <f t="shared" si="623"/>
        <v>0</v>
      </c>
      <c r="LH47" s="193">
        <f t="shared" si="623"/>
        <v>0</v>
      </c>
      <c r="LI47" s="193">
        <f t="shared" si="623"/>
        <v>0</v>
      </c>
      <c r="LJ47" s="193">
        <f t="shared" si="623"/>
        <v>0</v>
      </c>
      <c r="LK47" s="193">
        <f t="shared" si="623"/>
        <v>0</v>
      </c>
      <c r="LL47" s="193">
        <f t="shared" si="623"/>
        <v>0</v>
      </c>
      <c r="LM47" s="193">
        <f t="shared" si="623"/>
        <v>0</v>
      </c>
      <c r="LN47" s="193">
        <f t="shared" si="623"/>
        <v>0</v>
      </c>
      <c r="LO47" s="193">
        <f t="shared" si="623"/>
        <v>0</v>
      </c>
      <c r="LP47" s="193">
        <f t="shared" si="623"/>
        <v>0</v>
      </c>
      <c r="LQ47" s="193">
        <f t="shared" si="623"/>
        <v>1</v>
      </c>
      <c r="LR47" s="193">
        <f t="shared" si="623"/>
        <v>0</v>
      </c>
      <c r="LS47" s="193">
        <f t="shared" si="623"/>
        <v>1</v>
      </c>
      <c r="LT47" s="193">
        <f t="shared" si="623"/>
        <v>0</v>
      </c>
      <c r="LU47" s="193">
        <f t="shared" si="623"/>
        <v>0</v>
      </c>
      <c r="LV47" s="193">
        <f t="shared" si="623"/>
        <v>0</v>
      </c>
      <c r="LW47" s="193">
        <f t="shared" si="623"/>
        <v>0</v>
      </c>
      <c r="LX47" s="193">
        <f t="shared" si="623"/>
        <v>0</v>
      </c>
      <c r="LY47" s="193">
        <f t="shared" si="623"/>
        <v>0</v>
      </c>
      <c r="LZ47" s="193">
        <f t="shared" si="623"/>
        <v>1</v>
      </c>
      <c r="MA47" s="193">
        <f t="shared" si="623"/>
        <v>0</v>
      </c>
      <c r="MB47" s="193">
        <f t="shared" si="623"/>
        <v>1</v>
      </c>
      <c r="MC47" s="193">
        <f t="shared" si="623"/>
        <v>0</v>
      </c>
      <c r="MD47" s="193">
        <f t="shared" si="623"/>
        <v>1</v>
      </c>
      <c r="ME47" s="193">
        <f t="shared" si="623"/>
        <v>0</v>
      </c>
      <c r="MF47" s="193">
        <f t="shared" si="623"/>
        <v>0</v>
      </c>
      <c r="MG47" s="193">
        <f t="shared" si="623"/>
        <v>0</v>
      </c>
      <c r="MH47" s="193">
        <f t="shared" si="623"/>
        <v>0</v>
      </c>
      <c r="MI47" s="193">
        <f t="shared" si="623"/>
        <v>1</v>
      </c>
      <c r="MJ47" s="193">
        <f t="shared" si="623"/>
        <v>0</v>
      </c>
      <c r="MK47" s="193">
        <f t="shared" si="623"/>
        <v>0</v>
      </c>
      <c r="ML47" s="193">
        <f t="shared" si="623"/>
        <v>0</v>
      </c>
      <c r="MM47" s="193">
        <f t="shared" si="623"/>
        <v>0</v>
      </c>
      <c r="MN47" s="193">
        <f t="shared" si="623"/>
        <v>0</v>
      </c>
      <c r="MO47" s="193">
        <f t="shared" si="623"/>
        <v>1</v>
      </c>
      <c r="MP47" s="193">
        <f t="shared" si="623"/>
        <v>0</v>
      </c>
      <c r="MQ47" s="193">
        <f t="shared" si="623"/>
        <v>1</v>
      </c>
      <c r="MR47" s="193">
        <f t="shared" si="623"/>
        <v>0</v>
      </c>
      <c r="MS47" s="193">
        <f t="shared" si="623"/>
        <v>0</v>
      </c>
      <c r="MT47" s="193">
        <f t="shared" si="623"/>
        <v>1</v>
      </c>
      <c r="MU47" s="193">
        <f t="shared" si="623"/>
        <v>0</v>
      </c>
      <c r="MV47" s="193">
        <f t="shared" si="623"/>
        <v>0</v>
      </c>
      <c r="MW47" s="193">
        <f t="shared" si="623"/>
        <v>0</v>
      </c>
      <c r="MX47" s="193">
        <f t="shared" si="623"/>
        <v>0</v>
      </c>
      <c r="MY47" s="193">
        <f t="shared" si="623"/>
        <v>0</v>
      </c>
      <c r="MZ47" s="193">
        <f t="shared" si="623"/>
        <v>1</v>
      </c>
      <c r="NA47" s="193">
        <f t="shared" si="623"/>
        <v>0</v>
      </c>
      <c r="NB47" s="193">
        <f t="shared" si="623"/>
        <v>1</v>
      </c>
      <c r="NC47" s="193">
        <f t="shared" si="623"/>
        <v>0</v>
      </c>
      <c r="ND47" s="193">
        <f t="shared" si="623"/>
        <v>0</v>
      </c>
      <c r="NE47" s="193">
        <f t="shared" si="623"/>
        <v>0</v>
      </c>
      <c r="NF47" s="193">
        <f t="shared" si="623"/>
        <v>0</v>
      </c>
      <c r="NG47" s="193">
        <f t="shared" si="623"/>
        <v>0</v>
      </c>
      <c r="NH47" s="193">
        <f t="shared" si="623"/>
        <v>0</v>
      </c>
      <c r="NI47" s="193">
        <f t="shared" si="623"/>
        <v>0</v>
      </c>
      <c r="NJ47" s="193">
        <f t="shared" si="623"/>
        <v>0</v>
      </c>
      <c r="NK47" s="193">
        <f t="shared" si="623"/>
        <v>0</v>
      </c>
      <c r="NL47" s="193">
        <f t="shared" si="623"/>
        <v>0</v>
      </c>
      <c r="NM47" s="193">
        <f t="shared" si="623"/>
        <v>0</v>
      </c>
      <c r="NN47" s="193">
        <f t="shared" si="623"/>
        <v>0</v>
      </c>
      <c r="NO47" s="193">
        <f t="shared" ref="NO47:OV47" si="624">SUM(NO36:NO42)</f>
        <v>0</v>
      </c>
      <c r="NP47" s="193">
        <f t="shared" si="624"/>
        <v>0</v>
      </c>
      <c r="NQ47" s="193">
        <f t="shared" si="624"/>
        <v>1</v>
      </c>
      <c r="NR47" s="193">
        <f t="shared" si="624"/>
        <v>0</v>
      </c>
      <c r="NS47" s="193">
        <f t="shared" si="624"/>
        <v>0</v>
      </c>
      <c r="NT47" s="193">
        <f t="shared" si="624"/>
        <v>0</v>
      </c>
      <c r="NU47" s="193">
        <f t="shared" si="624"/>
        <v>0</v>
      </c>
      <c r="NV47" s="193">
        <f t="shared" si="624"/>
        <v>0</v>
      </c>
      <c r="NW47" s="193">
        <f t="shared" si="624"/>
        <v>1</v>
      </c>
      <c r="NX47" s="193">
        <f t="shared" si="624"/>
        <v>0</v>
      </c>
      <c r="NY47" s="193">
        <f t="shared" si="624"/>
        <v>1</v>
      </c>
      <c r="NZ47" s="193">
        <f t="shared" si="624"/>
        <v>0</v>
      </c>
      <c r="OA47" s="193">
        <f t="shared" si="624"/>
        <v>0</v>
      </c>
      <c r="OB47" s="193">
        <f t="shared" si="624"/>
        <v>0</v>
      </c>
      <c r="OC47" s="193">
        <f t="shared" si="624"/>
        <v>0</v>
      </c>
      <c r="OD47" s="193">
        <f t="shared" si="624"/>
        <v>0</v>
      </c>
      <c r="OE47" s="193">
        <f t="shared" si="624"/>
        <v>0</v>
      </c>
      <c r="OF47" s="193">
        <f t="shared" si="624"/>
        <v>0</v>
      </c>
      <c r="OG47" s="193">
        <f t="shared" si="624"/>
        <v>0</v>
      </c>
      <c r="OH47" s="193">
        <f t="shared" si="624"/>
        <v>0</v>
      </c>
      <c r="OI47" s="193">
        <f t="shared" si="624"/>
        <v>0</v>
      </c>
      <c r="OJ47" s="193">
        <f t="shared" si="624"/>
        <v>1</v>
      </c>
      <c r="OK47" s="193">
        <f t="shared" si="624"/>
        <v>1</v>
      </c>
      <c r="OL47" s="193">
        <f t="shared" si="624"/>
        <v>0</v>
      </c>
      <c r="OM47" s="193">
        <f t="shared" si="624"/>
        <v>1</v>
      </c>
      <c r="ON47" s="193">
        <f t="shared" si="624"/>
        <v>0</v>
      </c>
      <c r="OO47" s="193">
        <f t="shared" si="624"/>
        <v>0</v>
      </c>
      <c r="OP47" s="193">
        <f t="shared" si="624"/>
        <v>1</v>
      </c>
      <c r="OQ47" s="193">
        <f t="shared" si="624"/>
        <v>0</v>
      </c>
      <c r="OR47" s="193">
        <f t="shared" si="624"/>
        <v>0</v>
      </c>
      <c r="OS47" s="193">
        <f t="shared" si="624"/>
        <v>0</v>
      </c>
      <c r="OT47" s="193">
        <f t="shared" si="624"/>
        <v>0</v>
      </c>
      <c r="OU47" s="193">
        <f t="shared" si="624"/>
        <v>1</v>
      </c>
      <c r="OV47" s="193">
        <f t="shared" si="624"/>
        <v>0</v>
      </c>
      <c r="OW47" s="193"/>
      <c r="OX47" s="193"/>
      <c r="OY47" s="193"/>
      <c r="OZ47" s="193">
        <f t="shared" ref="OZ47:QE47" si="625">SUM(OZ36:OZ42)</f>
        <v>1</v>
      </c>
      <c r="PA47" s="193">
        <f t="shared" si="625"/>
        <v>0</v>
      </c>
      <c r="PB47" s="193">
        <f t="shared" si="625"/>
        <v>0</v>
      </c>
      <c r="PC47" s="193">
        <f t="shared" si="625"/>
        <v>0</v>
      </c>
      <c r="PD47" s="193">
        <f t="shared" si="625"/>
        <v>1</v>
      </c>
      <c r="PE47" s="193">
        <f t="shared" si="625"/>
        <v>0</v>
      </c>
      <c r="PF47" s="193">
        <f t="shared" si="625"/>
        <v>0</v>
      </c>
      <c r="PG47" s="193">
        <f t="shared" si="625"/>
        <v>0</v>
      </c>
      <c r="PH47" s="193">
        <f t="shared" si="625"/>
        <v>0</v>
      </c>
      <c r="PI47" s="193">
        <f t="shared" si="625"/>
        <v>1</v>
      </c>
      <c r="PJ47" s="193">
        <f t="shared" si="625"/>
        <v>1</v>
      </c>
      <c r="PK47" s="193">
        <f t="shared" si="625"/>
        <v>0</v>
      </c>
      <c r="PL47" s="193">
        <f t="shared" si="625"/>
        <v>6</v>
      </c>
      <c r="PM47" s="193">
        <f t="shared" si="625"/>
        <v>24</v>
      </c>
      <c r="PN47" s="193">
        <f t="shared" si="625"/>
        <v>4</v>
      </c>
      <c r="PO47" s="193">
        <f t="shared" si="625"/>
        <v>28</v>
      </c>
      <c r="PP47" s="193">
        <f t="shared" si="625"/>
        <v>1</v>
      </c>
      <c r="PQ47" s="193">
        <f t="shared" si="625"/>
        <v>0</v>
      </c>
      <c r="PR47" s="193">
        <f t="shared" si="625"/>
        <v>0</v>
      </c>
      <c r="PS47" s="193">
        <f t="shared" si="625"/>
        <v>0</v>
      </c>
      <c r="PT47" s="193">
        <f t="shared" si="625"/>
        <v>0</v>
      </c>
      <c r="PU47" s="193">
        <f t="shared" si="625"/>
        <v>0</v>
      </c>
      <c r="PV47" s="193">
        <f t="shared" si="625"/>
        <v>1</v>
      </c>
      <c r="PW47" s="193">
        <f t="shared" si="625"/>
        <v>0</v>
      </c>
      <c r="PX47" s="193">
        <f t="shared" si="625"/>
        <v>1</v>
      </c>
      <c r="PY47" s="193">
        <f t="shared" si="625"/>
        <v>0</v>
      </c>
      <c r="PZ47" s="193">
        <f t="shared" si="625"/>
        <v>1</v>
      </c>
      <c r="QA47" s="193">
        <f t="shared" si="625"/>
        <v>0</v>
      </c>
      <c r="QB47" s="193">
        <f t="shared" si="625"/>
        <v>1</v>
      </c>
      <c r="QC47" s="193">
        <f t="shared" si="625"/>
        <v>0</v>
      </c>
      <c r="QD47" s="193">
        <f t="shared" si="625"/>
        <v>1</v>
      </c>
      <c r="QE47" s="193">
        <f t="shared" si="625"/>
        <v>0</v>
      </c>
      <c r="QF47" s="193">
        <f t="shared" ref="QF47:RN47" si="626">SUM(QF36:QF42)</f>
        <v>0</v>
      </c>
      <c r="QG47" s="193">
        <f t="shared" si="626"/>
        <v>0</v>
      </c>
      <c r="QH47" s="193">
        <f t="shared" si="626"/>
        <v>0</v>
      </c>
      <c r="QI47" s="193">
        <f t="shared" si="626"/>
        <v>1</v>
      </c>
      <c r="QJ47" s="193">
        <f t="shared" si="626"/>
        <v>0</v>
      </c>
      <c r="QK47" s="193">
        <f t="shared" si="626"/>
        <v>0</v>
      </c>
      <c r="QL47" s="193">
        <f t="shared" si="626"/>
        <v>1</v>
      </c>
      <c r="QM47" s="193">
        <f t="shared" si="626"/>
        <v>1</v>
      </c>
      <c r="QN47" s="193">
        <f t="shared" si="626"/>
        <v>0</v>
      </c>
      <c r="QO47" s="193">
        <f t="shared" si="626"/>
        <v>1</v>
      </c>
      <c r="QP47" s="193">
        <f t="shared" si="626"/>
        <v>0</v>
      </c>
      <c r="QQ47" s="193">
        <f t="shared" si="626"/>
        <v>0</v>
      </c>
      <c r="QR47" s="193">
        <f t="shared" si="626"/>
        <v>1</v>
      </c>
      <c r="QS47" s="193">
        <f t="shared" si="626"/>
        <v>0</v>
      </c>
      <c r="QT47" s="193">
        <f t="shared" si="626"/>
        <v>0</v>
      </c>
      <c r="QU47" s="193">
        <f t="shared" si="626"/>
        <v>1</v>
      </c>
      <c r="QV47" s="193">
        <f t="shared" si="626"/>
        <v>0</v>
      </c>
      <c r="QW47" s="193">
        <f t="shared" si="626"/>
        <v>0</v>
      </c>
      <c r="QX47" s="193">
        <f t="shared" si="626"/>
        <v>0</v>
      </c>
      <c r="QY47" s="193">
        <f t="shared" si="626"/>
        <v>0</v>
      </c>
      <c r="QZ47" s="193">
        <f t="shared" si="626"/>
        <v>0</v>
      </c>
      <c r="RA47" s="193">
        <f t="shared" si="626"/>
        <v>1</v>
      </c>
      <c r="RB47" s="193">
        <f t="shared" si="626"/>
        <v>1</v>
      </c>
      <c r="RC47" s="193">
        <f t="shared" si="626"/>
        <v>0</v>
      </c>
      <c r="RD47" s="193">
        <f t="shared" si="626"/>
        <v>0</v>
      </c>
      <c r="RE47" s="193">
        <f t="shared" si="626"/>
        <v>1</v>
      </c>
      <c r="RF47" s="193">
        <f t="shared" si="626"/>
        <v>1</v>
      </c>
      <c r="RG47" s="193">
        <f t="shared" si="626"/>
        <v>0</v>
      </c>
      <c r="RH47" s="193">
        <f t="shared" si="626"/>
        <v>0</v>
      </c>
      <c r="RI47" s="193">
        <f t="shared" si="626"/>
        <v>0</v>
      </c>
      <c r="RJ47" s="193">
        <f t="shared" si="626"/>
        <v>1</v>
      </c>
      <c r="RK47" s="193">
        <f t="shared" si="626"/>
        <v>0</v>
      </c>
      <c r="RL47" s="193">
        <f t="shared" si="626"/>
        <v>1</v>
      </c>
      <c r="RM47" s="193">
        <f t="shared" si="626"/>
        <v>0</v>
      </c>
      <c r="RN47" s="193">
        <f t="shared" si="626"/>
        <v>0</v>
      </c>
      <c r="RO47" s="193"/>
      <c r="RP47" s="193"/>
      <c r="RQ47" s="193"/>
      <c r="RR47" s="193"/>
      <c r="RS47" s="193"/>
      <c r="RT47" s="193"/>
      <c r="RU47" s="193">
        <f t="shared" ref="RU47:SP47" si="627">SUM(RU36:RU42)</f>
        <v>0</v>
      </c>
      <c r="RV47" s="193">
        <f t="shared" si="627"/>
        <v>0</v>
      </c>
      <c r="RW47" s="193">
        <f t="shared" si="627"/>
        <v>2</v>
      </c>
      <c r="RX47" s="193">
        <f t="shared" si="627"/>
        <v>0</v>
      </c>
      <c r="RY47" s="193">
        <f t="shared" si="627"/>
        <v>2</v>
      </c>
      <c r="RZ47" s="193">
        <f t="shared" si="627"/>
        <v>0</v>
      </c>
      <c r="SA47" s="193">
        <f t="shared" si="627"/>
        <v>0</v>
      </c>
      <c r="SB47" s="193">
        <f t="shared" si="627"/>
        <v>1</v>
      </c>
      <c r="SC47" s="193">
        <f t="shared" si="627"/>
        <v>0</v>
      </c>
      <c r="SD47" s="193">
        <f t="shared" si="627"/>
        <v>0</v>
      </c>
      <c r="SE47" s="193">
        <f t="shared" si="627"/>
        <v>0</v>
      </c>
      <c r="SF47" s="193">
        <f t="shared" si="627"/>
        <v>0</v>
      </c>
      <c r="SG47" s="193">
        <f t="shared" si="627"/>
        <v>0</v>
      </c>
      <c r="SH47" s="193">
        <f t="shared" si="627"/>
        <v>0</v>
      </c>
      <c r="SI47" s="193">
        <f t="shared" si="627"/>
        <v>0</v>
      </c>
      <c r="SJ47" s="193">
        <f t="shared" si="627"/>
        <v>0</v>
      </c>
      <c r="SK47" s="193">
        <f t="shared" si="627"/>
        <v>0</v>
      </c>
      <c r="SL47" s="193">
        <f t="shared" si="627"/>
        <v>0</v>
      </c>
      <c r="SM47" s="193">
        <f t="shared" si="627"/>
        <v>0</v>
      </c>
      <c r="SN47" s="193">
        <f t="shared" si="627"/>
        <v>0</v>
      </c>
      <c r="SO47" s="193">
        <f t="shared" si="627"/>
        <v>0</v>
      </c>
      <c r="SP47" s="193">
        <f t="shared" si="627"/>
        <v>0</v>
      </c>
      <c r="SQ47" s="193"/>
      <c r="SR47" s="193"/>
      <c r="SS47" s="195"/>
    </row>
    <row r="48" spans="1:513" s="171" customFormat="1" ht="24.75" customHeight="1">
      <c r="A48" s="168" t="s">
        <v>184</v>
      </c>
      <c r="B48" s="168" t="s">
        <v>110</v>
      </c>
      <c r="C48" s="168">
        <v>10</v>
      </c>
      <c r="D48" s="168"/>
      <c r="E48" s="168" t="s">
        <v>511</v>
      </c>
      <c r="F48" s="168">
        <v>1</v>
      </c>
      <c r="G48" s="168"/>
      <c r="H48" s="168"/>
      <c r="I48" s="168">
        <v>1</v>
      </c>
      <c r="J48" s="168"/>
      <c r="K48" s="168">
        <v>1</v>
      </c>
      <c r="L48" s="168"/>
      <c r="M48" s="168"/>
      <c r="N48" s="168"/>
      <c r="O48" s="168">
        <v>1</v>
      </c>
      <c r="P48" s="168"/>
      <c r="Q48" s="168"/>
      <c r="R48" s="168"/>
      <c r="S48" s="168">
        <v>1</v>
      </c>
      <c r="T48" s="168"/>
      <c r="U48" s="168"/>
      <c r="V48" s="168">
        <v>24</v>
      </c>
      <c r="W48" s="168"/>
      <c r="X48" s="168">
        <v>25</v>
      </c>
      <c r="Y48" s="168"/>
      <c r="Z48" s="168">
        <v>22</v>
      </c>
      <c r="AA48" s="168"/>
      <c r="AB48" s="168">
        <v>15</v>
      </c>
      <c r="AC48" s="168"/>
      <c r="AD48" s="168">
        <v>7</v>
      </c>
      <c r="AE48" s="168"/>
      <c r="AF48" s="168">
        <f t="shared" ref="AF48" si="628">AD48+AB48+Z48+X48+V48</f>
        <v>93</v>
      </c>
      <c r="AG48" s="168">
        <f t="shared" ref="AG48" si="629">AE48+AC48+AA48+Y48+W48</f>
        <v>0</v>
      </c>
      <c r="AH48" s="168">
        <f t="shared" ref="AH48" si="630">AG48+AF48</f>
        <v>93</v>
      </c>
      <c r="AI48" s="168">
        <v>24</v>
      </c>
      <c r="AJ48" s="168"/>
      <c r="AK48" s="168">
        <v>25</v>
      </c>
      <c r="AL48" s="168"/>
      <c r="AM48" s="168">
        <v>22</v>
      </c>
      <c r="AN48" s="168"/>
      <c r="AO48" s="168">
        <v>15</v>
      </c>
      <c r="AP48" s="168"/>
      <c r="AQ48" s="168">
        <v>10</v>
      </c>
      <c r="AR48" s="168"/>
      <c r="AS48" s="168">
        <f>AQ48+AO48+AM48+AK48+AI48</f>
        <v>96</v>
      </c>
      <c r="AT48" s="168">
        <f t="shared" ref="AT48" si="631">AR48+AP48+AN48+AL48+AJ48</f>
        <v>0</v>
      </c>
      <c r="AU48" s="168">
        <f t="shared" ref="AU48" si="632">AT48+AS48</f>
        <v>96</v>
      </c>
      <c r="AV48" s="168">
        <v>11</v>
      </c>
      <c r="AW48" s="168"/>
      <c r="AX48" s="168">
        <v>16</v>
      </c>
      <c r="AY48" s="168"/>
      <c r="AZ48" s="168">
        <v>19</v>
      </c>
      <c r="BA48" s="168"/>
      <c r="BB48" s="168">
        <v>6</v>
      </c>
      <c r="BC48" s="168"/>
      <c r="BD48" s="168">
        <v>12</v>
      </c>
      <c r="BE48" s="168"/>
      <c r="BF48" s="168">
        <f t="shared" ref="BF48" si="633">BD48+BB48+AZ48+AX48+AV48</f>
        <v>64</v>
      </c>
      <c r="BG48" s="168">
        <f t="shared" ref="BG48" si="634">BE48+BC48+BA48+AY48+AW48</f>
        <v>0</v>
      </c>
      <c r="BH48" s="168">
        <f t="shared" ref="BH48" si="635">BG48+BF48</f>
        <v>64</v>
      </c>
      <c r="BI48" s="168">
        <v>6</v>
      </c>
      <c r="BJ48" s="168"/>
      <c r="BK48" s="168">
        <v>10</v>
      </c>
      <c r="BL48" s="168"/>
      <c r="BM48" s="168">
        <v>13</v>
      </c>
      <c r="BN48" s="168"/>
      <c r="BO48" s="168">
        <v>1</v>
      </c>
      <c r="BP48" s="168"/>
      <c r="BQ48" s="168">
        <v>7</v>
      </c>
      <c r="BR48" s="168"/>
      <c r="BS48" s="168">
        <f t="shared" ref="BS48" si="636">BQ48+BO48+BM48+BK48+BI48</f>
        <v>37</v>
      </c>
      <c r="BT48" s="168">
        <f t="shared" ref="BT48" si="637">BR48+BP48+BN48+BL48+BJ48</f>
        <v>0</v>
      </c>
      <c r="BU48" s="168">
        <f t="shared" ref="BU48" si="638">BT48+BS48</f>
        <v>37</v>
      </c>
      <c r="BV48" s="168">
        <f t="shared" ref="BV48" si="639">AI48</f>
        <v>24</v>
      </c>
      <c r="BW48" s="168">
        <f t="shared" ref="BW48" si="640">AJ48</f>
        <v>0</v>
      </c>
      <c r="BX48" s="168">
        <f t="shared" ref="BX48" si="641">AV48+AK48</f>
        <v>36</v>
      </c>
      <c r="BY48" s="168">
        <f t="shared" ref="BY48" si="642">AL48+AW48</f>
        <v>0</v>
      </c>
      <c r="BZ48" s="168">
        <f t="shared" ref="BZ48" si="643">BI48+AX48+AM48</f>
        <v>44</v>
      </c>
      <c r="CA48" s="168">
        <f t="shared" ref="CA48" si="644">AN48+AY48+BJ48</f>
        <v>0</v>
      </c>
      <c r="CB48" s="168">
        <f t="shared" ref="CB48" si="645">BK48+AZ48+AO48</f>
        <v>44</v>
      </c>
      <c r="CC48" s="168">
        <f t="shared" ref="CC48" si="646">AP48+BA48+BL48</f>
        <v>0</v>
      </c>
      <c r="CD48" s="168">
        <f t="shared" ref="CD48" si="647">BM48+BB48+AQ48</f>
        <v>29</v>
      </c>
      <c r="CE48" s="168">
        <f t="shared" ref="CE48" si="648">BN48+BC48+AR48</f>
        <v>0</v>
      </c>
      <c r="CF48" s="168">
        <f t="shared" ref="CF48" si="649">BO48+BD48</f>
        <v>13</v>
      </c>
      <c r="CG48" s="168">
        <f t="shared" ref="CG48" si="650">BP48+BE48</f>
        <v>0</v>
      </c>
      <c r="CH48" s="168">
        <f t="shared" ref="CH48" si="651">BQ48</f>
        <v>7</v>
      </c>
      <c r="CI48" s="168">
        <f t="shared" ref="CI48" si="652">BR48</f>
        <v>0</v>
      </c>
      <c r="CJ48" s="168">
        <f t="shared" ref="CJ48" si="653">CH48+CF48+CD48+CB48+BZ48+BX48+BV48</f>
        <v>197</v>
      </c>
      <c r="CK48" s="168">
        <f t="shared" ref="CK48" si="654">CI48+CG48+CE48+CC48+CA48+BY48+BW48</f>
        <v>0</v>
      </c>
      <c r="CL48" s="168">
        <f t="shared" ref="CL48" si="655">CK48+CJ48</f>
        <v>197</v>
      </c>
      <c r="CM48" s="168">
        <v>3</v>
      </c>
      <c r="CN48" s="168"/>
      <c r="CO48" s="168"/>
      <c r="CP48" s="168">
        <v>3</v>
      </c>
      <c r="CQ48" s="168"/>
      <c r="CR48" s="168"/>
      <c r="CS48" s="168">
        <v>3</v>
      </c>
      <c r="CT48" s="168"/>
      <c r="CU48" s="168"/>
      <c r="CV48" s="168">
        <f t="shared" ref="CV48" si="656">CS48+CP48+CM48</f>
        <v>9</v>
      </c>
      <c r="CW48" s="168">
        <f t="shared" ref="CW48" si="657">CT48+CQ48+CN48</f>
        <v>0</v>
      </c>
      <c r="CX48" s="168">
        <f t="shared" ref="CX48" si="658">CU48+CR48+CO48</f>
        <v>0</v>
      </c>
      <c r="CY48" s="168">
        <f t="shared" ref="CY48" si="659">CX48+CW48+CV48</f>
        <v>9</v>
      </c>
      <c r="CZ48" s="168"/>
      <c r="DA48" s="168"/>
      <c r="DB48" s="168">
        <v>2</v>
      </c>
      <c r="DC48" s="168"/>
      <c r="DD48" s="168">
        <v>2</v>
      </c>
      <c r="DE48" s="168"/>
      <c r="DF48" s="168">
        <f t="shared" ref="DF48" si="660">DD48+DB48+CZ48</f>
        <v>4</v>
      </c>
      <c r="DG48" s="168">
        <f t="shared" ref="DG48" si="661">DE48+DC48+DA48</f>
        <v>0</v>
      </c>
      <c r="DH48" s="168">
        <f t="shared" ref="DH48" si="662">DG48+DF48</f>
        <v>4</v>
      </c>
      <c r="DI48" s="168"/>
      <c r="DJ48" s="168"/>
      <c r="DK48" s="168"/>
      <c r="DL48" s="168"/>
      <c r="DM48" s="168"/>
      <c r="DN48" s="168"/>
      <c r="DO48" s="168"/>
      <c r="DP48" s="168"/>
      <c r="DQ48" s="168"/>
      <c r="DR48" s="168">
        <v>75</v>
      </c>
      <c r="DS48" s="168"/>
      <c r="DT48" s="168">
        <v>37</v>
      </c>
      <c r="DU48" s="168"/>
      <c r="DV48" s="168">
        <v>25</v>
      </c>
      <c r="DW48" s="168"/>
      <c r="DX48" s="168">
        <f t="shared" ref="DX48" si="663">DV48+DT48+DR48</f>
        <v>137</v>
      </c>
      <c r="DY48" s="168">
        <f t="shared" ref="DY48" si="664">DW48+DU48+DS48</f>
        <v>0</v>
      </c>
      <c r="DZ48" s="168">
        <f t="shared" ref="DZ48" si="665">DY48+DX48</f>
        <v>137</v>
      </c>
      <c r="EA48" s="168"/>
      <c r="EB48" s="168"/>
      <c r="EC48" s="168"/>
      <c r="ED48" s="168"/>
      <c r="EE48" s="168"/>
      <c r="EF48" s="168"/>
      <c r="EG48" s="168">
        <f>EE48+EC48+EA48</f>
        <v>0</v>
      </c>
      <c r="EH48" s="168">
        <f t="shared" ref="EH48" si="666">EF48+ED48+EB48</f>
        <v>0</v>
      </c>
      <c r="EI48" s="168">
        <f t="shared" ref="EI48" si="667">EH48+EG48</f>
        <v>0</v>
      </c>
      <c r="EJ48" s="168"/>
      <c r="EK48" s="168"/>
      <c r="EL48" s="168"/>
      <c r="EM48" s="168"/>
      <c r="EN48" s="168"/>
      <c r="EO48" s="168"/>
      <c r="EP48" s="168">
        <f t="shared" ref="EP48" si="668">EN48+EL48+EJ48</f>
        <v>0</v>
      </c>
      <c r="EQ48" s="168">
        <f t="shared" ref="EQ48" si="669">EO48+EM48+EK48</f>
        <v>0</v>
      </c>
      <c r="ER48" s="168">
        <f t="shared" ref="ER48" si="670">EQ48+EP48</f>
        <v>0</v>
      </c>
      <c r="ES48" s="168"/>
      <c r="ET48" s="168"/>
      <c r="EU48" s="168"/>
      <c r="EV48" s="168"/>
      <c r="EW48" s="168"/>
      <c r="EX48" s="168"/>
      <c r="EY48" s="168">
        <f t="shared" ref="EY48" si="671">EW48+EU48+ES48</f>
        <v>0</v>
      </c>
      <c r="EZ48" s="168">
        <f t="shared" ref="EZ48" si="672">EX48+EV48+ET48</f>
        <v>0</v>
      </c>
      <c r="FA48" s="168">
        <f t="shared" ref="FA48" si="673">EZ48+EY48</f>
        <v>0</v>
      </c>
      <c r="FB48" s="168">
        <v>1</v>
      </c>
      <c r="FC48" s="168"/>
      <c r="FD48" s="168">
        <v>1</v>
      </c>
      <c r="FE48" s="168"/>
      <c r="FF48" s="168">
        <v>3</v>
      </c>
      <c r="FG48" s="168">
        <v>4</v>
      </c>
      <c r="FH48" s="168"/>
      <c r="FI48" s="168"/>
      <c r="FJ48" s="168"/>
      <c r="FK48" s="168"/>
      <c r="FL48" s="168">
        <f t="shared" ref="FL48" si="674">FJ48+FH48+FF48+FD48+FB48</f>
        <v>5</v>
      </c>
      <c r="FM48" s="168">
        <f t="shared" ref="FM48" si="675">FK48+FI48+FG48+FE48+FC48</f>
        <v>4</v>
      </c>
      <c r="FN48" s="168">
        <f t="shared" ref="FN48" si="676">FM48+FL48</f>
        <v>9</v>
      </c>
      <c r="FO48" s="168"/>
      <c r="FP48" s="168">
        <v>1</v>
      </c>
      <c r="FQ48" s="168"/>
      <c r="FR48" s="168"/>
      <c r="FS48" s="168"/>
      <c r="FT48" s="168"/>
      <c r="FU48" s="168"/>
      <c r="FV48" s="168"/>
      <c r="FW48" s="168"/>
      <c r="FX48" s="168">
        <v>1</v>
      </c>
      <c r="FY48" s="168"/>
      <c r="FZ48" s="168"/>
      <c r="GA48" s="168"/>
      <c r="GB48" s="168"/>
      <c r="GC48" s="168"/>
      <c r="GD48" s="168"/>
      <c r="GE48" s="168"/>
      <c r="GF48" s="168"/>
      <c r="GG48" s="168">
        <f>GE48+GA48+FY48+FW48+FU48+FS48+FO48</f>
        <v>0</v>
      </c>
      <c r="GH48" s="168">
        <f>GF48+GB48+FZ48+FX48+FV48+FT48+FP48+FR48+GD48</f>
        <v>2</v>
      </c>
      <c r="GI48" s="168">
        <f>GH48+GG48</f>
        <v>2</v>
      </c>
      <c r="GJ48" s="168"/>
      <c r="GK48" s="168">
        <v>1</v>
      </c>
      <c r="GL48" s="168">
        <v>1</v>
      </c>
      <c r="GM48" s="168"/>
      <c r="GN48" s="168"/>
      <c r="GO48" s="168">
        <v>1</v>
      </c>
      <c r="GP48" s="168"/>
      <c r="GQ48" s="168"/>
      <c r="GR48" s="168"/>
      <c r="GS48" s="168"/>
      <c r="GT48" s="168"/>
      <c r="GU48" s="168"/>
      <c r="GV48" s="168"/>
      <c r="GW48" s="168"/>
      <c r="GX48" s="168"/>
      <c r="GY48" s="168"/>
      <c r="GZ48" s="168">
        <v>1</v>
      </c>
      <c r="HA48" s="168">
        <v>1</v>
      </c>
      <c r="HB48" s="168"/>
      <c r="HC48" s="168"/>
      <c r="HD48" s="168"/>
      <c r="HE48" s="168"/>
      <c r="HF48" s="168">
        <v>1</v>
      </c>
      <c r="HG48" s="168"/>
      <c r="HH48" s="168"/>
      <c r="HI48" s="168"/>
      <c r="HJ48" s="168"/>
      <c r="HK48" s="168"/>
      <c r="HL48" s="168"/>
      <c r="HM48" s="168"/>
      <c r="HN48" s="168"/>
      <c r="HO48" s="168"/>
      <c r="HP48" s="168"/>
      <c r="HQ48" s="168"/>
      <c r="HR48" s="168"/>
      <c r="HS48" s="168"/>
      <c r="HT48" s="168"/>
      <c r="HU48" s="168"/>
      <c r="HV48" s="168"/>
      <c r="HW48" s="168"/>
      <c r="HX48" s="168"/>
      <c r="HY48" s="168"/>
      <c r="HZ48" s="168"/>
      <c r="IA48" s="168"/>
      <c r="IB48" s="168"/>
      <c r="IC48" s="168"/>
      <c r="ID48" s="168"/>
      <c r="IE48" s="168"/>
      <c r="IF48" s="168"/>
      <c r="IG48" s="168"/>
      <c r="IH48" s="168"/>
      <c r="II48" s="168"/>
      <c r="IJ48" s="168"/>
      <c r="IK48" s="168"/>
      <c r="IL48" s="168"/>
      <c r="IM48" s="168"/>
      <c r="IN48" s="168"/>
      <c r="IO48" s="168"/>
      <c r="IP48" s="168"/>
      <c r="IQ48" s="168"/>
      <c r="IR48" s="168"/>
      <c r="IS48" s="168"/>
      <c r="IT48" s="168"/>
      <c r="IU48" s="168"/>
      <c r="IV48" s="168"/>
      <c r="IW48" s="168"/>
      <c r="IX48" s="168"/>
      <c r="IY48" s="168"/>
      <c r="IZ48" s="168"/>
      <c r="JA48" s="168"/>
      <c r="JB48" s="168"/>
      <c r="JC48" s="168"/>
      <c r="JD48" s="168"/>
      <c r="JE48" s="168"/>
      <c r="JF48" s="168"/>
      <c r="JG48" s="168"/>
      <c r="JH48" s="168"/>
      <c r="JI48" s="168"/>
      <c r="JJ48" s="168"/>
      <c r="JK48" s="168"/>
      <c r="JL48" s="168"/>
      <c r="JM48" s="168"/>
      <c r="JN48" s="168"/>
      <c r="JO48" s="168"/>
      <c r="JP48" s="168"/>
      <c r="JQ48" s="168"/>
      <c r="JR48" s="168">
        <v>1</v>
      </c>
      <c r="JS48" s="168"/>
      <c r="JT48" s="168"/>
      <c r="JU48" s="168"/>
      <c r="JV48" s="168"/>
      <c r="JW48" s="168"/>
      <c r="JX48" s="168"/>
      <c r="JY48" s="168"/>
      <c r="JZ48" s="168"/>
      <c r="KA48" s="168"/>
      <c r="KB48" s="168"/>
      <c r="KC48" s="168"/>
      <c r="KD48" s="168"/>
      <c r="KE48" s="168"/>
      <c r="KF48" s="168"/>
      <c r="KG48" s="168"/>
      <c r="KH48" s="168"/>
      <c r="KI48" s="168"/>
      <c r="KJ48" s="168"/>
      <c r="KK48" s="168"/>
      <c r="KL48" s="168"/>
      <c r="KM48" s="168"/>
      <c r="KN48" s="168"/>
      <c r="KO48" s="168">
        <v>1</v>
      </c>
      <c r="KP48" s="168"/>
      <c r="KQ48" s="168"/>
      <c r="KR48" s="168"/>
      <c r="KS48" s="168"/>
      <c r="KT48" s="168">
        <v>1</v>
      </c>
      <c r="KU48" s="168"/>
      <c r="KV48" s="168">
        <f>KT48+KN48+KJ48+KH48+KF48+KD48+KB48+JZ48+JX48+JV48+JT48+JR48+JP48+JN48+JL48+JJ48+JH48+JF48+JD48+JB48+IZ48+IX48+IV48+IT48+IR48+IP48+IN48+IL48+IJ48+IH48+IF48+ID48+IB48+HZ48+HX48+HV48+HT48+HR48+HP48+HN48+HL48+HJ48+HH48+HF48+HD48+HB48+GZ48+GX48+GV48+GT48+GR48+GP48+GN48+GL48+GJ48</f>
        <v>5</v>
      </c>
      <c r="KW48" s="168">
        <f>KU48+KO48+KK48+KI48+KG48+KE48+KC48+KA48+JY48+JW48+JU48+JS48+JQ48+JO48+JM48+JK48+JI48+JG48+JE48+JC48+JA48+IY48+IW48+IU48+IS48+IQ48+IO48+IM48+IK48+II48+IG48+IE48+IC48+IA48+HY48+HW48+HU48+HS48+HQ48+HO48+HM48+HK48+HI48+HG48+HE48+HC48+HA48+GY48+GW48+GU48+GS48+GQ48+GO48+GM48+GK48</f>
        <v>4</v>
      </c>
      <c r="KX48" s="168">
        <f>KW48+KV48</f>
        <v>9</v>
      </c>
      <c r="KY48" s="168">
        <v>5</v>
      </c>
      <c r="KZ48" s="168">
        <v>4</v>
      </c>
      <c r="LA48" s="168"/>
      <c r="LB48" s="168"/>
      <c r="LC48" s="168"/>
      <c r="LD48" s="168"/>
      <c r="LE48" s="168"/>
      <c r="LF48" s="168"/>
      <c r="LG48" s="168"/>
      <c r="LH48" s="168"/>
      <c r="LI48" s="168"/>
      <c r="LJ48" s="168"/>
      <c r="LK48" s="168"/>
      <c r="LL48" s="168"/>
      <c r="LM48" s="168"/>
      <c r="LN48" s="168"/>
      <c r="LO48" s="168"/>
      <c r="LP48" s="168"/>
      <c r="LQ48" s="168">
        <f t="shared" ref="LQ48" si="677">LA48+LC48+KY48+LE48+LG48+LI48+LK48+LM48+LO48</f>
        <v>5</v>
      </c>
      <c r="LR48" s="168">
        <f t="shared" ref="LR48" si="678">LB48+LD48+KZ48+LF48+LH48+LJ48+LL48+LN48+LP48</f>
        <v>4</v>
      </c>
      <c r="LS48" s="168">
        <f t="shared" ref="LS48" si="679">LR48+LQ48</f>
        <v>9</v>
      </c>
      <c r="LT48" s="168">
        <v>2</v>
      </c>
      <c r="LU48" s="168"/>
      <c r="LV48" s="168"/>
      <c r="LW48" s="168"/>
      <c r="LX48" s="168"/>
      <c r="LY48" s="168"/>
      <c r="LZ48" s="168">
        <v>3</v>
      </c>
      <c r="MA48" s="168">
        <v>4</v>
      </c>
      <c r="MB48" s="168">
        <f t="shared" ref="MB48" si="680">LX48+LV48+LT48+LZ48</f>
        <v>5</v>
      </c>
      <c r="MC48" s="168">
        <f t="shared" ref="MC48" si="681">LY48+LW48+LU48+MA48</f>
        <v>4</v>
      </c>
      <c r="MD48" s="168">
        <f t="shared" ref="MD48" si="682">MC48+MB48</f>
        <v>9</v>
      </c>
      <c r="ME48" s="168"/>
      <c r="MF48" s="168"/>
      <c r="MG48" s="168">
        <v>2</v>
      </c>
      <c r="MH48" s="168">
        <v>4</v>
      </c>
      <c r="MI48" s="168"/>
      <c r="MJ48" s="168"/>
      <c r="MK48" s="168">
        <v>3</v>
      </c>
      <c r="ML48" s="168"/>
      <c r="MM48" s="168"/>
      <c r="MN48" s="168"/>
      <c r="MO48" s="168">
        <f t="shared" ref="MO48" si="683">MM48+MK48+MI48+MG48+ME48</f>
        <v>5</v>
      </c>
      <c r="MP48" s="168">
        <f t="shared" ref="MP48" si="684">MN48+ML48+MJ48+MH48+MF48</f>
        <v>4</v>
      </c>
      <c r="MQ48" s="168">
        <f t="shared" ref="MQ48" si="685">MP48+MO48</f>
        <v>9</v>
      </c>
      <c r="MR48" s="168"/>
      <c r="MS48" s="168"/>
      <c r="MT48" s="168">
        <v>5</v>
      </c>
      <c r="MU48" s="168">
        <v>4</v>
      </c>
      <c r="MV48" s="168"/>
      <c r="MW48" s="168"/>
      <c r="MX48" s="168"/>
      <c r="MY48" s="168"/>
      <c r="MZ48" s="168">
        <f t="shared" ref="MZ48" si="686">MX48+MV48+MT48+MR48</f>
        <v>5</v>
      </c>
      <c r="NA48" s="168">
        <f t="shared" ref="NA48" si="687">MY48+MW48+MU48+MS48</f>
        <v>4</v>
      </c>
      <c r="NB48" s="168">
        <f t="shared" ref="NB48" si="688">NA48+MZ48</f>
        <v>9</v>
      </c>
      <c r="NC48" s="168"/>
      <c r="ND48" s="168"/>
      <c r="NE48" s="168"/>
      <c r="NF48" s="168"/>
      <c r="NG48" s="168"/>
      <c r="NH48" s="168"/>
      <c r="NI48" s="168"/>
      <c r="NJ48" s="168"/>
      <c r="NK48" s="168">
        <v>3</v>
      </c>
      <c r="NL48" s="168">
        <v>1</v>
      </c>
      <c r="NM48" s="168">
        <v>2</v>
      </c>
      <c r="NN48" s="168">
        <v>3</v>
      </c>
      <c r="NO48" s="168"/>
      <c r="NP48" s="168"/>
      <c r="NQ48" s="168"/>
      <c r="NR48" s="168"/>
      <c r="NS48" s="168"/>
      <c r="NT48" s="168"/>
      <c r="NU48" s="168"/>
      <c r="NV48" s="168"/>
      <c r="NW48" s="168">
        <f>NU48+NS48+NQ48+NO48+NM48+NK48+NG48+NI48+NE48</f>
        <v>5</v>
      </c>
      <c r="NX48" s="168">
        <f>NV48+NT48+NR48+NP48+NN48+NL48+NH48+NJ48+NF48</f>
        <v>4</v>
      </c>
      <c r="NY48" s="168">
        <f>NX48+NW48</f>
        <v>9</v>
      </c>
      <c r="NZ48" s="168"/>
      <c r="OA48" s="168"/>
      <c r="OB48" s="168"/>
      <c r="OC48" s="168"/>
      <c r="OD48" s="168"/>
      <c r="OE48" s="168"/>
      <c r="OF48" s="168">
        <f>OD48+OB48+NZ48</f>
        <v>0</v>
      </c>
      <c r="OG48" s="168">
        <f>OE48+OC48+OA48</f>
        <v>0</v>
      </c>
      <c r="OH48" s="168">
        <f>OG48+OF48</f>
        <v>0</v>
      </c>
      <c r="OI48" s="168"/>
      <c r="OJ48" s="168">
        <v>1</v>
      </c>
      <c r="OK48" s="168">
        <v>1</v>
      </c>
      <c r="OL48" s="168"/>
      <c r="OM48" s="168"/>
      <c r="ON48" s="168">
        <v>1</v>
      </c>
      <c r="OO48" s="168"/>
      <c r="OP48" s="168">
        <v>1</v>
      </c>
      <c r="OQ48" s="168"/>
      <c r="OR48" s="168"/>
      <c r="OS48" s="168"/>
      <c r="OT48" s="168"/>
      <c r="OU48" s="169">
        <v>1</v>
      </c>
      <c r="OV48" s="169"/>
      <c r="OW48" s="169"/>
      <c r="OX48" s="169"/>
      <c r="OY48" s="169"/>
      <c r="OZ48" s="169"/>
      <c r="PA48" s="169">
        <v>1</v>
      </c>
      <c r="PB48" s="169">
        <v>1</v>
      </c>
      <c r="PC48" s="169"/>
      <c r="PD48" s="169"/>
      <c r="PE48" s="169"/>
      <c r="PF48" s="169">
        <v>1</v>
      </c>
      <c r="PG48" s="169"/>
      <c r="PH48" s="169"/>
      <c r="PI48" s="169"/>
      <c r="PJ48" s="169">
        <v>1</v>
      </c>
      <c r="PK48" s="169"/>
      <c r="PL48" s="169">
        <v>6</v>
      </c>
      <c r="PM48" s="169">
        <v>9</v>
      </c>
      <c r="PN48" s="169">
        <v>6</v>
      </c>
      <c r="PO48" s="169"/>
      <c r="PP48" s="169">
        <v>1</v>
      </c>
      <c r="PQ48" s="169"/>
      <c r="PR48" s="169"/>
      <c r="PS48" s="169"/>
      <c r="PT48" s="169"/>
      <c r="PU48" s="169"/>
      <c r="PV48" s="169">
        <v>1</v>
      </c>
      <c r="PW48" s="169"/>
      <c r="PX48" s="169"/>
      <c r="PY48" s="169">
        <v>1</v>
      </c>
      <c r="PZ48" s="169"/>
      <c r="QA48" s="169">
        <v>1</v>
      </c>
      <c r="QB48" s="169">
        <v>1</v>
      </c>
      <c r="QC48" s="169"/>
      <c r="QD48" s="169">
        <v>1</v>
      </c>
      <c r="QE48" s="169"/>
      <c r="QF48" s="169"/>
      <c r="QG48" s="169"/>
      <c r="QH48" s="169"/>
      <c r="QI48" s="169">
        <v>1</v>
      </c>
      <c r="QJ48" s="169"/>
      <c r="QK48" s="169"/>
      <c r="QL48" s="169">
        <v>1</v>
      </c>
      <c r="QM48" s="169">
        <v>1</v>
      </c>
      <c r="QN48" s="169"/>
      <c r="QO48" s="169">
        <v>1</v>
      </c>
      <c r="QP48" s="169"/>
      <c r="QQ48" s="169"/>
      <c r="QR48" s="169"/>
      <c r="QS48" s="169"/>
      <c r="QT48" s="169">
        <v>1</v>
      </c>
      <c r="QU48" s="169"/>
      <c r="QV48" s="169">
        <v>1</v>
      </c>
      <c r="QW48" s="169"/>
      <c r="QX48" s="169"/>
      <c r="QY48" s="169"/>
      <c r="QZ48" s="169"/>
      <c r="RA48" s="169"/>
      <c r="RB48" s="169">
        <v>1</v>
      </c>
      <c r="RC48" s="169"/>
      <c r="RD48" s="169">
        <v>1</v>
      </c>
      <c r="RE48" s="169"/>
      <c r="RF48" s="169"/>
      <c r="RG48" s="169">
        <v>1</v>
      </c>
      <c r="RH48" s="169"/>
      <c r="RI48" s="169">
        <v>1</v>
      </c>
      <c r="RJ48" s="169"/>
      <c r="RK48" s="169"/>
      <c r="RL48" s="169"/>
      <c r="RM48" s="169">
        <v>1</v>
      </c>
      <c r="RN48" s="169"/>
      <c r="RO48" s="168">
        <v>190</v>
      </c>
      <c r="RP48" s="168">
        <v>41</v>
      </c>
      <c r="RQ48" s="168"/>
      <c r="RR48" s="168"/>
      <c r="RS48" s="168">
        <v>9</v>
      </c>
      <c r="RT48" s="168">
        <v>9</v>
      </c>
      <c r="RU48" s="170">
        <v>3</v>
      </c>
      <c r="RV48" s="170"/>
      <c r="RW48" s="170">
        <v>2</v>
      </c>
      <c r="RX48" s="170"/>
      <c r="RY48" s="170"/>
      <c r="RZ48" s="170"/>
      <c r="SA48" s="169"/>
      <c r="SB48" s="169">
        <v>1</v>
      </c>
      <c r="SC48" s="169"/>
      <c r="SD48" s="169"/>
      <c r="SE48" s="169"/>
      <c r="SF48" s="169"/>
      <c r="SG48" s="169"/>
      <c r="SH48" s="169"/>
      <c r="SI48" s="169"/>
      <c r="SJ48" s="169"/>
      <c r="SK48" s="169"/>
      <c r="SL48" s="169"/>
      <c r="SM48" s="169"/>
      <c r="SN48" s="169"/>
      <c r="SO48" s="169"/>
      <c r="SP48" s="169"/>
      <c r="SQ48" s="169" t="s">
        <v>557</v>
      </c>
      <c r="SR48" s="169" t="s">
        <v>518</v>
      </c>
      <c r="SS48" s="175">
        <v>7821854994</v>
      </c>
    </row>
    <row r="49" spans="1:513" s="194" customFormat="1" ht="20.25" customHeight="1">
      <c r="A49" s="221" t="s">
        <v>489</v>
      </c>
      <c r="B49" s="242"/>
      <c r="C49" s="242"/>
      <c r="D49" s="242"/>
      <c r="E49" s="222"/>
      <c r="F49" s="193">
        <f>SUM(F48)</f>
        <v>1</v>
      </c>
      <c r="G49" s="193">
        <f t="shared" ref="G49:BR49" si="689">SUM(G48)</f>
        <v>0</v>
      </c>
      <c r="H49" s="193">
        <f t="shared" si="689"/>
        <v>0</v>
      </c>
      <c r="I49" s="193">
        <f t="shared" si="689"/>
        <v>1</v>
      </c>
      <c r="J49" s="193">
        <f t="shared" si="689"/>
        <v>0</v>
      </c>
      <c r="K49" s="193">
        <f t="shared" si="689"/>
        <v>1</v>
      </c>
      <c r="L49" s="193">
        <f t="shared" si="689"/>
        <v>0</v>
      </c>
      <c r="M49" s="193">
        <f t="shared" si="689"/>
        <v>0</v>
      </c>
      <c r="N49" s="193">
        <f t="shared" si="689"/>
        <v>0</v>
      </c>
      <c r="O49" s="193">
        <f t="shared" si="689"/>
        <v>1</v>
      </c>
      <c r="P49" s="193">
        <f t="shared" si="689"/>
        <v>0</v>
      </c>
      <c r="Q49" s="193">
        <f t="shared" si="689"/>
        <v>0</v>
      </c>
      <c r="R49" s="193">
        <f t="shared" si="689"/>
        <v>0</v>
      </c>
      <c r="S49" s="193">
        <f t="shared" si="689"/>
        <v>1</v>
      </c>
      <c r="T49" s="193">
        <f t="shared" si="689"/>
        <v>0</v>
      </c>
      <c r="U49" s="193">
        <f t="shared" si="689"/>
        <v>0</v>
      </c>
      <c r="V49" s="193">
        <f t="shared" si="689"/>
        <v>24</v>
      </c>
      <c r="W49" s="193">
        <f t="shared" si="689"/>
        <v>0</v>
      </c>
      <c r="X49" s="193">
        <f t="shared" si="689"/>
        <v>25</v>
      </c>
      <c r="Y49" s="193">
        <f t="shared" si="689"/>
        <v>0</v>
      </c>
      <c r="Z49" s="193">
        <f t="shared" si="689"/>
        <v>22</v>
      </c>
      <c r="AA49" s="193">
        <f t="shared" si="689"/>
        <v>0</v>
      </c>
      <c r="AB49" s="193">
        <f t="shared" si="689"/>
        <v>15</v>
      </c>
      <c r="AC49" s="193">
        <f t="shared" si="689"/>
        <v>0</v>
      </c>
      <c r="AD49" s="193">
        <f t="shared" si="689"/>
        <v>7</v>
      </c>
      <c r="AE49" s="193">
        <f t="shared" si="689"/>
        <v>0</v>
      </c>
      <c r="AF49" s="193">
        <f t="shared" si="689"/>
        <v>93</v>
      </c>
      <c r="AG49" s="193">
        <f t="shared" si="689"/>
        <v>0</v>
      </c>
      <c r="AH49" s="193">
        <f t="shared" si="689"/>
        <v>93</v>
      </c>
      <c r="AI49" s="193">
        <f t="shared" si="689"/>
        <v>24</v>
      </c>
      <c r="AJ49" s="193">
        <f t="shared" si="689"/>
        <v>0</v>
      </c>
      <c r="AK49" s="193">
        <f t="shared" si="689"/>
        <v>25</v>
      </c>
      <c r="AL49" s="193">
        <f t="shared" si="689"/>
        <v>0</v>
      </c>
      <c r="AM49" s="193">
        <f t="shared" si="689"/>
        <v>22</v>
      </c>
      <c r="AN49" s="193">
        <f t="shared" si="689"/>
        <v>0</v>
      </c>
      <c r="AO49" s="193">
        <f t="shared" si="689"/>
        <v>15</v>
      </c>
      <c r="AP49" s="193">
        <f t="shared" si="689"/>
        <v>0</v>
      </c>
      <c r="AQ49" s="193">
        <f t="shared" si="689"/>
        <v>10</v>
      </c>
      <c r="AR49" s="193">
        <f t="shared" si="689"/>
        <v>0</v>
      </c>
      <c r="AS49" s="193">
        <f t="shared" si="689"/>
        <v>96</v>
      </c>
      <c r="AT49" s="193">
        <f t="shared" si="689"/>
        <v>0</v>
      </c>
      <c r="AU49" s="193">
        <f t="shared" si="689"/>
        <v>96</v>
      </c>
      <c r="AV49" s="193">
        <f t="shared" si="689"/>
        <v>11</v>
      </c>
      <c r="AW49" s="193">
        <f t="shared" si="689"/>
        <v>0</v>
      </c>
      <c r="AX49" s="193">
        <f t="shared" si="689"/>
        <v>16</v>
      </c>
      <c r="AY49" s="193">
        <f t="shared" si="689"/>
        <v>0</v>
      </c>
      <c r="AZ49" s="193">
        <f t="shared" si="689"/>
        <v>19</v>
      </c>
      <c r="BA49" s="193">
        <f t="shared" si="689"/>
        <v>0</v>
      </c>
      <c r="BB49" s="193">
        <f t="shared" si="689"/>
        <v>6</v>
      </c>
      <c r="BC49" s="193">
        <f t="shared" si="689"/>
        <v>0</v>
      </c>
      <c r="BD49" s="193">
        <f t="shared" si="689"/>
        <v>12</v>
      </c>
      <c r="BE49" s="193">
        <f t="shared" si="689"/>
        <v>0</v>
      </c>
      <c r="BF49" s="193">
        <f t="shared" si="689"/>
        <v>64</v>
      </c>
      <c r="BG49" s="193">
        <f t="shared" si="689"/>
        <v>0</v>
      </c>
      <c r="BH49" s="193">
        <f t="shared" si="689"/>
        <v>64</v>
      </c>
      <c r="BI49" s="193">
        <f t="shared" si="689"/>
        <v>6</v>
      </c>
      <c r="BJ49" s="193">
        <f t="shared" si="689"/>
        <v>0</v>
      </c>
      <c r="BK49" s="193">
        <f t="shared" si="689"/>
        <v>10</v>
      </c>
      <c r="BL49" s="193">
        <f t="shared" si="689"/>
        <v>0</v>
      </c>
      <c r="BM49" s="193">
        <f t="shared" si="689"/>
        <v>13</v>
      </c>
      <c r="BN49" s="193">
        <f t="shared" si="689"/>
        <v>0</v>
      </c>
      <c r="BO49" s="193">
        <f t="shared" si="689"/>
        <v>1</v>
      </c>
      <c r="BP49" s="193">
        <f t="shared" si="689"/>
        <v>0</v>
      </c>
      <c r="BQ49" s="193">
        <f t="shared" si="689"/>
        <v>7</v>
      </c>
      <c r="BR49" s="193">
        <f t="shared" si="689"/>
        <v>0</v>
      </c>
      <c r="BS49" s="193">
        <f t="shared" ref="BS49:ED49" si="690">SUM(BS48)</f>
        <v>37</v>
      </c>
      <c r="BT49" s="193">
        <f t="shared" si="690"/>
        <v>0</v>
      </c>
      <c r="BU49" s="193">
        <f t="shared" si="690"/>
        <v>37</v>
      </c>
      <c r="BV49" s="193">
        <f t="shared" si="690"/>
        <v>24</v>
      </c>
      <c r="BW49" s="193">
        <f t="shared" si="690"/>
        <v>0</v>
      </c>
      <c r="BX49" s="193">
        <f t="shared" si="690"/>
        <v>36</v>
      </c>
      <c r="BY49" s="193">
        <f t="shared" si="690"/>
        <v>0</v>
      </c>
      <c r="BZ49" s="193">
        <f t="shared" si="690"/>
        <v>44</v>
      </c>
      <c r="CA49" s="193">
        <f t="shared" si="690"/>
        <v>0</v>
      </c>
      <c r="CB49" s="193">
        <f t="shared" si="690"/>
        <v>44</v>
      </c>
      <c r="CC49" s="193">
        <f t="shared" si="690"/>
        <v>0</v>
      </c>
      <c r="CD49" s="193">
        <f t="shared" si="690"/>
        <v>29</v>
      </c>
      <c r="CE49" s="193">
        <f t="shared" si="690"/>
        <v>0</v>
      </c>
      <c r="CF49" s="193">
        <f t="shared" si="690"/>
        <v>13</v>
      </c>
      <c r="CG49" s="193">
        <f t="shared" si="690"/>
        <v>0</v>
      </c>
      <c r="CH49" s="193">
        <f t="shared" si="690"/>
        <v>7</v>
      </c>
      <c r="CI49" s="193">
        <f t="shared" si="690"/>
        <v>0</v>
      </c>
      <c r="CJ49" s="193">
        <f t="shared" si="690"/>
        <v>197</v>
      </c>
      <c r="CK49" s="193">
        <f t="shared" si="690"/>
        <v>0</v>
      </c>
      <c r="CL49" s="193">
        <f t="shared" si="690"/>
        <v>197</v>
      </c>
      <c r="CM49" s="193">
        <f t="shared" si="690"/>
        <v>3</v>
      </c>
      <c r="CN49" s="193">
        <f t="shared" si="690"/>
        <v>0</v>
      </c>
      <c r="CO49" s="193">
        <f t="shared" si="690"/>
        <v>0</v>
      </c>
      <c r="CP49" s="193">
        <f t="shared" si="690"/>
        <v>3</v>
      </c>
      <c r="CQ49" s="193">
        <f t="shared" si="690"/>
        <v>0</v>
      </c>
      <c r="CR49" s="193">
        <f t="shared" si="690"/>
        <v>0</v>
      </c>
      <c r="CS49" s="193">
        <f t="shared" si="690"/>
        <v>3</v>
      </c>
      <c r="CT49" s="193">
        <f t="shared" si="690"/>
        <v>0</v>
      </c>
      <c r="CU49" s="193">
        <f t="shared" si="690"/>
        <v>0</v>
      </c>
      <c r="CV49" s="193">
        <f t="shared" si="690"/>
        <v>9</v>
      </c>
      <c r="CW49" s="193">
        <f t="shared" si="690"/>
        <v>0</v>
      </c>
      <c r="CX49" s="193">
        <f t="shared" si="690"/>
        <v>0</v>
      </c>
      <c r="CY49" s="193">
        <f t="shared" si="690"/>
        <v>9</v>
      </c>
      <c r="CZ49" s="193">
        <f t="shared" si="690"/>
        <v>0</v>
      </c>
      <c r="DA49" s="193">
        <f t="shared" si="690"/>
        <v>0</v>
      </c>
      <c r="DB49" s="193">
        <f t="shared" si="690"/>
        <v>2</v>
      </c>
      <c r="DC49" s="193">
        <f t="shared" si="690"/>
        <v>0</v>
      </c>
      <c r="DD49" s="193">
        <f t="shared" si="690"/>
        <v>2</v>
      </c>
      <c r="DE49" s="193">
        <f t="shared" si="690"/>
        <v>0</v>
      </c>
      <c r="DF49" s="193">
        <f t="shared" si="690"/>
        <v>4</v>
      </c>
      <c r="DG49" s="193">
        <f t="shared" si="690"/>
        <v>0</v>
      </c>
      <c r="DH49" s="193">
        <f t="shared" si="690"/>
        <v>4</v>
      </c>
      <c r="DI49" s="193">
        <f t="shared" si="690"/>
        <v>0</v>
      </c>
      <c r="DJ49" s="193">
        <f t="shared" si="690"/>
        <v>0</v>
      </c>
      <c r="DK49" s="193">
        <f t="shared" si="690"/>
        <v>0</v>
      </c>
      <c r="DL49" s="193">
        <f t="shared" si="690"/>
        <v>0</v>
      </c>
      <c r="DM49" s="193">
        <f t="shared" si="690"/>
        <v>0</v>
      </c>
      <c r="DN49" s="193">
        <f t="shared" si="690"/>
        <v>0</v>
      </c>
      <c r="DO49" s="193">
        <f t="shared" si="690"/>
        <v>0</v>
      </c>
      <c r="DP49" s="193">
        <f t="shared" si="690"/>
        <v>0</v>
      </c>
      <c r="DQ49" s="193">
        <f t="shared" si="690"/>
        <v>0</v>
      </c>
      <c r="DR49" s="193">
        <f t="shared" si="690"/>
        <v>75</v>
      </c>
      <c r="DS49" s="193">
        <f t="shared" si="690"/>
        <v>0</v>
      </c>
      <c r="DT49" s="193">
        <f t="shared" si="690"/>
        <v>37</v>
      </c>
      <c r="DU49" s="193">
        <f t="shared" si="690"/>
        <v>0</v>
      </c>
      <c r="DV49" s="193">
        <f t="shared" si="690"/>
        <v>25</v>
      </c>
      <c r="DW49" s="193">
        <f t="shared" si="690"/>
        <v>0</v>
      </c>
      <c r="DX49" s="193">
        <f t="shared" si="690"/>
        <v>137</v>
      </c>
      <c r="DY49" s="193">
        <f t="shared" si="690"/>
        <v>0</v>
      </c>
      <c r="DZ49" s="193">
        <f t="shared" si="690"/>
        <v>137</v>
      </c>
      <c r="EA49" s="193">
        <f t="shared" si="690"/>
        <v>0</v>
      </c>
      <c r="EB49" s="193">
        <f t="shared" si="690"/>
        <v>0</v>
      </c>
      <c r="EC49" s="193">
        <f t="shared" si="690"/>
        <v>0</v>
      </c>
      <c r="ED49" s="193">
        <f t="shared" si="690"/>
        <v>0</v>
      </c>
      <c r="EE49" s="193">
        <f t="shared" ref="EE49:GR49" si="691">SUM(EE48)</f>
        <v>0</v>
      </c>
      <c r="EF49" s="193">
        <f t="shared" si="691"/>
        <v>0</v>
      </c>
      <c r="EG49" s="193">
        <f t="shared" si="691"/>
        <v>0</v>
      </c>
      <c r="EH49" s="193">
        <f t="shared" si="691"/>
        <v>0</v>
      </c>
      <c r="EI49" s="193">
        <f t="shared" si="691"/>
        <v>0</v>
      </c>
      <c r="EJ49" s="193">
        <f t="shared" si="691"/>
        <v>0</v>
      </c>
      <c r="EK49" s="193">
        <f t="shared" si="691"/>
        <v>0</v>
      </c>
      <c r="EL49" s="193">
        <f t="shared" si="691"/>
        <v>0</v>
      </c>
      <c r="EM49" s="193">
        <f t="shared" si="691"/>
        <v>0</v>
      </c>
      <c r="EN49" s="193">
        <f t="shared" si="691"/>
        <v>0</v>
      </c>
      <c r="EO49" s="193">
        <f t="shared" si="691"/>
        <v>0</v>
      </c>
      <c r="EP49" s="193">
        <f t="shared" si="691"/>
        <v>0</v>
      </c>
      <c r="EQ49" s="193">
        <f t="shared" si="691"/>
        <v>0</v>
      </c>
      <c r="ER49" s="193">
        <f t="shared" si="691"/>
        <v>0</v>
      </c>
      <c r="ES49" s="193">
        <f t="shared" si="691"/>
        <v>0</v>
      </c>
      <c r="ET49" s="193">
        <f t="shared" si="691"/>
        <v>0</v>
      </c>
      <c r="EU49" s="193">
        <f t="shared" si="691"/>
        <v>0</v>
      </c>
      <c r="EV49" s="193">
        <f t="shared" si="691"/>
        <v>0</v>
      </c>
      <c r="EW49" s="193">
        <f t="shared" si="691"/>
        <v>0</v>
      </c>
      <c r="EX49" s="193">
        <f t="shared" si="691"/>
        <v>0</v>
      </c>
      <c r="EY49" s="193">
        <f t="shared" si="691"/>
        <v>0</v>
      </c>
      <c r="EZ49" s="193">
        <f t="shared" si="691"/>
        <v>0</v>
      </c>
      <c r="FA49" s="193">
        <f t="shared" si="691"/>
        <v>0</v>
      </c>
      <c r="FB49" s="193">
        <f t="shared" si="691"/>
        <v>1</v>
      </c>
      <c r="FC49" s="193">
        <f t="shared" si="691"/>
        <v>0</v>
      </c>
      <c r="FD49" s="193">
        <f t="shared" si="691"/>
        <v>1</v>
      </c>
      <c r="FE49" s="193">
        <f t="shared" si="691"/>
        <v>0</v>
      </c>
      <c r="FF49" s="193">
        <f t="shared" si="691"/>
        <v>3</v>
      </c>
      <c r="FG49" s="193">
        <f t="shared" si="691"/>
        <v>4</v>
      </c>
      <c r="FH49" s="193">
        <f t="shared" si="691"/>
        <v>0</v>
      </c>
      <c r="FI49" s="193">
        <f t="shared" si="691"/>
        <v>0</v>
      </c>
      <c r="FJ49" s="193">
        <f t="shared" si="691"/>
        <v>0</v>
      </c>
      <c r="FK49" s="193">
        <f t="shared" si="691"/>
        <v>0</v>
      </c>
      <c r="FL49" s="193">
        <f t="shared" si="691"/>
        <v>5</v>
      </c>
      <c r="FM49" s="193">
        <f t="shared" si="691"/>
        <v>4</v>
      </c>
      <c r="FN49" s="193">
        <f t="shared" si="691"/>
        <v>9</v>
      </c>
      <c r="FO49" s="193">
        <f t="shared" si="691"/>
        <v>0</v>
      </c>
      <c r="FP49" s="193">
        <f t="shared" si="691"/>
        <v>1</v>
      </c>
      <c r="FQ49" s="193">
        <f t="shared" si="691"/>
        <v>0</v>
      </c>
      <c r="FR49" s="193">
        <f t="shared" si="691"/>
        <v>0</v>
      </c>
      <c r="FS49" s="193">
        <f t="shared" si="691"/>
        <v>0</v>
      </c>
      <c r="FT49" s="193">
        <f t="shared" si="691"/>
        <v>0</v>
      </c>
      <c r="FU49" s="193">
        <f t="shared" si="691"/>
        <v>0</v>
      </c>
      <c r="FV49" s="193">
        <f t="shared" si="691"/>
        <v>0</v>
      </c>
      <c r="FW49" s="193">
        <f t="shared" si="691"/>
        <v>0</v>
      </c>
      <c r="FX49" s="193">
        <f t="shared" si="691"/>
        <v>1</v>
      </c>
      <c r="FY49" s="193">
        <f t="shared" si="691"/>
        <v>0</v>
      </c>
      <c r="FZ49" s="193">
        <f t="shared" si="691"/>
        <v>0</v>
      </c>
      <c r="GA49" s="193">
        <f t="shared" si="691"/>
        <v>0</v>
      </c>
      <c r="GB49" s="193">
        <f t="shared" si="691"/>
        <v>0</v>
      </c>
      <c r="GC49" s="193"/>
      <c r="GD49" s="193"/>
      <c r="GE49" s="193">
        <f t="shared" si="691"/>
        <v>0</v>
      </c>
      <c r="GF49" s="193">
        <f t="shared" si="691"/>
        <v>0</v>
      </c>
      <c r="GG49" s="193">
        <f t="shared" si="691"/>
        <v>0</v>
      </c>
      <c r="GH49" s="193">
        <f t="shared" si="691"/>
        <v>2</v>
      </c>
      <c r="GI49" s="193">
        <f t="shared" si="691"/>
        <v>2</v>
      </c>
      <c r="GJ49" s="193">
        <f t="shared" si="691"/>
        <v>0</v>
      </c>
      <c r="GK49" s="193">
        <f t="shared" si="691"/>
        <v>1</v>
      </c>
      <c r="GL49" s="193">
        <f t="shared" si="691"/>
        <v>1</v>
      </c>
      <c r="GM49" s="193">
        <f t="shared" si="691"/>
        <v>0</v>
      </c>
      <c r="GN49" s="193">
        <f t="shared" si="691"/>
        <v>0</v>
      </c>
      <c r="GO49" s="193">
        <f t="shared" si="691"/>
        <v>1</v>
      </c>
      <c r="GP49" s="193">
        <f t="shared" si="691"/>
        <v>0</v>
      </c>
      <c r="GQ49" s="193">
        <f t="shared" si="691"/>
        <v>0</v>
      </c>
      <c r="GR49" s="193">
        <f t="shared" si="691"/>
        <v>0</v>
      </c>
      <c r="GS49" s="193">
        <f t="shared" ref="GS49:JD49" si="692">SUM(GS48)</f>
        <v>0</v>
      </c>
      <c r="GT49" s="193">
        <f t="shared" si="692"/>
        <v>0</v>
      </c>
      <c r="GU49" s="193">
        <f t="shared" si="692"/>
        <v>0</v>
      </c>
      <c r="GV49" s="193">
        <f t="shared" si="692"/>
        <v>0</v>
      </c>
      <c r="GW49" s="193">
        <f t="shared" si="692"/>
        <v>0</v>
      </c>
      <c r="GX49" s="193">
        <f t="shared" si="692"/>
        <v>0</v>
      </c>
      <c r="GY49" s="193">
        <f t="shared" si="692"/>
        <v>0</v>
      </c>
      <c r="GZ49" s="193">
        <f t="shared" si="692"/>
        <v>1</v>
      </c>
      <c r="HA49" s="193">
        <f t="shared" si="692"/>
        <v>1</v>
      </c>
      <c r="HB49" s="193">
        <f t="shared" si="692"/>
        <v>0</v>
      </c>
      <c r="HC49" s="193">
        <f t="shared" si="692"/>
        <v>0</v>
      </c>
      <c r="HD49" s="193">
        <f t="shared" si="692"/>
        <v>0</v>
      </c>
      <c r="HE49" s="193">
        <f t="shared" si="692"/>
        <v>0</v>
      </c>
      <c r="HF49" s="193">
        <f t="shared" si="692"/>
        <v>1</v>
      </c>
      <c r="HG49" s="193">
        <f t="shared" si="692"/>
        <v>0</v>
      </c>
      <c r="HH49" s="193">
        <f t="shared" si="692"/>
        <v>0</v>
      </c>
      <c r="HI49" s="193">
        <f t="shared" si="692"/>
        <v>0</v>
      </c>
      <c r="HJ49" s="193">
        <f t="shared" si="692"/>
        <v>0</v>
      </c>
      <c r="HK49" s="193">
        <f t="shared" si="692"/>
        <v>0</v>
      </c>
      <c r="HL49" s="193">
        <f t="shared" si="692"/>
        <v>0</v>
      </c>
      <c r="HM49" s="193">
        <f t="shared" si="692"/>
        <v>0</v>
      </c>
      <c r="HN49" s="193">
        <f t="shared" si="692"/>
        <v>0</v>
      </c>
      <c r="HO49" s="193">
        <f t="shared" si="692"/>
        <v>0</v>
      </c>
      <c r="HP49" s="193">
        <f t="shared" si="692"/>
        <v>0</v>
      </c>
      <c r="HQ49" s="193">
        <f t="shared" si="692"/>
        <v>0</v>
      </c>
      <c r="HR49" s="193">
        <f t="shared" si="692"/>
        <v>0</v>
      </c>
      <c r="HS49" s="193">
        <f t="shared" si="692"/>
        <v>0</v>
      </c>
      <c r="HT49" s="193">
        <f t="shared" si="692"/>
        <v>0</v>
      </c>
      <c r="HU49" s="193">
        <f t="shared" si="692"/>
        <v>0</v>
      </c>
      <c r="HV49" s="193">
        <f t="shared" si="692"/>
        <v>0</v>
      </c>
      <c r="HW49" s="193">
        <f t="shared" si="692"/>
        <v>0</v>
      </c>
      <c r="HX49" s="193">
        <f t="shared" si="692"/>
        <v>0</v>
      </c>
      <c r="HY49" s="193">
        <f t="shared" si="692"/>
        <v>0</v>
      </c>
      <c r="HZ49" s="193">
        <f t="shared" si="692"/>
        <v>0</v>
      </c>
      <c r="IA49" s="193">
        <f t="shared" si="692"/>
        <v>0</v>
      </c>
      <c r="IB49" s="193">
        <f t="shared" si="692"/>
        <v>0</v>
      </c>
      <c r="IC49" s="193">
        <f t="shared" si="692"/>
        <v>0</v>
      </c>
      <c r="ID49" s="193">
        <f t="shared" si="692"/>
        <v>0</v>
      </c>
      <c r="IE49" s="193">
        <f t="shared" si="692"/>
        <v>0</v>
      </c>
      <c r="IF49" s="193">
        <f t="shared" si="692"/>
        <v>0</v>
      </c>
      <c r="IG49" s="193">
        <f t="shared" si="692"/>
        <v>0</v>
      </c>
      <c r="IH49" s="193">
        <f t="shared" si="692"/>
        <v>0</v>
      </c>
      <c r="II49" s="193">
        <f t="shared" si="692"/>
        <v>0</v>
      </c>
      <c r="IJ49" s="193">
        <f t="shared" si="692"/>
        <v>0</v>
      </c>
      <c r="IK49" s="193">
        <f t="shared" si="692"/>
        <v>0</v>
      </c>
      <c r="IL49" s="193">
        <f t="shared" si="692"/>
        <v>0</v>
      </c>
      <c r="IM49" s="193">
        <f t="shared" si="692"/>
        <v>0</v>
      </c>
      <c r="IN49" s="193">
        <f t="shared" si="692"/>
        <v>0</v>
      </c>
      <c r="IO49" s="193">
        <f t="shared" si="692"/>
        <v>0</v>
      </c>
      <c r="IP49" s="193">
        <f t="shared" si="692"/>
        <v>0</v>
      </c>
      <c r="IQ49" s="193">
        <f t="shared" si="692"/>
        <v>0</v>
      </c>
      <c r="IR49" s="193">
        <f t="shared" si="692"/>
        <v>0</v>
      </c>
      <c r="IS49" s="193">
        <f t="shared" si="692"/>
        <v>0</v>
      </c>
      <c r="IT49" s="193">
        <f t="shared" si="692"/>
        <v>0</v>
      </c>
      <c r="IU49" s="193">
        <f t="shared" si="692"/>
        <v>0</v>
      </c>
      <c r="IV49" s="193">
        <f t="shared" si="692"/>
        <v>0</v>
      </c>
      <c r="IW49" s="193">
        <f t="shared" si="692"/>
        <v>0</v>
      </c>
      <c r="IX49" s="193">
        <f t="shared" si="692"/>
        <v>0</v>
      </c>
      <c r="IY49" s="193">
        <f t="shared" si="692"/>
        <v>0</v>
      </c>
      <c r="IZ49" s="193">
        <f t="shared" si="692"/>
        <v>0</v>
      </c>
      <c r="JA49" s="193">
        <f t="shared" si="692"/>
        <v>0</v>
      </c>
      <c r="JB49" s="193">
        <f t="shared" si="692"/>
        <v>0</v>
      </c>
      <c r="JC49" s="193">
        <f t="shared" si="692"/>
        <v>0</v>
      </c>
      <c r="JD49" s="193">
        <f t="shared" si="692"/>
        <v>0</v>
      </c>
      <c r="JE49" s="193">
        <f t="shared" ref="JE49:LN49" si="693">SUM(JE48)</f>
        <v>0</v>
      </c>
      <c r="JF49" s="193">
        <f t="shared" si="693"/>
        <v>0</v>
      </c>
      <c r="JG49" s="193">
        <f t="shared" si="693"/>
        <v>0</v>
      </c>
      <c r="JH49" s="193">
        <f t="shared" si="693"/>
        <v>0</v>
      </c>
      <c r="JI49" s="193">
        <f t="shared" si="693"/>
        <v>0</v>
      </c>
      <c r="JJ49" s="193">
        <f t="shared" si="693"/>
        <v>0</v>
      </c>
      <c r="JK49" s="193">
        <f t="shared" si="693"/>
        <v>0</v>
      </c>
      <c r="JL49" s="193">
        <f t="shared" si="693"/>
        <v>0</v>
      </c>
      <c r="JM49" s="193">
        <f t="shared" si="693"/>
        <v>0</v>
      </c>
      <c r="JN49" s="193">
        <f t="shared" si="693"/>
        <v>0</v>
      </c>
      <c r="JO49" s="193">
        <f t="shared" si="693"/>
        <v>0</v>
      </c>
      <c r="JP49" s="193">
        <f t="shared" si="693"/>
        <v>0</v>
      </c>
      <c r="JQ49" s="193">
        <f t="shared" si="693"/>
        <v>0</v>
      </c>
      <c r="JR49" s="193">
        <f t="shared" si="693"/>
        <v>1</v>
      </c>
      <c r="JS49" s="193">
        <f t="shared" si="693"/>
        <v>0</v>
      </c>
      <c r="JT49" s="193">
        <f t="shared" si="693"/>
        <v>0</v>
      </c>
      <c r="JU49" s="193">
        <f t="shared" si="693"/>
        <v>0</v>
      </c>
      <c r="JV49" s="193">
        <f t="shared" si="693"/>
        <v>0</v>
      </c>
      <c r="JW49" s="193">
        <f t="shared" si="693"/>
        <v>0</v>
      </c>
      <c r="JX49" s="193">
        <f t="shared" si="693"/>
        <v>0</v>
      </c>
      <c r="JY49" s="193">
        <f t="shared" si="693"/>
        <v>0</v>
      </c>
      <c r="JZ49" s="193">
        <f t="shared" si="693"/>
        <v>0</v>
      </c>
      <c r="KA49" s="193">
        <f t="shared" si="693"/>
        <v>0</v>
      </c>
      <c r="KB49" s="193">
        <f t="shared" si="693"/>
        <v>0</v>
      </c>
      <c r="KC49" s="193">
        <f t="shared" si="693"/>
        <v>0</v>
      </c>
      <c r="KD49" s="193">
        <f t="shared" si="693"/>
        <v>0</v>
      </c>
      <c r="KE49" s="193">
        <f t="shared" si="693"/>
        <v>0</v>
      </c>
      <c r="KF49" s="193">
        <f t="shared" si="693"/>
        <v>0</v>
      </c>
      <c r="KG49" s="193">
        <f t="shared" si="693"/>
        <v>0</v>
      </c>
      <c r="KH49" s="193">
        <f t="shared" si="693"/>
        <v>0</v>
      </c>
      <c r="KI49" s="193">
        <f t="shared" si="693"/>
        <v>0</v>
      </c>
      <c r="KJ49" s="193">
        <f t="shared" si="693"/>
        <v>0</v>
      </c>
      <c r="KK49" s="193">
        <f t="shared" si="693"/>
        <v>0</v>
      </c>
      <c r="KL49" s="193">
        <f t="shared" si="693"/>
        <v>0</v>
      </c>
      <c r="KM49" s="193">
        <f t="shared" si="693"/>
        <v>0</v>
      </c>
      <c r="KN49" s="193">
        <f t="shared" si="693"/>
        <v>0</v>
      </c>
      <c r="KO49" s="193">
        <f t="shared" si="693"/>
        <v>1</v>
      </c>
      <c r="KP49" s="193">
        <f t="shared" si="693"/>
        <v>0</v>
      </c>
      <c r="KQ49" s="193">
        <f t="shared" si="693"/>
        <v>0</v>
      </c>
      <c r="KR49" s="193">
        <f t="shared" si="693"/>
        <v>0</v>
      </c>
      <c r="KS49" s="193">
        <f t="shared" si="693"/>
        <v>0</v>
      </c>
      <c r="KT49" s="193">
        <f t="shared" si="693"/>
        <v>1</v>
      </c>
      <c r="KU49" s="193">
        <f t="shared" si="693"/>
        <v>0</v>
      </c>
      <c r="KV49" s="193">
        <f t="shared" si="693"/>
        <v>5</v>
      </c>
      <c r="KW49" s="193">
        <f t="shared" si="693"/>
        <v>4</v>
      </c>
      <c r="KX49" s="193">
        <f t="shared" si="693"/>
        <v>9</v>
      </c>
      <c r="KY49" s="193">
        <f t="shared" si="693"/>
        <v>5</v>
      </c>
      <c r="KZ49" s="193">
        <f t="shared" si="693"/>
        <v>4</v>
      </c>
      <c r="LA49" s="193">
        <f t="shared" si="693"/>
        <v>0</v>
      </c>
      <c r="LB49" s="193">
        <f t="shared" si="693"/>
        <v>0</v>
      </c>
      <c r="LC49" s="193">
        <f t="shared" si="693"/>
        <v>0</v>
      </c>
      <c r="LD49" s="193">
        <f t="shared" si="693"/>
        <v>0</v>
      </c>
      <c r="LE49" s="193">
        <f t="shared" si="693"/>
        <v>0</v>
      </c>
      <c r="LF49" s="193">
        <f t="shared" si="693"/>
        <v>0</v>
      </c>
      <c r="LG49" s="193">
        <f t="shared" si="693"/>
        <v>0</v>
      </c>
      <c r="LH49" s="193">
        <f t="shared" si="693"/>
        <v>0</v>
      </c>
      <c r="LI49" s="193">
        <f t="shared" si="693"/>
        <v>0</v>
      </c>
      <c r="LJ49" s="193">
        <f t="shared" si="693"/>
        <v>0</v>
      </c>
      <c r="LK49" s="193">
        <f t="shared" si="693"/>
        <v>0</v>
      </c>
      <c r="LL49" s="193">
        <f t="shared" si="693"/>
        <v>0</v>
      </c>
      <c r="LM49" s="193">
        <f t="shared" si="693"/>
        <v>0</v>
      </c>
      <c r="LN49" s="193">
        <f t="shared" si="693"/>
        <v>0</v>
      </c>
      <c r="LO49" s="193"/>
      <c r="LP49" s="193"/>
      <c r="LQ49" s="193">
        <f t="shared" ref="LQ49:OA49" si="694">SUM(LQ48)</f>
        <v>5</v>
      </c>
      <c r="LR49" s="193">
        <f t="shared" si="694"/>
        <v>4</v>
      </c>
      <c r="LS49" s="193">
        <f t="shared" si="694"/>
        <v>9</v>
      </c>
      <c r="LT49" s="193">
        <f t="shared" si="694"/>
        <v>2</v>
      </c>
      <c r="LU49" s="193">
        <f t="shared" si="694"/>
        <v>0</v>
      </c>
      <c r="LV49" s="193">
        <f t="shared" si="694"/>
        <v>0</v>
      </c>
      <c r="LW49" s="193">
        <f t="shared" si="694"/>
        <v>0</v>
      </c>
      <c r="LX49" s="193">
        <f t="shared" si="694"/>
        <v>0</v>
      </c>
      <c r="LY49" s="193">
        <f t="shared" si="694"/>
        <v>0</v>
      </c>
      <c r="LZ49" s="193">
        <f t="shared" si="694"/>
        <v>3</v>
      </c>
      <c r="MA49" s="193">
        <f t="shared" si="694"/>
        <v>4</v>
      </c>
      <c r="MB49" s="193">
        <f t="shared" si="694"/>
        <v>5</v>
      </c>
      <c r="MC49" s="193">
        <f t="shared" si="694"/>
        <v>4</v>
      </c>
      <c r="MD49" s="193">
        <f t="shared" si="694"/>
        <v>9</v>
      </c>
      <c r="ME49" s="193">
        <f t="shared" si="694"/>
        <v>0</v>
      </c>
      <c r="MF49" s="193">
        <f t="shared" si="694"/>
        <v>0</v>
      </c>
      <c r="MG49" s="193">
        <f t="shared" si="694"/>
        <v>2</v>
      </c>
      <c r="MH49" s="193">
        <f t="shared" si="694"/>
        <v>4</v>
      </c>
      <c r="MI49" s="193">
        <f t="shared" si="694"/>
        <v>0</v>
      </c>
      <c r="MJ49" s="193">
        <f t="shared" si="694"/>
        <v>0</v>
      </c>
      <c r="MK49" s="193">
        <f t="shared" si="694"/>
        <v>3</v>
      </c>
      <c r="ML49" s="193">
        <f t="shared" si="694"/>
        <v>0</v>
      </c>
      <c r="MM49" s="193">
        <f t="shared" si="694"/>
        <v>0</v>
      </c>
      <c r="MN49" s="193">
        <f t="shared" si="694"/>
        <v>0</v>
      </c>
      <c r="MO49" s="193">
        <f t="shared" si="694"/>
        <v>5</v>
      </c>
      <c r="MP49" s="193">
        <f t="shared" si="694"/>
        <v>4</v>
      </c>
      <c r="MQ49" s="193">
        <f t="shared" si="694"/>
        <v>9</v>
      </c>
      <c r="MR49" s="193">
        <f t="shared" si="694"/>
        <v>0</v>
      </c>
      <c r="MS49" s="193">
        <f t="shared" si="694"/>
        <v>0</v>
      </c>
      <c r="MT49" s="193">
        <f t="shared" si="694"/>
        <v>5</v>
      </c>
      <c r="MU49" s="193">
        <f t="shared" si="694"/>
        <v>4</v>
      </c>
      <c r="MV49" s="193">
        <f t="shared" si="694"/>
        <v>0</v>
      </c>
      <c r="MW49" s="193">
        <f t="shared" si="694"/>
        <v>0</v>
      </c>
      <c r="MX49" s="193">
        <f t="shared" si="694"/>
        <v>0</v>
      </c>
      <c r="MY49" s="193">
        <f t="shared" si="694"/>
        <v>0</v>
      </c>
      <c r="MZ49" s="193">
        <f t="shared" si="694"/>
        <v>5</v>
      </c>
      <c r="NA49" s="193">
        <f t="shared" si="694"/>
        <v>4</v>
      </c>
      <c r="NB49" s="193">
        <f t="shared" si="694"/>
        <v>9</v>
      </c>
      <c r="NC49" s="193">
        <f t="shared" si="694"/>
        <v>0</v>
      </c>
      <c r="ND49" s="208">
        <f t="shared" si="694"/>
        <v>0</v>
      </c>
      <c r="NE49" s="208">
        <f t="shared" si="694"/>
        <v>0</v>
      </c>
      <c r="NF49" s="208">
        <f t="shared" si="694"/>
        <v>0</v>
      </c>
      <c r="NG49" s="208">
        <f t="shared" si="694"/>
        <v>0</v>
      </c>
      <c r="NH49" s="208">
        <f t="shared" si="694"/>
        <v>0</v>
      </c>
      <c r="NI49" s="208">
        <f t="shared" si="694"/>
        <v>0</v>
      </c>
      <c r="NJ49" s="208">
        <f t="shared" si="694"/>
        <v>0</v>
      </c>
      <c r="NK49" s="208">
        <f t="shared" si="694"/>
        <v>3</v>
      </c>
      <c r="NL49" s="208">
        <f t="shared" si="694"/>
        <v>1</v>
      </c>
      <c r="NM49" s="208">
        <f t="shared" si="694"/>
        <v>2</v>
      </c>
      <c r="NN49" s="208">
        <f t="shared" si="694"/>
        <v>3</v>
      </c>
      <c r="NO49" s="208">
        <f t="shared" si="694"/>
        <v>0</v>
      </c>
      <c r="NP49" s="208">
        <f t="shared" si="694"/>
        <v>0</v>
      </c>
      <c r="NQ49" s="208">
        <f t="shared" si="694"/>
        <v>0</v>
      </c>
      <c r="NR49" s="208">
        <f t="shared" si="694"/>
        <v>0</v>
      </c>
      <c r="NS49" s="208">
        <f t="shared" si="694"/>
        <v>0</v>
      </c>
      <c r="NT49" s="208">
        <f t="shared" si="694"/>
        <v>0</v>
      </c>
      <c r="NU49" s="208">
        <f t="shared" si="694"/>
        <v>0</v>
      </c>
      <c r="NV49" s="208">
        <f t="shared" si="694"/>
        <v>0</v>
      </c>
      <c r="NW49" s="208">
        <f t="shared" si="694"/>
        <v>5</v>
      </c>
      <c r="NX49" s="208">
        <f t="shared" si="694"/>
        <v>4</v>
      </c>
      <c r="NY49" s="193">
        <f t="shared" si="694"/>
        <v>9</v>
      </c>
      <c r="NZ49" s="193">
        <f t="shared" si="694"/>
        <v>0</v>
      </c>
      <c r="OA49" s="193">
        <f t="shared" si="694"/>
        <v>0</v>
      </c>
      <c r="OB49" s="193">
        <f t="shared" ref="OB49:QS49" si="695">SUM(OB48)</f>
        <v>0</v>
      </c>
      <c r="OC49" s="193">
        <f t="shared" si="695"/>
        <v>0</v>
      </c>
      <c r="OD49" s="193">
        <f t="shared" si="695"/>
        <v>0</v>
      </c>
      <c r="OE49" s="193">
        <f t="shared" si="695"/>
        <v>0</v>
      </c>
      <c r="OF49" s="193">
        <f t="shared" si="695"/>
        <v>0</v>
      </c>
      <c r="OG49" s="193">
        <f t="shared" si="695"/>
        <v>0</v>
      </c>
      <c r="OH49" s="193">
        <f t="shared" si="695"/>
        <v>0</v>
      </c>
      <c r="OI49" s="193">
        <f t="shared" ref="OI49:OT49" si="696">SUM(OI48)</f>
        <v>0</v>
      </c>
      <c r="OJ49" s="193">
        <f t="shared" si="696"/>
        <v>1</v>
      </c>
      <c r="OK49" s="193">
        <f t="shared" si="696"/>
        <v>1</v>
      </c>
      <c r="OL49" s="193">
        <f t="shared" si="696"/>
        <v>0</v>
      </c>
      <c r="OM49" s="193">
        <f t="shared" si="696"/>
        <v>0</v>
      </c>
      <c r="ON49" s="193">
        <f t="shared" si="696"/>
        <v>1</v>
      </c>
      <c r="OO49" s="193">
        <f t="shared" si="696"/>
        <v>0</v>
      </c>
      <c r="OP49" s="193">
        <f t="shared" si="696"/>
        <v>1</v>
      </c>
      <c r="OQ49" s="193">
        <f t="shared" si="696"/>
        <v>0</v>
      </c>
      <c r="OR49" s="193">
        <f t="shared" si="696"/>
        <v>0</v>
      </c>
      <c r="OS49" s="193">
        <f t="shared" si="696"/>
        <v>0</v>
      </c>
      <c r="OT49" s="193">
        <f t="shared" si="696"/>
        <v>0</v>
      </c>
      <c r="OU49" s="193">
        <f t="shared" si="695"/>
        <v>1</v>
      </c>
      <c r="OV49" s="193">
        <f t="shared" si="695"/>
        <v>0</v>
      </c>
      <c r="OW49" s="193"/>
      <c r="OX49" s="193"/>
      <c r="OY49" s="193"/>
      <c r="OZ49" s="193">
        <f t="shared" si="695"/>
        <v>0</v>
      </c>
      <c r="PA49" s="193">
        <f t="shared" si="695"/>
        <v>1</v>
      </c>
      <c r="PB49" s="193">
        <f t="shared" si="695"/>
        <v>1</v>
      </c>
      <c r="PC49" s="193">
        <f t="shared" si="695"/>
        <v>0</v>
      </c>
      <c r="PD49" s="193">
        <f t="shared" si="695"/>
        <v>0</v>
      </c>
      <c r="PE49" s="193">
        <f t="shared" si="695"/>
        <v>0</v>
      </c>
      <c r="PF49" s="193">
        <f t="shared" si="695"/>
        <v>1</v>
      </c>
      <c r="PG49" s="193">
        <f t="shared" si="695"/>
        <v>0</v>
      </c>
      <c r="PH49" s="193">
        <f t="shared" si="695"/>
        <v>0</v>
      </c>
      <c r="PI49" s="193">
        <f t="shared" si="695"/>
        <v>0</v>
      </c>
      <c r="PJ49" s="193">
        <f t="shared" si="695"/>
        <v>1</v>
      </c>
      <c r="PK49" s="193">
        <f t="shared" si="695"/>
        <v>0</v>
      </c>
      <c r="PL49" s="193">
        <f t="shared" si="695"/>
        <v>6</v>
      </c>
      <c r="PM49" s="193">
        <f t="shared" si="695"/>
        <v>9</v>
      </c>
      <c r="PN49" s="193">
        <f t="shared" si="695"/>
        <v>6</v>
      </c>
      <c r="PO49" s="193">
        <f t="shared" si="695"/>
        <v>0</v>
      </c>
      <c r="PP49" s="193">
        <f t="shared" si="695"/>
        <v>1</v>
      </c>
      <c r="PQ49" s="193">
        <f t="shared" si="695"/>
        <v>0</v>
      </c>
      <c r="PR49" s="193">
        <f t="shared" si="695"/>
        <v>0</v>
      </c>
      <c r="PS49" s="193">
        <f t="shared" si="695"/>
        <v>0</v>
      </c>
      <c r="PT49" s="193">
        <f t="shared" si="695"/>
        <v>0</v>
      </c>
      <c r="PU49" s="193">
        <f t="shared" si="695"/>
        <v>0</v>
      </c>
      <c r="PV49" s="193">
        <f t="shared" ref="PV49:QH49" si="697">SUM(PV48)</f>
        <v>1</v>
      </c>
      <c r="PW49" s="193">
        <f t="shared" si="697"/>
        <v>0</v>
      </c>
      <c r="PX49" s="193">
        <f t="shared" si="697"/>
        <v>0</v>
      </c>
      <c r="PY49" s="193">
        <f t="shared" si="697"/>
        <v>1</v>
      </c>
      <c r="PZ49" s="193">
        <f t="shared" si="697"/>
        <v>0</v>
      </c>
      <c r="QA49" s="193">
        <f t="shared" si="697"/>
        <v>1</v>
      </c>
      <c r="QB49" s="193">
        <f t="shared" si="697"/>
        <v>1</v>
      </c>
      <c r="QC49" s="193">
        <f t="shared" si="697"/>
        <v>0</v>
      </c>
      <c r="QD49" s="193">
        <f t="shared" si="697"/>
        <v>1</v>
      </c>
      <c r="QE49" s="193">
        <f t="shared" si="697"/>
        <v>0</v>
      </c>
      <c r="QF49" s="193">
        <f t="shared" si="697"/>
        <v>0</v>
      </c>
      <c r="QG49" s="193">
        <f t="shared" si="697"/>
        <v>0</v>
      </c>
      <c r="QH49" s="193">
        <f t="shared" si="697"/>
        <v>0</v>
      </c>
      <c r="QI49" s="193">
        <f t="shared" si="695"/>
        <v>1</v>
      </c>
      <c r="QJ49" s="193">
        <f t="shared" si="695"/>
        <v>0</v>
      </c>
      <c r="QK49" s="193">
        <f t="shared" si="695"/>
        <v>0</v>
      </c>
      <c r="QL49" s="193">
        <f t="shared" si="695"/>
        <v>1</v>
      </c>
      <c r="QM49" s="193">
        <f t="shared" si="695"/>
        <v>1</v>
      </c>
      <c r="QN49" s="193">
        <f t="shared" si="695"/>
        <v>0</v>
      </c>
      <c r="QO49" s="193">
        <f t="shared" si="695"/>
        <v>1</v>
      </c>
      <c r="QP49" s="193">
        <f t="shared" si="695"/>
        <v>0</v>
      </c>
      <c r="QQ49" s="193">
        <f t="shared" si="695"/>
        <v>0</v>
      </c>
      <c r="QR49" s="193">
        <f t="shared" si="695"/>
        <v>0</v>
      </c>
      <c r="QS49" s="193">
        <f t="shared" si="695"/>
        <v>0</v>
      </c>
      <c r="QT49" s="193">
        <f t="shared" ref="QT49:SP49" si="698">SUM(QT48)</f>
        <v>1</v>
      </c>
      <c r="QU49" s="193">
        <f t="shared" si="698"/>
        <v>0</v>
      </c>
      <c r="QV49" s="193">
        <f t="shared" si="698"/>
        <v>1</v>
      </c>
      <c r="QW49" s="193">
        <f t="shared" si="698"/>
        <v>0</v>
      </c>
      <c r="QX49" s="193">
        <f t="shared" si="698"/>
        <v>0</v>
      </c>
      <c r="QY49" s="193">
        <f t="shared" si="698"/>
        <v>0</v>
      </c>
      <c r="QZ49" s="193">
        <f t="shared" si="698"/>
        <v>0</v>
      </c>
      <c r="RA49" s="193">
        <f t="shared" si="698"/>
        <v>0</v>
      </c>
      <c r="RB49" s="193">
        <f>SUM(RB48)</f>
        <v>1</v>
      </c>
      <c r="RC49" s="193">
        <f>SUM(RC48)</f>
        <v>0</v>
      </c>
      <c r="RD49" s="193">
        <f t="shared" si="698"/>
        <v>1</v>
      </c>
      <c r="RE49" s="193">
        <f t="shared" si="698"/>
        <v>0</v>
      </c>
      <c r="RF49" s="193">
        <f t="shared" si="698"/>
        <v>0</v>
      </c>
      <c r="RG49" s="193">
        <f t="shared" si="698"/>
        <v>1</v>
      </c>
      <c r="RH49" s="193">
        <f t="shared" si="698"/>
        <v>0</v>
      </c>
      <c r="RI49" s="193">
        <f t="shared" si="698"/>
        <v>1</v>
      </c>
      <c r="RJ49" s="193">
        <f t="shared" si="698"/>
        <v>0</v>
      </c>
      <c r="RK49" s="193">
        <f t="shared" si="698"/>
        <v>0</v>
      </c>
      <c r="RL49" s="193">
        <f t="shared" si="698"/>
        <v>0</v>
      </c>
      <c r="RM49" s="193">
        <f t="shared" si="698"/>
        <v>1</v>
      </c>
      <c r="RN49" s="193">
        <f t="shared" si="698"/>
        <v>0</v>
      </c>
      <c r="RO49" s="193"/>
      <c r="RP49" s="193"/>
      <c r="RQ49" s="193"/>
      <c r="RR49" s="193"/>
      <c r="RS49" s="193"/>
      <c r="RT49" s="193"/>
      <c r="RU49" s="193">
        <f t="shared" si="698"/>
        <v>3</v>
      </c>
      <c r="RV49" s="193">
        <f t="shared" si="698"/>
        <v>0</v>
      </c>
      <c r="RW49" s="193">
        <f t="shared" si="698"/>
        <v>2</v>
      </c>
      <c r="RX49" s="193">
        <f t="shared" si="698"/>
        <v>0</v>
      </c>
      <c r="RY49" s="193">
        <f t="shared" si="698"/>
        <v>0</v>
      </c>
      <c r="RZ49" s="193">
        <f t="shared" si="698"/>
        <v>0</v>
      </c>
      <c r="SA49" s="193">
        <f t="shared" si="698"/>
        <v>0</v>
      </c>
      <c r="SB49" s="193">
        <f t="shared" si="698"/>
        <v>1</v>
      </c>
      <c r="SC49" s="193">
        <f t="shared" si="698"/>
        <v>0</v>
      </c>
      <c r="SD49" s="193">
        <f t="shared" si="698"/>
        <v>0</v>
      </c>
      <c r="SE49" s="193">
        <f t="shared" si="698"/>
        <v>0</v>
      </c>
      <c r="SF49" s="193">
        <f t="shared" si="698"/>
        <v>0</v>
      </c>
      <c r="SG49" s="193">
        <f t="shared" si="698"/>
        <v>0</v>
      </c>
      <c r="SH49" s="193">
        <f t="shared" si="698"/>
        <v>0</v>
      </c>
      <c r="SI49" s="193">
        <f t="shared" si="698"/>
        <v>0</v>
      </c>
      <c r="SJ49" s="193">
        <f t="shared" si="698"/>
        <v>0</v>
      </c>
      <c r="SK49" s="193">
        <f t="shared" si="698"/>
        <v>0</v>
      </c>
      <c r="SL49" s="193">
        <f t="shared" si="698"/>
        <v>0</v>
      </c>
      <c r="SM49" s="193">
        <f t="shared" si="698"/>
        <v>0</v>
      </c>
      <c r="SN49" s="193">
        <f t="shared" si="698"/>
        <v>0</v>
      </c>
      <c r="SO49" s="193">
        <f t="shared" si="698"/>
        <v>0</v>
      </c>
      <c r="SP49" s="193">
        <f t="shared" si="698"/>
        <v>0</v>
      </c>
      <c r="SQ49" s="193"/>
      <c r="SR49" s="193"/>
      <c r="SS49" s="195"/>
    </row>
    <row r="50" spans="1:513" s="171" customFormat="1" ht="24.75" customHeight="1">
      <c r="A50" s="168" t="s">
        <v>184</v>
      </c>
      <c r="B50" s="168" t="s">
        <v>110</v>
      </c>
      <c r="C50" s="168">
        <v>11</v>
      </c>
      <c r="D50" s="168">
        <v>1401655</v>
      </c>
      <c r="E50" s="168" t="s">
        <v>558</v>
      </c>
      <c r="F50" s="168">
        <v>1</v>
      </c>
      <c r="G50" s="168"/>
      <c r="H50" s="168"/>
      <c r="I50" s="168">
        <v>1</v>
      </c>
      <c r="J50" s="168"/>
      <c r="K50" s="168">
        <v>1</v>
      </c>
      <c r="L50" s="168"/>
      <c r="M50" s="168"/>
      <c r="N50" s="168"/>
      <c r="O50" s="168">
        <v>1</v>
      </c>
      <c r="P50" s="168"/>
      <c r="Q50" s="168"/>
      <c r="R50" s="168"/>
      <c r="S50" s="168">
        <v>1</v>
      </c>
      <c r="T50" s="168"/>
      <c r="U50" s="168"/>
      <c r="V50" s="168">
        <v>28</v>
      </c>
      <c r="W50" s="168"/>
      <c r="X50" s="168">
        <v>37</v>
      </c>
      <c r="Y50" s="168"/>
      <c r="Z50" s="168">
        <v>44</v>
      </c>
      <c r="AA50" s="168"/>
      <c r="AB50" s="168">
        <v>47</v>
      </c>
      <c r="AC50" s="168"/>
      <c r="AD50" s="168"/>
      <c r="AE50" s="168"/>
      <c r="AF50" s="168">
        <f t="shared" ref="AF50" si="699">AD50+AB50+Z50+X50+V50</f>
        <v>156</v>
      </c>
      <c r="AG50" s="168">
        <f t="shared" ref="AG50" si="700">AE50+AC50+AA50+Y50+W50</f>
        <v>0</v>
      </c>
      <c r="AH50" s="168">
        <f t="shared" ref="AH50" si="701">AG50+AF50</f>
        <v>156</v>
      </c>
      <c r="AI50" s="168">
        <v>28</v>
      </c>
      <c r="AJ50" s="168"/>
      <c r="AK50" s="168">
        <v>37</v>
      </c>
      <c r="AL50" s="168"/>
      <c r="AM50" s="168">
        <v>44</v>
      </c>
      <c r="AN50" s="168"/>
      <c r="AO50" s="168">
        <v>47</v>
      </c>
      <c r="AP50" s="168"/>
      <c r="AQ50" s="168"/>
      <c r="AR50" s="168"/>
      <c r="AS50" s="168">
        <f>AQ50+AO50+AM50+AK50+AI50</f>
        <v>156</v>
      </c>
      <c r="AT50" s="168">
        <f t="shared" ref="AT50" si="702">AR50+AP50+AN50+AL50+AJ50</f>
        <v>0</v>
      </c>
      <c r="AU50" s="168">
        <f t="shared" ref="AU50" si="703">AT50+AS50</f>
        <v>156</v>
      </c>
      <c r="AV50" s="168"/>
      <c r="AW50" s="168"/>
      <c r="AX50" s="168">
        <v>20</v>
      </c>
      <c r="AY50" s="168"/>
      <c r="AZ50" s="168">
        <v>30</v>
      </c>
      <c r="BA50" s="168"/>
      <c r="BB50" s="168">
        <v>31</v>
      </c>
      <c r="BC50" s="168"/>
      <c r="BD50" s="168">
        <v>10</v>
      </c>
      <c r="BE50" s="168"/>
      <c r="BF50" s="168">
        <f t="shared" ref="BF50" si="704">BD50+BB50+AZ50+AX50+AV50</f>
        <v>91</v>
      </c>
      <c r="BG50" s="168">
        <f t="shared" ref="BG50" si="705">BE50+BC50+BA50+AY50+AW50</f>
        <v>0</v>
      </c>
      <c r="BH50" s="168">
        <f t="shared" ref="BH50" si="706">BG50+BF50</f>
        <v>91</v>
      </c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  <c r="BS50" s="168">
        <f t="shared" ref="BS50" si="707">BQ50+BO50+BM50+BK50+BI50</f>
        <v>0</v>
      </c>
      <c r="BT50" s="168">
        <f t="shared" ref="BT50" si="708">BR50+BP50+BN50+BL50+BJ50</f>
        <v>0</v>
      </c>
      <c r="BU50" s="168">
        <f t="shared" ref="BU50" si="709">BT50+BS50</f>
        <v>0</v>
      </c>
      <c r="BV50" s="168">
        <f t="shared" ref="BV50" si="710">AI50</f>
        <v>28</v>
      </c>
      <c r="BW50" s="168">
        <f t="shared" ref="BW50" si="711">AJ50</f>
        <v>0</v>
      </c>
      <c r="BX50" s="168">
        <f t="shared" ref="BX50" si="712">AV50+AK50</f>
        <v>37</v>
      </c>
      <c r="BY50" s="168">
        <f t="shared" ref="BY50" si="713">AL50+AW50</f>
        <v>0</v>
      </c>
      <c r="BZ50" s="168">
        <f t="shared" ref="BZ50" si="714">BI50+AX50+AM50</f>
        <v>64</v>
      </c>
      <c r="CA50" s="168">
        <f t="shared" ref="CA50" si="715">AN50+AY50+BJ50</f>
        <v>0</v>
      </c>
      <c r="CB50" s="168">
        <f t="shared" ref="CB50" si="716">BK50+AZ50+AO50</f>
        <v>77</v>
      </c>
      <c r="CC50" s="168">
        <f t="shared" ref="CC50" si="717">AP50+BA50+BL50</f>
        <v>0</v>
      </c>
      <c r="CD50" s="168">
        <f t="shared" ref="CD50" si="718">BM50+BB50+AQ50</f>
        <v>31</v>
      </c>
      <c r="CE50" s="168">
        <f t="shared" ref="CE50" si="719">BN50+BC50+AR50</f>
        <v>0</v>
      </c>
      <c r="CF50" s="168">
        <f t="shared" ref="CF50" si="720">BO50+BD50</f>
        <v>10</v>
      </c>
      <c r="CG50" s="168">
        <f t="shared" ref="CG50" si="721">BP50+BE50</f>
        <v>0</v>
      </c>
      <c r="CH50" s="168">
        <f t="shared" ref="CH50" si="722">BQ50</f>
        <v>0</v>
      </c>
      <c r="CI50" s="168">
        <f t="shared" ref="CI50" si="723">BR50</f>
        <v>0</v>
      </c>
      <c r="CJ50" s="168">
        <f t="shared" ref="CJ50" si="724">CH50+CF50+CD50+CB50+BZ50+BX50+BV50</f>
        <v>247</v>
      </c>
      <c r="CK50" s="168">
        <f t="shared" ref="CK50" si="725">CI50+CG50+CE50+CC50+CA50+BY50+BW50</f>
        <v>0</v>
      </c>
      <c r="CL50" s="168">
        <f t="shared" ref="CL50" si="726">CK50+CJ50</f>
        <v>247</v>
      </c>
      <c r="CM50" s="168">
        <v>3</v>
      </c>
      <c r="CN50" s="168"/>
      <c r="CO50" s="168"/>
      <c r="CP50" s="168">
        <v>3</v>
      </c>
      <c r="CQ50" s="168"/>
      <c r="CR50" s="168"/>
      <c r="CS50" s="168"/>
      <c r="CT50" s="168"/>
      <c r="CU50" s="168"/>
      <c r="CV50" s="168">
        <f t="shared" ref="CV50" si="727">CS50+CP50+CM50</f>
        <v>6</v>
      </c>
      <c r="CW50" s="168">
        <f t="shared" ref="CW50" si="728">CT50+CQ50+CN50</f>
        <v>0</v>
      </c>
      <c r="CX50" s="168">
        <f t="shared" ref="CX50" si="729">CU50+CR50+CO50</f>
        <v>0</v>
      </c>
      <c r="CY50" s="168">
        <f t="shared" ref="CY50" si="730">CX50+CW50+CV50</f>
        <v>6</v>
      </c>
      <c r="CZ50" s="168">
        <v>6</v>
      </c>
      <c r="DA50" s="168"/>
      <c r="DB50" s="168"/>
      <c r="DC50" s="168"/>
      <c r="DD50" s="168"/>
      <c r="DE50" s="168"/>
      <c r="DF50" s="168">
        <f t="shared" ref="DF50" si="731">DD50+DB50+CZ50</f>
        <v>6</v>
      </c>
      <c r="DG50" s="168">
        <f t="shared" ref="DG50" si="732">DE50+DC50+DA50</f>
        <v>0</v>
      </c>
      <c r="DH50" s="168">
        <f t="shared" ref="DH50" si="733">DG50+DF50</f>
        <v>6</v>
      </c>
      <c r="DI50" s="168"/>
      <c r="DJ50" s="168"/>
      <c r="DK50" s="168"/>
      <c r="DL50" s="168"/>
      <c r="DM50" s="168"/>
      <c r="DN50" s="168"/>
      <c r="DO50" s="168"/>
      <c r="DP50" s="168"/>
      <c r="DQ50" s="168"/>
      <c r="DR50" s="168">
        <v>91</v>
      </c>
      <c r="DS50" s="168"/>
      <c r="DT50" s="168"/>
      <c r="DU50" s="168"/>
      <c r="DV50" s="168"/>
      <c r="DW50" s="168"/>
      <c r="DX50" s="168">
        <f t="shared" ref="DX50" si="734">DV50+DT50+DR50</f>
        <v>91</v>
      </c>
      <c r="DY50" s="168">
        <f t="shared" ref="DY50" si="735">DW50+DU50+DS50</f>
        <v>0</v>
      </c>
      <c r="DZ50" s="168">
        <f t="shared" ref="DZ50" si="736">DY50+DX50</f>
        <v>91</v>
      </c>
      <c r="EA50" s="168">
        <v>5</v>
      </c>
      <c r="EB50" s="168"/>
      <c r="EC50" s="168"/>
      <c r="ED50" s="168"/>
      <c r="EE50" s="168"/>
      <c r="EF50" s="168"/>
      <c r="EG50" s="168">
        <f>EE50+EC50+EA50</f>
        <v>5</v>
      </c>
      <c r="EH50" s="168">
        <f t="shared" ref="EH50" si="737">EF50+ED50+EB50</f>
        <v>0</v>
      </c>
      <c r="EI50" s="168">
        <f t="shared" ref="EI50" si="738">EH50+EG50</f>
        <v>5</v>
      </c>
      <c r="EJ50" s="168">
        <v>4</v>
      </c>
      <c r="EK50" s="168"/>
      <c r="EL50" s="168"/>
      <c r="EM50" s="168"/>
      <c r="EN50" s="168"/>
      <c r="EO50" s="168"/>
      <c r="EP50" s="168">
        <f t="shared" ref="EP50" si="739">EN50+EL50+EJ50</f>
        <v>4</v>
      </c>
      <c r="EQ50" s="168">
        <f t="shared" ref="EQ50" si="740">EO50+EM50+EK50</f>
        <v>0</v>
      </c>
      <c r="ER50" s="168">
        <f t="shared" ref="ER50" si="741">EQ50+EP50</f>
        <v>4</v>
      </c>
      <c r="ES50" s="168"/>
      <c r="ET50" s="168"/>
      <c r="EU50" s="168"/>
      <c r="EV50" s="168"/>
      <c r="EW50" s="168"/>
      <c r="EX50" s="168"/>
      <c r="EY50" s="168">
        <f t="shared" ref="EY50" si="742">EW50+EU50+ES50</f>
        <v>0</v>
      </c>
      <c r="EZ50" s="168">
        <f t="shared" ref="EZ50" si="743">EX50+EV50+ET50</f>
        <v>0</v>
      </c>
      <c r="FA50" s="168">
        <f t="shared" ref="FA50" si="744">EZ50+EY50</f>
        <v>0</v>
      </c>
      <c r="FB50" s="168">
        <v>1</v>
      </c>
      <c r="FC50" s="168"/>
      <c r="FD50" s="168"/>
      <c r="FE50" s="168"/>
      <c r="FF50" s="168"/>
      <c r="FG50" s="168"/>
      <c r="FH50" s="168"/>
      <c r="FI50" s="168"/>
      <c r="FJ50" s="168"/>
      <c r="FK50" s="168"/>
      <c r="FL50" s="168">
        <f t="shared" ref="FL50" si="745">FJ50+FH50+FF50+FD50+FB50</f>
        <v>1</v>
      </c>
      <c r="FM50" s="168">
        <f t="shared" ref="FM50" si="746">FK50+FI50+FG50+FE50+FC50</f>
        <v>0</v>
      </c>
      <c r="FN50" s="168">
        <f t="shared" ref="FN50" si="747">FM50+FL50</f>
        <v>1</v>
      </c>
      <c r="FO50" s="168"/>
      <c r="FP50" s="168"/>
      <c r="FQ50" s="168"/>
      <c r="FR50" s="168"/>
      <c r="FS50" s="168"/>
      <c r="FT50" s="168"/>
      <c r="FU50" s="168"/>
      <c r="FV50" s="168"/>
      <c r="FW50" s="168"/>
      <c r="FX50" s="168"/>
      <c r="FY50" s="168"/>
      <c r="FZ50" s="168"/>
      <c r="GA50" s="168"/>
      <c r="GB50" s="168"/>
      <c r="GC50" s="168"/>
      <c r="GD50" s="168"/>
      <c r="GE50" s="168"/>
      <c r="GF50" s="168"/>
      <c r="GG50" s="168">
        <f>GE50+GA50+FY50+FW50+FU50+FS50+FO50</f>
        <v>0</v>
      </c>
      <c r="GH50" s="168">
        <f>GF50+GB50+FZ50+FX50+FV50+FT50+FP50+FR50+GD50</f>
        <v>0</v>
      </c>
      <c r="GI50" s="168">
        <f>GH50+GG50</f>
        <v>0</v>
      </c>
      <c r="GJ50" s="168"/>
      <c r="GK50" s="168"/>
      <c r="GL50" s="168"/>
      <c r="GM50" s="168"/>
      <c r="GN50" s="168"/>
      <c r="GO50" s="168"/>
      <c r="GP50" s="168"/>
      <c r="GQ50" s="168"/>
      <c r="GR50" s="168"/>
      <c r="GS50" s="168"/>
      <c r="GT50" s="168"/>
      <c r="GU50" s="168"/>
      <c r="GV50" s="168"/>
      <c r="GW50" s="168"/>
      <c r="GX50" s="168"/>
      <c r="GY50" s="168"/>
      <c r="GZ50" s="168"/>
      <c r="HA50" s="168"/>
      <c r="HB50" s="168"/>
      <c r="HC50" s="168"/>
      <c r="HD50" s="168"/>
      <c r="HE50" s="168"/>
      <c r="HF50" s="168">
        <v>1</v>
      </c>
      <c r="HG50" s="168"/>
      <c r="HH50" s="168"/>
      <c r="HI50" s="168"/>
      <c r="HJ50" s="168"/>
      <c r="HK50" s="168"/>
      <c r="HL50" s="168"/>
      <c r="HM50" s="168"/>
      <c r="HN50" s="168"/>
      <c r="HO50" s="168"/>
      <c r="HP50" s="168"/>
      <c r="HQ50" s="168"/>
      <c r="HR50" s="168"/>
      <c r="HS50" s="168"/>
      <c r="HT50" s="168"/>
      <c r="HU50" s="168"/>
      <c r="HV50" s="168"/>
      <c r="HW50" s="168"/>
      <c r="HX50" s="168"/>
      <c r="HY50" s="168"/>
      <c r="HZ50" s="168"/>
      <c r="IA50" s="168"/>
      <c r="IB50" s="168"/>
      <c r="IC50" s="168"/>
      <c r="ID50" s="168"/>
      <c r="IE50" s="168"/>
      <c r="IF50" s="168"/>
      <c r="IG50" s="168"/>
      <c r="IH50" s="168"/>
      <c r="II50" s="168"/>
      <c r="IJ50" s="168"/>
      <c r="IK50" s="168"/>
      <c r="IL50" s="168"/>
      <c r="IM50" s="168"/>
      <c r="IN50" s="168"/>
      <c r="IO50" s="168"/>
      <c r="IP50" s="168"/>
      <c r="IQ50" s="168"/>
      <c r="IR50" s="168"/>
      <c r="IS50" s="168"/>
      <c r="IT50" s="168"/>
      <c r="IU50" s="168"/>
      <c r="IV50" s="168"/>
      <c r="IW50" s="168"/>
      <c r="IX50" s="168"/>
      <c r="IY50" s="168"/>
      <c r="IZ50" s="168"/>
      <c r="JA50" s="168"/>
      <c r="JB50" s="168"/>
      <c r="JC50" s="168"/>
      <c r="JD50" s="168"/>
      <c r="JE50" s="168"/>
      <c r="JF50" s="168"/>
      <c r="JG50" s="168"/>
      <c r="JH50" s="168"/>
      <c r="JI50" s="168"/>
      <c r="JJ50" s="168"/>
      <c r="JK50" s="168"/>
      <c r="JL50" s="168"/>
      <c r="JM50" s="168"/>
      <c r="JN50" s="168"/>
      <c r="JO50" s="168"/>
      <c r="JP50" s="168"/>
      <c r="JQ50" s="168"/>
      <c r="JR50" s="168"/>
      <c r="JS50" s="168"/>
      <c r="JT50" s="168"/>
      <c r="JU50" s="168"/>
      <c r="JV50" s="168"/>
      <c r="JW50" s="168"/>
      <c r="JX50" s="168"/>
      <c r="JY50" s="168"/>
      <c r="JZ50" s="168"/>
      <c r="KA50" s="168"/>
      <c r="KB50" s="168"/>
      <c r="KC50" s="168"/>
      <c r="KD50" s="168"/>
      <c r="KE50" s="168"/>
      <c r="KF50" s="168"/>
      <c r="KG50" s="168"/>
      <c r="KH50" s="168"/>
      <c r="KI50" s="168"/>
      <c r="KJ50" s="168"/>
      <c r="KK50" s="168"/>
      <c r="KL50" s="168"/>
      <c r="KM50" s="168"/>
      <c r="KN50" s="168"/>
      <c r="KO50" s="168"/>
      <c r="KP50" s="168"/>
      <c r="KQ50" s="168"/>
      <c r="KR50" s="168"/>
      <c r="KS50" s="168"/>
      <c r="KT50" s="168"/>
      <c r="KU50" s="168"/>
      <c r="KV50" s="168">
        <f>KT50+KN50+KJ50+KH50+KF50+KD50+KB50+JZ50+JX50+JV50+JT50+JR50+JP50+JN50+JL50+JJ50+JH50+JF50+JD50+JB50+IZ50+IX50+IV50+IT50+IR50+IP50+IN50+IL50+IJ50+IH50+IF50+ID50+IB50+HZ50+HX50+HV50+HT50+HR50+HP50+HN50+HL50+HJ50+HH50+HF50+HD50+HB50+GZ50+GX50+GV50+GT50+GR50+GP50+GN50+GL50+GJ50</f>
        <v>1</v>
      </c>
      <c r="KW50" s="168">
        <f>KU50+KO50+KK50+KI50+KG50+KE50+KC50+KA50+JY50+JW50+JU50+JS50+JQ50+JO50+JM50+JK50+JI50+JG50+JE50+JC50+JA50+IY50+IW50+IU50+IS50+IQ50+IO50+IM50+IK50+II50+IG50+IE50+IC50+IA50+HY50+HW50+HU50+HS50+HQ50+HO50+HM50+HK50+HI50+HG50+HE50+HC50+HA50+GY50+GW50+GU50+GS50+GQ50+GO50+GM50+GK50</f>
        <v>0</v>
      </c>
      <c r="KX50" s="168">
        <f>KW50+KV50</f>
        <v>1</v>
      </c>
      <c r="KY50" s="168">
        <v>1</v>
      </c>
      <c r="KZ50" s="168"/>
      <c r="LA50" s="168"/>
      <c r="LB50" s="168"/>
      <c r="LC50" s="168"/>
      <c r="LD50" s="168"/>
      <c r="LE50" s="168"/>
      <c r="LF50" s="168"/>
      <c r="LG50" s="168"/>
      <c r="LH50" s="168"/>
      <c r="LI50" s="168"/>
      <c r="LJ50" s="168"/>
      <c r="LK50" s="168"/>
      <c r="LL50" s="168"/>
      <c r="LM50" s="168"/>
      <c r="LN50" s="168"/>
      <c r="LO50" s="168"/>
      <c r="LP50" s="168"/>
      <c r="LQ50" s="168">
        <f t="shared" ref="LQ50" si="748">LA50+LC50+KY50+LE50+LG50+LI50+LK50+LM50+LO50</f>
        <v>1</v>
      </c>
      <c r="LR50" s="168">
        <f t="shared" ref="LR50" si="749">LB50+LD50+KZ50+LF50+LH50+LJ50+LL50+LN50+LP50</f>
        <v>0</v>
      </c>
      <c r="LS50" s="168">
        <f t="shared" ref="LS50" si="750">LR50+LQ50</f>
        <v>1</v>
      </c>
      <c r="LT50" s="168"/>
      <c r="LU50" s="168"/>
      <c r="LV50" s="168"/>
      <c r="LW50" s="168"/>
      <c r="LX50" s="168"/>
      <c r="LY50" s="168"/>
      <c r="LZ50" s="168">
        <v>1</v>
      </c>
      <c r="MA50" s="168"/>
      <c r="MB50" s="168">
        <f t="shared" ref="MB50" si="751">LX50+LV50+LT50+LZ50</f>
        <v>1</v>
      </c>
      <c r="MC50" s="168">
        <f t="shared" ref="MC50" si="752">LY50+LW50+LU50+MA50</f>
        <v>0</v>
      </c>
      <c r="MD50" s="168">
        <f t="shared" ref="MD50" si="753">MC50+MB50</f>
        <v>1</v>
      </c>
      <c r="ME50" s="168"/>
      <c r="MF50" s="168"/>
      <c r="MG50" s="168"/>
      <c r="MH50" s="168"/>
      <c r="MI50" s="168">
        <v>1</v>
      </c>
      <c r="MJ50" s="168"/>
      <c r="MK50" s="168"/>
      <c r="ML50" s="168"/>
      <c r="MM50" s="168"/>
      <c r="MN50" s="168"/>
      <c r="MO50" s="168">
        <f t="shared" ref="MO50" si="754">MM50+MK50+MI50+MG50+ME50</f>
        <v>1</v>
      </c>
      <c r="MP50" s="168">
        <f t="shared" ref="MP50" si="755">MN50+ML50+MJ50+MH50+MF50</f>
        <v>0</v>
      </c>
      <c r="MQ50" s="168">
        <f t="shared" ref="MQ50" si="756">MP50+MO50</f>
        <v>1</v>
      </c>
      <c r="MR50" s="168"/>
      <c r="MS50" s="168"/>
      <c r="MT50" s="168">
        <v>1</v>
      </c>
      <c r="MU50" s="168"/>
      <c r="MV50" s="168"/>
      <c r="MW50" s="168"/>
      <c r="MX50" s="168"/>
      <c r="MY50" s="168"/>
      <c r="MZ50" s="168">
        <f t="shared" ref="MZ50" si="757">MX50+MV50+MT50+MR50</f>
        <v>1</v>
      </c>
      <c r="NA50" s="168">
        <f t="shared" ref="NA50" si="758">MY50+MW50+MU50+MS50</f>
        <v>0</v>
      </c>
      <c r="NB50" s="168">
        <f t="shared" ref="NB50" si="759">NA50+MZ50</f>
        <v>1</v>
      </c>
      <c r="NC50" s="168"/>
      <c r="ND50" s="168"/>
      <c r="NE50" s="168"/>
      <c r="NF50" s="168"/>
      <c r="NG50" s="168"/>
      <c r="NH50" s="168"/>
      <c r="NI50" s="168"/>
      <c r="NJ50" s="168"/>
      <c r="NK50" s="168"/>
      <c r="NL50" s="168"/>
      <c r="NM50" s="168"/>
      <c r="NN50" s="168"/>
      <c r="NO50" s="168"/>
      <c r="NP50" s="168"/>
      <c r="NQ50" s="168"/>
      <c r="NR50" s="168"/>
      <c r="NS50" s="168">
        <v>1</v>
      </c>
      <c r="NT50" s="168"/>
      <c r="NU50" s="168"/>
      <c r="NV50" s="168"/>
      <c r="NW50" s="168">
        <f>NU50+NS50+NQ50+NO50+NM50+NK50+NG50+NI50+NE50</f>
        <v>1</v>
      </c>
      <c r="NX50" s="168">
        <f>NV50+NT50+NR50+NP50+NN50+NL50+NH50+NJ50+NF50</f>
        <v>0</v>
      </c>
      <c r="NY50" s="168">
        <f>NX50+NW50</f>
        <v>1</v>
      </c>
      <c r="NZ50" s="168"/>
      <c r="OA50" s="168"/>
      <c r="OB50" s="168"/>
      <c r="OC50" s="168"/>
      <c r="OD50" s="168"/>
      <c r="OE50" s="168"/>
      <c r="OF50" s="168">
        <f>OD50+OB50+NZ50</f>
        <v>0</v>
      </c>
      <c r="OG50" s="168">
        <f>OE50+OC50+OA50</f>
        <v>0</v>
      </c>
      <c r="OH50" s="168">
        <f>OG50+OF50</f>
        <v>0</v>
      </c>
      <c r="OI50" s="168"/>
      <c r="OJ50" s="168">
        <v>1</v>
      </c>
      <c r="OK50" s="168">
        <v>1</v>
      </c>
      <c r="OL50" s="168"/>
      <c r="OM50" s="168">
        <v>1</v>
      </c>
      <c r="ON50" s="168"/>
      <c r="OO50" s="168"/>
      <c r="OP50" s="168">
        <v>1</v>
      </c>
      <c r="OQ50" s="168"/>
      <c r="OR50" s="168"/>
      <c r="OS50" s="168"/>
      <c r="OT50" s="168"/>
      <c r="OU50" s="169">
        <v>1</v>
      </c>
      <c r="OV50" s="169"/>
      <c r="OW50" s="169">
        <v>2024</v>
      </c>
      <c r="OX50" s="169">
        <v>30</v>
      </c>
      <c r="OY50" s="169"/>
      <c r="OZ50" s="169"/>
      <c r="PA50" s="169">
        <v>1</v>
      </c>
      <c r="PB50" s="169"/>
      <c r="PC50" s="169"/>
      <c r="PD50" s="169">
        <v>1</v>
      </c>
      <c r="PE50" s="169"/>
      <c r="PF50" s="169"/>
      <c r="PG50" s="169"/>
      <c r="PH50" s="169">
        <v>1</v>
      </c>
      <c r="PI50" s="169"/>
      <c r="PJ50" s="169"/>
      <c r="PK50" s="169">
        <v>1</v>
      </c>
      <c r="PL50" s="169"/>
      <c r="PM50" s="169">
        <v>18</v>
      </c>
      <c r="PN50" s="169">
        <v>5</v>
      </c>
      <c r="PO50" s="169"/>
      <c r="PP50" s="169">
        <v>1</v>
      </c>
      <c r="PQ50" s="169"/>
      <c r="PR50" s="169"/>
      <c r="PS50" s="169"/>
      <c r="PT50" s="169"/>
      <c r="PU50" s="169"/>
      <c r="PV50" s="169">
        <v>1</v>
      </c>
      <c r="PW50" s="169"/>
      <c r="PX50" s="169">
        <v>1</v>
      </c>
      <c r="PY50" s="169"/>
      <c r="PZ50" s="169">
        <v>1</v>
      </c>
      <c r="QA50" s="169"/>
      <c r="QB50" s="169">
        <v>1</v>
      </c>
      <c r="QC50" s="169"/>
      <c r="QD50" s="169">
        <v>1</v>
      </c>
      <c r="QE50" s="169"/>
      <c r="QF50" s="169"/>
      <c r="QG50" s="169"/>
      <c r="QH50" s="169"/>
      <c r="QI50" s="169">
        <v>1</v>
      </c>
      <c r="QJ50" s="169"/>
      <c r="QK50" s="169">
        <v>1</v>
      </c>
      <c r="QL50" s="169"/>
      <c r="QM50" s="169">
        <v>1</v>
      </c>
      <c r="QN50" s="169"/>
      <c r="QO50" s="169">
        <v>1</v>
      </c>
      <c r="QP50" s="169"/>
      <c r="QQ50" s="169"/>
      <c r="QR50" s="169">
        <v>1</v>
      </c>
      <c r="QS50" s="169"/>
      <c r="QT50" s="169"/>
      <c r="QU50" s="169">
        <v>1</v>
      </c>
      <c r="QV50" s="169"/>
      <c r="QW50" s="169"/>
      <c r="QX50" s="169"/>
      <c r="QY50" s="169"/>
      <c r="QZ50" s="169">
        <v>1</v>
      </c>
      <c r="RA50" s="169"/>
      <c r="RB50" s="169"/>
      <c r="RC50" s="169">
        <v>1</v>
      </c>
      <c r="RD50" s="169">
        <v>1</v>
      </c>
      <c r="RE50" s="169"/>
      <c r="RF50" s="169"/>
      <c r="RG50" s="169">
        <v>1</v>
      </c>
      <c r="RH50" s="169"/>
      <c r="RI50" s="169"/>
      <c r="RJ50" s="169">
        <v>1</v>
      </c>
      <c r="RK50" s="169"/>
      <c r="RL50" s="169">
        <v>1</v>
      </c>
      <c r="RM50" s="169"/>
      <c r="RN50" s="169"/>
      <c r="RO50" s="168">
        <v>280</v>
      </c>
      <c r="RP50" s="168"/>
      <c r="RQ50" s="168"/>
      <c r="RR50" s="168"/>
      <c r="RS50" s="168">
        <v>20</v>
      </c>
      <c r="RT50" s="168"/>
      <c r="RU50" s="170">
        <v>1</v>
      </c>
      <c r="RV50" s="170"/>
      <c r="RW50" s="170">
        <v>1</v>
      </c>
      <c r="RX50" s="170"/>
      <c r="RY50" s="170">
        <v>1</v>
      </c>
      <c r="RZ50" s="170"/>
      <c r="SA50" s="169"/>
      <c r="SB50" s="169">
        <v>1</v>
      </c>
      <c r="SC50" s="169"/>
      <c r="SD50" s="169"/>
      <c r="SE50" s="169"/>
      <c r="SF50" s="169"/>
      <c r="SG50" s="169"/>
      <c r="SH50" s="169"/>
      <c r="SI50" s="169"/>
      <c r="SJ50" s="169"/>
      <c r="SK50" s="169"/>
      <c r="SL50" s="169"/>
      <c r="SM50" s="169"/>
      <c r="SN50" s="169"/>
      <c r="SO50" s="169"/>
      <c r="SP50" s="169"/>
      <c r="SQ50" s="169" t="s">
        <v>516</v>
      </c>
      <c r="SR50" s="169" t="s">
        <v>517</v>
      </c>
      <c r="SS50" s="175">
        <v>7818977611</v>
      </c>
    </row>
    <row r="51" spans="1:513" s="194" customFormat="1" ht="20.25" customHeight="1">
      <c r="A51" s="221" t="s">
        <v>521</v>
      </c>
      <c r="B51" s="242"/>
      <c r="C51" s="242"/>
      <c r="D51" s="242"/>
      <c r="E51" s="222"/>
      <c r="F51" s="193">
        <f>SUM(F50)</f>
        <v>1</v>
      </c>
      <c r="G51" s="193">
        <f t="shared" ref="G51:BR51" si="760">SUM(G50)</f>
        <v>0</v>
      </c>
      <c r="H51" s="193">
        <f t="shared" si="760"/>
        <v>0</v>
      </c>
      <c r="I51" s="193">
        <f t="shared" si="760"/>
        <v>1</v>
      </c>
      <c r="J51" s="193">
        <f t="shared" si="760"/>
        <v>0</v>
      </c>
      <c r="K51" s="193">
        <f t="shared" si="760"/>
        <v>1</v>
      </c>
      <c r="L51" s="193">
        <f t="shared" si="760"/>
        <v>0</v>
      </c>
      <c r="M51" s="193">
        <f t="shared" si="760"/>
        <v>0</v>
      </c>
      <c r="N51" s="193">
        <f t="shared" si="760"/>
        <v>0</v>
      </c>
      <c r="O51" s="193">
        <f t="shared" si="760"/>
        <v>1</v>
      </c>
      <c r="P51" s="193">
        <f t="shared" si="760"/>
        <v>0</v>
      </c>
      <c r="Q51" s="193">
        <f t="shared" si="760"/>
        <v>0</v>
      </c>
      <c r="R51" s="193">
        <f t="shared" si="760"/>
        <v>0</v>
      </c>
      <c r="S51" s="193">
        <f t="shared" si="760"/>
        <v>1</v>
      </c>
      <c r="T51" s="193">
        <f t="shared" si="760"/>
        <v>0</v>
      </c>
      <c r="U51" s="193">
        <f t="shared" si="760"/>
        <v>0</v>
      </c>
      <c r="V51" s="193">
        <f t="shared" si="760"/>
        <v>28</v>
      </c>
      <c r="W51" s="193">
        <f t="shared" si="760"/>
        <v>0</v>
      </c>
      <c r="X51" s="193">
        <f t="shared" si="760"/>
        <v>37</v>
      </c>
      <c r="Y51" s="193">
        <f t="shared" si="760"/>
        <v>0</v>
      </c>
      <c r="Z51" s="193">
        <f t="shared" si="760"/>
        <v>44</v>
      </c>
      <c r="AA51" s="193">
        <f t="shared" si="760"/>
        <v>0</v>
      </c>
      <c r="AB51" s="193">
        <f t="shared" si="760"/>
        <v>47</v>
      </c>
      <c r="AC51" s="193">
        <f t="shared" si="760"/>
        <v>0</v>
      </c>
      <c r="AD51" s="193">
        <f t="shared" si="760"/>
        <v>0</v>
      </c>
      <c r="AE51" s="193">
        <f t="shared" si="760"/>
        <v>0</v>
      </c>
      <c r="AF51" s="193">
        <f t="shared" si="760"/>
        <v>156</v>
      </c>
      <c r="AG51" s="193">
        <f t="shared" si="760"/>
        <v>0</v>
      </c>
      <c r="AH51" s="193">
        <f t="shared" si="760"/>
        <v>156</v>
      </c>
      <c r="AI51" s="193">
        <f>SUM(AI50)</f>
        <v>28</v>
      </c>
      <c r="AJ51" s="193">
        <f t="shared" si="760"/>
        <v>0</v>
      </c>
      <c r="AK51" s="193">
        <f t="shared" si="760"/>
        <v>37</v>
      </c>
      <c r="AL51" s="193">
        <f t="shared" si="760"/>
        <v>0</v>
      </c>
      <c r="AM51" s="193">
        <f t="shared" si="760"/>
        <v>44</v>
      </c>
      <c r="AN51" s="193">
        <f t="shared" si="760"/>
        <v>0</v>
      </c>
      <c r="AO51" s="193">
        <f t="shared" si="760"/>
        <v>47</v>
      </c>
      <c r="AP51" s="193">
        <f t="shared" si="760"/>
        <v>0</v>
      </c>
      <c r="AQ51" s="193">
        <f t="shared" si="760"/>
        <v>0</v>
      </c>
      <c r="AR51" s="193">
        <f t="shared" si="760"/>
        <v>0</v>
      </c>
      <c r="AS51" s="193">
        <f t="shared" si="760"/>
        <v>156</v>
      </c>
      <c r="AT51" s="193">
        <f t="shared" si="760"/>
        <v>0</v>
      </c>
      <c r="AU51" s="193">
        <f t="shared" si="760"/>
        <v>156</v>
      </c>
      <c r="AV51" s="193">
        <f t="shared" si="760"/>
        <v>0</v>
      </c>
      <c r="AW51" s="193">
        <f t="shared" si="760"/>
        <v>0</v>
      </c>
      <c r="AX51" s="193">
        <f t="shared" si="760"/>
        <v>20</v>
      </c>
      <c r="AY51" s="193">
        <f t="shared" si="760"/>
        <v>0</v>
      </c>
      <c r="AZ51" s="193">
        <f t="shared" si="760"/>
        <v>30</v>
      </c>
      <c r="BA51" s="193">
        <f t="shared" si="760"/>
        <v>0</v>
      </c>
      <c r="BB51" s="193">
        <f t="shared" si="760"/>
        <v>31</v>
      </c>
      <c r="BC51" s="193">
        <f t="shared" si="760"/>
        <v>0</v>
      </c>
      <c r="BD51" s="193">
        <f t="shared" si="760"/>
        <v>10</v>
      </c>
      <c r="BE51" s="193">
        <f t="shared" si="760"/>
        <v>0</v>
      </c>
      <c r="BF51" s="193">
        <f t="shared" si="760"/>
        <v>91</v>
      </c>
      <c r="BG51" s="193">
        <f t="shared" si="760"/>
        <v>0</v>
      </c>
      <c r="BH51" s="193">
        <f t="shared" si="760"/>
        <v>91</v>
      </c>
      <c r="BI51" s="193">
        <f t="shared" si="760"/>
        <v>0</v>
      </c>
      <c r="BJ51" s="193">
        <f t="shared" si="760"/>
        <v>0</v>
      </c>
      <c r="BK51" s="193">
        <f t="shared" si="760"/>
        <v>0</v>
      </c>
      <c r="BL51" s="193">
        <f t="shared" si="760"/>
        <v>0</v>
      </c>
      <c r="BM51" s="193">
        <f t="shared" si="760"/>
        <v>0</v>
      </c>
      <c r="BN51" s="193">
        <f t="shared" si="760"/>
        <v>0</v>
      </c>
      <c r="BO51" s="193">
        <f t="shared" si="760"/>
        <v>0</v>
      </c>
      <c r="BP51" s="193">
        <f t="shared" si="760"/>
        <v>0</v>
      </c>
      <c r="BQ51" s="193">
        <f t="shared" si="760"/>
        <v>0</v>
      </c>
      <c r="BR51" s="193">
        <f t="shared" si="760"/>
        <v>0</v>
      </c>
      <c r="BS51" s="193">
        <f t="shared" ref="BS51:ED51" si="761">SUM(BS50)</f>
        <v>0</v>
      </c>
      <c r="BT51" s="193">
        <f t="shared" si="761"/>
        <v>0</v>
      </c>
      <c r="BU51" s="193">
        <f t="shared" si="761"/>
        <v>0</v>
      </c>
      <c r="BV51" s="193">
        <f t="shared" si="761"/>
        <v>28</v>
      </c>
      <c r="BW51" s="193">
        <f t="shared" si="761"/>
        <v>0</v>
      </c>
      <c r="BX51" s="193">
        <f t="shared" si="761"/>
        <v>37</v>
      </c>
      <c r="BY51" s="193">
        <f t="shared" si="761"/>
        <v>0</v>
      </c>
      <c r="BZ51" s="193">
        <f t="shared" si="761"/>
        <v>64</v>
      </c>
      <c r="CA51" s="193">
        <f t="shared" si="761"/>
        <v>0</v>
      </c>
      <c r="CB51" s="193">
        <f t="shared" si="761"/>
        <v>77</v>
      </c>
      <c r="CC51" s="193">
        <f t="shared" si="761"/>
        <v>0</v>
      </c>
      <c r="CD51" s="193">
        <f t="shared" si="761"/>
        <v>31</v>
      </c>
      <c r="CE51" s="193">
        <f t="shared" si="761"/>
        <v>0</v>
      </c>
      <c r="CF51" s="193">
        <f t="shared" si="761"/>
        <v>10</v>
      </c>
      <c r="CG51" s="193">
        <f t="shared" si="761"/>
        <v>0</v>
      </c>
      <c r="CH51" s="193">
        <f t="shared" si="761"/>
        <v>0</v>
      </c>
      <c r="CI51" s="193">
        <f t="shared" si="761"/>
        <v>0</v>
      </c>
      <c r="CJ51" s="193">
        <f t="shared" si="761"/>
        <v>247</v>
      </c>
      <c r="CK51" s="193">
        <f t="shared" si="761"/>
        <v>0</v>
      </c>
      <c r="CL51" s="193">
        <f t="shared" si="761"/>
        <v>247</v>
      </c>
      <c r="CM51" s="193">
        <f t="shared" si="761"/>
        <v>3</v>
      </c>
      <c r="CN51" s="193">
        <f t="shared" si="761"/>
        <v>0</v>
      </c>
      <c r="CO51" s="193">
        <f t="shared" si="761"/>
        <v>0</v>
      </c>
      <c r="CP51" s="193">
        <f t="shared" si="761"/>
        <v>3</v>
      </c>
      <c r="CQ51" s="193">
        <f t="shared" si="761"/>
        <v>0</v>
      </c>
      <c r="CR51" s="193">
        <f t="shared" si="761"/>
        <v>0</v>
      </c>
      <c r="CS51" s="193">
        <f t="shared" si="761"/>
        <v>0</v>
      </c>
      <c r="CT51" s="193">
        <f t="shared" si="761"/>
        <v>0</v>
      </c>
      <c r="CU51" s="193">
        <f t="shared" si="761"/>
        <v>0</v>
      </c>
      <c r="CV51" s="193">
        <f t="shared" si="761"/>
        <v>6</v>
      </c>
      <c r="CW51" s="193">
        <f t="shared" si="761"/>
        <v>0</v>
      </c>
      <c r="CX51" s="193">
        <f t="shared" si="761"/>
        <v>0</v>
      </c>
      <c r="CY51" s="193">
        <f t="shared" si="761"/>
        <v>6</v>
      </c>
      <c r="CZ51" s="193">
        <f t="shared" si="761"/>
        <v>6</v>
      </c>
      <c r="DA51" s="193">
        <f t="shared" si="761"/>
        <v>0</v>
      </c>
      <c r="DB51" s="193">
        <f t="shared" si="761"/>
        <v>0</v>
      </c>
      <c r="DC51" s="193">
        <f t="shared" si="761"/>
        <v>0</v>
      </c>
      <c r="DD51" s="193">
        <f t="shared" si="761"/>
        <v>0</v>
      </c>
      <c r="DE51" s="193">
        <f t="shared" si="761"/>
        <v>0</v>
      </c>
      <c r="DF51" s="193">
        <f t="shared" si="761"/>
        <v>6</v>
      </c>
      <c r="DG51" s="193">
        <f t="shared" si="761"/>
        <v>0</v>
      </c>
      <c r="DH51" s="193">
        <f t="shared" si="761"/>
        <v>6</v>
      </c>
      <c r="DI51" s="193">
        <f t="shared" si="761"/>
        <v>0</v>
      </c>
      <c r="DJ51" s="193">
        <f t="shared" si="761"/>
        <v>0</v>
      </c>
      <c r="DK51" s="193">
        <f t="shared" si="761"/>
        <v>0</v>
      </c>
      <c r="DL51" s="193">
        <f t="shared" si="761"/>
        <v>0</v>
      </c>
      <c r="DM51" s="193">
        <f t="shared" si="761"/>
        <v>0</v>
      </c>
      <c r="DN51" s="193">
        <f t="shared" si="761"/>
        <v>0</v>
      </c>
      <c r="DO51" s="193">
        <f t="shared" si="761"/>
        <v>0</v>
      </c>
      <c r="DP51" s="193">
        <f t="shared" si="761"/>
        <v>0</v>
      </c>
      <c r="DQ51" s="193">
        <f t="shared" si="761"/>
        <v>0</v>
      </c>
      <c r="DR51" s="193">
        <f t="shared" si="761"/>
        <v>91</v>
      </c>
      <c r="DS51" s="193">
        <f t="shared" si="761"/>
        <v>0</v>
      </c>
      <c r="DT51" s="193">
        <f t="shared" si="761"/>
        <v>0</v>
      </c>
      <c r="DU51" s="193">
        <f t="shared" si="761"/>
        <v>0</v>
      </c>
      <c r="DV51" s="193">
        <f t="shared" si="761"/>
        <v>0</v>
      </c>
      <c r="DW51" s="193">
        <f t="shared" si="761"/>
        <v>0</v>
      </c>
      <c r="DX51" s="193">
        <f t="shared" si="761"/>
        <v>91</v>
      </c>
      <c r="DY51" s="193">
        <f t="shared" si="761"/>
        <v>0</v>
      </c>
      <c r="DZ51" s="193">
        <f t="shared" si="761"/>
        <v>91</v>
      </c>
      <c r="EA51" s="193">
        <f t="shared" si="761"/>
        <v>5</v>
      </c>
      <c r="EB51" s="193">
        <f t="shared" si="761"/>
        <v>0</v>
      </c>
      <c r="EC51" s="193">
        <f t="shared" si="761"/>
        <v>0</v>
      </c>
      <c r="ED51" s="193">
        <f t="shared" si="761"/>
        <v>0</v>
      </c>
      <c r="EE51" s="193">
        <f t="shared" ref="EE51:GP51" si="762">SUM(EE50)</f>
        <v>0</v>
      </c>
      <c r="EF51" s="193">
        <f t="shared" si="762"/>
        <v>0</v>
      </c>
      <c r="EG51" s="193">
        <f t="shared" si="762"/>
        <v>5</v>
      </c>
      <c r="EH51" s="193">
        <f t="shared" si="762"/>
        <v>0</v>
      </c>
      <c r="EI51" s="193">
        <f t="shared" si="762"/>
        <v>5</v>
      </c>
      <c r="EJ51" s="193">
        <f t="shared" si="762"/>
        <v>4</v>
      </c>
      <c r="EK51" s="193">
        <f t="shared" si="762"/>
        <v>0</v>
      </c>
      <c r="EL51" s="193">
        <f t="shared" si="762"/>
        <v>0</v>
      </c>
      <c r="EM51" s="193">
        <f t="shared" si="762"/>
        <v>0</v>
      </c>
      <c r="EN51" s="193">
        <f t="shared" si="762"/>
        <v>0</v>
      </c>
      <c r="EO51" s="193">
        <f t="shared" si="762"/>
        <v>0</v>
      </c>
      <c r="EP51" s="193">
        <f t="shared" si="762"/>
        <v>4</v>
      </c>
      <c r="EQ51" s="193">
        <f t="shared" si="762"/>
        <v>0</v>
      </c>
      <c r="ER51" s="193">
        <f t="shared" si="762"/>
        <v>4</v>
      </c>
      <c r="ES51" s="193">
        <f t="shared" si="762"/>
        <v>0</v>
      </c>
      <c r="ET51" s="193">
        <f t="shared" si="762"/>
        <v>0</v>
      </c>
      <c r="EU51" s="193">
        <f t="shared" si="762"/>
        <v>0</v>
      </c>
      <c r="EV51" s="193">
        <f t="shared" si="762"/>
        <v>0</v>
      </c>
      <c r="EW51" s="193">
        <f t="shared" si="762"/>
        <v>0</v>
      </c>
      <c r="EX51" s="193">
        <f t="shared" si="762"/>
        <v>0</v>
      </c>
      <c r="EY51" s="193">
        <f t="shared" si="762"/>
        <v>0</v>
      </c>
      <c r="EZ51" s="193">
        <f t="shared" si="762"/>
        <v>0</v>
      </c>
      <c r="FA51" s="193">
        <f t="shared" si="762"/>
        <v>0</v>
      </c>
      <c r="FB51" s="193">
        <f t="shared" si="762"/>
        <v>1</v>
      </c>
      <c r="FC51" s="193">
        <f t="shared" si="762"/>
        <v>0</v>
      </c>
      <c r="FD51" s="193">
        <f t="shared" si="762"/>
        <v>0</v>
      </c>
      <c r="FE51" s="193">
        <f t="shared" si="762"/>
        <v>0</v>
      </c>
      <c r="FF51" s="193">
        <f t="shared" si="762"/>
        <v>0</v>
      </c>
      <c r="FG51" s="193">
        <f t="shared" si="762"/>
        <v>0</v>
      </c>
      <c r="FH51" s="193">
        <f t="shared" si="762"/>
        <v>0</v>
      </c>
      <c r="FI51" s="193">
        <f t="shared" si="762"/>
        <v>0</v>
      </c>
      <c r="FJ51" s="193">
        <f t="shared" si="762"/>
        <v>0</v>
      </c>
      <c r="FK51" s="193">
        <f t="shared" si="762"/>
        <v>0</v>
      </c>
      <c r="FL51" s="193">
        <f t="shared" si="762"/>
        <v>1</v>
      </c>
      <c r="FM51" s="193">
        <f t="shared" si="762"/>
        <v>0</v>
      </c>
      <c r="FN51" s="193">
        <f t="shared" si="762"/>
        <v>1</v>
      </c>
      <c r="FO51" s="193">
        <f t="shared" si="762"/>
        <v>0</v>
      </c>
      <c r="FP51" s="193">
        <f t="shared" si="762"/>
        <v>0</v>
      </c>
      <c r="FQ51" s="193">
        <f t="shared" si="762"/>
        <v>0</v>
      </c>
      <c r="FR51" s="193">
        <f t="shared" si="762"/>
        <v>0</v>
      </c>
      <c r="FS51" s="193">
        <f t="shared" si="762"/>
        <v>0</v>
      </c>
      <c r="FT51" s="193">
        <f t="shared" si="762"/>
        <v>0</v>
      </c>
      <c r="FU51" s="193">
        <f t="shared" si="762"/>
        <v>0</v>
      </c>
      <c r="FV51" s="193">
        <f t="shared" si="762"/>
        <v>0</v>
      </c>
      <c r="FW51" s="193">
        <f t="shared" si="762"/>
        <v>0</v>
      </c>
      <c r="FX51" s="193">
        <f t="shared" si="762"/>
        <v>0</v>
      </c>
      <c r="FY51" s="193">
        <f t="shared" si="762"/>
        <v>0</v>
      </c>
      <c r="FZ51" s="193">
        <f t="shared" si="762"/>
        <v>0</v>
      </c>
      <c r="GA51" s="193">
        <f t="shared" si="762"/>
        <v>0</v>
      </c>
      <c r="GB51" s="193">
        <f t="shared" si="762"/>
        <v>0</v>
      </c>
      <c r="GC51" s="193">
        <f t="shared" si="762"/>
        <v>0</v>
      </c>
      <c r="GD51" s="193">
        <f t="shared" si="762"/>
        <v>0</v>
      </c>
      <c r="GE51" s="193">
        <f t="shared" si="762"/>
        <v>0</v>
      </c>
      <c r="GF51" s="193">
        <f t="shared" si="762"/>
        <v>0</v>
      </c>
      <c r="GG51" s="193">
        <f t="shared" si="762"/>
        <v>0</v>
      </c>
      <c r="GH51" s="193">
        <f t="shared" si="762"/>
        <v>0</v>
      </c>
      <c r="GI51" s="193">
        <f t="shared" si="762"/>
        <v>0</v>
      </c>
      <c r="GJ51" s="193">
        <f t="shared" si="762"/>
        <v>0</v>
      </c>
      <c r="GK51" s="193">
        <f t="shared" si="762"/>
        <v>0</v>
      </c>
      <c r="GL51" s="193">
        <f t="shared" si="762"/>
        <v>0</v>
      </c>
      <c r="GM51" s="193">
        <f t="shared" si="762"/>
        <v>0</v>
      </c>
      <c r="GN51" s="193">
        <f t="shared" si="762"/>
        <v>0</v>
      </c>
      <c r="GO51" s="193">
        <f t="shared" si="762"/>
        <v>0</v>
      </c>
      <c r="GP51" s="193">
        <f t="shared" si="762"/>
        <v>0</v>
      </c>
      <c r="GQ51" s="193">
        <f t="shared" ref="GQ51:JB51" si="763">SUM(GQ50)</f>
        <v>0</v>
      </c>
      <c r="GR51" s="193">
        <f t="shared" si="763"/>
        <v>0</v>
      </c>
      <c r="GS51" s="193">
        <f t="shared" si="763"/>
        <v>0</v>
      </c>
      <c r="GT51" s="193">
        <f t="shared" si="763"/>
        <v>0</v>
      </c>
      <c r="GU51" s="193">
        <f t="shared" si="763"/>
        <v>0</v>
      </c>
      <c r="GV51" s="193">
        <f t="shared" si="763"/>
        <v>0</v>
      </c>
      <c r="GW51" s="193">
        <f t="shared" si="763"/>
        <v>0</v>
      </c>
      <c r="GX51" s="193">
        <f t="shared" si="763"/>
        <v>0</v>
      </c>
      <c r="GY51" s="193">
        <f t="shared" si="763"/>
        <v>0</v>
      </c>
      <c r="GZ51" s="193">
        <f t="shared" si="763"/>
        <v>0</v>
      </c>
      <c r="HA51" s="193">
        <f t="shared" si="763"/>
        <v>0</v>
      </c>
      <c r="HB51" s="193">
        <f t="shared" si="763"/>
        <v>0</v>
      </c>
      <c r="HC51" s="193">
        <f t="shared" si="763"/>
        <v>0</v>
      </c>
      <c r="HD51" s="193">
        <f t="shared" si="763"/>
        <v>0</v>
      </c>
      <c r="HE51" s="193">
        <f t="shared" si="763"/>
        <v>0</v>
      </c>
      <c r="HF51" s="193">
        <f t="shared" si="763"/>
        <v>1</v>
      </c>
      <c r="HG51" s="193">
        <f t="shared" si="763"/>
        <v>0</v>
      </c>
      <c r="HH51" s="193">
        <f t="shared" si="763"/>
        <v>0</v>
      </c>
      <c r="HI51" s="193">
        <f t="shared" si="763"/>
        <v>0</v>
      </c>
      <c r="HJ51" s="193">
        <f t="shared" si="763"/>
        <v>0</v>
      </c>
      <c r="HK51" s="193">
        <f t="shared" si="763"/>
        <v>0</v>
      </c>
      <c r="HL51" s="193">
        <f t="shared" si="763"/>
        <v>0</v>
      </c>
      <c r="HM51" s="193">
        <f t="shared" si="763"/>
        <v>0</v>
      </c>
      <c r="HN51" s="193">
        <f t="shared" si="763"/>
        <v>0</v>
      </c>
      <c r="HO51" s="193">
        <f t="shared" si="763"/>
        <v>0</v>
      </c>
      <c r="HP51" s="193">
        <f t="shared" si="763"/>
        <v>0</v>
      </c>
      <c r="HQ51" s="193">
        <f t="shared" si="763"/>
        <v>0</v>
      </c>
      <c r="HR51" s="193">
        <f t="shared" si="763"/>
        <v>0</v>
      </c>
      <c r="HS51" s="193">
        <f t="shared" si="763"/>
        <v>0</v>
      </c>
      <c r="HT51" s="193">
        <f t="shared" si="763"/>
        <v>0</v>
      </c>
      <c r="HU51" s="193">
        <f t="shared" si="763"/>
        <v>0</v>
      </c>
      <c r="HV51" s="193">
        <f t="shared" si="763"/>
        <v>0</v>
      </c>
      <c r="HW51" s="193">
        <f t="shared" si="763"/>
        <v>0</v>
      </c>
      <c r="HX51" s="193">
        <f t="shared" si="763"/>
        <v>0</v>
      </c>
      <c r="HY51" s="193">
        <f t="shared" si="763"/>
        <v>0</v>
      </c>
      <c r="HZ51" s="193">
        <f t="shared" si="763"/>
        <v>0</v>
      </c>
      <c r="IA51" s="193">
        <f t="shared" si="763"/>
        <v>0</v>
      </c>
      <c r="IB51" s="193">
        <f t="shared" si="763"/>
        <v>0</v>
      </c>
      <c r="IC51" s="193">
        <f t="shared" si="763"/>
        <v>0</v>
      </c>
      <c r="ID51" s="193">
        <f t="shared" si="763"/>
        <v>0</v>
      </c>
      <c r="IE51" s="193">
        <f t="shared" si="763"/>
        <v>0</v>
      </c>
      <c r="IF51" s="193">
        <f t="shared" si="763"/>
        <v>0</v>
      </c>
      <c r="IG51" s="193">
        <f t="shared" si="763"/>
        <v>0</v>
      </c>
      <c r="IH51" s="193">
        <f t="shared" si="763"/>
        <v>0</v>
      </c>
      <c r="II51" s="193">
        <f t="shared" si="763"/>
        <v>0</v>
      </c>
      <c r="IJ51" s="193">
        <f t="shared" si="763"/>
        <v>0</v>
      </c>
      <c r="IK51" s="193">
        <f t="shared" si="763"/>
        <v>0</v>
      </c>
      <c r="IL51" s="193">
        <f t="shared" si="763"/>
        <v>0</v>
      </c>
      <c r="IM51" s="193">
        <f t="shared" si="763"/>
        <v>0</v>
      </c>
      <c r="IN51" s="193">
        <f t="shared" si="763"/>
        <v>0</v>
      </c>
      <c r="IO51" s="193">
        <f t="shared" si="763"/>
        <v>0</v>
      </c>
      <c r="IP51" s="193">
        <f t="shared" si="763"/>
        <v>0</v>
      </c>
      <c r="IQ51" s="193">
        <f t="shared" si="763"/>
        <v>0</v>
      </c>
      <c r="IR51" s="193">
        <f t="shared" si="763"/>
        <v>0</v>
      </c>
      <c r="IS51" s="193">
        <f t="shared" si="763"/>
        <v>0</v>
      </c>
      <c r="IT51" s="193">
        <f t="shared" si="763"/>
        <v>0</v>
      </c>
      <c r="IU51" s="193">
        <f t="shared" si="763"/>
        <v>0</v>
      </c>
      <c r="IV51" s="193">
        <f t="shared" si="763"/>
        <v>0</v>
      </c>
      <c r="IW51" s="193">
        <f t="shared" si="763"/>
        <v>0</v>
      </c>
      <c r="IX51" s="193">
        <f t="shared" si="763"/>
        <v>0</v>
      </c>
      <c r="IY51" s="193">
        <f t="shared" si="763"/>
        <v>0</v>
      </c>
      <c r="IZ51" s="193">
        <f t="shared" si="763"/>
        <v>0</v>
      </c>
      <c r="JA51" s="193">
        <f t="shared" si="763"/>
        <v>0</v>
      </c>
      <c r="JB51" s="193">
        <f t="shared" si="763"/>
        <v>0</v>
      </c>
      <c r="JC51" s="193">
        <f t="shared" ref="JC51:LN51" si="764">SUM(JC50)</f>
        <v>0</v>
      </c>
      <c r="JD51" s="193">
        <f t="shared" si="764"/>
        <v>0</v>
      </c>
      <c r="JE51" s="193">
        <f t="shared" si="764"/>
        <v>0</v>
      </c>
      <c r="JF51" s="193">
        <f t="shared" si="764"/>
        <v>0</v>
      </c>
      <c r="JG51" s="193">
        <f t="shared" si="764"/>
        <v>0</v>
      </c>
      <c r="JH51" s="193">
        <f t="shared" si="764"/>
        <v>0</v>
      </c>
      <c r="JI51" s="193">
        <f t="shared" si="764"/>
        <v>0</v>
      </c>
      <c r="JJ51" s="193">
        <f t="shared" si="764"/>
        <v>0</v>
      </c>
      <c r="JK51" s="193">
        <f t="shared" si="764"/>
        <v>0</v>
      </c>
      <c r="JL51" s="193">
        <f t="shared" si="764"/>
        <v>0</v>
      </c>
      <c r="JM51" s="193">
        <f t="shared" si="764"/>
        <v>0</v>
      </c>
      <c r="JN51" s="193">
        <f t="shared" si="764"/>
        <v>0</v>
      </c>
      <c r="JO51" s="193">
        <f t="shared" si="764"/>
        <v>0</v>
      </c>
      <c r="JP51" s="193">
        <f t="shared" si="764"/>
        <v>0</v>
      </c>
      <c r="JQ51" s="193">
        <f t="shared" si="764"/>
        <v>0</v>
      </c>
      <c r="JR51" s="193">
        <f t="shared" si="764"/>
        <v>0</v>
      </c>
      <c r="JS51" s="193">
        <f t="shared" si="764"/>
        <v>0</v>
      </c>
      <c r="JT51" s="193">
        <f t="shared" si="764"/>
        <v>0</v>
      </c>
      <c r="JU51" s="193">
        <f t="shared" si="764"/>
        <v>0</v>
      </c>
      <c r="JV51" s="193">
        <f t="shared" si="764"/>
        <v>0</v>
      </c>
      <c r="JW51" s="193">
        <f t="shared" si="764"/>
        <v>0</v>
      </c>
      <c r="JX51" s="193">
        <f t="shared" si="764"/>
        <v>0</v>
      </c>
      <c r="JY51" s="193">
        <f t="shared" si="764"/>
        <v>0</v>
      </c>
      <c r="JZ51" s="193">
        <f t="shared" si="764"/>
        <v>0</v>
      </c>
      <c r="KA51" s="193">
        <f t="shared" si="764"/>
        <v>0</v>
      </c>
      <c r="KB51" s="193">
        <f t="shared" si="764"/>
        <v>0</v>
      </c>
      <c r="KC51" s="193">
        <f t="shared" si="764"/>
        <v>0</v>
      </c>
      <c r="KD51" s="193">
        <f t="shared" si="764"/>
        <v>0</v>
      </c>
      <c r="KE51" s="193">
        <f t="shared" si="764"/>
        <v>0</v>
      </c>
      <c r="KF51" s="193">
        <f t="shared" si="764"/>
        <v>0</v>
      </c>
      <c r="KG51" s="193">
        <f t="shared" si="764"/>
        <v>0</v>
      </c>
      <c r="KH51" s="193">
        <f t="shared" si="764"/>
        <v>0</v>
      </c>
      <c r="KI51" s="193">
        <f t="shared" si="764"/>
        <v>0</v>
      </c>
      <c r="KJ51" s="193">
        <f t="shared" si="764"/>
        <v>0</v>
      </c>
      <c r="KK51" s="193">
        <f t="shared" si="764"/>
        <v>0</v>
      </c>
      <c r="KL51" s="193">
        <f t="shared" si="764"/>
        <v>0</v>
      </c>
      <c r="KM51" s="193">
        <f t="shared" si="764"/>
        <v>0</v>
      </c>
      <c r="KN51" s="193">
        <f t="shared" si="764"/>
        <v>0</v>
      </c>
      <c r="KO51" s="193">
        <f t="shared" si="764"/>
        <v>0</v>
      </c>
      <c r="KP51" s="193">
        <f t="shared" si="764"/>
        <v>0</v>
      </c>
      <c r="KQ51" s="193">
        <f t="shared" si="764"/>
        <v>0</v>
      </c>
      <c r="KR51" s="193">
        <f t="shared" si="764"/>
        <v>0</v>
      </c>
      <c r="KS51" s="193">
        <f t="shared" si="764"/>
        <v>0</v>
      </c>
      <c r="KT51" s="193">
        <f t="shared" si="764"/>
        <v>0</v>
      </c>
      <c r="KU51" s="193">
        <f t="shared" si="764"/>
        <v>0</v>
      </c>
      <c r="KV51" s="193">
        <f t="shared" si="764"/>
        <v>1</v>
      </c>
      <c r="KW51" s="193">
        <f t="shared" si="764"/>
        <v>0</v>
      </c>
      <c r="KX51" s="193">
        <f t="shared" si="764"/>
        <v>1</v>
      </c>
      <c r="KY51" s="193">
        <f t="shared" si="764"/>
        <v>1</v>
      </c>
      <c r="KZ51" s="193">
        <f t="shared" si="764"/>
        <v>0</v>
      </c>
      <c r="LA51" s="193">
        <f t="shared" si="764"/>
        <v>0</v>
      </c>
      <c r="LB51" s="193">
        <f t="shared" si="764"/>
        <v>0</v>
      </c>
      <c r="LC51" s="193">
        <f t="shared" si="764"/>
        <v>0</v>
      </c>
      <c r="LD51" s="193">
        <f t="shared" si="764"/>
        <v>0</v>
      </c>
      <c r="LE51" s="193">
        <f t="shared" si="764"/>
        <v>0</v>
      </c>
      <c r="LF51" s="193">
        <f t="shared" si="764"/>
        <v>0</v>
      </c>
      <c r="LG51" s="193">
        <f t="shared" si="764"/>
        <v>0</v>
      </c>
      <c r="LH51" s="193">
        <f t="shared" si="764"/>
        <v>0</v>
      </c>
      <c r="LI51" s="193">
        <f t="shared" si="764"/>
        <v>0</v>
      </c>
      <c r="LJ51" s="193">
        <f t="shared" si="764"/>
        <v>0</v>
      </c>
      <c r="LK51" s="193">
        <f t="shared" si="764"/>
        <v>0</v>
      </c>
      <c r="LL51" s="193">
        <f t="shared" si="764"/>
        <v>0</v>
      </c>
      <c r="LM51" s="193">
        <f t="shared" si="764"/>
        <v>0</v>
      </c>
      <c r="LN51" s="193">
        <f t="shared" si="764"/>
        <v>0</v>
      </c>
      <c r="LO51" s="193">
        <f t="shared" ref="LO51:NW51" si="765">SUM(LO50)</f>
        <v>0</v>
      </c>
      <c r="LP51" s="193">
        <f t="shared" si="765"/>
        <v>0</v>
      </c>
      <c r="LQ51" s="193">
        <f t="shared" si="765"/>
        <v>1</v>
      </c>
      <c r="LR51" s="193">
        <f t="shared" si="765"/>
        <v>0</v>
      </c>
      <c r="LS51" s="193">
        <f t="shared" si="765"/>
        <v>1</v>
      </c>
      <c r="LT51" s="193">
        <f t="shared" si="765"/>
        <v>0</v>
      </c>
      <c r="LU51" s="193">
        <f t="shared" si="765"/>
        <v>0</v>
      </c>
      <c r="LV51" s="193">
        <f t="shared" si="765"/>
        <v>0</v>
      </c>
      <c r="LW51" s="193">
        <f t="shared" si="765"/>
        <v>0</v>
      </c>
      <c r="LX51" s="193">
        <f t="shared" si="765"/>
        <v>0</v>
      </c>
      <c r="LY51" s="193">
        <f t="shared" si="765"/>
        <v>0</v>
      </c>
      <c r="LZ51" s="193">
        <f t="shared" si="765"/>
        <v>1</v>
      </c>
      <c r="MA51" s="193">
        <f t="shared" si="765"/>
        <v>0</v>
      </c>
      <c r="MB51" s="193">
        <f t="shared" si="765"/>
        <v>1</v>
      </c>
      <c r="MC51" s="193">
        <f t="shared" si="765"/>
        <v>0</v>
      </c>
      <c r="MD51" s="193">
        <f t="shared" si="765"/>
        <v>1</v>
      </c>
      <c r="ME51" s="193">
        <f t="shared" si="765"/>
        <v>0</v>
      </c>
      <c r="MF51" s="193">
        <f t="shared" si="765"/>
        <v>0</v>
      </c>
      <c r="MG51" s="193">
        <f t="shared" si="765"/>
        <v>0</v>
      </c>
      <c r="MH51" s="193">
        <f t="shared" si="765"/>
        <v>0</v>
      </c>
      <c r="MI51" s="193">
        <f t="shared" si="765"/>
        <v>1</v>
      </c>
      <c r="MJ51" s="193">
        <f t="shared" si="765"/>
        <v>0</v>
      </c>
      <c r="MK51" s="193">
        <f t="shared" si="765"/>
        <v>0</v>
      </c>
      <c r="ML51" s="193">
        <f t="shared" si="765"/>
        <v>0</v>
      </c>
      <c r="MM51" s="193">
        <f t="shared" si="765"/>
        <v>0</v>
      </c>
      <c r="MN51" s="193">
        <f t="shared" si="765"/>
        <v>0</v>
      </c>
      <c r="MO51" s="193">
        <f t="shared" si="765"/>
        <v>1</v>
      </c>
      <c r="MP51" s="193">
        <f t="shared" si="765"/>
        <v>0</v>
      </c>
      <c r="MQ51" s="193">
        <f t="shared" si="765"/>
        <v>1</v>
      </c>
      <c r="MR51" s="193">
        <f t="shared" si="765"/>
        <v>0</v>
      </c>
      <c r="MS51" s="193">
        <f t="shared" si="765"/>
        <v>0</v>
      </c>
      <c r="MT51" s="193">
        <f t="shared" si="765"/>
        <v>1</v>
      </c>
      <c r="MU51" s="193">
        <f t="shared" si="765"/>
        <v>0</v>
      </c>
      <c r="MV51" s="193">
        <f t="shared" si="765"/>
        <v>0</v>
      </c>
      <c r="MW51" s="193">
        <f t="shared" si="765"/>
        <v>0</v>
      </c>
      <c r="MX51" s="193">
        <f t="shared" si="765"/>
        <v>0</v>
      </c>
      <c r="MY51" s="193">
        <f t="shared" si="765"/>
        <v>0</v>
      </c>
      <c r="MZ51" s="193">
        <f t="shared" si="765"/>
        <v>1</v>
      </c>
      <c r="NA51" s="193">
        <f t="shared" si="765"/>
        <v>0</v>
      </c>
      <c r="NB51" s="193">
        <f t="shared" si="765"/>
        <v>1</v>
      </c>
      <c r="NC51" s="193">
        <f t="shared" si="765"/>
        <v>0</v>
      </c>
      <c r="ND51" s="193">
        <f t="shared" si="765"/>
        <v>0</v>
      </c>
      <c r="NE51" s="193">
        <f t="shared" si="765"/>
        <v>0</v>
      </c>
      <c r="NF51" s="193">
        <f t="shared" si="765"/>
        <v>0</v>
      </c>
      <c r="NG51" s="193">
        <f t="shared" si="765"/>
        <v>0</v>
      </c>
      <c r="NH51" s="193">
        <f t="shared" si="765"/>
        <v>0</v>
      </c>
      <c r="NI51" s="193">
        <f t="shared" si="765"/>
        <v>0</v>
      </c>
      <c r="NJ51" s="193">
        <f t="shared" si="765"/>
        <v>0</v>
      </c>
      <c r="NK51" s="193">
        <f t="shared" si="765"/>
        <v>0</v>
      </c>
      <c r="NL51" s="193">
        <f t="shared" si="765"/>
        <v>0</v>
      </c>
      <c r="NM51" s="193">
        <f t="shared" si="765"/>
        <v>0</v>
      </c>
      <c r="NN51" s="193">
        <f t="shared" si="765"/>
        <v>0</v>
      </c>
      <c r="NO51" s="193">
        <f t="shared" si="765"/>
        <v>0</v>
      </c>
      <c r="NP51" s="193">
        <f t="shared" si="765"/>
        <v>0</v>
      </c>
      <c r="NQ51" s="193">
        <f t="shared" si="765"/>
        <v>0</v>
      </c>
      <c r="NR51" s="193">
        <f t="shared" si="765"/>
        <v>0</v>
      </c>
      <c r="NS51" s="193">
        <f t="shared" si="765"/>
        <v>1</v>
      </c>
      <c r="NT51" s="193">
        <f t="shared" si="765"/>
        <v>0</v>
      </c>
      <c r="NU51" s="193">
        <f t="shared" si="765"/>
        <v>0</v>
      </c>
      <c r="NV51" s="193">
        <f t="shared" si="765"/>
        <v>0</v>
      </c>
      <c r="NW51" s="193">
        <f t="shared" si="765"/>
        <v>1</v>
      </c>
      <c r="NX51" s="193">
        <f t="shared" ref="NX51:QU51" si="766">SUM(NX50)</f>
        <v>0</v>
      </c>
      <c r="NY51" s="193">
        <f t="shared" si="766"/>
        <v>1</v>
      </c>
      <c r="NZ51" s="193">
        <f t="shared" si="766"/>
        <v>0</v>
      </c>
      <c r="OA51" s="193">
        <f t="shared" si="766"/>
        <v>0</v>
      </c>
      <c r="OB51" s="193">
        <f t="shared" si="766"/>
        <v>0</v>
      </c>
      <c r="OC51" s="193">
        <f t="shared" si="766"/>
        <v>0</v>
      </c>
      <c r="OD51" s="193">
        <f t="shared" si="766"/>
        <v>0</v>
      </c>
      <c r="OE51" s="193">
        <f t="shared" si="766"/>
        <v>0</v>
      </c>
      <c r="OF51" s="193">
        <f t="shared" si="766"/>
        <v>0</v>
      </c>
      <c r="OG51" s="193">
        <f t="shared" si="766"/>
        <v>0</v>
      </c>
      <c r="OH51" s="193">
        <f t="shared" si="766"/>
        <v>0</v>
      </c>
      <c r="OI51" s="193">
        <f t="shared" ref="OI51:OT51" si="767">SUM(OI50)</f>
        <v>0</v>
      </c>
      <c r="OJ51" s="193">
        <f t="shared" si="767"/>
        <v>1</v>
      </c>
      <c r="OK51" s="193">
        <f t="shared" si="767"/>
        <v>1</v>
      </c>
      <c r="OL51" s="193">
        <f t="shared" si="767"/>
        <v>0</v>
      </c>
      <c r="OM51" s="193">
        <f t="shared" si="767"/>
        <v>1</v>
      </c>
      <c r="ON51" s="193">
        <f t="shared" si="767"/>
        <v>0</v>
      </c>
      <c r="OO51" s="193">
        <f t="shared" si="767"/>
        <v>0</v>
      </c>
      <c r="OP51" s="193">
        <f t="shared" si="767"/>
        <v>1</v>
      </c>
      <c r="OQ51" s="193">
        <f t="shared" si="767"/>
        <v>0</v>
      </c>
      <c r="OR51" s="193">
        <f t="shared" si="767"/>
        <v>0</v>
      </c>
      <c r="OS51" s="193">
        <f t="shared" si="767"/>
        <v>0</v>
      </c>
      <c r="OT51" s="193">
        <f t="shared" si="767"/>
        <v>0</v>
      </c>
      <c r="OU51" s="193">
        <f t="shared" si="766"/>
        <v>1</v>
      </c>
      <c r="OV51" s="193">
        <f t="shared" si="766"/>
        <v>0</v>
      </c>
      <c r="OW51" s="193">
        <f t="shared" si="766"/>
        <v>2024</v>
      </c>
      <c r="OX51" s="193">
        <f t="shared" si="766"/>
        <v>30</v>
      </c>
      <c r="OY51" s="193">
        <f t="shared" si="766"/>
        <v>0</v>
      </c>
      <c r="OZ51" s="193">
        <f t="shared" si="766"/>
        <v>0</v>
      </c>
      <c r="PA51" s="193">
        <f t="shared" si="766"/>
        <v>1</v>
      </c>
      <c r="PB51" s="193">
        <f t="shared" si="766"/>
        <v>0</v>
      </c>
      <c r="PC51" s="193">
        <f t="shared" si="766"/>
        <v>0</v>
      </c>
      <c r="PD51" s="193">
        <f t="shared" si="766"/>
        <v>1</v>
      </c>
      <c r="PE51" s="193">
        <f t="shared" si="766"/>
        <v>0</v>
      </c>
      <c r="PF51" s="193">
        <f t="shared" si="766"/>
        <v>0</v>
      </c>
      <c r="PG51" s="193">
        <f t="shared" si="766"/>
        <v>0</v>
      </c>
      <c r="PH51" s="193">
        <f t="shared" si="766"/>
        <v>1</v>
      </c>
      <c r="PI51" s="193">
        <f t="shared" si="766"/>
        <v>0</v>
      </c>
      <c r="PJ51" s="193">
        <f t="shared" si="766"/>
        <v>0</v>
      </c>
      <c r="PK51" s="193">
        <f t="shared" si="766"/>
        <v>1</v>
      </c>
      <c r="PL51" s="193">
        <f t="shared" si="766"/>
        <v>0</v>
      </c>
      <c r="PM51" s="193">
        <f t="shared" si="766"/>
        <v>18</v>
      </c>
      <c r="PN51" s="193">
        <f t="shared" si="766"/>
        <v>5</v>
      </c>
      <c r="PO51" s="193">
        <f t="shared" si="766"/>
        <v>0</v>
      </c>
      <c r="PP51" s="193">
        <f t="shared" si="766"/>
        <v>1</v>
      </c>
      <c r="PQ51" s="193">
        <f t="shared" si="766"/>
        <v>0</v>
      </c>
      <c r="PR51" s="193">
        <f t="shared" si="766"/>
        <v>0</v>
      </c>
      <c r="PS51" s="193">
        <f t="shared" si="766"/>
        <v>0</v>
      </c>
      <c r="PT51" s="193">
        <f t="shared" si="766"/>
        <v>0</v>
      </c>
      <c r="PU51" s="193">
        <f t="shared" si="766"/>
        <v>0</v>
      </c>
      <c r="PV51" s="193">
        <f t="shared" si="766"/>
        <v>1</v>
      </c>
      <c r="PW51" s="193">
        <f t="shared" si="766"/>
        <v>0</v>
      </c>
      <c r="PX51" s="193">
        <f t="shared" si="766"/>
        <v>1</v>
      </c>
      <c r="PY51" s="193">
        <f t="shared" si="766"/>
        <v>0</v>
      </c>
      <c r="PZ51" s="193">
        <f t="shared" si="766"/>
        <v>1</v>
      </c>
      <c r="QA51" s="193">
        <f t="shared" si="766"/>
        <v>0</v>
      </c>
      <c r="QB51" s="193">
        <f t="shared" si="766"/>
        <v>1</v>
      </c>
      <c r="QC51" s="193">
        <f t="shared" si="766"/>
        <v>0</v>
      </c>
      <c r="QD51" s="193">
        <f t="shared" si="766"/>
        <v>1</v>
      </c>
      <c r="QE51" s="193">
        <f t="shared" si="766"/>
        <v>0</v>
      </c>
      <c r="QF51" s="193">
        <f t="shared" si="766"/>
        <v>0</v>
      </c>
      <c r="QG51" s="193">
        <f t="shared" si="766"/>
        <v>0</v>
      </c>
      <c r="QH51" s="193">
        <f t="shared" si="766"/>
        <v>0</v>
      </c>
      <c r="QI51" s="193">
        <f t="shared" si="766"/>
        <v>1</v>
      </c>
      <c r="QJ51" s="193">
        <f t="shared" si="766"/>
        <v>0</v>
      </c>
      <c r="QK51" s="193">
        <f t="shared" si="766"/>
        <v>1</v>
      </c>
      <c r="QL51" s="193">
        <f t="shared" si="766"/>
        <v>0</v>
      </c>
      <c r="QM51" s="193">
        <f t="shared" si="766"/>
        <v>1</v>
      </c>
      <c r="QN51" s="193">
        <f t="shared" si="766"/>
        <v>0</v>
      </c>
      <c r="QO51" s="193">
        <f t="shared" si="766"/>
        <v>1</v>
      </c>
      <c r="QP51" s="193">
        <f t="shared" si="766"/>
        <v>0</v>
      </c>
      <c r="QQ51" s="193">
        <f t="shared" si="766"/>
        <v>0</v>
      </c>
      <c r="QR51" s="193">
        <f t="shared" si="766"/>
        <v>1</v>
      </c>
      <c r="QS51" s="193">
        <f t="shared" si="766"/>
        <v>0</v>
      </c>
      <c r="QT51" s="193">
        <f t="shared" si="766"/>
        <v>0</v>
      </c>
      <c r="QU51" s="193">
        <f t="shared" si="766"/>
        <v>1</v>
      </c>
      <c r="QV51" s="193">
        <f t="shared" ref="QV51:SP51" si="768">SUM(QV50)</f>
        <v>0</v>
      </c>
      <c r="QW51" s="193">
        <f t="shared" si="768"/>
        <v>0</v>
      </c>
      <c r="QX51" s="193">
        <f t="shared" si="768"/>
        <v>0</v>
      </c>
      <c r="QY51" s="193">
        <f t="shared" si="768"/>
        <v>0</v>
      </c>
      <c r="QZ51" s="193">
        <f t="shared" si="768"/>
        <v>1</v>
      </c>
      <c r="RA51" s="193">
        <f t="shared" si="768"/>
        <v>0</v>
      </c>
      <c r="RB51" s="193">
        <f t="shared" si="768"/>
        <v>0</v>
      </c>
      <c r="RC51" s="193">
        <f t="shared" si="768"/>
        <v>1</v>
      </c>
      <c r="RD51" s="193">
        <f t="shared" si="768"/>
        <v>1</v>
      </c>
      <c r="RE51" s="193">
        <f t="shared" si="768"/>
        <v>0</v>
      </c>
      <c r="RF51" s="193">
        <f t="shared" si="768"/>
        <v>0</v>
      </c>
      <c r="RG51" s="193">
        <f t="shared" si="768"/>
        <v>1</v>
      </c>
      <c r="RH51" s="193">
        <f t="shared" si="768"/>
        <v>0</v>
      </c>
      <c r="RI51" s="193">
        <f t="shared" si="768"/>
        <v>0</v>
      </c>
      <c r="RJ51" s="193">
        <f t="shared" si="768"/>
        <v>1</v>
      </c>
      <c r="RK51" s="193">
        <f t="shared" si="768"/>
        <v>0</v>
      </c>
      <c r="RL51" s="193">
        <f t="shared" si="768"/>
        <v>1</v>
      </c>
      <c r="RM51" s="193">
        <f t="shared" si="768"/>
        <v>0</v>
      </c>
      <c r="RN51" s="193">
        <f t="shared" si="768"/>
        <v>0</v>
      </c>
      <c r="RO51" s="193">
        <f t="shared" si="768"/>
        <v>280</v>
      </c>
      <c r="RP51" s="193">
        <f t="shared" si="768"/>
        <v>0</v>
      </c>
      <c r="RQ51" s="193">
        <f t="shared" si="768"/>
        <v>0</v>
      </c>
      <c r="RR51" s="193">
        <f t="shared" si="768"/>
        <v>0</v>
      </c>
      <c r="RS51" s="193">
        <f t="shared" si="768"/>
        <v>20</v>
      </c>
      <c r="RT51" s="193">
        <f t="shared" si="768"/>
        <v>0</v>
      </c>
      <c r="RU51" s="193">
        <f t="shared" si="768"/>
        <v>1</v>
      </c>
      <c r="RV51" s="193">
        <f t="shared" si="768"/>
        <v>0</v>
      </c>
      <c r="RW51" s="193">
        <f t="shared" si="768"/>
        <v>1</v>
      </c>
      <c r="RX51" s="193">
        <f t="shared" si="768"/>
        <v>0</v>
      </c>
      <c r="RY51" s="193">
        <f t="shared" si="768"/>
        <v>1</v>
      </c>
      <c r="RZ51" s="193">
        <f t="shared" si="768"/>
        <v>0</v>
      </c>
      <c r="SA51" s="193">
        <f t="shared" si="768"/>
        <v>0</v>
      </c>
      <c r="SB51" s="193">
        <f t="shared" si="768"/>
        <v>1</v>
      </c>
      <c r="SC51" s="193">
        <f t="shared" si="768"/>
        <v>0</v>
      </c>
      <c r="SD51" s="193">
        <f t="shared" si="768"/>
        <v>0</v>
      </c>
      <c r="SE51" s="193">
        <f t="shared" si="768"/>
        <v>0</v>
      </c>
      <c r="SF51" s="193">
        <f t="shared" si="768"/>
        <v>0</v>
      </c>
      <c r="SG51" s="193">
        <f t="shared" si="768"/>
        <v>0</v>
      </c>
      <c r="SH51" s="193">
        <f t="shared" si="768"/>
        <v>0</v>
      </c>
      <c r="SI51" s="193">
        <f t="shared" si="768"/>
        <v>0</v>
      </c>
      <c r="SJ51" s="193">
        <f t="shared" si="768"/>
        <v>0</v>
      </c>
      <c r="SK51" s="193">
        <f t="shared" si="768"/>
        <v>0</v>
      </c>
      <c r="SL51" s="193">
        <f t="shared" si="768"/>
        <v>0</v>
      </c>
      <c r="SM51" s="193">
        <f t="shared" si="768"/>
        <v>0</v>
      </c>
      <c r="SN51" s="193">
        <f t="shared" si="768"/>
        <v>0</v>
      </c>
      <c r="SO51" s="193">
        <f t="shared" si="768"/>
        <v>0</v>
      </c>
      <c r="SP51" s="193">
        <f t="shared" si="768"/>
        <v>0</v>
      </c>
      <c r="SQ51" s="193"/>
      <c r="SR51" s="193"/>
      <c r="SS51" s="195"/>
    </row>
    <row r="52" spans="1:513" s="121" customFormat="1" ht="26.25" customHeight="1">
      <c r="A52" s="319" t="s">
        <v>333</v>
      </c>
      <c r="B52" s="320"/>
      <c r="C52" s="320"/>
      <c r="D52" s="320"/>
      <c r="E52" s="321"/>
      <c r="F52" s="120">
        <f t="shared" ref="F52:BQ52" si="769">F35+F31+F26+F20+F46+F49+F51</f>
        <v>10</v>
      </c>
      <c r="G52" s="120">
        <f t="shared" si="769"/>
        <v>3</v>
      </c>
      <c r="H52" s="120">
        <f t="shared" si="769"/>
        <v>0</v>
      </c>
      <c r="I52" s="120">
        <f t="shared" si="769"/>
        <v>13</v>
      </c>
      <c r="J52" s="120">
        <f t="shared" si="769"/>
        <v>0</v>
      </c>
      <c r="K52" s="120">
        <f t="shared" si="769"/>
        <v>11</v>
      </c>
      <c r="L52" s="120">
        <f t="shared" si="769"/>
        <v>1</v>
      </c>
      <c r="M52" s="120">
        <f t="shared" si="769"/>
        <v>0</v>
      </c>
      <c r="N52" s="120">
        <f t="shared" si="769"/>
        <v>1</v>
      </c>
      <c r="O52" s="120">
        <f t="shared" si="769"/>
        <v>11</v>
      </c>
      <c r="P52" s="120">
        <f t="shared" si="769"/>
        <v>2</v>
      </c>
      <c r="Q52" s="120">
        <f t="shared" si="769"/>
        <v>8</v>
      </c>
      <c r="R52" s="120">
        <f t="shared" si="769"/>
        <v>0</v>
      </c>
      <c r="S52" s="120">
        <f t="shared" si="769"/>
        <v>5</v>
      </c>
      <c r="T52" s="120">
        <f t="shared" si="769"/>
        <v>0</v>
      </c>
      <c r="U52" s="120">
        <f t="shared" si="769"/>
        <v>2</v>
      </c>
      <c r="V52" s="120">
        <f t="shared" si="769"/>
        <v>590</v>
      </c>
      <c r="W52" s="120">
        <f t="shared" si="769"/>
        <v>279</v>
      </c>
      <c r="X52" s="120">
        <f t="shared" si="769"/>
        <v>591</v>
      </c>
      <c r="Y52" s="120">
        <f t="shared" si="769"/>
        <v>261</v>
      </c>
      <c r="Z52" s="120">
        <f t="shared" si="769"/>
        <v>470</v>
      </c>
      <c r="AA52" s="120">
        <f t="shared" si="769"/>
        <v>216</v>
      </c>
      <c r="AB52" s="120">
        <f t="shared" si="769"/>
        <v>315</v>
      </c>
      <c r="AC52" s="120">
        <f t="shared" si="769"/>
        <v>128</v>
      </c>
      <c r="AD52" s="120">
        <f t="shared" si="769"/>
        <v>171</v>
      </c>
      <c r="AE52" s="120">
        <f t="shared" si="769"/>
        <v>149</v>
      </c>
      <c r="AF52" s="120">
        <f t="shared" si="769"/>
        <v>2137</v>
      </c>
      <c r="AG52" s="120">
        <f t="shared" si="769"/>
        <v>1033</v>
      </c>
      <c r="AH52" s="120">
        <f t="shared" si="769"/>
        <v>3170</v>
      </c>
      <c r="AI52" s="120">
        <f>AI35+AI31+AI26+AI20+AI46+AI49+AI51</f>
        <v>590</v>
      </c>
      <c r="AJ52" s="120">
        <f t="shared" si="769"/>
        <v>279</v>
      </c>
      <c r="AK52" s="120">
        <f t="shared" si="769"/>
        <v>596</v>
      </c>
      <c r="AL52" s="120">
        <f t="shared" si="769"/>
        <v>261</v>
      </c>
      <c r="AM52" s="120">
        <f t="shared" si="769"/>
        <v>485</v>
      </c>
      <c r="AN52" s="120">
        <f t="shared" si="769"/>
        <v>216</v>
      </c>
      <c r="AO52" s="120">
        <f t="shared" si="769"/>
        <v>329</v>
      </c>
      <c r="AP52" s="120">
        <f t="shared" si="769"/>
        <v>128</v>
      </c>
      <c r="AQ52" s="120">
        <f t="shared" si="769"/>
        <v>219</v>
      </c>
      <c r="AR52" s="120">
        <f t="shared" si="769"/>
        <v>149</v>
      </c>
      <c r="AS52" s="120">
        <f t="shared" si="769"/>
        <v>2219</v>
      </c>
      <c r="AT52" s="120">
        <f t="shared" si="769"/>
        <v>1033</v>
      </c>
      <c r="AU52" s="120">
        <f t="shared" si="769"/>
        <v>3252</v>
      </c>
      <c r="AV52" s="120">
        <f t="shared" si="769"/>
        <v>255</v>
      </c>
      <c r="AW52" s="120">
        <f t="shared" si="769"/>
        <v>130</v>
      </c>
      <c r="AX52" s="120">
        <f t="shared" si="769"/>
        <v>252</v>
      </c>
      <c r="AY52" s="120">
        <f t="shared" si="769"/>
        <v>102</v>
      </c>
      <c r="AZ52" s="120">
        <f t="shared" si="769"/>
        <v>323</v>
      </c>
      <c r="BA52" s="120">
        <f t="shared" si="769"/>
        <v>121</v>
      </c>
      <c r="BB52" s="120">
        <f t="shared" si="769"/>
        <v>207</v>
      </c>
      <c r="BC52" s="120">
        <f t="shared" si="769"/>
        <v>93</v>
      </c>
      <c r="BD52" s="120">
        <f t="shared" si="769"/>
        <v>124</v>
      </c>
      <c r="BE52" s="120">
        <f t="shared" si="769"/>
        <v>112</v>
      </c>
      <c r="BF52" s="120">
        <f t="shared" si="769"/>
        <v>1161</v>
      </c>
      <c r="BG52" s="120">
        <f t="shared" si="769"/>
        <v>558</v>
      </c>
      <c r="BH52" s="120">
        <f t="shared" si="769"/>
        <v>1719</v>
      </c>
      <c r="BI52" s="120">
        <f t="shared" si="769"/>
        <v>128</v>
      </c>
      <c r="BJ52" s="120">
        <f t="shared" si="769"/>
        <v>73</v>
      </c>
      <c r="BK52" s="120">
        <f t="shared" si="769"/>
        <v>269</v>
      </c>
      <c r="BL52" s="120">
        <f t="shared" si="769"/>
        <v>87</v>
      </c>
      <c r="BM52" s="120">
        <f t="shared" si="769"/>
        <v>358</v>
      </c>
      <c r="BN52" s="120">
        <f t="shared" si="769"/>
        <v>83</v>
      </c>
      <c r="BO52" s="120">
        <f t="shared" si="769"/>
        <v>452</v>
      </c>
      <c r="BP52" s="120">
        <f t="shared" si="769"/>
        <v>93</v>
      </c>
      <c r="BQ52" s="120">
        <f t="shared" si="769"/>
        <v>224</v>
      </c>
      <c r="BR52" s="120">
        <f t="shared" ref="BR52:EC52" si="770">BR35+BR31+BR26+BR20+BR46+BR49+BR51</f>
        <v>59</v>
      </c>
      <c r="BS52" s="120">
        <f t="shared" si="770"/>
        <v>1431</v>
      </c>
      <c r="BT52" s="120">
        <f t="shared" si="770"/>
        <v>395</v>
      </c>
      <c r="BU52" s="120">
        <f t="shared" si="770"/>
        <v>1826</v>
      </c>
      <c r="BV52" s="120">
        <f t="shared" si="770"/>
        <v>590</v>
      </c>
      <c r="BW52" s="120">
        <f t="shared" si="770"/>
        <v>279</v>
      </c>
      <c r="BX52" s="120">
        <f t="shared" si="770"/>
        <v>851</v>
      </c>
      <c r="BY52" s="120">
        <f t="shared" si="770"/>
        <v>391</v>
      </c>
      <c r="BZ52" s="120">
        <f t="shared" si="770"/>
        <v>865</v>
      </c>
      <c r="CA52" s="120">
        <f t="shared" si="770"/>
        <v>391</v>
      </c>
      <c r="CB52" s="120">
        <f t="shared" si="770"/>
        <v>921</v>
      </c>
      <c r="CC52" s="120">
        <f t="shared" si="770"/>
        <v>336</v>
      </c>
      <c r="CD52" s="120">
        <f t="shared" si="770"/>
        <v>784</v>
      </c>
      <c r="CE52" s="120">
        <f t="shared" si="770"/>
        <v>325</v>
      </c>
      <c r="CF52" s="120">
        <f t="shared" si="770"/>
        <v>576</v>
      </c>
      <c r="CG52" s="120">
        <f t="shared" si="770"/>
        <v>205</v>
      </c>
      <c r="CH52" s="120">
        <f t="shared" si="770"/>
        <v>224</v>
      </c>
      <c r="CI52" s="120">
        <f t="shared" si="770"/>
        <v>59</v>
      </c>
      <c r="CJ52" s="120">
        <f t="shared" si="770"/>
        <v>4811</v>
      </c>
      <c r="CK52" s="120">
        <f t="shared" si="770"/>
        <v>1986</v>
      </c>
      <c r="CL52" s="120">
        <f t="shared" si="770"/>
        <v>6797</v>
      </c>
      <c r="CM52" s="120">
        <f t="shared" si="770"/>
        <v>51</v>
      </c>
      <c r="CN52" s="120">
        <f t="shared" si="770"/>
        <v>28</v>
      </c>
      <c r="CO52" s="120">
        <f t="shared" si="770"/>
        <v>0</v>
      </c>
      <c r="CP52" s="120">
        <f t="shared" si="770"/>
        <v>44</v>
      </c>
      <c r="CQ52" s="120">
        <f t="shared" si="770"/>
        <v>16</v>
      </c>
      <c r="CR52" s="120">
        <f t="shared" si="770"/>
        <v>0</v>
      </c>
      <c r="CS52" s="120">
        <f t="shared" si="770"/>
        <v>41</v>
      </c>
      <c r="CT52" s="120">
        <f t="shared" si="770"/>
        <v>13</v>
      </c>
      <c r="CU52" s="120">
        <f t="shared" si="770"/>
        <v>0</v>
      </c>
      <c r="CV52" s="120">
        <f t="shared" si="770"/>
        <v>136</v>
      </c>
      <c r="CW52" s="120">
        <f t="shared" si="770"/>
        <v>57</v>
      </c>
      <c r="CX52" s="120">
        <f t="shared" si="770"/>
        <v>0</v>
      </c>
      <c r="CY52" s="120">
        <f t="shared" si="770"/>
        <v>193</v>
      </c>
      <c r="CZ52" s="120">
        <f t="shared" si="770"/>
        <v>48</v>
      </c>
      <c r="DA52" s="120">
        <f t="shared" si="770"/>
        <v>12</v>
      </c>
      <c r="DB52" s="120">
        <f t="shared" si="770"/>
        <v>20</v>
      </c>
      <c r="DC52" s="120">
        <f t="shared" si="770"/>
        <v>14</v>
      </c>
      <c r="DD52" s="120">
        <f t="shared" si="770"/>
        <v>43</v>
      </c>
      <c r="DE52" s="120">
        <f t="shared" si="770"/>
        <v>6</v>
      </c>
      <c r="DF52" s="120">
        <f t="shared" si="770"/>
        <v>111</v>
      </c>
      <c r="DG52" s="120">
        <f t="shared" si="770"/>
        <v>32</v>
      </c>
      <c r="DH52" s="120">
        <f t="shared" si="770"/>
        <v>143</v>
      </c>
      <c r="DI52" s="120">
        <f t="shared" si="770"/>
        <v>0</v>
      </c>
      <c r="DJ52" s="120">
        <f t="shared" si="770"/>
        <v>0</v>
      </c>
      <c r="DK52" s="120">
        <f t="shared" si="770"/>
        <v>0</v>
      </c>
      <c r="DL52" s="120">
        <f t="shared" si="770"/>
        <v>0</v>
      </c>
      <c r="DM52" s="120">
        <f t="shared" si="770"/>
        <v>0</v>
      </c>
      <c r="DN52" s="120">
        <f t="shared" si="770"/>
        <v>0</v>
      </c>
      <c r="DO52" s="120">
        <f t="shared" si="770"/>
        <v>0</v>
      </c>
      <c r="DP52" s="120">
        <f t="shared" si="770"/>
        <v>0</v>
      </c>
      <c r="DQ52" s="120">
        <f t="shared" si="770"/>
        <v>0</v>
      </c>
      <c r="DR52" s="120">
        <f t="shared" si="770"/>
        <v>1009</v>
      </c>
      <c r="DS52" s="120">
        <f t="shared" si="770"/>
        <v>509</v>
      </c>
      <c r="DT52" s="120">
        <f t="shared" si="770"/>
        <v>537</v>
      </c>
      <c r="DU52" s="120">
        <f t="shared" si="770"/>
        <v>310</v>
      </c>
      <c r="DV52" s="120">
        <f t="shared" si="770"/>
        <v>778</v>
      </c>
      <c r="DW52" s="120">
        <f t="shared" si="770"/>
        <v>343</v>
      </c>
      <c r="DX52" s="120">
        <f t="shared" si="770"/>
        <v>2324</v>
      </c>
      <c r="DY52" s="120">
        <f t="shared" si="770"/>
        <v>1162</v>
      </c>
      <c r="DZ52" s="120">
        <f t="shared" si="770"/>
        <v>3486</v>
      </c>
      <c r="EA52" s="120">
        <f t="shared" si="770"/>
        <v>151</v>
      </c>
      <c r="EB52" s="120">
        <f t="shared" si="770"/>
        <v>36</v>
      </c>
      <c r="EC52" s="120">
        <f t="shared" si="770"/>
        <v>61</v>
      </c>
      <c r="ED52" s="120">
        <f t="shared" ref="ED52:GO52" si="771">ED35+ED31+ED26+ED20+ED46+ED49+ED51</f>
        <v>13</v>
      </c>
      <c r="EE52" s="120">
        <f t="shared" si="771"/>
        <v>248</v>
      </c>
      <c r="EF52" s="120">
        <f t="shared" si="771"/>
        <v>21</v>
      </c>
      <c r="EG52" s="120">
        <f t="shared" si="771"/>
        <v>460</v>
      </c>
      <c r="EH52" s="120">
        <f t="shared" si="771"/>
        <v>70</v>
      </c>
      <c r="EI52" s="120">
        <f t="shared" si="771"/>
        <v>530</v>
      </c>
      <c r="EJ52" s="120">
        <f t="shared" si="771"/>
        <v>45</v>
      </c>
      <c r="EK52" s="120">
        <f t="shared" si="771"/>
        <v>16</v>
      </c>
      <c r="EL52" s="120">
        <f t="shared" si="771"/>
        <v>15</v>
      </c>
      <c r="EM52" s="120">
        <f t="shared" si="771"/>
        <v>11</v>
      </c>
      <c r="EN52" s="120">
        <f t="shared" si="771"/>
        <v>45</v>
      </c>
      <c r="EO52" s="120">
        <f t="shared" si="771"/>
        <v>1</v>
      </c>
      <c r="EP52" s="120">
        <f t="shared" si="771"/>
        <v>105</v>
      </c>
      <c r="EQ52" s="120">
        <f t="shared" si="771"/>
        <v>28</v>
      </c>
      <c r="ER52" s="120">
        <f t="shared" si="771"/>
        <v>133</v>
      </c>
      <c r="ES52" s="120">
        <f t="shared" si="771"/>
        <v>0</v>
      </c>
      <c r="ET52" s="120">
        <f t="shared" si="771"/>
        <v>0</v>
      </c>
      <c r="EU52" s="120">
        <f t="shared" si="771"/>
        <v>0</v>
      </c>
      <c r="EV52" s="120">
        <f t="shared" si="771"/>
        <v>0</v>
      </c>
      <c r="EW52" s="120">
        <f t="shared" si="771"/>
        <v>43</v>
      </c>
      <c r="EX52" s="120">
        <f t="shared" si="771"/>
        <v>2</v>
      </c>
      <c r="EY52" s="120">
        <f t="shared" si="771"/>
        <v>72</v>
      </c>
      <c r="EZ52" s="120">
        <f t="shared" si="771"/>
        <v>2</v>
      </c>
      <c r="FA52" s="120">
        <f t="shared" si="771"/>
        <v>74</v>
      </c>
      <c r="FB52" s="120">
        <f t="shared" si="771"/>
        <v>10</v>
      </c>
      <c r="FC52" s="120">
        <f t="shared" si="771"/>
        <v>3</v>
      </c>
      <c r="FD52" s="120">
        <f t="shared" si="771"/>
        <v>17</v>
      </c>
      <c r="FE52" s="120">
        <f t="shared" si="771"/>
        <v>9</v>
      </c>
      <c r="FF52" s="120">
        <f t="shared" si="771"/>
        <v>145</v>
      </c>
      <c r="FG52" s="120">
        <f t="shared" si="771"/>
        <v>153</v>
      </c>
      <c r="FH52" s="120">
        <f t="shared" si="771"/>
        <v>52</v>
      </c>
      <c r="FI52" s="120">
        <f t="shared" si="771"/>
        <v>70</v>
      </c>
      <c r="FJ52" s="120">
        <f t="shared" si="771"/>
        <v>0</v>
      </c>
      <c r="FK52" s="120">
        <f t="shared" si="771"/>
        <v>0</v>
      </c>
      <c r="FL52" s="120">
        <f t="shared" si="771"/>
        <v>224</v>
      </c>
      <c r="FM52" s="120">
        <f t="shared" si="771"/>
        <v>235</v>
      </c>
      <c r="FN52" s="120">
        <f t="shared" si="771"/>
        <v>459</v>
      </c>
      <c r="FO52" s="120">
        <f t="shared" si="771"/>
        <v>10</v>
      </c>
      <c r="FP52" s="120">
        <f t="shared" si="771"/>
        <v>13</v>
      </c>
      <c r="FQ52" s="120">
        <f t="shared" si="771"/>
        <v>1</v>
      </c>
      <c r="FR52" s="120">
        <f t="shared" si="771"/>
        <v>4</v>
      </c>
      <c r="FS52" s="120">
        <f t="shared" si="771"/>
        <v>2</v>
      </c>
      <c r="FT52" s="120">
        <f t="shared" si="771"/>
        <v>0</v>
      </c>
      <c r="FU52" s="120">
        <f t="shared" si="771"/>
        <v>0</v>
      </c>
      <c r="FV52" s="120">
        <f t="shared" si="771"/>
        <v>0</v>
      </c>
      <c r="FW52" s="120">
        <f t="shared" si="771"/>
        <v>15</v>
      </c>
      <c r="FX52" s="120">
        <f t="shared" si="771"/>
        <v>5</v>
      </c>
      <c r="FY52" s="120">
        <f t="shared" si="771"/>
        <v>3</v>
      </c>
      <c r="FZ52" s="120">
        <f t="shared" si="771"/>
        <v>0</v>
      </c>
      <c r="GA52" s="120">
        <f t="shared" si="771"/>
        <v>0</v>
      </c>
      <c r="GB52" s="120">
        <f t="shared" si="771"/>
        <v>0</v>
      </c>
      <c r="GC52" s="120">
        <f t="shared" si="771"/>
        <v>0</v>
      </c>
      <c r="GD52" s="120">
        <f t="shared" si="771"/>
        <v>0</v>
      </c>
      <c r="GE52" s="120">
        <f t="shared" si="771"/>
        <v>0</v>
      </c>
      <c r="GF52" s="120">
        <f t="shared" si="771"/>
        <v>0</v>
      </c>
      <c r="GG52" s="120">
        <f t="shared" si="771"/>
        <v>31</v>
      </c>
      <c r="GH52" s="120">
        <f t="shared" si="771"/>
        <v>22</v>
      </c>
      <c r="GI52" s="120">
        <f t="shared" si="771"/>
        <v>53</v>
      </c>
      <c r="GJ52" s="120">
        <f t="shared" si="771"/>
        <v>7</v>
      </c>
      <c r="GK52" s="120">
        <f t="shared" si="771"/>
        <v>17</v>
      </c>
      <c r="GL52" s="120">
        <f t="shared" si="771"/>
        <v>7</v>
      </c>
      <c r="GM52" s="120">
        <f t="shared" si="771"/>
        <v>10</v>
      </c>
      <c r="GN52" s="120">
        <f t="shared" si="771"/>
        <v>9</v>
      </c>
      <c r="GO52" s="120">
        <f t="shared" si="771"/>
        <v>10</v>
      </c>
      <c r="GP52" s="120">
        <f t="shared" ref="GP52:JA52" si="772">GP35+GP31+GP26+GP20+GP46+GP49+GP51</f>
        <v>1</v>
      </c>
      <c r="GQ52" s="120">
        <f t="shared" si="772"/>
        <v>1</v>
      </c>
      <c r="GR52" s="120">
        <f t="shared" si="772"/>
        <v>5</v>
      </c>
      <c r="GS52" s="120">
        <f t="shared" si="772"/>
        <v>13</v>
      </c>
      <c r="GT52" s="120">
        <f t="shared" si="772"/>
        <v>5</v>
      </c>
      <c r="GU52" s="120">
        <f t="shared" si="772"/>
        <v>8</v>
      </c>
      <c r="GV52" s="120">
        <f t="shared" si="772"/>
        <v>2</v>
      </c>
      <c r="GW52" s="120">
        <f t="shared" si="772"/>
        <v>2</v>
      </c>
      <c r="GX52" s="120">
        <f t="shared" si="772"/>
        <v>0</v>
      </c>
      <c r="GY52" s="120">
        <f t="shared" si="772"/>
        <v>0</v>
      </c>
      <c r="GZ52" s="120">
        <f t="shared" si="772"/>
        <v>1</v>
      </c>
      <c r="HA52" s="120">
        <f t="shared" si="772"/>
        <v>2</v>
      </c>
      <c r="HB52" s="120">
        <f t="shared" si="772"/>
        <v>1</v>
      </c>
      <c r="HC52" s="120">
        <f t="shared" si="772"/>
        <v>0</v>
      </c>
      <c r="HD52" s="120">
        <f t="shared" si="772"/>
        <v>0</v>
      </c>
      <c r="HE52" s="120">
        <f t="shared" si="772"/>
        <v>0</v>
      </c>
      <c r="HF52" s="120">
        <f t="shared" si="772"/>
        <v>9</v>
      </c>
      <c r="HG52" s="120">
        <f t="shared" si="772"/>
        <v>3</v>
      </c>
      <c r="HH52" s="120">
        <f t="shared" si="772"/>
        <v>1</v>
      </c>
      <c r="HI52" s="120">
        <f t="shared" si="772"/>
        <v>2</v>
      </c>
      <c r="HJ52" s="120">
        <f t="shared" si="772"/>
        <v>1</v>
      </c>
      <c r="HK52" s="120">
        <f t="shared" si="772"/>
        <v>1</v>
      </c>
      <c r="HL52" s="120">
        <f t="shared" si="772"/>
        <v>0</v>
      </c>
      <c r="HM52" s="120">
        <f t="shared" si="772"/>
        <v>0</v>
      </c>
      <c r="HN52" s="120">
        <f t="shared" si="772"/>
        <v>0</v>
      </c>
      <c r="HO52" s="120">
        <f t="shared" si="772"/>
        <v>0</v>
      </c>
      <c r="HP52" s="120">
        <f t="shared" si="772"/>
        <v>2</v>
      </c>
      <c r="HQ52" s="120">
        <f t="shared" si="772"/>
        <v>0</v>
      </c>
      <c r="HR52" s="120">
        <f t="shared" si="772"/>
        <v>1</v>
      </c>
      <c r="HS52" s="120">
        <f t="shared" si="772"/>
        <v>1</v>
      </c>
      <c r="HT52" s="120">
        <f t="shared" si="772"/>
        <v>0</v>
      </c>
      <c r="HU52" s="120">
        <f t="shared" si="772"/>
        <v>0</v>
      </c>
      <c r="HV52" s="120">
        <f t="shared" si="772"/>
        <v>3</v>
      </c>
      <c r="HW52" s="120">
        <f t="shared" si="772"/>
        <v>0</v>
      </c>
      <c r="HX52" s="120">
        <f t="shared" si="772"/>
        <v>2</v>
      </c>
      <c r="HY52" s="120">
        <f t="shared" si="772"/>
        <v>2</v>
      </c>
      <c r="HZ52" s="120">
        <f t="shared" si="772"/>
        <v>0</v>
      </c>
      <c r="IA52" s="120">
        <f t="shared" si="772"/>
        <v>0</v>
      </c>
      <c r="IB52" s="120">
        <f t="shared" si="772"/>
        <v>1</v>
      </c>
      <c r="IC52" s="120">
        <f t="shared" si="772"/>
        <v>1</v>
      </c>
      <c r="ID52" s="120">
        <f t="shared" si="772"/>
        <v>1</v>
      </c>
      <c r="IE52" s="120">
        <f t="shared" si="772"/>
        <v>0</v>
      </c>
      <c r="IF52" s="120">
        <f t="shared" si="772"/>
        <v>13</v>
      </c>
      <c r="IG52" s="120">
        <f t="shared" si="772"/>
        <v>33</v>
      </c>
      <c r="IH52" s="120">
        <f t="shared" si="772"/>
        <v>12</v>
      </c>
      <c r="II52" s="120">
        <f t="shared" si="772"/>
        <v>7</v>
      </c>
      <c r="IJ52" s="120">
        <f t="shared" si="772"/>
        <v>11</v>
      </c>
      <c r="IK52" s="120">
        <f t="shared" si="772"/>
        <v>1</v>
      </c>
      <c r="IL52" s="120">
        <f t="shared" si="772"/>
        <v>0</v>
      </c>
      <c r="IM52" s="120">
        <f t="shared" si="772"/>
        <v>0</v>
      </c>
      <c r="IN52" s="120">
        <f t="shared" si="772"/>
        <v>2</v>
      </c>
      <c r="IO52" s="120">
        <f t="shared" si="772"/>
        <v>2</v>
      </c>
      <c r="IP52" s="120">
        <f t="shared" si="772"/>
        <v>0</v>
      </c>
      <c r="IQ52" s="120">
        <f t="shared" si="772"/>
        <v>0</v>
      </c>
      <c r="IR52" s="120">
        <f t="shared" si="772"/>
        <v>0</v>
      </c>
      <c r="IS52" s="120">
        <f t="shared" si="772"/>
        <v>0</v>
      </c>
      <c r="IT52" s="120">
        <f t="shared" si="772"/>
        <v>0</v>
      </c>
      <c r="IU52" s="120">
        <f t="shared" si="772"/>
        <v>0</v>
      </c>
      <c r="IV52" s="120">
        <f t="shared" si="772"/>
        <v>0</v>
      </c>
      <c r="IW52" s="120">
        <f t="shared" si="772"/>
        <v>0</v>
      </c>
      <c r="IX52" s="120">
        <f t="shared" si="772"/>
        <v>0</v>
      </c>
      <c r="IY52" s="120">
        <f t="shared" si="772"/>
        <v>0</v>
      </c>
      <c r="IZ52" s="120">
        <f t="shared" si="772"/>
        <v>0</v>
      </c>
      <c r="JA52" s="120">
        <f t="shared" si="772"/>
        <v>0</v>
      </c>
      <c r="JB52" s="120">
        <f t="shared" ref="JB52:LM52" si="773">JB35+JB31+JB26+JB20+JB46+JB49+JB51</f>
        <v>11</v>
      </c>
      <c r="JC52" s="120">
        <f t="shared" si="773"/>
        <v>6</v>
      </c>
      <c r="JD52" s="120">
        <f t="shared" si="773"/>
        <v>0</v>
      </c>
      <c r="JE52" s="120">
        <f t="shared" si="773"/>
        <v>0</v>
      </c>
      <c r="JF52" s="120">
        <f t="shared" si="773"/>
        <v>0</v>
      </c>
      <c r="JG52" s="120">
        <f t="shared" si="773"/>
        <v>0</v>
      </c>
      <c r="JH52" s="120">
        <f t="shared" si="773"/>
        <v>1</v>
      </c>
      <c r="JI52" s="120">
        <f t="shared" si="773"/>
        <v>0</v>
      </c>
      <c r="JJ52" s="120">
        <f t="shared" si="773"/>
        <v>3</v>
      </c>
      <c r="JK52" s="120">
        <f t="shared" si="773"/>
        <v>0</v>
      </c>
      <c r="JL52" s="120">
        <f t="shared" si="773"/>
        <v>2</v>
      </c>
      <c r="JM52" s="120">
        <f t="shared" si="773"/>
        <v>0</v>
      </c>
      <c r="JN52" s="120">
        <f t="shared" si="773"/>
        <v>6</v>
      </c>
      <c r="JO52" s="120">
        <f t="shared" si="773"/>
        <v>2</v>
      </c>
      <c r="JP52" s="120">
        <f t="shared" si="773"/>
        <v>5</v>
      </c>
      <c r="JQ52" s="120">
        <f t="shared" si="773"/>
        <v>5</v>
      </c>
      <c r="JR52" s="120">
        <f t="shared" si="773"/>
        <v>3</v>
      </c>
      <c r="JS52" s="120">
        <f t="shared" si="773"/>
        <v>3</v>
      </c>
      <c r="JT52" s="120">
        <f t="shared" si="773"/>
        <v>5</v>
      </c>
      <c r="JU52" s="120">
        <f t="shared" si="773"/>
        <v>5</v>
      </c>
      <c r="JV52" s="120">
        <f t="shared" si="773"/>
        <v>0</v>
      </c>
      <c r="JW52" s="120">
        <f t="shared" si="773"/>
        <v>0</v>
      </c>
      <c r="JX52" s="120">
        <f t="shared" si="773"/>
        <v>0</v>
      </c>
      <c r="JY52" s="120">
        <f t="shared" si="773"/>
        <v>0</v>
      </c>
      <c r="JZ52" s="120">
        <f t="shared" si="773"/>
        <v>0</v>
      </c>
      <c r="KA52" s="120">
        <f t="shared" si="773"/>
        <v>0</v>
      </c>
      <c r="KB52" s="120">
        <f t="shared" si="773"/>
        <v>0</v>
      </c>
      <c r="KC52" s="120">
        <f t="shared" si="773"/>
        <v>0</v>
      </c>
      <c r="KD52" s="120">
        <f t="shared" si="773"/>
        <v>0</v>
      </c>
      <c r="KE52" s="120">
        <f t="shared" si="773"/>
        <v>2</v>
      </c>
      <c r="KF52" s="120">
        <f t="shared" si="773"/>
        <v>0</v>
      </c>
      <c r="KG52" s="120">
        <f t="shared" si="773"/>
        <v>0</v>
      </c>
      <c r="KH52" s="120">
        <f t="shared" si="773"/>
        <v>1</v>
      </c>
      <c r="KI52" s="120">
        <f t="shared" si="773"/>
        <v>4</v>
      </c>
      <c r="KJ52" s="120">
        <f t="shared" si="773"/>
        <v>0</v>
      </c>
      <c r="KK52" s="120">
        <f t="shared" si="773"/>
        <v>0</v>
      </c>
      <c r="KL52" s="120">
        <f t="shared" si="773"/>
        <v>0</v>
      </c>
      <c r="KM52" s="120">
        <f t="shared" si="773"/>
        <v>0</v>
      </c>
      <c r="KN52" s="120">
        <f t="shared" si="773"/>
        <v>46</v>
      </c>
      <c r="KO52" s="120">
        <f t="shared" si="773"/>
        <v>45</v>
      </c>
      <c r="KP52" s="120">
        <f t="shared" si="773"/>
        <v>0</v>
      </c>
      <c r="KQ52" s="120">
        <f t="shared" si="773"/>
        <v>0</v>
      </c>
      <c r="KR52" s="120">
        <f t="shared" si="773"/>
        <v>0</v>
      </c>
      <c r="KS52" s="120">
        <f t="shared" si="773"/>
        <v>0</v>
      </c>
      <c r="KT52" s="120">
        <f t="shared" si="773"/>
        <v>44</v>
      </c>
      <c r="KU52" s="120">
        <f t="shared" si="773"/>
        <v>47</v>
      </c>
      <c r="KV52" s="120">
        <f t="shared" si="773"/>
        <v>224</v>
      </c>
      <c r="KW52" s="120">
        <f t="shared" si="773"/>
        <v>235</v>
      </c>
      <c r="KX52" s="120">
        <f t="shared" si="773"/>
        <v>459</v>
      </c>
      <c r="KY52" s="120">
        <f t="shared" si="773"/>
        <v>203</v>
      </c>
      <c r="KZ52" s="120">
        <f t="shared" si="773"/>
        <v>215</v>
      </c>
      <c r="LA52" s="120">
        <f t="shared" si="773"/>
        <v>0</v>
      </c>
      <c r="LB52" s="120">
        <f t="shared" si="773"/>
        <v>0</v>
      </c>
      <c r="LC52" s="120">
        <f t="shared" si="773"/>
        <v>6</v>
      </c>
      <c r="LD52" s="120">
        <f t="shared" si="773"/>
        <v>3</v>
      </c>
      <c r="LE52" s="120">
        <f t="shared" si="773"/>
        <v>0</v>
      </c>
      <c r="LF52" s="120">
        <f t="shared" si="773"/>
        <v>0</v>
      </c>
      <c r="LG52" s="120">
        <f t="shared" si="773"/>
        <v>5</v>
      </c>
      <c r="LH52" s="120">
        <f t="shared" si="773"/>
        <v>0</v>
      </c>
      <c r="LI52" s="120">
        <f t="shared" si="773"/>
        <v>3</v>
      </c>
      <c r="LJ52" s="120">
        <f t="shared" si="773"/>
        <v>10</v>
      </c>
      <c r="LK52" s="120">
        <f t="shared" si="773"/>
        <v>0</v>
      </c>
      <c r="LL52" s="120">
        <f t="shared" si="773"/>
        <v>5</v>
      </c>
      <c r="LM52" s="120">
        <f t="shared" si="773"/>
        <v>0</v>
      </c>
      <c r="LN52" s="120">
        <f t="shared" ref="LN52:NY52" si="774">LN35+LN31+LN26+LN20+LN46+LN49+LN51</f>
        <v>0</v>
      </c>
      <c r="LO52" s="120">
        <f t="shared" si="774"/>
        <v>7</v>
      </c>
      <c r="LP52" s="120">
        <f t="shared" si="774"/>
        <v>2</v>
      </c>
      <c r="LQ52" s="120">
        <f t="shared" si="774"/>
        <v>224</v>
      </c>
      <c r="LR52" s="120">
        <f t="shared" si="774"/>
        <v>235</v>
      </c>
      <c r="LS52" s="120">
        <f t="shared" si="774"/>
        <v>459</v>
      </c>
      <c r="LT52" s="120">
        <f t="shared" si="774"/>
        <v>47</v>
      </c>
      <c r="LU52" s="120">
        <f t="shared" si="774"/>
        <v>61</v>
      </c>
      <c r="LV52" s="120">
        <f t="shared" si="774"/>
        <v>29</v>
      </c>
      <c r="LW52" s="120">
        <f t="shared" si="774"/>
        <v>16</v>
      </c>
      <c r="LX52" s="120">
        <f t="shared" si="774"/>
        <v>29</v>
      </c>
      <c r="LY52" s="120">
        <f t="shared" si="774"/>
        <v>27</v>
      </c>
      <c r="LZ52" s="120">
        <f t="shared" si="774"/>
        <v>119</v>
      </c>
      <c r="MA52" s="120">
        <f t="shared" si="774"/>
        <v>131</v>
      </c>
      <c r="MB52" s="120">
        <f t="shared" si="774"/>
        <v>224</v>
      </c>
      <c r="MC52" s="120">
        <f t="shared" si="774"/>
        <v>235</v>
      </c>
      <c r="MD52" s="120">
        <f t="shared" si="774"/>
        <v>459</v>
      </c>
      <c r="ME52" s="120">
        <f t="shared" si="774"/>
        <v>15</v>
      </c>
      <c r="MF52" s="120">
        <f t="shared" si="774"/>
        <v>11</v>
      </c>
      <c r="MG52" s="120">
        <f t="shared" si="774"/>
        <v>56</v>
      </c>
      <c r="MH52" s="120">
        <f t="shared" si="774"/>
        <v>71</v>
      </c>
      <c r="MI52" s="120">
        <f t="shared" si="774"/>
        <v>68</v>
      </c>
      <c r="MJ52" s="120">
        <f t="shared" si="774"/>
        <v>54</v>
      </c>
      <c r="MK52" s="120">
        <f t="shared" si="774"/>
        <v>69</v>
      </c>
      <c r="ML52" s="120">
        <f t="shared" si="774"/>
        <v>83</v>
      </c>
      <c r="MM52" s="120">
        <f t="shared" si="774"/>
        <v>16</v>
      </c>
      <c r="MN52" s="120">
        <f t="shared" si="774"/>
        <v>16</v>
      </c>
      <c r="MO52" s="120">
        <f t="shared" si="774"/>
        <v>224</v>
      </c>
      <c r="MP52" s="120">
        <f t="shared" si="774"/>
        <v>235</v>
      </c>
      <c r="MQ52" s="120">
        <f t="shared" si="774"/>
        <v>459</v>
      </c>
      <c r="MR52" s="120">
        <f t="shared" si="774"/>
        <v>12</v>
      </c>
      <c r="MS52" s="120">
        <f t="shared" si="774"/>
        <v>35</v>
      </c>
      <c r="MT52" s="120">
        <f t="shared" si="774"/>
        <v>209</v>
      </c>
      <c r="MU52" s="120">
        <f t="shared" si="774"/>
        <v>190</v>
      </c>
      <c r="MV52" s="120">
        <f t="shared" si="774"/>
        <v>1</v>
      </c>
      <c r="MW52" s="120">
        <f t="shared" si="774"/>
        <v>7</v>
      </c>
      <c r="MX52" s="120">
        <f t="shared" si="774"/>
        <v>2</v>
      </c>
      <c r="MY52" s="120">
        <f t="shared" si="774"/>
        <v>3</v>
      </c>
      <c r="MZ52" s="120">
        <f t="shared" si="774"/>
        <v>224</v>
      </c>
      <c r="NA52" s="120">
        <f t="shared" si="774"/>
        <v>235</v>
      </c>
      <c r="NB52" s="120">
        <f t="shared" si="774"/>
        <v>459</v>
      </c>
      <c r="NC52" s="120">
        <f t="shared" si="774"/>
        <v>63</v>
      </c>
      <c r="ND52" s="120">
        <f t="shared" si="774"/>
        <v>23</v>
      </c>
      <c r="NE52" s="120">
        <f t="shared" si="774"/>
        <v>4</v>
      </c>
      <c r="NF52" s="120">
        <f t="shared" si="774"/>
        <v>1</v>
      </c>
      <c r="NG52" s="120">
        <f t="shared" si="774"/>
        <v>3</v>
      </c>
      <c r="NH52" s="120">
        <f t="shared" si="774"/>
        <v>2</v>
      </c>
      <c r="NI52" s="120">
        <f t="shared" si="774"/>
        <v>47</v>
      </c>
      <c r="NJ52" s="120">
        <f t="shared" si="774"/>
        <v>62</v>
      </c>
      <c r="NK52" s="120">
        <f t="shared" si="774"/>
        <v>102</v>
      </c>
      <c r="NL52" s="120">
        <f t="shared" si="774"/>
        <v>98</v>
      </c>
      <c r="NM52" s="120">
        <f t="shared" si="774"/>
        <v>34</v>
      </c>
      <c r="NN52" s="120">
        <f t="shared" si="774"/>
        <v>58</v>
      </c>
      <c r="NO52" s="120">
        <f t="shared" si="774"/>
        <v>0</v>
      </c>
      <c r="NP52" s="120">
        <f t="shared" si="774"/>
        <v>0</v>
      </c>
      <c r="NQ52" s="120">
        <f t="shared" si="774"/>
        <v>26</v>
      </c>
      <c r="NR52" s="120">
        <f t="shared" si="774"/>
        <v>14</v>
      </c>
      <c r="NS52" s="120">
        <f t="shared" si="774"/>
        <v>8</v>
      </c>
      <c r="NT52" s="120">
        <f t="shared" si="774"/>
        <v>0</v>
      </c>
      <c r="NU52" s="120">
        <f t="shared" si="774"/>
        <v>0</v>
      </c>
      <c r="NV52" s="120">
        <f t="shared" si="774"/>
        <v>0</v>
      </c>
      <c r="NW52" s="120">
        <f t="shared" si="774"/>
        <v>224</v>
      </c>
      <c r="NX52" s="120">
        <f t="shared" si="774"/>
        <v>235</v>
      </c>
      <c r="NY52" s="120">
        <f t="shared" si="774"/>
        <v>459</v>
      </c>
      <c r="NZ52" s="120">
        <f t="shared" ref="NZ52:QK52" si="775">NZ35+NZ31+NZ26+NZ20+NZ46+NZ49+NZ51</f>
        <v>0</v>
      </c>
      <c r="OA52" s="120">
        <f t="shared" si="775"/>
        <v>0</v>
      </c>
      <c r="OB52" s="120">
        <f t="shared" si="775"/>
        <v>1</v>
      </c>
      <c r="OC52" s="120">
        <f t="shared" si="775"/>
        <v>0</v>
      </c>
      <c r="OD52" s="120">
        <f t="shared" si="775"/>
        <v>0</v>
      </c>
      <c r="OE52" s="120">
        <f t="shared" si="775"/>
        <v>0</v>
      </c>
      <c r="OF52" s="120">
        <f t="shared" si="775"/>
        <v>1</v>
      </c>
      <c r="OG52" s="120">
        <f t="shared" si="775"/>
        <v>0</v>
      </c>
      <c r="OH52" s="120">
        <f t="shared" si="775"/>
        <v>1</v>
      </c>
      <c r="OI52" s="120">
        <f t="shared" si="775"/>
        <v>1</v>
      </c>
      <c r="OJ52" s="120">
        <f t="shared" si="775"/>
        <v>12</v>
      </c>
      <c r="OK52" s="120">
        <f t="shared" si="775"/>
        <v>13</v>
      </c>
      <c r="OL52" s="120">
        <f t="shared" si="775"/>
        <v>0</v>
      </c>
      <c r="OM52" s="120">
        <f t="shared" si="775"/>
        <v>3</v>
      </c>
      <c r="ON52" s="120">
        <f t="shared" si="775"/>
        <v>10</v>
      </c>
      <c r="OO52" s="120">
        <f t="shared" si="775"/>
        <v>1</v>
      </c>
      <c r="OP52" s="120">
        <f t="shared" si="775"/>
        <v>12</v>
      </c>
      <c r="OQ52" s="120">
        <f t="shared" si="775"/>
        <v>0</v>
      </c>
      <c r="OR52" s="120">
        <f t="shared" si="775"/>
        <v>0</v>
      </c>
      <c r="OS52" s="120">
        <f t="shared" si="775"/>
        <v>0</v>
      </c>
      <c r="OT52" s="120">
        <f t="shared" si="775"/>
        <v>2</v>
      </c>
      <c r="OU52" s="120">
        <f t="shared" si="775"/>
        <v>11</v>
      </c>
      <c r="OV52" s="120">
        <f t="shared" si="775"/>
        <v>0</v>
      </c>
      <c r="OW52" s="120">
        <f t="shared" si="775"/>
        <v>2024</v>
      </c>
      <c r="OX52" s="120">
        <f t="shared" si="775"/>
        <v>30</v>
      </c>
      <c r="OY52" s="120">
        <f t="shared" si="775"/>
        <v>0</v>
      </c>
      <c r="OZ52" s="120">
        <f t="shared" si="775"/>
        <v>4</v>
      </c>
      <c r="PA52" s="120">
        <f t="shared" si="775"/>
        <v>7</v>
      </c>
      <c r="PB52" s="120">
        <f t="shared" si="775"/>
        <v>2</v>
      </c>
      <c r="PC52" s="120">
        <f t="shared" si="775"/>
        <v>3</v>
      </c>
      <c r="PD52" s="120">
        <f t="shared" si="775"/>
        <v>6</v>
      </c>
      <c r="PE52" s="120">
        <f t="shared" si="775"/>
        <v>0</v>
      </c>
      <c r="PF52" s="120">
        <f t="shared" si="775"/>
        <v>1</v>
      </c>
      <c r="PG52" s="120">
        <f t="shared" si="775"/>
        <v>1</v>
      </c>
      <c r="PH52" s="120">
        <f t="shared" si="775"/>
        <v>3</v>
      </c>
      <c r="PI52" s="120">
        <f t="shared" si="775"/>
        <v>6</v>
      </c>
      <c r="PJ52" s="120">
        <f t="shared" si="775"/>
        <v>7</v>
      </c>
      <c r="PK52" s="120">
        <f t="shared" si="775"/>
        <v>4</v>
      </c>
      <c r="PL52" s="120">
        <f t="shared" si="775"/>
        <v>47</v>
      </c>
      <c r="PM52" s="120">
        <f t="shared" si="775"/>
        <v>220</v>
      </c>
      <c r="PN52" s="120">
        <f t="shared" si="775"/>
        <v>74</v>
      </c>
      <c r="PO52" s="120">
        <f t="shared" si="775"/>
        <v>256</v>
      </c>
      <c r="PP52" s="120">
        <f t="shared" si="775"/>
        <v>10</v>
      </c>
      <c r="PQ52" s="120">
        <f t="shared" si="775"/>
        <v>0</v>
      </c>
      <c r="PR52" s="120">
        <f t="shared" si="775"/>
        <v>0</v>
      </c>
      <c r="PS52" s="120">
        <f t="shared" si="775"/>
        <v>1</v>
      </c>
      <c r="PT52" s="120">
        <f t="shared" si="775"/>
        <v>0</v>
      </c>
      <c r="PU52" s="120">
        <f t="shared" si="775"/>
        <v>0</v>
      </c>
      <c r="PV52" s="120">
        <f t="shared" si="775"/>
        <v>11</v>
      </c>
      <c r="PW52" s="120">
        <f t="shared" si="775"/>
        <v>0</v>
      </c>
      <c r="PX52" s="120">
        <f t="shared" si="775"/>
        <v>9</v>
      </c>
      <c r="PY52" s="120">
        <f t="shared" si="775"/>
        <v>2</v>
      </c>
      <c r="PZ52" s="120">
        <f t="shared" si="775"/>
        <v>7</v>
      </c>
      <c r="QA52" s="120">
        <f t="shared" si="775"/>
        <v>4</v>
      </c>
      <c r="QB52" s="120">
        <f t="shared" si="775"/>
        <v>11</v>
      </c>
      <c r="QC52" s="120">
        <f t="shared" si="775"/>
        <v>0</v>
      </c>
      <c r="QD52" s="120">
        <f t="shared" si="775"/>
        <v>11</v>
      </c>
      <c r="QE52" s="120">
        <f t="shared" si="775"/>
        <v>0</v>
      </c>
      <c r="QF52" s="120">
        <f t="shared" si="775"/>
        <v>0</v>
      </c>
      <c r="QG52" s="120">
        <f t="shared" si="775"/>
        <v>0</v>
      </c>
      <c r="QH52" s="120">
        <f t="shared" si="775"/>
        <v>0</v>
      </c>
      <c r="QI52" s="120">
        <f t="shared" si="775"/>
        <v>11</v>
      </c>
      <c r="QJ52" s="120">
        <f t="shared" si="775"/>
        <v>0</v>
      </c>
      <c r="QK52" s="120">
        <f t="shared" si="775"/>
        <v>4</v>
      </c>
      <c r="QL52" s="120">
        <f t="shared" ref="QL52:SP52" si="776">QL35+QL31+QL26+QL20+QL46+QL49+QL51</f>
        <v>7</v>
      </c>
      <c r="QM52" s="120">
        <f t="shared" si="776"/>
        <v>11</v>
      </c>
      <c r="QN52" s="120">
        <f t="shared" si="776"/>
        <v>0</v>
      </c>
      <c r="QO52" s="120">
        <f t="shared" si="776"/>
        <v>11</v>
      </c>
      <c r="QP52" s="120">
        <f t="shared" si="776"/>
        <v>0</v>
      </c>
      <c r="QQ52" s="120">
        <f t="shared" si="776"/>
        <v>0</v>
      </c>
      <c r="QR52" s="120">
        <f t="shared" si="776"/>
        <v>7</v>
      </c>
      <c r="QS52" s="120">
        <f t="shared" si="776"/>
        <v>3</v>
      </c>
      <c r="QT52" s="120">
        <f t="shared" si="776"/>
        <v>1</v>
      </c>
      <c r="QU52" s="120">
        <f t="shared" si="776"/>
        <v>9</v>
      </c>
      <c r="QV52" s="120">
        <f t="shared" si="776"/>
        <v>2</v>
      </c>
      <c r="QW52" s="120">
        <f t="shared" si="776"/>
        <v>1</v>
      </c>
      <c r="QX52" s="120">
        <f t="shared" si="776"/>
        <v>1</v>
      </c>
      <c r="QY52" s="120">
        <f t="shared" si="776"/>
        <v>3</v>
      </c>
      <c r="QZ52" s="120">
        <f t="shared" si="776"/>
        <v>4</v>
      </c>
      <c r="RA52" s="120">
        <f t="shared" si="776"/>
        <v>2</v>
      </c>
      <c r="RB52" s="120">
        <f t="shared" si="776"/>
        <v>10</v>
      </c>
      <c r="RC52" s="120">
        <f t="shared" si="776"/>
        <v>1</v>
      </c>
      <c r="RD52" s="120">
        <f t="shared" si="776"/>
        <v>8</v>
      </c>
      <c r="RE52" s="120">
        <f t="shared" si="776"/>
        <v>3</v>
      </c>
      <c r="RF52" s="120">
        <f t="shared" si="776"/>
        <v>7</v>
      </c>
      <c r="RG52" s="120">
        <f t="shared" si="776"/>
        <v>4</v>
      </c>
      <c r="RH52" s="120">
        <f t="shared" si="776"/>
        <v>0</v>
      </c>
      <c r="RI52" s="120">
        <f t="shared" si="776"/>
        <v>8</v>
      </c>
      <c r="RJ52" s="120">
        <f t="shared" si="776"/>
        <v>3</v>
      </c>
      <c r="RK52" s="120">
        <f t="shared" si="776"/>
        <v>0</v>
      </c>
      <c r="RL52" s="120">
        <f t="shared" si="776"/>
        <v>7</v>
      </c>
      <c r="RM52" s="120">
        <f t="shared" si="776"/>
        <v>4</v>
      </c>
      <c r="RN52" s="120">
        <f t="shared" si="776"/>
        <v>0</v>
      </c>
      <c r="RO52" s="120">
        <f t="shared" si="776"/>
        <v>280</v>
      </c>
      <c r="RP52" s="120">
        <f t="shared" si="776"/>
        <v>0</v>
      </c>
      <c r="RQ52" s="120">
        <f t="shared" si="776"/>
        <v>0</v>
      </c>
      <c r="RR52" s="120">
        <f t="shared" si="776"/>
        <v>0</v>
      </c>
      <c r="RS52" s="120">
        <f t="shared" si="776"/>
        <v>20</v>
      </c>
      <c r="RT52" s="120">
        <f t="shared" si="776"/>
        <v>0</v>
      </c>
      <c r="RU52" s="120">
        <f t="shared" si="776"/>
        <v>105</v>
      </c>
      <c r="RV52" s="120">
        <f t="shared" si="776"/>
        <v>59</v>
      </c>
      <c r="RW52" s="120">
        <f t="shared" si="776"/>
        <v>24</v>
      </c>
      <c r="RX52" s="120">
        <f t="shared" si="776"/>
        <v>5</v>
      </c>
      <c r="RY52" s="120">
        <f t="shared" si="776"/>
        <v>9</v>
      </c>
      <c r="RZ52" s="120">
        <f t="shared" si="776"/>
        <v>4</v>
      </c>
      <c r="SA52" s="120">
        <f t="shared" si="776"/>
        <v>3</v>
      </c>
      <c r="SB52" s="120">
        <f t="shared" si="776"/>
        <v>10</v>
      </c>
      <c r="SC52" s="120">
        <f t="shared" si="776"/>
        <v>0</v>
      </c>
      <c r="SD52" s="120">
        <f t="shared" si="776"/>
        <v>0</v>
      </c>
      <c r="SE52" s="120">
        <f t="shared" si="776"/>
        <v>3</v>
      </c>
      <c r="SF52" s="120">
        <f t="shared" si="776"/>
        <v>0</v>
      </c>
      <c r="SG52" s="120">
        <f t="shared" si="776"/>
        <v>0</v>
      </c>
      <c r="SH52" s="120">
        <f t="shared" si="776"/>
        <v>0</v>
      </c>
      <c r="SI52" s="120">
        <f t="shared" si="776"/>
        <v>2</v>
      </c>
      <c r="SJ52" s="120">
        <f t="shared" si="776"/>
        <v>0</v>
      </c>
      <c r="SK52" s="120">
        <f t="shared" si="776"/>
        <v>1</v>
      </c>
      <c r="SL52" s="120">
        <f t="shared" si="776"/>
        <v>452</v>
      </c>
      <c r="SM52" s="120">
        <f t="shared" si="776"/>
        <v>60</v>
      </c>
      <c r="SN52" s="120">
        <f t="shared" si="776"/>
        <v>512</v>
      </c>
      <c r="SO52" s="120">
        <f t="shared" si="776"/>
        <v>26</v>
      </c>
      <c r="SP52" s="120">
        <f t="shared" si="776"/>
        <v>26</v>
      </c>
      <c r="SQ52" s="120"/>
      <c r="SR52" s="120"/>
      <c r="SS52" s="179"/>
    </row>
    <row r="54" spans="1:513" s="123" customFormat="1" ht="20.25" customHeight="1">
      <c r="A54" s="310" t="s">
        <v>471</v>
      </c>
      <c r="B54" s="311"/>
      <c r="C54" s="311"/>
      <c r="D54" s="311"/>
      <c r="E54" s="312"/>
      <c r="F54" s="122">
        <f>SUM(F36:F42)+F34+F26+F12+F49+F29+F51</f>
        <v>8</v>
      </c>
      <c r="G54" s="122">
        <f t="shared" ref="F54:BQ54" si="777">SUM(G36:G42)+G34+G26+G12+G49+G29+G51</f>
        <v>2</v>
      </c>
      <c r="H54" s="122">
        <f t="shared" si="777"/>
        <v>0</v>
      </c>
      <c r="I54" s="122">
        <f t="shared" si="777"/>
        <v>10</v>
      </c>
      <c r="J54" s="122">
        <f t="shared" si="777"/>
        <v>0</v>
      </c>
      <c r="K54" s="122">
        <f t="shared" si="777"/>
        <v>8</v>
      </c>
      <c r="L54" s="122">
        <f t="shared" si="777"/>
        <v>1</v>
      </c>
      <c r="M54" s="122">
        <f t="shared" si="777"/>
        <v>0</v>
      </c>
      <c r="N54" s="122">
        <f t="shared" si="777"/>
        <v>1</v>
      </c>
      <c r="O54" s="122">
        <f t="shared" si="777"/>
        <v>8</v>
      </c>
      <c r="P54" s="122">
        <f t="shared" si="777"/>
        <v>2</v>
      </c>
      <c r="Q54" s="122">
        <f t="shared" si="777"/>
        <v>6</v>
      </c>
      <c r="R54" s="122">
        <f t="shared" si="777"/>
        <v>0</v>
      </c>
      <c r="S54" s="122">
        <f t="shared" si="777"/>
        <v>4</v>
      </c>
      <c r="T54" s="122">
        <f t="shared" si="777"/>
        <v>0</v>
      </c>
      <c r="U54" s="122">
        <f t="shared" si="777"/>
        <v>1</v>
      </c>
      <c r="V54" s="122">
        <f t="shared" si="777"/>
        <v>481</v>
      </c>
      <c r="W54" s="122">
        <f t="shared" si="777"/>
        <v>248</v>
      </c>
      <c r="X54" s="122">
        <f t="shared" si="777"/>
        <v>422</v>
      </c>
      <c r="Y54" s="122">
        <f t="shared" si="777"/>
        <v>228</v>
      </c>
      <c r="Z54" s="122">
        <f t="shared" si="777"/>
        <v>394</v>
      </c>
      <c r="AA54" s="122">
        <f t="shared" si="777"/>
        <v>175</v>
      </c>
      <c r="AB54" s="122">
        <f t="shared" si="777"/>
        <v>255</v>
      </c>
      <c r="AC54" s="122">
        <f t="shared" si="777"/>
        <v>98</v>
      </c>
      <c r="AD54" s="122">
        <f t="shared" si="777"/>
        <v>146</v>
      </c>
      <c r="AE54" s="122">
        <f t="shared" si="777"/>
        <v>126</v>
      </c>
      <c r="AF54" s="122">
        <f t="shared" si="777"/>
        <v>1698</v>
      </c>
      <c r="AG54" s="122">
        <f t="shared" si="777"/>
        <v>875</v>
      </c>
      <c r="AH54" s="122">
        <f t="shared" si="777"/>
        <v>2573</v>
      </c>
      <c r="AI54" s="122">
        <f t="shared" si="777"/>
        <v>481</v>
      </c>
      <c r="AJ54" s="122">
        <f t="shared" si="777"/>
        <v>248</v>
      </c>
      <c r="AK54" s="122">
        <f t="shared" si="777"/>
        <v>427</v>
      </c>
      <c r="AL54" s="122">
        <f t="shared" si="777"/>
        <v>228</v>
      </c>
      <c r="AM54" s="122">
        <f t="shared" si="777"/>
        <v>409</v>
      </c>
      <c r="AN54" s="122">
        <f t="shared" si="777"/>
        <v>175</v>
      </c>
      <c r="AO54" s="122">
        <f t="shared" si="777"/>
        <v>269</v>
      </c>
      <c r="AP54" s="122">
        <f t="shared" si="777"/>
        <v>98</v>
      </c>
      <c r="AQ54" s="122">
        <f t="shared" si="777"/>
        <v>194</v>
      </c>
      <c r="AR54" s="122">
        <f t="shared" si="777"/>
        <v>126</v>
      </c>
      <c r="AS54" s="122">
        <f t="shared" si="777"/>
        <v>1780</v>
      </c>
      <c r="AT54" s="122">
        <f t="shared" si="777"/>
        <v>875</v>
      </c>
      <c r="AU54" s="122">
        <f t="shared" si="777"/>
        <v>2655</v>
      </c>
      <c r="AV54" s="122">
        <f t="shared" si="777"/>
        <v>223</v>
      </c>
      <c r="AW54" s="122">
        <f t="shared" si="777"/>
        <v>120</v>
      </c>
      <c r="AX54" s="122">
        <f t="shared" si="777"/>
        <v>211</v>
      </c>
      <c r="AY54" s="122">
        <f t="shared" si="777"/>
        <v>89</v>
      </c>
      <c r="AZ54" s="122">
        <f t="shared" si="777"/>
        <v>263</v>
      </c>
      <c r="BA54" s="122">
        <f t="shared" si="777"/>
        <v>110</v>
      </c>
      <c r="BB54" s="122">
        <f t="shared" si="777"/>
        <v>161</v>
      </c>
      <c r="BC54" s="122">
        <f t="shared" si="777"/>
        <v>84</v>
      </c>
      <c r="BD54" s="122">
        <f t="shared" si="777"/>
        <v>92</v>
      </c>
      <c r="BE54" s="122">
        <f t="shared" si="777"/>
        <v>101</v>
      </c>
      <c r="BF54" s="122">
        <f t="shared" si="777"/>
        <v>950</v>
      </c>
      <c r="BG54" s="122">
        <f t="shared" si="777"/>
        <v>504</v>
      </c>
      <c r="BH54" s="122">
        <f t="shared" si="777"/>
        <v>1454</v>
      </c>
      <c r="BI54" s="122">
        <f t="shared" si="777"/>
        <v>103</v>
      </c>
      <c r="BJ54" s="122">
        <f t="shared" si="777"/>
        <v>70</v>
      </c>
      <c r="BK54" s="122">
        <f t="shared" si="777"/>
        <v>188</v>
      </c>
      <c r="BL54" s="122">
        <f t="shared" si="777"/>
        <v>76</v>
      </c>
      <c r="BM54" s="122">
        <f t="shared" si="777"/>
        <v>305</v>
      </c>
      <c r="BN54" s="122">
        <f t="shared" si="777"/>
        <v>74</v>
      </c>
      <c r="BO54" s="122">
        <f t="shared" si="777"/>
        <v>408</v>
      </c>
      <c r="BP54" s="122">
        <f t="shared" si="777"/>
        <v>81</v>
      </c>
      <c r="BQ54" s="122">
        <f t="shared" si="777"/>
        <v>195</v>
      </c>
      <c r="BR54" s="122">
        <f t="shared" ref="BR54:EC54" si="778">SUM(BR36:BR42)+BR34+BR26+BR12+BR49+BR29+BR51</f>
        <v>56</v>
      </c>
      <c r="BS54" s="122">
        <f t="shared" si="778"/>
        <v>1199</v>
      </c>
      <c r="BT54" s="122">
        <f t="shared" si="778"/>
        <v>357</v>
      </c>
      <c r="BU54" s="122">
        <f t="shared" si="778"/>
        <v>1556</v>
      </c>
      <c r="BV54" s="122">
        <f t="shared" si="778"/>
        <v>481</v>
      </c>
      <c r="BW54" s="122">
        <f t="shared" si="778"/>
        <v>248</v>
      </c>
      <c r="BX54" s="122">
        <f t="shared" si="778"/>
        <v>650</v>
      </c>
      <c r="BY54" s="122">
        <f t="shared" si="778"/>
        <v>348</v>
      </c>
      <c r="BZ54" s="122">
        <f t="shared" si="778"/>
        <v>723</v>
      </c>
      <c r="CA54" s="122">
        <f t="shared" si="778"/>
        <v>334</v>
      </c>
      <c r="CB54" s="122">
        <f t="shared" si="778"/>
        <v>720</v>
      </c>
      <c r="CC54" s="122">
        <f t="shared" si="778"/>
        <v>284</v>
      </c>
      <c r="CD54" s="122">
        <f t="shared" si="778"/>
        <v>660</v>
      </c>
      <c r="CE54" s="122">
        <f t="shared" si="778"/>
        <v>284</v>
      </c>
      <c r="CF54" s="122">
        <f t="shared" si="778"/>
        <v>500</v>
      </c>
      <c r="CG54" s="122">
        <f t="shared" si="778"/>
        <v>182</v>
      </c>
      <c r="CH54" s="122">
        <f t="shared" si="778"/>
        <v>195</v>
      </c>
      <c r="CI54" s="122">
        <f t="shared" si="778"/>
        <v>56</v>
      </c>
      <c r="CJ54" s="122">
        <f t="shared" si="778"/>
        <v>3929</v>
      </c>
      <c r="CK54" s="122">
        <f t="shared" si="778"/>
        <v>1736</v>
      </c>
      <c r="CL54" s="122">
        <f t="shared" si="778"/>
        <v>5665</v>
      </c>
      <c r="CM54" s="122">
        <f t="shared" si="778"/>
        <v>39</v>
      </c>
      <c r="CN54" s="122">
        <f t="shared" si="778"/>
        <v>22</v>
      </c>
      <c r="CO54" s="122">
        <f t="shared" si="778"/>
        <v>0</v>
      </c>
      <c r="CP54" s="122">
        <f t="shared" si="778"/>
        <v>35</v>
      </c>
      <c r="CQ54" s="122">
        <f t="shared" si="778"/>
        <v>14</v>
      </c>
      <c r="CR54" s="122">
        <f t="shared" si="778"/>
        <v>0</v>
      </c>
      <c r="CS54" s="122">
        <f t="shared" si="778"/>
        <v>33</v>
      </c>
      <c r="CT54" s="122">
        <f t="shared" si="778"/>
        <v>11</v>
      </c>
      <c r="CU54" s="122">
        <f t="shared" si="778"/>
        <v>0</v>
      </c>
      <c r="CV54" s="122">
        <f t="shared" si="778"/>
        <v>107</v>
      </c>
      <c r="CW54" s="122">
        <f t="shared" si="778"/>
        <v>47</v>
      </c>
      <c r="CX54" s="122">
        <f t="shared" si="778"/>
        <v>0</v>
      </c>
      <c r="CY54" s="122">
        <f t="shared" si="778"/>
        <v>154</v>
      </c>
      <c r="CZ54" s="122">
        <f t="shared" si="778"/>
        <v>35</v>
      </c>
      <c r="DA54" s="122">
        <f t="shared" si="778"/>
        <v>12</v>
      </c>
      <c r="DB54" s="122">
        <f t="shared" si="778"/>
        <v>15</v>
      </c>
      <c r="DC54" s="122">
        <f t="shared" si="778"/>
        <v>14</v>
      </c>
      <c r="DD54" s="122">
        <f t="shared" si="778"/>
        <v>21</v>
      </c>
      <c r="DE54" s="122">
        <f t="shared" si="778"/>
        <v>6</v>
      </c>
      <c r="DF54" s="122">
        <f t="shared" si="778"/>
        <v>71</v>
      </c>
      <c r="DG54" s="122">
        <f t="shared" si="778"/>
        <v>32</v>
      </c>
      <c r="DH54" s="122">
        <f t="shared" si="778"/>
        <v>103</v>
      </c>
      <c r="DI54" s="122">
        <f t="shared" si="778"/>
        <v>0</v>
      </c>
      <c r="DJ54" s="122">
        <f t="shared" si="778"/>
        <v>0</v>
      </c>
      <c r="DK54" s="122">
        <f t="shared" si="778"/>
        <v>0</v>
      </c>
      <c r="DL54" s="122">
        <f t="shared" si="778"/>
        <v>0</v>
      </c>
      <c r="DM54" s="122">
        <f t="shared" si="778"/>
        <v>0</v>
      </c>
      <c r="DN54" s="122">
        <f t="shared" si="778"/>
        <v>0</v>
      </c>
      <c r="DO54" s="122">
        <f t="shared" si="778"/>
        <v>0</v>
      </c>
      <c r="DP54" s="122">
        <f t="shared" si="778"/>
        <v>0</v>
      </c>
      <c r="DQ54" s="122">
        <f t="shared" si="778"/>
        <v>0</v>
      </c>
      <c r="DR54" s="122">
        <f t="shared" si="778"/>
        <v>827</v>
      </c>
      <c r="DS54" s="122">
        <f t="shared" si="778"/>
        <v>451</v>
      </c>
      <c r="DT54" s="122">
        <f t="shared" si="778"/>
        <v>399</v>
      </c>
      <c r="DU54" s="122">
        <f t="shared" si="778"/>
        <v>272</v>
      </c>
      <c r="DV54" s="122">
        <f t="shared" si="778"/>
        <v>607</v>
      </c>
      <c r="DW54" s="122">
        <f t="shared" si="778"/>
        <v>303</v>
      </c>
      <c r="DX54" s="122">
        <f t="shared" si="778"/>
        <v>1833</v>
      </c>
      <c r="DY54" s="122">
        <f t="shared" si="778"/>
        <v>1026</v>
      </c>
      <c r="DZ54" s="122">
        <f t="shared" si="778"/>
        <v>2859</v>
      </c>
      <c r="EA54" s="122">
        <f t="shared" si="778"/>
        <v>118</v>
      </c>
      <c r="EB54" s="122">
        <f t="shared" si="778"/>
        <v>36</v>
      </c>
      <c r="EC54" s="122">
        <f t="shared" si="778"/>
        <v>36</v>
      </c>
      <c r="ED54" s="122">
        <f t="shared" ref="ED54:GO54" si="779">SUM(ED36:ED42)+ED34+ED26+ED12+ED49+ED29+ED51</f>
        <v>12</v>
      </c>
      <c r="EE54" s="122">
        <f t="shared" si="779"/>
        <v>192</v>
      </c>
      <c r="EF54" s="122">
        <f t="shared" si="779"/>
        <v>19</v>
      </c>
      <c r="EG54" s="122">
        <f t="shared" si="779"/>
        <v>346</v>
      </c>
      <c r="EH54" s="122">
        <f t="shared" si="779"/>
        <v>67</v>
      </c>
      <c r="EI54" s="122">
        <f t="shared" si="779"/>
        <v>413</v>
      </c>
      <c r="EJ54" s="122">
        <f t="shared" si="779"/>
        <v>44</v>
      </c>
      <c r="EK54" s="122">
        <f t="shared" si="779"/>
        <v>16</v>
      </c>
      <c r="EL54" s="122">
        <f t="shared" si="779"/>
        <v>14</v>
      </c>
      <c r="EM54" s="122">
        <f t="shared" si="779"/>
        <v>11</v>
      </c>
      <c r="EN54" s="122">
        <f t="shared" si="779"/>
        <v>36</v>
      </c>
      <c r="EO54" s="122">
        <f t="shared" si="779"/>
        <v>1</v>
      </c>
      <c r="EP54" s="122">
        <f t="shared" si="779"/>
        <v>94</v>
      </c>
      <c r="EQ54" s="122">
        <f t="shared" si="779"/>
        <v>28</v>
      </c>
      <c r="ER54" s="122">
        <f t="shared" si="779"/>
        <v>122</v>
      </c>
      <c r="ES54" s="122">
        <f t="shared" si="779"/>
        <v>0</v>
      </c>
      <c r="ET54" s="122">
        <f t="shared" si="779"/>
        <v>0</v>
      </c>
      <c r="EU54" s="122">
        <f t="shared" si="779"/>
        <v>0</v>
      </c>
      <c r="EV54" s="122">
        <f t="shared" si="779"/>
        <v>0</v>
      </c>
      <c r="EW54" s="122">
        <f t="shared" si="779"/>
        <v>43</v>
      </c>
      <c r="EX54" s="122">
        <f t="shared" si="779"/>
        <v>2</v>
      </c>
      <c r="EY54" s="122">
        <f t="shared" si="779"/>
        <v>72</v>
      </c>
      <c r="EZ54" s="122">
        <f t="shared" si="779"/>
        <v>2</v>
      </c>
      <c r="FA54" s="122">
        <f t="shared" si="779"/>
        <v>74</v>
      </c>
      <c r="FB54" s="122">
        <f t="shared" si="779"/>
        <v>8</v>
      </c>
      <c r="FC54" s="122">
        <f t="shared" si="779"/>
        <v>2</v>
      </c>
      <c r="FD54" s="122">
        <f t="shared" si="779"/>
        <v>12</v>
      </c>
      <c r="FE54" s="122">
        <f t="shared" si="779"/>
        <v>8</v>
      </c>
      <c r="FF54" s="122">
        <f t="shared" si="779"/>
        <v>88</v>
      </c>
      <c r="FG54" s="122">
        <f t="shared" si="779"/>
        <v>101</v>
      </c>
      <c r="FH54" s="122">
        <f t="shared" si="779"/>
        <v>33</v>
      </c>
      <c r="FI54" s="122">
        <f t="shared" si="779"/>
        <v>47</v>
      </c>
      <c r="FJ54" s="122">
        <f t="shared" si="779"/>
        <v>0</v>
      </c>
      <c r="FK54" s="122">
        <f t="shared" si="779"/>
        <v>0</v>
      </c>
      <c r="FL54" s="122">
        <f t="shared" si="779"/>
        <v>141</v>
      </c>
      <c r="FM54" s="122">
        <f t="shared" si="779"/>
        <v>158</v>
      </c>
      <c r="FN54" s="122">
        <f t="shared" si="779"/>
        <v>299</v>
      </c>
      <c r="FO54" s="122">
        <f t="shared" si="779"/>
        <v>10</v>
      </c>
      <c r="FP54" s="122">
        <f t="shared" si="779"/>
        <v>13</v>
      </c>
      <c r="FQ54" s="122">
        <f t="shared" si="779"/>
        <v>1</v>
      </c>
      <c r="FR54" s="122">
        <f t="shared" si="779"/>
        <v>4</v>
      </c>
      <c r="FS54" s="122">
        <f t="shared" si="779"/>
        <v>1</v>
      </c>
      <c r="FT54" s="122">
        <f t="shared" si="779"/>
        <v>0</v>
      </c>
      <c r="FU54" s="122">
        <f t="shared" si="779"/>
        <v>0</v>
      </c>
      <c r="FV54" s="122">
        <f t="shared" si="779"/>
        <v>0</v>
      </c>
      <c r="FW54" s="122">
        <f t="shared" si="779"/>
        <v>7</v>
      </c>
      <c r="FX54" s="122">
        <f t="shared" si="779"/>
        <v>4</v>
      </c>
      <c r="FY54" s="122">
        <f t="shared" si="779"/>
        <v>3</v>
      </c>
      <c r="FZ54" s="122">
        <f t="shared" si="779"/>
        <v>0</v>
      </c>
      <c r="GA54" s="122">
        <f t="shared" si="779"/>
        <v>0</v>
      </c>
      <c r="GB54" s="122">
        <f t="shared" si="779"/>
        <v>0</v>
      </c>
      <c r="GC54" s="122">
        <f t="shared" si="779"/>
        <v>0</v>
      </c>
      <c r="GD54" s="122">
        <f t="shared" si="779"/>
        <v>0</v>
      </c>
      <c r="GE54" s="122">
        <f t="shared" si="779"/>
        <v>0</v>
      </c>
      <c r="GF54" s="122">
        <f t="shared" si="779"/>
        <v>0</v>
      </c>
      <c r="GG54" s="122">
        <f t="shared" si="779"/>
        <v>22</v>
      </c>
      <c r="GH54" s="122">
        <f t="shared" si="779"/>
        <v>21</v>
      </c>
      <c r="GI54" s="122">
        <f t="shared" si="779"/>
        <v>43</v>
      </c>
      <c r="GJ54" s="122">
        <f t="shared" si="779"/>
        <v>5</v>
      </c>
      <c r="GK54" s="122">
        <f t="shared" si="779"/>
        <v>12</v>
      </c>
      <c r="GL54" s="122">
        <f t="shared" si="779"/>
        <v>4</v>
      </c>
      <c r="GM54" s="122">
        <f t="shared" si="779"/>
        <v>9</v>
      </c>
      <c r="GN54" s="122">
        <f t="shared" si="779"/>
        <v>6</v>
      </c>
      <c r="GO54" s="122">
        <f t="shared" si="779"/>
        <v>5</v>
      </c>
      <c r="GP54" s="122">
        <f t="shared" ref="GP54:JA54" si="780">SUM(GP36:GP42)+GP34+GP26+GP12+GP49+GP29+GP51</f>
        <v>0</v>
      </c>
      <c r="GQ54" s="122">
        <f t="shared" si="780"/>
        <v>1</v>
      </c>
      <c r="GR54" s="122">
        <f t="shared" si="780"/>
        <v>3</v>
      </c>
      <c r="GS54" s="122">
        <f t="shared" si="780"/>
        <v>9</v>
      </c>
      <c r="GT54" s="122">
        <f t="shared" si="780"/>
        <v>5</v>
      </c>
      <c r="GU54" s="122">
        <f t="shared" si="780"/>
        <v>4</v>
      </c>
      <c r="GV54" s="122">
        <f t="shared" si="780"/>
        <v>1</v>
      </c>
      <c r="GW54" s="122">
        <f t="shared" si="780"/>
        <v>0</v>
      </c>
      <c r="GX54" s="122">
        <f t="shared" si="780"/>
        <v>0</v>
      </c>
      <c r="GY54" s="122">
        <f t="shared" si="780"/>
        <v>0</v>
      </c>
      <c r="GZ54" s="122">
        <f t="shared" si="780"/>
        <v>1</v>
      </c>
      <c r="HA54" s="122">
        <f t="shared" si="780"/>
        <v>2</v>
      </c>
      <c r="HB54" s="122">
        <f t="shared" si="780"/>
        <v>1</v>
      </c>
      <c r="HC54" s="122">
        <f t="shared" si="780"/>
        <v>0</v>
      </c>
      <c r="HD54" s="122">
        <f t="shared" si="780"/>
        <v>0</v>
      </c>
      <c r="HE54" s="122">
        <f t="shared" si="780"/>
        <v>0</v>
      </c>
      <c r="HF54" s="122">
        <f t="shared" si="780"/>
        <v>8</v>
      </c>
      <c r="HG54" s="122">
        <f t="shared" si="780"/>
        <v>3</v>
      </c>
      <c r="HH54" s="122">
        <f t="shared" si="780"/>
        <v>1</v>
      </c>
      <c r="HI54" s="122">
        <f t="shared" si="780"/>
        <v>2</v>
      </c>
      <c r="HJ54" s="122">
        <f t="shared" si="780"/>
        <v>0</v>
      </c>
      <c r="HK54" s="122">
        <f t="shared" si="780"/>
        <v>0</v>
      </c>
      <c r="HL54" s="122">
        <f t="shared" si="780"/>
        <v>0</v>
      </c>
      <c r="HM54" s="122">
        <f t="shared" si="780"/>
        <v>0</v>
      </c>
      <c r="HN54" s="122">
        <f t="shared" si="780"/>
        <v>0</v>
      </c>
      <c r="HO54" s="122">
        <f t="shared" si="780"/>
        <v>0</v>
      </c>
      <c r="HP54" s="122">
        <f t="shared" si="780"/>
        <v>0</v>
      </c>
      <c r="HQ54" s="122">
        <f t="shared" si="780"/>
        <v>0</v>
      </c>
      <c r="HR54" s="122">
        <f t="shared" si="780"/>
        <v>0</v>
      </c>
      <c r="HS54" s="122">
        <f t="shared" si="780"/>
        <v>0</v>
      </c>
      <c r="HT54" s="122">
        <f t="shared" si="780"/>
        <v>0</v>
      </c>
      <c r="HU54" s="122">
        <f t="shared" si="780"/>
        <v>0</v>
      </c>
      <c r="HV54" s="122">
        <f t="shared" si="780"/>
        <v>0</v>
      </c>
      <c r="HW54" s="122">
        <f t="shared" si="780"/>
        <v>0</v>
      </c>
      <c r="HX54" s="122">
        <f t="shared" si="780"/>
        <v>0</v>
      </c>
      <c r="HY54" s="122">
        <f t="shared" si="780"/>
        <v>0</v>
      </c>
      <c r="HZ54" s="122">
        <f t="shared" si="780"/>
        <v>0</v>
      </c>
      <c r="IA54" s="122">
        <f t="shared" si="780"/>
        <v>0</v>
      </c>
      <c r="IB54" s="122">
        <f t="shared" si="780"/>
        <v>0</v>
      </c>
      <c r="IC54" s="122">
        <f t="shared" si="780"/>
        <v>0</v>
      </c>
      <c r="ID54" s="122">
        <f t="shared" si="780"/>
        <v>1</v>
      </c>
      <c r="IE54" s="122">
        <f t="shared" si="780"/>
        <v>0</v>
      </c>
      <c r="IF54" s="122">
        <f t="shared" si="780"/>
        <v>11</v>
      </c>
      <c r="IG54" s="122">
        <f t="shared" si="780"/>
        <v>32</v>
      </c>
      <c r="IH54" s="122">
        <f t="shared" si="780"/>
        <v>6</v>
      </c>
      <c r="II54" s="122">
        <f t="shared" si="780"/>
        <v>5</v>
      </c>
      <c r="IJ54" s="122">
        <f t="shared" si="780"/>
        <v>9</v>
      </c>
      <c r="IK54" s="122">
        <f t="shared" si="780"/>
        <v>0</v>
      </c>
      <c r="IL54" s="122">
        <f t="shared" si="780"/>
        <v>0</v>
      </c>
      <c r="IM54" s="122">
        <f t="shared" si="780"/>
        <v>0</v>
      </c>
      <c r="IN54" s="122">
        <f t="shared" si="780"/>
        <v>2</v>
      </c>
      <c r="IO54" s="122">
        <f t="shared" si="780"/>
        <v>2</v>
      </c>
      <c r="IP54" s="122">
        <f t="shared" si="780"/>
        <v>0</v>
      </c>
      <c r="IQ54" s="122">
        <f t="shared" si="780"/>
        <v>0</v>
      </c>
      <c r="IR54" s="122">
        <f t="shared" si="780"/>
        <v>0</v>
      </c>
      <c r="IS54" s="122">
        <f t="shared" si="780"/>
        <v>0</v>
      </c>
      <c r="IT54" s="122">
        <f t="shared" si="780"/>
        <v>0</v>
      </c>
      <c r="IU54" s="122">
        <f t="shared" si="780"/>
        <v>0</v>
      </c>
      <c r="IV54" s="122">
        <f t="shared" si="780"/>
        <v>0</v>
      </c>
      <c r="IW54" s="122">
        <f t="shared" si="780"/>
        <v>0</v>
      </c>
      <c r="IX54" s="122">
        <f t="shared" si="780"/>
        <v>0</v>
      </c>
      <c r="IY54" s="122">
        <f t="shared" si="780"/>
        <v>0</v>
      </c>
      <c r="IZ54" s="122">
        <f t="shared" si="780"/>
        <v>0</v>
      </c>
      <c r="JA54" s="122">
        <f t="shared" si="780"/>
        <v>0</v>
      </c>
      <c r="JB54" s="122">
        <f t="shared" ref="JB54:LM54" si="781">SUM(JB36:JB42)+JB34+JB26+JB12+JB49+JB29+JB51</f>
        <v>0</v>
      </c>
      <c r="JC54" s="122">
        <f t="shared" si="781"/>
        <v>3</v>
      </c>
      <c r="JD54" s="122">
        <f t="shared" si="781"/>
        <v>0</v>
      </c>
      <c r="JE54" s="122">
        <f t="shared" si="781"/>
        <v>0</v>
      </c>
      <c r="JF54" s="122">
        <f t="shared" si="781"/>
        <v>0</v>
      </c>
      <c r="JG54" s="122">
        <f t="shared" si="781"/>
        <v>0</v>
      </c>
      <c r="JH54" s="122">
        <f t="shared" si="781"/>
        <v>0</v>
      </c>
      <c r="JI54" s="122">
        <f t="shared" si="781"/>
        <v>0</v>
      </c>
      <c r="JJ54" s="122">
        <f t="shared" si="781"/>
        <v>3</v>
      </c>
      <c r="JK54" s="122">
        <f t="shared" si="781"/>
        <v>0</v>
      </c>
      <c r="JL54" s="122">
        <f t="shared" si="781"/>
        <v>2</v>
      </c>
      <c r="JM54" s="122">
        <f t="shared" si="781"/>
        <v>0</v>
      </c>
      <c r="JN54" s="122">
        <f t="shared" si="781"/>
        <v>3</v>
      </c>
      <c r="JO54" s="122">
        <f t="shared" si="781"/>
        <v>1</v>
      </c>
      <c r="JP54" s="122">
        <f t="shared" si="781"/>
        <v>4</v>
      </c>
      <c r="JQ54" s="122">
        <f t="shared" si="781"/>
        <v>4</v>
      </c>
      <c r="JR54" s="122">
        <f t="shared" si="781"/>
        <v>3</v>
      </c>
      <c r="JS54" s="122">
        <f t="shared" si="781"/>
        <v>2</v>
      </c>
      <c r="JT54" s="122">
        <f t="shared" si="781"/>
        <v>5</v>
      </c>
      <c r="JU54" s="122">
        <f t="shared" si="781"/>
        <v>1</v>
      </c>
      <c r="JV54" s="122">
        <f t="shared" si="781"/>
        <v>0</v>
      </c>
      <c r="JW54" s="122">
        <f t="shared" si="781"/>
        <v>0</v>
      </c>
      <c r="JX54" s="122">
        <f t="shared" si="781"/>
        <v>0</v>
      </c>
      <c r="JY54" s="122">
        <f t="shared" si="781"/>
        <v>0</v>
      </c>
      <c r="JZ54" s="122">
        <f t="shared" si="781"/>
        <v>0</v>
      </c>
      <c r="KA54" s="122">
        <f t="shared" si="781"/>
        <v>0</v>
      </c>
      <c r="KB54" s="122">
        <f t="shared" si="781"/>
        <v>0</v>
      </c>
      <c r="KC54" s="122">
        <f t="shared" si="781"/>
        <v>0</v>
      </c>
      <c r="KD54" s="122">
        <f t="shared" si="781"/>
        <v>0</v>
      </c>
      <c r="KE54" s="122">
        <f t="shared" si="781"/>
        <v>1</v>
      </c>
      <c r="KF54" s="122">
        <f t="shared" si="781"/>
        <v>0</v>
      </c>
      <c r="KG54" s="122">
        <f t="shared" si="781"/>
        <v>0</v>
      </c>
      <c r="KH54" s="122">
        <f t="shared" si="781"/>
        <v>1</v>
      </c>
      <c r="KI54" s="122">
        <f t="shared" si="781"/>
        <v>4</v>
      </c>
      <c r="KJ54" s="122">
        <f t="shared" si="781"/>
        <v>0</v>
      </c>
      <c r="KK54" s="122">
        <f t="shared" si="781"/>
        <v>0</v>
      </c>
      <c r="KL54" s="122">
        <f t="shared" si="781"/>
        <v>0</v>
      </c>
      <c r="KM54" s="122">
        <f t="shared" si="781"/>
        <v>0</v>
      </c>
      <c r="KN54" s="122">
        <f t="shared" si="781"/>
        <v>25</v>
      </c>
      <c r="KO54" s="122">
        <f t="shared" si="781"/>
        <v>30</v>
      </c>
      <c r="KP54" s="122">
        <f t="shared" si="781"/>
        <v>0</v>
      </c>
      <c r="KQ54" s="122">
        <f t="shared" si="781"/>
        <v>0</v>
      </c>
      <c r="KR54" s="122">
        <f t="shared" si="781"/>
        <v>0</v>
      </c>
      <c r="KS54" s="122">
        <f t="shared" si="781"/>
        <v>0</v>
      </c>
      <c r="KT54" s="122">
        <f t="shared" si="781"/>
        <v>31</v>
      </c>
      <c r="KU54" s="122">
        <f t="shared" si="781"/>
        <v>26</v>
      </c>
      <c r="KV54" s="122">
        <f t="shared" si="781"/>
        <v>141</v>
      </c>
      <c r="KW54" s="122">
        <f t="shared" si="781"/>
        <v>158</v>
      </c>
      <c r="KX54" s="122">
        <f t="shared" si="781"/>
        <v>299</v>
      </c>
      <c r="KY54" s="122">
        <f t="shared" si="781"/>
        <v>127</v>
      </c>
      <c r="KZ54" s="122">
        <f t="shared" si="781"/>
        <v>141</v>
      </c>
      <c r="LA54" s="122">
        <f t="shared" si="781"/>
        <v>0</v>
      </c>
      <c r="LB54" s="122">
        <f t="shared" si="781"/>
        <v>0</v>
      </c>
      <c r="LC54" s="122">
        <f t="shared" si="781"/>
        <v>3</v>
      </c>
      <c r="LD54" s="122">
        <f t="shared" si="781"/>
        <v>3</v>
      </c>
      <c r="LE54" s="122">
        <f t="shared" si="781"/>
        <v>0</v>
      </c>
      <c r="LF54" s="122">
        <f t="shared" si="781"/>
        <v>0</v>
      </c>
      <c r="LG54" s="122">
        <f t="shared" si="781"/>
        <v>3</v>
      </c>
      <c r="LH54" s="122">
        <f t="shared" si="781"/>
        <v>0</v>
      </c>
      <c r="LI54" s="122">
        <f t="shared" si="781"/>
        <v>2</v>
      </c>
      <c r="LJ54" s="122">
        <f t="shared" si="781"/>
        <v>7</v>
      </c>
      <c r="LK54" s="122">
        <f t="shared" si="781"/>
        <v>0</v>
      </c>
      <c r="LL54" s="122">
        <f t="shared" si="781"/>
        <v>5</v>
      </c>
      <c r="LM54" s="122">
        <f t="shared" si="781"/>
        <v>0</v>
      </c>
      <c r="LN54" s="122">
        <f t="shared" ref="LN54:NY54" si="782">SUM(LN36:LN42)+LN34+LN26+LN12+LN49+LN29+LN51</f>
        <v>0</v>
      </c>
      <c r="LO54" s="122">
        <f t="shared" si="782"/>
        <v>6</v>
      </c>
      <c r="LP54" s="122">
        <f t="shared" si="782"/>
        <v>2</v>
      </c>
      <c r="LQ54" s="122">
        <f t="shared" si="782"/>
        <v>141</v>
      </c>
      <c r="LR54" s="122">
        <f t="shared" si="782"/>
        <v>158</v>
      </c>
      <c r="LS54" s="122">
        <f t="shared" si="782"/>
        <v>299</v>
      </c>
      <c r="LT54" s="122">
        <f t="shared" si="782"/>
        <v>15</v>
      </c>
      <c r="LU54" s="122">
        <f t="shared" si="782"/>
        <v>9</v>
      </c>
      <c r="LV54" s="122">
        <f t="shared" si="782"/>
        <v>12</v>
      </c>
      <c r="LW54" s="122">
        <f t="shared" si="782"/>
        <v>12</v>
      </c>
      <c r="LX54" s="122">
        <f t="shared" si="782"/>
        <v>28</v>
      </c>
      <c r="LY54" s="122">
        <f t="shared" si="782"/>
        <v>25</v>
      </c>
      <c r="LZ54" s="122">
        <f t="shared" si="782"/>
        <v>86</v>
      </c>
      <c r="MA54" s="122">
        <f t="shared" si="782"/>
        <v>112</v>
      </c>
      <c r="MB54" s="122">
        <f t="shared" si="782"/>
        <v>141</v>
      </c>
      <c r="MC54" s="122">
        <f t="shared" si="782"/>
        <v>158</v>
      </c>
      <c r="MD54" s="122">
        <f t="shared" si="782"/>
        <v>299</v>
      </c>
      <c r="ME54" s="122">
        <f t="shared" si="782"/>
        <v>13</v>
      </c>
      <c r="MF54" s="122">
        <f t="shared" si="782"/>
        <v>6</v>
      </c>
      <c r="MG54" s="122">
        <f t="shared" si="782"/>
        <v>26</v>
      </c>
      <c r="MH54" s="122">
        <f t="shared" si="782"/>
        <v>25</v>
      </c>
      <c r="MI54" s="122">
        <f t="shared" si="782"/>
        <v>43</v>
      </c>
      <c r="MJ54" s="122">
        <f t="shared" si="782"/>
        <v>40</v>
      </c>
      <c r="MK54" s="122">
        <f t="shared" si="782"/>
        <v>49</v>
      </c>
      <c r="ML54" s="122">
        <f t="shared" si="782"/>
        <v>72</v>
      </c>
      <c r="MM54" s="122">
        <f t="shared" si="782"/>
        <v>10</v>
      </c>
      <c r="MN54" s="122">
        <f t="shared" si="782"/>
        <v>15</v>
      </c>
      <c r="MO54" s="122">
        <f t="shared" si="782"/>
        <v>141</v>
      </c>
      <c r="MP54" s="122">
        <f t="shared" si="782"/>
        <v>158</v>
      </c>
      <c r="MQ54" s="122">
        <f t="shared" si="782"/>
        <v>299</v>
      </c>
      <c r="MR54" s="122">
        <f t="shared" si="782"/>
        <v>3</v>
      </c>
      <c r="MS54" s="122">
        <f t="shared" si="782"/>
        <v>23</v>
      </c>
      <c r="MT54" s="122">
        <f t="shared" si="782"/>
        <v>135</v>
      </c>
      <c r="MU54" s="122">
        <f t="shared" si="782"/>
        <v>126</v>
      </c>
      <c r="MV54" s="122">
        <f t="shared" si="782"/>
        <v>1</v>
      </c>
      <c r="MW54" s="122">
        <f t="shared" si="782"/>
        <v>7</v>
      </c>
      <c r="MX54" s="122">
        <f t="shared" si="782"/>
        <v>2</v>
      </c>
      <c r="MY54" s="122">
        <f t="shared" si="782"/>
        <v>2</v>
      </c>
      <c r="MZ54" s="122">
        <f t="shared" si="782"/>
        <v>141</v>
      </c>
      <c r="NA54" s="122">
        <f t="shared" si="782"/>
        <v>158</v>
      </c>
      <c r="NB54" s="122">
        <f t="shared" si="782"/>
        <v>299</v>
      </c>
      <c r="NC54" s="122">
        <f t="shared" si="782"/>
        <v>63</v>
      </c>
      <c r="ND54" s="122">
        <f t="shared" si="782"/>
        <v>23</v>
      </c>
      <c r="NE54" s="122">
        <f t="shared" si="782"/>
        <v>2</v>
      </c>
      <c r="NF54" s="122">
        <f t="shared" si="782"/>
        <v>1</v>
      </c>
      <c r="NG54" s="122">
        <f t="shared" si="782"/>
        <v>3</v>
      </c>
      <c r="NH54" s="122">
        <f t="shared" si="782"/>
        <v>2</v>
      </c>
      <c r="NI54" s="122">
        <f t="shared" si="782"/>
        <v>30</v>
      </c>
      <c r="NJ54" s="122">
        <f t="shared" si="782"/>
        <v>38</v>
      </c>
      <c r="NK54" s="122">
        <f t="shared" si="782"/>
        <v>48</v>
      </c>
      <c r="NL54" s="122">
        <f t="shared" si="782"/>
        <v>59</v>
      </c>
      <c r="NM54" s="122">
        <f t="shared" si="782"/>
        <v>31</v>
      </c>
      <c r="NN54" s="122">
        <f t="shared" si="782"/>
        <v>48</v>
      </c>
      <c r="NO54" s="122">
        <f t="shared" si="782"/>
        <v>0</v>
      </c>
      <c r="NP54" s="122">
        <f t="shared" si="782"/>
        <v>0</v>
      </c>
      <c r="NQ54" s="122">
        <f t="shared" si="782"/>
        <v>21</v>
      </c>
      <c r="NR54" s="122">
        <f t="shared" si="782"/>
        <v>10</v>
      </c>
      <c r="NS54" s="122">
        <f t="shared" si="782"/>
        <v>6</v>
      </c>
      <c r="NT54" s="122">
        <f t="shared" si="782"/>
        <v>0</v>
      </c>
      <c r="NU54" s="122">
        <f t="shared" si="782"/>
        <v>0</v>
      </c>
      <c r="NV54" s="122">
        <f t="shared" si="782"/>
        <v>0</v>
      </c>
      <c r="NW54" s="122">
        <f t="shared" si="782"/>
        <v>141</v>
      </c>
      <c r="NX54" s="122">
        <f t="shared" si="782"/>
        <v>158</v>
      </c>
      <c r="NY54" s="122">
        <f t="shared" si="782"/>
        <v>299</v>
      </c>
      <c r="NZ54" s="122">
        <f t="shared" ref="NZ54:QK54" si="783">SUM(NZ36:NZ42)+NZ34+NZ26+NZ12+NZ49+NZ29+NZ51</f>
        <v>0</v>
      </c>
      <c r="OA54" s="122">
        <f t="shared" si="783"/>
        <v>0</v>
      </c>
      <c r="OB54" s="122">
        <f t="shared" si="783"/>
        <v>1</v>
      </c>
      <c r="OC54" s="122">
        <f t="shared" si="783"/>
        <v>0</v>
      </c>
      <c r="OD54" s="122">
        <f t="shared" si="783"/>
        <v>0</v>
      </c>
      <c r="OE54" s="122">
        <f t="shared" si="783"/>
        <v>0</v>
      </c>
      <c r="OF54" s="122">
        <f t="shared" si="783"/>
        <v>1</v>
      </c>
      <c r="OG54" s="122">
        <f t="shared" si="783"/>
        <v>0</v>
      </c>
      <c r="OH54" s="122">
        <f t="shared" si="783"/>
        <v>1</v>
      </c>
      <c r="OI54" s="122">
        <f t="shared" si="783"/>
        <v>1</v>
      </c>
      <c r="OJ54" s="122">
        <f t="shared" si="783"/>
        <v>9</v>
      </c>
      <c r="OK54" s="122">
        <f t="shared" si="783"/>
        <v>10</v>
      </c>
      <c r="OL54" s="122">
        <f t="shared" si="783"/>
        <v>0</v>
      </c>
      <c r="OM54" s="122">
        <f t="shared" si="783"/>
        <v>3</v>
      </c>
      <c r="ON54" s="122">
        <f t="shared" si="783"/>
        <v>7</v>
      </c>
      <c r="OO54" s="122">
        <f t="shared" si="783"/>
        <v>1</v>
      </c>
      <c r="OP54" s="122">
        <f t="shared" si="783"/>
        <v>9</v>
      </c>
      <c r="OQ54" s="122">
        <f t="shared" si="783"/>
        <v>0</v>
      </c>
      <c r="OR54" s="122">
        <f t="shared" si="783"/>
        <v>0</v>
      </c>
      <c r="OS54" s="122">
        <f t="shared" si="783"/>
        <v>0</v>
      </c>
      <c r="OT54" s="122">
        <f t="shared" si="783"/>
        <v>1</v>
      </c>
      <c r="OU54" s="122">
        <f t="shared" si="783"/>
        <v>8</v>
      </c>
      <c r="OV54" s="122">
        <f t="shared" si="783"/>
        <v>0</v>
      </c>
      <c r="OW54" s="122"/>
      <c r="OX54" s="122"/>
      <c r="OY54" s="122">
        <f t="shared" si="783"/>
        <v>0</v>
      </c>
      <c r="OZ54" s="122">
        <f t="shared" si="783"/>
        <v>2</v>
      </c>
      <c r="PA54" s="122">
        <f t="shared" si="783"/>
        <v>6</v>
      </c>
      <c r="PB54" s="122">
        <f t="shared" si="783"/>
        <v>1</v>
      </c>
      <c r="PC54" s="122">
        <f t="shared" si="783"/>
        <v>3</v>
      </c>
      <c r="PD54" s="122">
        <f t="shared" si="783"/>
        <v>4</v>
      </c>
      <c r="PE54" s="122">
        <f t="shared" si="783"/>
        <v>0</v>
      </c>
      <c r="PF54" s="122">
        <f t="shared" si="783"/>
        <v>1</v>
      </c>
      <c r="PG54" s="122">
        <f t="shared" si="783"/>
        <v>0</v>
      </c>
      <c r="PH54" s="122">
        <f t="shared" si="783"/>
        <v>2</v>
      </c>
      <c r="PI54" s="122">
        <f t="shared" si="783"/>
        <v>5</v>
      </c>
      <c r="PJ54" s="122">
        <f t="shared" si="783"/>
        <v>5</v>
      </c>
      <c r="PK54" s="122">
        <f t="shared" si="783"/>
        <v>3</v>
      </c>
      <c r="PL54" s="122">
        <f t="shared" si="783"/>
        <v>29</v>
      </c>
      <c r="PM54" s="122">
        <f t="shared" si="783"/>
        <v>166</v>
      </c>
      <c r="PN54" s="122">
        <f t="shared" si="783"/>
        <v>53</v>
      </c>
      <c r="PO54" s="122">
        <f t="shared" si="783"/>
        <v>181</v>
      </c>
      <c r="PP54" s="122">
        <f t="shared" si="783"/>
        <v>8</v>
      </c>
      <c r="PQ54" s="122">
        <f t="shared" si="783"/>
        <v>0</v>
      </c>
      <c r="PR54" s="122">
        <f t="shared" si="783"/>
        <v>0</v>
      </c>
      <c r="PS54" s="122">
        <f t="shared" si="783"/>
        <v>0</v>
      </c>
      <c r="PT54" s="122">
        <f t="shared" si="783"/>
        <v>0</v>
      </c>
      <c r="PU54" s="122">
        <f t="shared" si="783"/>
        <v>0</v>
      </c>
      <c r="PV54" s="122">
        <f t="shared" si="783"/>
        <v>8</v>
      </c>
      <c r="PW54" s="122">
        <f t="shared" si="783"/>
        <v>0</v>
      </c>
      <c r="PX54" s="122">
        <f t="shared" si="783"/>
        <v>6</v>
      </c>
      <c r="PY54" s="122">
        <f t="shared" si="783"/>
        <v>2</v>
      </c>
      <c r="PZ54" s="122">
        <f t="shared" si="783"/>
        <v>5</v>
      </c>
      <c r="QA54" s="122">
        <f t="shared" si="783"/>
        <v>3</v>
      </c>
      <c r="QB54" s="122">
        <f t="shared" si="783"/>
        <v>8</v>
      </c>
      <c r="QC54" s="122">
        <f t="shared" si="783"/>
        <v>0</v>
      </c>
      <c r="QD54" s="122">
        <f t="shared" si="783"/>
        <v>8</v>
      </c>
      <c r="QE54" s="122">
        <f t="shared" si="783"/>
        <v>0</v>
      </c>
      <c r="QF54" s="122">
        <f t="shared" si="783"/>
        <v>0</v>
      </c>
      <c r="QG54" s="122">
        <f t="shared" si="783"/>
        <v>0</v>
      </c>
      <c r="QH54" s="122">
        <f t="shared" si="783"/>
        <v>0</v>
      </c>
      <c r="QI54" s="122">
        <f t="shared" si="783"/>
        <v>8</v>
      </c>
      <c r="QJ54" s="122">
        <f t="shared" si="783"/>
        <v>0</v>
      </c>
      <c r="QK54" s="122">
        <f t="shared" si="783"/>
        <v>4</v>
      </c>
      <c r="QL54" s="122">
        <f t="shared" ref="QL54:SP54" si="784">SUM(QL36:QL42)+QL34+QL26+QL12+QL49+QL29+QL51</f>
        <v>4</v>
      </c>
      <c r="QM54" s="122">
        <f t="shared" si="784"/>
        <v>8</v>
      </c>
      <c r="QN54" s="122">
        <f t="shared" si="784"/>
        <v>0</v>
      </c>
      <c r="QO54" s="122">
        <f t="shared" si="784"/>
        <v>8</v>
      </c>
      <c r="QP54" s="122">
        <f t="shared" si="784"/>
        <v>0</v>
      </c>
      <c r="QQ54" s="122">
        <f t="shared" si="784"/>
        <v>0</v>
      </c>
      <c r="QR54" s="122">
        <f t="shared" si="784"/>
        <v>5</v>
      </c>
      <c r="QS54" s="122">
        <f t="shared" si="784"/>
        <v>2</v>
      </c>
      <c r="QT54" s="122">
        <f t="shared" si="784"/>
        <v>1</v>
      </c>
      <c r="QU54" s="122">
        <f t="shared" si="784"/>
        <v>7</v>
      </c>
      <c r="QV54" s="122">
        <f t="shared" si="784"/>
        <v>1</v>
      </c>
      <c r="QW54" s="122">
        <f t="shared" si="784"/>
        <v>0</v>
      </c>
      <c r="QX54" s="122">
        <f t="shared" si="784"/>
        <v>0</v>
      </c>
      <c r="QY54" s="122">
        <f t="shared" si="784"/>
        <v>2</v>
      </c>
      <c r="QZ54" s="122">
        <f t="shared" si="784"/>
        <v>3</v>
      </c>
      <c r="RA54" s="122">
        <f t="shared" si="784"/>
        <v>2</v>
      </c>
      <c r="RB54" s="122">
        <f t="shared" si="784"/>
        <v>7</v>
      </c>
      <c r="RC54" s="122">
        <f t="shared" si="784"/>
        <v>1</v>
      </c>
      <c r="RD54" s="122">
        <f t="shared" si="784"/>
        <v>6</v>
      </c>
      <c r="RE54" s="122">
        <f t="shared" si="784"/>
        <v>2</v>
      </c>
      <c r="RF54" s="122">
        <f t="shared" si="784"/>
        <v>5</v>
      </c>
      <c r="RG54" s="122">
        <f t="shared" si="784"/>
        <v>3</v>
      </c>
      <c r="RH54" s="122">
        <f t="shared" si="784"/>
        <v>0</v>
      </c>
      <c r="RI54" s="122">
        <f t="shared" si="784"/>
        <v>5</v>
      </c>
      <c r="RJ54" s="122">
        <f t="shared" si="784"/>
        <v>3</v>
      </c>
      <c r="RK54" s="122">
        <f t="shared" si="784"/>
        <v>0</v>
      </c>
      <c r="RL54" s="122">
        <f t="shared" si="784"/>
        <v>5</v>
      </c>
      <c r="RM54" s="122">
        <f t="shared" si="784"/>
        <v>3</v>
      </c>
      <c r="RN54" s="122">
        <f t="shared" si="784"/>
        <v>0</v>
      </c>
      <c r="RO54" s="122">
        <f t="shared" si="784"/>
        <v>640</v>
      </c>
      <c r="RP54" s="122">
        <f t="shared" si="784"/>
        <v>0</v>
      </c>
      <c r="RQ54" s="122">
        <f t="shared" si="784"/>
        <v>0</v>
      </c>
      <c r="RR54" s="122">
        <f t="shared" si="784"/>
        <v>0</v>
      </c>
      <c r="RS54" s="122">
        <f t="shared" si="784"/>
        <v>48</v>
      </c>
      <c r="RT54" s="122">
        <f t="shared" si="784"/>
        <v>0</v>
      </c>
      <c r="RU54" s="122">
        <f t="shared" si="784"/>
        <v>91</v>
      </c>
      <c r="RV54" s="122">
        <f t="shared" si="784"/>
        <v>28</v>
      </c>
      <c r="RW54" s="122">
        <f t="shared" si="784"/>
        <v>22</v>
      </c>
      <c r="RX54" s="122">
        <f t="shared" si="784"/>
        <v>2</v>
      </c>
      <c r="RY54" s="122">
        <f t="shared" si="784"/>
        <v>8</v>
      </c>
      <c r="RZ54" s="122">
        <f t="shared" si="784"/>
        <v>1</v>
      </c>
      <c r="SA54" s="122">
        <f t="shared" si="784"/>
        <v>2</v>
      </c>
      <c r="SB54" s="122">
        <f t="shared" si="784"/>
        <v>8</v>
      </c>
      <c r="SC54" s="122">
        <f t="shared" si="784"/>
        <v>0</v>
      </c>
      <c r="SD54" s="122">
        <f t="shared" si="784"/>
        <v>0</v>
      </c>
      <c r="SE54" s="122">
        <f t="shared" si="784"/>
        <v>2</v>
      </c>
      <c r="SF54" s="122">
        <f t="shared" si="784"/>
        <v>0</v>
      </c>
      <c r="SG54" s="122">
        <f t="shared" si="784"/>
        <v>0</v>
      </c>
      <c r="SH54" s="122">
        <f t="shared" si="784"/>
        <v>0</v>
      </c>
      <c r="SI54" s="122">
        <f t="shared" si="784"/>
        <v>2</v>
      </c>
      <c r="SJ54" s="122">
        <f t="shared" si="784"/>
        <v>0</v>
      </c>
      <c r="SK54" s="122">
        <f t="shared" si="784"/>
        <v>0</v>
      </c>
      <c r="SL54" s="122">
        <f t="shared" si="784"/>
        <v>372</v>
      </c>
      <c r="SM54" s="122">
        <f t="shared" si="784"/>
        <v>50</v>
      </c>
      <c r="SN54" s="122">
        <f t="shared" si="784"/>
        <v>422</v>
      </c>
      <c r="SO54" s="122">
        <f t="shared" si="784"/>
        <v>14</v>
      </c>
      <c r="SP54" s="122">
        <f t="shared" si="784"/>
        <v>14</v>
      </c>
      <c r="SQ54" s="122"/>
      <c r="SR54" s="122"/>
      <c r="SS54" s="180"/>
    </row>
    <row r="55" spans="1:513" s="151" customFormat="1" ht="20.25" customHeight="1">
      <c r="A55" s="313" t="s">
        <v>472</v>
      </c>
      <c r="B55" s="314"/>
      <c r="C55" s="314"/>
      <c r="D55" s="314"/>
      <c r="E55" s="315"/>
      <c r="F55" s="150">
        <f>F43+F27+F15</f>
        <v>1</v>
      </c>
      <c r="G55" s="150">
        <f t="shared" ref="F55:BQ55" si="785">G43+G27+G15</f>
        <v>0</v>
      </c>
      <c r="H55" s="150">
        <f t="shared" si="785"/>
        <v>0</v>
      </c>
      <c r="I55" s="150">
        <f t="shared" si="785"/>
        <v>1</v>
      </c>
      <c r="J55" s="150">
        <f t="shared" si="785"/>
        <v>0</v>
      </c>
      <c r="K55" s="150">
        <f t="shared" si="785"/>
        <v>1</v>
      </c>
      <c r="L55" s="150">
        <f t="shared" si="785"/>
        <v>0</v>
      </c>
      <c r="M55" s="150">
        <f t="shared" si="785"/>
        <v>0</v>
      </c>
      <c r="N55" s="150">
        <f t="shared" si="785"/>
        <v>0</v>
      </c>
      <c r="O55" s="150">
        <f t="shared" si="785"/>
        <v>1</v>
      </c>
      <c r="P55" s="150">
        <f t="shared" si="785"/>
        <v>0</v>
      </c>
      <c r="Q55" s="150">
        <f t="shared" si="785"/>
        <v>1</v>
      </c>
      <c r="R55" s="150">
        <f t="shared" si="785"/>
        <v>0</v>
      </c>
      <c r="S55" s="150">
        <f t="shared" si="785"/>
        <v>0</v>
      </c>
      <c r="T55" s="150">
        <f t="shared" si="785"/>
        <v>0</v>
      </c>
      <c r="U55" s="150">
        <f t="shared" si="785"/>
        <v>0</v>
      </c>
      <c r="V55" s="150">
        <f t="shared" si="785"/>
        <v>51</v>
      </c>
      <c r="W55" s="150">
        <f t="shared" si="785"/>
        <v>0</v>
      </c>
      <c r="X55" s="150">
        <f t="shared" si="785"/>
        <v>44</v>
      </c>
      <c r="Y55" s="150">
        <f t="shared" si="785"/>
        <v>0</v>
      </c>
      <c r="Z55" s="150">
        <f t="shared" si="785"/>
        <v>23</v>
      </c>
      <c r="AA55" s="150">
        <f t="shared" si="785"/>
        <v>0</v>
      </c>
      <c r="AB55" s="150">
        <f t="shared" si="785"/>
        <v>25</v>
      </c>
      <c r="AC55" s="150">
        <f t="shared" si="785"/>
        <v>0</v>
      </c>
      <c r="AD55" s="150">
        <f t="shared" si="785"/>
        <v>12</v>
      </c>
      <c r="AE55" s="150">
        <f t="shared" si="785"/>
        <v>0</v>
      </c>
      <c r="AF55" s="150">
        <f t="shared" si="785"/>
        <v>155</v>
      </c>
      <c r="AG55" s="150">
        <f t="shared" si="785"/>
        <v>0</v>
      </c>
      <c r="AH55" s="150">
        <f t="shared" si="785"/>
        <v>155</v>
      </c>
      <c r="AI55" s="150">
        <f t="shared" si="785"/>
        <v>51</v>
      </c>
      <c r="AJ55" s="150">
        <f t="shared" si="785"/>
        <v>0</v>
      </c>
      <c r="AK55" s="150">
        <f t="shared" si="785"/>
        <v>44</v>
      </c>
      <c r="AL55" s="150">
        <f t="shared" si="785"/>
        <v>0</v>
      </c>
      <c r="AM55" s="150">
        <f t="shared" si="785"/>
        <v>23</v>
      </c>
      <c r="AN55" s="150">
        <f t="shared" si="785"/>
        <v>0</v>
      </c>
      <c r="AO55" s="150">
        <f t="shared" si="785"/>
        <v>25</v>
      </c>
      <c r="AP55" s="150">
        <f t="shared" si="785"/>
        <v>0</v>
      </c>
      <c r="AQ55" s="150">
        <f t="shared" si="785"/>
        <v>12</v>
      </c>
      <c r="AR55" s="150">
        <f t="shared" si="785"/>
        <v>0</v>
      </c>
      <c r="AS55" s="150">
        <f t="shared" si="785"/>
        <v>155</v>
      </c>
      <c r="AT55" s="150">
        <f t="shared" si="785"/>
        <v>0</v>
      </c>
      <c r="AU55" s="150">
        <f t="shared" si="785"/>
        <v>155</v>
      </c>
      <c r="AV55" s="150">
        <f t="shared" si="785"/>
        <v>24</v>
      </c>
      <c r="AW55" s="150">
        <f t="shared" si="785"/>
        <v>0</v>
      </c>
      <c r="AX55" s="150">
        <f t="shared" si="785"/>
        <v>21</v>
      </c>
      <c r="AY55" s="150">
        <f t="shared" si="785"/>
        <v>0</v>
      </c>
      <c r="AZ55" s="150">
        <f t="shared" si="785"/>
        <v>31</v>
      </c>
      <c r="BA55" s="150">
        <f t="shared" si="785"/>
        <v>0</v>
      </c>
      <c r="BB55" s="150">
        <f t="shared" si="785"/>
        <v>14</v>
      </c>
      <c r="BC55" s="150">
        <f t="shared" si="785"/>
        <v>0</v>
      </c>
      <c r="BD55" s="150">
        <f t="shared" si="785"/>
        <v>9</v>
      </c>
      <c r="BE55" s="150">
        <f t="shared" si="785"/>
        <v>0</v>
      </c>
      <c r="BF55" s="150">
        <f t="shared" si="785"/>
        <v>99</v>
      </c>
      <c r="BG55" s="150">
        <f t="shared" si="785"/>
        <v>0</v>
      </c>
      <c r="BH55" s="150">
        <f t="shared" si="785"/>
        <v>99</v>
      </c>
      <c r="BI55" s="150">
        <f t="shared" si="785"/>
        <v>14</v>
      </c>
      <c r="BJ55" s="150">
        <f t="shared" si="785"/>
        <v>0</v>
      </c>
      <c r="BK55" s="150">
        <f t="shared" si="785"/>
        <v>41</v>
      </c>
      <c r="BL55" s="150">
        <f t="shared" si="785"/>
        <v>0</v>
      </c>
      <c r="BM55" s="150">
        <f t="shared" si="785"/>
        <v>29</v>
      </c>
      <c r="BN55" s="150">
        <f t="shared" si="785"/>
        <v>0</v>
      </c>
      <c r="BO55" s="150">
        <f t="shared" si="785"/>
        <v>18</v>
      </c>
      <c r="BP55" s="150">
        <f t="shared" si="785"/>
        <v>0</v>
      </c>
      <c r="BQ55" s="150">
        <f t="shared" si="785"/>
        <v>13</v>
      </c>
      <c r="BR55" s="150">
        <f t="shared" ref="BR55:EC55" si="786">BR43+BR27+BR15</f>
        <v>0</v>
      </c>
      <c r="BS55" s="150">
        <f t="shared" si="786"/>
        <v>115</v>
      </c>
      <c r="BT55" s="150">
        <f t="shared" si="786"/>
        <v>0</v>
      </c>
      <c r="BU55" s="150">
        <f t="shared" si="786"/>
        <v>115</v>
      </c>
      <c r="BV55" s="150">
        <f t="shared" si="786"/>
        <v>51</v>
      </c>
      <c r="BW55" s="150">
        <f t="shared" si="786"/>
        <v>0</v>
      </c>
      <c r="BX55" s="150">
        <f t="shared" si="786"/>
        <v>68</v>
      </c>
      <c r="BY55" s="150">
        <f t="shared" si="786"/>
        <v>0</v>
      </c>
      <c r="BZ55" s="150">
        <f t="shared" si="786"/>
        <v>58</v>
      </c>
      <c r="CA55" s="150">
        <f t="shared" si="786"/>
        <v>0</v>
      </c>
      <c r="CB55" s="150">
        <f t="shared" si="786"/>
        <v>97</v>
      </c>
      <c r="CC55" s="150">
        <f t="shared" si="786"/>
        <v>0</v>
      </c>
      <c r="CD55" s="150">
        <f t="shared" si="786"/>
        <v>55</v>
      </c>
      <c r="CE55" s="150">
        <f t="shared" si="786"/>
        <v>0</v>
      </c>
      <c r="CF55" s="150">
        <f t="shared" si="786"/>
        <v>27</v>
      </c>
      <c r="CG55" s="150">
        <f t="shared" si="786"/>
        <v>0</v>
      </c>
      <c r="CH55" s="150">
        <f t="shared" si="786"/>
        <v>13</v>
      </c>
      <c r="CI55" s="150">
        <f t="shared" si="786"/>
        <v>0</v>
      </c>
      <c r="CJ55" s="150">
        <f t="shared" si="786"/>
        <v>369</v>
      </c>
      <c r="CK55" s="150">
        <f t="shared" si="786"/>
        <v>0</v>
      </c>
      <c r="CL55" s="150">
        <f t="shared" si="786"/>
        <v>369</v>
      </c>
      <c r="CM55" s="150">
        <f t="shared" si="786"/>
        <v>4</v>
      </c>
      <c r="CN55" s="150">
        <f t="shared" si="786"/>
        <v>0</v>
      </c>
      <c r="CO55" s="150">
        <f t="shared" si="786"/>
        <v>0</v>
      </c>
      <c r="CP55" s="150">
        <f t="shared" si="786"/>
        <v>3</v>
      </c>
      <c r="CQ55" s="150">
        <f t="shared" si="786"/>
        <v>0</v>
      </c>
      <c r="CR55" s="150">
        <f t="shared" si="786"/>
        <v>0</v>
      </c>
      <c r="CS55" s="150">
        <f t="shared" si="786"/>
        <v>3</v>
      </c>
      <c r="CT55" s="150">
        <f t="shared" si="786"/>
        <v>0</v>
      </c>
      <c r="CU55" s="150">
        <f t="shared" si="786"/>
        <v>0</v>
      </c>
      <c r="CV55" s="150">
        <f t="shared" si="786"/>
        <v>10</v>
      </c>
      <c r="CW55" s="150">
        <f t="shared" si="786"/>
        <v>0</v>
      </c>
      <c r="CX55" s="150">
        <f t="shared" si="786"/>
        <v>0</v>
      </c>
      <c r="CY55" s="150">
        <f t="shared" si="786"/>
        <v>10</v>
      </c>
      <c r="CZ55" s="150">
        <f t="shared" si="786"/>
        <v>1</v>
      </c>
      <c r="DA55" s="150">
        <f t="shared" si="786"/>
        <v>0</v>
      </c>
      <c r="DB55" s="150">
        <f t="shared" si="786"/>
        <v>1</v>
      </c>
      <c r="DC55" s="150">
        <f t="shared" si="786"/>
        <v>0</v>
      </c>
      <c r="DD55" s="150">
        <f t="shared" si="786"/>
        <v>2</v>
      </c>
      <c r="DE55" s="150">
        <f t="shared" si="786"/>
        <v>0</v>
      </c>
      <c r="DF55" s="150">
        <f t="shared" si="786"/>
        <v>4</v>
      </c>
      <c r="DG55" s="150">
        <f t="shared" si="786"/>
        <v>0</v>
      </c>
      <c r="DH55" s="150">
        <f t="shared" si="786"/>
        <v>4</v>
      </c>
      <c r="DI55" s="150">
        <f t="shared" si="786"/>
        <v>0</v>
      </c>
      <c r="DJ55" s="150">
        <f t="shared" si="786"/>
        <v>0</v>
      </c>
      <c r="DK55" s="150">
        <f t="shared" si="786"/>
        <v>0</v>
      </c>
      <c r="DL55" s="150">
        <f t="shared" si="786"/>
        <v>0</v>
      </c>
      <c r="DM55" s="150">
        <f t="shared" si="786"/>
        <v>0</v>
      </c>
      <c r="DN55" s="150">
        <f t="shared" si="786"/>
        <v>0</v>
      </c>
      <c r="DO55" s="150">
        <f t="shared" si="786"/>
        <v>0</v>
      </c>
      <c r="DP55" s="150">
        <f t="shared" si="786"/>
        <v>0</v>
      </c>
      <c r="DQ55" s="150">
        <f t="shared" si="786"/>
        <v>0</v>
      </c>
      <c r="DR55" s="150">
        <f t="shared" si="786"/>
        <v>77</v>
      </c>
      <c r="DS55" s="150">
        <f t="shared" si="786"/>
        <v>0</v>
      </c>
      <c r="DT55" s="150">
        <f t="shared" si="786"/>
        <v>63</v>
      </c>
      <c r="DU55" s="150">
        <f t="shared" si="786"/>
        <v>0</v>
      </c>
      <c r="DV55" s="150">
        <f t="shared" si="786"/>
        <v>90</v>
      </c>
      <c r="DW55" s="150">
        <f t="shared" si="786"/>
        <v>0</v>
      </c>
      <c r="DX55" s="150">
        <f t="shared" si="786"/>
        <v>230</v>
      </c>
      <c r="DY55" s="150">
        <f t="shared" si="786"/>
        <v>0</v>
      </c>
      <c r="DZ55" s="150">
        <f t="shared" si="786"/>
        <v>230</v>
      </c>
      <c r="EA55" s="150">
        <f t="shared" si="786"/>
        <v>16</v>
      </c>
      <c r="EB55" s="150">
        <f t="shared" si="786"/>
        <v>0</v>
      </c>
      <c r="EC55" s="150">
        <f t="shared" si="786"/>
        <v>13</v>
      </c>
      <c r="ED55" s="150">
        <f t="shared" ref="ED55:GO55" si="787">ED43+ED27+ED15</f>
        <v>0</v>
      </c>
      <c r="EE55" s="150">
        <f t="shared" si="787"/>
        <v>30</v>
      </c>
      <c r="EF55" s="150">
        <f t="shared" si="787"/>
        <v>0</v>
      </c>
      <c r="EG55" s="150">
        <f t="shared" si="787"/>
        <v>59</v>
      </c>
      <c r="EH55" s="150">
        <f t="shared" si="787"/>
        <v>0</v>
      </c>
      <c r="EI55" s="150">
        <f t="shared" si="787"/>
        <v>59</v>
      </c>
      <c r="EJ55" s="150">
        <f t="shared" si="787"/>
        <v>1</v>
      </c>
      <c r="EK55" s="150">
        <f t="shared" si="787"/>
        <v>0</v>
      </c>
      <c r="EL55" s="150">
        <f t="shared" si="787"/>
        <v>1</v>
      </c>
      <c r="EM55" s="150">
        <f t="shared" si="787"/>
        <v>0</v>
      </c>
      <c r="EN55" s="150">
        <f t="shared" si="787"/>
        <v>9</v>
      </c>
      <c r="EO55" s="150">
        <f t="shared" si="787"/>
        <v>0</v>
      </c>
      <c r="EP55" s="150">
        <f t="shared" si="787"/>
        <v>11</v>
      </c>
      <c r="EQ55" s="150">
        <f t="shared" si="787"/>
        <v>0</v>
      </c>
      <c r="ER55" s="150">
        <f t="shared" si="787"/>
        <v>11</v>
      </c>
      <c r="ES55" s="150">
        <f t="shared" si="787"/>
        <v>0</v>
      </c>
      <c r="ET55" s="150">
        <f t="shared" si="787"/>
        <v>0</v>
      </c>
      <c r="EU55" s="150">
        <f t="shared" si="787"/>
        <v>0</v>
      </c>
      <c r="EV55" s="150">
        <f t="shared" si="787"/>
        <v>0</v>
      </c>
      <c r="EW55" s="150">
        <f t="shared" si="787"/>
        <v>0</v>
      </c>
      <c r="EX55" s="150">
        <f t="shared" si="787"/>
        <v>0</v>
      </c>
      <c r="EY55" s="150">
        <f t="shared" si="787"/>
        <v>0</v>
      </c>
      <c r="EZ55" s="150">
        <f t="shared" si="787"/>
        <v>0</v>
      </c>
      <c r="FA55" s="150">
        <f t="shared" si="787"/>
        <v>0</v>
      </c>
      <c r="FB55" s="150">
        <f t="shared" si="787"/>
        <v>1</v>
      </c>
      <c r="FC55" s="150">
        <f t="shared" si="787"/>
        <v>0</v>
      </c>
      <c r="FD55" s="150">
        <f t="shared" si="787"/>
        <v>3</v>
      </c>
      <c r="FE55" s="150">
        <f t="shared" si="787"/>
        <v>0</v>
      </c>
      <c r="FF55" s="150">
        <f t="shared" si="787"/>
        <v>24</v>
      </c>
      <c r="FG55" s="150">
        <f t="shared" si="787"/>
        <v>12</v>
      </c>
      <c r="FH55" s="150">
        <f t="shared" si="787"/>
        <v>6</v>
      </c>
      <c r="FI55" s="150">
        <f t="shared" si="787"/>
        <v>4</v>
      </c>
      <c r="FJ55" s="150">
        <f t="shared" si="787"/>
        <v>0</v>
      </c>
      <c r="FK55" s="150">
        <f t="shared" si="787"/>
        <v>0</v>
      </c>
      <c r="FL55" s="150">
        <f t="shared" si="787"/>
        <v>34</v>
      </c>
      <c r="FM55" s="150">
        <f t="shared" si="787"/>
        <v>16</v>
      </c>
      <c r="FN55" s="150">
        <f t="shared" si="787"/>
        <v>50</v>
      </c>
      <c r="FO55" s="150">
        <f t="shared" si="787"/>
        <v>0</v>
      </c>
      <c r="FP55" s="150">
        <f t="shared" si="787"/>
        <v>0</v>
      </c>
      <c r="FQ55" s="150">
        <f t="shared" si="787"/>
        <v>0</v>
      </c>
      <c r="FR55" s="150">
        <f t="shared" si="787"/>
        <v>0</v>
      </c>
      <c r="FS55" s="150">
        <f t="shared" si="787"/>
        <v>0</v>
      </c>
      <c r="FT55" s="150">
        <f t="shared" si="787"/>
        <v>0</v>
      </c>
      <c r="FU55" s="150">
        <f t="shared" si="787"/>
        <v>0</v>
      </c>
      <c r="FV55" s="150">
        <f t="shared" si="787"/>
        <v>0</v>
      </c>
      <c r="FW55" s="150">
        <f t="shared" si="787"/>
        <v>2</v>
      </c>
      <c r="FX55" s="150">
        <f t="shared" si="787"/>
        <v>0</v>
      </c>
      <c r="FY55" s="150">
        <f t="shared" si="787"/>
        <v>0</v>
      </c>
      <c r="FZ55" s="150">
        <f t="shared" si="787"/>
        <v>0</v>
      </c>
      <c r="GA55" s="150">
        <f t="shared" si="787"/>
        <v>0</v>
      </c>
      <c r="GB55" s="150">
        <f t="shared" si="787"/>
        <v>0</v>
      </c>
      <c r="GC55" s="150">
        <f t="shared" si="787"/>
        <v>0</v>
      </c>
      <c r="GD55" s="150">
        <f t="shared" si="787"/>
        <v>0</v>
      </c>
      <c r="GE55" s="150">
        <f t="shared" si="787"/>
        <v>0</v>
      </c>
      <c r="GF55" s="150">
        <f t="shared" si="787"/>
        <v>0</v>
      </c>
      <c r="GG55" s="150">
        <f t="shared" si="787"/>
        <v>2</v>
      </c>
      <c r="GH55" s="150">
        <f t="shared" si="787"/>
        <v>0</v>
      </c>
      <c r="GI55" s="150">
        <f t="shared" si="787"/>
        <v>2</v>
      </c>
      <c r="GJ55" s="150">
        <f t="shared" si="787"/>
        <v>1</v>
      </c>
      <c r="GK55" s="150">
        <f t="shared" si="787"/>
        <v>1</v>
      </c>
      <c r="GL55" s="150">
        <f t="shared" si="787"/>
        <v>1</v>
      </c>
      <c r="GM55" s="150">
        <f t="shared" si="787"/>
        <v>1</v>
      </c>
      <c r="GN55" s="150">
        <f t="shared" si="787"/>
        <v>1</v>
      </c>
      <c r="GO55" s="150">
        <f t="shared" si="787"/>
        <v>1</v>
      </c>
      <c r="GP55" s="150">
        <f t="shared" ref="GP55:JA55" si="788">GP43+GP27+GP15</f>
        <v>1</v>
      </c>
      <c r="GQ55" s="150">
        <f t="shared" si="788"/>
        <v>0</v>
      </c>
      <c r="GR55" s="150">
        <f t="shared" si="788"/>
        <v>1</v>
      </c>
      <c r="GS55" s="150">
        <f t="shared" si="788"/>
        <v>2</v>
      </c>
      <c r="GT55" s="150">
        <f t="shared" si="788"/>
        <v>0</v>
      </c>
      <c r="GU55" s="150">
        <f t="shared" si="788"/>
        <v>1</v>
      </c>
      <c r="GV55" s="150">
        <f t="shared" si="788"/>
        <v>0</v>
      </c>
      <c r="GW55" s="150">
        <f t="shared" si="788"/>
        <v>0</v>
      </c>
      <c r="GX55" s="150">
        <f t="shared" si="788"/>
        <v>0</v>
      </c>
      <c r="GY55" s="150">
        <f t="shared" si="788"/>
        <v>0</v>
      </c>
      <c r="GZ55" s="150">
        <f t="shared" si="788"/>
        <v>0</v>
      </c>
      <c r="HA55" s="150">
        <f t="shared" si="788"/>
        <v>0</v>
      </c>
      <c r="HB55" s="150">
        <f t="shared" si="788"/>
        <v>0</v>
      </c>
      <c r="HC55" s="150">
        <f t="shared" si="788"/>
        <v>0</v>
      </c>
      <c r="HD55" s="150">
        <f t="shared" si="788"/>
        <v>0</v>
      </c>
      <c r="HE55" s="150">
        <f t="shared" si="788"/>
        <v>0</v>
      </c>
      <c r="HF55" s="150">
        <f t="shared" si="788"/>
        <v>1</v>
      </c>
      <c r="HG55" s="150">
        <f t="shared" si="788"/>
        <v>0</v>
      </c>
      <c r="HH55" s="150">
        <f t="shared" si="788"/>
        <v>0</v>
      </c>
      <c r="HI55" s="150">
        <f t="shared" si="788"/>
        <v>0</v>
      </c>
      <c r="HJ55" s="150">
        <f t="shared" si="788"/>
        <v>1</v>
      </c>
      <c r="HK55" s="150">
        <f t="shared" si="788"/>
        <v>1</v>
      </c>
      <c r="HL55" s="150">
        <f t="shared" si="788"/>
        <v>0</v>
      </c>
      <c r="HM55" s="150">
        <f t="shared" si="788"/>
        <v>0</v>
      </c>
      <c r="HN55" s="150">
        <f t="shared" si="788"/>
        <v>0</v>
      </c>
      <c r="HO55" s="150">
        <f t="shared" si="788"/>
        <v>0</v>
      </c>
      <c r="HP55" s="150">
        <f t="shared" si="788"/>
        <v>1</v>
      </c>
      <c r="HQ55" s="150">
        <f t="shared" si="788"/>
        <v>0</v>
      </c>
      <c r="HR55" s="150">
        <f t="shared" si="788"/>
        <v>1</v>
      </c>
      <c r="HS55" s="150">
        <f t="shared" si="788"/>
        <v>0</v>
      </c>
      <c r="HT55" s="150">
        <f t="shared" si="788"/>
        <v>0</v>
      </c>
      <c r="HU55" s="150">
        <f t="shared" si="788"/>
        <v>0</v>
      </c>
      <c r="HV55" s="150">
        <f t="shared" si="788"/>
        <v>0</v>
      </c>
      <c r="HW55" s="150">
        <f t="shared" si="788"/>
        <v>0</v>
      </c>
      <c r="HX55" s="150">
        <f t="shared" si="788"/>
        <v>1</v>
      </c>
      <c r="HY55" s="150">
        <f t="shared" si="788"/>
        <v>2</v>
      </c>
      <c r="HZ55" s="150">
        <f t="shared" si="788"/>
        <v>0</v>
      </c>
      <c r="IA55" s="150">
        <f t="shared" si="788"/>
        <v>0</v>
      </c>
      <c r="IB55" s="150">
        <f t="shared" si="788"/>
        <v>1</v>
      </c>
      <c r="IC55" s="150">
        <f t="shared" si="788"/>
        <v>1</v>
      </c>
      <c r="ID55" s="150">
        <f t="shared" si="788"/>
        <v>0</v>
      </c>
      <c r="IE55" s="150">
        <f t="shared" si="788"/>
        <v>0</v>
      </c>
      <c r="IF55" s="150">
        <f t="shared" si="788"/>
        <v>0</v>
      </c>
      <c r="IG55" s="150">
        <f t="shared" si="788"/>
        <v>0</v>
      </c>
      <c r="IH55" s="150">
        <f t="shared" si="788"/>
        <v>1</v>
      </c>
      <c r="II55" s="150">
        <f t="shared" si="788"/>
        <v>1</v>
      </c>
      <c r="IJ55" s="150">
        <f t="shared" si="788"/>
        <v>0</v>
      </c>
      <c r="IK55" s="150">
        <f t="shared" si="788"/>
        <v>0</v>
      </c>
      <c r="IL55" s="150">
        <f t="shared" si="788"/>
        <v>0</v>
      </c>
      <c r="IM55" s="150">
        <f t="shared" si="788"/>
        <v>0</v>
      </c>
      <c r="IN55" s="150">
        <f t="shared" si="788"/>
        <v>0</v>
      </c>
      <c r="IO55" s="150">
        <f t="shared" si="788"/>
        <v>0</v>
      </c>
      <c r="IP55" s="150">
        <f t="shared" si="788"/>
        <v>0</v>
      </c>
      <c r="IQ55" s="150">
        <f t="shared" si="788"/>
        <v>0</v>
      </c>
      <c r="IR55" s="150">
        <f t="shared" si="788"/>
        <v>0</v>
      </c>
      <c r="IS55" s="150">
        <f t="shared" si="788"/>
        <v>0</v>
      </c>
      <c r="IT55" s="150">
        <f t="shared" si="788"/>
        <v>0</v>
      </c>
      <c r="IU55" s="150">
        <f t="shared" si="788"/>
        <v>0</v>
      </c>
      <c r="IV55" s="150">
        <f t="shared" si="788"/>
        <v>0</v>
      </c>
      <c r="IW55" s="150">
        <f t="shared" si="788"/>
        <v>0</v>
      </c>
      <c r="IX55" s="150">
        <f t="shared" si="788"/>
        <v>0</v>
      </c>
      <c r="IY55" s="150">
        <f t="shared" si="788"/>
        <v>0</v>
      </c>
      <c r="IZ55" s="150">
        <f t="shared" si="788"/>
        <v>0</v>
      </c>
      <c r="JA55" s="150">
        <f t="shared" si="788"/>
        <v>0</v>
      </c>
      <c r="JB55" s="150">
        <f t="shared" ref="JB55:LM55" si="789">JB43+JB27+JB15</f>
        <v>11</v>
      </c>
      <c r="JC55" s="150">
        <f t="shared" si="789"/>
        <v>3</v>
      </c>
      <c r="JD55" s="150">
        <f t="shared" si="789"/>
        <v>0</v>
      </c>
      <c r="JE55" s="150">
        <f t="shared" si="789"/>
        <v>0</v>
      </c>
      <c r="JF55" s="150">
        <f t="shared" si="789"/>
        <v>0</v>
      </c>
      <c r="JG55" s="150">
        <f t="shared" si="789"/>
        <v>0</v>
      </c>
      <c r="JH55" s="150">
        <f t="shared" si="789"/>
        <v>1</v>
      </c>
      <c r="JI55" s="150">
        <f t="shared" si="789"/>
        <v>0</v>
      </c>
      <c r="JJ55" s="150">
        <f t="shared" si="789"/>
        <v>0</v>
      </c>
      <c r="JK55" s="150">
        <f t="shared" si="789"/>
        <v>0</v>
      </c>
      <c r="JL55" s="150">
        <f t="shared" si="789"/>
        <v>0</v>
      </c>
      <c r="JM55" s="150">
        <f t="shared" si="789"/>
        <v>0</v>
      </c>
      <c r="JN55" s="150">
        <f t="shared" si="789"/>
        <v>0</v>
      </c>
      <c r="JO55" s="150">
        <f t="shared" si="789"/>
        <v>0</v>
      </c>
      <c r="JP55" s="150">
        <f t="shared" si="789"/>
        <v>1</v>
      </c>
      <c r="JQ55" s="150">
        <f t="shared" si="789"/>
        <v>0</v>
      </c>
      <c r="JR55" s="150">
        <f t="shared" si="789"/>
        <v>0</v>
      </c>
      <c r="JS55" s="150">
        <f t="shared" si="789"/>
        <v>0</v>
      </c>
      <c r="JT55" s="150">
        <f t="shared" si="789"/>
        <v>0</v>
      </c>
      <c r="JU55" s="150">
        <f t="shared" si="789"/>
        <v>0</v>
      </c>
      <c r="JV55" s="150">
        <f t="shared" si="789"/>
        <v>0</v>
      </c>
      <c r="JW55" s="150">
        <f t="shared" si="789"/>
        <v>0</v>
      </c>
      <c r="JX55" s="150">
        <f t="shared" si="789"/>
        <v>0</v>
      </c>
      <c r="JY55" s="150">
        <f t="shared" si="789"/>
        <v>0</v>
      </c>
      <c r="JZ55" s="150">
        <f t="shared" si="789"/>
        <v>0</v>
      </c>
      <c r="KA55" s="150">
        <f t="shared" si="789"/>
        <v>0</v>
      </c>
      <c r="KB55" s="150">
        <f t="shared" si="789"/>
        <v>0</v>
      </c>
      <c r="KC55" s="150">
        <f t="shared" si="789"/>
        <v>0</v>
      </c>
      <c r="KD55" s="150">
        <f t="shared" si="789"/>
        <v>0</v>
      </c>
      <c r="KE55" s="150">
        <f t="shared" si="789"/>
        <v>0</v>
      </c>
      <c r="KF55" s="150">
        <f t="shared" si="789"/>
        <v>0</v>
      </c>
      <c r="KG55" s="150">
        <f t="shared" si="789"/>
        <v>0</v>
      </c>
      <c r="KH55" s="150">
        <f t="shared" si="789"/>
        <v>0</v>
      </c>
      <c r="KI55" s="150">
        <f t="shared" si="789"/>
        <v>0</v>
      </c>
      <c r="KJ55" s="150">
        <f t="shared" si="789"/>
        <v>0</v>
      </c>
      <c r="KK55" s="150">
        <f t="shared" si="789"/>
        <v>0</v>
      </c>
      <c r="KL55" s="150">
        <f t="shared" si="789"/>
        <v>0</v>
      </c>
      <c r="KM55" s="150">
        <f t="shared" si="789"/>
        <v>0</v>
      </c>
      <c r="KN55" s="150">
        <f t="shared" si="789"/>
        <v>9</v>
      </c>
      <c r="KO55" s="150">
        <f t="shared" si="789"/>
        <v>2</v>
      </c>
      <c r="KP55" s="150">
        <f t="shared" si="789"/>
        <v>0</v>
      </c>
      <c r="KQ55" s="150">
        <f t="shared" si="789"/>
        <v>0</v>
      </c>
      <c r="KR55" s="150">
        <f t="shared" si="789"/>
        <v>0</v>
      </c>
      <c r="KS55" s="150">
        <f t="shared" si="789"/>
        <v>0</v>
      </c>
      <c r="KT55" s="150">
        <f t="shared" si="789"/>
        <v>0</v>
      </c>
      <c r="KU55" s="150">
        <f t="shared" si="789"/>
        <v>0</v>
      </c>
      <c r="KV55" s="150">
        <f t="shared" si="789"/>
        <v>34</v>
      </c>
      <c r="KW55" s="150">
        <f t="shared" si="789"/>
        <v>16</v>
      </c>
      <c r="KX55" s="150">
        <f t="shared" si="789"/>
        <v>50</v>
      </c>
      <c r="KY55" s="150">
        <f t="shared" si="789"/>
        <v>28</v>
      </c>
      <c r="KZ55" s="150">
        <f t="shared" si="789"/>
        <v>13</v>
      </c>
      <c r="LA55" s="150">
        <f t="shared" si="789"/>
        <v>0</v>
      </c>
      <c r="LB55" s="150">
        <f t="shared" si="789"/>
        <v>0</v>
      </c>
      <c r="LC55" s="150">
        <f t="shared" si="789"/>
        <v>3</v>
      </c>
      <c r="LD55" s="150">
        <f t="shared" si="789"/>
        <v>0</v>
      </c>
      <c r="LE55" s="150">
        <f t="shared" si="789"/>
        <v>0</v>
      </c>
      <c r="LF55" s="150">
        <f t="shared" si="789"/>
        <v>0</v>
      </c>
      <c r="LG55" s="150">
        <f t="shared" si="789"/>
        <v>1</v>
      </c>
      <c r="LH55" s="150">
        <f t="shared" si="789"/>
        <v>0</v>
      </c>
      <c r="LI55" s="150">
        <f t="shared" si="789"/>
        <v>1</v>
      </c>
      <c r="LJ55" s="150">
        <f t="shared" si="789"/>
        <v>3</v>
      </c>
      <c r="LK55" s="150">
        <f t="shared" si="789"/>
        <v>0</v>
      </c>
      <c r="LL55" s="150">
        <f t="shared" si="789"/>
        <v>0</v>
      </c>
      <c r="LM55" s="150">
        <f t="shared" si="789"/>
        <v>0</v>
      </c>
      <c r="LN55" s="150">
        <f t="shared" ref="LN55:NY55" si="790">LN43+LN27+LN15</f>
        <v>0</v>
      </c>
      <c r="LO55" s="150">
        <f t="shared" si="790"/>
        <v>1</v>
      </c>
      <c r="LP55" s="150">
        <f t="shared" si="790"/>
        <v>0</v>
      </c>
      <c r="LQ55" s="150">
        <f t="shared" si="790"/>
        <v>34</v>
      </c>
      <c r="LR55" s="150">
        <f t="shared" si="790"/>
        <v>16</v>
      </c>
      <c r="LS55" s="150">
        <f t="shared" si="790"/>
        <v>50</v>
      </c>
      <c r="LT55" s="150">
        <f t="shared" si="790"/>
        <v>2</v>
      </c>
      <c r="LU55" s="150">
        <f t="shared" si="790"/>
        <v>1</v>
      </c>
      <c r="LV55" s="150">
        <f t="shared" si="790"/>
        <v>12</v>
      </c>
      <c r="LW55" s="150">
        <f t="shared" si="790"/>
        <v>2</v>
      </c>
      <c r="LX55" s="150">
        <f t="shared" si="790"/>
        <v>0</v>
      </c>
      <c r="LY55" s="150">
        <f t="shared" si="790"/>
        <v>2</v>
      </c>
      <c r="LZ55" s="150">
        <f t="shared" si="790"/>
        <v>20</v>
      </c>
      <c r="MA55" s="150">
        <f t="shared" si="790"/>
        <v>11</v>
      </c>
      <c r="MB55" s="150">
        <f t="shared" si="790"/>
        <v>34</v>
      </c>
      <c r="MC55" s="150">
        <f t="shared" si="790"/>
        <v>16</v>
      </c>
      <c r="MD55" s="150">
        <f t="shared" si="790"/>
        <v>50</v>
      </c>
      <c r="ME55" s="150">
        <f t="shared" si="790"/>
        <v>0</v>
      </c>
      <c r="MF55" s="150">
        <f t="shared" si="790"/>
        <v>0</v>
      </c>
      <c r="MG55" s="150">
        <f t="shared" si="790"/>
        <v>3</v>
      </c>
      <c r="MH55" s="150">
        <f t="shared" si="790"/>
        <v>5</v>
      </c>
      <c r="MI55" s="150">
        <f t="shared" si="790"/>
        <v>16</v>
      </c>
      <c r="MJ55" s="150">
        <f t="shared" si="790"/>
        <v>6</v>
      </c>
      <c r="MK55" s="150">
        <f t="shared" si="790"/>
        <v>11</v>
      </c>
      <c r="ML55" s="150">
        <f t="shared" si="790"/>
        <v>5</v>
      </c>
      <c r="MM55" s="150">
        <f t="shared" si="790"/>
        <v>4</v>
      </c>
      <c r="MN55" s="150">
        <f t="shared" si="790"/>
        <v>0</v>
      </c>
      <c r="MO55" s="150">
        <f t="shared" si="790"/>
        <v>34</v>
      </c>
      <c r="MP55" s="150">
        <f t="shared" si="790"/>
        <v>16</v>
      </c>
      <c r="MQ55" s="150">
        <f t="shared" si="790"/>
        <v>50</v>
      </c>
      <c r="MR55" s="150">
        <f t="shared" si="790"/>
        <v>2</v>
      </c>
      <c r="MS55" s="150">
        <f t="shared" si="790"/>
        <v>2</v>
      </c>
      <c r="MT55" s="150">
        <f t="shared" si="790"/>
        <v>32</v>
      </c>
      <c r="MU55" s="150">
        <f t="shared" si="790"/>
        <v>13</v>
      </c>
      <c r="MV55" s="150">
        <f t="shared" si="790"/>
        <v>0</v>
      </c>
      <c r="MW55" s="150">
        <f t="shared" si="790"/>
        <v>0</v>
      </c>
      <c r="MX55" s="150">
        <f t="shared" si="790"/>
        <v>0</v>
      </c>
      <c r="MY55" s="150">
        <f t="shared" si="790"/>
        <v>1</v>
      </c>
      <c r="MZ55" s="150">
        <f t="shared" si="790"/>
        <v>34</v>
      </c>
      <c r="NA55" s="150">
        <f t="shared" si="790"/>
        <v>16</v>
      </c>
      <c r="NB55" s="150">
        <f t="shared" si="790"/>
        <v>50</v>
      </c>
      <c r="NC55" s="150">
        <f t="shared" si="790"/>
        <v>0</v>
      </c>
      <c r="ND55" s="150">
        <f t="shared" si="790"/>
        <v>0</v>
      </c>
      <c r="NE55" s="150">
        <f t="shared" si="790"/>
        <v>1</v>
      </c>
      <c r="NF55" s="150">
        <f t="shared" si="790"/>
        <v>0</v>
      </c>
      <c r="NG55" s="150">
        <f t="shared" si="790"/>
        <v>0</v>
      </c>
      <c r="NH55" s="150">
        <f t="shared" si="790"/>
        <v>0</v>
      </c>
      <c r="NI55" s="150">
        <f t="shared" si="790"/>
        <v>5</v>
      </c>
      <c r="NJ55" s="150">
        <f t="shared" si="790"/>
        <v>5</v>
      </c>
      <c r="NK55" s="150">
        <f t="shared" si="790"/>
        <v>22</v>
      </c>
      <c r="NL55" s="150">
        <f t="shared" si="790"/>
        <v>9</v>
      </c>
      <c r="NM55" s="150">
        <f t="shared" si="790"/>
        <v>0</v>
      </c>
      <c r="NN55" s="150">
        <f t="shared" si="790"/>
        <v>0</v>
      </c>
      <c r="NO55" s="150">
        <f t="shared" si="790"/>
        <v>0</v>
      </c>
      <c r="NP55" s="150">
        <f t="shared" si="790"/>
        <v>0</v>
      </c>
      <c r="NQ55" s="150">
        <f t="shared" si="790"/>
        <v>4</v>
      </c>
      <c r="NR55" s="150">
        <f t="shared" si="790"/>
        <v>2</v>
      </c>
      <c r="NS55" s="150">
        <f t="shared" si="790"/>
        <v>2</v>
      </c>
      <c r="NT55" s="150">
        <f t="shared" si="790"/>
        <v>0</v>
      </c>
      <c r="NU55" s="150">
        <f t="shared" si="790"/>
        <v>0</v>
      </c>
      <c r="NV55" s="150">
        <f t="shared" si="790"/>
        <v>0</v>
      </c>
      <c r="NW55" s="150">
        <f t="shared" si="790"/>
        <v>34</v>
      </c>
      <c r="NX55" s="150">
        <f t="shared" si="790"/>
        <v>16</v>
      </c>
      <c r="NY55" s="150">
        <f t="shared" si="790"/>
        <v>50</v>
      </c>
      <c r="NZ55" s="150">
        <f t="shared" ref="NZ55:QK55" si="791">NZ43+NZ27+NZ15</f>
        <v>0</v>
      </c>
      <c r="OA55" s="150">
        <f t="shared" si="791"/>
        <v>0</v>
      </c>
      <c r="OB55" s="150">
        <f t="shared" si="791"/>
        <v>0</v>
      </c>
      <c r="OC55" s="150">
        <f t="shared" si="791"/>
        <v>0</v>
      </c>
      <c r="OD55" s="150">
        <f t="shared" si="791"/>
        <v>0</v>
      </c>
      <c r="OE55" s="150">
        <f t="shared" si="791"/>
        <v>0</v>
      </c>
      <c r="OF55" s="150">
        <f t="shared" si="791"/>
        <v>0</v>
      </c>
      <c r="OG55" s="150">
        <f t="shared" si="791"/>
        <v>0</v>
      </c>
      <c r="OH55" s="150">
        <f t="shared" si="791"/>
        <v>0</v>
      </c>
      <c r="OI55" s="150">
        <f t="shared" si="791"/>
        <v>0</v>
      </c>
      <c r="OJ55" s="150">
        <f t="shared" si="791"/>
        <v>1</v>
      </c>
      <c r="OK55" s="150">
        <f t="shared" si="791"/>
        <v>1</v>
      </c>
      <c r="OL55" s="150">
        <f t="shared" si="791"/>
        <v>0</v>
      </c>
      <c r="OM55" s="150">
        <f t="shared" si="791"/>
        <v>0</v>
      </c>
      <c r="ON55" s="150">
        <f t="shared" si="791"/>
        <v>1</v>
      </c>
      <c r="OO55" s="150">
        <f t="shared" si="791"/>
        <v>0</v>
      </c>
      <c r="OP55" s="150">
        <f t="shared" si="791"/>
        <v>1</v>
      </c>
      <c r="OQ55" s="150">
        <f t="shared" si="791"/>
        <v>0</v>
      </c>
      <c r="OR55" s="150">
        <f t="shared" si="791"/>
        <v>0</v>
      </c>
      <c r="OS55" s="150">
        <f t="shared" si="791"/>
        <v>0</v>
      </c>
      <c r="OT55" s="150">
        <f t="shared" si="791"/>
        <v>1</v>
      </c>
      <c r="OU55" s="150">
        <f t="shared" si="791"/>
        <v>1</v>
      </c>
      <c r="OV55" s="150">
        <f t="shared" si="791"/>
        <v>0</v>
      </c>
      <c r="OW55" s="150"/>
      <c r="OX55" s="150"/>
      <c r="OY55" s="150">
        <f t="shared" si="791"/>
        <v>0</v>
      </c>
      <c r="OZ55" s="150">
        <f t="shared" si="791"/>
        <v>1</v>
      </c>
      <c r="PA55" s="150">
        <f t="shared" si="791"/>
        <v>0</v>
      </c>
      <c r="PB55" s="150">
        <f t="shared" si="791"/>
        <v>0</v>
      </c>
      <c r="PC55" s="150">
        <f t="shared" si="791"/>
        <v>0</v>
      </c>
      <c r="PD55" s="150">
        <f t="shared" si="791"/>
        <v>1</v>
      </c>
      <c r="PE55" s="150">
        <f t="shared" si="791"/>
        <v>0</v>
      </c>
      <c r="PF55" s="150">
        <f t="shared" si="791"/>
        <v>0</v>
      </c>
      <c r="PG55" s="150">
        <f t="shared" si="791"/>
        <v>0</v>
      </c>
      <c r="PH55" s="150">
        <f t="shared" si="791"/>
        <v>1</v>
      </c>
      <c r="PI55" s="150">
        <f t="shared" si="791"/>
        <v>0</v>
      </c>
      <c r="PJ55" s="150">
        <f t="shared" si="791"/>
        <v>1</v>
      </c>
      <c r="PK55" s="150">
        <f t="shared" si="791"/>
        <v>0</v>
      </c>
      <c r="PL55" s="150">
        <f t="shared" si="791"/>
        <v>6</v>
      </c>
      <c r="PM55" s="150">
        <f t="shared" si="791"/>
        <v>18</v>
      </c>
      <c r="PN55" s="150">
        <f t="shared" si="791"/>
        <v>7</v>
      </c>
      <c r="PO55" s="150">
        <f t="shared" si="791"/>
        <v>25</v>
      </c>
      <c r="PP55" s="150">
        <f t="shared" si="791"/>
        <v>1</v>
      </c>
      <c r="PQ55" s="150">
        <f t="shared" si="791"/>
        <v>0</v>
      </c>
      <c r="PR55" s="150">
        <f t="shared" si="791"/>
        <v>0</v>
      </c>
      <c r="PS55" s="150">
        <f t="shared" si="791"/>
        <v>0</v>
      </c>
      <c r="PT55" s="150">
        <f t="shared" si="791"/>
        <v>0</v>
      </c>
      <c r="PU55" s="150">
        <f t="shared" si="791"/>
        <v>0</v>
      </c>
      <c r="PV55" s="150">
        <f t="shared" si="791"/>
        <v>1</v>
      </c>
      <c r="PW55" s="150">
        <f t="shared" si="791"/>
        <v>0</v>
      </c>
      <c r="PX55" s="150">
        <f t="shared" si="791"/>
        <v>1</v>
      </c>
      <c r="PY55" s="150">
        <f t="shared" si="791"/>
        <v>0</v>
      </c>
      <c r="PZ55" s="150">
        <f t="shared" si="791"/>
        <v>1</v>
      </c>
      <c r="QA55" s="150">
        <f t="shared" si="791"/>
        <v>0</v>
      </c>
      <c r="QB55" s="150">
        <f t="shared" si="791"/>
        <v>1</v>
      </c>
      <c r="QC55" s="150">
        <f t="shared" si="791"/>
        <v>0</v>
      </c>
      <c r="QD55" s="150">
        <f t="shared" si="791"/>
        <v>1</v>
      </c>
      <c r="QE55" s="150">
        <f t="shared" si="791"/>
        <v>0</v>
      </c>
      <c r="QF55" s="150">
        <f t="shared" si="791"/>
        <v>0</v>
      </c>
      <c r="QG55" s="150">
        <f t="shared" si="791"/>
        <v>0</v>
      </c>
      <c r="QH55" s="150">
        <f t="shared" si="791"/>
        <v>0</v>
      </c>
      <c r="QI55" s="150">
        <f t="shared" si="791"/>
        <v>1</v>
      </c>
      <c r="QJ55" s="150">
        <f t="shared" si="791"/>
        <v>0</v>
      </c>
      <c r="QK55" s="150">
        <f t="shared" si="791"/>
        <v>0</v>
      </c>
      <c r="QL55" s="150">
        <f t="shared" ref="QL55:SP55" si="792">QL43+QL27+QL15</f>
        <v>1</v>
      </c>
      <c r="QM55" s="150">
        <f t="shared" si="792"/>
        <v>1</v>
      </c>
      <c r="QN55" s="150">
        <f t="shared" si="792"/>
        <v>0</v>
      </c>
      <c r="QO55" s="150">
        <f t="shared" si="792"/>
        <v>1</v>
      </c>
      <c r="QP55" s="150">
        <f t="shared" si="792"/>
        <v>0</v>
      </c>
      <c r="QQ55" s="150">
        <f t="shared" si="792"/>
        <v>0</v>
      </c>
      <c r="QR55" s="150">
        <f t="shared" si="792"/>
        <v>1</v>
      </c>
      <c r="QS55" s="150">
        <f t="shared" si="792"/>
        <v>0</v>
      </c>
      <c r="QT55" s="150">
        <f t="shared" si="792"/>
        <v>0</v>
      </c>
      <c r="QU55" s="150">
        <f t="shared" si="792"/>
        <v>1</v>
      </c>
      <c r="QV55" s="150">
        <f t="shared" si="792"/>
        <v>0</v>
      </c>
      <c r="QW55" s="150">
        <f t="shared" si="792"/>
        <v>0</v>
      </c>
      <c r="QX55" s="150">
        <f t="shared" si="792"/>
        <v>0</v>
      </c>
      <c r="QY55" s="150">
        <f t="shared" si="792"/>
        <v>0</v>
      </c>
      <c r="QZ55" s="150">
        <f t="shared" si="792"/>
        <v>1</v>
      </c>
      <c r="RA55" s="150">
        <f t="shared" si="792"/>
        <v>0</v>
      </c>
      <c r="RB55" s="150">
        <f t="shared" si="792"/>
        <v>1</v>
      </c>
      <c r="RC55" s="150">
        <f t="shared" si="792"/>
        <v>0</v>
      </c>
      <c r="RD55" s="150">
        <f t="shared" si="792"/>
        <v>1</v>
      </c>
      <c r="RE55" s="150">
        <f t="shared" si="792"/>
        <v>0</v>
      </c>
      <c r="RF55" s="150">
        <f t="shared" si="792"/>
        <v>1</v>
      </c>
      <c r="RG55" s="150">
        <f t="shared" si="792"/>
        <v>0</v>
      </c>
      <c r="RH55" s="150">
        <f t="shared" si="792"/>
        <v>0</v>
      </c>
      <c r="RI55" s="150">
        <f t="shared" si="792"/>
        <v>1</v>
      </c>
      <c r="RJ55" s="150">
        <f t="shared" si="792"/>
        <v>0</v>
      </c>
      <c r="RK55" s="150">
        <f t="shared" si="792"/>
        <v>0</v>
      </c>
      <c r="RL55" s="150">
        <f t="shared" si="792"/>
        <v>1</v>
      </c>
      <c r="RM55" s="150">
        <f t="shared" si="792"/>
        <v>0</v>
      </c>
      <c r="RN55" s="150">
        <f t="shared" si="792"/>
        <v>0</v>
      </c>
      <c r="RO55" s="150">
        <f t="shared" si="792"/>
        <v>0</v>
      </c>
      <c r="RP55" s="150">
        <f t="shared" si="792"/>
        <v>0</v>
      </c>
      <c r="RQ55" s="150">
        <f t="shared" si="792"/>
        <v>0</v>
      </c>
      <c r="RR55" s="150">
        <f t="shared" si="792"/>
        <v>0</v>
      </c>
      <c r="RS55" s="150">
        <f t="shared" si="792"/>
        <v>0</v>
      </c>
      <c r="RT55" s="150">
        <f t="shared" si="792"/>
        <v>0</v>
      </c>
      <c r="RU55" s="150">
        <f t="shared" si="792"/>
        <v>10</v>
      </c>
      <c r="RV55" s="150">
        <f t="shared" si="792"/>
        <v>20</v>
      </c>
      <c r="RW55" s="150">
        <f t="shared" si="792"/>
        <v>2</v>
      </c>
      <c r="RX55" s="150">
        <f t="shared" si="792"/>
        <v>2</v>
      </c>
      <c r="RY55" s="150">
        <f t="shared" si="792"/>
        <v>1</v>
      </c>
      <c r="RZ55" s="150">
        <f t="shared" si="792"/>
        <v>3</v>
      </c>
      <c r="SA55" s="150">
        <f t="shared" si="792"/>
        <v>0</v>
      </c>
      <c r="SB55" s="150">
        <f t="shared" si="792"/>
        <v>1</v>
      </c>
      <c r="SC55" s="150">
        <f t="shared" si="792"/>
        <v>0</v>
      </c>
      <c r="SD55" s="150">
        <f t="shared" si="792"/>
        <v>0</v>
      </c>
      <c r="SE55" s="150">
        <f t="shared" si="792"/>
        <v>0</v>
      </c>
      <c r="SF55" s="150">
        <f t="shared" si="792"/>
        <v>0</v>
      </c>
      <c r="SG55" s="150">
        <f t="shared" si="792"/>
        <v>0</v>
      </c>
      <c r="SH55" s="150">
        <f t="shared" si="792"/>
        <v>0</v>
      </c>
      <c r="SI55" s="150">
        <f t="shared" si="792"/>
        <v>0</v>
      </c>
      <c r="SJ55" s="150">
        <f t="shared" si="792"/>
        <v>0</v>
      </c>
      <c r="SK55" s="150">
        <f t="shared" si="792"/>
        <v>0</v>
      </c>
      <c r="SL55" s="150">
        <f t="shared" si="792"/>
        <v>0</v>
      </c>
      <c r="SM55" s="150">
        <f t="shared" si="792"/>
        <v>0</v>
      </c>
      <c r="SN55" s="150">
        <f t="shared" si="792"/>
        <v>0</v>
      </c>
      <c r="SO55" s="150">
        <f t="shared" si="792"/>
        <v>7</v>
      </c>
      <c r="SP55" s="150">
        <f t="shared" si="792"/>
        <v>7</v>
      </c>
      <c r="SQ55" s="150"/>
      <c r="SR55" s="150"/>
      <c r="SS55" s="181"/>
    </row>
    <row r="56" spans="1:513" s="153" customFormat="1" ht="20.25" customHeight="1">
      <c r="A56" s="316" t="s">
        <v>473</v>
      </c>
      <c r="B56" s="317"/>
      <c r="C56" s="317"/>
      <c r="D56" s="317"/>
      <c r="E56" s="318"/>
      <c r="F56" s="152">
        <f>F45+F18+F28+F44</f>
        <v>1</v>
      </c>
      <c r="G56" s="152">
        <f t="shared" ref="G56:BR56" si="793">G45+G18+G28+G44</f>
        <v>1</v>
      </c>
      <c r="H56" s="152">
        <f t="shared" si="793"/>
        <v>0</v>
      </c>
      <c r="I56" s="152">
        <f t="shared" si="793"/>
        <v>2</v>
      </c>
      <c r="J56" s="152">
        <f t="shared" si="793"/>
        <v>0</v>
      </c>
      <c r="K56" s="152">
        <f t="shared" si="793"/>
        <v>2</v>
      </c>
      <c r="L56" s="152">
        <f t="shared" si="793"/>
        <v>0</v>
      </c>
      <c r="M56" s="152">
        <f t="shared" si="793"/>
        <v>0</v>
      </c>
      <c r="N56" s="152">
        <f t="shared" si="793"/>
        <v>0</v>
      </c>
      <c r="O56" s="152">
        <f t="shared" si="793"/>
        <v>2</v>
      </c>
      <c r="P56" s="152">
        <f t="shared" si="793"/>
        <v>0</v>
      </c>
      <c r="Q56" s="152">
        <f t="shared" si="793"/>
        <v>1</v>
      </c>
      <c r="R56" s="152">
        <f t="shared" si="793"/>
        <v>0</v>
      </c>
      <c r="S56" s="152">
        <f t="shared" si="793"/>
        <v>1</v>
      </c>
      <c r="T56" s="152">
        <f t="shared" si="793"/>
        <v>0</v>
      </c>
      <c r="U56" s="152">
        <f t="shared" si="793"/>
        <v>1</v>
      </c>
      <c r="V56" s="152">
        <f t="shared" si="793"/>
        <v>58</v>
      </c>
      <c r="W56" s="152">
        <f t="shared" si="793"/>
        <v>31</v>
      </c>
      <c r="X56" s="152">
        <f t="shared" si="793"/>
        <v>125</v>
      </c>
      <c r="Y56" s="152">
        <f t="shared" si="793"/>
        <v>33</v>
      </c>
      <c r="Z56" s="152">
        <f t="shared" si="793"/>
        <v>53</v>
      </c>
      <c r="AA56" s="152">
        <f t="shared" si="793"/>
        <v>41</v>
      </c>
      <c r="AB56" s="152">
        <f t="shared" si="793"/>
        <v>35</v>
      </c>
      <c r="AC56" s="152">
        <f t="shared" si="793"/>
        <v>30</v>
      </c>
      <c r="AD56" s="152">
        <f t="shared" si="793"/>
        <v>13</v>
      </c>
      <c r="AE56" s="152">
        <f t="shared" si="793"/>
        <v>23</v>
      </c>
      <c r="AF56" s="152">
        <f t="shared" si="793"/>
        <v>284</v>
      </c>
      <c r="AG56" s="152">
        <f t="shared" si="793"/>
        <v>158</v>
      </c>
      <c r="AH56" s="152">
        <f t="shared" si="793"/>
        <v>442</v>
      </c>
      <c r="AI56" s="152">
        <f t="shared" si="793"/>
        <v>58</v>
      </c>
      <c r="AJ56" s="152">
        <f t="shared" si="793"/>
        <v>31</v>
      </c>
      <c r="AK56" s="152">
        <f t="shared" si="793"/>
        <v>125</v>
      </c>
      <c r="AL56" s="152">
        <f t="shared" si="793"/>
        <v>33</v>
      </c>
      <c r="AM56" s="152">
        <f t="shared" si="793"/>
        <v>53</v>
      </c>
      <c r="AN56" s="152">
        <f t="shared" si="793"/>
        <v>41</v>
      </c>
      <c r="AO56" s="152">
        <f t="shared" si="793"/>
        <v>35</v>
      </c>
      <c r="AP56" s="152">
        <f t="shared" si="793"/>
        <v>30</v>
      </c>
      <c r="AQ56" s="152">
        <f t="shared" si="793"/>
        <v>13</v>
      </c>
      <c r="AR56" s="152">
        <f t="shared" si="793"/>
        <v>23</v>
      </c>
      <c r="AS56" s="152">
        <f t="shared" si="793"/>
        <v>284</v>
      </c>
      <c r="AT56" s="152">
        <f t="shared" si="793"/>
        <v>158</v>
      </c>
      <c r="AU56" s="152">
        <f t="shared" si="793"/>
        <v>442</v>
      </c>
      <c r="AV56" s="152">
        <f t="shared" si="793"/>
        <v>8</v>
      </c>
      <c r="AW56" s="152">
        <f t="shared" si="793"/>
        <v>10</v>
      </c>
      <c r="AX56" s="152">
        <f t="shared" si="793"/>
        <v>20</v>
      </c>
      <c r="AY56" s="152">
        <f t="shared" si="793"/>
        <v>13</v>
      </c>
      <c r="AZ56" s="152">
        <f t="shared" si="793"/>
        <v>29</v>
      </c>
      <c r="BA56" s="152">
        <f t="shared" si="793"/>
        <v>11</v>
      </c>
      <c r="BB56" s="152">
        <f t="shared" si="793"/>
        <v>32</v>
      </c>
      <c r="BC56" s="152">
        <f t="shared" si="793"/>
        <v>9</v>
      </c>
      <c r="BD56" s="152">
        <f t="shared" si="793"/>
        <v>23</v>
      </c>
      <c r="BE56" s="152">
        <f t="shared" si="793"/>
        <v>11</v>
      </c>
      <c r="BF56" s="152">
        <f t="shared" si="793"/>
        <v>112</v>
      </c>
      <c r="BG56" s="152">
        <f t="shared" si="793"/>
        <v>54</v>
      </c>
      <c r="BH56" s="152">
        <f t="shared" si="793"/>
        <v>166</v>
      </c>
      <c r="BI56" s="152">
        <f t="shared" si="793"/>
        <v>11</v>
      </c>
      <c r="BJ56" s="152">
        <f t="shared" si="793"/>
        <v>3</v>
      </c>
      <c r="BK56" s="152">
        <f t="shared" si="793"/>
        <v>40</v>
      </c>
      <c r="BL56" s="152">
        <f t="shared" si="793"/>
        <v>11</v>
      </c>
      <c r="BM56" s="152">
        <f t="shared" si="793"/>
        <v>24</v>
      </c>
      <c r="BN56" s="152">
        <f t="shared" si="793"/>
        <v>9</v>
      </c>
      <c r="BO56" s="152">
        <f t="shared" si="793"/>
        <v>26</v>
      </c>
      <c r="BP56" s="152">
        <f t="shared" si="793"/>
        <v>12</v>
      </c>
      <c r="BQ56" s="152">
        <f t="shared" si="793"/>
        <v>16</v>
      </c>
      <c r="BR56" s="152">
        <f t="shared" si="793"/>
        <v>3</v>
      </c>
      <c r="BS56" s="152">
        <f t="shared" ref="BS56:ED56" si="794">BS45+BS18+BS28+BS44</f>
        <v>117</v>
      </c>
      <c r="BT56" s="152">
        <f t="shared" si="794"/>
        <v>38</v>
      </c>
      <c r="BU56" s="152">
        <f t="shared" si="794"/>
        <v>155</v>
      </c>
      <c r="BV56" s="152">
        <f t="shared" si="794"/>
        <v>58</v>
      </c>
      <c r="BW56" s="152">
        <f t="shared" si="794"/>
        <v>31</v>
      </c>
      <c r="BX56" s="152">
        <f t="shared" si="794"/>
        <v>133</v>
      </c>
      <c r="BY56" s="152">
        <f t="shared" si="794"/>
        <v>43</v>
      </c>
      <c r="BZ56" s="152">
        <f t="shared" si="794"/>
        <v>84</v>
      </c>
      <c r="CA56" s="152">
        <f t="shared" si="794"/>
        <v>57</v>
      </c>
      <c r="CB56" s="152">
        <f t="shared" si="794"/>
        <v>104</v>
      </c>
      <c r="CC56" s="152">
        <f t="shared" si="794"/>
        <v>52</v>
      </c>
      <c r="CD56" s="152">
        <f t="shared" si="794"/>
        <v>69</v>
      </c>
      <c r="CE56" s="152">
        <f t="shared" si="794"/>
        <v>41</v>
      </c>
      <c r="CF56" s="152">
        <f t="shared" si="794"/>
        <v>49</v>
      </c>
      <c r="CG56" s="152">
        <f t="shared" si="794"/>
        <v>23</v>
      </c>
      <c r="CH56" s="152">
        <f t="shared" si="794"/>
        <v>16</v>
      </c>
      <c r="CI56" s="152">
        <f t="shared" si="794"/>
        <v>3</v>
      </c>
      <c r="CJ56" s="152">
        <f t="shared" si="794"/>
        <v>513</v>
      </c>
      <c r="CK56" s="152">
        <f t="shared" si="794"/>
        <v>250</v>
      </c>
      <c r="CL56" s="152">
        <f t="shared" si="794"/>
        <v>763</v>
      </c>
      <c r="CM56" s="152">
        <f t="shared" si="794"/>
        <v>8</v>
      </c>
      <c r="CN56" s="152">
        <f t="shared" si="794"/>
        <v>6</v>
      </c>
      <c r="CO56" s="152">
        <f t="shared" si="794"/>
        <v>0</v>
      </c>
      <c r="CP56" s="152">
        <f t="shared" si="794"/>
        <v>6</v>
      </c>
      <c r="CQ56" s="152">
        <f t="shared" si="794"/>
        <v>2</v>
      </c>
      <c r="CR56" s="152">
        <f t="shared" si="794"/>
        <v>0</v>
      </c>
      <c r="CS56" s="152">
        <f t="shared" si="794"/>
        <v>5</v>
      </c>
      <c r="CT56" s="152">
        <f t="shared" si="794"/>
        <v>2</v>
      </c>
      <c r="CU56" s="152">
        <f t="shared" si="794"/>
        <v>0</v>
      </c>
      <c r="CV56" s="152">
        <f t="shared" si="794"/>
        <v>19</v>
      </c>
      <c r="CW56" s="152">
        <f t="shared" si="794"/>
        <v>10</v>
      </c>
      <c r="CX56" s="152">
        <f t="shared" si="794"/>
        <v>0</v>
      </c>
      <c r="CY56" s="152">
        <f t="shared" si="794"/>
        <v>29</v>
      </c>
      <c r="CZ56" s="152">
        <f t="shared" si="794"/>
        <v>12</v>
      </c>
      <c r="DA56" s="152">
        <f t="shared" si="794"/>
        <v>0</v>
      </c>
      <c r="DB56" s="152">
        <f t="shared" si="794"/>
        <v>4</v>
      </c>
      <c r="DC56" s="152">
        <f t="shared" si="794"/>
        <v>0</v>
      </c>
      <c r="DD56" s="152">
        <f t="shared" si="794"/>
        <v>20</v>
      </c>
      <c r="DE56" s="152">
        <f t="shared" si="794"/>
        <v>0</v>
      </c>
      <c r="DF56" s="152">
        <f t="shared" si="794"/>
        <v>36</v>
      </c>
      <c r="DG56" s="152">
        <f t="shared" si="794"/>
        <v>0</v>
      </c>
      <c r="DH56" s="152">
        <f t="shared" si="794"/>
        <v>36</v>
      </c>
      <c r="DI56" s="152">
        <f t="shared" si="794"/>
        <v>0</v>
      </c>
      <c r="DJ56" s="152">
        <f t="shared" si="794"/>
        <v>0</v>
      </c>
      <c r="DK56" s="152">
        <f t="shared" si="794"/>
        <v>0</v>
      </c>
      <c r="DL56" s="152">
        <f t="shared" si="794"/>
        <v>0</v>
      </c>
      <c r="DM56" s="152">
        <f t="shared" si="794"/>
        <v>0</v>
      </c>
      <c r="DN56" s="152">
        <f t="shared" si="794"/>
        <v>0</v>
      </c>
      <c r="DO56" s="152">
        <f t="shared" si="794"/>
        <v>0</v>
      </c>
      <c r="DP56" s="152">
        <f t="shared" si="794"/>
        <v>0</v>
      </c>
      <c r="DQ56" s="152">
        <f t="shared" si="794"/>
        <v>0</v>
      </c>
      <c r="DR56" s="152">
        <f t="shared" si="794"/>
        <v>105</v>
      </c>
      <c r="DS56" s="152">
        <f t="shared" si="794"/>
        <v>58</v>
      </c>
      <c r="DT56" s="152">
        <f t="shared" si="794"/>
        <v>75</v>
      </c>
      <c r="DU56" s="152">
        <f t="shared" si="794"/>
        <v>38</v>
      </c>
      <c r="DV56" s="152">
        <f t="shared" si="794"/>
        <v>81</v>
      </c>
      <c r="DW56" s="152">
        <f t="shared" si="794"/>
        <v>40</v>
      </c>
      <c r="DX56" s="152">
        <f t="shared" si="794"/>
        <v>261</v>
      </c>
      <c r="DY56" s="152">
        <f t="shared" si="794"/>
        <v>136</v>
      </c>
      <c r="DZ56" s="152">
        <f t="shared" si="794"/>
        <v>397</v>
      </c>
      <c r="EA56" s="152">
        <f t="shared" si="794"/>
        <v>17</v>
      </c>
      <c r="EB56" s="152">
        <f t="shared" si="794"/>
        <v>0</v>
      </c>
      <c r="EC56" s="152">
        <f t="shared" si="794"/>
        <v>12</v>
      </c>
      <c r="ED56" s="152">
        <f t="shared" si="794"/>
        <v>1</v>
      </c>
      <c r="EE56" s="152">
        <f t="shared" ref="EE56:GP56" si="795">EE45+EE18+EE28+EE44</f>
        <v>26</v>
      </c>
      <c r="EF56" s="152">
        <f t="shared" si="795"/>
        <v>2</v>
      </c>
      <c r="EG56" s="152">
        <f t="shared" si="795"/>
        <v>55</v>
      </c>
      <c r="EH56" s="152">
        <f t="shared" si="795"/>
        <v>3</v>
      </c>
      <c r="EI56" s="152">
        <f t="shared" si="795"/>
        <v>58</v>
      </c>
      <c r="EJ56" s="152">
        <f t="shared" si="795"/>
        <v>0</v>
      </c>
      <c r="EK56" s="152">
        <f t="shared" si="795"/>
        <v>0</v>
      </c>
      <c r="EL56" s="152">
        <f t="shared" si="795"/>
        <v>0</v>
      </c>
      <c r="EM56" s="152">
        <f t="shared" si="795"/>
        <v>0</v>
      </c>
      <c r="EN56" s="152">
        <f t="shared" si="795"/>
        <v>0</v>
      </c>
      <c r="EO56" s="152">
        <f t="shared" si="795"/>
        <v>0</v>
      </c>
      <c r="EP56" s="152">
        <f t="shared" si="795"/>
        <v>0</v>
      </c>
      <c r="EQ56" s="152">
        <f t="shared" si="795"/>
        <v>0</v>
      </c>
      <c r="ER56" s="152">
        <f t="shared" si="795"/>
        <v>0</v>
      </c>
      <c r="ES56" s="152">
        <f t="shared" si="795"/>
        <v>0</v>
      </c>
      <c r="ET56" s="152">
        <f t="shared" si="795"/>
        <v>0</v>
      </c>
      <c r="EU56" s="152">
        <f t="shared" si="795"/>
        <v>0</v>
      </c>
      <c r="EV56" s="152">
        <f t="shared" si="795"/>
        <v>0</v>
      </c>
      <c r="EW56" s="152">
        <f t="shared" si="795"/>
        <v>0</v>
      </c>
      <c r="EX56" s="152">
        <f t="shared" si="795"/>
        <v>0</v>
      </c>
      <c r="EY56" s="152">
        <f t="shared" si="795"/>
        <v>0</v>
      </c>
      <c r="EZ56" s="152">
        <f t="shared" si="795"/>
        <v>0</v>
      </c>
      <c r="FA56" s="152">
        <f t="shared" si="795"/>
        <v>0</v>
      </c>
      <c r="FB56" s="152">
        <f t="shared" si="795"/>
        <v>1</v>
      </c>
      <c r="FC56" s="152">
        <f t="shared" si="795"/>
        <v>1</v>
      </c>
      <c r="FD56" s="152">
        <f t="shared" si="795"/>
        <v>2</v>
      </c>
      <c r="FE56" s="152">
        <f t="shared" si="795"/>
        <v>1</v>
      </c>
      <c r="FF56" s="152">
        <f t="shared" si="795"/>
        <v>33</v>
      </c>
      <c r="FG56" s="152">
        <f t="shared" si="795"/>
        <v>40</v>
      </c>
      <c r="FH56" s="152">
        <f t="shared" si="795"/>
        <v>13</v>
      </c>
      <c r="FI56" s="152">
        <f t="shared" si="795"/>
        <v>19</v>
      </c>
      <c r="FJ56" s="152">
        <f t="shared" si="795"/>
        <v>0</v>
      </c>
      <c r="FK56" s="152">
        <f t="shared" si="795"/>
        <v>0</v>
      </c>
      <c r="FL56" s="152">
        <f t="shared" si="795"/>
        <v>49</v>
      </c>
      <c r="FM56" s="152">
        <f t="shared" si="795"/>
        <v>61</v>
      </c>
      <c r="FN56" s="152">
        <f t="shared" si="795"/>
        <v>110</v>
      </c>
      <c r="FO56" s="152">
        <f t="shared" si="795"/>
        <v>0</v>
      </c>
      <c r="FP56" s="152">
        <f t="shared" si="795"/>
        <v>0</v>
      </c>
      <c r="FQ56" s="152">
        <f t="shared" si="795"/>
        <v>0</v>
      </c>
      <c r="FR56" s="152">
        <f t="shared" si="795"/>
        <v>0</v>
      </c>
      <c r="FS56" s="152">
        <f t="shared" si="795"/>
        <v>1</v>
      </c>
      <c r="FT56" s="152">
        <f t="shared" si="795"/>
        <v>0</v>
      </c>
      <c r="FU56" s="152">
        <f t="shared" si="795"/>
        <v>0</v>
      </c>
      <c r="FV56" s="152">
        <f t="shared" si="795"/>
        <v>0</v>
      </c>
      <c r="FW56" s="152">
        <f t="shared" si="795"/>
        <v>6</v>
      </c>
      <c r="FX56" s="152">
        <f t="shared" si="795"/>
        <v>1</v>
      </c>
      <c r="FY56" s="152">
        <f t="shared" si="795"/>
        <v>0</v>
      </c>
      <c r="FZ56" s="152">
        <f t="shared" si="795"/>
        <v>0</v>
      </c>
      <c r="GA56" s="152">
        <f t="shared" si="795"/>
        <v>0</v>
      </c>
      <c r="GB56" s="152">
        <f t="shared" si="795"/>
        <v>0</v>
      </c>
      <c r="GC56" s="152">
        <f t="shared" si="795"/>
        <v>0</v>
      </c>
      <c r="GD56" s="152">
        <f t="shared" si="795"/>
        <v>0</v>
      </c>
      <c r="GE56" s="152">
        <f t="shared" si="795"/>
        <v>0</v>
      </c>
      <c r="GF56" s="152">
        <f t="shared" si="795"/>
        <v>0</v>
      </c>
      <c r="GG56" s="152">
        <f t="shared" si="795"/>
        <v>7</v>
      </c>
      <c r="GH56" s="152">
        <f t="shared" si="795"/>
        <v>1</v>
      </c>
      <c r="GI56" s="152">
        <f t="shared" si="795"/>
        <v>8</v>
      </c>
      <c r="GJ56" s="152">
        <f t="shared" si="795"/>
        <v>1</v>
      </c>
      <c r="GK56" s="152">
        <f t="shared" si="795"/>
        <v>4</v>
      </c>
      <c r="GL56" s="152">
        <f t="shared" si="795"/>
        <v>2</v>
      </c>
      <c r="GM56" s="152">
        <f t="shared" si="795"/>
        <v>0</v>
      </c>
      <c r="GN56" s="152">
        <f t="shared" si="795"/>
        <v>2</v>
      </c>
      <c r="GO56" s="152">
        <f t="shared" si="795"/>
        <v>4</v>
      </c>
      <c r="GP56" s="152">
        <f t="shared" si="795"/>
        <v>0</v>
      </c>
      <c r="GQ56" s="152">
        <f t="shared" ref="GQ56:JB56" si="796">GQ45+GQ18+GQ28+GQ44</f>
        <v>0</v>
      </c>
      <c r="GR56" s="152">
        <f t="shared" si="796"/>
        <v>1</v>
      </c>
      <c r="GS56" s="152">
        <f t="shared" si="796"/>
        <v>2</v>
      </c>
      <c r="GT56" s="152">
        <f t="shared" si="796"/>
        <v>0</v>
      </c>
      <c r="GU56" s="152">
        <f t="shared" si="796"/>
        <v>3</v>
      </c>
      <c r="GV56" s="152">
        <f t="shared" si="796"/>
        <v>1</v>
      </c>
      <c r="GW56" s="152">
        <f t="shared" si="796"/>
        <v>2</v>
      </c>
      <c r="GX56" s="152">
        <f t="shared" si="796"/>
        <v>0</v>
      </c>
      <c r="GY56" s="152">
        <f t="shared" si="796"/>
        <v>0</v>
      </c>
      <c r="GZ56" s="152">
        <f t="shared" si="796"/>
        <v>0</v>
      </c>
      <c r="HA56" s="152">
        <f t="shared" si="796"/>
        <v>0</v>
      </c>
      <c r="HB56" s="152">
        <f t="shared" si="796"/>
        <v>0</v>
      </c>
      <c r="HC56" s="152">
        <f t="shared" si="796"/>
        <v>0</v>
      </c>
      <c r="HD56" s="152">
        <f t="shared" si="796"/>
        <v>0</v>
      </c>
      <c r="HE56" s="152">
        <f t="shared" si="796"/>
        <v>0</v>
      </c>
      <c r="HF56" s="152">
        <f t="shared" si="796"/>
        <v>0</v>
      </c>
      <c r="HG56" s="152">
        <f t="shared" si="796"/>
        <v>0</v>
      </c>
      <c r="HH56" s="152">
        <f t="shared" si="796"/>
        <v>0</v>
      </c>
      <c r="HI56" s="152">
        <f t="shared" si="796"/>
        <v>0</v>
      </c>
      <c r="HJ56" s="152">
        <f t="shared" si="796"/>
        <v>0</v>
      </c>
      <c r="HK56" s="152">
        <f t="shared" si="796"/>
        <v>0</v>
      </c>
      <c r="HL56" s="152">
        <f t="shared" si="796"/>
        <v>0</v>
      </c>
      <c r="HM56" s="152">
        <f t="shared" si="796"/>
        <v>0</v>
      </c>
      <c r="HN56" s="152">
        <f t="shared" si="796"/>
        <v>0</v>
      </c>
      <c r="HO56" s="152">
        <f t="shared" si="796"/>
        <v>0</v>
      </c>
      <c r="HP56" s="152">
        <f t="shared" si="796"/>
        <v>1</v>
      </c>
      <c r="HQ56" s="152">
        <f t="shared" si="796"/>
        <v>0</v>
      </c>
      <c r="HR56" s="152">
        <f t="shared" si="796"/>
        <v>0</v>
      </c>
      <c r="HS56" s="152">
        <f t="shared" si="796"/>
        <v>1</v>
      </c>
      <c r="HT56" s="152">
        <f t="shared" si="796"/>
        <v>0</v>
      </c>
      <c r="HU56" s="152">
        <f t="shared" si="796"/>
        <v>0</v>
      </c>
      <c r="HV56" s="152">
        <f t="shared" si="796"/>
        <v>3</v>
      </c>
      <c r="HW56" s="152">
        <f t="shared" si="796"/>
        <v>0</v>
      </c>
      <c r="HX56" s="152">
        <f t="shared" si="796"/>
        <v>1</v>
      </c>
      <c r="HY56" s="152">
        <f t="shared" si="796"/>
        <v>0</v>
      </c>
      <c r="HZ56" s="152">
        <f t="shared" si="796"/>
        <v>0</v>
      </c>
      <c r="IA56" s="152">
        <f t="shared" si="796"/>
        <v>0</v>
      </c>
      <c r="IB56" s="152">
        <f t="shared" si="796"/>
        <v>0</v>
      </c>
      <c r="IC56" s="152">
        <f t="shared" si="796"/>
        <v>0</v>
      </c>
      <c r="ID56" s="152">
        <f t="shared" si="796"/>
        <v>0</v>
      </c>
      <c r="IE56" s="152">
        <f t="shared" si="796"/>
        <v>0</v>
      </c>
      <c r="IF56" s="152">
        <f t="shared" si="796"/>
        <v>2</v>
      </c>
      <c r="IG56" s="152">
        <f t="shared" si="796"/>
        <v>1</v>
      </c>
      <c r="IH56" s="152">
        <f t="shared" si="796"/>
        <v>5</v>
      </c>
      <c r="II56" s="152">
        <f t="shared" si="796"/>
        <v>1</v>
      </c>
      <c r="IJ56" s="152">
        <f t="shared" si="796"/>
        <v>2</v>
      </c>
      <c r="IK56" s="152">
        <f t="shared" si="796"/>
        <v>1</v>
      </c>
      <c r="IL56" s="152">
        <f t="shared" si="796"/>
        <v>0</v>
      </c>
      <c r="IM56" s="152">
        <f t="shared" si="796"/>
        <v>0</v>
      </c>
      <c r="IN56" s="152">
        <f t="shared" si="796"/>
        <v>0</v>
      </c>
      <c r="IO56" s="152">
        <f t="shared" si="796"/>
        <v>0</v>
      </c>
      <c r="IP56" s="152">
        <f t="shared" si="796"/>
        <v>0</v>
      </c>
      <c r="IQ56" s="152">
        <f t="shared" si="796"/>
        <v>0</v>
      </c>
      <c r="IR56" s="152">
        <f t="shared" si="796"/>
        <v>0</v>
      </c>
      <c r="IS56" s="152">
        <f t="shared" si="796"/>
        <v>0</v>
      </c>
      <c r="IT56" s="152">
        <f t="shared" si="796"/>
        <v>0</v>
      </c>
      <c r="IU56" s="152">
        <f t="shared" si="796"/>
        <v>0</v>
      </c>
      <c r="IV56" s="152">
        <f t="shared" si="796"/>
        <v>0</v>
      </c>
      <c r="IW56" s="152">
        <f t="shared" si="796"/>
        <v>0</v>
      </c>
      <c r="IX56" s="152">
        <f t="shared" si="796"/>
        <v>0</v>
      </c>
      <c r="IY56" s="152">
        <f t="shared" si="796"/>
        <v>0</v>
      </c>
      <c r="IZ56" s="152">
        <f t="shared" si="796"/>
        <v>0</v>
      </c>
      <c r="JA56" s="152">
        <f t="shared" si="796"/>
        <v>0</v>
      </c>
      <c r="JB56" s="152">
        <f t="shared" si="796"/>
        <v>0</v>
      </c>
      <c r="JC56" s="152">
        <f t="shared" ref="JC56:LN56" si="797">JC45+JC18+JC28+JC44</f>
        <v>0</v>
      </c>
      <c r="JD56" s="152">
        <f t="shared" si="797"/>
        <v>0</v>
      </c>
      <c r="JE56" s="152">
        <f t="shared" si="797"/>
        <v>0</v>
      </c>
      <c r="JF56" s="152">
        <f t="shared" si="797"/>
        <v>0</v>
      </c>
      <c r="JG56" s="152">
        <f t="shared" si="797"/>
        <v>0</v>
      </c>
      <c r="JH56" s="152">
        <f t="shared" si="797"/>
        <v>0</v>
      </c>
      <c r="JI56" s="152">
        <f t="shared" si="797"/>
        <v>0</v>
      </c>
      <c r="JJ56" s="152">
        <f t="shared" si="797"/>
        <v>0</v>
      </c>
      <c r="JK56" s="152">
        <f t="shared" si="797"/>
        <v>0</v>
      </c>
      <c r="JL56" s="152">
        <f t="shared" si="797"/>
        <v>0</v>
      </c>
      <c r="JM56" s="152">
        <f t="shared" si="797"/>
        <v>0</v>
      </c>
      <c r="JN56" s="152">
        <f t="shared" si="797"/>
        <v>3</v>
      </c>
      <c r="JO56" s="152">
        <f t="shared" si="797"/>
        <v>1</v>
      </c>
      <c r="JP56" s="152">
        <f t="shared" si="797"/>
        <v>0</v>
      </c>
      <c r="JQ56" s="152">
        <f t="shared" si="797"/>
        <v>1</v>
      </c>
      <c r="JR56" s="152">
        <f t="shared" si="797"/>
        <v>0</v>
      </c>
      <c r="JS56" s="152">
        <f t="shared" si="797"/>
        <v>1</v>
      </c>
      <c r="JT56" s="152">
        <f t="shared" si="797"/>
        <v>0</v>
      </c>
      <c r="JU56" s="152">
        <f t="shared" si="797"/>
        <v>4</v>
      </c>
      <c r="JV56" s="152">
        <f t="shared" si="797"/>
        <v>0</v>
      </c>
      <c r="JW56" s="152">
        <f t="shared" si="797"/>
        <v>0</v>
      </c>
      <c r="JX56" s="152">
        <f t="shared" si="797"/>
        <v>0</v>
      </c>
      <c r="JY56" s="152">
        <f t="shared" si="797"/>
        <v>0</v>
      </c>
      <c r="JZ56" s="152">
        <f t="shared" si="797"/>
        <v>0</v>
      </c>
      <c r="KA56" s="152">
        <f t="shared" si="797"/>
        <v>0</v>
      </c>
      <c r="KB56" s="152">
        <f t="shared" si="797"/>
        <v>0</v>
      </c>
      <c r="KC56" s="152">
        <f t="shared" si="797"/>
        <v>0</v>
      </c>
      <c r="KD56" s="152">
        <f t="shared" si="797"/>
        <v>0</v>
      </c>
      <c r="KE56" s="152">
        <f t="shared" si="797"/>
        <v>1</v>
      </c>
      <c r="KF56" s="152">
        <f t="shared" si="797"/>
        <v>0</v>
      </c>
      <c r="KG56" s="152">
        <f t="shared" si="797"/>
        <v>0</v>
      </c>
      <c r="KH56" s="152">
        <f t="shared" si="797"/>
        <v>0</v>
      </c>
      <c r="KI56" s="152">
        <f t="shared" si="797"/>
        <v>0</v>
      </c>
      <c r="KJ56" s="152">
        <f t="shared" si="797"/>
        <v>0</v>
      </c>
      <c r="KK56" s="152">
        <f t="shared" si="797"/>
        <v>0</v>
      </c>
      <c r="KL56" s="152">
        <f t="shared" si="797"/>
        <v>0</v>
      </c>
      <c r="KM56" s="152">
        <f t="shared" si="797"/>
        <v>0</v>
      </c>
      <c r="KN56" s="152">
        <f t="shared" si="797"/>
        <v>12</v>
      </c>
      <c r="KO56" s="152">
        <f t="shared" si="797"/>
        <v>13</v>
      </c>
      <c r="KP56" s="152">
        <f t="shared" si="797"/>
        <v>0</v>
      </c>
      <c r="KQ56" s="152">
        <f t="shared" si="797"/>
        <v>0</v>
      </c>
      <c r="KR56" s="152">
        <f t="shared" si="797"/>
        <v>0</v>
      </c>
      <c r="KS56" s="152">
        <f t="shared" si="797"/>
        <v>0</v>
      </c>
      <c r="KT56" s="152">
        <f t="shared" si="797"/>
        <v>13</v>
      </c>
      <c r="KU56" s="152">
        <f t="shared" si="797"/>
        <v>21</v>
      </c>
      <c r="KV56" s="152">
        <f t="shared" si="797"/>
        <v>49</v>
      </c>
      <c r="KW56" s="152">
        <f t="shared" si="797"/>
        <v>61</v>
      </c>
      <c r="KX56" s="152">
        <f t="shared" si="797"/>
        <v>110</v>
      </c>
      <c r="KY56" s="152">
        <f t="shared" si="797"/>
        <v>48</v>
      </c>
      <c r="KZ56" s="152">
        <f t="shared" si="797"/>
        <v>61</v>
      </c>
      <c r="LA56" s="152">
        <f t="shared" si="797"/>
        <v>0</v>
      </c>
      <c r="LB56" s="152">
        <f t="shared" si="797"/>
        <v>0</v>
      </c>
      <c r="LC56" s="152">
        <f t="shared" si="797"/>
        <v>0</v>
      </c>
      <c r="LD56" s="152">
        <f t="shared" si="797"/>
        <v>0</v>
      </c>
      <c r="LE56" s="152">
        <f t="shared" si="797"/>
        <v>0</v>
      </c>
      <c r="LF56" s="152">
        <f t="shared" si="797"/>
        <v>0</v>
      </c>
      <c r="LG56" s="152">
        <f t="shared" si="797"/>
        <v>1</v>
      </c>
      <c r="LH56" s="152">
        <f t="shared" si="797"/>
        <v>0</v>
      </c>
      <c r="LI56" s="152">
        <f t="shared" si="797"/>
        <v>0</v>
      </c>
      <c r="LJ56" s="152">
        <f t="shared" si="797"/>
        <v>0</v>
      </c>
      <c r="LK56" s="152">
        <f t="shared" si="797"/>
        <v>0</v>
      </c>
      <c r="LL56" s="152">
        <f t="shared" si="797"/>
        <v>0</v>
      </c>
      <c r="LM56" s="152">
        <f t="shared" si="797"/>
        <v>0</v>
      </c>
      <c r="LN56" s="152">
        <f t="shared" si="797"/>
        <v>0</v>
      </c>
      <c r="LO56" s="152">
        <f t="shared" ref="LO56:NZ56" si="798">LO45+LO18+LO28+LO44</f>
        <v>0</v>
      </c>
      <c r="LP56" s="152">
        <f t="shared" si="798"/>
        <v>0</v>
      </c>
      <c r="LQ56" s="152">
        <f t="shared" si="798"/>
        <v>49</v>
      </c>
      <c r="LR56" s="152">
        <f t="shared" si="798"/>
        <v>61</v>
      </c>
      <c r="LS56" s="152">
        <f t="shared" si="798"/>
        <v>110</v>
      </c>
      <c r="LT56" s="152">
        <f t="shared" si="798"/>
        <v>30</v>
      </c>
      <c r="LU56" s="152">
        <f t="shared" si="798"/>
        <v>51</v>
      </c>
      <c r="LV56" s="152">
        <f t="shared" si="798"/>
        <v>5</v>
      </c>
      <c r="LW56" s="152">
        <f t="shared" si="798"/>
        <v>2</v>
      </c>
      <c r="LX56" s="152">
        <f t="shared" si="798"/>
        <v>1</v>
      </c>
      <c r="LY56" s="152">
        <f t="shared" si="798"/>
        <v>0</v>
      </c>
      <c r="LZ56" s="152">
        <f t="shared" si="798"/>
        <v>13</v>
      </c>
      <c r="MA56" s="152">
        <f t="shared" si="798"/>
        <v>8</v>
      </c>
      <c r="MB56" s="152">
        <f t="shared" si="798"/>
        <v>49</v>
      </c>
      <c r="MC56" s="152">
        <f t="shared" si="798"/>
        <v>61</v>
      </c>
      <c r="MD56" s="152">
        <f t="shared" si="798"/>
        <v>110</v>
      </c>
      <c r="ME56" s="152">
        <f t="shared" si="798"/>
        <v>2</v>
      </c>
      <c r="MF56" s="152">
        <f t="shared" si="798"/>
        <v>5</v>
      </c>
      <c r="MG56" s="152">
        <f t="shared" si="798"/>
        <v>27</v>
      </c>
      <c r="MH56" s="152">
        <f t="shared" si="798"/>
        <v>41</v>
      </c>
      <c r="MI56" s="152">
        <f t="shared" si="798"/>
        <v>9</v>
      </c>
      <c r="MJ56" s="152">
        <f t="shared" si="798"/>
        <v>8</v>
      </c>
      <c r="MK56" s="152">
        <f t="shared" si="798"/>
        <v>9</v>
      </c>
      <c r="ML56" s="152">
        <f t="shared" si="798"/>
        <v>6</v>
      </c>
      <c r="MM56" s="152">
        <f t="shared" si="798"/>
        <v>2</v>
      </c>
      <c r="MN56" s="152">
        <f t="shared" si="798"/>
        <v>1</v>
      </c>
      <c r="MO56" s="152">
        <f t="shared" si="798"/>
        <v>49</v>
      </c>
      <c r="MP56" s="152">
        <f t="shared" si="798"/>
        <v>61</v>
      </c>
      <c r="MQ56" s="152">
        <f t="shared" si="798"/>
        <v>110</v>
      </c>
      <c r="MR56" s="152">
        <f t="shared" si="798"/>
        <v>7</v>
      </c>
      <c r="MS56" s="152">
        <f t="shared" si="798"/>
        <v>10</v>
      </c>
      <c r="MT56" s="152">
        <f t="shared" si="798"/>
        <v>42</v>
      </c>
      <c r="MU56" s="152">
        <f t="shared" si="798"/>
        <v>51</v>
      </c>
      <c r="MV56" s="152">
        <f t="shared" si="798"/>
        <v>0</v>
      </c>
      <c r="MW56" s="152">
        <f t="shared" si="798"/>
        <v>0</v>
      </c>
      <c r="MX56" s="152">
        <f t="shared" si="798"/>
        <v>0</v>
      </c>
      <c r="MY56" s="152">
        <f t="shared" si="798"/>
        <v>0</v>
      </c>
      <c r="MZ56" s="152">
        <f t="shared" si="798"/>
        <v>49</v>
      </c>
      <c r="NA56" s="152">
        <f t="shared" si="798"/>
        <v>61</v>
      </c>
      <c r="NB56" s="152">
        <f t="shared" si="798"/>
        <v>110</v>
      </c>
      <c r="NC56" s="152">
        <f t="shared" si="798"/>
        <v>0</v>
      </c>
      <c r="ND56" s="152">
        <f t="shared" si="798"/>
        <v>0</v>
      </c>
      <c r="NE56" s="152">
        <f t="shared" si="798"/>
        <v>1</v>
      </c>
      <c r="NF56" s="152">
        <f t="shared" si="798"/>
        <v>0</v>
      </c>
      <c r="NG56" s="152">
        <f t="shared" si="798"/>
        <v>0</v>
      </c>
      <c r="NH56" s="152">
        <f t="shared" si="798"/>
        <v>0</v>
      </c>
      <c r="NI56" s="152">
        <f t="shared" si="798"/>
        <v>12</v>
      </c>
      <c r="NJ56" s="152">
        <f t="shared" si="798"/>
        <v>19</v>
      </c>
      <c r="NK56" s="152">
        <f t="shared" si="798"/>
        <v>32</v>
      </c>
      <c r="NL56" s="152">
        <f t="shared" si="798"/>
        <v>30</v>
      </c>
      <c r="NM56" s="152">
        <f t="shared" si="798"/>
        <v>3</v>
      </c>
      <c r="NN56" s="152">
        <f t="shared" si="798"/>
        <v>10</v>
      </c>
      <c r="NO56" s="152">
        <f t="shared" si="798"/>
        <v>0</v>
      </c>
      <c r="NP56" s="152">
        <f t="shared" si="798"/>
        <v>0</v>
      </c>
      <c r="NQ56" s="152">
        <f t="shared" si="798"/>
        <v>1</v>
      </c>
      <c r="NR56" s="152">
        <f t="shared" si="798"/>
        <v>2</v>
      </c>
      <c r="NS56" s="152">
        <f t="shared" si="798"/>
        <v>0</v>
      </c>
      <c r="NT56" s="152">
        <f t="shared" si="798"/>
        <v>0</v>
      </c>
      <c r="NU56" s="152">
        <f t="shared" si="798"/>
        <v>0</v>
      </c>
      <c r="NV56" s="152">
        <f t="shared" si="798"/>
        <v>0</v>
      </c>
      <c r="NW56" s="152">
        <f t="shared" si="798"/>
        <v>49</v>
      </c>
      <c r="NX56" s="152">
        <f t="shared" si="798"/>
        <v>61</v>
      </c>
      <c r="NY56" s="152">
        <f t="shared" si="798"/>
        <v>110</v>
      </c>
      <c r="NZ56" s="152">
        <f t="shared" si="798"/>
        <v>0</v>
      </c>
      <c r="OA56" s="152">
        <f t="shared" ref="OA56:QL56" si="799">OA45+OA18+OA28+OA44</f>
        <v>0</v>
      </c>
      <c r="OB56" s="152">
        <f t="shared" si="799"/>
        <v>0</v>
      </c>
      <c r="OC56" s="152">
        <f t="shared" si="799"/>
        <v>0</v>
      </c>
      <c r="OD56" s="152">
        <f t="shared" si="799"/>
        <v>0</v>
      </c>
      <c r="OE56" s="152">
        <f t="shared" si="799"/>
        <v>0</v>
      </c>
      <c r="OF56" s="152">
        <f t="shared" si="799"/>
        <v>0</v>
      </c>
      <c r="OG56" s="152">
        <f t="shared" si="799"/>
        <v>0</v>
      </c>
      <c r="OH56" s="152">
        <f t="shared" si="799"/>
        <v>0</v>
      </c>
      <c r="OI56" s="152">
        <f t="shared" si="799"/>
        <v>0</v>
      </c>
      <c r="OJ56" s="152">
        <f t="shared" si="799"/>
        <v>2</v>
      </c>
      <c r="OK56" s="152">
        <f t="shared" si="799"/>
        <v>2</v>
      </c>
      <c r="OL56" s="152">
        <f t="shared" si="799"/>
        <v>0</v>
      </c>
      <c r="OM56" s="152">
        <f t="shared" si="799"/>
        <v>0</v>
      </c>
      <c r="ON56" s="152">
        <f t="shared" si="799"/>
        <v>2</v>
      </c>
      <c r="OO56" s="152">
        <f t="shared" si="799"/>
        <v>0</v>
      </c>
      <c r="OP56" s="152">
        <f t="shared" si="799"/>
        <v>2</v>
      </c>
      <c r="OQ56" s="152">
        <f t="shared" si="799"/>
        <v>0</v>
      </c>
      <c r="OR56" s="152">
        <f t="shared" si="799"/>
        <v>0</v>
      </c>
      <c r="OS56" s="152">
        <f t="shared" si="799"/>
        <v>0</v>
      </c>
      <c r="OT56" s="152">
        <f t="shared" si="799"/>
        <v>0</v>
      </c>
      <c r="OU56" s="152">
        <f t="shared" si="799"/>
        <v>2</v>
      </c>
      <c r="OV56" s="152">
        <f t="shared" si="799"/>
        <v>0</v>
      </c>
      <c r="OW56" s="152">
        <f t="shared" si="799"/>
        <v>0</v>
      </c>
      <c r="OX56" s="152">
        <f t="shared" si="799"/>
        <v>0</v>
      </c>
      <c r="OY56" s="152">
        <f t="shared" si="799"/>
        <v>3</v>
      </c>
      <c r="OZ56" s="152">
        <f t="shared" si="799"/>
        <v>1</v>
      </c>
      <c r="PA56" s="152">
        <f t="shared" si="799"/>
        <v>1</v>
      </c>
      <c r="PB56" s="152">
        <f t="shared" si="799"/>
        <v>1</v>
      </c>
      <c r="PC56" s="152">
        <f t="shared" si="799"/>
        <v>0</v>
      </c>
      <c r="PD56" s="152">
        <f t="shared" si="799"/>
        <v>1</v>
      </c>
      <c r="PE56" s="152">
        <f t="shared" si="799"/>
        <v>0</v>
      </c>
      <c r="PF56" s="152">
        <f t="shared" si="799"/>
        <v>0</v>
      </c>
      <c r="PG56" s="152">
        <f t="shared" si="799"/>
        <v>1</v>
      </c>
      <c r="PH56" s="152">
        <f t="shared" si="799"/>
        <v>0</v>
      </c>
      <c r="PI56" s="152">
        <f t="shared" si="799"/>
        <v>1</v>
      </c>
      <c r="PJ56" s="152">
        <f t="shared" si="799"/>
        <v>1</v>
      </c>
      <c r="PK56" s="152">
        <f t="shared" si="799"/>
        <v>1</v>
      </c>
      <c r="PL56" s="152">
        <f t="shared" si="799"/>
        <v>12</v>
      </c>
      <c r="PM56" s="152">
        <f t="shared" si="799"/>
        <v>36</v>
      </c>
      <c r="PN56" s="152">
        <f t="shared" si="799"/>
        <v>14</v>
      </c>
      <c r="PO56" s="152">
        <f t="shared" si="799"/>
        <v>50</v>
      </c>
      <c r="PP56" s="152">
        <f t="shared" si="799"/>
        <v>1</v>
      </c>
      <c r="PQ56" s="152">
        <f t="shared" si="799"/>
        <v>0</v>
      </c>
      <c r="PR56" s="152">
        <f t="shared" si="799"/>
        <v>0</v>
      </c>
      <c r="PS56" s="152">
        <f t="shared" si="799"/>
        <v>1</v>
      </c>
      <c r="PT56" s="152">
        <f t="shared" si="799"/>
        <v>0</v>
      </c>
      <c r="PU56" s="152">
        <f t="shared" si="799"/>
        <v>0</v>
      </c>
      <c r="PV56" s="152">
        <f t="shared" si="799"/>
        <v>2</v>
      </c>
      <c r="PW56" s="152">
        <f t="shared" si="799"/>
        <v>0</v>
      </c>
      <c r="PX56" s="152">
        <f t="shared" si="799"/>
        <v>2</v>
      </c>
      <c r="PY56" s="152">
        <f t="shared" si="799"/>
        <v>0</v>
      </c>
      <c r="PZ56" s="152">
        <f t="shared" si="799"/>
        <v>1</v>
      </c>
      <c r="QA56" s="152">
        <f t="shared" si="799"/>
        <v>1</v>
      </c>
      <c r="QB56" s="152">
        <f t="shared" si="799"/>
        <v>2</v>
      </c>
      <c r="QC56" s="152">
        <f t="shared" si="799"/>
        <v>0</v>
      </c>
      <c r="QD56" s="152">
        <f t="shared" si="799"/>
        <v>2</v>
      </c>
      <c r="QE56" s="152">
        <f t="shared" si="799"/>
        <v>0</v>
      </c>
      <c r="QF56" s="152">
        <f t="shared" si="799"/>
        <v>0</v>
      </c>
      <c r="QG56" s="152">
        <f t="shared" si="799"/>
        <v>0</v>
      </c>
      <c r="QH56" s="152">
        <f t="shared" si="799"/>
        <v>0</v>
      </c>
      <c r="QI56" s="152">
        <f t="shared" si="799"/>
        <v>2</v>
      </c>
      <c r="QJ56" s="152">
        <f t="shared" si="799"/>
        <v>0</v>
      </c>
      <c r="QK56" s="152">
        <f t="shared" si="799"/>
        <v>0</v>
      </c>
      <c r="QL56" s="152">
        <f t="shared" si="799"/>
        <v>2</v>
      </c>
      <c r="QM56" s="152">
        <f t="shared" ref="QM56:SP56" si="800">QM45+QM18+QM28+QM44</f>
        <v>2</v>
      </c>
      <c r="QN56" s="152">
        <f t="shared" si="800"/>
        <v>0</v>
      </c>
      <c r="QO56" s="152">
        <f t="shared" si="800"/>
        <v>2</v>
      </c>
      <c r="QP56" s="152">
        <f t="shared" si="800"/>
        <v>0</v>
      </c>
      <c r="QQ56" s="152">
        <f t="shared" si="800"/>
        <v>0</v>
      </c>
      <c r="QR56" s="152">
        <f t="shared" si="800"/>
        <v>1</v>
      </c>
      <c r="QS56" s="152">
        <f t="shared" si="800"/>
        <v>1</v>
      </c>
      <c r="QT56" s="152">
        <f t="shared" si="800"/>
        <v>0</v>
      </c>
      <c r="QU56" s="152">
        <f t="shared" si="800"/>
        <v>1</v>
      </c>
      <c r="QV56" s="152">
        <f t="shared" si="800"/>
        <v>1</v>
      </c>
      <c r="QW56" s="152">
        <f t="shared" si="800"/>
        <v>1</v>
      </c>
      <c r="QX56" s="152">
        <f t="shared" si="800"/>
        <v>1</v>
      </c>
      <c r="QY56" s="152">
        <f t="shared" si="800"/>
        <v>1</v>
      </c>
      <c r="QZ56" s="152">
        <f t="shared" si="800"/>
        <v>0</v>
      </c>
      <c r="RA56" s="152">
        <f t="shared" si="800"/>
        <v>0</v>
      </c>
      <c r="RB56" s="152">
        <f t="shared" si="800"/>
        <v>2</v>
      </c>
      <c r="RC56" s="152">
        <f t="shared" si="800"/>
        <v>0</v>
      </c>
      <c r="RD56" s="152">
        <f t="shared" si="800"/>
        <v>1</v>
      </c>
      <c r="RE56" s="152">
        <f t="shared" si="800"/>
        <v>1</v>
      </c>
      <c r="RF56" s="152">
        <f t="shared" si="800"/>
        <v>1</v>
      </c>
      <c r="RG56" s="152">
        <f t="shared" si="800"/>
        <v>1</v>
      </c>
      <c r="RH56" s="152">
        <f t="shared" si="800"/>
        <v>0</v>
      </c>
      <c r="RI56" s="152">
        <f t="shared" si="800"/>
        <v>2</v>
      </c>
      <c r="RJ56" s="152">
        <f t="shared" si="800"/>
        <v>0</v>
      </c>
      <c r="RK56" s="152">
        <f t="shared" si="800"/>
        <v>0</v>
      </c>
      <c r="RL56" s="152">
        <f t="shared" si="800"/>
        <v>1</v>
      </c>
      <c r="RM56" s="152">
        <f t="shared" si="800"/>
        <v>1</v>
      </c>
      <c r="RN56" s="152">
        <f t="shared" si="800"/>
        <v>0</v>
      </c>
      <c r="RO56" s="152">
        <f t="shared" si="800"/>
        <v>550</v>
      </c>
      <c r="RP56" s="152">
        <f t="shared" si="800"/>
        <v>45</v>
      </c>
      <c r="RQ56" s="152">
        <f t="shared" si="800"/>
        <v>50</v>
      </c>
      <c r="RR56" s="152">
        <f t="shared" si="800"/>
        <v>50</v>
      </c>
      <c r="RS56" s="152">
        <f t="shared" si="800"/>
        <v>30</v>
      </c>
      <c r="RT56" s="152">
        <f t="shared" si="800"/>
        <v>15</v>
      </c>
      <c r="RU56" s="152">
        <f t="shared" si="800"/>
        <v>4</v>
      </c>
      <c r="RV56" s="152">
        <f t="shared" si="800"/>
        <v>11</v>
      </c>
      <c r="RW56" s="152">
        <f t="shared" si="800"/>
        <v>0</v>
      </c>
      <c r="RX56" s="152">
        <f t="shared" si="800"/>
        <v>1</v>
      </c>
      <c r="RY56" s="152">
        <f t="shared" si="800"/>
        <v>0</v>
      </c>
      <c r="RZ56" s="152">
        <f t="shared" si="800"/>
        <v>0</v>
      </c>
      <c r="SA56" s="152">
        <f t="shared" si="800"/>
        <v>1</v>
      </c>
      <c r="SB56" s="152">
        <f t="shared" si="800"/>
        <v>1</v>
      </c>
      <c r="SC56" s="152">
        <f t="shared" si="800"/>
        <v>0</v>
      </c>
      <c r="SD56" s="152">
        <f t="shared" si="800"/>
        <v>0</v>
      </c>
      <c r="SE56" s="152">
        <f t="shared" si="800"/>
        <v>1</v>
      </c>
      <c r="SF56" s="152">
        <f t="shared" si="800"/>
        <v>0</v>
      </c>
      <c r="SG56" s="152">
        <f t="shared" si="800"/>
        <v>0</v>
      </c>
      <c r="SH56" s="152">
        <f t="shared" si="800"/>
        <v>0</v>
      </c>
      <c r="SI56" s="152">
        <f t="shared" si="800"/>
        <v>0</v>
      </c>
      <c r="SJ56" s="152">
        <f t="shared" si="800"/>
        <v>0</v>
      </c>
      <c r="SK56" s="152">
        <f t="shared" si="800"/>
        <v>1</v>
      </c>
      <c r="SL56" s="152">
        <f t="shared" si="800"/>
        <v>80</v>
      </c>
      <c r="SM56" s="152">
        <f t="shared" si="800"/>
        <v>10</v>
      </c>
      <c r="SN56" s="152">
        <f t="shared" si="800"/>
        <v>90</v>
      </c>
      <c r="SO56" s="152">
        <f t="shared" si="800"/>
        <v>5</v>
      </c>
      <c r="SP56" s="152">
        <f t="shared" si="800"/>
        <v>5</v>
      </c>
      <c r="SQ56" s="152"/>
      <c r="SR56" s="152"/>
      <c r="SS56" s="182"/>
    </row>
  </sheetData>
  <mergeCells count="277">
    <mergeCell ref="A51:E51"/>
    <mergeCell ref="A49:E49"/>
    <mergeCell ref="A54:E54"/>
    <mergeCell ref="A55:E55"/>
    <mergeCell ref="A56:E56"/>
    <mergeCell ref="MI4:MJ4"/>
    <mergeCell ref="MK4:ML4"/>
    <mergeCell ref="A47:E47"/>
    <mergeCell ref="K1:N4"/>
    <mergeCell ref="O1:P4"/>
    <mergeCell ref="V1:AH3"/>
    <mergeCell ref="A52:E52"/>
    <mergeCell ref="DX4:DZ4"/>
    <mergeCell ref="BV1:CL3"/>
    <mergeCell ref="CJ4:CL4"/>
    <mergeCell ref="BD4:BE4"/>
    <mergeCell ref="BF4:BH4"/>
    <mergeCell ref="BI4:BJ4"/>
    <mergeCell ref="BK4:BL4"/>
    <mergeCell ref="V4:W4"/>
    <mergeCell ref="Z4:AA4"/>
    <mergeCell ref="CM1:CY3"/>
    <mergeCell ref="ME1:MQ3"/>
    <mergeCell ref="LT4:LU4"/>
    <mergeCell ref="AZ4:BA4"/>
    <mergeCell ref="EP4:ER4"/>
    <mergeCell ref="AI4:AJ4"/>
    <mergeCell ref="AK4:AL4"/>
    <mergeCell ref="EL4:EM4"/>
    <mergeCell ref="AV4:AW4"/>
    <mergeCell ref="AX4:AY4"/>
    <mergeCell ref="BQ4:BR4"/>
    <mergeCell ref="EA4:EB4"/>
    <mergeCell ref="CM4:CO4"/>
    <mergeCell ref="BM4:BN4"/>
    <mergeCell ref="BO4:BP4"/>
    <mergeCell ref="CB4:CC4"/>
    <mergeCell ref="CD4:CE4"/>
    <mergeCell ref="DB4:DC4"/>
    <mergeCell ref="DD4:DE4"/>
    <mergeCell ref="BV4:BW4"/>
    <mergeCell ref="BX4:BY4"/>
    <mergeCell ref="CF4:CG4"/>
    <mergeCell ref="DI4:DJ4"/>
    <mergeCell ref="EC4:ED4"/>
    <mergeCell ref="Q1:T4"/>
    <mergeCell ref="BI1:BU3"/>
    <mergeCell ref="AF4:AH4"/>
    <mergeCell ref="A30:E30"/>
    <mergeCell ref="A31:E31"/>
    <mergeCell ref="A12:E12"/>
    <mergeCell ref="A14:E14"/>
    <mergeCell ref="A19:E19"/>
    <mergeCell ref="A20:E20"/>
    <mergeCell ref="A11:E11"/>
    <mergeCell ref="A15:E15"/>
    <mergeCell ref="A18:E18"/>
    <mergeCell ref="A26:E26"/>
    <mergeCell ref="A25:E25"/>
    <mergeCell ref="A3:E4"/>
    <mergeCell ref="AI1:AU3"/>
    <mergeCell ref="AV1:BH3"/>
    <mergeCell ref="U1:U5"/>
    <mergeCell ref="AD4:AE4"/>
    <mergeCell ref="X4:Y4"/>
    <mergeCell ref="AB4:AC4"/>
    <mergeCell ref="AO4:AP4"/>
    <mergeCell ref="AQ4:AR4"/>
    <mergeCell ref="BS4:BU4"/>
    <mergeCell ref="NE3:NF4"/>
    <mergeCell ref="LO4:LP4"/>
    <mergeCell ref="PP4:PU4"/>
    <mergeCell ref="FH4:FI4"/>
    <mergeCell ref="LA3:LP3"/>
    <mergeCell ref="GP4:GQ4"/>
    <mergeCell ref="GX4:GY4"/>
    <mergeCell ref="FB1:FN3"/>
    <mergeCell ref="FO4:FP4"/>
    <mergeCell ref="GL4:GM4"/>
    <mergeCell ref="FO1:GI3"/>
    <mergeCell ref="FQ4:FR4"/>
    <mergeCell ref="FL4:FN4"/>
    <mergeCell ref="FB4:FC4"/>
    <mergeCell ref="FJ4:FK4"/>
    <mergeCell ref="GE4:GF4"/>
    <mergeCell ref="GJ4:GK4"/>
    <mergeCell ref="GR4:GS4"/>
    <mergeCell ref="GT4:GU4"/>
    <mergeCell ref="GC4:GD4"/>
    <mergeCell ref="LV4:LW4"/>
    <mergeCell ref="KF4:KG4"/>
    <mergeCell ref="LK4:LL4"/>
    <mergeCell ref="SO3:SO5"/>
    <mergeCell ref="NO3:NP4"/>
    <mergeCell ref="NQ3:NR4"/>
    <mergeCell ref="NS3:NT4"/>
    <mergeCell ref="MR4:MS4"/>
    <mergeCell ref="MT4:MU4"/>
    <mergeCell ref="MV4:MW4"/>
    <mergeCell ref="MX4:MY4"/>
    <mergeCell ref="NC4:ND4"/>
    <mergeCell ref="MR1:NB3"/>
    <mergeCell ref="OI2:OT2"/>
    <mergeCell ref="MZ4:NB4"/>
    <mergeCell ref="QI3:QJ4"/>
    <mergeCell ref="OU4:OV4"/>
    <mergeCell ref="PB4:PD4"/>
    <mergeCell ref="RI4:RK4"/>
    <mergeCell ref="RF4:RH4"/>
    <mergeCell ref="QM3:QN4"/>
    <mergeCell ref="RB3:RC4"/>
    <mergeCell ref="OF4:OH4"/>
    <mergeCell ref="QB3:QC4"/>
    <mergeCell ref="RU2:RY2"/>
    <mergeCell ref="PV3:QA4"/>
    <mergeCell ref="RD3:RE4"/>
    <mergeCell ref="SC3:SG4"/>
    <mergeCell ref="SI3:SK4"/>
    <mergeCell ref="SL3:SN4"/>
    <mergeCell ref="SP3:SP5"/>
    <mergeCell ref="FW4:FX4"/>
    <mergeCell ref="RL4:RN4"/>
    <mergeCell ref="PM4:PO4"/>
    <mergeCell ref="GN4:GO4"/>
    <mergeCell ref="JJ4:JK4"/>
    <mergeCell ref="SA3:SB4"/>
    <mergeCell ref="GJ1:KX3"/>
    <mergeCell ref="GV4:GW4"/>
    <mergeCell ref="HD4:HE4"/>
    <mergeCell ref="SA2:SN2"/>
    <mergeCell ref="IP4:IQ4"/>
    <mergeCell ref="PV2:PW2"/>
    <mergeCell ref="QK3:QL4"/>
    <mergeCell ref="QD3:QH4"/>
    <mergeCell ref="QO3:QQ4"/>
    <mergeCell ref="QR3:QT4"/>
    <mergeCell ref="QU3:QV4"/>
    <mergeCell ref="QW3:RA4"/>
    <mergeCell ref="QI2:QJ2"/>
    <mergeCell ref="QB2:QC2"/>
    <mergeCell ref="RW3:RX4"/>
    <mergeCell ref="RY3:RZ4"/>
    <mergeCell ref="LA4:LB4"/>
    <mergeCell ref="LG4:LH4"/>
    <mergeCell ref="LI4:LJ4"/>
    <mergeCell ref="KY1:LS2"/>
    <mergeCell ref="JP4:JQ4"/>
    <mergeCell ref="JR4:JS4"/>
    <mergeCell ref="MO4:MQ4"/>
    <mergeCell ref="JT4:JU4"/>
    <mergeCell ref="JZ4:KA4"/>
    <mergeCell ref="OO3:OP4"/>
    <mergeCell ref="KL4:KM4"/>
    <mergeCell ref="KP4:KQ4"/>
    <mergeCell ref="KR4:KS4"/>
    <mergeCell ref="NC1:ND3"/>
    <mergeCell ref="NI3:NJ4"/>
    <mergeCell ref="OU2:PC2"/>
    <mergeCell ref="PE4:PI4"/>
    <mergeCell ref="NZ4:OA4"/>
    <mergeCell ref="OB4:OC4"/>
    <mergeCell ref="OD4:OE4"/>
    <mergeCell ref="NZ1:OH3"/>
    <mergeCell ref="NG3:NH4"/>
    <mergeCell ref="RU3:RV4"/>
    <mergeCell ref="GA4:GB4"/>
    <mergeCell ref="GZ4:HA4"/>
    <mergeCell ref="HB4:HC4"/>
    <mergeCell ref="FS4:FT4"/>
    <mergeCell ref="GG4:GI4"/>
    <mergeCell ref="FU4:FV4"/>
    <mergeCell ref="KY3:KZ4"/>
    <mergeCell ref="IF4:IG4"/>
    <mergeCell ref="NM3:NN4"/>
    <mergeCell ref="MB4:MD4"/>
    <mergeCell ref="LT1:MD3"/>
    <mergeCell ref="ME4:MF4"/>
    <mergeCell ref="MG4:MH4"/>
    <mergeCell ref="NE1:NN2"/>
    <mergeCell ref="IL4:IM4"/>
    <mergeCell ref="MM4:MN4"/>
    <mergeCell ref="LC4:LD4"/>
    <mergeCell ref="LE4:LF4"/>
    <mergeCell ref="JD4:JE4"/>
    <mergeCell ref="IH4:II4"/>
    <mergeCell ref="IJ4:IK4"/>
    <mergeCell ref="HZ4:IA4"/>
    <mergeCell ref="LQ3:LS4"/>
    <mergeCell ref="QM2:QN2"/>
    <mergeCell ref="JV4:JW4"/>
    <mergeCell ref="JL4:JM4"/>
    <mergeCell ref="HT4:HU4"/>
    <mergeCell ref="HV4:HW4"/>
    <mergeCell ref="ID4:IE4"/>
    <mergeCell ref="HF4:HG4"/>
    <mergeCell ref="HH4:HI4"/>
    <mergeCell ref="HX4:HY4"/>
    <mergeCell ref="HP4:HQ4"/>
    <mergeCell ref="KT4:KU4"/>
    <mergeCell ref="KJ4:KK4"/>
    <mergeCell ref="KN4:KO4"/>
    <mergeCell ref="KH4:KI4"/>
    <mergeCell ref="HR4:HS4"/>
    <mergeCell ref="IX4:IY4"/>
    <mergeCell ref="JH4:JI4"/>
    <mergeCell ref="JF4:JG4"/>
    <mergeCell ref="LX4:LY4"/>
    <mergeCell ref="IN4:IO4"/>
    <mergeCell ref="KV4:KX4"/>
    <mergeCell ref="NK3:NL4"/>
    <mergeCell ref="IV4:IW4"/>
    <mergeCell ref="KB4:KC4"/>
    <mergeCell ref="EW4:EX4"/>
    <mergeCell ref="CZ1:DH3"/>
    <mergeCell ref="DR1:DZ3"/>
    <mergeCell ref="DO4:DQ4"/>
    <mergeCell ref="EE4:EF4"/>
    <mergeCell ref="EG4:EI4"/>
    <mergeCell ref="EJ4:EK4"/>
    <mergeCell ref="DT4:DU4"/>
    <mergeCell ref="EY4:FA4"/>
    <mergeCell ref="CZ4:DA4"/>
    <mergeCell ref="EN4:EO4"/>
    <mergeCell ref="EJ1:ER3"/>
    <mergeCell ref="DF4:DH4"/>
    <mergeCell ref="DR4:DS4"/>
    <mergeCell ref="DV4:DW4"/>
    <mergeCell ref="DI1:DQ3"/>
    <mergeCell ref="EA1:EI3"/>
    <mergeCell ref="RO3:RP4"/>
    <mergeCell ref="RQ3:RR4"/>
    <mergeCell ref="A46:E46"/>
    <mergeCell ref="A1:J2"/>
    <mergeCell ref="F3:H4"/>
    <mergeCell ref="I3:J4"/>
    <mergeCell ref="CP4:CR4"/>
    <mergeCell ref="CS4:CU4"/>
    <mergeCell ref="FY4:FZ4"/>
    <mergeCell ref="A34:E34"/>
    <mergeCell ref="A35:E35"/>
    <mergeCell ref="BZ4:CA4"/>
    <mergeCell ref="CV4:CY4"/>
    <mergeCell ref="FD4:FE4"/>
    <mergeCell ref="FF4:FG4"/>
    <mergeCell ref="DK4:DL4"/>
    <mergeCell ref="DM4:DN4"/>
    <mergeCell ref="CH4:CI4"/>
    <mergeCell ref="BB4:BC4"/>
    <mergeCell ref="ES1:FA3"/>
    <mergeCell ref="AM4:AN4"/>
    <mergeCell ref="AS4:AU4"/>
    <mergeCell ref="ES4:ET4"/>
    <mergeCell ref="EU4:EV4"/>
    <mergeCell ref="RS3:RT4"/>
    <mergeCell ref="HJ4:HK4"/>
    <mergeCell ref="HL4:HM4"/>
    <mergeCell ref="HN4:HO4"/>
    <mergeCell ref="LM4:LN4"/>
    <mergeCell ref="OW4:OY4"/>
    <mergeCell ref="OZ4:PA4"/>
    <mergeCell ref="OU3:PC3"/>
    <mergeCell ref="OM3:ON4"/>
    <mergeCell ref="OI3:OJ4"/>
    <mergeCell ref="OK3:OL4"/>
    <mergeCell ref="NW3:NY4"/>
    <mergeCell ref="OQ3:OT4"/>
    <mergeCell ref="PJ4:PL4"/>
    <mergeCell ref="NU3:NV4"/>
    <mergeCell ref="IR4:IS4"/>
    <mergeCell ref="IT4:IU4"/>
    <mergeCell ref="JX4:JY4"/>
    <mergeCell ref="IZ4:JA4"/>
    <mergeCell ref="JB4:JC4"/>
    <mergeCell ref="JN4:JO4"/>
    <mergeCell ref="IB4:IC4"/>
    <mergeCell ref="LZ4:MA4"/>
    <mergeCell ref="KD4:KE4"/>
  </mergeCells>
  <pageMargins left="0.7" right="0.7" top="0.75" bottom="0.75" header="0.3" footer="0.3"/>
  <pageSetup paperSize="9" scale="86" orientation="landscape" horizontalDpi="300" verticalDpi="300" r:id="rId1"/>
  <colBreaks count="3" manualBreakCount="3">
    <brk id="355" max="33" man="1"/>
    <brk id="380" max="33" man="1"/>
    <brk id="406" max="33" man="1"/>
  </colBreaks>
  <ignoredErrors>
    <ignoredError sqref="BF13:BH13 BF16:BH16 CV13:CY13 CV16:CY16 BS13:CL13 BS16:CL16 CA6:CC10 DF13:DH13 DF16:DH16 DX13:DZ13 DX16:DZ16 EP13:ER13 EP16:ER16 EG13:EI13 EG16:EI16 LS13 LS16 KV13:KX13 KV16:KX16 NW16:NY16 OF16:OH16 AF16:AH16 AS13:AU13 AS16:AU16 CA21:CC23 CA32:CC33 CA38:CC40 CA45:CC45 FL13:FN13 FL16:FN16 GI13 GI16 MB13:MD13 MB16:MD16 MO13:MQ13 MO16:MQ16 MZ13:NB13 MZ16:NB16 NW13:NY13 OF13:OH13 SN16 CA27:CC28 AF13:AH13 FL49:FN49 CB41:CB43 CC41:CC44 CA41:CA44 G18 CA36:CC36 CA37 CC37 MZ49:NB49" formula="1"/>
    <ignoredError sqref="PO36:PO37 CM54 CP5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3"/>
  <sheetViews>
    <sheetView rightToLeft="1" view="pageBreakPreview" topLeftCell="B1" zoomScale="80" zoomScaleNormal="100" zoomScaleSheetLayoutView="80" workbookViewId="0">
      <selection activeCell="B7" sqref="B7:E7"/>
    </sheetView>
  </sheetViews>
  <sheetFormatPr defaultColWidth="9" defaultRowHeight="31.5" customHeight="1"/>
  <cols>
    <col min="1" max="1" width="22.375" style="97" customWidth="1"/>
    <col min="2" max="2" width="7" style="97" bestFit="1" customWidth="1"/>
    <col min="3" max="3" width="7.625" style="97" customWidth="1"/>
    <col min="4" max="4" width="13.125" style="97" customWidth="1"/>
    <col min="5" max="5" width="9.875" style="97" bestFit="1" customWidth="1"/>
    <col min="6" max="6" width="8.75" style="97" customWidth="1"/>
    <col min="7" max="7" width="11.875" style="97" customWidth="1"/>
    <col min="8" max="8" width="12.25" style="97" customWidth="1"/>
    <col min="9" max="9" width="10.875" style="97" customWidth="1"/>
    <col min="10" max="10" width="9" style="97" customWidth="1"/>
    <col min="11" max="11" width="12.875" style="97" customWidth="1"/>
    <col min="12" max="12" width="9.25" style="97" customWidth="1"/>
    <col min="13" max="13" width="14" style="97" customWidth="1"/>
    <col min="14" max="14" width="15.25" style="97" customWidth="1"/>
    <col min="15" max="15" width="10.125" style="97" customWidth="1"/>
    <col min="16" max="16" width="9.75" style="97" customWidth="1"/>
    <col min="17" max="17" width="11.625" style="97" customWidth="1"/>
    <col min="18" max="18" width="13.375" style="97" customWidth="1"/>
    <col min="19" max="19" width="7.75" style="97" customWidth="1"/>
    <col min="20" max="20" width="7.375" style="97" customWidth="1"/>
    <col min="21" max="16384" width="9" style="97"/>
  </cols>
  <sheetData>
    <row r="1" spans="1:21" ht="31.5" customHeight="1">
      <c r="A1" s="328" t="s">
        <v>111</v>
      </c>
      <c r="B1" s="328"/>
      <c r="C1" s="328"/>
      <c r="D1" s="328"/>
      <c r="E1" s="328"/>
      <c r="F1" s="328"/>
      <c r="G1" s="86"/>
      <c r="H1" s="86"/>
      <c r="I1" s="86"/>
      <c r="J1" s="87"/>
      <c r="K1" s="87"/>
      <c r="L1" s="87"/>
      <c r="M1" s="87"/>
      <c r="N1" s="87"/>
      <c r="O1" s="87"/>
      <c r="P1" s="87"/>
      <c r="Q1" s="87"/>
      <c r="R1" s="87"/>
      <c r="S1" s="328" t="s">
        <v>112</v>
      </c>
      <c r="T1" s="328"/>
      <c r="U1" s="87"/>
    </row>
    <row r="2" spans="1:21" ht="31.5" customHeight="1">
      <c r="A2" s="334" t="s">
        <v>188</v>
      </c>
      <c r="B2" s="334"/>
      <c r="C2" s="334"/>
      <c r="D2" s="334"/>
      <c r="E2" s="334"/>
      <c r="F2" s="334"/>
      <c r="G2" s="86"/>
      <c r="H2" s="86"/>
      <c r="I2" s="23" t="s">
        <v>191</v>
      </c>
      <c r="J2" s="23"/>
      <c r="K2" s="23"/>
      <c r="L2" s="23"/>
      <c r="M2" s="87"/>
      <c r="N2" s="87"/>
      <c r="O2" s="87"/>
      <c r="P2" s="87"/>
      <c r="Q2" s="87"/>
      <c r="R2" s="87"/>
      <c r="S2" s="86"/>
      <c r="T2" s="86"/>
      <c r="U2" s="87"/>
    </row>
    <row r="3" spans="1:21" ht="31.5" customHeight="1">
      <c r="A3" s="328" t="s">
        <v>113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87"/>
    </row>
    <row r="4" spans="1:21" ht="31.5" customHeight="1">
      <c r="A4" s="328" t="s">
        <v>533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87"/>
    </row>
    <row r="5" spans="1:21" ht="31.5" customHeight="1">
      <c r="A5" s="329" t="s">
        <v>114</v>
      </c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87"/>
    </row>
    <row r="6" spans="1:21" ht="31.5" customHeight="1" thickBo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87"/>
      <c r="U6" s="87"/>
    </row>
    <row r="7" spans="1:21" ht="48" customHeight="1" thickTop="1" thickBot="1">
      <c r="A7" s="335" t="s">
        <v>115</v>
      </c>
      <c r="B7" s="331" t="s">
        <v>116</v>
      </c>
      <c r="C7" s="332"/>
      <c r="D7" s="332"/>
      <c r="E7" s="333"/>
      <c r="F7" s="331" t="s">
        <v>117</v>
      </c>
      <c r="G7" s="332"/>
      <c r="H7" s="333"/>
      <c r="I7" s="331" t="s">
        <v>215</v>
      </c>
      <c r="J7" s="332"/>
      <c r="K7" s="333"/>
      <c r="L7" s="331" t="s">
        <v>119</v>
      </c>
      <c r="M7" s="332"/>
      <c r="N7" s="333"/>
      <c r="O7" s="337" t="s">
        <v>120</v>
      </c>
      <c r="P7" s="337"/>
      <c r="Q7" s="338" t="s">
        <v>210</v>
      </c>
      <c r="R7" s="339"/>
      <c r="S7" s="324" t="s">
        <v>213</v>
      </c>
      <c r="T7" s="325"/>
      <c r="U7" s="87"/>
    </row>
    <row r="8" spans="1:21" ht="44.25" customHeight="1" thickTop="1" thickBot="1">
      <c r="A8" s="336"/>
      <c r="B8" s="14" t="s">
        <v>121</v>
      </c>
      <c r="C8" s="14" t="s">
        <v>6</v>
      </c>
      <c r="D8" s="14" t="s">
        <v>67</v>
      </c>
      <c r="E8" s="14" t="s">
        <v>25</v>
      </c>
      <c r="F8" s="14" t="s">
        <v>121</v>
      </c>
      <c r="G8" s="14" t="s">
        <v>6</v>
      </c>
      <c r="H8" s="14" t="s">
        <v>25</v>
      </c>
      <c r="I8" s="14" t="s">
        <v>121</v>
      </c>
      <c r="J8" s="14" t="s">
        <v>6</v>
      </c>
      <c r="K8" s="14" t="s">
        <v>25</v>
      </c>
      <c r="L8" s="14" t="s">
        <v>121</v>
      </c>
      <c r="M8" s="14" t="s">
        <v>6</v>
      </c>
      <c r="N8" s="14" t="s">
        <v>25</v>
      </c>
      <c r="O8" s="14" t="s">
        <v>122</v>
      </c>
      <c r="P8" s="14" t="s">
        <v>15</v>
      </c>
      <c r="Q8" s="14" t="s">
        <v>211</v>
      </c>
      <c r="R8" s="14" t="s">
        <v>212</v>
      </c>
      <c r="S8" s="326"/>
      <c r="T8" s="327"/>
      <c r="U8" s="87"/>
    </row>
    <row r="9" spans="1:21" ht="31.5" customHeight="1" thickTop="1" thickBot="1">
      <c r="A9" s="15" t="s">
        <v>123</v>
      </c>
      <c r="B9" s="15">
        <f>المهني!F20</f>
        <v>6</v>
      </c>
      <c r="C9" s="15">
        <f>المهني!G20</f>
        <v>2</v>
      </c>
      <c r="D9" s="15">
        <f>المهني!H20</f>
        <v>0</v>
      </c>
      <c r="E9" s="15">
        <f t="shared" ref="E9:E15" si="0">D9+C9+B9</f>
        <v>8</v>
      </c>
      <c r="F9" s="15">
        <f>المهني!AF20</f>
        <v>823</v>
      </c>
      <c r="G9" s="15">
        <f>المهني!AG20</f>
        <v>301</v>
      </c>
      <c r="H9" s="15">
        <f t="shared" ref="H9:H15" si="1">G9+F9</f>
        <v>1124</v>
      </c>
      <c r="I9" s="15">
        <f>المهني!CJ20</f>
        <v>1849</v>
      </c>
      <c r="J9" s="15">
        <f>المهني!CK20</f>
        <v>610</v>
      </c>
      <c r="K9" s="15">
        <f t="shared" ref="K9:K15" si="2">J9+I9</f>
        <v>2459</v>
      </c>
      <c r="L9" s="15">
        <f>المهني!FL20</f>
        <v>197</v>
      </c>
      <c r="M9" s="15">
        <f>المهني!FM20</f>
        <v>203</v>
      </c>
      <c r="N9" s="15">
        <f t="shared" ref="N9:N15" si="3">M9+L9</f>
        <v>400</v>
      </c>
      <c r="O9" s="15">
        <f>المهني!O20</f>
        <v>7</v>
      </c>
      <c r="P9" s="15">
        <f>المهني!P20</f>
        <v>1</v>
      </c>
      <c r="Q9" s="15">
        <f>المهني!I20</f>
        <v>8</v>
      </c>
      <c r="R9" s="15">
        <f>المهني!J20</f>
        <v>0</v>
      </c>
      <c r="S9" s="322">
        <f>المهني!U20</f>
        <v>1</v>
      </c>
      <c r="T9" s="323"/>
      <c r="U9" s="87"/>
    </row>
    <row r="10" spans="1:21" ht="31.5" customHeight="1" thickTop="1" thickBot="1">
      <c r="A10" s="15" t="s">
        <v>124</v>
      </c>
      <c r="B10" s="15">
        <v>0</v>
      </c>
      <c r="C10" s="15">
        <v>0</v>
      </c>
      <c r="D10" s="15">
        <v>0</v>
      </c>
      <c r="E10" s="15">
        <f t="shared" si="0"/>
        <v>0</v>
      </c>
      <c r="F10" s="15">
        <f>المهني!AF31</f>
        <v>54</v>
      </c>
      <c r="G10" s="15">
        <f>المهني!AG31</f>
        <v>0</v>
      </c>
      <c r="H10" s="15">
        <f t="shared" si="1"/>
        <v>54</v>
      </c>
      <c r="I10" s="15">
        <f>المهني!CJ31</f>
        <v>112</v>
      </c>
      <c r="J10" s="15">
        <f>المهني!CK31</f>
        <v>0</v>
      </c>
      <c r="K10" s="15">
        <f t="shared" si="2"/>
        <v>112</v>
      </c>
      <c r="L10" s="15">
        <f>المهني!FL31</f>
        <v>0</v>
      </c>
      <c r="M10" s="15">
        <f>المهني!FM31</f>
        <v>0</v>
      </c>
      <c r="N10" s="15">
        <f t="shared" si="3"/>
        <v>0</v>
      </c>
      <c r="O10" s="15">
        <v>0</v>
      </c>
      <c r="P10" s="15">
        <v>0</v>
      </c>
      <c r="Q10" s="15">
        <v>0</v>
      </c>
      <c r="R10" s="15">
        <v>0</v>
      </c>
      <c r="S10" s="322">
        <v>0</v>
      </c>
      <c r="T10" s="323"/>
      <c r="U10" s="87"/>
    </row>
    <row r="11" spans="1:21" ht="31.5" customHeight="1" thickTop="1" thickBot="1">
      <c r="A11" s="15" t="s">
        <v>125</v>
      </c>
      <c r="B11" s="15">
        <f>المهني!F26</f>
        <v>1</v>
      </c>
      <c r="C11" s="15">
        <f>المهني!G26</f>
        <v>1</v>
      </c>
      <c r="D11" s="15">
        <f>المهني!H26</f>
        <v>0</v>
      </c>
      <c r="E11" s="15">
        <f t="shared" si="0"/>
        <v>2</v>
      </c>
      <c r="F11" s="15">
        <f>المهني!AF26</f>
        <v>198</v>
      </c>
      <c r="G11" s="15">
        <f>المهني!AG26</f>
        <v>142</v>
      </c>
      <c r="H11" s="15">
        <f t="shared" si="1"/>
        <v>340</v>
      </c>
      <c r="I11" s="15">
        <f>المهني!CJ26</f>
        <v>557</v>
      </c>
      <c r="J11" s="15">
        <f>المهني!CK26</f>
        <v>279</v>
      </c>
      <c r="K11" s="15">
        <f t="shared" si="2"/>
        <v>836</v>
      </c>
      <c r="L11" s="15">
        <f>المهني!FL26</f>
        <v>20</v>
      </c>
      <c r="M11" s="15">
        <f>المهني!FM26</f>
        <v>28</v>
      </c>
      <c r="N11" s="15">
        <f t="shared" si="3"/>
        <v>48</v>
      </c>
      <c r="O11" s="15">
        <f>المهني!O26</f>
        <v>1</v>
      </c>
      <c r="P11" s="15">
        <f>المهني!P26</f>
        <v>1</v>
      </c>
      <c r="Q11" s="15">
        <f>المهني!I26</f>
        <v>2</v>
      </c>
      <c r="R11" s="15">
        <v>0</v>
      </c>
      <c r="S11" s="322">
        <f>المهني!U26</f>
        <v>0</v>
      </c>
      <c r="T11" s="323"/>
      <c r="U11" s="87"/>
    </row>
    <row r="12" spans="1:21" ht="31.5" customHeight="1" thickTop="1" thickBot="1">
      <c r="A12" s="15" t="s">
        <v>214</v>
      </c>
      <c r="B12" s="15">
        <v>0</v>
      </c>
      <c r="C12" s="15">
        <v>0</v>
      </c>
      <c r="D12" s="15">
        <v>0</v>
      </c>
      <c r="E12" s="15">
        <f t="shared" si="0"/>
        <v>0</v>
      </c>
      <c r="F12" s="15">
        <f>المهني!AF35</f>
        <v>0</v>
      </c>
      <c r="G12" s="15">
        <f>المهني!AG35</f>
        <v>167</v>
      </c>
      <c r="H12" s="15">
        <f t="shared" si="1"/>
        <v>167</v>
      </c>
      <c r="I12" s="15">
        <v>0</v>
      </c>
      <c r="J12" s="15">
        <f>المهني!CK35</f>
        <v>346</v>
      </c>
      <c r="K12" s="15">
        <f t="shared" si="2"/>
        <v>346</v>
      </c>
      <c r="L12" s="15">
        <v>0</v>
      </c>
      <c r="M12" s="15">
        <f>المهني!FM35</f>
        <v>0</v>
      </c>
      <c r="N12" s="15">
        <f t="shared" si="3"/>
        <v>0</v>
      </c>
      <c r="O12" s="15">
        <v>0</v>
      </c>
      <c r="P12" s="15">
        <v>0</v>
      </c>
      <c r="Q12" s="15">
        <v>0</v>
      </c>
      <c r="R12" s="15">
        <v>0</v>
      </c>
      <c r="S12" s="322">
        <v>0</v>
      </c>
      <c r="T12" s="323"/>
      <c r="U12" s="87"/>
    </row>
    <row r="13" spans="1:21" ht="31.5" customHeight="1" thickTop="1" thickBot="1">
      <c r="A13" s="15" t="s">
        <v>488</v>
      </c>
      <c r="B13" s="15">
        <f>المهني!F49</f>
        <v>1</v>
      </c>
      <c r="C13" s="15">
        <f>المهني!G49</f>
        <v>0</v>
      </c>
      <c r="D13" s="15">
        <f>المهني!H49</f>
        <v>0</v>
      </c>
      <c r="E13" s="15">
        <f t="shared" si="0"/>
        <v>1</v>
      </c>
      <c r="F13" s="15">
        <f>المهني!AF48</f>
        <v>93</v>
      </c>
      <c r="G13" s="15">
        <f>المهني!AG48</f>
        <v>0</v>
      </c>
      <c r="H13" s="15">
        <f t="shared" si="1"/>
        <v>93</v>
      </c>
      <c r="I13" s="15">
        <f>المهني!CJ48</f>
        <v>197</v>
      </c>
      <c r="J13" s="15">
        <f>المهني!CK48</f>
        <v>0</v>
      </c>
      <c r="K13" s="15">
        <f t="shared" si="2"/>
        <v>197</v>
      </c>
      <c r="L13" s="15">
        <f>المهني!FL49</f>
        <v>5</v>
      </c>
      <c r="M13" s="15">
        <f>المهني!FM49</f>
        <v>4</v>
      </c>
      <c r="N13" s="15">
        <f t="shared" si="3"/>
        <v>9</v>
      </c>
      <c r="O13" s="15">
        <f>المهني!O49</f>
        <v>1</v>
      </c>
      <c r="P13" s="15">
        <f>المهني!P49</f>
        <v>0</v>
      </c>
      <c r="Q13" s="15">
        <f>المهني!I49</f>
        <v>1</v>
      </c>
      <c r="R13" s="15">
        <f>المهني!J49</f>
        <v>0</v>
      </c>
      <c r="S13" s="322">
        <f>المهني!U51</f>
        <v>0</v>
      </c>
      <c r="T13" s="323"/>
      <c r="U13" s="135"/>
    </row>
    <row r="14" spans="1:21" ht="31.5" customHeight="1" thickTop="1" thickBot="1">
      <c r="A14" s="15" t="s">
        <v>523</v>
      </c>
      <c r="B14" s="15">
        <f>المهني!F51</f>
        <v>1</v>
      </c>
      <c r="C14" s="15">
        <f>المهني!G51</f>
        <v>0</v>
      </c>
      <c r="D14" s="15">
        <f>المهني!H51</f>
        <v>0</v>
      </c>
      <c r="E14" s="15">
        <f t="shared" si="0"/>
        <v>1</v>
      </c>
      <c r="F14" s="15">
        <f>المهني!AF51</f>
        <v>156</v>
      </c>
      <c r="G14" s="15">
        <f>المهني!AG51</f>
        <v>0</v>
      </c>
      <c r="H14" s="15">
        <f t="shared" si="1"/>
        <v>156</v>
      </c>
      <c r="I14" s="15">
        <f>المهني!CJ51</f>
        <v>247</v>
      </c>
      <c r="J14" s="15">
        <f>المهني!CK51</f>
        <v>0</v>
      </c>
      <c r="K14" s="15">
        <f t="shared" si="2"/>
        <v>247</v>
      </c>
      <c r="L14" s="15">
        <f>المهني!FL51</f>
        <v>1</v>
      </c>
      <c r="M14" s="15">
        <f>المهني!FM51</f>
        <v>0</v>
      </c>
      <c r="N14" s="15">
        <f t="shared" si="3"/>
        <v>1</v>
      </c>
      <c r="O14" s="15">
        <f>المهني!O51</f>
        <v>1</v>
      </c>
      <c r="P14" s="15">
        <f>المهني!P51</f>
        <v>0</v>
      </c>
      <c r="Q14" s="15">
        <f>المهني!I51</f>
        <v>1</v>
      </c>
      <c r="R14" s="15">
        <f>المهني!J51</f>
        <v>0</v>
      </c>
      <c r="S14" s="322">
        <f>المهني!U51</f>
        <v>0</v>
      </c>
      <c r="T14" s="323"/>
      <c r="U14" s="172"/>
    </row>
    <row r="15" spans="1:21" ht="31.5" customHeight="1" thickTop="1" thickBot="1">
      <c r="A15" s="207" t="s">
        <v>397</v>
      </c>
      <c r="B15" s="15">
        <f>المهني!F47</f>
        <v>1</v>
      </c>
      <c r="C15" s="15">
        <f>المهني!G47</f>
        <v>0</v>
      </c>
      <c r="D15" s="15">
        <f>المهني!H47</f>
        <v>0</v>
      </c>
      <c r="E15" s="15">
        <f t="shared" si="0"/>
        <v>1</v>
      </c>
      <c r="F15" s="15">
        <f>المهني!AF46</f>
        <v>813</v>
      </c>
      <c r="G15" s="15">
        <f>المهني!AG46</f>
        <v>423</v>
      </c>
      <c r="H15" s="15">
        <f t="shared" si="1"/>
        <v>1236</v>
      </c>
      <c r="I15" s="15">
        <f>المهني!CJ46</f>
        <v>1849</v>
      </c>
      <c r="J15" s="15">
        <f>المهني!CK46</f>
        <v>751</v>
      </c>
      <c r="K15" s="15">
        <f t="shared" si="2"/>
        <v>2600</v>
      </c>
      <c r="L15" s="15">
        <f>المهني!FL46</f>
        <v>1</v>
      </c>
      <c r="M15" s="15">
        <f>المهني!FM46</f>
        <v>0</v>
      </c>
      <c r="N15" s="15">
        <f t="shared" si="3"/>
        <v>1</v>
      </c>
      <c r="O15" s="15">
        <f>المهني!O46</f>
        <v>1</v>
      </c>
      <c r="P15" s="15">
        <v>0</v>
      </c>
      <c r="Q15" s="15">
        <f>المهني!I46</f>
        <v>1</v>
      </c>
      <c r="R15" s="15">
        <v>0</v>
      </c>
      <c r="S15" s="322">
        <f>المهني!U46</f>
        <v>1</v>
      </c>
      <c r="T15" s="323"/>
      <c r="U15" s="87"/>
    </row>
    <row r="16" spans="1:21" ht="31.5" customHeight="1" thickTop="1" thickBot="1">
      <c r="A16" s="15" t="s">
        <v>25</v>
      </c>
      <c r="B16" s="15">
        <f>B12+B11+B10+B9+B15+B13+B14</f>
        <v>10</v>
      </c>
      <c r="C16" s="15">
        <f t="shared" ref="C16:R16" si="4">C12+C11+C10+C9+C15+C13+C14</f>
        <v>3</v>
      </c>
      <c r="D16" s="15">
        <f t="shared" si="4"/>
        <v>0</v>
      </c>
      <c r="E16" s="15">
        <f t="shared" si="4"/>
        <v>13</v>
      </c>
      <c r="F16" s="15">
        <f t="shared" si="4"/>
        <v>2137</v>
      </c>
      <c r="G16" s="15">
        <f t="shared" si="4"/>
        <v>1033</v>
      </c>
      <c r="H16" s="15">
        <f t="shared" si="4"/>
        <v>3170</v>
      </c>
      <c r="I16" s="15">
        <f t="shared" si="4"/>
        <v>4811</v>
      </c>
      <c r="J16" s="15">
        <f t="shared" si="4"/>
        <v>1986</v>
      </c>
      <c r="K16" s="15">
        <f>K12+K11+K10+K9+K15+K13+K14</f>
        <v>6797</v>
      </c>
      <c r="L16" s="15">
        <f t="shared" si="4"/>
        <v>224</v>
      </c>
      <c r="M16" s="15">
        <f t="shared" si="4"/>
        <v>235</v>
      </c>
      <c r="N16" s="15">
        <f t="shared" si="4"/>
        <v>459</v>
      </c>
      <c r="O16" s="15">
        <f t="shared" si="4"/>
        <v>11</v>
      </c>
      <c r="P16" s="15">
        <f t="shared" si="4"/>
        <v>2</v>
      </c>
      <c r="Q16" s="15">
        <f t="shared" si="4"/>
        <v>13</v>
      </c>
      <c r="R16" s="15">
        <f t="shared" si="4"/>
        <v>0</v>
      </c>
      <c r="S16" s="322">
        <f>SUM(S9:T15)</f>
        <v>2</v>
      </c>
      <c r="T16" s="323"/>
      <c r="U16" s="87"/>
    </row>
    <row r="17" spans="1:21" ht="31.5" customHeight="1" thickTop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87"/>
      <c r="P17" s="87"/>
      <c r="Q17" s="87"/>
      <c r="R17" s="87"/>
      <c r="S17" s="87"/>
      <c r="T17" s="87"/>
      <c r="U17" s="87"/>
    </row>
    <row r="18" spans="1:21" ht="31.5" customHeight="1">
      <c r="A18" s="17"/>
      <c r="B18" s="17"/>
      <c r="C18" s="17"/>
      <c r="D18" s="328" t="s">
        <v>126</v>
      </c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87"/>
      <c r="S18" s="87"/>
      <c r="T18" s="87"/>
      <c r="U18" s="87"/>
    </row>
    <row r="19" spans="1:21" ht="31.5" customHeight="1">
      <c r="A19" s="87"/>
      <c r="B19" s="87"/>
      <c r="C19" s="86" t="s">
        <v>189</v>
      </c>
      <c r="D19" s="328" t="s">
        <v>533</v>
      </c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87"/>
      <c r="S19" s="87"/>
      <c r="T19" s="87"/>
      <c r="U19" s="87"/>
    </row>
    <row r="20" spans="1:21" ht="31.5" customHeight="1">
      <c r="A20" s="87"/>
      <c r="B20" s="86"/>
      <c r="C20" s="86"/>
      <c r="D20" s="328" t="s">
        <v>190</v>
      </c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87"/>
      <c r="S20" s="87"/>
      <c r="T20" s="87"/>
      <c r="U20" s="87"/>
    </row>
    <row r="21" spans="1:21" ht="31.5" customHeight="1" thickBot="1">
      <c r="A21" s="87"/>
      <c r="B21" s="18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</row>
    <row r="22" spans="1:21" ht="31.5" customHeight="1" thickTop="1" thickBot="1">
      <c r="A22" s="87"/>
      <c r="B22" s="87"/>
      <c r="C22" s="340" t="s">
        <v>115</v>
      </c>
      <c r="D22" s="341"/>
      <c r="E22" s="322" t="s">
        <v>127</v>
      </c>
      <c r="F22" s="323"/>
      <c r="G22" s="322" t="s">
        <v>128</v>
      </c>
      <c r="H22" s="323"/>
      <c r="I22" s="322" t="s">
        <v>129</v>
      </c>
      <c r="J22" s="323"/>
      <c r="K22" s="322" t="s">
        <v>130</v>
      </c>
      <c r="L22" s="323"/>
      <c r="M22" s="322" t="s">
        <v>131</v>
      </c>
      <c r="N22" s="323"/>
      <c r="O22" s="322" t="s">
        <v>132</v>
      </c>
      <c r="P22" s="330"/>
      <c r="Q22" s="323"/>
      <c r="R22" s="87"/>
      <c r="S22" s="87"/>
      <c r="T22" s="87"/>
      <c r="U22" s="87"/>
    </row>
    <row r="23" spans="1:21" ht="31.5" customHeight="1" thickTop="1" thickBot="1">
      <c r="A23" s="87"/>
      <c r="B23" s="87"/>
      <c r="C23" s="342"/>
      <c r="D23" s="343"/>
      <c r="E23" s="15" t="s">
        <v>5</v>
      </c>
      <c r="F23" s="15" t="s">
        <v>6</v>
      </c>
      <c r="G23" s="15" t="s">
        <v>5</v>
      </c>
      <c r="H23" s="15" t="s">
        <v>6</v>
      </c>
      <c r="I23" s="15" t="s">
        <v>5</v>
      </c>
      <c r="J23" s="15" t="s">
        <v>6</v>
      </c>
      <c r="K23" s="15" t="s">
        <v>5</v>
      </c>
      <c r="L23" s="15" t="s">
        <v>6</v>
      </c>
      <c r="M23" s="15" t="s">
        <v>5</v>
      </c>
      <c r="N23" s="15" t="s">
        <v>6</v>
      </c>
      <c r="O23" s="15" t="s">
        <v>5</v>
      </c>
      <c r="P23" s="15" t="s">
        <v>6</v>
      </c>
      <c r="Q23" s="15" t="s">
        <v>25</v>
      </c>
      <c r="R23" s="87"/>
      <c r="S23" s="87"/>
      <c r="T23" s="87"/>
      <c r="U23" s="87"/>
    </row>
    <row r="24" spans="1:21" ht="31.5" customHeight="1" thickTop="1" thickBot="1">
      <c r="A24" s="87"/>
      <c r="B24" s="87"/>
      <c r="C24" s="322" t="s">
        <v>123</v>
      </c>
      <c r="D24" s="323"/>
      <c r="E24" s="15">
        <f>المهني!V20</f>
        <v>274</v>
      </c>
      <c r="F24" s="15">
        <f>المهني!W20</f>
        <v>92</v>
      </c>
      <c r="G24" s="15">
        <f>المهني!X20</f>
        <v>243</v>
      </c>
      <c r="H24" s="15">
        <f>المهني!Y20</f>
        <v>77</v>
      </c>
      <c r="I24" s="15">
        <f>المهني!Z20</f>
        <v>154</v>
      </c>
      <c r="J24" s="15">
        <f>المهني!AA20</f>
        <v>61</v>
      </c>
      <c r="K24" s="15">
        <f>المهني!AB20</f>
        <v>102</v>
      </c>
      <c r="L24" s="15">
        <f>المهني!AC20</f>
        <v>33</v>
      </c>
      <c r="M24" s="15">
        <f>المهني!AD20</f>
        <v>50</v>
      </c>
      <c r="N24" s="15">
        <f>المهني!AE20</f>
        <v>38</v>
      </c>
      <c r="O24" s="15">
        <f t="shared" ref="O24:P30" si="5">M24+K24+I24+G24+E24</f>
        <v>823</v>
      </c>
      <c r="P24" s="15">
        <f t="shared" si="5"/>
        <v>301</v>
      </c>
      <c r="Q24" s="15">
        <f t="shared" ref="Q24:Q30" si="6">P24+O24</f>
        <v>1124</v>
      </c>
      <c r="R24" s="19"/>
      <c r="S24" s="19"/>
      <c r="T24" s="87"/>
      <c r="U24" s="87"/>
    </row>
    <row r="25" spans="1:21" ht="31.5" customHeight="1" thickTop="1" thickBot="1">
      <c r="A25" s="87"/>
      <c r="B25" s="87"/>
      <c r="C25" s="322" t="s">
        <v>124</v>
      </c>
      <c r="D25" s="323"/>
      <c r="E25" s="15">
        <f>المهني!V31</f>
        <v>8</v>
      </c>
      <c r="F25" s="15">
        <f>المهني!W31</f>
        <v>0</v>
      </c>
      <c r="G25" s="15">
        <f>المهني!X31</f>
        <v>19</v>
      </c>
      <c r="H25" s="15">
        <f>المهني!Y31</f>
        <v>0</v>
      </c>
      <c r="I25" s="15">
        <f>المهني!Z31</f>
        <v>9</v>
      </c>
      <c r="J25" s="15">
        <f>المهني!AA31</f>
        <v>0</v>
      </c>
      <c r="K25" s="15">
        <f>المهني!AB31</f>
        <v>10</v>
      </c>
      <c r="L25" s="15">
        <f>المهني!AC31</f>
        <v>0</v>
      </c>
      <c r="M25" s="15">
        <f>المهني!AD31</f>
        <v>8</v>
      </c>
      <c r="N25" s="15">
        <f>المهني!AE31</f>
        <v>0</v>
      </c>
      <c r="O25" s="15">
        <f t="shared" si="5"/>
        <v>54</v>
      </c>
      <c r="P25" s="15">
        <f t="shared" si="5"/>
        <v>0</v>
      </c>
      <c r="Q25" s="15">
        <f t="shared" si="6"/>
        <v>54</v>
      </c>
      <c r="R25" s="19"/>
      <c r="S25" s="19"/>
      <c r="T25" s="87"/>
      <c r="U25" s="87"/>
    </row>
    <row r="26" spans="1:21" ht="31.5" customHeight="1" thickTop="1" thickBot="1">
      <c r="A26" s="87"/>
      <c r="B26" s="87"/>
      <c r="C26" s="322" t="s">
        <v>125</v>
      </c>
      <c r="D26" s="323"/>
      <c r="E26" s="15">
        <f>المهني!V26</f>
        <v>0</v>
      </c>
      <c r="F26" s="15">
        <f>المهني!W26</f>
        <v>29</v>
      </c>
      <c r="G26" s="15">
        <f>المهني!X26</f>
        <v>40</v>
      </c>
      <c r="H26" s="15">
        <f>المهني!Y26</f>
        <v>42</v>
      </c>
      <c r="I26" s="15">
        <f>المهني!Z26</f>
        <v>100</v>
      </c>
      <c r="J26" s="15">
        <f>المهني!AA26</f>
        <v>24</v>
      </c>
      <c r="K26" s="15">
        <f>المهني!AB26</f>
        <v>44</v>
      </c>
      <c r="L26" s="15">
        <f>المهني!AC26</f>
        <v>24</v>
      </c>
      <c r="M26" s="15">
        <f>المهني!AD26</f>
        <v>14</v>
      </c>
      <c r="N26" s="15">
        <f>المهني!AE26</f>
        <v>23</v>
      </c>
      <c r="O26" s="15">
        <f t="shared" si="5"/>
        <v>198</v>
      </c>
      <c r="P26" s="15">
        <f t="shared" si="5"/>
        <v>142</v>
      </c>
      <c r="Q26" s="15">
        <f t="shared" si="6"/>
        <v>340</v>
      </c>
      <c r="R26" s="19"/>
      <c r="S26" s="19"/>
      <c r="T26" s="87"/>
      <c r="U26" s="87"/>
    </row>
    <row r="27" spans="1:21" ht="31.5" customHeight="1" thickTop="1" thickBot="1">
      <c r="A27" s="87"/>
      <c r="B27" s="87"/>
      <c r="C27" s="322" t="s">
        <v>214</v>
      </c>
      <c r="D27" s="323"/>
      <c r="E27" s="15">
        <f>المهني!V35</f>
        <v>0</v>
      </c>
      <c r="F27" s="15">
        <f>المهني!W35</f>
        <v>35</v>
      </c>
      <c r="G27" s="15">
        <v>0</v>
      </c>
      <c r="H27" s="15">
        <f>المهني!Y35</f>
        <v>48</v>
      </c>
      <c r="I27" s="15">
        <v>0</v>
      </c>
      <c r="J27" s="15">
        <f>المهني!AA35</f>
        <v>41</v>
      </c>
      <c r="K27" s="15">
        <v>0</v>
      </c>
      <c r="L27" s="15">
        <f>المهني!AC35</f>
        <v>21</v>
      </c>
      <c r="M27" s="15">
        <v>0</v>
      </c>
      <c r="N27" s="15">
        <f>المهني!AE35</f>
        <v>22</v>
      </c>
      <c r="O27" s="15">
        <f>M27+K27+I27+G27+E27</f>
        <v>0</v>
      </c>
      <c r="P27" s="15">
        <f t="shared" si="5"/>
        <v>167</v>
      </c>
      <c r="Q27" s="15">
        <f t="shared" si="6"/>
        <v>167</v>
      </c>
      <c r="R27" s="19"/>
      <c r="S27" s="19"/>
      <c r="T27" s="87"/>
      <c r="U27" s="87"/>
    </row>
    <row r="28" spans="1:21" ht="31.5" customHeight="1" thickTop="1" thickBot="1">
      <c r="A28" s="135"/>
      <c r="B28" s="135"/>
      <c r="C28" s="322" t="s">
        <v>488</v>
      </c>
      <c r="D28" s="323"/>
      <c r="E28" s="15">
        <f>المهني!V49</f>
        <v>24</v>
      </c>
      <c r="F28" s="15">
        <f>المهني!W49</f>
        <v>0</v>
      </c>
      <c r="G28" s="15">
        <f>المهني!X49</f>
        <v>25</v>
      </c>
      <c r="H28" s="15">
        <f>المهني!Y49</f>
        <v>0</v>
      </c>
      <c r="I28" s="15">
        <f>المهني!Z49</f>
        <v>22</v>
      </c>
      <c r="J28" s="15">
        <f>المهني!AA49</f>
        <v>0</v>
      </c>
      <c r="K28" s="15">
        <f>المهني!AB49</f>
        <v>15</v>
      </c>
      <c r="L28" s="15">
        <f>المهني!AC49</f>
        <v>0</v>
      </c>
      <c r="M28" s="15">
        <f>المهني!AD49</f>
        <v>7</v>
      </c>
      <c r="N28" s="15">
        <f>المهني!AE49</f>
        <v>0</v>
      </c>
      <c r="O28" s="15">
        <f>M28+K28+I28+G28+E28</f>
        <v>93</v>
      </c>
      <c r="P28" s="15">
        <f t="shared" ref="P28" si="7">N28+L28+J28+H28+F28</f>
        <v>0</v>
      </c>
      <c r="Q28" s="15">
        <f t="shared" si="6"/>
        <v>93</v>
      </c>
      <c r="R28" s="19"/>
      <c r="S28" s="19"/>
      <c r="T28" s="135"/>
      <c r="U28" s="135"/>
    </row>
    <row r="29" spans="1:21" ht="31.5" customHeight="1" thickTop="1" thickBot="1">
      <c r="A29" s="172"/>
      <c r="B29" s="172"/>
      <c r="C29" s="322" t="s">
        <v>523</v>
      </c>
      <c r="D29" s="323"/>
      <c r="E29" s="15">
        <f>المهني!V51</f>
        <v>28</v>
      </c>
      <c r="F29" s="15">
        <f>المهني!W51</f>
        <v>0</v>
      </c>
      <c r="G29" s="15">
        <f>المهني!X51</f>
        <v>37</v>
      </c>
      <c r="H29" s="15">
        <f>المهني!Y51</f>
        <v>0</v>
      </c>
      <c r="I29" s="15">
        <f>المهني!Z51</f>
        <v>44</v>
      </c>
      <c r="J29" s="15">
        <f>المهني!AA51</f>
        <v>0</v>
      </c>
      <c r="K29" s="15">
        <f>المهني!AB51</f>
        <v>47</v>
      </c>
      <c r="L29" s="15">
        <f>المهني!AC51</f>
        <v>0</v>
      </c>
      <c r="M29" s="15">
        <f>المهني!AD51</f>
        <v>0</v>
      </c>
      <c r="N29" s="15">
        <f>المهني!AE51</f>
        <v>0</v>
      </c>
      <c r="O29" s="15">
        <f>M29+K29+I29+G29+E29</f>
        <v>156</v>
      </c>
      <c r="P29" s="15">
        <f t="shared" ref="P29" si="8">N29+L29+J29+H29+F29</f>
        <v>0</v>
      </c>
      <c r="Q29" s="15">
        <f t="shared" ref="Q29" si="9">P29+O29</f>
        <v>156</v>
      </c>
      <c r="R29" s="19"/>
      <c r="S29" s="19"/>
      <c r="T29" s="172"/>
      <c r="U29" s="172"/>
    </row>
    <row r="30" spans="1:21" ht="31.5" customHeight="1" thickTop="1" thickBot="1">
      <c r="A30" s="87"/>
      <c r="B30" s="87"/>
      <c r="C30" s="344" t="s">
        <v>397</v>
      </c>
      <c r="D30" s="345"/>
      <c r="E30" s="15">
        <f>المهني!V46</f>
        <v>256</v>
      </c>
      <c r="F30" s="15">
        <f>المهني!W46</f>
        <v>123</v>
      </c>
      <c r="G30" s="15">
        <f>المهني!X46</f>
        <v>227</v>
      </c>
      <c r="H30" s="15">
        <f>المهني!Y46</f>
        <v>94</v>
      </c>
      <c r="I30" s="15">
        <f>المهني!Z46</f>
        <v>141</v>
      </c>
      <c r="J30" s="15">
        <f>المهني!AA46</f>
        <v>90</v>
      </c>
      <c r="K30" s="15">
        <f>المهني!AB46</f>
        <v>97</v>
      </c>
      <c r="L30" s="15">
        <f>المهني!AC46</f>
        <v>50</v>
      </c>
      <c r="M30" s="15">
        <f>المهني!AD46</f>
        <v>92</v>
      </c>
      <c r="N30" s="15">
        <f>المهني!AE46</f>
        <v>66</v>
      </c>
      <c r="O30" s="15">
        <f t="shared" si="5"/>
        <v>813</v>
      </c>
      <c r="P30" s="15">
        <f t="shared" si="5"/>
        <v>423</v>
      </c>
      <c r="Q30" s="15">
        <f t="shared" si="6"/>
        <v>1236</v>
      </c>
      <c r="R30" s="19"/>
      <c r="S30" s="19"/>
      <c r="T30" s="87"/>
      <c r="U30" s="87"/>
    </row>
    <row r="31" spans="1:21" ht="31.5" customHeight="1" thickTop="1" thickBot="1">
      <c r="A31" s="87"/>
      <c r="B31" s="87"/>
      <c r="C31" s="322" t="s">
        <v>25</v>
      </c>
      <c r="D31" s="323"/>
      <c r="E31" s="15">
        <f>E27+E26+E25+E24+E30+E28+E29</f>
        <v>590</v>
      </c>
      <c r="F31" s="15">
        <f t="shared" ref="F31:Q31" si="10">F27+F26+F25+F24+F30+F28+F29</f>
        <v>279</v>
      </c>
      <c r="G31" s="15">
        <f t="shared" si="10"/>
        <v>591</v>
      </c>
      <c r="H31" s="15">
        <f t="shared" si="10"/>
        <v>261</v>
      </c>
      <c r="I31" s="15">
        <f t="shared" si="10"/>
        <v>470</v>
      </c>
      <c r="J31" s="15">
        <f t="shared" si="10"/>
        <v>216</v>
      </c>
      <c r="K31" s="15">
        <f t="shared" si="10"/>
        <v>315</v>
      </c>
      <c r="L31" s="15">
        <f t="shared" si="10"/>
        <v>128</v>
      </c>
      <c r="M31" s="15">
        <f t="shared" si="10"/>
        <v>171</v>
      </c>
      <c r="N31" s="15">
        <f t="shared" si="10"/>
        <v>149</v>
      </c>
      <c r="O31" s="15">
        <f t="shared" si="10"/>
        <v>2137</v>
      </c>
      <c r="P31" s="15">
        <f t="shared" si="10"/>
        <v>1033</v>
      </c>
      <c r="Q31" s="15">
        <f t="shared" si="10"/>
        <v>3170</v>
      </c>
      <c r="R31" s="19"/>
      <c r="S31" s="19"/>
      <c r="T31" s="87"/>
      <c r="U31" s="87"/>
    </row>
    <row r="32" spans="1:21" ht="31.5" customHeight="1" thickTop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</row>
    <row r="33" spans="1:21" ht="31.5" customHeight="1">
      <c r="A33" s="328" t="s">
        <v>111</v>
      </c>
      <c r="B33" s="328"/>
      <c r="C33" s="328"/>
      <c r="D33" s="328"/>
      <c r="E33" s="328"/>
      <c r="F33" s="328"/>
      <c r="G33" s="86"/>
      <c r="H33" s="86"/>
      <c r="I33" s="86"/>
      <c r="J33" s="87"/>
      <c r="K33" s="87"/>
      <c r="L33" s="87"/>
      <c r="M33" s="87"/>
      <c r="N33" s="87"/>
      <c r="O33" s="87"/>
      <c r="P33" s="87"/>
      <c r="Q33" s="87"/>
      <c r="R33" s="87"/>
      <c r="S33" s="328" t="s">
        <v>112</v>
      </c>
      <c r="T33" s="328"/>
      <c r="U33" s="87"/>
    </row>
    <row r="34" spans="1:21" ht="31.5" customHeight="1">
      <c r="A34" s="334" t="s">
        <v>188</v>
      </c>
      <c r="B34" s="334"/>
      <c r="C34" s="334"/>
      <c r="D34" s="334"/>
      <c r="E34" s="334"/>
      <c r="F34" s="334"/>
      <c r="G34" s="86"/>
      <c r="H34" s="86"/>
      <c r="I34" s="328" t="s">
        <v>207</v>
      </c>
      <c r="J34" s="328"/>
      <c r="K34" s="328"/>
      <c r="L34" s="328"/>
      <c r="M34" s="87"/>
      <c r="N34" s="87"/>
      <c r="O34" s="87"/>
      <c r="P34" s="87"/>
      <c r="Q34" s="87"/>
      <c r="R34" s="87"/>
      <c r="S34" s="86"/>
      <c r="T34" s="86"/>
      <c r="U34" s="87"/>
    </row>
    <row r="35" spans="1:21" ht="31.5" customHeight="1">
      <c r="A35" s="328" t="s">
        <v>113</v>
      </c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87"/>
    </row>
    <row r="36" spans="1:21" ht="31.5" customHeight="1">
      <c r="A36" s="328" t="s">
        <v>533</v>
      </c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87"/>
    </row>
    <row r="37" spans="1:21" ht="31.5" customHeight="1">
      <c r="A37" s="329" t="s">
        <v>114</v>
      </c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87"/>
    </row>
    <row r="38" spans="1:21" ht="31.5" customHeight="1" thickBo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87"/>
      <c r="U38" s="87"/>
    </row>
    <row r="39" spans="1:21" ht="51" customHeight="1" thickTop="1" thickBot="1">
      <c r="A39" s="335" t="s">
        <v>115</v>
      </c>
      <c r="B39" s="331" t="s">
        <v>116</v>
      </c>
      <c r="C39" s="332"/>
      <c r="D39" s="332"/>
      <c r="E39" s="333"/>
      <c r="F39" s="331" t="s">
        <v>117</v>
      </c>
      <c r="G39" s="332"/>
      <c r="H39" s="333"/>
      <c r="I39" s="331" t="s">
        <v>215</v>
      </c>
      <c r="J39" s="332"/>
      <c r="K39" s="333"/>
      <c r="L39" s="331" t="s">
        <v>119</v>
      </c>
      <c r="M39" s="332"/>
      <c r="N39" s="333"/>
      <c r="O39" s="337" t="s">
        <v>120</v>
      </c>
      <c r="P39" s="337"/>
      <c r="Q39" s="338" t="s">
        <v>210</v>
      </c>
      <c r="R39" s="339"/>
      <c r="S39" s="324" t="s">
        <v>213</v>
      </c>
      <c r="T39" s="325"/>
      <c r="U39" s="87"/>
    </row>
    <row r="40" spans="1:21" ht="31.5" customHeight="1" thickTop="1" thickBot="1">
      <c r="A40" s="336"/>
      <c r="B40" s="14" t="s">
        <v>121</v>
      </c>
      <c r="C40" s="14" t="s">
        <v>6</v>
      </c>
      <c r="D40" s="14" t="s">
        <v>67</v>
      </c>
      <c r="E40" s="14" t="s">
        <v>25</v>
      </c>
      <c r="F40" s="14" t="s">
        <v>121</v>
      </c>
      <c r="G40" s="14" t="s">
        <v>6</v>
      </c>
      <c r="H40" s="14" t="s">
        <v>25</v>
      </c>
      <c r="I40" s="14" t="s">
        <v>121</v>
      </c>
      <c r="J40" s="14" t="s">
        <v>6</v>
      </c>
      <c r="K40" s="14" t="s">
        <v>25</v>
      </c>
      <c r="L40" s="14" t="s">
        <v>121</v>
      </c>
      <c r="M40" s="14" t="s">
        <v>6</v>
      </c>
      <c r="N40" s="14" t="s">
        <v>25</v>
      </c>
      <c r="O40" s="14" t="s">
        <v>122</v>
      </c>
      <c r="P40" s="14" t="s">
        <v>15</v>
      </c>
      <c r="Q40" s="14" t="s">
        <v>211</v>
      </c>
      <c r="R40" s="14" t="s">
        <v>212</v>
      </c>
      <c r="S40" s="326"/>
      <c r="T40" s="327"/>
      <c r="U40" s="87"/>
    </row>
    <row r="41" spans="1:21" ht="31.5" customHeight="1" thickTop="1" thickBot="1">
      <c r="A41" s="15" t="s">
        <v>123</v>
      </c>
      <c r="B41" s="15">
        <f>المهني!F12</f>
        <v>4</v>
      </c>
      <c r="C41" s="15">
        <f>المهني!G12</f>
        <v>1</v>
      </c>
      <c r="D41" s="15">
        <f>المهني!H12</f>
        <v>0</v>
      </c>
      <c r="E41" s="15">
        <f>D41+C41+B41</f>
        <v>5</v>
      </c>
      <c r="F41" s="15">
        <f>المهني!AF12</f>
        <v>606</v>
      </c>
      <c r="G41" s="15">
        <f>المهني!AG12</f>
        <v>249</v>
      </c>
      <c r="H41" s="15">
        <f t="shared" ref="H41:H46" si="11">G41+F41</f>
        <v>855</v>
      </c>
      <c r="I41" s="15">
        <f>المهني!CJ12</f>
        <v>1434</v>
      </c>
      <c r="J41" s="15">
        <f>المهني!CK12</f>
        <v>516</v>
      </c>
      <c r="K41" s="15">
        <f t="shared" ref="K41:K46" si="12">J41+I41</f>
        <v>1950</v>
      </c>
      <c r="L41" s="15">
        <f>المهني!FL12</f>
        <v>114</v>
      </c>
      <c r="M41" s="15">
        <f>المهني!FM12</f>
        <v>126</v>
      </c>
      <c r="N41" s="15">
        <f t="shared" ref="N41:N46" si="13">M41+L41</f>
        <v>240</v>
      </c>
      <c r="O41" s="15">
        <f>المهني!O12</f>
        <v>4</v>
      </c>
      <c r="P41" s="15">
        <f>المهني!P12</f>
        <v>1</v>
      </c>
      <c r="Q41" s="15">
        <f>المهني!I12</f>
        <v>5</v>
      </c>
      <c r="R41" s="15">
        <f>المهني!J12</f>
        <v>0</v>
      </c>
      <c r="S41" s="322">
        <f>المهني!U12</f>
        <v>0</v>
      </c>
      <c r="T41" s="323"/>
      <c r="U41" s="87"/>
    </row>
    <row r="42" spans="1:21" ht="31.5" customHeight="1" thickTop="1" thickBot="1">
      <c r="A42" s="15" t="s">
        <v>124</v>
      </c>
      <c r="B42" s="15">
        <v>0</v>
      </c>
      <c r="C42" s="15">
        <v>0</v>
      </c>
      <c r="D42" s="15">
        <v>0</v>
      </c>
      <c r="E42" s="15">
        <f>D42+C42+B42</f>
        <v>0</v>
      </c>
      <c r="F42" s="15">
        <v>0</v>
      </c>
      <c r="G42" s="15">
        <v>0</v>
      </c>
      <c r="H42" s="15">
        <f t="shared" si="11"/>
        <v>0</v>
      </c>
      <c r="I42" s="15">
        <v>0</v>
      </c>
      <c r="J42" s="15">
        <v>0</v>
      </c>
      <c r="K42" s="15">
        <f t="shared" si="12"/>
        <v>0</v>
      </c>
      <c r="L42" s="15">
        <v>0</v>
      </c>
      <c r="M42" s="15">
        <v>0</v>
      </c>
      <c r="N42" s="15">
        <f t="shared" si="13"/>
        <v>0</v>
      </c>
      <c r="O42" s="15">
        <v>0</v>
      </c>
      <c r="P42" s="15">
        <v>0</v>
      </c>
      <c r="Q42" s="15">
        <v>0</v>
      </c>
      <c r="R42" s="15">
        <v>0</v>
      </c>
      <c r="S42" s="322">
        <v>0</v>
      </c>
      <c r="T42" s="323"/>
      <c r="U42" s="87"/>
    </row>
    <row r="43" spans="1:21" ht="31.5" customHeight="1" thickTop="1" thickBot="1">
      <c r="A43" s="15" t="s">
        <v>125</v>
      </c>
      <c r="B43" s="15">
        <f>المهني!F26</f>
        <v>1</v>
      </c>
      <c r="C43" s="15">
        <f>المهني!G26</f>
        <v>1</v>
      </c>
      <c r="D43" s="15">
        <f>المهني!H26</f>
        <v>0</v>
      </c>
      <c r="E43" s="15">
        <f>D43+C43+B43</f>
        <v>2</v>
      </c>
      <c r="F43" s="15">
        <f>المهني!AF26</f>
        <v>198</v>
      </c>
      <c r="G43" s="15">
        <f>المهني!AG26</f>
        <v>142</v>
      </c>
      <c r="H43" s="15">
        <f t="shared" si="11"/>
        <v>340</v>
      </c>
      <c r="I43" s="15">
        <f>المهني!CJ26</f>
        <v>557</v>
      </c>
      <c r="J43" s="15">
        <f>المهني!CK26</f>
        <v>279</v>
      </c>
      <c r="K43" s="15">
        <f t="shared" si="12"/>
        <v>836</v>
      </c>
      <c r="L43" s="15">
        <f>المهني!FL26</f>
        <v>20</v>
      </c>
      <c r="M43" s="15">
        <f>المهني!FM26</f>
        <v>28</v>
      </c>
      <c r="N43" s="15">
        <f t="shared" si="13"/>
        <v>48</v>
      </c>
      <c r="O43" s="15">
        <v>0</v>
      </c>
      <c r="P43" s="15">
        <v>0</v>
      </c>
      <c r="Q43" s="15">
        <v>0</v>
      </c>
      <c r="R43" s="15">
        <v>0</v>
      </c>
      <c r="S43" s="322">
        <v>0</v>
      </c>
      <c r="T43" s="323"/>
      <c r="U43" s="87"/>
    </row>
    <row r="44" spans="1:21" ht="31.5" customHeight="1" thickTop="1" thickBot="1">
      <c r="A44" s="15" t="s">
        <v>214</v>
      </c>
      <c r="B44" s="15">
        <v>0</v>
      </c>
      <c r="C44" s="15">
        <v>0</v>
      </c>
      <c r="D44" s="15">
        <v>0</v>
      </c>
      <c r="E44" s="15">
        <f>D44+C44+B44</f>
        <v>0</v>
      </c>
      <c r="F44" s="15">
        <f>المهني!AF35</f>
        <v>0</v>
      </c>
      <c r="G44" s="15">
        <f>المهني!AG35</f>
        <v>167</v>
      </c>
      <c r="H44" s="15">
        <f t="shared" si="11"/>
        <v>167</v>
      </c>
      <c r="I44" s="15">
        <v>0</v>
      </c>
      <c r="J44" s="15">
        <f>المهني!CK34</f>
        <v>346</v>
      </c>
      <c r="K44" s="15">
        <f t="shared" si="12"/>
        <v>346</v>
      </c>
      <c r="L44" s="15">
        <v>0</v>
      </c>
      <c r="M44" s="15">
        <f>المهني!FM34</f>
        <v>0</v>
      </c>
      <c r="N44" s="15">
        <f t="shared" si="13"/>
        <v>0</v>
      </c>
      <c r="O44" s="15">
        <v>0</v>
      </c>
      <c r="P44" s="15">
        <v>0</v>
      </c>
      <c r="Q44" s="15">
        <v>0</v>
      </c>
      <c r="R44" s="15">
        <v>0</v>
      </c>
      <c r="S44" s="322">
        <v>0</v>
      </c>
      <c r="T44" s="323"/>
      <c r="U44" s="87"/>
    </row>
    <row r="45" spans="1:21" ht="31.5" customHeight="1" thickTop="1" thickBot="1">
      <c r="A45" s="15" t="s">
        <v>488</v>
      </c>
      <c r="B45" s="15"/>
      <c r="C45" s="15"/>
      <c r="D45" s="15"/>
      <c r="E45" s="15"/>
      <c r="F45" s="15">
        <f>المهني!AF49</f>
        <v>93</v>
      </c>
      <c r="G45" s="15">
        <f>المهني!AG49</f>
        <v>0</v>
      </c>
      <c r="H45" s="15">
        <f t="shared" si="11"/>
        <v>93</v>
      </c>
      <c r="I45" s="15">
        <f>المهني!CJ49</f>
        <v>197</v>
      </c>
      <c r="J45" s="15">
        <f>المهني!CK49</f>
        <v>0</v>
      </c>
      <c r="K45" s="15">
        <f t="shared" si="12"/>
        <v>197</v>
      </c>
      <c r="L45" s="15">
        <f>المهني!FL49</f>
        <v>5</v>
      </c>
      <c r="M45" s="15">
        <f>المهني!FM49</f>
        <v>4</v>
      </c>
      <c r="N45" s="15">
        <f t="shared" si="13"/>
        <v>9</v>
      </c>
      <c r="O45" s="15"/>
      <c r="P45" s="15"/>
      <c r="Q45" s="15"/>
      <c r="R45" s="15"/>
      <c r="S45" s="132"/>
      <c r="T45" s="133"/>
      <c r="U45" s="135"/>
    </row>
    <row r="46" spans="1:21" ht="31.5" customHeight="1" thickTop="1" thickBot="1">
      <c r="A46" s="57" t="s">
        <v>397</v>
      </c>
      <c r="B46" s="15">
        <v>0</v>
      </c>
      <c r="C46" s="15">
        <v>0</v>
      </c>
      <c r="D46" s="15">
        <v>0</v>
      </c>
      <c r="E46" s="15">
        <v>0</v>
      </c>
      <c r="F46" s="15">
        <f>المهني!AF47</f>
        <v>645</v>
      </c>
      <c r="G46" s="15">
        <f>المهني!AG47</f>
        <v>317</v>
      </c>
      <c r="H46" s="15">
        <f t="shared" si="11"/>
        <v>962</v>
      </c>
      <c r="I46" s="15">
        <f>المهني!CJ47</f>
        <v>1494</v>
      </c>
      <c r="J46" s="15">
        <f>المهني!CK47</f>
        <v>595</v>
      </c>
      <c r="K46" s="15">
        <f t="shared" si="12"/>
        <v>2089</v>
      </c>
      <c r="L46" s="15">
        <f>المهني!FL46</f>
        <v>1</v>
      </c>
      <c r="M46" s="15">
        <f>المهني!FM46</f>
        <v>0</v>
      </c>
      <c r="N46" s="15">
        <f t="shared" si="13"/>
        <v>1</v>
      </c>
      <c r="O46" s="15">
        <v>0</v>
      </c>
      <c r="P46" s="15">
        <v>0</v>
      </c>
      <c r="Q46" s="15">
        <v>0</v>
      </c>
      <c r="R46" s="15">
        <v>0</v>
      </c>
      <c r="S46" s="322">
        <v>0</v>
      </c>
      <c r="T46" s="323"/>
      <c r="U46" s="87"/>
    </row>
    <row r="47" spans="1:21" ht="31.5" customHeight="1" thickTop="1" thickBot="1">
      <c r="A47" s="15" t="s">
        <v>25</v>
      </c>
      <c r="B47" s="15">
        <f>B44+B43+B42+B41+B46+B45</f>
        <v>5</v>
      </c>
      <c r="C47" s="15">
        <f t="shared" ref="C47:R47" si="14">C44+C43+C42+C41+C46+C45</f>
        <v>2</v>
      </c>
      <c r="D47" s="15">
        <f t="shared" si="14"/>
        <v>0</v>
      </c>
      <c r="E47" s="15">
        <f t="shared" si="14"/>
        <v>7</v>
      </c>
      <c r="F47" s="15">
        <f t="shared" si="14"/>
        <v>1542</v>
      </c>
      <c r="G47" s="15">
        <f t="shared" si="14"/>
        <v>875</v>
      </c>
      <c r="H47" s="15">
        <f t="shared" si="14"/>
        <v>2417</v>
      </c>
      <c r="I47" s="15">
        <f t="shared" si="14"/>
        <v>3682</v>
      </c>
      <c r="J47" s="15">
        <f t="shared" si="14"/>
        <v>1736</v>
      </c>
      <c r="K47" s="15">
        <f t="shared" si="14"/>
        <v>5418</v>
      </c>
      <c r="L47" s="15">
        <f t="shared" si="14"/>
        <v>140</v>
      </c>
      <c r="M47" s="15">
        <f t="shared" si="14"/>
        <v>158</v>
      </c>
      <c r="N47" s="15">
        <f>N44+N43+N42+N41+N46+N45</f>
        <v>298</v>
      </c>
      <c r="O47" s="15">
        <f t="shared" si="14"/>
        <v>4</v>
      </c>
      <c r="P47" s="15">
        <f t="shared" si="14"/>
        <v>1</v>
      </c>
      <c r="Q47" s="15">
        <f t="shared" si="14"/>
        <v>5</v>
      </c>
      <c r="R47" s="15">
        <f t="shared" si="14"/>
        <v>0</v>
      </c>
      <c r="S47" s="322">
        <f>SUM(S41:S44)</f>
        <v>0</v>
      </c>
      <c r="T47" s="323"/>
      <c r="U47" s="87"/>
    </row>
    <row r="48" spans="1:21" ht="31.5" customHeight="1" thickTop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7"/>
      <c r="P48" s="87"/>
      <c r="Q48" s="87"/>
      <c r="R48" s="87"/>
      <c r="S48" s="87"/>
      <c r="T48" s="87"/>
      <c r="U48" s="87"/>
    </row>
    <row r="49" spans="1:21" ht="31.5" customHeight="1">
      <c r="A49" s="17"/>
      <c r="B49" s="17"/>
      <c r="C49" s="17"/>
      <c r="D49" s="328" t="s">
        <v>126</v>
      </c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87"/>
      <c r="S49" s="87"/>
      <c r="T49" s="87"/>
      <c r="U49" s="87"/>
    </row>
    <row r="50" spans="1:21" ht="31.5" customHeight="1">
      <c r="A50" s="87"/>
      <c r="B50" s="87"/>
      <c r="C50" s="86" t="s">
        <v>189</v>
      </c>
      <c r="D50" s="328" t="s">
        <v>533</v>
      </c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87"/>
      <c r="S50" s="87"/>
      <c r="T50" s="87"/>
      <c r="U50" s="87"/>
    </row>
    <row r="51" spans="1:21" ht="31.5" customHeight="1">
      <c r="A51" s="87"/>
      <c r="B51" s="86"/>
      <c r="C51" s="86"/>
      <c r="D51" s="328" t="s">
        <v>190</v>
      </c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87"/>
      <c r="S51" s="87"/>
      <c r="T51" s="87"/>
      <c r="U51" s="87"/>
    </row>
    <row r="52" spans="1:21" ht="31.5" customHeight="1" thickBot="1">
      <c r="A52" s="87"/>
      <c r="B52" s="18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</row>
    <row r="53" spans="1:21" ht="31.5" customHeight="1" thickTop="1" thickBot="1">
      <c r="A53" s="87"/>
      <c r="B53" s="87"/>
      <c r="C53" s="87"/>
      <c r="D53" s="92" t="s">
        <v>115</v>
      </c>
      <c r="E53" s="322" t="s">
        <v>127</v>
      </c>
      <c r="F53" s="323"/>
      <c r="G53" s="322" t="s">
        <v>128</v>
      </c>
      <c r="H53" s="323"/>
      <c r="I53" s="322" t="s">
        <v>129</v>
      </c>
      <c r="J53" s="323"/>
      <c r="K53" s="322" t="s">
        <v>130</v>
      </c>
      <c r="L53" s="323"/>
      <c r="M53" s="322" t="s">
        <v>131</v>
      </c>
      <c r="N53" s="323"/>
      <c r="O53" s="322" t="s">
        <v>132</v>
      </c>
      <c r="P53" s="330"/>
      <c r="Q53" s="323"/>
      <c r="R53" s="87"/>
      <c r="S53" s="87"/>
      <c r="T53" s="87"/>
      <c r="U53" s="87"/>
    </row>
    <row r="54" spans="1:21" ht="31.5" customHeight="1" thickTop="1" thickBot="1">
      <c r="A54" s="87"/>
      <c r="B54" s="87"/>
      <c r="C54" s="87"/>
      <c r="D54" s="93"/>
      <c r="E54" s="15" t="s">
        <v>5</v>
      </c>
      <c r="F54" s="15" t="s">
        <v>6</v>
      </c>
      <c r="G54" s="15" t="s">
        <v>5</v>
      </c>
      <c r="H54" s="15" t="s">
        <v>6</v>
      </c>
      <c r="I54" s="15" t="s">
        <v>5</v>
      </c>
      <c r="J54" s="15" t="s">
        <v>6</v>
      </c>
      <c r="K54" s="15" t="s">
        <v>5</v>
      </c>
      <c r="L54" s="15" t="s">
        <v>6</v>
      </c>
      <c r="M54" s="15" t="s">
        <v>5</v>
      </c>
      <c r="N54" s="15" t="s">
        <v>6</v>
      </c>
      <c r="O54" s="15" t="s">
        <v>5</v>
      </c>
      <c r="P54" s="15" t="s">
        <v>6</v>
      </c>
      <c r="Q54" s="15" t="s">
        <v>25</v>
      </c>
      <c r="R54" s="87"/>
      <c r="S54" s="87"/>
      <c r="T54" s="87"/>
      <c r="U54" s="87"/>
    </row>
    <row r="55" spans="1:21" ht="31.5" customHeight="1" thickTop="1" thickBot="1">
      <c r="A55" s="87"/>
      <c r="B55" s="87"/>
      <c r="C55" s="87"/>
      <c r="D55" s="15" t="s">
        <v>123</v>
      </c>
      <c r="E55" s="15">
        <f>المهني!V12</f>
        <v>216</v>
      </c>
      <c r="F55" s="15">
        <f>المهني!W12</f>
        <v>77</v>
      </c>
      <c r="G55" s="15">
        <f>المهني!X12</f>
        <v>168</v>
      </c>
      <c r="H55" s="15">
        <f>المهني!Y12</f>
        <v>64</v>
      </c>
      <c r="I55" s="15">
        <f>المهني!Z12</f>
        <v>113</v>
      </c>
      <c r="J55" s="15">
        <f>المهني!AA12</f>
        <v>56</v>
      </c>
      <c r="K55" s="15">
        <f>المهني!AB12</f>
        <v>69</v>
      </c>
      <c r="L55" s="15">
        <f>المهني!AC12</f>
        <v>23</v>
      </c>
      <c r="M55" s="15">
        <f>المهني!AD12</f>
        <v>40</v>
      </c>
      <c r="N55" s="15">
        <f>المهني!AE12</f>
        <v>29</v>
      </c>
      <c r="O55" s="15">
        <f t="shared" ref="O55:P60" si="15">M55+K55+I55+G55+E55</f>
        <v>606</v>
      </c>
      <c r="P55" s="15">
        <f t="shared" si="15"/>
        <v>249</v>
      </c>
      <c r="Q55" s="15">
        <f>P55+O55</f>
        <v>855</v>
      </c>
      <c r="R55" s="19"/>
      <c r="S55" s="19"/>
      <c r="T55" s="87"/>
      <c r="U55" s="87"/>
    </row>
    <row r="56" spans="1:21" ht="31.5" customHeight="1" thickTop="1" thickBot="1">
      <c r="A56" s="87"/>
      <c r="B56" s="87"/>
      <c r="C56" s="87"/>
      <c r="D56" s="15" t="s">
        <v>124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f t="shared" si="15"/>
        <v>0</v>
      </c>
      <c r="P56" s="15">
        <f t="shared" si="15"/>
        <v>0</v>
      </c>
      <c r="Q56" s="15">
        <f>P56+O56</f>
        <v>0</v>
      </c>
      <c r="R56" s="19"/>
      <c r="S56" s="19"/>
      <c r="T56" s="87"/>
      <c r="U56" s="87"/>
    </row>
    <row r="57" spans="1:21" ht="31.5" customHeight="1" thickTop="1" thickBot="1">
      <c r="A57" s="87"/>
      <c r="B57" s="87"/>
      <c r="C57" s="87"/>
      <c r="D57" s="15" t="s">
        <v>125</v>
      </c>
      <c r="E57" s="15">
        <f>المهني!V26</f>
        <v>0</v>
      </c>
      <c r="F57" s="15">
        <f>المهني!W26</f>
        <v>29</v>
      </c>
      <c r="G57" s="15">
        <f>المهني!X26</f>
        <v>40</v>
      </c>
      <c r="H57" s="15">
        <f>المهني!Y26</f>
        <v>42</v>
      </c>
      <c r="I57" s="15">
        <f>المهني!Z26</f>
        <v>100</v>
      </c>
      <c r="J57" s="15">
        <f>المهني!AA26</f>
        <v>24</v>
      </c>
      <c r="K57" s="15">
        <f>المهني!AB26</f>
        <v>44</v>
      </c>
      <c r="L57" s="15">
        <f>المهني!AC26</f>
        <v>24</v>
      </c>
      <c r="M57" s="15">
        <f>المهني!AD26</f>
        <v>14</v>
      </c>
      <c r="N57" s="15">
        <f>المهني!AE26</f>
        <v>23</v>
      </c>
      <c r="O57" s="15">
        <f t="shared" si="15"/>
        <v>198</v>
      </c>
      <c r="P57" s="15">
        <f t="shared" si="15"/>
        <v>142</v>
      </c>
      <c r="Q57" s="15">
        <f>P57+O57</f>
        <v>340</v>
      </c>
      <c r="R57" s="19"/>
      <c r="S57" s="19"/>
      <c r="T57" s="87"/>
      <c r="U57" s="87"/>
    </row>
    <row r="58" spans="1:21" ht="31.5" customHeight="1" thickTop="1" thickBot="1">
      <c r="A58" s="87"/>
      <c r="B58" s="87"/>
      <c r="C58" s="87"/>
      <c r="D58" s="15" t="s">
        <v>214</v>
      </c>
      <c r="E58" s="15">
        <v>0</v>
      </c>
      <c r="F58" s="15">
        <f>المهني!AJ35</f>
        <v>35</v>
      </c>
      <c r="G58" s="15">
        <v>0</v>
      </c>
      <c r="H58" s="15">
        <f>المهني!AL34</f>
        <v>48</v>
      </c>
      <c r="I58" s="15">
        <v>0</v>
      </c>
      <c r="J58" s="15">
        <f>المهني!AN34</f>
        <v>41</v>
      </c>
      <c r="K58" s="15">
        <v>0</v>
      </c>
      <c r="L58" s="15">
        <f>المهني!AP34</f>
        <v>21</v>
      </c>
      <c r="M58" s="15">
        <v>0</v>
      </c>
      <c r="N58" s="15">
        <f>المهني!AE35</f>
        <v>22</v>
      </c>
      <c r="O58" s="15">
        <f t="shared" si="15"/>
        <v>0</v>
      </c>
      <c r="P58" s="15">
        <f t="shared" si="15"/>
        <v>167</v>
      </c>
      <c r="Q58" s="15">
        <f>P58+O58</f>
        <v>167</v>
      </c>
      <c r="R58" s="19"/>
      <c r="S58" s="19"/>
      <c r="T58" s="87"/>
      <c r="U58" s="87"/>
    </row>
    <row r="59" spans="1:21" ht="31.5" customHeight="1" thickTop="1" thickBot="1">
      <c r="A59" s="135"/>
      <c r="B59" s="135"/>
      <c r="C59" s="135"/>
      <c r="D59" s="15" t="s">
        <v>488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9"/>
      <c r="S59" s="19"/>
      <c r="T59" s="135"/>
      <c r="U59" s="135"/>
    </row>
    <row r="60" spans="1:21" ht="31.5" customHeight="1" thickTop="1" thickBot="1">
      <c r="A60" s="87"/>
      <c r="B60" s="87"/>
      <c r="C60" s="87"/>
      <c r="D60" s="131" t="s">
        <v>397</v>
      </c>
      <c r="E60" s="15">
        <f>المهني!V47</f>
        <v>213</v>
      </c>
      <c r="F60" s="15">
        <f>المهني!W47</f>
        <v>107</v>
      </c>
      <c r="G60" s="15">
        <f>المهني!X47</f>
        <v>152</v>
      </c>
      <c r="H60" s="15">
        <f>المهني!Y47</f>
        <v>74</v>
      </c>
      <c r="I60" s="15">
        <f>المهني!Z47</f>
        <v>115</v>
      </c>
      <c r="J60" s="15">
        <f>المهني!AA47</f>
        <v>54</v>
      </c>
      <c r="K60" s="15">
        <f>المهني!AB47</f>
        <v>80</v>
      </c>
      <c r="L60" s="15">
        <f>المهني!AC47</f>
        <v>30</v>
      </c>
      <c r="M60" s="15">
        <f>المهني!AD47</f>
        <v>85</v>
      </c>
      <c r="N60" s="15">
        <f>المهني!AE47</f>
        <v>52</v>
      </c>
      <c r="O60" s="15">
        <f t="shared" si="15"/>
        <v>645</v>
      </c>
      <c r="P60" s="15">
        <f t="shared" si="15"/>
        <v>317</v>
      </c>
      <c r="Q60" s="15">
        <f>P60+O60</f>
        <v>962</v>
      </c>
      <c r="R60" s="19"/>
      <c r="S60" s="19"/>
      <c r="T60" s="87"/>
      <c r="U60" s="87"/>
    </row>
    <row r="61" spans="1:21" ht="31.5" customHeight="1" thickTop="1" thickBot="1">
      <c r="A61" s="87"/>
      <c r="B61" s="87"/>
      <c r="C61" s="87"/>
      <c r="D61" s="15" t="s">
        <v>25</v>
      </c>
      <c r="E61" s="15">
        <f t="shared" ref="E61:Q61" si="16">E58+E57+E56+E55+E60</f>
        <v>429</v>
      </c>
      <c r="F61" s="15">
        <f t="shared" si="16"/>
        <v>248</v>
      </c>
      <c r="G61" s="15">
        <f t="shared" si="16"/>
        <v>360</v>
      </c>
      <c r="H61" s="15">
        <f t="shared" si="16"/>
        <v>228</v>
      </c>
      <c r="I61" s="15">
        <f t="shared" si="16"/>
        <v>328</v>
      </c>
      <c r="J61" s="15">
        <f t="shared" si="16"/>
        <v>175</v>
      </c>
      <c r="K61" s="15">
        <f t="shared" si="16"/>
        <v>193</v>
      </c>
      <c r="L61" s="15">
        <f t="shared" si="16"/>
        <v>98</v>
      </c>
      <c r="M61" s="15">
        <f t="shared" si="16"/>
        <v>139</v>
      </c>
      <c r="N61" s="15">
        <f t="shared" si="16"/>
        <v>126</v>
      </c>
      <c r="O61" s="15">
        <f t="shared" si="16"/>
        <v>1449</v>
      </c>
      <c r="P61" s="15">
        <f t="shared" si="16"/>
        <v>875</v>
      </c>
      <c r="Q61" s="15">
        <f t="shared" si="16"/>
        <v>2324</v>
      </c>
      <c r="R61" s="19"/>
      <c r="S61" s="19"/>
      <c r="T61" s="87"/>
      <c r="U61" s="87"/>
    </row>
    <row r="62" spans="1:21" ht="31.5" customHeight="1" thickTop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</row>
    <row r="63" spans="1:21" ht="31.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</row>
    <row r="64" spans="1:21" ht="31.5" customHeight="1">
      <c r="A64" s="328" t="s">
        <v>111</v>
      </c>
      <c r="B64" s="328"/>
      <c r="C64" s="328"/>
      <c r="D64" s="328"/>
      <c r="E64" s="328"/>
      <c r="F64" s="328"/>
      <c r="G64" s="86"/>
      <c r="H64" s="86"/>
      <c r="I64" s="86"/>
      <c r="J64" s="87"/>
      <c r="K64" s="87"/>
      <c r="L64" s="87"/>
      <c r="M64" s="87"/>
      <c r="N64" s="87"/>
      <c r="O64" s="87"/>
      <c r="P64" s="87"/>
      <c r="Q64" s="87"/>
      <c r="R64" s="87"/>
      <c r="S64" s="328" t="s">
        <v>112</v>
      </c>
      <c r="T64" s="328"/>
    </row>
    <row r="65" spans="1:20" ht="31.5" customHeight="1">
      <c r="A65" s="334" t="s">
        <v>188</v>
      </c>
      <c r="B65" s="334"/>
      <c r="C65" s="334"/>
      <c r="D65" s="334"/>
      <c r="E65" s="334"/>
      <c r="F65" s="334"/>
      <c r="G65" s="86"/>
      <c r="H65" s="328" t="s">
        <v>186</v>
      </c>
      <c r="I65" s="328"/>
      <c r="J65" s="328"/>
      <c r="K65" s="328"/>
      <c r="L65" s="328"/>
      <c r="M65" s="87"/>
      <c r="N65" s="87"/>
      <c r="O65" s="87"/>
      <c r="P65" s="87"/>
      <c r="Q65" s="87"/>
      <c r="R65" s="87"/>
      <c r="S65" s="86"/>
      <c r="T65" s="86"/>
    </row>
    <row r="66" spans="1:20" ht="31.5" customHeight="1">
      <c r="A66" s="328" t="s">
        <v>113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</row>
    <row r="67" spans="1:20" ht="31.5" customHeight="1">
      <c r="A67" s="328" t="s">
        <v>533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</row>
    <row r="68" spans="1:20" ht="31.5" customHeight="1">
      <c r="A68" s="329" t="s">
        <v>114</v>
      </c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</row>
    <row r="69" spans="1:20" ht="31.5" customHeight="1" thickBo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87"/>
    </row>
    <row r="70" spans="1:20" ht="46.5" customHeight="1" thickTop="1" thickBot="1">
      <c r="A70" s="335" t="s">
        <v>115</v>
      </c>
      <c r="B70" s="331" t="s">
        <v>116</v>
      </c>
      <c r="C70" s="332"/>
      <c r="D70" s="332"/>
      <c r="E70" s="333"/>
      <c r="F70" s="331" t="s">
        <v>117</v>
      </c>
      <c r="G70" s="332"/>
      <c r="H70" s="333"/>
      <c r="I70" s="331" t="s">
        <v>118</v>
      </c>
      <c r="J70" s="332"/>
      <c r="K70" s="333"/>
      <c r="L70" s="331" t="s">
        <v>119</v>
      </c>
      <c r="M70" s="332"/>
      <c r="N70" s="333"/>
      <c r="O70" s="337" t="s">
        <v>120</v>
      </c>
      <c r="P70" s="337"/>
      <c r="Q70" s="337" t="s">
        <v>210</v>
      </c>
      <c r="R70" s="337"/>
      <c r="S70" s="324" t="s">
        <v>213</v>
      </c>
      <c r="T70" s="325"/>
    </row>
    <row r="71" spans="1:20" ht="31.5" customHeight="1" thickTop="1" thickBot="1">
      <c r="A71" s="336"/>
      <c r="B71" s="14" t="s">
        <v>121</v>
      </c>
      <c r="C71" s="14" t="s">
        <v>6</v>
      </c>
      <c r="D71" s="14" t="s">
        <v>67</v>
      </c>
      <c r="E71" s="14" t="s">
        <v>25</v>
      </c>
      <c r="F71" s="14" t="s">
        <v>121</v>
      </c>
      <c r="G71" s="14" t="s">
        <v>6</v>
      </c>
      <c r="H71" s="14" t="s">
        <v>25</v>
      </c>
      <c r="I71" s="14" t="s">
        <v>121</v>
      </c>
      <c r="J71" s="14" t="s">
        <v>6</v>
      </c>
      <c r="K71" s="14" t="s">
        <v>25</v>
      </c>
      <c r="L71" s="14" t="s">
        <v>121</v>
      </c>
      <c r="M71" s="14" t="s">
        <v>6</v>
      </c>
      <c r="N71" s="14" t="s">
        <v>25</v>
      </c>
      <c r="O71" s="14" t="s">
        <v>122</v>
      </c>
      <c r="P71" s="14" t="s">
        <v>15</v>
      </c>
      <c r="Q71" s="14" t="s">
        <v>211</v>
      </c>
      <c r="R71" s="14" t="s">
        <v>212</v>
      </c>
      <c r="S71" s="326"/>
      <c r="T71" s="327"/>
    </row>
    <row r="72" spans="1:20" ht="31.5" customHeight="1" thickTop="1" thickBot="1">
      <c r="A72" s="15" t="s">
        <v>123</v>
      </c>
      <c r="B72" s="15">
        <f>المهني!F15</f>
        <v>1</v>
      </c>
      <c r="C72" s="15">
        <f>المهني!G15</f>
        <v>0</v>
      </c>
      <c r="D72" s="15">
        <f>المهني!H15</f>
        <v>0</v>
      </c>
      <c r="E72" s="15">
        <f>D72+C72+B72</f>
        <v>1</v>
      </c>
      <c r="F72" s="15">
        <f>المهني!AF15</f>
        <v>53</v>
      </c>
      <c r="G72" s="15">
        <f>المهني!AG15</f>
        <v>0</v>
      </c>
      <c r="H72" s="15">
        <f>G72+F72</f>
        <v>53</v>
      </c>
      <c r="I72" s="15">
        <f>المهني!CJ15</f>
        <v>131</v>
      </c>
      <c r="J72" s="15">
        <f>المهني!CK15</f>
        <v>0</v>
      </c>
      <c r="K72" s="15">
        <f>J72+I72</f>
        <v>131</v>
      </c>
      <c r="L72" s="15">
        <f>المهني!FL15</f>
        <v>34</v>
      </c>
      <c r="M72" s="15">
        <f>المهني!FM15</f>
        <v>16</v>
      </c>
      <c r="N72" s="15">
        <f>M72+L72</f>
        <v>50</v>
      </c>
      <c r="O72" s="15">
        <f>المهني!O15</f>
        <v>1</v>
      </c>
      <c r="P72" s="15">
        <f>المهني!P15</f>
        <v>0</v>
      </c>
      <c r="Q72" s="15">
        <f>المهني!I15</f>
        <v>1</v>
      </c>
      <c r="R72" s="15">
        <f>المهني!J15</f>
        <v>0</v>
      </c>
      <c r="S72" s="322">
        <f>المهني!U15</f>
        <v>0</v>
      </c>
      <c r="T72" s="323"/>
    </row>
    <row r="73" spans="1:20" ht="31.5" customHeight="1" thickTop="1" thickBot="1">
      <c r="A73" s="15" t="s">
        <v>124</v>
      </c>
      <c r="B73" s="15">
        <f>المهني!F31</f>
        <v>0</v>
      </c>
      <c r="C73" s="15">
        <f>المهني!G31</f>
        <v>0</v>
      </c>
      <c r="D73" s="15">
        <f>المهني!H31</f>
        <v>0</v>
      </c>
      <c r="E73" s="15">
        <f>D73+C73+B73</f>
        <v>0</v>
      </c>
      <c r="F73" s="15">
        <f>المهني!AF31</f>
        <v>54</v>
      </c>
      <c r="G73" s="15">
        <f>المهني!AG31</f>
        <v>0</v>
      </c>
      <c r="H73" s="15">
        <f>G73+F73</f>
        <v>54</v>
      </c>
      <c r="I73" s="15">
        <f>المهني!CJ31</f>
        <v>112</v>
      </c>
      <c r="J73" s="15">
        <f>المهني!CK31</f>
        <v>0</v>
      </c>
      <c r="K73" s="15">
        <f>J73+I73</f>
        <v>112</v>
      </c>
      <c r="L73" s="15">
        <f>المهني!FL31</f>
        <v>0</v>
      </c>
      <c r="M73" s="15">
        <f>المهني!FM31</f>
        <v>0</v>
      </c>
      <c r="N73" s="15">
        <f>M73+L73</f>
        <v>0</v>
      </c>
      <c r="O73" s="15">
        <f>المهني!O31</f>
        <v>0</v>
      </c>
      <c r="P73" s="15">
        <f>المهني!P31</f>
        <v>0</v>
      </c>
      <c r="Q73" s="15">
        <v>0</v>
      </c>
      <c r="R73" s="15">
        <v>0</v>
      </c>
      <c r="S73" s="322">
        <v>0</v>
      </c>
      <c r="T73" s="323"/>
    </row>
    <row r="74" spans="1:20" ht="31.5" customHeight="1" thickTop="1" thickBot="1">
      <c r="A74" s="15" t="s">
        <v>125</v>
      </c>
      <c r="B74" s="15">
        <v>0</v>
      </c>
      <c r="C74" s="15">
        <v>0</v>
      </c>
      <c r="D74" s="15">
        <v>0</v>
      </c>
      <c r="E74" s="15">
        <f>D74+C74+B74</f>
        <v>0</v>
      </c>
      <c r="F74" s="15">
        <v>0</v>
      </c>
      <c r="G74" s="15">
        <v>0</v>
      </c>
      <c r="H74" s="15">
        <f>G74+F74</f>
        <v>0</v>
      </c>
      <c r="I74" s="15">
        <v>0</v>
      </c>
      <c r="J74" s="15">
        <v>0</v>
      </c>
      <c r="K74" s="15">
        <f>J74+I74</f>
        <v>0</v>
      </c>
      <c r="L74" s="15">
        <v>0</v>
      </c>
      <c r="M74" s="15">
        <v>0</v>
      </c>
      <c r="N74" s="15">
        <f>M74+L74</f>
        <v>0</v>
      </c>
      <c r="O74" s="15">
        <v>0</v>
      </c>
      <c r="P74" s="15">
        <v>0</v>
      </c>
      <c r="Q74" s="15">
        <v>0</v>
      </c>
      <c r="R74" s="15">
        <v>0</v>
      </c>
      <c r="S74" s="322">
        <v>0</v>
      </c>
      <c r="T74" s="323"/>
    </row>
    <row r="75" spans="1:20" ht="31.5" customHeight="1" thickTop="1" thickBot="1">
      <c r="A75" s="15" t="s">
        <v>216</v>
      </c>
      <c r="B75" s="15">
        <v>0</v>
      </c>
      <c r="C75" s="15">
        <v>0</v>
      </c>
      <c r="D75" s="15">
        <v>0</v>
      </c>
      <c r="E75" s="15">
        <f>D75+C75+B75</f>
        <v>0</v>
      </c>
      <c r="F75" s="15">
        <v>0</v>
      </c>
      <c r="G75" s="15">
        <v>0</v>
      </c>
      <c r="H75" s="15">
        <f>G75+F75</f>
        <v>0</v>
      </c>
      <c r="I75" s="15">
        <v>0</v>
      </c>
      <c r="J75" s="15">
        <v>0</v>
      </c>
      <c r="K75" s="15">
        <f>J75+I75</f>
        <v>0</v>
      </c>
      <c r="L75" s="15">
        <v>0</v>
      </c>
      <c r="M75" s="15">
        <v>0</v>
      </c>
      <c r="N75" s="15">
        <f>M75+L75</f>
        <v>0</v>
      </c>
      <c r="O75" s="15">
        <v>0</v>
      </c>
      <c r="P75" s="15">
        <v>0</v>
      </c>
      <c r="Q75" s="15">
        <v>0</v>
      </c>
      <c r="R75" s="15">
        <v>0</v>
      </c>
      <c r="S75" s="322">
        <v>0</v>
      </c>
      <c r="T75" s="323"/>
    </row>
    <row r="76" spans="1:20" ht="31.5" customHeight="1" thickTop="1" thickBot="1">
      <c r="A76" s="15" t="s">
        <v>488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32"/>
      <c r="T76" s="133"/>
    </row>
    <row r="77" spans="1:20" ht="31.5" customHeight="1" thickTop="1" thickBot="1">
      <c r="A77" s="57" t="s">
        <v>397</v>
      </c>
      <c r="B77" s="15">
        <v>0</v>
      </c>
      <c r="C77" s="15">
        <v>0</v>
      </c>
      <c r="D77" s="15">
        <v>0</v>
      </c>
      <c r="E77" s="15">
        <f>D77+C77+B77</f>
        <v>0</v>
      </c>
      <c r="F77" s="15">
        <f>المهني!AF43</f>
        <v>77</v>
      </c>
      <c r="G77" s="15">
        <f>المهني!AG43</f>
        <v>0</v>
      </c>
      <c r="H77" s="15">
        <f>G77+F77</f>
        <v>77</v>
      </c>
      <c r="I77" s="15">
        <f>المهني!CJ43</f>
        <v>160</v>
      </c>
      <c r="J77" s="15">
        <f>المهني!CK43</f>
        <v>0</v>
      </c>
      <c r="K77" s="15">
        <f>J77+I77</f>
        <v>160</v>
      </c>
      <c r="L77" s="15">
        <f>المهني!FL43</f>
        <v>0</v>
      </c>
      <c r="M77" s="15">
        <f>المهني!FM43</f>
        <v>0</v>
      </c>
      <c r="N77" s="15">
        <f>M77+L77</f>
        <v>0</v>
      </c>
      <c r="O77" s="15">
        <v>0</v>
      </c>
      <c r="P77" s="15">
        <v>0</v>
      </c>
      <c r="Q77" s="15">
        <v>0</v>
      </c>
      <c r="R77" s="15">
        <v>0</v>
      </c>
      <c r="S77" s="322">
        <v>0</v>
      </c>
      <c r="T77" s="323"/>
    </row>
    <row r="78" spans="1:20" ht="31.5" customHeight="1" thickTop="1" thickBot="1">
      <c r="A78" s="15" t="s">
        <v>25</v>
      </c>
      <c r="B78" s="15">
        <f>B75+B74+B73+B72+B77+B76</f>
        <v>1</v>
      </c>
      <c r="C78" s="15">
        <f t="shared" ref="C78:R78" si="17">C75+C74+C73+C72+C77+C76</f>
        <v>0</v>
      </c>
      <c r="D78" s="15">
        <f t="shared" si="17"/>
        <v>0</v>
      </c>
      <c r="E78" s="15">
        <f t="shared" si="17"/>
        <v>1</v>
      </c>
      <c r="F78" s="15">
        <f t="shared" si="17"/>
        <v>184</v>
      </c>
      <c r="G78" s="15">
        <f t="shared" si="17"/>
        <v>0</v>
      </c>
      <c r="H78" s="15">
        <f t="shared" si="17"/>
        <v>184</v>
      </c>
      <c r="I78" s="15">
        <f t="shared" si="17"/>
        <v>403</v>
      </c>
      <c r="J78" s="15">
        <f t="shared" si="17"/>
        <v>0</v>
      </c>
      <c r="K78" s="15">
        <f t="shared" si="17"/>
        <v>403</v>
      </c>
      <c r="L78" s="15">
        <f t="shared" si="17"/>
        <v>34</v>
      </c>
      <c r="M78" s="15">
        <f t="shared" si="17"/>
        <v>16</v>
      </c>
      <c r="N78" s="15">
        <f t="shared" si="17"/>
        <v>50</v>
      </c>
      <c r="O78" s="15">
        <f t="shared" si="17"/>
        <v>1</v>
      </c>
      <c r="P78" s="15">
        <f t="shared" si="17"/>
        <v>0</v>
      </c>
      <c r="Q78" s="15">
        <f t="shared" si="17"/>
        <v>1</v>
      </c>
      <c r="R78" s="15">
        <f t="shared" si="17"/>
        <v>0</v>
      </c>
      <c r="S78" s="322">
        <f>SUM(S72:S75)</f>
        <v>0</v>
      </c>
      <c r="T78" s="323"/>
    </row>
    <row r="79" spans="1:20" ht="31.5" customHeight="1" thickTop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87"/>
      <c r="P79" s="87"/>
      <c r="Q79" s="87"/>
      <c r="R79" s="87"/>
      <c r="S79" s="87"/>
      <c r="T79" s="87"/>
    </row>
    <row r="80" spans="1:20" ht="31.5" customHeight="1">
      <c r="A80" s="17"/>
      <c r="B80" s="17"/>
      <c r="C80" s="17"/>
      <c r="D80" s="328" t="s">
        <v>126</v>
      </c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87"/>
      <c r="S80" s="87"/>
      <c r="T80" s="87"/>
    </row>
    <row r="81" spans="1:21" ht="31.5" customHeight="1">
      <c r="A81" s="87"/>
      <c r="B81" s="87"/>
      <c r="C81" s="86" t="s">
        <v>189</v>
      </c>
      <c r="D81" s="328" t="s">
        <v>534</v>
      </c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87"/>
      <c r="S81" s="87"/>
      <c r="T81" s="87"/>
    </row>
    <row r="82" spans="1:21" ht="31.5" customHeight="1">
      <c r="A82" s="87"/>
      <c r="B82" s="86"/>
      <c r="C82" s="86"/>
      <c r="D82" s="328" t="s">
        <v>190</v>
      </c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87"/>
      <c r="S82" s="87"/>
      <c r="T82" s="87"/>
    </row>
    <row r="83" spans="1:21" ht="31.5" customHeight="1" thickBot="1">
      <c r="A83" s="87"/>
      <c r="B83" s="18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</row>
    <row r="84" spans="1:21" ht="31.5" customHeight="1" thickTop="1" thickBot="1">
      <c r="A84" s="87"/>
      <c r="B84" s="87"/>
      <c r="C84" s="87"/>
      <c r="D84" s="346" t="s">
        <v>115</v>
      </c>
      <c r="E84" s="322" t="s">
        <v>127</v>
      </c>
      <c r="F84" s="323"/>
      <c r="G84" s="322" t="s">
        <v>128</v>
      </c>
      <c r="H84" s="323"/>
      <c r="I84" s="322" t="s">
        <v>129</v>
      </c>
      <c r="J84" s="323"/>
      <c r="K84" s="322" t="s">
        <v>130</v>
      </c>
      <c r="L84" s="323"/>
      <c r="M84" s="322" t="s">
        <v>131</v>
      </c>
      <c r="N84" s="323"/>
      <c r="O84" s="322" t="s">
        <v>132</v>
      </c>
      <c r="P84" s="330"/>
      <c r="Q84" s="323"/>
      <c r="R84" s="87"/>
      <c r="S84" s="87"/>
      <c r="T84" s="87"/>
    </row>
    <row r="85" spans="1:21" ht="31.5" customHeight="1" thickTop="1" thickBot="1">
      <c r="A85" s="87"/>
      <c r="B85" s="87"/>
      <c r="C85" s="87"/>
      <c r="D85" s="347"/>
      <c r="E85" s="15" t="s">
        <v>5</v>
      </c>
      <c r="F85" s="15" t="s">
        <v>6</v>
      </c>
      <c r="G85" s="15" t="s">
        <v>5</v>
      </c>
      <c r="H85" s="15" t="s">
        <v>6</v>
      </c>
      <c r="I85" s="15" t="s">
        <v>5</v>
      </c>
      <c r="J85" s="15" t="s">
        <v>6</v>
      </c>
      <c r="K85" s="15" t="s">
        <v>5</v>
      </c>
      <c r="L85" s="15" t="s">
        <v>6</v>
      </c>
      <c r="M85" s="15" t="s">
        <v>5</v>
      </c>
      <c r="N85" s="15" t="s">
        <v>6</v>
      </c>
      <c r="O85" s="15" t="s">
        <v>5</v>
      </c>
      <c r="P85" s="15" t="s">
        <v>6</v>
      </c>
      <c r="Q85" s="15" t="s">
        <v>25</v>
      </c>
      <c r="R85" s="87"/>
      <c r="S85" s="87"/>
      <c r="T85" s="87"/>
    </row>
    <row r="86" spans="1:21" ht="31.5" customHeight="1" thickTop="1" thickBot="1">
      <c r="A86" s="87"/>
      <c r="B86" s="87"/>
      <c r="C86" s="87"/>
      <c r="D86" s="15" t="s">
        <v>123</v>
      </c>
      <c r="E86" s="15">
        <f>المهني!V15</f>
        <v>24</v>
      </c>
      <c r="F86" s="15">
        <f>المهني!W15</f>
        <v>0</v>
      </c>
      <c r="G86" s="15">
        <f>المهني!X15</f>
        <v>9</v>
      </c>
      <c r="H86" s="15">
        <f>المهني!Y15</f>
        <v>0</v>
      </c>
      <c r="I86" s="15">
        <f>المهني!Z15</f>
        <v>7</v>
      </c>
      <c r="J86" s="15">
        <f>المهني!AA15</f>
        <v>0</v>
      </c>
      <c r="K86" s="15">
        <f>المهني!AB15</f>
        <v>11</v>
      </c>
      <c r="L86" s="15">
        <f>المهني!AC15</f>
        <v>0</v>
      </c>
      <c r="M86" s="15">
        <f>المهني!AD15</f>
        <v>2</v>
      </c>
      <c r="N86" s="15">
        <f>المهني!AE15</f>
        <v>0</v>
      </c>
      <c r="O86" s="15">
        <f t="shared" ref="O86:P91" si="18">M86+K86+I86+G86+E86</f>
        <v>53</v>
      </c>
      <c r="P86" s="15">
        <f t="shared" si="18"/>
        <v>0</v>
      </c>
      <c r="Q86" s="15">
        <f>P86+O86</f>
        <v>53</v>
      </c>
      <c r="R86" s="19"/>
      <c r="S86" s="19"/>
      <c r="T86" s="87"/>
    </row>
    <row r="87" spans="1:21" ht="31.5" customHeight="1" thickTop="1" thickBot="1">
      <c r="A87" s="87"/>
      <c r="B87" s="87"/>
      <c r="C87" s="87"/>
      <c r="D87" s="15" t="s">
        <v>124</v>
      </c>
      <c r="E87" s="15">
        <f>المهني!V31</f>
        <v>8</v>
      </c>
      <c r="F87" s="15">
        <f>المهني!W31</f>
        <v>0</v>
      </c>
      <c r="G87" s="15">
        <f>المهني!X31</f>
        <v>19</v>
      </c>
      <c r="H87" s="15">
        <f>المهني!Y31</f>
        <v>0</v>
      </c>
      <c r="I87" s="15">
        <f>المهني!Z31</f>
        <v>9</v>
      </c>
      <c r="J87" s="15">
        <f>المهني!AA31</f>
        <v>0</v>
      </c>
      <c r="K87" s="15">
        <f>المهني!AB31</f>
        <v>10</v>
      </c>
      <c r="L87" s="15">
        <f>المهني!AC31</f>
        <v>0</v>
      </c>
      <c r="M87" s="15">
        <f>المهني!AD31</f>
        <v>8</v>
      </c>
      <c r="N87" s="15">
        <f>المهني!AE31</f>
        <v>0</v>
      </c>
      <c r="O87" s="15">
        <f t="shared" si="18"/>
        <v>54</v>
      </c>
      <c r="P87" s="15">
        <f t="shared" si="18"/>
        <v>0</v>
      </c>
      <c r="Q87" s="15">
        <f>P87+O87</f>
        <v>54</v>
      </c>
      <c r="R87" s="19"/>
      <c r="S87" s="19"/>
      <c r="T87" s="87"/>
    </row>
    <row r="88" spans="1:21" ht="31.5" customHeight="1" thickTop="1" thickBot="1">
      <c r="A88" s="87"/>
      <c r="B88" s="87"/>
      <c r="C88" s="87"/>
      <c r="D88" s="15" t="s">
        <v>125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f t="shared" si="18"/>
        <v>0</v>
      </c>
      <c r="P88" s="15">
        <f t="shared" si="18"/>
        <v>0</v>
      </c>
      <c r="Q88" s="15">
        <f>P88+O88</f>
        <v>0</v>
      </c>
      <c r="R88" s="19"/>
      <c r="S88" s="19"/>
      <c r="T88" s="87"/>
    </row>
    <row r="89" spans="1:21" ht="31.5" customHeight="1" thickTop="1" thickBot="1">
      <c r="A89" s="87"/>
      <c r="B89" s="87"/>
      <c r="C89" s="87"/>
      <c r="D89" s="15" t="s">
        <v>216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f t="shared" si="18"/>
        <v>0</v>
      </c>
      <c r="P89" s="15">
        <f t="shared" si="18"/>
        <v>0</v>
      </c>
      <c r="Q89" s="15">
        <f>P89+O89</f>
        <v>0</v>
      </c>
      <c r="R89" s="19"/>
      <c r="S89" s="19"/>
      <c r="T89" s="87"/>
    </row>
    <row r="90" spans="1:21" ht="31.5" customHeight="1" thickTop="1" thickBot="1">
      <c r="A90" s="135"/>
      <c r="B90" s="135"/>
      <c r="C90" s="135"/>
      <c r="D90" s="15" t="s">
        <v>488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9"/>
      <c r="S90" s="19"/>
      <c r="T90" s="135"/>
    </row>
    <row r="91" spans="1:21" ht="31.5" customHeight="1" thickTop="1" thickBot="1">
      <c r="A91" s="87"/>
      <c r="B91" s="87"/>
      <c r="C91" s="87"/>
      <c r="D91" s="131" t="s">
        <v>397</v>
      </c>
      <c r="E91" s="15">
        <f>المهني!V43</f>
        <v>24</v>
      </c>
      <c r="F91" s="15">
        <f>المهني!W43</f>
        <v>0</v>
      </c>
      <c r="G91" s="15">
        <f>المهني!X43</f>
        <v>28</v>
      </c>
      <c r="H91" s="15">
        <f>المهني!Y43</f>
        <v>0</v>
      </c>
      <c r="I91" s="15">
        <f>المهني!Z43</f>
        <v>12</v>
      </c>
      <c r="J91" s="15">
        <f>المهني!AA43</f>
        <v>0</v>
      </c>
      <c r="K91" s="15">
        <f>المهني!AB43</f>
        <v>8</v>
      </c>
      <c r="L91" s="15">
        <f>المهني!AC43</f>
        <v>0</v>
      </c>
      <c r="M91" s="15">
        <f>المهني!AD43</f>
        <v>5</v>
      </c>
      <c r="N91" s="15">
        <f>المهني!AE43</f>
        <v>0</v>
      </c>
      <c r="O91" s="15">
        <f t="shared" si="18"/>
        <v>77</v>
      </c>
      <c r="P91" s="15">
        <f t="shared" si="18"/>
        <v>0</v>
      </c>
      <c r="Q91" s="15">
        <f>P91+O91</f>
        <v>77</v>
      </c>
      <c r="R91" s="19"/>
      <c r="S91" s="19"/>
      <c r="T91" s="87"/>
    </row>
    <row r="92" spans="1:21" ht="31.5" customHeight="1" thickTop="1" thickBot="1">
      <c r="A92" s="87"/>
      <c r="B92" s="87"/>
      <c r="C92" s="87"/>
      <c r="D92" s="15" t="s">
        <v>25</v>
      </c>
      <c r="E92" s="15">
        <f t="shared" ref="E92:Q92" si="19">E89+E88+E87+E86</f>
        <v>32</v>
      </c>
      <c r="F92" s="15">
        <f t="shared" si="19"/>
        <v>0</v>
      </c>
      <c r="G92" s="15">
        <f t="shared" si="19"/>
        <v>28</v>
      </c>
      <c r="H92" s="15">
        <f t="shared" si="19"/>
        <v>0</v>
      </c>
      <c r="I92" s="15">
        <f t="shared" si="19"/>
        <v>16</v>
      </c>
      <c r="J92" s="15">
        <f t="shared" si="19"/>
        <v>0</v>
      </c>
      <c r="K92" s="15">
        <f t="shared" si="19"/>
        <v>21</v>
      </c>
      <c r="L92" s="15">
        <f t="shared" si="19"/>
        <v>0</v>
      </c>
      <c r="M92" s="15">
        <f t="shared" si="19"/>
        <v>10</v>
      </c>
      <c r="N92" s="15">
        <f t="shared" si="19"/>
        <v>0</v>
      </c>
      <c r="O92" s="15">
        <f t="shared" si="19"/>
        <v>107</v>
      </c>
      <c r="P92" s="15">
        <f t="shared" si="19"/>
        <v>0</v>
      </c>
      <c r="Q92" s="15">
        <f t="shared" si="19"/>
        <v>107</v>
      </c>
      <c r="R92" s="19"/>
      <c r="S92" s="19"/>
      <c r="T92" s="87"/>
    </row>
    <row r="93" spans="1:21" ht="31.5" customHeight="1" thickTop="1"/>
    <row r="94" spans="1:21" ht="31.5" customHeight="1">
      <c r="A94" s="328" t="s">
        <v>111</v>
      </c>
      <c r="B94" s="328"/>
      <c r="C94" s="328"/>
      <c r="D94" s="328"/>
      <c r="E94" s="328"/>
      <c r="F94" s="328"/>
      <c r="G94" s="86"/>
      <c r="H94" s="86"/>
      <c r="I94" s="86"/>
      <c r="J94" s="87"/>
      <c r="K94" s="87"/>
      <c r="L94" s="87"/>
      <c r="M94" s="87"/>
      <c r="N94" s="87"/>
      <c r="O94" s="87"/>
      <c r="P94" s="87"/>
      <c r="Q94" s="87"/>
      <c r="R94" s="87"/>
      <c r="S94" s="328" t="s">
        <v>112</v>
      </c>
      <c r="T94" s="328"/>
      <c r="U94" s="87"/>
    </row>
    <row r="95" spans="1:21" ht="31.5" customHeight="1">
      <c r="A95" s="334" t="s">
        <v>188</v>
      </c>
      <c r="B95" s="334"/>
      <c r="C95" s="334"/>
      <c r="D95" s="334"/>
      <c r="E95" s="334"/>
      <c r="F95" s="334"/>
      <c r="G95" s="86"/>
      <c r="H95" s="86"/>
      <c r="I95" s="328" t="s">
        <v>187</v>
      </c>
      <c r="J95" s="328"/>
      <c r="K95" s="328"/>
      <c r="L95" s="328"/>
      <c r="M95" s="87"/>
      <c r="N95" s="87"/>
      <c r="O95" s="87"/>
      <c r="P95" s="87"/>
      <c r="Q95" s="87"/>
      <c r="R95" s="87"/>
      <c r="S95" s="86"/>
      <c r="T95" s="86"/>
      <c r="U95" s="87"/>
    </row>
    <row r="96" spans="1:21" ht="31.5" customHeight="1">
      <c r="A96" s="328" t="s">
        <v>113</v>
      </c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87"/>
    </row>
    <row r="97" spans="1:21" ht="31.5" customHeight="1">
      <c r="A97" s="328" t="s">
        <v>533</v>
      </c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87"/>
    </row>
    <row r="98" spans="1:21" ht="31.5" customHeight="1">
      <c r="A98" s="329" t="s">
        <v>114</v>
      </c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87"/>
    </row>
    <row r="99" spans="1:21" ht="31.5" customHeight="1" thickBo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87"/>
      <c r="U99" s="87"/>
    </row>
    <row r="100" spans="1:21" ht="31.5" customHeight="1" thickTop="1" thickBot="1">
      <c r="A100" s="335" t="s">
        <v>115</v>
      </c>
      <c r="B100" s="331" t="s">
        <v>116</v>
      </c>
      <c r="C100" s="332"/>
      <c r="D100" s="332"/>
      <c r="E100" s="333"/>
      <c r="F100" s="331" t="s">
        <v>117</v>
      </c>
      <c r="G100" s="332"/>
      <c r="H100" s="333"/>
      <c r="I100" s="331" t="s">
        <v>215</v>
      </c>
      <c r="J100" s="332"/>
      <c r="K100" s="333"/>
      <c r="L100" s="331" t="s">
        <v>119</v>
      </c>
      <c r="M100" s="332"/>
      <c r="N100" s="333"/>
      <c r="O100" s="337" t="s">
        <v>120</v>
      </c>
      <c r="P100" s="337"/>
      <c r="Q100" s="337" t="s">
        <v>210</v>
      </c>
      <c r="R100" s="337"/>
      <c r="S100" s="324" t="s">
        <v>213</v>
      </c>
      <c r="T100" s="325"/>
      <c r="U100" s="87"/>
    </row>
    <row r="101" spans="1:21" ht="31.5" customHeight="1" thickTop="1" thickBot="1">
      <c r="A101" s="336"/>
      <c r="B101" s="14" t="s">
        <v>121</v>
      </c>
      <c r="C101" s="14" t="s">
        <v>6</v>
      </c>
      <c r="D101" s="14" t="s">
        <v>67</v>
      </c>
      <c r="E101" s="14" t="s">
        <v>25</v>
      </c>
      <c r="F101" s="14" t="s">
        <v>121</v>
      </c>
      <c r="G101" s="14" t="s">
        <v>6</v>
      </c>
      <c r="H101" s="14" t="s">
        <v>25</v>
      </c>
      <c r="I101" s="14" t="s">
        <v>121</v>
      </c>
      <c r="J101" s="14" t="s">
        <v>6</v>
      </c>
      <c r="K101" s="14" t="s">
        <v>25</v>
      </c>
      <c r="L101" s="14" t="s">
        <v>121</v>
      </c>
      <c r="M101" s="14" t="s">
        <v>6</v>
      </c>
      <c r="N101" s="14" t="s">
        <v>25</v>
      </c>
      <c r="O101" s="14" t="s">
        <v>122</v>
      </c>
      <c r="P101" s="14" t="s">
        <v>15</v>
      </c>
      <c r="Q101" s="14" t="s">
        <v>211</v>
      </c>
      <c r="R101" s="14" t="s">
        <v>212</v>
      </c>
      <c r="S101" s="326"/>
      <c r="T101" s="327"/>
      <c r="U101" s="87"/>
    </row>
    <row r="102" spans="1:21" ht="31.5" customHeight="1" thickTop="1" thickBot="1">
      <c r="A102" s="15" t="s">
        <v>123</v>
      </c>
      <c r="B102" s="15">
        <f>المهني!F19</f>
        <v>1</v>
      </c>
      <c r="C102" s="15">
        <f>المهني!G19</f>
        <v>1</v>
      </c>
      <c r="D102" s="15">
        <f>المهني!H19</f>
        <v>0</v>
      </c>
      <c r="E102" s="15">
        <f>D102+C102+B102</f>
        <v>2</v>
      </c>
      <c r="F102" s="15">
        <f>المهني!AF19</f>
        <v>164</v>
      </c>
      <c r="G102" s="15">
        <f>المهني!AG19</f>
        <v>52</v>
      </c>
      <c r="H102" s="15">
        <f>G102+F102</f>
        <v>216</v>
      </c>
      <c r="I102" s="15">
        <f>المهني!CJ19</f>
        <v>284</v>
      </c>
      <c r="J102" s="15">
        <f>المهني!CK19</f>
        <v>94</v>
      </c>
      <c r="K102" s="15">
        <f>J102+I102</f>
        <v>378</v>
      </c>
      <c r="L102" s="15">
        <f>المهني!FL19</f>
        <v>49</v>
      </c>
      <c r="M102" s="15">
        <f>المهني!FM19</f>
        <v>61</v>
      </c>
      <c r="N102" s="15">
        <f>M102+L102</f>
        <v>110</v>
      </c>
      <c r="O102" s="15">
        <f>المهني!O19</f>
        <v>2</v>
      </c>
      <c r="P102" s="15">
        <f>المهني!P19</f>
        <v>0</v>
      </c>
      <c r="Q102" s="15">
        <f>المهني!I19</f>
        <v>2</v>
      </c>
      <c r="R102" s="15">
        <f>المهني!J19</f>
        <v>0</v>
      </c>
      <c r="S102" s="322">
        <f>المهني!U19</f>
        <v>1</v>
      </c>
      <c r="T102" s="323"/>
      <c r="U102" s="87"/>
    </row>
    <row r="103" spans="1:21" ht="31.5" customHeight="1" thickTop="1" thickBot="1">
      <c r="A103" s="15" t="s">
        <v>124</v>
      </c>
      <c r="B103" s="15">
        <v>0</v>
      </c>
      <c r="C103" s="15">
        <v>0</v>
      </c>
      <c r="D103" s="15">
        <v>0</v>
      </c>
      <c r="E103" s="15">
        <f>D103+C103+B103</f>
        <v>0</v>
      </c>
      <c r="F103" s="15">
        <v>0</v>
      </c>
      <c r="G103" s="15">
        <v>0</v>
      </c>
      <c r="H103" s="15">
        <f>G103+F103</f>
        <v>0</v>
      </c>
      <c r="I103" s="15">
        <v>0</v>
      </c>
      <c r="J103" s="15">
        <v>0</v>
      </c>
      <c r="K103" s="15">
        <f>J103+I103</f>
        <v>0</v>
      </c>
      <c r="L103" s="15">
        <v>0</v>
      </c>
      <c r="M103" s="15">
        <v>0</v>
      </c>
      <c r="N103" s="15">
        <f>M103+L103</f>
        <v>0</v>
      </c>
      <c r="O103" s="15">
        <v>0</v>
      </c>
      <c r="P103" s="15">
        <v>0</v>
      </c>
      <c r="Q103" s="15">
        <v>0</v>
      </c>
      <c r="R103" s="15">
        <v>0</v>
      </c>
      <c r="S103" s="322">
        <v>0</v>
      </c>
      <c r="T103" s="323"/>
      <c r="U103" s="87"/>
    </row>
    <row r="104" spans="1:21" ht="31.5" customHeight="1" thickTop="1" thickBot="1">
      <c r="A104" s="15" t="s">
        <v>125</v>
      </c>
      <c r="B104" s="15">
        <v>0</v>
      </c>
      <c r="C104" s="15">
        <v>0</v>
      </c>
      <c r="D104" s="15">
        <v>0</v>
      </c>
      <c r="E104" s="15">
        <f>D104+C104+B104</f>
        <v>0</v>
      </c>
      <c r="F104" s="15">
        <v>0</v>
      </c>
      <c r="G104" s="15">
        <v>0</v>
      </c>
      <c r="H104" s="15">
        <f>G104+F104</f>
        <v>0</v>
      </c>
      <c r="I104" s="15">
        <v>0</v>
      </c>
      <c r="J104" s="15">
        <v>0</v>
      </c>
      <c r="K104" s="15">
        <f>J104+I104</f>
        <v>0</v>
      </c>
      <c r="L104" s="15">
        <v>0</v>
      </c>
      <c r="M104" s="15">
        <v>0</v>
      </c>
      <c r="N104" s="15">
        <f>M104+L104</f>
        <v>0</v>
      </c>
      <c r="O104" s="15">
        <v>0</v>
      </c>
      <c r="P104" s="15">
        <v>0</v>
      </c>
      <c r="Q104" s="15">
        <v>0</v>
      </c>
      <c r="R104" s="15">
        <v>0</v>
      </c>
      <c r="S104" s="322">
        <v>0</v>
      </c>
      <c r="T104" s="323"/>
      <c r="U104" s="87"/>
    </row>
    <row r="105" spans="1:21" ht="31.5" customHeight="1" thickTop="1" thickBot="1">
      <c r="A105" s="15" t="s">
        <v>216</v>
      </c>
      <c r="B105" s="15">
        <v>0</v>
      </c>
      <c r="C105" s="15">
        <v>0</v>
      </c>
      <c r="D105" s="15">
        <v>0</v>
      </c>
      <c r="E105" s="15">
        <f>D105+C105+B105</f>
        <v>0</v>
      </c>
      <c r="F105" s="15">
        <v>0</v>
      </c>
      <c r="G105" s="15">
        <v>0</v>
      </c>
      <c r="H105" s="15">
        <f>G105+F105</f>
        <v>0</v>
      </c>
      <c r="I105" s="15">
        <v>0</v>
      </c>
      <c r="J105" s="15">
        <v>0</v>
      </c>
      <c r="K105" s="15">
        <f>J105+I105</f>
        <v>0</v>
      </c>
      <c r="L105" s="15">
        <v>0</v>
      </c>
      <c r="M105" s="15">
        <v>0</v>
      </c>
      <c r="N105" s="15">
        <f>M105+L105</f>
        <v>0</v>
      </c>
      <c r="O105" s="15">
        <v>0</v>
      </c>
      <c r="P105" s="15">
        <v>0</v>
      </c>
      <c r="Q105" s="15">
        <v>0</v>
      </c>
      <c r="R105" s="15">
        <v>0</v>
      </c>
      <c r="S105" s="322">
        <v>0</v>
      </c>
      <c r="T105" s="323"/>
      <c r="U105" s="87"/>
    </row>
    <row r="106" spans="1:21" ht="31.5" customHeight="1" thickTop="1" thickBot="1">
      <c r="A106" s="15" t="s">
        <v>488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32"/>
      <c r="T106" s="133"/>
      <c r="U106" s="135"/>
    </row>
    <row r="107" spans="1:21" ht="31.5" customHeight="1" thickTop="1" thickBot="1">
      <c r="A107" s="57" t="s">
        <v>397</v>
      </c>
      <c r="B107" s="15">
        <v>0</v>
      </c>
      <c r="C107" s="15">
        <v>0</v>
      </c>
      <c r="D107" s="15">
        <v>0</v>
      </c>
      <c r="E107" s="15">
        <f>D107+C107+B107</f>
        <v>0</v>
      </c>
      <c r="F107" s="15">
        <f>المهني!AF45</f>
        <v>91</v>
      </c>
      <c r="G107" s="15">
        <f>المهني!AG45</f>
        <v>0</v>
      </c>
      <c r="H107" s="15">
        <f>G107+F107</f>
        <v>91</v>
      </c>
      <c r="I107" s="15">
        <f>المهني!CJ45</f>
        <v>195</v>
      </c>
      <c r="J107" s="15">
        <f>المهني!CK45</f>
        <v>0</v>
      </c>
      <c r="K107" s="15">
        <f>المهني!CL45</f>
        <v>195</v>
      </c>
      <c r="L107" s="15">
        <v>0</v>
      </c>
      <c r="M107" s="15">
        <v>0</v>
      </c>
      <c r="N107" s="15">
        <f>M107+L107</f>
        <v>0</v>
      </c>
      <c r="O107" s="15">
        <v>0</v>
      </c>
      <c r="P107" s="15">
        <v>0</v>
      </c>
      <c r="Q107" s="15">
        <v>0</v>
      </c>
      <c r="R107" s="15">
        <v>0</v>
      </c>
      <c r="S107" s="322">
        <v>0</v>
      </c>
      <c r="T107" s="323"/>
      <c r="U107" s="87"/>
    </row>
    <row r="108" spans="1:21" ht="31.5" customHeight="1" thickTop="1" thickBot="1">
      <c r="A108" s="15" t="s">
        <v>25</v>
      </c>
      <c r="B108" s="15">
        <f t="shared" ref="B108:R108" si="20">B105+B104+B103+B102+B107</f>
        <v>1</v>
      </c>
      <c r="C108" s="15">
        <f t="shared" si="20"/>
        <v>1</v>
      </c>
      <c r="D108" s="15">
        <f t="shared" si="20"/>
        <v>0</v>
      </c>
      <c r="E108" s="15">
        <f t="shared" si="20"/>
        <v>2</v>
      </c>
      <c r="F108" s="15">
        <f t="shared" si="20"/>
        <v>255</v>
      </c>
      <c r="G108" s="15">
        <f t="shared" si="20"/>
        <v>52</v>
      </c>
      <c r="H108" s="15">
        <f t="shared" si="20"/>
        <v>307</v>
      </c>
      <c r="I108" s="15">
        <f t="shared" si="20"/>
        <v>479</v>
      </c>
      <c r="J108" s="15">
        <f t="shared" si="20"/>
        <v>94</v>
      </c>
      <c r="K108" s="15">
        <f t="shared" si="20"/>
        <v>573</v>
      </c>
      <c r="L108" s="15">
        <f t="shared" si="20"/>
        <v>49</v>
      </c>
      <c r="M108" s="15">
        <f t="shared" si="20"/>
        <v>61</v>
      </c>
      <c r="N108" s="15">
        <f t="shared" si="20"/>
        <v>110</v>
      </c>
      <c r="O108" s="15">
        <f t="shared" si="20"/>
        <v>2</v>
      </c>
      <c r="P108" s="15">
        <f t="shared" si="20"/>
        <v>0</v>
      </c>
      <c r="Q108" s="15">
        <f t="shared" si="20"/>
        <v>2</v>
      </c>
      <c r="R108" s="15">
        <f t="shared" si="20"/>
        <v>0</v>
      </c>
      <c r="S108" s="322">
        <v>0</v>
      </c>
      <c r="T108" s="323"/>
      <c r="U108" s="87"/>
    </row>
    <row r="109" spans="1:21" ht="31.5" customHeight="1" thickTop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87"/>
      <c r="P109" s="87"/>
      <c r="Q109" s="87"/>
      <c r="R109" s="87"/>
      <c r="S109" s="87"/>
      <c r="T109" s="87"/>
      <c r="U109" s="87"/>
    </row>
    <row r="110" spans="1:21" ht="31.5" customHeight="1">
      <c r="A110" s="17"/>
      <c r="B110" s="17"/>
      <c r="C110" s="17"/>
      <c r="D110" s="328" t="s">
        <v>126</v>
      </c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87"/>
      <c r="S110" s="87"/>
      <c r="T110" s="87"/>
      <c r="U110" s="87"/>
    </row>
    <row r="111" spans="1:21" ht="31.5" customHeight="1">
      <c r="A111" s="87"/>
      <c r="B111" s="87"/>
      <c r="C111" s="86" t="s">
        <v>189</v>
      </c>
      <c r="D111" s="328" t="s">
        <v>534</v>
      </c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87"/>
      <c r="S111" s="87"/>
      <c r="T111" s="87"/>
      <c r="U111" s="87"/>
    </row>
    <row r="112" spans="1:21" ht="31.5" customHeight="1">
      <c r="A112" s="87"/>
      <c r="B112" s="86"/>
      <c r="C112" s="86"/>
      <c r="D112" s="328" t="s">
        <v>190</v>
      </c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87"/>
      <c r="S112" s="87"/>
      <c r="T112" s="87"/>
      <c r="U112" s="87"/>
    </row>
    <row r="113" spans="1:22" ht="31.5" customHeight="1" thickBot="1">
      <c r="A113" s="87"/>
      <c r="B113" s="18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</row>
    <row r="114" spans="1:22" ht="31.5" customHeight="1" thickTop="1" thickBot="1">
      <c r="A114" s="87"/>
      <c r="B114" s="87"/>
      <c r="C114" s="87"/>
      <c r="D114" s="346" t="s">
        <v>115</v>
      </c>
      <c r="E114" s="322" t="s">
        <v>127</v>
      </c>
      <c r="F114" s="323"/>
      <c r="G114" s="322" t="s">
        <v>128</v>
      </c>
      <c r="H114" s="323"/>
      <c r="I114" s="322" t="s">
        <v>129</v>
      </c>
      <c r="J114" s="323"/>
      <c r="K114" s="322" t="s">
        <v>130</v>
      </c>
      <c r="L114" s="323"/>
      <c r="M114" s="322" t="s">
        <v>131</v>
      </c>
      <c r="N114" s="323"/>
      <c r="O114" s="322" t="s">
        <v>132</v>
      </c>
      <c r="P114" s="330"/>
      <c r="Q114" s="323"/>
      <c r="R114" s="87"/>
      <c r="S114" s="87"/>
      <c r="T114" s="87"/>
      <c r="U114" s="87"/>
    </row>
    <row r="115" spans="1:22" ht="31.5" customHeight="1" thickTop="1" thickBot="1">
      <c r="A115" s="87"/>
      <c r="B115" s="87"/>
      <c r="C115" s="87"/>
      <c r="D115" s="347"/>
      <c r="E115" s="15" t="s">
        <v>5</v>
      </c>
      <c r="F115" s="15" t="s">
        <v>6</v>
      </c>
      <c r="G115" s="15" t="s">
        <v>5</v>
      </c>
      <c r="H115" s="15" t="s">
        <v>6</v>
      </c>
      <c r="I115" s="15" t="s">
        <v>5</v>
      </c>
      <c r="J115" s="15" t="s">
        <v>6</v>
      </c>
      <c r="K115" s="15" t="s">
        <v>5</v>
      </c>
      <c r="L115" s="15" t="s">
        <v>6</v>
      </c>
      <c r="M115" s="15" t="s">
        <v>5</v>
      </c>
      <c r="N115" s="15" t="s">
        <v>6</v>
      </c>
      <c r="O115" s="15" t="s">
        <v>5</v>
      </c>
      <c r="P115" s="15" t="s">
        <v>6</v>
      </c>
      <c r="Q115" s="15" t="s">
        <v>25</v>
      </c>
      <c r="R115" s="87"/>
      <c r="S115" s="87"/>
      <c r="T115" s="87"/>
      <c r="U115" s="87"/>
    </row>
    <row r="116" spans="1:22" ht="31.5" customHeight="1" thickTop="1" thickBot="1">
      <c r="A116" s="87"/>
      <c r="B116" s="87"/>
      <c r="C116" s="87"/>
      <c r="D116" s="15" t="s">
        <v>123</v>
      </c>
      <c r="E116" s="15">
        <f>المهني!V19</f>
        <v>34</v>
      </c>
      <c r="F116" s="15">
        <f>المهني!W19</f>
        <v>15</v>
      </c>
      <c r="G116" s="15">
        <f>المهني!X19</f>
        <v>66</v>
      </c>
      <c r="H116" s="15">
        <f>المهني!Y19</f>
        <v>13</v>
      </c>
      <c r="I116" s="15">
        <f>المهني!Z19</f>
        <v>34</v>
      </c>
      <c r="J116" s="15">
        <f>المهني!AA19</f>
        <v>5</v>
      </c>
      <c r="K116" s="15">
        <f>المهني!AB19</f>
        <v>22</v>
      </c>
      <c r="L116" s="15">
        <f>المهني!AC19</f>
        <v>10</v>
      </c>
      <c r="M116" s="15">
        <f>المهني!AD19</f>
        <v>8</v>
      </c>
      <c r="N116" s="15">
        <f>المهني!AE19</f>
        <v>9</v>
      </c>
      <c r="O116" s="15">
        <f t="shared" ref="O116:P121" si="21">M116+K116+I116+G116+E116</f>
        <v>164</v>
      </c>
      <c r="P116" s="15">
        <f t="shared" si="21"/>
        <v>52</v>
      </c>
      <c r="Q116" s="15">
        <f>P116+O116</f>
        <v>216</v>
      </c>
      <c r="R116" s="19"/>
      <c r="S116" s="19"/>
      <c r="T116" s="87"/>
      <c r="U116" s="87"/>
    </row>
    <row r="117" spans="1:22" ht="31.5" customHeight="1" thickTop="1" thickBot="1">
      <c r="A117" s="87"/>
      <c r="B117" s="87"/>
      <c r="C117" s="87"/>
      <c r="D117" s="15" t="s">
        <v>124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f t="shared" si="21"/>
        <v>0</v>
      </c>
      <c r="P117" s="15">
        <f t="shared" si="21"/>
        <v>0</v>
      </c>
      <c r="Q117" s="15">
        <f>P117+O117</f>
        <v>0</v>
      </c>
      <c r="R117" s="19"/>
      <c r="S117" s="19"/>
      <c r="T117" s="87"/>
      <c r="U117" s="87"/>
    </row>
    <row r="118" spans="1:22" ht="31.5" customHeight="1" thickTop="1" thickBot="1">
      <c r="A118" s="87"/>
      <c r="B118" s="87"/>
      <c r="C118" s="87"/>
      <c r="D118" s="15" t="s">
        <v>125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f t="shared" si="21"/>
        <v>0</v>
      </c>
      <c r="P118" s="15">
        <f t="shared" si="21"/>
        <v>0</v>
      </c>
      <c r="Q118" s="15">
        <f>P118+O118</f>
        <v>0</v>
      </c>
      <c r="R118" s="19"/>
      <c r="S118" s="19"/>
      <c r="T118" s="87"/>
      <c r="U118" s="87"/>
    </row>
    <row r="119" spans="1:22" ht="31.5" customHeight="1" thickTop="1" thickBot="1">
      <c r="A119" s="87"/>
      <c r="B119" s="87"/>
      <c r="C119" s="87"/>
      <c r="D119" s="15" t="s">
        <v>216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f t="shared" si="21"/>
        <v>0</v>
      </c>
      <c r="P119" s="15">
        <f t="shared" si="21"/>
        <v>0</v>
      </c>
      <c r="Q119" s="15">
        <f>P119+O119</f>
        <v>0</v>
      </c>
      <c r="R119" s="19"/>
      <c r="S119" s="19"/>
      <c r="T119" s="87"/>
      <c r="U119" s="87"/>
    </row>
    <row r="120" spans="1:22" ht="31.5" customHeight="1" thickTop="1" thickBot="1">
      <c r="A120" s="135"/>
      <c r="B120" s="135"/>
      <c r="C120" s="135"/>
      <c r="D120" s="15" t="s">
        <v>488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9"/>
      <c r="S120" s="19"/>
      <c r="T120" s="135"/>
      <c r="U120" s="135"/>
    </row>
    <row r="121" spans="1:22" ht="31.5" customHeight="1" thickTop="1" thickBot="1">
      <c r="A121" s="87"/>
      <c r="B121" s="87"/>
      <c r="C121" s="87"/>
      <c r="D121" s="131" t="s">
        <v>397</v>
      </c>
      <c r="E121" s="15">
        <f>المهني!V45</f>
        <v>19</v>
      </c>
      <c r="F121" s="15">
        <f>المهني!W45</f>
        <v>0</v>
      </c>
      <c r="G121" s="15">
        <f>المهني!X45</f>
        <v>47</v>
      </c>
      <c r="H121" s="15">
        <f>المهني!Y45</f>
        <v>0</v>
      </c>
      <c r="I121" s="15">
        <f>المهني!Z45</f>
        <v>14</v>
      </c>
      <c r="J121" s="15">
        <f>المهني!AA45</f>
        <v>0</v>
      </c>
      <c r="K121" s="15">
        <f>المهني!AB45</f>
        <v>9</v>
      </c>
      <c r="L121" s="15">
        <f>المهني!AC45</f>
        <v>0</v>
      </c>
      <c r="M121" s="15">
        <f>المهني!AD45</f>
        <v>2</v>
      </c>
      <c r="N121" s="15">
        <f>المهني!AE45</f>
        <v>0</v>
      </c>
      <c r="O121" s="15">
        <f t="shared" si="21"/>
        <v>91</v>
      </c>
      <c r="P121" s="15">
        <f t="shared" si="21"/>
        <v>0</v>
      </c>
      <c r="Q121" s="15">
        <f>P121+O121</f>
        <v>91</v>
      </c>
      <c r="R121" s="19"/>
      <c r="S121" s="19"/>
      <c r="T121" s="87"/>
      <c r="U121" s="87"/>
    </row>
    <row r="122" spans="1:22" ht="31.5" customHeight="1" thickTop="1" thickBot="1">
      <c r="A122" s="87"/>
      <c r="B122" s="87"/>
      <c r="C122" s="87"/>
      <c r="D122" s="15" t="s">
        <v>25</v>
      </c>
      <c r="E122" s="15">
        <f t="shared" ref="E122:Q122" si="22">E121+E118+E117+E116</f>
        <v>53</v>
      </c>
      <c r="F122" s="15">
        <f t="shared" si="22"/>
        <v>15</v>
      </c>
      <c r="G122" s="15">
        <f t="shared" si="22"/>
        <v>113</v>
      </c>
      <c r="H122" s="15">
        <f t="shared" si="22"/>
        <v>13</v>
      </c>
      <c r="I122" s="15">
        <f t="shared" si="22"/>
        <v>48</v>
      </c>
      <c r="J122" s="15">
        <f t="shared" si="22"/>
        <v>5</v>
      </c>
      <c r="K122" s="15">
        <f t="shared" si="22"/>
        <v>31</v>
      </c>
      <c r="L122" s="15">
        <f t="shared" si="22"/>
        <v>10</v>
      </c>
      <c r="M122" s="15">
        <f t="shared" si="22"/>
        <v>10</v>
      </c>
      <c r="N122" s="15">
        <f t="shared" si="22"/>
        <v>9</v>
      </c>
      <c r="O122" s="15">
        <f t="shared" si="22"/>
        <v>255</v>
      </c>
      <c r="P122" s="15">
        <f t="shared" si="22"/>
        <v>52</v>
      </c>
      <c r="Q122" s="15">
        <f t="shared" si="22"/>
        <v>307</v>
      </c>
      <c r="R122" s="19"/>
      <c r="S122" s="19"/>
      <c r="T122" s="87"/>
      <c r="U122" s="87"/>
    </row>
    <row r="123" spans="1:22" ht="31.5" customHeight="1" thickTop="1">
      <c r="B123" s="87"/>
      <c r="C123" s="87"/>
      <c r="D123" s="87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19"/>
      <c r="T123" s="19"/>
      <c r="U123" s="87"/>
      <c r="V123" s="87"/>
    </row>
  </sheetData>
  <mergeCells count="132">
    <mergeCell ref="S103:T103"/>
    <mergeCell ref="B100:E100"/>
    <mergeCell ref="L39:N39"/>
    <mergeCell ref="O53:Q53"/>
    <mergeCell ref="D80:Q80"/>
    <mergeCell ref="D81:Q81"/>
    <mergeCell ref="S41:T41"/>
    <mergeCell ref="S78:T78"/>
    <mergeCell ref="S74:T74"/>
    <mergeCell ref="S75:T75"/>
    <mergeCell ref="S64:T64"/>
    <mergeCell ref="S73:T73"/>
    <mergeCell ref="S77:T77"/>
    <mergeCell ref="F70:H70"/>
    <mergeCell ref="I70:K70"/>
    <mergeCell ref="L70:N70"/>
    <mergeCell ref="A64:F64"/>
    <mergeCell ref="O70:P70"/>
    <mergeCell ref="Q70:R70"/>
    <mergeCell ref="S70:T71"/>
    <mergeCell ref="S72:T72"/>
    <mergeCell ref="O39:P39"/>
    <mergeCell ref="D49:Q49"/>
    <mergeCell ref="D50:Q50"/>
    <mergeCell ref="Q39:R39"/>
    <mergeCell ref="A39:A40"/>
    <mergeCell ref="B39:E39"/>
    <mergeCell ref="F39:H39"/>
    <mergeCell ref="S105:T105"/>
    <mergeCell ref="S108:T108"/>
    <mergeCell ref="D114:D115"/>
    <mergeCell ref="F100:H100"/>
    <mergeCell ref="I100:K100"/>
    <mergeCell ref="L100:N100"/>
    <mergeCell ref="O100:P100"/>
    <mergeCell ref="Q100:R100"/>
    <mergeCell ref="S100:T101"/>
    <mergeCell ref="O114:Q114"/>
    <mergeCell ref="S107:T107"/>
    <mergeCell ref="D110:Q110"/>
    <mergeCell ref="D111:Q111"/>
    <mergeCell ref="D112:Q112"/>
    <mergeCell ref="E114:F114"/>
    <mergeCell ref="G114:H114"/>
    <mergeCell ref="I114:J114"/>
    <mergeCell ref="K114:L114"/>
    <mergeCell ref="M114:N114"/>
    <mergeCell ref="S102:T102"/>
    <mergeCell ref="S33:T33"/>
    <mergeCell ref="A34:F34"/>
    <mergeCell ref="C29:D29"/>
    <mergeCell ref="C30:D30"/>
    <mergeCell ref="C31:D31"/>
    <mergeCell ref="I22:J22"/>
    <mergeCell ref="S104:T104"/>
    <mergeCell ref="A96:T96"/>
    <mergeCell ref="A97:T97"/>
    <mergeCell ref="A98:T98"/>
    <mergeCell ref="A100:A101"/>
    <mergeCell ref="D84:D85"/>
    <mergeCell ref="E84:F84"/>
    <mergeCell ref="G84:H84"/>
    <mergeCell ref="I84:J84"/>
    <mergeCell ref="K84:L84"/>
    <mergeCell ref="M84:N84"/>
    <mergeCell ref="O84:Q84"/>
    <mergeCell ref="A94:F94"/>
    <mergeCell ref="S94:T94"/>
    <mergeCell ref="A95:F95"/>
    <mergeCell ref="I95:L95"/>
    <mergeCell ref="D82:Q82"/>
    <mergeCell ref="A65:F65"/>
    <mergeCell ref="I53:J53"/>
    <mergeCell ref="K53:L53"/>
    <mergeCell ref="M53:N53"/>
    <mergeCell ref="H65:L65"/>
    <mergeCell ref="D51:Q51"/>
    <mergeCell ref="A67:T67"/>
    <mergeCell ref="A70:A71"/>
    <mergeCell ref="A68:T68"/>
    <mergeCell ref="B70:E70"/>
    <mergeCell ref="A66:T66"/>
    <mergeCell ref="E53:F53"/>
    <mergeCell ref="G53:H53"/>
    <mergeCell ref="I39:K39"/>
    <mergeCell ref="S16:T16"/>
    <mergeCell ref="A1:F1"/>
    <mergeCell ref="S1:T1"/>
    <mergeCell ref="A4:T4"/>
    <mergeCell ref="A2:F2"/>
    <mergeCell ref="A3:T3"/>
    <mergeCell ref="A5:T5"/>
    <mergeCell ref="A7:A8"/>
    <mergeCell ref="B7:E7"/>
    <mergeCell ref="F7:H7"/>
    <mergeCell ref="I7:K7"/>
    <mergeCell ref="L7:N7"/>
    <mergeCell ref="S7:T8"/>
    <mergeCell ref="O7:P7"/>
    <mergeCell ref="Q7:R7"/>
    <mergeCell ref="S9:T9"/>
    <mergeCell ref="S10:T10"/>
    <mergeCell ref="D18:Q18"/>
    <mergeCell ref="D19:Q19"/>
    <mergeCell ref="D20:Q20"/>
    <mergeCell ref="C22:D23"/>
    <mergeCell ref="I34:L34"/>
    <mergeCell ref="A35:T35"/>
    <mergeCell ref="S11:T11"/>
    <mergeCell ref="S12:T12"/>
    <mergeCell ref="S15:T15"/>
    <mergeCell ref="S13:T13"/>
    <mergeCell ref="S14:T14"/>
    <mergeCell ref="S42:T42"/>
    <mergeCell ref="S43:T43"/>
    <mergeCell ref="S44:T44"/>
    <mergeCell ref="S47:T47"/>
    <mergeCell ref="S46:T46"/>
    <mergeCell ref="S39:T40"/>
    <mergeCell ref="A36:T36"/>
    <mergeCell ref="A37:T37"/>
    <mergeCell ref="C24:D24"/>
    <mergeCell ref="C25:D25"/>
    <mergeCell ref="C26:D26"/>
    <mergeCell ref="C27:D27"/>
    <mergeCell ref="C28:D28"/>
    <mergeCell ref="E22:F22"/>
    <mergeCell ref="G22:H22"/>
    <mergeCell ref="K22:L22"/>
    <mergeCell ref="M22:N22"/>
    <mergeCell ref="O22:Q22"/>
    <mergeCell ref="A33:F33"/>
  </mergeCells>
  <printOptions horizontalCentered="1" verticalCentered="1"/>
  <pageMargins left="0.23622047244094491" right="0.23622047244094491" top="0.31496062992125984" bottom="0.35433070866141736" header="0.19685039370078741" footer="0.19685039370078741"/>
  <pageSetup paperSize="9" scale="53" orientation="landscape" r:id="rId1"/>
  <rowBreaks count="3" manualBreakCount="3">
    <brk id="31" max="19" man="1"/>
    <brk id="62" max="16383" man="1"/>
    <brk id="93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rightToLeft="1" view="pageBreakPreview" zoomScale="80" zoomScaleNormal="50" zoomScaleSheetLayoutView="80" workbookViewId="0">
      <selection activeCell="C17" sqref="C17"/>
    </sheetView>
  </sheetViews>
  <sheetFormatPr defaultColWidth="9" defaultRowHeight="36.75" customHeight="1"/>
  <cols>
    <col min="1" max="1" width="21.875" style="97" customWidth="1"/>
    <col min="2" max="2" width="6.625" style="97" bestFit="1" customWidth="1"/>
    <col min="3" max="3" width="5.625" style="97" bestFit="1" customWidth="1"/>
    <col min="4" max="4" width="8.625" style="97" bestFit="1" customWidth="1"/>
    <col min="5" max="5" width="9.625" style="97" bestFit="1" customWidth="1"/>
    <col min="6" max="6" width="6.625" style="97" bestFit="1" customWidth="1"/>
    <col min="7" max="7" width="5.625" style="97" bestFit="1" customWidth="1"/>
    <col min="8" max="8" width="9.625" style="97" bestFit="1" customWidth="1"/>
    <col min="9" max="9" width="6.625" style="97" bestFit="1" customWidth="1"/>
    <col min="10" max="10" width="7.375" style="97" customWidth="1"/>
    <col min="11" max="11" width="6.625" style="97" bestFit="1" customWidth="1"/>
    <col min="12" max="12" width="6.25" style="97" customWidth="1"/>
    <col min="13" max="13" width="6.625" style="97" bestFit="1" customWidth="1"/>
    <col min="14" max="14" width="7" style="97" customWidth="1"/>
    <col min="15" max="15" width="6.625" style="97" bestFit="1" customWidth="1"/>
    <col min="16" max="16" width="5.625" style="97" bestFit="1" customWidth="1"/>
    <col min="17" max="17" width="9.625" style="97" bestFit="1" customWidth="1"/>
    <col min="18" max="18" width="6.625" style="97" bestFit="1" customWidth="1"/>
    <col min="19" max="19" width="8.375" style="97" customWidth="1"/>
    <col min="20" max="20" width="9.375" style="97" customWidth="1"/>
    <col min="21" max="21" width="9.625" style="97" bestFit="1" customWidth="1"/>
    <col min="22" max="16384" width="9" style="97"/>
  </cols>
  <sheetData>
    <row r="1" spans="1:21" s="87" customFormat="1" ht="36.75" customHeight="1">
      <c r="A1" s="328" t="s">
        <v>111</v>
      </c>
      <c r="B1" s="328"/>
      <c r="C1" s="328"/>
      <c r="D1" s="328"/>
      <c r="E1" s="328"/>
      <c r="F1" s="328"/>
      <c r="G1" s="328"/>
      <c r="S1" s="328" t="s">
        <v>112</v>
      </c>
      <c r="T1" s="328"/>
    </row>
    <row r="2" spans="1:21" s="87" customFormat="1" ht="36.75" customHeight="1">
      <c r="B2" s="334" t="s">
        <v>188</v>
      </c>
      <c r="C2" s="334"/>
      <c r="D2" s="334"/>
      <c r="E2" s="334"/>
      <c r="F2" s="334"/>
      <c r="J2" s="24" t="s">
        <v>191</v>
      </c>
      <c r="K2" s="24"/>
      <c r="L2" s="24"/>
    </row>
    <row r="3" spans="1:21" s="87" customFormat="1" ht="23.25">
      <c r="A3" s="328" t="s">
        <v>133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</row>
    <row r="4" spans="1:21" s="87" customFormat="1" ht="23.25">
      <c r="A4" s="329" t="s">
        <v>533</v>
      </c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</row>
    <row r="5" spans="1:21" s="87" customFormat="1" ht="23.25">
      <c r="A5" s="329" t="s">
        <v>134</v>
      </c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</row>
    <row r="6" spans="1:21" s="87" customFormat="1" ht="36.75" customHeight="1" thickBot="1">
      <c r="I6" s="87" t="s">
        <v>135</v>
      </c>
    </row>
    <row r="7" spans="1:21" s="87" customFormat="1" ht="36.75" customHeight="1" thickTop="1" thickBot="1">
      <c r="A7" s="335" t="s">
        <v>115</v>
      </c>
      <c r="B7" s="355" t="s">
        <v>116</v>
      </c>
      <c r="C7" s="356"/>
      <c r="D7" s="356"/>
      <c r="E7" s="357"/>
      <c r="F7" s="355" t="s">
        <v>136</v>
      </c>
      <c r="G7" s="356"/>
      <c r="H7" s="356"/>
      <c r="I7" s="331" t="s">
        <v>215</v>
      </c>
      <c r="J7" s="332"/>
      <c r="K7" s="332"/>
      <c r="L7" s="332"/>
      <c r="M7" s="332"/>
      <c r="N7" s="332"/>
      <c r="O7" s="332"/>
      <c r="P7" s="332"/>
      <c r="Q7" s="333"/>
      <c r="R7" s="348" t="s">
        <v>138</v>
      </c>
      <c r="S7" s="349"/>
      <c r="T7" s="349"/>
      <c r="U7" s="350"/>
    </row>
    <row r="8" spans="1:21" s="87" customFormat="1" ht="36.75" customHeight="1" thickTop="1" thickBot="1">
      <c r="A8" s="354"/>
      <c r="B8" s="358"/>
      <c r="C8" s="359"/>
      <c r="D8" s="359"/>
      <c r="E8" s="360"/>
      <c r="F8" s="358"/>
      <c r="G8" s="359"/>
      <c r="H8" s="359"/>
      <c r="I8" s="331" t="s">
        <v>57</v>
      </c>
      <c r="J8" s="333"/>
      <c r="K8" s="331" t="s">
        <v>58</v>
      </c>
      <c r="L8" s="333"/>
      <c r="M8" s="331" t="s">
        <v>59</v>
      </c>
      <c r="N8" s="333"/>
      <c r="O8" s="331" t="s">
        <v>139</v>
      </c>
      <c r="P8" s="332"/>
      <c r="Q8" s="333"/>
      <c r="R8" s="351"/>
      <c r="S8" s="352"/>
      <c r="T8" s="352"/>
      <c r="U8" s="353"/>
    </row>
    <row r="9" spans="1:21" s="87" customFormat="1" ht="36.75" customHeight="1" thickTop="1" thickBot="1">
      <c r="A9" s="336"/>
      <c r="B9" s="14" t="s">
        <v>121</v>
      </c>
      <c r="C9" s="14" t="s">
        <v>6</v>
      </c>
      <c r="D9" s="14" t="s">
        <v>67</v>
      </c>
      <c r="E9" s="14" t="s">
        <v>25</v>
      </c>
      <c r="F9" s="14" t="s">
        <v>73</v>
      </c>
      <c r="G9" s="14" t="s">
        <v>29</v>
      </c>
      <c r="H9" s="14" t="s">
        <v>25</v>
      </c>
      <c r="I9" s="14" t="s">
        <v>121</v>
      </c>
      <c r="J9" s="14" t="s">
        <v>6</v>
      </c>
      <c r="K9" s="14" t="s">
        <v>121</v>
      </c>
      <c r="L9" s="14" t="s">
        <v>6</v>
      </c>
      <c r="M9" s="14" t="s">
        <v>121</v>
      </c>
      <c r="N9" s="14" t="s">
        <v>6</v>
      </c>
      <c r="O9" s="14" t="s">
        <v>121</v>
      </c>
      <c r="P9" s="14" t="s">
        <v>6</v>
      </c>
      <c r="Q9" s="14" t="s">
        <v>25</v>
      </c>
      <c r="R9" s="14" t="s">
        <v>121</v>
      </c>
      <c r="S9" s="14" t="s">
        <v>6</v>
      </c>
      <c r="T9" s="14" t="s">
        <v>7</v>
      </c>
      <c r="U9" s="14" t="s">
        <v>25</v>
      </c>
    </row>
    <row r="10" spans="1:21" s="87" customFormat="1" ht="36.75" customHeight="1" thickTop="1" thickBot="1">
      <c r="A10" s="14" t="s">
        <v>123</v>
      </c>
      <c r="B10" s="125">
        <f>المهني!F10</f>
        <v>1</v>
      </c>
      <c r="C10" s="125">
        <f>المهني!G10</f>
        <v>0</v>
      </c>
      <c r="D10" s="125">
        <f>المهني!H10</f>
        <v>0</v>
      </c>
      <c r="E10" s="125">
        <f t="shared" ref="E10:E16" si="0">D10+C10+B10</f>
        <v>1</v>
      </c>
      <c r="F10" s="125">
        <f>المهني!FL10</f>
        <v>25</v>
      </c>
      <c r="G10" s="125">
        <f>المهني!FM10</f>
        <v>0</v>
      </c>
      <c r="H10" s="125">
        <f>G10+F10</f>
        <v>25</v>
      </c>
      <c r="I10" s="125">
        <f>المهني!AS10</f>
        <v>0</v>
      </c>
      <c r="J10" s="125">
        <f>المهني!AT10</f>
        <v>0</v>
      </c>
      <c r="K10" s="125">
        <f>المهني!BF10</f>
        <v>0</v>
      </c>
      <c r="L10" s="125">
        <f>المهني!BG10</f>
        <v>0</v>
      </c>
      <c r="M10" s="125">
        <f>المهني!BS10</f>
        <v>33</v>
      </c>
      <c r="N10" s="125">
        <f>المهني!BT10</f>
        <v>0</v>
      </c>
      <c r="O10" s="125">
        <f t="shared" ref="O10:P12" si="1">M10+K10+I10</f>
        <v>33</v>
      </c>
      <c r="P10" s="125">
        <f t="shared" si="1"/>
        <v>0</v>
      </c>
      <c r="Q10" s="125">
        <f t="shared" ref="Q10:Q16" si="2">P10+O10</f>
        <v>33</v>
      </c>
      <c r="R10" s="125">
        <f>المهني!CV10</f>
        <v>1</v>
      </c>
      <c r="S10" s="125">
        <f>المهني!CW10</f>
        <v>0</v>
      </c>
      <c r="T10" s="125">
        <f>المهني!CX10</f>
        <v>0</v>
      </c>
      <c r="U10" s="125">
        <f t="shared" ref="U10:U15" si="3">T10+S10+R10</f>
        <v>1</v>
      </c>
    </row>
    <row r="11" spans="1:21" s="87" customFormat="1" ht="36.75" customHeight="1" thickTop="1" thickBot="1">
      <c r="A11" s="14" t="s">
        <v>124</v>
      </c>
      <c r="B11" s="125">
        <v>0</v>
      </c>
      <c r="C11" s="125">
        <v>0</v>
      </c>
      <c r="D11" s="125">
        <v>0</v>
      </c>
      <c r="E11" s="125">
        <f t="shared" si="0"/>
        <v>0</v>
      </c>
      <c r="F11" s="125">
        <v>0</v>
      </c>
      <c r="G11" s="125">
        <v>0</v>
      </c>
      <c r="H11" s="125">
        <f>G11+F11</f>
        <v>0</v>
      </c>
      <c r="I11" s="125">
        <v>0</v>
      </c>
      <c r="J11" s="125">
        <v>0</v>
      </c>
      <c r="K11" s="125">
        <v>0</v>
      </c>
      <c r="L11" s="125">
        <v>0</v>
      </c>
      <c r="M11" s="125">
        <v>0</v>
      </c>
      <c r="N11" s="125">
        <v>0</v>
      </c>
      <c r="O11" s="125">
        <f t="shared" si="1"/>
        <v>0</v>
      </c>
      <c r="P11" s="125">
        <f t="shared" si="1"/>
        <v>0</v>
      </c>
      <c r="Q11" s="125">
        <f t="shared" si="2"/>
        <v>0</v>
      </c>
      <c r="R11" s="125">
        <v>0</v>
      </c>
      <c r="S11" s="125">
        <v>0</v>
      </c>
      <c r="T11" s="125">
        <v>0</v>
      </c>
      <c r="U11" s="125">
        <f t="shared" si="3"/>
        <v>0</v>
      </c>
    </row>
    <row r="12" spans="1:21" s="87" customFormat="1" ht="36.75" customHeight="1" thickTop="1" thickBot="1">
      <c r="A12" s="14" t="s">
        <v>125</v>
      </c>
      <c r="B12" s="125">
        <v>0</v>
      </c>
      <c r="C12" s="125">
        <v>0</v>
      </c>
      <c r="D12" s="125">
        <v>0</v>
      </c>
      <c r="E12" s="125">
        <f t="shared" si="0"/>
        <v>0</v>
      </c>
      <c r="F12" s="125">
        <v>0</v>
      </c>
      <c r="G12" s="125">
        <v>0</v>
      </c>
      <c r="H12" s="125">
        <f>G12+F12</f>
        <v>0</v>
      </c>
      <c r="I12" s="125">
        <f>المهني!AS23</f>
        <v>0</v>
      </c>
      <c r="J12" s="125">
        <v>0</v>
      </c>
      <c r="K12" s="125">
        <f>المهني!BF23</f>
        <v>0</v>
      </c>
      <c r="L12" s="125">
        <v>0</v>
      </c>
      <c r="M12" s="125">
        <f>المهني!BS23</f>
        <v>180</v>
      </c>
      <c r="N12" s="125">
        <v>0</v>
      </c>
      <c r="O12" s="125">
        <f t="shared" si="1"/>
        <v>180</v>
      </c>
      <c r="P12" s="125">
        <f t="shared" si="1"/>
        <v>0</v>
      </c>
      <c r="Q12" s="125">
        <f t="shared" si="2"/>
        <v>180</v>
      </c>
      <c r="R12" s="125">
        <f>المهني!CV23</f>
        <v>3</v>
      </c>
      <c r="S12" s="125">
        <v>0</v>
      </c>
      <c r="T12" s="125">
        <v>0</v>
      </c>
      <c r="U12" s="125">
        <f t="shared" si="3"/>
        <v>3</v>
      </c>
    </row>
    <row r="13" spans="1:21" s="87" customFormat="1" ht="36.75" customHeight="1" thickTop="1" thickBot="1">
      <c r="A13" s="14" t="s">
        <v>214</v>
      </c>
      <c r="B13" s="125">
        <v>0</v>
      </c>
      <c r="C13" s="125">
        <v>0</v>
      </c>
      <c r="D13" s="125">
        <v>0</v>
      </c>
      <c r="E13" s="125">
        <f t="shared" si="0"/>
        <v>0</v>
      </c>
      <c r="F13" s="125">
        <v>0</v>
      </c>
      <c r="G13" s="125">
        <v>0</v>
      </c>
      <c r="H13" s="125">
        <f>G13+F13</f>
        <v>0</v>
      </c>
      <c r="I13" s="126"/>
      <c r="J13" s="125">
        <v>0</v>
      </c>
      <c r="K13" s="126"/>
      <c r="L13" s="125">
        <v>0</v>
      </c>
      <c r="M13" s="126"/>
      <c r="N13" s="125">
        <v>0</v>
      </c>
      <c r="O13" s="126"/>
      <c r="P13" s="125">
        <f>N13+L13+J13</f>
        <v>0</v>
      </c>
      <c r="Q13" s="125">
        <f t="shared" si="2"/>
        <v>0</v>
      </c>
      <c r="R13" s="126"/>
      <c r="S13" s="125">
        <v>0</v>
      </c>
      <c r="T13" s="126"/>
      <c r="U13" s="125">
        <f t="shared" si="3"/>
        <v>0</v>
      </c>
    </row>
    <row r="14" spans="1:21" s="135" customFormat="1" ht="36.75" customHeight="1" thickTop="1" thickBot="1">
      <c r="A14" s="134" t="s">
        <v>488</v>
      </c>
      <c r="B14" s="125">
        <v>0</v>
      </c>
      <c r="C14" s="125">
        <v>0</v>
      </c>
      <c r="D14" s="125">
        <v>0</v>
      </c>
      <c r="E14" s="125">
        <f t="shared" si="0"/>
        <v>0</v>
      </c>
      <c r="F14" s="125">
        <v>0</v>
      </c>
      <c r="G14" s="125">
        <v>0</v>
      </c>
      <c r="H14" s="125">
        <v>0</v>
      </c>
      <c r="I14" s="125"/>
      <c r="J14" s="125">
        <v>0</v>
      </c>
      <c r="K14" s="125">
        <v>0</v>
      </c>
      <c r="L14" s="125">
        <v>0</v>
      </c>
      <c r="M14" s="125">
        <v>0</v>
      </c>
      <c r="N14" s="125">
        <v>0</v>
      </c>
      <c r="O14" s="125">
        <v>0</v>
      </c>
      <c r="P14" s="125">
        <f>N14+L14+J14</f>
        <v>0</v>
      </c>
      <c r="Q14" s="125">
        <f t="shared" si="2"/>
        <v>0</v>
      </c>
      <c r="R14" s="125">
        <v>0</v>
      </c>
      <c r="S14" s="125">
        <v>0</v>
      </c>
      <c r="T14" s="125">
        <v>0</v>
      </c>
      <c r="U14" s="125">
        <f t="shared" si="3"/>
        <v>0</v>
      </c>
    </row>
    <row r="15" spans="1:21" s="184" customFormat="1" ht="36.75" customHeight="1" thickTop="1" thickBot="1">
      <c r="A15" s="15" t="s">
        <v>523</v>
      </c>
      <c r="B15" s="125">
        <v>0</v>
      </c>
      <c r="C15" s="125">
        <v>5</v>
      </c>
      <c r="D15" s="125">
        <v>0</v>
      </c>
      <c r="E15" s="125">
        <f t="shared" ref="E15" si="4">D15+C15+B15</f>
        <v>5</v>
      </c>
      <c r="F15" s="125">
        <v>0</v>
      </c>
      <c r="G15" s="125">
        <v>0</v>
      </c>
      <c r="H15" s="125">
        <v>0</v>
      </c>
      <c r="I15" s="125"/>
      <c r="J15" s="125">
        <v>0</v>
      </c>
      <c r="K15" s="125">
        <v>0</v>
      </c>
      <c r="L15" s="125">
        <v>0</v>
      </c>
      <c r="M15" s="125">
        <v>0</v>
      </c>
      <c r="N15" s="125">
        <v>0</v>
      </c>
      <c r="O15" s="125">
        <v>0</v>
      </c>
      <c r="P15" s="125">
        <f>N15+L15+J15</f>
        <v>0</v>
      </c>
      <c r="Q15" s="125">
        <f t="shared" ref="Q15" si="5">P15+O15</f>
        <v>0</v>
      </c>
      <c r="R15" s="125">
        <v>0</v>
      </c>
      <c r="S15" s="125">
        <v>0</v>
      </c>
      <c r="T15" s="125">
        <v>0</v>
      </c>
      <c r="U15" s="125">
        <f t="shared" si="3"/>
        <v>0</v>
      </c>
    </row>
    <row r="16" spans="1:21" s="87" customFormat="1" ht="36.75" customHeight="1" thickTop="1" thickBot="1">
      <c r="A16" s="137" t="s">
        <v>397</v>
      </c>
      <c r="B16" s="125">
        <v>0</v>
      </c>
      <c r="C16" s="125">
        <v>0</v>
      </c>
      <c r="D16" s="125">
        <v>0</v>
      </c>
      <c r="E16" s="125">
        <f t="shared" si="0"/>
        <v>0</v>
      </c>
      <c r="F16" s="125">
        <v>0</v>
      </c>
      <c r="G16" s="125">
        <v>0</v>
      </c>
      <c r="H16" s="125">
        <f>G16+F16</f>
        <v>0</v>
      </c>
      <c r="I16" s="125">
        <v>0</v>
      </c>
      <c r="J16" s="125">
        <v>0</v>
      </c>
      <c r="K16" s="125">
        <v>0</v>
      </c>
      <c r="L16" s="125">
        <v>0</v>
      </c>
      <c r="M16" s="125">
        <v>0</v>
      </c>
      <c r="N16" s="125">
        <v>0</v>
      </c>
      <c r="O16" s="125">
        <v>0</v>
      </c>
      <c r="P16" s="125">
        <v>0</v>
      </c>
      <c r="Q16" s="125">
        <f t="shared" si="2"/>
        <v>0</v>
      </c>
      <c r="R16" s="125">
        <v>0</v>
      </c>
      <c r="S16" s="125">
        <v>0</v>
      </c>
      <c r="T16" s="125">
        <v>0</v>
      </c>
      <c r="U16" s="125">
        <v>0</v>
      </c>
    </row>
    <row r="17" spans="1:21" s="87" customFormat="1" ht="36.75" customHeight="1" thickTop="1" thickBot="1">
      <c r="A17" s="14" t="s">
        <v>25</v>
      </c>
      <c r="B17" s="125">
        <f>B13+B12+B11+B10</f>
        <v>1</v>
      </c>
      <c r="C17" s="125">
        <f t="shared" ref="C17:U17" si="6">C13+C12+C11+C10</f>
        <v>0</v>
      </c>
      <c r="D17" s="125">
        <f t="shared" si="6"/>
        <v>0</v>
      </c>
      <c r="E17" s="125">
        <f t="shared" si="6"/>
        <v>1</v>
      </c>
      <c r="F17" s="125">
        <f t="shared" si="6"/>
        <v>25</v>
      </c>
      <c r="G17" s="125">
        <f t="shared" si="6"/>
        <v>0</v>
      </c>
      <c r="H17" s="125">
        <f t="shared" si="6"/>
        <v>25</v>
      </c>
      <c r="I17" s="125">
        <f t="shared" si="6"/>
        <v>0</v>
      </c>
      <c r="J17" s="125">
        <f t="shared" si="6"/>
        <v>0</v>
      </c>
      <c r="K17" s="125">
        <f t="shared" si="6"/>
        <v>0</v>
      </c>
      <c r="L17" s="125">
        <f t="shared" si="6"/>
        <v>0</v>
      </c>
      <c r="M17" s="125">
        <f t="shared" si="6"/>
        <v>213</v>
      </c>
      <c r="N17" s="125">
        <f t="shared" si="6"/>
        <v>0</v>
      </c>
      <c r="O17" s="125">
        <f t="shared" si="6"/>
        <v>213</v>
      </c>
      <c r="P17" s="125">
        <f t="shared" si="6"/>
        <v>0</v>
      </c>
      <c r="Q17" s="125">
        <f t="shared" si="6"/>
        <v>213</v>
      </c>
      <c r="R17" s="125">
        <f t="shared" si="6"/>
        <v>4</v>
      </c>
      <c r="S17" s="125">
        <f t="shared" si="6"/>
        <v>0</v>
      </c>
      <c r="T17" s="125">
        <f t="shared" si="6"/>
        <v>0</v>
      </c>
      <c r="U17" s="125">
        <f t="shared" si="6"/>
        <v>4</v>
      </c>
    </row>
    <row r="18" spans="1:21" s="87" customFormat="1" ht="36.75" customHeight="1" thickTop="1"/>
    <row r="19" spans="1:21" s="87" customFormat="1" ht="36.75" customHeight="1">
      <c r="A19" s="328" t="s">
        <v>111</v>
      </c>
      <c r="B19" s="328"/>
      <c r="C19" s="328"/>
      <c r="D19" s="328"/>
      <c r="E19" s="328"/>
      <c r="F19" s="328"/>
      <c r="G19" s="328"/>
      <c r="S19" s="328" t="s">
        <v>112</v>
      </c>
      <c r="T19" s="328"/>
    </row>
    <row r="20" spans="1:21" ht="36.75" customHeight="1">
      <c r="A20" s="87"/>
      <c r="B20" s="334" t="s">
        <v>188</v>
      </c>
      <c r="C20" s="334"/>
      <c r="D20" s="334"/>
      <c r="E20" s="334"/>
      <c r="F20" s="334"/>
      <c r="G20" s="87"/>
      <c r="H20" s="87"/>
      <c r="I20" s="87"/>
      <c r="J20" s="334" t="s">
        <v>192</v>
      </c>
      <c r="K20" s="334"/>
      <c r="L20" s="334"/>
      <c r="M20" s="87"/>
      <c r="N20" s="87"/>
      <c r="O20" s="87"/>
      <c r="P20" s="87"/>
      <c r="Q20" s="87"/>
      <c r="R20" s="87"/>
      <c r="S20" s="87"/>
      <c r="T20" s="87"/>
      <c r="U20" s="87"/>
    </row>
    <row r="21" spans="1:21" ht="36.75" customHeight="1">
      <c r="A21" s="328" t="s">
        <v>133</v>
      </c>
      <c r="B21" s="328"/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</row>
    <row r="22" spans="1:21" ht="36.75" customHeight="1">
      <c r="A22" s="329" t="s">
        <v>533</v>
      </c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</row>
    <row r="23" spans="1:21" ht="36.75" customHeight="1">
      <c r="A23" s="329" t="s">
        <v>134</v>
      </c>
      <c r="B23" s="329"/>
      <c r="C23" s="329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</row>
    <row r="24" spans="1:21" ht="36.75" customHeight="1" thickBot="1">
      <c r="A24" s="87"/>
      <c r="B24" s="87"/>
      <c r="C24" s="87"/>
      <c r="D24" s="87"/>
      <c r="E24" s="87"/>
      <c r="F24" s="87"/>
      <c r="G24" s="87"/>
      <c r="H24" s="87"/>
      <c r="I24" s="87" t="s">
        <v>135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</row>
    <row r="25" spans="1:21" ht="36.75" customHeight="1" thickTop="1" thickBot="1">
      <c r="A25" s="335" t="s">
        <v>115</v>
      </c>
      <c r="B25" s="355" t="s">
        <v>116</v>
      </c>
      <c r="C25" s="356"/>
      <c r="D25" s="356"/>
      <c r="E25" s="357"/>
      <c r="F25" s="355" t="s">
        <v>136</v>
      </c>
      <c r="G25" s="356"/>
      <c r="H25" s="356"/>
      <c r="I25" s="331" t="s">
        <v>137</v>
      </c>
      <c r="J25" s="332"/>
      <c r="K25" s="332"/>
      <c r="L25" s="332"/>
      <c r="M25" s="332"/>
      <c r="N25" s="332"/>
      <c r="O25" s="332"/>
      <c r="P25" s="332"/>
      <c r="Q25" s="333"/>
      <c r="R25" s="348" t="s">
        <v>138</v>
      </c>
      <c r="S25" s="349"/>
      <c r="T25" s="349"/>
      <c r="U25" s="350"/>
    </row>
    <row r="26" spans="1:21" ht="36.75" customHeight="1" thickTop="1" thickBot="1">
      <c r="A26" s="354"/>
      <c r="B26" s="358"/>
      <c r="C26" s="359"/>
      <c r="D26" s="359"/>
      <c r="E26" s="360"/>
      <c r="F26" s="358"/>
      <c r="G26" s="359"/>
      <c r="H26" s="359"/>
      <c r="I26" s="331" t="s">
        <v>57</v>
      </c>
      <c r="J26" s="333"/>
      <c r="K26" s="331" t="s">
        <v>58</v>
      </c>
      <c r="L26" s="333"/>
      <c r="M26" s="331" t="s">
        <v>59</v>
      </c>
      <c r="N26" s="333"/>
      <c r="O26" s="331" t="s">
        <v>139</v>
      </c>
      <c r="P26" s="332"/>
      <c r="Q26" s="333"/>
      <c r="R26" s="351"/>
      <c r="S26" s="352"/>
      <c r="T26" s="352"/>
      <c r="U26" s="353"/>
    </row>
    <row r="27" spans="1:21" ht="36.75" customHeight="1" thickTop="1" thickBot="1">
      <c r="A27" s="336"/>
      <c r="B27" s="14" t="s">
        <v>121</v>
      </c>
      <c r="C27" s="14" t="s">
        <v>6</v>
      </c>
      <c r="D27" s="14" t="s">
        <v>67</v>
      </c>
      <c r="E27" s="14" t="s">
        <v>25</v>
      </c>
      <c r="F27" s="14" t="s">
        <v>121</v>
      </c>
      <c r="G27" s="14" t="s">
        <v>6</v>
      </c>
      <c r="H27" s="14" t="s">
        <v>25</v>
      </c>
      <c r="I27" s="14" t="s">
        <v>121</v>
      </c>
      <c r="J27" s="14" t="s">
        <v>6</v>
      </c>
      <c r="K27" s="14" t="s">
        <v>121</v>
      </c>
      <c r="L27" s="14" t="s">
        <v>6</v>
      </c>
      <c r="M27" s="14" t="s">
        <v>121</v>
      </c>
      <c r="N27" s="14" t="s">
        <v>6</v>
      </c>
      <c r="O27" s="14" t="s">
        <v>121</v>
      </c>
      <c r="P27" s="14" t="s">
        <v>6</v>
      </c>
      <c r="Q27" s="14" t="s">
        <v>25</v>
      </c>
      <c r="R27" s="14" t="s">
        <v>121</v>
      </c>
      <c r="S27" s="14" t="s">
        <v>6</v>
      </c>
      <c r="T27" s="14" t="s">
        <v>7</v>
      </c>
      <c r="U27" s="14" t="s">
        <v>25</v>
      </c>
    </row>
    <row r="28" spans="1:21" ht="36.75" customHeight="1" thickTop="1" thickBot="1">
      <c r="A28" s="14" t="s">
        <v>123</v>
      </c>
      <c r="B28" s="125">
        <f>المهني!F10</f>
        <v>1</v>
      </c>
      <c r="C28" s="125">
        <f>المهني!G10</f>
        <v>0</v>
      </c>
      <c r="D28" s="125">
        <f>المهني!H10</f>
        <v>0</v>
      </c>
      <c r="E28" s="125">
        <f>D28+C28+B28</f>
        <v>1</v>
      </c>
      <c r="F28" s="125">
        <f>المهني!FL10</f>
        <v>25</v>
      </c>
      <c r="G28" s="125">
        <f>المهني!FM10</f>
        <v>0</v>
      </c>
      <c r="H28" s="125">
        <f>G28+F28</f>
        <v>25</v>
      </c>
      <c r="I28" s="125">
        <f>المهني!AS10</f>
        <v>0</v>
      </c>
      <c r="J28" s="125">
        <f>المهني!AT10</f>
        <v>0</v>
      </c>
      <c r="K28" s="125">
        <f>المهني!BF10</f>
        <v>0</v>
      </c>
      <c r="L28" s="125">
        <f>المهني!BG10</f>
        <v>0</v>
      </c>
      <c r="M28" s="125">
        <f>المهني!BS10</f>
        <v>33</v>
      </c>
      <c r="N28" s="125">
        <f>المهني!BT10</f>
        <v>0</v>
      </c>
      <c r="O28" s="125">
        <f t="shared" ref="O28:P30" si="7">M28+K28+I28</f>
        <v>33</v>
      </c>
      <c r="P28" s="125">
        <f t="shared" si="7"/>
        <v>0</v>
      </c>
      <c r="Q28" s="125">
        <f>P28+O28</f>
        <v>33</v>
      </c>
      <c r="R28" s="125">
        <f>المهني!CV10</f>
        <v>1</v>
      </c>
      <c r="S28" s="125">
        <f>المهني!CW10</f>
        <v>0</v>
      </c>
      <c r="T28" s="125">
        <f>المهني!CX10</f>
        <v>0</v>
      </c>
      <c r="U28" s="125">
        <f>T28+S28+R28</f>
        <v>1</v>
      </c>
    </row>
    <row r="29" spans="1:21" ht="36.75" customHeight="1" thickTop="1" thickBot="1">
      <c r="A29" s="14" t="s">
        <v>124</v>
      </c>
      <c r="B29" s="127">
        <v>0</v>
      </c>
      <c r="C29" s="127">
        <v>0</v>
      </c>
      <c r="D29" s="127">
        <v>0</v>
      </c>
      <c r="E29" s="125">
        <f>D29+C29+B29</f>
        <v>0</v>
      </c>
      <c r="F29" s="127">
        <v>0</v>
      </c>
      <c r="G29" s="127">
        <v>0</v>
      </c>
      <c r="H29" s="125">
        <f>G29+F29</f>
        <v>0</v>
      </c>
      <c r="I29" s="127">
        <v>0</v>
      </c>
      <c r="J29" s="127">
        <v>0</v>
      </c>
      <c r="K29" s="127">
        <v>0</v>
      </c>
      <c r="L29" s="127">
        <v>0</v>
      </c>
      <c r="M29" s="127">
        <v>0</v>
      </c>
      <c r="N29" s="127">
        <v>0</v>
      </c>
      <c r="O29" s="127">
        <f t="shared" si="7"/>
        <v>0</v>
      </c>
      <c r="P29" s="127">
        <f t="shared" si="7"/>
        <v>0</v>
      </c>
      <c r="Q29" s="127">
        <f>P29+O29</f>
        <v>0</v>
      </c>
      <c r="R29" s="127">
        <v>0</v>
      </c>
      <c r="S29" s="127">
        <v>0</v>
      </c>
      <c r="T29" s="127">
        <v>0</v>
      </c>
      <c r="U29" s="125">
        <f>T29+S29+R29</f>
        <v>0</v>
      </c>
    </row>
    <row r="30" spans="1:21" ht="36.75" customHeight="1" thickTop="1" thickBot="1">
      <c r="A30" s="14" t="s">
        <v>125</v>
      </c>
      <c r="B30" s="127">
        <v>0</v>
      </c>
      <c r="C30" s="127">
        <v>0</v>
      </c>
      <c r="D30" s="127">
        <v>0</v>
      </c>
      <c r="E30" s="125">
        <f>D30+C30+B30</f>
        <v>0</v>
      </c>
      <c r="F30" s="127">
        <v>0</v>
      </c>
      <c r="G30" s="127">
        <v>0</v>
      </c>
      <c r="H30" s="125">
        <f>G30+F30</f>
        <v>0</v>
      </c>
      <c r="I30" s="125">
        <f>المهني!AS23</f>
        <v>0</v>
      </c>
      <c r="J30" s="125">
        <f>المهني!AT23</f>
        <v>0</v>
      </c>
      <c r="K30" s="125">
        <f>المهني!BF23</f>
        <v>0</v>
      </c>
      <c r="L30" s="125">
        <f>المهني!BG23</f>
        <v>0</v>
      </c>
      <c r="M30" s="125">
        <f>المهني!BS23</f>
        <v>180</v>
      </c>
      <c r="N30" s="125">
        <f>المهني!BT23</f>
        <v>0</v>
      </c>
      <c r="O30" s="125">
        <f t="shared" si="7"/>
        <v>180</v>
      </c>
      <c r="P30" s="125">
        <f t="shared" si="7"/>
        <v>0</v>
      </c>
      <c r="Q30" s="125">
        <f>P30+O30</f>
        <v>180</v>
      </c>
      <c r="R30" s="125">
        <f>المهني!CV23</f>
        <v>3</v>
      </c>
      <c r="S30" s="125">
        <v>0</v>
      </c>
      <c r="T30" s="125">
        <v>0</v>
      </c>
      <c r="U30" s="125">
        <f>T30+S30+R30</f>
        <v>3</v>
      </c>
    </row>
    <row r="31" spans="1:21" ht="36.75" customHeight="1" thickTop="1" thickBot="1">
      <c r="A31" s="14" t="s">
        <v>214</v>
      </c>
      <c r="B31" s="127">
        <v>0</v>
      </c>
      <c r="C31" s="127">
        <v>0</v>
      </c>
      <c r="D31" s="127">
        <v>0</v>
      </c>
      <c r="E31" s="125">
        <f>D31+C31+B31</f>
        <v>0</v>
      </c>
      <c r="F31" s="127">
        <v>0</v>
      </c>
      <c r="G31" s="127">
        <v>0</v>
      </c>
      <c r="H31" s="125">
        <f>G31+F31</f>
        <v>0</v>
      </c>
      <c r="I31" s="128"/>
      <c r="J31" s="125">
        <v>0</v>
      </c>
      <c r="K31" s="128"/>
      <c r="L31" s="125">
        <v>0</v>
      </c>
      <c r="M31" s="128"/>
      <c r="N31" s="125">
        <v>0</v>
      </c>
      <c r="O31" s="128"/>
      <c r="P31" s="125">
        <f>N31+L31+J31</f>
        <v>0</v>
      </c>
      <c r="Q31" s="125">
        <f>P31+O31</f>
        <v>0</v>
      </c>
      <c r="R31" s="128"/>
      <c r="S31" s="125">
        <v>0</v>
      </c>
      <c r="T31" s="128"/>
      <c r="U31" s="125">
        <f>T31+S31+R31</f>
        <v>0</v>
      </c>
    </row>
    <row r="32" spans="1:21" ht="36.75" customHeight="1" thickTop="1" thickBot="1">
      <c r="A32" s="134" t="s">
        <v>488</v>
      </c>
      <c r="B32" s="127"/>
      <c r="C32" s="127"/>
      <c r="D32" s="127"/>
      <c r="E32" s="125"/>
      <c r="F32" s="127"/>
      <c r="G32" s="127"/>
      <c r="H32" s="125"/>
      <c r="I32" s="128"/>
      <c r="J32" s="125"/>
      <c r="K32" s="128"/>
      <c r="L32" s="125"/>
      <c r="M32" s="128"/>
      <c r="N32" s="125"/>
      <c r="O32" s="128"/>
      <c r="P32" s="125"/>
      <c r="Q32" s="125"/>
      <c r="R32" s="128"/>
      <c r="S32" s="125"/>
      <c r="T32" s="128"/>
      <c r="U32" s="125"/>
    </row>
    <row r="33" spans="1:22" ht="36.75" customHeight="1" thickTop="1" thickBot="1">
      <c r="A33" s="55" t="s">
        <v>397</v>
      </c>
      <c r="B33" s="127"/>
      <c r="C33" s="127"/>
      <c r="D33" s="127"/>
      <c r="E33" s="125">
        <f>D33+C33+B33</f>
        <v>0</v>
      </c>
      <c r="F33" s="127"/>
      <c r="G33" s="127"/>
      <c r="H33" s="125">
        <v>0</v>
      </c>
      <c r="I33" s="127"/>
      <c r="J33" s="127"/>
      <c r="K33" s="127"/>
      <c r="L33" s="127"/>
      <c r="M33" s="127"/>
      <c r="N33" s="127"/>
      <c r="O33" s="125">
        <v>0</v>
      </c>
      <c r="P33" s="125">
        <v>0</v>
      </c>
      <c r="Q33" s="125">
        <v>0</v>
      </c>
      <c r="R33" s="127"/>
      <c r="S33" s="127"/>
      <c r="T33" s="127"/>
      <c r="U33" s="125">
        <v>0</v>
      </c>
    </row>
    <row r="34" spans="1:22" ht="36.75" customHeight="1" thickTop="1" thickBot="1">
      <c r="A34" s="14" t="s">
        <v>25</v>
      </c>
      <c r="B34" s="125">
        <f t="shared" ref="B34:U34" si="8">B31+B30+B29+B28</f>
        <v>1</v>
      </c>
      <c r="C34" s="125">
        <f t="shared" si="8"/>
        <v>0</v>
      </c>
      <c r="D34" s="125">
        <f t="shared" si="8"/>
        <v>0</v>
      </c>
      <c r="E34" s="125">
        <f t="shared" si="8"/>
        <v>1</v>
      </c>
      <c r="F34" s="125">
        <f t="shared" si="8"/>
        <v>25</v>
      </c>
      <c r="G34" s="125">
        <f t="shared" si="8"/>
        <v>0</v>
      </c>
      <c r="H34" s="125">
        <f t="shared" si="8"/>
        <v>25</v>
      </c>
      <c r="I34" s="125">
        <f t="shared" si="8"/>
        <v>0</v>
      </c>
      <c r="J34" s="125">
        <f t="shared" si="8"/>
        <v>0</v>
      </c>
      <c r="K34" s="125">
        <f t="shared" si="8"/>
        <v>0</v>
      </c>
      <c r="L34" s="125">
        <f t="shared" si="8"/>
        <v>0</v>
      </c>
      <c r="M34" s="125">
        <f t="shared" si="8"/>
        <v>213</v>
      </c>
      <c r="N34" s="125">
        <f t="shared" si="8"/>
        <v>0</v>
      </c>
      <c r="O34" s="125">
        <f t="shared" si="8"/>
        <v>213</v>
      </c>
      <c r="P34" s="125">
        <f t="shared" si="8"/>
        <v>0</v>
      </c>
      <c r="Q34" s="125">
        <f t="shared" si="8"/>
        <v>213</v>
      </c>
      <c r="R34" s="125">
        <f t="shared" si="8"/>
        <v>4</v>
      </c>
      <c r="S34" s="125">
        <f t="shared" si="8"/>
        <v>0</v>
      </c>
      <c r="T34" s="125">
        <f t="shared" si="8"/>
        <v>0</v>
      </c>
      <c r="U34" s="125">
        <f t="shared" si="8"/>
        <v>4</v>
      </c>
    </row>
    <row r="35" spans="1:22" ht="36.75" customHeight="1" thickTop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</row>
    <row r="36" spans="1:22" ht="36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</row>
    <row r="37" spans="1:22" ht="36.75" customHeight="1">
      <c r="A37" s="328" t="s">
        <v>111</v>
      </c>
      <c r="B37" s="328"/>
      <c r="C37" s="328"/>
      <c r="D37" s="328"/>
      <c r="E37" s="328"/>
      <c r="F37" s="328"/>
      <c r="G37" s="328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328" t="s">
        <v>112</v>
      </c>
      <c r="T37" s="328"/>
      <c r="U37" s="87"/>
      <c r="V37" s="87"/>
    </row>
    <row r="38" spans="1:22" ht="36.75" customHeight="1">
      <c r="A38" s="87"/>
      <c r="B38" s="334" t="s">
        <v>188</v>
      </c>
      <c r="C38" s="334"/>
      <c r="D38" s="334"/>
      <c r="E38" s="334"/>
      <c r="F38" s="334"/>
      <c r="G38" s="87"/>
      <c r="H38" s="87"/>
      <c r="I38" s="334" t="s">
        <v>186</v>
      </c>
      <c r="J38" s="334"/>
      <c r="K38" s="334"/>
      <c r="L38" s="334"/>
      <c r="M38" s="87"/>
      <c r="N38" s="87"/>
      <c r="O38" s="87"/>
      <c r="P38" s="87"/>
      <c r="Q38" s="87"/>
      <c r="R38" s="87"/>
      <c r="S38" s="87"/>
      <c r="T38" s="87"/>
      <c r="U38" s="87"/>
      <c r="V38" s="87"/>
    </row>
    <row r="39" spans="1:22" ht="36.75" customHeight="1">
      <c r="A39" s="328" t="s">
        <v>133</v>
      </c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87"/>
    </row>
    <row r="40" spans="1:22" ht="36.75" customHeight="1">
      <c r="A40" s="329" t="s">
        <v>535</v>
      </c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87"/>
    </row>
    <row r="41" spans="1:22" ht="36.75" customHeight="1">
      <c r="A41" s="329" t="s">
        <v>134</v>
      </c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87"/>
    </row>
    <row r="42" spans="1:22" ht="36.75" customHeight="1" thickBot="1">
      <c r="A42" s="87"/>
      <c r="B42" s="87"/>
      <c r="C42" s="87"/>
      <c r="D42" s="87"/>
      <c r="E42" s="87"/>
      <c r="F42" s="87"/>
      <c r="G42" s="87"/>
      <c r="H42" s="87"/>
      <c r="I42" s="87" t="s">
        <v>135</v>
      </c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</row>
    <row r="43" spans="1:22" ht="36.75" customHeight="1" thickTop="1" thickBot="1">
      <c r="A43" s="335" t="s">
        <v>115</v>
      </c>
      <c r="B43" s="355" t="s">
        <v>116</v>
      </c>
      <c r="C43" s="356"/>
      <c r="D43" s="356"/>
      <c r="E43" s="357"/>
      <c r="F43" s="355" t="s">
        <v>136</v>
      </c>
      <c r="G43" s="356"/>
      <c r="H43" s="356"/>
      <c r="I43" s="331" t="s">
        <v>137</v>
      </c>
      <c r="J43" s="332"/>
      <c r="K43" s="332"/>
      <c r="L43" s="332"/>
      <c r="M43" s="332"/>
      <c r="N43" s="332"/>
      <c r="O43" s="332"/>
      <c r="P43" s="332"/>
      <c r="Q43" s="333"/>
      <c r="R43" s="348" t="s">
        <v>138</v>
      </c>
      <c r="S43" s="349"/>
      <c r="T43" s="349"/>
      <c r="U43" s="350"/>
      <c r="V43" s="87"/>
    </row>
    <row r="44" spans="1:22" ht="36.75" customHeight="1" thickTop="1" thickBot="1">
      <c r="A44" s="354"/>
      <c r="B44" s="358"/>
      <c r="C44" s="359"/>
      <c r="D44" s="359"/>
      <c r="E44" s="360"/>
      <c r="F44" s="358"/>
      <c r="G44" s="359"/>
      <c r="H44" s="359"/>
      <c r="I44" s="331" t="s">
        <v>57</v>
      </c>
      <c r="J44" s="333"/>
      <c r="K44" s="331" t="s">
        <v>58</v>
      </c>
      <c r="L44" s="333"/>
      <c r="M44" s="331" t="s">
        <v>59</v>
      </c>
      <c r="N44" s="333"/>
      <c r="O44" s="331" t="s">
        <v>139</v>
      </c>
      <c r="P44" s="332"/>
      <c r="Q44" s="333"/>
      <c r="R44" s="351"/>
      <c r="S44" s="352"/>
      <c r="T44" s="352"/>
      <c r="U44" s="353"/>
      <c r="V44" s="87"/>
    </row>
    <row r="45" spans="1:22" ht="36.75" customHeight="1" thickTop="1" thickBot="1">
      <c r="A45" s="336"/>
      <c r="B45" s="14" t="s">
        <v>121</v>
      </c>
      <c r="C45" s="14" t="s">
        <v>6</v>
      </c>
      <c r="D45" s="14" t="s">
        <v>67</v>
      </c>
      <c r="E45" s="14" t="s">
        <v>25</v>
      </c>
      <c r="F45" s="14" t="s">
        <v>121</v>
      </c>
      <c r="G45" s="14" t="s">
        <v>6</v>
      </c>
      <c r="H45" s="14" t="s">
        <v>25</v>
      </c>
      <c r="I45" s="14" t="s">
        <v>121</v>
      </c>
      <c r="J45" s="14" t="s">
        <v>6</v>
      </c>
      <c r="K45" s="14" t="s">
        <v>121</v>
      </c>
      <c r="L45" s="14" t="s">
        <v>6</v>
      </c>
      <c r="M45" s="14" t="s">
        <v>121</v>
      </c>
      <c r="N45" s="14" t="s">
        <v>6</v>
      </c>
      <c r="O45" s="14" t="s">
        <v>121</v>
      </c>
      <c r="P45" s="14" t="s">
        <v>6</v>
      </c>
      <c r="Q45" s="14" t="s">
        <v>25</v>
      </c>
      <c r="R45" s="14" t="s">
        <v>121</v>
      </c>
      <c r="S45" s="14" t="s">
        <v>6</v>
      </c>
      <c r="T45" s="14" t="s">
        <v>7</v>
      </c>
      <c r="U45" s="14" t="s">
        <v>25</v>
      </c>
      <c r="V45" s="87"/>
    </row>
    <row r="46" spans="1:22" ht="36.75" customHeight="1" thickTop="1" thickBot="1">
      <c r="A46" s="14" t="s">
        <v>123</v>
      </c>
      <c r="B46" s="125">
        <v>0</v>
      </c>
      <c r="C46" s="125">
        <v>0</v>
      </c>
      <c r="D46" s="125">
        <v>0</v>
      </c>
      <c r="E46" s="125">
        <f>D46+C46+B46</f>
        <v>0</v>
      </c>
      <c r="F46" s="125">
        <v>0</v>
      </c>
      <c r="G46" s="125">
        <v>0</v>
      </c>
      <c r="H46" s="125">
        <f>G46+F46</f>
        <v>0</v>
      </c>
      <c r="I46" s="125">
        <v>0</v>
      </c>
      <c r="J46" s="125">
        <v>0</v>
      </c>
      <c r="K46" s="125">
        <v>0</v>
      </c>
      <c r="L46" s="125">
        <v>0</v>
      </c>
      <c r="M46" s="125">
        <v>0</v>
      </c>
      <c r="N46" s="125">
        <v>0</v>
      </c>
      <c r="O46" s="125">
        <f t="shared" ref="O46:P51" si="9">M46+K46+I46</f>
        <v>0</v>
      </c>
      <c r="P46" s="125">
        <f t="shared" si="9"/>
        <v>0</v>
      </c>
      <c r="Q46" s="125">
        <f>P46+O46</f>
        <v>0</v>
      </c>
      <c r="R46" s="125">
        <v>0</v>
      </c>
      <c r="S46" s="125">
        <v>0</v>
      </c>
      <c r="T46" s="125">
        <v>0</v>
      </c>
      <c r="U46" s="125">
        <f>T46+S46+R46</f>
        <v>0</v>
      </c>
      <c r="V46" s="87"/>
    </row>
    <row r="47" spans="1:22" ht="36.75" customHeight="1" thickTop="1" thickBot="1">
      <c r="A47" s="14" t="s">
        <v>124</v>
      </c>
      <c r="B47" s="125">
        <v>0</v>
      </c>
      <c r="C47" s="125">
        <v>0</v>
      </c>
      <c r="D47" s="125">
        <v>0</v>
      </c>
      <c r="E47" s="125">
        <f>D47+C47+B47</f>
        <v>0</v>
      </c>
      <c r="F47" s="125">
        <v>0</v>
      </c>
      <c r="G47" s="125">
        <v>0</v>
      </c>
      <c r="H47" s="125">
        <f>G47+F47</f>
        <v>0</v>
      </c>
      <c r="I47" s="125">
        <v>0</v>
      </c>
      <c r="J47" s="125">
        <v>0</v>
      </c>
      <c r="K47" s="125">
        <v>0</v>
      </c>
      <c r="L47" s="125">
        <v>0</v>
      </c>
      <c r="M47" s="125">
        <v>0</v>
      </c>
      <c r="N47" s="125">
        <v>0</v>
      </c>
      <c r="O47" s="125">
        <f t="shared" si="9"/>
        <v>0</v>
      </c>
      <c r="P47" s="125">
        <f t="shared" si="9"/>
        <v>0</v>
      </c>
      <c r="Q47" s="125">
        <f>P47+O47</f>
        <v>0</v>
      </c>
      <c r="R47" s="125">
        <v>0</v>
      </c>
      <c r="S47" s="125">
        <v>0</v>
      </c>
      <c r="T47" s="125">
        <v>0</v>
      </c>
      <c r="U47" s="125">
        <f>T47+S47+R47</f>
        <v>0</v>
      </c>
      <c r="V47" s="87"/>
    </row>
    <row r="48" spans="1:22" ht="36.75" customHeight="1" thickTop="1" thickBot="1">
      <c r="A48" s="14" t="s">
        <v>125</v>
      </c>
      <c r="B48" s="125">
        <v>0</v>
      </c>
      <c r="C48" s="125">
        <v>0</v>
      </c>
      <c r="D48" s="125">
        <v>0</v>
      </c>
      <c r="E48" s="125">
        <f>D48+C48+B48</f>
        <v>0</v>
      </c>
      <c r="F48" s="125">
        <v>0</v>
      </c>
      <c r="G48" s="125">
        <v>0</v>
      </c>
      <c r="H48" s="125">
        <f>G48+F48</f>
        <v>0</v>
      </c>
      <c r="I48" s="125">
        <v>0</v>
      </c>
      <c r="J48" s="125">
        <v>0</v>
      </c>
      <c r="K48" s="125">
        <v>0</v>
      </c>
      <c r="L48" s="125">
        <v>0</v>
      </c>
      <c r="M48" s="125">
        <v>0</v>
      </c>
      <c r="N48" s="125">
        <v>0</v>
      </c>
      <c r="O48" s="125">
        <f t="shared" si="9"/>
        <v>0</v>
      </c>
      <c r="P48" s="125">
        <f t="shared" si="9"/>
        <v>0</v>
      </c>
      <c r="Q48" s="125">
        <f>P48+O48</f>
        <v>0</v>
      </c>
      <c r="R48" s="125">
        <v>0</v>
      </c>
      <c r="S48" s="125">
        <v>0</v>
      </c>
      <c r="T48" s="125">
        <v>0</v>
      </c>
      <c r="U48" s="125">
        <f>T48+S48+R48</f>
        <v>0</v>
      </c>
      <c r="V48" s="87"/>
    </row>
    <row r="49" spans="1:22" ht="36.75" customHeight="1" thickTop="1" thickBot="1">
      <c r="A49" s="14" t="s">
        <v>216</v>
      </c>
      <c r="B49" s="125">
        <v>0</v>
      </c>
      <c r="C49" s="125">
        <v>0</v>
      </c>
      <c r="D49" s="125">
        <v>0</v>
      </c>
      <c r="E49" s="125">
        <f>D49+C49+B49</f>
        <v>0</v>
      </c>
      <c r="F49" s="125">
        <v>0</v>
      </c>
      <c r="G49" s="125">
        <v>0</v>
      </c>
      <c r="H49" s="125">
        <f>G49+F49</f>
        <v>0</v>
      </c>
      <c r="I49" s="125">
        <v>0</v>
      </c>
      <c r="J49" s="125">
        <v>0</v>
      </c>
      <c r="K49" s="125">
        <v>0</v>
      </c>
      <c r="L49" s="125">
        <v>0</v>
      </c>
      <c r="M49" s="125">
        <v>0</v>
      </c>
      <c r="N49" s="125">
        <v>0</v>
      </c>
      <c r="O49" s="125">
        <f t="shared" si="9"/>
        <v>0</v>
      </c>
      <c r="P49" s="125">
        <f t="shared" si="9"/>
        <v>0</v>
      </c>
      <c r="Q49" s="125">
        <f>P49+O49</f>
        <v>0</v>
      </c>
      <c r="R49" s="125">
        <v>0</v>
      </c>
      <c r="S49" s="125">
        <v>0</v>
      </c>
      <c r="T49" s="125">
        <v>0</v>
      </c>
      <c r="U49" s="125">
        <f>T49+S49+R49</f>
        <v>0</v>
      </c>
      <c r="V49" s="87"/>
    </row>
    <row r="50" spans="1:22" ht="36.75" customHeight="1" thickTop="1" thickBot="1">
      <c r="A50" s="134" t="s">
        <v>488</v>
      </c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35"/>
    </row>
    <row r="51" spans="1:22" ht="36.75" customHeight="1" thickTop="1" thickBot="1">
      <c r="A51" s="55" t="s">
        <v>397</v>
      </c>
      <c r="B51" s="125">
        <v>0</v>
      </c>
      <c r="C51" s="125">
        <v>0</v>
      </c>
      <c r="D51" s="125">
        <v>0</v>
      </c>
      <c r="E51" s="125">
        <f>D51+C51+B51</f>
        <v>0</v>
      </c>
      <c r="F51" s="125">
        <v>0</v>
      </c>
      <c r="G51" s="125">
        <v>0</v>
      </c>
      <c r="H51" s="125">
        <f>G51+F51</f>
        <v>0</v>
      </c>
      <c r="I51" s="125">
        <v>0</v>
      </c>
      <c r="J51" s="125">
        <v>0</v>
      </c>
      <c r="K51" s="125">
        <v>0</v>
      </c>
      <c r="L51" s="125">
        <v>0</v>
      </c>
      <c r="M51" s="125">
        <v>0</v>
      </c>
      <c r="N51" s="125">
        <v>0</v>
      </c>
      <c r="O51" s="125">
        <f t="shared" si="9"/>
        <v>0</v>
      </c>
      <c r="P51" s="125">
        <f t="shared" si="9"/>
        <v>0</v>
      </c>
      <c r="Q51" s="125">
        <f>P51+O51</f>
        <v>0</v>
      </c>
      <c r="R51" s="125">
        <v>0</v>
      </c>
      <c r="S51" s="125">
        <v>0</v>
      </c>
      <c r="T51" s="125">
        <v>0</v>
      </c>
      <c r="U51" s="125">
        <f>T51+S51+R51</f>
        <v>0</v>
      </c>
      <c r="V51" s="87"/>
    </row>
    <row r="52" spans="1:22" ht="36.75" customHeight="1" thickTop="1" thickBot="1">
      <c r="A52" s="14" t="s">
        <v>25</v>
      </c>
      <c r="B52" s="125">
        <f t="shared" ref="B52:U52" si="10">B49+B48+B47+B46</f>
        <v>0</v>
      </c>
      <c r="C52" s="125">
        <f t="shared" si="10"/>
        <v>0</v>
      </c>
      <c r="D52" s="125">
        <f t="shared" si="10"/>
        <v>0</v>
      </c>
      <c r="E52" s="125">
        <f t="shared" si="10"/>
        <v>0</v>
      </c>
      <c r="F52" s="125">
        <f t="shared" si="10"/>
        <v>0</v>
      </c>
      <c r="G52" s="125">
        <f t="shared" si="10"/>
        <v>0</v>
      </c>
      <c r="H52" s="125">
        <f t="shared" si="10"/>
        <v>0</v>
      </c>
      <c r="I52" s="125">
        <f t="shared" si="10"/>
        <v>0</v>
      </c>
      <c r="J52" s="125">
        <f t="shared" si="10"/>
        <v>0</v>
      </c>
      <c r="K52" s="125">
        <f t="shared" si="10"/>
        <v>0</v>
      </c>
      <c r="L52" s="125">
        <f t="shared" si="10"/>
        <v>0</v>
      </c>
      <c r="M52" s="125">
        <f t="shared" si="10"/>
        <v>0</v>
      </c>
      <c r="N52" s="125">
        <f t="shared" si="10"/>
        <v>0</v>
      </c>
      <c r="O52" s="125">
        <f t="shared" si="10"/>
        <v>0</v>
      </c>
      <c r="P52" s="125">
        <f t="shared" si="10"/>
        <v>0</v>
      </c>
      <c r="Q52" s="125">
        <f t="shared" si="10"/>
        <v>0</v>
      </c>
      <c r="R52" s="125">
        <f t="shared" si="10"/>
        <v>0</v>
      </c>
      <c r="S52" s="125">
        <f t="shared" si="10"/>
        <v>0</v>
      </c>
      <c r="T52" s="125">
        <f t="shared" si="10"/>
        <v>0</v>
      </c>
      <c r="U52" s="125">
        <f t="shared" si="10"/>
        <v>0</v>
      </c>
      <c r="V52" s="87"/>
    </row>
    <row r="53" spans="1:22" ht="36.75" customHeight="1" thickTop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</row>
    <row r="54" spans="1:22" ht="36.75" customHeight="1">
      <c r="A54" s="328" t="s">
        <v>111</v>
      </c>
      <c r="B54" s="328"/>
      <c r="C54" s="328"/>
      <c r="D54" s="328"/>
      <c r="E54" s="328"/>
      <c r="F54" s="328"/>
      <c r="G54" s="328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328" t="s">
        <v>112</v>
      </c>
      <c r="T54" s="328"/>
      <c r="U54" s="87"/>
    </row>
    <row r="55" spans="1:22" ht="36.75" customHeight="1">
      <c r="A55" s="87"/>
      <c r="B55" s="334" t="s">
        <v>188</v>
      </c>
      <c r="C55" s="334"/>
      <c r="D55" s="334"/>
      <c r="E55" s="334"/>
      <c r="F55" s="334"/>
      <c r="G55" s="87"/>
      <c r="H55" s="87"/>
      <c r="I55" s="87"/>
      <c r="J55" s="334" t="s">
        <v>187</v>
      </c>
      <c r="K55" s="334"/>
      <c r="L55" s="334"/>
      <c r="M55" s="87"/>
      <c r="N55" s="87"/>
      <c r="O55" s="87"/>
      <c r="P55" s="87"/>
      <c r="Q55" s="87"/>
      <c r="R55" s="87"/>
      <c r="S55" s="87"/>
      <c r="T55" s="87"/>
      <c r="U55" s="87"/>
    </row>
    <row r="56" spans="1:22" ht="36.75" customHeight="1">
      <c r="A56" s="328" t="s">
        <v>133</v>
      </c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</row>
    <row r="57" spans="1:22" ht="36.75" customHeight="1">
      <c r="A57" s="329" t="s">
        <v>535</v>
      </c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9"/>
    </row>
    <row r="58" spans="1:22" ht="36.75" customHeight="1">
      <c r="A58" s="329" t="s">
        <v>134</v>
      </c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  <c r="R58" s="329"/>
      <c r="S58" s="329"/>
      <c r="T58" s="329"/>
      <c r="U58" s="329"/>
    </row>
    <row r="59" spans="1:22" ht="36.75" customHeight="1" thickBot="1">
      <c r="A59" s="87"/>
      <c r="B59" s="87"/>
      <c r="C59" s="87"/>
      <c r="D59" s="87"/>
      <c r="E59" s="87"/>
      <c r="F59" s="87"/>
      <c r="G59" s="87"/>
      <c r="H59" s="87"/>
      <c r="I59" s="87" t="s">
        <v>135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</row>
    <row r="60" spans="1:22" ht="36.75" customHeight="1" thickTop="1" thickBot="1">
      <c r="A60" s="335" t="s">
        <v>115</v>
      </c>
      <c r="B60" s="355" t="s">
        <v>116</v>
      </c>
      <c r="C60" s="356"/>
      <c r="D60" s="356"/>
      <c r="E60" s="357"/>
      <c r="F60" s="355" t="s">
        <v>136</v>
      </c>
      <c r="G60" s="356"/>
      <c r="H60" s="356"/>
      <c r="I60" s="331" t="s">
        <v>137</v>
      </c>
      <c r="J60" s="332"/>
      <c r="K60" s="332"/>
      <c r="L60" s="332"/>
      <c r="M60" s="332"/>
      <c r="N60" s="332"/>
      <c r="O60" s="332"/>
      <c r="P60" s="332"/>
      <c r="Q60" s="333"/>
      <c r="R60" s="348" t="s">
        <v>138</v>
      </c>
      <c r="S60" s="349"/>
      <c r="T60" s="349"/>
      <c r="U60" s="350"/>
    </row>
    <row r="61" spans="1:22" ht="36.75" customHeight="1" thickTop="1" thickBot="1">
      <c r="A61" s="354"/>
      <c r="B61" s="358"/>
      <c r="C61" s="359"/>
      <c r="D61" s="359"/>
      <c r="E61" s="360"/>
      <c r="F61" s="358"/>
      <c r="G61" s="359"/>
      <c r="H61" s="359"/>
      <c r="I61" s="331" t="s">
        <v>57</v>
      </c>
      <c r="J61" s="333"/>
      <c r="K61" s="331" t="s">
        <v>58</v>
      </c>
      <c r="L61" s="333"/>
      <c r="M61" s="331" t="s">
        <v>59</v>
      </c>
      <c r="N61" s="333"/>
      <c r="O61" s="331" t="s">
        <v>139</v>
      </c>
      <c r="P61" s="332"/>
      <c r="Q61" s="333"/>
      <c r="R61" s="351"/>
      <c r="S61" s="352"/>
      <c r="T61" s="352"/>
      <c r="U61" s="353"/>
    </row>
    <row r="62" spans="1:22" ht="36.75" customHeight="1" thickTop="1" thickBot="1">
      <c r="A62" s="336"/>
      <c r="B62" s="14" t="s">
        <v>121</v>
      </c>
      <c r="C62" s="14" t="s">
        <v>6</v>
      </c>
      <c r="D62" s="14" t="s">
        <v>67</v>
      </c>
      <c r="E62" s="14" t="s">
        <v>25</v>
      </c>
      <c r="F62" s="14" t="s">
        <v>121</v>
      </c>
      <c r="G62" s="14" t="s">
        <v>6</v>
      </c>
      <c r="H62" s="14" t="s">
        <v>25</v>
      </c>
      <c r="I62" s="14" t="s">
        <v>121</v>
      </c>
      <c r="J62" s="14" t="s">
        <v>6</v>
      </c>
      <c r="K62" s="14" t="s">
        <v>121</v>
      </c>
      <c r="L62" s="14" t="s">
        <v>6</v>
      </c>
      <c r="M62" s="14" t="s">
        <v>121</v>
      </c>
      <c r="N62" s="14" t="s">
        <v>6</v>
      </c>
      <c r="O62" s="14" t="s">
        <v>121</v>
      </c>
      <c r="P62" s="14" t="s">
        <v>6</v>
      </c>
      <c r="Q62" s="14" t="s">
        <v>25</v>
      </c>
      <c r="R62" s="14" t="s">
        <v>121</v>
      </c>
      <c r="S62" s="14" t="s">
        <v>6</v>
      </c>
      <c r="T62" s="14" t="s">
        <v>7</v>
      </c>
      <c r="U62" s="14" t="s">
        <v>25</v>
      </c>
    </row>
    <row r="63" spans="1:22" ht="36.75" customHeight="1" thickTop="1" thickBot="1">
      <c r="A63" s="14" t="s">
        <v>123</v>
      </c>
      <c r="B63" s="125">
        <v>0</v>
      </c>
      <c r="C63" s="125">
        <v>0</v>
      </c>
      <c r="D63" s="125">
        <v>0</v>
      </c>
      <c r="E63" s="125">
        <f>D63+C63+B63</f>
        <v>0</v>
      </c>
      <c r="F63" s="125">
        <v>0</v>
      </c>
      <c r="G63" s="125">
        <v>0</v>
      </c>
      <c r="H63" s="125">
        <f>G63+F63</f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f t="shared" ref="O63:P66" si="11">M63+K63+I63</f>
        <v>0</v>
      </c>
      <c r="P63" s="125">
        <f t="shared" si="11"/>
        <v>0</v>
      </c>
      <c r="Q63" s="125">
        <f>P63+O63</f>
        <v>0</v>
      </c>
      <c r="R63" s="125">
        <v>0</v>
      </c>
      <c r="S63" s="125">
        <v>0</v>
      </c>
      <c r="T63" s="125">
        <v>0</v>
      </c>
      <c r="U63" s="125">
        <f>T63+S63+R63</f>
        <v>0</v>
      </c>
    </row>
    <row r="64" spans="1:22" ht="36.75" customHeight="1" thickTop="1" thickBot="1">
      <c r="A64" s="14" t="s">
        <v>124</v>
      </c>
      <c r="B64" s="125">
        <v>0</v>
      </c>
      <c r="C64" s="125">
        <v>0</v>
      </c>
      <c r="D64" s="125">
        <v>0</v>
      </c>
      <c r="E64" s="125">
        <f>D64+C64+B64</f>
        <v>0</v>
      </c>
      <c r="F64" s="125">
        <v>0</v>
      </c>
      <c r="G64" s="125">
        <v>0</v>
      </c>
      <c r="H64" s="125">
        <f>G64+F64</f>
        <v>0</v>
      </c>
      <c r="I64" s="125">
        <v>0</v>
      </c>
      <c r="J64" s="125">
        <v>0</v>
      </c>
      <c r="K64" s="125">
        <v>0</v>
      </c>
      <c r="L64" s="125">
        <v>0</v>
      </c>
      <c r="M64" s="125">
        <v>0</v>
      </c>
      <c r="N64" s="125">
        <v>0</v>
      </c>
      <c r="O64" s="125">
        <f t="shared" si="11"/>
        <v>0</v>
      </c>
      <c r="P64" s="125">
        <f t="shared" si="11"/>
        <v>0</v>
      </c>
      <c r="Q64" s="125">
        <f>P64+O64</f>
        <v>0</v>
      </c>
      <c r="R64" s="125">
        <v>0</v>
      </c>
      <c r="S64" s="125">
        <v>0</v>
      </c>
      <c r="T64" s="125">
        <v>0</v>
      </c>
      <c r="U64" s="125">
        <f>T64+S64+R64</f>
        <v>0</v>
      </c>
    </row>
    <row r="65" spans="1:21" ht="36.75" customHeight="1" thickTop="1" thickBot="1">
      <c r="A65" s="14" t="s">
        <v>125</v>
      </c>
      <c r="B65" s="125">
        <v>0</v>
      </c>
      <c r="C65" s="125">
        <v>0</v>
      </c>
      <c r="D65" s="125">
        <v>0</v>
      </c>
      <c r="E65" s="125">
        <f>D65+C65+B65</f>
        <v>0</v>
      </c>
      <c r="F65" s="125">
        <v>0</v>
      </c>
      <c r="G65" s="125">
        <v>0</v>
      </c>
      <c r="H65" s="125">
        <f>G65+F65</f>
        <v>0</v>
      </c>
      <c r="I65" s="125">
        <v>0</v>
      </c>
      <c r="J65" s="125">
        <v>0</v>
      </c>
      <c r="K65" s="125">
        <v>0</v>
      </c>
      <c r="L65" s="125">
        <v>0</v>
      </c>
      <c r="M65" s="125">
        <v>0</v>
      </c>
      <c r="N65" s="125">
        <v>0</v>
      </c>
      <c r="O65" s="125">
        <f t="shared" si="11"/>
        <v>0</v>
      </c>
      <c r="P65" s="125">
        <f t="shared" si="11"/>
        <v>0</v>
      </c>
      <c r="Q65" s="125">
        <f>P65+O65</f>
        <v>0</v>
      </c>
      <c r="R65" s="125">
        <v>0</v>
      </c>
      <c r="S65" s="125">
        <v>0</v>
      </c>
      <c r="T65" s="125">
        <v>0</v>
      </c>
      <c r="U65" s="125">
        <f>T65+S65+R65</f>
        <v>0</v>
      </c>
    </row>
    <row r="66" spans="1:21" ht="36.75" customHeight="1" thickTop="1" thickBot="1">
      <c r="A66" s="14" t="s">
        <v>216</v>
      </c>
      <c r="B66" s="125">
        <v>0</v>
      </c>
      <c r="C66" s="125">
        <v>0</v>
      </c>
      <c r="D66" s="125">
        <v>0</v>
      </c>
      <c r="E66" s="125">
        <f>D66+C66+B66</f>
        <v>0</v>
      </c>
      <c r="F66" s="125">
        <v>0</v>
      </c>
      <c r="G66" s="125">
        <v>0</v>
      </c>
      <c r="H66" s="125">
        <f>G66+F66</f>
        <v>0</v>
      </c>
      <c r="I66" s="125">
        <v>0</v>
      </c>
      <c r="J66" s="125">
        <v>0</v>
      </c>
      <c r="K66" s="125">
        <v>0</v>
      </c>
      <c r="L66" s="125">
        <v>0</v>
      </c>
      <c r="M66" s="125">
        <v>0</v>
      </c>
      <c r="N66" s="125">
        <v>0</v>
      </c>
      <c r="O66" s="125">
        <f t="shared" si="11"/>
        <v>0</v>
      </c>
      <c r="P66" s="125">
        <f t="shared" si="11"/>
        <v>0</v>
      </c>
      <c r="Q66" s="125">
        <f>P66+O66</f>
        <v>0</v>
      </c>
      <c r="R66" s="125">
        <v>0</v>
      </c>
      <c r="S66" s="125">
        <v>0</v>
      </c>
      <c r="T66" s="125">
        <v>0</v>
      </c>
      <c r="U66" s="125">
        <f>T66+S66+R66</f>
        <v>0</v>
      </c>
    </row>
    <row r="67" spans="1:21" ht="36.75" customHeight="1" thickTop="1" thickBot="1">
      <c r="A67" s="134" t="s">
        <v>488</v>
      </c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</row>
    <row r="68" spans="1:21" ht="36.75" customHeight="1" thickTop="1" thickBot="1">
      <c r="A68" s="129" t="s">
        <v>397</v>
      </c>
      <c r="B68" s="125">
        <v>0</v>
      </c>
      <c r="C68" s="125">
        <v>0</v>
      </c>
      <c r="D68" s="125">
        <v>0</v>
      </c>
      <c r="E68" s="125">
        <f>D68+C68+B68</f>
        <v>0</v>
      </c>
      <c r="F68" s="125">
        <v>0</v>
      </c>
      <c r="G68" s="125">
        <v>0</v>
      </c>
      <c r="H68" s="125">
        <f>G68+F68</f>
        <v>0</v>
      </c>
      <c r="I68" s="125">
        <v>0</v>
      </c>
      <c r="J68" s="125">
        <v>0</v>
      </c>
      <c r="K68" s="125">
        <v>0</v>
      </c>
      <c r="L68" s="125">
        <v>0</v>
      </c>
      <c r="M68" s="125">
        <v>0</v>
      </c>
      <c r="N68" s="125">
        <v>0</v>
      </c>
      <c r="O68" s="125">
        <v>0</v>
      </c>
      <c r="P68" s="125">
        <f>N68+L68+J68</f>
        <v>0</v>
      </c>
      <c r="Q68" s="125">
        <f>P68+O68</f>
        <v>0</v>
      </c>
      <c r="R68" s="125">
        <v>0</v>
      </c>
      <c r="S68" s="125">
        <v>0</v>
      </c>
      <c r="T68" s="125">
        <v>0</v>
      </c>
      <c r="U68" s="125">
        <f>T68+S68+R68</f>
        <v>0</v>
      </c>
    </row>
    <row r="69" spans="1:21" ht="36.75" customHeight="1" thickTop="1" thickBot="1">
      <c r="A69" s="14" t="s">
        <v>25</v>
      </c>
      <c r="B69" s="125">
        <f t="shared" ref="B69:U69" si="12">B66+B65+B64+B63</f>
        <v>0</v>
      </c>
      <c r="C69" s="125">
        <f t="shared" si="12"/>
        <v>0</v>
      </c>
      <c r="D69" s="125">
        <f t="shared" si="12"/>
        <v>0</v>
      </c>
      <c r="E69" s="125">
        <f t="shared" si="12"/>
        <v>0</v>
      </c>
      <c r="F69" s="125">
        <f t="shared" si="12"/>
        <v>0</v>
      </c>
      <c r="G69" s="125">
        <f t="shared" si="12"/>
        <v>0</v>
      </c>
      <c r="H69" s="125">
        <f t="shared" si="12"/>
        <v>0</v>
      </c>
      <c r="I69" s="125">
        <f t="shared" si="12"/>
        <v>0</v>
      </c>
      <c r="J69" s="125">
        <f t="shared" si="12"/>
        <v>0</v>
      </c>
      <c r="K69" s="125">
        <f t="shared" si="12"/>
        <v>0</v>
      </c>
      <c r="L69" s="125">
        <f t="shared" si="12"/>
        <v>0</v>
      </c>
      <c r="M69" s="125">
        <f t="shared" si="12"/>
        <v>0</v>
      </c>
      <c r="N69" s="125">
        <f t="shared" si="12"/>
        <v>0</v>
      </c>
      <c r="O69" s="125">
        <f t="shared" si="12"/>
        <v>0</v>
      </c>
      <c r="P69" s="125">
        <f t="shared" si="12"/>
        <v>0</v>
      </c>
      <c r="Q69" s="125">
        <f t="shared" si="12"/>
        <v>0</v>
      </c>
      <c r="R69" s="125">
        <f t="shared" si="12"/>
        <v>0</v>
      </c>
      <c r="S69" s="125">
        <f t="shared" si="12"/>
        <v>0</v>
      </c>
      <c r="T69" s="125">
        <f t="shared" si="12"/>
        <v>0</v>
      </c>
      <c r="U69" s="125">
        <f t="shared" si="12"/>
        <v>0</v>
      </c>
    </row>
    <row r="70" spans="1:21" ht="36.75" customHeight="1" thickTop="1"/>
  </sheetData>
  <mergeCells count="63">
    <mergeCell ref="A54:G54"/>
    <mergeCell ref="S54:T54"/>
    <mergeCell ref="A58:U58"/>
    <mergeCell ref="A60:A62"/>
    <mergeCell ref="B60:E61"/>
    <mergeCell ref="F60:H61"/>
    <mergeCell ref="I60:Q60"/>
    <mergeCell ref="R60:U61"/>
    <mergeCell ref="I61:J61"/>
    <mergeCell ref="K61:L61"/>
    <mergeCell ref="M61:N61"/>
    <mergeCell ref="O61:Q61"/>
    <mergeCell ref="B55:F55"/>
    <mergeCell ref="J55:L55"/>
    <mergeCell ref="A56:U56"/>
    <mergeCell ref="A57:U57"/>
    <mergeCell ref="A41:U41"/>
    <mergeCell ref="A43:A45"/>
    <mergeCell ref="B43:E44"/>
    <mergeCell ref="F43:H44"/>
    <mergeCell ref="I43:Q43"/>
    <mergeCell ref="R43:U44"/>
    <mergeCell ref="I44:J44"/>
    <mergeCell ref="K44:L44"/>
    <mergeCell ref="M44:N44"/>
    <mergeCell ref="O44:Q44"/>
    <mergeCell ref="A40:U40"/>
    <mergeCell ref="R25:U26"/>
    <mergeCell ref="I26:J26"/>
    <mergeCell ref="K26:L26"/>
    <mergeCell ref="M26:N26"/>
    <mergeCell ref="O26:Q26"/>
    <mergeCell ref="B38:F38"/>
    <mergeCell ref="A39:U39"/>
    <mergeCell ref="A37:G37"/>
    <mergeCell ref="S37:T37"/>
    <mergeCell ref="I38:L38"/>
    <mergeCell ref="A23:U23"/>
    <mergeCell ref="A25:A27"/>
    <mergeCell ref="B25:E26"/>
    <mergeCell ref="S19:T19"/>
    <mergeCell ref="F25:H26"/>
    <mergeCell ref="I25:Q25"/>
    <mergeCell ref="B20:F20"/>
    <mergeCell ref="A19:G19"/>
    <mergeCell ref="J20:L20"/>
    <mergeCell ref="A21:U21"/>
    <mergeCell ref="A22:U22"/>
    <mergeCell ref="A1:G1"/>
    <mergeCell ref="S1:T1"/>
    <mergeCell ref="B2:F2"/>
    <mergeCell ref="A3:U3"/>
    <mergeCell ref="A4:U4"/>
    <mergeCell ref="A5:U5"/>
    <mergeCell ref="R7:U8"/>
    <mergeCell ref="I8:J8"/>
    <mergeCell ref="K8:L8"/>
    <mergeCell ref="M8:N8"/>
    <mergeCell ref="O8:Q8"/>
    <mergeCell ref="A7:A9"/>
    <mergeCell ref="B7:E8"/>
    <mergeCell ref="F7:H8"/>
    <mergeCell ref="I7:Q7"/>
  </mergeCells>
  <printOptions horizontalCentered="1" verticalCentered="1"/>
  <pageMargins left="0.27559055118110237" right="0.2" top="0.51181102362204722" bottom="0.43307086614173229" header="0.31496062992125984" footer="0.31496062992125984"/>
  <pageSetup paperSize="9" scale="75" orientation="landscape" horizontalDpi="300" verticalDpi="300" r:id="rId1"/>
  <rowBreaks count="3" manualBreakCount="3">
    <brk id="18" max="16383" man="1"/>
    <brk id="35" max="16383" man="1"/>
    <brk id="5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2"/>
  <sheetViews>
    <sheetView rightToLeft="1" view="pageBreakPreview" topLeftCell="B1" zoomScale="70" zoomScaleNormal="80" zoomScaleSheetLayoutView="70" workbookViewId="0">
      <selection activeCell="A5" sqref="A5:T5"/>
    </sheetView>
  </sheetViews>
  <sheetFormatPr defaultRowHeight="30" customHeight="1"/>
  <cols>
    <col min="1" max="1" width="17.75" customWidth="1"/>
    <col min="2" max="2" width="12.375" customWidth="1"/>
    <col min="4" max="4" width="10.375" customWidth="1"/>
    <col min="5" max="5" width="11" customWidth="1"/>
    <col min="6" max="6" width="11.375" customWidth="1"/>
    <col min="7" max="7" width="11" customWidth="1"/>
    <col min="8" max="8" width="11.25" customWidth="1"/>
    <col min="9" max="9" width="10.25" customWidth="1"/>
    <col min="10" max="11" width="10.625" customWidth="1"/>
    <col min="12" max="12" width="11.375" customWidth="1"/>
    <col min="13" max="13" width="10.625" customWidth="1"/>
    <col min="14" max="14" width="11.375" customWidth="1"/>
    <col min="15" max="15" width="11.625" customWidth="1"/>
    <col min="16" max="16" width="12" customWidth="1"/>
    <col min="17" max="17" width="12.75" customWidth="1"/>
    <col min="18" max="18" width="15.875" customWidth="1"/>
    <col min="19" max="19" width="13.125" customWidth="1"/>
    <col min="20" max="20" width="14.375" customWidth="1"/>
  </cols>
  <sheetData>
    <row r="1" spans="1:20" ht="30" customHeight="1">
      <c r="A1" s="328" t="s">
        <v>111</v>
      </c>
      <c r="B1" s="328"/>
      <c r="C1" s="328"/>
      <c r="D1" s="328"/>
      <c r="E1" s="328"/>
      <c r="F1" s="328"/>
      <c r="G1" s="21"/>
      <c r="H1" s="21"/>
      <c r="I1" s="21"/>
      <c r="J1" s="22"/>
      <c r="K1" s="22"/>
      <c r="L1" s="22"/>
      <c r="M1" s="22"/>
      <c r="N1" s="22"/>
      <c r="O1" s="22"/>
      <c r="P1" s="22"/>
      <c r="Q1" s="22"/>
      <c r="R1" s="22"/>
      <c r="S1" s="328" t="s">
        <v>112</v>
      </c>
      <c r="T1" s="328"/>
    </row>
    <row r="2" spans="1:20" ht="30" customHeight="1">
      <c r="A2" s="334" t="s">
        <v>188</v>
      </c>
      <c r="B2" s="334"/>
      <c r="C2" s="334"/>
      <c r="D2" s="334"/>
      <c r="E2" s="334"/>
      <c r="F2" s="334"/>
      <c r="G2" s="21"/>
      <c r="H2" s="22"/>
      <c r="I2" s="334" t="s">
        <v>191</v>
      </c>
      <c r="J2" s="334"/>
      <c r="K2" s="334"/>
      <c r="L2" s="334"/>
      <c r="M2" s="22"/>
      <c r="N2" s="22"/>
      <c r="O2" s="22"/>
      <c r="P2" s="21"/>
      <c r="Q2" s="21"/>
      <c r="R2" s="22"/>
      <c r="S2" s="22"/>
      <c r="T2" s="22"/>
    </row>
    <row r="3" spans="1:20" ht="30" customHeight="1">
      <c r="A3" s="328" t="s">
        <v>140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</row>
    <row r="4" spans="1:20" ht="30" customHeight="1">
      <c r="A4" s="328" t="s">
        <v>533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</row>
    <row r="5" spans="1:20" ht="30" customHeight="1">
      <c r="A5" s="328" t="s">
        <v>141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</row>
    <row r="6" spans="1:20" ht="30" customHeight="1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30" customHeight="1" thickTop="1" thickBot="1">
      <c r="A7" s="369" t="s">
        <v>115</v>
      </c>
      <c r="B7" s="369" t="s">
        <v>142</v>
      </c>
      <c r="C7" s="369"/>
      <c r="D7" s="366" t="s">
        <v>127</v>
      </c>
      <c r="E7" s="367"/>
      <c r="F7" s="366" t="s">
        <v>128</v>
      </c>
      <c r="G7" s="367"/>
      <c r="H7" s="366" t="s">
        <v>129</v>
      </c>
      <c r="I7" s="367"/>
      <c r="J7" s="366" t="s">
        <v>130</v>
      </c>
      <c r="K7" s="367"/>
      <c r="L7" s="366" t="s">
        <v>131</v>
      </c>
      <c r="M7" s="367"/>
      <c r="N7" s="366" t="s">
        <v>143</v>
      </c>
      <c r="O7" s="367"/>
      <c r="P7" s="366" t="s">
        <v>144</v>
      </c>
      <c r="Q7" s="367"/>
      <c r="R7" s="366" t="s">
        <v>25</v>
      </c>
      <c r="S7" s="368"/>
      <c r="T7" s="367"/>
    </row>
    <row r="8" spans="1:20" ht="30" customHeight="1" thickTop="1" thickBot="1">
      <c r="A8" s="369"/>
      <c r="B8" s="369"/>
      <c r="C8" s="369"/>
      <c r="D8" s="4" t="s">
        <v>5</v>
      </c>
      <c r="E8" s="4" t="s">
        <v>6</v>
      </c>
      <c r="F8" s="4" t="s">
        <v>5</v>
      </c>
      <c r="G8" s="4" t="s">
        <v>6</v>
      </c>
      <c r="H8" s="4" t="s">
        <v>5</v>
      </c>
      <c r="I8" s="4" t="s">
        <v>6</v>
      </c>
      <c r="J8" s="4" t="s">
        <v>5</v>
      </c>
      <c r="K8" s="4" t="s">
        <v>6</v>
      </c>
      <c r="L8" s="4" t="s">
        <v>5</v>
      </c>
      <c r="M8" s="4" t="s">
        <v>6</v>
      </c>
      <c r="N8" s="4" t="s">
        <v>5</v>
      </c>
      <c r="O8" s="4" t="s">
        <v>6</v>
      </c>
      <c r="P8" s="4" t="s">
        <v>5</v>
      </c>
      <c r="Q8" s="4" t="s">
        <v>6</v>
      </c>
      <c r="R8" s="4" t="s">
        <v>5</v>
      </c>
      <c r="S8" s="4" t="s">
        <v>6</v>
      </c>
      <c r="T8" s="4" t="s">
        <v>25</v>
      </c>
    </row>
    <row r="9" spans="1:20" ht="30" customHeight="1" thickTop="1" thickBot="1">
      <c r="A9" s="365" t="s">
        <v>123</v>
      </c>
      <c r="B9" s="361" t="s">
        <v>145</v>
      </c>
      <c r="C9" s="361"/>
      <c r="D9" s="20">
        <f>المهني!AI20</f>
        <v>274</v>
      </c>
      <c r="E9" s="20">
        <f>المهني!AJ20</f>
        <v>92</v>
      </c>
      <c r="F9" s="20">
        <f>المهني!AK20</f>
        <v>248</v>
      </c>
      <c r="G9" s="20">
        <f>المهني!AL20</f>
        <v>77</v>
      </c>
      <c r="H9" s="20">
        <f>المهني!AM20</f>
        <v>166</v>
      </c>
      <c r="I9" s="20">
        <f>المهني!AN20</f>
        <v>61</v>
      </c>
      <c r="J9" s="20">
        <f>المهني!AO20</f>
        <v>113</v>
      </c>
      <c r="K9" s="20">
        <f>المهني!AP20</f>
        <v>33</v>
      </c>
      <c r="L9" s="20">
        <f>المهني!AQ20</f>
        <v>65</v>
      </c>
      <c r="M9" s="20">
        <f>المهني!AR20</f>
        <v>38</v>
      </c>
      <c r="N9" s="47">
        <v>0</v>
      </c>
      <c r="O9" s="47">
        <v>0</v>
      </c>
      <c r="P9" s="47">
        <v>0</v>
      </c>
      <c r="Q9" s="47">
        <v>0</v>
      </c>
      <c r="R9" s="20">
        <f t="shared" ref="R9:S11" si="0">P9+N9+L9+J9+H9+F9+D9</f>
        <v>866</v>
      </c>
      <c r="S9" s="20">
        <f>Q9+O9+M9+K9+I9+G9+E9</f>
        <v>301</v>
      </c>
      <c r="T9" s="20">
        <f>S9+R9</f>
        <v>1167</v>
      </c>
    </row>
    <row r="10" spans="1:20" ht="30" customHeight="1" thickTop="1" thickBot="1">
      <c r="A10" s="365"/>
      <c r="B10" s="361" t="s">
        <v>146</v>
      </c>
      <c r="C10" s="361"/>
      <c r="D10" s="26"/>
      <c r="E10" s="26"/>
      <c r="F10" s="20">
        <f>المهني!AV20</f>
        <v>141</v>
      </c>
      <c r="G10" s="20">
        <f>المهني!AW20</f>
        <v>49</v>
      </c>
      <c r="H10" s="20">
        <f>المهني!AX20</f>
        <v>107</v>
      </c>
      <c r="I10" s="20">
        <f>المهني!AY20</f>
        <v>31</v>
      </c>
      <c r="J10" s="20">
        <f>المهني!AZ20</f>
        <v>125</v>
      </c>
      <c r="K10" s="20">
        <f>المهني!BA20</f>
        <v>33</v>
      </c>
      <c r="L10" s="20">
        <f>المهني!BB20</f>
        <v>96</v>
      </c>
      <c r="M10" s="20">
        <f>المهني!BC20</f>
        <v>16</v>
      </c>
      <c r="N10" s="25">
        <f>المهني!BD20</f>
        <v>58</v>
      </c>
      <c r="O10" s="25">
        <f>المهني!BE20</f>
        <v>37</v>
      </c>
      <c r="P10" s="47">
        <v>0</v>
      </c>
      <c r="Q10" s="47">
        <v>0</v>
      </c>
      <c r="R10" s="20">
        <f t="shared" si="0"/>
        <v>527</v>
      </c>
      <c r="S10" s="20">
        <f t="shared" si="0"/>
        <v>166</v>
      </c>
      <c r="T10" s="20">
        <f>S10+R10</f>
        <v>693</v>
      </c>
    </row>
    <row r="11" spans="1:20" ht="30" customHeight="1" thickTop="1" thickBot="1">
      <c r="A11" s="365"/>
      <c r="B11" s="361" t="s">
        <v>147</v>
      </c>
      <c r="C11" s="361"/>
      <c r="D11" s="26"/>
      <c r="E11" s="26"/>
      <c r="F11" s="26"/>
      <c r="G11" s="26"/>
      <c r="H11" s="20">
        <f>المهني!BI20</f>
        <v>72</v>
      </c>
      <c r="I11" s="20">
        <f>المهني!BJ20</f>
        <v>32</v>
      </c>
      <c r="J11" s="20">
        <f>المهني!BK20</f>
        <v>147</v>
      </c>
      <c r="K11" s="20">
        <f>المهني!BL20</f>
        <v>28</v>
      </c>
      <c r="L11" s="20">
        <f>المهني!BM20</f>
        <v>96</v>
      </c>
      <c r="M11" s="20">
        <f>المهني!BN20</f>
        <v>32</v>
      </c>
      <c r="N11" s="25">
        <f>المهني!BO20</f>
        <v>66</v>
      </c>
      <c r="O11" s="25">
        <f>المهني!BP20</f>
        <v>22</v>
      </c>
      <c r="P11" s="25">
        <f>المهني!BQ20</f>
        <v>75</v>
      </c>
      <c r="Q11" s="25">
        <f>المهني!BR20</f>
        <v>29</v>
      </c>
      <c r="R11" s="20">
        <f t="shared" si="0"/>
        <v>456</v>
      </c>
      <c r="S11" s="20">
        <f t="shared" si="0"/>
        <v>143</v>
      </c>
      <c r="T11" s="20">
        <f>S11+R11</f>
        <v>599</v>
      </c>
    </row>
    <row r="12" spans="1:20" ht="30" customHeight="1" thickTop="1" thickBot="1">
      <c r="A12" s="365"/>
      <c r="B12" s="361" t="s">
        <v>25</v>
      </c>
      <c r="C12" s="361"/>
      <c r="D12" s="20">
        <f t="shared" ref="D12:T12" si="1">D11+D10+D9</f>
        <v>274</v>
      </c>
      <c r="E12" s="20">
        <f t="shared" si="1"/>
        <v>92</v>
      </c>
      <c r="F12" s="20">
        <f t="shared" si="1"/>
        <v>389</v>
      </c>
      <c r="G12" s="20">
        <f t="shared" si="1"/>
        <v>126</v>
      </c>
      <c r="H12" s="20">
        <f t="shared" si="1"/>
        <v>345</v>
      </c>
      <c r="I12" s="20">
        <f t="shared" si="1"/>
        <v>124</v>
      </c>
      <c r="J12" s="20">
        <f t="shared" si="1"/>
        <v>385</v>
      </c>
      <c r="K12" s="20">
        <f t="shared" si="1"/>
        <v>94</v>
      </c>
      <c r="L12" s="20">
        <f t="shared" si="1"/>
        <v>257</v>
      </c>
      <c r="M12" s="20">
        <f t="shared" si="1"/>
        <v>86</v>
      </c>
      <c r="N12" s="20">
        <f t="shared" si="1"/>
        <v>124</v>
      </c>
      <c r="O12" s="20">
        <f t="shared" si="1"/>
        <v>59</v>
      </c>
      <c r="P12" s="20">
        <f t="shared" si="1"/>
        <v>75</v>
      </c>
      <c r="Q12" s="20">
        <f t="shared" si="1"/>
        <v>29</v>
      </c>
      <c r="R12" s="20">
        <f t="shared" si="1"/>
        <v>1849</v>
      </c>
      <c r="S12" s="20">
        <f t="shared" si="1"/>
        <v>610</v>
      </c>
      <c r="T12" s="20">
        <f t="shared" si="1"/>
        <v>2459</v>
      </c>
    </row>
    <row r="13" spans="1:20" ht="30" customHeight="1" thickTop="1" thickBot="1">
      <c r="A13" s="365" t="s">
        <v>124</v>
      </c>
      <c r="B13" s="361" t="s">
        <v>145</v>
      </c>
      <c r="C13" s="361"/>
      <c r="D13" s="20">
        <f>المهني!AI31</f>
        <v>8</v>
      </c>
      <c r="E13" s="20">
        <f>المهني!AJ31</f>
        <v>0</v>
      </c>
      <c r="F13" s="20">
        <f>المهني!AK31</f>
        <v>19</v>
      </c>
      <c r="G13" s="20">
        <f>المهني!AL31</f>
        <v>0</v>
      </c>
      <c r="H13" s="20">
        <f>المهني!AM31</f>
        <v>9</v>
      </c>
      <c r="I13" s="20">
        <f>المهني!AN31</f>
        <v>0</v>
      </c>
      <c r="J13" s="20">
        <f>المهني!AO31</f>
        <v>10</v>
      </c>
      <c r="K13" s="20">
        <f>المهني!AP31</f>
        <v>0</v>
      </c>
      <c r="L13" s="20">
        <f>المهني!AQ31</f>
        <v>8</v>
      </c>
      <c r="M13" s="20">
        <f>المهني!AR31</f>
        <v>0</v>
      </c>
      <c r="N13" s="47">
        <v>0</v>
      </c>
      <c r="O13" s="47">
        <v>0</v>
      </c>
      <c r="P13" s="47">
        <v>0</v>
      </c>
      <c r="Q13" s="47">
        <v>0</v>
      </c>
      <c r="R13" s="20">
        <f t="shared" ref="R13:S20" si="2">P13+N13+L13+J13+H13+F13+D13</f>
        <v>54</v>
      </c>
      <c r="S13" s="20">
        <f t="shared" si="2"/>
        <v>0</v>
      </c>
      <c r="T13" s="20">
        <f t="shared" ref="T13:T40" si="3">S13+R13</f>
        <v>54</v>
      </c>
    </row>
    <row r="14" spans="1:20" ht="30" customHeight="1" thickTop="1" thickBot="1">
      <c r="A14" s="365"/>
      <c r="B14" s="361" t="s">
        <v>146</v>
      </c>
      <c r="C14" s="361"/>
      <c r="D14" s="26"/>
      <c r="E14" s="26"/>
      <c r="F14" s="20">
        <f>المهني!AV31</f>
        <v>5</v>
      </c>
      <c r="G14" s="20">
        <f>المهني!AW31</f>
        <v>0</v>
      </c>
      <c r="H14" s="20">
        <f>المهني!AX31</f>
        <v>4</v>
      </c>
      <c r="I14" s="20">
        <f>المهني!AY31</f>
        <v>0</v>
      </c>
      <c r="J14" s="20">
        <f>المهني!AZ31</f>
        <v>10</v>
      </c>
      <c r="K14" s="20">
        <f>المهني!BA31</f>
        <v>0</v>
      </c>
      <c r="L14" s="20">
        <f>المهني!BB31</f>
        <v>4</v>
      </c>
      <c r="M14" s="20">
        <f>المهني!BC31</f>
        <v>0</v>
      </c>
      <c r="N14" s="25">
        <f>المهني!BD31</f>
        <v>2</v>
      </c>
      <c r="O14" s="25">
        <f>المهني!BE31</f>
        <v>0</v>
      </c>
      <c r="P14" s="47">
        <v>0</v>
      </c>
      <c r="Q14" s="47">
        <v>0</v>
      </c>
      <c r="R14" s="20">
        <f t="shared" si="2"/>
        <v>25</v>
      </c>
      <c r="S14" s="20">
        <f t="shared" si="2"/>
        <v>0</v>
      </c>
      <c r="T14" s="20">
        <f t="shared" si="3"/>
        <v>25</v>
      </c>
    </row>
    <row r="15" spans="1:20" ht="30" customHeight="1" thickTop="1" thickBot="1">
      <c r="A15" s="365"/>
      <c r="B15" s="361" t="s">
        <v>147</v>
      </c>
      <c r="C15" s="361"/>
      <c r="D15" s="26"/>
      <c r="E15" s="26"/>
      <c r="F15" s="26"/>
      <c r="G15" s="26"/>
      <c r="H15" s="20">
        <f>المهني!BI31</f>
        <v>0</v>
      </c>
      <c r="I15" s="20">
        <f>المهني!BJ31</f>
        <v>0</v>
      </c>
      <c r="J15" s="20">
        <f>المهني!BK31</f>
        <v>8</v>
      </c>
      <c r="K15" s="20">
        <f>المهني!BL31</f>
        <v>0</v>
      </c>
      <c r="L15" s="20">
        <f>المهني!BM31</f>
        <v>9</v>
      </c>
      <c r="M15" s="20">
        <f>المهني!BN31</f>
        <v>0</v>
      </c>
      <c r="N15" s="25">
        <f>المهني!BO31</f>
        <v>8</v>
      </c>
      <c r="O15" s="25">
        <f>المهني!BP31</f>
        <v>0</v>
      </c>
      <c r="P15" s="25">
        <f>المهني!BQ31</f>
        <v>8</v>
      </c>
      <c r="Q15" s="25">
        <f>المهني!BR31</f>
        <v>0</v>
      </c>
      <c r="R15" s="20">
        <f t="shared" si="2"/>
        <v>33</v>
      </c>
      <c r="S15" s="20">
        <f t="shared" si="2"/>
        <v>0</v>
      </c>
      <c r="T15" s="20">
        <f t="shared" si="3"/>
        <v>33</v>
      </c>
    </row>
    <row r="16" spans="1:20" ht="30" customHeight="1" thickTop="1" thickBot="1">
      <c r="A16" s="365"/>
      <c r="B16" s="361" t="s">
        <v>25</v>
      </c>
      <c r="C16" s="361"/>
      <c r="D16" s="20">
        <f t="shared" ref="D16:Q16" si="4">D15+D14+D13</f>
        <v>8</v>
      </c>
      <c r="E16" s="20">
        <f t="shared" si="4"/>
        <v>0</v>
      </c>
      <c r="F16" s="20">
        <f t="shared" si="4"/>
        <v>24</v>
      </c>
      <c r="G16" s="20">
        <f t="shared" si="4"/>
        <v>0</v>
      </c>
      <c r="H16" s="20">
        <f t="shared" si="4"/>
        <v>13</v>
      </c>
      <c r="I16" s="20">
        <f t="shared" si="4"/>
        <v>0</v>
      </c>
      <c r="J16" s="20">
        <f t="shared" si="4"/>
        <v>28</v>
      </c>
      <c r="K16" s="20">
        <f t="shared" si="4"/>
        <v>0</v>
      </c>
      <c r="L16" s="20">
        <f t="shared" si="4"/>
        <v>21</v>
      </c>
      <c r="M16" s="20">
        <f t="shared" si="4"/>
        <v>0</v>
      </c>
      <c r="N16" s="20">
        <f t="shared" si="4"/>
        <v>10</v>
      </c>
      <c r="O16" s="20">
        <f t="shared" si="4"/>
        <v>0</v>
      </c>
      <c r="P16" s="20">
        <f t="shared" si="4"/>
        <v>8</v>
      </c>
      <c r="Q16" s="20">
        <f t="shared" si="4"/>
        <v>0</v>
      </c>
      <c r="R16" s="20">
        <f t="shared" si="2"/>
        <v>112</v>
      </c>
      <c r="S16" s="20">
        <f t="shared" si="2"/>
        <v>0</v>
      </c>
      <c r="T16" s="20">
        <f t="shared" si="3"/>
        <v>112</v>
      </c>
    </row>
    <row r="17" spans="1:20" ht="30" customHeight="1" thickTop="1" thickBot="1">
      <c r="A17" s="365" t="s">
        <v>125</v>
      </c>
      <c r="B17" s="361" t="s">
        <v>145</v>
      </c>
      <c r="C17" s="361"/>
      <c r="D17" s="20">
        <f>المهني!AI26</f>
        <v>0</v>
      </c>
      <c r="E17" s="20">
        <f>المهني!AJ26</f>
        <v>29</v>
      </c>
      <c r="F17" s="20">
        <f>المهني!AK26</f>
        <v>40</v>
      </c>
      <c r="G17" s="20">
        <f>المهني!AL26</f>
        <v>42</v>
      </c>
      <c r="H17" s="20">
        <f>المهني!AM26</f>
        <v>100</v>
      </c>
      <c r="I17" s="20">
        <f>المهني!AN26</f>
        <v>24</v>
      </c>
      <c r="J17" s="20">
        <f>المهني!AO26</f>
        <v>44</v>
      </c>
      <c r="K17" s="20">
        <f>المهني!AP26</f>
        <v>24</v>
      </c>
      <c r="L17" s="20">
        <f>المهني!AQ26</f>
        <v>14</v>
      </c>
      <c r="M17" s="20">
        <f>المهني!AR26</f>
        <v>23</v>
      </c>
      <c r="N17" s="47">
        <v>0</v>
      </c>
      <c r="O17" s="47">
        <v>0</v>
      </c>
      <c r="P17" s="47">
        <v>0</v>
      </c>
      <c r="Q17" s="47">
        <v>0</v>
      </c>
      <c r="R17" s="20">
        <f t="shared" si="2"/>
        <v>198</v>
      </c>
      <c r="S17" s="20">
        <f t="shared" si="2"/>
        <v>142</v>
      </c>
      <c r="T17" s="20">
        <f t="shared" si="3"/>
        <v>340</v>
      </c>
    </row>
    <row r="18" spans="1:20" ht="30" customHeight="1" thickTop="1" thickBot="1">
      <c r="A18" s="365"/>
      <c r="B18" s="361" t="s">
        <v>146</v>
      </c>
      <c r="C18" s="361"/>
      <c r="D18" s="26"/>
      <c r="E18" s="26"/>
      <c r="F18" s="20">
        <f>المهني!AV26</f>
        <v>0</v>
      </c>
      <c r="G18" s="20">
        <f>المهني!AW26</f>
        <v>14</v>
      </c>
      <c r="H18" s="20">
        <f>المهني!AX26</f>
        <v>20</v>
      </c>
      <c r="I18" s="20">
        <f>المهني!AY26</f>
        <v>19</v>
      </c>
      <c r="J18" s="20">
        <f>المهني!AZ26</f>
        <v>34</v>
      </c>
      <c r="K18" s="20">
        <f>المهني!BA26</f>
        <v>17</v>
      </c>
      <c r="L18" s="20">
        <f>المهني!BB26</f>
        <v>36</v>
      </c>
      <c r="M18" s="20">
        <f>المهني!BC26</f>
        <v>12</v>
      </c>
      <c r="N18" s="25">
        <f>المهني!BD26</f>
        <v>0</v>
      </c>
      <c r="O18" s="25">
        <f>المهني!BE26</f>
        <v>15</v>
      </c>
      <c r="P18" s="47">
        <v>0</v>
      </c>
      <c r="Q18" s="47">
        <v>0</v>
      </c>
      <c r="R18" s="20">
        <f t="shared" si="2"/>
        <v>90</v>
      </c>
      <c r="S18" s="20">
        <f t="shared" si="2"/>
        <v>77</v>
      </c>
      <c r="T18" s="20">
        <f t="shared" si="3"/>
        <v>167</v>
      </c>
    </row>
    <row r="19" spans="1:20" ht="30" customHeight="1" thickTop="1" thickBot="1">
      <c r="A19" s="365"/>
      <c r="B19" s="361" t="s">
        <v>147</v>
      </c>
      <c r="C19" s="361"/>
      <c r="D19" s="26"/>
      <c r="E19" s="26"/>
      <c r="F19" s="26"/>
      <c r="G19" s="26"/>
      <c r="H19" s="20">
        <f>المهني!BI26</f>
        <v>10</v>
      </c>
      <c r="I19" s="20">
        <f>المهني!BJ26</f>
        <v>9</v>
      </c>
      <c r="J19" s="20">
        <f>المهني!BK26</f>
        <v>10</v>
      </c>
      <c r="K19" s="20">
        <f>المهني!BL26</f>
        <v>9</v>
      </c>
      <c r="L19" s="20">
        <f>المهني!BM26</f>
        <v>73</v>
      </c>
      <c r="M19" s="20">
        <f>المهني!BN26</f>
        <v>12</v>
      </c>
      <c r="N19" s="25">
        <f>المهني!BO26</f>
        <v>134</v>
      </c>
      <c r="O19" s="25">
        <f>المهني!BP26</f>
        <v>30</v>
      </c>
      <c r="P19" s="25">
        <f>المهني!BQ26</f>
        <v>42</v>
      </c>
      <c r="Q19" s="25">
        <f>المهني!BR26</f>
        <v>0</v>
      </c>
      <c r="R19" s="20">
        <f t="shared" si="2"/>
        <v>269</v>
      </c>
      <c r="S19" s="20">
        <f t="shared" si="2"/>
        <v>60</v>
      </c>
      <c r="T19" s="20">
        <f t="shared" si="3"/>
        <v>329</v>
      </c>
    </row>
    <row r="20" spans="1:20" ht="30" customHeight="1" thickTop="1" thickBot="1">
      <c r="A20" s="365"/>
      <c r="B20" s="361" t="s">
        <v>25</v>
      </c>
      <c r="C20" s="361"/>
      <c r="D20" s="20">
        <f>D19+D18+D17</f>
        <v>0</v>
      </c>
      <c r="E20" s="20">
        <f t="shared" ref="E20:Q20" si="5">E19+E18+E17</f>
        <v>29</v>
      </c>
      <c r="F20" s="20">
        <f t="shared" si="5"/>
        <v>40</v>
      </c>
      <c r="G20" s="20">
        <f t="shared" si="5"/>
        <v>56</v>
      </c>
      <c r="H20" s="20">
        <f t="shared" si="5"/>
        <v>130</v>
      </c>
      <c r="I20" s="20">
        <f t="shared" si="5"/>
        <v>52</v>
      </c>
      <c r="J20" s="20">
        <f t="shared" si="5"/>
        <v>88</v>
      </c>
      <c r="K20" s="20">
        <f t="shared" si="5"/>
        <v>50</v>
      </c>
      <c r="L20" s="20">
        <f t="shared" si="5"/>
        <v>123</v>
      </c>
      <c r="M20" s="20">
        <f t="shared" si="5"/>
        <v>47</v>
      </c>
      <c r="N20" s="20">
        <f t="shared" si="5"/>
        <v>134</v>
      </c>
      <c r="O20" s="20">
        <f t="shared" si="5"/>
        <v>45</v>
      </c>
      <c r="P20" s="20">
        <f t="shared" si="5"/>
        <v>42</v>
      </c>
      <c r="Q20" s="20">
        <f t="shared" si="5"/>
        <v>0</v>
      </c>
      <c r="R20" s="20">
        <f>P20+N20+L20+J20+H20+F20+D20</f>
        <v>557</v>
      </c>
      <c r="S20" s="20">
        <f t="shared" si="2"/>
        <v>279</v>
      </c>
      <c r="T20" s="20">
        <f t="shared" si="3"/>
        <v>836</v>
      </c>
    </row>
    <row r="21" spans="1:20" ht="30" customHeight="1" thickTop="1" thickBot="1">
      <c r="A21" s="365" t="s">
        <v>216</v>
      </c>
      <c r="B21" s="361" t="s">
        <v>145</v>
      </c>
      <c r="C21" s="361"/>
      <c r="D21" s="26"/>
      <c r="E21" s="27">
        <f>المهني!AJ35</f>
        <v>35</v>
      </c>
      <c r="F21" s="26"/>
      <c r="G21" s="27">
        <f>المهني!AL35</f>
        <v>48</v>
      </c>
      <c r="H21" s="26"/>
      <c r="I21" s="27">
        <f>المهني!AN35</f>
        <v>41</v>
      </c>
      <c r="J21" s="26"/>
      <c r="K21" s="27">
        <f>المهني!AP35</f>
        <v>21</v>
      </c>
      <c r="L21" s="26"/>
      <c r="M21" s="27">
        <f>المهني!AR35</f>
        <v>22</v>
      </c>
      <c r="N21" s="26"/>
      <c r="O21" s="47">
        <v>0</v>
      </c>
      <c r="P21" s="26"/>
      <c r="Q21" s="47">
        <v>0</v>
      </c>
      <c r="R21" s="26"/>
      <c r="S21" s="20">
        <f t="shared" ref="S21:S40" si="6">Q21+O21+M21+K21+I21+G21+E21</f>
        <v>167</v>
      </c>
      <c r="T21" s="20">
        <f t="shared" si="3"/>
        <v>167</v>
      </c>
    </row>
    <row r="22" spans="1:20" ht="30" customHeight="1" thickTop="1" thickBot="1">
      <c r="A22" s="365"/>
      <c r="B22" s="361" t="s">
        <v>146</v>
      </c>
      <c r="C22" s="361"/>
      <c r="D22" s="26"/>
      <c r="E22" s="26"/>
      <c r="F22" s="26"/>
      <c r="G22" s="20">
        <f>المهني!AW35</f>
        <v>18</v>
      </c>
      <c r="H22" s="26"/>
      <c r="I22" s="27">
        <f>المهني!AY35</f>
        <v>17</v>
      </c>
      <c r="J22" s="26"/>
      <c r="K22" s="27">
        <f>المهني!BA35</f>
        <v>14</v>
      </c>
      <c r="L22" s="26"/>
      <c r="M22" s="27">
        <f>المهني!BC35</f>
        <v>19</v>
      </c>
      <c r="N22" s="26"/>
      <c r="O22" s="25">
        <f>المهني!BE35</f>
        <v>34</v>
      </c>
      <c r="P22" s="26"/>
      <c r="Q22" s="47">
        <v>0</v>
      </c>
      <c r="R22" s="26"/>
      <c r="S22" s="20">
        <f t="shared" si="6"/>
        <v>102</v>
      </c>
      <c r="T22" s="20">
        <f t="shared" si="3"/>
        <v>102</v>
      </c>
    </row>
    <row r="23" spans="1:20" ht="30" customHeight="1" thickTop="1" thickBot="1">
      <c r="A23" s="365"/>
      <c r="B23" s="361" t="s">
        <v>147</v>
      </c>
      <c r="C23" s="361"/>
      <c r="D23" s="26"/>
      <c r="E23" s="26"/>
      <c r="F23" s="26"/>
      <c r="G23" s="26"/>
      <c r="H23" s="26"/>
      <c r="I23" s="27">
        <f>المهني!BJ35</f>
        <v>18</v>
      </c>
      <c r="J23" s="26"/>
      <c r="K23" s="27">
        <f>المهني!BL35</f>
        <v>21</v>
      </c>
      <c r="L23" s="26"/>
      <c r="M23" s="27">
        <f>المهني!BN35</f>
        <v>18</v>
      </c>
      <c r="N23" s="26"/>
      <c r="O23" s="25">
        <f>المهني!BP35</f>
        <v>16</v>
      </c>
      <c r="P23" s="26"/>
      <c r="Q23" s="25">
        <f>المهني!BR35</f>
        <v>4</v>
      </c>
      <c r="R23" s="26"/>
      <c r="S23" s="20">
        <f t="shared" si="6"/>
        <v>77</v>
      </c>
      <c r="T23" s="20">
        <f t="shared" si="3"/>
        <v>77</v>
      </c>
    </row>
    <row r="24" spans="1:20" ht="30" customHeight="1" thickTop="1" thickBot="1">
      <c r="A24" s="365"/>
      <c r="B24" s="361" t="s">
        <v>25</v>
      </c>
      <c r="C24" s="361"/>
      <c r="D24" s="26"/>
      <c r="E24" s="27">
        <f>E23+E22+E21</f>
        <v>35</v>
      </c>
      <c r="F24" s="26"/>
      <c r="G24" s="27">
        <f>G23+G22+G21</f>
        <v>66</v>
      </c>
      <c r="H24" s="26"/>
      <c r="I24" s="27">
        <f>I23+I22+I21</f>
        <v>76</v>
      </c>
      <c r="J24" s="26"/>
      <c r="K24" s="27">
        <f>K23+K22+K21</f>
        <v>56</v>
      </c>
      <c r="L24" s="26"/>
      <c r="M24" s="27">
        <f>M23+M22+M21</f>
        <v>59</v>
      </c>
      <c r="N24" s="26"/>
      <c r="O24" s="27">
        <f>O23+O22+O21</f>
        <v>50</v>
      </c>
      <c r="P24" s="26"/>
      <c r="Q24" s="27">
        <f>Q23+Q22+Q21</f>
        <v>4</v>
      </c>
      <c r="R24" s="26"/>
      <c r="S24" s="20">
        <f t="shared" si="6"/>
        <v>346</v>
      </c>
      <c r="T24" s="20">
        <f t="shared" si="3"/>
        <v>346</v>
      </c>
    </row>
    <row r="25" spans="1:20" ht="30" customHeight="1" thickTop="1" thickBot="1">
      <c r="A25" s="365" t="s">
        <v>488</v>
      </c>
      <c r="B25" s="361" t="s">
        <v>145</v>
      </c>
      <c r="C25" s="361"/>
      <c r="D25" s="27">
        <f>المهني!AI49</f>
        <v>24</v>
      </c>
      <c r="E25" s="27">
        <f>المهني!AJ49</f>
        <v>0</v>
      </c>
      <c r="F25" s="27">
        <f>المهني!AK49</f>
        <v>25</v>
      </c>
      <c r="G25" s="27">
        <f>المهني!AL49</f>
        <v>0</v>
      </c>
      <c r="H25" s="27">
        <f>المهني!AM49</f>
        <v>22</v>
      </c>
      <c r="I25" s="27">
        <f>المهني!AN49</f>
        <v>0</v>
      </c>
      <c r="J25" s="27">
        <f>المهني!AO49</f>
        <v>15</v>
      </c>
      <c r="K25" s="27">
        <f>المهني!AP49</f>
        <v>0</v>
      </c>
      <c r="L25" s="27">
        <f>المهني!AQ49</f>
        <v>10</v>
      </c>
      <c r="M25" s="27">
        <f>المهني!AR49</f>
        <v>0</v>
      </c>
      <c r="N25" s="47"/>
      <c r="O25" s="47"/>
      <c r="P25" s="47"/>
      <c r="Q25" s="47"/>
      <c r="R25" s="27">
        <f t="shared" ref="R25:R27" si="7">P25+N25+L25+J25+H25+F25+D25</f>
        <v>96</v>
      </c>
      <c r="S25" s="27">
        <f t="shared" si="6"/>
        <v>0</v>
      </c>
      <c r="T25" s="27">
        <f t="shared" ref="T25:T28" si="8">S25+R25</f>
        <v>96</v>
      </c>
    </row>
    <row r="26" spans="1:20" ht="30" customHeight="1" thickTop="1" thickBot="1">
      <c r="A26" s="365"/>
      <c r="B26" s="361" t="s">
        <v>146</v>
      </c>
      <c r="C26" s="361"/>
      <c r="D26" s="26"/>
      <c r="E26" s="26"/>
      <c r="F26" s="27">
        <f>المهني!AV49</f>
        <v>11</v>
      </c>
      <c r="G26" s="27">
        <f>المهني!AW49</f>
        <v>0</v>
      </c>
      <c r="H26" s="27">
        <f>المهني!AX49</f>
        <v>16</v>
      </c>
      <c r="I26" s="27">
        <f>المهني!AY49</f>
        <v>0</v>
      </c>
      <c r="J26" s="27">
        <f>المهني!AZ49</f>
        <v>19</v>
      </c>
      <c r="K26" s="27">
        <f>المهني!BA49</f>
        <v>0</v>
      </c>
      <c r="L26" s="27">
        <f>المهني!BB49</f>
        <v>6</v>
      </c>
      <c r="M26" s="27">
        <f>المهني!BC49</f>
        <v>0</v>
      </c>
      <c r="N26" s="27">
        <f>المهني!BD49</f>
        <v>12</v>
      </c>
      <c r="O26" s="27">
        <f>المهني!BE49</f>
        <v>0</v>
      </c>
      <c r="P26" s="47"/>
      <c r="Q26" s="47"/>
      <c r="R26" s="27">
        <f t="shared" si="7"/>
        <v>64</v>
      </c>
      <c r="S26" s="27">
        <f t="shared" si="6"/>
        <v>0</v>
      </c>
      <c r="T26" s="27">
        <f t="shared" si="8"/>
        <v>64</v>
      </c>
    </row>
    <row r="27" spans="1:20" ht="30" customHeight="1" thickTop="1" thickBot="1">
      <c r="A27" s="365"/>
      <c r="B27" s="361" t="s">
        <v>147</v>
      </c>
      <c r="C27" s="361"/>
      <c r="D27" s="26"/>
      <c r="E27" s="26"/>
      <c r="F27" s="26"/>
      <c r="G27" s="26"/>
      <c r="H27" s="27">
        <f>المهني!BI49</f>
        <v>6</v>
      </c>
      <c r="I27" s="27">
        <f>المهني!BJ49</f>
        <v>0</v>
      </c>
      <c r="J27" s="27">
        <f>المهني!BK49</f>
        <v>10</v>
      </c>
      <c r="K27" s="27">
        <f>المهني!BL49</f>
        <v>0</v>
      </c>
      <c r="L27" s="27">
        <f>المهني!BM49</f>
        <v>13</v>
      </c>
      <c r="M27" s="27">
        <f>المهني!BN49</f>
        <v>0</v>
      </c>
      <c r="N27" s="27">
        <f>المهني!BO49</f>
        <v>1</v>
      </c>
      <c r="O27" s="27">
        <f>المهني!BP49</f>
        <v>0</v>
      </c>
      <c r="P27" s="27">
        <f>المهني!BQ49</f>
        <v>7</v>
      </c>
      <c r="Q27" s="27">
        <f>المهني!BR49</f>
        <v>0</v>
      </c>
      <c r="R27" s="27">
        <f t="shared" si="7"/>
        <v>37</v>
      </c>
      <c r="S27" s="27">
        <f t="shared" si="6"/>
        <v>0</v>
      </c>
      <c r="T27" s="27">
        <f t="shared" si="8"/>
        <v>37</v>
      </c>
    </row>
    <row r="28" spans="1:20" ht="30" customHeight="1" thickTop="1" thickBot="1">
      <c r="A28" s="365"/>
      <c r="B28" s="361" t="s">
        <v>25</v>
      </c>
      <c r="C28" s="361"/>
      <c r="D28" s="139">
        <f t="shared" ref="D28:Q28" si="9">D27+D26+D25</f>
        <v>24</v>
      </c>
      <c r="E28" s="139">
        <f t="shared" si="9"/>
        <v>0</v>
      </c>
      <c r="F28" s="139">
        <f t="shared" si="9"/>
        <v>36</v>
      </c>
      <c r="G28" s="139">
        <f t="shared" si="9"/>
        <v>0</v>
      </c>
      <c r="H28" s="139">
        <f t="shared" si="9"/>
        <v>44</v>
      </c>
      <c r="I28" s="139">
        <f t="shared" si="9"/>
        <v>0</v>
      </c>
      <c r="J28" s="139">
        <f t="shared" si="9"/>
        <v>44</v>
      </c>
      <c r="K28" s="139">
        <f t="shared" si="9"/>
        <v>0</v>
      </c>
      <c r="L28" s="139">
        <f t="shared" si="9"/>
        <v>29</v>
      </c>
      <c r="M28" s="139">
        <f t="shared" si="9"/>
        <v>0</v>
      </c>
      <c r="N28" s="139">
        <f t="shared" si="9"/>
        <v>13</v>
      </c>
      <c r="O28" s="139">
        <f t="shared" si="9"/>
        <v>0</v>
      </c>
      <c r="P28" s="139">
        <f t="shared" si="9"/>
        <v>7</v>
      </c>
      <c r="Q28" s="139">
        <f t="shared" si="9"/>
        <v>0</v>
      </c>
      <c r="R28" s="27">
        <f>P28+N28+L28+J28+H28+F28+D28</f>
        <v>197</v>
      </c>
      <c r="S28" s="27">
        <f t="shared" si="6"/>
        <v>0</v>
      </c>
      <c r="T28" s="27">
        <f t="shared" si="8"/>
        <v>197</v>
      </c>
    </row>
    <row r="29" spans="1:20" ht="30" customHeight="1" thickTop="1" thickBot="1">
      <c r="A29" s="365" t="s">
        <v>523</v>
      </c>
      <c r="B29" s="361" t="s">
        <v>145</v>
      </c>
      <c r="C29" s="361"/>
      <c r="D29" s="185">
        <f>المهني!AI51</f>
        <v>28</v>
      </c>
      <c r="E29" s="185">
        <f>المهني!AJ51</f>
        <v>0</v>
      </c>
      <c r="F29" s="185">
        <f>المهني!AK51</f>
        <v>37</v>
      </c>
      <c r="G29" s="185">
        <f>المهني!AL51</f>
        <v>0</v>
      </c>
      <c r="H29" s="185">
        <f>المهني!AM51</f>
        <v>44</v>
      </c>
      <c r="I29" s="185">
        <f>المهني!AN51</f>
        <v>0</v>
      </c>
      <c r="J29" s="185">
        <f>المهني!AO51</f>
        <v>47</v>
      </c>
      <c r="K29" s="185">
        <f>المهني!AP51</f>
        <v>0</v>
      </c>
      <c r="L29" s="185">
        <f>المهني!AQ51</f>
        <v>0</v>
      </c>
      <c r="M29" s="185">
        <f>المهني!AR51</f>
        <v>0</v>
      </c>
      <c r="N29" s="47"/>
      <c r="O29" s="47"/>
      <c r="P29" s="47"/>
      <c r="Q29" s="47"/>
      <c r="R29" s="27">
        <f t="shared" ref="R29:R31" si="10">P29+N29+L29+J29+H29+F29+D29</f>
        <v>156</v>
      </c>
      <c r="S29" s="27">
        <f t="shared" ref="S29:S32" si="11">Q29+O29+M29+K29+I29+G29+E29</f>
        <v>0</v>
      </c>
      <c r="T29" s="27">
        <f t="shared" ref="T29:T32" si="12">S29+R29</f>
        <v>156</v>
      </c>
    </row>
    <row r="30" spans="1:20" ht="30" customHeight="1" thickTop="1" thickBot="1">
      <c r="A30" s="365"/>
      <c r="B30" s="361" t="s">
        <v>146</v>
      </c>
      <c r="C30" s="361"/>
      <c r="D30" s="26"/>
      <c r="E30" s="26"/>
      <c r="F30" s="185">
        <f>المهني!AV51</f>
        <v>0</v>
      </c>
      <c r="G30" s="185">
        <f>المهني!AW51</f>
        <v>0</v>
      </c>
      <c r="H30" s="185">
        <f>المهني!AX51</f>
        <v>20</v>
      </c>
      <c r="I30" s="185">
        <f>المهني!AY51</f>
        <v>0</v>
      </c>
      <c r="J30" s="185">
        <f>المهني!AZ51</f>
        <v>30</v>
      </c>
      <c r="K30" s="185">
        <f>المهني!BA51</f>
        <v>0</v>
      </c>
      <c r="L30" s="185">
        <f>المهني!BB51</f>
        <v>31</v>
      </c>
      <c r="M30" s="185">
        <f>المهني!BC51</f>
        <v>0</v>
      </c>
      <c r="N30" s="185">
        <f>المهني!BD51</f>
        <v>10</v>
      </c>
      <c r="O30" s="185">
        <f>المهني!BE51</f>
        <v>0</v>
      </c>
      <c r="P30" s="47"/>
      <c r="Q30" s="47"/>
      <c r="R30" s="27">
        <f t="shared" si="10"/>
        <v>91</v>
      </c>
      <c r="S30" s="27">
        <f t="shared" si="11"/>
        <v>0</v>
      </c>
      <c r="T30" s="27">
        <f t="shared" si="12"/>
        <v>91</v>
      </c>
    </row>
    <row r="31" spans="1:20" ht="30" customHeight="1" thickTop="1" thickBot="1">
      <c r="A31" s="365"/>
      <c r="B31" s="361" t="s">
        <v>147</v>
      </c>
      <c r="C31" s="361"/>
      <c r="D31" s="26"/>
      <c r="E31" s="26"/>
      <c r="F31" s="26"/>
      <c r="G31" s="26"/>
      <c r="H31" s="185">
        <f>المهني!BI51</f>
        <v>0</v>
      </c>
      <c r="I31" s="185">
        <f>المهني!BJ51</f>
        <v>0</v>
      </c>
      <c r="J31" s="185">
        <f>المهني!BK53</f>
        <v>0</v>
      </c>
      <c r="K31" s="185">
        <f>المهني!BL53</f>
        <v>0</v>
      </c>
      <c r="L31" s="185">
        <f>المهني!BM53</f>
        <v>0</v>
      </c>
      <c r="M31" s="185">
        <f>المهني!BN53</f>
        <v>0</v>
      </c>
      <c r="N31" s="185">
        <f>المهني!BO53</f>
        <v>0</v>
      </c>
      <c r="O31" s="185">
        <f>المهني!BP53</f>
        <v>0</v>
      </c>
      <c r="P31" s="185">
        <f>المهني!BQ53</f>
        <v>0</v>
      </c>
      <c r="Q31" s="185">
        <f>المهني!BR53</f>
        <v>0</v>
      </c>
      <c r="R31" s="27">
        <f t="shared" si="10"/>
        <v>0</v>
      </c>
      <c r="S31" s="27">
        <f t="shared" si="11"/>
        <v>0</v>
      </c>
      <c r="T31" s="27">
        <f t="shared" si="12"/>
        <v>0</v>
      </c>
    </row>
    <row r="32" spans="1:20" ht="30" customHeight="1" thickTop="1" thickBot="1">
      <c r="A32" s="365"/>
      <c r="B32" s="361" t="s">
        <v>25</v>
      </c>
      <c r="C32" s="361"/>
      <c r="D32" s="185">
        <f t="shared" ref="D32:Q32" si="13">D31+D30+D29</f>
        <v>28</v>
      </c>
      <c r="E32" s="185">
        <f t="shared" si="13"/>
        <v>0</v>
      </c>
      <c r="F32" s="185">
        <f t="shared" si="13"/>
        <v>37</v>
      </c>
      <c r="G32" s="185">
        <f t="shared" si="13"/>
        <v>0</v>
      </c>
      <c r="H32" s="185">
        <f t="shared" si="13"/>
        <v>64</v>
      </c>
      <c r="I32" s="185">
        <f t="shared" si="13"/>
        <v>0</v>
      </c>
      <c r="J32" s="185">
        <f t="shared" si="13"/>
        <v>77</v>
      </c>
      <c r="K32" s="185">
        <f t="shared" si="13"/>
        <v>0</v>
      </c>
      <c r="L32" s="185">
        <f t="shared" si="13"/>
        <v>31</v>
      </c>
      <c r="M32" s="185">
        <f t="shared" si="13"/>
        <v>0</v>
      </c>
      <c r="N32" s="185">
        <f t="shared" si="13"/>
        <v>10</v>
      </c>
      <c r="O32" s="185">
        <f t="shared" si="13"/>
        <v>0</v>
      </c>
      <c r="P32" s="185">
        <f t="shared" si="13"/>
        <v>0</v>
      </c>
      <c r="Q32" s="185">
        <f t="shared" si="13"/>
        <v>0</v>
      </c>
      <c r="R32" s="27">
        <f>P32+N32+L32+J32+H32+F32+D32</f>
        <v>247</v>
      </c>
      <c r="S32" s="27">
        <f t="shared" si="11"/>
        <v>0</v>
      </c>
      <c r="T32" s="27">
        <f t="shared" si="12"/>
        <v>247</v>
      </c>
    </row>
    <row r="33" spans="1:20" ht="30" customHeight="1" thickTop="1" thickBot="1">
      <c r="A33" s="362" t="s">
        <v>397</v>
      </c>
      <c r="B33" s="361" t="s">
        <v>145</v>
      </c>
      <c r="C33" s="361"/>
      <c r="D33" s="53">
        <f>المهني!AI46</f>
        <v>256</v>
      </c>
      <c r="E33" s="54">
        <f>المهني!AJ46</f>
        <v>123</v>
      </c>
      <c r="F33" s="53">
        <f>المهني!AK46</f>
        <v>227</v>
      </c>
      <c r="G33" s="54">
        <f>المهني!AL46</f>
        <v>94</v>
      </c>
      <c r="H33" s="53">
        <f>المهني!AM46</f>
        <v>144</v>
      </c>
      <c r="I33" s="54">
        <f>المهني!AN46</f>
        <v>90</v>
      </c>
      <c r="J33" s="53">
        <f>المهني!AO46</f>
        <v>100</v>
      </c>
      <c r="K33" s="54">
        <f>المهني!AP46</f>
        <v>50</v>
      </c>
      <c r="L33" s="53">
        <f>المهني!AQ46</f>
        <v>122</v>
      </c>
      <c r="M33" s="54">
        <f>المهني!AR46</f>
        <v>66</v>
      </c>
      <c r="N33" s="47"/>
      <c r="O33" s="47"/>
      <c r="P33" s="47"/>
      <c r="Q33" s="47"/>
      <c r="R33" s="54">
        <f t="shared" ref="R33:R40" si="14">P33+N33+L33+J33+H33+F33+D33</f>
        <v>849</v>
      </c>
      <c r="S33" s="54">
        <f t="shared" si="6"/>
        <v>423</v>
      </c>
      <c r="T33" s="54">
        <f t="shared" si="3"/>
        <v>1272</v>
      </c>
    </row>
    <row r="34" spans="1:20" ht="30" customHeight="1" thickTop="1" thickBot="1">
      <c r="A34" s="363"/>
      <c r="B34" s="361" t="s">
        <v>146</v>
      </c>
      <c r="C34" s="361"/>
      <c r="D34" s="26"/>
      <c r="E34" s="26"/>
      <c r="F34" s="53">
        <f>المهني!AV46</f>
        <v>98</v>
      </c>
      <c r="G34" s="54">
        <f>المهني!AW46</f>
        <v>49</v>
      </c>
      <c r="H34" s="53">
        <f>المهني!AX46</f>
        <v>85</v>
      </c>
      <c r="I34" s="54">
        <f>المهني!AY46</f>
        <v>35</v>
      </c>
      <c r="J34" s="53">
        <f>المهني!AZ46</f>
        <v>105</v>
      </c>
      <c r="K34" s="54">
        <f>المهني!BA46</f>
        <v>57</v>
      </c>
      <c r="L34" s="53">
        <f>المهني!BB46</f>
        <v>34</v>
      </c>
      <c r="M34" s="54">
        <f>المهني!BC46</f>
        <v>46</v>
      </c>
      <c r="N34" s="53">
        <f>المهني!BD46</f>
        <v>42</v>
      </c>
      <c r="O34" s="54">
        <f>المهني!BE46</f>
        <v>26</v>
      </c>
      <c r="P34" s="47"/>
      <c r="Q34" s="47"/>
      <c r="R34" s="54">
        <f t="shared" si="14"/>
        <v>364</v>
      </c>
      <c r="S34" s="54">
        <f t="shared" si="6"/>
        <v>213</v>
      </c>
      <c r="T34" s="54">
        <f t="shared" si="3"/>
        <v>577</v>
      </c>
    </row>
    <row r="35" spans="1:20" ht="30" customHeight="1" thickTop="1" thickBot="1">
      <c r="A35" s="363"/>
      <c r="B35" s="361" t="s">
        <v>147</v>
      </c>
      <c r="C35" s="361"/>
      <c r="D35" s="26"/>
      <c r="E35" s="26"/>
      <c r="F35" s="26"/>
      <c r="G35" s="26"/>
      <c r="H35" s="53">
        <f>المهني!BI46</f>
        <v>40</v>
      </c>
      <c r="I35" s="54">
        <f>المهني!BJ46</f>
        <v>14</v>
      </c>
      <c r="J35" s="53">
        <f>المهني!BK46</f>
        <v>94</v>
      </c>
      <c r="K35" s="54">
        <f>المهني!BL46</f>
        <v>29</v>
      </c>
      <c r="L35" s="53">
        <f>المهني!BM46</f>
        <v>167</v>
      </c>
      <c r="M35" s="54">
        <f>المهني!BN46</f>
        <v>21</v>
      </c>
      <c r="N35" s="53">
        <f>المهني!BO46</f>
        <v>243</v>
      </c>
      <c r="O35" s="54">
        <f>المهني!BP46</f>
        <v>25</v>
      </c>
      <c r="P35" s="53">
        <f>المهني!BQ46</f>
        <v>92</v>
      </c>
      <c r="Q35" s="54">
        <f>المهني!BR46</f>
        <v>26</v>
      </c>
      <c r="R35" s="54">
        <f t="shared" si="14"/>
        <v>636</v>
      </c>
      <c r="S35" s="54">
        <f t="shared" si="6"/>
        <v>115</v>
      </c>
      <c r="T35" s="54">
        <f t="shared" si="3"/>
        <v>751</v>
      </c>
    </row>
    <row r="36" spans="1:20" ht="30" customHeight="1" thickTop="1" thickBot="1">
      <c r="A36" s="364"/>
      <c r="B36" s="361" t="s">
        <v>25</v>
      </c>
      <c r="C36" s="361"/>
      <c r="D36" s="54">
        <f t="shared" ref="D36:Q36" si="15">D35+D34+D33</f>
        <v>256</v>
      </c>
      <c r="E36" s="54">
        <f t="shared" si="15"/>
        <v>123</v>
      </c>
      <c r="F36" s="54">
        <f>F35+F34+F33</f>
        <v>325</v>
      </c>
      <c r="G36" s="54">
        <f t="shared" si="15"/>
        <v>143</v>
      </c>
      <c r="H36" s="54">
        <f t="shared" si="15"/>
        <v>269</v>
      </c>
      <c r="I36" s="54">
        <f t="shared" si="15"/>
        <v>139</v>
      </c>
      <c r="J36" s="54">
        <f t="shared" si="15"/>
        <v>299</v>
      </c>
      <c r="K36" s="54">
        <f t="shared" si="15"/>
        <v>136</v>
      </c>
      <c r="L36" s="54">
        <f t="shared" si="15"/>
        <v>323</v>
      </c>
      <c r="M36" s="54">
        <f t="shared" si="15"/>
        <v>133</v>
      </c>
      <c r="N36" s="54">
        <f t="shared" si="15"/>
        <v>285</v>
      </c>
      <c r="O36" s="54">
        <f t="shared" si="15"/>
        <v>51</v>
      </c>
      <c r="P36" s="54">
        <f t="shared" si="15"/>
        <v>92</v>
      </c>
      <c r="Q36" s="54">
        <f t="shared" si="15"/>
        <v>26</v>
      </c>
      <c r="R36" s="54">
        <f t="shared" si="14"/>
        <v>1849</v>
      </c>
      <c r="S36" s="54">
        <f t="shared" si="6"/>
        <v>751</v>
      </c>
      <c r="T36" s="54">
        <f t="shared" si="3"/>
        <v>2600</v>
      </c>
    </row>
    <row r="37" spans="1:20" ht="30" customHeight="1" thickTop="1" thickBot="1">
      <c r="A37" s="365" t="s">
        <v>139</v>
      </c>
      <c r="B37" s="361" t="s">
        <v>145</v>
      </c>
      <c r="C37" s="361"/>
      <c r="D37" s="20">
        <f>D21+D17+D13+D9+D33+D25+D29</f>
        <v>590</v>
      </c>
      <c r="E37" s="185">
        <f t="shared" ref="E37:M37" si="16">E21+E17+E13+E9+E33+E25+E29</f>
        <v>279</v>
      </c>
      <c r="F37" s="185">
        <f>F21+F17+F13+F9+F33+F25+F29</f>
        <v>596</v>
      </c>
      <c r="G37" s="185">
        <f t="shared" si="16"/>
        <v>261</v>
      </c>
      <c r="H37" s="185">
        <f>H21+H17+H13+H9+H33+H25+H29</f>
        <v>485</v>
      </c>
      <c r="I37" s="185">
        <f t="shared" si="16"/>
        <v>216</v>
      </c>
      <c r="J37" s="185">
        <f>J21+J17+J13+J9+J33+J25+J29</f>
        <v>329</v>
      </c>
      <c r="K37" s="185">
        <f t="shared" si="16"/>
        <v>128</v>
      </c>
      <c r="L37" s="185">
        <f>L21+L17+L13+L9+L33+L25+L29</f>
        <v>219</v>
      </c>
      <c r="M37" s="185">
        <f t="shared" si="16"/>
        <v>149</v>
      </c>
      <c r="N37" s="47">
        <f>N21+N17+N13+N9</f>
        <v>0</v>
      </c>
      <c r="O37" s="47">
        <f>O21+O17+O13+O9</f>
        <v>0</v>
      </c>
      <c r="P37" s="47">
        <f>P21+P17+P13+P9</f>
        <v>0</v>
      </c>
      <c r="Q37" s="47">
        <f>Q21+Q17+Q13+Q9</f>
        <v>0</v>
      </c>
      <c r="R37" s="20">
        <f>P37+N37+L37+J37+H37+F37+D37</f>
        <v>2219</v>
      </c>
      <c r="S37" s="20">
        <f>Q37+O37+M37+K37+I37+G37+E37</f>
        <v>1033</v>
      </c>
      <c r="T37" s="20">
        <f t="shared" si="3"/>
        <v>3252</v>
      </c>
    </row>
    <row r="38" spans="1:20" ht="30" customHeight="1" thickTop="1" thickBot="1">
      <c r="A38" s="365"/>
      <c r="B38" s="361" t="s">
        <v>146</v>
      </c>
      <c r="C38" s="361"/>
      <c r="D38" s="26"/>
      <c r="E38" s="26"/>
      <c r="F38" s="145">
        <f>F22+F18+F14+F10+F34+F26+F30</f>
        <v>255</v>
      </c>
      <c r="G38" s="210">
        <f t="shared" ref="G38:O38" si="17">G22+G18+G14+G10+G34+G26+G30</f>
        <v>130</v>
      </c>
      <c r="H38" s="210">
        <f t="shared" si="17"/>
        <v>252</v>
      </c>
      <c r="I38" s="210">
        <f t="shared" si="17"/>
        <v>102</v>
      </c>
      <c r="J38" s="210">
        <f t="shared" si="17"/>
        <v>323</v>
      </c>
      <c r="K38" s="210">
        <f t="shared" si="17"/>
        <v>121</v>
      </c>
      <c r="L38" s="210">
        <f t="shared" si="17"/>
        <v>207</v>
      </c>
      <c r="M38" s="210">
        <f t="shared" si="17"/>
        <v>93</v>
      </c>
      <c r="N38" s="210">
        <f t="shared" si="17"/>
        <v>124</v>
      </c>
      <c r="O38" s="210">
        <f t="shared" si="17"/>
        <v>112</v>
      </c>
      <c r="P38" s="47">
        <f>P22+P18+P14+P10</f>
        <v>0</v>
      </c>
      <c r="Q38" s="47">
        <f>Q22+Q18+Q14+Q10</f>
        <v>0</v>
      </c>
      <c r="R38" s="20">
        <f t="shared" si="14"/>
        <v>1161</v>
      </c>
      <c r="S38" s="20">
        <f t="shared" si="6"/>
        <v>558</v>
      </c>
      <c r="T38" s="20">
        <f t="shared" si="3"/>
        <v>1719</v>
      </c>
    </row>
    <row r="39" spans="1:20" ht="30" customHeight="1" thickTop="1" thickBot="1">
      <c r="A39" s="365"/>
      <c r="B39" s="361" t="s">
        <v>147</v>
      </c>
      <c r="C39" s="361"/>
      <c r="D39" s="26"/>
      <c r="E39" s="26"/>
      <c r="F39" s="26"/>
      <c r="G39" s="26"/>
      <c r="H39" s="145">
        <f>H23+H19+H15+H11+H35+H27</f>
        <v>128</v>
      </c>
      <c r="I39" s="145">
        <f t="shared" ref="H39:Q39" si="18">I23+I19+I15+I11+I35+I27</f>
        <v>73</v>
      </c>
      <c r="J39" s="145">
        <f t="shared" si="18"/>
        <v>269</v>
      </c>
      <c r="K39" s="145">
        <f t="shared" si="18"/>
        <v>87</v>
      </c>
      <c r="L39" s="145">
        <f t="shared" si="18"/>
        <v>358</v>
      </c>
      <c r="M39" s="145">
        <f t="shared" si="18"/>
        <v>83</v>
      </c>
      <c r="N39" s="145">
        <f t="shared" si="18"/>
        <v>452</v>
      </c>
      <c r="O39" s="145">
        <f t="shared" si="18"/>
        <v>93</v>
      </c>
      <c r="P39" s="145">
        <f t="shared" si="18"/>
        <v>224</v>
      </c>
      <c r="Q39" s="145">
        <f t="shared" si="18"/>
        <v>59</v>
      </c>
      <c r="R39" s="20">
        <f t="shared" si="14"/>
        <v>1431</v>
      </c>
      <c r="S39" s="20">
        <f t="shared" si="6"/>
        <v>395</v>
      </c>
      <c r="T39" s="20">
        <f t="shared" si="3"/>
        <v>1826</v>
      </c>
    </row>
    <row r="40" spans="1:20" ht="30" customHeight="1" thickTop="1" thickBot="1">
      <c r="A40" s="365"/>
      <c r="B40" s="361" t="s">
        <v>25</v>
      </c>
      <c r="C40" s="361"/>
      <c r="D40" s="20">
        <f>D39+D38+D37</f>
        <v>590</v>
      </c>
      <c r="E40" s="20">
        <f t="shared" ref="E40:Q40" si="19">E39+E38+E37</f>
        <v>279</v>
      </c>
      <c r="F40" s="20">
        <f t="shared" si="19"/>
        <v>851</v>
      </c>
      <c r="G40" s="20">
        <f t="shared" si="19"/>
        <v>391</v>
      </c>
      <c r="H40" s="20">
        <f t="shared" si="19"/>
        <v>865</v>
      </c>
      <c r="I40" s="20">
        <f t="shared" si="19"/>
        <v>391</v>
      </c>
      <c r="J40" s="20">
        <f t="shared" si="19"/>
        <v>921</v>
      </c>
      <c r="K40" s="20">
        <f t="shared" si="19"/>
        <v>336</v>
      </c>
      <c r="L40" s="20">
        <f t="shared" si="19"/>
        <v>784</v>
      </c>
      <c r="M40" s="20">
        <f t="shared" si="19"/>
        <v>325</v>
      </c>
      <c r="N40" s="20">
        <f t="shared" si="19"/>
        <v>576</v>
      </c>
      <c r="O40" s="20">
        <f t="shared" si="19"/>
        <v>205</v>
      </c>
      <c r="P40" s="20">
        <f t="shared" si="19"/>
        <v>224</v>
      </c>
      <c r="Q40" s="20">
        <f t="shared" si="19"/>
        <v>59</v>
      </c>
      <c r="R40" s="20">
        <f t="shared" si="14"/>
        <v>4811</v>
      </c>
      <c r="S40" s="20">
        <f t="shared" si="6"/>
        <v>1986</v>
      </c>
      <c r="T40" s="20">
        <f>S40+R40</f>
        <v>6797</v>
      </c>
    </row>
    <row r="41" spans="1:20" ht="30" customHeight="1" thickTop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30" customHeight="1">
      <c r="A42" s="370" t="s">
        <v>111</v>
      </c>
      <c r="B42" s="370"/>
      <c r="C42" s="370"/>
      <c r="D42" s="370"/>
      <c r="E42" s="370"/>
      <c r="F42" s="370"/>
      <c r="G42" s="2"/>
      <c r="H42" s="2"/>
      <c r="I42" s="2"/>
      <c r="J42" s="75"/>
      <c r="K42" s="75"/>
      <c r="L42" s="75"/>
      <c r="M42" s="75"/>
      <c r="N42" s="75"/>
      <c r="O42" s="75"/>
      <c r="P42" s="75"/>
      <c r="Q42" s="75"/>
      <c r="R42" s="75"/>
      <c r="S42" s="370" t="s">
        <v>112</v>
      </c>
      <c r="T42" s="370"/>
    </row>
    <row r="43" spans="1:20" ht="30" customHeight="1">
      <c r="A43" s="371" t="s">
        <v>188</v>
      </c>
      <c r="B43" s="371"/>
      <c r="C43" s="371"/>
      <c r="D43" s="371"/>
      <c r="E43" s="371"/>
      <c r="F43" s="371"/>
      <c r="G43" s="2"/>
      <c r="H43" s="371" t="s">
        <v>192</v>
      </c>
      <c r="I43" s="371"/>
      <c r="J43" s="371"/>
      <c r="K43" s="371"/>
      <c r="L43" s="371"/>
      <c r="M43" s="75"/>
      <c r="N43" s="75"/>
      <c r="O43" s="75"/>
      <c r="P43" s="2"/>
      <c r="Q43" s="2"/>
      <c r="R43" s="75"/>
      <c r="S43" s="75"/>
      <c r="T43" s="75"/>
    </row>
    <row r="44" spans="1:20" ht="30" customHeight="1">
      <c r="A44" s="370" t="s">
        <v>140</v>
      </c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</row>
    <row r="45" spans="1:20" ht="30" customHeight="1">
      <c r="A45" s="370" t="s">
        <v>533</v>
      </c>
      <c r="B45" s="370"/>
      <c r="C45" s="370"/>
      <c r="D45" s="370"/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</row>
    <row r="46" spans="1:20" ht="30" customHeight="1">
      <c r="A46" s="370" t="s">
        <v>141</v>
      </c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</row>
    <row r="47" spans="1:20" ht="30" customHeight="1" thickBo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</row>
    <row r="48" spans="1:20" ht="30" customHeight="1" thickTop="1" thickBot="1">
      <c r="A48" s="369" t="s">
        <v>115</v>
      </c>
      <c r="B48" s="369" t="s">
        <v>142</v>
      </c>
      <c r="C48" s="369"/>
      <c r="D48" s="366" t="s">
        <v>127</v>
      </c>
      <c r="E48" s="367"/>
      <c r="F48" s="366" t="s">
        <v>128</v>
      </c>
      <c r="G48" s="367"/>
      <c r="H48" s="366" t="s">
        <v>129</v>
      </c>
      <c r="I48" s="367"/>
      <c r="J48" s="366" t="s">
        <v>130</v>
      </c>
      <c r="K48" s="367"/>
      <c r="L48" s="366" t="s">
        <v>131</v>
      </c>
      <c r="M48" s="367"/>
      <c r="N48" s="366" t="s">
        <v>143</v>
      </c>
      <c r="O48" s="367"/>
      <c r="P48" s="366" t="s">
        <v>144</v>
      </c>
      <c r="Q48" s="367"/>
      <c r="R48" s="366" t="s">
        <v>25</v>
      </c>
      <c r="S48" s="368"/>
      <c r="T48" s="367"/>
    </row>
    <row r="49" spans="1:20" ht="30" customHeight="1" thickTop="1" thickBot="1">
      <c r="A49" s="369"/>
      <c r="B49" s="369"/>
      <c r="C49" s="369"/>
      <c r="D49" s="74" t="s">
        <v>5</v>
      </c>
      <c r="E49" s="74" t="s">
        <v>6</v>
      </c>
      <c r="F49" s="74" t="s">
        <v>5</v>
      </c>
      <c r="G49" s="74" t="s">
        <v>6</v>
      </c>
      <c r="H49" s="74" t="s">
        <v>5</v>
      </c>
      <c r="I49" s="74" t="s">
        <v>6</v>
      </c>
      <c r="J49" s="74" t="s">
        <v>5</v>
      </c>
      <c r="K49" s="74" t="s">
        <v>6</v>
      </c>
      <c r="L49" s="74" t="s">
        <v>5</v>
      </c>
      <c r="M49" s="74" t="s">
        <v>6</v>
      </c>
      <c r="N49" s="74" t="s">
        <v>5</v>
      </c>
      <c r="O49" s="74" t="s">
        <v>6</v>
      </c>
      <c r="P49" s="74" t="s">
        <v>5</v>
      </c>
      <c r="Q49" s="74" t="s">
        <v>6</v>
      </c>
      <c r="R49" s="74" t="s">
        <v>5</v>
      </c>
      <c r="S49" s="74" t="s">
        <v>6</v>
      </c>
      <c r="T49" s="74" t="s">
        <v>25</v>
      </c>
    </row>
    <row r="50" spans="1:20" ht="30" customHeight="1" thickTop="1" thickBot="1">
      <c r="A50" s="375" t="s">
        <v>123</v>
      </c>
      <c r="B50" s="369" t="s">
        <v>145</v>
      </c>
      <c r="C50" s="369"/>
      <c r="D50" s="74">
        <f>المهني!AI12</f>
        <v>216</v>
      </c>
      <c r="E50" s="74">
        <f>المهني!AJ12</f>
        <v>77</v>
      </c>
      <c r="F50" s="74">
        <f>المهني!AK12</f>
        <v>173</v>
      </c>
      <c r="G50" s="74">
        <f>المهني!AL12</f>
        <v>64</v>
      </c>
      <c r="H50" s="74">
        <f>المهني!AM12</f>
        <v>125</v>
      </c>
      <c r="I50" s="74">
        <f>المهني!AN12</f>
        <v>56</v>
      </c>
      <c r="J50" s="74">
        <f>المهني!AO12</f>
        <v>80</v>
      </c>
      <c r="K50" s="74">
        <f>المهني!AP12</f>
        <v>23</v>
      </c>
      <c r="L50" s="74">
        <f>المهني!AQ12</f>
        <v>55</v>
      </c>
      <c r="M50" s="74">
        <f>المهني!AR12</f>
        <v>29</v>
      </c>
      <c r="N50" s="48"/>
      <c r="O50" s="48"/>
      <c r="P50" s="48"/>
      <c r="Q50" s="48"/>
      <c r="R50" s="74">
        <f t="shared" ref="R50:S52" si="20">P50+N50+L50+J50+H50+F50+D50</f>
        <v>649</v>
      </c>
      <c r="S50" s="74">
        <f t="shared" si="20"/>
        <v>249</v>
      </c>
      <c r="T50" s="74">
        <f>S50+R50</f>
        <v>898</v>
      </c>
    </row>
    <row r="51" spans="1:20" ht="30" customHeight="1" thickTop="1" thickBot="1">
      <c r="A51" s="375"/>
      <c r="B51" s="369" t="s">
        <v>146</v>
      </c>
      <c r="C51" s="369"/>
      <c r="D51" s="7"/>
      <c r="E51" s="7"/>
      <c r="F51" s="74">
        <f>المهني!AV12</f>
        <v>127</v>
      </c>
      <c r="G51" s="74">
        <f>المهني!AW12</f>
        <v>46</v>
      </c>
      <c r="H51" s="74">
        <f>المهني!AX12</f>
        <v>94</v>
      </c>
      <c r="I51" s="74">
        <f>المهني!AY12</f>
        <v>23</v>
      </c>
      <c r="J51" s="74">
        <f>المهني!AZ12</f>
        <v>102</v>
      </c>
      <c r="K51" s="74">
        <f>المهني!BA12</f>
        <v>29</v>
      </c>
      <c r="L51" s="74">
        <f>المهني!BB12</f>
        <v>68</v>
      </c>
      <c r="M51" s="74">
        <f>المهني!BC12</f>
        <v>15</v>
      </c>
      <c r="N51" s="6">
        <f>المهني!BD12</f>
        <v>41</v>
      </c>
      <c r="O51" s="6">
        <f>المهني!BE12</f>
        <v>29</v>
      </c>
      <c r="P51" s="48"/>
      <c r="Q51" s="48"/>
      <c r="R51" s="74">
        <f t="shared" si="20"/>
        <v>432</v>
      </c>
      <c r="S51" s="74">
        <f t="shared" si="20"/>
        <v>142</v>
      </c>
      <c r="T51" s="74">
        <f>S51+R51</f>
        <v>574</v>
      </c>
    </row>
    <row r="52" spans="1:20" ht="30" customHeight="1" thickTop="1" thickBot="1">
      <c r="A52" s="375"/>
      <c r="B52" s="369" t="s">
        <v>147</v>
      </c>
      <c r="C52" s="369"/>
      <c r="D52" s="7"/>
      <c r="E52" s="7"/>
      <c r="F52" s="7"/>
      <c r="G52" s="7"/>
      <c r="H52" s="74">
        <f>المهني!BI12</f>
        <v>59</v>
      </c>
      <c r="I52" s="74">
        <f>المهني!BJ12</f>
        <v>31</v>
      </c>
      <c r="J52" s="74">
        <f>المهني!BK12</f>
        <v>106</v>
      </c>
      <c r="K52" s="74">
        <f>المهني!BL12</f>
        <v>22</v>
      </c>
      <c r="L52" s="74">
        <f>المهني!BM12</f>
        <v>70</v>
      </c>
      <c r="M52" s="74">
        <f>المهني!BN12</f>
        <v>28</v>
      </c>
      <c r="N52" s="6">
        <f>المهني!BO12</f>
        <v>49</v>
      </c>
      <c r="O52" s="6">
        <f>المهني!BP12</f>
        <v>15</v>
      </c>
      <c r="P52" s="6">
        <f>المهني!BQ12</f>
        <v>69</v>
      </c>
      <c r="Q52" s="6">
        <f>المهني!BR12</f>
        <v>29</v>
      </c>
      <c r="R52" s="74">
        <f t="shared" si="20"/>
        <v>353</v>
      </c>
      <c r="S52" s="74">
        <f t="shared" si="20"/>
        <v>125</v>
      </c>
      <c r="T52" s="74">
        <f>S52+R52</f>
        <v>478</v>
      </c>
    </row>
    <row r="53" spans="1:20" ht="30" customHeight="1" thickTop="1" thickBot="1">
      <c r="A53" s="375"/>
      <c r="B53" s="369" t="s">
        <v>25</v>
      </c>
      <c r="C53" s="369"/>
      <c r="D53" s="74">
        <f t="shared" ref="D53:T53" si="21">D52+D51+D50</f>
        <v>216</v>
      </c>
      <c r="E53" s="74">
        <f t="shared" si="21"/>
        <v>77</v>
      </c>
      <c r="F53" s="74">
        <f t="shared" si="21"/>
        <v>300</v>
      </c>
      <c r="G53" s="74">
        <f t="shared" si="21"/>
        <v>110</v>
      </c>
      <c r="H53" s="74">
        <f t="shared" si="21"/>
        <v>278</v>
      </c>
      <c r="I53" s="74">
        <f t="shared" si="21"/>
        <v>110</v>
      </c>
      <c r="J53" s="74">
        <f t="shared" si="21"/>
        <v>288</v>
      </c>
      <c r="K53" s="74">
        <f t="shared" si="21"/>
        <v>74</v>
      </c>
      <c r="L53" s="74">
        <f t="shared" si="21"/>
        <v>193</v>
      </c>
      <c r="M53" s="74">
        <f t="shared" si="21"/>
        <v>72</v>
      </c>
      <c r="N53" s="74">
        <f t="shared" si="21"/>
        <v>90</v>
      </c>
      <c r="O53" s="74">
        <f t="shared" si="21"/>
        <v>44</v>
      </c>
      <c r="P53" s="74">
        <f t="shared" si="21"/>
        <v>69</v>
      </c>
      <c r="Q53" s="74">
        <f t="shared" si="21"/>
        <v>29</v>
      </c>
      <c r="R53" s="74">
        <f t="shared" si="21"/>
        <v>1434</v>
      </c>
      <c r="S53" s="74">
        <f t="shared" si="21"/>
        <v>516</v>
      </c>
      <c r="T53" s="74">
        <f t="shared" si="21"/>
        <v>1950</v>
      </c>
    </row>
    <row r="54" spans="1:20" ht="30" customHeight="1" thickTop="1" thickBot="1">
      <c r="A54" s="375" t="s">
        <v>124</v>
      </c>
      <c r="B54" s="369" t="s">
        <v>145</v>
      </c>
      <c r="C54" s="369"/>
      <c r="D54" s="74">
        <v>0</v>
      </c>
      <c r="E54" s="74">
        <v>0</v>
      </c>
      <c r="F54" s="74">
        <v>0</v>
      </c>
      <c r="G54" s="74">
        <v>0</v>
      </c>
      <c r="H54" s="74">
        <v>0</v>
      </c>
      <c r="I54" s="74">
        <v>0</v>
      </c>
      <c r="J54" s="74">
        <v>0</v>
      </c>
      <c r="K54" s="74">
        <v>0</v>
      </c>
      <c r="L54" s="74">
        <v>0</v>
      </c>
      <c r="M54" s="74">
        <v>0</v>
      </c>
      <c r="N54" s="48"/>
      <c r="O54" s="48"/>
      <c r="P54" s="48"/>
      <c r="Q54" s="48"/>
      <c r="R54" s="74">
        <f t="shared" ref="R54:S61" si="22">P54+N54+L54+J54+H54+F54+D54</f>
        <v>0</v>
      </c>
      <c r="S54" s="74">
        <f t="shared" si="22"/>
        <v>0</v>
      </c>
      <c r="T54" s="74">
        <f t="shared" ref="T54:T77" si="23">S54+R54</f>
        <v>0</v>
      </c>
    </row>
    <row r="55" spans="1:20" ht="30" customHeight="1" thickTop="1" thickBot="1">
      <c r="A55" s="375"/>
      <c r="B55" s="369" t="s">
        <v>146</v>
      </c>
      <c r="C55" s="369"/>
      <c r="D55" s="7"/>
      <c r="E55" s="7"/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6">
        <v>0</v>
      </c>
      <c r="O55" s="6">
        <v>0</v>
      </c>
      <c r="P55" s="48"/>
      <c r="Q55" s="48"/>
      <c r="R55" s="74">
        <f t="shared" si="22"/>
        <v>0</v>
      </c>
      <c r="S55" s="74">
        <f t="shared" si="22"/>
        <v>0</v>
      </c>
      <c r="T55" s="74">
        <f t="shared" si="23"/>
        <v>0</v>
      </c>
    </row>
    <row r="56" spans="1:20" ht="30" customHeight="1" thickTop="1" thickBot="1">
      <c r="A56" s="375"/>
      <c r="B56" s="369" t="s">
        <v>147</v>
      </c>
      <c r="C56" s="369"/>
      <c r="D56" s="7"/>
      <c r="E56" s="7"/>
      <c r="F56" s="7"/>
      <c r="G56" s="7"/>
      <c r="H56" s="74">
        <v>0</v>
      </c>
      <c r="I56" s="74">
        <v>0</v>
      </c>
      <c r="J56" s="74">
        <v>0</v>
      </c>
      <c r="K56" s="74">
        <v>0</v>
      </c>
      <c r="L56" s="74">
        <v>0</v>
      </c>
      <c r="M56" s="74">
        <v>0</v>
      </c>
      <c r="N56" s="6">
        <v>0</v>
      </c>
      <c r="O56" s="6">
        <v>0</v>
      </c>
      <c r="P56" s="6">
        <v>0</v>
      </c>
      <c r="Q56" s="6">
        <v>0</v>
      </c>
      <c r="R56" s="74">
        <f t="shared" si="22"/>
        <v>0</v>
      </c>
      <c r="S56" s="74">
        <f t="shared" si="22"/>
        <v>0</v>
      </c>
      <c r="T56" s="74">
        <f t="shared" si="23"/>
        <v>0</v>
      </c>
    </row>
    <row r="57" spans="1:20" ht="30" customHeight="1" thickTop="1" thickBot="1">
      <c r="A57" s="375"/>
      <c r="B57" s="369" t="s">
        <v>25</v>
      </c>
      <c r="C57" s="369"/>
      <c r="D57" s="74">
        <f t="shared" ref="D57:Q57" si="24">D56+D55+D54</f>
        <v>0</v>
      </c>
      <c r="E57" s="74">
        <f t="shared" si="24"/>
        <v>0</v>
      </c>
      <c r="F57" s="74">
        <f t="shared" si="24"/>
        <v>0</v>
      </c>
      <c r="G57" s="74">
        <f t="shared" si="24"/>
        <v>0</v>
      </c>
      <c r="H57" s="74">
        <f t="shared" si="24"/>
        <v>0</v>
      </c>
      <c r="I57" s="74">
        <f t="shared" si="24"/>
        <v>0</v>
      </c>
      <c r="J57" s="74">
        <f t="shared" si="24"/>
        <v>0</v>
      </c>
      <c r="K57" s="74">
        <f t="shared" si="24"/>
        <v>0</v>
      </c>
      <c r="L57" s="74">
        <f t="shared" si="24"/>
        <v>0</v>
      </c>
      <c r="M57" s="74">
        <f t="shared" si="24"/>
        <v>0</v>
      </c>
      <c r="N57" s="74">
        <f t="shared" si="24"/>
        <v>0</v>
      </c>
      <c r="O57" s="74">
        <f t="shared" si="24"/>
        <v>0</v>
      </c>
      <c r="P57" s="74">
        <f t="shared" si="24"/>
        <v>0</v>
      </c>
      <c r="Q57" s="74">
        <f t="shared" si="24"/>
        <v>0</v>
      </c>
      <c r="R57" s="74">
        <f t="shared" si="22"/>
        <v>0</v>
      </c>
      <c r="S57" s="74">
        <f t="shared" si="22"/>
        <v>0</v>
      </c>
      <c r="T57" s="74">
        <f t="shared" si="23"/>
        <v>0</v>
      </c>
    </row>
    <row r="58" spans="1:20" ht="30" customHeight="1" thickTop="1" thickBot="1">
      <c r="A58" s="375" t="s">
        <v>125</v>
      </c>
      <c r="B58" s="369" t="s">
        <v>145</v>
      </c>
      <c r="C58" s="369"/>
      <c r="D58" s="74">
        <f>المهني!AI26</f>
        <v>0</v>
      </c>
      <c r="E58" s="74">
        <f>المهني!AJ26</f>
        <v>29</v>
      </c>
      <c r="F58" s="74">
        <f>المهني!AK26</f>
        <v>40</v>
      </c>
      <c r="G58" s="74">
        <f>المهني!AL26</f>
        <v>42</v>
      </c>
      <c r="H58" s="74">
        <f>المهني!AM26</f>
        <v>100</v>
      </c>
      <c r="I58" s="74">
        <f>المهني!AN26</f>
        <v>24</v>
      </c>
      <c r="J58" s="74">
        <f>المهني!AO26</f>
        <v>44</v>
      </c>
      <c r="K58" s="74">
        <f>المهني!AP26</f>
        <v>24</v>
      </c>
      <c r="L58" s="74">
        <f>المهني!AQ26</f>
        <v>14</v>
      </c>
      <c r="M58" s="74">
        <f>المهني!AR26</f>
        <v>23</v>
      </c>
      <c r="N58" s="48"/>
      <c r="O58" s="48"/>
      <c r="P58" s="48"/>
      <c r="Q58" s="48"/>
      <c r="R58" s="74">
        <f t="shared" si="22"/>
        <v>198</v>
      </c>
      <c r="S58" s="74">
        <f t="shared" si="22"/>
        <v>142</v>
      </c>
      <c r="T58" s="74">
        <f t="shared" si="23"/>
        <v>340</v>
      </c>
    </row>
    <row r="59" spans="1:20" ht="30" customHeight="1" thickTop="1" thickBot="1">
      <c r="A59" s="375"/>
      <c r="B59" s="369" t="s">
        <v>146</v>
      </c>
      <c r="C59" s="369"/>
      <c r="D59" s="7"/>
      <c r="E59" s="7"/>
      <c r="F59" s="74">
        <f>المهني!AV26</f>
        <v>0</v>
      </c>
      <c r="G59" s="74">
        <f>المهني!AW26</f>
        <v>14</v>
      </c>
      <c r="H59" s="74">
        <f>المهني!AX26</f>
        <v>20</v>
      </c>
      <c r="I59" s="74">
        <f>المهني!AY26</f>
        <v>19</v>
      </c>
      <c r="J59" s="74">
        <f>المهني!AZ26</f>
        <v>34</v>
      </c>
      <c r="K59" s="74">
        <f>المهني!BA26</f>
        <v>17</v>
      </c>
      <c r="L59" s="74">
        <f>المهني!BB26</f>
        <v>36</v>
      </c>
      <c r="M59" s="74">
        <f>المهني!BC26</f>
        <v>12</v>
      </c>
      <c r="N59" s="6">
        <f>المهني!BD26</f>
        <v>0</v>
      </c>
      <c r="O59" s="6">
        <f>المهني!BE26</f>
        <v>15</v>
      </c>
      <c r="P59" s="48"/>
      <c r="Q59" s="48"/>
      <c r="R59" s="74">
        <f t="shared" si="22"/>
        <v>90</v>
      </c>
      <c r="S59" s="74">
        <f t="shared" si="22"/>
        <v>77</v>
      </c>
      <c r="T59" s="74">
        <f t="shared" si="23"/>
        <v>167</v>
      </c>
    </row>
    <row r="60" spans="1:20" ht="30" customHeight="1" thickTop="1" thickBot="1">
      <c r="A60" s="375"/>
      <c r="B60" s="369" t="s">
        <v>147</v>
      </c>
      <c r="C60" s="369"/>
      <c r="D60" s="7"/>
      <c r="E60" s="7"/>
      <c r="F60" s="7"/>
      <c r="G60" s="7"/>
      <c r="H60" s="74">
        <f>المهني!BI26</f>
        <v>10</v>
      </c>
      <c r="I60" s="74">
        <f>المهني!BJ26</f>
        <v>9</v>
      </c>
      <c r="J60" s="74">
        <f>المهني!BK26</f>
        <v>10</v>
      </c>
      <c r="K60" s="74">
        <f>المهني!BL26</f>
        <v>9</v>
      </c>
      <c r="L60" s="74">
        <f>المهني!BM26</f>
        <v>73</v>
      </c>
      <c r="M60" s="74">
        <f>المهني!BN26</f>
        <v>12</v>
      </c>
      <c r="N60" s="6">
        <f>المهني!BO26</f>
        <v>134</v>
      </c>
      <c r="O60" s="6">
        <f>المهني!BP26</f>
        <v>30</v>
      </c>
      <c r="P60" s="6">
        <f>المهني!BQ26</f>
        <v>42</v>
      </c>
      <c r="Q60" s="6">
        <f>المهني!BR26</f>
        <v>0</v>
      </c>
      <c r="R60" s="74">
        <f t="shared" si="22"/>
        <v>269</v>
      </c>
      <c r="S60" s="74">
        <f t="shared" si="22"/>
        <v>60</v>
      </c>
      <c r="T60" s="74">
        <f t="shared" si="23"/>
        <v>329</v>
      </c>
    </row>
    <row r="61" spans="1:20" ht="30" customHeight="1" thickTop="1" thickBot="1">
      <c r="A61" s="375"/>
      <c r="B61" s="369" t="s">
        <v>25</v>
      </c>
      <c r="C61" s="369"/>
      <c r="D61" s="74">
        <f t="shared" ref="D61:Q61" si="25">D60+D59+D58</f>
        <v>0</v>
      </c>
      <c r="E61" s="74">
        <f t="shared" si="25"/>
        <v>29</v>
      </c>
      <c r="F61" s="74">
        <f t="shared" si="25"/>
        <v>40</v>
      </c>
      <c r="G61" s="74">
        <f t="shared" si="25"/>
        <v>56</v>
      </c>
      <c r="H61" s="74">
        <f t="shared" si="25"/>
        <v>130</v>
      </c>
      <c r="I61" s="74">
        <f t="shared" si="25"/>
        <v>52</v>
      </c>
      <c r="J61" s="74">
        <f t="shared" si="25"/>
        <v>88</v>
      </c>
      <c r="K61" s="74">
        <f t="shared" si="25"/>
        <v>50</v>
      </c>
      <c r="L61" s="74">
        <f t="shared" si="25"/>
        <v>123</v>
      </c>
      <c r="M61" s="74">
        <f t="shared" si="25"/>
        <v>47</v>
      </c>
      <c r="N61" s="74">
        <f t="shared" si="25"/>
        <v>134</v>
      </c>
      <c r="O61" s="74">
        <f t="shared" si="25"/>
        <v>45</v>
      </c>
      <c r="P61" s="74">
        <f t="shared" si="25"/>
        <v>42</v>
      </c>
      <c r="Q61" s="74">
        <f t="shared" si="25"/>
        <v>0</v>
      </c>
      <c r="R61" s="74">
        <f t="shared" si="22"/>
        <v>557</v>
      </c>
      <c r="S61" s="74">
        <f t="shared" si="22"/>
        <v>279</v>
      </c>
      <c r="T61" s="74">
        <f t="shared" si="23"/>
        <v>836</v>
      </c>
    </row>
    <row r="62" spans="1:20" ht="30" customHeight="1" thickTop="1" thickBot="1">
      <c r="A62" s="375" t="s">
        <v>214</v>
      </c>
      <c r="B62" s="369" t="s">
        <v>145</v>
      </c>
      <c r="C62" s="369"/>
      <c r="D62" s="11"/>
      <c r="E62" s="8">
        <f>المهني!AJ34</f>
        <v>35</v>
      </c>
      <c r="F62" s="7">
        <f>المهني!AK34</f>
        <v>0</v>
      </c>
      <c r="G62" s="8">
        <f>المهني!AL34</f>
        <v>48</v>
      </c>
      <c r="H62" s="7">
        <f>المهني!AM34</f>
        <v>0</v>
      </c>
      <c r="I62" s="8">
        <f>المهني!AN34</f>
        <v>41</v>
      </c>
      <c r="J62" s="7">
        <f>المهني!AO34</f>
        <v>0</v>
      </c>
      <c r="K62" s="8">
        <f>المهني!AP34</f>
        <v>21</v>
      </c>
      <c r="L62" s="7">
        <f>المهني!AQ34</f>
        <v>0</v>
      </c>
      <c r="M62" s="8">
        <f>المهني!AR34</f>
        <v>22</v>
      </c>
      <c r="N62" s="7"/>
      <c r="O62" s="48"/>
      <c r="P62" s="7"/>
      <c r="Q62" s="48"/>
      <c r="R62" s="7"/>
      <c r="S62" s="74">
        <f>Q62+O62+M62+K62+I62+G62+E62</f>
        <v>167</v>
      </c>
      <c r="T62" s="74">
        <f t="shared" si="23"/>
        <v>167</v>
      </c>
    </row>
    <row r="63" spans="1:20" ht="30" customHeight="1" thickTop="1" thickBot="1">
      <c r="A63" s="375"/>
      <c r="B63" s="369" t="s">
        <v>146</v>
      </c>
      <c r="C63" s="369"/>
      <c r="D63" s="11"/>
      <c r="E63" s="7"/>
      <c r="F63" s="7"/>
      <c r="G63" s="74">
        <f>المهني!AW34</f>
        <v>18</v>
      </c>
      <c r="H63" s="7"/>
      <c r="I63" s="8">
        <f>المهني!AY34</f>
        <v>17</v>
      </c>
      <c r="J63" s="7"/>
      <c r="K63" s="8">
        <f>المهني!BA34</f>
        <v>14</v>
      </c>
      <c r="L63" s="7"/>
      <c r="M63" s="8">
        <f>المهني!BC34</f>
        <v>19</v>
      </c>
      <c r="N63" s="7"/>
      <c r="O63" s="6">
        <f>المهني!BE34</f>
        <v>34</v>
      </c>
      <c r="P63" s="7"/>
      <c r="Q63" s="48"/>
      <c r="R63" s="7"/>
      <c r="S63" s="74">
        <f t="shared" ref="S63:S77" si="26">Q63+O63+M63+K63+I63+G63+E63</f>
        <v>102</v>
      </c>
      <c r="T63" s="74">
        <f t="shared" si="23"/>
        <v>102</v>
      </c>
    </row>
    <row r="64" spans="1:20" ht="30" customHeight="1" thickTop="1" thickBot="1">
      <c r="A64" s="375"/>
      <c r="B64" s="369" t="s">
        <v>147</v>
      </c>
      <c r="C64" s="369"/>
      <c r="D64" s="7"/>
      <c r="E64" s="7"/>
      <c r="F64" s="7"/>
      <c r="G64" s="7"/>
      <c r="H64" s="7"/>
      <c r="I64" s="8">
        <f>المهني!BJ35</f>
        <v>18</v>
      </c>
      <c r="J64" s="7"/>
      <c r="K64" s="8">
        <f>المهني!BL35</f>
        <v>21</v>
      </c>
      <c r="L64" s="7"/>
      <c r="M64" s="8">
        <f>المهني!BN35</f>
        <v>18</v>
      </c>
      <c r="N64" s="7"/>
      <c r="O64" s="6">
        <f>المهني!BP35</f>
        <v>16</v>
      </c>
      <c r="P64" s="7"/>
      <c r="Q64" s="6">
        <f>المهني!BR35</f>
        <v>4</v>
      </c>
      <c r="R64" s="7"/>
      <c r="S64" s="74">
        <f t="shared" si="26"/>
        <v>77</v>
      </c>
      <c r="T64" s="74">
        <f t="shared" si="23"/>
        <v>77</v>
      </c>
    </row>
    <row r="65" spans="1:20" ht="30" customHeight="1" thickTop="1" thickBot="1">
      <c r="A65" s="375"/>
      <c r="B65" s="369" t="s">
        <v>25</v>
      </c>
      <c r="C65" s="369"/>
      <c r="D65" s="7"/>
      <c r="E65" s="8">
        <f>E64+E63+E62</f>
        <v>35</v>
      </c>
      <c r="F65" s="7"/>
      <c r="G65" s="8">
        <f>G64+G63+G62</f>
        <v>66</v>
      </c>
      <c r="H65" s="7"/>
      <c r="I65" s="8">
        <f>I64+I63+I62</f>
        <v>76</v>
      </c>
      <c r="J65" s="7"/>
      <c r="K65" s="8">
        <f>K64+K63+K62</f>
        <v>56</v>
      </c>
      <c r="L65" s="7"/>
      <c r="M65" s="8">
        <f>M64+M63+M62</f>
        <v>59</v>
      </c>
      <c r="N65" s="7"/>
      <c r="O65" s="8">
        <f>O64+O63+O62</f>
        <v>50</v>
      </c>
      <c r="P65" s="7"/>
      <c r="Q65" s="8">
        <f>Q64+Q63+Q62</f>
        <v>4</v>
      </c>
      <c r="R65" s="7"/>
      <c r="S65" s="74">
        <f>Q65+O65+M65+K65+I65+G65+E65</f>
        <v>346</v>
      </c>
      <c r="T65" s="74">
        <f t="shared" si="23"/>
        <v>346</v>
      </c>
    </row>
    <row r="66" spans="1:20" ht="30" customHeight="1" thickTop="1" thickBot="1">
      <c r="A66" s="375" t="s">
        <v>488</v>
      </c>
      <c r="B66" s="369" t="s">
        <v>145</v>
      </c>
      <c r="C66" s="369"/>
      <c r="D66" s="8">
        <f>المهني!AI49</f>
        <v>24</v>
      </c>
      <c r="E66" s="8">
        <f>المهني!AJ49</f>
        <v>0</v>
      </c>
      <c r="F66" s="8">
        <f>المهني!AK49</f>
        <v>25</v>
      </c>
      <c r="G66" s="8">
        <f>المهني!AL49</f>
        <v>0</v>
      </c>
      <c r="H66" s="8">
        <f>المهني!AM49</f>
        <v>22</v>
      </c>
      <c r="I66" s="8">
        <f>المهني!AN49</f>
        <v>0</v>
      </c>
      <c r="J66" s="8">
        <f>المهني!AO49</f>
        <v>15</v>
      </c>
      <c r="K66" s="8">
        <f>المهني!AP49</f>
        <v>0</v>
      </c>
      <c r="L66" s="8">
        <f>المهني!AQ49</f>
        <v>10</v>
      </c>
      <c r="M66" s="8">
        <f>المهني!AR49</f>
        <v>0</v>
      </c>
      <c r="N66" s="7"/>
      <c r="O66" s="7"/>
      <c r="P66" s="7"/>
      <c r="Q66" s="7"/>
      <c r="R66" s="146">
        <f>P66+N66+L66+J66+H66+F66+D66</f>
        <v>96</v>
      </c>
      <c r="S66" s="146">
        <f>Q66+O66+M66+K66+I66+G66+E66</f>
        <v>0</v>
      </c>
      <c r="T66" s="146">
        <f>S66+R66</f>
        <v>96</v>
      </c>
    </row>
    <row r="67" spans="1:20" ht="30" customHeight="1" thickTop="1" thickBot="1">
      <c r="A67" s="375"/>
      <c r="B67" s="369" t="s">
        <v>146</v>
      </c>
      <c r="C67" s="369"/>
      <c r="D67" s="7"/>
      <c r="E67" s="7"/>
      <c r="F67" s="8">
        <f>المهني!AV49</f>
        <v>11</v>
      </c>
      <c r="G67" s="8">
        <f>المهني!AW49</f>
        <v>0</v>
      </c>
      <c r="H67" s="8">
        <f>المهني!AX49</f>
        <v>16</v>
      </c>
      <c r="I67" s="8">
        <f>المهني!AY49</f>
        <v>0</v>
      </c>
      <c r="J67" s="8">
        <f>المهني!AZ49</f>
        <v>19</v>
      </c>
      <c r="K67" s="8">
        <f>المهني!BA49</f>
        <v>0</v>
      </c>
      <c r="L67" s="8">
        <f>المهني!BB49</f>
        <v>6</v>
      </c>
      <c r="M67" s="8">
        <f>المهني!BC49</f>
        <v>0</v>
      </c>
      <c r="N67" s="8">
        <f>المهني!BD49</f>
        <v>12</v>
      </c>
      <c r="O67" s="8">
        <f>المهني!BE49</f>
        <v>0</v>
      </c>
      <c r="P67" s="7"/>
      <c r="Q67" s="7"/>
      <c r="R67" s="146">
        <f t="shared" ref="R67:S69" si="27">P67+N67+L67+J67+H67+F67+D67</f>
        <v>64</v>
      </c>
      <c r="S67" s="146">
        <f t="shared" si="27"/>
        <v>0</v>
      </c>
      <c r="T67" s="146">
        <f t="shared" si="23"/>
        <v>64</v>
      </c>
    </row>
    <row r="68" spans="1:20" ht="30" customHeight="1" thickTop="1" thickBot="1">
      <c r="A68" s="375"/>
      <c r="B68" s="369" t="s">
        <v>147</v>
      </c>
      <c r="C68" s="369"/>
      <c r="D68" s="7"/>
      <c r="E68" s="7"/>
      <c r="F68" s="7"/>
      <c r="G68" s="7"/>
      <c r="H68" s="8">
        <f>المهني!BI49</f>
        <v>6</v>
      </c>
      <c r="I68" s="8">
        <f>المهني!BJ49</f>
        <v>0</v>
      </c>
      <c r="J68" s="8">
        <f>المهني!BK49</f>
        <v>10</v>
      </c>
      <c r="K68" s="8">
        <f>المهني!BL49</f>
        <v>0</v>
      </c>
      <c r="L68" s="8">
        <f>المهني!BM49</f>
        <v>13</v>
      </c>
      <c r="M68" s="8">
        <f>المهني!BN49</f>
        <v>0</v>
      </c>
      <c r="N68" s="8">
        <f>المهني!BO49</f>
        <v>1</v>
      </c>
      <c r="O68" s="8">
        <f>المهني!BP49</f>
        <v>0</v>
      </c>
      <c r="P68" s="8">
        <f>المهني!BQ49</f>
        <v>7</v>
      </c>
      <c r="Q68" s="8">
        <f>المهني!BR49</f>
        <v>0</v>
      </c>
      <c r="R68" s="146">
        <f t="shared" si="27"/>
        <v>37</v>
      </c>
      <c r="S68" s="146">
        <f t="shared" si="27"/>
        <v>0</v>
      </c>
      <c r="T68" s="146">
        <f t="shared" si="23"/>
        <v>37</v>
      </c>
    </row>
    <row r="69" spans="1:20" ht="30" customHeight="1" thickTop="1" thickBot="1">
      <c r="A69" s="375"/>
      <c r="B69" s="369" t="s">
        <v>25</v>
      </c>
      <c r="C69" s="369"/>
      <c r="D69" s="8">
        <f t="shared" ref="D69:Q69" si="28">D68+D67+D66</f>
        <v>24</v>
      </c>
      <c r="E69" s="8">
        <f t="shared" si="28"/>
        <v>0</v>
      </c>
      <c r="F69" s="8">
        <f t="shared" si="28"/>
        <v>36</v>
      </c>
      <c r="G69" s="8">
        <f t="shared" si="28"/>
        <v>0</v>
      </c>
      <c r="H69" s="8">
        <f t="shared" si="28"/>
        <v>44</v>
      </c>
      <c r="I69" s="8">
        <f t="shared" si="28"/>
        <v>0</v>
      </c>
      <c r="J69" s="8">
        <f t="shared" si="28"/>
        <v>44</v>
      </c>
      <c r="K69" s="8">
        <f t="shared" si="28"/>
        <v>0</v>
      </c>
      <c r="L69" s="8">
        <f t="shared" si="28"/>
        <v>29</v>
      </c>
      <c r="M69" s="8">
        <f t="shared" si="28"/>
        <v>0</v>
      </c>
      <c r="N69" s="8">
        <f t="shared" si="28"/>
        <v>13</v>
      </c>
      <c r="O69" s="8">
        <f t="shared" si="28"/>
        <v>0</v>
      </c>
      <c r="P69" s="8">
        <f t="shared" si="28"/>
        <v>7</v>
      </c>
      <c r="Q69" s="8">
        <f t="shared" si="28"/>
        <v>0</v>
      </c>
      <c r="R69" s="146">
        <f t="shared" si="27"/>
        <v>197</v>
      </c>
      <c r="S69" s="146">
        <f t="shared" si="27"/>
        <v>0</v>
      </c>
      <c r="T69" s="146">
        <f t="shared" si="23"/>
        <v>197</v>
      </c>
    </row>
    <row r="70" spans="1:20" ht="30" customHeight="1" thickTop="1" thickBot="1">
      <c r="A70" s="372" t="s">
        <v>402</v>
      </c>
      <c r="B70" s="369" t="s">
        <v>145</v>
      </c>
      <c r="C70" s="369"/>
      <c r="D70" s="74">
        <f>المهني!AI47</f>
        <v>213</v>
      </c>
      <c r="E70" s="74">
        <f>المهني!AJ47</f>
        <v>107</v>
      </c>
      <c r="F70" s="74">
        <f>المهني!AK47</f>
        <v>152</v>
      </c>
      <c r="G70" s="74">
        <f>المهني!AL47</f>
        <v>74</v>
      </c>
      <c r="H70" s="74">
        <f>المهني!AM47</f>
        <v>118</v>
      </c>
      <c r="I70" s="74">
        <f>المهني!AN47</f>
        <v>54</v>
      </c>
      <c r="J70" s="74">
        <f>المهني!AO47</f>
        <v>83</v>
      </c>
      <c r="K70" s="74">
        <f>المهني!AP47</f>
        <v>30</v>
      </c>
      <c r="L70" s="74">
        <f>المهني!AQ47</f>
        <v>115</v>
      </c>
      <c r="M70" s="74">
        <f>المهني!AR47</f>
        <v>52</v>
      </c>
      <c r="N70" s="48"/>
      <c r="O70" s="48"/>
      <c r="P70" s="48"/>
      <c r="Q70" s="48"/>
      <c r="R70" s="74">
        <f t="shared" ref="R70:R77" si="29">P70+N70+L70+J70+H70+F70+D70</f>
        <v>681</v>
      </c>
      <c r="S70" s="74">
        <f t="shared" si="26"/>
        <v>317</v>
      </c>
      <c r="T70" s="74">
        <f t="shared" si="23"/>
        <v>998</v>
      </c>
    </row>
    <row r="71" spans="1:20" ht="30" customHeight="1" thickTop="1" thickBot="1">
      <c r="A71" s="373"/>
      <c r="B71" s="369" t="s">
        <v>146</v>
      </c>
      <c r="C71" s="369"/>
      <c r="D71" s="7"/>
      <c r="E71" s="7"/>
      <c r="F71" s="74">
        <f>المهني!AV47</f>
        <v>85</v>
      </c>
      <c r="G71" s="74">
        <f>المهني!AW47</f>
        <v>42</v>
      </c>
      <c r="H71" s="74">
        <f>المهني!AX47</f>
        <v>61</v>
      </c>
      <c r="I71" s="74">
        <f>المهني!AY47</f>
        <v>30</v>
      </c>
      <c r="J71" s="74">
        <f>المهني!AZ47</f>
        <v>78</v>
      </c>
      <c r="K71" s="74">
        <f>المهني!BA47</f>
        <v>50</v>
      </c>
      <c r="L71" s="74">
        <f>المهني!BB47</f>
        <v>20</v>
      </c>
      <c r="M71" s="74">
        <f>المهني!BC47</f>
        <v>38</v>
      </c>
      <c r="N71" s="74">
        <f>المهني!BD47</f>
        <v>29</v>
      </c>
      <c r="O71" s="74">
        <f>المهني!BE47</f>
        <v>23</v>
      </c>
      <c r="P71" s="48"/>
      <c r="Q71" s="48"/>
      <c r="R71" s="74">
        <f t="shared" si="29"/>
        <v>273</v>
      </c>
      <c r="S71" s="74">
        <f t="shared" si="26"/>
        <v>183</v>
      </c>
      <c r="T71" s="74">
        <f t="shared" si="23"/>
        <v>456</v>
      </c>
    </row>
    <row r="72" spans="1:20" ht="30" customHeight="1" thickTop="1" thickBot="1">
      <c r="A72" s="373"/>
      <c r="B72" s="369" t="s">
        <v>147</v>
      </c>
      <c r="C72" s="369"/>
      <c r="D72" s="7"/>
      <c r="E72" s="7"/>
      <c r="F72" s="7"/>
      <c r="G72" s="7"/>
      <c r="H72" s="74">
        <f>المهني!BI47</f>
        <v>28</v>
      </c>
      <c r="I72" s="74">
        <f>المهني!BJ47</f>
        <v>12</v>
      </c>
      <c r="J72" s="74">
        <f>المهني!BK47</f>
        <v>62</v>
      </c>
      <c r="K72" s="74">
        <f>المهني!BL47</f>
        <v>24</v>
      </c>
      <c r="L72" s="74">
        <f>المهني!BM47</f>
        <v>149</v>
      </c>
      <c r="M72" s="74">
        <f>المهني!BN47</f>
        <v>16</v>
      </c>
      <c r="N72" s="74">
        <f>المهني!BO47</f>
        <v>224</v>
      </c>
      <c r="O72" s="74">
        <f>المهني!BP47</f>
        <v>20</v>
      </c>
      <c r="P72" s="74">
        <f>المهني!BQ47</f>
        <v>77</v>
      </c>
      <c r="Q72" s="74">
        <f>المهني!BR47</f>
        <v>23</v>
      </c>
      <c r="R72" s="74">
        <f t="shared" si="29"/>
        <v>540</v>
      </c>
      <c r="S72" s="74">
        <f t="shared" si="26"/>
        <v>95</v>
      </c>
      <c r="T72" s="74">
        <f t="shared" si="23"/>
        <v>635</v>
      </c>
    </row>
    <row r="73" spans="1:20" ht="30" customHeight="1" thickTop="1" thickBot="1">
      <c r="A73" s="374"/>
      <c r="B73" s="369" t="s">
        <v>25</v>
      </c>
      <c r="C73" s="369"/>
      <c r="D73" s="74">
        <f t="shared" ref="D73:Q73" si="30">SUM(D70:D72)</f>
        <v>213</v>
      </c>
      <c r="E73" s="74">
        <f t="shared" si="30"/>
        <v>107</v>
      </c>
      <c r="F73" s="74">
        <f t="shared" si="30"/>
        <v>237</v>
      </c>
      <c r="G73" s="74">
        <f t="shared" si="30"/>
        <v>116</v>
      </c>
      <c r="H73" s="74">
        <f t="shared" si="30"/>
        <v>207</v>
      </c>
      <c r="I73" s="74">
        <f t="shared" si="30"/>
        <v>96</v>
      </c>
      <c r="J73" s="74">
        <f t="shared" si="30"/>
        <v>223</v>
      </c>
      <c r="K73" s="74">
        <f t="shared" si="30"/>
        <v>104</v>
      </c>
      <c r="L73" s="74">
        <f t="shared" si="30"/>
        <v>284</v>
      </c>
      <c r="M73" s="74">
        <f t="shared" si="30"/>
        <v>106</v>
      </c>
      <c r="N73" s="74">
        <f t="shared" si="30"/>
        <v>253</v>
      </c>
      <c r="O73" s="74">
        <f t="shared" si="30"/>
        <v>43</v>
      </c>
      <c r="P73" s="74">
        <f t="shared" si="30"/>
        <v>77</v>
      </c>
      <c r="Q73" s="74">
        <f t="shared" si="30"/>
        <v>23</v>
      </c>
      <c r="R73" s="74">
        <f t="shared" si="29"/>
        <v>1494</v>
      </c>
      <c r="S73" s="74">
        <f t="shared" si="26"/>
        <v>595</v>
      </c>
      <c r="T73" s="74">
        <f t="shared" si="23"/>
        <v>2089</v>
      </c>
    </row>
    <row r="74" spans="1:20" ht="30" customHeight="1" thickTop="1" thickBot="1">
      <c r="A74" s="375" t="s">
        <v>139</v>
      </c>
      <c r="B74" s="369" t="s">
        <v>145</v>
      </c>
      <c r="C74" s="369"/>
      <c r="D74" s="74">
        <f>D62+D58+D54+D50+D70+D66</f>
        <v>453</v>
      </c>
      <c r="E74" s="149">
        <f>E62+E58+E54+E50+E70+E66</f>
        <v>248</v>
      </c>
      <c r="F74" s="149">
        <f t="shared" ref="F74:Q76" si="31">F62+F58+F54+F50+F70+F66</f>
        <v>390</v>
      </c>
      <c r="G74" s="149">
        <f t="shared" si="31"/>
        <v>228</v>
      </c>
      <c r="H74" s="149">
        <f t="shared" si="31"/>
        <v>365</v>
      </c>
      <c r="I74" s="149">
        <f t="shared" si="31"/>
        <v>175</v>
      </c>
      <c r="J74" s="149">
        <f t="shared" si="31"/>
        <v>222</v>
      </c>
      <c r="K74" s="149">
        <f t="shared" si="31"/>
        <v>98</v>
      </c>
      <c r="L74" s="149">
        <f t="shared" si="31"/>
        <v>194</v>
      </c>
      <c r="M74" s="149">
        <f t="shared" si="31"/>
        <v>126</v>
      </c>
      <c r="N74" s="7">
        <f t="shared" si="31"/>
        <v>0</v>
      </c>
      <c r="O74" s="7">
        <f t="shared" si="31"/>
        <v>0</v>
      </c>
      <c r="P74" s="7">
        <f t="shared" si="31"/>
        <v>0</v>
      </c>
      <c r="Q74" s="7">
        <f t="shared" si="31"/>
        <v>0</v>
      </c>
      <c r="R74" s="74">
        <f>P74+N74+L74+J74+H74+F74+D74</f>
        <v>1624</v>
      </c>
      <c r="S74" s="74">
        <f t="shared" si="26"/>
        <v>875</v>
      </c>
      <c r="T74" s="74">
        <f t="shared" si="23"/>
        <v>2499</v>
      </c>
    </row>
    <row r="75" spans="1:20" ht="30" customHeight="1" thickTop="1" thickBot="1">
      <c r="A75" s="375"/>
      <c r="B75" s="369" t="s">
        <v>146</v>
      </c>
      <c r="C75" s="369"/>
      <c r="D75" s="7">
        <f t="shared" ref="D75:E75" si="32">D63+D59+D55+D51+D71+D67</f>
        <v>0</v>
      </c>
      <c r="E75" s="7">
        <f t="shared" si="32"/>
        <v>0</v>
      </c>
      <c r="F75" s="149">
        <f t="shared" si="31"/>
        <v>223</v>
      </c>
      <c r="G75" s="149">
        <f t="shared" si="31"/>
        <v>120</v>
      </c>
      <c r="H75" s="149">
        <f t="shared" si="31"/>
        <v>191</v>
      </c>
      <c r="I75" s="149">
        <f t="shared" ref="I75:O75" si="33">I63+I59+I55+I51+I71+I67</f>
        <v>89</v>
      </c>
      <c r="J75" s="149">
        <f t="shared" si="33"/>
        <v>233</v>
      </c>
      <c r="K75" s="149">
        <f t="shared" si="33"/>
        <v>110</v>
      </c>
      <c r="L75" s="149">
        <f t="shared" si="33"/>
        <v>130</v>
      </c>
      <c r="M75" s="149">
        <f t="shared" si="33"/>
        <v>84</v>
      </c>
      <c r="N75" s="149">
        <f t="shared" si="33"/>
        <v>82</v>
      </c>
      <c r="O75" s="149">
        <f t="shared" si="33"/>
        <v>101</v>
      </c>
      <c r="P75" s="7">
        <f t="shared" si="31"/>
        <v>0</v>
      </c>
      <c r="Q75" s="7">
        <f t="shared" si="31"/>
        <v>0</v>
      </c>
      <c r="R75" s="74">
        <f>P75+N75+L75+J75+H75+F75+D75</f>
        <v>859</v>
      </c>
      <c r="S75" s="74">
        <f t="shared" si="26"/>
        <v>504</v>
      </c>
      <c r="T75" s="74">
        <f t="shared" si="23"/>
        <v>1363</v>
      </c>
    </row>
    <row r="76" spans="1:20" ht="30" customHeight="1" thickTop="1" thickBot="1">
      <c r="A76" s="375"/>
      <c r="B76" s="369" t="s">
        <v>147</v>
      </c>
      <c r="C76" s="369"/>
      <c r="D76" s="7">
        <f t="shared" ref="D76:G76" si="34">D64+D60+D56+D52+D72+D68</f>
        <v>0</v>
      </c>
      <c r="E76" s="7">
        <f t="shared" si="34"/>
        <v>0</v>
      </c>
      <c r="F76" s="7">
        <f t="shared" si="34"/>
        <v>0</v>
      </c>
      <c r="G76" s="7">
        <f t="shared" si="34"/>
        <v>0</v>
      </c>
      <c r="H76" s="149">
        <f t="shared" si="31"/>
        <v>103</v>
      </c>
      <c r="I76" s="149">
        <f t="shared" si="31"/>
        <v>70</v>
      </c>
      <c r="J76" s="149">
        <f t="shared" si="31"/>
        <v>188</v>
      </c>
      <c r="K76" s="149">
        <f t="shared" si="31"/>
        <v>76</v>
      </c>
      <c r="L76" s="149">
        <f t="shared" si="31"/>
        <v>305</v>
      </c>
      <c r="M76" s="149">
        <f t="shared" si="31"/>
        <v>74</v>
      </c>
      <c r="N76" s="149">
        <f t="shared" si="31"/>
        <v>408</v>
      </c>
      <c r="O76" s="149">
        <f t="shared" si="31"/>
        <v>81</v>
      </c>
      <c r="P76" s="149">
        <f t="shared" si="31"/>
        <v>195</v>
      </c>
      <c r="Q76" s="149">
        <f t="shared" si="31"/>
        <v>56</v>
      </c>
      <c r="R76" s="74">
        <f t="shared" si="29"/>
        <v>1199</v>
      </c>
      <c r="S76" s="74">
        <f t="shared" si="26"/>
        <v>357</v>
      </c>
      <c r="T76" s="74">
        <f t="shared" si="23"/>
        <v>1556</v>
      </c>
    </row>
    <row r="77" spans="1:20" ht="30" customHeight="1" thickTop="1" thickBot="1">
      <c r="A77" s="375"/>
      <c r="B77" s="369" t="s">
        <v>25</v>
      </c>
      <c r="C77" s="369"/>
      <c r="D77" s="74">
        <f t="shared" ref="D77:Q77" si="35">D76+D75+D74</f>
        <v>453</v>
      </c>
      <c r="E77" s="74">
        <f t="shared" si="35"/>
        <v>248</v>
      </c>
      <c r="F77" s="74">
        <f t="shared" si="35"/>
        <v>613</v>
      </c>
      <c r="G77" s="74">
        <f t="shared" si="35"/>
        <v>348</v>
      </c>
      <c r="H77" s="74">
        <f t="shared" si="35"/>
        <v>659</v>
      </c>
      <c r="I77" s="74">
        <f t="shared" si="35"/>
        <v>334</v>
      </c>
      <c r="J77" s="74">
        <f t="shared" si="35"/>
        <v>643</v>
      </c>
      <c r="K77" s="74">
        <f t="shared" si="35"/>
        <v>284</v>
      </c>
      <c r="L77" s="74">
        <f t="shared" si="35"/>
        <v>629</v>
      </c>
      <c r="M77" s="74">
        <f t="shared" si="35"/>
        <v>284</v>
      </c>
      <c r="N77" s="74">
        <f t="shared" si="35"/>
        <v>490</v>
      </c>
      <c r="O77" s="74">
        <f t="shared" si="35"/>
        <v>182</v>
      </c>
      <c r="P77" s="74">
        <f t="shared" si="35"/>
        <v>195</v>
      </c>
      <c r="Q77" s="74">
        <f t="shared" si="35"/>
        <v>56</v>
      </c>
      <c r="R77" s="74">
        <f t="shared" si="29"/>
        <v>3682</v>
      </c>
      <c r="S77" s="74">
        <f t="shared" si="26"/>
        <v>1736</v>
      </c>
      <c r="T77" s="74">
        <f t="shared" si="23"/>
        <v>5418</v>
      </c>
    </row>
    <row r="78" spans="1:20" ht="30" customHeight="1" thickTop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</row>
    <row r="79" spans="1:20" ht="30" customHeight="1">
      <c r="A79" s="376" t="s">
        <v>111</v>
      </c>
      <c r="B79" s="376"/>
      <c r="C79" s="376"/>
      <c r="D79" s="376"/>
      <c r="E79" s="376"/>
      <c r="F79" s="376"/>
      <c r="G79" s="76"/>
      <c r="H79" s="76"/>
      <c r="I79" s="76"/>
      <c r="J79" s="40"/>
      <c r="K79" s="40"/>
      <c r="L79" s="40"/>
      <c r="M79" s="40"/>
      <c r="N79" s="40"/>
      <c r="O79" s="40"/>
      <c r="P79" s="40"/>
      <c r="Q79" s="40"/>
      <c r="R79" s="40"/>
      <c r="S79" s="376" t="s">
        <v>112</v>
      </c>
      <c r="T79" s="376"/>
    </row>
    <row r="80" spans="1:20" ht="30" customHeight="1">
      <c r="A80" s="377" t="s">
        <v>188</v>
      </c>
      <c r="B80" s="377"/>
      <c r="C80" s="377"/>
      <c r="D80" s="377"/>
      <c r="E80" s="377"/>
      <c r="F80" s="377"/>
      <c r="G80" s="76"/>
      <c r="H80" s="377" t="s">
        <v>186</v>
      </c>
      <c r="I80" s="377"/>
      <c r="J80" s="377"/>
      <c r="K80" s="377"/>
      <c r="L80" s="377"/>
      <c r="M80" s="40"/>
      <c r="N80" s="40"/>
      <c r="O80" s="40"/>
      <c r="P80" s="76"/>
      <c r="Q80" s="76"/>
      <c r="R80" s="40"/>
      <c r="S80" s="40"/>
      <c r="T80" s="40"/>
    </row>
    <row r="81" spans="1:20" ht="30" customHeight="1">
      <c r="A81" s="376" t="s">
        <v>140</v>
      </c>
      <c r="B81" s="376"/>
      <c r="C81" s="376"/>
      <c r="D81" s="376"/>
      <c r="E81" s="376"/>
      <c r="F81" s="376"/>
      <c r="G81" s="376"/>
      <c r="H81" s="376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</row>
    <row r="82" spans="1:20" ht="30" customHeight="1">
      <c r="A82" s="376" t="s">
        <v>536</v>
      </c>
      <c r="B82" s="376"/>
      <c r="C82" s="376"/>
      <c r="D82" s="376"/>
      <c r="E82" s="376"/>
      <c r="F82" s="376"/>
      <c r="G82" s="376"/>
      <c r="H82" s="376"/>
      <c r="I82" s="376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T82" s="376"/>
    </row>
    <row r="83" spans="1:20" ht="30" customHeight="1">
      <c r="A83" s="376" t="s">
        <v>141</v>
      </c>
      <c r="B83" s="376"/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</row>
    <row r="84" spans="1:20" ht="30" customHeight="1" thickBo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</row>
    <row r="85" spans="1:20" ht="30" customHeight="1" thickTop="1" thickBot="1">
      <c r="A85" s="382" t="s">
        <v>115</v>
      </c>
      <c r="B85" s="382" t="s">
        <v>142</v>
      </c>
      <c r="C85" s="382"/>
      <c r="D85" s="378" t="s">
        <v>127</v>
      </c>
      <c r="E85" s="380"/>
      <c r="F85" s="378" t="s">
        <v>128</v>
      </c>
      <c r="G85" s="380"/>
      <c r="H85" s="378" t="s">
        <v>129</v>
      </c>
      <c r="I85" s="380"/>
      <c r="J85" s="378" t="s">
        <v>130</v>
      </c>
      <c r="K85" s="380"/>
      <c r="L85" s="378" t="s">
        <v>131</v>
      </c>
      <c r="M85" s="380"/>
      <c r="N85" s="378" t="s">
        <v>143</v>
      </c>
      <c r="O85" s="380"/>
      <c r="P85" s="378" t="s">
        <v>144</v>
      </c>
      <c r="Q85" s="380"/>
      <c r="R85" s="378" t="s">
        <v>25</v>
      </c>
      <c r="S85" s="379"/>
      <c r="T85" s="380"/>
    </row>
    <row r="86" spans="1:20" ht="30" customHeight="1" thickTop="1" thickBot="1">
      <c r="A86" s="382"/>
      <c r="B86" s="382"/>
      <c r="C86" s="382"/>
      <c r="D86" s="12" t="s">
        <v>5</v>
      </c>
      <c r="E86" s="12" t="s">
        <v>6</v>
      </c>
      <c r="F86" s="12" t="s">
        <v>5</v>
      </c>
      <c r="G86" s="12" t="s">
        <v>6</v>
      </c>
      <c r="H86" s="12" t="s">
        <v>5</v>
      </c>
      <c r="I86" s="12" t="s">
        <v>6</v>
      </c>
      <c r="J86" s="12" t="s">
        <v>5</v>
      </c>
      <c r="K86" s="12" t="s">
        <v>6</v>
      </c>
      <c r="L86" s="12" t="s">
        <v>5</v>
      </c>
      <c r="M86" s="12" t="s">
        <v>6</v>
      </c>
      <c r="N86" s="12" t="s">
        <v>5</v>
      </c>
      <c r="O86" s="12" t="s">
        <v>6</v>
      </c>
      <c r="P86" s="12" t="s">
        <v>5</v>
      </c>
      <c r="Q86" s="12" t="s">
        <v>6</v>
      </c>
      <c r="R86" s="12" t="s">
        <v>5</v>
      </c>
      <c r="S86" s="12" t="s">
        <v>6</v>
      </c>
      <c r="T86" s="12" t="s">
        <v>25</v>
      </c>
    </row>
    <row r="87" spans="1:20" ht="30" customHeight="1" thickTop="1" thickBot="1">
      <c r="A87" s="381" t="s">
        <v>123</v>
      </c>
      <c r="B87" s="382" t="s">
        <v>145</v>
      </c>
      <c r="C87" s="382"/>
      <c r="D87" s="12">
        <f>المهني!AI15</f>
        <v>24</v>
      </c>
      <c r="E87" s="12">
        <f>المهني!AJ15</f>
        <v>0</v>
      </c>
      <c r="F87" s="12">
        <f>المهني!AK15</f>
        <v>9</v>
      </c>
      <c r="G87" s="12">
        <f>المهني!AL15</f>
        <v>0</v>
      </c>
      <c r="H87" s="12">
        <f>المهني!AM15</f>
        <v>7</v>
      </c>
      <c r="I87" s="12">
        <f>المهني!AN15</f>
        <v>0</v>
      </c>
      <c r="J87" s="12">
        <f>المهني!AO15</f>
        <v>11</v>
      </c>
      <c r="K87" s="12">
        <f>المهني!AP15</f>
        <v>0</v>
      </c>
      <c r="L87" s="12">
        <f>المهني!AQ15</f>
        <v>2</v>
      </c>
      <c r="M87" s="12">
        <f>المهني!AR15</f>
        <v>0</v>
      </c>
      <c r="N87" s="77">
        <v>0</v>
      </c>
      <c r="O87" s="77">
        <v>0</v>
      </c>
      <c r="P87" s="77">
        <v>0</v>
      </c>
      <c r="Q87" s="77">
        <v>0</v>
      </c>
      <c r="R87" s="12">
        <f t="shared" ref="R87:S89" si="36">P87+N87+L87+J87+H87+F87+D87</f>
        <v>53</v>
      </c>
      <c r="S87" s="12">
        <f t="shared" si="36"/>
        <v>0</v>
      </c>
      <c r="T87" s="12">
        <f>S87+R87</f>
        <v>53</v>
      </c>
    </row>
    <row r="88" spans="1:20" ht="30" customHeight="1" thickTop="1" thickBot="1">
      <c r="A88" s="381"/>
      <c r="B88" s="382" t="s">
        <v>146</v>
      </c>
      <c r="C88" s="382"/>
      <c r="D88" s="78"/>
      <c r="E88" s="78"/>
      <c r="F88" s="12">
        <f>المهني!AV15</f>
        <v>12</v>
      </c>
      <c r="G88" s="12">
        <f>المهني!AW15</f>
        <v>0</v>
      </c>
      <c r="H88" s="12">
        <f>المهني!AX15</f>
        <v>7</v>
      </c>
      <c r="I88" s="12">
        <f>المهني!AY15</f>
        <v>0</v>
      </c>
      <c r="J88" s="12">
        <f>المهني!AZ15</f>
        <v>13</v>
      </c>
      <c r="K88" s="12">
        <f>المهني!BA15</f>
        <v>0</v>
      </c>
      <c r="L88" s="12">
        <f>المهني!BB15</f>
        <v>4</v>
      </c>
      <c r="M88" s="12">
        <f>المهني!BC15</f>
        <v>0</v>
      </c>
      <c r="N88" s="79">
        <f>المهني!BD15</f>
        <v>2</v>
      </c>
      <c r="O88" s="79">
        <f>المهني!BE15</f>
        <v>0</v>
      </c>
      <c r="P88" s="77">
        <v>0</v>
      </c>
      <c r="Q88" s="77">
        <v>0</v>
      </c>
      <c r="R88" s="12">
        <f t="shared" si="36"/>
        <v>38</v>
      </c>
      <c r="S88" s="12">
        <f t="shared" si="36"/>
        <v>0</v>
      </c>
      <c r="T88" s="12">
        <f>S88+R88</f>
        <v>38</v>
      </c>
    </row>
    <row r="89" spans="1:20" ht="30" customHeight="1" thickTop="1" thickBot="1">
      <c r="A89" s="381"/>
      <c r="B89" s="382" t="s">
        <v>147</v>
      </c>
      <c r="C89" s="382"/>
      <c r="D89" s="78"/>
      <c r="E89" s="78"/>
      <c r="F89" s="78"/>
      <c r="G89" s="78"/>
      <c r="H89" s="12">
        <f>المهني!BI15</f>
        <v>6</v>
      </c>
      <c r="I89" s="12">
        <f>المهني!BJ15</f>
        <v>0</v>
      </c>
      <c r="J89" s="12">
        <f>المهني!BK15</f>
        <v>14</v>
      </c>
      <c r="K89" s="12">
        <f>المهني!BL15</f>
        <v>0</v>
      </c>
      <c r="L89" s="12">
        <f>المهني!BM15</f>
        <v>14</v>
      </c>
      <c r="M89" s="12">
        <f>المهني!BN15</f>
        <v>0</v>
      </c>
      <c r="N89" s="79">
        <f>المهني!BO15</f>
        <v>5</v>
      </c>
      <c r="O89" s="79">
        <f>المهني!BP15</f>
        <v>0</v>
      </c>
      <c r="P89" s="79">
        <f>المهني!BQ15</f>
        <v>1</v>
      </c>
      <c r="Q89" s="79">
        <f>المهني!BR15</f>
        <v>0</v>
      </c>
      <c r="R89" s="12">
        <f t="shared" si="36"/>
        <v>40</v>
      </c>
      <c r="S89" s="12">
        <f t="shared" si="36"/>
        <v>0</v>
      </c>
      <c r="T89" s="12">
        <f>S89+R89</f>
        <v>40</v>
      </c>
    </row>
    <row r="90" spans="1:20" ht="30" customHeight="1" thickTop="1" thickBot="1">
      <c r="A90" s="381"/>
      <c r="B90" s="382" t="s">
        <v>25</v>
      </c>
      <c r="C90" s="382"/>
      <c r="D90" s="12">
        <f t="shared" ref="D90:T90" si="37">D89+D88+D87</f>
        <v>24</v>
      </c>
      <c r="E90" s="12">
        <f t="shared" si="37"/>
        <v>0</v>
      </c>
      <c r="F90" s="12">
        <f t="shared" si="37"/>
        <v>21</v>
      </c>
      <c r="G90" s="12">
        <f t="shared" si="37"/>
        <v>0</v>
      </c>
      <c r="H90" s="12">
        <f t="shared" si="37"/>
        <v>20</v>
      </c>
      <c r="I90" s="12">
        <f t="shared" si="37"/>
        <v>0</v>
      </c>
      <c r="J90" s="12">
        <f t="shared" si="37"/>
        <v>38</v>
      </c>
      <c r="K90" s="12">
        <f t="shared" si="37"/>
        <v>0</v>
      </c>
      <c r="L90" s="12">
        <f t="shared" si="37"/>
        <v>20</v>
      </c>
      <c r="M90" s="12">
        <f t="shared" si="37"/>
        <v>0</v>
      </c>
      <c r="N90" s="12">
        <f t="shared" si="37"/>
        <v>7</v>
      </c>
      <c r="O90" s="12">
        <f t="shared" si="37"/>
        <v>0</v>
      </c>
      <c r="P90" s="12">
        <f t="shared" si="37"/>
        <v>1</v>
      </c>
      <c r="Q90" s="12">
        <f t="shared" si="37"/>
        <v>0</v>
      </c>
      <c r="R90" s="12">
        <f t="shared" si="37"/>
        <v>131</v>
      </c>
      <c r="S90" s="12">
        <f t="shared" si="37"/>
        <v>0</v>
      </c>
      <c r="T90" s="12">
        <f t="shared" si="37"/>
        <v>131</v>
      </c>
    </row>
    <row r="91" spans="1:20" ht="30" customHeight="1" thickTop="1" thickBot="1">
      <c r="A91" s="381" t="s">
        <v>124</v>
      </c>
      <c r="B91" s="382" t="s">
        <v>145</v>
      </c>
      <c r="C91" s="382"/>
      <c r="D91" s="12">
        <f>المهني!AI31</f>
        <v>8</v>
      </c>
      <c r="E91" s="12">
        <f>المهني!AJ31</f>
        <v>0</v>
      </c>
      <c r="F91" s="12">
        <f>المهني!AK31</f>
        <v>19</v>
      </c>
      <c r="G91" s="12">
        <f>المهني!AL31</f>
        <v>0</v>
      </c>
      <c r="H91" s="12">
        <f>المهني!AM31</f>
        <v>9</v>
      </c>
      <c r="I91" s="12">
        <f>المهني!AN31</f>
        <v>0</v>
      </c>
      <c r="J91" s="12">
        <f>المهني!AO31</f>
        <v>10</v>
      </c>
      <c r="K91" s="12">
        <f>المهني!AP31</f>
        <v>0</v>
      </c>
      <c r="L91" s="12">
        <f>المهني!AQ31</f>
        <v>8</v>
      </c>
      <c r="M91" s="12">
        <f>المهني!AR31</f>
        <v>0</v>
      </c>
      <c r="N91" s="77">
        <v>0</v>
      </c>
      <c r="O91" s="77">
        <v>0</v>
      </c>
      <c r="P91" s="77">
        <v>0</v>
      </c>
      <c r="Q91" s="77">
        <v>0</v>
      </c>
      <c r="R91" s="12">
        <f t="shared" ref="R91:S98" si="38">P91+N91+L91+J91+H91+F91+D91</f>
        <v>54</v>
      </c>
      <c r="S91" s="12">
        <f t="shared" si="38"/>
        <v>0</v>
      </c>
      <c r="T91" s="12">
        <f t="shared" ref="T91:T114" si="39">S91+R91</f>
        <v>54</v>
      </c>
    </row>
    <row r="92" spans="1:20" ht="30" customHeight="1" thickTop="1" thickBot="1">
      <c r="A92" s="381"/>
      <c r="B92" s="382" t="s">
        <v>146</v>
      </c>
      <c r="C92" s="382"/>
      <c r="D92" s="78"/>
      <c r="E92" s="78"/>
      <c r="F92" s="12">
        <f>المهني!AV31</f>
        <v>5</v>
      </c>
      <c r="G92" s="12">
        <f>المهني!AW31</f>
        <v>0</v>
      </c>
      <c r="H92" s="12">
        <f>المهني!AX31</f>
        <v>4</v>
      </c>
      <c r="I92" s="12">
        <f>المهني!AY31</f>
        <v>0</v>
      </c>
      <c r="J92" s="12">
        <f>المهني!AZ31</f>
        <v>10</v>
      </c>
      <c r="K92" s="12">
        <f>المهني!BA31</f>
        <v>0</v>
      </c>
      <c r="L92" s="12">
        <f>المهني!BB31</f>
        <v>4</v>
      </c>
      <c r="M92" s="12">
        <f>المهني!BC31</f>
        <v>0</v>
      </c>
      <c r="N92" s="79">
        <f>المهني!BD31</f>
        <v>2</v>
      </c>
      <c r="O92" s="79">
        <f>المهني!BE31</f>
        <v>0</v>
      </c>
      <c r="P92" s="77">
        <v>0</v>
      </c>
      <c r="Q92" s="77">
        <v>0</v>
      </c>
      <c r="R92" s="12">
        <f t="shared" si="38"/>
        <v>25</v>
      </c>
      <c r="S92" s="12">
        <f t="shared" si="38"/>
        <v>0</v>
      </c>
      <c r="T92" s="12">
        <f t="shared" si="39"/>
        <v>25</v>
      </c>
    </row>
    <row r="93" spans="1:20" ht="30" customHeight="1" thickTop="1" thickBot="1">
      <c r="A93" s="381"/>
      <c r="B93" s="382" t="s">
        <v>147</v>
      </c>
      <c r="C93" s="382"/>
      <c r="D93" s="78"/>
      <c r="E93" s="78"/>
      <c r="F93" s="78"/>
      <c r="G93" s="78"/>
      <c r="H93" s="12">
        <f>المهني!BI31</f>
        <v>0</v>
      </c>
      <c r="I93" s="12">
        <f>المهني!BJ31</f>
        <v>0</v>
      </c>
      <c r="J93" s="12">
        <f>المهني!BK31</f>
        <v>8</v>
      </c>
      <c r="K93" s="12">
        <f>المهني!BL31</f>
        <v>0</v>
      </c>
      <c r="L93" s="12">
        <f>المهني!BM31</f>
        <v>9</v>
      </c>
      <c r="M93" s="12">
        <f>المهني!BN31</f>
        <v>0</v>
      </c>
      <c r="N93" s="79">
        <f>المهني!BO31</f>
        <v>8</v>
      </c>
      <c r="O93" s="79">
        <f>المهني!BP31</f>
        <v>0</v>
      </c>
      <c r="P93" s="79">
        <f>المهني!BQ31</f>
        <v>8</v>
      </c>
      <c r="Q93" s="79">
        <f>المهني!BR31</f>
        <v>0</v>
      </c>
      <c r="R93" s="12">
        <f t="shared" si="38"/>
        <v>33</v>
      </c>
      <c r="S93" s="12">
        <f t="shared" si="38"/>
        <v>0</v>
      </c>
      <c r="T93" s="12">
        <f t="shared" si="39"/>
        <v>33</v>
      </c>
    </row>
    <row r="94" spans="1:20" ht="30" customHeight="1" thickTop="1" thickBot="1">
      <c r="A94" s="381"/>
      <c r="B94" s="382" t="s">
        <v>25</v>
      </c>
      <c r="C94" s="382"/>
      <c r="D94" s="12">
        <f t="shared" ref="D94:Q94" si="40">D93+D92+D91</f>
        <v>8</v>
      </c>
      <c r="E94" s="12">
        <f t="shared" si="40"/>
        <v>0</v>
      </c>
      <c r="F94" s="12">
        <f t="shared" si="40"/>
        <v>24</v>
      </c>
      <c r="G94" s="12">
        <f t="shared" si="40"/>
        <v>0</v>
      </c>
      <c r="H94" s="12">
        <f t="shared" si="40"/>
        <v>13</v>
      </c>
      <c r="I94" s="12">
        <f t="shared" si="40"/>
        <v>0</v>
      </c>
      <c r="J94" s="12">
        <f t="shared" si="40"/>
        <v>28</v>
      </c>
      <c r="K94" s="12">
        <f t="shared" si="40"/>
        <v>0</v>
      </c>
      <c r="L94" s="12">
        <f t="shared" si="40"/>
        <v>21</v>
      </c>
      <c r="M94" s="12">
        <f t="shared" si="40"/>
        <v>0</v>
      </c>
      <c r="N94" s="12">
        <f t="shared" si="40"/>
        <v>10</v>
      </c>
      <c r="O94" s="12">
        <f t="shared" si="40"/>
        <v>0</v>
      </c>
      <c r="P94" s="12">
        <f t="shared" si="40"/>
        <v>8</v>
      </c>
      <c r="Q94" s="12">
        <f t="shared" si="40"/>
        <v>0</v>
      </c>
      <c r="R94" s="12">
        <f t="shared" si="38"/>
        <v>112</v>
      </c>
      <c r="S94" s="12">
        <f t="shared" si="38"/>
        <v>0</v>
      </c>
      <c r="T94" s="12">
        <f t="shared" si="39"/>
        <v>112</v>
      </c>
    </row>
    <row r="95" spans="1:20" ht="30" customHeight="1" thickTop="1" thickBot="1">
      <c r="A95" s="381" t="s">
        <v>125</v>
      </c>
      <c r="B95" s="382" t="s">
        <v>145</v>
      </c>
      <c r="C95" s="382"/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77">
        <v>0</v>
      </c>
      <c r="O95" s="77">
        <v>0</v>
      </c>
      <c r="P95" s="77">
        <v>0</v>
      </c>
      <c r="Q95" s="77">
        <v>0</v>
      </c>
      <c r="R95" s="12">
        <f t="shared" si="38"/>
        <v>0</v>
      </c>
      <c r="S95" s="12">
        <f t="shared" si="38"/>
        <v>0</v>
      </c>
      <c r="T95" s="12">
        <f t="shared" si="39"/>
        <v>0</v>
      </c>
    </row>
    <row r="96" spans="1:20" ht="30" customHeight="1" thickTop="1" thickBot="1">
      <c r="A96" s="381"/>
      <c r="B96" s="382" t="s">
        <v>146</v>
      </c>
      <c r="C96" s="382"/>
      <c r="D96" s="78"/>
      <c r="E96" s="78"/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79">
        <v>0</v>
      </c>
      <c r="O96" s="79">
        <v>0</v>
      </c>
      <c r="P96" s="77">
        <v>0</v>
      </c>
      <c r="Q96" s="77">
        <v>0</v>
      </c>
      <c r="R96" s="12">
        <f t="shared" si="38"/>
        <v>0</v>
      </c>
      <c r="S96" s="12">
        <f t="shared" si="38"/>
        <v>0</v>
      </c>
      <c r="T96" s="12">
        <f t="shared" si="39"/>
        <v>0</v>
      </c>
    </row>
    <row r="97" spans="1:20" ht="30" customHeight="1" thickTop="1" thickBot="1">
      <c r="A97" s="381"/>
      <c r="B97" s="382" t="s">
        <v>147</v>
      </c>
      <c r="C97" s="382"/>
      <c r="D97" s="78"/>
      <c r="E97" s="78"/>
      <c r="F97" s="78"/>
      <c r="G97" s="78"/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79">
        <v>0</v>
      </c>
      <c r="O97" s="79">
        <v>0</v>
      </c>
      <c r="P97" s="79">
        <v>0</v>
      </c>
      <c r="Q97" s="79">
        <v>0</v>
      </c>
      <c r="R97" s="12">
        <f t="shared" si="38"/>
        <v>0</v>
      </c>
      <c r="S97" s="12">
        <f t="shared" si="38"/>
        <v>0</v>
      </c>
      <c r="T97" s="12">
        <f t="shared" si="39"/>
        <v>0</v>
      </c>
    </row>
    <row r="98" spans="1:20" ht="30" customHeight="1" thickTop="1" thickBot="1">
      <c r="A98" s="381"/>
      <c r="B98" s="382" t="s">
        <v>25</v>
      </c>
      <c r="C98" s="382"/>
      <c r="D98" s="12">
        <f t="shared" ref="D98:Q98" si="41">D97+D96+D95</f>
        <v>0</v>
      </c>
      <c r="E98" s="12">
        <f t="shared" si="41"/>
        <v>0</v>
      </c>
      <c r="F98" s="12">
        <f t="shared" si="41"/>
        <v>0</v>
      </c>
      <c r="G98" s="12">
        <f t="shared" si="41"/>
        <v>0</v>
      </c>
      <c r="H98" s="12">
        <f t="shared" si="41"/>
        <v>0</v>
      </c>
      <c r="I98" s="12">
        <f t="shared" si="41"/>
        <v>0</v>
      </c>
      <c r="J98" s="12">
        <f t="shared" si="41"/>
        <v>0</v>
      </c>
      <c r="K98" s="12">
        <f t="shared" si="41"/>
        <v>0</v>
      </c>
      <c r="L98" s="12">
        <f t="shared" si="41"/>
        <v>0</v>
      </c>
      <c r="M98" s="12">
        <f t="shared" si="41"/>
        <v>0</v>
      </c>
      <c r="N98" s="12">
        <f t="shared" si="41"/>
        <v>0</v>
      </c>
      <c r="O98" s="12">
        <f t="shared" si="41"/>
        <v>0</v>
      </c>
      <c r="P98" s="12">
        <f t="shared" si="41"/>
        <v>0</v>
      </c>
      <c r="Q98" s="12">
        <f t="shared" si="41"/>
        <v>0</v>
      </c>
      <c r="R98" s="12">
        <f t="shared" si="38"/>
        <v>0</v>
      </c>
      <c r="S98" s="12">
        <f t="shared" si="38"/>
        <v>0</v>
      </c>
      <c r="T98" s="12">
        <f t="shared" si="39"/>
        <v>0</v>
      </c>
    </row>
    <row r="99" spans="1:20" ht="30" customHeight="1" thickTop="1" thickBot="1">
      <c r="A99" s="381" t="s">
        <v>216</v>
      </c>
      <c r="B99" s="382" t="s">
        <v>145</v>
      </c>
      <c r="C99" s="382"/>
      <c r="D99" s="80"/>
      <c r="E99" s="81">
        <v>0</v>
      </c>
      <c r="F99" s="80"/>
      <c r="G99" s="81">
        <v>0</v>
      </c>
      <c r="H99" s="80"/>
      <c r="I99" s="81">
        <v>0</v>
      </c>
      <c r="J99" s="80"/>
      <c r="K99" s="81">
        <v>0</v>
      </c>
      <c r="L99" s="80"/>
      <c r="M99" s="81">
        <v>0</v>
      </c>
      <c r="N99" s="80"/>
      <c r="O99" s="77">
        <v>0</v>
      </c>
      <c r="P99" s="80"/>
      <c r="Q99" s="77">
        <v>0</v>
      </c>
      <c r="R99" s="80"/>
      <c r="S99" s="12">
        <f t="shared" ref="S99:S114" si="42">Q99+O99+M99+K99+I99+G99+E99</f>
        <v>0</v>
      </c>
      <c r="T99" s="12">
        <f t="shared" si="39"/>
        <v>0</v>
      </c>
    </row>
    <row r="100" spans="1:20" ht="30" customHeight="1" thickTop="1" thickBot="1">
      <c r="A100" s="381"/>
      <c r="B100" s="382" t="s">
        <v>146</v>
      </c>
      <c r="C100" s="382"/>
      <c r="D100" s="80"/>
      <c r="E100" s="78"/>
      <c r="F100" s="80"/>
      <c r="G100" s="12">
        <v>0</v>
      </c>
      <c r="H100" s="80"/>
      <c r="I100" s="81">
        <v>0</v>
      </c>
      <c r="J100" s="80"/>
      <c r="K100" s="81">
        <v>0</v>
      </c>
      <c r="L100" s="80"/>
      <c r="M100" s="81">
        <v>0</v>
      </c>
      <c r="N100" s="80"/>
      <c r="O100" s="79">
        <v>0</v>
      </c>
      <c r="P100" s="80"/>
      <c r="Q100" s="77">
        <v>0</v>
      </c>
      <c r="R100" s="80"/>
      <c r="S100" s="12">
        <f t="shared" si="42"/>
        <v>0</v>
      </c>
      <c r="T100" s="12">
        <f t="shared" si="39"/>
        <v>0</v>
      </c>
    </row>
    <row r="101" spans="1:20" ht="30" customHeight="1" thickTop="1" thickBot="1">
      <c r="A101" s="381"/>
      <c r="B101" s="382" t="s">
        <v>147</v>
      </c>
      <c r="C101" s="382"/>
      <c r="D101" s="80"/>
      <c r="E101" s="78"/>
      <c r="F101" s="80"/>
      <c r="G101" s="78"/>
      <c r="H101" s="80"/>
      <c r="I101" s="81">
        <v>0</v>
      </c>
      <c r="J101" s="80"/>
      <c r="K101" s="81">
        <v>0</v>
      </c>
      <c r="L101" s="80"/>
      <c r="M101" s="81">
        <v>0</v>
      </c>
      <c r="N101" s="80"/>
      <c r="O101" s="79">
        <v>0</v>
      </c>
      <c r="P101" s="80"/>
      <c r="Q101" s="79">
        <v>0</v>
      </c>
      <c r="R101" s="80"/>
      <c r="S101" s="12">
        <f t="shared" si="42"/>
        <v>0</v>
      </c>
      <c r="T101" s="12">
        <f t="shared" si="39"/>
        <v>0</v>
      </c>
    </row>
    <row r="102" spans="1:20" ht="30" customHeight="1" thickTop="1" thickBot="1">
      <c r="A102" s="381"/>
      <c r="B102" s="382" t="s">
        <v>25</v>
      </c>
      <c r="C102" s="382"/>
      <c r="D102" s="80"/>
      <c r="E102" s="81">
        <f>E101+E100+E99</f>
        <v>0</v>
      </c>
      <c r="F102" s="80"/>
      <c r="G102" s="81">
        <f>G101+G100+G99</f>
        <v>0</v>
      </c>
      <c r="H102" s="80"/>
      <c r="I102" s="81">
        <f>I101+I100+I99</f>
        <v>0</v>
      </c>
      <c r="J102" s="80"/>
      <c r="K102" s="81">
        <f>K101+K100+K99</f>
        <v>0</v>
      </c>
      <c r="L102" s="80"/>
      <c r="M102" s="81">
        <f>M101+M100+M99</f>
        <v>0</v>
      </c>
      <c r="N102" s="80"/>
      <c r="O102" s="81">
        <f>O101+O100+O99</f>
        <v>0</v>
      </c>
      <c r="P102" s="80"/>
      <c r="Q102" s="81">
        <f>Q101+Q100+Q99</f>
        <v>0</v>
      </c>
      <c r="R102" s="80"/>
      <c r="S102" s="12">
        <f>Q102+O102+M102+K102+I102+G102+E102</f>
        <v>0</v>
      </c>
      <c r="T102" s="12">
        <f t="shared" si="39"/>
        <v>0</v>
      </c>
    </row>
    <row r="103" spans="1:20" ht="30" customHeight="1" thickTop="1" thickBot="1">
      <c r="A103" s="381" t="s">
        <v>488</v>
      </c>
      <c r="B103" s="382" t="s">
        <v>145</v>
      </c>
      <c r="C103" s="3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147">
        <f t="shared" ref="R103:S106" si="43">P103+N103+L103+J103+H103+F103+D103</f>
        <v>0</v>
      </c>
      <c r="S103" s="147">
        <f t="shared" si="43"/>
        <v>0</v>
      </c>
      <c r="T103" s="147">
        <f t="shared" ref="T103:T106" si="44">S103+R103</f>
        <v>0</v>
      </c>
    </row>
    <row r="104" spans="1:20" ht="30" customHeight="1" thickTop="1" thickBot="1">
      <c r="A104" s="381"/>
      <c r="B104" s="382" t="s">
        <v>146</v>
      </c>
      <c r="C104" s="3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147">
        <f t="shared" si="43"/>
        <v>0</v>
      </c>
      <c r="S104" s="147">
        <f t="shared" si="43"/>
        <v>0</v>
      </c>
      <c r="T104" s="147">
        <f t="shared" si="44"/>
        <v>0</v>
      </c>
    </row>
    <row r="105" spans="1:20" ht="30" customHeight="1" thickTop="1" thickBot="1">
      <c r="A105" s="381"/>
      <c r="B105" s="382" t="s">
        <v>147</v>
      </c>
      <c r="C105" s="3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147">
        <f t="shared" si="43"/>
        <v>0</v>
      </c>
      <c r="S105" s="147">
        <f t="shared" si="43"/>
        <v>0</v>
      </c>
      <c r="T105" s="147">
        <f t="shared" si="44"/>
        <v>0</v>
      </c>
    </row>
    <row r="106" spans="1:20" ht="30" customHeight="1" thickTop="1" thickBot="1">
      <c r="A106" s="381"/>
      <c r="B106" s="382" t="s">
        <v>25</v>
      </c>
      <c r="C106" s="3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147">
        <f t="shared" si="43"/>
        <v>0</v>
      </c>
      <c r="S106" s="147">
        <f t="shared" si="43"/>
        <v>0</v>
      </c>
      <c r="T106" s="147">
        <f t="shared" si="44"/>
        <v>0</v>
      </c>
    </row>
    <row r="107" spans="1:20" ht="30" customHeight="1" thickTop="1" thickBot="1">
      <c r="A107" s="383" t="s">
        <v>397</v>
      </c>
      <c r="B107" s="382" t="s">
        <v>145</v>
      </c>
      <c r="C107" s="382"/>
      <c r="D107" s="12">
        <f>المهني!AI43</f>
        <v>24</v>
      </c>
      <c r="E107" s="12">
        <f>المهني!AJ43</f>
        <v>0</v>
      </c>
      <c r="F107" s="12">
        <f>المهني!AK43</f>
        <v>28</v>
      </c>
      <c r="G107" s="12">
        <f>المهني!AL43</f>
        <v>0</v>
      </c>
      <c r="H107" s="12">
        <f>المهني!AM43</f>
        <v>12</v>
      </c>
      <c r="I107" s="12">
        <f>المهني!AN43</f>
        <v>0</v>
      </c>
      <c r="J107" s="12">
        <f>المهني!AO43</f>
        <v>8</v>
      </c>
      <c r="K107" s="12">
        <f>المهني!AP43</f>
        <v>0</v>
      </c>
      <c r="L107" s="12">
        <f>المهني!AQ43</f>
        <v>5</v>
      </c>
      <c r="M107" s="12">
        <f>المهني!AR43</f>
        <v>0</v>
      </c>
      <c r="N107" s="77"/>
      <c r="O107" s="77"/>
      <c r="P107" s="77"/>
      <c r="Q107" s="77"/>
      <c r="R107" s="12">
        <f t="shared" ref="R107:R114" si="45">P107+N107+L107+J107+H107+F107+D107</f>
        <v>77</v>
      </c>
      <c r="S107" s="12">
        <f t="shared" si="42"/>
        <v>0</v>
      </c>
      <c r="T107" s="12">
        <f t="shared" si="39"/>
        <v>77</v>
      </c>
    </row>
    <row r="108" spans="1:20" ht="30" customHeight="1" thickTop="1" thickBot="1">
      <c r="A108" s="384"/>
      <c r="B108" s="382" t="s">
        <v>146</v>
      </c>
      <c r="C108" s="382"/>
      <c r="D108" s="78"/>
      <c r="E108" s="78"/>
      <c r="F108" s="12">
        <f>المهني!AV43</f>
        <v>8</v>
      </c>
      <c r="G108" s="12">
        <f>المهني!AW43</f>
        <v>0</v>
      </c>
      <c r="H108" s="12">
        <f>المهني!AX43</f>
        <v>11</v>
      </c>
      <c r="I108" s="12">
        <f>المهني!AY43</f>
        <v>0</v>
      </c>
      <c r="J108" s="12">
        <f>المهني!AZ43</f>
        <v>11</v>
      </c>
      <c r="K108" s="12">
        <f>المهني!BA43</f>
        <v>0</v>
      </c>
      <c r="L108" s="12">
        <f>المهني!BB43</f>
        <v>6</v>
      </c>
      <c r="M108" s="12">
        <f>المهني!BC43</f>
        <v>0</v>
      </c>
      <c r="N108" s="12">
        <f>المهني!BD43</f>
        <v>5</v>
      </c>
      <c r="O108" s="12">
        <f>المهني!BE43</f>
        <v>0</v>
      </c>
      <c r="P108" s="77"/>
      <c r="Q108" s="77"/>
      <c r="R108" s="12">
        <f t="shared" si="45"/>
        <v>41</v>
      </c>
      <c r="S108" s="12">
        <f t="shared" si="42"/>
        <v>0</v>
      </c>
      <c r="T108" s="12">
        <f t="shared" si="39"/>
        <v>41</v>
      </c>
    </row>
    <row r="109" spans="1:20" ht="30" customHeight="1" thickTop="1" thickBot="1">
      <c r="A109" s="384"/>
      <c r="B109" s="382" t="s">
        <v>147</v>
      </c>
      <c r="C109" s="382"/>
      <c r="D109" s="78"/>
      <c r="E109" s="78"/>
      <c r="F109" s="78"/>
      <c r="G109" s="78"/>
      <c r="H109" s="12">
        <f>المهني!BI43</f>
        <v>8</v>
      </c>
      <c r="I109" s="12">
        <f>المهني!BJ43</f>
        <v>0</v>
      </c>
      <c r="J109" s="12">
        <f>المهني!BK43</f>
        <v>19</v>
      </c>
      <c r="K109" s="12">
        <f>المهني!BL43</f>
        <v>0</v>
      </c>
      <c r="L109" s="12">
        <f>المهني!BM43</f>
        <v>6</v>
      </c>
      <c r="M109" s="12">
        <f>المهني!BN43</f>
        <v>0</v>
      </c>
      <c r="N109" s="12">
        <f>المهني!BO43</f>
        <v>5</v>
      </c>
      <c r="O109" s="12">
        <f>المهني!BP43</f>
        <v>0</v>
      </c>
      <c r="P109" s="12">
        <f>المهني!BQ43</f>
        <v>4</v>
      </c>
      <c r="Q109" s="12">
        <f>المهني!BR43</f>
        <v>0</v>
      </c>
      <c r="R109" s="12">
        <f t="shared" si="45"/>
        <v>42</v>
      </c>
      <c r="S109" s="12">
        <f t="shared" si="42"/>
        <v>0</v>
      </c>
      <c r="T109" s="12">
        <f t="shared" si="39"/>
        <v>42</v>
      </c>
    </row>
    <row r="110" spans="1:20" ht="30" customHeight="1" thickTop="1" thickBot="1">
      <c r="A110" s="385"/>
      <c r="B110" s="382" t="s">
        <v>25</v>
      </c>
      <c r="C110" s="382"/>
      <c r="D110" s="12">
        <f t="shared" ref="D110:Q110" si="46">SUM(D107:D109)</f>
        <v>24</v>
      </c>
      <c r="E110" s="12">
        <f t="shared" si="46"/>
        <v>0</v>
      </c>
      <c r="F110" s="12">
        <f t="shared" si="46"/>
        <v>36</v>
      </c>
      <c r="G110" s="12">
        <f t="shared" si="46"/>
        <v>0</v>
      </c>
      <c r="H110" s="12">
        <f t="shared" si="46"/>
        <v>31</v>
      </c>
      <c r="I110" s="12">
        <f t="shared" si="46"/>
        <v>0</v>
      </c>
      <c r="J110" s="12">
        <f t="shared" si="46"/>
        <v>38</v>
      </c>
      <c r="K110" s="12">
        <f t="shared" si="46"/>
        <v>0</v>
      </c>
      <c r="L110" s="12">
        <f t="shared" si="46"/>
        <v>17</v>
      </c>
      <c r="M110" s="12">
        <f t="shared" si="46"/>
        <v>0</v>
      </c>
      <c r="N110" s="12">
        <f t="shared" si="46"/>
        <v>10</v>
      </c>
      <c r="O110" s="12">
        <f t="shared" si="46"/>
        <v>0</v>
      </c>
      <c r="P110" s="12">
        <f t="shared" si="46"/>
        <v>4</v>
      </c>
      <c r="Q110" s="12">
        <f t="shared" si="46"/>
        <v>0</v>
      </c>
      <c r="R110" s="12">
        <f t="shared" si="45"/>
        <v>160</v>
      </c>
      <c r="S110" s="12">
        <f t="shared" si="42"/>
        <v>0</v>
      </c>
      <c r="T110" s="12">
        <f t="shared" si="39"/>
        <v>160</v>
      </c>
    </row>
    <row r="111" spans="1:20" ht="30" customHeight="1" thickTop="1" thickBot="1">
      <c r="A111" s="381" t="s">
        <v>139</v>
      </c>
      <c r="B111" s="382" t="s">
        <v>145</v>
      </c>
      <c r="C111" s="382"/>
      <c r="D111" s="12">
        <f t="shared" ref="D111:M111" si="47">D99+D95+D91+D87+D107</f>
        <v>56</v>
      </c>
      <c r="E111" s="12">
        <f t="shared" si="47"/>
        <v>0</v>
      </c>
      <c r="F111" s="12">
        <f t="shared" si="47"/>
        <v>56</v>
      </c>
      <c r="G111" s="12">
        <f t="shared" si="47"/>
        <v>0</v>
      </c>
      <c r="H111" s="12">
        <f t="shared" si="47"/>
        <v>28</v>
      </c>
      <c r="I111" s="12">
        <f t="shared" si="47"/>
        <v>0</v>
      </c>
      <c r="J111" s="12">
        <f t="shared" si="47"/>
        <v>29</v>
      </c>
      <c r="K111" s="12">
        <f t="shared" si="47"/>
        <v>0</v>
      </c>
      <c r="L111" s="12">
        <f t="shared" si="47"/>
        <v>15</v>
      </c>
      <c r="M111" s="12">
        <f t="shared" si="47"/>
        <v>0</v>
      </c>
      <c r="N111" s="77">
        <f>N99+N95+N91+N87</f>
        <v>0</v>
      </c>
      <c r="O111" s="77">
        <f>O99+O95+O91+O87</f>
        <v>0</v>
      </c>
      <c r="P111" s="77">
        <f>P99+P95+P91+P87</f>
        <v>0</v>
      </c>
      <c r="Q111" s="77">
        <f>Q99+Q95+Q91+Q87</f>
        <v>0</v>
      </c>
      <c r="R111" s="12">
        <f t="shared" si="45"/>
        <v>184</v>
      </c>
      <c r="S111" s="12">
        <f t="shared" si="42"/>
        <v>0</v>
      </c>
      <c r="T111" s="12">
        <f t="shared" si="39"/>
        <v>184</v>
      </c>
    </row>
    <row r="112" spans="1:20" ht="30" customHeight="1" thickTop="1" thickBot="1">
      <c r="A112" s="381"/>
      <c r="B112" s="382" t="s">
        <v>146</v>
      </c>
      <c r="C112" s="382"/>
      <c r="D112" s="78">
        <f>D100+D96+D92+D88</f>
        <v>0</v>
      </c>
      <c r="E112" s="78">
        <f>E100+E96+E92+E88</f>
        <v>0</v>
      </c>
      <c r="F112" s="12">
        <f t="shared" ref="F112:O112" si="48">F100+F96+F92+F88+F108</f>
        <v>25</v>
      </c>
      <c r="G112" s="12">
        <f t="shared" si="48"/>
        <v>0</v>
      </c>
      <c r="H112" s="12">
        <f t="shared" si="48"/>
        <v>22</v>
      </c>
      <c r="I112" s="12">
        <f t="shared" si="48"/>
        <v>0</v>
      </c>
      <c r="J112" s="12">
        <f t="shared" si="48"/>
        <v>34</v>
      </c>
      <c r="K112" s="12">
        <f t="shared" si="48"/>
        <v>0</v>
      </c>
      <c r="L112" s="12">
        <f t="shared" si="48"/>
        <v>14</v>
      </c>
      <c r="M112" s="12">
        <f t="shared" si="48"/>
        <v>0</v>
      </c>
      <c r="N112" s="12">
        <f t="shared" si="48"/>
        <v>9</v>
      </c>
      <c r="O112" s="12">
        <f t="shared" si="48"/>
        <v>0</v>
      </c>
      <c r="P112" s="77">
        <f>P100+P96+P92+P88</f>
        <v>0</v>
      </c>
      <c r="Q112" s="77">
        <f>Q100+Q96+Q92+Q88</f>
        <v>0</v>
      </c>
      <c r="R112" s="12">
        <f t="shared" si="45"/>
        <v>104</v>
      </c>
      <c r="S112" s="12">
        <f t="shared" si="42"/>
        <v>0</v>
      </c>
      <c r="T112" s="12">
        <f t="shared" si="39"/>
        <v>104</v>
      </c>
    </row>
    <row r="113" spans="1:20" ht="30" customHeight="1" thickTop="1" thickBot="1">
      <c r="A113" s="381"/>
      <c r="B113" s="382" t="s">
        <v>147</v>
      </c>
      <c r="C113" s="382"/>
      <c r="D113" s="78">
        <f>D101+D97+D93+D89</f>
        <v>0</v>
      </c>
      <c r="E113" s="78">
        <f>E101+E97+E93+E89</f>
        <v>0</v>
      </c>
      <c r="F113" s="78">
        <f>F101+F97+F93+F89</f>
        <v>0</v>
      </c>
      <c r="G113" s="78">
        <f>G101+G97+G93+G89</f>
        <v>0</v>
      </c>
      <c r="H113" s="12">
        <f t="shared" ref="H113:Q113" si="49">H101+H97+H93+H89+H109</f>
        <v>14</v>
      </c>
      <c r="I113" s="12">
        <f t="shared" si="49"/>
        <v>0</v>
      </c>
      <c r="J113" s="12">
        <f t="shared" si="49"/>
        <v>41</v>
      </c>
      <c r="K113" s="12">
        <f t="shared" si="49"/>
        <v>0</v>
      </c>
      <c r="L113" s="12">
        <f t="shared" si="49"/>
        <v>29</v>
      </c>
      <c r="M113" s="12">
        <f t="shared" si="49"/>
        <v>0</v>
      </c>
      <c r="N113" s="12">
        <f t="shared" si="49"/>
        <v>18</v>
      </c>
      <c r="O113" s="12">
        <f t="shared" si="49"/>
        <v>0</v>
      </c>
      <c r="P113" s="12">
        <f t="shared" si="49"/>
        <v>13</v>
      </c>
      <c r="Q113" s="12">
        <f t="shared" si="49"/>
        <v>0</v>
      </c>
      <c r="R113" s="12">
        <f t="shared" si="45"/>
        <v>115</v>
      </c>
      <c r="S113" s="12">
        <f t="shared" si="42"/>
        <v>0</v>
      </c>
      <c r="T113" s="12">
        <f t="shared" si="39"/>
        <v>115</v>
      </c>
    </row>
    <row r="114" spans="1:20" ht="30" customHeight="1" thickTop="1" thickBot="1">
      <c r="A114" s="381"/>
      <c r="B114" s="382" t="s">
        <v>25</v>
      </c>
      <c r="C114" s="382"/>
      <c r="D114" s="12">
        <f t="shared" ref="D114:Q114" si="50">D113+D112+D111</f>
        <v>56</v>
      </c>
      <c r="E114" s="12">
        <f t="shared" si="50"/>
        <v>0</v>
      </c>
      <c r="F114" s="12">
        <f t="shared" si="50"/>
        <v>81</v>
      </c>
      <c r="G114" s="12">
        <f t="shared" si="50"/>
        <v>0</v>
      </c>
      <c r="H114" s="12">
        <f t="shared" si="50"/>
        <v>64</v>
      </c>
      <c r="I114" s="12">
        <f t="shared" si="50"/>
        <v>0</v>
      </c>
      <c r="J114" s="12">
        <f t="shared" si="50"/>
        <v>104</v>
      </c>
      <c r="K114" s="12">
        <f t="shared" si="50"/>
        <v>0</v>
      </c>
      <c r="L114" s="12">
        <f t="shared" si="50"/>
        <v>58</v>
      </c>
      <c r="M114" s="12">
        <f t="shared" si="50"/>
        <v>0</v>
      </c>
      <c r="N114" s="12">
        <f t="shared" si="50"/>
        <v>27</v>
      </c>
      <c r="O114" s="12">
        <f t="shared" si="50"/>
        <v>0</v>
      </c>
      <c r="P114" s="12">
        <f t="shared" si="50"/>
        <v>13</v>
      </c>
      <c r="Q114" s="12">
        <f t="shared" si="50"/>
        <v>0</v>
      </c>
      <c r="R114" s="12">
        <f t="shared" si="45"/>
        <v>403</v>
      </c>
      <c r="S114" s="12">
        <f t="shared" si="42"/>
        <v>0</v>
      </c>
      <c r="T114" s="12">
        <f t="shared" si="39"/>
        <v>403</v>
      </c>
    </row>
    <row r="115" spans="1:20" ht="30" customHeight="1" thickTop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</row>
    <row r="116" spans="1:20" ht="30" customHeight="1">
      <c r="A116" s="328" t="s">
        <v>111</v>
      </c>
      <c r="B116" s="328"/>
      <c r="C116" s="328"/>
      <c r="D116" s="328"/>
      <c r="E116" s="328"/>
      <c r="F116" s="328"/>
      <c r="G116" s="21"/>
      <c r="H116" s="21"/>
      <c r="I116" s="21"/>
      <c r="J116" s="22"/>
      <c r="K116" s="22"/>
      <c r="L116" s="22"/>
      <c r="M116" s="22"/>
      <c r="N116" s="22"/>
      <c r="O116" s="22"/>
      <c r="P116" s="22"/>
      <c r="Q116" s="22"/>
      <c r="R116" s="22"/>
      <c r="S116" s="328" t="s">
        <v>112</v>
      </c>
      <c r="T116" s="328"/>
    </row>
    <row r="117" spans="1:20" ht="30" customHeight="1">
      <c r="A117" s="334" t="s">
        <v>188</v>
      </c>
      <c r="B117" s="334"/>
      <c r="C117" s="334"/>
      <c r="D117" s="334"/>
      <c r="E117" s="334"/>
      <c r="F117" s="334"/>
      <c r="G117" s="21"/>
      <c r="H117" s="22"/>
      <c r="I117" s="24" t="s">
        <v>187</v>
      </c>
      <c r="J117" s="24"/>
      <c r="K117" s="24"/>
      <c r="L117" s="24"/>
      <c r="M117" s="22"/>
      <c r="N117" s="22"/>
      <c r="O117" s="22"/>
      <c r="P117" s="21"/>
      <c r="Q117" s="21"/>
      <c r="R117" s="22"/>
      <c r="S117" s="22"/>
      <c r="T117" s="22"/>
    </row>
    <row r="118" spans="1:20" ht="30" customHeight="1">
      <c r="A118" s="328" t="s">
        <v>140</v>
      </c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</row>
    <row r="119" spans="1:20" ht="30" customHeight="1">
      <c r="A119" s="328" t="s">
        <v>536</v>
      </c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</row>
    <row r="120" spans="1:20" ht="30" customHeight="1">
      <c r="A120" s="328" t="s">
        <v>141</v>
      </c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</row>
    <row r="121" spans="1:20" ht="30" customHeight="1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30" customHeight="1" thickTop="1" thickBot="1">
      <c r="A122" s="369" t="s">
        <v>115</v>
      </c>
      <c r="B122" s="369" t="s">
        <v>142</v>
      </c>
      <c r="C122" s="369"/>
      <c r="D122" s="366" t="s">
        <v>127</v>
      </c>
      <c r="E122" s="367"/>
      <c r="F122" s="366" t="s">
        <v>128</v>
      </c>
      <c r="G122" s="367"/>
      <c r="H122" s="366" t="s">
        <v>129</v>
      </c>
      <c r="I122" s="367"/>
      <c r="J122" s="366" t="s">
        <v>130</v>
      </c>
      <c r="K122" s="367"/>
      <c r="L122" s="366" t="s">
        <v>131</v>
      </c>
      <c r="M122" s="367"/>
      <c r="N122" s="366" t="s">
        <v>143</v>
      </c>
      <c r="O122" s="367"/>
      <c r="P122" s="366" t="s">
        <v>144</v>
      </c>
      <c r="Q122" s="367"/>
      <c r="R122" s="366" t="s">
        <v>25</v>
      </c>
      <c r="S122" s="368"/>
      <c r="T122" s="367"/>
    </row>
    <row r="123" spans="1:20" ht="30" customHeight="1" thickTop="1" thickBot="1">
      <c r="A123" s="369"/>
      <c r="B123" s="369"/>
      <c r="C123" s="369"/>
      <c r="D123" s="4" t="s">
        <v>5</v>
      </c>
      <c r="E123" s="4" t="s">
        <v>6</v>
      </c>
      <c r="F123" s="4" t="s">
        <v>5</v>
      </c>
      <c r="G123" s="4" t="s">
        <v>6</v>
      </c>
      <c r="H123" s="4" t="s">
        <v>5</v>
      </c>
      <c r="I123" s="4" t="s">
        <v>6</v>
      </c>
      <c r="J123" s="4" t="s">
        <v>5</v>
      </c>
      <c r="K123" s="4" t="s">
        <v>6</v>
      </c>
      <c r="L123" s="4" t="s">
        <v>5</v>
      </c>
      <c r="M123" s="4" t="s">
        <v>6</v>
      </c>
      <c r="N123" s="4" t="s">
        <v>5</v>
      </c>
      <c r="O123" s="4" t="s">
        <v>6</v>
      </c>
      <c r="P123" s="4" t="s">
        <v>5</v>
      </c>
      <c r="Q123" s="4" t="s">
        <v>6</v>
      </c>
      <c r="R123" s="4" t="s">
        <v>5</v>
      </c>
      <c r="S123" s="4" t="s">
        <v>6</v>
      </c>
      <c r="T123" s="4" t="s">
        <v>25</v>
      </c>
    </row>
    <row r="124" spans="1:20" ht="30" customHeight="1" thickTop="1" thickBot="1">
      <c r="A124" s="375" t="s">
        <v>123</v>
      </c>
      <c r="B124" s="369" t="s">
        <v>145</v>
      </c>
      <c r="C124" s="369"/>
      <c r="D124" s="4">
        <f>المهني!AI19</f>
        <v>34</v>
      </c>
      <c r="E124" s="4">
        <f>المهني!AJ19</f>
        <v>15</v>
      </c>
      <c r="F124" s="4">
        <f>المهني!AK19</f>
        <v>66</v>
      </c>
      <c r="G124" s="4">
        <f>المهني!AL19</f>
        <v>13</v>
      </c>
      <c r="H124" s="4">
        <f>المهني!AM19</f>
        <v>34</v>
      </c>
      <c r="I124" s="4">
        <f>المهني!AN19</f>
        <v>5</v>
      </c>
      <c r="J124" s="4">
        <f>المهني!AO19</f>
        <v>22</v>
      </c>
      <c r="K124" s="4">
        <f>المهني!AP19</f>
        <v>10</v>
      </c>
      <c r="L124" s="4">
        <f>المهني!AQ19</f>
        <v>8</v>
      </c>
      <c r="M124" s="4">
        <f>المهني!AR19</f>
        <v>9</v>
      </c>
      <c r="N124" s="48">
        <v>0</v>
      </c>
      <c r="O124" s="48">
        <v>0</v>
      </c>
      <c r="P124" s="48">
        <v>0</v>
      </c>
      <c r="Q124" s="48">
        <v>0</v>
      </c>
      <c r="R124" s="4">
        <f t="shared" ref="R124:S126" si="51">P124+N124+L124+J124+H124+F124+D124</f>
        <v>164</v>
      </c>
      <c r="S124" s="4">
        <f t="shared" si="51"/>
        <v>52</v>
      </c>
      <c r="T124" s="4">
        <f>S124+R124</f>
        <v>216</v>
      </c>
    </row>
    <row r="125" spans="1:20" ht="30" customHeight="1" thickTop="1" thickBot="1">
      <c r="A125" s="375"/>
      <c r="B125" s="369" t="s">
        <v>146</v>
      </c>
      <c r="C125" s="369"/>
      <c r="D125" s="7"/>
      <c r="E125" s="7"/>
      <c r="F125" s="4">
        <f>المهني!AV19</f>
        <v>2</v>
      </c>
      <c r="G125" s="4">
        <f>المهني!AW19</f>
        <v>3</v>
      </c>
      <c r="H125" s="4">
        <f>المهني!AX19</f>
        <v>6</v>
      </c>
      <c r="I125" s="4">
        <f>المهني!AY19</f>
        <v>8</v>
      </c>
      <c r="J125" s="4">
        <f>المهني!AZ19</f>
        <v>10</v>
      </c>
      <c r="K125" s="4">
        <f>المهني!BA19</f>
        <v>4</v>
      </c>
      <c r="L125" s="4">
        <f>المهني!BB19</f>
        <v>24</v>
      </c>
      <c r="M125" s="4">
        <f>المهني!BC19</f>
        <v>1</v>
      </c>
      <c r="N125" s="6">
        <f>المهني!BD19</f>
        <v>15</v>
      </c>
      <c r="O125" s="6">
        <f>المهني!BE19</f>
        <v>8</v>
      </c>
      <c r="P125" s="48">
        <v>0</v>
      </c>
      <c r="Q125" s="48">
        <v>0</v>
      </c>
      <c r="R125" s="4">
        <f t="shared" si="51"/>
        <v>57</v>
      </c>
      <c r="S125" s="4">
        <f t="shared" si="51"/>
        <v>24</v>
      </c>
      <c r="T125" s="4">
        <f>S125+R125</f>
        <v>81</v>
      </c>
    </row>
    <row r="126" spans="1:20" ht="30" customHeight="1" thickTop="1" thickBot="1">
      <c r="A126" s="375"/>
      <c r="B126" s="369" t="s">
        <v>147</v>
      </c>
      <c r="C126" s="369"/>
      <c r="D126" s="7"/>
      <c r="E126" s="7"/>
      <c r="F126" s="7"/>
      <c r="G126" s="7"/>
      <c r="H126" s="4">
        <f>المهني!BI19</f>
        <v>7</v>
      </c>
      <c r="I126" s="4">
        <f>المهني!BJ19</f>
        <v>1</v>
      </c>
      <c r="J126" s="4">
        <f>المهني!BK19</f>
        <v>27</v>
      </c>
      <c r="K126" s="4">
        <f>المهني!BL19</f>
        <v>6</v>
      </c>
      <c r="L126" s="4">
        <f>المهني!BM19</f>
        <v>12</v>
      </c>
      <c r="M126" s="4">
        <f>المهني!BN19</f>
        <v>4</v>
      </c>
      <c r="N126" s="6">
        <f>المهني!BO19</f>
        <v>12</v>
      </c>
      <c r="O126" s="6">
        <f>المهني!BP19</f>
        <v>7</v>
      </c>
      <c r="P126" s="6">
        <f>المهني!BQ19</f>
        <v>5</v>
      </c>
      <c r="Q126" s="6">
        <f>المهني!BR19</f>
        <v>0</v>
      </c>
      <c r="R126" s="4">
        <f t="shared" si="51"/>
        <v>63</v>
      </c>
      <c r="S126" s="4">
        <f t="shared" si="51"/>
        <v>18</v>
      </c>
      <c r="T126" s="4">
        <f>S126+R126</f>
        <v>81</v>
      </c>
    </row>
    <row r="127" spans="1:20" ht="30" customHeight="1" thickTop="1" thickBot="1">
      <c r="A127" s="375"/>
      <c r="B127" s="369" t="s">
        <v>25</v>
      </c>
      <c r="C127" s="369"/>
      <c r="D127" s="4">
        <f t="shared" ref="D127:T127" si="52">D126+D125+D124</f>
        <v>34</v>
      </c>
      <c r="E127" s="4">
        <f t="shared" si="52"/>
        <v>15</v>
      </c>
      <c r="F127" s="4">
        <f t="shared" si="52"/>
        <v>68</v>
      </c>
      <c r="G127" s="4">
        <f t="shared" si="52"/>
        <v>16</v>
      </c>
      <c r="H127" s="4">
        <f t="shared" si="52"/>
        <v>47</v>
      </c>
      <c r="I127" s="4">
        <f t="shared" si="52"/>
        <v>14</v>
      </c>
      <c r="J127" s="4">
        <f t="shared" si="52"/>
        <v>59</v>
      </c>
      <c r="K127" s="4">
        <f t="shared" si="52"/>
        <v>20</v>
      </c>
      <c r="L127" s="4">
        <f t="shared" si="52"/>
        <v>44</v>
      </c>
      <c r="M127" s="4">
        <f t="shared" si="52"/>
        <v>14</v>
      </c>
      <c r="N127" s="4">
        <f t="shared" si="52"/>
        <v>27</v>
      </c>
      <c r="O127" s="4">
        <f t="shared" si="52"/>
        <v>15</v>
      </c>
      <c r="P127" s="4">
        <f t="shared" si="52"/>
        <v>5</v>
      </c>
      <c r="Q127" s="4">
        <f t="shared" si="52"/>
        <v>0</v>
      </c>
      <c r="R127" s="4">
        <f t="shared" si="52"/>
        <v>284</v>
      </c>
      <c r="S127" s="4">
        <f t="shared" si="52"/>
        <v>94</v>
      </c>
      <c r="T127" s="4">
        <f t="shared" si="52"/>
        <v>378</v>
      </c>
    </row>
    <row r="128" spans="1:20" ht="30" customHeight="1" thickTop="1" thickBot="1">
      <c r="A128" s="375" t="s">
        <v>124</v>
      </c>
      <c r="B128" s="369" t="s">
        <v>145</v>
      </c>
      <c r="C128" s="369"/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8">
        <v>0</v>
      </c>
      <c r="O128" s="48">
        <v>0</v>
      </c>
      <c r="P128" s="48">
        <v>0</v>
      </c>
      <c r="Q128" s="48">
        <v>0</v>
      </c>
      <c r="R128" s="4">
        <f t="shared" ref="R128:S135" si="53">P128+N128+L128+J128+H128+F128+D128</f>
        <v>0</v>
      </c>
      <c r="S128" s="4">
        <f t="shared" si="53"/>
        <v>0</v>
      </c>
      <c r="T128" s="4">
        <f t="shared" ref="T128:T151" si="54">S128+R128</f>
        <v>0</v>
      </c>
    </row>
    <row r="129" spans="1:20" ht="30" customHeight="1" thickTop="1" thickBot="1">
      <c r="A129" s="375"/>
      <c r="B129" s="369" t="s">
        <v>146</v>
      </c>
      <c r="C129" s="369"/>
      <c r="D129" s="7"/>
      <c r="E129" s="7"/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6">
        <v>0</v>
      </c>
      <c r="O129" s="6">
        <v>0</v>
      </c>
      <c r="P129" s="48">
        <v>0</v>
      </c>
      <c r="Q129" s="48">
        <v>0</v>
      </c>
      <c r="R129" s="4">
        <f t="shared" si="53"/>
        <v>0</v>
      </c>
      <c r="S129" s="4">
        <f t="shared" si="53"/>
        <v>0</v>
      </c>
      <c r="T129" s="4">
        <f t="shared" si="54"/>
        <v>0</v>
      </c>
    </row>
    <row r="130" spans="1:20" ht="30" customHeight="1" thickTop="1" thickBot="1">
      <c r="A130" s="375"/>
      <c r="B130" s="369" t="s">
        <v>147</v>
      </c>
      <c r="C130" s="369"/>
      <c r="D130" s="7"/>
      <c r="E130" s="7"/>
      <c r="F130" s="7"/>
      <c r="G130" s="7"/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6">
        <v>0</v>
      </c>
      <c r="O130" s="6">
        <v>0</v>
      </c>
      <c r="P130" s="6">
        <v>0</v>
      </c>
      <c r="Q130" s="6">
        <v>0</v>
      </c>
      <c r="R130" s="4">
        <f t="shared" si="53"/>
        <v>0</v>
      </c>
      <c r="S130" s="4">
        <f t="shared" si="53"/>
        <v>0</v>
      </c>
      <c r="T130" s="4">
        <f t="shared" si="54"/>
        <v>0</v>
      </c>
    </row>
    <row r="131" spans="1:20" ht="30" customHeight="1" thickTop="1" thickBot="1">
      <c r="A131" s="375"/>
      <c r="B131" s="369" t="s">
        <v>25</v>
      </c>
      <c r="C131" s="369"/>
      <c r="D131" s="4">
        <f t="shared" ref="D131:Q131" si="55">D130+D129+D128</f>
        <v>0</v>
      </c>
      <c r="E131" s="4">
        <f t="shared" si="55"/>
        <v>0</v>
      </c>
      <c r="F131" s="4">
        <f t="shared" si="55"/>
        <v>0</v>
      </c>
      <c r="G131" s="4">
        <f t="shared" si="55"/>
        <v>0</v>
      </c>
      <c r="H131" s="4">
        <f t="shared" si="55"/>
        <v>0</v>
      </c>
      <c r="I131" s="4">
        <f t="shared" si="55"/>
        <v>0</v>
      </c>
      <c r="J131" s="4">
        <f t="shared" si="55"/>
        <v>0</v>
      </c>
      <c r="K131" s="4">
        <f t="shared" si="55"/>
        <v>0</v>
      </c>
      <c r="L131" s="4">
        <f t="shared" si="55"/>
        <v>0</v>
      </c>
      <c r="M131" s="4">
        <f t="shared" si="55"/>
        <v>0</v>
      </c>
      <c r="N131" s="4">
        <f t="shared" si="55"/>
        <v>0</v>
      </c>
      <c r="O131" s="4">
        <f t="shared" si="55"/>
        <v>0</v>
      </c>
      <c r="P131" s="4">
        <f t="shared" si="55"/>
        <v>0</v>
      </c>
      <c r="Q131" s="4">
        <f t="shared" si="55"/>
        <v>0</v>
      </c>
      <c r="R131" s="4">
        <f t="shared" si="53"/>
        <v>0</v>
      </c>
      <c r="S131" s="4">
        <f t="shared" si="53"/>
        <v>0</v>
      </c>
      <c r="T131" s="4">
        <f t="shared" si="54"/>
        <v>0</v>
      </c>
    </row>
    <row r="132" spans="1:20" ht="30" customHeight="1" thickTop="1" thickBot="1">
      <c r="A132" s="375" t="s">
        <v>125</v>
      </c>
      <c r="B132" s="369" t="s">
        <v>145</v>
      </c>
      <c r="C132" s="369"/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8">
        <v>0</v>
      </c>
      <c r="O132" s="48">
        <v>0</v>
      </c>
      <c r="P132" s="48">
        <v>0</v>
      </c>
      <c r="Q132" s="48">
        <v>0</v>
      </c>
      <c r="R132" s="4">
        <f t="shared" si="53"/>
        <v>0</v>
      </c>
      <c r="S132" s="4">
        <f t="shared" si="53"/>
        <v>0</v>
      </c>
      <c r="T132" s="4">
        <f t="shared" si="54"/>
        <v>0</v>
      </c>
    </row>
    <row r="133" spans="1:20" ht="30" customHeight="1" thickTop="1" thickBot="1">
      <c r="A133" s="375"/>
      <c r="B133" s="369" t="s">
        <v>146</v>
      </c>
      <c r="C133" s="369"/>
      <c r="D133" s="7"/>
      <c r="E133" s="7"/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6">
        <v>0</v>
      </c>
      <c r="O133" s="6">
        <v>0</v>
      </c>
      <c r="P133" s="48">
        <v>0</v>
      </c>
      <c r="Q133" s="48">
        <v>0</v>
      </c>
      <c r="R133" s="4">
        <f t="shared" si="53"/>
        <v>0</v>
      </c>
      <c r="S133" s="4">
        <f t="shared" si="53"/>
        <v>0</v>
      </c>
      <c r="T133" s="4">
        <f t="shared" si="54"/>
        <v>0</v>
      </c>
    </row>
    <row r="134" spans="1:20" ht="30" customHeight="1" thickTop="1" thickBot="1">
      <c r="A134" s="375"/>
      <c r="B134" s="369" t="s">
        <v>147</v>
      </c>
      <c r="C134" s="369"/>
      <c r="D134" s="7"/>
      <c r="E134" s="7"/>
      <c r="F134" s="7"/>
      <c r="G134" s="7"/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6">
        <v>0</v>
      </c>
      <c r="O134" s="6">
        <v>0</v>
      </c>
      <c r="P134" s="6">
        <v>0</v>
      </c>
      <c r="Q134" s="6">
        <v>0</v>
      </c>
      <c r="R134" s="4">
        <f t="shared" si="53"/>
        <v>0</v>
      </c>
      <c r="S134" s="4">
        <f t="shared" si="53"/>
        <v>0</v>
      </c>
      <c r="T134" s="4">
        <f t="shared" si="54"/>
        <v>0</v>
      </c>
    </row>
    <row r="135" spans="1:20" ht="30" customHeight="1" thickTop="1" thickBot="1">
      <c r="A135" s="375"/>
      <c r="B135" s="369" t="s">
        <v>25</v>
      </c>
      <c r="C135" s="369"/>
      <c r="D135" s="4">
        <f t="shared" ref="D135:Q135" si="56">D134+D133+D132</f>
        <v>0</v>
      </c>
      <c r="E135" s="4">
        <f t="shared" si="56"/>
        <v>0</v>
      </c>
      <c r="F135" s="4">
        <f t="shared" si="56"/>
        <v>0</v>
      </c>
      <c r="G135" s="4">
        <f t="shared" si="56"/>
        <v>0</v>
      </c>
      <c r="H135" s="4">
        <f t="shared" si="56"/>
        <v>0</v>
      </c>
      <c r="I135" s="4">
        <f t="shared" si="56"/>
        <v>0</v>
      </c>
      <c r="J135" s="4">
        <f t="shared" si="56"/>
        <v>0</v>
      </c>
      <c r="K135" s="4">
        <f t="shared" si="56"/>
        <v>0</v>
      </c>
      <c r="L135" s="4">
        <f t="shared" si="56"/>
        <v>0</v>
      </c>
      <c r="M135" s="4">
        <f t="shared" si="56"/>
        <v>0</v>
      </c>
      <c r="N135" s="4">
        <f t="shared" si="56"/>
        <v>0</v>
      </c>
      <c r="O135" s="4">
        <f t="shared" si="56"/>
        <v>0</v>
      </c>
      <c r="P135" s="4">
        <f t="shared" si="56"/>
        <v>0</v>
      </c>
      <c r="Q135" s="4">
        <f t="shared" si="56"/>
        <v>0</v>
      </c>
      <c r="R135" s="4">
        <f t="shared" si="53"/>
        <v>0</v>
      </c>
      <c r="S135" s="4">
        <f t="shared" si="53"/>
        <v>0</v>
      </c>
      <c r="T135" s="4">
        <f t="shared" si="54"/>
        <v>0</v>
      </c>
    </row>
    <row r="136" spans="1:20" ht="30" customHeight="1" thickTop="1" thickBot="1">
      <c r="A136" s="375" t="s">
        <v>216</v>
      </c>
      <c r="B136" s="369" t="s">
        <v>145</v>
      </c>
      <c r="C136" s="369"/>
      <c r="D136" s="11"/>
      <c r="E136" s="8">
        <v>0</v>
      </c>
      <c r="F136" s="11"/>
      <c r="G136" s="8">
        <v>0</v>
      </c>
      <c r="H136" s="11"/>
      <c r="I136" s="8">
        <v>0</v>
      </c>
      <c r="J136" s="11"/>
      <c r="K136" s="8">
        <v>0</v>
      </c>
      <c r="L136" s="11"/>
      <c r="M136" s="8">
        <v>0</v>
      </c>
      <c r="N136" s="11"/>
      <c r="O136" s="48">
        <v>0</v>
      </c>
      <c r="P136" s="11"/>
      <c r="Q136" s="48">
        <v>0</v>
      </c>
      <c r="R136" s="11"/>
      <c r="S136" s="4">
        <f t="shared" ref="S136:S151" si="57">Q136+O136+M136+K136+I136+G136+E136</f>
        <v>0</v>
      </c>
      <c r="T136" s="4">
        <f t="shared" si="54"/>
        <v>0</v>
      </c>
    </row>
    <row r="137" spans="1:20" ht="30" customHeight="1" thickTop="1" thickBot="1">
      <c r="A137" s="375"/>
      <c r="B137" s="369" t="s">
        <v>146</v>
      </c>
      <c r="C137" s="369"/>
      <c r="D137" s="11"/>
      <c r="E137" s="7"/>
      <c r="F137" s="11"/>
      <c r="G137" s="4">
        <v>0</v>
      </c>
      <c r="H137" s="11"/>
      <c r="I137" s="8">
        <v>0</v>
      </c>
      <c r="J137" s="11"/>
      <c r="K137" s="8">
        <v>0</v>
      </c>
      <c r="L137" s="11"/>
      <c r="M137" s="8">
        <v>0</v>
      </c>
      <c r="N137" s="11"/>
      <c r="O137" s="6">
        <v>0</v>
      </c>
      <c r="P137" s="11"/>
      <c r="Q137" s="48">
        <v>0</v>
      </c>
      <c r="R137" s="11"/>
      <c r="S137" s="4">
        <f t="shared" si="57"/>
        <v>0</v>
      </c>
      <c r="T137" s="4">
        <f t="shared" si="54"/>
        <v>0</v>
      </c>
    </row>
    <row r="138" spans="1:20" ht="30" customHeight="1" thickTop="1" thickBot="1">
      <c r="A138" s="375"/>
      <c r="B138" s="369" t="s">
        <v>147</v>
      </c>
      <c r="C138" s="369"/>
      <c r="D138" s="11"/>
      <c r="E138" s="7"/>
      <c r="F138" s="11"/>
      <c r="G138" s="7"/>
      <c r="H138" s="11"/>
      <c r="I138" s="8">
        <v>0</v>
      </c>
      <c r="J138" s="11"/>
      <c r="K138" s="8">
        <v>0</v>
      </c>
      <c r="L138" s="11"/>
      <c r="M138" s="8">
        <v>0</v>
      </c>
      <c r="N138" s="11"/>
      <c r="O138" s="6">
        <v>0</v>
      </c>
      <c r="P138" s="11"/>
      <c r="Q138" s="6">
        <v>0</v>
      </c>
      <c r="R138" s="11"/>
      <c r="S138" s="4">
        <f t="shared" si="57"/>
        <v>0</v>
      </c>
      <c r="T138" s="4">
        <f t="shared" si="54"/>
        <v>0</v>
      </c>
    </row>
    <row r="139" spans="1:20" ht="30" customHeight="1" thickTop="1" thickBot="1">
      <c r="A139" s="375"/>
      <c r="B139" s="369" t="s">
        <v>25</v>
      </c>
      <c r="C139" s="369"/>
      <c r="D139" s="11"/>
      <c r="E139" s="8">
        <f>E138+E137+E136</f>
        <v>0</v>
      </c>
      <c r="F139" s="11"/>
      <c r="G139" s="8">
        <f>G138+G137+G136</f>
        <v>0</v>
      </c>
      <c r="H139" s="11"/>
      <c r="I139" s="8">
        <f>I138+I137+I136</f>
        <v>0</v>
      </c>
      <c r="J139" s="11"/>
      <c r="K139" s="8">
        <f>K138+K137+K136</f>
        <v>0</v>
      </c>
      <c r="L139" s="11"/>
      <c r="M139" s="8">
        <f>M138+M137+M136</f>
        <v>0</v>
      </c>
      <c r="N139" s="11"/>
      <c r="O139" s="8">
        <f>O138+O137+O136</f>
        <v>0</v>
      </c>
      <c r="P139" s="11"/>
      <c r="Q139" s="8">
        <f>Q138+Q137+Q136</f>
        <v>0</v>
      </c>
      <c r="R139" s="11"/>
      <c r="S139" s="4">
        <f t="shared" si="57"/>
        <v>0</v>
      </c>
      <c r="T139" s="4">
        <f t="shared" si="54"/>
        <v>0</v>
      </c>
    </row>
    <row r="140" spans="1:20" ht="30" customHeight="1" thickTop="1" thickBot="1">
      <c r="A140" s="375" t="s">
        <v>488</v>
      </c>
      <c r="B140" s="369" t="s">
        <v>145</v>
      </c>
      <c r="C140" s="36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ht="30" customHeight="1" thickTop="1" thickBot="1">
      <c r="A141" s="375"/>
      <c r="B141" s="369" t="s">
        <v>146</v>
      </c>
      <c r="C141" s="36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ht="30" customHeight="1" thickTop="1" thickBot="1">
      <c r="A142" s="375"/>
      <c r="B142" s="369" t="s">
        <v>147</v>
      </c>
      <c r="C142" s="36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ht="30" customHeight="1" thickTop="1" thickBot="1">
      <c r="A143" s="375"/>
      <c r="B143" s="369" t="s">
        <v>25</v>
      </c>
      <c r="C143" s="36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ht="30" customHeight="1" thickTop="1" thickBot="1">
      <c r="A144" s="372" t="s">
        <v>397</v>
      </c>
      <c r="B144" s="369" t="s">
        <v>145</v>
      </c>
      <c r="C144" s="369"/>
      <c r="D144" s="58">
        <f>المهني!AI45</f>
        <v>19</v>
      </c>
      <c r="E144" s="59">
        <f>المهني!AJ45</f>
        <v>0</v>
      </c>
      <c r="F144" s="59">
        <f>المهني!AK45</f>
        <v>47</v>
      </c>
      <c r="G144" s="59">
        <f>المهني!AL45</f>
        <v>0</v>
      </c>
      <c r="H144" s="59">
        <f>المهني!AM45</f>
        <v>14</v>
      </c>
      <c r="I144" s="59">
        <f>المهني!AN45</f>
        <v>0</v>
      </c>
      <c r="J144" s="59">
        <f>المهني!AO45</f>
        <v>9</v>
      </c>
      <c r="K144" s="59">
        <f>المهني!AP45</f>
        <v>0</v>
      </c>
      <c r="L144" s="59">
        <f>المهني!AQ45</f>
        <v>2</v>
      </c>
      <c r="M144" s="59">
        <f>المهني!AR45</f>
        <v>0</v>
      </c>
      <c r="N144" s="48"/>
      <c r="O144" s="48"/>
      <c r="P144" s="48"/>
      <c r="Q144" s="48"/>
      <c r="R144" s="58">
        <f t="shared" ref="R144:R151" si="58">P144+N144+L144+J144+H144+F144+D144</f>
        <v>91</v>
      </c>
      <c r="S144" s="58">
        <f t="shared" si="57"/>
        <v>0</v>
      </c>
      <c r="T144" s="58">
        <f t="shared" si="54"/>
        <v>91</v>
      </c>
    </row>
    <row r="145" spans="1:20" ht="30" customHeight="1" thickTop="1" thickBot="1">
      <c r="A145" s="373"/>
      <c r="B145" s="369" t="s">
        <v>146</v>
      </c>
      <c r="C145" s="369"/>
      <c r="D145" s="7"/>
      <c r="E145" s="7"/>
      <c r="F145" s="58">
        <f>المهني!AV45</f>
        <v>5</v>
      </c>
      <c r="G145" s="59">
        <f>المهني!AW45</f>
        <v>0</v>
      </c>
      <c r="H145" s="59">
        <f>المهني!AX45</f>
        <v>13</v>
      </c>
      <c r="I145" s="59">
        <f>المهني!AY45</f>
        <v>0</v>
      </c>
      <c r="J145" s="59">
        <f>المهني!AZ45</f>
        <v>16</v>
      </c>
      <c r="K145" s="59">
        <f>المهني!BA45</f>
        <v>0</v>
      </c>
      <c r="L145" s="59">
        <f>المهني!BB45</f>
        <v>8</v>
      </c>
      <c r="M145" s="59">
        <f>المهني!BC45</f>
        <v>0</v>
      </c>
      <c r="N145" s="59">
        <f>المهني!BD45</f>
        <v>8</v>
      </c>
      <c r="O145" s="59">
        <f>المهني!BE45</f>
        <v>0</v>
      </c>
      <c r="P145" s="48"/>
      <c r="Q145" s="48"/>
      <c r="R145" s="58">
        <f t="shared" si="58"/>
        <v>50</v>
      </c>
      <c r="S145" s="58">
        <f t="shared" si="57"/>
        <v>0</v>
      </c>
      <c r="T145" s="58">
        <f t="shared" si="54"/>
        <v>50</v>
      </c>
    </row>
    <row r="146" spans="1:20" ht="30" customHeight="1" thickTop="1" thickBot="1">
      <c r="A146" s="373"/>
      <c r="B146" s="369" t="s">
        <v>147</v>
      </c>
      <c r="C146" s="369"/>
      <c r="D146" s="7"/>
      <c r="E146" s="7"/>
      <c r="F146" s="7"/>
      <c r="G146" s="7"/>
      <c r="H146" s="58">
        <f>المهني!BI45</f>
        <v>4</v>
      </c>
      <c r="I146" s="59">
        <f>المهني!BJ45</f>
        <v>0</v>
      </c>
      <c r="J146" s="59">
        <f>المهني!BK45</f>
        <v>13</v>
      </c>
      <c r="K146" s="59">
        <f>المهني!BL45</f>
        <v>0</v>
      </c>
      <c r="L146" s="59">
        <f>المهني!BM45</f>
        <v>12</v>
      </c>
      <c r="M146" s="59">
        <f>المهني!BN45</f>
        <v>0</v>
      </c>
      <c r="N146" s="59">
        <f>المهني!BO45</f>
        <v>14</v>
      </c>
      <c r="O146" s="59">
        <f>المهني!BP45</f>
        <v>0</v>
      </c>
      <c r="P146" s="59">
        <f>المهني!BQ45</f>
        <v>11</v>
      </c>
      <c r="Q146" s="59">
        <f>المهني!BR45</f>
        <v>0</v>
      </c>
      <c r="R146" s="58">
        <f t="shared" si="58"/>
        <v>54</v>
      </c>
      <c r="S146" s="58">
        <f t="shared" si="57"/>
        <v>0</v>
      </c>
      <c r="T146" s="58">
        <f t="shared" si="54"/>
        <v>54</v>
      </c>
    </row>
    <row r="147" spans="1:20" ht="30" customHeight="1" thickTop="1" thickBot="1">
      <c r="A147" s="374"/>
      <c r="B147" s="369" t="s">
        <v>25</v>
      </c>
      <c r="C147" s="369"/>
      <c r="D147" s="58">
        <f t="shared" ref="D147:Q147" si="59">SUM(D144:D146)</f>
        <v>19</v>
      </c>
      <c r="E147" s="59">
        <f t="shared" si="59"/>
        <v>0</v>
      </c>
      <c r="F147" s="59">
        <f t="shared" si="59"/>
        <v>52</v>
      </c>
      <c r="G147" s="59">
        <f t="shared" si="59"/>
        <v>0</v>
      </c>
      <c r="H147" s="59">
        <f t="shared" si="59"/>
        <v>31</v>
      </c>
      <c r="I147" s="59">
        <f t="shared" si="59"/>
        <v>0</v>
      </c>
      <c r="J147" s="59">
        <f t="shared" si="59"/>
        <v>38</v>
      </c>
      <c r="K147" s="59">
        <f t="shared" si="59"/>
        <v>0</v>
      </c>
      <c r="L147" s="59">
        <f t="shared" si="59"/>
        <v>22</v>
      </c>
      <c r="M147" s="59">
        <f t="shared" si="59"/>
        <v>0</v>
      </c>
      <c r="N147" s="59">
        <f t="shared" si="59"/>
        <v>22</v>
      </c>
      <c r="O147" s="59">
        <f t="shared" si="59"/>
        <v>0</v>
      </c>
      <c r="P147" s="59">
        <f t="shared" si="59"/>
        <v>11</v>
      </c>
      <c r="Q147" s="59">
        <f t="shared" si="59"/>
        <v>0</v>
      </c>
      <c r="R147" s="58">
        <f t="shared" si="58"/>
        <v>195</v>
      </c>
      <c r="S147" s="58">
        <f t="shared" si="57"/>
        <v>0</v>
      </c>
      <c r="T147" s="58">
        <f t="shared" si="54"/>
        <v>195</v>
      </c>
    </row>
    <row r="148" spans="1:20" ht="30" customHeight="1" thickTop="1" thickBot="1">
      <c r="A148" s="375" t="s">
        <v>139</v>
      </c>
      <c r="B148" s="369" t="s">
        <v>145</v>
      </c>
      <c r="C148" s="369"/>
      <c r="D148" s="4">
        <f t="shared" ref="D148:M148" si="60">D136+D132+D128+D124+D144</f>
        <v>53</v>
      </c>
      <c r="E148" s="59">
        <f t="shared" si="60"/>
        <v>15</v>
      </c>
      <c r="F148" s="59">
        <f t="shared" si="60"/>
        <v>113</v>
      </c>
      <c r="G148" s="59">
        <f t="shared" si="60"/>
        <v>13</v>
      </c>
      <c r="H148" s="59">
        <f t="shared" si="60"/>
        <v>48</v>
      </c>
      <c r="I148" s="59">
        <f t="shared" si="60"/>
        <v>5</v>
      </c>
      <c r="J148" s="59">
        <f t="shared" si="60"/>
        <v>31</v>
      </c>
      <c r="K148" s="59">
        <f t="shared" si="60"/>
        <v>10</v>
      </c>
      <c r="L148" s="59">
        <f t="shared" si="60"/>
        <v>10</v>
      </c>
      <c r="M148" s="59">
        <f t="shared" si="60"/>
        <v>9</v>
      </c>
      <c r="N148" s="48">
        <f>N136+N132+N128+N124</f>
        <v>0</v>
      </c>
      <c r="O148" s="48">
        <f>O136+O132+O128+O124</f>
        <v>0</v>
      </c>
      <c r="P148" s="48">
        <f>P136+P132+P128+P124</f>
        <v>0</v>
      </c>
      <c r="Q148" s="48">
        <f>Q136+Q132+Q128+Q124</f>
        <v>0</v>
      </c>
      <c r="R148" s="4">
        <f t="shared" si="58"/>
        <v>255</v>
      </c>
      <c r="S148" s="4">
        <f t="shared" si="57"/>
        <v>52</v>
      </c>
      <c r="T148" s="4">
        <f t="shared" si="54"/>
        <v>307</v>
      </c>
    </row>
    <row r="149" spans="1:20" ht="30" customHeight="1" thickTop="1" thickBot="1">
      <c r="A149" s="375"/>
      <c r="B149" s="369" t="s">
        <v>146</v>
      </c>
      <c r="C149" s="369"/>
      <c r="D149" s="7">
        <f>D137+D133+D129+D125</f>
        <v>0</v>
      </c>
      <c r="E149" s="7">
        <f>E137+E133+E129+E125</f>
        <v>0</v>
      </c>
      <c r="F149" s="59">
        <f t="shared" ref="F149:O149" si="61">F137+F133+F129+F125+F145</f>
        <v>7</v>
      </c>
      <c r="G149" s="59">
        <f t="shared" si="61"/>
        <v>3</v>
      </c>
      <c r="H149" s="59">
        <f t="shared" si="61"/>
        <v>19</v>
      </c>
      <c r="I149" s="59">
        <f t="shared" si="61"/>
        <v>8</v>
      </c>
      <c r="J149" s="59">
        <f t="shared" si="61"/>
        <v>26</v>
      </c>
      <c r="K149" s="59">
        <f t="shared" si="61"/>
        <v>4</v>
      </c>
      <c r="L149" s="59">
        <f t="shared" si="61"/>
        <v>32</v>
      </c>
      <c r="M149" s="59">
        <f t="shared" si="61"/>
        <v>1</v>
      </c>
      <c r="N149" s="59">
        <f t="shared" si="61"/>
        <v>23</v>
      </c>
      <c r="O149" s="59">
        <f t="shared" si="61"/>
        <v>8</v>
      </c>
      <c r="P149" s="48">
        <f>P137+P133+P129+P125</f>
        <v>0</v>
      </c>
      <c r="Q149" s="48">
        <f>Q137+Q133+Q129+Q125</f>
        <v>0</v>
      </c>
      <c r="R149" s="4">
        <f t="shared" si="58"/>
        <v>107</v>
      </c>
      <c r="S149" s="4">
        <f t="shared" si="57"/>
        <v>24</v>
      </c>
      <c r="T149" s="4">
        <f t="shared" si="54"/>
        <v>131</v>
      </c>
    </row>
    <row r="150" spans="1:20" ht="30" customHeight="1" thickTop="1" thickBot="1">
      <c r="A150" s="375"/>
      <c r="B150" s="369" t="s">
        <v>147</v>
      </c>
      <c r="C150" s="369"/>
      <c r="D150" s="7">
        <f>D138+D134+D130+D126</f>
        <v>0</v>
      </c>
      <c r="E150" s="7">
        <f>E138+E134+E130+E126</f>
        <v>0</v>
      </c>
      <c r="F150" s="7">
        <f>F138+F134+F130+F126</f>
        <v>0</v>
      </c>
      <c r="G150" s="7">
        <f>G138+G134+G130+G126</f>
        <v>0</v>
      </c>
      <c r="H150" s="59">
        <f t="shared" ref="H150:Q150" si="62">H138+H134+H130+H126+H146</f>
        <v>11</v>
      </c>
      <c r="I150" s="59">
        <f t="shared" si="62"/>
        <v>1</v>
      </c>
      <c r="J150" s="59">
        <f t="shared" si="62"/>
        <v>40</v>
      </c>
      <c r="K150" s="59">
        <f t="shared" si="62"/>
        <v>6</v>
      </c>
      <c r="L150" s="59">
        <f t="shared" si="62"/>
        <v>24</v>
      </c>
      <c r="M150" s="59">
        <f t="shared" si="62"/>
        <v>4</v>
      </c>
      <c r="N150" s="59">
        <f t="shared" si="62"/>
        <v>26</v>
      </c>
      <c r="O150" s="59">
        <f t="shared" si="62"/>
        <v>7</v>
      </c>
      <c r="P150" s="59">
        <f t="shared" si="62"/>
        <v>16</v>
      </c>
      <c r="Q150" s="59">
        <f t="shared" si="62"/>
        <v>0</v>
      </c>
      <c r="R150" s="4">
        <f t="shared" si="58"/>
        <v>117</v>
      </c>
      <c r="S150" s="4">
        <f t="shared" si="57"/>
        <v>18</v>
      </c>
      <c r="T150" s="4">
        <f t="shared" si="54"/>
        <v>135</v>
      </c>
    </row>
    <row r="151" spans="1:20" ht="30" customHeight="1" thickTop="1" thickBot="1">
      <c r="A151" s="375"/>
      <c r="B151" s="369" t="s">
        <v>25</v>
      </c>
      <c r="C151" s="369"/>
      <c r="D151" s="59">
        <f>D139+D135+D131+D127+D147</f>
        <v>53</v>
      </c>
      <c r="E151" s="59">
        <f>E139+E135+E131+E127+E147</f>
        <v>15</v>
      </c>
      <c r="F151" s="59">
        <f>F139+F135+F131+F127+F147</f>
        <v>120</v>
      </c>
      <c r="G151" s="59">
        <f>G139+G135+G131+G127+G147</f>
        <v>16</v>
      </c>
      <c r="H151" s="59">
        <f t="shared" ref="H151:Q151" si="63">H139+H135+H131+H127+H147</f>
        <v>78</v>
      </c>
      <c r="I151" s="59">
        <f t="shared" si="63"/>
        <v>14</v>
      </c>
      <c r="J151" s="59">
        <f t="shared" si="63"/>
        <v>97</v>
      </c>
      <c r="K151" s="59">
        <f t="shared" si="63"/>
        <v>20</v>
      </c>
      <c r="L151" s="59">
        <f t="shared" si="63"/>
        <v>66</v>
      </c>
      <c r="M151" s="59">
        <f t="shared" si="63"/>
        <v>14</v>
      </c>
      <c r="N151" s="59">
        <f t="shared" si="63"/>
        <v>49</v>
      </c>
      <c r="O151" s="59">
        <f t="shared" si="63"/>
        <v>15</v>
      </c>
      <c r="P151" s="59">
        <f t="shared" si="63"/>
        <v>16</v>
      </c>
      <c r="Q151" s="59">
        <f t="shared" si="63"/>
        <v>0</v>
      </c>
      <c r="R151" s="4">
        <f t="shared" si="58"/>
        <v>479</v>
      </c>
      <c r="S151" s="4">
        <f t="shared" si="57"/>
        <v>94</v>
      </c>
      <c r="T151" s="4">
        <f t="shared" si="54"/>
        <v>573</v>
      </c>
    </row>
    <row r="152" spans="1:20" ht="30" customHeight="1" thickTop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</sheetData>
  <mergeCells count="212">
    <mergeCell ref="B29:C29"/>
    <mergeCell ref="B30:C30"/>
    <mergeCell ref="B31:C31"/>
    <mergeCell ref="B32:C32"/>
    <mergeCell ref="A29:A32"/>
    <mergeCell ref="A25:A28"/>
    <mergeCell ref="B25:C25"/>
    <mergeCell ref="B26:C26"/>
    <mergeCell ref="B27:C27"/>
    <mergeCell ref="B28:C28"/>
    <mergeCell ref="A50:A53"/>
    <mergeCell ref="A58:A61"/>
    <mergeCell ref="B58:C58"/>
    <mergeCell ref="B59:C59"/>
    <mergeCell ref="B60:C60"/>
    <mergeCell ref="B61:C61"/>
    <mergeCell ref="B50:C50"/>
    <mergeCell ref="B51:C51"/>
    <mergeCell ref="B52:C52"/>
    <mergeCell ref="B53:C53"/>
    <mergeCell ref="A54:A57"/>
    <mergeCell ref="B54:C54"/>
    <mergeCell ref="B55:C55"/>
    <mergeCell ref="B56:C56"/>
    <mergeCell ref="B57:C57"/>
    <mergeCell ref="B138:C138"/>
    <mergeCell ref="B139:C139"/>
    <mergeCell ref="A144:A147"/>
    <mergeCell ref="B144:C144"/>
    <mergeCell ref="B145:C145"/>
    <mergeCell ref="B146:C146"/>
    <mergeCell ref="B147:C147"/>
    <mergeCell ref="P122:Q122"/>
    <mergeCell ref="R122:T122"/>
    <mergeCell ref="B125:C125"/>
    <mergeCell ref="B126:C126"/>
    <mergeCell ref="B127:C127"/>
    <mergeCell ref="A140:A143"/>
    <mergeCell ref="B140:C140"/>
    <mergeCell ref="B141:C141"/>
    <mergeCell ref="B142:C142"/>
    <mergeCell ref="B143:C143"/>
    <mergeCell ref="A148:A151"/>
    <mergeCell ref="B148:C148"/>
    <mergeCell ref="B149:C149"/>
    <mergeCell ref="B150:C150"/>
    <mergeCell ref="B151:C151"/>
    <mergeCell ref="A136:A139"/>
    <mergeCell ref="B136:C136"/>
    <mergeCell ref="B137:C137"/>
    <mergeCell ref="A119:T119"/>
    <mergeCell ref="A120:T120"/>
    <mergeCell ref="A122:A123"/>
    <mergeCell ref="B122:C123"/>
    <mergeCell ref="D122:E122"/>
    <mergeCell ref="F122:G122"/>
    <mergeCell ref="H122:I122"/>
    <mergeCell ref="J122:K122"/>
    <mergeCell ref="L122:M122"/>
    <mergeCell ref="N122:O122"/>
    <mergeCell ref="B128:C128"/>
    <mergeCell ref="B129:C129"/>
    <mergeCell ref="B130:C130"/>
    <mergeCell ref="B131:C131"/>
    <mergeCell ref="A124:A127"/>
    <mergeCell ref="B124:C124"/>
    <mergeCell ref="A116:F116"/>
    <mergeCell ref="S116:T116"/>
    <mergeCell ref="A117:F117"/>
    <mergeCell ref="A118:T118"/>
    <mergeCell ref="A132:A135"/>
    <mergeCell ref="B132:C132"/>
    <mergeCell ref="B133:C133"/>
    <mergeCell ref="B134:C134"/>
    <mergeCell ref="B135:C135"/>
    <mergeCell ref="A128:A131"/>
    <mergeCell ref="A111:A114"/>
    <mergeCell ref="B111:C111"/>
    <mergeCell ref="B112:C112"/>
    <mergeCell ref="B113:C113"/>
    <mergeCell ref="B114:C114"/>
    <mergeCell ref="A99:A102"/>
    <mergeCell ref="B99:C99"/>
    <mergeCell ref="B100:C100"/>
    <mergeCell ref="B101:C101"/>
    <mergeCell ref="B102:C102"/>
    <mergeCell ref="A107:A110"/>
    <mergeCell ref="B107:C107"/>
    <mergeCell ref="B108:C108"/>
    <mergeCell ref="B109:C109"/>
    <mergeCell ref="B110:C110"/>
    <mergeCell ref="A103:A106"/>
    <mergeCell ref="B103:C103"/>
    <mergeCell ref="B104:C104"/>
    <mergeCell ref="B105:C105"/>
    <mergeCell ref="B106:C106"/>
    <mergeCell ref="B94:C94"/>
    <mergeCell ref="A95:A98"/>
    <mergeCell ref="B95:C95"/>
    <mergeCell ref="B96:C96"/>
    <mergeCell ref="B97:C97"/>
    <mergeCell ref="B98:C98"/>
    <mergeCell ref="A91:A94"/>
    <mergeCell ref="B91:C91"/>
    <mergeCell ref="B92:C92"/>
    <mergeCell ref="B93:C93"/>
    <mergeCell ref="A87:A90"/>
    <mergeCell ref="B87:C87"/>
    <mergeCell ref="B88:C88"/>
    <mergeCell ref="B89:C89"/>
    <mergeCell ref="B90:C90"/>
    <mergeCell ref="A82:T82"/>
    <mergeCell ref="A83:T83"/>
    <mergeCell ref="A85:A86"/>
    <mergeCell ref="B85:C86"/>
    <mergeCell ref="D85:E85"/>
    <mergeCell ref="B77:C77"/>
    <mergeCell ref="A79:F79"/>
    <mergeCell ref="S79:T79"/>
    <mergeCell ref="A80:F80"/>
    <mergeCell ref="A81:T81"/>
    <mergeCell ref="H80:L80"/>
    <mergeCell ref="R85:T85"/>
    <mergeCell ref="F85:G85"/>
    <mergeCell ref="H85:I85"/>
    <mergeCell ref="J85:K85"/>
    <mergeCell ref="L85:M85"/>
    <mergeCell ref="N85:O85"/>
    <mergeCell ref="P85:Q85"/>
    <mergeCell ref="A74:A77"/>
    <mergeCell ref="B74:C74"/>
    <mergeCell ref="B75:C75"/>
    <mergeCell ref="B76:C76"/>
    <mergeCell ref="A70:A73"/>
    <mergeCell ref="B70:C70"/>
    <mergeCell ref="B71:C71"/>
    <mergeCell ref="B72:C72"/>
    <mergeCell ref="B73:C73"/>
    <mergeCell ref="A62:A65"/>
    <mergeCell ref="B62:C62"/>
    <mergeCell ref="B63:C63"/>
    <mergeCell ref="B64:C64"/>
    <mergeCell ref="B65:C65"/>
    <mergeCell ref="A66:A69"/>
    <mergeCell ref="B66:C66"/>
    <mergeCell ref="B67:C67"/>
    <mergeCell ref="B68:C68"/>
    <mergeCell ref="B69:C69"/>
    <mergeCell ref="A44:T44"/>
    <mergeCell ref="H43:L43"/>
    <mergeCell ref="A45:T45"/>
    <mergeCell ref="A46:T46"/>
    <mergeCell ref="A48:A49"/>
    <mergeCell ref="B48:C49"/>
    <mergeCell ref="D48:E48"/>
    <mergeCell ref="F48:G48"/>
    <mergeCell ref="A42:F42"/>
    <mergeCell ref="S42:T42"/>
    <mergeCell ref="A43:F43"/>
    <mergeCell ref="H48:I48"/>
    <mergeCell ref="J48:K48"/>
    <mergeCell ref="R48:T48"/>
    <mergeCell ref="L48:M48"/>
    <mergeCell ref="N48:O48"/>
    <mergeCell ref="P48:Q48"/>
    <mergeCell ref="B18:C18"/>
    <mergeCell ref="B9:C9"/>
    <mergeCell ref="B10:C10"/>
    <mergeCell ref="B11:C11"/>
    <mergeCell ref="B12:C12"/>
    <mergeCell ref="P7:Q7"/>
    <mergeCell ref="S1:T1"/>
    <mergeCell ref="A2:F2"/>
    <mergeCell ref="A3:T3"/>
    <mergeCell ref="I2:L2"/>
    <mergeCell ref="A4:T4"/>
    <mergeCell ref="A5:T5"/>
    <mergeCell ref="A1:F1"/>
    <mergeCell ref="A9:A12"/>
    <mergeCell ref="R7:T7"/>
    <mergeCell ref="A7:A8"/>
    <mergeCell ref="D7:E7"/>
    <mergeCell ref="F7:G7"/>
    <mergeCell ref="H7:I7"/>
    <mergeCell ref="J7:K7"/>
    <mergeCell ref="L7:M7"/>
    <mergeCell ref="N7:O7"/>
    <mergeCell ref="B7:C8"/>
    <mergeCell ref="B19:C19"/>
    <mergeCell ref="B38:C38"/>
    <mergeCell ref="B40:C40"/>
    <mergeCell ref="B13:C13"/>
    <mergeCell ref="B14:C14"/>
    <mergeCell ref="B39:C39"/>
    <mergeCell ref="A33:A36"/>
    <mergeCell ref="B33:C33"/>
    <mergeCell ref="B34:C34"/>
    <mergeCell ref="B35:C35"/>
    <mergeCell ref="B36:C36"/>
    <mergeCell ref="B20:C20"/>
    <mergeCell ref="B21:C21"/>
    <mergeCell ref="B22:C22"/>
    <mergeCell ref="B23:C23"/>
    <mergeCell ref="B24:C24"/>
    <mergeCell ref="B37:C37"/>
    <mergeCell ref="A13:A16"/>
    <mergeCell ref="A17:A20"/>
    <mergeCell ref="A21:A24"/>
    <mergeCell ref="A37:A40"/>
    <mergeCell ref="B15:C15"/>
    <mergeCell ref="B16:C16"/>
    <mergeCell ref="B17:C17"/>
  </mergeCells>
  <printOptions horizontalCentered="1" verticalCentered="1"/>
  <pageMargins left="0.43307086614173229" right="0.39370078740157483" top="0.2" bottom="0.19685039370078741" header="0.2" footer="0.19685039370078741"/>
  <pageSetup paperSize="9" scale="46" orientation="landscape" horizontalDpi="300" verticalDpi="300" r:id="rId1"/>
  <rowBreaks count="3" manualBreakCount="3">
    <brk id="40" max="19" man="1"/>
    <brk id="78" max="16383" man="1"/>
    <brk id="115" max="16383" man="1"/>
  </rowBreaks>
  <ignoredErrors>
    <ignoredError sqref="R12:T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rightToLeft="1" view="pageBreakPreview" topLeftCell="A16" zoomScale="60" zoomScaleNormal="80" workbookViewId="0">
      <selection activeCell="C9" sqref="C9"/>
    </sheetView>
  </sheetViews>
  <sheetFormatPr defaultColWidth="9" defaultRowHeight="23.25"/>
  <cols>
    <col min="1" max="2" width="9" style="98" customWidth="1"/>
    <col min="3" max="8" width="9" style="98"/>
    <col min="9" max="9" width="5.25" style="98" customWidth="1"/>
    <col min="10" max="10" width="14.875" style="98" customWidth="1"/>
    <col min="11" max="11" width="13.375" style="98" customWidth="1"/>
    <col min="12" max="12" width="13.625" style="98" customWidth="1"/>
    <col min="13" max="13" width="16.125" style="98" customWidth="1"/>
    <col min="14" max="16384" width="9" style="98"/>
  </cols>
  <sheetData>
    <row r="1" spans="1:19" ht="30.75" customHeight="1">
      <c r="C1" s="148" t="s">
        <v>148</v>
      </c>
      <c r="D1" s="86"/>
      <c r="E1" s="86"/>
      <c r="F1" s="86"/>
      <c r="G1" s="86"/>
      <c r="H1" s="87"/>
      <c r="I1" s="87"/>
      <c r="J1" s="87"/>
      <c r="K1" s="87"/>
      <c r="L1" s="87"/>
      <c r="M1" s="87"/>
      <c r="N1" s="87"/>
      <c r="O1" s="328" t="s">
        <v>112</v>
      </c>
      <c r="P1" s="328"/>
      <c r="S1" s="87"/>
    </row>
    <row r="2" spans="1:19">
      <c r="C2" s="89" t="s">
        <v>188</v>
      </c>
      <c r="D2" s="89"/>
      <c r="E2" s="89"/>
      <c r="F2" s="89"/>
      <c r="G2" s="89"/>
      <c r="H2" s="86"/>
      <c r="I2" s="86"/>
      <c r="J2" s="86"/>
      <c r="K2" s="87"/>
      <c r="L2" s="87"/>
      <c r="M2" s="87"/>
      <c r="N2" s="87"/>
      <c r="O2" s="87"/>
      <c r="P2" s="87"/>
      <c r="Q2" s="87"/>
      <c r="R2" s="87"/>
      <c r="S2" s="87"/>
    </row>
    <row r="3" spans="1:19">
      <c r="C3" s="87"/>
      <c r="D3" s="87"/>
      <c r="E3" s="87"/>
      <c r="F3" s="87"/>
      <c r="G3" s="87"/>
      <c r="H3" s="87"/>
      <c r="I3" s="87"/>
      <c r="J3" s="87"/>
      <c r="K3" s="86" t="s">
        <v>191</v>
      </c>
      <c r="L3" s="86"/>
      <c r="M3" s="86"/>
      <c r="N3" s="86"/>
      <c r="O3" s="87"/>
      <c r="P3" s="87"/>
      <c r="Q3" s="87"/>
      <c r="R3" s="87"/>
      <c r="S3" s="87"/>
    </row>
    <row r="4" spans="1:19">
      <c r="C4" s="87"/>
      <c r="D4" s="87"/>
      <c r="E4" s="87"/>
      <c r="F4" s="87"/>
      <c r="G4" s="86" t="s">
        <v>183</v>
      </c>
      <c r="H4" s="86"/>
      <c r="I4" s="86"/>
      <c r="J4" s="86"/>
      <c r="K4" s="86"/>
      <c r="L4" s="86"/>
      <c r="M4" s="86"/>
      <c r="N4" s="86"/>
      <c r="O4" s="86"/>
      <c r="P4" s="86"/>
      <c r="Q4" s="87"/>
      <c r="R4" s="87"/>
      <c r="S4" s="87"/>
    </row>
    <row r="5" spans="1:19">
      <c r="C5" s="87"/>
      <c r="D5" s="87"/>
      <c r="E5" s="87"/>
      <c r="F5" s="87"/>
      <c r="G5" s="86" t="s">
        <v>533</v>
      </c>
      <c r="H5" s="86"/>
      <c r="I5" s="86"/>
      <c r="J5" s="86"/>
      <c r="K5" s="86"/>
      <c r="L5" s="86"/>
      <c r="M5" s="86"/>
      <c r="N5" s="86"/>
      <c r="O5" s="86"/>
      <c r="P5" s="86"/>
      <c r="Q5" s="87"/>
      <c r="R5" s="87"/>
      <c r="S5" s="87"/>
    </row>
    <row r="6" spans="1:19">
      <c r="C6" s="87"/>
      <c r="D6" s="86"/>
      <c r="E6" s="86"/>
      <c r="F6" s="86"/>
      <c r="G6" s="90" t="s">
        <v>478</v>
      </c>
      <c r="H6" s="90"/>
      <c r="I6" s="90"/>
      <c r="J6" s="90"/>
      <c r="K6" s="90"/>
      <c r="L6" s="90"/>
      <c r="M6" s="90"/>
      <c r="N6" s="90"/>
      <c r="O6" s="90"/>
      <c r="P6" s="90"/>
      <c r="Q6" s="87"/>
      <c r="R6" s="87"/>
      <c r="S6" s="87"/>
    </row>
    <row r="7" spans="1:19" ht="24" thickBot="1">
      <c r="A7" s="87"/>
      <c r="B7" s="90"/>
      <c r="C7" s="90"/>
      <c r="D7" s="90"/>
      <c r="E7" s="90"/>
      <c r="F7" s="90"/>
      <c r="G7" s="90"/>
      <c r="H7" s="99"/>
      <c r="I7" s="86"/>
      <c r="J7" s="87"/>
      <c r="K7" s="87"/>
      <c r="L7" s="87"/>
      <c r="M7" s="87"/>
      <c r="N7" s="87"/>
      <c r="O7" s="87"/>
      <c r="P7" s="87"/>
      <c r="Q7" s="87"/>
    </row>
    <row r="8" spans="1:19" ht="24" thickTop="1">
      <c r="A8" s="87"/>
      <c r="B8" s="100"/>
      <c r="C8" s="100"/>
      <c r="D8" s="101"/>
      <c r="E8" s="355" t="s">
        <v>115</v>
      </c>
      <c r="F8" s="357"/>
      <c r="G8" s="355" t="s">
        <v>142</v>
      </c>
      <c r="H8" s="356"/>
      <c r="I8" s="357"/>
      <c r="J8" s="355" t="s">
        <v>27</v>
      </c>
      <c r="K8" s="356"/>
      <c r="L8" s="356"/>
      <c r="M8" s="357"/>
      <c r="N8" s="87"/>
      <c r="O8" s="87"/>
      <c r="P8" s="87"/>
      <c r="Q8" s="87"/>
    </row>
    <row r="9" spans="1:19" ht="24" thickBot="1">
      <c r="A9" s="87"/>
      <c r="B9" s="87"/>
      <c r="C9" s="87"/>
      <c r="D9" s="87"/>
      <c r="E9" s="386"/>
      <c r="F9" s="387"/>
      <c r="G9" s="386"/>
      <c r="H9" s="329"/>
      <c r="I9" s="387"/>
      <c r="J9" s="358"/>
      <c r="K9" s="359"/>
      <c r="L9" s="359"/>
      <c r="M9" s="360"/>
      <c r="N9" s="87"/>
      <c r="O9" s="87"/>
      <c r="P9" s="87"/>
      <c r="Q9" s="87"/>
    </row>
    <row r="10" spans="1:19" ht="24.75" thickTop="1" thickBot="1">
      <c r="A10" s="87"/>
      <c r="B10" s="87"/>
      <c r="C10" s="87"/>
      <c r="D10" s="87"/>
      <c r="E10" s="358"/>
      <c r="F10" s="360"/>
      <c r="G10" s="358"/>
      <c r="H10" s="359"/>
      <c r="I10" s="360"/>
      <c r="J10" s="14" t="s">
        <v>5</v>
      </c>
      <c r="K10" s="14" t="s">
        <v>6</v>
      </c>
      <c r="L10" s="14" t="s">
        <v>67</v>
      </c>
      <c r="M10" s="14" t="s">
        <v>25</v>
      </c>
      <c r="N10" s="87"/>
      <c r="O10" s="87"/>
      <c r="P10" s="87"/>
      <c r="Q10" s="87"/>
    </row>
    <row r="11" spans="1:19" ht="24.75" thickTop="1" thickBot="1">
      <c r="A11" s="87"/>
      <c r="B11" s="87"/>
      <c r="C11" s="87"/>
      <c r="D11" s="87"/>
      <c r="E11" s="394" t="s">
        <v>123</v>
      </c>
      <c r="F11" s="395"/>
      <c r="G11" s="322" t="s">
        <v>145</v>
      </c>
      <c r="H11" s="330"/>
      <c r="I11" s="323"/>
      <c r="J11" s="102">
        <f>المهني!CM20</f>
        <v>21</v>
      </c>
      <c r="K11" s="102">
        <f>المهني!CN20</f>
        <v>9</v>
      </c>
      <c r="L11" s="102">
        <f>المهني!CO20</f>
        <v>0</v>
      </c>
      <c r="M11" s="102">
        <f>L11+K11+J11</f>
        <v>30</v>
      </c>
      <c r="N11" s="87"/>
      <c r="O11" s="87"/>
      <c r="P11" s="87"/>
      <c r="Q11" s="87"/>
    </row>
    <row r="12" spans="1:19" ht="24.75" thickTop="1" thickBot="1">
      <c r="A12" s="87"/>
      <c r="B12" s="87"/>
      <c r="C12" s="87"/>
      <c r="D12" s="87"/>
      <c r="E12" s="396"/>
      <c r="F12" s="397"/>
      <c r="G12" s="322" t="s">
        <v>146</v>
      </c>
      <c r="H12" s="330"/>
      <c r="I12" s="323"/>
      <c r="J12" s="102">
        <f>المهني!CP20</f>
        <v>21</v>
      </c>
      <c r="K12" s="102">
        <f>المهني!CQ20</f>
        <v>5</v>
      </c>
      <c r="L12" s="102">
        <f>المهني!CR20</f>
        <v>0</v>
      </c>
      <c r="M12" s="102">
        <f>L12+K12+J12</f>
        <v>26</v>
      </c>
      <c r="N12" s="87"/>
      <c r="O12" s="87"/>
      <c r="P12" s="87"/>
      <c r="Q12" s="87"/>
    </row>
    <row r="13" spans="1:19" ht="24.75" thickTop="1" thickBot="1">
      <c r="A13" s="87"/>
      <c r="B13" s="87"/>
      <c r="C13" s="87"/>
      <c r="D13" s="87"/>
      <c r="E13" s="396"/>
      <c r="F13" s="397"/>
      <c r="G13" s="322" t="s">
        <v>147</v>
      </c>
      <c r="H13" s="330"/>
      <c r="I13" s="323"/>
      <c r="J13" s="102">
        <f>المهني!CS20</f>
        <v>19</v>
      </c>
      <c r="K13" s="102">
        <f>المهني!CT20</f>
        <v>4</v>
      </c>
      <c r="L13" s="102">
        <f>المهني!CU20</f>
        <v>0</v>
      </c>
      <c r="M13" s="102">
        <f>L13+K13+J13</f>
        <v>23</v>
      </c>
      <c r="N13" s="87"/>
      <c r="O13" s="87"/>
      <c r="P13" s="87"/>
      <c r="Q13" s="87"/>
    </row>
    <row r="14" spans="1:19" ht="24.75" thickTop="1" thickBot="1">
      <c r="A14" s="87"/>
      <c r="B14" s="87"/>
      <c r="C14" s="87"/>
      <c r="D14" s="87"/>
      <c r="E14" s="398"/>
      <c r="F14" s="399"/>
      <c r="G14" s="322" t="s">
        <v>25</v>
      </c>
      <c r="H14" s="330"/>
      <c r="I14" s="323"/>
      <c r="J14" s="102">
        <f>J13+J12+J11</f>
        <v>61</v>
      </c>
      <c r="K14" s="102">
        <f>K13+K12+K11</f>
        <v>18</v>
      </c>
      <c r="L14" s="102">
        <f>L13+L12+L11</f>
        <v>0</v>
      </c>
      <c r="M14" s="102">
        <f>M13+M12+M11</f>
        <v>79</v>
      </c>
      <c r="N14" s="87"/>
      <c r="O14" s="87"/>
      <c r="P14" s="87"/>
      <c r="Q14" s="87"/>
    </row>
    <row r="15" spans="1:19" ht="24.75" thickTop="1" thickBot="1">
      <c r="A15" s="87"/>
      <c r="B15" s="87"/>
      <c r="C15" s="87"/>
      <c r="D15" s="87"/>
      <c r="E15" s="394" t="s">
        <v>124</v>
      </c>
      <c r="F15" s="395"/>
      <c r="G15" s="322" t="s">
        <v>145</v>
      </c>
      <c r="H15" s="330"/>
      <c r="I15" s="323"/>
      <c r="J15" s="102">
        <f>المهني!CM31</f>
        <v>2</v>
      </c>
      <c r="K15" s="102">
        <f>المهني!CN31</f>
        <v>0</v>
      </c>
      <c r="L15" s="102">
        <f>المهني!CO31</f>
        <v>0</v>
      </c>
      <c r="M15" s="102">
        <f>L15+K15+J15</f>
        <v>2</v>
      </c>
      <c r="N15" s="87"/>
      <c r="O15" s="87"/>
      <c r="P15" s="87"/>
      <c r="Q15" s="87"/>
    </row>
    <row r="16" spans="1:19" ht="24.75" thickTop="1" thickBot="1">
      <c r="A16" s="87"/>
      <c r="B16" s="87"/>
      <c r="C16" s="87"/>
      <c r="D16" s="87"/>
      <c r="E16" s="396"/>
      <c r="F16" s="397"/>
      <c r="G16" s="322" t="s">
        <v>146</v>
      </c>
      <c r="H16" s="330"/>
      <c r="I16" s="323"/>
      <c r="J16" s="102">
        <f>المهني!CP31</f>
        <v>2</v>
      </c>
      <c r="K16" s="102">
        <f>المهني!CQ31</f>
        <v>0</v>
      </c>
      <c r="L16" s="102">
        <f>المهني!CR31</f>
        <v>0</v>
      </c>
      <c r="M16" s="102">
        <f>L16+K16+J16</f>
        <v>2</v>
      </c>
      <c r="N16" s="87"/>
      <c r="O16" s="87"/>
      <c r="P16" s="87"/>
      <c r="Q16" s="87"/>
    </row>
    <row r="17" spans="1:17" ht="24.75" thickTop="1" thickBot="1">
      <c r="A17" s="87"/>
      <c r="B17" s="87"/>
      <c r="C17" s="87"/>
      <c r="D17" s="87"/>
      <c r="E17" s="396"/>
      <c r="F17" s="397"/>
      <c r="G17" s="322" t="s">
        <v>147</v>
      </c>
      <c r="H17" s="330"/>
      <c r="I17" s="323"/>
      <c r="J17" s="102">
        <f>المهني!CS31</f>
        <v>1</v>
      </c>
      <c r="K17" s="102">
        <f>المهني!CT31</f>
        <v>0</v>
      </c>
      <c r="L17" s="102">
        <f>المهني!CU31</f>
        <v>0</v>
      </c>
      <c r="M17" s="102">
        <f>L17+K17+J17</f>
        <v>1</v>
      </c>
      <c r="N17" s="87"/>
      <c r="O17" s="87"/>
      <c r="P17" s="87"/>
      <c r="Q17" s="87"/>
    </row>
    <row r="18" spans="1:17" ht="24.75" thickTop="1" thickBot="1">
      <c r="A18" s="87"/>
      <c r="B18" s="87"/>
      <c r="C18" s="87"/>
      <c r="D18" s="87"/>
      <c r="E18" s="398"/>
      <c r="F18" s="399"/>
      <c r="G18" s="322" t="s">
        <v>25</v>
      </c>
      <c r="H18" s="330"/>
      <c r="I18" s="323"/>
      <c r="J18" s="102">
        <f>J17+J16+J15</f>
        <v>5</v>
      </c>
      <c r="K18" s="102">
        <f>K17+K16+K15</f>
        <v>0</v>
      </c>
      <c r="L18" s="102">
        <f>L17+L16+L15</f>
        <v>0</v>
      </c>
      <c r="M18" s="102">
        <f>M17+M16+M15</f>
        <v>5</v>
      </c>
      <c r="N18" s="87"/>
      <c r="O18" s="87"/>
      <c r="P18" s="87"/>
      <c r="Q18" s="87"/>
    </row>
    <row r="19" spans="1:17" ht="24.75" thickTop="1" thickBot="1">
      <c r="A19" s="87"/>
      <c r="B19" s="87"/>
      <c r="C19" s="87"/>
      <c r="D19" s="87"/>
      <c r="E19" s="394" t="s">
        <v>125</v>
      </c>
      <c r="F19" s="395"/>
      <c r="G19" s="322" t="s">
        <v>145</v>
      </c>
      <c r="H19" s="330"/>
      <c r="I19" s="323"/>
      <c r="J19" s="102">
        <f>المهني!CM26</f>
        <v>5</v>
      </c>
      <c r="K19" s="102">
        <f>المهني!CN26</f>
        <v>4</v>
      </c>
      <c r="L19" s="102">
        <f>المهني!CO26</f>
        <v>0</v>
      </c>
      <c r="M19" s="102">
        <f>L19+K19+J19</f>
        <v>9</v>
      </c>
      <c r="N19" s="87"/>
      <c r="O19" s="87"/>
      <c r="P19" s="87"/>
      <c r="Q19" s="87"/>
    </row>
    <row r="20" spans="1:17" ht="24.75" thickTop="1" thickBot="1">
      <c r="A20" s="87"/>
      <c r="B20" s="87"/>
      <c r="C20" s="87"/>
      <c r="D20" s="87"/>
      <c r="E20" s="396"/>
      <c r="F20" s="397"/>
      <c r="G20" s="322" t="s">
        <v>146</v>
      </c>
      <c r="H20" s="330"/>
      <c r="I20" s="323"/>
      <c r="J20" s="102">
        <f>المهني!CP26</f>
        <v>4</v>
      </c>
      <c r="K20" s="102">
        <f>المهني!CQ26</f>
        <v>2</v>
      </c>
      <c r="L20" s="102">
        <f>المهني!CR26</f>
        <v>0</v>
      </c>
      <c r="M20" s="102">
        <f>L20+K20+J20</f>
        <v>6</v>
      </c>
      <c r="N20" s="87"/>
      <c r="O20" s="87"/>
      <c r="P20" s="87"/>
      <c r="Q20" s="87"/>
    </row>
    <row r="21" spans="1:17" ht="24.75" thickTop="1" thickBot="1">
      <c r="A21" s="87"/>
      <c r="B21" s="87"/>
      <c r="C21" s="87"/>
      <c r="D21" s="87"/>
      <c r="E21" s="396"/>
      <c r="F21" s="397"/>
      <c r="G21" s="322" t="s">
        <v>147</v>
      </c>
      <c r="H21" s="330"/>
      <c r="I21" s="323"/>
      <c r="J21" s="102">
        <f>المهني!CS26</f>
        <v>6</v>
      </c>
      <c r="K21" s="102">
        <f>المهني!CT26</f>
        <v>2</v>
      </c>
      <c r="L21" s="102">
        <f>المهني!CU26</f>
        <v>0</v>
      </c>
      <c r="M21" s="102">
        <f>L21+K21+J21</f>
        <v>8</v>
      </c>
      <c r="N21" s="87"/>
      <c r="O21" s="87"/>
      <c r="P21" s="87"/>
      <c r="Q21" s="87"/>
    </row>
    <row r="22" spans="1:17" ht="24.75" thickTop="1" thickBot="1">
      <c r="A22" s="87"/>
      <c r="B22" s="87"/>
      <c r="C22" s="87"/>
      <c r="D22" s="87"/>
      <c r="E22" s="398"/>
      <c r="F22" s="399"/>
      <c r="G22" s="322" t="s">
        <v>25</v>
      </c>
      <c r="H22" s="330"/>
      <c r="I22" s="323"/>
      <c r="J22" s="102">
        <f>J21+J20+J19</f>
        <v>15</v>
      </c>
      <c r="K22" s="102">
        <f>K21+K20+K19</f>
        <v>8</v>
      </c>
      <c r="L22" s="102">
        <f>L21+L20+L19</f>
        <v>0</v>
      </c>
      <c r="M22" s="102">
        <f>M21+M20+M19</f>
        <v>23</v>
      </c>
      <c r="N22" s="87"/>
      <c r="O22" s="87"/>
      <c r="P22" s="87"/>
      <c r="Q22" s="87"/>
    </row>
    <row r="23" spans="1:17" ht="24.75" thickTop="1" thickBot="1">
      <c r="A23" s="87"/>
      <c r="B23" s="87"/>
      <c r="C23" s="87"/>
      <c r="D23" s="87"/>
      <c r="E23" s="394" t="s">
        <v>216</v>
      </c>
      <c r="F23" s="395"/>
      <c r="G23" s="322" t="s">
        <v>145</v>
      </c>
      <c r="H23" s="330"/>
      <c r="I23" s="323"/>
      <c r="J23" s="106"/>
      <c r="K23" s="102">
        <f>المهني!CN35</f>
        <v>4</v>
      </c>
      <c r="L23" s="106"/>
      <c r="M23" s="102">
        <f>L23+K23+J23</f>
        <v>4</v>
      </c>
      <c r="N23" s="87"/>
      <c r="O23" s="87"/>
      <c r="P23" s="87"/>
      <c r="Q23" s="87"/>
    </row>
    <row r="24" spans="1:17" ht="24.75" thickTop="1" thickBot="1">
      <c r="A24" s="87"/>
      <c r="B24" s="87"/>
      <c r="C24" s="87"/>
      <c r="D24" s="87"/>
      <c r="E24" s="396"/>
      <c r="F24" s="397"/>
      <c r="G24" s="322" t="s">
        <v>146</v>
      </c>
      <c r="H24" s="330"/>
      <c r="I24" s="323"/>
      <c r="J24" s="106"/>
      <c r="K24" s="102">
        <f>المهني!CQ35</f>
        <v>3</v>
      </c>
      <c r="L24" s="106"/>
      <c r="M24" s="102">
        <f>L24+K24+J24</f>
        <v>3</v>
      </c>
      <c r="N24" s="87"/>
      <c r="O24" s="87"/>
      <c r="P24" s="87"/>
      <c r="Q24" s="87"/>
    </row>
    <row r="25" spans="1:17" ht="24.75" thickTop="1" thickBot="1">
      <c r="A25" s="87"/>
      <c r="B25" s="87"/>
      <c r="C25" s="87"/>
      <c r="D25" s="87"/>
      <c r="E25" s="396"/>
      <c r="F25" s="397"/>
      <c r="G25" s="322" t="s">
        <v>147</v>
      </c>
      <c r="H25" s="330"/>
      <c r="I25" s="323"/>
      <c r="J25" s="106"/>
      <c r="K25" s="102">
        <f>المهني!CT35</f>
        <v>3</v>
      </c>
      <c r="L25" s="106"/>
      <c r="M25" s="102">
        <f>L25+K25+J25</f>
        <v>3</v>
      </c>
      <c r="N25" s="87"/>
      <c r="O25" s="87"/>
      <c r="P25" s="87"/>
      <c r="Q25" s="87"/>
    </row>
    <row r="26" spans="1:17" ht="24.75" thickTop="1" thickBot="1">
      <c r="A26" s="87"/>
      <c r="B26" s="87"/>
      <c r="C26" s="87"/>
      <c r="D26" s="87"/>
      <c r="E26" s="398"/>
      <c r="F26" s="399"/>
      <c r="G26" s="322" t="s">
        <v>25</v>
      </c>
      <c r="H26" s="330"/>
      <c r="I26" s="323"/>
      <c r="J26" s="106"/>
      <c r="K26" s="102">
        <f>K25+K24+K23</f>
        <v>10</v>
      </c>
      <c r="L26" s="106"/>
      <c r="M26" s="104">
        <f>M25+M24+M23</f>
        <v>10</v>
      </c>
      <c r="N26" s="87"/>
      <c r="O26" s="87"/>
      <c r="P26" s="87"/>
      <c r="Q26" s="87"/>
    </row>
    <row r="27" spans="1:17" ht="24.75" thickTop="1" thickBot="1">
      <c r="A27" s="135"/>
      <c r="B27" s="135"/>
      <c r="C27" s="135"/>
      <c r="D27" s="135"/>
      <c r="E27" s="394" t="s">
        <v>488</v>
      </c>
      <c r="F27" s="395"/>
      <c r="G27" s="322" t="s">
        <v>145</v>
      </c>
      <c r="H27" s="330"/>
      <c r="I27" s="323"/>
      <c r="J27" s="102">
        <f>المهني!CM49</f>
        <v>3</v>
      </c>
      <c r="K27" s="102">
        <f>المهني!CN49</f>
        <v>0</v>
      </c>
      <c r="L27" s="102">
        <f>المهني!CO49</f>
        <v>0</v>
      </c>
      <c r="M27" s="102">
        <f t="shared" ref="M27:M30" si="0">L27+K27+J27</f>
        <v>3</v>
      </c>
      <c r="N27" s="135"/>
      <c r="O27" s="135"/>
      <c r="P27" s="135"/>
      <c r="Q27" s="135"/>
    </row>
    <row r="28" spans="1:17" ht="24.75" thickTop="1" thickBot="1">
      <c r="A28" s="135"/>
      <c r="B28" s="135"/>
      <c r="C28" s="135"/>
      <c r="D28" s="135"/>
      <c r="E28" s="396"/>
      <c r="F28" s="397"/>
      <c r="G28" s="322" t="s">
        <v>146</v>
      </c>
      <c r="H28" s="330"/>
      <c r="I28" s="323"/>
      <c r="J28" s="102">
        <f>المهني!CP49</f>
        <v>3</v>
      </c>
      <c r="K28" s="102">
        <f>المهني!CQ49</f>
        <v>0</v>
      </c>
      <c r="L28" s="102">
        <f>المهني!CR49</f>
        <v>0</v>
      </c>
      <c r="M28" s="102">
        <f t="shared" si="0"/>
        <v>3</v>
      </c>
      <c r="N28" s="135"/>
      <c r="O28" s="135"/>
      <c r="P28" s="135"/>
      <c r="Q28" s="135"/>
    </row>
    <row r="29" spans="1:17" ht="24.75" thickTop="1" thickBot="1">
      <c r="A29" s="135"/>
      <c r="B29" s="135"/>
      <c r="C29" s="135"/>
      <c r="D29" s="135"/>
      <c r="E29" s="396"/>
      <c r="F29" s="397"/>
      <c r="G29" s="322" t="s">
        <v>147</v>
      </c>
      <c r="H29" s="330"/>
      <c r="I29" s="323"/>
      <c r="J29" s="102">
        <f>المهني!CS49</f>
        <v>3</v>
      </c>
      <c r="K29" s="102">
        <f>المهني!CT49</f>
        <v>0</v>
      </c>
      <c r="L29" s="102">
        <f>المهني!CU49</f>
        <v>0</v>
      </c>
      <c r="M29" s="102">
        <f t="shared" si="0"/>
        <v>3</v>
      </c>
      <c r="N29" s="135"/>
      <c r="O29" s="135"/>
      <c r="P29" s="135"/>
      <c r="Q29" s="135"/>
    </row>
    <row r="30" spans="1:17" ht="24.75" thickTop="1" thickBot="1">
      <c r="A30" s="135"/>
      <c r="B30" s="135"/>
      <c r="C30" s="135"/>
      <c r="D30" s="135"/>
      <c r="E30" s="398"/>
      <c r="F30" s="399"/>
      <c r="G30" s="322" t="s">
        <v>25</v>
      </c>
      <c r="H30" s="330"/>
      <c r="I30" s="323"/>
      <c r="J30" s="102">
        <f t="shared" ref="J30:L30" si="1">J29+J28+J27</f>
        <v>9</v>
      </c>
      <c r="K30" s="102">
        <f t="shared" si="1"/>
        <v>0</v>
      </c>
      <c r="L30" s="102">
        <f t="shared" si="1"/>
        <v>0</v>
      </c>
      <c r="M30" s="102">
        <f t="shared" si="0"/>
        <v>9</v>
      </c>
      <c r="N30" s="135"/>
      <c r="O30" s="135"/>
      <c r="P30" s="135"/>
      <c r="Q30" s="135"/>
    </row>
    <row r="31" spans="1:17" ht="24.75" thickTop="1" thickBot="1">
      <c r="A31" s="184"/>
      <c r="B31" s="184"/>
      <c r="C31" s="184"/>
      <c r="D31" s="184"/>
      <c r="E31" s="394" t="s">
        <v>523</v>
      </c>
      <c r="F31" s="395"/>
      <c r="G31" s="322" t="s">
        <v>145</v>
      </c>
      <c r="H31" s="330"/>
      <c r="I31" s="323"/>
      <c r="J31" s="102">
        <f>المهني!CM51</f>
        <v>3</v>
      </c>
      <c r="K31" s="102">
        <f>المهني!CN51</f>
        <v>0</v>
      </c>
      <c r="L31" s="102">
        <f>المهني!CO51</f>
        <v>0</v>
      </c>
      <c r="M31" s="102">
        <f t="shared" ref="M31:M34" si="2">L31+K31+J31</f>
        <v>3</v>
      </c>
      <c r="N31" s="184"/>
      <c r="O31" s="184"/>
      <c r="P31" s="184"/>
      <c r="Q31" s="184"/>
    </row>
    <row r="32" spans="1:17" ht="24.75" thickTop="1" thickBot="1">
      <c r="A32" s="184"/>
      <c r="B32" s="184"/>
      <c r="C32" s="184"/>
      <c r="D32" s="184"/>
      <c r="E32" s="396"/>
      <c r="F32" s="397"/>
      <c r="G32" s="322" t="s">
        <v>146</v>
      </c>
      <c r="H32" s="330"/>
      <c r="I32" s="323"/>
      <c r="J32" s="102">
        <f>المهني!CP51</f>
        <v>3</v>
      </c>
      <c r="K32" s="102">
        <f>المهني!CQ51</f>
        <v>0</v>
      </c>
      <c r="L32" s="102">
        <f>المهني!CR51</f>
        <v>0</v>
      </c>
      <c r="M32" s="102">
        <f t="shared" si="2"/>
        <v>3</v>
      </c>
      <c r="N32" s="184"/>
      <c r="O32" s="184"/>
      <c r="P32" s="184"/>
      <c r="Q32" s="184"/>
    </row>
    <row r="33" spans="1:19" ht="24.75" thickTop="1" thickBot="1">
      <c r="A33" s="184"/>
      <c r="B33" s="184"/>
      <c r="C33" s="184"/>
      <c r="D33" s="184"/>
      <c r="E33" s="396"/>
      <c r="F33" s="397"/>
      <c r="G33" s="322" t="s">
        <v>147</v>
      </c>
      <c r="H33" s="330"/>
      <c r="I33" s="323"/>
      <c r="J33" s="102">
        <f>المهني!CS51</f>
        <v>0</v>
      </c>
      <c r="K33" s="102">
        <f>المهني!CT51</f>
        <v>0</v>
      </c>
      <c r="L33" s="102">
        <f>المهني!CU51</f>
        <v>0</v>
      </c>
      <c r="M33" s="102">
        <f t="shared" si="2"/>
        <v>0</v>
      </c>
      <c r="N33" s="184"/>
      <c r="O33" s="184"/>
      <c r="P33" s="184"/>
      <c r="Q33" s="184"/>
    </row>
    <row r="34" spans="1:19" ht="24.75" thickTop="1" thickBot="1">
      <c r="A34" s="184"/>
      <c r="B34" s="184"/>
      <c r="C34" s="184"/>
      <c r="D34" s="184"/>
      <c r="E34" s="398"/>
      <c r="F34" s="399"/>
      <c r="G34" s="322" t="s">
        <v>25</v>
      </c>
      <c r="H34" s="330"/>
      <c r="I34" s="323"/>
      <c r="J34" s="102">
        <f t="shared" ref="J34:L34" si="3">J33+J32+J31</f>
        <v>6</v>
      </c>
      <c r="K34" s="102">
        <f t="shared" si="3"/>
        <v>0</v>
      </c>
      <c r="L34" s="102">
        <f t="shared" si="3"/>
        <v>0</v>
      </c>
      <c r="M34" s="102">
        <f t="shared" si="2"/>
        <v>6</v>
      </c>
      <c r="N34" s="184"/>
      <c r="O34" s="184"/>
      <c r="P34" s="184"/>
      <c r="Q34" s="184"/>
    </row>
    <row r="35" spans="1:19" ht="24.75" thickTop="1" thickBot="1">
      <c r="A35" s="87"/>
      <c r="B35" s="87"/>
      <c r="C35" s="87"/>
      <c r="D35" s="87"/>
      <c r="E35" s="388" t="s">
        <v>524</v>
      </c>
      <c r="F35" s="389"/>
      <c r="G35" s="322" t="s">
        <v>145</v>
      </c>
      <c r="H35" s="330"/>
      <c r="I35" s="323"/>
      <c r="J35" s="104">
        <f>المهني!CM46</f>
        <v>17</v>
      </c>
      <c r="K35" s="104">
        <f>المهني!CN46</f>
        <v>11</v>
      </c>
      <c r="L35" s="104">
        <f>المهني!CO46</f>
        <v>0</v>
      </c>
      <c r="M35" s="102">
        <f>L35+K35+J35</f>
        <v>28</v>
      </c>
      <c r="N35" s="87"/>
      <c r="O35" s="87"/>
      <c r="P35" s="87"/>
      <c r="Q35" s="87"/>
    </row>
    <row r="36" spans="1:19" ht="24.75" thickTop="1" thickBot="1">
      <c r="A36" s="87"/>
      <c r="B36" s="87"/>
      <c r="C36" s="87"/>
      <c r="D36" s="87"/>
      <c r="E36" s="390"/>
      <c r="F36" s="391"/>
      <c r="G36" s="322" t="s">
        <v>146</v>
      </c>
      <c r="H36" s="330"/>
      <c r="I36" s="323"/>
      <c r="J36" s="104">
        <f>المهني!CP46</f>
        <v>11</v>
      </c>
      <c r="K36" s="104">
        <f>المهني!CQ46</f>
        <v>6</v>
      </c>
      <c r="L36" s="104">
        <f>المهني!CR46</f>
        <v>0</v>
      </c>
      <c r="M36" s="102">
        <f>L36+K36+J36</f>
        <v>17</v>
      </c>
      <c r="N36" s="87"/>
      <c r="O36" s="87"/>
      <c r="P36" s="87"/>
      <c r="Q36" s="87"/>
    </row>
    <row r="37" spans="1:19" ht="24.75" thickTop="1" thickBot="1">
      <c r="A37" s="87"/>
      <c r="B37" s="87"/>
      <c r="C37" s="87"/>
      <c r="D37" s="87"/>
      <c r="E37" s="390"/>
      <c r="F37" s="391"/>
      <c r="G37" s="322" t="s">
        <v>147</v>
      </c>
      <c r="H37" s="330"/>
      <c r="I37" s="323"/>
      <c r="J37" s="104">
        <f>المهني!CS46</f>
        <v>12</v>
      </c>
      <c r="K37" s="104">
        <f>المهني!CT46</f>
        <v>4</v>
      </c>
      <c r="L37" s="104">
        <f>المهني!CU46</f>
        <v>0</v>
      </c>
      <c r="M37" s="102">
        <f>L37+K37+J37</f>
        <v>16</v>
      </c>
      <c r="N37" s="87"/>
      <c r="O37" s="87"/>
      <c r="P37" s="87"/>
      <c r="Q37" s="87"/>
    </row>
    <row r="38" spans="1:19" ht="24.75" thickTop="1" thickBot="1">
      <c r="A38" s="87"/>
      <c r="B38" s="87"/>
      <c r="C38" s="87"/>
      <c r="D38" s="87"/>
      <c r="E38" s="392"/>
      <c r="F38" s="393"/>
      <c r="G38" s="322" t="s">
        <v>25</v>
      </c>
      <c r="H38" s="330"/>
      <c r="I38" s="323"/>
      <c r="J38" s="102">
        <f>J37+J36+J35</f>
        <v>40</v>
      </c>
      <c r="K38" s="102">
        <f>K37+K36+K35</f>
        <v>21</v>
      </c>
      <c r="L38" s="102">
        <f>L37+L36+L35</f>
        <v>0</v>
      </c>
      <c r="M38" s="102">
        <f>M37+M36+M35</f>
        <v>61</v>
      </c>
      <c r="N38" s="87"/>
      <c r="O38" s="87"/>
      <c r="P38" s="87"/>
      <c r="Q38" s="87"/>
    </row>
    <row r="39" spans="1:19" ht="24.75" thickTop="1" thickBot="1">
      <c r="A39" s="87"/>
      <c r="B39" s="87"/>
      <c r="C39" s="87"/>
      <c r="D39" s="87"/>
      <c r="E39" s="394" t="s">
        <v>139</v>
      </c>
      <c r="F39" s="395"/>
      <c r="G39" s="322" t="s">
        <v>145</v>
      </c>
      <c r="H39" s="330"/>
      <c r="I39" s="323"/>
      <c r="J39" s="102">
        <f>J23+J19+J15+J11+J35+J27+J31</f>
        <v>51</v>
      </c>
      <c r="K39" s="102">
        <f t="shared" ref="K39:M39" si="4">K23+K19+K15+K11+K35+K27+K31</f>
        <v>28</v>
      </c>
      <c r="L39" s="102">
        <f t="shared" si="4"/>
        <v>0</v>
      </c>
      <c r="M39" s="102">
        <f t="shared" si="4"/>
        <v>79</v>
      </c>
      <c r="N39" s="87"/>
      <c r="O39" s="87"/>
      <c r="P39" s="87"/>
      <c r="Q39" s="87"/>
    </row>
    <row r="40" spans="1:19" ht="24.75" thickTop="1" thickBot="1">
      <c r="A40" s="87"/>
      <c r="B40" s="87"/>
      <c r="C40" s="87"/>
      <c r="D40" s="87"/>
      <c r="E40" s="396"/>
      <c r="F40" s="397"/>
      <c r="G40" s="322" t="s">
        <v>146</v>
      </c>
      <c r="H40" s="330"/>
      <c r="I40" s="323"/>
      <c r="J40" s="102">
        <f t="shared" ref="J40:M42" si="5">J24+J20+J16+J12+J36+J28+J32</f>
        <v>44</v>
      </c>
      <c r="K40" s="102">
        <f t="shared" si="5"/>
        <v>16</v>
      </c>
      <c r="L40" s="102">
        <f t="shared" si="5"/>
        <v>0</v>
      </c>
      <c r="M40" s="102">
        <f t="shared" si="5"/>
        <v>60</v>
      </c>
      <c r="N40" s="87"/>
      <c r="O40" s="87"/>
      <c r="P40" s="87"/>
      <c r="Q40" s="87"/>
    </row>
    <row r="41" spans="1:19" ht="24.75" thickTop="1" thickBot="1">
      <c r="A41" s="87"/>
      <c r="B41" s="87"/>
      <c r="C41" s="87"/>
      <c r="D41" s="87"/>
      <c r="E41" s="396"/>
      <c r="F41" s="397"/>
      <c r="G41" s="322" t="s">
        <v>147</v>
      </c>
      <c r="H41" s="330"/>
      <c r="I41" s="323"/>
      <c r="J41" s="102">
        <f t="shared" si="5"/>
        <v>41</v>
      </c>
      <c r="K41" s="102">
        <f t="shared" si="5"/>
        <v>13</v>
      </c>
      <c r="L41" s="102">
        <f t="shared" si="5"/>
        <v>0</v>
      </c>
      <c r="M41" s="102">
        <f t="shared" si="5"/>
        <v>54</v>
      </c>
      <c r="N41" s="87"/>
      <c r="O41" s="87"/>
      <c r="P41" s="87"/>
      <c r="Q41" s="87"/>
    </row>
    <row r="42" spans="1:19" ht="24.75" thickTop="1" thickBot="1">
      <c r="A42" s="87"/>
      <c r="B42" s="87"/>
      <c r="C42" s="87"/>
      <c r="D42" s="87"/>
      <c r="E42" s="398"/>
      <c r="F42" s="399"/>
      <c r="G42" s="322" t="s">
        <v>25</v>
      </c>
      <c r="H42" s="330"/>
      <c r="I42" s="323"/>
      <c r="J42" s="102">
        <f t="shared" si="5"/>
        <v>136</v>
      </c>
      <c r="K42" s="102">
        <f t="shared" si="5"/>
        <v>57</v>
      </c>
      <c r="L42" s="102">
        <f t="shared" si="5"/>
        <v>0</v>
      </c>
      <c r="M42" s="102">
        <f t="shared" si="5"/>
        <v>193</v>
      </c>
      <c r="N42" s="87"/>
      <c r="O42" s="87"/>
      <c r="P42" s="87"/>
      <c r="Q42" s="87"/>
    </row>
    <row r="43" spans="1:19" ht="24" thickTop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</row>
    <row r="44" spans="1:19">
      <c r="C44" s="86" t="s">
        <v>148</v>
      </c>
      <c r="D44" s="86"/>
      <c r="E44" s="86"/>
      <c r="F44" s="86"/>
      <c r="G44" s="86"/>
      <c r="H44" s="87"/>
      <c r="I44" s="87"/>
      <c r="J44" s="87"/>
      <c r="K44" s="87"/>
      <c r="L44" s="87"/>
      <c r="M44" s="87"/>
      <c r="N44" s="87"/>
      <c r="O44" s="328" t="s">
        <v>112</v>
      </c>
      <c r="P44" s="328"/>
      <c r="S44" s="87"/>
    </row>
    <row r="45" spans="1:19">
      <c r="C45" s="89" t="s">
        <v>188</v>
      </c>
      <c r="D45" s="89"/>
      <c r="E45" s="89"/>
      <c r="F45" s="89"/>
      <c r="G45" s="89"/>
      <c r="H45" s="86"/>
      <c r="I45" s="86"/>
      <c r="J45" s="86"/>
      <c r="K45" s="87"/>
      <c r="L45" s="87"/>
      <c r="M45" s="87"/>
      <c r="N45" s="87"/>
      <c r="O45" s="87"/>
      <c r="P45" s="87"/>
      <c r="Q45" s="87"/>
      <c r="R45" s="87"/>
      <c r="S45" s="87"/>
    </row>
    <row r="46" spans="1:19">
      <c r="C46" s="87"/>
      <c r="D46" s="87"/>
      <c r="E46" s="87"/>
      <c r="F46" s="87"/>
      <c r="G46" s="87"/>
      <c r="H46" s="87"/>
      <c r="I46" s="87"/>
      <c r="J46" s="87"/>
      <c r="K46" s="86" t="s">
        <v>192</v>
      </c>
      <c r="L46" s="86"/>
      <c r="M46" s="86"/>
      <c r="N46" s="86"/>
      <c r="O46" s="87"/>
      <c r="P46" s="87"/>
      <c r="Q46" s="87"/>
      <c r="R46" s="87"/>
      <c r="S46" s="87"/>
    </row>
    <row r="47" spans="1:19">
      <c r="C47" s="87"/>
      <c r="D47" s="87"/>
      <c r="E47" s="87"/>
      <c r="F47" s="87"/>
      <c r="G47" s="86" t="s">
        <v>183</v>
      </c>
      <c r="H47" s="86"/>
      <c r="I47" s="86"/>
      <c r="J47" s="86"/>
      <c r="K47" s="86"/>
      <c r="L47" s="86"/>
      <c r="M47" s="86"/>
      <c r="N47" s="86"/>
      <c r="O47" s="86"/>
      <c r="P47" s="86"/>
      <c r="Q47" s="87"/>
      <c r="R47" s="87"/>
      <c r="S47" s="87"/>
    </row>
    <row r="48" spans="1:19">
      <c r="C48" s="87"/>
      <c r="D48" s="87"/>
      <c r="E48" s="87"/>
      <c r="F48" s="87"/>
      <c r="G48" s="86" t="s">
        <v>533</v>
      </c>
      <c r="H48" s="86"/>
      <c r="I48" s="86"/>
      <c r="J48" s="86"/>
      <c r="K48" s="86"/>
      <c r="L48" s="86"/>
      <c r="M48" s="86"/>
      <c r="N48" s="86"/>
      <c r="O48" s="86"/>
      <c r="P48" s="86"/>
      <c r="Q48" s="87"/>
      <c r="R48" s="87"/>
      <c r="S48" s="87"/>
    </row>
    <row r="49" spans="1:19">
      <c r="C49" s="87"/>
      <c r="D49" s="86"/>
      <c r="E49" s="86"/>
      <c r="F49" s="86"/>
      <c r="G49" s="90" t="s">
        <v>478</v>
      </c>
      <c r="H49" s="90"/>
      <c r="I49" s="90"/>
      <c r="J49" s="90"/>
      <c r="K49" s="90"/>
      <c r="L49" s="90"/>
      <c r="M49" s="90"/>
      <c r="N49" s="90"/>
      <c r="O49" s="90"/>
      <c r="P49" s="90"/>
      <c r="Q49" s="87"/>
      <c r="R49" s="87"/>
      <c r="S49" s="87"/>
    </row>
    <row r="50" spans="1:19" ht="24" thickBot="1">
      <c r="A50" s="87"/>
      <c r="B50" s="90"/>
      <c r="C50" s="90"/>
      <c r="D50" s="90"/>
      <c r="E50" s="90"/>
      <c r="F50" s="90"/>
      <c r="G50" s="90"/>
      <c r="H50" s="99"/>
      <c r="I50" s="86"/>
      <c r="J50" s="87"/>
      <c r="K50" s="87"/>
      <c r="L50" s="87"/>
      <c r="M50" s="87"/>
      <c r="N50" s="87"/>
      <c r="O50" s="87"/>
      <c r="P50" s="87"/>
      <c r="Q50" s="87"/>
    </row>
    <row r="51" spans="1:19" ht="24" thickTop="1">
      <c r="A51" s="87"/>
      <c r="B51" s="100"/>
      <c r="C51" s="100"/>
      <c r="D51" s="101"/>
      <c r="E51" s="355" t="s">
        <v>115</v>
      </c>
      <c r="F51" s="357"/>
      <c r="G51" s="355" t="s">
        <v>142</v>
      </c>
      <c r="H51" s="356"/>
      <c r="I51" s="357"/>
      <c r="J51" s="355" t="s">
        <v>27</v>
      </c>
      <c r="K51" s="356"/>
      <c r="L51" s="356"/>
      <c r="M51" s="357"/>
      <c r="N51" s="87"/>
      <c r="O51" s="87"/>
      <c r="P51" s="87"/>
      <c r="Q51" s="87"/>
    </row>
    <row r="52" spans="1:19" ht="24" thickBot="1">
      <c r="A52" s="87"/>
      <c r="B52" s="87"/>
      <c r="C52" s="87"/>
      <c r="D52" s="87"/>
      <c r="E52" s="386"/>
      <c r="F52" s="387"/>
      <c r="G52" s="386"/>
      <c r="H52" s="329"/>
      <c r="I52" s="387"/>
      <c r="J52" s="358"/>
      <c r="K52" s="359"/>
      <c r="L52" s="359"/>
      <c r="M52" s="360"/>
      <c r="N52" s="87"/>
      <c r="O52" s="87"/>
      <c r="P52" s="87"/>
      <c r="Q52" s="87"/>
    </row>
    <row r="53" spans="1:19" ht="24.75" thickTop="1" thickBot="1">
      <c r="A53" s="87"/>
      <c r="B53" s="87"/>
      <c r="C53" s="87"/>
      <c r="D53" s="87"/>
      <c r="E53" s="358"/>
      <c r="F53" s="360"/>
      <c r="G53" s="358"/>
      <c r="H53" s="359"/>
      <c r="I53" s="360"/>
      <c r="J53" s="14" t="s">
        <v>5</v>
      </c>
      <c r="K53" s="14" t="s">
        <v>6</v>
      </c>
      <c r="L53" s="14" t="s">
        <v>67</v>
      </c>
      <c r="M53" s="14" t="s">
        <v>25</v>
      </c>
      <c r="N53" s="87"/>
      <c r="O53" s="87"/>
      <c r="P53" s="87"/>
      <c r="Q53" s="87"/>
    </row>
    <row r="54" spans="1:19" ht="24.75" thickTop="1" thickBot="1">
      <c r="A54" s="87"/>
      <c r="B54" s="87"/>
      <c r="C54" s="87"/>
      <c r="D54" s="87"/>
      <c r="E54" s="394" t="s">
        <v>123</v>
      </c>
      <c r="F54" s="395"/>
      <c r="G54" s="322" t="s">
        <v>145</v>
      </c>
      <c r="H54" s="330"/>
      <c r="I54" s="323"/>
      <c r="J54" s="102">
        <f>المهني!CM12</f>
        <v>15</v>
      </c>
      <c r="K54" s="102">
        <f>المهني!CN12</f>
        <v>7</v>
      </c>
      <c r="L54" s="102">
        <f>المهني!CO12</f>
        <v>0</v>
      </c>
      <c r="M54" s="102">
        <f>L54+K54+J54</f>
        <v>22</v>
      </c>
      <c r="N54" s="87"/>
      <c r="O54" s="87"/>
      <c r="P54" s="87"/>
      <c r="Q54" s="87"/>
    </row>
    <row r="55" spans="1:19" ht="24.75" thickTop="1" thickBot="1">
      <c r="A55" s="87"/>
      <c r="B55" s="87"/>
      <c r="C55" s="87"/>
      <c r="D55" s="87"/>
      <c r="E55" s="396"/>
      <c r="F55" s="397"/>
      <c r="G55" s="322" t="s">
        <v>146</v>
      </c>
      <c r="H55" s="330"/>
      <c r="I55" s="323"/>
      <c r="J55" s="102">
        <f>المهني!CP12</f>
        <v>17</v>
      </c>
      <c r="K55" s="102">
        <f>المهني!CQ12</f>
        <v>4</v>
      </c>
      <c r="L55" s="102">
        <f>المهني!CR12</f>
        <v>0</v>
      </c>
      <c r="M55" s="102">
        <f>L55+K55+J55</f>
        <v>21</v>
      </c>
      <c r="N55" s="87"/>
      <c r="O55" s="87"/>
      <c r="P55" s="87"/>
      <c r="Q55" s="87"/>
    </row>
    <row r="56" spans="1:19" ht="24.75" thickTop="1" thickBot="1">
      <c r="A56" s="87"/>
      <c r="B56" s="87"/>
      <c r="C56" s="87"/>
      <c r="D56" s="87"/>
      <c r="E56" s="396"/>
      <c r="F56" s="397"/>
      <c r="G56" s="322" t="s">
        <v>147</v>
      </c>
      <c r="H56" s="330"/>
      <c r="I56" s="323"/>
      <c r="J56" s="102">
        <f>المهني!CS12</f>
        <v>15</v>
      </c>
      <c r="K56" s="102">
        <f>المهني!CT12</f>
        <v>3</v>
      </c>
      <c r="L56" s="102">
        <f>المهني!CU12</f>
        <v>0</v>
      </c>
      <c r="M56" s="102">
        <f>L56+K56+J56</f>
        <v>18</v>
      </c>
      <c r="N56" s="87"/>
      <c r="O56" s="87"/>
      <c r="P56" s="87"/>
      <c r="Q56" s="87"/>
    </row>
    <row r="57" spans="1:19" ht="24.75" thickTop="1" thickBot="1">
      <c r="A57" s="87"/>
      <c r="B57" s="87"/>
      <c r="C57" s="87"/>
      <c r="D57" s="87"/>
      <c r="E57" s="398"/>
      <c r="F57" s="399"/>
      <c r="G57" s="322" t="s">
        <v>25</v>
      </c>
      <c r="H57" s="330"/>
      <c r="I57" s="323"/>
      <c r="J57" s="102">
        <f>J56+J55+J54</f>
        <v>47</v>
      </c>
      <c r="K57" s="102">
        <f>K56+K55+K54</f>
        <v>14</v>
      </c>
      <c r="L57" s="102">
        <f>L56+L55+L54</f>
        <v>0</v>
      </c>
      <c r="M57" s="102">
        <f>M56+M55+M54</f>
        <v>61</v>
      </c>
      <c r="N57" s="87"/>
      <c r="O57" s="87"/>
      <c r="P57" s="87"/>
      <c r="Q57" s="87"/>
    </row>
    <row r="58" spans="1:19" ht="24.75" thickTop="1" thickBot="1">
      <c r="A58" s="87"/>
      <c r="B58" s="87"/>
      <c r="C58" s="87"/>
      <c r="D58" s="87"/>
      <c r="E58" s="394" t="s">
        <v>124</v>
      </c>
      <c r="F58" s="395"/>
      <c r="G58" s="322" t="s">
        <v>145</v>
      </c>
      <c r="H58" s="330"/>
      <c r="I58" s="323"/>
      <c r="J58" s="105">
        <v>0</v>
      </c>
      <c r="K58" s="105">
        <v>0</v>
      </c>
      <c r="L58" s="105">
        <v>0</v>
      </c>
      <c r="M58" s="102">
        <f>L58+K58+J58</f>
        <v>0</v>
      </c>
      <c r="N58" s="87"/>
      <c r="O58" s="87"/>
      <c r="P58" s="87"/>
      <c r="Q58" s="87"/>
    </row>
    <row r="59" spans="1:19" ht="24.75" thickTop="1" thickBot="1">
      <c r="A59" s="87"/>
      <c r="B59" s="87"/>
      <c r="C59" s="87"/>
      <c r="D59" s="87"/>
      <c r="E59" s="396"/>
      <c r="F59" s="397"/>
      <c r="G59" s="322" t="s">
        <v>146</v>
      </c>
      <c r="H59" s="330"/>
      <c r="I59" s="323"/>
      <c r="J59" s="105">
        <v>0</v>
      </c>
      <c r="K59" s="105">
        <v>0</v>
      </c>
      <c r="L59" s="105">
        <v>0</v>
      </c>
      <c r="M59" s="102">
        <f>L59+K59+J59</f>
        <v>0</v>
      </c>
      <c r="N59" s="87"/>
      <c r="O59" s="87"/>
      <c r="P59" s="87"/>
      <c r="Q59" s="87"/>
    </row>
    <row r="60" spans="1:19" ht="24.75" thickTop="1" thickBot="1">
      <c r="A60" s="87"/>
      <c r="B60" s="87"/>
      <c r="C60" s="87"/>
      <c r="D60" s="87"/>
      <c r="E60" s="396"/>
      <c r="F60" s="397"/>
      <c r="G60" s="322" t="s">
        <v>147</v>
      </c>
      <c r="H60" s="330"/>
      <c r="I60" s="323"/>
      <c r="J60" s="105">
        <v>0</v>
      </c>
      <c r="K60" s="105">
        <v>0</v>
      </c>
      <c r="L60" s="105">
        <v>0</v>
      </c>
      <c r="M60" s="102">
        <f>L60+K60+J60</f>
        <v>0</v>
      </c>
      <c r="N60" s="87"/>
      <c r="O60" s="87"/>
      <c r="P60" s="87"/>
      <c r="Q60" s="87"/>
    </row>
    <row r="61" spans="1:19" ht="24.75" thickTop="1" thickBot="1">
      <c r="A61" s="87"/>
      <c r="B61" s="87"/>
      <c r="C61" s="87"/>
      <c r="D61" s="87"/>
      <c r="E61" s="398"/>
      <c r="F61" s="399"/>
      <c r="G61" s="322" t="s">
        <v>25</v>
      </c>
      <c r="H61" s="330"/>
      <c r="I61" s="323"/>
      <c r="J61" s="102">
        <f>J60+J59+J58</f>
        <v>0</v>
      </c>
      <c r="K61" s="102">
        <f>K60+K59+K58</f>
        <v>0</v>
      </c>
      <c r="L61" s="102">
        <f>L60+L59+L58</f>
        <v>0</v>
      </c>
      <c r="M61" s="102">
        <f>M60+M59+M58</f>
        <v>0</v>
      </c>
      <c r="N61" s="87"/>
      <c r="O61" s="87"/>
      <c r="P61" s="87"/>
      <c r="Q61" s="87"/>
    </row>
    <row r="62" spans="1:19" ht="24.75" thickTop="1" thickBot="1">
      <c r="A62" s="87"/>
      <c r="B62" s="87"/>
      <c r="C62" s="87"/>
      <c r="D62" s="87"/>
      <c r="E62" s="394" t="s">
        <v>125</v>
      </c>
      <c r="F62" s="395"/>
      <c r="G62" s="322" t="s">
        <v>145</v>
      </c>
      <c r="H62" s="330"/>
      <c r="I62" s="323"/>
      <c r="J62" s="102">
        <f>المهني!CM26</f>
        <v>5</v>
      </c>
      <c r="K62" s="102">
        <f>المهني!CN26</f>
        <v>4</v>
      </c>
      <c r="L62" s="102">
        <f>المهني!CO26</f>
        <v>0</v>
      </c>
      <c r="M62" s="102">
        <f>L62+K62+J62</f>
        <v>9</v>
      </c>
      <c r="N62" s="87"/>
      <c r="O62" s="87"/>
      <c r="P62" s="87"/>
      <c r="Q62" s="87"/>
    </row>
    <row r="63" spans="1:19" ht="24.75" thickTop="1" thickBot="1">
      <c r="A63" s="87"/>
      <c r="B63" s="87"/>
      <c r="C63" s="87"/>
      <c r="D63" s="87"/>
      <c r="E63" s="396"/>
      <c r="F63" s="397"/>
      <c r="G63" s="322" t="s">
        <v>146</v>
      </c>
      <c r="H63" s="330"/>
      <c r="I63" s="323"/>
      <c r="J63" s="102">
        <f>المهني!CP26</f>
        <v>4</v>
      </c>
      <c r="K63" s="102">
        <f>المهني!CQ26</f>
        <v>2</v>
      </c>
      <c r="L63" s="102">
        <f>المهني!CR26</f>
        <v>0</v>
      </c>
      <c r="M63" s="102">
        <f>L63+K63+J63</f>
        <v>6</v>
      </c>
      <c r="N63" s="87"/>
      <c r="O63" s="87"/>
      <c r="P63" s="87"/>
      <c r="Q63" s="87"/>
    </row>
    <row r="64" spans="1:19" ht="24.75" thickTop="1" thickBot="1">
      <c r="A64" s="87"/>
      <c r="B64" s="87"/>
      <c r="C64" s="87"/>
      <c r="D64" s="87"/>
      <c r="E64" s="396"/>
      <c r="F64" s="397"/>
      <c r="G64" s="322" t="s">
        <v>147</v>
      </c>
      <c r="H64" s="330"/>
      <c r="I64" s="323"/>
      <c r="J64" s="102">
        <f>المهني!CS26</f>
        <v>6</v>
      </c>
      <c r="K64" s="102">
        <f>المهني!CT26</f>
        <v>2</v>
      </c>
      <c r="L64" s="102">
        <f>المهني!CU26</f>
        <v>0</v>
      </c>
      <c r="M64" s="102">
        <f>L64+K64+J64</f>
        <v>8</v>
      </c>
      <c r="N64" s="87"/>
      <c r="O64" s="87"/>
      <c r="P64" s="87"/>
      <c r="Q64" s="87"/>
    </row>
    <row r="65" spans="1:17" ht="24.75" thickTop="1" thickBot="1">
      <c r="A65" s="87"/>
      <c r="B65" s="87"/>
      <c r="C65" s="87"/>
      <c r="D65" s="87"/>
      <c r="E65" s="398"/>
      <c r="F65" s="399"/>
      <c r="G65" s="322" t="s">
        <v>25</v>
      </c>
      <c r="H65" s="330"/>
      <c r="I65" s="323"/>
      <c r="J65" s="102">
        <f>J64+J63+J62</f>
        <v>15</v>
      </c>
      <c r="K65" s="102">
        <f>K64+K63+K62</f>
        <v>8</v>
      </c>
      <c r="L65" s="102">
        <f>L64+L63+L62</f>
        <v>0</v>
      </c>
      <c r="M65" s="102">
        <f>M64+M63+M62</f>
        <v>23</v>
      </c>
      <c r="N65" s="87"/>
      <c r="O65" s="87"/>
      <c r="P65" s="87"/>
      <c r="Q65" s="87"/>
    </row>
    <row r="66" spans="1:17" ht="24.75" thickTop="1" thickBot="1">
      <c r="A66" s="87"/>
      <c r="B66" s="87"/>
      <c r="C66" s="87"/>
      <c r="D66" s="87"/>
      <c r="E66" s="394" t="s">
        <v>214</v>
      </c>
      <c r="F66" s="395"/>
      <c r="G66" s="322" t="s">
        <v>145</v>
      </c>
      <c r="H66" s="330"/>
      <c r="I66" s="323"/>
      <c r="J66" s="142">
        <v>0</v>
      </c>
      <c r="K66" s="104">
        <f>المهني!CN35</f>
        <v>4</v>
      </c>
      <c r="L66" s="142">
        <v>0</v>
      </c>
      <c r="M66" s="102">
        <f>L66+K66+J66</f>
        <v>4</v>
      </c>
      <c r="N66" s="87"/>
      <c r="O66" s="87"/>
      <c r="P66" s="87"/>
      <c r="Q66" s="87"/>
    </row>
    <row r="67" spans="1:17" ht="24.75" thickTop="1" thickBot="1">
      <c r="A67" s="87"/>
      <c r="B67" s="87"/>
      <c r="C67" s="87"/>
      <c r="D67" s="87"/>
      <c r="E67" s="396"/>
      <c r="F67" s="397"/>
      <c r="G67" s="322" t="s">
        <v>146</v>
      </c>
      <c r="H67" s="330"/>
      <c r="I67" s="323"/>
      <c r="J67" s="142">
        <v>0</v>
      </c>
      <c r="K67" s="104">
        <f>المهني!CQ34</f>
        <v>3</v>
      </c>
      <c r="L67" s="142">
        <v>0</v>
      </c>
      <c r="M67" s="102">
        <f>L67+K67+J67</f>
        <v>3</v>
      </c>
      <c r="N67" s="87"/>
      <c r="O67" s="87"/>
      <c r="P67" s="87"/>
      <c r="Q67" s="87"/>
    </row>
    <row r="68" spans="1:17" ht="24.75" thickTop="1" thickBot="1">
      <c r="A68" s="87"/>
      <c r="B68" s="87"/>
      <c r="C68" s="87"/>
      <c r="D68" s="87"/>
      <c r="E68" s="396"/>
      <c r="F68" s="397"/>
      <c r="G68" s="322" t="s">
        <v>147</v>
      </c>
      <c r="H68" s="330"/>
      <c r="I68" s="323"/>
      <c r="J68" s="142">
        <v>0</v>
      </c>
      <c r="K68" s="104">
        <f>المهني!CT35</f>
        <v>3</v>
      </c>
      <c r="L68" s="142">
        <v>0</v>
      </c>
      <c r="M68" s="102">
        <f>L68+K68+J68</f>
        <v>3</v>
      </c>
      <c r="N68" s="87"/>
      <c r="O68" s="87"/>
      <c r="P68" s="87"/>
      <c r="Q68" s="87"/>
    </row>
    <row r="69" spans="1:17" ht="24.75" thickTop="1" thickBot="1">
      <c r="A69" s="87"/>
      <c r="B69" s="87"/>
      <c r="C69" s="87"/>
      <c r="D69" s="87"/>
      <c r="E69" s="398"/>
      <c r="F69" s="399"/>
      <c r="G69" s="322" t="s">
        <v>25</v>
      </c>
      <c r="H69" s="330"/>
      <c r="I69" s="323"/>
      <c r="J69" s="142">
        <f>J68+J67+J66</f>
        <v>0</v>
      </c>
      <c r="K69" s="104">
        <f>K68+K67+K66</f>
        <v>10</v>
      </c>
      <c r="L69" s="142">
        <f>L68+L67+L66</f>
        <v>0</v>
      </c>
      <c r="M69" s="104">
        <f>M68+M67+M66</f>
        <v>10</v>
      </c>
      <c r="N69" s="87"/>
      <c r="O69" s="87"/>
      <c r="P69" s="87"/>
      <c r="Q69" s="87"/>
    </row>
    <row r="70" spans="1:17" ht="24.75" thickTop="1" thickBot="1">
      <c r="A70" s="135"/>
      <c r="B70" s="135"/>
      <c r="C70" s="135"/>
      <c r="D70" s="135"/>
      <c r="E70" s="394" t="s">
        <v>488</v>
      </c>
      <c r="F70" s="395"/>
      <c r="G70" s="322" t="s">
        <v>145</v>
      </c>
      <c r="H70" s="330"/>
      <c r="I70" s="323"/>
      <c r="J70" s="104">
        <f>المهني!CM49</f>
        <v>3</v>
      </c>
      <c r="K70" s="104">
        <f>المهني!CN49</f>
        <v>0</v>
      </c>
      <c r="L70" s="104">
        <f>المهني!CO49</f>
        <v>0</v>
      </c>
      <c r="M70" s="102">
        <f t="shared" ref="M70:M72" si="6">L70+K70+J70</f>
        <v>3</v>
      </c>
      <c r="N70" s="135"/>
      <c r="O70" s="135"/>
      <c r="P70" s="135"/>
      <c r="Q70" s="135"/>
    </row>
    <row r="71" spans="1:17" ht="24.75" thickTop="1" thickBot="1">
      <c r="A71" s="135"/>
      <c r="B71" s="135"/>
      <c r="C71" s="135"/>
      <c r="D71" s="135"/>
      <c r="E71" s="396"/>
      <c r="F71" s="397"/>
      <c r="G71" s="322" t="s">
        <v>146</v>
      </c>
      <c r="H71" s="330"/>
      <c r="I71" s="323"/>
      <c r="J71" s="104">
        <f>المهني!CP49</f>
        <v>3</v>
      </c>
      <c r="K71" s="104">
        <f>المهني!CQ49</f>
        <v>0</v>
      </c>
      <c r="L71" s="104">
        <f>المهني!CR49</f>
        <v>0</v>
      </c>
      <c r="M71" s="102">
        <f t="shared" si="6"/>
        <v>3</v>
      </c>
      <c r="N71" s="135"/>
      <c r="O71" s="135"/>
      <c r="P71" s="135"/>
      <c r="Q71" s="135"/>
    </row>
    <row r="72" spans="1:17" ht="24.75" thickTop="1" thickBot="1">
      <c r="A72" s="135"/>
      <c r="B72" s="135"/>
      <c r="C72" s="135"/>
      <c r="D72" s="135"/>
      <c r="E72" s="396"/>
      <c r="F72" s="397"/>
      <c r="G72" s="322" t="s">
        <v>147</v>
      </c>
      <c r="H72" s="330"/>
      <c r="I72" s="323"/>
      <c r="J72" s="104">
        <f>المهني!CS49</f>
        <v>3</v>
      </c>
      <c r="K72" s="104">
        <f>المهني!CT49</f>
        <v>0</v>
      </c>
      <c r="L72" s="104">
        <f>المهني!CU49</f>
        <v>0</v>
      </c>
      <c r="M72" s="102">
        <f t="shared" si="6"/>
        <v>3</v>
      </c>
      <c r="N72" s="135"/>
      <c r="O72" s="135"/>
      <c r="P72" s="135"/>
      <c r="Q72" s="135"/>
    </row>
    <row r="73" spans="1:17" ht="24.75" thickTop="1" thickBot="1">
      <c r="A73" s="135"/>
      <c r="B73" s="135"/>
      <c r="C73" s="135"/>
      <c r="D73" s="135"/>
      <c r="E73" s="398"/>
      <c r="F73" s="399"/>
      <c r="G73" s="322" t="s">
        <v>25</v>
      </c>
      <c r="H73" s="330"/>
      <c r="I73" s="323"/>
      <c r="J73" s="104">
        <f t="shared" ref="J73:M73" si="7">J72+J71+J70</f>
        <v>9</v>
      </c>
      <c r="K73" s="104">
        <f t="shared" si="7"/>
        <v>0</v>
      </c>
      <c r="L73" s="104">
        <f t="shared" si="7"/>
        <v>0</v>
      </c>
      <c r="M73" s="104">
        <f t="shared" si="7"/>
        <v>9</v>
      </c>
      <c r="N73" s="135"/>
      <c r="O73" s="135"/>
      <c r="P73" s="135"/>
      <c r="Q73" s="135"/>
    </row>
    <row r="74" spans="1:17" ht="24.75" thickTop="1" thickBot="1">
      <c r="A74" s="87"/>
      <c r="B74" s="87"/>
      <c r="C74" s="87"/>
      <c r="D74" s="87"/>
      <c r="E74" s="400" t="s">
        <v>397</v>
      </c>
      <c r="F74" s="401"/>
      <c r="G74" s="322" t="s">
        <v>145</v>
      </c>
      <c r="H74" s="330"/>
      <c r="I74" s="323"/>
      <c r="J74" s="104">
        <f>المهني!CM47</f>
        <v>13</v>
      </c>
      <c r="K74" s="104">
        <f>المهني!CN47</f>
        <v>7</v>
      </c>
      <c r="L74" s="104">
        <f>المهني!CO47</f>
        <v>0</v>
      </c>
      <c r="M74" s="102">
        <f>L74+K74+J74</f>
        <v>20</v>
      </c>
      <c r="N74" s="87"/>
      <c r="O74" s="87"/>
      <c r="P74" s="87"/>
      <c r="Q74" s="87"/>
    </row>
    <row r="75" spans="1:17" ht="24.75" thickTop="1" thickBot="1">
      <c r="A75" s="87"/>
      <c r="B75" s="87"/>
      <c r="C75" s="87"/>
      <c r="D75" s="87"/>
      <c r="E75" s="402"/>
      <c r="F75" s="403"/>
      <c r="G75" s="322" t="s">
        <v>146</v>
      </c>
      <c r="H75" s="330"/>
      <c r="I75" s="323"/>
      <c r="J75" s="104">
        <f>المهني!CP47</f>
        <v>8</v>
      </c>
      <c r="K75" s="104">
        <f>المهني!CQ47</f>
        <v>5</v>
      </c>
      <c r="L75" s="104">
        <f>المهني!CR47</f>
        <v>0</v>
      </c>
      <c r="M75" s="102">
        <f>L75+K75+J75</f>
        <v>13</v>
      </c>
      <c r="N75" s="87"/>
      <c r="O75" s="87"/>
      <c r="P75" s="87"/>
      <c r="Q75" s="87"/>
    </row>
    <row r="76" spans="1:17" ht="24.75" thickTop="1" thickBot="1">
      <c r="A76" s="87"/>
      <c r="B76" s="87"/>
      <c r="C76" s="87"/>
      <c r="D76" s="87"/>
      <c r="E76" s="402"/>
      <c r="F76" s="403"/>
      <c r="G76" s="322" t="s">
        <v>147</v>
      </c>
      <c r="H76" s="330"/>
      <c r="I76" s="323"/>
      <c r="J76" s="104">
        <f>المهني!CS47</f>
        <v>9</v>
      </c>
      <c r="K76" s="104">
        <f>المهني!CT47</f>
        <v>3</v>
      </c>
      <c r="L76" s="104">
        <f>المهني!CU47</f>
        <v>0</v>
      </c>
      <c r="M76" s="102">
        <f>L76+K76+J76</f>
        <v>12</v>
      </c>
      <c r="N76" s="87"/>
      <c r="O76" s="87"/>
      <c r="P76" s="87"/>
      <c r="Q76" s="87"/>
    </row>
    <row r="77" spans="1:17" ht="24.75" thickTop="1" thickBot="1">
      <c r="A77" s="87"/>
      <c r="B77" s="87"/>
      <c r="C77" s="87"/>
      <c r="D77" s="87"/>
      <c r="E77" s="404"/>
      <c r="F77" s="405"/>
      <c r="G77" s="322" t="s">
        <v>25</v>
      </c>
      <c r="H77" s="330"/>
      <c r="I77" s="323"/>
      <c r="J77" s="104">
        <f>J76+J75+J74</f>
        <v>30</v>
      </c>
      <c r="K77" s="104">
        <f>K76+K75+K74</f>
        <v>15</v>
      </c>
      <c r="L77" s="104">
        <f>L76+L75+L74</f>
        <v>0</v>
      </c>
      <c r="M77" s="104">
        <f>M76+M75+M74</f>
        <v>45</v>
      </c>
      <c r="N77" s="87"/>
      <c r="O77" s="87"/>
      <c r="P77" s="87"/>
      <c r="Q77" s="87"/>
    </row>
    <row r="78" spans="1:17" ht="24.75" thickTop="1" thickBot="1">
      <c r="A78" s="87"/>
      <c r="B78" s="87"/>
      <c r="C78" s="87"/>
      <c r="D78" s="87"/>
      <c r="E78" s="394" t="s">
        <v>139</v>
      </c>
      <c r="F78" s="395"/>
      <c r="G78" s="322" t="s">
        <v>145</v>
      </c>
      <c r="H78" s="330"/>
      <c r="I78" s="323"/>
      <c r="J78" s="102">
        <f>J66+J62+J58+J54+J74+J70</f>
        <v>36</v>
      </c>
      <c r="K78" s="102">
        <f t="shared" ref="K78:M78" si="8">K66+K62+K58+K54+K74+K70</f>
        <v>22</v>
      </c>
      <c r="L78" s="102">
        <f t="shared" si="8"/>
        <v>0</v>
      </c>
      <c r="M78" s="102">
        <f t="shared" si="8"/>
        <v>58</v>
      </c>
      <c r="N78" s="87"/>
      <c r="O78" s="87"/>
      <c r="P78" s="87"/>
      <c r="Q78" s="87"/>
    </row>
    <row r="79" spans="1:17" ht="24.75" thickTop="1" thickBot="1">
      <c r="A79" s="87"/>
      <c r="B79" s="87"/>
      <c r="C79" s="87"/>
      <c r="D79" s="87"/>
      <c r="E79" s="396"/>
      <c r="F79" s="397"/>
      <c r="G79" s="322" t="s">
        <v>146</v>
      </c>
      <c r="H79" s="330"/>
      <c r="I79" s="323"/>
      <c r="J79" s="102">
        <f t="shared" ref="J79:M79" si="9">J67+J63+J59+J55+J75+J71</f>
        <v>32</v>
      </c>
      <c r="K79" s="102">
        <f t="shared" si="9"/>
        <v>14</v>
      </c>
      <c r="L79" s="102">
        <f t="shared" si="9"/>
        <v>0</v>
      </c>
      <c r="M79" s="102">
        <f t="shared" si="9"/>
        <v>46</v>
      </c>
      <c r="N79" s="87"/>
      <c r="O79" s="87"/>
      <c r="P79" s="87"/>
      <c r="Q79" s="87"/>
    </row>
    <row r="80" spans="1:17" ht="24.75" thickTop="1" thickBot="1">
      <c r="A80" s="87"/>
      <c r="B80" s="87"/>
      <c r="C80" s="87"/>
      <c r="D80" s="87"/>
      <c r="E80" s="396"/>
      <c r="F80" s="397"/>
      <c r="G80" s="322" t="s">
        <v>147</v>
      </c>
      <c r="H80" s="330"/>
      <c r="I80" s="323"/>
      <c r="J80" s="102">
        <f t="shared" ref="J80:M80" si="10">J68+J64+J60+J56+J76+J72</f>
        <v>33</v>
      </c>
      <c r="K80" s="102">
        <f t="shared" si="10"/>
        <v>11</v>
      </c>
      <c r="L80" s="102">
        <f t="shared" si="10"/>
        <v>0</v>
      </c>
      <c r="M80" s="102">
        <f t="shared" si="10"/>
        <v>44</v>
      </c>
      <c r="N80" s="87"/>
      <c r="O80" s="87"/>
      <c r="P80" s="87"/>
      <c r="Q80" s="87"/>
    </row>
    <row r="81" spans="1:19" ht="24.75" thickTop="1" thickBot="1">
      <c r="A81" s="87"/>
      <c r="B81" s="87"/>
      <c r="C81" s="87"/>
      <c r="D81" s="87"/>
      <c r="E81" s="398"/>
      <c r="F81" s="399"/>
      <c r="G81" s="322" t="s">
        <v>25</v>
      </c>
      <c r="H81" s="330"/>
      <c r="I81" s="323"/>
      <c r="J81" s="102">
        <f t="shared" ref="J81:M81" si="11">J69+J65+J61+J57+J77+J73</f>
        <v>101</v>
      </c>
      <c r="K81" s="102">
        <f t="shared" si="11"/>
        <v>47</v>
      </c>
      <c r="L81" s="102">
        <f t="shared" si="11"/>
        <v>0</v>
      </c>
      <c r="M81" s="102">
        <f t="shared" si="11"/>
        <v>148</v>
      </c>
      <c r="N81" s="87"/>
      <c r="O81" s="87"/>
      <c r="P81" s="87"/>
      <c r="Q81" s="87"/>
    </row>
    <row r="82" spans="1:19" ht="24" thickTop="1"/>
    <row r="83" spans="1:19">
      <c r="C83" s="86" t="s">
        <v>148</v>
      </c>
      <c r="D83" s="86"/>
      <c r="E83" s="86"/>
      <c r="F83" s="86"/>
      <c r="G83" s="86"/>
      <c r="H83" s="87"/>
      <c r="I83" s="87"/>
      <c r="J83" s="87"/>
      <c r="K83" s="87"/>
      <c r="L83" s="87"/>
      <c r="M83" s="87"/>
      <c r="N83" s="87"/>
      <c r="O83" s="328" t="s">
        <v>112</v>
      </c>
      <c r="P83" s="328"/>
      <c r="S83" s="87"/>
    </row>
    <row r="84" spans="1:19">
      <c r="C84" s="89" t="s">
        <v>188</v>
      </c>
      <c r="D84" s="89"/>
      <c r="E84" s="89"/>
      <c r="F84" s="89"/>
      <c r="G84" s="89"/>
      <c r="H84" s="86"/>
      <c r="I84" s="86"/>
      <c r="J84" s="86"/>
      <c r="K84" s="87"/>
      <c r="L84" s="87"/>
      <c r="M84" s="87"/>
      <c r="N84" s="87"/>
      <c r="O84" s="87"/>
      <c r="P84" s="87"/>
      <c r="Q84" s="87"/>
      <c r="R84" s="87"/>
      <c r="S84" s="87"/>
    </row>
    <row r="85" spans="1:19">
      <c r="C85" s="87"/>
      <c r="D85" s="87"/>
      <c r="E85" s="87"/>
      <c r="F85" s="87"/>
      <c r="G85" s="87"/>
      <c r="H85" s="87"/>
      <c r="I85" s="87"/>
      <c r="J85" s="87"/>
      <c r="K85" s="86" t="s">
        <v>186</v>
      </c>
      <c r="L85" s="86"/>
      <c r="M85" s="86"/>
      <c r="N85" s="86"/>
      <c r="O85" s="87"/>
      <c r="P85" s="87"/>
      <c r="Q85" s="87"/>
      <c r="R85" s="87"/>
      <c r="S85" s="87"/>
    </row>
    <row r="86" spans="1:19">
      <c r="C86" s="87"/>
      <c r="D86" s="87"/>
      <c r="E86" s="87"/>
      <c r="F86" s="87"/>
      <c r="G86" s="86" t="s">
        <v>183</v>
      </c>
      <c r="H86" s="86"/>
      <c r="I86" s="86"/>
      <c r="J86" s="86"/>
      <c r="K86" s="86"/>
      <c r="L86" s="86"/>
      <c r="M86" s="86"/>
      <c r="N86" s="86"/>
      <c r="O86" s="86"/>
      <c r="P86" s="86"/>
      <c r="Q86" s="87"/>
      <c r="R86" s="87"/>
      <c r="S86" s="87"/>
    </row>
    <row r="87" spans="1:19">
      <c r="C87" s="87"/>
      <c r="D87" s="87"/>
      <c r="E87" s="87"/>
      <c r="F87" s="87"/>
      <c r="G87" s="86" t="s">
        <v>537</v>
      </c>
      <c r="H87" s="86"/>
      <c r="I87" s="86"/>
      <c r="J87" s="86"/>
      <c r="K87" s="86"/>
      <c r="L87" s="86"/>
      <c r="M87" s="86"/>
      <c r="N87" s="86"/>
      <c r="O87" s="86"/>
      <c r="P87" s="86"/>
      <c r="Q87" s="87"/>
      <c r="R87" s="87"/>
      <c r="S87" s="87"/>
    </row>
    <row r="88" spans="1:19">
      <c r="C88" s="87"/>
      <c r="D88" s="86"/>
      <c r="E88" s="86"/>
      <c r="F88" s="86"/>
      <c r="G88" s="90" t="s">
        <v>478</v>
      </c>
      <c r="H88" s="90"/>
      <c r="I88" s="90"/>
      <c r="J88" s="90"/>
      <c r="K88" s="90"/>
      <c r="L88" s="90"/>
      <c r="M88" s="90"/>
      <c r="N88" s="90"/>
      <c r="O88" s="90"/>
      <c r="P88" s="90"/>
      <c r="Q88" s="87"/>
      <c r="R88" s="87"/>
      <c r="S88" s="87"/>
    </row>
    <row r="89" spans="1:19" ht="24" thickBot="1">
      <c r="A89" s="87"/>
      <c r="B89" s="90"/>
      <c r="C89" s="90"/>
      <c r="D89" s="90"/>
      <c r="E89" s="90"/>
      <c r="F89" s="90"/>
      <c r="G89" s="90"/>
      <c r="H89" s="99"/>
      <c r="I89" s="86"/>
      <c r="J89" s="87"/>
      <c r="K89" s="87"/>
      <c r="L89" s="87"/>
      <c r="M89" s="87"/>
      <c r="N89" s="87"/>
      <c r="O89" s="87"/>
      <c r="P89" s="87"/>
      <c r="Q89" s="87"/>
    </row>
    <row r="90" spans="1:19" ht="24" thickTop="1">
      <c r="A90" s="87"/>
      <c r="B90" s="100"/>
      <c r="C90" s="100"/>
      <c r="D90" s="101"/>
      <c r="E90" s="355" t="s">
        <v>115</v>
      </c>
      <c r="F90" s="357"/>
      <c r="G90" s="355" t="s">
        <v>142</v>
      </c>
      <c r="H90" s="356"/>
      <c r="I90" s="357"/>
      <c r="J90" s="355" t="s">
        <v>27</v>
      </c>
      <c r="K90" s="356"/>
      <c r="L90" s="356"/>
      <c r="M90" s="357"/>
      <c r="N90" s="87"/>
      <c r="O90" s="87"/>
      <c r="P90" s="87"/>
      <c r="Q90" s="87"/>
    </row>
    <row r="91" spans="1:19" ht="24" thickBot="1">
      <c r="A91" s="87"/>
      <c r="B91" s="87"/>
      <c r="C91" s="87"/>
      <c r="D91" s="87"/>
      <c r="E91" s="386"/>
      <c r="F91" s="387"/>
      <c r="G91" s="386"/>
      <c r="H91" s="329"/>
      <c r="I91" s="387"/>
      <c r="J91" s="358"/>
      <c r="K91" s="359"/>
      <c r="L91" s="359"/>
      <c r="M91" s="360"/>
      <c r="N91" s="87"/>
      <c r="O91" s="87"/>
      <c r="P91" s="87"/>
      <c r="Q91" s="87"/>
    </row>
    <row r="92" spans="1:19" ht="24.75" thickTop="1" thickBot="1">
      <c r="A92" s="87"/>
      <c r="B92" s="87"/>
      <c r="C92" s="87"/>
      <c r="D92" s="87"/>
      <c r="E92" s="358"/>
      <c r="F92" s="360"/>
      <c r="G92" s="358"/>
      <c r="H92" s="359"/>
      <c r="I92" s="360"/>
      <c r="J92" s="14" t="s">
        <v>5</v>
      </c>
      <c r="K92" s="14" t="s">
        <v>6</v>
      </c>
      <c r="L92" s="14" t="s">
        <v>67</v>
      </c>
      <c r="M92" s="14" t="s">
        <v>25</v>
      </c>
      <c r="N92" s="87"/>
      <c r="O92" s="87"/>
      <c r="P92" s="87"/>
      <c r="Q92" s="87"/>
    </row>
    <row r="93" spans="1:19" ht="24.75" thickTop="1" thickBot="1">
      <c r="A93" s="87"/>
      <c r="B93" s="87"/>
      <c r="C93" s="87"/>
      <c r="D93" s="87"/>
      <c r="E93" s="394" t="s">
        <v>123</v>
      </c>
      <c r="F93" s="395"/>
      <c r="G93" s="322" t="s">
        <v>145</v>
      </c>
      <c r="H93" s="330"/>
      <c r="I93" s="323"/>
      <c r="J93" s="102">
        <f>المهني!CM15</f>
        <v>1</v>
      </c>
      <c r="K93" s="102">
        <f>المهني!CN15</f>
        <v>0</v>
      </c>
      <c r="L93" s="102">
        <f>المهني!CO15</f>
        <v>0</v>
      </c>
      <c r="M93" s="102">
        <f>L93+K93+J93</f>
        <v>1</v>
      </c>
      <c r="N93" s="87"/>
      <c r="O93" s="87"/>
      <c r="P93" s="87"/>
      <c r="Q93" s="87"/>
    </row>
    <row r="94" spans="1:19" ht="24.75" thickTop="1" thickBot="1">
      <c r="A94" s="87"/>
      <c r="B94" s="87"/>
      <c r="C94" s="87"/>
      <c r="D94" s="87"/>
      <c r="E94" s="396"/>
      <c r="F94" s="397"/>
      <c r="G94" s="322" t="s">
        <v>146</v>
      </c>
      <c r="H94" s="330"/>
      <c r="I94" s="323"/>
      <c r="J94" s="102">
        <f>المهني!CP15</f>
        <v>1</v>
      </c>
      <c r="K94" s="102">
        <f>المهني!CQ15</f>
        <v>0</v>
      </c>
      <c r="L94" s="102">
        <f>المهني!CR15</f>
        <v>0</v>
      </c>
      <c r="M94" s="102">
        <f>L94+K94+J94</f>
        <v>1</v>
      </c>
      <c r="N94" s="87"/>
      <c r="O94" s="87"/>
      <c r="P94" s="87"/>
      <c r="Q94" s="87"/>
    </row>
    <row r="95" spans="1:19" ht="24.75" thickTop="1" thickBot="1">
      <c r="A95" s="87"/>
      <c r="B95" s="87"/>
      <c r="C95" s="87"/>
      <c r="D95" s="87"/>
      <c r="E95" s="396"/>
      <c r="F95" s="397"/>
      <c r="G95" s="322" t="s">
        <v>147</v>
      </c>
      <c r="H95" s="330"/>
      <c r="I95" s="323"/>
      <c r="J95" s="102">
        <f>المهني!CS15</f>
        <v>1</v>
      </c>
      <c r="K95" s="102">
        <f>المهني!CT15</f>
        <v>0</v>
      </c>
      <c r="L95" s="102">
        <f>المهني!CU15</f>
        <v>0</v>
      </c>
      <c r="M95" s="102">
        <f>L95+K95+J95</f>
        <v>1</v>
      </c>
      <c r="N95" s="87"/>
      <c r="O95" s="87"/>
      <c r="P95" s="87"/>
      <c r="Q95" s="87"/>
    </row>
    <row r="96" spans="1:19" ht="24.75" thickTop="1" thickBot="1">
      <c r="A96" s="87"/>
      <c r="B96" s="87"/>
      <c r="C96" s="87"/>
      <c r="D96" s="87"/>
      <c r="E96" s="398"/>
      <c r="F96" s="399"/>
      <c r="G96" s="322" t="s">
        <v>25</v>
      </c>
      <c r="H96" s="330"/>
      <c r="I96" s="323"/>
      <c r="J96" s="102">
        <f>J95+J94+J93</f>
        <v>3</v>
      </c>
      <c r="K96" s="102">
        <f>K95+K94+K93</f>
        <v>0</v>
      </c>
      <c r="L96" s="102">
        <f>L95+L94+L93</f>
        <v>0</v>
      </c>
      <c r="M96" s="102">
        <f>M95+M94+M93</f>
        <v>3</v>
      </c>
      <c r="N96" s="87"/>
      <c r="O96" s="87"/>
      <c r="P96" s="87"/>
      <c r="Q96" s="87"/>
    </row>
    <row r="97" spans="1:17" ht="24.75" thickTop="1" thickBot="1">
      <c r="A97" s="87"/>
      <c r="B97" s="87"/>
      <c r="C97" s="87"/>
      <c r="D97" s="87"/>
      <c r="E97" s="394" t="s">
        <v>124</v>
      </c>
      <c r="F97" s="395"/>
      <c r="G97" s="322" t="s">
        <v>145</v>
      </c>
      <c r="H97" s="330"/>
      <c r="I97" s="323"/>
      <c r="J97" s="102">
        <f>المهني!CM31</f>
        <v>2</v>
      </c>
      <c r="K97" s="102">
        <f>المهني!CN31</f>
        <v>0</v>
      </c>
      <c r="L97" s="102">
        <f>المهني!CO31</f>
        <v>0</v>
      </c>
      <c r="M97" s="102">
        <f>L97+K97+J97</f>
        <v>2</v>
      </c>
      <c r="N97" s="87"/>
      <c r="O97" s="87"/>
      <c r="P97" s="87"/>
      <c r="Q97" s="87"/>
    </row>
    <row r="98" spans="1:17" ht="24.75" thickTop="1" thickBot="1">
      <c r="A98" s="87"/>
      <c r="B98" s="87"/>
      <c r="C98" s="87"/>
      <c r="D98" s="87"/>
      <c r="E98" s="396"/>
      <c r="F98" s="397"/>
      <c r="G98" s="322" t="s">
        <v>146</v>
      </c>
      <c r="H98" s="330"/>
      <c r="I98" s="323"/>
      <c r="J98" s="102">
        <f>المهني!CP31</f>
        <v>2</v>
      </c>
      <c r="K98" s="102">
        <f>المهني!CQ31</f>
        <v>0</v>
      </c>
      <c r="L98" s="102">
        <f>المهني!CR31</f>
        <v>0</v>
      </c>
      <c r="M98" s="102">
        <f>L98+K98+J98</f>
        <v>2</v>
      </c>
      <c r="N98" s="87"/>
      <c r="O98" s="87"/>
      <c r="P98" s="87"/>
      <c r="Q98" s="87"/>
    </row>
    <row r="99" spans="1:17" ht="24.75" thickTop="1" thickBot="1">
      <c r="A99" s="87"/>
      <c r="B99" s="87"/>
      <c r="C99" s="87"/>
      <c r="D99" s="87"/>
      <c r="E99" s="396"/>
      <c r="F99" s="397"/>
      <c r="G99" s="322" t="s">
        <v>147</v>
      </c>
      <c r="H99" s="330"/>
      <c r="I99" s="323"/>
      <c r="J99" s="102">
        <f>المهني!CS31</f>
        <v>1</v>
      </c>
      <c r="K99" s="102">
        <f>المهني!CT31</f>
        <v>0</v>
      </c>
      <c r="L99" s="102">
        <f>المهني!CU31</f>
        <v>0</v>
      </c>
      <c r="M99" s="102">
        <f>L99+K99+J99</f>
        <v>1</v>
      </c>
      <c r="N99" s="87"/>
      <c r="O99" s="87"/>
      <c r="P99" s="87"/>
      <c r="Q99" s="87"/>
    </row>
    <row r="100" spans="1:17" ht="24.75" thickTop="1" thickBot="1">
      <c r="A100" s="87"/>
      <c r="B100" s="87"/>
      <c r="C100" s="87"/>
      <c r="D100" s="87"/>
      <c r="E100" s="398"/>
      <c r="F100" s="399"/>
      <c r="G100" s="322" t="s">
        <v>25</v>
      </c>
      <c r="H100" s="330"/>
      <c r="I100" s="323"/>
      <c r="J100" s="102">
        <f>J99+J98+J97</f>
        <v>5</v>
      </c>
      <c r="K100" s="102">
        <f>K99+K98+K97</f>
        <v>0</v>
      </c>
      <c r="L100" s="102">
        <f>L99+L98+L97</f>
        <v>0</v>
      </c>
      <c r="M100" s="102">
        <f>M99+M98+M97</f>
        <v>5</v>
      </c>
      <c r="N100" s="87"/>
      <c r="O100" s="87"/>
      <c r="P100" s="87"/>
      <c r="Q100" s="87"/>
    </row>
    <row r="101" spans="1:17" ht="24.75" thickTop="1" thickBot="1">
      <c r="A101" s="87"/>
      <c r="B101" s="87"/>
      <c r="C101" s="87"/>
      <c r="D101" s="87"/>
      <c r="E101" s="394" t="s">
        <v>125</v>
      </c>
      <c r="F101" s="395"/>
      <c r="G101" s="322" t="s">
        <v>145</v>
      </c>
      <c r="H101" s="330"/>
      <c r="I101" s="323"/>
      <c r="J101" s="102">
        <v>0</v>
      </c>
      <c r="K101" s="102">
        <v>0</v>
      </c>
      <c r="L101" s="102">
        <v>0</v>
      </c>
      <c r="M101" s="102">
        <f>L101+K101+J101</f>
        <v>0</v>
      </c>
      <c r="N101" s="87"/>
      <c r="O101" s="87"/>
      <c r="P101" s="87"/>
      <c r="Q101" s="87"/>
    </row>
    <row r="102" spans="1:17" ht="24.75" thickTop="1" thickBot="1">
      <c r="A102" s="87"/>
      <c r="B102" s="87"/>
      <c r="C102" s="87"/>
      <c r="D102" s="87"/>
      <c r="E102" s="396"/>
      <c r="F102" s="397"/>
      <c r="G102" s="322" t="s">
        <v>146</v>
      </c>
      <c r="H102" s="330"/>
      <c r="I102" s="323"/>
      <c r="J102" s="102">
        <v>0</v>
      </c>
      <c r="K102" s="102">
        <v>0</v>
      </c>
      <c r="L102" s="102">
        <v>0</v>
      </c>
      <c r="M102" s="102">
        <f>L102+K102+J102</f>
        <v>0</v>
      </c>
      <c r="N102" s="87"/>
      <c r="O102" s="87"/>
      <c r="P102" s="87"/>
      <c r="Q102" s="87"/>
    </row>
    <row r="103" spans="1:17" ht="24.75" thickTop="1" thickBot="1">
      <c r="A103" s="87"/>
      <c r="B103" s="87"/>
      <c r="C103" s="87"/>
      <c r="D103" s="87"/>
      <c r="E103" s="396"/>
      <c r="F103" s="397"/>
      <c r="G103" s="322" t="s">
        <v>147</v>
      </c>
      <c r="H103" s="330"/>
      <c r="I103" s="323"/>
      <c r="J103" s="102">
        <v>0</v>
      </c>
      <c r="K103" s="102">
        <v>0</v>
      </c>
      <c r="L103" s="102">
        <v>0</v>
      </c>
      <c r="M103" s="102">
        <f>L103+K103+J103</f>
        <v>0</v>
      </c>
      <c r="N103" s="87"/>
      <c r="O103" s="87"/>
      <c r="P103" s="87"/>
      <c r="Q103" s="87"/>
    </row>
    <row r="104" spans="1:17" ht="24.75" thickTop="1" thickBot="1">
      <c r="A104" s="87"/>
      <c r="B104" s="87"/>
      <c r="C104" s="87"/>
      <c r="D104" s="87"/>
      <c r="E104" s="398"/>
      <c r="F104" s="399"/>
      <c r="G104" s="322" t="s">
        <v>25</v>
      </c>
      <c r="H104" s="330"/>
      <c r="I104" s="323"/>
      <c r="J104" s="102">
        <f>J103+J102+J101</f>
        <v>0</v>
      </c>
      <c r="K104" s="102">
        <f>K103+K102+K101</f>
        <v>0</v>
      </c>
      <c r="L104" s="102">
        <f>L103+L102+L101</f>
        <v>0</v>
      </c>
      <c r="M104" s="102">
        <f>M103+M102+M101</f>
        <v>0</v>
      </c>
      <c r="N104" s="87"/>
      <c r="O104" s="87"/>
      <c r="P104" s="87"/>
      <c r="Q104" s="87"/>
    </row>
    <row r="105" spans="1:17" ht="24.75" thickTop="1" thickBot="1">
      <c r="A105" s="87"/>
      <c r="B105" s="87"/>
      <c r="C105" s="87"/>
      <c r="D105" s="87"/>
      <c r="E105" s="394" t="s">
        <v>216</v>
      </c>
      <c r="F105" s="395"/>
      <c r="G105" s="322" t="s">
        <v>145</v>
      </c>
      <c r="H105" s="330"/>
      <c r="I105" s="323"/>
      <c r="J105" s="142"/>
      <c r="K105" s="102">
        <v>0</v>
      </c>
      <c r="L105" s="142"/>
      <c r="M105" s="102">
        <f>L105+K105+J105</f>
        <v>0</v>
      </c>
      <c r="N105" s="87"/>
      <c r="O105" s="87"/>
      <c r="P105" s="87"/>
      <c r="Q105" s="87"/>
    </row>
    <row r="106" spans="1:17" ht="24.75" thickTop="1" thickBot="1">
      <c r="A106" s="87"/>
      <c r="B106" s="87"/>
      <c r="C106" s="87"/>
      <c r="D106" s="87"/>
      <c r="E106" s="396"/>
      <c r="F106" s="397"/>
      <c r="G106" s="322" t="s">
        <v>146</v>
      </c>
      <c r="H106" s="330"/>
      <c r="I106" s="323"/>
      <c r="J106" s="142"/>
      <c r="K106" s="102">
        <v>0</v>
      </c>
      <c r="L106" s="142"/>
      <c r="M106" s="102">
        <f>L106+K106+J106</f>
        <v>0</v>
      </c>
      <c r="N106" s="87"/>
      <c r="O106" s="87"/>
      <c r="P106" s="87"/>
      <c r="Q106" s="87"/>
    </row>
    <row r="107" spans="1:17" ht="24.75" thickTop="1" thickBot="1">
      <c r="A107" s="87"/>
      <c r="B107" s="87"/>
      <c r="C107" s="87"/>
      <c r="D107" s="87"/>
      <c r="E107" s="396"/>
      <c r="F107" s="397"/>
      <c r="G107" s="322" t="s">
        <v>147</v>
      </c>
      <c r="H107" s="330"/>
      <c r="I107" s="323"/>
      <c r="J107" s="142"/>
      <c r="K107" s="102">
        <v>0</v>
      </c>
      <c r="L107" s="142"/>
      <c r="M107" s="102">
        <f>L107+K107+J107</f>
        <v>0</v>
      </c>
      <c r="N107" s="87"/>
      <c r="O107" s="87"/>
      <c r="P107" s="87"/>
      <c r="Q107" s="87"/>
    </row>
    <row r="108" spans="1:17" ht="24.75" thickTop="1" thickBot="1">
      <c r="A108" s="87"/>
      <c r="B108" s="87"/>
      <c r="C108" s="87"/>
      <c r="D108" s="87"/>
      <c r="E108" s="398"/>
      <c r="F108" s="399"/>
      <c r="G108" s="322" t="s">
        <v>25</v>
      </c>
      <c r="H108" s="330"/>
      <c r="I108" s="323"/>
      <c r="J108" s="142"/>
      <c r="K108" s="102">
        <f>K107+K106+K105</f>
        <v>0</v>
      </c>
      <c r="L108" s="142"/>
      <c r="M108" s="104">
        <f>M107+M106+M105</f>
        <v>0</v>
      </c>
      <c r="N108" s="87"/>
      <c r="O108" s="87"/>
      <c r="P108" s="87"/>
      <c r="Q108" s="87"/>
    </row>
    <row r="109" spans="1:17" ht="24.75" thickTop="1" thickBot="1">
      <c r="A109" s="135"/>
      <c r="B109" s="135"/>
      <c r="C109" s="135"/>
      <c r="D109" s="135"/>
      <c r="E109" s="394" t="s">
        <v>488</v>
      </c>
      <c r="F109" s="395"/>
      <c r="G109" s="322" t="s">
        <v>145</v>
      </c>
      <c r="H109" s="330"/>
      <c r="I109" s="323"/>
      <c r="J109" s="102"/>
      <c r="K109" s="102"/>
      <c r="L109" s="102"/>
      <c r="M109" s="104"/>
      <c r="N109" s="135"/>
      <c r="O109" s="135"/>
      <c r="P109" s="135"/>
      <c r="Q109" s="135"/>
    </row>
    <row r="110" spans="1:17" ht="24.75" thickTop="1" thickBot="1">
      <c r="A110" s="135"/>
      <c r="B110" s="135"/>
      <c r="C110" s="135"/>
      <c r="D110" s="135"/>
      <c r="E110" s="396"/>
      <c r="F110" s="397"/>
      <c r="G110" s="322" t="s">
        <v>146</v>
      </c>
      <c r="H110" s="330"/>
      <c r="I110" s="323"/>
      <c r="J110" s="102"/>
      <c r="K110" s="102"/>
      <c r="L110" s="102"/>
      <c r="M110" s="104"/>
      <c r="N110" s="135"/>
      <c r="O110" s="135"/>
      <c r="P110" s="135"/>
      <c r="Q110" s="135"/>
    </row>
    <row r="111" spans="1:17" ht="24.75" thickTop="1" thickBot="1">
      <c r="A111" s="135"/>
      <c r="B111" s="135"/>
      <c r="C111" s="135"/>
      <c r="D111" s="135"/>
      <c r="E111" s="396"/>
      <c r="F111" s="397"/>
      <c r="G111" s="322" t="s">
        <v>147</v>
      </c>
      <c r="H111" s="330"/>
      <c r="I111" s="323"/>
      <c r="J111" s="102"/>
      <c r="K111" s="102"/>
      <c r="L111" s="102"/>
      <c r="M111" s="104"/>
      <c r="N111" s="135"/>
      <c r="O111" s="135"/>
      <c r="P111" s="135"/>
      <c r="Q111" s="135"/>
    </row>
    <row r="112" spans="1:17" ht="24.75" thickTop="1" thickBot="1">
      <c r="A112" s="135"/>
      <c r="B112" s="135"/>
      <c r="C112" s="135"/>
      <c r="D112" s="135"/>
      <c r="E112" s="398"/>
      <c r="F112" s="399"/>
      <c r="G112" s="322" t="s">
        <v>25</v>
      </c>
      <c r="H112" s="330"/>
      <c r="I112" s="323"/>
      <c r="J112" s="102"/>
      <c r="K112" s="102"/>
      <c r="L112" s="102"/>
      <c r="M112" s="104"/>
      <c r="N112" s="135"/>
      <c r="O112" s="135"/>
      <c r="P112" s="135"/>
      <c r="Q112" s="135"/>
    </row>
    <row r="113" spans="1:19" ht="24.75" thickTop="1" thickBot="1">
      <c r="A113" s="87"/>
      <c r="B113" s="87"/>
      <c r="C113" s="87"/>
      <c r="D113" s="87"/>
      <c r="E113" s="400" t="s">
        <v>414</v>
      </c>
      <c r="F113" s="401"/>
      <c r="G113" s="322" t="s">
        <v>145</v>
      </c>
      <c r="H113" s="330"/>
      <c r="I113" s="323"/>
      <c r="J113" s="102">
        <f>المهني!CM43</f>
        <v>2</v>
      </c>
      <c r="K113" s="102">
        <f>المهني!CN43</f>
        <v>0</v>
      </c>
      <c r="L113" s="102">
        <f>المهني!CO43</f>
        <v>0</v>
      </c>
      <c r="M113" s="102">
        <f>L113+K113+J113</f>
        <v>2</v>
      </c>
      <c r="N113" s="87"/>
      <c r="O113" s="87"/>
      <c r="P113" s="87"/>
      <c r="Q113" s="87"/>
    </row>
    <row r="114" spans="1:19" ht="24.75" thickTop="1" thickBot="1">
      <c r="A114" s="87"/>
      <c r="B114" s="87"/>
      <c r="C114" s="87"/>
      <c r="D114" s="87"/>
      <c r="E114" s="402"/>
      <c r="F114" s="403"/>
      <c r="G114" s="322" t="s">
        <v>146</v>
      </c>
      <c r="H114" s="330"/>
      <c r="I114" s="323"/>
      <c r="J114" s="102">
        <f>المهني!CP43</f>
        <v>1</v>
      </c>
      <c r="K114" s="102">
        <f>المهني!CQ43</f>
        <v>0</v>
      </c>
      <c r="L114" s="102">
        <f>المهني!CR43</f>
        <v>0</v>
      </c>
      <c r="M114" s="102">
        <f>L114+K114+J114</f>
        <v>1</v>
      </c>
      <c r="N114" s="87"/>
      <c r="O114" s="87"/>
      <c r="P114" s="87"/>
      <c r="Q114" s="87"/>
    </row>
    <row r="115" spans="1:19" ht="24.75" thickTop="1" thickBot="1">
      <c r="A115" s="87"/>
      <c r="B115" s="87"/>
      <c r="C115" s="87"/>
      <c r="D115" s="87"/>
      <c r="E115" s="402"/>
      <c r="F115" s="403"/>
      <c r="G115" s="322" t="s">
        <v>147</v>
      </c>
      <c r="H115" s="330"/>
      <c r="I115" s="323"/>
      <c r="J115" s="102">
        <f>المهني!CS43</f>
        <v>1</v>
      </c>
      <c r="K115" s="102">
        <f>المهني!CT43</f>
        <v>0</v>
      </c>
      <c r="L115" s="102">
        <f>المهني!CU43</f>
        <v>0</v>
      </c>
      <c r="M115" s="102">
        <f>L115+K115+J115</f>
        <v>1</v>
      </c>
      <c r="N115" s="87"/>
      <c r="O115" s="87"/>
      <c r="P115" s="87"/>
      <c r="Q115" s="87"/>
    </row>
    <row r="116" spans="1:19" ht="24.75" thickTop="1" thickBot="1">
      <c r="A116" s="87"/>
      <c r="B116" s="87"/>
      <c r="C116" s="87"/>
      <c r="D116" s="87"/>
      <c r="E116" s="404"/>
      <c r="F116" s="405"/>
      <c r="G116" s="322" t="s">
        <v>25</v>
      </c>
      <c r="H116" s="330"/>
      <c r="I116" s="323"/>
      <c r="J116" s="102">
        <f>J115+J114+J113</f>
        <v>4</v>
      </c>
      <c r="K116" s="102">
        <f>K115+K114+K113</f>
        <v>0</v>
      </c>
      <c r="L116" s="102">
        <f>L115+L114+L113</f>
        <v>0</v>
      </c>
      <c r="M116" s="102">
        <f>M115+M114+M113</f>
        <v>4</v>
      </c>
      <c r="N116" s="87"/>
      <c r="O116" s="87"/>
      <c r="P116" s="87"/>
      <c r="Q116" s="87"/>
    </row>
    <row r="117" spans="1:19" ht="24.75" thickTop="1" thickBot="1">
      <c r="A117" s="87"/>
      <c r="B117" s="87"/>
      <c r="C117" s="87"/>
      <c r="D117" s="87"/>
      <c r="E117" s="394" t="s">
        <v>139</v>
      </c>
      <c r="F117" s="395"/>
      <c r="G117" s="322" t="s">
        <v>145</v>
      </c>
      <c r="H117" s="330"/>
      <c r="I117" s="323"/>
      <c r="J117" s="102">
        <f t="shared" ref="J117:M120" si="12">J105+J101+J97+J93+J113</f>
        <v>5</v>
      </c>
      <c r="K117" s="102">
        <f t="shared" si="12"/>
        <v>0</v>
      </c>
      <c r="L117" s="102">
        <f t="shared" si="12"/>
        <v>0</v>
      </c>
      <c r="M117" s="102">
        <f t="shared" si="12"/>
        <v>5</v>
      </c>
      <c r="N117" s="87"/>
      <c r="O117" s="87"/>
      <c r="P117" s="87"/>
      <c r="Q117" s="87"/>
    </row>
    <row r="118" spans="1:19" ht="24.75" thickTop="1" thickBot="1">
      <c r="A118" s="87"/>
      <c r="B118" s="87"/>
      <c r="C118" s="87"/>
      <c r="D118" s="87"/>
      <c r="E118" s="396"/>
      <c r="F118" s="397"/>
      <c r="G118" s="322" t="s">
        <v>146</v>
      </c>
      <c r="H118" s="330"/>
      <c r="I118" s="323"/>
      <c r="J118" s="102">
        <f t="shared" si="12"/>
        <v>4</v>
      </c>
      <c r="K118" s="102">
        <f t="shared" si="12"/>
        <v>0</v>
      </c>
      <c r="L118" s="102">
        <f t="shared" si="12"/>
        <v>0</v>
      </c>
      <c r="M118" s="102">
        <f t="shared" si="12"/>
        <v>4</v>
      </c>
      <c r="N118" s="87"/>
      <c r="O118" s="87"/>
      <c r="P118" s="87"/>
      <c r="Q118" s="87"/>
    </row>
    <row r="119" spans="1:19" ht="24.75" thickTop="1" thickBot="1">
      <c r="A119" s="87"/>
      <c r="B119" s="87"/>
      <c r="C119" s="87"/>
      <c r="D119" s="87"/>
      <c r="E119" s="396"/>
      <c r="F119" s="397"/>
      <c r="G119" s="322" t="s">
        <v>147</v>
      </c>
      <c r="H119" s="330"/>
      <c r="I119" s="323"/>
      <c r="J119" s="102">
        <f t="shared" si="12"/>
        <v>3</v>
      </c>
      <c r="K119" s="102">
        <f t="shared" si="12"/>
        <v>0</v>
      </c>
      <c r="L119" s="102">
        <f t="shared" si="12"/>
        <v>0</v>
      </c>
      <c r="M119" s="102">
        <f t="shared" si="12"/>
        <v>3</v>
      </c>
      <c r="N119" s="87"/>
      <c r="O119" s="87"/>
      <c r="P119" s="87"/>
      <c r="Q119" s="87"/>
    </row>
    <row r="120" spans="1:19" ht="24.75" thickTop="1" thickBot="1">
      <c r="A120" s="87"/>
      <c r="B120" s="87"/>
      <c r="C120" s="87"/>
      <c r="D120" s="87"/>
      <c r="E120" s="398"/>
      <c r="F120" s="399"/>
      <c r="G120" s="322" t="s">
        <v>25</v>
      </c>
      <c r="H120" s="330"/>
      <c r="I120" s="323"/>
      <c r="J120" s="102">
        <f t="shared" si="12"/>
        <v>12</v>
      </c>
      <c r="K120" s="102">
        <f t="shared" si="12"/>
        <v>0</v>
      </c>
      <c r="L120" s="102">
        <f t="shared" si="12"/>
        <v>0</v>
      </c>
      <c r="M120" s="102">
        <f t="shared" si="12"/>
        <v>12</v>
      </c>
      <c r="N120" s="87"/>
      <c r="O120" s="87"/>
      <c r="P120" s="87"/>
      <c r="Q120" s="87"/>
    </row>
    <row r="121" spans="1:19" ht="24" thickTop="1"/>
    <row r="122" spans="1:19">
      <c r="C122" s="86" t="s">
        <v>148</v>
      </c>
      <c r="D122" s="86"/>
      <c r="E122" s="86"/>
      <c r="F122" s="86"/>
      <c r="G122" s="86"/>
      <c r="H122" s="87"/>
      <c r="I122" s="87"/>
      <c r="J122" s="87"/>
      <c r="K122" s="87"/>
      <c r="L122" s="87"/>
      <c r="M122" s="87"/>
      <c r="N122" s="87"/>
      <c r="O122" s="328" t="s">
        <v>112</v>
      </c>
      <c r="P122" s="328"/>
      <c r="S122" s="87"/>
    </row>
    <row r="123" spans="1:19">
      <c r="C123" s="89" t="s">
        <v>188</v>
      </c>
      <c r="D123" s="89"/>
      <c r="E123" s="89"/>
      <c r="F123" s="89"/>
      <c r="G123" s="89"/>
      <c r="H123" s="86"/>
      <c r="I123" s="86"/>
      <c r="J123" s="86"/>
      <c r="K123" s="87"/>
      <c r="L123" s="87"/>
      <c r="M123" s="87"/>
      <c r="N123" s="87"/>
      <c r="O123" s="87"/>
      <c r="P123" s="87"/>
      <c r="Q123" s="87"/>
      <c r="R123" s="87"/>
      <c r="S123" s="87"/>
    </row>
    <row r="124" spans="1:19">
      <c r="C124" s="87"/>
      <c r="D124" s="87"/>
      <c r="E124" s="87"/>
      <c r="F124" s="87"/>
      <c r="G124" s="87"/>
      <c r="H124" s="87"/>
      <c r="I124" s="87"/>
      <c r="J124" s="87"/>
      <c r="K124" s="86" t="s">
        <v>187</v>
      </c>
      <c r="L124" s="86"/>
      <c r="M124" s="86"/>
      <c r="N124" s="86"/>
      <c r="O124" s="87"/>
      <c r="P124" s="87"/>
      <c r="Q124" s="87"/>
      <c r="R124" s="87"/>
      <c r="S124" s="87"/>
    </row>
    <row r="125" spans="1:19">
      <c r="C125" s="87"/>
      <c r="D125" s="87"/>
      <c r="E125" s="87"/>
      <c r="F125" s="87"/>
      <c r="G125" s="86" t="s">
        <v>183</v>
      </c>
      <c r="H125" s="86"/>
      <c r="I125" s="86"/>
      <c r="J125" s="86"/>
      <c r="K125" s="86"/>
      <c r="L125" s="86"/>
      <c r="M125" s="86"/>
      <c r="N125" s="86"/>
      <c r="O125" s="86"/>
      <c r="P125" s="86"/>
      <c r="Q125" s="87"/>
      <c r="R125" s="87"/>
      <c r="S125" s="87"/>
    </row>
    <row r="126" spans="1:19">
      <c r="C126" s="87"/>
      <c r="D126" s="87"/>
      <c r="E126" s="87"/>
      <c r="F126" s="87"/>
      <c r="G126" s="86" t="s">
        <v>538</v>
      </c>
      <c r="H126" s="86"/>
      <c r="I126" s="86"/>
      <c r="J126" s="86"/>
      <c r="K126" s="86"/>
      <c r="L126" s="86"/>
      <c r="M126" s="86"/>
      <c r="N126" s="86"/>
      <c r="O126" s="86"/>
      <c r="P126" s="86"/>
      <c r="Q126" s="87"/>
      <c r="R126" s="87"/>
      <c r="S126" s="87"/>
    </row>
    <row r="127" spans="1:19">
      <c r="C127" s="87"/>
      <c r="D127" s="86"/>
      <c r="E127" s="86"/>
      <c r="F127" s="86"/>
      <c r="G127" s="90" t="s">
        <v>478</v>
      </c>
      <c r="H127" s="90"/>
      <c r="I127" s="90"/>
      <c r="J127" s="90"/>
      <c r="K127" s="90"/>
      <c r="L127" s="90"/>
      <c r="M127" s="90"/>
      <c r="N127" s="90"/>
      <c r="O127" s="90"/>
      <c r="P127" s="90"/>
      <c r="Q127" s="87"/>
      <c r="R127" s="87"/>
      <c r="S127" s="87"/>
    </row>
    <row r="128" spans="1:19" ht="24" thickBot="1">
      <c r="A128" s="87"/>
      <c r="B128" s="90"/>
      <c r="C128" s="90"/>
      <c r="D128" s="90"/>
      <c r="E128" s="90"/>
      <c r="F128" s="90"/>
      <c r="G128" s="90"/>
      <c r="H128" s="99"/>
      <c r="I128" s="86"/>
      <c r="J128" s="87"/>
      <c r="K128" s="87"/>
      <c r="L128" s="87"/>
      <c r="M128" s="87"/>
      <c r="N128" s="87"/>
      <c r="O128" s="87"/>
      <c r="P128" s="87"/>
      <c r="Q128" s="87"/>
    </row>
    <row r="129" spans="1:17" ht="24" thickTop="1">
      <c r="A129" s="87"/>
      <c r="B129" s="100"/>
      <c r="C129" s="100"/>
      <c r="D129" s="101"/>
      <c r="E129" s="355" t="s">
        <v>115</v>
      </c>
      <c r="F129" s="357"/>
      <c r="G129" s="355" t="s">
        <v>142</v>
      </c>
      <c r="H129" s="356"/>
      <c r="I129" s="357"/>
      <c r="J129" s="355" t="s">
        <v>27</v>
      </c>
      <c r="K129" s="356"/>
      <c r="L129" s="356"/>
      <c r="M129" s="357"/>
      <c r="N129" s="87"/>
      <c r="O129" s="87"/>
      <c r="P129" s="87"/>
      <c r="Q129" s="87"/>
    </row>
    <row r="130" spans="1:17" ht="24" thickBot="1">
      <c r="A130" s="87"/>
      <c r="B130" s="87"/>
      <c r="C130" s="87"/>
      <c r="D130" s="87"/>
      <c r="E130" s="386"/>
      <c r="F130" s="387"/>
      <c r="G130" s="386"/>
      <c r="H130" s="329"/>
      <c r="I130" s="387"/>
      <c r="J130" s="358"/>
      <c r="K130" s="359"/>
      <c r="L130" s="359"/>
      <c r="M130" s="360"/>
      <c r="N130" s="87"/>
      <c r="O130" s="87"/>
      <c r="P130" s="87"/>
      <c r="Q130" s="87"/>
    </row>
    <row r="131" spans="1:17" ht="24.75" thickTop="1" thickBot="1">
      <c r="A131" s="87"/>
      <c r="B131" s="87"/>
      <c r="C131" s="87"/>
      <c r="D131" s="87"/>
      <c r="E131" s="358"/>
      <c r="F131" s="360"/>
      <c r="G131" s="358"/>
      <c r="H131" s="359"/>
      <c r="I131" s="360"/>
      <c r="J131" s="14" t="s">
        <v>5</v>
      </c>
      <c r="K131" s="14" t="s">
        <v>6</v>
      </c>
      <c r="L131" s="14" t="s">
        <v>67</v>
      </c>
      <c r="M131" s="14" t="s">
        <v>25</v>
      </c>
      <c r="N131" s="87"/>
      <c r="O131" s="87"/>
      <c r="P131" s="87"/>
      <c r="Q131" s="87"/>
    </row>
    <row r="132" spans="1:17" ht="24.75" thickTop="1" thickBot="1">
      <c r="A132" s="87"/>
      <c r="B132" s="87"/>
      <c r="C132" s="87"/>
      <c r="D132" s="87"/>
      <c r="E132" s="394" t="s">
        <v>123</v>
      </c>
      <c r="F132" s="395"/>
      <c r="G132" s="322" t="s">
        <v>145</v>
      </c>
      <c r="H132" s="330"/>
      <c r="I132" s="323"/>
      <c r="J132" s="102">
        <f>المهني!CM19</f>
        <v>5</v>
      </c>
      <c r="K132" s="102">
        <f>المهني!CN19</f>
        <v>2</v>
      </c>
      <c r="L132" s="102">
        <f>المهني!CO19</f>
        <v>0</v>
      </c>
      <c r="M132" s="102">
        <f>L132+K132+J132</f>
        <v>7</v>
      </c>
      <c r="N132" s="87"/>
      <c r="O132" s="87"/>
      <c r="P132" s="87"/>
      <c r="Q132" s="87"/>
    </row>
    <row r="133" spans="1:17" ht="24.75" thickTop="1" thickBot="1">
      <c r="A133" s="87"/>
      <c r="B133" s="87"/>
      <c r="C133" s="87"/>
      <c r="D133" s="87"/>
      <c r="E133" s="396"/>
      <c r="F133" s="397"/>
      <c r="G133" s="322" t="s">
        <v>146</v>
      </c>
      <c r="H133" s="330"/>
      <c r="I133" s="323"/>
      <c r="J133" s="102">
        <f>المهني!CP19</f>
        <v>3</v>
      </c>
      <c r="K133" s="102">
        <f>المهني!CQ19</f>
        <v>1</v>
      </c>
      <c r="L133" s="102">
        <f>المهني!CR19</f>
        <v>0</v>
      </c>
      <c r="M133" s="102">
        <f>L133+K133+J133</f>
        <v>4</v>
      </c>
      <c r="N133" s="87"/>
      <c r="O133" s="87"/>
      <c r="P133" s="87"/>
      <c r="Q133" s="87"/>
    </row>
    <row r="134" spans="1:17" ht="24.75" thickTop="1" thickBot="1">
      <c r="A134" s="87"/>
      <c r="B134" s="87"/>
      <c r="C134" s="87"/>
      <c r="D134" s="87"/>
      <c r="E134" s="396"/>
      <c r="F134" s="397"/>
      <c r="G134" s="322" t="s">
        <v>147</v>
      </c>
      <c r="H134" s="330"/>
      <c r="I134" s="323"/>
      <c r="J134" s="102">
        <f>المهني!CS19</f>
        <v>3</v>
      </c>
      <c r="K134" s="102">
        <f>المهني!CT19</f>
        <v>1</v>
      </c>
      <c r="L134" s="102">
        <f>المهني!CU19</f>
        <v>0</v>
      </c>
      <c r="M134" s="102">
        <f>L134+K134+J134</f>
        <v>4</v>
      </c>
      <c r="N134" s="87"/>
      <c r="O134" s="87"/>
      <c r="P134" s="87"/>
      <c r="Q134" s="87"/>
    </row>
    <row r="135" spans="1:17" ht="24.75" thickTop="1" thickBot="1">
      <c r="A135" s="87"/>
      <c r="B135" s="87"/>
      <c r="C135" s="87"/>
      <c r="D135" s="87"/>
      <c r="E135" s="398"/>
      <c r="F135" s="399"/>
      <c r="G135" s="322" t="s">
        <v>25</v>
      </c>
      <c r="H135" s="330"/>
      <c r="I135" s="323"/>
      <c r="J135" s="102">
        <f>J134+J133+J132</f>
        <v>11</v>
      </c>
      <c r="K135" s="102">
        <f>K134+K133+K132</f>
        <v>4</v>
      </c>
      <c r="L135" s="102">
        <f>L134+L133+L132</f>
        <v>0</v>
      </c>
      <c r="M135" s="102">
        <f>M134+M133+M132</f>
        <v>15</v>
      </c>
      <c r="N135" s="87"/>
      <c r="O135" s="87"/>
      <c r="P135" s="87"/>
      <c r="Q135" s="87"/>
    </row>
    <row r="136" spans="1:17" ht="24.75" thickTop="1" thickBot="1">
      <c r="A136" s="87"/>
      <c r="B136" s="87"/>
      <c r="C136" s="87"/>
      <c r="D136" s="87"/>
      <c r="E136" s="394" t="s">
        <v>124</v>
      </c>
      <c r="F136" s="395"/>
      <c r="G136" s="322" t="s">
        <v>145</v>
      </c>
      <c r="H136" s="330"/>
      <c r="I136" s="323"/>
      <c r="J136" s="102">
        <v>0</v>
      </c>
      <c r="K136" s="102">
        <v>0</v>
      </c>
      <c r="L136" s="102">
        <v>0</v>
      </c>
      <c r="M136" s="102">
        <f>L136+K136+J136</f>
        <v>0</v>
      </c>
      <c r="N136" s="87"/>
      <c r="O136" s="87"/>
      <c r="P136" s="87"/>
      <c r="Q136" s="87"/>
    </row>
    <row r="137" spans="1:17" ht="24.75" thickTop="1" thickBot="1">
      <c r="A137" s="87"/>
      <c r="B137" s="87"/>
      <c r="C137" s="87"/>
      <c r="D137" s="87"/>
      <c r="E137" s="396"/>
      <c r="F137" s="397"/>
      <c r="G137" s="322" t="s">
        <v>146</v>
      </c>
      <c r="H137" s="330"/>
      <c r="I137" s="323"/>
      <c r="J137" s="102">
        <v>0</v>
      </c>
      <c r="K137" s="102">
        <v>0</v>
      </c>
      <c r="L137" s="102">
        <v>0</v>
      </c>
      <c r="M137" s="102">
        <f>L137+K137+J137</f>
        <v>0</v>
      </c>
      <c r="N137" s="87"/>
      <c r="O137" s="87"/>
      <c r="P137" s="87"/>
      <c r="Q137" s="87"/>
    </row>
    <row r="138" spans="1:17" ht="24.75" thickTop="1" thickBot="1">
      <c r="A138" s="87"/>
      <c r="B138" s="87"/>
      <c r="C138" s="87"/>
      <c r="D138" s="87"/>
      <c r="E138" s="396"/>
      <c r="F138" s="397"/>
      <c r="G138" s="322" t="s">
        <v>147</v>
      </c>
      <c r="H138" s="330"/>
      <c r="I138" s="323"/>
      <c r="J138" s="102">
        <v>0</v>
      </c>
      <c r="K138" s="102">
        <v>0</v>
      </c>
      <c r="L138" s="102">
        <v>0</v>
      </c>
      <c r="M138" s="102">
        <f>L138+K138+J138</f>
        <v>0</v>
      </c>
      <c r="N138" s="87"/>
      <c r="O138" s="87"/>
      <c r="P138" s="87"/>
      <c r="Q138" s="87"/>
    </row>
    <row r="139" spans="1:17" ht="24.75" thickTop="1" thickBot="1">
      <c r="A139" s="87"/>
      <c r="B139" s="87"/>
      <c r="C139" s="87"/>
      <c r="D139" s="87"/>
      <c r="E139" s="398"/>
      <c r="F139" s="399"/>
      <c r="G139" s="322" t="s">
        <v>25</v>
      </c>
      <c r="H139" s="330"/>
      <c r="I139" s="323"/>
      <c r="J139" s="102">
        <f>J138+J137+J136</f>
        <v>0</v>
      </c>
      <c r="K139" s="102">
        <f>K138+K137+K136</f>
        <v>0</v>
      </c>
      <c r="L139" s="102">
        <f>L138+L137+L136</f>
        <v>0</v>
      </c>
      <c r="M139" s="102">
        <f>M138+M137+M136</f>
        <v>0</v>
      </c>
      <c r="N139" s="87"/>
      <c r="O139" s="87"/>
      <c r="P139" s="87"/>
      <c r="Q139" s="87"/>
    </row>
    <row r="140" spans="1:17" ht="24.75" thickTop="1" thickBot="1">
      <c r="A140" s="87"/>
      <c r="B140" s="87"/>
      <c r="C140" s="87"/>
      <c r="D140" s="87"/>
      <c r="E140" s="394" t="s">
        <v>125</v>
      </c>
      <c r="F140" s="395"/>
      <c r="G140" s="322" t="s">
        <v>145</v>
      </c>
      <c r="H140" s="330"/>
      <c r="I140" s="323"/>
      <c r="J140" s="102">
        <v>0</v>
      </c>
      <c r="K140" s="102">
        <v>0</v>
      </c>
      <c r="L140" s="102">
        <v>0</v>
      </c>
      <c r="M140" s="102">
        <f>L140+K140+J140</f>
        <v>0</v>
      </c>
      <c r="N140" s="87"/>
      <c r="O140" s="87"/>
      <c r="P140" s="87"/>
      <c r="Q140" s="87"/>
    </row>
    <row r="141" spans="1:17" ht="24.75" thickTop="1" thickBot="1">
      <c r="A141" s="87"/>
      <c r="B141" s="87"/>
      <c r="C141" s="87"/>
      <c r="D141" s="87"/>
      <c r="E141" s="396"/>
      <c r="F141" s="397"/>
      <c r="G141" s="322" t="s">
        <v>146</v>
      </c>
      <c r="H141" s="330"/>
      <c r="I141" s="323"/>
      <c r="J141" s="102">
        <v>0</v>
      </c>
      <c r="K141" s="102">
        <v>0</v>
      </c>
      <c r="L141" s="102">
        <v>0</v>
      </c>
      <c r="M141" s="102">
        <f>L141+K141+J141</f>
        <v>0</v>
      </c>
      <c r="N141" s="87"/>
      <c r="O141" s="87"/>
      <c r="P141" s="87"/>
      <c r="Q141" s="87"/>
    </row>
    <row r="142" spans="1:17" ht="24.75" thickTop="1" thickBot="1">
      <c r="A142" s="87"/>
      <c r="B142" s="87"/>
      <c r="C142" s="87"/>
      <c r="D142" s="87"/>
      <c r="E142" s="396"/>
      <c r="F142" s="397"/>
      <c r="G142" s="322" t="s">
        <v>147</v>
      </c>
      <c r="H142" s="330"/>
      <c r="I142" s="323"/>
      <c r="J142" s="102">
        <v>0</v>
      </c>
      <c r="K142" s="102">
        <v>0</v>
      </c>
      <c r="L142" s="102">
        <v>0</v>
      </c>
      <c r="M142" s="102">
        <f>L142+K142+J142</f>
        <v>0</v>
      </c>
      <c r="N142" s="87"/>
      <c r="O142" s="87"/>
      <c r="P142" s="87"/>
      <c r="Q142" s="87"/>
    </row>
    <row r="143" spans="1:17" ht="24.75" thickTop="1" thickBot="1">
      <c r="A143" s="87"/>
      <c r="B143" s="87"/>
      <c r="C143" s="87"/>
      <c r="D143" s="87"/>
      <c r="E143" s="398"/>
      <c r="F143" s="399"/>
      <c r="G143" s="322" t="s">
        <v>25</v>
      </c>
      <c r="H143" s="330"/>
      <c r="I143" s="323"/>
      <c r="J143" s="102">
        <f>J142+J141+J140</f>
        <v>0</v>
      </c>
      <c r="K143" s="102">
        <f>K142+K141+K140</f>
        <v>0</v>
      </c>
      <c r="L143" s="102">
        <f>L142+L141+L140</f>
        <v>0</v>
      </c>
      <c r="M143" s="102">
        <f>M142+M141+M140</f>
        <v>0</v>
      </c>
      <c r="N143" s="87"/>
      <c r="O143" s="87"/>
      <c r="P143" s="87"/>
      <c r="Q143" s="87"/>
    </row>
    <row r="144" spans="1:17" ht="24.75" thickTop="1" thickBot="1">
      <c r="A144" s="87"/>
      <c r="B144" s="87"/>
      <c r="C144" s="87"/>
      <c r="D144" s="87"/>
      <c r="E144" s="394" t="s">
        <v>216</v>
      </c>
      <c r="F144" s="395"/>
      <c r="G144" s="322" t="s">
        <v>145</v>
      </c>
      <c r="H144" s="330"/>
      <c r="I144" s="323"/>
      <c r="J144" s="142"/>
      <c r="K144" s="102">
        <v>0</v>
      </c>
      <c r="L144" s="142"/>
      <c r="M144" s="102">
        <f>L144+K144+J144</f>
        <v>0</v>
      </c>
      <c r="N144" s="87"/>
      <c r="O144" s="87"/>
      <c r="P144" s="87"/>
      <c r="Q144" s="87"/>
    </row>
    <row r="145" spans="1:17" ht="24.75" thickTop="1" thickBot="1">
      <c r="A145" s="87"/>
      <c r="B145" s="87"/>
      <c r="C145" s="87"/>
      <c r="D145" s="87"/>
      <c r="E145" s="396"/>
      <c r="F145" s="397"/>
      <c r="G145" s="322" t="s">
        <v>146</v>
      </c>
      <c r="H145" s="330"/>
      <c r="I145" s="323"/>
      <c r="J145" s="142"/>
      <c r="K145" s="102">
        <v>0</v>
      </c>
      <c r="L145" s="142"/>
      <c r="M145" s="102">
        <f>L145+K145+J145</f>
        <v>0</v>
      </c>
      <c r="N145" s="87"/>
      <c r="O145" s="87"/>
      <c r="P145" s="87"/>
      <c r="Q145" s="87"/>
    </row>
    <row r="146" spans="1:17" ht="24.75" thickTop="1" thickBot="1">
      <c r="A146" s="87"/>
      <c r="B146" s="87"/>
      <c r="C146" s="87"/>
      <c r="D146" s="87"/>
      <c r="E146" s="396"/>
      <c r="F146" s="397"/>
      <c r="G146" s="322" t="s">
        <v>147</v>
      </c>
      <c r="H146" s="330"/>
      <c r="I146" s="323"/>
      <c r="J146" s="142"/>
      <c r="K146" s="102">
        <v>0</v>
      </c>
      <c r="L146" s="142"/>
      <c r="M146" s="102">
        <f>L146+K146+J146</f>
        <v>0</v>
      </c>
      <c r="N146" s="87"/>
      <c r="O146" s="87"/>
      <c r="P146" s="87"/>
      <c r="Q146" s="87"/>
    </row>
    <row r="147" spans="1:17" ht="24.75" thickTop="1" thickBot="1">
      <c r="A147" s="87"/>
      <c r="B147" s="87"/>
      <c r="C147" s="87"/>
      <c r="D147" s="87"/>
      <c r="E147" s="398"/>
      <c r="F147" s="399"/>
      <c r="G147" s="322" t="s">
        <v>25</v>
      </c>
      <c r="H147" s="330"/>
      <c r="I147" s="323"/>
      <c r="J147" s="142"/>
      <c r="K147" s="102">
        <f>K146+K145+K144</f>
        <v>0</v>
      </c>
      <c r="L147" s="142"/>
      <c r="M147" s="104">
        <f>M146+M145+M144</f>
        <v>0</v>
      </c>
      <c r="N147" s="87"/>
      <c r="O147" s="87"/>
      <c r="P147" s="87"/>
      <c r="Q147" s="87"/>
    </row>
    <row r="148" spans="1:17" ht="24.75" thickTop="1" thickBot="1">
      <c r="A148" s="135"/>
      <c r="B148" s="135"/>
      <c r="C148" s="135"/>
      <c r="D148" s="135"/>
      <c r="E148" s="394" t="s">
        <v>488</v>
      </c>
      <c r="F148" s="395"/>
      <c r="G148" s="322" t="s">
        <v>145</v>
      </c>
      <c r="H148" s="330"/>
      <c r="I148" s="323"/>
      <c r="J148" s="102"/>
      <c r="K148" s="102"/>
      <c r="L148" s="102"/>
      <c r="M148" s="104"/>
      <c r="N148" s="135"/>
      <c r="O148" s="135"/>
      <c r="P148" s="135"/>
      <c r="Q148" s="135"/>
    </row>
    <row r="149" spans="1:17" ht="24.75" thickTop="1" thickBot="1">
      <c r="A149" s="135"/>
      <c r="B149" s="135"/>
      <c r="C149" s="135"/>
      <c r="D149" s="135"/>
      <c r="E149" s="396"/>
      <c r="F149" s="397"/>
      <c r="G149" s="322" t="s">
        <v>146</v>
      </c>
      <c r="H149" s="330"/>
      <c r="I149" s="323"/>
      <c r="J149" s="102"/>
      <c r="K149" s="102"/>
      <c r="L149" s="102"/>
      <c r="M149" s="104"/>
      <c r="N149" s="135"/>
      <c r="O149" s="135"/>
      <c r="P149" s="135"/>
      <c r="Q149" s="135"/>
    </row>
    <row r="150" spans="1:17" ht="24.75" thickTop="1" thickBot="1">
      <c r="A150" s="135"/>
      <c r="B150" s="135"/>
      <c r="C150" s="135"/>
      <c r="D150" s="135"/>
      <c r="E150" s="396"/>
      <c r="F150" s="397"/>
      <c r="G150" s="322" t="s">
        <v>147</v>
      </c>
      <c r="H150" s="330"/>
      <c r="I150" s="323"/>
      <c r="J150" s="102"/>
      <c r="K150" s="102"/>
      <c r="L150" s="102"/>
      <c r="M150" s="104"/>
      <c r="N150" s="135"/>
      <c r="O150" s="135"/>
      <c r="P150" s="135"/>
      <c r="Q150" s="135"/>
    </row>
    <row r="151" spans="1:17" ht="24.75" thickTop="1" thickBot="1">
      <c r="A151" s="135"/>
      <c r="B151" s="135"/>
      <c r="C151" s="135"/>
      <c r="D151" s="135"/>
      <c r="E151" s="398"/>
      <c r="F151" s="399"/>
      <c r="G151" s="322" t="s">
        <v>25</v>
      </c>
      <c r="H151" s="330"/>
      <c r="I151" s="323"/>
      <c r="J151" s="102"/>
      <c r="K151" s="102"/>
      <c r="L151" s="102"/>
      <c r="M151" s="104"/>
      <c r="N151" s="135"/>
      <c r="O151" s="135"/>
      <c r="P151" s="135"/>
      <c r="Q151" s="135"/>
    </row>
    <row r="152" spans="1:17" ht="24.75" thickTop="1" thickBot="1">
      <c r="A152" s="87"/>
      <c r="B152" s="87"/>
      <c r="C152" s="87"/>
      <c r="D152" s="87"/>
      <c r="E152" s="400" t="s">
        <v>397</v>
      </c>
      <c r="F152" s="401"/>
      <c r="G152" s="322" t="s">
        <v>145</v>
      </c>
      <c r="H152" s="330"/>
      <c r="I152" s="323"/>
      <c r="J152" s="102">
        <f>المهني!CM45</f>
        <v>2</v>
      </c>
      <c r="K152" s="102">
        <f>المهني!CN45</f>
        <v>0</v>
      </c>
      <c r="L152" s="102">
        <f>المهني!CO45</f>
        <v>0</v>
      </c>
      <c r="M152" s="102">
        <f>L152+K152+J152</f>
        <v>2</v>
      </c>
      <c r="N152" s="87"/>
      <c r="O152" s="87"/>
      <c r="P152" s="87"/>
      <c r="Q152" s="87"/>
    </row>
    <row r="153" spans="1:17" ht="24.75" thickTop="1" thickBot="1">
      <c r="A153" s="87"/>
      <c r="B153" s="87"/>
      <c r="C153" s="87"/>
      <c r="D153" s="87"/>
      <c r="E153" s="402"/>
      <c r="F153" s="403"/>
      <c r="G153" s="322" t="s">
        <v>146</v>
      </c>
      <c r="H153" s="330"/>
      <c r="I153" s="323"/>
      <c r="J153" s="102">
        <f>المهني!CP45</f>
        <v>2</v>
      </c>
      <c r="K153" s="102">
        <f>المهني!CQ45</f>
        <v>0</v>
      </c>
      <c r="L153" s="102">
        <f>المهني!CR45</f>
        <v>0</v>
      </c>
      <c r="M153" s="102">
        <f>L153+K153+J153</f>
        <v>2</v>
      </c>
      <c r="N153" s="87"/>
      <c r="O153" s="87"/>
      <c r="P153" s="87"/>
      <c r="Q153" s="87"/>
    </row>
    <row r="154" spans="1:17" ht="24.75" thickTop="1" thickBot="1">
      <c r="A154" s="87"/>
      <c r="B154" s="87"/>
      <c r="C154" s="87"/>
      <c r="D154" s="87"/>
      <c r="E154" s="402"/>
      <c r="F154" s="403"/>
      <c r="G154" s="322" t="s">
        <v>147</v>
      </c>
      <c r="H154" s="330"/>
      <c r="I154" s="323"/>
      <c r="J154" s="102">
        <f>المهني!CS45</f>
        <v>2</v>
      </c>
      <c r="K154" s="102">
        <f>المهني!CT45</f>
        <v>0</v>
      </c>
      <c r="L154" s="102">
        <f>المهني!CU45</f>
        <v>0</v>
      </c>
      <c r="M154" s="102">
        <f>L154+K154+J154</f>
        <v>2</v>
      </c>
      <c r="N154" s="87"/>
      <c r="O154" s="87"/>
      <c r="P154" s="87"/>
      <c r="Q154" s="87"/>
    </row>
    <row r="155" spans="1:17" ht="24.75" thickTop="1" thickBot="1">
      <c r="A155" s="87"/>
      <c r="B155" s="87"/>
      <c r="C155" s="87"/>
      <c r="D155" s="87"/>
      <c r="E155" s="404"/>
      <c r="F155" s="405"/>
      <c r="G155" s="322" t="s">
        <v>25</v>
      </c>
      <c r="H155" s="330"/>
      <c r="I155" s="323"/>
      <c r="J155" s="102">
        <f>J154+J153+J152</f>
        <v>6</v>
      </c>
      <c r="K155" s="102">
        <f>K154+K153+K152</f>
        <v>0</v>
      </c>
      <c r="L155" s="102">
        <f>L154+L153+L152</f>
        <v>0</v>
      </c>
      <c r="M155" s="102">
        <f>L155+K155+J155</f>
        <v>6</v>
      </c>
      <c r="N155" s="87"/>
      <c r="O155" s="87"/>
      <c r="P155" s="87"/>
      <c r="Q155" s="87"/>
    </row>
    <row r="156" spans="1:17" ht="24.75" thickTop="1" thickBot="1">
      <c r="A156" s="87"/>
      <c r="B156" s="87"/>
      <c r="C156" s="87"/>
      <c r="D156" s="87"/>
      <c r="E156" s="394" t="s">
        <v>139</v>
      </c>
      <c r="F156" s="395"/>
      <c r="G156" s="322" t="s">
        <v>145</v>
      </c>
      <c r="H156" s="330"/>
      <c r="I156" s="323"/>
      <c r="J156" s="102">
        <f t="shared" ref="J156:M159" si="13">J144+J140+J136+J132+J152</f>
        <v>7</v>
      </c>
      <c r="K156" s="102">
        <f t="shared" si="13"/>
        <v>2</v>
      </c>
      <c r="L156" s="102">
        <f t="shared" si="13"/>
        <v>0</v>
      </c>
      <c r="M156" s="102">
        <f t="shared" si="13"/>
        <v>9</v>
      </c>
      <c r="N156" s="87"/>
      <c r="O156" s="87"/>
      <c r="P156" s="87"/>
      <c r="Q156" s="87"/>
    </row>
    <row r="157" spans="1:17" ht="24.75" thickTop="1" thickBot="1">
      <c r="A157" s="87"/>
      <c r="B157" s="87"/>
      <c r="C157" s="87"/>
      <c r="D157" s="87"/>
      <c r="E157" s="396"/>
      <c r="F157" s="397"/>
      <c r="G157" s="322" t="s">
        <v>146</v>
      </c>
      <c r="H157" s="330"/>
      <c r="I157" s="323"/>
      <c r="J157" s="102">
        <f t="shared" si="13"/>
        <v>5</v>
      </c>
      <c r="K157" s="102">
        <f t="shared" si="13"/>
        <v>1</v>
      </c>
      <c r="L157" s="102">
        <f t="shared" si="13"/>
        <v>0</v>
      </c>
      <c r="M157" s="102">
        <f t="shared" si="13"/>
        <v>6</v>
      </c>
      <c r="N157" s="87"/>
      <c r="O157" s="87"/>
      <c r="P157" s="87"/>
      <c r="Q157" s="87"/>
    </row>
    <row r="158" spans="1:17" ht="24.75" thickTop="1" thickBot="1">
      <c r="A158" s="87"/>
      <c r="B158" s="87"/>
      <c r="C158" s="87"/>
      <c r="D158" s="87"/>
      <c r="E158" s="396"/>
      <c r="F158" s="397"/>
      <c r="G158" s="322" t="s">
        <v>147</v>
      </c>
      <c r="H158" s="330"/>
      <c r="I158" s="323"/>
      <c r="J158" s="102">
        <f t="shared" si="13"/>
        <v>5</v>
      </c>
      <c r="K158" s="102">
        <f t="shared" si="13"/>
        <v>1</v>
      </c>
      <c r="L158" s="102">
        <f t="shared" si="13"/>
        <v>0</v>
      </c>
      <c r="M158" s="102">
        <f t="shared" si="13"/>
        <v>6</v>
      </c>
      <c r="N158" s="87"/>
      <c r="O158" s="87"/>
      <c r="P158" s="87"/>
      <c r="Q158" s="87"/>
    </row>
    <row r="159" spans="1:17" ht="24.75" thickTop="1" thickBot="1">
      <c r="A159" s="87"/>
      <c r="B159" s="87"/>
      <c r="C159" s="87"/>
      <c r="D159" s="87"/>
      <c r="E159" s="398"/>
      <c r="F159" s="399"/>
      <c r="G159" s="322" t="s">
        <v>25</v>
      </c>
      <c r="H159" s="330"/>
      <c r="I159" s="323"/>
      <c r="J159" s="102">
        <f t="shared" si="13"/>
        <v>17</v>
      </c>
      <c r="K159" s="102">
        <f t="shared" si="13"/>
        <v>4</v>
      </c>
      <c r="L159" s="102">
        <f t="shared" si="13"/>
        <v>0</v>
      </c>
      <c r="M159" s="102">
        <f t="shared" si="13"/>
        <v>21</v>
      </c>
      <c r="N159" s="87"/>
      <c r="O159" s="87"/>
      <c r="P159" s="87"/>
      <c r="Q159" s="87"/>
    </row>
    <row r="160" spans="1:17" ht="24" thickTop="1"/>
  </sheetData>
  <mergeCells count="161">
    <mergeCell ref="E148:F151"/>
    <mergeCell ref="G148:I148"/>
    <mergeCell ref="G149:I149"/>
    <mergeCell ref="G150:I150"/>
    <mergeCell ref="G151:I151"/>
    <mergeCell ref="E144:F147"/>
    <mergeCell ref="G144:I144"/>
    <mergeCell ref="G145:I145"/>
    <mergeCell ref="G146:I146"/>
    <mergeCell ref="G147:I147"/>
    <mergeCell ref="G140:I140"/>
    <mergeCell ref="G141:I141"/>
    <mergeCell ref="G142:I142"/>
    <mergeCell ref="G143:I143"/>
    <mergeCell ref="E136:F139"/>
    <mergeCell ref="G58:I58"/>
    <mergeCell ref="G59:I59"/>
    <mergeCell ref="G60:I60"/>
    <mergeCell ref="G63:I63"/>
    <mergeCell ref="G64:I64"/>
    <mergeCell ref="G65:I65"/>
    <mergeCell ref="G136:I136"/>
    <mergeCell ref="G137:I137"/>
    <mergeCell ref="G138:I138"/>
    <mergeCell ref="E109:F112"/>
    <mergeCell ref="G109:I109"/>
    <mergeCell ref="G110:I110"/>
    <mergeCell ref="G111:I111"/>
    <mergeCell ref="G112:I112"/>
    <mergeCell ref="G139:I139"/>
    <mergeCell ref="E140:F143"/>
    <mergeCell ref="E93:F96"/>
    <mergeCell ref="G93:I93"/>
    <mergeCell ref="G94:I94"/>
    <mergeCell ref="E156:F159"/>
    <mergeCell ref="G156:I156"/>
    <mergeCell ref="G157:I157"/>
    <mergeCell ref="G158:I158"/>
    <mergeCell ref="G159:I159"/>
    <mergeCell ref="E152:F155"/>
    <mergeCell ref="G152:I152"/>
    <mergeCell ref="G153:I153"/>
    <mergeCell ref="G154:I154"/>
    <mergeCell ref="G155:I155"/>
    <mergeCell ref="G95:I95"/>
    <mergeCell ref="G96:I96"/>
    <mergeCell ref="E90:F92"/>
    <mergeCell ref="G90:I92"/>
    <mergeCell ref="E39:F42"/>
    <mergeCell ref="E105:F108"/>
    <mergeCell ref="G105:I105"/>
    <mergeCell ref="G106:I106"/>
    <mergeCell ref="G107:I107"/>
    <mergeCell ref="G108:I108"/>
    <mergeCell ref="E101:F104"/>
    <mergeCell ref="G101:I101"/>
    <mergeCell ref="G102:I102"/>
    <mergeCell ref="G39:I39"/>
    <mergeCell ref="G40:I40"/>
    <mergeCell ref="E132:F135"/>
    <mergeCell ref="G132:I132"/>
    <mergeCell ref="G133:I133"/>
    <mergeCell ref="G134:I134"/>
    <mergeCell ref="G135:I135"/>
    <mergeCell ref="G103:I103"/>
    <mergeCell ref="G104:I104"/>
    <mergeCell ref="E97:F100"/>
    <mergeCell ref="G97:I97"/>
    <mergeCell ref="G98:I98"/>
    <mergeCell ref="G99:I99"/>
    <mergeCell ref="G100:I100"/>
    <mergeCell ref="O122:P122"/>
    <mergeCell ref="E129:F131"/>
    <mergeCell ref="G129:I131"/>
    <mergeCell ref="J129:M130"/>
    <mergeCell ref="E113:F116"/>
    <mergeCell ref="G113:I113"/>
    <mergeCell ref="G114:I114"/>
    <mergeCell ref="G115:I115"/>
    <mergeCell ref="G116:I116"/>
    <mergeCell ref="E117:F120"/>
    <mergeCell ref="G117:I117"/>
    <mergeCell ref="G118:I118"/>
    <mergeCell ref="G119:I119"/>
    <mergeCell ref="G120:I120"/>
    <mergeCell ref="J90:M91"/>
    <mergeCell ref="O83:P83"/>
    <mergeCell ref="G66:I66"/>
    <mergeCell ref="G67:I67"/>
    <mergeCell ref="G68:I68"/>
    <mergeCell ref="G69:I69"/>
    <mergeCell ref="G62:I62"/>
    <mergeCell ref="E78:F81"/>
    <mergeCell ref="G78:I78"/>
    <mergeCell ref="G79:I79"/>
    <mergeCell ref="G80:I80"/>
    <mergeCell ref="G81:I81"/>
    <mergeCell ref="E66:F69"/>
    <mergeCell ref="E70:F73"/>
    <mergeCell ref="G70:I70"/>
    <mergeCell ref="G71:I71"/>
    <mergeCell ref="G72:I72"/>
    <mergeCell ref="G73:I73"/>
    <mergeCell ref="O44:P44"/>
    <mergeCell ref="E74:F77"/>
    <mergeCell ref="G74:I74"/>
    <mergeCell ref="G75:I75"/>
    <mergeCell ref="G76:I76"/>
    <mergeCell ref="G77:I77"/>
    <mergeCell ref="E54:F57"/>
    <mergeCell ref="G54:I54"/>
    <mergeCell ref="G55:I55"/>
    <mergeCell ref="G56:I56"/>
    <mergeCell ref="E58:F61"/>
    <mergeCell ref="J51:M52"/>
    <mergeCell ref="E62:F65"/>
    <mergeCell ref="G57:I57"/>
    <mergeCell ref="G61:I61"/>
    <mergeCell ref="G15:I15"/>
    <mergeCell ref="G16:I16"/>
    <mergeCell ref="G17:I17"/>
    <mergeCell ref="G18:I18"/>
    <mergeCell ref="E51:F53"/>
    <mergeCell ref="G51:I53"/>
    <mergeCell ref="E27:F30"/>
    <mergeCell ref="G27:I27"/>
    <mergeCell ref="G28:I28"/>
    <mergeCell ref="G29:I29"/>
    <mergeCell ref="G30:I30"/>
    <mergeCell ref="G24:I24"/>
    <mergeCell ref="G41:I41"/>
    <mergeCell ref="G42:I42"/>
    <mergeCell ref="E31:F34"/>
    <mergeCell ref="G31:I31"/>
    <mergeCell ref="G32:I32"/>
    <mergeCell ref="G33:I33"/>
    <mergeCell ref="G34:I34"/>
    <mergeCell ref="O1:P1"/>
    <mergeCell ref="J8:M9"/>
    <mergeCell ref="G8:I10"/>
    <mergeCell ref="G11:I11"/>
    <mergeCell ref="G12:I12"/>
    <mergeCell ref="E35:F38"/>
    <mergeCell ref="G35:I35"/>
    <mergeCell ref="G36:I36"/>
    <mergeCell ref="G37:I37"/>
    <mergeCell ref="G38:I38"/>
    <mergeCell ref="G19:I19"/>
    <mergeCell ref="G25:I25"/>
    <mergeCell ref="E8:F10"/>
    <mergeCell ref="E11:F14"/>
    <mergeCell ref="E15:F18"/>
    <mergeCell ref="E19:F22"/>
    <mergeCell ref="E23:F26"/>
    <mergeCell ref="G26:I26"/>
    <mergeCell ref="G20:I20"/>
    <mergeCell ref="G21:I21"/>
    <mergeCell ref="G22:I22"/>
    <mergeCell ref="G23:I23"/>
    <mergeCell ref="G13:I13"/>
    <mergeCell ref="G14:I14"/>
  </mergeCells>
  <printOptions horizontalCentered="1" verticalCentered="1"/>
  <pageMargins left="0.70866141732283472" right="0.6692913385826772" top="0.19685039370078741" bottom="0.19685039370078741" header="0.19685039370078741" footer="0.19685039370078741"/>
  <pageSetup paperSize="9" scale="55" orientation="landscape" horizontalDpi="300" verticalDpi="300" r:id="rId1"/>
  <rowBreaks count="3" manualBreakCount="3">
    <brk id="42" max="16383" man="1"/>
    <brk id="81" max="16383" man="1"/>
    <brk id="120" max="16383" man="1"/>
  </rowBreaks>
  <ignoredErrors>
    <ignoredError sqref="M73 M2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7"/>
  <sheetViews>
    <sheetView rightToLeft="1" view="pageBreakPreview" zoomScale="60" zoomScaleNormal="80" workbookViewId="0">
      <selection activeCell="E7" sqref="E7:G8"/>
    </sheetView>
  </sheetViews>
  <sheetFormatPr defaultColWidth="9" defaultRowHeight="27" customHeight="1"/>
  <cols>
    <col min="1" max="3" width="9" style="98"/>
    <col min="4" max="4" width="14.875" style="98" customWidth="1"/>
    <col min="5" max="5" width="11.125" style="98" customWidth="1"/>
    <col min="6" max="6" width="10.875" style="98" customWidth="1"/>
    <col min="7" max="7" width="11.125" style="98" customWidth="1"/>
    <col min="8" max="8" width="9" style="98"/>
    <col min="9" max="9" width="11.75" style="98" customWidth="1"/>
    <col min="10" max="10" width="11.375" style="98" customWidth="1"/>
    <col min="11" max="11" width="9.875" style="98" customWidth="1"/>
    <col min="12" max="12" width="11.125" style="98" customWidth="1"/>
    <col min="13" max="13" width="9" style="98"/>
    <col min="14" max="14" width="11.75" style="98" customWidth="1"/>
    <col min="15" max="15" width="10.375" style="98" customWidth="1"/>
    <col min="16" max="16" width="9" style="98"/>
    <col min="17" max="17" width="11.125" style="98" customWidth="1"/>
    <col min="18" max="18" width="10.875" style="98" customWidth="1"/>
    <col min="19" max="19" width="13.375" style="98" customWidth="1"/>
    <col min="20" max="16384" width="9" style="98"/>
  </cols>
  <sheetData>
    <row r="1" spans="1:19" ht="27" customHeight="1">
      <c r="A1" s="328" t="s">
        <v>148</v>
      </c>
      <c r="B1" s="328"/>
      <c r="C1" s="328"/>
      <c r="D1" s="328"/>
      <c r="E1" s="328"/>
      <c r="F1" s="328"/>
      <c r="G1" s="86"/>
      <c r="H1" s="87"/>
      <c r="I1" s="87"/>
      <c r="J1" s="87"/>
      <c r="K1" s="87"/>
      <c r="L1" s="87"/>
      <c r="M1" s="87"/>
      <c r="N1" s="87"/>
      <c r="O1" s="87"/>
      <c r="P1" s="87"/>
      <c r="Q1" s="87"/>
      <c r="R1" s="328" t="s">
        <v>112</v>
      </c>
      <c r="S1" s="328"/>
    </row>
    <row r="2" spans="1:19" ht="27" customHeight="1">
      <c r="A2" s="334" t="s">
        <v>188</v>
      </c>
      <c r="B2" s="334"/>
      <c r="C2" s="334"/>
      <c r="D2" s="334"/>
      <c r="E2" s="334"/>
      <c r="F2" s="334"/>
      <c r="G2" s="87"/>
      <c r="H2" s="87"/>
      <c r="I2" s="334" t="s">
        <v>191</v>
      </c>
      <c r="J2" s="334"/>
      <c r="K2" s="334"/>
      <c r="L2" s="334"/>
      <c r="M2" s="87"/>
      <c r="N2" s="87"/>
      <c r="O2" s="87"/>
      <c r="P2" s="87"/>
      <c r="Q2" s="87"/>
      <c r="R2" s="87"/>
      <c r="S2" s="87"/>
    </row>
    <row r="3" spans="1:19" ht="27" customHeight="1">
      <c r="A3" s="87"/>
      <c r="B3" s="328" t="s">
        <v>149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</row>
    <row r="4" spans="1:19" ht="27" customHeight="1">
      <c r="A4" s="87"/>
      <c r="B4" s="328" t="s">
        <v>533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</row>
    <row r="5" spans="1:19" ht="27" customHeight="1">
      <c r="A5" s="87"/>
      <c r="B5" s="329" t="s">
        <v>568</v>
      </c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</row>
    <row r="6" spans="1:19" ht="27" customHeight="1" thickBot="1">
      <c r="A6" s="87"/>
      <c r="B6" s="90"/>
      <c r="C6" s="90"/>
      <c r="D6" s="90"/>
      <c r="E6" s="90"/>
      <c r="F6" s="90"/>
      <c r="G6" s="90"/>
      <c r="H6" s="90"/>
      <c r="I6" s="90"/>
      <c r="J6" s="90"/>
      <c r="K6" s="99"/>
      <c r="L6" s="99"/>
      <c r="M6" s="99"/>
      <c r="N6" s="99"/>
      <c r="O6" s="86"/>
      <c r="P6" s="87"/>
      <c r="Q6" s="87"/>
      <c r="R6" s="87"/>
      <c r="S6" s="87"/>
    </row>
    <row r="7" spans="1:19" ht="27" customHeight="1" thickTop="1" thickBot="1">
      <c r="A7" s="87"/>
      <c r="B7" s="355" t="s">
        <v>115</v>
      </c>
      <c r="C7" s="357"/>
      <c r="D7" s="337" t="s">
        <v>142</v>
      </c>
      <c r="E7" s="324" t="s">
        <v>539</v>
      </c>
      <c r="F7" s="406"/>
      <c r="G7" s="325"/>
      <c r="H7" s="324" t="s">
        <v>566</v>
      </c>
      <c r="I7" s="406"/>
      <c r="J7" s="325"/>
      <c r="K7" s="331" t="s">
        <v>567</v>
      </c>
      <c r="L7" s="332"/>
      <c r="M7" s="332"/>
      <c r="N7" s="332"/>
      <c r="O7" s="332"/>
      <c r="P7" s="332"/>
      <c r="Q7" s="332"/>
      <c r="R7" s="332"/>
      <c r="S7" s="333"/>
    </row>
    <row r="8" spans="1:19" ht="27" customHeight="1" thickTop="1" thickBot="1">
      <c r="A8" s="87"/>
      <c r="B8" s="386"/>
      <c r="C8" s="387"/>
      <c r="D8" s="337"/>
      <c r="E8" s="326"/>
      <c r="F8" s="407"/>
      <c r="G8" s="327"/>
      <c r="H8" s="326"/>
      <c r="I8" s="407"/>
      <c r="J8" s="327"/>
      <c r="K8" s="331" t="s">
        <v>150</v>
      </c>
      <c r="L8" s="333"/>
      <c r="M8" s="331" t="s">
        <v>151</v>
      </c>
      <c r="N8" s="333"/>
      <c r="O8" s="331" t="s">
        <v>152</v>
      </c>
      <c r="P8" s="333"/>
      <c r="Q8" s="331" t="s">
        <v>153</v>
      </c>
      <c r="R8" s="332"/>
      <c r="S8" s="333"/>
    </row>
    <row r="9" spans="1:19" ht="27" customHeight="1" thickTop="1" thickBot="1">
      <c r="A9" s="87"/>
      <c r="B9" s="358"/>
      <c r="C9" s="360"/>
      <c r="D9" s="337"/>
      <c r="E9" s="14" t="s">
        <v>5</v>
      </c>
      <c r="F9" s="14" t="s">
        <v>6</v>
      </c>
      <c r="G9" s="14" t="s">
        <v>25</v>
      </c>
      <c r="H9" s="14" t="s">
        <v>5</v>
      </c>
      <c r="I9" s="14" t="s">
        <v>6</v>
      </c>
      <c r="J9" s="14" t="s">
        <v>25</v>
      </c>
      <c r="K9" s="96" t="s">
        <v>5</v>
      </c>
      <c r="L9" s="96" t="s">
        <v>6</v>
      </c>
      <c r="M9" s="96" t="s">
        <v>5</v>
      </c>
      <c r="N9" s="96" t="s">
        <v>6</v>
      </c>
      <c r="O9" s="96" t="s">
        <v>5</v>
      </c>
      <c r="P9" s="96" t="s">
        <v>6</v>
      </c>
      <c r="Q9" s="96" t="s">
        <v>5</v>
      </c>
      <c r="R9" s="96" t="s">
        <v>6</v>
      </c>
      <c r="S9" s="14" t="s">
        <v>25</v>
      </c>
    </row>
    <row r="10" spans="1:19" ht="27" customHeight="1" thickTop="1" thickBot="1">
      <c r="A10" s="87"/>
      <c r="B10" s="394" t="s">
        <v>123</v>
      </c>
      <c r="C10" s="395"/>
      <c r="D10" s="15" t="s">
        <v>145</v>
      </c>
      <c r="E10" s="102">
        <f>المهني!CZ20</f>
        <v>30</v>
      </c>
      <c r="F10" s="102">
        <f>المهني!DA20</f>
        <v>1</v>
      </c>
      <c r="G10" s="102">
        <f>F10+E10</f>
        <v>31</v>
      </c>
      <c r="H10" s="102">
        <f>المهني!DR20</f>
        <v>481</v>
      </c>
      <c r="I10" s="102">
        <f>المهني!DS20</f>
        <v>159</v>
      </c>
      <c r="J10" s="102">
        <f>I10+H10</f>
        <v>640</v>
      </c>
      <c r="K10" s="102">
        <f>المهني!EA20</f>
        <v>74</v>
      </c>
      <c r="L10" s="102">
        <f>المهني!EB20</f>
        <v>3</v>
      </c>
      <c r="M10" s="102">
        <f>المهني!EJ20</f>
        <v>22</v>
      </c>
      <c r="N10" s="102">
        <f>المهني!EK20</f>
        <v>3</v>
      </c>
      <c r="O10" s="102">
        <f>المهني!ES20</f>
        <v>0</v>
      </c>
      <c r="P10" s="102">
        <f>المهني!ET20</f>
        <v>0</v>
      </c>
      <c r="Q10" s="102">
        <f t="shared" ref="Q10:R12" si="0">O10+M10+K10</f>
        <v>96</v>
      </c>
      <c r="R10" s="102">
        <f t="shared" si="0"/>
        <v>6</v>
      </c>
      <c r="S10" s="102">
        <f t="shared" ref="S10:S37" si="1">R10+Q10</f>
        <v>102</v>
      </c>
    </row>
    <row r="11" spans="1:19" ht="27" customHeight="1" thickTop="1" thickBot="1">
      <c r="A11" s="87"/>
      <c r="B11" s="396"/>
      <c r="C11" s="397"/>
      <c r="D11" s="15" t="s">
        <v>146</v>
      </c>
      <c r="E11" s="102">
        <f>المهني!DB20</f>
        <v>12</v>
      </c>
      <c r="F11" s="102">
        <f>المهني!DC20</f>
        <v>4</v>
      </c>
      <c r="G11" s="102">
        <f>F11+E11</f>
        <v>16</v>
      </c>
      <c r="H11" s="102">
        <f>المهني!DT20</f>
        <v>263</v>
      </c>
      <c r="I11" s="102">
        <f>المهني!DU20</f>
        <v>137</v>
      </c>
      <c r="J11" s="102">
        <f>I11+H11</f>
        <v>400</v>
      </c>
      <c r="K11" s="102">
        <f>المهني!EC20</f>
        <v>29</v>
      </c>
      <c r="L11" s="102">
        <f>المهني!ED20</f>
        <v>2</v>
      </c>
      <c r="M11" s="102">
        <f>المهني!EL20</f>
        <v>8</v>
      </c>
      <c r="N11" s="102">
        <f>المهني!EM20</f>
        <v>2</v>
      </c>
      <c r="O11" s="102">
        <f>المهني!EU20</f>
        <v>0</v>
      </c>
      <c r="P11" s="102">
        <f>المهني!EV20</f>
        <v>0</v>
      </c>
      <c r="Q11" s="102">
        <f t="shared" si="0"/>
        <v>37</v>
      </c>
      <c r="R11" s="102">
        <f t="shared" si="0"/>
        <v>4</v>
      </c>
      <c r="S11" s="102">
        <f t="shared" si="1"/>
        <v>41</v>
      </c>
    </row>
    <row r="12" spans="1:19" ht="27" customHeight="1" thickTop="1" thickBot="1">
      <c r="A12" s="87"/>
      <c r="B12" s="396"/>
      <c r="C12" s="397"/>
      <c r="D12" s="15" t="s">
        <v>147</v>
      </c>
      <c r="E12" s="102">
        <f>المهني!DD20</f>
        <v>16</v>
      </c>
      <c r="F12" s="102">
        <f>المهني!DE20</f>
        <v>1</v>
      </c>
      <c r="G12" s="102">
        <f>F12+E12</f>
        <v>17</v>
      </c>
      <c r="H12" s="102">
        <f>المهني!DV20</f>
        <v>326</v>
      </c>
      <c r="I12" s="102">
        <f>المهني!DW20</f>
        <v>125</v>
      </c>
      <c r="J12" s="102">
        <f>I12+H12</f>
        <v>451</v>
      </c>
      <c r="K12" s="102">
        <f>المهني!EE20</f>
        <v>118</v>
      </c>
      <c r="L12" s="102">
        <f>المهني!EF20</f>
        <v>9</v>
      </c>
      <c r="M12" s="102">
        <f>المهني!EN20</f>
        <v>28</v>
      </c>
      <c r="N12" s="102">
        <f>المهني!EO20</f>
        <v>0</v>
      </c>
      <c r="O12" s="102">
        <f>المهني!EW20</f>
        <v>29</v>
      </c>
      <c r="P12" s="102">
        <f>المهني!EX20</f>
        <v>1</v>
      </c>
      <c r="Q12" s="102">
        <f t="shared" si="0"/>
        <v>175</v>
      </c>
      <c r="R12" s="102">
        <f t="shared" si="0"/>
        <v>10</v>
      </c>
      <c r="S12" s="102">
        <f t="shared" si="1"/>
        <v>185</v>
      </c>
    </row>
    <row r="13" spans="1:19" ht="27" customHeight="1" thickTop="1" thickBot="1">
      <c r="A13" s="87"/>
      <c r="B13" s="398"/>
      <c r="C13" s="399"/>
      <c r="D13" s="15" t="s">
        <v>25</v>
      </c>
      <c r="E13" s="102">
        <f t="shared" ref="E13:R13" si="2">E12+E11+E10</f>
        <v>58</v>
      </c>
      <c r="F13" s="102">
        <f t="shared" si="2"/>
        <v>6</v>
      </c>
      <c r="G13" s="102">
        <f t="shared" si="2"/>
        <v>64</v>
      </c>
      <c r="H13" s="102">
        <f t="shared" si="2"/>
        <v>1070</v>
      </c>
      <c r="I13" s="102">
        <f t="shared" si="2"/>
        <v>421</v>
      </c>
      <c r="J13" s="102">
        <f t="shared" si="2"/>
        <v>1491</v>
      </c>
      <c r="K13" s="102">
        <f t="shared" si="2"/>
        <v>221</v>
      </c>
      <c r="L13" s="102">
        <f t="shared" si="2"/>
        <v>14</v>
      </c>
      <c r="M13" s="102">
        <f t="shared" si="2"/>
        <v>58</v>
      </c>
      <c r="N13" s="102">
        <f t="shared" si="2"/>
        <v>5</v>
      </c>
      <c r="O13" s="102">
        <f t="shared" si="2"/>
        <v>29</v>
      </c>
      <c r="P13" s="102">
        <f t="shared" si="2"/>
        <v>1</v>
      </c>
      <c r="Q13" s="102">
        <f t="shared" si="2"/>
        <v>308</v>
      </c>
      <c r="R13" s="102">
        <f t="shared" si="2"/>
        <v>20</v>
      </c>
      <c r="S13" s="102">
        <f t="shared" si="1"/>
        <v>328</v>
      </c>
    </row>
    <row r="14" spans="1:19" ht="27" customHeight="1" thickTop="1" thickBot="1">
      <c r="A14" s="87"/>
      <c r="B14" s="394" t="s">
        <v>124</v>
      </c>
      <c r="C14" s="395"/>
      <c r="D14" s="15" t="s">
        <v>145</v>
      </c>
      <c r="E14" s="102">
        <f>المهني!CZ31</f>
        <v>2</v>
      </c>
      <c r="F14" s="102">
        <f>المهني!DA31</f>
        <v>0</v>
      </c>
      <c r="G14" s="102">
        <f>F14+E14</f>
        <v>2</v>
      </c>
      <c r="H14" s="102">
        <f>المهني!DR31</f>
        <v>25</v>
      </c>
      <c r="I14" s="102">
        <f>المهني!DS31</f>
        <v>0</v>
      </c>
      <c r="J14" s="102">
        <f>I14+H14</f>
        <v>25</v>
      </c>
      <c r="K14" s="102">
        <f>المهني!EA31</f>
        <v>1</v>
      </c>
      <c r="L14" s="102">
        <f>المهني!EB31</f>
        <v>0</v>
      </c>
      <c r="M14" s="102">
        <f>المهني!EJ31</f>
        <v>1</v>
      </c>
      <c r="N14" s="102">
        <f>المهني!EK31</f>
        <v>0</v>
      </c>
      <c r="O14" s="102">
        <f>المهني!ES31</f>
        <v>0</v>
      </c>
      <c r="P14" s="102">
        <f>المهني!ET31</f>
        <v>0</v>
      </c>
      <c r="Q14" s="102">
        <f t="shared" ref="Q14:R16" si="3">O14+M14+K14</f>
        <v>2</v>
      </c>
      <c r="R14" s="102">
        <f t="shared" si="3"/>
        <v>0</v>
      </c>
      <c r="S14" s="102">
        <f t="shared" si="1"/>
        <v>2</v>
      </c>
    </row>
    <row r="15" spans="1:19" ht="27" customHeight="1" thickTop="1" thickBot="1">
      <c r="A15" s="87"/>
      <c r="B15" s="396"/>
      <c r="C15" s="397"/>
      <c r="D15" s="15" t="s">
        <v>146</v>
      </c>
      <c r="E15" s="102">
        <f>المهني!DB31</f>
        <v>0</v>
      </c>
      <c r="F15" s="102">
        <f>المهني!DC31</f>
        <v>0</v>
      </c>
      <c r="G15" s="102">
        <f>F15+E15</f>
        <v>0</v>
      </c>
      <c r="H15" s="102">
        <f>المهني!DT31</f>
        <v>18</v>
      </c>
      <c r="I15" s="102">
        <f>المهني!DU31</f>
        <v>0</v>
      </c>
      <c r="J15" s="102">
        <f>I15+H15</f>
        <v>18</v>
      </c>
      <c r="K15" s="102">
        <f>المهني!EC31</f>
        <v>2</v>
      </c>
      <c r="L15" s="102">
        <f>المهني!ED31</f>
        <v>0</v>
      </c>
      <c r="M15" s="102">
        <f>المهني!EL31</f>
        <v>0</v>
      </c>
      <c r="N15" s="102">
        <f>المهني!EM31</f>
        <v>0</v>
      </c>
      <c r="O15" s="102">
        <f>المهني!EU31</f>
        <v>0</v>
      </c>
      <c r="P15" s="102">
        <f>المهني!EV31</f>
        <v>0</v>
      </c>
      <c r="Q15" s="102">
        <f t="shared" si="3"/>
        <v>2</v>
      </c>
      <c r="R15" s="102">
        <f t="shared" si="3"/>
        <v>0</v>
      </c>
      <c r="S15" s="102">
        <f t="shared" si="1"/>
        <v>2</v>
      </c>
    </row>
    <row r="16" spans="1:19" ht="27" customHeight="1" thickTop="1" thickBot="1">
      <c r="A16" s="87"/>
      <c r="B16" s="396"/>
      <c r="C16" s="397"/>
      <c r="D16" s="15" t="s">
        <v>147</v>
      </c>
      <c r="E16" s="102">
        <f>المهني!DD31</f>
        <v>1</v>
      </c>
      <c r="F16" s="102">
        <f>المهني!DE31</f>
        <v>0</v>
      </c>
      <c r="G16" s="102">
        <f>F16+E16</f>
        <v>1</v>
      </c>
      <c r="H16" s="102">
        <f>المهني!DV31</f>
        <v>20</v>
      </c>
      <c r="I16" s="102">
        <f>المهني!DW31</f>
        <v>0</v>
      </c>
      <c r="J16" s="102">
        <f>I16+H16</f>
        <v>20</v>
      </c>
      <c r="K16" s="102">
        <f>المهني!EE31</f>
        <v>11</v>
      </c>
      <c r="L16" s="102">
        <f>المهني!EF31</f>
        <v>0</v>
      </c>
      <c r="M16" s="102">
        <f>المهني!EN31</f>
        <v>5</v>
      </c>
      <c r="N16" s="102">
        <f>المهني!EO31</f>
        <v>0</v>
      </c>
      <c r="O16" s="102">
        <f>المهني!EW31</f>
        <v>0</v>
      </c>
      <c r="P16" s="102">
        <f>المهني!EX31</f>
        <v>0</v>
      </c>
      <c r="Q16" s="102">
        <f t="shared" si="3"/>
        <v>16</v>
      </c>
      <c r="R16" s="102">
        <f t="shared" si="3"/>
        <v>0</v>
      </c>
      <c r="S16" s="102">
        <f t="shared" si="1"/>
        <v>16</v>
      </c>
    </row>
    <row r="17" spans="1:19" ht="27" customHeight="1" thickTop="1" thickBot="1">
      <c r="A17" s="87"/>
      <c r="B17" s="398"/>
      <c r="C17" s="399"/>
      <c r="D17" s="15" t="s">
        <v>25</v>
      </c>
      <c r="E17" s="102">
        <f t="shared" ref="E17:R17" si="4">E16+E15+E14</f>
        <v>3</v>
      </c>
      <c r="F17" s="102">
        <f t="shared" si="4"/>
        <v>0</v>
      </c>
      <c r="G17" s="102">
        <f t="shared" si="4"/>
        <v>3</v>
      </c>
      <c r="H17" s="102">
        <f t="shared" si="4"/>
        <v>63</v>
      </c>
      <c r="I17" s="102">
        <f t="shared" si="4"/>
        <v>0</v>
      </c>
      <c r="J17" s="102">
        <f t="shared" si="4"/>
        <v>63</v>
      </c>
      <c r="K17" s="102">
        <f t="shared" si="4"/>
        <v>14</v>
      </c>
      <c r="L17" s="102">
        <f t="shared" si="4"/>
        <v>0</v>
      </c>
      <c r="M17" s="102">
        <f t="shared" si="4"/>
        <v>6</v>
      </c>
      <c r="N17" s="102">
        <f t="shared" si="4"/>
        <v>0</v>
      </c>
      <c r="O17" s="102">
        <f t="shared" si="4"/>
        <v>0</v>
      </c>
      <c r="P17" s="102">
        <f t="shared" si="4"/>
        <v>0</v>
      </c>
      <c r="Q17" s="102">
        <f t="shared" si="4"/>
        <v>20</v>
      </c>
      <c r="R17" s="102">
        <f t="shared" si="4"/>
        <v>0</v>
      </c>
      <c r="S17" s="102">
        <f t="shared" si="1"/>
        <v>20</v>
      </c>
    </row>
    <row r="18" spans="1:19" ht="27" customHeight="1" thickTop="1" thickBot="1">
      <c r="A18" s="87"/>
      <c r="B18" s="394" t="s">
        <v>125</v>
      </c>
      <c r="C18" s="395"/>
      <c r="D18" s="15" t="s">
        <v>145</v>
      </c>
      <c r="E18" s="102">
        <f>المهني!CZ26</f>
        <v>4</v>
      </c>
      <c r="F18" s="102">
        <f>المهني!DA26</f>
        <v>3</v>
      </c>
      <c r="G18" s="102">
        <f>F18+E18</f>
        <v>7</v>
      </c>
      <c r="H18" s="102">
        <f>المهني!DR26</f>
        <v>87</v>
      </c>
      <c r="I18" s="102">
        <f>المهني!DS26</f>
        <v>57</v>
      </c>
      <c r="J18" s="102">
        <f>I18+H18</f>
        <v>144</v>
      </c>
      <c r="K18" s="102">
        <f>المهني!EA26</f>
        <v>14</v>
      </c>
      <c r="L18" s="102">
        <f>المهني!EB26</f>
        <v>13</v>
      </c>
      <c r="M18" s="102">
        <f>المهني!EJ26</f>
        <v>4</v>
      </c>
      <c r="N18" s="102">
        <f>المهني!EK26</f>
        <v>2</v>
      </c>
      <c r="O18" s="102">
        <f>المهني!ES26</f>
        <v>0</v>
      </c>
      <c r="P18" s="102">
        <f>المهني!ET26</f>
        <v>0</v>
      </c>
      <c r="Q18" s="102">
        <f t="shared" ref="Q18:R20" si="5">O18+M18+K18</f>
        <v>18</v>
      </c>
      <c r="R18" s="102">
        <f t="shared" si="5"/>
        <v>15</v>
      </c>
      <c r="S18" s="102">
        <f t="shared" si="1"/>
        <v>33</v>
      </c>
    </row>
    <row r="19" spans="1:19" ht="27" customHeight="1" thickTop="1" thickBot="1">
      <c r="A19" s="87"/>
      <c r="B19" s="396"/>
      <c r="C19" s="397"/>
      <c r="D19" s="15" t="s">
        <v>146</v>
      </c>
      <c r="E19" s="102">
        <f>المهني!DB26</f>
        <v>2</v>
      </c>
      <c r="F19" s="102">
        <f>المهني!DC26</f>
        <v>2</v>
      </c>
      <c r="G19" s="102">
        <f>F19+E19</f>
        <v>4</v>
      </c>
      <c r="H19" s="102">
        <f>المهني!DT26</f>
        <v>35</v>
      </c>
      <c r="I19" s="102">
        <f>المهني!DU26</f>
        <v>42</v>
      </c>
      <c r="J19" s="102">
        <f>I19+H19</f>
        <v>77</v>
      </c>
      <c r="K19" s="102">
        <f>المهني!EC26</f>
        <v>1</v>
      </c>
      <c r="L19" s="102">
        <f>المهني!ED26</f>
        <v>4</v>
      </c>
      <c r="M19" s="102">
        <f>المهني!EL26</f>
        <v>3</v>
      </c>
      <c r="N19" s="102">
        <f>المهني!EM26</f>
        <v>6</v>
      </c>
      <c r="O19" s="102">
        <f>المهني!EU26</f>
        <v>0</v>
      </c>
      <c r="P19" s="102">
        <f>المهني!EV26</f>
        <v>0</v>
      </c>
      <c r="Q19" s="102">
        <f t="shared" si="5"/>
        <v>4</v>
      </c>
      <c r="R19" s="102">
        <f t="shared" si="5"/>
        <v>10</v>
      </c>
      <c r="S19" s="102">
        <f t="shared" si="1"/>
        <v>14</v>
      </c>
    </row>
    <row r="20" spans="1:19" ht="27" customHeight="1" thickTop="1" thickBot="1">
      <c r="A20" s="87"/>
      <c r="B20" s="396"/>
      <c r="C20" s="397"/>
      <c r="D20" s="15" t="s">
        <v>147</v>
      </c>
      <c r="E20" s="102">
        <f>المهني!DD26</f>
        <v>10</v>
      </c>
      <c r="F20" s="102">
        <f>المهني!DE26</f>
        <v>3</v>
      </c>
      <c r="G20" s="102">
        <f>F20+E20</f>
        <v>13</v>
      </c>
      <c r="H20" s="102">
        <f>المهني!DV26</f>
        <v>130</v>
      </c>
      <c r="I20" s="102">
        <f>المهني!DW26</f>
        <v>41</v>
      </c>
      <c r="J20" s="102">
        <f>I20+H20</f>
        <v>171</v>
      </c>
      <c r="K20" s="102">
        <f>المهني!EE26</f>
        <v>38</v>
      </c>
      <c r="L20" s="102">
        <f>المهني!EF26</f>
        <v>1</v>
      </c>
      <c r="M20" s="102">
        <f>المهني!EN26</f>
        <v>0</v>
      </c>
      <c r="N20" s="102">
        <f>المهني!EO26</f>
        <v>0</v>
      </c>
      <c r="O20" s="102">
        <f>المهني!EW26</f>
        <v>0</v>
      </c>
      <c r="P20" s="102">
        <f>المهني!EX26</f>
        <v>0</v>
      </c>
      <c r="Q20" s="102">
        <f t="shared" si="5"/>
        <v>38</v>
      </c>
      <c r="R20" s="102">
        <f t="shared" si="5"/>
        <v>1</v>
      </c>
      <c r="S20" s="102">
        <f t="shared" si="1"/>
        <v>39</v>
      </c>
    </row>
    <row r="21" spans="1:19" ht="27" customHeight="1" thickTop="1" thickBot="1">
      <c r="A21" s="87"/>
      <c r="B21" s="398"/>
      <c r="C21" s="399"/>
      <c r="D21" s="15" t="s">
        <v>25</v>
      </c>
      <c r="E21" s="102">
        <f t="shared" ref="E21:R21" si="6">E20+E19+E18</f>
        <v>16</v>
      </c>
      <c r="F21" s="102">
        <f t="shared" si="6"/>
        <v>8</v>
      </c>
      <c r="G21" s="102">
        <f t="shared" si="6"/>
        <v>24</v>
      </c>
      <c r="H21" s="102">
        <f t="shared" si="6"/>
        <v>252</v>
      </c>
      <c r="I21" s="102">
        <f t="shared" si="6"/>
        <v>140</v>
      </c>
      <c r="J21" s="102">
        <f t="shared" si="6"/>
        <v>392</v>
      </c>
      <c r="K21" s="102">
        <f t="shared" si="6"/>
        <v>53</v>
      </c>
      <c r="L21" s="102">
        <f t="shared" si="6"/>
        <v>18</v>
      </c>
      <c r="M21" s="102">
        <f t="shared" si="6"/>
        <v>7</v>
      </c>
      <c r="N21" s="102">
        <f t="shared" si="6"/>
        <v>8</v>
      </c>
      <c r="O21" s="102">
        <f t="shared" si="6"/>
        <v>0</v>
      </c>
      <c r="P21" s="102">
        <f t="shared" si="6"/>
        <v>0</v>
      </c>
      <c r="Q21" s="102">
        <f t="shared" si="6"/>
        <v>60</v>
      </c>
      <c r="R21" s="102">
        <f t="shared" si="6"/>
        <v>26</v>
      </c>
      <c r="S21" s="102">
        <f t="shared" si="1"/>
        <v>86</v>
      </c>
    </row>
    <row r="22" spans="1:19" ht="27" customHeight="1" thickTop="1" thickBot="1">
      <c r="A22" s="87"/>
      <c r="B22" s="394" t="s">
        <v>216</v>
      </c>
      <c r="C22" s="395"/>
      <c r="D22" s="15" t="s">
        <v>145</v>
      </c>
      <c r="E22" s="103"/>
      <c r="F22" s="104">
        <f>المهني!DA35</f>
        <v>3</v>
      </c>
      <c r="G22" s="102">
        <f>F22+E22</f>
        <v>3</v>
      </c>
      <c r="H22" s="103"/>
      <c r="I22" s="104">
        <f>المهني!DS35</f>
        <v>84</v>
      </c>
      <c r="J22" s="102">
        <f>I22+H22</f>
        <v>84</v>
      </c>
      <c r="K22" s="103"/>
      <c r="L22" s="104">
        <v>0</v>
      </c>
      <c r="M22" s="103"/>
      <c r="N22" s="104">
        <f>المهني!EK35</f>
        <v>5</v>
      </c>
      <c r="O22" s="103"/>
      <c r="P22" s="104">
        <f>المهني!ET35</f>
        <v>0</v>
      </c>
      <c r="Q22" s="103"/>
      <c r="R22" s="102">
        <f>P22+N22+L22</f>
        <v>5</v>
      </c>
      <c r="S22" s="102">
        <f t="shared" si="1"/>
        <v>5</v>
      </c>
    </row>
    <row r="23" spans="1:19" ht="27" customHeight="1" thickTop="1" thickBot="1">
      <c r="A23" s="87"/>
      <c r="B23" s="396"/>
      <c r="C23" s="397"/>
      <c r="D23" s="15" t="s">
        <v>146</v>
      </c>
      <c r="E23" s="103"/>
      <c r="F23" s="104">
        <f>المهني!DC35</f>
        <v>5</v>
      </c>
      <c r="G23" s="102">
        <f>F23+E23</f>
        <v>5</v>
      </c>
      <c r="H23" s="103"/>
      <c r="I23" s="104">
        <f>المهني!DU35</f>
        <v>66</v>
      </c>
      <c r="J23" s="102">
        <f>I23+H23</f>
        <v>66</v>
      </c>
      <c r="K23" s="103"/>
      <c r="L23" s="104">
        <v>0</v>
      </c>
      <c r="M23" s="103"/>
      <c r="N23" s="104">
        <f>المهني!EM35</f>
        <v>2</v>
      </c>
      <c r="O23" s="103"/>
      <c r="P23" s="104">
        <f>المهني!EV35</f>
        <v>0</v>
      </c>
      <c r="Q23" s="103"/>
      <c r="R23" s="102">
        <f>P23+N23+L23</f>
        <v>2</v>
      </c>
      <c r="S23" s="102">
        <f t="shared" si="1"/>
        <v>2</v>
      </c>
    </row>
    <row r="24" spans="1:19" ht="27" customHeight="1" thickTop="1" thickBot="1">
      <c r="A24" s="87"/>
      <c r="B24" s="396"/>
      <c r="C24" s="397"/>
      <c r="D24" s="15" t="s">
        <v>147</v>
      </c>
      <c r="E24" s="103"/>
      <c r="F24" s="104">
        <f>المهني!DE35</f>
        <v>0</v>
      </c>
      <c r="G24" s="102">
        <f>F24+E24</f>
        <v>0</v>
      </c>
      <c r="H24" s="103"/>
      <c r="I24" s="104">
        <f>المهني!DW35</f>
        <v>60</v>
      </c>
      <c r="J24" s="102">
        <f>I24+H24</f>
        <v>60</v>
      </c>
      <c r="K24" s="103"/>
      <c r="L24" s="104">
        <v>0</v>
      </c>
      <c r="M24" s="103"/>
      <c r="N24" s="104">
        <f>المهني!EO35</f>
        <v>0</v>
      </c>
      <c r="O24" s="103"/>
      <c r="P24" s="104">
        <f>المهني!EX35</f>
        <v>1</v>
      </c>
      <c r="Q24" s="103"/>
      <c r="R24" s="102">
        <f>P24+N24+L24</f>
        <v>1</v>
      </c>
      <c r="S24" s="102">
        <f t="shared" si="1"/>
        <v>1</v>
      </c>
    </row>
    <row r="25" spans="1:19" ht="27" customHeight="1" thickTop="1" thickBot="1">
      <c r="A25" s="87"/>
      <c r="B25" s="398"/>
      <c r="C25" s="399"/>
      <c r="D25" s="15" t="s">
        <v>25</v>
      </c>
      <c r="E25" s="103"/>
      <c r="F25" s="104">
        <f>F24+F23+F22</f>
        <v>8</v>
      </c>
      <c r="G25" s="104">
        <f>G24+G23+G22</f>
        <v>8</v>
      </c>
      <c r="H25" s="103"/>
      <c r="I25" s="104">
        <f>I24+I23+I22</f>
        <v>210</v>
      </c>
      <c r="J25" s="104">
        <f>J24+J23+J22</f>
        <v>210</v>
      </c>
      <c r="K25" s="103"/>
      <c r="L25" s="104">
        <f>L24+L23+L22</f>
        <v>0</v>
      </c>
      <c r="M25" s="103"/>
      <c r="N25" s="104">
        <f>N24+N23+N22</f>
        <v>7</v>
      </c>
      <c r="O25" s="103"/>
      <c r="P25" s="104">
        <f>P24+P23+P22</f>
        <v>1</v>
      </c>
      <c r="Q25" s="103"/>
      <c r="R25" s="104">
        <f>R24+R23+R22</f>
        <v>8</v>
      </c>
      <c r="S25" s="102">
        <f t="shared" si="1"/>
        <v>8</v>
      </c>
    </row>
    <row r="26" spans="1:19" ht="27" customHeight="1" thickTop="1" thickBot="1">
      <c r="A26" s="135"/>
      <c r="B26" s="394" t="s">
        <v>488</v>
      </c>
      <c r="C26" s="395"/>
      <c r="D26" s="15" t="s">
        <v>145</v>
      </c>
      <c r="E26" s="104">
        <f>المهني!CZ49</f>
        <v>0</v>
      </c>
      <c r="F26" s="104">
        <f>المهني!DA49</f>
        <v>0</v>
      </c>
      <c r="G26" s="102">
        <f t="shared" ref="G26:G29" si="7">F26+E26</f>
        <v>0</v>
      </c>
      <c r="H26" s="104">
        <f>المهني!DR49</f>
        <v>75</v>
      </c>
      <c r="I26" s="104">
        <f>المهني!DS49</f>
        <v>0</v>
      </c>
      <c r="J26" s="104">
        <f t="shared" ref="J26:J29" si="8">I26+H26</f>
        <v>75</v>
      </c>
      <c r="K26" s="104">
        <f>المهني!EA49</f>
        <v>0</v>
      </c>
      <c r="L26" s="104">
        <f>المهني!EB49</f>
        <v>0</v>
      </c>
      <c r="M26" s="104">
        <f t="shared" ref="M26:M29" si="9">L26+K26</f>
        <v>0</v>
      </c>
      <c r="N26" s="104">
        <f>المهني!EJ49</f>
        <v>0</v>
      </c>
      <c r="O26" s="104">
        <f>المهني!EK49</f>
        <v>0</v>
      </c>
      <c r="P26" s="104">
        <f t="shared" ref="P26:P29" si="10">O26+N26</f>
        <v>0</v>
      </c>
      <c r="Q26" s="104">
        <f t="shared" ref="Q26:Q29" si="11">O26+M26+K26</f>
        <v>0</v>
      </c>
      <c r="R26" s="104">
        <f t="shared" ref="R26:R29" si="12">P26+N26+L26</f>
        <v>0</v>
      </c>
      <c r="S26" s="104">
        <f t="shared" ref="S26:S29" si="13">R26+Q26</f>
        <v>0</v>
      </c>
    </row>
    <row r="27" spans="1:19" ht="27" customHeight="1" thickTop="1" thickBot="1">
      <c r="A27" s="135"/>
      <c r="B27" s="396"/>
      <c r="C27" s="397"/>
      <c r="D27" s="15" t="s">
        <v>146</v>
      </c>
      <c r="E27" s="104">
        <f>المهني!DB49</f>
        <v>2</v>
      </c>
      <c r="F27" s="104">
        <f>المهني!DC49</f>
        <v>0</v>
      </c>
      <c r="G27" s="102">
        <f t="shared" si="7"/>
        <v>2</v>
      </c>
      <c r="H27" s="104">
        <f>المهني!DT49</f>
        <v>37</v>
      </c>
      <c r="I27" s="104">
        <f>المهني!DU49</f>
        <v>0</v>
      </c>
      <c r="J27" s="104">
        <f t="shared" si="8"/>
        <v>37</v>
      </c>
      <c r="K27" s="104">
        <f>المهني!EC49</f>
        <v>0</v>
      </c>
      <c r="L27" s="104">
        <f>المهني!ED49</f>
        <v>0</v>
      </c>
      <c r="M27" s="104">
        <f t="shared" si="9"/>
        <v>0</v>
      </c>
      <c r="N27" s="104">
        <f>المهني!EL49</f>
        <v>0</v>
      </c>
      <c r="O27" s="104">
        <f>المهني!EM49</f>
        <v>0</v>
      </c>
      <c r="P27" s="104">
        <f t="shared" si="10"/>
        <v>0</v>
      </c>
      <c r="Q27" s="104">
        <f t="shared" si="11"/>
        <v>0</v>
      </c>
      <c r="R27" s="104">
        <f t="shared" si="12"/>
        <v>0</v>
      </c>
      <c r="S27" s="104">
        <f t="shared" si="13"/>
        <v>0</v>
      </c>
    </row>
    <row r="28" spans="1:19" ht="27" customHeight="1" thickTop="1" thickBot="1">
      <c r="A28" s="135"/>
      <c r="B28" s="396"/>
      <c r="C28" s="397"/>
      <c r="D28" s="15" t="s">
        <v>147</v>
      </c>
      <c r="E28" s="104">
        <f>المهني!DD49</f>
        <v>2</v>
      </c>
      <c r="F28" s="104">
        <f>المهني!DE49</f>
        <v>0</v>
      </c>
      <c r="G28" s="102">
        <f t="shared" si="7"/>
        <v>2</v>
      </c>
      <c r="H28" s="104">
        <f>المهني!DV49</f>
        <v>25</v>
      </c>
      <c r="I28" s="104">
        <f>المهني!DW49</f>
        <v>0</v>
      </c>
      <c r="J28" s="104">
        <f t="shared" si="8"/>
        <v>25</v>
      </c>
      <c r="K28" s="104">
        <f>المهني!EE49</f>
        <v>0</v>
      </c>
      <c r="L28" s="104">
        <f>المهني!EF49</f>
        <v>0</v>
      </c>
      <c r="M28" s="104">
        <f t="shared" si="9"/>
        <v>0</v>
      </c>
      <c r="N28" s="104">
        <f>المهني!EN49</f>
        <v>0</v>
      </c>
      <c r="O28" s="104">
        <f>المهني!EO49</f>
        <v>0</v>
      </c>
      <c r="P28" s="104">
        <f t="shared" si="10"/>
        <v>0</v>
      </c>
      <c r="Q28" s="104">
        <f t="shared" si="11"/>
        <v>0</v>
      </c>
      <c r="R28" s="104">
        <f t="shared" si="12"/>
        <v>0</v>
      </c>
      <c r="S28" s="104">
        <f t="shared" si="13"/>
        <v>0</v>
      </c>
    </row>
    <row r="29" spans="1:19" ht="27" customHeight="1" thickTop="1" thickBot="1">
      <c r="A29" s="135"/>
      <c r="B29" s="398"/>
      <c r="C29" s="399"/>
      <c r="D29" s="15" t="s">
        <v>25</v>
      </c>
      <c r="E29" s="104">
        <f t="shared" ref="E29:O29" si="14">E28+E27+E26</f>
        <v>4</v>
      </c>
      <c r="F29" s="104">
        <f t="shared" si="14"/>
        <v>0</v>
      </c>
      <c r="G29" s="102">
        <f t="shared" si="7"/>
        <v>4</v>
      </c>
      <c r="H29" s="104">
        <f t="shared" si="14"/>
        <v>137</v>
      </c>
      <c r="I29" s="104">
        <f t="shared" si="14"/>
        <v>0</v>
      </c>
      <c r="J29" s="104">
        <f t="shared" si="8"/>
        <v>137</v>
      </c>
      <c r="K29" s="104">
        <f t="shared" si="14"/>
        <v>0</v>
      </c>
      <c r="L29" s="104">
        <f t="shared" si="14"/>
        <v>0</v>
      </c>
      <c r="M29" s="104">
        <f t="shared" si="9"/>
        <v>0</v>
      </c>
      <c r="N29" s="104">
        <f t="shared" si="14"/>
        <v>0</v>
      </c>
      <c r="O29" s="104">
        <f t="shared" si="14"/>
        <v>0</v>
      </c>
      <c r="P29" s="104">
        <f t="shared" si="10"/>
        <v>0</v>
      </c>
      <c r="Q29" s="104">
        <f t="shared" si="11"/>
        <v>0</v>
      </c>
      <c r="R29" s="104">
        <f t="shared" si="12"/>
        <v>0</v>
      </c>
      <c r="S29" s="104">
        <f t="shared" si="13"/>
        <v>0</v>
      </c>
    </row>
    <row r="30" spans="1:19" ht="27" customHeight="1" thickTop="1" thickBot="1">
      <c r="A30" s="184"/>
      <c r="B30" s="394" t="s">
        <v>523</v>
      </c>
      <c r="C30" s="395"/>
      <c r="D30" s="15" t="s">
        <v>145</v>
      </c>
      <c r="E30" s="104">
        <f>المهني!CZ50</f>
        <v>6</v>
      </c>
      <c r="F30" s="104">
        <f>المهني!DA50</f>
        <v>0</v>
      </c>
      <c r="G30" s="102">
        <f t="shared" ref="G30:G33" si="15">F30+E30</f>
        <v>6</v>
      </c>
      <c r="H30" s="104">
        <f>المهني!DR50</f>
        <v>91</v>
      </c>
      <c r="I30" s="104">
        <f>المهني!DS50</f>
        <v>0</v>
      </c>
      <c r="J30" s="104">
        <f t="shared" ref="J30:J33" si="16">I30+H30</f>
        <v>91</v>
      </c>
      <c r="K30" s="104">
        <f>المهني!EA50</f>
        <v>5</v>
      </c>
      <c r="L30" s="104">
        <f>المهني!EB50</f>
        <v>0</v>
      </c>
      <c r="M30" s="104">
        <f>L30+K30</f>
        <v>5</v>
      </c>
      <c r="N30" s="104">
        <f>المهني!EJ50</f>
        <v>4</v>
      </c>
      <c r="O30" s="104">
        <f>المهني!EK50</f>
        <v>0</v>
      </c>
      <c r="P30" s="104">
        <f t="shared" ref="P30:P33" si="17">O30+N30</f>
        <v>4</v>
      </c>
      <c r="Q30" s="104">
        <f t="shared" ref="Q30:Q33" si="18">O30+M30+K30</f>
        <v>10</v>
      </c>
      <c r="R30" s="104">
        <f t="shared" ref="R30:R33" si="19">P30+N30+L30</f>
        <v>8</v>
      </c>
      <c r="S30" s="104">
        <f t="shared" ref="S30:S33" si="20">R30+Q30</f>
        <v>18</v>
      </c>
    </row>
    <row r="31" spans="1:19" ht="27" customHeight="1" thickTop="1" thickBot="1">
      <c r="A31" s="184"/>
      <c r="B31" s="396"/>
      <c r="C31" s="397"/>
      <c r="D31" s="15" t="s">
        <v>146</v>
      </c>
      <c r="E31" s="104">
        <f>المهني!DB50</f>
        <v>0</v>
      </c>
      <c r="F31" s="104">
        <f>المهني!DC50</f>
        <v>0</v>
      </c>
      <c r="G31" s="102">
        <f t="shared" si="15"/>
        <v>0</v>
      </c>
      <c r="H31" s="104">
        <f>المهني!DT50</f>
        <v>0</v>
      </c>
      <c r="I31" s="104">
        <f>المهني!DU50</f>
        <v>0</v>
      </c>
      <c r="J31" s="104">
        <f t="shared" si="16"/>
        <v>0</v>
      </c>
      <c r="K31" s="104">
        <f>المهني!EC50</f>
        <v>0</v>
      </c>
      <c r="L31" s="104">
        <f>المهني!ED50</f>
        <v>0</v>
      </c>
      <c r="M31" s="104">
        <f t="shared" ref="M31:M33" si="21">L31+K31</f>
        <v>0</v>
      </c>
      <c r="N31" s="104">
        <f>المهني!EL50</f>
        <v>0</v>
      </c>
      <c r="O31" s="104">
        <f>المهني!EM50</f>
        <v>0</v>
      </c>
      <c r="P31" s="104">
        <f t="shared" si="17"/>
        <v>0</v>
      </c>
      <c r="Q31" s="104">
        <f t="shared" si="18"/>
        <v>0</v>
      </c>
      <c r="R31" s="104">
        <f>P31+N31+L31</f>
        <v>0</v>
      </c>
      <c r="S31" s="104">
        <f t="shared" si="20"/>
        <v>0</v>
      </c>
    </row>
    <row r="32" spans="1:19" ht="27" customHeight="1" thickTop="1" thickBot="1">
      <c r="A32" s="184"/>
      <c r="B32" s="396"/>
      <c r="C32" s="397"/>
      <c r="D32" s="15" t="s">
        <v>147</v>
      </c>
      <c r="E32" s="104">
        <f>المهني!DD50</f>
        <v>0</v>
      </c>
      <c r="F32" s="104">
        <f>المهني!DE50</f>
        <v>0</v>
      </c>
      <c r="G32" s="102">
        <f t="shared" si="15"/>
        <v>0</v>
      </c>
      <c r="H32" s="104">
        <f>المهني!DV50</f>
        <v>0</v>
      </c>
      <c r="I32" s="104">
        <f>المهني!DW50</f>
        <v>0</v>
      </c>
      <c r="J32" s="104">
        <f t="shared" si="16"/>
        <v>0</v>
      </c>
      <c r="K32" s="104">
        <f>المهني!EE50</f>
        <v>0</v>
      </c>
      <c r="L32" s="104">
        <f>المهني!EF50</f>
        <v>0</v>
      </c>
      <c r="M32" s="104">
        <f t="shared" si="21"/>
        <v>0</v>
      </c>
      <c r="N32" s="104">
        <f>المهني!EN50</f>
        <v>0</v>
      </c>
      <c r="O32" s="104">
        <f>المهني!EO50</f>
        <v>0</v>
      </c>
      <c r="P32" s="104">
        <f t="shared" si="17"/>
        <v>0</v>
      </c>
      <c r="Q32" s="104">
        <f t="shared" si="18"/>
        <v>0</v>
      </c>
      <c r="R32" s="104">
        <f t="shared" si="19"/>
        <v>0</v>
      </c>
      <c r="S32" s="104">
        <f t="shared" si="20"/>
        <v>0</v>
      </c>
    </row>
    <row r="33" spans="1:19" ht="27" customHeight="1" thickTop="1" thickBot="1">
      <c r="A33" s="184"/>
      <c r="B33" s="398"/>
      <c r="C33" s="399"/>
      <c r="D33" s="15" t="s">
        <v>25</v>
      </c>
      <c r="E33" s="104">
        <f t="shared" ref="E33:F33" si="22">E32+E31+E30</f>
        <v>6</v>
      </c>
      <c r="F33" s="104">
        <f t="shared" si="22"/>
        <v>0</v>
      </c>
      <c r="G33" s="102">
        <f t="shared" si="15"/>
        <v>6</v>
      </c>
      <c r="H33" s="104">
        <f t="shared" ref="H33:I33" si="23">H32+H31+H30</f>
        <v>91</v>
      </c>
      <c r="I33" s="104">
        <f t="shared" si="23"/>
        <v>0</v>
      </c>
      <c r="J33" s="104">
        <f t="shared" si="16"/>
        <v>91</v>
      </c>
      <c r="K33" s="104">
        <f t="shared" ref="K33:L33" si="24">K32+K31+K30</f>
        <v>5</v>
      </c>
      <c r="L33" s="104">
        <f t="shared" si="24"/>
        <v>0</v>
      </c>
      <c r="M33" s="104">
        <f t="shared" si="21"/>
        <v>5</v>
      </c>
      <c r="N33" s="104">
        <f t="shared" ref="N33:O33" si="25">N32+N31+N30</f>
        <v>4</v>
      </c>
      <c r="O33" s="104">
        <f t="shared" si="25"/>
        <v>0</v>
      </c>
      <c r="P33" s="104">
        <f t="shared" si="17"/>
        <v>4</v>
      </c>
      <c r="Q33" s="104">
        <f t="shared" si="18"/>
        <v>10</v>
      </c>
      <c r="R33" s="104">
        <f t="shared" si="19"/>
        <v>8</v>
      </c>
      <c r="S33" s="104">
        <f t="shared" si="20"/>
        <v>18</v>
      </c>
    </row>
    <row r="34" spans="1:19" ht="27" customHeight="1" thickTop="1" thickBot="1">
      <c r="A34" s="87"/>
      <c r="B34" s="388" t="s">
        <v>525</v>
      </c>
      <c r="C34" s="389"/>
      <c r="D34" s="15" t="s">
        <v>145</v>
      </c>
      <c r="E34" s="104">
        <f>المهني!CZ46</f>
        <v>6</v>
      </c>
      <c r="F34" s="104">
        <f>المهني!DA46</f>
        <v>5</v>
      </c>
      <c r="G34" s="104">
        <f>F34+E34</f>
        <v>11</v>
      </c>
      <c r="H34" s="14">
        <f>المهني!DR46</f>
        <v>250</v>
      </c>
      <c r="I34" s="14">
        <f>المهني!DS46</f>
        <v>209</v>
      </c>
      <c r="J34" s="14">
        <f>I34+H34</f>
        <v>459</v>
      </c>
      <c r="K34" s="14">
        <f>المهني!EA46</f>
        <v>57</v>
      </c>
      <c r="L34" s="14">
        <f>المهني!EB46</f>
        <v>16</v>
      </c>
      <c r="M34" s="14">
        <f>المهني!EJ46</f>
        <v>14</v>
      </c>
      <c r="N34" s="14">
        <f>المهني!EK46</f>
        <v>6</v>
      </c>
      <c r="O34" s="14">
        <f>المهني!ES46</f>
        <v>0</v>
      </c>
      <c r="P34" s="14">
        <f>المهني!ET46</f>
        <v>0</v>
      </c>
      <c r="Q34" s="14">
        <f t="shared" ref="Q34:R36" si="26">O34+M34+K34</f>
        <v>71</v>
      </c>
      <c r="R34" s="104">
        <f t="shared" si="26"/>
        <v>22</v>
      </c>
      <c r="S34" s="102">
        <f t="shared" si="1"/>
        <v>93</v>
      </c>
    </row>
    <row r="35" spans="1:19" ht="27" customHeight="1" thickTop="1" thickBot="1">
      <c r="A35" s="87"/>
      <c r="B35" s="390"/>
      <c r="C35" s="391"/>
      <c r="D35" s="15" t="s">
        <v>146</v>
      </c>
      <c r="E35" s="104">
        <f>المهني!DB46</f>
        <v>4</v>
      </c>
      <c r="F35" s="104">
        <f>المهني!DC46</f>
        <v>3</v>
      </c>
      <c r="G35" s="104">
        <f>F35+E35</f>
        <v>7</v>
      </c>
      <c r="H35" s="14">
        <f>المهني!DT46</f>
        <v>184</v>
      </c>
      <c r="I35" s="14">
        <f>المهني!DU46</f>
        <v>65</v>
      </c>
      <c r="J35" s="14">
        <f>I35+H35</f>
        <v>249</v>
      </c>
      <c r="K35" s="14">
        <f>المهني!EC46</f>
        <v>29</v>
      </c>
      <c r="L35" s="14">
        <f>المهني!ED46</f>
        <v>2</v>
      </c>
      <c r="M35" s="14">
        <f>المهني!EL46</f>
        <v>4</v>
      </c>
      <c r="N35" s="14">
        <f>المهني!EM46</f>
        <v>1</v>
      </c>
      <c r="O35" s="14">
        <f>المهني!EU46</f>
        <v>0</v>
      </c>
      <c r="P35" s="14">
        <f>المهني!EV46</f>
        <v>0</v>
      </c>
      <c r="Q35" s="14">
        <f t="shared" si="26"/>
        <v>33</v>
      </c>
      <c r="R35" s="104">
        <f t="shared" si="26"/>
        <v>3</v>
      </c>
      <c r="S35" s="102">
        <f t="shared" si="1"/>
        <v>36</v>
      </c>
    </row>
    <row r="36" spans="1:19" ht="27" customHeight="1" thickTop="1" thickBot="1">
      <c r="A36" s="87"/>
      <c r="B36" s="390"/>
      <c r="C36" s="391"/>
      <c r="D36" s="15" t="s">
        <v>147</v>
      </c>
      <c r="E36" s="104">
        <f>المهني!DD46</f>
        <v>14</v>
      </c>
      <c r="F36" s="104">
        <f>المهني!DE46</f>
        <v>2</v>
      </c>
      <c r="G36" s="104">
        <f>F36+E36</f>
        <v>16</v>
      </c>
      <c r="H36" s="14">
        <f>المهني!DV46</f>
        <v>277</v>
      </c>
      <c r="I36" s="14">
        <f>المهني!DW46</f>
        <v>117</v>
      </c>
      <c r="J36" s="14">
        <f>I36+H36</f>
        <v>394</v>
      </c>
      <c r="K36" s="14">
        <f>المهني!EE46</f>
        <v>81</v>
      </c>
      <c r="L36" s="14">
        <f>المهني!EF46</f>
        <v>7</v>
      </c>
      <c r="M36" s="14">
        <f>المهني!EN46</f>
        <v>12</v>
      </c>
      <c r="N36" s="14">
        <f>المهني!EO46</f>
        <v>1</v>
      </c>
      <c r="O36" s="14">
        <f>المهني!EW46</f>
        <v>14</v>
      </c>
      <c r="P36" s="14">
        <f>المهني!EX46</f>
        <v>0</v>
      </c>
      <c r="Q36" s="14">
        <f t="shared" si="26"/>
        <v>107</v>
      </c>
      <c r="R36" s="104">
        <f t="shared" si="26"/>
        <v>8</v>
      </c>
      <c r="S36" s="102">
        <f t="shared" si="1"/>
        <v>115</v>
      </c>
    </row>
    <row r="37" spans="1:19" ht="27" customHeight="1" thickTop="1" thickBot="1">
      <c r="A37" s="87"/>
      <c r="B37" s="392"/>
      <c r="C37" s="393"/>
      <c r="D37" s="15" t="s">
        <v>25</v>
      </c>
      <c r="E37" s="102">
        <f>E36+E35+E34</f>
        <v>24</v>
      </c>
      <c r="F37" s="102">
        <f>F36+F35+F34</f>
        <v>10</v>
      </c>
      <c r="G37" s="102">
        <f>G36+G35+G34</f>
        <v>34</v>
      </c>
      <c r="H37" s="14">
        <f t="shared" ref="H37:R37" si="27">SUM(H34:H36)</f>
        <v>711</v>
      </c>
      <c r="I37" s="14">
        <f t="shared" si="27"/>
        <v>391</v>
      </c>
      <c r="J37" s="14">
        <f t="shared" si="27"/>
        <v>1102</v>
      </c>
      <c r="K37" s="14">
        <f t="shared" si="27"/>
        <v>167</v>
      </c>
      <c r="L37" s="14">
        <f t="shared" si="27"/>
        <v>25</v>
      </c>
      <c r="M37" s="14">
        <f t="shared" si="27"/>
        <v>30</v>
      </c>
      <c r="N37" s="14">
        <f t="shared" si="27"/>
        <v>8</v>
      </c>
      <c r="O37" s="14">
        <f t="shared" si="27"/>
        <v>14</v>
      </c>
      <c r="P37" s="14">
        <f t="shared" si="27"/>
        <v>0</v>
      </c>
      <c r="Q37" s="14">
        <f t="shared" si="27"/>
        <v>211</v>
      </c>
      <c r="R37" s="14">
        <f t="shared" si="27"/>
        <v>33</v>
      </c>
      <c r="S37" s="102">
        <f t="shared" si="1"/>
        <v>244</v>
      </c>
    </row>
    <row r="38" spans="1:19" ht="27" customHeight="1" thickTop="1" thickBot="1">
      <c r="A38" s="87"/>
      <c r="B38" s="400" t="s">
        <v>139</v>
      </c>
      <c r="C38" s="401"/>
      <c r="D38" s="15" t="s">
        <v>145</v>
      </c>
      <c r="E38" s="102">
        <f>E22+E18+E14+E10+E34+E26+E30</f>
        <v>48</v>
      </c>
      <c r="F38" s="102">
        <f t="shared" ref="F38:S38" si="28">F22+F18+F14+F10+F34+F26+F30</f>
        <v>12</v>
      </c>
      <c r="G38" s="102">
        <f t="shared" si="28"/>
        <v>60</v>
      </c>
      <c r="H38" s="102">
        <f t="shared" si="28"/>
        <v>1009</v>
      </c>
      <c r="I38" s="102">
        <f t="shared" si="28"/>
        <v>509</v>
      </c>
      <c r="J38" s="102">
        <f t="shared" si="28"/>
        <v>1518</v>
      </c>
      <c r="K38" s="102">
        <f t="shared" si="28"/>
        <v>151</v>
      </c>
      <c r="L38" s="102">
        <f t="shared" si="28"/>
        <v>32</v>
      </c>
      <c r="M38" s="102">
        <f t="shared" si="28"/>
        <v>46</v>
      </c>
      <c r="N38" s="102">
        <f t="shared" si="28"/>
        <v>20</v>
      </c>
      <c r="O38" s="102">
        <f t="shared" si="28"/>
        <v>0</v>
      </c>
      <c r="P38" s="102">
        <f t="shared" si="28"/>
        <v>4</v>
      </c>
      <c r="Q38" s="102">
        <f t="shared" si="28"/>
        <v>197</v>
      </c>
      <c r="R38" s="102">
        <f t="shared" si="28"/>
        <v>56</v>
      </c>
      <c r="S38" s="102">
        <f t="shared" si="28"/>
        <v>253</v>
      </c>
    </row>
    <row r="39" spans="1:19" ht="27" customHeight="1" thickTop="1" thickBot="1">
      <c r="A39" s="87"/>
      <c r="B39" s="402"/>
      <c r="C39" s="403"/>
      <c r="D39" s="15" t="s">
        <v>146</v>
      </c>
      <c r="E39" s="102">
        <f t="shared" ref="E39:S39" si="29">E23+E19+E15+E11+E35+E27+E31</f>
        <v>20</v>
      </c>
      <c r="F39" s="102">
        <f t="shared" si="29"/>
        <v>14</v>
      </c>
      <c r="G39" s="102">
        <f t="shared" si="29"/>
        <v>34</v>
      </c>
      <c r="H39" s="102">
        <f t="shared" si="29"/>
        <v>537</v>
      </c>
      <c r="I39" s="102">
        <f t="shared" si="29"/>
        <v>310</v>
      </c>
      <c r="J39" s="102">
        <f t="shared" si="29"/>
        <v>847</v>
      </c>
      <c r="K39" s="102">
        <f t="shared" si="29"/>
        <v>61</v>
      </c>
      <c r="L39" s="102">
        <f t="shared" si="29"/>
        <v>8</v>
      </c>
      <c r="M39" s="102">
        <f t="shared" si="29"/>
        <v>15</v>
      </c>
      <c r="N39" s="102">
        <f t="shared" si="29"/>
        <v>11</v>
      </c>
      <c r="O39" s="102">
        <f t="shared" si="29"/>
        <v>0</v>
      </c>
      <c r="P39" s="102">
        <f t="shared" si="29"/>
        <v>0</v>
      </c>
      <c r="Q39" s="102">
        <f t="shared" si="29"/>
        <v>76</v>
      </c>
      <c r="R39" s="102">
        <f t="shared" si="29"/>
        <v>19</v>
      </c>
      <c r="S39" s="102">
        <f t="shared" si="29"/>
        <v>95</v>
      </c>
    </row>
    <row r="40" spans="1:19" ht="27" customHeight="1" thickTop="1" thickBot="1">
      <c r="A40" s="87"/>
      <c r="B40" s="402"/>
      <c r="C40" s="403"/>
      <c r="D40" s="15" t="s">
        <v>147</v>
      </c>
      <c r="E40" s="102">
        <f t="shared" ref="E40:S40" si="30">E24+E20+E16+E12+E36+E28+E32</f>
        <v>43</v>
      </c>
      <c r="F40" s="102">
        <f t="shared" si="30"/>
        <v>6</v>
      </c>
      <c r="G40" s="102">
        <f t="shared" si="30"/>
        <v>49</v>
      </c>
      <c r="H40" s="102">
        <f t="shared" si="30"/>
        <v>778</v>
      </c>
      <c r="I40" s="102">
        <f t="shared" si="30"/>
        <v>343</v>
      </c>
      <c r="J40" s="102">
        <f t="shared" si="30"/>
        <v>1121</v>
      </c>
      <c r="K40" s="102">
        <f t="shared" si="30"/>
        <v>248</v>
      </c>
      <c r="L40" s="102">
        <f t="shared" si="30"/>
        <v>17</v>
      </c>
      <c r="M40" s="102">
        <f t="shared" si="30"/>
        <v>45</v>
      </c>
      <c r="N40" s="102">
        <f t="shared" si="30"/>
        <v>1</v>
      </c>
      <c r="O40" s="102">
        <f t="shared" si="30"/>
        <v>43</v>
      </c>
      <c r="P40" s="102">
        <f t="shared" si="30"/>
        <v>2</v>
      </c>
      <c r="Q40" s="102">
        <f t="shared" si="30"/>
        <v>336</v>
      </c>
      <c r="R40" s="102">
        <f t="shared" si="30"/>
        <v>20</v>
      </c>
      <c r="S40" s="102">
        <f t="shared" si="30"/>
        <v>356</v>
      </c>
    </row>
    <row r="41" spans="1:19" ht="27" customHeight="1" thickTop="1" thickBot="1">
      <c r="A41" s="87"/>
      <c r="B41" s="404"/>
      <c r="C41" s="405"/>
      <c r="D41" s="15" t="s">
        <v>25</v>
      </c>
      <c r="E41" s="102">
        <f t="shared" ref="E41:S41" si="31">E25+E21+E17+E13+E37+E29+E33</f>
        <v>111</v>
      </c>
      <c r="F41" s="102">
        <f t="shared" si="31"/>
        <v>32</v>
      </c>
      <c r="G41" s="102">
        <f t="shared" si="31"/>
        <v>143</v>
      </c>
      <c r="H41" s="102">
        <f t="shared" si="31"/>
        <v>2324</v>
      </c>
      <c r="I41" s="102">
        <f t="shared" si="31"/>
        <v>1162</v>
      </c>
      <c r="J41" s="102">
        <f t="shared" si="31"/>
        <v>3486</v>
      </c>
      <c r="K41" s="102">
        <f t="shared" si="31"/>
        <v>460</v>
      </c>
      <c r="L41" s="102">
        <f t="shared" si="31"/>
        <v>57</v>
      </c>
      <c r="M41" s="102">
        <f t="shared" si="31"/>
        <v>106</v>
      </c>
      <c r="N41" s="102">
        <f t="shared" si="31"/>
        <v>32</v>
      </c>
      <c r="O41" s="102">
        <f t="shared" si="31"/>
        <v>43</v>
      </c>
      <c r="P41" s="102">
        <f t="shared" si="31"/>
        <v>6</v>
      </c>
      <c r="Q41" s="102">
        <f t="shared" si="31"/>
        <v>609</v>
      </c>
      <c r="R41" s="102">
        <f t="shared" si="31"/>
        <v>95</v>
      </c>
      <c r="S41" s="102">
        <f t="shared" si="31"/>
        <v>704</v>
      </c>
    </row>
    <row r="42" spans="1:19" ht="27" customHeight="1" thickTop="1"/>
    <row r="44" spans="1:19" ht="27" customHeight="1">
      <c r="A44" s="328" t="s">
        <v>148</v>
      </c>
      <c r="B44" s="328"/>
      <c r="C44" s="328"/>
      <c r="D44" s="328"/>
      <c r="E44" s="328"/>
      <c r="F44" s="86"/>
      <c r="G44" s="86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328" t="s">
        <v>112</v>
      </c>
      <c r="S44" s="328"/>
    </row>
    <row r="45" spans="1:19" ht="27" customHeight="1">
      <c r="A45" s="334" t="s">
        <v>188</v>
      </c>
      <c r="B45" s="334"/>
      <c r="C45" s="334"/>
      <c r="D45" s="334"/>
      <c r="E45" s="334"/>
      <c r="F45" s="87"/>
      <c r="G45" s="87"/>
      <c r="H45" s="87"/>
      <c r="I45" s="334" t="s">
        <v>192</v>
      </c>
      <c r="J45" s="334"/>
      <c r="K45" s="334"/>
      <c r="L45" s="334"/>
      <c r="M45" s="87"/>
      <c r="N45" s="87"/>
      <c r="O45" s="87"/>
      <c r="P45" s="87"/>
      <c r="Q45" s="87"/>
      <c r="R45" s="87"/>
      <c r="S45" s="87"/>
    </row>
    <row r="46" spans="1:19" ht="27" customHeight="1">
      <c r="A46" s="87"/>
      <c r="B46" s="328" t="s">
        <v>149</v>
      </c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</row>
    <row r="47" spans="1:19" ht="27" customHeight="1">
      <c r="A47" s="87"/>
      <c r="B47" s="328" t="s">
        <v>533</v>
      </c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</row>
    <row r="48" spans="1:19" ht="27" customHeight="1">
      <c r="A48" s="87"/>
      <c r="B48" s="329" t="s">
        <v>512</v>
      </c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</row>
    <row r="49" spans="1:19" ht="27" customHeight="1" thickBot="1">
      <c r="A49" s="87"/>
      <c r="B49" s="90"/>
      <c r="C49" s="90"/>
      <c r="D49" s="90"/>
      <c r="E49" s="90"/>
      <c r="F49" s="90"/>
      <c r="G49" s="90"/>
      <c r="H49" s="90"/>
      <c r="I49" s="90"/>
      <c r="J49" s="90"/>
      <c r="K49" s="99"/>
      <c r="L49" s="99"/>
      <c r="M49" s="99"/>
      <c r="N49" s="99"/>
      <c r="O49" s="86"/>
      <c r="P49" s="87"/>
      <c r="Q49" s="87"/>
      <c r="R49" s="87"/>
      <c r="S49" s="87"/>
    </row>
    <row r="50" spans="1:19" ht="27" customHeight="1" thickTop="1" thickBot="1">
      <c r="A50" s="87"/>
      <c r="B50" s="355" t="s">
        <v>115</v>
      </c>
      <c r="C50" s="357"/>
      <c r="D50" s="337" t="s">
        <v>142</v>
      </c>
      <c r="E50" s="324" t="s">
        <v>539</v>
      </c>
      <c r="F50" s="406"/>
      <c r="G50" s="325"/>
      <c r="H50" s="324" t="s">
        <v>513</v>
      </c>
      <c r="I50" s="406"/>
      <c r="J50" s="325"/>
      <c r="K50" s="331" t="s">
        <v>514</v>
      </c>
      <c r="L50" s="332"/>
      <c r="M50" s="332"/>
      <c r="N50" s="332"/>
      <c r="O50" s="332"/>
      <c r="P50" s="332"/>
      <c r="Q50" s="332"/>
      <c r="R50" s="332"/>
      <c r="S50" s="333"/>
    </row>
    <row r="51" spans="1:19" ht="27" customHeight="1" thickTop="1" thickBot="1">
      <c r="A51" s="87"/>
      <c r="B51" s="386"/>
      <c r="C51" s="387"/>
      <c r="D51" s="337"/>
      <c r="E51" s="326"/>
      <c r="F51" s="407"/>
      <c r="G51" s="327"/>
      <c r="H51" s="326"/>
      <c r="I51" s="407"/>
      <c r="J51" s="327"/>
      <c r="K51" s="331" t="s">
        <v>150</v>
      </c>
      <c r="L51" s="333"/>
      <c r="M51" s="331" t="s">
        <v>151</v>
      </c>
      <c r="N51" s="333"/>
      <c r="O51" s="331" t="s">
        <v>152</v>
      </c>
      <c r="P51" s="333"/>
      <c r="Q51" s="331" t="s">
        <v>153</v>
      </c>
      <c r="R51" s="332"/>
      <c r="S51" s="333"/>
    </row>
    <row r="52" spans="1:19" ht="27" customHeight="1" thickTop="1" thickBot="1">
      <c r="A52" s="87"/>
      <c r="B52" s="358"/>
      <c r="C52" s="360"/>
      <c r="D52" s="337"/>
      <c r="E52" s="14" t="s">
        <v>5</v>
      </c>
      <c r="F52" s="14" t="s">
        <v>6</v>
      </c>
      <c r="G52" s="14" t="s">
        <v>25</v>
      </c>
      <c r="H52" s="14" t="s">
        <v>5</v>
      </c>
      <c r="I52" s="14" t="s">
        <v>6</v>
      </c>
      <c r="J52" s="14" t="s">
        <v>25</v>
      </c>
      <c r="K52" s="96" t="s">
        <v>5</v>
      </c>
      <c r="L52" s="96" t="s">
        <v>6</v>
      </c>
      <c r="M52" s="96" t="s">
        <v>5</v>
      </c>
      <c r="N52" s="96" t="s">
        <v>6</v>
      </c>
      <c r="O52" s="96" t="s">
        <v>5</v>
      </c>
      <c r="P52" s="96" t="s">
        <v>6</v>
      </c>
      <c r="Q52" s="96" t="s">
        <v>5</v>
      </c>
      <c r="R52" s="96" t="s">
        <v>6</v>
      </c>
      <c r="S52" s="14" t="s">
        <v>25</v>
      </c>
    </row>
    <row r="53" spans="1:19" ht="27" customHeight="1" thickTop="1" thickBot="1">
      <c r="A53" s="87"/>
      <c r="B53" s="394" t="s">
        <v>123</v>
      </c>
      <c r="C53" s="395"/>
      <c r="D53" s="15" t="s">
        <v>145</v>
      </c>
      <c r="E53" s="102">
        <f>المهني!CZ12</f>
        <v>24</v>
      </c>
      <c r="F53" s="102">
        <f>المهني!DA12</f>
        <v>1</v>
      </c>
      <c r="G53" s="102">
        <f>F53+E53</f>
        <v>25</v>
      </c>
      <c r="H53" s="102">
        <f>المهني!DR12</f>
        <v>396</v>
      </c>
      <c r="I53" s="102">
        <f>المهني!DS12</f>
        <v>137</v>
      </c>
      <c r="J53" s="102">
        <f t="shared" ref="J53:J67" si="32">I53+H53</f>
        <v>533</v>
      </c>
      <c r="K53" s="102">
        <f>المهني!EA12</f>
        <v>69</v>
      </c>
      <c r="L53" s="102">
        <f>المهني!EB12</f>
        <v>3</v>
      </c>
      <c r="M53" s="102">
        <f>المهني!EJ12</f>
        <v>22</v>
      </c>
      <c r="N53" s="102">
        <f>المهني!EK12</f>
        <v>3</v>
      </c>
      <c r="O53" s="102">
        <f>المهني!ES12</f>
        <v>0</v>
      </c>
      <c r="P53" s="102">
        <f>المهني!ET12</f>
        <v>0</v>
      </c>
      <c r="Q53" s="102">
        <f t="shared" ref="Q53:R55" si="33">O53+M53+K53</f>
        <v>91</v>
      </c>
      <c r="R53" s="102">
        <f t="shared" si="33"/>
        <v>6</v>
      </c>
      <c r="S53" s="102">
        <f>R53+Q53</f>
        <v>97</v>
      </c>
    </row>
    <row r="54" spans="1:19" ht="27" customHeight="1" thickTop="1" thickBot="1">
      <c r="A54" s="87"/>
      <c r="B54" s="396"/>
      <c r="C54" s="397"/>
      <c r="D54" s="15" t="s">
        <v>146</v>
      </c>
      <c r="E54" s="102">
        <f>المهني!DB12</f>
        <v>10</v>
      </c>
      <c r="F54" s="102">
        <f>المهني!DC12</f>
        <v>4</v>
      </c>
      <c r="G54" s="102">
        <f>F54+E54</f>
        <v>14</v>
      </c>
      <c r="H54" s="102">
        <f>المهني!DT12</f>
        <v>201</v>
      </c>
      <c r="I54" s="102">
        <f>المهني!DU12</f>
        <v>116</v>
      </c>
      <c r="J54" s="102">
        <f t="shared" si="32"/>
        <v>317</v>
      </c>
      <c r="K54" s="102">
        <f>المهني!EC12</f>
        <v>24</v>
      </c>
      <c r="L54" s="102">
        <f>المهني!ED12</f>
        <v>2</v>
      </c>
      <c r="M54" s="102">
        <f>المهني!EL12</f>
        <v>7</v>
      </c>
      <c r="N54" s="102">
        <f>المهني!EM12</f>
        <v>2</v>
      </c>
      <c r="O54" s="105">
        <f>المهني!EU12</f>
        <v>0</v>
      </c>
      <c r="P54" s="105">
        <f>المهني!EV12</f>
        <v>0</v>
      </c>
      <c r="Q54" s="102">
        <f t="shared" si="33"/>
        <v>31</v>
      </c>
      <c r="R54" s="102">
        <f t="shared" si="33"/>
        <v>4</v>
      </c>
      <c r="S54" s="102">
        <f>R54+Q54</f>
        <v>35</v>
      </c>
    </row>
    <row r="55" spans="1:19" ht="27" customHeight="1" thickTop="1" thickBot="1">
      <c r="A55" s="87"/>
      <c r="B55" s="396"/>
      <c r="C55" s="397"/>
      <c r="D55" s="15" t="s">
        <v>147</v>
      </c>
      <c r="E55" s="102">
        <f>المهني!DD12</f>
        <v>5</v>
      </c>
      <c r="F55" s="102">
        <f>المهني!DE12</f>
        <v>1</v>
      </c>
      <c r="G55" s="102">
        <f>F55+E55</f>
        <v>6</v>
      </c>
      <c r="H55" s="102">
        <f>المهني!DV12</f>
        <v>258</v>
      </c>
      <c r="I55" s="102">
        <f>المهني!DW12</f>
        <v>102</v>
      </c>
      <c r="J55" s="102">
        <f t="shared" si="32"/>
        <v>360</v>
      </c>
      <c r="K55" s="102">
        <f>المهني!EE12</f>
        <v>91</v>
      </c>
      <c r="L55" s="102">
        <f>المهني!EF12</f>
        <v>8</v>
      </c>
      <c r="M55" s="102">
        <f>المهني!EN12</f>
        <v>28</v>
      </c>
      <c r="N55" s="102">
        <f>المهني!EO12</f>
        <v>0</v>
      </c>
      <c r="O55" s="102">
        <f>المهني!EW12</f>
        <v>29</v>
      </c>
      <c r="P55" s="105">
        <f>المهني!EX12</f>
        <v>1</v>
      </c>
      <c r="Q55" s="102">
        <f t="shared" si="33"/>
        <v>148</v>
      </c>
      <c r="R55" s="102">
        <f t="shared" si="33"/>
        <v>9</v>
      </c>
      <c r="S55" s="102">
        <f>R55+Q55</f>
        <v>157</v>
      </c>
    </row>
    <row r="56" spans="1:19" ht="27" customHeight="1" thickTop="1" thickBot="1">
      <c r="A56" s="87"/>
      <c r="B56" s="398"/>
      <c r="C56" s="399"/>
      <c r="D56" s="15" t="s">
        <v>25</v>
      </c>
      <c r="E56" s="102">
        <f>E55+E54+E53</f>
        <v>39</v>
      </c>
      <c r="F56" s="102">
        <f>F55+F54+F53</f>
        <v>6</v>
      </c>
      <c r="G56" s="102">
        <f>G55+G54+G53</f>
        <v>45</v>
      </c>
      <c r="H56" s="102">
        <f>H55+H54+H53</f>
        <v>855</v>
      </c>
      <c r="I56" s="102">
        <f>I55+I54+I53</f>
        <v>355</v>
      </c>
      <c r="J56" s="102">
        <f t="shared" si="32"/>
        <v>1210</v>
      </c>
      <c r="K56" s="102">
        <f t="shared" ref="K56:S56" si="34">K55+K54+K53</f>
        <v>184</v>
      </c>
      <c r="L56" s="102">
        <f t="shared" si="34"/>
        <v>13</v>
      </c>
      <c r="M56" s="102">
        <f t="shared" si="34"/>
        <v>57</v>
      </c>
      <c r="N56" s="102">
        <f t="shared" si="34"/>
        <v>5</v>
      </c>
      <c r="O56" s="102">
        <f t="shared" si="34"/>
        <v>29</v>
      </c>
      <c r="P56" s="102">
        <f t="shared" si="34"/>
        <v>1</v>
      </c>
      <c r="Q56" s="102">
        <f t="shared" si="34"/>
        <v>270</v>
      </c>
      <c r="R56" s="102">
        <f t="shared" si="34"/>
        <v>19</v>
      </c>
      <c r="S56" s="102">
        <f t="shared" si="34"/>
        <v>289</v>
      </c>
    </row>
    <row r="57" spans="1:19" ht="27" customHeight="1" thickTop="1" thickBot="1">
      <c r="A57" s="87"/>
      <c r="B57" s="394" t="s">
        <v>124</v>
      </c>
      <c r="C57" s="395"/>
      <c r="D57" s="15" t="s">
        <v>145</v>
      </c>
      <c r="E57" s="105">
        <v>0</v>
      </c>
      <c r="F57" s="105">
        <v>0</v>
      </c>
      <c r="G57" s="102">
        <f>F57+E57</f>
        <v>0</v>
      </c>
      <c r="H57" s="105">
        <v>0</v>
      </c>
      <c r="I57" s="105">
        <v>0</v>
      </c>
      <c r="J57" s="102">
        <f t="shared" si="32"/>
        <v>0</v>
      </c>
      <c r="K57" s="105">
        <v>0</v>
      </c>
      <c r="L57" s="105">
        <v>0</v>
      </c>
      <c r="M57" s="105">
        <v>0</v>
      </c>
      <c r="N57" s="105">
        <v>0</v>
      </c>
      <c r="O57" s="105">
        <v>0</v>
      </c>
      <c r="P57" s="105">
        <v>0</v>
      </c>
      <c r="Q57" s="102">
        <f t="shared" ref="Q57:R59" si="35">O57+M57+K57</f>
        <v>0</v>
      </c>
      <c r="R57" s="102">
        <f t="shared" si="35"/>
        <v>0</v>
      </c>
      <c r="S57" s="102">
        <f>R57+Q57</f>
        <v>0</v>
      </c>
    </row>
    <row r="58" spans="1:19" ht="27" customHeight="1" thickTop="1" thickBot="1">
      <c r="A58" s="87"/>
      <c r="B58" s="396"/>
      <c r="C58" s="397"/>
      <c r="D58" s="15" t="s">
        <v>146</v>
      </c>
      <c r="E58" s="105">
        <v>0</v>
      </c>
      <c r="F58" s="105">
        <v>0</v>
      </c>
      <c r="G58" s="102">
        <f>F58+E58</f>
        <v>0</v>
      </c>
      <c r="H58" s="105">
        <v>0</v>
      </c>
      <c r="I58" s="105">
        <v>0</v>
      </c>
      <c r="J58" s="102">
        <f t="shared" si="32"/>
        <v>0</v>
      </c>
      <c r="K58" s="105">
        <v>0</v>
      </c>
      <c r="L58" s="105">
        <v>0</v>
      </c>
      <c r="M58" s="105">
        <v>0</v>
      </c>
      <c r="N58" s="105">
        <v>0</v>
      </c>
      <c r="O58" s="105">
        <v>0</v>
      </c>
      <c r="P58" s="105">
        <v>0</v>
      </c>
      <c r="Q58" s="102">
        <f t="shared" si="35"/>
        <v>0</v>
      </c>
      <c r="R58" s="102">
        <f t="shared" si="35"/>
        <v>0</v>
      </c>
      <c r="S58" s="102">
        <f>R58+Q58</f>
        <v>0</v>
      </c>
    </row>
    <row r="59" spans="1:19" ht="27" customHeight="1" thickTop="1" thickBot="1">
      <c r="A59" s="87"/>
      <c r="B59" s="396"/>
      <c r="C59" s="397"/>
      <c r="D59" s="15" t="s">
        <v>147</v>
      </c>
      <c r="E59" s="105">
        <v>0</v>
      </c>
      <c r="F59" s="105">
        <v>0</v>
      </c>
      <c r="G59" s="102">
        <f>F59+E59</f>
        <v>0</v>
      </c>
      <c r="H59" s="105">
        <v>0</v>
      </c>
      <c r="I59" s="105">
        <v>0</v>
      </c>
      <c r="J59" s="102">
        <f t="shared" si="32"/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2">
        <f t="shared" si="35"/>
        <v>0</v>
      </c>
      <c r="R59" s="102">
        <f t="shared" si="35"/>
        <v>0</v>
      </c>
      <c r="S59" s="102">
        <f>R59+Q59</f>
        <v>0</v>
      </c>
    </row>
    <row r="60" spans="1:19" ht="27" customHeight="1" thickTop="1" thickBot="1">
      <c r="A60" s="87"/>
      <c r="B60" s="398"/>
      <c r="C60" s="399"/>
      <c r="D60" s="15" t="s">
        <v>25</v>
      </c>
      <c r="E60" s="102">
        <f>E59+E58+E57</f>
        <v>0</v>
      </c>
      <c r="F60" s="102">
        <f>F59+F58+F57</f>
        <v>0</v>
      </c>
      <c r="G60" s="102">
        <f>G59+G58+G57</f>
        <v>0</v>
      </c>
      <c r="H60" s="102">
        <f>H59+H58+H57</f>
        <v>0</v>
      </c>
      <c r="I60" s="102">
        <f>I59+I58+I57</f>
        <v>0</v>
      </c>
      <c r="J60" s="102">
        <f t="shared" si="32"/>
        <v>0</v>
      </c>
      <c r="K60" s="102">
        <f t="shared" ref="K60:S60" si="36">K59+K58+K57</f>
        <v>0</v>
      </c>
      <c r="L60" s="102">
        <f t="shared" si="36"/>
        <v>0</v>
      </c>
      <c r="M60" s="102">
        <f t="shared" si="36"/>
        <v>0</v>
      </c>
      <c r="N60" s="102">
        <f t="shared" si="36"/>
        <v>0</v>
      </c>
      <c r="O60" s="102">
        <f t="shared" si="36"/>
        <v>0</v>
      </c>
      <c r="P60" s="102">
        <f t="shared" si="36"/>
        <v>0</v>
      </c>
      <c r="Q60" s="102">
        <f t="shared" si="36"/>
        <v>0</v>
      </c>
      <c r="R60" s="102">
        <f t="shared" si="36"/>
        <v>0</v>
      </c>
      <c r="S60" s="102">
        <f t="shared" si="36"/>
        <v>0</v>
      </c>
    </row>
    <row r="61" spans="1:19" ht="27" customHeight="1" thickTop="1" thickBot="1">
      <c r="A61" s="87"/>
      <c r="B61" s="394" t="s">
        <v>125</v>
      </c>
      <c r="C61" s="395"/>
      <c r="D61" s="15" t="s">
        <v>145</v>
      </c>
      <c r="E61" s="102">
        <f>المهني!CZ26</f>
        <v>4</v>
      </c>
      <c r="F61" s="102">
        <f>المهني!DA26</f>
        <v>3</v>
      </c>
      <c r="G61" s="102">
        <f>F61+E61</f>
        <v>7</v>
      </c>
      <c r="H61" s="102">
        <f>المهني!DR26</f>
        <v>87</v>
      </c>
      <c r="I61" s="102">
        <f>المهني!DS26</f>
        <v>57</v>
      </c>
      <c r="J61" s="102">
        <f t="shared" si="32"/>
        <v>144</v>
      </c>
      <c r="K61" s="102">
        <f>المهني!EA26</f>
        <v>14</v>
      </c>
      <c r="L61" s="102">
        <f>المهني!EB26</f>
        <v>13</v>
      </c>
      <c r="M61" s="102">
        <f>المهني!EJ26</f>
        <v>4</v>
      </c>
      <c r="N61" s="102">
        <f>المهني!EK26</f>
        <v>2</v>
      </c>
      <c r="O61" s="105">
        <f>المهني!ES26</f>
        <v>0</v>
      </c>
      <c r="P61" s="105">
        <f>المهني!ET26</f>
        <v>0</v>
      </c>
      <c r="Q61" s="102">
        <f t="shared" ref="Q61:R63" si="37">O61+M61+K61</f>
        <v>18</v>
      </c>
      <c r="R61" s="102">
        <f t="shared" si="37"/>
        <v>15</v>
      </c>
      <c r="S61" s="102">
        <f>R61+Q61</f>
        <v>33</v>
      </c>
    </row>
    <row r="62" spans="1:19" ht="27" customHeight="1" thickTop="1" thickBot="1">
      <c r="A62" s="87"/>
      <c r="B62" s="396"/>
      <c r="C62" s="397"/>
      <c r="D62" s="15" t="s">
        <v>146</v>
      </c>
      <c r="E62" s="102">
        <f>المهني!DB26</f>
        <v>2</v>
      </c>
      <c r="F62" s="102">
        <f>المهني!DC26</f>
        <v>2</v>
      </c>
      <c r="G62" s="102">
        <f>F62+E62</f>
        <v>4</v>
      </c>
      <c r="H62" s="102">
        <f>المهني!DT26</f>
        <v>35</v>
      </c>
      <c r="I62" s="102">
        <f>المهني!DU26</f>
        <v>42</v>
      </c>
      <c r="J62" s="102">
        <f t="shared" si="32"/>
        <v>77</v>
      </c>
      <c r="K62" s="102">
        <f>المهني!EC26</f>
        <v>1</v>
      </c>
      <c r="L62" s="102">
        <f>المهني!ED26</f>
        <v>4</v>
      </c>
      <c r="M62" s="102">
        <f>المهني!EL26</f>
        <v>3</v>
      </c>
      <c r="N62" s="102">
        <f>المهني!EM26</f>
        <v>6</v>
      </c>
      <c r="O62" s="105">
        <f>المهني!EU26</f>
        <v>0</v>
      </c>
      <c r="P62" s="105">
        <f>المهني!EV26</f>
        <v>0</v>
      </c>
      <c r="Q62" s="102">
        <f t="shared" si="37"/>
        <v>4</v>
      </c>
      <c r="R62" s="102">
        <f t="shared" si="37"/>
        <v>10</v>
      </c>
      <c r="S62" s="102">
        <f>R62+Q62</f>
        <v>14</v>
      </c>
    </row>
    <row r="63" spans="1:19" ht="27" customHeight="1" thickTop="1" thickBot="1">
      <c r="A63" s="87"/>
      <c r="B63" s="396"/>
      <c r="C63" s="397"/>
      <c r="D63" s="15" t="s">
        <v>147</v>
      </c>
      <c r="E63" s="102">
        <f>المهني!DD26</f>
        <v>10</v>
      </c>
      <c r="F63" s="102">
        <f>المهني!DE26</f>
        <v>3</v>
      </c>
      <c r="G63" s="102">
        <f>F63+E63</f>
        <v>13</v>
      </c>
      <c r="H63" s="102">
        <f>المهني!DV26</f>
        <v>130</v>
      </c>
      <c r="I63" s="102">
        <f>المهني!DW26</f>
        <v>41</v>
      </c>
      <c r="J63" s="102">
        <f t="shared" si="32"/>
        <v>171</v>
      </c>
      <c r="K63" s="102">
        <f>المهني!EE26</f>
        <v>38</v>
      </c>
      <c r="L63" s="102">
        <f>المهني!EF26</f>
        <v>1</v>
      </c>
      <c r="M63" s="102">
        <f>المهني!EN26</f>
        <v>0</v>
      </c>
      <c r="N63" s="102">
        <f>المهني!EO26</f>
        <v>0</v>
      </c>
      <c r="O63" s="105">
        <f>المهني!EW26</f>
        <v>0</v>
      </c>
      <c r="P63" s="105">
        <f>المهني!EX26</f>
        <v>0</v>
      </c>
      <c r="Q63" s="102">
        <f t="shared" si="37"/>
        <v>38</v>
      </c>
      <c r="R63" s="102">
        <f t="shared" si="37"/>
        <v>1</v>
      </c>
      <c r="S63" s="102">
        <f>R63+Q63</f>
        <v>39</v>
      </c>
    </row>
    <row r="64" spans="1:19" ht="27" customHeight="1" thickTop="1" thickBot="1">
      <c r="A64" s="87"/>
      <c r="B64" s="398"/>
      <c r="C64" s="399"/>
      <c r="D64" s="15" t="s">
        <v>25</v>
      </c>
      <c r="E64" s="102">
        <f>E63+E62+E61</f>
        <v>16</v>
      </c>
      <c r="F64" s="102">
        <f>F63+F62+F61</f>
        <v>8</v>
      </c>
      <c r="G64" s="102">
        <f>G63+G62+G61</f>
        <v>24</v>
      </c>
      <c r="H64" s="102">
        <f>H63+H62+H61</f>
        <v>252</v>
      </c>
      <c r="I64" s="102">
        <f>I63+I62+I61</f>
        <v>140</v>
      </c>
      <c r="J64" s="102">
        <f t="shared" si="32"/>
        <v>392</v>
      </c>
      <c r="K64" s="102">
        <f t="shared" ref="K64:S64" si="38">K63+K62+K61</f>
        <v>53</v>
      </c>
      <c r="L64" s="102">
        <f t="shared" si="38"/>
        <v>18</v>
      </c>
      <c r="M64" s="102">
        <f t="shared" si="38"/>
        <v>7</v>
      </c>
      <c r="N64" s="102">
        <f t="shared" si="38"/>
        <v>8</v>
      </c>
      <c r="O64" s="102">
        <f t="shared" si="38"/>
        <v>0</v>
      </c>
      <c r="P64" s="102">
        <f t="shared" si="38"/>
        <v>0</v>
      </c>
      <c r="Q64" s="102">
        <f t="shared" si="38"/>
        <v>60</v>
      </c>
      <c r="R64" s="102">
        <f t="shared" si="38"/>
        <v>26</v>
      </c>
      <c r="S64" s="102">
        <f t="shared" si="38"/>
        <v>86</v>
      </c>
    </row>
    <row r="65" spans="1:19" ht="27" customHeight="1" thickTop="1" thickBot="1">
      <c r="A65" s="87"/>
      <c r="B65" s="394" t="s">
        <v>216</v>
      </c>
      <c r="C65" s="395"/>
      <c r="D65" s="15" t="s">
        <v>145</v>
      </c>
      <c r="E65" s="106">
        <v>0</v>
      </c>
      <c r="F65" s="104">
        <f>المهني!DA34</f>
        <v>3</v>
      </c>
      <c r="G65" s="102">
        <f>F65+E65</f>
        <v>3</v>
      </c>
      <c r="H65" s="106"/>
      <c r="I65" s="104">
        <f>المهني!DS34</f>
        <v>84</v>
      </c>
      <c r="J65" s="102">
        <f t="shared" si="32"/>
        <v>84</v>
      </c>
      <c r="K65" s="106"/>
      <c r="L65" s="104">
        <f>المهني!EB35</f>
        <v>4</v>
      </c>
      <c r="M65" s="106"/>
      <c r="N65" s="104">
        <f>المهني!EK35</f>
        <v>5</v>
      </c>
      <c r="O65" s="106"/>
      <c r="P65" s="104">
        <f>المهني!ET35</f>
        <v>0</v>
      </c>
      <c r="Q65" s="106"/>
      <c r="R65" s="102">
        <f>P65+N65+L65</f>
        <v>9</v>
      </c>
      <c r="S65" s="102">
        <f>R65+Q65</f>
        <v>9</v>
      </c>
    </row>
    <row r="66" spans="1:19" ht="27" customHeight="1" thickTop="1" thickBot="1">
      <c r="A66" s="87"/>
      <c r="B66" s="396"/>
      <c r="C66" s="397"/>
      <c r="D66" s="15" t="s">
        <v>146</v>
      </c>
      <c r="E66" s="106">
        <v>0</v>
      </c>
      <c r="F66" s="104">
        <v>0</v>
      </c>
      <c r="G66" s="102">
        <f>F66+E66</f>
        <v>0</v>
      </c>
      <c r="H66" s="106"/>
      <c r="I66" s="104">
        <f>المهني!DU35</f>
        <v>66</v>
      </c>
      <c r="J66" s="102">
        <f t="shared" si="32"/>
        <v>66</v>
      </c>
      <c r="K66" s="106"/>
      <c r="L66" s="104">
        <f>المهني!ED35</f>
        <v>5</v>
      </c>
      <c r="M66" s="106"/>
      <c r="N66" s="104">
        <f>المهني!EM35</f>
        <v>2</v>
      </c>
      <c r="O66" s="106"/>
      <c r="P66" s="104">
        <f>المهني!EV35</f>
        <v>0</v>
      </c>
      <c r="Q66" s="106"/>
      <c r="R66" s="102">
        <f>P66+N66+L66</f>
        <v>7</v>
      </c>
      <c r="S66" s="102">
        <f>R66+Q66</f>
        <v>7</v>
      </c>
    </row>
    <row r="67" spans="1:19" ht="27" customHeight="1" thickTop="1" thickBot="1">
      <c r="A67" s="87"/>
      <c r="B67" s="396"/>
      <c r="C67" s="397"/>
      <c r="D67" s="15" t="s">
        <v>147</v>
      </c>
      <c r="E67" s="106">
        <v>0</v>
      </c>
      <c r="F67" s="104">
        <v>0</v>
      </c>
      <c r="G67" s="102">
        <f>F67+E67</f>
        <v>0</v>
      </c>
      <c r="H67" s="106"/>
      <c r="I67" s="104">
        <f>المهني!DW35</f>
        <v>60</v>
      </c>
      <c r="J67" s="102">
        <f t="shared" si="32"/>
        <v>60</v>
      </c>
      <c r="K67" s="106"/>
      <c r="L67" s="104">
        <f>المهني!EF35</f>
        <v>4</v>
      </c>
      <c r="M67" s="106"/>
      <c r="N67" s="104">
        <f>المهني!EO35</f>
        <v>0</v>
      </c>
      <c r="O67" s="106"/>
      <c r="P67" s="104">
        <f>المهني!EX35</f>
        <v>1</v>
      </c>
      <c r="Q67" s="106"/>
      <c r="R67" s="102">
        <f>P67+N67+L67</f>
        <v>5</v>
      </c>
      <c r="S67" s="102">
        <f>R67+Q67</f>
        <v>5</v>
      </c>
    </row>
    <row r="68" spans="1:19" ht="27" customHeight="1" thickTop="1" thickBot="1">
      <c r="A68" s="87"/>
      <c r="B68" s="398"/>
      <c r="C68" s="399"/>
      <c r="D68" s="15" t="s">
        <v>25</v>
      </c>
      <c r="E68" s="106">
        <f>E67+E66+E65</f>
        <v>0</v>
      </c>
      <c r="F68" s="104">
        <f>F67+F66+F65</f>
        <v>3</v>
      </c>
      <c r="G68" s="104">
        <f>G67+G66+G65</f>
        <v>3</v>
      </c>
      <c r="H68" s="106"/>
      <c r="I68" s="104">
        <f>I67+I66+I65</f>
        <v>210</v>
      </c>
      <c r="J68" s="104">
        <f>J67+J66+J65</f>
        <v>210</v>
      </c>
      <c r="K68" s="106"/>
      <c r="L68" s="104">
        <f>L67+L66+L65</f>
        <v>13</v>
      </c>
      <c r="M68" s="106"/>
      <c r="N68" s="104">
        <f>N67+N66+N65</f>
        <v>7</v>
      </c>
      <c r="O68" s="106"/>
      <c r="P68" s="104">
        <f>P67+P66+P65</f>
        <v>1</v>
      </c>
      <c r="Q68" s="106"/>
      <c r="R68" s="104">
        <f>R67+R66+R65</f>
        <v>21</v>
      </c>
      <c r="S68" s="104">
        <f>S67+S66+S65</f>
        <v>21</v>
      </c>
    </row>
    <row r="69" spans="1:19" ht="27" customHeight="1" thickTop="1" thickBot="1">
      <c r="A69" s="135"/>
      <c r="B69" s="394" t="s">
        <v>488</v>
      </c>
      <c r="C69" s="395"/>
      <c r="D69" s="15" t="s">
        <v>145</v>
      </c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</row>
    <row r="70" spans="1:19" ht="27" customHeight="1" thickTop="1" thickBot="1">
      <c r="A70" s="135"/>
      <c r="B70" s="396"/>
      <c r="C70" s="397"/>
      <c r="D70" s="15" t="s">
        <v>146</v>
      </c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</row>
    <row r="71" spans="1:19" ht="27" customHeight="1" thickTop="1" thickBot="1">
      <c r="A71" s="135"/>
      <c r="B71" s="396"/>
      <c r="C71" s="397"/>
      <c r="D71" s="15" t="s">
        <v>147</v>
      </c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</row>
    <row r="72" spans="1:19" ht="27" customHeight="1" thickTop="1" thickBot="1">
      <c r="A72" s="135"/>
      <c r="B72" s="398"/>
      <c r="C72" s="399"/>
      <c r="D72" s="15" t="s">
        <v>25</v>
      </c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</row>
    <row r="73" spans="1:19" ht="27" customHeight="1" thickTop="1" thickBot="1">
      <c r="A73" s="87"/>
      <c r="B73" s="408" t="s">
        <v>397</v>
      </c>
      <c r="C73" s="409"/>
      <c r="D73" s="15" t="s">
        <v>145</v>
      </c>
      <c r="E73" s="104">
        <f>المهني!CZ47</f>
        <v>1</v>
      </c>
      <c r="F73" s="104">
        <f>المهني!DA47</f>
        <v>5</v>
      </c>
      <c r="G73" s="102">
        <f>F73+E73</f>
        <v>6</v>
      </c>
      <c r="H73" s="102">
        <f>المهني!DR47</f>
        <v>178</v>
      </c>
      <c r="I73" s="102">
        <f>المهني!DS47</f>
        <v>173</v>
      </c>
      <c r="J73" s="102">
        <f>I73+H73</f>
        <v>351</v>
      </c>
      <c r="K73" s="102">
        <f>المهني!EA47</f>
        <v>30</v>
      </c>
      <c r="L73" s="102">
        <f>المهني!EB47</f>
        <v>16</v>
      </c>
      <c r="M73" s="102">
        <f>المهني!EJ47</f>
        <v>14</v>
      </c>
      <c r="N73" s="102">
        <f>المهني!EK47</f>
        <v>6</v>
      </c>
      <c r="O73" s="102">
        <f>المهني!ES47</f>
        <v>0</v>
      </c>
      <c r="P73" s="102">
        <f>المهني!ET47</f>
        <v>0</v>
      </c>
      <c r="Q73" s="102">
        <f t="shared" ref="Q73:R75" si="39">O73+M73+K73</f>
        <v>44</v>
      </c>
      <c r="R73" s="102">
        <f t="shared" si="39"/>
        <v>22</v>
      </c>
      <c r="S73" s="102">
        <f>R73+Q73</f>
        <v>66</v>
      </c>
    </row>
    <row r="74" spans="1:19" ht="27" customHeight="1" thickTop="1" thickBot="1">
      <c r="A74" s="87"/>
      <c r="B74" s="410"/>
      <c r="C74" s="411"/>
      <c r="D74" s="15" t="s">
        <v>146</v>
      </c>
      <c r="E74" s="104">
        <f>المهني!DB47</f>
        <v>1</v>
      </c>
      <c r="F74" s="104">
        <f>المهني!DC47</f>
        <v>3</v>
      </c>
      <c r="G74" s="102">
        <f>F74+E74</f>
        <v>4</v>
      </c>
      <c r="H74" s="102">
        <f>المهني!DT47</f>
        <v>126</v>
      </c>
      <c r="I74" s="102">
        <f>المهني!DU47</f>
        <v>48</v>
      </c>
      <c r="J74" s="102">
        <f>I74+H74</f>
        <v>174</v>
      </c>
      <c r="K74" s="102">
        <f>المهني!EC47</f>
        <v>11</v>
      </c>
      <c r="L74" s="102">
        <f>المهني!ED47</f>
        <v>1</v>
      </c>
      <c r="M74" s="102">
        <f>المهني!EL47</f>
        <v>4</v>
      </c>
      <c r="N74" s="102">
        <f>المهني!EM47</f>
        <v>1</v>
      </c>
      <c r="O74" s="102">
        <f>المهني!EU47</f>
        <v>0</v>
      </c>
      <c r="P74" s="102">
        <f>المهني!EV47</f>
        <v>0</v>
      </c>
      <c r="Q74" s="102">
        <f t="shared" si="39"/>
        <v>15</v>
      </c>
      <c r="R74" s="102">
        <f t="shared" si="39"/>
        <v>2</v>
      </c>
      <c r="S74" s="102">
        <f>R74+Q74</f>
        <v>17</v>
      </c>
    </row>
    <row r="75" spans="1:19" ht="27" customHeight="1" thickTop="1" thickBot="1">
      <c r="A75" s="87"/>
      <c r="B75" s="410"/>
      <c r="C75" s="411"/>
      <c r="D75" s="15" t="s">
        <v>147</v>
      </c>
      <c r="E75" s="104">
        <f>المهني!DD47</f>
        <v>4</v>
      </c>
      <c r="F75" s="104">
        <f>المهني!DE47</f>
        <v>2</v>
      </c>
      <c r="G75" s="102">
        <f>F75+E75</f>
        <v>6</v>
      </c>
      <c r="H75" s="102">
        <f>المهني!DV47</f>
        <v>194</v>
      </c>
      <c r="I75" s="102">
        <f>المهني!DW47</f>
        <v>100</v>
      </c>
      <c r="J75" s="102">
        <f>I75+H75</f>
        <v>294</v>
      </c>
      <c r="K75" s="102">
        <f>المهني!EE47</f>
        <v>63</v>
      </c>
      <c r="L75" s="102">
        <f>المهني!EF47</f>
        <v>6</v>
      </c>
      <c r="M75" s="102">
        <f>المهني!EN47</f>
        <v>8</v>
      </c>
      <c r="N75" s="102">
        <f>المهني!EO47</f>
        <v>1</v>
      </c>
      <c r="O75" s="102">
        <f>المهني!EW47</f>
        <v>14</v>
      </c>
      <c r="P75" s="102">
        <f>المهني!EX47</f>
        <v>0</v>
      </c>
      <c r="Q75" s="102">
        <f t="shared" si="39"/>
        <v>85</v>
      </c>
      <c r="R75" s="102">
        <f t="shared" si="39"/>
        <v>7</v>
      </c>
      <c r="S75" s="102">
        <f>R75+Q75</f>
        <v>92</v>
      </c>
    </row>
    <row r="76" spans="1:19" ht="27" customHeight="1" thickTop="1" thickBot="1">
      <c r="A76" s="87"/>
      <c r="B76" s="412"/>
      <c r="C76" s="413"/>
      <c r="D76" s="15" t="s">
        <v>25</v>
      </c>
      <c r="E76" s="104">
        <f t="shared" ref="E76:S76" si="40">E75+E74+E73</f>
        <v>6</v>
      </c>
      <c r="F76" s="104">
        <f t="shared" si="40"/>
        <v>10</v>
      </c>
      <c r="G76" s="104">
        <f t="shared" si="40"/>
        <v>16</v>
      </c>
      <c r="H76" s="102">
        <f t="shared" si="40"/>
        <v>498</v>
      </c>
      <c r="I76" s="102">
        <f t="shared" si="40"/>
        <v>321</v>
      </c>
      <c r="J76" s="102">
        <f t="shared" si="40"/>
        <v>819</v>
      </c>
      <c r="K76" s="102">
        <f t="shared" si="40"/>
        <v>104</v>
      </c>
      <c r="L76" s="102">
        <f t="shared" si="40"/>
        <v>23</v>
      </c>
      <c r="M76" s="102">
        <f t="shared" si="40"/>
        <v>26</v>
      </c>
      <c r="N76" s="102">
        <f t="shared" si="40"/>
        <v>8</v>
      </c>
      <c r="O76" s="102">
        <f t="shared" si="40"/>
        <v>14</v>
      </c>
      <c r="P76" s="102">
        <f t="shared" si="40"/>
        <v>0</v>
      </c>
      <c r="Q76" s="102">
        <f t="shared" si="40"/>
        <v>144</v>
      </c>
      <c r="R76" s="102">
        <f t="shared" si="40"/>
        <v>31</v>
      </c>
      <c r="S76" s="102">
        <f t="shared" si="40"/>
        <v>175</v>
      </c>
    </row>
    <row r="77" spans="1:19" ht="27" customHeight="1" thickTop="1" thickBot="1">
      <c r="A77" s="87"/>
      <c r="B77" s="394" t="s">
        <v>139</v>
      </c>
      <c r="C77" s="395"/>
      <c r="D77" s="15" t="s">
        <v>145</v>
      </c>
      <c r="E77" s="102">
        <f t="shared" ref="E77:S77" si="41">E65+E61+E57+E53+E73</f>
        <v>29</v>
      </c>
      <c r="F77" s="102">
        <f t="shared" si="41"/>
        <v>12</v>
      </c>
      <c r="G77" s="102">
        <f t="shared" si="41"/>
        <v>41</v>
      </c>
      <c r="H77" s="14">
        <f t="shared" si="41"/>
        <v>661</v>
      </c>
      <c r="I77" s="14">
        <f t="shared" si="41"/>
        <v>451</v>
      </c>
      <c r="J77" s="14">
        <f t="shared" si="41"/>
        <v>1112</v>
      </c>
      <c r="K77" s="14">
        <f t="shared" si="41"/>
        <v>113</v>
      </c>
      <c r="L77" s="14">
        <f t="shared" si="41"/>
        <v>36</v>
      </c>
      <c r="M77" s="14">
        <f t="shared" si="41"/>
        <v>40</v>
      </c>
      <c r="N77" s="14">
        <f t="shared" si="41"/>
        <v>16</v>
      </c>
      <c r="O77" s="14">
        <f t="shared" si="41"/>
        <v>0</v>
      </c>
      <c r="P77" s="14">
        <f t="shared" si="41"/>
        <v>0</v>
      </c>
      <c r="Q77" s="14">
        <f t="shared" si="41"/>
        <v>153</v>
      </c>
      <c r="R77" s="14">
        <f t="shared" si="41"/>
        <v>52</v>
      </c>
      <c r="S77" s="14">
        <f t="shared" si="41"/>
        <v>205</v>
      </c>
    </row>
    <row r="78" spans="1:19" ht="27" customHeight="1" thickTop="1" thickBot="1">
      <c r="A78" s="87"/>
      <c r="B78" s="396"/>
      <c r="C78" s="397"/>
      <c r="D78" s="15" t="s">
        <v>146</v>
      </c>
      <c r="E78" s="102">
        <f t="shared" ref="E78:S78" si="42">E66+E62+E58+E54+E74</f>
        <v>13</v>
      </c>
      <c r="F78" s="102">
        <f t="shared" si="42"/>
        <v>9</v>
      </c>
      <c r="G78" s="102">
        <f t="shared" si="42"/>
        <v>22</v>
      </c>
      <c r="H78" s="14">
        <f t="shared" si="42"/>
        <v>362</v>
      </c>
      <c r="I78" s="14">
        <f t="shared" si="42"/>
        <v>272</v>
      </c>
      <c r="J78" s="14">
        <f t="shared" si="42"/>
        <v>634</v>
      </c>
      <c r="K78" s="14">
        <f t="shared" si="42"/>
        <v>36</v>
      </c>
      <c r="L78" s="14">
        <f t="shared" si="42"/>
        <v>12</v>
      </c>
      <c r="M78" s="14">
        <f t="shared" si="42"/>
        <v>14</v>
      </c>
      <c r="N78" s="14">
        <f t="shared" si="42"/>
        <v>11</v>
      </c>
      <c r="O78" s="14">
        <f t="shared" si="42"/>
        <v>0</v>
      </c>
      <c r="P78" s="14">
        <f t="shared" si="42"/>
        <v>0</v>
      </c>
      <c r="Q78" s="14">
        <f t="shared" si="42"/>
        <v>50</v>
      </c>
      <c r="R78" s="14">
        <f t="shared" si="42"/>
        <v>23</v>
      </c>
      <c r="S78" s="14">
        <f t="shared" si="42"/>
        <v>73</v>
      </c>
    </row>
    <row r="79" spans="1:19" ht="27" customHeight="1" thickTop="1" thickBot="1">
      <c r="A79" s="87"/>
      <c r="B79" s="396"/>
      <c r="C79" s="397"/>
      <c r="D79" s="15" t="s">
        <v>147</v>
      </c>
      <c r="E79" s="102">
        <f t="shared" ref="E79:S79" si="43">E67+E63+E59+E55+E75</f>
        <v>19</v>
      </c>
      <c r="F79" s="102">
        <f t="shared" si="43"/>
        <v>6</v>
      </c>
      <c r="G79" s="102">
        <f t="shared" si="43"/>
        <v>25</v>
      </c>
      <c r="H79" s="14">
        <f t="shared" si="43"/>
        <v>582</v>
      </c>
      <c r="I79" s="14">
        <f t="shared" si="43"/>
        <v>303</v>
      </c>
      <c r="J79" s="14">
        <f t="shared" si="43"/>
        <v>885</v>
      </c>
      <c r="K79" s="14">
        <f t="shared" si="43"/>
        <v>192</v>
      </c>
      <c r="L79" s="14">
        <f t="shared" si="43"/>
        <v>19</v>
      </c>
      <c r="M79" s="14">
        <f t="shared" si="43"/>
        <v>36</v>
      </c>
      <c r="N79" s="14">
        <f t="shared" si="43"/>
        <v>1</v>
      </c>
      <c r="O79" s="14">
        <f t="shared" si="43"/>
        <v>43</v>
      </c>
      <c r="P79" s="14">
        <f t="shared" si="43"/>
        <v>2</v>
      </c>
      <c r="Q79" s="14">
        <f t="shared" si="43"/>
        <v>271</v>
      </c>
      <c r="R79" s="14">
        <f t="shared" si="43"/>
        <v>22</v>
      </c>
      <c r="S79" s="14">
        <f t="shared" si="43"/>
        <v>293</v>
      </c>
    </row>
    <row r="80" spans="1:19" ht="27" customHeight="1" thickTop="1" thickBot="1">
      <c r="A80" s="87"/>
      <c r="B80" s="398"/>
      <c r="C80" s="399"/>
      <c r="D80" s="15" t="s">
        <v>25</v>
      </c>
      <c r="E80" s="102">
        <f t="shared" ref="E80:S80" si="44">E68+E64+E60+E56+E76</f>
        <v>61</v>
      </c>
      <c r="F80" s="102">
        <f t="shared" si="44"/>
        <v>27</v>
      </c>
      <c r="G80" s="102">
        <f t="shared" si="44"/>
        <v>88</v>
      </c>
      <c r="H80" s="14">
        <f t="shared" si="44"/>
        <v>1605</v>
      </c>
      <c r="I80" s="14">
        <f t="shared" si="44"/>
        <v>1026</v>
      </c>
      <c r="J80" s="14">
        <f t="shared" si="44"/>
        <v>2631</v>
      </c>
      <c r="K80" s="14">
        <f t="shared" si="44"/>
        <v>341</v>
      </c>
      <c r="L80" s="14">
        <f t="shared" si="44"/>
        <v>67</v>
      </c>
      <c r="M80" s="14">
        <f t="shared" si="44"/>
        <v>90</v>
      </c>
      <c r="N80" s="14">
        <f t="shared" si="44"/>
        <v>28</v>
      </c>
      <c r="O80" s="14">
        <f t="shared" si="44"/>
        <v>43</v>
      </c>
      <c r="P80" s="14">
        <f t="shared" si="44"/>
        <v>2</v>
      </c>
      <c r="Q80" s="14">
        <f t="shared" si="44"/>
        <v>474</v>
      </c>
      <c r="R80" s="14">
        <f t="shared" si="44"/>
        <v>97</v>
      </c>
      <c r="S80" s="14">
        <f t="shared" si="44"/>
        <v>571</v>
      </c>
    </row>
    <row r="81" spans="1:19" ht="27" customHeight="1" thickTop="1"/>
    <row r="82" spans="1:19" ht="27" customHeight="1">
      <c r="A82" s="328" t="s">
        <v>148</v>
      </c>
      <c r="B82" s="328"/>
      <c r="C82" s="328"/>
      <c r="D82" s="328"/>
      <c r="E82" s="328"/>
      <c r="F82" s="86"/>
      <c r="G82" s="86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328" t="s">
        <v>112</v>
      </c>
      <c r="S82" s="328"/>
    </row>
    <row r="83" spans="1:19" ht="27" customHeight="1">
      <c r="A83" s="334" t="s">
        <v>188</v>
      </c>
      <c r="B83" s="334"/>
      <c r="C83" s="334"/>
      <c r="D83" s="334"/>
      <c r="E83" s="334"/>
      <c r="F83" s="87"/>
      <c r="G83" s="87"/>
      <c r="H83" s="87"/>
      <c r="I83" s="334" t="s">
        <v>186</v>
      </c>
      <c r="J83" s="334"/>
      <c r="K83" s="334"/>
      <c r="L83" s="334"/>
      <c r="M83" s="87"/>
      <c r="N83" s="87"/>
      <c r="O83" s="87"/>
      <c r="P83" s="87"/>
      <c r="Q83" s="87"/>
      <c r="R83" s="87"/>
      <c r="S83" s="87"/>
    </row>
    <row r="84" spans="1:19" ht="27" customHeight="1">
      <c r="A84" s="87"/>
      <c r="B84" s="328" t="s">
        <v>149</v>
      </c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</row>
    <row r="85" spans="1:19" ht="27" customHeight="1">
      <c r="A85" s="87"/>
      <c r="B85" s="328" t="s">
        <v>536</v>
      </c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</row>
    <row r="86" spans="1:19" ht="27" customHeight="1">
      <c r="A86" s="87"/>
      <c r="B86" s="329" t="s">
        <v>515</v>
      </c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</row>
    <row r="87" spans="1:19" ht="27" customHeight="1" thickBot="1">
      <c r="A87" s="87"/>
      <c r="B87" s="90"/>
      <c r="C87" s="90"/>
      <c r="D87" s="90"/>
      <c r="E87" s="90"/>
      <c r="F87" s="90"/>
      <c r="G87" s="90"/>
      <c r="H87" s="90"/>
      <c r="I87" s="90"/>
      <c r="J87" s="90"/>
      <c r="K87" s="99"/>
      <c r="L87" s="99"/>
      <c r="M87" s="99"/>
      <c r="N87" s="99"/>
      <c r="O87" s="86"/>
      <c r="P87" s="87"/>
      <c r="Q87" s="87"/>
      <c r="R87" s="87"/>
      <c r="S87" s="87"/>
    </row>
    <row r="88" spans="1:19" ht="27" customHeight="1" thickTop="1" thickBot="1">
      <c r="A88" s="87"/>
      <c r="B88" s="355" t="s">
        <v>115</v>
      </c>
      <c r="C88" s="357"/>
      <c r="D88" s="335" t="s">
        <v>142</v>
      </c>
      <c r="E88" s="324" t="s">
        <v>539</v>
      </c>
      <c r="F88" s="406"/>
      <c r="G88" s="325"/>
      <c r="H88" s="324" t="s">
        <v>513</v>
      </c>
      <c r="I88" s="406"/>
      <c r="J88" s="325"/>
      <c r="K88" s="331" t="s">
        <v>514</v>
      </c>
      <c r="L88" s="332"/>
      <c r="M88" s="332"/>
      <c r="N88" s="332"/>
      <c r="O88" s="332"/>
      <c r="P88" s="332"/>
      <c r="Q88" s="332"/>
      <c r="R88" s="332"/>
      <c r="S88" s="333"/>
    </row>
    <row r="89" spans="1:19" ht="27" customHeight="1" thickTop="1" thickBot="1">
      <c r="A89" s="87"/>
      <c r="B89" s="386"/>
      <c r="C89" s="387"/>
      <c r="D89" s="354"/>
      <c r="E89" s="326"/>
      <c r="F89" s="407"/>
      <c r="G89" s="327"/>
      <c r="H89" s="326"/>
      <c r="I89" s="407"/>
      <c r="J89" s="327"/>
      <c r="K89" s="331" t="s">
        <v>150</v>
      </c>
      <c r="L89" s="333"/>
      <c r="M89" s="331" t="s">
        <v>151</v>
      </c>
      <c r="N89" s="333"/>
      <c r="O89" s="331" t="s">
        <v>152</v>
      </c>
      <c r="P89" s="333"/>
      <c r="Q89" s="331" t="s">
        <v>153</v>
      </c>
      <c r="R89" s="332"/>
      <c r="S89" s="333"/>
    </row>
    <row r="90" spans="1:19" ht="27" customHeight="1" thickTop="1" thickBot="1">
      <c r="A90" s="87"/>
      <c r="B90" s="358"/>
      <c r="C90" s="360"/>
      <c r="D90" s="336"/>
      <c r="E90" s="14" t="s">
        <v>5</v>
      </c>
      <c r="F90" s="14" t="s">
        <v>6</v>
      </c>
      <c r="G90" s="14" t="s">
        <v>25</v>
      </c>
      <c r="H90" s="14" t="s">
        <v>5</v>
      </c>
      <c r="I90" s="14" t="s">
        <v>6</v>
      </c>
      <c r="J90" s="14" t="s">
        <v>25</v>
      </c>
      <c r="K90" s="96" t="s">
        <v>5</v>
      </c>
      <c r="L90" s="96" t="s">
        <v>6</v>
      </c>
      <c r="M90" s="96" t="s">
        <v>5</v>
      </c>
      <c r="N90" s="96" t="s">
        <v>6</v>
      </c>
      <c r="O90" s="96" t="s">
        <v>5</v>
      </c>
      <c r="P90" s="96" t="s">
        <v>6</v>
      </c>
      <c r="Q90" s="96" t="s">
        <v>5</v>
      </c>
      <c r="R90" s="96" t="s">
        <v>6</v>
      </c>
      <c r="S90" s="14" t="s">
        <v>25</v>
      </c>
    </row>
    <row r="91" spans="1:19" ht="27" customHeight="1" thickTop="1" thickBot="1">
      <c r="A91" s="87"/>
      <c r="B91" s="394" t="s">
        <v>123</v>
      </c>
      <c r="C91" s="395"/>
      <c r="D91" s="15" t="s">
        <v>145</v>
      </c>
      <c r="E91" s="102">
        <f>المهني!CZ15</f>
        <v>0</v>
      </c>
      <c r="F91" s="102">
        <f>المهني!DA15</f>
        <v>0</v>
      </c>
      <c r="G91" s="102">
        <f>F91+E91</f>
        <v>0</v>
      </c>
      <c r="H91" s="102">
        <f>المهني!DR15</f>
        <v>31</v>
      </c>
      <c r="I91" s="102">
        <f>المهني!DS15</f>
        <v>0</v>
      </c>
      <c r="J91" s="102">
        <f>I91+H91</f>
        <v>31</v>
      </c>
      <c r="K91" s="102">
        <f>المهني!EA15</f>
        <v>5</v>
      </c>
      <c r="L91" s="102">
        <f>المهني!EB15</f>
        <v>0</v>
      </c>
      <c r="M91" s="102">
        <f>المهني!EJ15</f>
        <v>0</v>
      </c>
      <c r="N91" s="102">
        <f>المهني!EK15</f>
        <v>0</v>
      </c>
      <c r="O91" s="102">
        <f>المهني!ES15</f>
        <v>0</v>
      </c>
      <c r="P91" s="102">
        <f>المهني!ET15</f>
        <v>0</v>
      </c>
      <c r="Q91" s="102">
        <f t="shared" ref="Q91:R93" si="45">O91+M91+K91</f>
        <v>5</v>
      </c>
      <c r="R91" s="102">
        <f t="shared" si="45"/>
        <v>0</v>
      </c>
      <c r="S91" s="102">
        <f>R91+Q91</f>
        <v>5</v>
      </c>
    </row>
    <row r="92" spans="1:19" ht="27" customHeight="1" thickTop="1" thickBot="1">
      <c r="A92" s="87"/>
      <c r="B92" s="396"/>
      <c r="C92" s="397"/>
      <c r="D92" s="15" t="s">
        <v>146</v>
      </c>
      <c r="E92" s="102">
        <f>المهني!DB15</f>
        <v>0</v>
      </c>
      <c r="F92" s="102">
        <f>المهني!DC15</f>
        <v>0</v>
      </c>
      <c r="G92" s="102">
        <f>F92+E92</f>
        <v>0</v>
      </c>
      <c r="H92" s="102">
        <f>المهني!DT15</f>
        <v>18</v>
      </c>
      <c r="I92" s="102">
        <f>المهني!DU15</f>
        <v>0</v>
      </c>
      <c r="J92" s="102">
        <f>I92+H92</f>
        <v>18</v>
      </c>
      <c r="K92" s="102">
        <f>المهني!EC15</f>
        <v>5</v>
      </c>
      <c r="L92" s="102">
        <f>المهني!ED15</f>
        <v>0</v>
      </c>
      <c r="M92" s="102">
        <f>المهني!EL15</f>
        <v>1</v>
      </c>
      <c r="N92" s="102">
        <f>المهني!EM15</f>
        <v>0</v>
      </c>
      <c r="O92" s="102">
        <f>المهني!EU15</f>
        <v>0</v>
      </c>
      <c r="P92" s="102">
        <f>المهني!EV15</f>
        <v>0</v>
      </c>
      <c r="Q92" s="102">
        <f t="shared" si="45"/>
        <v>6</v>
      </c>
      <c r="R92" s="102">
        <f t="shared" si="45"/>
        <v>0</v>
      </c>
      <c r="S92" s="102">
        <f>R92+Q92</f>
        <v>6</v>
      </c>
    </row>
    <row r="93" spans="1:19" ht="27" customHeight="1" thickTop="1" thickBot="1">
      <c r="A93" s="87"/>
      <c r="B93" s="396"/>
      <c r="C93" s="397"/>
      <c r="D93" s="15" t="s">
        <v>147</v>
      </c>
      <c r="E93" s="102">
        <f>المهني!DD15</f>
        <v>1</v>
      </c>
      <c r="F93" s="102">
        <f>المهني!DE15</f>
        <v>0</v>
      </c>
      <c r="G93" s="102">
        <f>F93+E93</f>
        <v>1</v>
      </c>
      <c r="H93" s="102">
        <f>المهني!DV15</f>
        <v>28</v>
      </c>
      <c r="I93" s="102">
        <f>المهني!DW15</f>
        <v>0</v>
      </c>
      <c r="J93" s="102">
        <f>I93+H93</f>
        <v>28</v>
      </c>
      <c r="K93" s="102">
        <f>المهني!EE15</f>
        <v>11</v>
      </c>
      <c r="L93" s="102">
        <f>المهني!EF15</f>
        <v>0</v>
      </c>
      <c r="M93" s="102">
        <f>المهني!EN15</f>
        <v>0</v>
      </c>
      <c r="N93" s="102">
        <f>المهني!EO15</f>
        <v>0</v>
      </c>
      <c r="O93" s="102">
        <f>المهني!EW15</f>
        <v>0</v>
      </c>
      <c r="P93" s="102">
        <f>المهني!EX15</f>
        <v>0</v>
      </c>
      <c r="Q93" s="102">
        <f t="shared" si="45"/>
        <v>11</v>
      </c>
      <c r="R93" s="102">
        <f t="shared" si="45"/>
        <v>0</v>
      </c>
      <c r="S93" s="102">
        <f>R93+Q93</f>
        <v>11</v>
      </c>
    </row>
    <row r="94" spans="1:19" ht="27" customHeight="1" thickTop="1" thickBot="1">
      <c r="A94" s="87"/>
      <c r="B94" s="398"/>
      <c r="C94" s="399"/>
      <c r="D94" s="15" t="s">
        <v>25</v>
      </c>
      <c r="E94" s="102">
        <f t="shared" ref="E94:S94" si="46">E93+E92+E91</f>
        <v>1</v>
      </c>
      <c r="F94" s="102">
        <f t="shared" si="46"/>
        <v>0</v>
      </c>
      <c r="G94" s="102">
        <f t="shared" si="46"/>
        <v>1</v>
      </c>
      <c r="H94" s="102">
        <f t="shared" si="46"/>
        <v>77</v>
      </c>
      <c r="I94" s="102">
        <f t="shared" si="46"/>
        <v>0</v>
      </c>
      <c r="J94" s="102">
        <f t="shared" si="46"/>
        <v>77</v>
      </c>
      <c r="K94" s="102">
        <f t="shared" si="46"/>
        <v>21</v>
      </c>
      <c r="L94" s="102">
        <f t="shared" si="46"/>
        <v>0</v>
      </c>
      <c r="M94" s="102">
        <f t="shared" si="46"/>
        <v>1</v>
      </c>
      <c r="N94" s="102">
        <f t="shared" si="46"/>
        <v>0</v>
      </c>
      <c r="O94" s="102">
        <f t="shared" si="46"/>
        <v>0</v>
      </c>
      <c r="P94" s="102">
        <f t="shared" si="46"/>
        <v>0</v>
      </c>
      <c r="Q94" s="102">
        <f t="shared" si="46"/>
        <v>22</v>
      </c>
      <c r="R94" s="102">
        <f t="shared" si="46"/>
        <v>0</v>
      </c>
      <c r="S94" s="102">
        <f t="shared" si="46"/>
        <v>22</v>
      </c>
    </row>
    <row r="95" spans="1:19" ht="27" customHeight="1" thickTop="1" thickBot="1">
      <c r="A95" s="87"/>
      <c r="B95" s="394" t="s">
        <v>124</v>
      </c>
      <c r="C95" s="395"/>
      <c r="D95" s="15" t="s">
        <v>145</v>
      </c>
      <c r="E95" s="102">
        <f>المهني!CZ31</f>
        <v>2</v>
      </c>
      <c r="F95" s="102">
        <f>المهني!DA31</f>
        <v>0</v>
      </c>
      <c r="G95" s="102">
        <f>F95+E95</f>
        <v>2</v>
      </c>
      <c r="H95" s="102">
        <f>المهني!DR31</f>
        <v>25</v>
      </c>
      <c r="I95" s="102">
        <f>المهني!DS31</f>
        <v>0</v>
      </c>
      <c r="J95" s="102">
        <f>I95+H95</f>
        <v>25</v>
      </c>
      <c r="K95" s="102">
        <f>المهني!EA31</f>
        <v>1</v>
      </c>
      <c r="L95" s="102">
        <f>المهني!EB31</f>
        <v>0</v>
      </c>
      <c r="M95" s="102">
        <f>المهني!EJ31</f>
        <v>1</v>
      </c>
      <c r="N95" s="102">
        <f>المهني!EK31</f>
        <v>0</v>
      </c>
      <c r="O95" s="102">
        <f>المهني!ES31</f>
        <v>0</v>
      </c>
      <c r="P95" s="102">
        <f>المهني!ET31</f>
        <v>0</v>
      </c>
      <c r="Q95" s="102">
        <f t="shared" ref="Q95:R97" si="47">O95+M95+K95</f>
        <v>2</v>
      </c>
      <c r="R95" s="102">
        <f t="shared" si="47"/>
        <v>0</v>
      </c>
      <c r="S95" s="102">
        <f>R95+Q95</f>
        <v>2</v>
      </c>
    </row>
    <row r="96" spans="1:19" ht="27" customHeight="1" thickTop="1" thickBot="1">
      <c r="A96" s="87"/>
      <c r="B96" s="396"/>
      <c r="C96" s="397"/>
      <c r="D96" s="15" t="s">
        <v>146</v>
      </c>
      <c r="E96" s="102">
        <f>المهني!DB31</f>
        <v>0</v>
      </c>
      <c r="F96" s="102">
        <f>المهني!DC31</f>
        <v>0</v>
      </c>
      <c r="G96" s="102">
        <f>F96+E96</f>
        <v>0</v>
      </c>
      <c r="H96" s="102">
        <f>المهني!DT31</f>
        <v>18</v>
      </c>
      <c r="I96" s="102">
        <f>المهني!DU31</f>
        <v>0</v>
      </c>
      <c r="J96" s="102">
        <f>I96+H96</f>
        <v>18</v>
      </c>
      <c r="K96" s="102">
        <f>المهني!EC31</f>
        <v>2</v>
      </c>
      <c r="L96" s="102">
        <f>المهني!EF31</f>
        <v>0</v>
      </c>
      <c r="M96" s="102">
        <f>المهني!EL31</f>
        <v>0</v>
      </c>
      <c r="N96" s="102">
        <f>المهني!EM31</f>
        <v>0</v>
      </c>
      <c r="O96" s="102">
        <f>المهني!EU31</f>
        <v>0</v>
      </c>
      <c r="P96" s="102">
        <f>المهني!EV31</f>
        <v>0</v>
      </c>
      <c r="Q96" s="102">
        <f t="shared" si="47"/>
        <v>2</v>
      </c>
      <c r="R96" s="102">
        <f t="shared" si="47"/>
        <v>0</v>
      </c>
      <c r="S96" s="102">
        <f>R96+Q96</f>
        <v>2</v>
      </c>
    </row>
    <row r="97" spans="1:19" ht="27" customHeight="1" thickTop="1" thickBot="1">
      <c r="A97" s="87"/>
      <c r="B97" s="396"/>
      <c r="C97" s="397"/>
      <c r="D97" s="15" t="s">
        <v>147</v>
      </c>
      <c r="E97" s="102">
        <f>المهني!DD31</f>
        <v>1</v>
      </c>
      <c r="F97" s="102">
        <f>المهني!DE31</f>
        <v>0</v>
      </c>
      <c r="G97" s="102">
        <f>F97+E97</f>
        <v>1</v>
      </c>
      <c r="H97" s="102">
        <f>المهني!DV31</f>
        <v>20</v>
      </c>
      <c r="I97" s="102">
        <f>المهني!DW31</f>
        <v>0</v>
      </c>
      <c r="J97" s="102">
        <f>I97+H97</f>
        <v>20</v>
      </c>
      <c r="K97" s="102">
        <f>المهني!EE31</f>
        <v>11</v>
      </c>
      <c r="L97" s="102">
        <f>المهني!EF31</f>
        <v>0</v>
      </c>
      <c r="M97" s="102">
        <f>المهني!EN31</f>
        <v>5</v>
      </c>
      <c r="N97" s="102">
        <f>المهني!EO31</f>
        <v>0</v>
      </c>
      <c r="O97" s="102">
        <f>المهني!EW31</f>
        <v>0</v>
      </c>
      <c r="P97" s="102">
        <f>المهني!EX31</f>
        <v>0</v>
      </c>
      <c r="Q97" s="102">
        <f t="shared" si="47"/>
        <v>16</v>
      </c>
      <c r="R97" s="102">
        <f t="shared" si="47"/>
        <v>0</v>
      </c>
      <c r="S97" s="102">
        <f>R97+Q97</f>
        <v>16</v>
      </c>
    </row>
    <row r="98" spans="1:19" ht="27" customHeight="1" thickTop="1" thickBot="1">
      <c r="A98" s="87"/>
      <c r="B98" s="398"/>
      <c r="C98" s="399"/>
      <c r="D98" s="15" t="s">
        <v>25</v>
      </c>
      <c r="E98" s="102">
        <f t="shared" ref="E98:S98" si="48">E97+E96+E95</f>
        <v>3</v>
      </c>
      <c r="F98" s="102">
        <f t="shared" si="48"/>
        <v>0</v>
      </c>
      <c r="G98" s="102">
        <f t="shared" si="48"/>
        <v>3</v>
      </c>
      <c r="H98" s="102">
        <f t="shared" si="48"/>
        <v>63</v>
      </c>
      <c r="I98" s="102">
        <f t="shared" si="48"/>
        <v>0</v>
      </c>
      <c r="J98" s="102">
        <f t="shared" si="48"/>
        <v>63</v>
      </c>
      <c r="K98" s="102">
        <f t="shared" si="48"/>
        <v>14</v>
      </c>
      <c r="L98" s="102">
        <f t="shared" si="48"/>
        <v>0</v>
      </c>
      <c r="M98" s="102">
        <f t="shared" si="48"/>
        <v>6</v>
      </c>
      <c r="N98" s="102">
        <f t="shared" si="48"/>
        <v>0</v>
      </c>
      <c r="O98" s="102">
        <f t="shared" si="48"/>
        <v>0</v>
      </c>
      <c r="P98" s="102">
        <f t="shared" si="48"/>
        <v>0</v>
      </c>
      <c r="Q98" s="102">
        <f t="shared" si="48"/>
        <v>20</v>
      </c>
      <c r="R98" s="102">
        <f t="shared" si="48"/>
        <v>0</v>
      </c>
      <c r="S98" s="102">
        <f t="shared" si="48"/>
        <v>20</v>
      </c>
    </row>
    <row r="99" spans="1:19" ht="27" customHeight="1" thickTop="1" thickBot="1">
      <c r="A99" s="87"/>
      <c r="B99" s="394" t="s">
        <v>125</v>
      </c>
      <c r="C99" s="395"/>
      <c r="D99" s="15" t="s">
        <v>145</v>
      </c>
      <c r="E99" s="102">
        <v>0</v>
      </c>
      <c r="F99" s="102">
        <v>0</v>
      </c>
      <c r="G99" s="102">
        <f>F99+E99</f>
        <v>0</v>
      </c>
      <c r="H99" s="102">
        <v>0</v>
      </c>
      <c r="I99" s="102">
        <v>0</v>
      </c>
      <c r="J99" s="102">
        <f>I99+H99</f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f t="shared" ref="Q99:R101" si="49">O99+M99+K99</f>
        <v>0</v>
      </c>
      <c r="R99" s="102">
        <f t="shared" si="49"/>
        <v>0</v>
      </c>
      <c r="S99" s="102">
        <f>R99+Q99</f>
        <v>0</v>
      </c>
    </row>
    <row r="100" spans="1:19" ht="27" customHeight="1" thickTop="1" thickBot="1">
      <c r="A100" s="87"/>
      <c r="B100" s="396"/>
      <c r="C100" s="397"/>
      <c r="D100" s="15" t="s">
        <v>146</v>
      </c>
      <c r="E100" s="102">
        <v>0</v>
      </c>
      <c r="F100" s="102">
        <v>0</v>
      </c>
      <c r="G100" s="102">
        <f>F100+E100</f>
        <v>0</v>
      </c>
      <c r="H100" s="102">
        <v>0</v>
      </c>
      <c r="I100" s="102">
        <v>0</v>
      </c>
      <c r="J100" s="102">
        <f>I100+H100</f>
        <v>0</v>
      </c>
      <c r="K100" s="102">
        <v>0</v>
      </c>
      <c r="L100" s="102">
        <v>0</v>
      </c>
      <c r="M100" s="102">
        <v>0</v>
      </c>
      <c r="N100" s="102">
        <v>0</v>
      </c>
      <c r="O100" s="102">
        <v>0</v>
      </c>
      <c r="P100" s="102">
        <v>0</v>
      </c>
      <c r="Q100" s="102">
        <f t="shared" si="49"/>
        <v>0</v>
      </c>
      <c r="R100" s="102">
        <f t="shared" si="49"/>
        <v>0</v>
      </c>
      <c r="S100" s="102">
        <f>R100+Q100</f>
        <v>0</v>
      </c>
    </row>
    <row r="101" spans="1:19" ht="27" customHeight="1" thickTop="1" thickBot="1">
      <c r="A101" s="87"/>
      <c r="B101" s="396"/>
      <c r="C101" s="397"/>
      <c r="D101" s="15" t="s">
        <v>147</v>
      </c>
      <c r="E101" s="102">
        <v>0</v>
      </c>
      <c r="F101" s="102">
        <v>0</v>
      </c>
      <c r="G101" s="102">
        <f>F101+E101</f>
        <v>0</v>
      </c>
      <c r="H101" s="102">
        <v>0</v>
      </c>
      <c r="I101" s="102">
        <v>0</v>
      </c>
      <c r="J101" s="102">
        <f>I101+H101</f>
        <v>0</v>
      </c>
      <c r="K101" s="102">
        <v>0</v>
      </c>
      <c r="L101" s="102">
        <v>0</v>
      </c>
      <c r="M101" s="102">
        <v>0</v>
      </c>
      <c r="N101" s="102">
        <v>0</v>
      </c>
      <c r="O101" s="102">
        <v>0</v>
      </c>
      <c r="P101" s="102">
        <v>0</v>
      </c>
      <c r="Q101" s="102">
        <f t="shared" si="49"/>
        <v>0</v>
      </c>
      <c r="R101" s="102">
        <f t="shared" si="49"/>
        <v>0</v>
      </c>
      <c r="S101" s="102">
        <f>R101+Q101</f>
        <v>0</v>
      </c>
    </row>
    <row r="102" spans="1:19" ht="27" customHeight="1" thickTop="1" thickBot="1">
      <c r="A102" s="87"/>
      <c r="B102" s="398"/>
      <c r="C102" s="399"/>
      <c r="D102" s="15" t="s">
        <v>25</v>
      </c>
      <c r="E102" s="102">
        <f t="shared" ref="E102:S102" si="50">E101+E100+E99</f>
        <v>0</v>
      </c>
      <c r="F102" s="102">
        <f t="shared" si="50"/>
        <v>0</v>
      </c>
      <c r="G102" s="102">
        <f t="shared" si="50"/>
        <v>0</v>
      </c>
      <c r="H102" s="102">
        <f t="shared" si="50"/>
        <v>0</v>
      </c>
      <c r="I102" s="102">
        <f t="shared" si="50"/>
        <v>0</v>
      </c>
      <c r="J102" s="102">
        <f t="shared" si="50"/>
        <v>0</v>
      </c>
      <c r="K102" s="102">
        <f t="shared" si="50"/>
        <v>0</v>
      </c>
      <c r="L102" s="102">
        <f t="shared" si="50"/>
        <v>0</v>
      </c>
      <c r="M102" s="102">
        <f t="shared" si="50"/>
        <v>0</v>
      </c>
      <c r="N102" s="102">
        <f t="shared" si="50"/>
        <v>0</v>
      </c>
      <c r="O102" s="102">
        <f t="shared" si="50"/>
        <v>0</v>
      </c>
      <c r="P102" s="102">
        <f t="shared" si="50"/>
        <v>0</v>
      </c>
      <c r="Q102" s="102">
        <f t="shared" si="50"/>
        <v>0</v>
      </c>
      <c r="R102" s="102">
        <f t="shared" si="50"/>
        <v>0</v>
      </c>
      <c r="S102" s="102">
        <f t="shared" si="50"/>
        <v>0</v>
      </c>
    </row>
    <row r="103" spans="1:19" ht="27" customHeight="1" thickTop="1" thickBot="1">
      <c r="A103" s="87"/>
      <c r="B103" s="394" t="s">
        <v>216</v>
      </c>
      <c r="C103" s="395"/>
      <c r="D103" s="15" t="s">
        <v>145</v>
      </c>
      <c r="E103" s="106"/>
      <c r="F103" s="104">
        <v>0</v>
      </c>
      <c r="G103" s="102">
        <f>F103+E103</f>
        <v>0</v>
      </c>
      <c r="H103" s="106"/>
      <c r="I103" s="104">
        <v>0</v>
      </c>
      <c r="J103" s="102">
        <f>I103+H103</f>
        <v>0</v>
      </c>
      <c r="K103" s="106"/>
      <c r="L103" s="104">
        <v>0</v>
      </c>
      <c r="M103" s="106"/>
      <c r="N103" s="104">
        <v>0</v>
      </c>
      <c r="O103" s="106"/>
      <c r="P103" s="104">
        <v>0</v>
      </c>
      <c r="Q103" s="106"/>
      <c r="R103" s="102">
        <f>P103+N103+L103</f>
        <v>0</v>
      </c>
      <c r="S103" s="102">
        <f>R103+Q103</f>
        <v>0</v>
      </c>
    </row>
    <row r="104" spans="1:19" ht="27" customHeight="1" thickTop="1" thickBot="1">
      <c r="A104" s="87"/>
      <c r="B104" s="396"/>
      <c r="C104" s="397"/>
      <c r="D104" s="15" t="s">
        <v>146</v>
      </c>
      <c r="E104" s="106"/>
      <c r="F104" s="104">
        <v>0</v>
      </c>
      <c r="G104" s="102">
        <f>F104+E104</f>
        <v>0</v>
      </c>
      <c r="H104" s="106"/>
      <c r="I104" s="104">
        <v>0</v>
      </c>
      <c r="J104" s="102">
        <f>I104+H104</f>
        <v>0</v>
      </c>
      <c r="K104" s="106"/>
      <c r="L104" s="104">
        <v>0</v>
      </c>
      <c r="M104" s="106"/>
      <c r="N104" s="104">
        <v>0</v>
      </c>
      <c r="O104" s="106"/>
      <c r="P104" s="104">
        <v>0</v>
      </c>
      <c r="Q104" s="106"/>
      <c r="R104" s="102">
        <f>P104+N104+L104</f>
        <v>0</v>
      </c>
      <c r="S104" s="102">
        <f>R104+Q104</f>
        <v>0</v>
      </c>
    </row>
    <row r="105" spans="1:19" ht="27" customHeight="1" thickTop="1" thickBot="1">
      <c r="A105" s="87"/>
      <c r="B105" s="396"/>
      <c r="C105" s="397"/>
      <c r="D105" s="15" t="s">
        <v>147</v>
      </c>
      <c r="E105" s="106"/>
      <c r="F105" s="104">
        <v>0</v>
      </c>
      <c r="G105" s="102">
        <f>F105+E105</f>
        <v>0</v>
      </c>
      <c r="H105" s="106"/>
      <c r="I105" s="104">
        <v>0</v>
      </c>
      <c r="J105" s="102">
        <f>I105+H105</f>
        <v>0</v>
      </c>
      <c r="K105" s="106"/>
      <c r="L105" s="104">
        <v>0</v>
      </c>
      <c r="M105" s="106"/>
      <c r="N105" s="104">
        <v>0</v>
      </c>
      <c r="O105" s="106"/>
      <c r="P105" s="104">
        <v>0</v>
      </c>
      <c r="Q105" s="106"/>
      <c r="R105" s="102">
        <f>P105+N105+L105</f>
        <v>0</v>
      </c>
      <c r="S105" s="102">
        <f>R105+Q105</f>
        <v>0</v>
      </c>
    </row>
    <row r="106" spans="1:19" ht="27" customHeight="1" thickTop="1" thickBot="1">
      <c r="A106" s="87"/>
      <c r="B106" s="398"/>
      <c r="C106" s="399"/>
      <c r="D106" s="15" t="s">
        <v>25</v>
      </c>
      <c r="E106" s="106"/>
      <c r="F106" s="104">
        <f>F105+F104+F103</f>
        <v>0</v>
      </c>
      <c r="G106" s="104">
        <f>G105+G104+G103</f>
        <v>0</v>
      </c>
      <c r="H106" s="106"/>
      <c r="I106" s="104">
        <f>I105+I104+I103</f>
        <v>0</v>
      </c>
      <c r="J106" s="104">
        <f>J105+J104+J103</f>
        <v>0</v>
      </c>
      <c r="K106" s="106"/>
      <c r="L106" s="104">
        <f>L105+L104+L103</f>
        <v>0</v>
      </c>
      <c r="M106" s="106"/>
      <c r="N106" s="104">
        <f>N105+N104+N103</f>
        <v>0</v>
      </c>
      <c r="O106" s="106"/>
      <c r="P106" s="104">
        <f>P105+P104+P103</f>
        <v>0</v>
      </c>
      <c r="Q106" s="106"/>
      <c r="R106" s="104">
        <f>R105+R104+R103</f>
        <v>0</v>
      </c>
      <c r="S106" s="104">
        <f>S105+S104+S103</f>
        <v>0</v>
      </c>
    </row>
    <row r="107" spans="1:19" ht="27" customHeight="1" thickTop="1" thickBot="1">
      <c r="A107" s="135"/>
      <c r="B107" s="394" t="s">
        <v>488</v>
      </c>
      <c r="C107" s="395"/>
      <c r="D107" s="15" t="s">
        <v>145</v>
      </c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</row>
    <row r="108" spans="1:19" ht="27" customHeight="1" thickTop="1" thickBot="1">
      <c r="A108" s="135"/>
      <c r="B108" s="396"/>
      <c r="C108" s="397"/>
      <c r="D108" s="15" t="s">
        <v>146</v>
      </c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</row>
    <row r="109" spans="1:19" ht="27" customHeight="1" thickTop="1" thickBot="1">
      <c r="A109" s="135"/>
      <c r="B109" s="396"/>
      <c r="C109" s="397"/>
      <c r="D109" s="15" t="s">
        <v>147</v>
      </c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</row>
    <row r="110" spans="1:19" ht="27" customHeight="1" thickTop="1" thickBot="1">
      <c r="A110" s="135"/>
      <c r="B110" s="398"/>
      <c r="C110" s="399"/>
      <c r="D110" s="15" t="s">
        <v>25</v>
      </c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</row>
    <row r="111" spans="1:19" ht="27" customHeight="1" thickTop="1" thickBot="1">
      <c r="A111" s="87"/>
      <c r="B111" s="400" t="s">
        <v>397</v>
      </c>
      <c r="C111" s="401"/>
      <c r="D111" s="15" t="s">
        <v>145</v>
      </c>
      <c r="E111" s="102">
        <f>المهني!CZ43</f>
        <v>0</v>
      </c>
      <c r="F111" s="102">
        <f>المهني!DA43</f>
        <v>0</v>
      </c>
      <c r="G111" s="102">
        <f>F111+E111</f>
        <v>0</v>
      </c>
      <c r="H111" s="102">
        <f>المهني!DR43</f>
        <v>28</v>
      </c>
      <c r="I111" s="102">
        <f>المهني!DS43</f>
        <v>0</v>
      </c>
      <c r="J111" s="102">
        <f>I111+H111</f>
        <v>28</v>
      </c>
      <c r="K111" s="102">
        <f>المهني!EA43</f>
        <v>10</v>
      </c>
      <c r="L111" s="102">
        <f>المهني!EB43</f>
        <v>0</v>
      </c>
      <c r="M111" s="102">
        <f>المهني!EJ43</f>
        <v>0</v>
      </c>
      <c r="N111" s="102">
        <f>المهني!EK43</f>
        <v>0</v>
      </c>
      <c r="O111" s="102">
        <f>المهني!ES43</f>
        <v>0</v>
      </c>
      <c r="P111" s="102">
        <f>المهني!ET43</f>
        <v>0</v>
      </c>
      <c r="Q111" s="102">
        <f t="shared" ref="Q111:R113" si="51">O111+M111+K111</f>
        <v>10</v>
      </c>
      <c r="R111" s="102">
        <f t="shared" si="51"/>
        <v>0</v>
      </c>
      <c r="S111" s="102">
        <f>R111+Q111</f>
        <v>10</v>
      </c>
    </row>
    <row r="112" spans="1:19" ht="27" customHeight="1" thickTop="1" thickBot="1">
      <c r="A112" s="87"/>
      <c r="B112" s="402"/>
      <c r="C112" s="403"/>
      <c r="D112" s="15" t="s">
        <v>146</v>
      </c>
      <c r="E112" s="102">
        <f>المهني!DB43</f>
        <v>1</v>
      </c>
      <c r="F112" s="102">
        <f>المهني!DC43</f>
        <v>0</v>
      </c>
      <c r="G112" s="102">
        <f>F112+E112</f>
        <v>1</v>
      </c>
      <c r="H112" s="102">
        <f>المهني!DT43</f>
        <v>27</v>
      </c>
      <c r="I112" s="102">
        <f>المهني!DU43</f>
        <v>0</v>
      </c>
      <c r="J112" s="102">
        <f>I112+H112</f>
        <v>27</v>
      </c>
      <c r="K112" s="102">
        <f>المهني!EC43</f>
        <v>6</v>
      </c>
      <c r="L112" s="102">
        <f>المهني!ED43</f>
        <v>0</v>
      </c>
      <c r="M112" s="102">
        <f>المهني!EL43</f>
        <v>0</v>
      </c>
      <c r="N112" s="102">
        <f>المهني!EM43</f>
        <v>0</v>
      </c>
      <c r="O112" s="102">
        <f>المهني!EU43</f>
        <v>0</v>
      </c>
      <c r="P112" s="102">
        <f>المهني!EV43</f>
        <v>0</v>
      </c>
      <c r="Q112" s="102">
        <f t="shared" si="51"/>
        <v>6</v>
      </c>
      <c r="R112" s="102">
        <f t="shared" si="51"/>
        <v>0</v>
      </c>
      <c r="S112" s="102">
        <f>R112+Q112</f>
        <v>6</v>
      </c>
    </row>
    <row r="113" spans="1:19" ht="27" customHeight="1" thickTop="1" thickBot="1">
      <c r="A113" s="87"/>
      <c r="B113" s="402"/>
      <c r="C113" s="403"/>
      <c r="D113" s="15" t="s">
        <v>147</v>
      </c>
      <c r="E113" s="102">
        <f>المهني!DD43</f>
        <v>0</v>
      </c>
      <c r="F113" s="102">
        <f>المهني!DE43</f>
        <v>0</v>
      </c>
      <c r="G113" s="102">
        <f>F113+E113</f>
        <v>0</v>
      </c>
      <c r="H113" s="102">
        <f>المهني!DV43</f>
        <v>42</v>
      </c>
      <c r="I113" s="102">
        <f>المهني!DW43</f>
        <v>0</v>
      </c>
      <c r="J113" s="102">
        <f>I113+H113</f>
        <v>42</v>
      </c>
      <c r="K113" s="102">
        <f>المهني!EE43</f>
        <v>8</v>
      </c>
      <c r="L113" s="102">
        <f>المهني!EF43</f>
        <v>0</v>
      </c>
      <c r="M113" s="102">
        <f>المهني!EN43</f>
        <v>4</v>
      </c>
      <c r="N113" s="102">
        <f>المهني!EO43</f>
        <v>0</v>
      </c>
      <c r="O113" s="102">
        <f>المهني!EW43</f>
        <v>0</v>
      </c>
      <c r="P113" s="102">
        <f>المهني!EX43</f>
        <v>0</v>
      </c>
      <c r="Q113" s="102">
        <f t="shared" si="51"/>
        <v>12</v>
      </c>
      <c r="R113" s="102">
        <f t="shared" si="51"/>
        <v>0</v>
      </c>
      <c r="S113" s="102">
        <f>R113+Q113</f>
        <v>12</v>
      </c>
    </row>
    <row r="114" spans="1:19" ht="27" customHeight="1" thickTop="1" thickBot="1">
      <c r="A114" s="87"/>
      <c r="B114" s="404"/>
      <c r="C114" s="405"/>
      <c r="D114" s="15" t="s">
        <v>25</v>
      </c>
      <c r="E114" s="102">
        <f t="shared" ref="E114:S114" si="52">E113+E112+E111</f>
        <v>1</v>
      </c>
      <c r="F114" s="102">
        <f t="shared" si="52"/>
        <v>0</v>
      </c>
      <c r="G114" s="102">
        <f t="shared" si="52"/>
        <v>1</v>
      </c>
      <c r="H114" s="14">
        <f t="shared" si="52"/>
        <v>97</v>
      </c>
      <c r="I114" s="14">
        <f t="shared" si="52"/>
        <v>0</v>
      </c>
      <c r="J114" s="14">
        <f t="shared" si="52"/>
        <v>97</v>
      </c>
      <c r="K114" s="14">
        <f t="shared" si="52"/>
        <v>24</v>
      </c>
      <c r="L114" s="14">
        <f t="shared" si="52"/>
        <v>0</v>
      </c>
      <c r="M114" s="14">
        <f t="shared" si="52"/>
        <v>4</v>
      </c>
      <c r="N114" s="14">
        <f t="shared" si="52"/>
        <v>0</v>
      </c>
      <c r="O114" s="14">
        <f t="shared" si="52"/>
        <v>0</v>
      </c>
      <c r="P114" s="14">
        <f t="shared" si="52"/>
        <v>0</v>
      </c>
      <c r="Q114" s="102">
        <f t="shared" si="52"/>
        <v>28</v>
      </c>
      <c r="R114" s="102">
        <f t="shared" si="52"/>
        <v>0</v>
      </c>
      <c r="S114" s="102">
        <f t="shared" si="52"/>
        <v>28</v>
      </c>
    </row>
    <row r="115" spans="1:19" ht="27" customHeight="1" thickTop="1" thickBot="1">
      <c r="A115" s="87"/>
      <c r="B115" s="394" t="s">
        <v>139</v>
      </c>
      <c r="C115" s="395"/>
      <c r="D115" s="15" t="s">
        <v>145</v>
      </c>
      <c r="E115" s="102">
        <f t="shared" ref="E115:S115" si="53">E103+E99+E95+E91+E111</f>
        <v>2</v>
      </c>
      <c r="F115" s="102">
        <f t="shared" si="53"/>
        <v>0</v>
      </c>
      <c r="G115" s="102">
        <f t="shared" si="53"/>
        <v>2</v>
      </c>
      <c r="H115" s="14">
        <f t="shared" si="53"/>
        <v>84</v>
      </c>
      <c r="I115" s="14">
        <f t="shared" si="53"/>
        <v>0</v>
      </c>
      <c r="J115" s="14">
        <f t="shared" si="53"/>
        <v>84</v>
      </c>
      <c r="K115" s="14">
        <f t="shared" si="53"/>
        <v>16</v>
      </c>
      <c r="L115" s="14">
        <f t="shared" si="53"/>
        <v>0</v>
      </c>
      <c r="M115" s="14">
        <f t="shared" si="53"/>
        <v>1</v>
      </c>
      <c r="N115" s="14">
        <f t="shared" si="53"/>
        <v>0</v>
      </c>
      <c r="O115" s="14">
        <f t="shared" si="53"/>
        <v>0</v>
      </c>
      <c r="P115" s="14">
        <f t="shared" si="53"/>
        <v>0</v>
      </c>
      <c r="Q115" s="14">
        <f t="shared" si="53"/>
        <v>17</v>
      </c>
      <c r="R115" s="14">
        <f t="shared" si="53"/>
        <v>0</v>
      </c>
      <c r="S115" s="14">
        <f t="shared" si="53"/>
        <v>17</v>
      </c>
    </row>
    <row r="116" spans="1:19" ht="27" customHeight="1" thickTop="1" thickBot="1">
      <c r="A116" s="87"/>
      <c r="B116" s="396"/>
      <c r="C116" s="397"/>
      <c r="D116" s="15" t="s">
        <v>146</v>
      </c>
      <c r="E116" s="102">
        <f t="shared" ref="E116:S116" si="54">E104+E100+E96+E92+E112</f>
        <v>1</v>
      </c>
      <c r="F116" s="102">
        <f t="shared" si="54"/>
        <v>0</v>
      </c>
      <c r="G116" s="102">
        <f t="shared" si="54"/>
        <v>1</v>
      </c>
      <c r="H116" s="14">
        <f t="shared" si="54"/>
        <v>63</v>
      </c>
      <c r="I116" s="14">
        <f t="shared" si="54"/>
        <v>0</v>
      </c>
      <c r="J116" s="14">
        <f t="shared" si="54"/>
        <v>63</v>
      </c>
      <c r="K116" s="14">
        <f t="shared" si="54"/>
        <v>13</v>
      </c>
      <c r="L116" s="14">
        <f t="shared" si="54"/>
        <v>0</v>
      </c>
      <c r="M116" s="14">
        <f t="shared" si="54"/>
        <v>1</v>
      </c>
      <c r="N116" s="14">
        <f t="shared" si="54"/>
        <v>0</v>
      </c>
      <c r="O116" s="14">
        <f t="shared" si="54"/>
        <v>0</v>
      </c>
      <c r="P116" s="14">
        <f t="shared" si="54"/>
        <v>0</v>
      </c>
      <c r="Q116" s="14">
        <f t="shared" si="54"/>
        <v>14</v>
      </c>
      <c r="R116" s="14">
        <f t="shared" si="54"/>
        <v>0</v>
      </c>
      <c r="S116" s="14">
        <f t="shared" si="54"/>
        <v>14</v>
      </c>
    </row>
    <row r="117" spans="1:19" ht="27" customHeight="1" thickTop="1" thickBot="1">
      <c r="A117" s="87"/>
      <c r="B117" s="396"/>
      <c r="C117" s="397"/>
      <c r="D117" s="15" t="s">
        <v>147</v>
      </c>
      <c r="E117" s="102">
        <f t="shared" ref="E117:S117" si="55">E105+E101+E97+E93+E113</f>
        <v>2</v>
      </c>
      <c r="F117" s="102">
        <f t="shared" si="55"/>
        <v>0</v>
      </c>
      <c r="G117" s="102">
        <f t="shared" si="55"/>
        <v>2</v>
      </c>
      <c r="H117" s="14">
        <f t="shared" si="55"/>
        <v>90</v>
      </c>
      <c r="I117" s="14">
        <f t="shared" si="55"/>
        <v>0</v>
      </c>
      <c r="J117" s="14">
        <f t="shared" si="55"/>
        <v>90</v>
      </c>
      <c r="K117" s="14">
        <f t="shared" si="55"/>
        <v>30</v>
      </c>
      <c r="L117" s="14">
        <f t="shared" si="55"/>
        <v>0</v>
      </c>
      <c r="M117" s="14">
        <f t="shared" si="55"/>
        <v>9</v>
      </c>
      <c r="N117" s="14">
        <f t="shared" si="55"/>
        <v>0</v>
      </c>
      <c r="O117" s="14">
        <f t="shared" si="55"/>
        <v>0</v>
      </c>
      <c r="P117" s="14">
        <f t="shared" si="55"/>
        <v>0</v>
      </c>
      <c r="Q117" s="14">
        <f t="shared" si="55"/>
        <v>39</v>
      </c>
      <c r="R117" s="14">
        <f t="shared" si="55"/>
        <v>0</v>
      </c>
      <c r="S117" s="14">
        <f t="shared" si="55"/>
        <v>39</v>
      </c>
    </row>
    <row r="118" spans="1:19" ht="27" customHeight="1" thickTop="1" thickBot="1">
      <c r="A118" s="87"/>
      <c r="B118" s="398"/>
      <c r="C118" s="399"/>
      <c r="D118" s="15" t="s">
        <v>25</v>
      </c>
      <c r="E118" s="102">
        <f t="shared" ref="E118:S118" si="56">E106+E102+E98+E94+E114</f>
        <v>5</v>
      </c>
      <c r="F118" s="102">
        <f t="shared" si="56"/>
        <v>0</v>
      </c>
      <c r="G118" s="102">
        <f t="shared" si="56"/>
        <v>5</v>
      </c>
      <c r="H118" s="14">
        <f t="shared" si="56"/>
        <v>237</v>
      </c>
      <c r="I118" s="14">
        <f t="shared" si="56"/>
        <v>0</v>
      </c>
      <c r="J118" s="14">
        <f t="shared" si="56"/>
        <v>237</v>
      </c>
      <c r="K118" s="14">
        <f t="shared" si="56"/>
        <v>59</v>
      </c>
      <c r="L118" s="14">
        <f t="shared" si="56"/>
        <v>0</v>
      </c>
      <c r="M118" s="14">
        <f t="shared" si="56"/>
        <v>11</v>
      </c>
      <c r="N118" s="14">
        <f t="shared" si="56"/>
        <v>0</v>
      </c>
      <c r="O118" s="14">
        <f t="shared" si="56"/>
        <v>0</v>
      </c>
      <c r="P118" s="14">
        <f t="shared" si="56"/>
        <v>0</v>
      </c>
      <c r="Q118" s="14">
        <f t="shared" si="56"/>
        <v>70</v>
      </c>
      <c r="R118" s="14">
        <f t="shared" si="56"/>
        <v>0</v>
      </c>
      <c r="S118" s="14">
        <f t="shared" si="56"/>
        <v>70</v>
      </c>
    </row>
    <row r="119" spans="1:19" ht="27" customHeight="1" thickTop="1"/>
    <row r="120" spans="1:19" ht="27" customHeight="1">
      <c r="A120" s="328" t="s">
        <v>148</v>
      </c>
      <c r="B120" s="328"/>
      <c r="C120" s="328"/>
      <c r="D120" s="328"/>
      <c r="E120" s="328"/>
      <c r="F120" s="86"/>
      <c r="G120" s="86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328" t="s">
        <v>112</v>
      </c>
      <c r="S120" s="328"/>
    </row>
    <row r="121" spans="1:19" ht="27" customHeight="1">
      <c r="A121" s="334" t="s">
        <v>188</v>
      </c>
      <c r="B121" s="334"/>
      <c r="C121" s="334"/>
      <c r="D121" s="334"/>
      <c r="E121" s="334"/>
      <c r="F121" s="87"/>
      <c r="G121" s="87"/>
      <c r="H121" s="87"/>
      <c r="I121" s="334" t="s">
        <v>187</v>
      </c>
      <c r="J121" s="334"/>
      <c r="K121" s="334"/>
      <c r="L121" s="334"/>
      <c r="M121" s="87"/>
      <c r="N121" s="87"/>
      <c r="O121" s="87"/>
      <c r="P121" s="87"/>
      <c r="Q121" s="87"/>
      <c r="R121" s="87"/>
      <c r="S121" s="87"/>
    </row>
    <row r="122" spans="1:19" ht="27" customHeight="1">
      <c r="A122" s="87"/>
      <c r="B122" s="328" t="s">
        <v>149</v>
      </c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</row>
    <row r="123" spans="1:19" ht="27" customHeight="1">
      <c r="A123" s="87"/>
      <c r="B123" s="328" t="s">
        <v>536</v>
      </c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</row>
    <row r="124" spans="1:19" ht="27" customHeight="1">
      <c r="A124" s="87"/>
      <c r="B124" s="329" t="s">
        <v>515</v>
      </c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</row>
    <row r="125" spans="1:19" ht="27" customHeight="1" thickBot="1">
      <c r="A125" s="87"/>
      <c r="B125" s="90"/>
      <c r="C125" s="90"/>
      <c r="D125" s="90"/>
      <c r="E125" s="90"/>
      <c r="F125" s="90"/>
      <c r="G125" s="90"/>
      <c r="H125" s="90"/>
      <c r="I125" s="90"/>
      <c r="J125" s="90"/>
      <c r="K125" s="99"/>
      <c r="L125" s="99"/>
      <c r="M125" s="99"/>
      <c r="N125" s="99"/>
      <c r="O125" s="86"/>
      <c r="P125" s="87"/>
      <c r="Q125" s="87"/>
      <c r="R125" s="87"/>
      <c r="S125" s="87"/>
    </row>
    <row r="126" spans="1:19" ht="27" customHeight="1" thickTop="1" thickBot="1">
      <c r="A126" s="87"/>
      <c r="B126" s="355" t="s">
        <v>115</v>
      </c>
      <c r="C126" s="357"/>
      <c r="D126" s="335" t="s">
        <v>142</v>
      </c>
      <c r="E126" s="324" t="s">
        <v>539</v>
      </c>
      <c r="F126" s="406"/>
      <c r="G126" s="325"/>
      <c r="H126" s="324" t="s">
        <v>513</v>
      </c>
      <c r="I126" s="406"/>
      <c r="J126" s="325"/>
      <c r="K126" s="331" t="s">
        <v>514</v>
      </c>
      <c r="L126" s="332"/>
      <c r="M126" s="332"/>
      <c r="N126" s="332"/>
      <c r="O126" s="332"/>
      <c r="P126" s="332"/>
      <c r="Q126" s="332"/>
      <c r="R126" s="332"/>
      <c r="S126" s="333"/>
    </row>
    <row r="127" spans="1:19" ht="27" customHeight="1" thickTop="1" thickBot="1">
      <c r="A127" s="87"/>
      <c r="B127" s="386"/>
      <c r="C127" s="387"/>
      <c r="D127" s="354"/>
      <c r="E127" s="326"/>
      <c r="F127" s="407"/>
      <c r="G127" s="327"/>
      <c r="H127" s="326"/>
      <c r="I127" s="407"/>
      <c r="J127" s="327"/>
      <c r="K127" s="331" t="s">
        <v>150</v>
      </c>
      <c r="L127" s="333"/>
      <c r="M127" s="331" t="s">
        <v>151</v>
      </c>
      <c r="N127" s="333"/>
      <c r="O127" s="331" t="s">
        <v>152</v>
      </c>
      <c r="P127" s="333"/>
      <c r="Q127" s="331" t="s">
        <v>153</v>
      </c>
      <c r="R127" s="332"/>
      <c r="S127" s="333"/>
    </row>
    <row r="128" spans="1:19" ht="27" customHeight="1" thickTop="1" thickBot="1">
      <c r="A128" s="87"/>
      <c r="B128" s="358"/>
      <c r="C128" s="360"/>
      <c r="D128" s="336"/>
      <c r="E128" s="14" t="s">
        <v>5</v>
      </c>
      <c r="F128" s="14" t="s">
        <v>6</v>
      </c>
      <c r="G128" s="14" t="s">
        <v>25</v>
      </c>
      <c r="H128" s="14" t="s">
        <v>5</v>
      </c>
      <c r="I128" s="14" t="s">
        <v>6</v>
      </c>
      <c r="J128" s="14" t="s">
        <v>25</v>
      </c>
      <c r="K128" s="96" t="s">
        <v>5</v>
      </c>
      <c r="L128" s="96" t="s">
        <v>6</v>
      </c>
      <c r="M128" s="96" t="s">
        <v>5</v>
      </c>
      <c r="N128" s="96" t="s">
        <v>6</v>
      </c>
      <c r="O128" s="96" t="s">
        <v>5</v>
      </c>
      <c r="P128" s="96" t="s">
        <v>6</v>
      </c>
      <c r="Q128" s="96" t="s">
        <v>5</v>
      </c>
      <c r="R128" s="96" t="s">
        <v>6</v>
      </c>
      <c r="S128" s="14" t="s">
        <v>25</v>
      </c>
    </row>
    <row r="129" spans="1:19" ht="27" customHeight="1" thickTop="1" thickBot="1">
      <c r="A129" s="87"/>
      <c r="B129" s="394" t="s">
        <v>123</v>
      </c>
      <c r="C129" s="395"/>
      <c r="D129" s="15" t="s">
        <v>145</v>
      </c>
      <c r="E129" s="102">
        <f>المهني!CZ19</f>
        <v>6</v>
      </c>
      <c r="F129" s="102">
        <f>المهني!DA19</f>
        <v>0</v>
      </c>
      <c r="G129" s="102">
        <f>F129+E129</f>
        <v>6</v>
      </c>
      <c r="H129" s="102">
        <f>المهني!DR19</f>
        <v>54</v>
      </c>
      <c r="I129" s="102">
        <f>المهني!DS19</f>
        <v>22</v>
      </c>
      <c r="J129" s="102">
        <f>I129+H129</f>
        <v>76</v>
      </c>
      <c r="K129" s="102">
        <f>المهني!EA19</f>
        <v>0</v>
      </c>
      <c r="L129" s="102">
        <f>المهني!EB19</f>
        <v>0</v>
      </c>
      <c r="M129" s="102">
        <f>المهني!EJ19</f>
        <v>0</v>
      </c>
      <c r="N129" s="102">
        <f>المهني!EK19</f>
        <v>0</v>
      </c>
      <c r="O129" s="102">
        <f>المهني!ES19</f>
        <v>0</v>
      </c>
      <c r="P129" s="102">
        <f>المهني!ET19</f>
        <v>0</v>
      </c>
      <c r="Q129" s="102">
        <f t="shared" ref="Q129:R131" si="57">O129+M129+K129</f>
        <v>0</v>
      </c>
      <c r="R129" s="102">
        <f t="shared" si="57"/>
        <v>0</v>
      </c>
      <c r="S129" s="102">
        <f>R129+Q129</f>
        <v>0</v>
      </c>
    </row>
    <row r="130" spans="1:19" ht="27" customHeight="1" thickTop="1" thickBot="1">
      <c r="A130" s="87"/>
      <c r="B130" s="396"/>
      <c r="C130" s="397"/>
      <c r="D130" s="15" t="s">
        <v>146</v>
      </c>
      <c r="E130" s="102">
        <f>المهني!DB19</f>
        <v>2</v>
      </c>
      <c r="F130" s="102">
        <f>المهني!DC19</f>
        <v>0</v>
      </c>
      <c r="G130" s="102">
        <f>F130+E130</f>
        <v>2</v>
      </c>
      <c r="H130" s="102">
        <f>المهني!DT19</f>
        <v>44</v>
      </c>
      <c r="I130" s="102">
        <f>المهني!DU19</f>
        <v>21</v>
      </c>
      <c r="J130" s="102">
        <f>I130+H130</f>
        <v>65</v>
      </c>
      <c r="K130" s="102">
        <f>المهني!EC19</f>
        <v>0</v>
      </c>
      <c r="L130" s="102">
        <f>المهني!ED19</f>
        <v>0</v>
      </c>
      <c r="M130" s="102">
        <f>المهني!EL19</f>
        <v>0</v>
      </c>
      <c r="N130" s="102">
        <f>المهني!EM19</f>
        <v>0</v>
      </c>
      <c r="O130" s="102">
        <f>المهني!EU19</f>
        <v>0</v>
      </c>
      <c r="P130" s="102">
        <f>المهني!EV19</f>
        <v>0</v>
      </c>
      <c r="Q130" s="102">
        <f t="shared" si="57"/>
        <v>0</v>
      </c>
      <c r="R130" s="102">
        <f t="shared" si="57"/>
        <v>0</v>
      </c>
      <c r="S130" s="102">
        <f>R130+Q130</f>
        <v>0</v>
      </c>
    </row>
    <row r="131" spans="1:19" ht="27" customHeight="1" thickTop="1" thickBot="1">
      <c r="A131" s="87"/>
      <c r="B131" s="396"/>
      <c r="C131" s="397"/>
      <c r="D131" s="15" t="s">
        <v>147</v>
      </c>
      <c r="E131" s="102">
        <f>المهني!DD19</f>
        <v>10</v>
      </c>
      <c r="F131" s="102">
        <f>المهني!DE19</f>
        <v>0</v>
      </c>
      <c r="G131" s="102">
        <f>F131+E131</f>
        <v>10</v>
      </c>
      <c r="H131" s="102">
        <f>المهني!DV19</f>
        <v>40</v>
      </c>
      <c r="I131" s="102">
        <f>المهني!DW19</f>
        <v>23</v>
      </c>
      <c r="J131" s="102">
        <f>I131+H131</f>
        <v>63</v>
      </c>
      <c r="K131" s="102">
        <f>المهني!EE19</f>
        <v>16</v>
      </c>
      <c r="L131" s="102">
        <f>المهني!EF19</f>
        <v>1</v>
      </c>
      <c r="M131" s="102">
        <f>المهني!EN19</f>
        <v>0</v>
      </c>
      <c r="N131" s="102">
        <f>المهني!EO19</f>
        <v>0</v>
      </c>
      <c r="O131" s="102">
        <f>المهني!EW19</f>
        <v>0</v>
      </c>
      <c r="P131" s="102">
        <f>المهني!EX19</f>
        <v>0</v>
      </c>
      <c r="Q131" s="102">
        <f t="shared" si="57"/>
        <v>16</v>
      </c>
      <c r="R131" s="102">
        <f t="shared" si="57"/>
        <v>1</v>
      </c>
      <c r="S131" s="102">
        <f>R131+Q131</f>
        <v>17</v>
      </c>
    </row>
    <row r="132" spans="1:19" ht="27" customHeight="1" thickTop="1" thickBot="1">
      <c r="A132" s="87"/>
      <c r="B132" s="398"/>
      <c r="C132" s="399"/>
      <c r="D132" s="15" t="s">
        <v>25</v>
      </c>
      <c r="E132" s="102">
        <f t="shared" ref="E132:S132" si="58">E131+E130+E129</f>
        <v>18</v>
      </c>
      <c r="F132" s="102">
        <f t="shared" si="58"/>
        <v>0</v>
      </c>
      <c r="G132" s="102">
        <f t="shared" si="58"/>
        <v>18</v>
      </c>
      <c r="H132" s="102">
        <f t="shared" si="58"/>
        <v>138</v>
      </c>
      <c r="I132" s="102">
        <f t="shared" si="58"/>
        <v>66</v>
      </c>
      <c r="J132" s="102">
        <f t="shared" si="58"/>
        <v>204</v>
      </c>
      <c r="K132" s="102">
        <f t="shared" si="58"/>
        <v>16</v>
      </c>
      <c r="L132" s="102">
        <f t="shared" si="58"/>
        <v>1</v>
      </c>
      <c r="M132" s="102">
        <f t="shared" si="58"/>
        <v>0</v>
      </c>
      <c r="N132" s="102">
        <f t="shared" si="58"/>
        <v>0</v>
      </c>
      <c r="O132" s="102">
        <f t="shared" si="58"/>
        <v>0</v>
      </c>
      <c r="P132" s="102">
        <f t="shared" si="58"/>
        <v>0</v>
      </c>
      <c r="Q132" s="102">
        <f t="shared" si="58"/>
        <v>16</v>
      </c>
      <c r="R132" s="102">
        <f t="shared" si="58"/>
        <v>1</v>
      </c>
      <c r="S132" s="102">
        <f t="shared" si="58"/>
        <v>17</v>
      </c>
    </row>
    <row r="133" spans="1:19" ht="27" customHeight="1" thickTop="1" thickBot="1">
      <c r="A133" s="87"/>
      <c r="B133" s="394" t="s">
        <v>124</v>
      </c>
      <c r="C133" s="395"/>
      <c r="D133" s="15" t="s">
        <v>145</v>
      </c>
      <c r="E133" s="102">
        <v>0</v>
      </c>
      <c r="F133" s="102">
        <v>0</v>
      </c>
      <c r="G133" s="102">
        <f>F133+E133</f>
        <v>0</v>
      </c>
      <c r="H133" s="102">
        <v>0</v>
      </c>
      <c r="I133" s="102">
        <v>0</v>
      </c>
      <c r="J133" s="102">
        <f>I133+H133</f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f t="shared" ref="Q133:R135" si="59">O133+M133+K133</f>
        <v>0</v>
      </c>
      <c r="R133" s="102">
        <f t="shared" si="59"/>
        <v>0</v>
      </c>
      <c r="S133" s="102">
        <f>R133+Q133</f>
        <v>0</v>
      </c>
    </row>
    <row r="134" spans="1:19" ht="27" customHeight="1" thickTop="1" thickBot="1">
      <c r="A134" s="87"/>
      <c r="B134" s="396"/>
      <c r="C134" s="397"/>
      <c r="D134" s="15" t="s">
        <v>146</v>
      </c>
      <c r="E134" s="102">
        <v>0</v>
      </c>
      <c r="F134" s="102">
        <v>0</v>
      </c>
      <c r="G134" s="102">
        <f>F134+E134</f>
        <v>0</v>
      </c>
      <c r="H134" s="102">
        <v>0</v>
      </c>
      <c r="I134" s="102">
        <v>0</v>
      </c>
      <c r="J134" s="102">
        <f>I134+H134</f>
        <v>0</v>
      </c>
      <c r="K134" s="102">
        <v>0</v>
      </c>
      <c r="L134" s="102">
        <v>0</v>
      </c>
      <c r="M134" s="102">
        <v>0</v>
      </c>
      <c r="N134" s="102">
        <v>0</v>
      </c>
      <c r="O134" s="102">
        <v>0</v>
      </c>
      <c r="P134" s="102">
        <v>0</v>
      </c>
      <c r="Q134" s="102">
        <f t="shared" si="59"/>
        <v>0</v>
      </c>
      <c r="R134" s="102">
        <f t="shared" si="59"/>
        <v>0</v>
      </c>
      <c r="S134" s="102">
        <f>R134+Q134</f>
        <v>0</v>
      </c>
    </row>
    <row r="135" spans="1:19" ht="27" customHeight="1" thickTop="1" thickBot="1">
      <c r="A135" s="87"/>
      <c r="B135" s="396"/>
      <c r="C135" s="397"/>
      <c r="D135" s="15" t="s">
        <v>147</v>
      </c>
      <c r="E135" s="102">
        <v>0</v>
      </c>
      <c r="F135" s="102">
        <v>0</v>
      </c>
      <c r="G135" s="102">
        <f>F135+E135</f>
        <v>0</v>
      </c>
      <c r="H135" s="102">
        <v>0</v>
      </c>
      <c r="I135" s="102">
        <v>0</v>
      </c>
      <c r="J135" s="102">
        <f>I135+H135</f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f t="shared" si="59"/>
        <v>0</v>
      </c>
      <c r="R135" s="102">
        <f t="shared" si="59"/>
        <v>0</v>
      </c>
      <c r="S135" s="102">
        <f>R135+Q135</f>
        <v>0</v>
      </c>
    </row>
    <row r="136" spans="1:19" ht="27" customHeight="1" thickTop="1" thickBot="1">
      <c r="A136" s="87"/>
      <c r="B136" s="398"/>
      <c r="C136" s="399"/>
      <c r="D136" s="15" t="s">
        <v>25</v>
      </c>
      <c r="E136" s="102">
        <f t="shared" ref="E136:S136" si="60">E135+E134+E133</f>
        <v>0</v>
      </c>
      <c r="F136" s="102">
        <f t="shared" si="60"/>
        <v>0</v>
      </c>
      <c r="G136" s="102">
        <f t="shared" si="60"/>
        <v>0</v>
      </c>
      <c r="H136" s="102">
        <f t="shared" si="60"/>
        <v>0</v>
      </c>
      <c r="I136" s="102">
        <f t="shared" si="60"/>
        <v>0</v>
      </c>
      <c r="J136" s="102">
        <f t="shared" si="60"/>
        <v>0</v>
      </c>
      <c r="K136" s="102">
        <f t="shared" si="60"/>
        <v>0</v>
      </c>
      <c r="L136" s="102">
        <f t="shared" si="60"/>
        <v>0</v>
      </c>
      <c r="M136" s="102">
        <f t="shared" si="60"/>
        <v>0</v>
      </c>
      <c r="N136" s="102">
        <f t="shared" si="60"/>
        <v>0</v>
      </c>
      <c r="O136" s="102">
        <f t="shared" si="60"/>
        <v>0</v>
      </c>
      <c r="P136" s="102">
        <f t="shared" si="60"/>
        <v>0</v>
      </c>
      <c r="Q136" s="102">
        <f t="shared" si="60"/>
        <v>0</v>
      </c>
      <c r="R136" s="102">
        <f t="shared" si="60"/>
        <v>0</v>
      </c>
      <c r="S136" s="102">
        <f t="shared" si="60"/>
        <v>0</v>
      </c>
    </row>
    <row r="137" spans="1:19" ht="27" customHeight="1" thickTop="1" thickBot="1">
      <c r="A137" s="87"/>
      <c r="B137" s="394" t="s">
        <v>125</v>
      </c>
      <c r="C137" s="395"/>
      <c r="D137" s="15" t="s">
        <v>145</v>
      </c>
      <c r="E137" s="102">
        <v>0</v>
      </c>
      <c r="F137" s="102">
        <v>0</v>
      </c>
      <c r="G137" s="102">
        <f>F137+E137</f>
        <v>0</v>
      </c>
      <c r="H137" s="102">
        <v>0</v>
      </c>
      <c r="I137" s="102">
        <v>0</v>
      </c>
      <c r="J137" s="102">
        <f>I137+H137</f>
        <v>0</v>
      </c>
      <c r="K137" s="102">
        <v>0</v>
      </c>
      <c r="L137" s="102">
        <v>0</v>
      </c>
      <c r="M137" s="102">
        <v>0</v>
      </c>
      <c r="N137" s="102">
        <v>0</v>
      </c>
      <c r="O137" s="102">
        <v>0</v>
      </c>
      <c r="P137" s="102">
        <v>0</v>
      </c>
      <c r="Q137" s="102">
        <f t="shared" ref="Q137:R139" si="61">O137+M137+K137</f>
        <v>0</v>
      </c>
      <c r="R137" s="102">
        <f t="shared" si="61"/>
        <v>0</v>
      </c>
      <c r="S137" s="102">
        <f>R137+Q137</f>
        <v>0</v>
      </c>
    </row>
    <row r="138" spans="1:19" ht="27" customHeight="1" thickTop="1" thickBot="1">
      <c r="A138" s="87"/>
      <c r="B138" s="396"/>
      <c r="C138" s="397"/>
      <c r="D138" s="15" t="s">
        <v>146</v>
      </c>
      <c r="E138" s="102">
        <v>0</v>
      </c>
      <c r="F138" s="102">
        <v>0</v>
      </c>
      <c r="G138" s="102">
        <f>F138+E138</f>
        <v>0</v>
      </c>
      <c r="H138" s="102">
        <v>0</v>
      </c>
      <c r="I138" s="102">
        <v>0</v>
      </c>
      <c r="J138" s="102">
        <f>I138+H138</f>
        <v>0</v>
      </c>
      <c r="K138" s="102">
        <v>0</v>
      </c>
      <c r="L138" s="102">
        <v>0</v>
      </c>
      <c r="M138" s="102">
        <v>0</v>
      </c>
      <c r="N138" s="102">
        <v>0</v>
      </c>
      <c r="O138" s="102">
        <v>0</v>
      </c>
      <c r="P138" s="102">
        <v>0</v>
      </c>
      <c r="Q138" s="102">
        <f t="shared" si="61"/>
        <v>0</v>
      </c>
      <c r="R138" s="102">
        <f t="shared" si="61"/>
        <v>0</v>
      </c>
      <c r="S138" s="102">
        <f>R138+Q138</f>
        <v>0</v>
      </c>
    </row>
    <row r="139" spans="1:19" ht="27" customHeight="1" thickTop="1" thickBot="1">
      <c r="A139" s="87"/>
      <c r="B139" s="396"/>
      <c r="C139" s="397"/>
      <c r="D139" s="15" t="s">
        <v>147</v>
      </c>
      <c r="E139" s="102">
        <v>0</v>
      </c>
      <c r="F139" s="102">
        <v>0</v>
      </c>
      <c r="G139" s="102">
        <f>F139+E139</f>
        <v>0</v>
      </c>
      <c r="H139" s="102">
        <v>0</v>
      </c>
      <c r="I139" s="102">
        <v>0</v>
      </c>
      <c r="J139" s="102">
        <f>I139+H139</f>
        <v>0</v>
      </c>
      <c r="K139" s="102">
        <v>0</v>
      </c>
      <c r="L139" s="102">
        <v>0</v>
      </c>
      <c r="M139" s="102">
        <v>0</v>
      </c>
      <c r="N139" s="102">
        <v>0</v>
      </c>
      <c r="O139" s="102">
        <v>0</v>
      </c>
      <c r="P139" s="102">
        <v>0</v>
      </c>
      <c r="Q139" s="102">
        <f t="shared" si="61"/>
        <v>0</v>
      </c>
      <c r="R139" s="102">
        <f t="shared" si="61"/>
        <v>0</v>
      </c>
      <c r="S139" s="102">
        <f>R139+Q139</f>
        <v>0</v>
      </c>
    </row>
    <row r="140" spans="1:19" ht="27" customHeight="1" thickTop="1" thickBot="1">
      <c r="A140" s="87"/>
      <c r="B140" s="398"/>
      <c r="C140" s="399"/>
      <c r="D140" s="15" t="s">
        <v>25</v>
      </c>
      <c r="E140" s="102">
        <f t="shared" ref="E140:S140" si="62">E139+E138+E137</f>
        <v>0</v>
      </c>
      <c r="F140" s="102">
        <f t="shared" si="62"/>
        <v>0</v>
      </c>
      <c r="G140" s="102">
        <f t="shared" si="62"/>
        <v>0</v>
      </c>
      <c r="H140" s="102">
        <f t="shared" si="62"/>
        <v>0</v>
      </c>
      <c r="I140" s="102">
        <f t="shared" si="62"/>
        <v>0</v>
      </c>
      <c r="J140" s="102">
        <f t="shared" si="62"/>
        <v>0</v>
      </c>
      <c r="K140" s="102">
        <f t="shared" si="62"/>
        <v>0</v>
      </c>
      <c r="L140" s="102">
        <f t="shared" si="62"/>
        <v>0</v>
      </c>
      <c r="M140" s="102">
        <f t="shared" si="62"/>
        <v>0</v>
      </c>
      <c r="N140" s="102">
        <f t="shared" si="62"/>
        <v>0</v>
      </c>
      <c r="O140" s="102">
        <f t="shared" si="62"/>
        <v>0</v>
      </c>
      <c r="P140" s="102">
        <f t="shared" si="62"/>
        <v>0</v>
      </c>
      <c r="Q140" s="102">
        <f t="shared" si="62"/>
        <v>0</v>
      </c>
      <c r="R140" s="102">
        <f t="shared" si="62"/>
        <v>0</v>
      </c>
      <c r="S140" s="102">
        <f t="shared" si="62"/>
        <v>0</v>
      </c>
    </row>
    <row r="141" spans="1:19" ht="27" customHeight="1" thickTop="1" thickBot="1">
      <c r="A141" s="87"/>
      <c r="B141" s="394" t="s">
        <v>216</v>
      </c>
      <c r="C141" s="395"/>
      <c r="D141" s="15" t="s">
        <v>145</v>
      </c>
      <c r="E141" s="106"/>
      <c r="F141" s="104">
        <v>0</v>
      </c>
      <c r="G141" s="102">
        <f>F141+E141</f>
        <v>0</v>
      </c>
      <c r="H141" s="106"/>
      <c r="I141" s="104">
        <v>0</v>
      </c>
      <c r="J141" s="102">
        <f>I141+H141</f>
        <v>0</v>
      </c>
      <c r="K141" s="106"/>
      <c r="L141" s="104">
        <v>0</v>
      </c>
      <c r="M141" s="106"/>
      <c r="N141" s="104">
        <v>0</v>
      </c>
      <c r="O141" s="106"/>
      <c r="P141" s="104">
        <v>0</v>
      </c>
      <c r="Q141" s="106"/>
      <c r="R141" s="102">
        <f>P141+N141+L141</f>
        <v>0</v>
      </c>
      <c r="S141" s="102">
        <f>R141+Q141</f>
        <v>0</v>
      </c>
    </row>
    <row r="142" spans="1:19" ht="27" customHeight="1" thickTop="1" thickBot="1">
      <c r="A142" s="87"/>
      <c r="B142" s="396"/>
      <c r="C142" s="397"/>
      <c r="D142" s="15" t="s">
        <v>146</v>
      </c>
      <c r="E142" s="106"/>
      <c r="F142" s="104">
        <v>0</v>
      </c>
      <c r="G142" s="102">
        <f>F142+E142</f>
        <v>0</v>
      </c>
      <c r="H142" s="106"/>
      <c r="I142" s="104">
        <v>0</v>
      </c>
      <c r="J142" s="102">
        <f>I142+H142</f>
        <v>0</v>
      </c>
      <c r="K142" s="106"/>
      <c r="L142" s="104">
        <v>0</v>
      </c>
      <c r="M142" s="106"/>
      <c r="N142" s="104">
        <v>0</v>
      </c>
      <c r="O142" s="106"/>
      <c r="P142" s="104">
        <v>0</v>
      </c>
      <c r="Q142" s="106"/>
      <c r="R142" s="102">
        <f>P142+N142+L142</f>
        <v>0</v>
      </c>
      <c r="S142" s="102">
        <f>R142+Q142</f>
        <v>0</v>
      </c>
    </row>
    <row r="143" spans="1:19" ht="27" customHeight="1" thickTop="1" thickBot="1">
      <c r="A143" s="87"/>
      <c r="B143" s="396"/>
      <c r="C143" s="397"/>
      <c r="D143" s="15" t="s">
        <v>147</v>
      </c>
      <c r="E143" s="106"/>
      <c r="F143" s="104">
        <v>0</v>
      </c>
      <c r="G143" s="102">
        <f>F143+E143</f>
        <v>0</v>
      </c>
      <c r="H143" s="106"/>
      <c r="I143" s="104">
        <v>0</v>
      </c>
      <c r="J143" s="102">
        <f>I143+H143</f>
        <v>0</v>
      </c>
      <c r="K143" s="106"/>
      <c r="L143" s="104">
        <v>0</v>
      </c>
      <c r="M143" s="106"/>
      <c r="N143" s="104">
        <v>0</v>
      </c>
      <c r="O143" s="106"/>
      <c r="P143" s="104">
        <v>0</v>
      </c>
      <c r="Q143" s="106"/>
      <c r="R143" s="102">
        <f>P143+N143+L143</f>
        <v>0</v>
      </c>
      <c r="S143" s="102">
        <f>R143+Q143</f>
        <v>0</v>
      </c>
    </row>
    <row r="144" spans="1:19" ht="27" customHeight="1" thickTop="1" thickBot="1">
      <c r="A144" s="87"/>
      <c r="B144" s="398"/>
      <c r="C144" s="399"/>
      <c r="D144" s="15" t="s">
        <v>25</v>
      </c>
      <c r="E144" s="106"/>
      <c r="F144" s="104">
        <f>F143+F142+F141</f>
        <v>0</v>
      </c>
      <c r="G144" s="104">
        <f>G143+G142+G141</f>
        <v>0</v>
      </c>
      <c r="H144" s="106"/>
      <c r="I144" s="104">
        <f>I143+I142+I141</f>
        <v>0</v>
      </c>
      <c r="J144" s="104">
        <f>J143+J142+J141</f>
        <v>0</v>
      </c>
      <c r="K144" s="106"/>
      <c r="L144" s="104">
        <f>L143+L142+L141</f>
        <v>0</v>
      </c>
      <c r="M144" s="106"/>
      <c r="N144" s="104">
        <f>N143+N142+N141</f>
        <v>0</v>
      </c>
      <c r="O144" s="106"/>
      <c r="P144" s="104">
        <f>P143+P142+P141</f>
        <v>0</v>
      </c>
      <c r="Q144" s="106"/>
      <c r="R144" s="104">
        <f>R143+R142+R141</f>
        <v>0</v>
      </c>
      <c r="S144" s="104">
        <f>S143+S142+S141</f>
        <v>0</v>
      </c>
    </row>
    <row r="145" spans="1:19" ht="27" customHeight="1" thickTop="1" thickBot="1">
      <c r="A145" s="135"/>
      <c r="B145" s="394" t="s">
        <v>216</v>
      </c>
      <c r="C145" s="395"/>
      <c r="D145" s="15" t="s">
        <v>145</v>
      </c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</row>
    <row r="146" spans="1:19" ht="27" customHeight="1" thickTop="1" thickBot="1">
      <c r="A146" s="135"/>
      <c r="B146" s="396"/>
      <c r="C146" s="397"/>
      <c r="D146" s="15" t="s">
        <v>146</v>
      </c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</row>
    <row r="147" spans="1:19" ht="27" customHeight="1" thickTop="1" thickBot="1">
      <c r="A147" s="135"/>
      <c r="B147" s="396"/>
      <c r="C147" s="397"/>
      <c r="D147" s="15" t="s">
        <v>147</v>
      </c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</row>
    <row r="148" spans="1:19" ht="27" customHeight="1" thickTop="1" thickBot="1">
      <c r="A148" s="135"/>
      <c r="B148" s="398"/>
      <c r="C148" s="399"/>
      <c r="D148" s="15" t="s">
        <v>25</v>
      </c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</row>
    <row r="149" spans="1:19" ht="27" customHeight="1" thickTop="1" thickBot="1">
      <c r="A149" s="87"/>
      <c r="B149" s="394" t="s">
        <v>397</v>
      </c>
      <c r="C149" s="395"/>
      <c r="D149" s="15" t="s">
        <v>145</v>
      </c>
      <c r="E149" s="102">
        <f>المهني!CZ45</f>
        <v>5</v>
      </c>
      <c r="F149" s="102">
        <f>المهني!DA45</f>
        <v>0</v>
      </c>
      <c r="G149" s="102">
        <f>F149+E149</f>
        <v>5</v>
      </c>
      <c r="H149" s="102">
        <f>المهني!DR45</f>
        <v>44</v>
      </c>
      <c r="I149" s="102">
        <f>المهني!DS45</f>
        <v>36</v>
      </c>
      <c r="J149" s="14">
        <f>I149+H149</f>
        <v>80</v>
      </c>
      <c r="K149" s="102">
        <f>المهني!EA45</f>
        <v>17</v>
      </c>
      <c r="L149" s="102">
        <f>المهني!EB45</f>
        <v>0</v>
      </c>
      <c r="M149" s="102">
        <f>المهني!EJ45</f>
        <v>0</v>
      </c>
      <c r="N149" s="102">
        <f>المهني!EK45</f>
        <v>0</v>
      </c>
      <c r="O149" s="102">
        <f>المهني!ES45</f>
        <v>0</v>
      </c>
      <c r="P149" s="102">
        <f>المهني!ET45</f>
        <v>0</v>
      </c>
      <c r="Q149" s="102">
        <f t="shared" ref="Q149:R151" si="63">O149+M149+K149</f>
        <v>17</v>
      </c>
      <c r="R149" s="102">
        <f t="shared" si="63"/>
        <v>0</v>
      </c>
      <c r="S149" s="102">
        <f>R149+Q149</f>
        <v>17</v>
      </c>
    </row>
    <row r="150" spans="1:19" ht="27" customHeight="1" thickTop="1" thickBot="1">
      <c r="A150" s="87"/>
      <c r="B150" s="396"/>
      <c r="C150" s="397"/>
      <c r="D150" s="15" t="s">
        <v>146</v>
      </c>
      <c r="E150" s="102">
        <f>المهني!DB45</f>
        <v>2</v>
      </c>
      <c r="F150" s="102">
        <f>المهني!DC45</f>
        <v>0</v>
      </c>
      <c r="G150" s="102">
        <f>F150+E150</f>
        <v>2</v>
      </c>
      <c r="H150" s="102">
        <f>المهني!DT45</f>
        <v>31</v>
      </c>
      <c r="I150" s="102">
        <f>المهني!DU45</f>
        <v>17</v>
      </c>
      <c r="J150" s="14">
        <f>I150+H150</f>
        <v>48</v>
      </c>
      <c r="K150" s="102">
        <f>المهني!EC45</f>
        <v>12</v>
      </c>
      <c r="L150" s="102">
        <f>المهني!ED45</f>
        <v>1</v>
      </c>
      <c r="M150" s="102">
        <f>المهني!EL45</f>
        <v>0</v>
      </c>
      <c r="N150" s="102">
        <f>المهني!EM45</f>
        <v>0</v>
      </c>
      <c r="O150" s="102">
        <f>المهني!EU45</f>
        <v>0</v>
      </c>
      <c r="P150" s="102">
        <f>المهني!EV45</f>
        <v>0</v>
      </c>
      <c r="Q150" s="102">
        <f t="shared" si="63"/>
        <v>12</v>
      </c>
      <c r="R150" s="102">
        <f t="shared" si="63"/>
        <v>1</v>
      </c>
      <c r="S150" s="102">
        <f>R150+Q150</f>
        <v>13</v>
      </c>
    </row>
    <row r="151" spans="1:19" ht="27" customHeight="1" thickTop="1" thickBot="1">
      <c r="A151" s="87"/>
      <c r="B151" s="396"/>
      <c r="C151" s="397"/>
      <c r="D151" s="15" t="s">
        <v>147</v>
      </c>
      <c r="E151" s="102">
        <f>المهني!DD45</f>
        <v>10</v>
      </c>
      <c r="F151" s="102">
        <f>المهني!DE45</f>
        <v>0</v>
      </c>
      <c r="G151" s="102">
        <f>F151+E151</f>
        <v>10</v>
      </c>
      <c r="H151" s="102">
        <f>المهني!DV45</f>
        <v>41</v>
      </c>
      <c r="I151" s="102">
        <f>المهني!DW45</f>
        <v>17</v>
      </c>
      <c r="J151" s="14">
        <f>I151+H151</f>
        <v>58</v>
      </c>
      <c r="K151" s="102">
        <f>المهني!EE45</f>
        <v>10</v>
      </c>
      <c r="L151" s="102">
        <f>المهني!EF45</f>
        <v>1</v>
      </c>
      <c r="M151" s="102">
        <f>المهني!EN45</f>
        <v>0</v>
      </c>
      <c r="N151" s="102">
        <f>المهني!EO45</f>
        <v>0</v>
      </c>
      <c r="O151" s="102">
        <f>المهني!EW45</f>
        <v>0</v>
      </c>
      <c r="P151" s="102">
        <f>المهني!EX45</f>
        <v>0</v>
      </c>
      <c r="Q151" s="102">
        <f t="shared" si="63"/>
        <v>10</v>
      </c>
      <c r="R151" s="102">
        <f t="shared" si="63"/>
        <v>1</v>
      </c>
      <c r="S151" s="102">
        <f>R151+Q151</f>
        <v>11</v>
      </c>
    </row>
    <row r="152" spans="1:19" ht="27" customHeight="1" thickTop="1" thickBot="1">
      <c r="A152" s="87"/>
      <c r="B152" s="398"/>
      <c r="C152" s="399"/>
      <c r="D152" s="15" t="s">
        <v>25</v>
      </c>
      <c r="E152" s="102">
        <f>E151+E150+E149</f>
        <v>17</v>
      </c>
      <c r="F152" s="102">
        <f>F151+F150+F149</f>
        <v>0</v>
      </c>
      <c r="G152" s="102">
        <f>G151+G150+G149</f>
        <v>17</v>
      </c>
      <c r="H152" s="14">
        <f t="shared" ref="H152:P152" si="64">SUM(H149:H151)</f>
        <v>116</v>
      </c>
      <c r="I152" s="14">
        <f t="shared" si="64"/>
        <v>70</v>
      </c>
      <c r="J152" s="14">
        <f t="shared" si="64"/>
        <v>186</v>
      </c>
      <c r="K152" s="14">
        <f t="shared" si="64"/>
        <v>39</v>
      </c>
      <c r="L152" s="14">
        <f t="shared" si="64"/>
        <v>2</v>
      </c>
      <c r="M152" s="14">
        <f t="shared" si="64"/>
        <v>0</v>
      </c>
      <c r="N152" s="14">
        <f t="shared" si="64"/>
        <v>0</v>
      </c>
      <c r="O152" s="14">
        <f t="shared" si="64"/>
        <v>0</v>
      </c>
      <c r="P152" s="14">
        <f t="shared" si="64"/>
        <v>0</v>
      </c>
      <c r="Q152" s="102">
        <f>Q151+Q150+Q149</f>
        <v>39</v>
      </c>
      <c r="R152" s="102">
        <f>R151+R150+R149</f>
        <v>2</v>
      </c>
      <c r="S152" s="102">
        <f>S151+S150+S149</f>
        <v>41</v>
      </c>
    </row>
    <row r="153" spans="1:19" ht="27" customHeight="1" thickTop="1" thickBot="1">
      <c r="A153" s="87"/>
      <c r="B153" s="394" t="s">
        <v>139</v>
      </c>
      <c r="C153" s="395"/>
      <c r="D153" s="15" t="s">
        <v>145</v>
      </c>
      <c r="E153" s="102">
        <f t="shared" ref="E153:S153" si="65">E141+E137+E133+E129+E149</f>
        <v>11</v>
      </c>
      <c r="F153" s="102">
        <f t="shared" si="65"/>
        <v>0</v>
      </c>
      <c r="G153" s="102">
        <f t="shared" si="65"/>
        <v>11</v>
      </c>
      <c r="H153" s="14">
        <f t="shared" si="65"/>
        <v>98</v>
      </c>
      <c r="I153" s="14">
        <f t="shared" si="65"/>
        <v>58</v>
      </c>
      <c r="J153" s="14">
        <f t="shared" si="65"/>
        <v>156</v>
      </c>
      <c r="K153" s="14">
        <f t="shared" si="65"/>
        <v>17</v>
      </c>
      <c r="L153" s="14">
        <f t="shared" si="65"/>
        <v>0</v>
      </c>
      <c r="M153" s="14">
        <f t="shared" si="65"/>
        <v>0</v>
      </c>
      <c r="N153" s="14">
        <f t="shared" si="65"/>
        <v>0</v>
      </c>
      <c r="O153" s="14">
        <f t="shared" si="65"/>
        <v>0</v>
      </c>
      <c r="P153" s="14">
        <f t="shared" si="65"/>
        <v>0</v>
      </c>
      <c r="Q153" s="14">
        <f t="shared" si="65"/>
        <v>17</v>
      </c>
      <c r="R153" s="14">
        <f t="shared" si="65"/>
        <v>0</v>
      </c>
      <c r="S153" s="14">
        <f t="shared" si="65"/>
        <v>17</v>
      </c>
    </row>
    <row r="154" spans="1:19" ht="27" customHeight="1" thickTop="1" thickBot="1">
      <c r="A154" s="87"/>
      <c r="B154" s="396"/>
      <c r="C154" s="397"/>
      <c r="D154" s="15" t="s">
        <v>146</v>
      </c>
      <c r="E154" s="102">
        <f t="shared" ref="E154:S154" si="66">E142+E138+E134+E130+E150</f>
        <v>4</v>
      </c>
      <c r="F154" s="102">
        <f t="shared" si="66"/>
        <v>0</v>
      </c>
      <c r="G154" s="102">
        <f t="shared" si="66"/>
        <v>4</v>
      </c>
      <c r="H154" s="14">
        <f t="shared" si="66"/>
        <v>75</v>
      </c>
      <c r="I154" s="14">
        <f t="shared" si="66"/>
        <v>38</v>
      </c>
      <c r="J154" s="14">
        <f t="shared" si="66"/>
        <v>113</v>
      </c>
      <c r="K154" s="14">
        <f t="shared" si="66"/>
        <v>12</v>
      </c>
      <c r="L154" s="14">
        <f t="shared" si="66"/>
        <v>1</v>
      </c>
      <c r="M154" s="14">
        <f t="shared" si="66"/>
        <v>0</v>
      </c>
      <c r="N154" s="14">
        <f t="shared" si="66"/>
        <v>0</v>
      </c>
      <c r="O154" s="14">
        <f t="shared" si="66"/>
        <v>0</v>
      </c>
      <c r="P154" s="14">
        <f t="shared" si="66"/>
        <v>0</v>
      </c>
      <c r="Q154" s="14">
        <f t="shared" si="66"/>
        <v>12</v>
      </c>
      <c r="R154" s="14">
        <f t="shared" si="66"/>
        <v>1</v>
      </c>
      <c r="S154" s="14">
        <f t="shared" si="66"/>
        <v>13</v>
      </c>
    </row>
    <row r="155" spans="1:19" ht="27" customHeight="1" thickTop="1" thickBot="1">
      <c r="A155" s="87"/>
      <c r="B155" s="396"/>
      <c r="C155" s="397"/>
      <c r="D155" s="15" t="s">
        <v>147</v>
      </c>
      <c r="E155" s="102">
        <f t="shared" ref="E155:S155" si="67">E143+E139+E135+E131+E151</f>
        <v>20</v>
      </c>
      <c r="F155" s="102">
        <f t="shared" si="67"/>
        <v>0</v>
      </c>
      <c r="G155" s="102">
        <f t="shared" si="67"/>
        <v>20</v>
      </c>
      <c r="H155" s="14">
        <f t="shared" si="67"/>
        <v>81</v>
      </c>
      <c r="I155" s="14">
        <f t="shared" si="67"/>
        <v>40</v>
      </c>
      <c r="J155" s="14">
        <f t="shared" si="67"/>
        <v>121</v>
      </c>
      <c r="K155" s="14">
        <f t="shared" si="67"/>
        <v>26</v>
      </c>
      <c r="L155" s="14">
        <f t="shared" si="67"/>
        <v>2</v>
      </c>
      <c r="M155" s="14">
        <f t="shared" si="67"/>
        <v>0</v>
      </c>
      <c r="N155" s="14">
        <f t="shared" si="67"/>
        <v>0</v>
      </c>
      <c r="O155" s="14">
        <f t="shared" si="67"/>
        <v>0</v>
      </c>
      <c r="P155" s="14">
        <f t="shared" si="67"/>
        <v>0</v>
      </c>
      <c r="Q155" s="14">
        <f t="shared" si="67"/>
        <v>26</v>
      </c>
      <c r="R155" s="14">
        <f t="shared" si="67"/>
        <v>2</v>
      </c>
      <c r="S155" s="14">
        <f t="shared" si="67"/>
        <v>28</v>
      </c>
    </row>
    <row r="156" spans="1:19" ht="27" customHeight="1" thickTop="1" thickBot="1">
      <c r="A156" s="87"/>
      <c r="B156" s="398"/>
      <c r="C156" s="399"/>
      <c r="D156" s="15" t="s">
        <v>25</v>
      </c>
      <c r="E156" s="102">
        <f t="shared" ref="E156:S156" si="68">E144+E140+E136+E132+E152</f>
        <v>35</v>
      </c>
      <c r="F156" s="102">
        <f t="shared" si="68"/>
        <v>0</v>
      </c>
      <c r="G156" s="102">
        <f t="shared" si="68"/>
        <v>35</v>
      </c>
      <c r="H156" s="14">
        <f t="shared" si="68"/>
        <v>254</v>
      </c>
      <c r="I156" s="14">
        <f t="shared" si="68"/>
        <v>136</v>
      </c>
      <c r="J156" s="14">
        <f t="shared" si="68"/>
        <v>390</v>
      </c>
      <c r="K156" s="14">
        <f t="shared" si="68"/>
        <v>55</v>
      </c>
      <c r="L156" s="14">
        <f t="shared" si="68"/>
        <v>3</v>
      </c>
      <c r="M156" s="14">
        <f t="shared" si="68"/>
        <v>0</v>
      </c>
      <c r="N156" s="14">
        <f t="shared" si="68"/>
        <v>0</v>
      </c>
      <c r="O156" s="14">
        <f t="shared" si="68"/>
        <v>0</v>
      </c>
      <c r="P156" s="14">
        <f t="shared" si="68"/>
        <v>0</v>
      </c>
      <c r="Q156" s="14">
        <f t="shared" si="68"/>
        <v>55</v>
      </c>
      <c r="R156" s="14">
        <f t="shared" si="68"/>
        <v>3</v>
      </c>
      <c r="S156" s="14">
        <f t="shared" si="68"/>
        <v>58</v>
      </c>
    </row>
    <row r="157" spans="1:19" ht="27" customHeight="1" thickTop="1"/>
  </sheetData>
  <mergeCells count="93">
    <mergeCell ref="B69:C72"/>
    <mergeCell ref="B107:C110"/>
    <mergeCell ref="B145:C148"/>
    <mergeCell ref="B153:C156"/>
    <mergeCell ref="B141:C144"/>
    <mergeCell ref="B137:C140"/>
    <mergeCell ref="B149:C152"/>
    <mergeCell ref="B95:C98"/>
    <mergeCell ref="B91:C94"/>
    <mergeCell ref="B133:C136"/>
    <mergeCell ref="B129:C132"/>
    <mergeCell ref="B115:C118"/>
    <mergeCell ref="B103:C106"/>
    <mergeCell ref="B99:C102"/>
    <mergeCell ref="B111:C114"/>
    <mergeCell ref="K126:S126"/>
    <mergeCell ref="A120:E120"/>
    <mergeCell ref="R120:S120"/>
    <mergeCell ref="A121:E121"/>
    <mergeCell ref="I121:L121"/>
    <mergeCell ref="B122:S122"/>
    <mergeCell ref="D126:D128"/>
    <mergeCell ref="E126:G127"/>
    <mergeCell ref="B123:S123"/>
    <mergeCell ref="B124:S124"/>
    <mergeCell ref="B126:C128"/>
    <mergeCell ref="K127:L127"/>
    <mergeCell ref="M127:N127"/>
    <mergeCell ref="O127:P127"/>
    <mergeCell ref="Q127:S127"/>
    <mergeCell ref="H126:J127"/>
    <mergeCell ref="B48:S48"/>
    <mergeCell ref="B50:C52"/>
    <mergeCell ref="K51:L51"/>
    <mergeCell ref="K50:S50"/>
    <mergeCell ref="H50:J51"/>
    <mergeCell ref="M51:N51"/>
    <mergeCell ref="E88:G89"/>
    <mergeCell ref="A82:E82"/>
    <mergeCell ref="R82:S82"/>
    <mergeCell ref="A83:E83"/>
    <mergeCell ref="I83:L83"/>
    <mergeCell ref="B84:S84"/>
    <mergeCell ref="B85:S85"/>
    <mergeCell ref="B86:S86"/>
    <mergeCell ref="B88:C90"/>
    <mergeCell ref="H88:J89"/>
    <mergeCell ref="K88:S88"/>
    <mergeCell ref="K89:L89"/>
    <mergeCell ref="M89:N89"/>
    <mergeCell ref="O89:P89"/>
    <mergeCell ref="Q89:S89"/>
    <mergeCell ref="D88:D90"/>
    <mergeCell ref="A44:E44"/>
    <mergeCell ref="B77:C80"/>
    <mergeCell ref="B65:C68"/>
    <mergeCell ref="B61:C64"/>
    <mergeCell ref="B57:C60"/>
    <mergeCell ref="B73:C76"/>
    <mergeCell ref="B47:S47"/>
    <mergeCell ref="O51:P51"/>
    <mergeCell ref="Q51:S51"/>
    <mergeCell ref="E50:G51"/>
    <mergeCell ref="B53:C56"/>
    <mergeCell ref="D50:D52"/>
    <mergeCell ref="R44:S44"/>
    <mergeCell ref="A45:E45"/>
    <mergeCell ref="I45:L45"/>
    <mergeCell ref="B46:S46"/>
    <mergeCell ref="R1:S1"/>
    <mergeCell ref="H7:J8"/>
    <mergeCell ref="K7:S7"/>
    <mergeCell ref="K8:L8"/>
    <mergeCell ref="O8:P8"/>
    <mergeCell ref="B5:S5"/>
    <mergeCell ref="E7:G8"/>
    <mergeCell ref="I2:L2"/>
    <mergeCell ref="A1:F1"/>
    <mergeCell ref="A2:F2"/>
    <mergeCell ref="B14:C17"/>
    <mergeCell ref="B18:C21"/>
    <mergeCell ref="B4:S4"/>
    <mergeCell ref="B3:S3"/>
    <mergeCell ref="B38:C41"/>
    <mergeCell ref="B22:C25"/>
    <mergeCell ref="Q8:S8"/>
    <mergeCell ref="M8:N8"/>
    <mergeCell ref="B10:C13"/>
    <mergeCell ref="B7:C9"/>
    <mergeCell ref="D7:D9"/>
    <mergeCell ref="B34:C37"/>
    <mergeCell ref="B26:C29"/>
    <mergeCell ref="B30:C33"/>
  </mergeCells>
  <printOptions horizontalCentered="1" verticalCentered="1"/>
  <pageMargins left="0.19685039370078741" right="0.19685039370078741" top="0.23622047244094491" bottom="0.19685039370078741" header="0.19685039370078741" footer="0.19685039370078741"/>
  <pageSetup paperSize="9" scale="53" orientation="landscape" horizontalDpi="300" verticalDpi="300" r:id="rId1"/>
  <rowBreaks count="3" manualBreakCount="3">
    <brk id="41" max="18" man="1"/>
    <brk id="81" max="16383" man="1"/>
    <brk id="11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6"/>
  <sheetViews>
    <sheetView rightToLeft="1" view="pageBreakPreview" zoomScale="60" zoomScaleNormal="80" workbookViewId="0">
      <selection activeCell="B19" sqref="B19:S19"/>
    </sheetView>
  </sheetViews>
  <sheetFormatPr defaultColWidth="7.75" defaultRowHeight="29.25" customHeight="1"/>
  <cols>
    <col min="1" max="1" width="5.875" style="38" customWidth="1"/>
    <col min="2" max="2" width="21.125" style="38" customWidth="1"/>
    <col min="3" max="3" width="10.25" style="38" customWidth="1"/>
    <col min="4" max="4" width="17" style="38" customWidth="1"/>
    <col min="5" max="6" width="9" style="38" customWidth="1"/>
    <col min="7" max="7" width="9.375" style="38" customWidth="1"/>
    <col min="8" max="8" width="10.625" style="38" customWidth="1"/>
    <col min="9" max="9" width="8.75" style="38" customWidth="1"/>
    <col min="10" max="10" width="9.375" style="38" customWidth="1"/>
    <col min="11" max="11" width="9" style="38" customWidth="1"/>
    <col min="12" max="12" width="9.625" style="38" customWidth="1"/>
    <col min="13" max="13" width="9" style="38" customWidth="1"/>
    <col min="14" max="14" width="8.75" style="38" customWidth="1"/>
    <col min="15" max="15" width="9.375" style="38" customWidth="1"/>
    <col min="16" max="16" width="7.75" style="38"/>
    <col min="17" max="17" width="10.75" style="38" customWidth="1"/>
    <col min="18" max="18" width="7.75" style="38"/>
    <col min="19" max="19" width="9" style="38" customWidth="1"/>
    <col min="20" max="21" width="9.25" style="38" customWidth="1"/>
    <col min="22" max="22" width="9.625" style="38" customWidth="1"/>
    <col min="23" max="23" width="11.75" style="38" customWidth="1"/>
    <col min="24" max="24" width="10.125" style="38" customWidth="1"/>
    <col min="25" max="16384" width="7.75" style="38"/>
  </cols>
  <sheetData>
    <row r="1" spans="1:23" ht="42" customHeight="1">
      <c r="A1" s="370" t="s">
        <v>148</v>
      </c>
      <c r="B1" s="370"/>
      <c r="C1" s="370"/>
      <c r="D1" s="370"/>
      <c r="E1" s="370"/>
      <c r="F1" s="94"/>
      <c r="G1" s="94"/>
      <c r="H1" s="95"/>
      <c r="I1" s="95"/>
      <c r="J1" s="95"/>
      <c r="K1" s="95"/>
      <c r="L1" s="95"/>
      <c r="M1" s="95"/>
      <c r="N1" s="95"/>
      <c r="O1" s="95"/>
      <c r="P1" s="95"/>
      <c r="Q1" s="95"/>
      <c r="R1" s="370" t="s">
        <v>112</v>
      </c>
      <c r="S1" s="370"/>
      <c r="T1" s="95"/>
      <c r="U1" s="95"/>
      <c r="V1" s="95"/>
      <c r="W1" s="95"/>
    </row>
    <row r="2" spans="1:23" ht="29.25" customHeight="1">
      <c r="A2" s="371" t="s">
        <v>188</v>
      </c>
      <c r="B2" s="371"/>
      <c r="C2" s="371"/>
      <c r="D2" s="371"/>
      <c r="E2" s="371"/>
      <c r="F2" s="94"/>
      <c r="G2" s="94"/>
      <c r="H2" s="95"/>
      <c r="I2" s="95"/>
      <c r="J2" s="95"/>
      <c r="K2" s="95"/>
      <c r="L2" s="95"/>
      <c r="M2" s="95"/>
      <c r="N2" s="95"/>
      <c r="O2" s="95"/>
      <c r="P2" s="95"/>
      <c r="Q2" s="94"/>
      <c r="R2" s="95"/>
      <c r="S2" s="95"/>
      <c r="T2" s="95"/>
      <c r="U2" s="95"/>
      <c r="V2" s="95"/>
      <c r="W2" s="95"/>
    </row>
    <row r="3" spans="1:23" ht="29.25" customHeight="1">
      <c r="A3" s="94"/>
      <c r="B3" s="94"/>
      <c r="C3" s="94"/>
      <c r="D3" s="94"/>
      <c r="E3" s="94"/>
      <c r="F3" s="94"/>
      <c r="G3" s="94"/>
      <c r="H3" s="95"/>
      <c r="I3" s="371" t="s">
        <v>191</v>
      </c>
      <c r="J3" s="371"/>
      <c r="K3" s="371"/>
      <c r="L3" s="371"/>
      <c r="M3" s="95"/>
      <c r="N3" s="95"/>
      <c r="O3" s="95"/>
      <c r="P3" s="95"/>
      <c r="Q3" s="94"/>
      <c r="R3" s="94"/>
      <c r="S3" s="95"/>
      <c r="T3" s="95"/>
      <c r="U3" s="95"/>
      <c r="V3" s="95"/>
      <c r="W3" s="95"/>
    </row>
    <row r="4" spans="1:23" ht="29.25" customHeight="1">
      <c r="A4" s="95"/>
      <c r="B4" s="95"/>
      <c r="C4" s="95"/>
      <c r="D4" s="370" t="s">
        <v>154</v>
      </c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94"/>
      <c r="S4" s="95"/>
      <c r="T4" s="95"/>
      <c r="U4" s="95"/>
      <c r="V4" s="95"/>
      <c r="W4" s="95"/>
    </row>
    <row r="5" spans="1:23" ht="29.25" customHeight="1">
      <c r="A5" s="95"/>
      <c r="B5" s="82"/>
      <c r="C5" s="82"/>
      <c r="D5" s="370" t="s">
        <v>533</v>
      </c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95"/>
      <c r="S5" s="95"/>
      <c r="T5" s="95"/>
      <c r="U5" s="95"/>
      <c r="V5" s="95"/>
      <c r="W5" s="95"/>
    </row>
    <row r="6" spans="1:23" ht="29.25" customHeight="1">
      <c r="A6" s="95"/>
      <c r="B6" s="82"/>
      <c r="C6" s="82"/>
      <c r="D6" s="370" t="s">
        <v>155</v>
      </c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95"/>
      <c r="S6" s="95"/>
      <c r="T6" s="95"/>
      <c r="U6" s="95"/>
      <c r="V6" s="95"/>
      <c r="W6" s="95"/>
    </row>
    <row r="7" spans="1:23" ht="29.25" customHeight="1" thickBot="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ht="29.25" customHeight="1" thickTop="1" thickBot="1">
      <c r="A8" s="95"/>
      <c r="B8" s="95"/>
      <c r="C8" s="95"/>
      <c r="D8" s="416" t="s">
        <v>115</v>
      </c>
      <c r="E8" s="366" t="s">
        <v>30</v>
      </c>
      <c r="F8" s="367"/>
      <c r="G8" s="366" t="s">
        <v>31</v>
      </c>
      <c r="H8" s="367"/>
      <c r="I8" s="366" t="s">
        <v>63</v>
      </c>
      <c r="J8" s="367"/>
      <c r="K8" s="366" t="s">
        <v>181</v>
      </c>
      <c r="L8" s="367"/>
      <c r="M8" s="366" t="s">
        <v>182</v>
      </c>
      <c r="N8" s="367"/>
      <c r="O8" s="366" t="s">
        <v>25</v>
      </c>
      <c r="P8" s="368"/>
      <c r="Q8" s="367"/>
      <c r="R8" s="95"/>
      <c r="S8" s="95"/>
      <c r="T8" s="95"/>
      <c r="U8" s="95"/>
      <c r="V8" s="95"/>
      <c r="W8" s="95"/>
    </row>
    <row r="9" spans="1:23" ht="29.25" customHeight="1" thickTop="1" thickBot="1">
      <c r="A9" s="95"/>
      <c r="B9" s="95"/>
      <c r="C9" s="95"/>
      <c r="D9" s="417"/>
      <c r="E9" s="88" t="s">
        <v>73</v>
      </c>
      <c r="F9" s="88" t="s">
        <v>29</v>
      </c>
      <c r="G9" s="88" t="s">
        <v>73</v>
      </c>
      <c r="H9" s="88" t="s">
        <v>29</v>
      </c>
      <c r="I9" s="88" t="s">
        <v>73</v>
      </c>
      <c r="J9" s="88" t="s">
        <v>29</v>
      </c>
      <c r="K9" s="88" t="s">
        <v>73</v>
      </c>
      <c r="L9" s="88" t="s">
        <v>29</v>
      </c>
      <c r="M9" s="88" t="s">
        <v>73</v>
      </c>
      <c r="N9" s="88" t="s">
        <v>29</v>
      </c>
      <c r="O9" s="88" t="s">
        <v>73</v>
      </c>
      <c r="P9" s="88" t="s">
        <v>29</v>
      </c>
      <c r="Q9" s="88" t="s">
        <v>25</v>
      </c>
      <c r="R9" s="95"/>
      <c r="S9" s="95"/>
      <c r="T9" s="95"/>
      <c r="U9" s="95"/>
      <c r="V9" s="95"/>
      <c r="W9" s="95"/>
    </row>
    <row r="10" spans="1:23" ht="29.25" customHeight="1" thickTop="1" thickBot="1">
      <c r="A10" s="95"/>
      <c r="B10" s="95"/>
      <c r="C10" s="95"/>
      <c r="D10" s="88" t="s">
        <v>123</v>
      </c>
      <c r="E10" s="15">
        <f>المهني!FB20</f>
        <v>6</v>
      </c>
      <c r="F10" s="15">
        <f>المهني!FC20</f>
        <v>2</v>
      </c>
      <c r="G10" s="15">
        <f>المهني!FD20</f>
        <v>15</v>
      </c>
      <c r="H10" s="15">
        <f>المهني!FE20</f>
        <v>6</v>
      </c>
      <c r="I10" s="15">
        <f>المهني!FF20</f>
        <v>125</v>
      </c>
      <c r="J10" s="15">
        <f>المهني!FG20</f>
        <v>126</v>
      </c>
      <c r="K10" s="15">
        <f>المهني!FH20</f>
        <v>51</v>
      </c>
      <c r="L10" s="15">
        <f>المهني!FI20</f>
        <v>69</v>
      </c>
      <c r="M10" s="15">
        <f>المهني!FJ20</f>
        <v>0</v>
      </c>
      <c r="N10" s="15">
        <f>المهني!FK20</f>
        <v>0</v>
      </c>
      <c r="O10" s="15">
        <f t="shared" ref="O10:P13" si="0">M10+K10+I10+G10+E10</f>
        <v>197</v>
      </c>
      <c r="P10" s="15">
        <f t="shared" si="0"/>
        <v>203</v>
      </c>
      <c r="Q10" s="15">
        <f t="shared" ref="Q10:Q15" si="1">P10+O10</f>
        <v>400</v>
      </c>
      <c r="R10" s="95"/>
      <c r="S10" s="5"/>
      <c r="T10" s="5"/>
      <c r="U10" s="5"/>
      <c r="V10" s="95"/>
      <c r="W10" s="95"/>
    </row>
    <row r="11" spans="1:23" ht="29.25" customHeight="1" thickTop="1" thickBot="1">
      <c r="A11" s="95"/>
      <c r="B11" s="95"/>
      <c r="C11" s="95"/>
      <c r="D11" s="88" t="s">
        <v>124</v>
      </c>
      <c r="E11" s="15">
        <f>المهني!FB31</f>
        <v>0</v>
      </c>
      <c r="F11" s="15">
        <f>المهني!FC31</f>
        <v>0</v>
      </c>
      <c r="G11" s="15">
        <f>المهني!FD31</f>
        <v>0</v>
      </c>
      <c r="H11" s="15">
        <f>المهني!FE31</f>
        <v>0</v>
      </c>
      <c r="I11" s="15">
        <f>المهني!FF31</f>
        <v>0</v>
      </c>
      <c r="J11" s="15">
        <f>المهني!FG31</f>
        <v>0</v>
      </c>
      <c r="K11" s="15">
        <f>المهني!FH31</f>
        <v>0</v>
      </c>
      <c r="L11" s="15">
        <f>المهني!FI31</f>
        <v>0</v>
      </c>
      <c r="M11" s="15">
        <f>المهني!FJ31</f>
        <v>0</v>
      </c>
      <c r="N11" s="15">
        <f>المهني!FK26</f>
        <v>0</v>
      </c>
      <c r="O11" s="15">
        <f t="shared" si="0"/>
        <v>0</v>
      </c>
      <c r="P11" s="15">
        <f t="shared" si="0"/>
        <v>0</v>
      </c>
      <c r="Q11" s="15">
        <f t="shared" si="1"/>
        <v>0</v>
      </c>
      <c r="R11" s="95"/>
      <c r="S11" s="5"/>
      <c r="T11" s="5"/>
      <c r="U11" s="5"/>
      <c r="V11" s="95"/>
      <c r="W11" s="95"/>
    </row>
    <row r="12" spans="1:23" ht="29.25" customHeight="1" thickTop="1" thickBot="1">
      <c r="A12" s="95"/>
      <c r="B12" s="95"/>
      <c r="C12" s="95"/>
      <c r="D12" s="88" t="s">
        <v>125</v>
      </c>
      <c r="E12" s="15">
        <f>المهني!FB26</f>
        <v>1</v>
      </c>
      <c r="F12" s="15">
        <f>المهني!FC26</f>
        <v>1</v>
      </c>
      <c r="G12" s="15">
        <f>المهني!FD26</f>
        <v>1</v>
      </c>
      <c r="H12" s="15">
        <f>المهني!FE26</f>
        <v>3</v>
      </c>
      <c r="I12" s="15">
        <f>المهني!FF26</f>
        <v>17</v>
      </c>
      <c r="J12" s="15">
        <f>المهني!FG26</f>
        <v>23</v>
      </c>
      <c r="K12" s="15">
        <f>المهني!FH26</f>
        <v>1</v>
      </c>
      <c r="L12" s="15">
        <f>المهني!FI26</f>
        <v>1</v>
      </c>
      <c r="M12" s="15">
        <f>المهني!FJ26</f>
        <v>0</v>
      </c>
      <c r="N12" s="15">
        <f>المهني!FK26</f>
        <v>0</v>
      </c>
      <c r="O12" s="15">
        <f t="shared" si="0"/>
        <v>20</v>
      </c>
      <c r="P12" s="15">
        <f t="shared" si="0"/>
        <v>28</v>
      </c>
      <c r="Q12" s="15">
        <f t="shared" si="1"/>
        <v>48</v>
      </c>
      <c r="R12" s="95"/>
      <c r="S12" s="5"/>
      <c r="T12" s="5"/>
      <c r="U12" s="5"/>
      <c r="V12" s="95"/>
      <c r="W12" s="95"/>
    </row>
    <row r="13" spans="1:23" ht="29.25" customHeight="1" thickTop="1" thickBot="1">
      <c r="A13" s="95"/>
      <c r="B13" s="95"/>
      <c r="C13" s="95"/>
      <c r="D13" s="88" t="s">
        <v>216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f>المهني!FG35</f>
        <v>0</v>
      </c>
      <c r="K13" s="88">
        <v>0</v>
      </c>
      <c r="L13" s="88">
        <f>المهني!FI35</f>
        <v>0</v>
      </c>
      <c r="M13" s="88">
        <v>0</v>
      </c>
      <c r="N13" s="88">
        <v>0</v>
      </c>
      <c r="O13" s="88">
        <f t="shared" si="0"/>
        <v>0</v>
      </c>
      <c r="P13" s="88">
        <f t="shared" si="0"/>
        <v>0</v>
      </c>
      <c r="Q13" s="88">
        <f t="shared" si="1"/>
        <v>0</v>
      </c>
      <c r="R13" s="95"/>
      <c r="S13" s="5"/>
      <c r="T13" s="5"/>
      <c r="U13" s="5"/>
      <c r="V13" s="95"/>
      <c r="W13" s="95"/>
    </row>
    <row r="14" spans="1:23" ht="29.25" customHeight="1" thickTop="1" thickBot="1">
      <c r="A14" s="138"/>
      <c r="B14" s="138"/>
      <c r="C14" s="138"/>
      <c r="D14" s="136" t="s">
        <v>488</v>
      </c>
      <c r="E14" s="15">
        <f>المهني!FB49</f>
        <v>1</v>
      </c>
      <c r="F14" s="15">
        <f>المهني!FC49</f>
        <v>0</v>
      </c>
      <c r="G14" s="15">
        <f>المهني!FD49</f>
        <v>1</v>
      </c>
      <c r="H14" s="15">
        <f>المهني!FE49</f>
        <v>0</v>
      </c>
      <c r="I14" s="15">
        <f>المهني!FF49</f>
        <v>3</v>
      </c>
      <c r="J14" s="15">
        <f>المهني!FG49</f>
        <v>4</v>
      </c>
      <c r="K14" s="15">
        <f>المهني!FH49</f>
        <v>0</v>
      </c>
      <c r="L14" s="15">
        <f>المهني!FI49</f>
        <v>0</v>
      </c>
      <c r="M14" s="15">
        <f>المهني!FJ49</f>
        <v>0</v>
      </c>
      <c r="N14" s="15">
        <f>المهني!FK49</f>
        <v>0</v>
      </c>
      <c r="O14" s="186">
        <f t="shared" ref="O14" si="2">M14+K14+I14+G14+E14</f>
        <v>5</v>
      </c>
      <c r="P14" s="186">
        <f t="shared" ref="P14" si="3">N14+L14+J14+H14+F14</f>
        <v>4</v>
      </c>
      <c r="Q14" s="186">
        <f t="shared" si="1"/>
        <v>9</v>
      </c>
      <c r="R14" s="138"/>
      <c r="S14" s="5"/>
      <c r="T14" s="5"/>
      <c r="U14" s="5"/>
      <c r="V14" s="138"/>
      <c r="W14" s="138"/>
    </row>
    <row r="15" spans="1:23" ht="29.25" customHeight="1" thickTop="1" thickBot="1">
      <c r="A15" s="187"/>
      <c r="B15" s="187"/>
      <c r="C15" s="187"/>
      <c r="D15" s="186" t="s">
        <v>523</v>
      </c>
      <c r="E15" s="15">
        <f>المهني!FB50</f>
        <v>1</v>
      </c>
      <c r="F15" s="15">
        <f>المهني!FC50</f>
        <v>0</v>
      </c>
      <c r="G15" s="15">
        <f>المهني!FD50</f>
        <v>0</v>
      </c>
      <c r="H15" s="15">
        <f>المهني!FE50</f>
        <v>0</v>
      </c>
      <c r="I15" s="15">
        <f>المهني!FF50</f>
        <v>0</v>
      </c>
      <c r="J15" s="15">
        <f>المهني!FG50</f>
        <v>0</v>
      </c>
      <c r="K15" s="15">
        <f>المهني!FH50</f>
        <v>0</v>
      </c>
      <c r="L15" s="15">
        <f>المهني!FI50</f>
        <v>0</v>
      </c>
      <c r="M15" s="15">
        <f>المهني!FJ50</f>
        <v>0</v>
      </c>
      <c r="N15" s="15">
        <f>المهني!FK50</f>
        <v>0</v>
      </c>
      <c r="O15" s="186">
        <f t="shared" ref="O15" si="4">M15+K15+I15+G15+E15</f>
        <v>1</v>
      </c>
      <c r="P15" s="186">
        <f t="shared" ref="P15" si="5">N15+L15+J15+H15+F15</f>
        <v>0</v>
      </c>
      <c r="Q15" s="186">
        <f t="shared" si="1"/>
        <v>1</v>
      </c>
      <c r="R15" s="187"/>
      <c r="S15" s="5"/>
      <c r="T15" s="5"/>
      <c r="U15" s="5"/>
      <c r="V15" s="187"/>
      <c r="W15" s="187"/>
    </row>
    <row r="16" spans="1:23" ht="35.25" customHeight="1" thickTop="1" thickBot="1">
      <c r="A16" s="95"/>
      <c r="B16" s="95"/>
      <c r="C16" s="95"/>
      <c r="D16" s="57" t="s">
        <v>397</v>
      </c>
      <c r="E16" s="88">
        <f>المهني!FB46</f>
        <v>1</v>
      </c>
      <c r="F16" s="211">
        <f>المهني!FC46</f>
        <v>0</v>
      </c>
      <c r="G16" s="211">
        <f>المهني!FD46</f>
        <v>0</v>
      </c>
      <c r="H16" s="211">
        <f>المهني!FE46</f>
        <v>0</v>
      </c>
      <c r="I16" s="211">
        <f>المهني!FF46</f>
        <v>0</v>
      </c>
      <c r="J16" s="211">
        <f>المهني!FG46</f>
        <v>0</v>
      </c>
      <c r="K16" s="211">
        <f>المهني!FH46</f>
        <v>0</v>
      </c>
      <c r="L16" s="211">
        <f>المهني!FI46</f>
        <v>0</v>
      </c>
      <c r="M16" s="211">
        <f>المهني!FJ46</f>
        <v>0</v>
      </c>
      <c r="N16" s="211">
        <f>المهني!FK46</f>
        <v>0</v>
      </c>
      <c r="O16" s="211">
        <f t="shared" ref="O16" si="6">M16+K16+I16+G16+E16</f>
        <v>1</v>
      </c>
      <c r="P16" s="211">
        <f t="shared" ref="P16" si="7">N16+L16+J16+H16+F16</f>
        <v>0</v>
      </c>
      <c r="Q16" s="211">
        <f t="shared" ref="Q16" si="8">P16+O16</f>
        <v>1</v>
      </c>
      <c r="R16" s="95"/>
      <c r="S16" s="5"/>
      <c r="T16" s="5"/>
      <c r="U16" s="5"/>
      <c r="V16" s="95"/>
      <c r="W16" s="95"/>
    </row>
    <row r="17" spans="1:23" ht="29.25" customHeight="1" thickTop="1" thickBot="1">
      <c r="A17" s="91"/>
      <c r="B17" s="91"/>
      <c r="C17" s="91"/>
      <c r="D17" s="88" t="s">
        <v>25</v>
      </c>
      <c r="E17" s="88">
        <f>E13+E12+E11+E10+E14+E15</f>
        <v>9</v>
      </c>
      <c r="F17" s="186">
        <f t="shared" ref="F17:Q17" si="9">F13+F12+F11+F10+F14+F15</f>
        <v>3</v>
      </c>
      <c r="G17" s="186">
        <f t="shared" si="9"/>
        <v>17</v>
      </c>
      <c r="H17" s="186">
        <f t="shared" si="9"/>
        <v>9</v>
      </c>
      <c r="I17" s="186">
        <f t="shared" si="9"/>
        <v>145</v>
      </c>
      <c r="J17" s="186">
        <f t="shared" si="9"/>
        <v>153</v>
      </c>
      <c r="K17" s="186">
        <f t="shared" si="9"/>
        <v>52</v>
      </c>
      <c r="L17" s="186">
        <f t="shared" si="9"/>
        <v>70</v>
      </c>
      <c r="M17" s="186">
        <f t="shared" si="9"/>
        <v>0</v>
      </c>
      <c r="N17" s="186">
        <f t="shared" si="9"/>
        <v>0</v>
      </c>
      <c r="O17" s="186">
        <f>O13+O12+O11+O10+O14+O15+O16</f>
        <v>224</v>
      </c>
      <c r="P17" s="211">
        <f t="shared" ref="P17:Q17" si="10">P13+P12+P11+P10+P14+P15+P16</f>
        <v>235</v>
      </c>
      <c r="Q17" s="211">
        <f t="shared" si="10"/>
        <v>459</v>
      </c>
      <c r="R17" s="95"/>
      <c r="S17" s="5"/>
      <c r="T17" s="5"/>
      <c r="U17" s="5"/>
      <c r="V17" s="95"/>
      <c r="W17" s="95"/>
    </row>
    <row r="18" spans="1:23" ht="29.25" customHeight="1" thickTop="1">
      <c r="A18" s="414"/>
      <c r="B18" s="414"/>
      <c r="C18" s="414"/>
      <c r="D18" s="414"/>
      <c r="E18" s="415"/>
      <c r="F18" s="415"/>
      <c r="G18" s="415"/>
      <c r="H18" s="415"/>
      <c r="I18" s="415"/>
      <c r="J18" s="415"/>
      <c r="K18" s="415"/>
      <c r="L18" s="415"/>
      <c r="M18" s="94"/>
      <c r="N18" s="94"/>
      <c r="O18" s="94"/>
      <c r="P18" s="94"/>
      <c r="Q18" s="94"/>
      <c r="R18" s="94"/>
      <c r="S18" s="95"/>
      <c r="T18" s="95"/>
      <c r="U18" s="95"/>
      <c r="V18" s="95"/>
      <c r="W18" s="95"/>
    </row>
    <row r="19" spans="1:23" ht="29.25" customHeight="1">
      <c r="A19" s="91"/>
      <c r="B19" s="370" t="s">
        <v>156</v>
      </c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95"/>
      <c r="U19" s="95"/>
      <c r="V19" s="95"/>
      <c r="W19" s="95"/>
    </row>
    <row r="20" spans="1:23" ht="29.25" customHeight="1">
      <c r="A20" s="91"/>
      <c r="B20" s="370" t="s">
        <v>533</v>
      </c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95"/>
      <c r="U20" s="95"/>
      <c r="V20" s="95"/>
      <c r="W20" s="95"/>
    </row>
    <row r="21" spans="1:23" ht="29.25" customHeight="1">
      <c r="A21" s="94"/>
      <c r="B21" s="370" t="s">
        <v>208</v>
      </c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95"/>
      <c r="U21" s="95"/>
      <c r="V21" s="95"/>
      <c r="W21" s="95"/>
    </row>
    <row r="22" spans="1:23" ht="29.25" customHeight="1" thickBo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5"/>
      <c r="T22" s="95"/>
      <c r="U22" s="95"/>
      <c r="V22" s="95"/>
      <c r="W22" s="95"/>
    </row>
    <row r="23" spans="1:23" ht="29.25" customHeight="1" thickTop="1" thickBot="1">
      <c r="A23" s="95"/>
      <c r="B23" s="416" t="s">
        <v>115</v>
      </c>
      <c r="C23" s="366" t="s">
        <v>157</v>
      </c>
      <c r="D23" s="367"/>
      <c r="E23" s="366" t="s">
        <v>69</v>
      </c>
      <c r="F23" s="367"/>
      <c r="G23" s="366" t="s">
        <v>64</v>
      </c>
      <c r="H23" s="367"/>
      <c r="I23" s="366" t="s">
        <v>362</v>
      </c>
      <c r="J23" s="367"/>
      <c r="K23" s="366" t="s">
        <v>363</v>
      </c>
      <c r="L23" s="367"/>
      <c r="M23" s="366" t="s">
        <v>33</v>
      </c>
      <c r="N23" s="367"/>
      <c r="O23" s="366" t="s">
        <v>34</v>
      </c>
      <c r="P23" s="367"/>
      <c r="Q23" s="366" t="s">
        <v>35</v>
      </c>
      <c r="R23" s="367"/>
      <c r="S23" s="366" t="s">
        <v>36</v>
      </c>
      <c r="T23" s="367"/>
      <c r="U23" s="366" t="s">
        <v>25</v>
      </c>
      <c r="V23" s="368"/>
      <c r="W23" s="367"/>
    </row>
    <row r="24" spans="1:23" ht="29.25" customHeight="1" thickTop="1" thickBot="1">
      <c r="A24" s="95"/>
      <c r="B24" s="417"/>
      <c r="C24" s="88" t="s">
        <v>73</v>
      </c>
      <c r="D24" s="88" t="s">
        <v>29</v>
      </c>
      <c r="E24" s="88" t="s">
        <v>73</v>
      </c>
      <c r="F24" s="88" t="s">
        <v>29</v>
      </c>
      <c r="G24" s="88" t="s">
        <v>73</v>
      </c>
      <c r="H24" s="88" t="s">
        <v>29</v>
      </c>
      <c r="I24" s="88" t="s">
        <v>73</v>
      </c>
      <c r="J24" s="88" t="s">
        <v>29</v>
      </c>
      <c r="K24" s="88" t="s">
        <v>73</v>
      </c>
      <c r="L24" s="88" t="s">
        <v>29</v>
      </c>
      <c r="M24" s="88" t="s">
        <v>73</v>
      </c>
      <c r="N24" s="88" t="s">
        <v>29</v>
      </c>
      <c r="O24" s="88" t="s">
        <v>73</v>
      </c>
      <c r="P24" s="88" t="s">
        <v>29</v>
      </c>
      <c r="Q24" s="88" t="s">
        <v>73</v>
      </c>
      <c r="R24" s="88" t="s">
        <v>29</v>
      </c>
      <c r="S24" s="88" t="s">
        <v>73</v>
      </c>
      <c r="T24" s="88" t="s">
        <v>29</v>
      </c>
      <c r="U24" s="88" t="s">
        <v>73</v>
      </c>
      <c r="V24" s="88" t="s">
        <v>29</v>
      </c>
      <c r="W24" s="88" t="s">
        <v>25</v>
      </c>
    </row>
    <row r="25" spans="1:23" ht="29.25" customHeight="1" thickTop="1" thickBot="1">
      <c r="A25" s="95"/>
      <c r="B25" s="88" t="s">
        <v>123</v>
      </c>
      <c r="C25" s="15">
        <f>المهني!NE20</f>
        <v>4</v>
      </c>
      <c r="D25" s="15">
        <f>المهني!NF20</f>
        <v>0</v>
      </c>
      <c r="E25" s="15">
        <f>المهني!NG20</f>
        <v>3</v>
      </c>
      <c r="F25" s="15">
        <f>المهني!NH20</f>
        <v>2</v>
      </c>
      <c r="G25" s="15">
        <f>المهني!NI20</f>
        <v>46</v>
      </c>
      <c r="H25" s="15">
        <f>المهني!NJ20</f>
        <v>62</v>
      </c>
      <c r="I25" s="15">
        <f>المهني!NM20</f>
        <v>30</v>
      </c>
      <c r="J25" s="15">
        <f>المهني!NN20</f>
        <v>50</v>
      </c>
      <c r="K25" s="15">
        <f>المهني!NK20</f>
        <v>85</v>
      </c>
      <c r="L25" s="15">
        <f>المهني!NL20</f>
        <v>78</v>
      </c>
      <c r="M25" s="15">
        <f>المهني!NO20</f>
        <v>0</v>
      </c>
      <c r="N25" s="15">
        <f>المهني!NP20</f>
        <v>0</v>
      </c>
      <c r="O25" s="15">
        <f>المهني!NQ20</f>
        <v>24</v>
      </c>
      <c r="P25" s="15">
        <f>المهني!NR20</f>
        <v>11</v>
      </c>
      <c r="Q25" s="15">
        <f>المهني!NS20</f>
        <v>5</v>
      </c>
      <c r="R25" s="15">
        <f>المهني!NT20</f>
        <v>0</v>
      </c>
      <c r="S25" s="15">
        <f>المهني!NU20</f>
        <v>0</v>
      </c>
      <c r="T25" s="15">
        <f>المهني!NV20</f>
        <v>0</v>
      </c>
      <c r="U25" s="15">
        <f t="shared" ref="U25:V28" si="11">O25+K25+G25+C25+E25+I25+M25+Q25+S25</f>
        <v>197</v>
      </c>
      <c r="V25" s="15">
        <f t="shared" si="11"/>
        <v>203</v>
      </c>
      <c r="W25" s="15">
        <f>V25+U25</f>
        <v>400</v>
      </c>
    </row>
    <row r="26" spans="1:23" ht="29.25" customHeight="1" thickTop="1" thickBot="1">
      <c r="A26" s="95"/>
      <c r="B26" s="88" t="s">
        <v>124</v>
      </c>
      <c r="C26" s="15">
        <f>المهني!NE31</f>
        <v>0</v>
      </c>
      <c r="D26" s="15">
        <f>المهني!NF31</f>
        <v>0</v>
      </c>
      <c r="E26" s="15">
        <f>المهني!NG31</f>
        <v>0</v>
      </c>
      <c r="F26" s="15">
        <f>المهني!NH31</f>
        <v>0</v>
      </c>
      <c r="G26" s="15">
        <f>المهني!NI31</f>
        <v>0</v>
      </c>
      <c r="H26" s="15">
        <f>المهني!NJ31</f>
        <v>0</v>
      </c>
      <c r="I26" s="15">
        <f>المهني!NM31</f>
        <v>0</v>
      </c>
      <c r="J26" s="15">
        <f>المهني!NN31</f>
        <v>0</v>
      </c>
      <c r="K26" s="15">
        <f>المهني!NK31</f>
        <v>0</v>
      </c>
      <c r="L26" s="15">
        <f>المهني!NL31</f>
        <v>0</v>
      </c>
      <c r="M26" s="15">
        <f>المهني!NO31</f>
        <v>0</v>
      </c>
      <c r="N26" s="15">
        <f>المهني!NP31</f>
        <v>0</v>
      </c>
      <c r="O26" s="15">
        <f>المهني!NQ31</f>
        <v>0</v>
      </c>
      <c r="P26" s="15">
        <f>المهني!NR31</f>
        <v>0</v>
      </c>
      <c r="Q26" s="15">
        <f>المهني!NS31</f>
        <v>0</v>
      </c>
      <c r="R26" s="15">
        <f>المهني!NT31</f>
        <v>0</v>
      </c>
      <c r="S26" s="15">
        <v>0</v>
      </c>
      <c r="T26" s="15">
        <v>0</v>
      </c>
      <c r="U26" s="15">
        <f t="shared" si="11"/>
        <v>0</v>
      </c>
      <c r="V26" s="15">
        <f t="shared" si="11"/>
        <v>0</v>
      </c>
      <c r="W26" s="15">
        <f>V26+U26</f>
        <v>0</v>
      </c>
    </row>
    <row r="27" spans="1:23" ht="29.25" customHeight="1" thickTop="1" thickBot="1">
      <c r="A27" s="95"/>
      <c r="B27" s="88" t="s">
        <v>125</v>
      </c>
      <c r="C27" s="15">
        <f>المهني!NE26</f>
        <v>0</v>
      </c>
      <c r="D27" s="15">
        <f>المهني!NF26</f>
        <v>1</v>
      </c>
      <c r="E27" s="15">
        <f>المهني!NG26</f>
        <v>0</v>
      </c>
      <c r="F27" s="15">
        <f>المهني!NH26</f>
        <v>0</v>
      </c>
      <c r="G27" s="15">
        <f>المهني!NI26</f>
        <v>1</v>
      </c>
      <c r="H27" s="15">
        <f>المهني!NJ26</f>
        <v>0</v>
      </c>
      <c r="I27" s="15">
        <f>المهني!NM26</f>
        <v>2</v>
      </c>
      <c r="J27" s="15">
        <f>المهني!NN26</f>
        <v>5</v>
      </c>
      <c r="K27" s="15">
        <f>المهني!NK26</f>
        <v>14</v>
      </c>
      <c r="L27" s="15">
        <f>المهني!NL26</f>
        <v>19</v>
      </c>
      <c r="M27" s="15">
        <f>المهني!NO26</f>
        <v>0</v>
      </c>
      <c r="N27" s="15">
        <f>المهني!NP26</f>
        <v>0</v>
      </c>
      <c r="O27" s="15">
        <f>المهني!NQ26</f>
        <v>1</v>
      </c>
      <c r="P27" s="15">
        <f>المهني!NR26</f>
        <v>3</v>
      </c>
      <c r="Q27" s="15">
        <f>المهني!NS26</f>
        <v>2</v>
      </c>
      <c r="R27" s="15">
        <f>المهني!NT26</f>
        <v>0</v>
      </c>
      <c r="S27" s="15">
        <f>المهني!NU26</f>
        <v>0</v>
      </c>
      <c r="T27" s="15">
        <f>المهني!NV26</f>
        <v>0</v>
      </c>
      <c r="U27" s="15">
        <f t="shared" si="11"/>
        <v>20</v>
      </c>
      <c r="V27" s="15">
        <f t="shared" si="11"/>
        <v>28</v>
      </c>
      <c r="W27" s="15">
        <f>V27+U27</f>
        <v>48</v>
      </c>
    </row>
    <row r="28" spans="1:23" ht="29.25" customHeight="1" thickTop="1" thickBot="1">
      <c r="A28" s="95"/>
      <c r="B28" s="88" t="s">
        <v>216</v>
      </c>
      <c r="C28" s="114">
        <v>0</v>
      </c>
      <c r="D28" s="114">
        <v>0</v>
      </c>
      <c r="E28" s="114">
        <f>المهني!NG35</f>
        <v>0</v>
      </c>
      <c r="F28" s="114">
        <f>المهني!NH35</f>
        <v>0</v>
      </c>
      <c r="G28" s="114">
        <v>0</v>
      </c>
      <c r="H28" s="114">
        <f>المهني!NJ35</f>
        <v>0</v>
      </c>
      <c r="I28" s="114">
        <f>المهني!NM35</f>
        <v>0</v>
      </c>
      <c r="J28" s="114">
        <f>المهني!NN35</f>
        <v>0</v>
      </c>
      <c r="K28" s="114">
        <v>0</v>
      </c>
      <c r="L28" s="114">
        <f>المهني!NL35</f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88">
        <f t="shared" si="11"/>
        <v>0</v>
      </c>
      <c r="V28" s="88">
        <f t="shared" si="11"/>
        <v>0</v>
      </c>
      <c r="W28" s="88">
        <f>V28+U28</f>
        <v>0</v>
      </c>
    </row>
    <row r="29" spans="1:23" ht="29.25" customHeight="1" thickTop="1" thickBot="1">
      <c r="A29" s="138"/>
      <c r="B29" s="136" t="s">
        <v>488</v>
      </c>
      <c r="C29" s="15">
        <f>المهني!NE49</f>
        <v>0</v>
      </c>
      <c r="D29" s="15">
        <f>المهني!NF49</f>
        <v>0</v>
      </c>
      <c r="E29" s="15">
        <f>المهني!NG49</f>
        <v>0</v>
      </c>
      <c r="F29" s="15">
        <f>المهني!NH49</f>
        <v>0</v>
      </c>
      <c r="G29" s="15">
        <f>المهني!NI49</f>
        <v>0</v>
      </c>
      <c r="H29" s="15">
        <f>المهني!NJ49</f>
        <v>0</v>
      </c>
      <c r="I29" s="15">
        <f>المهني!NK49</f>
        <v>3</v>
      </c>
      <c r="J29" s="15">
        <f>المهني!NL49</f>
        <v>1</v>
      </c>
      <c r="K29" s="15">
        <f>المهني!NM49</f>
        <v>2</v>
      </c>
      <c r="L29" s="15">
        <f>المهني!NN49</f>
        <v>3</v>
      </c>
      <c r="M29" s="15">
        <f>المهني!NO49</f>
        <v>0</v>
      </c>
      <c r="N29" s="15">
        <f>المهني!NP49</f>
        <v>0</v>
      </c>
      <c r="O29" s="15">
        <f>المهني!NQ49</f>
        <v>0</v>
      </c>
      <c r="P29" s="15">
        <f>المهني!NR49</f>
        <v>0</v>
      </c>
      <c r="Q29" s="15">
        <f>المهني!NS49</f>
        <v>0</v>
      </c>
      <c r="R29" s="15">
        <f>المهني!NT49</f>
        <v>0</v>
      </c>
      <c r="S29" s="15">
        <f>المهني!NU49</f>
        <v>0</v>
      </c>
      <c r="T29" s="15">
        <f>المهني!NV49</f>
        <v>0</v>
      </c>
      <c r="U29" s="15">
        <f t="shared" ref="U29:U30" si="12">O29+K29+G29+C29+E29+I29+M29+Q29+S29</f>
        <v>5</v>
      </c>
      <c r="V29" s="15">
        <f t="shared" ref="V29:V30" si="13">P29+L29+H29+D29+F29+J29+N29+R29+T29</f>
        <v>4</v>
      </c>
      <c r="W29" s="15">
        <f t="shared" ref="W29:W30" si="14">V29+U29</f>
        <v>9</v>
      </c>
    </row>
    <row r="30" spans="1:23" ht="29.25" customHeight="1" thickTop="1" thickBot="1">
      <c r="A30" s="187"/>
      <c r="B30" s="186" t="s">
        <v>523</v>
      </c>
      <c r="C30" s="15">
        <f>المهني!NE50</f>
        <v>0</v>
      </c>
      <c r="D30" s="15">
        <f>المهني!NF50</f>
        <v>0</v>
      </c>
      <c r="E30" s="15">
        <f>المهني!NG50</f>
        <v>0</v>
      </c>
      <c r="F30" s="15">
        <f>المهني!NH50</f>
        <v>0</v>
      </c>
      <c r="G30" s="15">
        <f>المهني!NI50</f>
        <v>0</v>
      </c>
      <c r="H30" s="15">
        <f>المهني!NJ50</f>
        <v>0</v>
      </c>
      <c r="I30" s="15">
        <f>المهني!NK50</f>
        <v>0</v>
      </c>
      <c r="J30" s="15">
        <f>المهني!NL50</f>
        <v>0</v>
      </c>
      <c r="K30" s="15">
        <f>المهني!NM50</f>
        <v>0</v>
      </c>
      <c r="L30" s="15">
        <f>المهني!NN50</f>
        <v>0</v>
      </c>
      <c r="M30" s="15">
        <f>المهني!NO50</f>
        <v>0</v>
      </c>
      <c r="N30" s="15">
        <f>المهني!NP50</f>
        <v>0</v>
      </c>
      <c r="O30" s="15">
        <f>المهني!NQ50</f>
        <v>0</v>
      </c>
      <c r="P30" s="15">
        <f>المهني!NR50</f>
        <v>0</v>
      </c>
      <c r="Q30" s="15">
        <f>المهني!NS50</f>
        <v>1</v>
      </c>
      <c r="R30" s="15">
        <f>المهني!NT50</f>
        <v>0</v>
      </c>
      <c r="S30" s="15">
        <f>المهني!NU50</f>
        <v>0</v>
      </c>
      <c r="T30" s="15">
        <f>المهني!NV50</f>
        <v>0</v>
      </c>
      <c r="U30" s="15">
        <f>O30+K30+G30+C30+E30+I30+M30+Q30+S30</f>
        <v>1</v>
      </c>
      <c r="V30" s="15">
        <f t="shared" si="13"/>
        <v>0</v>
      </c>
      <c r="W30" s="15">
        <f t="shared" si="14"/>
        <v>1</v>
      </c>
    </row>
    <row r="31" spans="1:23" ht="39.75" customHeight="1" thickTop="1" thickBot="1">
      <c r="A31" s="95"/>
      <c r="B31" s="56" t="s">
        <v>397</v>
      </c>
      <c r="C31" s="88">
        <f>المهني!NE47</f>
        <v>0</v>
      </c>
      <c r="D31" s="211">
        <f>المهني!NF47</f>
        <v>0</v>
      </c>
      <c r="E31" s="211">
        <f>المهني!NG47</f>
        <v>0</v>
      </c>
      <c r="F31" s="211">
        <f>المهني!NH47</f>
        <v>0</v>
      </c>
      <c r="G31" s="211">
        <f>المهني!NI47</f>
        <v>0</v>
      </c>
      <c r="H31" s="211">
        <f>المهني!NJ47</f>
        <v>0</v>
      </c>
      <c r="I31" s="211">
        <f>المهني!NK47</f>
        <v>0</v>
      </c>
      <c r="J31" s="211">
        <f>المهني!NL47</f>
        <v>0</v>
      </c>
      <c r="K31" s="211">
        <f>المهني!NM47</f>
        <v>0</v>
      </c>
      <c r="L31" s="211">
        <f>المهني!NN47</f>
        <v>0</v>
      </c>
      <c r="M31" s="211">
        <f>المهني!NO47</f>
        <v>0</v>
      </c>
      <c r="N31" s="211">
        <f>المهني!NP47</f>
        <v>0</v>
      </c>
      <c r="O31" s="211">
        <f>المهني!NQ47</f>
        <v>1</v>
      </c>
      <c r="P31" s="211">
        <f>المهني!NR47</f>
        <v>0</v>
      </c>
      <c r="Q31" s="211">
        <f>المهني!NS47</f>
        <v>0</v>
      </c>
      <c r="R31" s="211">
        <f>المهني!NT47</f>
        <v>0</v>
      </c>
      <c r="S31" s="211">
        <f>المهني!NU47</f>
        <v>0</v>
      </c>
      <c r="T31" s="211">
        <f>المهني!NV47</f>
        <v>0</v>
      </c>
      <c r="U31" s="15">
        <f>O31+K31+G31+C31+E31+I31+M31+Q31+S31</f>
        <v>1</v>
      </c>
      <c r="V31" s="15">
        <f t="shared" ref="V31" si="15">P31+L31+H31+D31+F31+J31+N31+R31+T31</f>
        <v>0</v>
      </c>
      <c r="W31" s="15">
        <f t="shared" ref="W31" si="16">V31+U31</f>
        <v>1</v>
      </c>
    </row>
    <row r="32" spans="1:23" ht="42" customHeight="1" thickTop="1" thickBot="1">
      <c r="A32" s="95"/>
      <c r="B32" s="88" t="s">
        <v>25</v>
      </c>
      <c r="C32" s="88">
        <f>C28+C27+C26+C25+C29+C30+C31</f>
        <v>4</v>
      </c>
      <c r="D32" s="186">
        <f t="shared" ref="D32:W32" si="17">D28+D27+D26+D25+D29+D30+D31</f>
        <v>1</v>
      </c>
      <c r="E32" s="186">
        <f t="shared" si="17"/>
        <v>3</v>
      </c>
      <c r="F32" s="186">
        <f t="shared" si="17"/>
        <v>2</v>
      </c>
      <c r="G32" s="186">
        <f t="shared" si="17"/>
        <v>47</v>
      </c>
      <c r="H32" s="186">
        <f t="shared" si="17"/>
        <v>62</v>
      </c>
      <c r="I32" s="186">
        <f t="shared" si="17"/>
        <v>35</v>
      </c>
      <c r="J32" s="186">
        <f t="shared" si="17"/>
        <v>56</v>
      </c>
      <c r="K32" s="186">
        <f t="shared" si="17"/>
        <v>101</v>
      </c>
      <c r="L32" s="186">
        <f t="shared" si="17"/>
        <v>100</v>
      </c>
      <c r="M32" s="186">
        <f t="shared" si="17"/>
        <v>0</v>
      </c>
      <c r="N32" s="186">
        <f t="shared" si="17"/>
        <v>0</v>
      </c>
      <c r="O32" s="186">
        <f t="shared" si="17"/>
        <v>26</v>
      </c>
      <c r="P32" s="186">
        <f t="shared" si="17"/>
        <v>14</v>
      </c>
      <c r="Q32" s="186">
        <f t="shared" si="17"/>
        <v>8</v>
      </c>
      <c r="R32" s="186">
        <f t="shared" si="17"/>
        <v>0</v>
      </c>
      <c r="S32" s="186">
        <f t="shared" si="17"/>
        <v>0</v>
      </c>
      <c r="T32" s="186">
        <f t="shared" si="17"/>
        <v>0</v>
      </c>
      <c r="U32" s="186">
        <f t="shared" si="17"/>
        <v>224</v>
      </c>
      <c r="V32" s="186">
        <f t="shared" si="17"/>
        <v>235</v>
      </c>
      <c r="W32" s="186">
        <f t="shared" si="17"/>
        <v>459</v>
      </c>
    </row>
    <row r="33" spans="1:23" ht="29.25" customHeight="1" thickTop="1"/>
    <row r="34" spans="1:23" ht="29.25" customHeight="1">
      <c r="A34" s="370" t="s">
        <v>148</v>
      </c>
      <c r="B34" s="370"/>
      <c r="C34" s="370"/>
      <c r="D34" s="370"/>
      <c r="E34" s="370"/>
      <c r="F34" s="94"/>
      <c r="G34" s="94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370" t="s">
        <v>112</v>
      </c>
      <c r="S34" s="370"/>
      <c r="T34" s="95"/>
      <c r="U34" s="95"/>
      <c r="V34" s="95"/>
      <c r="W34" s="95"/>
    </row>
    <row r="35" spans="1:23" ht="29.25" customHeight="1">
      <c r="A35" s="371" t="s">
        <v>188</v>
      </c>
      <c r="B35" s="371"/>
      <c r="C35" s="371"/>
      <c r="D35" s="371"/>
      <c r="E35" s="371"/>
      <c r="F35" s="94"/>
      <c r="G35" s="94"/>
      <c r="H35" s="95"/>
      <c r="I35" s="95"/>
      <c r="J35" s="95"/>
      <c r="K35" s="95"/>
      <c r="L35" s="95"/>
      <c r="M35" s="95"/>
      <c r="N35" s="95"/>
      <c r="O35" s="95"/>
      <c r="P35" s="95"/>
      <c r="Q35" s="94"/>
      <c r="R35" s="95"/>
      <c r="S35" s="95"/>
      <c r="T35" s="95"/>
      <c r="U35" s="95"/>
      <c r="V35" s="95"/>
      <c r="W35" s="95"/>
    </row>
    <row r="36" spans="1:23" ht="29.25" customHeight="1">
      <c r="A36" s="94"/>
      <c r="B36" s="94"/>
      <c r="C36" s="94"/>
      <c r="D36" s="94"/>
      <c r="E36" s="94"/>
      <c r="F36" s="94"/>
      <c r="G36" s="94"/>
      <c r="H36" s="95"/>
      <c r="I36" s="371" t="s">
        <v>192</v>
      </c>
      <c r="J36" s="371"/>
      <c r="K36" s="371"/>
      <c r="L36" s="371"/>
      <c r="M36" s="95"/>
      <c r="N36" s="95"/>
      <c r="O36" s="95"/>
      <c r="P36" s="95"/>
      <c r="Q36" s="94"/>
      <c r="R36" s="94"/>
      <c r="S36" s="95"/>
      <c r="T36" s="95"/>
      <c r="U36" s="95"/>
      <c r="V36" s="95"/>
      <c r="W36" s="95"/>
    </row>
    <row r="37" spans="1:23" ht="29.25" customHeight="1">
      <c r="A37" s="95"/>
      <c r="B37" s="95"/>
      <c r="C37" s="95"/>
      <c r="D37" s="370" t="s">
        <v>154</v>
      </c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94"/>
      <c r="S37" s="95"/>
      <c r="T37" s="95"/>
      <c r="U37" s="95"/>
      <c r="V37" s="95"/>
      <c r="W37" s="95"/>
    </row>
    <row r="38" spans="1:23" ht="29.25" customHeight="1">
      <c r="A38" s="95"/>
      <c r="B38" s="82"/>
      <c r="C38" s="82"/>
      <c r="D38" s="370" t="s">
        <v>533</v>
      </c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95"/>
      <c r="S38" s="95"/>
      <c r="T38" s="95"/>
      <c r="U38" s="95"/>
      <c r="V38" s="95"/>
      <c r="W38" s="95"/>
    </row>
    <row r="39" spans="1:23" ht="29.25" customHeight="1">
      <c r="A39" s="95"/>
      <c r="B39" s="82"/>
      <c r="C39" s="82"/>
      <c r="D39" s="370" t="s">
        <v>155</v>
      </c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95"/>
      <c r="S39" s="95"/>
      <c r="T39" s="95"/>
      <c r="U39" s="95"/>
      <c r="V39" s="95"/>
      <c r="W39" s="95"/>
    </row>
    <row r="40" spans="1:23" ht="29.25" customHeight="1" thickBo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</row>
    <row r="41" spans="1:23" ht="29.25" customHeight="1" thickTop="1" thickBot="1">
      <c r="A41" s="95"/>
      <c r="B41" s="95"/>
      <c r="C41" s="95"/>
      <c r="D41" s="416" t="s">
        <v>115</v>
      </c>
      <c r="E41" s="366" t="s">
        <v>30</v>
      </c>
      <c r="F41" s="367"/>
      <c r="G41" s="366" t="s">
        <v>31</v>
      </c>
      <c r="H41" s="367"/>
      <c r="I41" s="366" t="s">
        <v>63</v>
      </c>
      <c r="J41" s="367"/>
      <c r="K41" s="366" t="s">
        <v>181</v>
      </c>
      <c r="L41" s="367"/>
      <c r="M41" s="366" t="s">
        <v>182</v>
      </c>
      <c r="N41" s="367"/>
      <c r="O41" s="366" t="s">
        <v>25</v>
      </c>
      <c r="P41" s="368"/>
      <c r="Q41" s="367"/>
      <c r="R41" s="95"/>
      <c r="S41" s="95"/>
      <c r="T41" s="95"/>
      <c r="U41" s="95"/>
      <c r="V41" s="95"/>
      <c r="W41" s="95"/>
    </row>
    <row r="42" spans="1:23" ht="29.25" customHeight="1" thickTop="1" thickBot="1">
      <c r="A42" s="95"/>
      <c r="B42" s="95"/>
      <c r="C42" s="95"/>
      <c r="D42" s="417"/>
      <c r="E42" s="88" t="s">
        <v>73</v>
      </c>
      <c r="F42" s="88" t="s">
        <v>29</v>
      </c>
      <c r="G42" s="88" t="s">
        <v>73</v>
      </c>
      <c r="H42" s="88" t="s">
        <v>29</v>
      </c>
      <c r="I42" s="88" t="s">
        <v>73</v>
      </c>
      <c r="J42" s="88" t="s">
        <v>29</v>
      </c>
      <c r="K42" s="88" t="s">
        <v>73</v>
      </c>
      <c r="L42" s="88" t="s">
        <v>29</v>
      </c>
      <c r="M42" s="88" t="s">
        <v>73</v>
      </c>
      <c r="N42" s="88" t="s">
        <v>29</v>
      </c>
      <c r="O42" s="88" t="s">
        <v>73</v>
      </c>
      <c r="P42" s="88" t="s">
        <v>29</v>
      </c>
      <c r="Q42" s="88" t="s">
        <v>25</v>
      </c>
      <c r="R42" s="95"/>
      <c r="S42" s="95"/>
      <c r="T42" s="95"/>
      <c r="U42" s="95"/>
      <c r="V42" s="95"/>
      <c r="W42" s="95"/>
    </row>
    <row r="43" spans="1:23" ht="29.25" customHeight="1" thickTop="1" thickBot="1">
      <c r="A43" s="95"/>
      <c r="B43" s="95"/>
      <c r="C43" s="95"/>
      <c r="D43" s="88" t="s">
        <v>123</v>
      </c>
      <c r="E43" s="88">
        <f>المهني!FB12</f>
        <v>4</v>
      </c>
      <c r="F43" s="88">
        <f>المهني!FC12</f>
        <v>1</v>
      </c>
      <c r="G43" s="88">
        <f>المهني!FD12</f>
        <v>10</v>
      </c>
      <c r="H43" s="88">
        <f>المهني!FE12</f>
        <v>5</v>
      </c>
      <c r="I43" s="88">
        <f>المهني!FF12</f>
        <v>68</v>
      </c>
      <c r="J43" s="88">
        <f>المهني!FG12</f>
        <v>74</v>
      </c>
      <c r="K43" s="88">
        <f>المهني!FH12</f>
        <v>32</v>
      </c>
      <c r="L43" s="88">
        <f>المهني!FI12</f>
        <v>46</v>
      </c>
      <c r="M43" s="88">
        <f>المهني!FJ12</f>
        <v>0</v>
      </c>
      <c r="N43" s="88">
        <f>المهني!FK12</f>
        <v>0</v>
      </c>
      <c r="O43" s="88">
        <f t="shared" ref="O43:P46" si="18">M43+K43+I43+G43+E43</f>
        <v>114</v>
      </c>
      <c r="P43" s="88">
        <f t="shared" si="18"/>
        <v>126</v>
      </c>
      <c r="Q43" s="88">
        <f>P43+O43</f>
        <v>240</v>
      </c>
      <c r="R43" s="95"/>
      <c r="S43" s="5"/>
      <c r="T43" s="5"/>
      <c r="U43" s="5"/>
      <c r="V43" s="95"/>
      <c r="W43" s="95"/>
    </row>
    <row r="44" spans="1:23" ht="29.25" customHeight="1" thickTop="1" thickBot="1">
      <c r="A44" s="95"/>
      <c r="B44" s="95"/>
      <c r="C44" s="95"/>
      <c r="D44" s="88" t="s">
        <v>124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88">
        <f t="shared" si="18"/>
        <v>0</v>
      </c>
      <c r="P44" s="88">
        <f t="shared" si="18"/>
        <v>0</v>
      </c>
      <c r="Q44" s="88">
        <f>P44+O44</f>
        <v>0</v>
      </c>
      <c r="R44" s="95"/>
      <c r="S44" s="5"/>
      <c r="T44" s="5"/>
      <c r="U44" s="5"/>
      <c r="V44" s="95"/>
      <c r="W44" s="95"/>
    </row>
    <row r="45" spans="1:23" ht="29.25" customHeight="1" thickTop="1" thickBot="1">
      <c r="A45" s="36"/>
      <c r="B45" s="36"/>
      <c r="C45" s="36"/>
      <c r="D45" s="88" t="s">
        <v>125</v>
      </c>
      <c r="E45" s="88">
        <f>المهني!FB26</f>
        <v>1</v>
      </c>
      <c r="F45" s="88">
        <f>المهني!FC26</f>
        <v>1</v>
      </c>
      <c r="G45" s="88">
        <f>المهني!FD26</f>
        <v>1</v>
      </c>
      <c r="H45" s="88">
        <f>المهني!FE26</f>
        <v>3</v>
      </c>
      <c r="I45" s="88">
        <f>المهني!FF26</f>
        <v>17</v>
      </c>
      <c r="J45" s="88">
        <f>المهني!FG26</f>
        <v>23</v>
      </c>
      <c r="K45" s="88">
        <f>المهني!FH26</f>
        <v>1</v>
      </c>
      <c r="L45" s="88">
        <f>المهني!FI26</f>
        <v>1</v>
      </c>
      <c r="M45" s="88">
        <f>المهني!FJ26</f>
        <v>0</v>
      </c>
      <c r="N45" s="88">
        <f>المهني!FK26</f>
        <v>0</v>
      </c>
      <c r="O45" s="88">
        <f t="shared" si="18"/>
        <v>20</v>
      </c>
      <c r="P45" s="88">
        <f t="shared" si="18"/>
        <v>28</v>
      </c>
      <c r="Q45" s="88">
        <f>P45+O45</f>
        <v>48</v>
      </c>
      <c r="R45" s="36"/>
      <c r="S45" s="49"/>
      <c r="T45" s="49"/>
      <c r="U45" s="49"/>
      <c r="V45" s="36"/>
      <c r="W45" s="36"/>
    </row>
    <row r="46" spans="1:23" ht="29.25" customHeight="1" thickTop="1" thickBot="1">
      <c r="A46" s="95"/>
      <c r="B46" s="95"/>
      <c r="C46" s="95"/>
      <c r="D46" s="88" t="s">
        <v>216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f>المهني!FG35</f>
        <v>0</v>
      </c>
      <c r="K46" s="29">
        <v>0</v>
      </c>
      <c r="L46" s="29">
        <f>المهني!FI35</f>
        <v>0</v>
      </c>
      <c r="M46" s="29">
        <v>0</v>
      </c>
      <c r="N46" s="29">
        <v>0</v>
      </c>
      <c r="O46" s="88">
        <f t="shared" si="18"/>
        <v>0</v>
      </c>
      <c r="P46" s="88">
        <f t="shared" si="18"/>
        <v>0</v>
      </c>
      <c r="Q46" s="88">
        <f>P46+O46</f>
        <v>0</v>
      </c>
      <c r="R46" s="95"/>
      <c r="S46" s="5"/>
      <c r="T46" s="5"/>
      <c r="U46" s="5"/>
      <c r="V46" s="95"/>
      <c r="W46" s="95"/>
    </row>
    <row r="47" spans="1:23" ht="29.25" customHeight="1" thickTop="1" thickBot="1">
      <c r="A47" s="138"/>
      <c r="B47" s="138"/>
      <c r="C47" s="138"/>
      <c r="D47" s="136" t="s">
        <v>488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136"/>
      <c r="P47" s="136"/>
      <c r="Q47" s="136"/>
      <c r="R47" s="138"/>
      <c r="S47" s="5"/>
      <c r="T47" s="5"/>
      <c r="U47" s="5"/>
      <c r="V47" s="138"/>
      <c r="W47" s="138"/>
    </row>
    <row r="48" spans="1:23" ht="29.25" customHeight="1" thickTop="1" thickBot="1">
      <c r="A48" s="95"/>
      <c r="B48" s="95"/>
      <c r="C48" s="95"/>
      <c r="D48" s="56" t="s">
        <v>397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88">
        <v>0</v>
      </c>
      <c r="P48" s="88"/>
      <c r="Q48" s="88">
        <v>0</v>
      </c>
      <c r="R48" s="95"/>
      <c r="S48" s="5"/>
      <c r="T48" s="5"/>
      <c r="U48" s="5"/>
      <c r="V48" s="95"/>
      <c r="W48" s="95"/>
    </row>
    <row r="49" spans="1:23" ht="29.25" customHeight="1" thickTop="1" thickBot="1">
      <c r="A49" s="91"/>
      <c r="B49" s="91"/>
      <c r="C49" s="91"/>
      <c r="D49" s="88" t="s">
        <v>25</v>
      </c>
      <c r="E49" s="88">
        <f t="shared" ref="E49:Q49" si="19">E46+E45+E44+E43</f>
        <v>5</v>
      </c>
      <c r="F49" s="88">
        <f t="shared" si="19"/>
        <v>2</v>
      </c>
      <c r="G49" s="88">
        <f t="shared" si="19"/>
        <v>11</v>
      </c>
      <c r="H49" s="88">
        <f t="shared" si="19"/>
        <v>8</v>
      </c>
      <c r="I49" s="88">
        <f t="shared" si="19"/>
        <v>85</v>
      </c>
      <c r="J49" s="88">
        <f t="shared" si="19"/>
        <v>97</v>
      </c>
      <c r="K49" s="88">
        <f t="shared" si="19"/>
        <v>33</v>
      </c>
      <c r="L49" s="88">
        <f t="shared" si="19"/>
        <v>47</v>
      </c>
      <c r="M49" s="88">
        <f t="shared" si="19"/>
        <v>0</v>
      </c>
      <c r="N49" s="88">
        <f t="shared" si="19"/>
        <v>0</v>
      </c>
      <c r="O49" s="88">
        <f t="shared" si="19"/>
        <v>134</v>
      </c>
      <c r="P49" s="88">
        <f t="shared" si="19"/>
        <v>154</v>
      </c>
      <c r="Q49" s="88">
        <f t="shared" si="19"/>
        <v>288</v>
      </c>
      <c r="R49" s="95"/>
      <c r="S49" s="5"/>
      <c r="T49" s="5"/>
      <c r="U49" s="5"/>
      <c r="V49" s="95"/>
      <c r="W49" s="95"/>
    </row>
    <row r="50" spans="1:23" ht="29.25" customHeight="1" thickTop="1">
      <c r="A50" s="414"/>
      <c r="B50" s="414"/>
      <c r="C50" s="414"/>
      <c r="D50" s="414"/>
      <c r="E50" s="415"/>
      <c r="F50" s="415"/>
      <c r="G50" s="415"/>
      <c r="H50" s="415"/>
      <c r="I50" s="415"/>
      <c r="J50" s="415"/>
      <c r="K50" s="415"/>
      <c r="L50" s="415"/>
      <c r="M50" s="94"/>
      <c r="N50" s="94"/>
      <c r="O50" s="94"/>
      <c r="P50" s="94"/>
      <c r="Q50" s="94"/>
      <c r="R50" s="94"/>
      <c r="S50" s="95"/>
      <c r="T50" s="95"/>
      <c r="U50" s="95"/>
      <c r="V50" s="95"/>
      <c r="W50" s="95"/>
    </row>
    <row r="51" spans="1:23" ht="29.25" customHeight="1">
      <c r="A51" s="91"/>
      <c r="B51" s="370" t="s">
        <v>156</v>
      </c>
      <c r="C51" s="370"/>
      <c r="D51" s="370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95"/>
      <c r="U51" s="95"/>
      <c r="V51" s="95"/>
      <c r="W51" s="95"/>
    </row>
    <row r="52" spans="1:23" ht="20.25">
      <c r="A52" s="91"/>
      <c r="B52" s="370" t="s">
        <v>533</v>
      </c>
      <c r="C52" s="370"/>
      <c r="D52" s="370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95"/>
      <c r="U52" s="95"/>
      <c r="V52" s="95"/>
      <c r="W52" s="95"/>
    </row>
    <row r="53" spans="1:23" ht="29.25" customHeight="1">
      <c r="A53" s="94"/>
      <c r="B53" s="370" t="s">
        <v>208</v>
      </c>
      <c r="C53" s="370"/>
      <c r="D53" s="370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95"/>
      <c r="U53" s="95"/>
      <c r="V53" s="95"/>
      <c r="W53" s="95"/>
    </row>
    <row r="54" spans="1:23" ht="29.25" customHeight="1" thickBo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5"/>
      <c r="T54" s="95"/>
      <c r="U54" s="95"/>
      <c r="V54" s="95"/>
      <c r="W54" s="95"/>
    </row>
    <row r="55" spans="1:23" ht="29.25" customHeight="1" thickTop="1" thickBot="1">
      <c r="A55" s="95"/>
      <c r="B55" s="416" t="s">
        <v>115</v>
      </c>
      <c r="C55" s="366" t="s">
        <v>157</v>
      </c>
      <c r="D55" s="367"/>
      <c r="E55" s="366" t="s">
        <v>69</v>
      </c>
      <c r="F55" s="367"/>
      <c r="G55" s="366" t="s">
        <v>64</v>
      </c>
      <c r="H55" s="367"/>
      <c r="I55" s="366" t="s">
        <v>362</v>
      </c>
      <c r="J55" s="367"/>
      <c r="K55" s="366" t="s">
        <v>363</v>
      </c>
      <c r="L55" s="367"/>
      <c r="M55" s="366" t="s">
        <v>33</v>
      </c>
      <c r="N55" s="367"/>
      <c r="O55" s="366" t="s">
        <v>34</v>
      </c>
      <c r="P55" s="367"/>
      <c r="Q55" s="366" t="s">
        <v>35</v>
      </c>
      <c r="R55" s="367"/>
      <c r="S55" s="366" t="s">
        <v>36</v>
      </c>
      <c r="T55" s="367"/>
      <c r="U55" s="366" t="s">
        <v>25</v>
      </c>
      <c r="V55" s="368"/>
      <c r="W55" s="367"/>
    </row>
    <row r="56" spans="1:23" ht="29.25" customHeight="1" thickTop="1" thickBot="1">
      <c r="A56" s="95"/>
      <c r="B56" s="417"/>
      <c r="C56" s="88" t="s">
        <v>73</v>
      </c>
      <c r="D56" s="88" t="s">
        <v>29</v>
      </c>
      <c r="E56" s="88" t="s">
        <v>73</v>
      </c>
      <c r="F56" s="88" t="s">
        <v>29</v>
      </c>
      <c r="G56" s="88" t="s">
        <v>73</v>
      </c>
      <c r="H56" s="88" t="s">
        <v>29</v>
      </c>
      <c r="I56" s="88" t="s">
        <v>73</v>
      </c>
      <c r="J56" s="88" t="s">
        <v>29</v>
      </c>
      <c r="K56" s="88" t="s">
        <v>73</v>
      </c>
      <c r="L56" s="88" t="s">
        <v>29</v>
      </c>
      <c r="M56" s="88" t="s">
        <v>73</v>
      </c>
      <c r="N56" s="88" t="s">
        <v>29</v>
      </c>
      <c r="O56" s="88" t="s">
        <v>73</v>
      </c>
      <c r="P56" s="88" t="s">
        <v>29</v>
      </c>
      <c r="Q56" s="88" t="s">
        <v>73</v>
      </c>
      <c r="R56" s="88" t="s">
        <v>29</v>
      </c>
      <c r="S56" s="88" t="s">
        <v>73</v>
      </c>
      <c r="T56" s="88" t="s">
        <v>29</v>
      </c>
      <c r="U56" s="88" t="s">
        <v>73</v>
      </c>
      <c r="V56" s="88" t="s">
        <v>29</v>
      </c>
      <c r="W56" s="88" t="s">
        <v>25</v>
      </c>
    </row>
    <row r="57" spans="1:23" ht="29.25" customHeight="1" thickTop="1" thickBot="1">
      <c r="A57" s="95"/>
      <c r="B57" s="88" t="s">
        <v>123</v>
      </c>
      <c r="C57" s="88">
        <f>المهني!NE12</f>
        <v>2</v>
      </c>
      <c r="D57" s="88">
        <f>المهني!NF12</f>
        <v>0</v>
      </c>
      <c r="E57" s="88">
        <f>المهني!NG12</f>
        <v>3</v>
      </c>
      <c r="F57" s="88">
        <f>المهني!NH12</f>
        <v>2</v>
      </c>
      <c r="G57" s="88">
        <f>المهني!NI12</f>
        <v>29</v>
      </c>
      <c r="H57" s="88">
        <f>المهني!NJ12</f>
        <v>38</v>
      </c>
      <c r="I57" s="88">
        <f>المهني!NM12</f>
        <v>27</v>
      </c>
      <c r="J57" s="88">
        <f>المهني!NN12</f>
        <v>40</v>
      </c>
      <c r="K57" s="88">
        <f>المهني!NK12</f>
        <v>31</v>
      </c>
      <c r="L57" s="88">
        <f>المهني!NL12</f>
        <v>39</v>
      </c>
      <c r="M57" s="88">
        <f>المهني!NO12</f>
        <v>0</v>
      </c>
      <c r="N57" s="88">
        <f>المهني!NP12</f>
        <v>0</v>
      </c>
      <c r="O57" s="88">
        <f>المهني!NQ12</f>
        <v>19</v>
      </c>
      <c r="P57" s="88">
        <f>المهني!NR12</f>
        <v>7</v>
      </c>
      <c r="Q57" s="88">
        <f>المهني!NS12</f>
        <v>3</v>
      </c>
      <c r="R57" s="88">
        <f>المهني!NT12</f>
        <v>0</v>
      </c>
      <c r="S57" s="88">
        <f>المهني!NU12</f>
        <v>0</v>
      </c>
      <c r="T57" s="88">
        <f>المهني!NV12</f>
        <v>0</v>
      </c>
      <c r="U57" s="88">
        <f t="shared" ref="U57:V63" si="20">S57+Q57+O57+M57+K57+G57+C57+I57+E57</f>
        <v>114</v>
      </c>
      <c r="V57" s="88">
        <f t="shared" si="20"/>
        <v>126</v>
      </c>
      <c r="W57" s="88">
        <f>V57+U57</f>
        <v>240</v>
      </c>
    </row>
    <row r="58" spans="1:23" ht="29.25" customHeight="1" thickTop="1" thickBot="1">
      <c r="A58" s="95"/>
      <c r="B58" s="88" t="s">
        <v>124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88">
        <f t="shared" si="20"/>
        <v>0</v>
      </c>
      <c r="V58" s="88">
        <f t="shared" si="20"/>
        <v>0</v>
      </c>
      <c r="W58" s="88">
        <f>V58+U58</f>
        <v>0</v>
      </c>
    </row>
    <row r="59" spans="1:23" ht="29.25" customHeight="1" thickTop="1" thickBot="1">
      <c r="A59" s="95"/>
      <c r="B59" s="88" t="s">
        <v>125</v>
      </c>
      <c r="C59" s="88">
        <f>المهني!NE26</f>
        <v>0</v>
      </c>
      <c r="D59" s="88">
        <f>المهني!NF26</f>
        <v>1</v>
      </c>
      <c r="E59" s="88">
        <f>المهني!NG26</f>
        <v>0</v>
      </c>
      <c r="F59" s="88">
        <f>المهني!NH26</f>
        <v>0</v>
      </c>
      <c r="G59" s="88">
        <f>المهني!NI26</f>
        <v>1</v>
      </c>
      <c r="H59" s="88">
        <f>المهني!NJ26</f>
        <v>0</v>
      </c>
      <c r="I59" s="88">
        <f>المهني!NM26</f>
        <v>2</v>
      </c>
      <c r="J59" s="88">
        <f>المهني!NN26</f>
        <v>5</v>
      </c>
      <c r="K59" s="88">
        <f>المهني!NK26</f>
        <v>14</v>
      </c>
      <c r="L59" s="88">
        <f>المهني!NL26</f>
        <v>19</v>
      </c>
      <c r="M59" s="29">
        <f>المهني!NO26</f>
        <v>0</v>
      </c>
      <c r="N59" s="29">
        <f>المهني!NP26</f>
        <v>0</v>
      </c>
      <c r="O59" s="143">
        <f>المهني!NQ26</f>
        <v>1</v>
      </c>
      <c r="P59" s="29">
        <f>المهني!NR26</f>
        <v>3</v>
      </c>
      <c r="Q59" s="143">
        <f>المهني!NS26</f>
        <v>2</v>
      </c>
      <c r="R59" s="143">
        <f>المهني!NT26</f>
        <v>0</v>
      </c>
      <c r="S59" s="143">
        <f>المهني!NU26</f>
        <v>0</v>
      </c>
      <c r="T59" s="143">
        <f>المهني!NV26</f>
        <v>0</v>
      </c>
      <c r="U59" s="88">
        <f t="shared" si="20"/>
        <v>20</v>
      </c>
      <c r="V59" s="88">
        <f t="shared" si="20"/>
        <v>28</v>
      </c>
      <c r="W59" s="88">
        <f>V59+U59</f>
        <v>48</v>
      </c>
    </row>
    <row r="60" spans="1:23" ht="29.25" customHeight="1" thickTop="1" thickBot="1">
      <c r="A60" s="95"/>
      <c r="B60" s="56" t="s">
        <v>216</v>
      </c>
      <c r="C60" s="29">
        <v>0</v>
      </c>
      <c r="D60" s="29">
        <v>0</v>
      </c>
      <c r="E60" s="29">
        <f>المهني!NG34</f>
        <v>0</v>
      </c>
      <c r="F60" s="29">
        <f>المهني!NH34</f>
        <v>0</v>
      </c>
      <c r="G60" s="29">
        <v>0</v>
      </c>
      <c r="H60" s="29">
        <f>المهني!NJ34</f>
        <v>0</v>
      </c>
      <c r="I60" s="29">
        <v>0</v>
      </c>
      <c r="J60" s="29">
        <f>المهني!NN34</f>
        <v>0</v>
      </c>
      <c r="K60" s="29">
        <v>0</v>
      </c>
      <c r="L60" s="29">
        <f>المهني!NL35</f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88">
        <f t="shared" si="20"/>
        <v>0</v>
      </c>
      <c r="V60" s="88">
        <f t="shared" si="20"/>
        <v>0</v>
      </c>
      <c r="W60" s="88">
        <f>V60+U60</f>
        <v>0</v>
      </c>
    </row>
    <row r="61" spans="1:23" ht="29.25" customHeight="1" thickTop="1" thickBot="1">
      <c r="A61" s="138"/>
      <c r="B61" s="136" t="s">
        <v>488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136"/>
      <c r="V61" s="136"/>
      <c r="W61" s="136"/>
    </row>
    <row r="62" spans="1:23" ht="29.25" customHeight="1" thickTop="1" thickBot="1">
      <c r="A62" s="95"/>
      <c r="B62" s="56" t="s">
        <v>397</v>
      </c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>
        <f t="shared" si="20"/>
        <v>0</v>
      </c>
      <c r="V62" s="88">
        <f t="shared" si="20"/>
        <v>0</v>
      </c>
      <c r="W62" s="88">
        <f>V62+U62</f>
        <v>0</v>
      </c>
    </row>
    <row r="63" spans="1:23" ht="29.25" customHeight="1" thickTop="1" thickBot="1">
      <c r="A63" s="95"/>
      <c r="B63" s="88" t="s">
        <v>25</v>
      </c>
      <c r="C63" s="88">
        <f t="shared" ref="C63:T63" si="21">C60+C59+C58+C57</f>
        <v>2</v>
      </c>
      <c r="D63" s="88">
        <f t="shared" si="21"/>
        <v>1</v>
      </c>
      <c r="E63" s="88">
        <f t="shared" si="21"/>
        <v>3</v>
      </c>
      <c r="F63" s="88">
        <f t="shared" si="21"/>
        <v>2</v>
      </c>
      <c r="G63" s="88">
        <f t="shared" si="21"/>
        <v>30</v>
      </c>
      <c r="H63" s="88">
        <f t="shared" si="21"/>
        <v>38</v>
      </c>
      <c r="I63" s="88">
        <f t="shared" si="21"/>
        <v>29</v>
      </c>
      <c r="J63" s="88">
        <f t="shared" si="21"/>
        <v>45</v>
      </c>
      <c r="K63" s="88">
        <f t="shared" si="21"/>
        <v>45</v>
      </c>
      <c r="L63" s="88">
        <f t="shared" si="21"/>
        <v>58</v>
      </c>
      <c r="M63" s="88">
        <f t="shared" si="21"/>
        <v>0</v>
      </c>
      <c r="N63" s="88">
        <f t="shared" si="21"/>
        <v>0</v>
      </c>
      <c r="O63" s="88">
        <f t="shared" si="21"/>
        <v>20</v>
      </c>
      <c r="P63" s="88">
        <f t="shared" si="21"/>
        <v>10</v>
      </c>
      <c r="Q63" s="88">
        <f t="shared" si="21"/>
        <v>5</v>
      </c>
      <c r="R63" s="88">
        <f t="shared" si="21"/>
        <v>0</v>
      </c>
      <c r="S63" s="88">
        <f t="shared" si="21"/>
        <v>0</v>
      </c>
      <c r="T63" s="88">
        <f t="shared" si="21"/>
        <v>0</v>
      </c>
      <c r="U63" s="88">
        <f t="shared" si="20"/>
        <v>134</v>
      </c>
      <c r="V63" s="88">
        <f t="shared" si="20"/>
        <v>154</v>
      </c>
      <c r="W63" s="88">
        <f>W60+W59+W58+W57</f>
        <v>288</v>
      </c>
    </row>
    <row r="64" spans="1:23" ht="29.25" customHeight="1" thickTop="1"/>
    <row r="65" spans="1:23" ht="29.25" customHeight="1">
      <c r="A65" s="370" t="s">
        <v>148</v>
      </c>
      <c r="B65" s="370"/>
      <c r="C65" s="370"/>
      <c r="D65" s="370"/>
      <c r="E65" s="370"/>
      <c r="F65" s="94"/>
      <c r="G65" s="94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370" t="s">
        <v>112</v>
      </c>
      <c r="S65" s="370"/>
      <c r="T65" s="95"/>
      <c r="U65" s="95"/>
      <c r="V65" s="95"/>
      <c r="W65" s="95"/>
    </row>
    <row r="66" spans="1:23" ht="29.25" customHeight="1">
      <c r="A66" s="371" t="s">
        <v>188</v>
      </c>
      <c r="B66" s="371"/>
      <c r="C66" s="371"/>
      <c r="D66" s="371"/>
      <c r="E66" s="371"/>
      <c r="F66" s="94"/>
      <c r="G66" s="94"/>
      <c r="H66" s="95"/>
      <c r="I66" s="95"/>
      <c r="J66" s="95"/>
      <c r="K66" s="95"/>
      <c r="L66" s="95"/>
      <c r="M66" s="95"/>
      <c r="N66" s="95"/>
      <c r="O66" s="95"/>
      <c r="P66" s="95"/>
      <c r="Q66" s="94"/>
      <c r="R66" s="95"/>
      <c r="S66" s="95"/>
      <c r="T66" s="95"/>
      <c r="U66" s="95"/>
      <c r="V66" s="95"/>
      <c r="W66" s="95"/>
    </row>
    <row r="67" spans="1:23" ht="29.25" customHeight="1">
      <c r="A67" s="94"/>
      <c r="B67" s="94"/>
      <c r="C67" s="94"/>
      <c r="D67" s="94"/>
      <c r="E67" s="94"/>
      <c r="F67" s="94"/>
      <c r="G67" s="94"/>
      <c r="H67" s="95"/>
      <c r="I67" s="371" t="s">
        <v>186</v>
      </c>
      <c r="J67" s="371"/>
      <c r="K67" s="371"/>
      <c r="L67" s="371"/>
      <c r="M67" s="95"/>
      <c r="N67" s="95"/>
      <c r="O67" s="95"/>
      <c r="P67" s="95"/>
      <c r="Q67" s="94"/>
      <c r="R67" s="94"/>
      <c r="S67" s="95"/>
      <c r="T67" s="95"/>
      <c r="U67" s="95"/>
      <c r="V67" s="95"/>
      <c r="W67" s="95"/>
    </row>
    <row r="68" spans="1:23" ht="29.25" customHeight="1">
      <c r="A68" s="95"/>
      <c r="B68" s="95"/>
      <c r="C68" s="95"/>
      <c r="D68" s="370" t="s">
        <v>154</v>
      </c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94"/>
      <c r="S68" s="95"/>
      <c r="T68" s="95"/>
      <c r="U68" s="95"/>
      <c r="V68" s="95"/>
      <c r="W68" s="95"/>
    </row>
    <row r="69" spans="1:23" ht="29.25" customHeight="1">
      <c r="A69" s="95"/>
      <c r="B69" s="82"/>
      <c r="C69" s="82"/>
      <c r="D69" s="370" t="s">
        <v>540</v>
      </c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95"/>
      <c r="S69" s="95"/>
      <c r="T69" s="95"/>
      <c r="U69" s="95"/>
      <c r="V69" s="95"/>
      <c r="W69" s="95"/>
    </row>
    <row r="70" spans="1:23" ht="29.25" customHeight="1">
      <c r="A70" s="95"/>
      <c r="B70" s="82"/>
      <c r="C70" s="82"/>
      <c r="D70" s="370" t="s">
        <v>155</v>
      </c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95"/>
      <c r="S70" s="95"/>
      <c r="T70" s="95"/>
      <c r="U70" s="95"/>
      <c r="V70" s="95"/>
      <c r="W70" s="95"/>
    </row>
    <row r="71" spans="1:23" ht="29.25" customHeight="1" thickBo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</row>
    <row r="72" spans="1:23" ht="29.25" customHeight="1" thickTop="1" thickBot="1">
      <c r="A72" s="95"/>
      <c r="B72" s="95"/>
      <c r="C72" s="95"/>
      <c r="D72" s="416" t="s">
        <v>115</v>
      </c>
      <c r="E72" s="366" t="s">
        <v>30</v>
      </c>
      <c r="F72" s="367"/>
      <c r="G72" s="366" t="s">
        <v>31</v>
      </c>
      <c r="H72" s="367"/>
      <c r="I72" s="366" t="s">
        <v>63</v>
      </c>
      <c r="J72" s="367"/>
      <c r="K72" s="366" t="s">
        <v>181</v>
      </c>
      <c r="L72" s="367"/>
      <c r="M72" s="366" t="s">
        <v>182</v>
      </c>
      <c r="N72" s="367"/>
      <c r="O72" s="366" t="s">
        <v>25</v>
      </c>
      <c r="P72" s="368"/>
      <c r="Q72" s="367"/>
      <c r="R72" s="95"/>
      <c r="S72" s="95"/>
      <c r="T72" s="95"/>
      <c r="U72" s="95"/>
      <c r="V72" s="95"/>
      <c r="W72" s="95"/>
    </row>
    <row r="73" spans="1:23" ht="29.25" customHeight="1" thickTop="1" thickBot="1">
      <c r="A73" s="95"/>
      <c r="B73" s="95"/>
      <c r="C73" s="95"/>
      <c r="D73" s="417"/>
      <c r="E73" s="88" t="s">
        <v>73</v>
      </c>
      <c r="F73" s="88" t="s">
        <v>29</v>
      </c>
      <c r="G73" s="88" t="s">
        <v>73</v>
      </c>
      <c r="H73" s="88" t="s">
        <v>29</v>
      </c>
      <c r="I73" s="88" t="s">
        <v>73</v>
      </c>
      <c r="J73" s="88" t="s">
        <v>29</v>
      </c>
      <c r="K73" s="88" t="s">
        <v>73</v>
      </c>
      <c r="L73" s="88" t="s">
        <v>29</v>
      </c>
      <c r="M73" s="88" t="s">
        <v>73</v>
      </c>
      <c r="N73" s="88" t="s">
        <v>29</v>
      </c>
      <c r="O73" s="88" t="s">
        <v>73</v>
      </c>
      <c r="P73" s="88" t="s">
        <v>29</v>
      </c>
      <c r="Q73" s="88" t="s">
        <v>25</v>
      </c>
      <c r="R73" s="95"/>
      <c r="S73" s="95"/>
      <c r="T73" s="95"/>
      <c r="U73" s="95"/>
      <c r="V73" s="95"/>
      <c r="W73" s="95"/>
    </row>
    <row r="74" spans="1:23" ht="29.25" customHeight="1" thickTop="1" thickBot="1">
      <c r="A74" s="95"/>
      <c r="B74" s="95"/>
      <c r="C74" s="95"/>
      <c r="D74" s="88" t="s">
        <v>123</v>
      </c>
      <c r="E74" s="88">
        <f>المهني!FB15</f>
        <v>1</v>
      </c>
      <c r="F74" s="88">
        <f>المهني!FC15</f>
        <v>0</v>
      </c>
      <c r="G74" s="88">
        <f>المهني!FD15</f>
        <v>3</v>
      </c>
      <c r="H74" s="88">
        <f>المهني!FE15</f>
        <v>0</v>
      </c>
      <c r="I74" s="88">
        <f>المهني!FF15</f>
        <v>24</v>
      </c>
      <c r="J74" s="88">
        <f>المهني!FG15</f>
        <v>12</v>
      </c>
      <c r="K74" s="88">
        <f>المهني!FH15</f>
        <v>6</v>
      </c>
      <c r="L74" s="88">
        <f>المهني!FI15</f>
        <v>4</v>
      </c>
      <c r="M74" s="88">
        <f>المهني!FJ15</f>
        <v>0</v>
      </c>
      <c r="N74" s="88">
        <f>المهني!FK15</f>
        <v>0</v>
      </c>
      <c r="O74" s="88">
        <f t="shared" ref="O74:P79" si="22">M74+K74+I74+G74+E74</f>
        <v>34</v>
      </c>
      <c r="P74" s="88">
        <f t="shared" si="22"/>
        <v>16</v>
      </c>
      <c r="Q74" s="88">
        <f>P74+O74</f>
        <v>50</v>
      </c>
      <c r="R74" s="95"/>
      <c r="S74" s="5"/>
      <c r="T74" s="5"/>
      <c r="U74" s="5"/>
      <c r="V74" s="95"/>
      <c r="W74" s="95"/>
    </row>
    <row r="75" spans="1:23" ht="29.25" customHeight="1" thickTop="1" thickBot="1">
      <c r="A75" s="95"/>
      <c r="B75" s="95"/>
      <c r="C75" s="95"/>
      <c r="D75" s="88" t="s">
        <v>124</v>
      </c>
      <c r="E75" s="88">
        <f>المهني!FB31</f>
        <v>0</v>
      </c>
      <c r="F75" s="88">
        <f>المهني!FC31</f>
        <v>0</v>
      </c>
      <c r="G75" s="88">
        <f>المهني!FD31</f>
        <v>0</v>
      </c>
      <c r="H75" s="88">
        <f>المهني!FE31</f>
        <v>0</v>
      </c>
      <c r="I75" s="88">
        <f>المهني!FF31</f>
        <v>0</v>
      </c>
      <c r="J75" s="88">
        <f>المهني!FG31</f>
        <v>0</v>
      </c>
      <c r="K75" s="88">
        <f>المهني!FH31</f>
        <v>0</v>
      </c>
      <c r="L75" s="88">
        <f>المهني!FI31</f>
        <v>0</v>
      </c>
      <c r="M75" s="88">
        <f>المهني!FJ31</f>
        <v>0</v>
      </c>
      <c r="N75" s="88">
        <f>المهني!FK31</f>
        <v>0</v>
      </c>
      <c r="O75" s="88">
        <f t="shared" si="22"/>
        <v>0</v>
      </c>
      <c r="P75" s="88">
        <f t="shared" si="22"/>
        <v>0</v>
      </c>
      <c r="Q75" s="88">
        <f>P75+O75</f>
        <v>0</v>
      </c>
      <c r="R75" s="95"/>
      <c r="S75" s="5"/>
      <c r="T75" s="5"/>
      <c r="U75" s="5"/>
      <c r="V75" s="95"/>
      <c r="W75" s="95"/>
    </row>
    <row r="76" spans="1:23" ht="29.25" customHeight="1" thickTop="1" thickBot="1">
      <c r="A76" s="95"/>
      <c r="B76" s="95"/>
      <c r="C76" s="95"/>
      <c r="D76" s="88" t="s">
        <v>125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f t="shared" si="22"/>
        <v>0</v>
      </c>
      <c r="P76" s="88">
        <f t="shared" si="22"/>
        <v>0</v>
      </c>
      <c r="Q76" s="88">
        <f>P76+O76</f>
        <v>0</v>
      </c>
      <c r="R76" s="95"/>
      <c r="S76" s="5"/>
      <c r="T76" s="5"/>
      <c r="U76" s="5"/>
      <c r="V76" s="95"/>
      <c r="W76" s="95"/>
    </row>
    <row r="77" spans="1:23" ht="29.25" customHeight="1" thickTop="1" thickBot="1">
      <c r="A77" s="95"/>
      <c r="B77" s="95"/>
      <c r="C77" s="95"/>
      <c r="D77" s="88" t="s">
        <v>216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f t="shared" si="22"/>
        <v>0</v>
      </c>
      <c r="P77" s="88">
        <f t="shared" si="22"/>
        <v>0</v>
      </c>
      <c r="Q77" s="88">
        <f>P77+O77</f>
        <v>0</v>
      </c>
      <c r="R77" s="95"/>
      <c r="S77" s="5"/>
      <c r="T77" s="5"/>
      <c r="U77" s="5"/>
      <c r="V77" s="95"/>
      <c r="W77" s="95"/>
    </row>
    <row r="78" spans="1:23" ht="29.25" customHeight="1" thickTop="1" thickBot="1">
      <c r="A78" s="138"/>
      <c r="B78" s="138"/>
      <c r="C78" s="138"/>
      <c r="D78" s="136" t="s">
        <v>488</v>
      </c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8"/>
      <c r="S78" s="5"/>
      <c r="T78" s="5"/>
      <c r="U78" s="5"/>
      <c r="V78" s="138"/>
      <c r="W78" s="138"/>
    </row>
    <row r="79" spans="1:23" ht="29.25" customHeight="1" thickTop="1" thickBot="1">
      <c r="A79" s="95"/>
      <c r="B79" s="95"/>
      <c r="C79" s="95"/>
      <c r="D79" s="56" t="s">
        <v>397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f t="shared" si="22"/>
        <v>0</v>
      </c>
      <c r="P79" s="88">
        <f t="shared" si="22"/>
        <v>0</v>
      </c>
      <c r="Q79" s="88">
        <f>P79+O79</f>
        <v>0</v>
      </c>
      <c r="R79" s="95"/>
      <c r="S79" s="5"/>
      <c r="T79" s="5"/>
      <c r="U79" s="5"/>
      <c r="V79" s="95"/>
      <c r="W79" s="95"/>
    </row>
    <row r="80" spans="1:23" ht="29.25" customHeight="1" thickTop="1" thickBot="1">
      <c r="A80" s="91"/>
      <c r="B80" s="91"/>
      <c r="C80" s="91"/>
      <c r="D80" s="88" t="s">
        <v>25</v>
      </c>
      <c r="E80" s="88">
        <f t="shared" ref="E80:Q80" si="23">E77+E76+E75+E74</f>
        <v>1</v>
      </c>
      <c r="F80" s="88">
        <f t="shared" si="23"/>
        <v>0</v>
      </c>
      <c r="G80" s="88">
        <f t="shared" si="23"/>
        <v>3</v>
      </c>
      <c r="H80" s="88">
        <f t="shared" si="23"/>
        <v>0</v>
      </c>
      <c r="I80" s="88">
        <f t="shared" si="23"/>
        <v>24</v>
      </c>
      <c r="J80" s="88">
        <f t="shared" si="23"/>
        <v>12</v>
      </c>
      <c r="K80" s="88">
        <f t="shared" si="23"/>
        <v>6</v>
      </c>
      <c r="L80" s="88">
        <f t="shared" si="23"/>
        <v>4</v>
      </c>
      <c r="M80" s="88">
        <f t="shared" si="23"/>
        <v>0</v>
      </c>
      <c r="N80" s="88">
        <f t="shared" si="23"/>
        <v>0</v>
      </c>
      <c r="O80" s="88">
        <f t="shared" si="23"/>
        <v>34</v>
      </c>
      <c r="P80" s="88">
        <f t="shared" si="23"/>
        <v>16</v>
      </c>
      <c r="Q80" s="88">
        <f t="shared" si="23"/>
        <v>50</v>
      </c>
      <c r="R80" s="95"/>
      <c r="S80" s="5"/>
      <c r="T80" s="5"/>
      <c r="U80" s="5"/>
      <c r="V80" s="95"/>
      <c r="W80" s="95"/>
    </row>
    <row r="81" spans="1:23" ht="29.25" customHeight="1" thickTop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94"/>
      <c r="N81" s="94"/>
      <c r="O81" s="94"/>
      <c r="P81" s="94"/>
      <c r="Q81" s="94"/>
      <c r="R81" s="94"/>
      <c r="S81" s="95"/>
      <c r="T81" s="95"/>
      <c r="U81" s="95"/>
      <c r="V81" s="95"/>
      <c r="W81" s="95"/>
    </row>
    <row r="82" spans="1:23" ht="29.25" customHeight="1">
      <c r="A82" s="91"/>
      <c r="B82" s="370" t="s">
        <v>156</v>
      </c>
      <c r="C82" s="370"/>
      <c r="D82" s="370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95"/>
      <c r="U82" s="95"/>
      <c r="V82" s="95"/>
      <c r="W82" s="95"/>
    </row>
    <row r="83" spans="1:23" ht="29.25" customHeight="1">
      <c r="A83" s="91"/>
      <c r="B83" s="370" t="s">
        <v>541</v>
      </c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95"/>
      <c r="U83" s="95"/>
      <c r="V83" s="95"/>
      <c r="W83" s="95"/>
    </row>
    <row r="84" spans="1:23" ht="29.25" customHeight="1">
      <c r="A84" s="94"/>
      <c r="B84" s="370" t="s">
        <v>208</v>
      </c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95"/>
      <c r="U84" s="95"/>
      <c r="V84" s="95"/>
      <c r="W84" s="95"/>
    </row>
    <row r="85" spans="1:23" ht="29.25" customHeight="1" thickBo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5"/>
      <c r="T85" s="95"/>
      <c r="U85" s="95"/>
      <c r="V85" s="95"/>
      <c r="W85" s="95"/>
    </row>
    <row r="86" spans="1:23" ht="29.25" customHeight="1" thickTop="1" thickBot="1">
      <c r="A86" s="95"/>
      <c r="B86" s="416" t="s">
        <v>115</v>
      </c>
      <c r="C86" s="366" t="s">
        <v>157</v>
      </c>
      <c r="D86" s="367"/>
      <c r="E86" s="366" t="s">
        <v>69</v>
      </c>
      <c r="F86" s="367"/>
      <c r="G86" s="366" t="s">
        <v>64</v>
      </c>
      <c r="H86" s="367"/>
      <c r="I86" s="366" t="s">
        <v>362</v>
      </c>
      <c r="J86" s="367"/>
      <c r="K86" s="366" t="s">
        <v>363</v>
      </c>
      <c r="L86" s="367"/>
      <c r="M86" s="366" t="s">
        <v>33</v>
      </c>
      <c r="N86" s="367"/>
      <c r="O86" s="366" t="s">
        <v>34</v>
      </c>
      <c r="P86" s="367"/>
      <c r="Q86" s="366" t="s">
        <v>35</v>
      </c>
      <c r="R86" s="367"/>
      <c r="S86" s="366" t="s">
        <v>36</v>
      </c>
      <c r="T86" s="367"/>
      <c r="U86" s="366" t="s">
        <v>25</v>
      </c>
      <c r="V86" s="368"/>
      <c r="W86" s="367"/>
    </row>
    <row r="87" spans="1:23" ht="29.25" customHeight="1" thickTop="1" thickBot="1">
      <c r="A87" s="95"/>
      <c r="B87" s="417"/>
      <c r="C87" s="88" t="s">
        <v>73</v>
      </c>
      <c r="D87" s="88" t="s">
        <v>29</v>
      </c>
      <c r="E87" s="88" t="s">
        <v>73</v>
      </c>
      <c r="F87" s="88" t="s">
        <v>29</v>
      </c>
      <c r="G87" s="88" t="s">
        <v>73</v>
      </c>
      <c r="H87" s="88" t="s">
        <v>29</v>
      </c>
      <c r="I87" s="88" t="s">
        <v>73</v>
      </c>
      <c r="J87" s="88" t="s">
        <v>29</v>
      </c>
      <c r="K87" s="88" t="s">
        <v>73</v>
      </c>
      <c r="L87" s="88" t="s">
        <v>29</v>
      </c>
      <c r="M87" s="88" t="s">
        <v>73</v>
      </c>
      <c r="N87" s="88" t="s">
        <v>29</v>
      </c>
      <c r="O87" s="88" t="s">
        <v>73</v>
      </c>
      <c r="P87" s="88" t="s">
        <v>29</v>
      </c>
      <c r="Q87" s="88" t="s">
        <v>73</v>
      </c>
      <c r="R87" s="88" t="s">
        <v>29</v>
      </c>
      <c r="S87" s="88" t="s">
        <v>73</v>
      </c>
      <c r="T87" s="88" t="s">
        <v>29</v>
      </c>
      <c r="U87" s="88" t="s">
        <v>73</v>
      </c>
      <c r="V87" s="88" t="s">
        <v>29</v>
      </c>
      <c r="W87" s="88" t="s">
        <v>25</v>
      </c>
    </row>
    <row r="88" spans="1:23" ht="29.25" customHeight="1" thickTop="1" thickBot="1">
      <c r="A88" s="95"/>
      <c r="B88" s="88" t="s">
        <v>123</v>
      </c>
      <c r="C88" s="88">
        <f>المهني!NE15</f>
        <v>1</v>
      </c>
      <c r="D88" s="88">
        <f>المهني!NF15</f>
        <v>0</v>
      </c>
      <c r="E88" s="88">
        <f>المهني!NG15</f>
        <v>0</v>
      </c>
      <c r="F88" s="88">
        <f>المهني!NH15</f>
        <v>0</v>
      </c>
      <c r="G88" s="88">
        <f>المهني!NI15</f>
        <v>5</v>
      </c>
      <c r="H88" s="88">
        <f>المهني!NJ15</f>
        <v>5</v>
      </c>
      <c r="I88" s="88">
        <f>المهني!NM15</f>
        <v>0</v>
      </c>
      <c r="J88" s="88">
        <f>المهني!NN15</f>
        <v>0</v>
      </c>
      <c r="K88" s="88">
        <f>المهني!NK15</f>
        <v>22</v>
      </c>
      <c r="L88" s="88">
        <f>المهني!NL15</f>
        <v>9</v>
      </c>
      <c r="M88" s="88">
        <f>المهني!NO15</f>
        <v>0</v>
      </c>
      <c r="N88" s="88">
        <f>المهني!NP15</f>
        <v>0</v>
      </c>
      <c r="O88" s="88">
        <f>المهني!NQ15</f>
        <v>4</v>
      </c>
      <c r="P88" s="88">
        <f>المهني!NR15</f>
        <v>2</v>
      </c>
      <c r="Q88" s="88">
        <f>المهني!NS15</f>
        <v>2</v>
      </c>
      <c r="R88" s="88">
        <f>المهني!NT15</f>
        <v>0</v>
      </c>
      <c r="S88" s="88">
        <f>المهني!NU15</f>
        <v>0</v>
      </c>
      <c r="T88" s="88">
        <f>المهني!NV15</f>
        <v>0</v>
      </c>
      <c r="U88" s="88">
        <f t="shared" ref="U88:V94" si="24">S88+Q88+O88+M88+K88+G88+C88+I88+E88</f>
        <v>34</v>
      </c>
      <c r="V88" s="88">
        <f t="shared" si="24"/>
        <v>16</v>
      </c>
      <c r="W88" s="88">
        <f>V88+U88</f>
        <v>50</v>
      </c>
    </row>
    <row r="89" spans="1:23" ht="29.25" customHeight="1" thickTop="1" thickBot="1">
      <c r="A89" s="95"/>
      <c r="B89" s="88" t="s">
        <v>124</v>
      </c>
      <c r="C89" s="88">
        <f>المهني!NE31</f>
        <v>0</v>
      </c>
      <c r="D89" s="88">
        <f>المهني!NF31</f>
        <v>0</v>
      </c>
      <c r="E89" s="88">
        <f>المهني!NG31</f>
        <v>0</v>
      </c>
      <c r="F89" s="88">
        <f>المهني!NH31</f>
        <v>0</v>
      </c>
      <c r="G89" s="88">
        <f>المهني!NI31</f>
        <v>0</v>
      </c>
      <c r="H89" s="88">
        <f>المهني!NJ31</f>
        <v>0</v>
      </c>
      <c r="I89" s="88">
        <f>المهني!NM31</f>
        <v>0</v>
      </c>
      <c r="J89" s="88">
        <f>المهني!NN31</f>
        <v>0</v>
      </c>
      <c r="K89" s="88">
        <f>المهني!NK31</f>
        <v>0</v>
      </c>
      <c r="L89" s="88">
        <f>المهني!NL31</f>
        <v>0</v>
      </c>
      <c r="M89" s="88">
        <f>المهني!NO31</f>
        <v>0</v>
      </c>
      <c r="N89" s="88">
        <f>المهني!NP31</f>
        <v>0</v>
      </c>
      <c r="O89" s="88">
        <f>المهني!NQ31</f>
        <v>0</v>
      </c>
      <c r="P89" s="88">
        <f>المهني!NR31</f>
        <v>0</v>
      </c>
      <c r="Q89" s="88">
        <f>المهني!NS31</f>
        <v>0</v>
      </c>
      <c r="R89" s="88">
        <f>المهني!NT31</f>
        <v>0</v>
      </c>
      <c r="S89" s="88">
        <f>المهني!NU31</f>
        <v>0</v>
      </c>
      <c r="T89" s="88">
        <f>المهني!NV31</f>
        <v>0</v>
      </c>
      <c r="U89" s="88">
        <f t="shared" si="24"/>
        <v>0</v>
      </c>
      <c r="V89" s="88">
        <f t="shared" si="24"/>
        <v>0</v>
      </c>
      <c r="W89" s="88">
        <f>V89+U89</f>
        <v>0</v>
      </c>
    </row>
    <row r="90" spans="1:23" ht="29.25" customHeight="1" thickTop="1" thickBot="1">
      <c r="A90" s="95"/>
      <c r="B90" s="88" t="s">
        <v>125</v>
      </c>
      <c r="C90" s="88">
        <v>0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f t="shared" si="24"/>
        <v>0</v>
      </c>
      <c r="V90" s="88">
        <f t="shared" si="24"/>
        <v>0</v>
      </c>
      <c r="W90" s="88">
        <f>V90+U90</f>
        <v>0</v>
      </c>
    </row>
    <row r="91" spans="1:23" ht="29.25" customHeight="1" thickTop="1" thickBot="1">
      <c r="A91" s="95"/>
      <c r="B91" s="88" t="s">
        <v>216</v>
      </c>
      <c r="C91" s="88">
        <v>0</v>
      </c>
      <c r="D91" s="88">
        <v>0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f t="shared" si="24"/>
        <v>0</v>
      </c>
      <c r="V91" s="88">
        <f t="shared" si="24"/>
        <v>0</v>
      </c>
      <c r="W91" s="88">
        <f>V91+U91</f>
        <v>0</v>
      </c>
    </row>
    <row r="92" spans="1:23" ht="29.25" customHeight="1" thickTop="1" thickBot="1">
      <c r="A92" s="138"/>
      <c r="B92" s="136" t="s">
        <v>488</v>
      </c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</row>
    <row r="93" spans="1:23" ht="29.25" customHeight="1" thickTop="1" thickBot="1">
      <c r="A93" s="95"/>
      <c r="B93" s="56" t="s">
        <v>397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f t="shared" si="24"/>
        <v>0</v>
      </c>
      <c r="V93" s="88">
        <f t="shared" si="24"/>
        <v>0</v>
      </c>
      <c r="W93" s="88">
        <f>V93+U93</f>
        <v>0</v>
      </c>
    </row>
    <row r="94" spans="1:23" ht="29.25" customHeight="1" thickTop="1" thickBot="1">
      <c r="A94" s="95"/>
      <c r="B94" s="88" t="s">
        <v>25</v>
      </c>
      <c r="C94" s="88">
        <f t="shared" ref="C94:T94" si="25">C91+C90+C89+C88</f>
        <v>1</v>
      </c>
      <c r="D94" s="88">
        <f t="shared" si="25"/>
        <v>0</v>
      </c>
      <c r="E94" s="88">
        <f t="shared" si="25"/>
        <v>0</v>
      </c>
      <c r="F94" s="88">
        <f t="shared" si="25"/>
        <v>0</v>
      </c>
      <c r="G94" s="88">
        <f t="shared" si="25"/>
        <v>5</v>
      </c>
      <c r="H94" s="88">
        <f t="shared" si="25"/>
        <v>5</v>
      </c>
      <c r="I94" s="88">
        <f t="shared" si="25"/>
        <v>0</v>
      </c>
      <c r="J94" s="88">
        <f t="shared" si="25"/>
        <v>0</v>
      </c>
      <c r="K94" s="88">
        <f t="shared" si="25"/>
        <v>22</v>
      </c>
      <c r="L94" s="88">
        <f t="shared" si="25"/>
        <v>9</v>
      </c>
      <c r="M94" s="88">
        <f t="shared" si="25"/>
        <v>0</v>
      </c>
      <c r="N94" s="88">
        <f t="shared" si="25"/>
        <v>0</v>
      </c>
      <c r="O94" s="88">
        <f t="shared" si="25"/>
        <v>4</v>
      </c>
      <c r="P94" s="88">
        <f t="shared" si="25"/>
        <v>2</v>
      </c>
      <c r="Q94" s="88">
        <f t="shared" si="25"/>
        <v>2</v>
      </c>
      <c r="R94" s="88">
        <f t="shared" si="25"/>
        <v>0</v>
      </c>
      <c r="S94" s="88">
        <f t="shared" si="25"/>
        <v>0</v>
      </c>
      <c r="T94" s="88">
        <f t="shared" si="25"/>
        <v>0</v>
      </c>
      <c r="U94" s="88">
        <f t="shared" si="24"/>
        <v>34</v>
      </c>
      <c r="V94" s="88">
        <f t="shared" si="24"/>
        <v>16</v>
      </c>
      <c r="W94" s="88">
        <f>W91+W90+W89+W88</f>
        <v>50</v>
      </c>
    </row>
    <row r="95" spans="1:23" ht="29.25" customHeight="1" thickTop="1"/>
    <row r="96" spans="1:23" ht="29.25" customHeight="1">
      <c r="A96" s="370" t="s">
        <v>148</v>
      </c>
      <c r="B96" s="370"/>
      <c r="C96" s="370"/>
      <c r="D96" s="370"/>
      <c r="E96" s="370"/>
      <c r="F96" s="94"/>
      <c r="G96" s="94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370" t="s">
        <v>112</v>
      </c>
      <c r="S96" s="370"/>
      <c r="T96" s="95"/>
      <c r="U96" s="95"/>
      <c r="V96" s="95"/>
      <c r="W96" s="95"/>
    </row>
    <row r="97" spans="1:23" ht="29.25" customHeight="1">
      <c r="A97" s="371" t="s">
        <v>188</v>
      </c>
      <c r="B97" s="371"/>
      <c r="C97" s="371"/>
      <c r="D97" s="371"/>
      <c r="E97" s="371"/>
      <c r="F97" s="94"/>
      <c r="G97" s="94"/>
      <c r="H97" s="95"/>
      <c r="I97" s="95"/>
      <c r="J97" s="95"/>
      <c r="K97" s="95"/>
      <c r="L97" s="95"/>
      <c r="M97" s="95"/>
      <c r="N97" s="95"/>
      <c r="O97" s="95"/>
      <c r="P97" s="95"/>
      <c r="Q97" s="94"/>
      <c r="R97" s="95"/>
      <c r="S97" s="95"/>
      <c r="T97" s="95"/>
      <c r="U97" s="95"/>
      <c r="V97" s="95"/>
      <c r="W97" s="95"/>
    </row>
    <row r="98" spans="1:23" ht="29.25" customHeight="1">
      <c r="A98" s="94"/>
      <c r="B98" s="94"/>
      <c r="C98" s="94"/>
      <c r="D98" s="94"/>
      <c r="E98" s="94"/>
      <c r="F98" s="94"/>
      <c r="G98" s="94"/>
      <c r="H98" s="95"/>
      <c r="I98" s="371" t="s">
        <v>187</v>
      </c>
      <c r="J98" s="371"/>
      <c r="K98" s="371"/>
      <c r="L98" s="371"/>
      <c r="M98" s="95"/>
      <c r="N98" s="95"/>
      <c r="O98" s="95"/>
      <c r="P98" s="95"/>
      <c r="Q98" s="94"/>
      <c r="R98" s="94"/>
      <c r="S98" s="95"/>
      <c r="T98" s="95"/>
      <c r="U98" s="95"/>
      <c r="V98" s="95"/>
      <c r="W98" s="95"/>
    </row>
    <row r="99" spans="1:23" ht="29.25" customHeight="1">
      <c r="A99" s="95"/>
      <c r="B99" s="95"/>
      <c r="C99" s="95"/>
      <c r="D99" s="370" t="s">
        <v>154</v>
      </c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94"/>
      <c r="S99" s="95"/>
      <c r="T99" s="95"/>
      <c r="U99" s="95"/>
      <c r="V99" s="95"/>
      <c r="W99" s="95"/>
    </row>
    <row r="100" spans="1:23" ht="29.25" customHeight="1">
      <c r="A100" s="95"/>
      <c r="B100" s="82"/>
      <c r="C100" s="82"/>
      <c r="D100" s="370" t="s">
        <v>541</v>
      </c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95"/>
      <c r="S100" s="95"/>
      <c r="T100" s="95"/>
      <c r="U100" s="95"/>
      <c r="V100" s="95"/>
      <c r="W100" s="95"/>
    </row>
    <row r="101" spans="1:23" ht="29.25" customHeight="1">
      <c r="A101" s="95"/>
      <c r="B101" s="82"/>
      <c r="C101" s="82"/>
      <c r="D101" s="370" t="s">
        <v>155</v>
      </c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95"/>
      <c r="S101" s="95"/>
      <c r="T101" s="95"/>
      <c r="U101" s="95"/>
      <c r="V101" s="95"/>
      <c r="W101" s="95"/>
    </row>
    <row r="102" spans="1:23" ht="29.25" customHeight="1" thickBo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</row>
    <row r="103" spans="1:23" ht="29.25" customHeight="1" thickTop="1" thickBot="1">
      <c r="A103" s="95"/>
      <c r="B103" s="95"/>
      <c r="C103" s="95"/>
      <c r="D103" s="416" t="s">
        <v>115</v>
      </c>
      <c r="E103" s="366" t="s">
        <v>30</v>
      </c>
      <c r="F103" s="367"/>
      <c r="G103" s="366" t="s">
        <v>31</v>
      </c>
      <c r="H103" s="367"/>
      <c r="I103" s="366" t="s">
        <v>63</v>
      </c>
      <c r="J103" s="367"/>
      <c r="K103" s="366" t="s">
        <v>181</v>
      </c>
      <c r="L103" s="367"/>
      <c r="M103" s="366" t="s">
        <v>182</v>
      </c>
      <c r="N103" s="367"/>
      <c r="O103" s="366" t="s">
        <v>25</v>
      </c>
      <c r="P103" s="368"/>
      <c r="Q103" s="367"/>
      <c r="R103" s="95"/>
      <c r="S103" s="95"/>
      <c r="T103" s="95"/>
      <c r="U103" s="95"/>
      <c r="V103" s="95"/>
      <c r="W103" s="95"/>
    </row>
    <row r="104" spans="1:23" ht="29.25" customHeight="1" thickTop="1" thickBot="1">
      <c r="A104" s="95"/>
      <c r="B104" s="95"/>
      <c r="C104" s="95"/>
      <c r="D104" s="417"/>
      <c r="E104" s="88" t="s">
        <v>73</v>
      </c>
      <c r="F104" s="88" t="s">
        <v>29</v>
      </c>
      <c r="G104" s="88" t="s">
        <v>73</v>
      </c>
      <c r="H104" s="88" t="s">
        <v>29</v>
      </c>
      <c r="I104" s="88" t="s">
        <v>73</v>
      </c>
      <c r="J104" s="88" t="s">
        <v>29</v>
      </c>
      <c r="K104" s="88" t="s">
        <v>73</v>
      </c>
      <c r="L104" s="88" t="s">
        <v>29</v>
      </c>
      <c r="M104" s="88" t="s">
        <v>73</v>
      </c>
      <c r="N104" s="88" t="s">
        <v>29</v>
      </c>
      <c r="O104" s="88" t="s">
        <v>73</v>
      </c>
      <c r="P104" s="88" t="s">
        <v>29</v>
      </c>
      <c r="Q104" s="88" t="s">
        <v>25</v>
      </c>
      <c r="R104" s="95"/>
      <c r="S104" s="95"/>
      <c r="T104" s="95"/>
      <c r="U104" s="95"/>
      <c r="V104" s="95"/>
      <c r="W104" s="95"/>
    </row>
    <row r="105" spans="1:23" ht="29.25" customHeight="1" thickTop="1" thickBot="1">
      <c r="A105" s="95"/>
      <c r="B105" s="95"/>
      <c r="C105" s="95"/>
      <c r="D105" s="88" t="s">
        <v>123</v>
      </c>
      <c r="E105" s="88">
        <f>المهني!FB19</f>
        <v>1</v>
      </c>
      <c r="F105" s="88">
        <f>المهني!FC19</f>
        <v>1</v>
      </c>
      <c r="G105" s="88">
        <f>المهني!FD19</f>
        <v>2</v>
      </c>
      <c r="H105" s="88">
        <f>المهني!FE19</f>
        <v>1</v>
      </c>
      <c r="I105" s="88">
        <f>المهني!FF19</f>
        <v>33</v>
      </c>
      <c r="J105" s="88">
        <f>المهني!FG19</f>
        <v>40</v>
      </c>
      <c r="K105" s="88">
        <f>المهني!FH19</f>
        <v>13</v>
      </c>
      <c r="L105" s="88">
        <f>المهني!FI19</f>
        <v>19</v>
      </c>
      <c r="M105" s="88">
        <f>المهني!FJ19</f>
        <v>0</v>
      </c>
      <c r="N105" s="88">
        <f>المهني!FK19</f>
        <v>0</v>
      </c>
      <c r="O105" s="88">
        <f t="shared" ref="O105:P110" si="26">M105+K105+I105+G105+E105</f>
        <v>49</v>
      </c>
      <c r="P105" s="88">
        <f t="shared" si="26"/>
        <v>61</v>
      </c>
      <c r="Q105" s="88">
        <f>P105+O105</f>
        <v>110</v>
      </c>
      <c r="R105" s="95"/>
      <c r="S105" s="5"/>
      <c r="T105" s="5"/>
      <c r="U105" s="5"/>
      <c r="V105" s="95"/>
      <c r="W105" s="95"/>
    </row>
    <row r="106" spans="1:23" ht="29.25" customHeight="1" thickTop="1" thickBot="1">
      <c r="A106" s="95"/>
      <c r="B106" s="95"/>
      <c r="C106" s="95"/>
      <c r="D106" s="88" t="s">
        <v>124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f t="shared" si="26"/>
        <v>0</v>
      </c>
      <c r="P106" s="88">
        <f t="shared" si="26"/>
        <v>0</v>
      </c>
      <c r="Q106" s="88">
        <f>P106+O106</f>
        <v>0</v>
      </c>
      <c r="R106" s="95"/>
      <c r="S106" s="5"/>
      <c r="T106" s="5"/>
      <c r="U106" s="5"/>
      <c r="V106" s="95"/>
      <c r="W106" s="95"/>
    </row>
    <row r="107" spans="1:23" ht="29.25" customHeight="1" thickTop="1" thickBot="1">
      <c r="A107" s="95"/>
      <c r="B107" s="95"/>
      <c r="C107" s="95"/>
      <c r="D107" s="88" t="s">
        <v>125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f t="shared" si="26"/>
        <v>0</v>
      </c>
      <c r="P107" s="88">
        <f t="shared" si="26"/>
        <v>0</v>
      </c>
      <c r="Q107" s="88">
        <f>P107+O107</f>
        <v>0</v>
      </c>
      <c r="R107" s="95"/>
      <c r="S107" s="5"/>
      <c r="T107" s="5"/>
      <c r="U107" s="5"/>
      <c r="V107" s="95"/>
      <c r="W107" s="95"/>
    </row>
    <row r="108" spans="1:23" ht="29.25" customHeight="1" thickTop="1" thickBot="1">
      <c r="A108" s="95"/>
      <c r="B108" s="95"/>
      <c r="C108" s="95"/>
      <c r="D108" s="88" t="s">
        <v>216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f t="shared" si="26"/>
        <v>0</v>
      </c>
      <c r="P108" s="88">
        <f t="shared" si="26"/>
        <v>0</v>
      </c>
      <c r="Q108" s="88">
        <f>P108+O108</f>
        <v>0</v>
      </c>
      <c r="R108" s="95"/>
      <c r="S108" s="5"/>
      <c r="T108" s="5"/>
      <c r="U108" s="5"/>
      <c r="V108" s="95"/>
      <c r="W108" s="95"/>
    </row>
    <row r="109" spans="1:23" ht="29.25" customHeight="1" thickTop="1" thickBot="1">
      <c r="A109" s="138"/>
      <c r="B109" s="138"/>
      <c r="C109" s="138"/>
      <c r="D109" s="136" t="s">
        <v>488</v>
      </c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8"/>
      <c r="S109" s="5"/>
      <c r="T109" s="5"/>
      <c r="U109" s="5"/>
      <c r="V109" s="138"/>
      <c r="W109" s="138"/>
    </row>
    <row r="110" spans="1:23" ht="29.25" customHeight="1" thickTop="1" thickBot="1">
      <c r="A110" s="95"/>
      <c r="B110" s="95"/>
      <c r="C110" s="95"/>
      <c r="D110" s="56" t="s">
        <v>397</v>
      </c>
      <c r="E110" s="88">
        <v>0</v>
      </c>
      <c r="F110" s="88">
        <v>0</v>
      </c>
      <c r="G110" s="88">
        <v>0</v>
      </c>
      <c r="H110" s="88">
        <v>0</v>
      </c>
      <c r="I110" s="88">
        <v>0</v>
      </c>
      <c r="J110" s="88">
        <v>0</v>
      </c>
      <c r="K110" s="88">
        <v>0</v>
      </c>
      <c r="L110" s="88">
        <v>0</v>
      </c>
      <c r="M110" s="88">
        <v>0</v>
      </c>
      <c r="N110" s="88">
        <v>0</v>
      </c>
      <c r="O110" s="88">
        <f t="shared" si="26"/>
        <v>0</v>
      </c>
      <c r="P110" s="88">
        <f t="shared" si="26"/>
        <v>0</v>
      </c>
      <c r="Q110" s="88">
        <f>P110+O110</f>
        <v>0</v>
      </c>
      <c r="R110" s="95"/>
      <c r="S110" s="5"/>
      <c r="T110" s="5"/>
      <c r="U110" s="5"/>
      <c r="V110" s="95"/>
      <c r="W110" s="95"/>
    </row>
    <row r="111" spans="1:23" ht="29.25" customHeight="1" thickTop="1" thickBot="1">
      <c r="A111" s="91"/>
      <c r="B111" s="91"/>
      <c r="C111" s="91"/>
      <c r="D111" s="88" t="s">
        <v>25</v>
      </c>
      <c r="E111" s="88">
        <f t="shared" ref="E111:Q111" si="27">E108+E107+E106+E105</f>
        <v>1</v>
      </c>
      <c r="F111" s="88">
        <f t="shared" si="27"/>
        <v>1</v>
      </c>
      <c r="G111" s="88">
        <f t="shared" si="27"/>
        <v>2</v>
      </c>
      <c r="H111" s="88">
        <f t="shared" si="27"/>
        <v>1</v>
      </c>
      <c r="I111" s="88">
        <f t="shared" si="27"/>
        <v>33</v>
      </c>
      <c r="J111" s="88">
        <f t="shared" si="27"/>
        <v>40</v>
      </c>
      <c r="K111" s="88">
        <f t="shared" si="27"/>
        <v>13</v>
      </c>
      <c r="L111" s="88">
        <f t="shared" si="27"/>
        <v>19</v>
      </c>
      <c r="M111" s="88">
        <f t="shared" si="27"/>
        <v>0</v>
      </c>
      <c r="N111" s="88">
        <f t="shared" si="27"/>
        <v>0</v>
      </c>
      <c r="O111" s="88">
        <f t="shared" si="27"/>
        <v>49</v>
      </c>
      <c r="P111" s="88">
        <f t="shared" si="27"/>
        <v>61</v>
      </c>
      <c r="Q111" s="88">
        <f t="shared" si="27"/>
        <v>110</v>
      </c>
      <c r="R111" s="95"/>
      <c r="S111" s="5"/>
      <c r="T111" s="5"/>
      <c r="U111" s="5"/>
      <c r="V111" s="95"/>
      <c r="W111" s="95"/>
    </row>
    <row r="112" spans="1:23" ht="29.25" customHeight="1" thickTop="1">
      <c r="A112" s="414"/>
      <c r="B112" s="414"/>
      <c r="C112" s="414"/>
      <c r="D112" s="414"/>
      <c r="E112" s="415"/>
      <c r="F112" s="415"/>
      <c r="G112" s="415"/>
      <c r="H112" s="415"/>
      <c r="I112" s="415"/>
      <c r="J112" s="415"/>
      <c r="K112" s="415"/>
      <c r="L112" s="415"/>
      <c r="M112" s="94"/>
      <c r="N112" s="94"/>
      <c r="O112" s="94"/>
      <c r="P112" s="94"/>
      <c r="Q112" s="94"/>
      <c r="R112" s="94"/>
      <c r="S112" s="95"/>
      <c r="T112" s="95"/>
      <c r="U112" s="95"/>
      <c r="V112" s="95"/>
      <c r="W112" s="95"/>
    </row>
    <row r="113" spans="1:23" ht="29.25" customHeight="1">
      <c r="A113" s="91"/>
      <c r="B113" s="370" t="s">
        <v>156</v>
      </c>
      <c r="C113" s="370"/>
      <c r="D113" s="370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95"/>
      <c r="U113" s="95"/>
      <c r="V113" s="95"/>
      <c r="W113" s="95"/>
    </row>
    <row r="114" spans="1:23" ht="29.25" customHeight="1">
      <c r="A114" s="91"/>
      <c r="B114" s="370" t="s">
        <v>541</v>
      </c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95"/>
      <c r="U114" s="95"/>
      <c r="V114" s="95"/>
      <c r="W114" s="95"/>
    </row>
    <row r="115" spans="1:23" ht="29.25" customHeight="1">
      <c r="A115" s="94"/>
      <c r="B115" s="370" t="s">
        <v>208</v>
      </c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95"/>
      <c r="U115" s="95"/>
      <c r="V115" s="95"/>
      <c r="W115" s="95"/>
    </row>
    <row r="116" spans="1:23" ht="29.25" customHeight="1" thickBo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5"/>
      <c r="T116" s="95"/>
      <c r="U116" s="95"/>
      <c r="V116" s="95"/>
      <c r="W116" s="95"/>
    </row>
    <row r="117" spans="1:23" ht="29.25" customHeight="1" thickTop="1" thickBot="1">
      <c r="A117" s="95"/>
      <c r="B117" s="416" t="s">
        <v>115</v>
      </c>
      <c r="C117" s="366" t="s">
        <v>157</v>
      </c>
      <c r="D117" s="367"/>
      <c r="E117" s="366" t="s">
        <v>69</v>
      </c>
      <c r="F117" s="367"/>
      <c r="G117" s="366" t="s">
        <v>64</v>
      </c>
      <c r="H117" s="367"/>
      <c r="I117" s="366" t="s">
        <v>362</v>
      </c>
      <c r="J117" s="367"/>
      <c r="K117" s="366" t="s">
        <v>363</v>
      </c>
      <c r="L117" s="367"/>
      <c r="M117" s="366" t="s">
        <v>33</v>
      </c>
      <c r="N117" s="367"/>
      <c r="O117" s="366" t="s">
        <v>34</v>
      </c>
      <c r="P117" s="367"/>
      <c r="Q117" s="366" t="s">
        <v>35</v>
      </c>
      <c r="R117" s="367"/>
      <c r="S117" s="366" t="s">
        <v>36</v>
      </c>
      <c r="T117" s="367"/>
      <c r="U117" s="366" t="s">
        <v>25</v>
      </c>
      <c r="V117" s="368"/>
      <c r="W117" s="367"/>
    </row>
    <row r="118" spans="1:23" ht="29.25" customHeight="1" thickTop="1" thickBot="1">
      <c r="A118" s="95"/>
      <c r="B118" s="417"/>
      <c r="C118" s="88" t="s">
        <v>73</v>
      </c>
      <c r="D118" s="88" t="s">
        <v>29</v>
      </c>
      <c r="E118" s="88" t="s">
        <v>73</v>
      </c>
      <c r="F118" s="88" t="s">
        <v>29</v>
      </c>
      <c r="G118" s="88" t="s">
        <v>73</v>
      </c>
      <c r="H118" s="88" t="s">
        <v>29</v>
      </c>
      <c r="I118" s="88" t="s">
        <v>73</v>
      </c>
      <c r="J118" s="88" t="s">
        <v>29</v>
      </c>
      <c r="K118" s="88" t="s">
        <v>73</v>
      </c>
      <c r="L118" s="88" t="s">
        <v>29</v>
      </c>
      <c r="M118" s="88" t="s">
        <v>73</v>
      </c>
      <c r="N118" s="88" t="s">
        <v>29</v>
      </c>
      <c r="O118" s="88" t="s">
        <v>73</v>
      </c>
      <c r="P118" s="88" t="s">
        <v>29</v>
      </c>
      <c r="Q118" s="88" t="s">
        <v>73</v>
      </c>
      <c r="R118" s="88" t="s">
        <v>29</v>
      </c>
      <c r="S118" s="88" t="s">
        <v>73</v>
      </c>
      <c r="T118" s="88" t="s">
        <v>29</v>
      </c>
      <c r="U118" s="88" t="s">
        <v>73</v>
      </c>
      <c r="V118" s="88" t="s">
        <v>29</v>
      </c>
      <c r="W118" s="88" t="s">
        <v>25</v>
      </c>
    </row>
    <row r="119" spans="1:23" ht="29.25" customHeight="1" thickTop="1" thickBot="1">
      <c r="A119" s="95"/>
      <c r="B119" s="88" t="s">
        <v>123</v>
      </c>
      <c r="C119" s="88">
        <f>المهني!NE19</f>
        <v>1</v>
      </c>
      <c r="D119" s="88">
        <f>المهني!NF19</f>
        <v>0</v>
      </c>
      <c r="E119" s="88">
        <f>المهني!NG19</f>
        <v>0</v>
      </c>
      <c r="F119" s="88">
        <f>المهني!NH19</f>
        <v>0</v>
      </c>
      <c r="G119" s="88">
        <f>المهني!NI19</f>
        <v>12</v>
      </c>
      <c r="H119" s="88">
        <f>المهني!NJ19</f>
        <v>19</v>
      </c>
      <c r="I119" s="88">
        <f>المهني!NM19</f>
        <v>3</v>
      </c>
      <c r="J119" s="88">
        <f>المهني!NN19</f>
        <v>10</v>
      </c>
      <c r="K119" s="88">
        <f>المهني!NK19</f>
        <v>32</v>
      </c>
      <c r="L119" s="88">
        <f>المهني!NL19</f>
        <v>30</v>
      </c>
      <c r="M119" s="88">
        <f>المهني!NO19</f>
        <v>0</v>
      </c>
      <c r="N119" s="88">
        <f>المهني!NP19</f>
        <v>0</v>
      </c>
      <c r="O119" s="88">
        <f>المهني!NQ19</f>
        <v>1</v>
      </c>
      <c r="P119" s="88">
        <f>المهني!NR19</f>
        <v>2</v>
      </c>
      <c r="Q119" s="88">
        <f>المهني!NS19</f>
        <v>0</v>
      </c>
      <c r="R119" s="88">
        <f>المهني!NT19</f>
        <v>0</v>
      </c>
      <c r="S119" s="88">
        <f>المهني!NU19</f>
        <v>0</v>
      </c>
      <c r="T119" s="88">
        <f>المهني!NV19</f>
        <v>0</v>
      </c>
      <c r="U119" s="88">
        <f t="shared" ref="U119:V125" si="28">S119+Q119+O119+M119+K119+G119+C119+E119+I119</f>
        <v>49</v>
      </c>
      <c r="V119" s="88">
        <f t="shared" si="28"/>
        <v>61</v>
      </c>
      <c r="W119" s="88">
        <f t="shared" ref="W119:W125" si="29">V119+U119</f>
        <v>110</v>
      </c>
    </row>
    <row r="120" spans="1:23" ht="29.25" customHeight="1" thickTop="1" thickBot="1">
      <c r="A120" s="95"/>
      <c r="B120" s="88" t="s">
        <v>124</v>
      </c>
      <c r="C120" s="88">
        <v>0</v>
      </c>
      <c r="D120" s="88">
        <v>0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f t="shared" si="28"/>
        <v>0</v>
      </c>
      <c r="V120" s="88">
        <f t="shared" si="28"/>
        <v>0</v>
      </c>
      <c r="W120" s="88">
        <f t="shared" si="29"/>
        <v>0</v>
      </c>
    </row>
    <row r="121" spans="1:23" ht="29.25" customHeight="1" thickTop="1" thickBot="1">
      <c r="A121" s="95"/>
      <c r="B121" s="88" t="s">
        <v>125</v>
      </c>
      <c r="C121" s="88">
        <v>0</v>
      </c>
      <c r="D121" s="88">
        <v>0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f t="shared" si="28"/>
        <v>0</v>
      </c>
      <c r="V121" s="88">
        <f t="shared" si="28"/>
        <v>0</v>
      </c>
      <c r="W121" s="88">
        <f t="shared" si="29"/>
        <v>0</v>
      </c>
    </row>
    <row r="122" spans="1:23" ht="29.25" customHeight="1" thickTop="1" thickBot="1">
      <c r="A122" s="95"/>
      <c r="B122" s="88" t="s">
        <v>216</v>
      </c>
      <c r="C122" s="88">
        <v>0</v>
      </c>
      <c r="D122" s="88">
        <v>0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f t="shared" si="28"/>
        <v>0</v>
      </c>
      <c r="V122" s="88">
        <f t="shared" si="28"/>
        <v>0</v>
      </c>
      <c r="W122" s="88">
        <f t="shared" si="29"/>
        <v>0</v>
      </c>
    </row>
    <row r="123" spans="1:23" ht="29.25" customHeight="1" thickTop="1" thickBot="1">
      <c r="A123" s="138"/>
      <c r="B123" s="136" t="s">
        <v>488</v>
      </c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</row>
    <row r="124" spans="1:23" ht="29.25" customHeight="1" thickTop="1" thickBot="1">
      <c r="A124" s="95"/>
      <c r="B124" s="56" t="s">
        <v>397</v>
      </c>
      <c r="C124" s="88">
        <v>0</v>
      </c>
      <c r="D124" s="88">
        <v>0</v>
      </c>
      <c r="E124" s="88">
        <v>0</v>
      </c>
      <c r="F124" s="88">
        <v>0</v>
      </c>
      <c r="G124" s="88">
        <v>0</v>
      </c>
      <c r="H124" s="88">
        <v>0</v>
      </c>
      <c r="I124" s="88">
        <v>0</v>
      </c>
      <c r="J124" s="88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f t="shared" si="28"/>
        <v>0</v>
      </c>
      <c r="V124" s="88">
        <f t="shared" si="28"/>
        <v>0</v>
      </c>
      <c r="W124" s="88">
        <f t="shared" si="29"/>
        <v>0</v>
      </c>
    </row>
    <row r="125" spans="1:23" ht="29.25" customHeight="1" thickTop="1" thickBot="1">
      <c r="A125" s="95"/>
      <c r="B125" s="88" t="s">
        <v>25</v>
      </c>
      <c r="C125" s="88">
        <f t="shared" ref="C125:T125" si="30">C122+C121+C120+C119</f>
        <v>1</v>
      </c>
      <c r="D125" s="88">
        <f t="shared" si="30"/>
        <v>0</v>
      </c>
      <c r="E125" s="88">
        <f t="shared" si="30"/>
        <v>0</v>
      </c>
      <c r="F125" s="88">
        <f t="shared" si="30"/>
        <v>0</v>
      </c>
      <c r="G125" s="88">
        <f t="shared" si="30"/>
        <v>12</v>
      </c>
      <c r="H125" s="88">
        <f t="shared" si="30"/>
        <v>19</v>
      </c>
      <c r="I125" s="88">
        <f t="shared" si="30"/>
        <v>3</v>
      </c>
      <c r="J125" s="88">
        <f t="shared" si="30"/>
        <v>10</v>
      </c>
      <c r="K125" s="88">
        <f t="shared" si="30"/>
        <v>32</v>
      </c>
      <c r="L125" s="88">
        <f t="shared" si="30"/>
        <v>30</v>
      </c>
      <c r="M125" s="88">
        <f t="shared" si="30"/>
        <v>0</v>
      </c>
      <c r="N125" s="88">
        <f t="shared" si="30"/>
        <v>0</v>
      </c>
      <c r="O125" s="88">
        <f t="shared" si="30"/>
        <v>1</v>
      </c>
      <c r="P125" s="88">
        <f t="shared" si="30"/>
        <v>2</v>
      </c>
      <c r="Q125" s="88">
        <f t="shared" si="30"/>
        <v>0</v>
      </c>
      <c r="R125" s="88">
        <f t="shared" si="30"/>
        <v>0</v>
      </c>
      <c r="S125" s="88">
        <f t="shared" si="30"/>
        <v>0</v>
      </c>
      <c r="T125" s="88">
        <f t="shared" si="30"/>
        <v>0</v>
      </c>
      <c r="U125" s="88">
        <f t="shared" si="28"/>
        <v>49</v>
      </c>
      <c r="V125" s="88">
        <f t="shared" si="28"/>
        <v>61</v>
      </c>
      <c r="W125" s="88">
        <f t="shared" si="29"/>
        <v>110</v>
      </c>
    </row>
    <row r="126" spans="1:23" ht="29.25" customHeight="1" thickTop="1"/>
  </sheetData>
  <mergeCells count="115">
    <mergeCell ref="Q117:R117"/>
    <mergeCell ref="S117:T117"/>
    <mergeCell ref="U117:W117"/>
    <mergeCell ref="E117:F117"/>
    <mergeCell ref="I117:J117"/>
    <mergeCell ref="A112:L112"/>
    <mergeCell ref="B113:S113"/>
    <mergeCell ref="B114:S114"/>
    <mergeCell ref="B115:S115"/>
    <mergeCell ref="B117:B118"/>
    <mergeCell ref="C117:D117"/>
    <mergeCell ref="G117:H117"/>
    <mergeCell ref="K117:L117"/>
    <mergeCell ref="M117:N117"/>
    <mergeCell ref="O117:P117"/>
    <mergeCell ref="O103:Q103"/>
    <mergeCell ref="A96:E96"/>
    <mergeCell ref="R96:S96"/>
    <mergeCell ref="A97:E97"/>
    <mergeCell ref="I98:L98"/>
    <mergeCell ref="D99:Q99"/>
    <mergeCell ref="E86:F86"/>
    <mergeCell ref="I86:J86"/>
    <mergeCell ref="D100:Q100"/>
    <mergeCell ref="D101:Q101"/>
    <mergeCell ref="D103:D104"/>
    <mergeCell ref="E103:F103"/>
    <mergeCell ref="G103:H103"/>
    <mergeCell ref="I103:J103"/>
    <mergeCell ref="K103:L103"/>
    <mergeCell ref="M103:N103"/>
    <mergeCell ref="G86:H86"/>
    <mergeCell ref="K86:L86"/>
    <mergeCell ref="M86:N86"/>
    <mergeCell ref="O86:P86"/>
    <mergeCell ref="Q86:R86"/>
    <mergeCell ref="S86:T86"/>
    <mergeCell ref="M72:N72"/>
    <mergeCell ref="O72:Q72"/>
    <mergeCell ref="A65:E65"/>
    <mergeCell ref="D69:Q69"/>
    <mergeCell ref="U86:W86"/>
    <mergeCell ref="B82:S82"/>
    <mergeCell ref="B83:S83"/>
    <mergeCell ref="B84:S84"/>
    <mergeCell ref="B86:B87"/>
    <mergeCell ref="C86:D86"/>
    <mergeCell ref="R65:S65"/>
    <mergeCell ref="A66:E66"/>
    <mergeCell ref="I67:L67"/>
    <mergeCell ref="D68:Q68"/>
    <mergeCell ref="D70:Q70"/>
    <mergeCell ref="D72:D73"/>
    <mergeCell ref="E72:F72"/>
    <mergeCell ref="G72:H72"/>
    <mergeCell ref="I72:J72"/>
    <mergeCell ref="K72:L72"/>
    <mergeCell ref="S55:T55"/>
    <mergeCell ref="K41:L41"/>
    <mergeCell ref="U55:W55"/>
    <mergeCell ref="E55:F55"/>
    <mergeCell ref="I55:J55"/>
    <mergeCell ref="D38:Q38"/>
    <mergeCell ref="D39:Q39"/>
    <mergeCell ref="D41:D42"/>
    <mergeCell ref="E41:F41"/>
    <mergeCell ref="G41:H41"/>
    <mergeCell ref="B51:S51"/>
    <mergeCell ref="B52:S52"/>
    <mergeCell ref="B53:S53"/>
    <mergeCell ref="B55:B56"/>
    <mergeCell ref="C55:D55"/>
    <mergeCell ref="G55:H55"/>
    <mergeCell ref="K55:L55"/>
    <mergeCell ref="M55:N55"/>
    <mergeCell ref="O55:P55"/>
    <mergeCell ref="Q55:R55"/>
    <mergeCell ref="A50:L50"/>
    <mergeCell ref="I41:J41"/>
    <mergeCell ref="A1:E1"/>
    <mergeCell ref="A18:L18"/>
    <mergeCell ref="B21:S21"/>
    <mergeCell ref="B23:B24"/>
    <mergeCell ref="A34:E34"/>
    <mergeCell ref="R34:S34"/>
    <mergeCell ref="D5:Q5"/>
    <mergeCell ref="O23:P23"/>
    <mergeCell ref="Q23:R23"/>
    <mergeCell ref="D6:Q6"/>
    <mergeCell ref="I3:L3"/>
    <mergeCell ref="B19:S19"/>
    <mergeCell ref="B20:S20"/>
    <mergeCell ref="R1:S1"/>
    <mergeCell ref="A2:E2"/>
    <mergeCell ref="M8:N8"/>
    <mergeCell ref="O8:Q8"/>
    <mergeCell ref="D4:Q4"/>
    <mergeCell ref="G23:H23"/>
    <mergeCell ref="E23:F23"/>
    <mergeCell ref="I23:J23"/>
    <mergeCell ref="D8:D9"/>
    <mergeCell ref="E8:F8"/>
    <mergeCell ref="G8:H8"/>
    <mergeCell ref="I8:J8"/>
    <mergeCell ref="K8:L8"/>
    <mergeCell ref="A35:E35"/>
    <mergeCell ref="I36:L36"/>
    <mergeCell ref="D37:Q37"/>
    <mergeCell ref="M41:N41"/>
    <mergeCell ref="O41:Q41"/>
    <mergeCell ref="S23:T23"/>
    <mergeCell ref="U23:W23"/>
    <mergeCell ref="C23:D23"/>
    <mergeCell ref="K23:L23"/>
    <mergeCell ref="M23:N23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0" orientation="landscape" horizontalDpi="300" verticalDpi="300" r:id="rId1"/>
  <rowBreaks count="3" manualBreakCount="3">
    <brk id="32" max="22" man="1"/>
    <brk id="64" max="16383" man="1"/>
    <brk id="9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rightToLeft="1" view="pageBreakPreview" zoomScale="60" zoomScaleNormal="100" workbookViewId="0">
      <selection activeCell="Z20" sqref="Z20"/>
    </sheetView>
  </sheetViews>
  <sheetFormatPr defaultColWidth="9" defaultRowHeight="42.75" customHeight="1"/>
  <cols>
    <col min="1" max="1" width="20.25" style="64" customWidth="1"/>
    <col min="2" max="2" width="21.75" style="64" customWidth="1"/>
    <col min="3" max="5" width="11.75" style="64" customWidth="1"/>
    <col min="6" max="11" width="9" style="64"/>
    <col min="12" max="12" width="11.75" style="64" customWidth="1"/>
    <col min="13" max="21" width="9" style="64"/>
    <col min="22" max="25" width="12.125" style="64" customWidth="1"/>
    <col min="26" max="16384" width="9" style="64"/>
  </cols>
  <sheetData>
    <row r="1" spans="1:25" ht="23.25"/>
    <row r="2" spans="1:25" s="97" customFormat="1" ht="23.25">
      <c r="A2" s="328" t="s">
        <v>148</v>
      </c>
      <c r="B2" s="328"/>
      <c r="C2" s="328"/>
      <c r="D2" s="328"/>
      <c r="E2" s="328"/>
      <c r="F2" s="86"/>
      <c r="G2" s="86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328" t="s">
        <v>112</v>
      </c>
      <c r="V2" s="328"/>
      <c r="W2" s="328"/>
      <c r="X2" s="87"/>
      <c r="Y2" s="87"/>
    </row>
    <row r="3" spans="1:25" s="97" customFormat="1" ht="23.25">
      <c r="A3" s="334" t="s">
        <v>188</v>
      </c>
      <c r="B3" s="334"/>
      <c r="C3" s="334"/>
      <c r="D3" s="334"/>
      <c r="E3" s="334"/>
      <c r="F3" s="86"/>
      <c r="G3" s="87"/>
      <c r="H3" s="87"/>
      <c r="I3" s="334" t="s">
        <v>191</v>
      </c>
      <c r="J3" s="334"/>
      <c r="K3" s="334"/>
      <c r="L3" s="334"/>
      <c r="M3" s="334"/>
      <c r="N3" s="334"/>
      <c r="O3" s="334"/>
      <c r="P3" s="334"/>
      <c r="Q3" s="86"/>
      <c r="R3" s="86"/>
      <c r="S3" s="87"/>
      <c r="T3" s="87"/>
      <c r="U3" s="87"/>
      <c r="V3" s="87"/>
      <c r="W3" s="87"/>
      <c r="X3" s="87"/>
      <c r="Y3" s="87"/>
    </row>
    <row r="4" spans="1:25" s="97" customFormat="1" ht="23.25">
      <c r="B4" s="23"/>
      <c r="C4" s="23"/>
      <c r="D4" s="23"/>
      <c r="E4" s="23"/>
      <c r="F4" s="23"/>
      <c r="G4" s="23"/>
      <c r="H4" s="23"/>
      <c r="I4" s="23"/>
      <c r="J4" s="23"/>
      <c r="K4" s="23" t="s">
        <v>158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87"/>
    </row>
    <row r="5" spans="1:25" s="97" customFormat="1" ht="23.25">
      <c r="A5" s="328" t="s">
        <v>533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87"/>
    </row>
    <row r="6" spans="1:25" s="97" customFormat="1" ht="23.25">
      <c r="A6" s="328" t="s">
        <v>159</v>
      </c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87"/>
    </row>
    <row r="7" spans="1:25" ht="26.25" customHeight="1" thickBot="1">
      <c r="A7" s="9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87"/>
      <c r="T7" s="87"/>
      <c r="U7" s="87"/>
      <c r="V7" s="87"/>
      <c r="W7" s="87"/>
      <c r="X7" s="87"/>
      <c r="Y7" s="87"/>
    </row>
    <row r="8" spans="1:25" ht="50.25" customHeight="1" thickTop="1" thickBot="1">
      <c r="A8" s="435" t="s">
        <v>160</v>
      </c>
      <c r="B8" s="322" t="s">
        <v>161</v>
      </c>
      <c r="C8" s="330"/>
      <c r="D8" s="323"/>
      <c r="E8" s="322" t="s">
        <v>162</v>
      </c>
      <c r="F8" s="330"/>
      <c r="G8" s="323"/>
      <c r="H8" s="421" t="s">
        <v>163</v>
      </c>
      <c r="I8" s="422"/>
      <c r="J8" s="423"/>
      <c r="K8" s="438" t="s">
        <v>164</v>
      </c>
      <c r="L8" s="439"/>
      <c r="M8" s="322" t="s">
        <v>165</v>
      </c>
      <c r="N8" s="330"/>
      <c r="O8" s="330"/>
      <c r="P8" s="330"/>
      <c r="Q8" s="330"/>
      <c r="R8" s="323"/>
      <c r="S8" s="430" t="s">
        <v>218</v>
      </c>
      <c r="T8" s="108"/>
      <c r="U8" s="109"/>
      <c r="V8" s="427" t="s">
        <v>222</v>
      </c>
      <c r="W8" s="428"/>
      <c r="X8" s="428"/>
      <c r="Y8" s="429"/>
    </row>
    <row r="9" spans="1:25" ht="42.75" customHeight="1" thickTop="1" thickBot="1">
      <c r="A9" s="436"/>
      <c r="B9" s="322" t="s">
        <v>166</v>
      </c>
      <c r="C9" s="323"/>
      <c r="D9" s="418" t="s">
        <v>167</v>
      </c>
      <c r="E9" s="430" t="s">
        <v>38</v>
      </c>
      <c r="F9" s="418" t="s">
        <v>39</v>
      </c>
      <c r="G9" s="430" t="s">
        <v>217</v>
      </c>
      <c r="H9" s="418" t="s">
        <v>40</v>
      </c>
      <c r="I9" s="418" t="s">
        <v>45</v>
      </c>
      <c r="J9" s="418" t="s">
        <v>41</v>
      </c>
      <c r="K9" s="433" t="s">
        <v>168</v>
      </c>
      <c r="L9" s="434"/>
      <c r="M9" s="418" t="s">
        <v>169</v>
      </c>
      <c r="N9" s="418" t="s">
        <v>364</v>
      </c>
      <c r="O9" s="418" t="s">
        <v>353</v>
      </c>
      <c r="P9" s="418" t="s">
        <v>44</v>
      </c>
      <c r="Q9" s="418" t="s">
        <v>354</v>
      </c>
      <c r="R9" s="418" t="s">
        <v>170</v>
      </c>
      <c r="S9" s="431"/>
      <c r="T9" s="110" t="s">
        <v>171</v>
      </c>
      <c r="U9" s="111" t="s">
        <v>171</v>
      </c>
      <c r="V9" s="424" t="s">
        <v>474</v>
      </c>
      <c r="W9" s="424" t="s">
        <v>219</v>
      </c>
      <c r="X9" s="424" t="s">
        <v>220</v>
      </c>
      <c r="Y9" s="424" t="s">
        <v>221</v>
      </c>
    </row>
    <row r="10" spans="1:25" ht="41.25" thickTop="1">
      <c r="A10" s="436"/>
      <c r="B10" s="346" t="s">
        <v>172</v>
      </c>
      <c r="C10" s="108" t="s">
        <v>173</v>
      </c>
      <c r="D10" s="419"/>
      <c r="E10" s="431"/>
      <c r="F10" s="419"/>
      <c r="G10" s="431"/>
      <c r="H10" s="419"/>
      <c r="I10" s="419"/>
      <c r="J10" s="419"/>
      <c r="K10" s="346" t="s">
        <v>99</v>
      </c>
      <c r="L10" s="108" t="s">
        <v>175</v>
      </c>
      <c r="M10" s="419" t="s">
        <v>176</v>
      </c>
      <c r="N10" s="419"/>
      <c r="O10" s="419" t="s">
        <v>176</v>
      </c>
      <c r="P10" s="419"/>
      <c r="Q10" s="419"/>
      <c r="R10" s="419"/>
      <c r="S10" s="431"/>
      <c r="T10" s="110" t="s">
        <v>177</v>
      </c>
      <c r="U10" s="111" t="s">
        <v>178</v>
      </c>
      <c r="V10" s="425"/>
      <c r="W10" s="425"/>
      <c r="X10" s="425"/>
      <c r="Y10" s="425"/>
    </row>
    <row r="11" spans="1:25" ht="42.75" customHeight="1" thickBot="1">
      <c r="A11" s="437"/>
      <c r="B11" s="347"/>
      <c r="C11" s="112" t="s">
        <v>36</v>
      </c>
      <c r="D11" s="420"/>
      <c r="E11" s="432"/>
      <c r="F11" s="420"/>
      <c r="G11" s="432"/>
      <c r="H11" s="420"/>
      <c r="I11" s="420"/>
      <c r="J11" s="420"/>
      <c r="K11" s="347"/>
      <c r="L11" s="112" t="s">
        <v>99</v>
      </c>
      <c r="M11" s="420" t="s">
        <v>179</v>
      </c>
      <c r="N11" s="420"/>
      <c r="O11" s="420" t="s">
        <v>180</v>
      </c>
      <c r="P11" s="420"/>
      <c r="Q11" s="420"/>
      <c r="R11" s="420"/>
      <c r="S11" s="432"/>
      <c r="T11" s="112"/>
      <c r="U11" s="113"/>
      <c r="V11" s="426"/>
      <c r="W11" s="426"/>
      <c r="X11" s="426"/>
      <c r="Y11" s="426"/>
    </row>
    <row r="12" spans="1:25" ht="42.75" customHeight="1" thickTop="1" thickBot="1">
      <c r="A12" s="15" t="s">
        <v>123</v>
      </c>
      <c r="B12" s="144">
        <f>المهني!RI20</f>
        <v>7</v>
      </c>
      <c r="C12" s="144">
        <f>المهني!RJ20</f>
        <v>0</v>
      </c>
      <c r="D12" s="144">
        <f>المهني!RK20</f>
        <v>0</v>
      </c>
      <c r="E12" s="144">
        <f>المهني!RF20</f>
        <v>5</v>
      </c>
      <c r="F12" s="144">
        <f>المهني!RG20</f>
        <v>2</v>
      </c>
      <c r="G12" s="144">
        <f>المهني!RH20</f>
        <v>0</v>
      </c>
      <c r="H12" s="144">
        <f>المهني!RL20</f>
        <v>4</v>
      </c>
      <c r="I12" s="144">
        <f>المهني!RM20</f>
        <v>3</v>
      </c>
      <c r="J12" s="144">
        <f>المهني!RN20</f>
        <v>0</v>
      </c>
      <c r="K12" s="144">
        <f>المهني!OU20</f>
        <v>7</v>
      </c>
      <c r="L12" s="144">
        <f>المهني!OV20</f>
        <v>0</v>
      </c>
      <c r="M12" s="144">
        <f>المهني!PP20</f>
        <v>6</v>
      </c>
      <c r="N12" s="144">
        <f>المهني!PQ20</f>
        <v>0</v>
      </c>
      <c r="O12" s="144">
        <f>المهني!PR20</f>
        <v>0</v>
      </c>
      <c r="P12" s="144">
        <f>المهني!PS20</f>
        <v>1</v>
      </c>
      <c r="Q12" s="144">
        <f>المهني!PT20</f>
        <v>0</v>
      </c>
      <c r="R12" s="144">
        <f>المهني!PU20</f>
        <v>0</v>
      </c>
      <c r="S12" s="144">
        <f>R12+P12+O12+N12+M12</f>
        <v>7</v>
      </c>
      <c r="T12" s="144">
        <f>المهني!SA20</f>
        <v>3</v>
      </c>
      <c r="U12" s="144">
        <f>المهني!SN20</f>
        <v>512</v>
      </c>
      <c r="V12" s="144">
        <f>المهني!QI20</f>
        <v>7</v>
      </c>
      <c r="W12" s="144">
        <f>المهني!QB20</f>
        <v>7</v>
      </c>
      <c r="X12" s="144">
        <f>المهني!QI20</f>
        <v>7</v>
      </c>
      <c r="Y12" s="144">
        <f>المهني!QM20</f>
        <v>7</v>
      </c>
    </row>
    <row r="13" spans="1:25" ht="42.75" customHeight="1" thickTop="1" thickBot="1">
      <c r="A13" s="15" t="s">
        <v>124</v>
      </c>
      <c r="B13" s="144">
        <v>0</v>
      </c>
      <c r="C13" s="144">
        <v>0</v>
      </c>
      <c r="D13" s="144">
        <v>0</v>
      </c>
      <c r="E13" s="144">
        <v>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0</v>
      </c>
      <c r="L13" s="144">
        <v>0</v>
      </c>
      <c r="M13" s="144">
        <v>0</v>
      </c>
      <c r="N13" s="144">
        <v>0</v>
      </c>
      <c r="O13" s="144">
        <v>0</v>
      </c>
      <c r="P13" s="144">
        <v>0</v>
      </c>
      <c r="Q13" s="144">
        <f>المهني!PT31</f>
        <v>0</v>
      </c>
      <c r="R13" s="144">
        <v>0</v>
      </c>
      <c r="S13" s="144">
        <f>R13+P13+O13+N13+M13</f>
        <v>0</v>
      </c>
      <c r="T13" s="144">
        <v>0</v>
      </c>
      <c r="U13" s="144">
        <v>0</v>
      </c>
      <c r="V13" s="144">
        <v>0</v>
      </c>
      <c r="W13" s="144">
        <v>0</v>
      </c>
      <c r="X13" s="144">
        <v>0</v>
      </c>
      <c r="Y13" s="144">
        <v>0</v>
      </c>
    </row>
    <row r="14" spans="1:25" ht="42.75" customHeight="1" thickTop="1" thickBot="1">
      <c r="A14" s="15" t="s">
        <v>125</v>
      </c>
      <c r="B14" s="15">
        <f>المهني!RI26</f>
        <v>0</v>
      </c>
      <c r="C14" s="15">
        <f>المهني!RJ26</f>
        <v>1</v>
      </c>
      <c r="D14" s="15">
        <f>المهني!RK26</f>
        <v>0</v>
      </c>
      <c r="E14" s="15">
        <f>المهني!RF26</f>
        <v>1</v>
      </c>
      <c r="F14" s="15">
        <f>المهني!RG26</f>
        <v>0</v>
      </c>
      <c r="G14" s="15">
        <f>المهني!RH26</f>
        <v>0</v>
      </c>
      <c r="H14" s="15">
        <f>المهني!RL26</f>
        <v>1</v>
      </c>
      <c r="I14" s="15">
        <f>المهني!RM26</f>
        <v>0</v>
      </c>
      <c r="J14" s="15">
        <f>المهني!RN26</f>
        <v>0</v>
      </c>
      <c r="K14" s="15">
        <f>المهني!OU26</f>
        <v>1</v>
      </c>
      <c r="L14" s="15">
        <f>المهني!OV26</f>
        <v>0</v>
      </c>
      <c r="M14" s="15">
        <f>المهني!PP26</f>
        <v>1</v>
      </c>
      <c r="N14" s="15">
        <f>المهني!PQ26</f>
        <v>0</v>
      </c>
      <c r="O14" s="15">
        <f>المهني!PR26</f>
        <v>0</v>
      </c>
      <c r="P14" s="15">
        <f>المهني!PS26</f>
        <v>0</v>
      </c>
      <c r="Q14" s="15">
        <f>المهني!PT26</f>
        <v>0</v>
      </c>
      <c r="R14" s="15">
        <f>المهني!PU26</f>
        <v>0</v>
      </c>
      <c r="S14" s="15">
        <f>R14+P14+O14+N14+M14</f>
        <v>1</v>
      </c>
      <c r="T14" s="15">
        <v>0</v>
      </c>
      <c r="U14" s="15">
        <v>0</v>
      </c>
      <c r="V14" s="15">
        <f>المهني!PV26</f>
        <v>1</v>
      </c>
      <c r="W14" s="15">
        <f>المهني!QB26</f>
        <v>1</v>
      </c>
      <c r="X14" s="15">
        <f>المهني!QI26</f>
        <v>1</v>
      </c>
      <c r="Y14" s="15">
        <f>المهني!QM26</f>
        <v>1</v>
      </c>
    </row>
    <row r="15" spans="1:25" ht="42.75" customHeight="1" thickTop="1" thickBot="1">
      <c r="A15" s="15" t="s">
        <v>216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f>المهني!PT35</f>
        <v>0</v>
      </c>
      <c r="R15" s="15">
        <v>0</v>
      </c>
      <c r="S15" s="15">
        <f>R15+P15+O15+N15+M15</f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</row>
    <row r="16" spans="1:25" ht="42.75" customHeight="1" thickTop="1" thickBot="1">
      <c r="A16" s="15" t="s">
        <v>488</v>
      </c>
      <c r="B16" s="185">
        <f>المهني!RI49</f>
        <v>1</v>
      </c>
      <c r="C16" s="185">
        <f>المهني!RJ49</f>
        <v>0</v>
      </c>
      <c r="D16" s="185">
        <f>المهني!RK49</f>
        <v>0</v>
      </c>
      <c r="E16" s="185">
        <f>المهني!RF49</f>
        <v>0</v>
      </c>
      <c r="F16" s="185">
        <f>المهني!RG49</f>
        <v>1</v>
      </c>
      <c r="G16" s="185">
        <f>المهني!RH49</f>
        <v>0</v>
      </c>
      <c r="H16" s="185">
        <f>المهني!RL49</f>
        <v>0</v>
      </c>
      <c r="I16" s="185">
        <f>المهني!RM49</f>
        <v>1</v>
      </c>
      <c r="J16" s="185">
        <f>المهني!RN49</f>
        <v>0</v>
      </c>
      <c r="K16" s="185">
        <f>المهني!OU49</f>
        <v>1</v>
      </c>
      <c r="L16" s="185">
        <f>المهني!OV49</f>
        <v>0</v>
      </c>
      <c r="M16" s="185">
        <f>المهني!PP49</f>
        <v>1</v>
      </c>
      <c r="N16" s="185">
        <f>المهني!PQ49</f>
        <v>0</v>
      </c>
      <c r="O16" s="185">
        <f>المهني!PR49</f>
        <v>0</v>
      </c>
      <c r="P16" s="185">
        <f>المهني!PS49</f>
        <v>0</v>
      </c>
      <c r="Q16" s="185">
        <f>المهني!PT49</f>
        <v>0</v>
      </c>
      <c r="R16" s="185">
        <f>المهني!PU49</f>
        <v>0</v>
      </c>
      <c r="S16" s="185">
        <f t="shared" ref="S16:S17" si="0">R16+P16+O16+N16+M16</f>
        <v>1</v>
      </c>
      <c r="T16" s="185">
        <f>المهني!SA49</f>
        <v>0</v>
      </c>
      <c r="U16" s="185">
        <f>المهني!SN49</f>
        <v>0</v>
      </c>
      <c r="V16" s="185">
        <f>المهني!QI49</f>
        <v>1</v>
      </c>
      <c r="W16" s="185">
        <f>المهني!QB49</f>
        <v>1</v>
      </c>
      <c r="X16" s="185">
        <f>المهني!QI49</f>
        <v>1</v>
      </c>
      <c r="Y16" s="185">
        <f>المهني!QM49</f>
        <v>1</v>
      </c>
    </row>
    <row r="17" spans="1:33" ht="42.75" customHeight="1" thickTop="1" thickBot="1">
      <c r="A17" s="15" t="s">
        <v>523</v>
      </c>
      <c r="B17" s="185">
        <f>المهني!RI50</f>
        <v>0</v>
      </c>
      <c r="C17" s="185">
        <f>المهني!RJ50</f>
        <v>1</v>
      </c>
      <c r="D17" s="185">
        <f>المهني!RK50</f>
        <v>0</v>
      </c>
      <c r="E17" s="185">
        <f>المهني!RF50</f>
        <v>0</v>
      </c>
      <c r="F17" s="185">
        <f>المهني!RG50</f>
        <v>1</v>
      </c>
      <c r="G17" s="185">
        <f>المهني!RH50</f>
        <v>0</v>
      </c>
      <c r="H17" s="185">
        <f>المهني!RL50</f>
        <v>1</v>
      </c>
      <c r="I17" s="185">
        <f>المهني!RM50</f>
        <v>0</v>
      </c>
      <c r="J17" s="185">
        <f>المهني!RN50</f>
        <v>0</v>
      </c>
      <c r="K17" s="185">
        <f>المهني!OU50</f>
        <v>1</v>
      </c>
      <c r="L17" s="185">
        <f>المهني!OV50</f>
        <v>0</v>
      </c>
      <c r="M17" s="185">
        <f>المهني!PP50</f>
        <v>1</v>
      </c>
      <c r="N17" s="185">
        <f>المهني!PQ50</f>
        <v>0</v>
      </c>
      <c r="O17" s="185">
        <f>المهني!PR50</f>
        <v>0</v>
      </c>
      <c r="P17" s="185">
        <f>المهني!PS50</f>
        <v>0</v>
      </c>
      <c r="Q17" s="185">
        <f>المهني!PT50</f>
        <v>0</v>
      </c>
      <c r="R17" s="185">
        <f>المهني!PU50</f>
        <v>0</v>
      </c>
      <c r="S17" s="185">
        <f t="shared" si="0"/>
        <v>1</v>
      </c>
      <c r="T17" s="185">
        <f>المهني!SA50</f>
        <v>0</v>
      </c>
      <c r="U17" s="185">
        <f>المهني!SN50</f>
        <v>0</v>
      </c>
      <c r="V17" s="185">
        <f>المهني!QI50</f>
        <v>1</v>
      </c>
      <c r="W17" s="185">
        <f>المهني!QB50</f>
        <v>1</v>
      </c>
      <c r="X17" s="185">
        <f>المهني!QI50</f>
        <v>1</v>
      </c>
      <c r="Y17" s="185">
        <f>المهني!QM25</f>
        <v>1</v>
      </c>
    </row>
    <row r="18" spans="1:33" ht="42.75" customHeight="1" thickTop="1" thickBot="1">
      <c r="A18" s="55" t="s">
        <v>397</v>
      </c>
      <c r="B18" s="15">
        <f>المهني!RI46</f>
        <v>0</v>
      </c>
      <c r="C18" s="15">
        <f>المهني!RJ46</f>
        <v>1</v>
      </c>
      <c r="D18" s="15">
        <v>0</v>
      </c>
      <c r="E18" s="15">
        <f>المهني!RF46</f>
        <v>1</v>
      </c>
      <c r="F18" s="15">
        <f>المهني!RG46</f>
        <v>0</v>
      </c>
      <c r="G18" s="15">
        <f>المهني!RH46</f>
        <v>0</v>
      </c>
      <c r="H18" s="15">
        <f>المهني!RL46</f>
        <v>1</v>
      </c>
      <c r="I18" s="15">
        <f>المهني!RM46</f>
        <v>0</v>
      </c>
      <c r="J18" s="15">
        <f>المهني!RN46</f>
        <v>0</v>
      </c>
      <c r="K18" s="15">
        <f>المهني!OU46</f>
        <v>1</v>
      </c>
      <c r="L18" s="15">
        <f>المهني!OV46</f>
        <v>0</v>
      </c>
      <c r="M18" s="15">
        <f>المهني!PP46</f>
        <v>1</v>
      </c>
      <c r="N18" s="15">
        <f>المهني!PQ46</f>
        <v>0</v>
      </c>
      <c r="O18" s="15">
        <f>المهني!PR46</f>
        <v>0</v>
      </c>
      <c r="P18" s="15">
        <f>المهني!PS46</f>
        <v>0</v>
      </c>
      <c r="Q18" s="15">
        <f>المهني!PT46</f>
        <v>0</v>
      </c>
      <c r="R18" s="15">
        <f>المهني!PU46</f>
        <v>0</v>
      </c>
      <c r="S18" s="15">
        <f>R18+P18+O18+N18+M18</f>
        <v>1</v>
      </c>
      <c r="T18" s="15">
        <f>المهني!SA46</f>
        <v>0</v>
      </c>
      <c r="U18" s="15">
        <v>0</v>
      </c>
      <c r="V18" s="15">
        <f>المهني!PV46</f>
        <v>1</v>
      </c>
      <c r="W18" s="15">
        <f>المهني!QB46</f>
        <v>1</v>
      </c>
      <c r="X18" s="15">
        <f>المهني!QI46</f>
        <v>1</v>
      </c>
      <c r="Y18" s="15">
        <f>المهني!QM46</f>
        <v>1</v>
      </c>
    </row>
    <row r="19" spans="1:33" ht="42.75" customHeight="1" thickTop="1" thickBot="1">
      <c r="A19" s="15" t="s">
        <v>25</v>
      </c>
      <c r="B19" s="15">
        <f>SUM(B12:B18)</f>
        <v>8</v>
      </c>
      <c r="C19" s="15">
        <f t="shared" ref="C19:Y19" si="1">SUM(C12:C18)</f>
        <v>3</v>
      </c>
      <c r="D19" s="15">
        <f t="shared" si="1"/>
        <v>0</v>
      </c>
      <c r="E19" s="15">
        <f t="shared" si="1"/>
        <v>7</v>
      </c>
      <c r="F19" s="15">
        <f t="shared" si="1"/>
        <v>4</v>
      </c>
      <c r="G19" s="15">
        <f t="shared" si="1"/>
        <v>0</v>
      </c>
      <c r="H19" s="15">
        <f t="shared" si="1"/>
        <v>7</v>
      </c>
      <c r="I19" s="15">
        <f t="shared" si="1"/>
        <v>4</v>
      </c>
      <c r="J19" s="15">
        <f t="shared" si="1"/>
        <v>0</v>
      </c>
      <c r="K19" s="15">
        <f t="shared" si="1"/>
        <v>11</v>
      </c>
      <c r="L19" s="15">
        <f t="shared" si="1"/>
        <v>0</v>
      </c>
      <c r="M19" s="15">
        <f t="shared" si="1"/>
        <v>10</v>
      </c>
      <c r="N19" s="15">
        <f t="shared" si="1"/>
        <v>0</v>
      </c>
      <c r="O19" s="15">
        <f t="shared" si="1"/>
        <v>0</v>
      </c>
      <c r="P19" s="15">
        <f t="shared" si="1"/>
        <v>1</v>
      </c>
      <c r="Q19" s="15">
        <f t="shared" si="1"/>
        <v>0</v>
      </c>
      <c r="R19" s="15">
        <f t="shared" si="1"/>
        <v>0</v>
      </c>
      <c r="S19" s="15">
        <f t="shared" si="1"/>
        <v>11</v>
      </c>
      <c r="T19" s="15">
        <f t="shared" si="1"/>
        <v>3</v>
      </c>
      <c r="U19" s="15">
        <f t="shared" si="1"/>
        <v>512</v>
      </c>
      <c r="V19" s="15">
        <f t="shared" si="1"/>
        <v>11</v>
      </c>
      <c r="W19" s="15">
        <f t="shared" si="1"/>
        <v>11</v>
      </c>
      <c r="X19" s="15">
        <f t="shared" si="1"/>
        <v>11</v>
      </c>
      <c r="Y19" s="15">
        <f t="shared" si="1"/>
        <v>11</v>
      </c>
    </row>
    <row r="20" spans="1:33" ht="42.75" customHeight="1" thickTop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spans="1:33" s="97" customFormat="1" ht="23.25">
      <c r="A21" s="87"/>
      <c r="B21" s="87"/>
      <c r="C21" s="87"/>
      <c r="D21" s="87"/>
      <c r="E21" s="87"/>
      <c r="I21" s="87"/>
      <c r="J21" s="334" t="s">
        <v>423</v>
      </c>
      <c r="K21" s="334"/>
      <c r="L21" s="334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 spans="1:33" s="97" customFormat="1" ht="23.25">
      <c r="A22" s="87"/>
      <c r="B22" s="87"/>
      <c r="C22" s="87"/>
      <c r="D22" s="87"/>
      <c r="E22" s="87"/>
      <c r="G22" s="87"/>
      <c r="H22" s="87"/>
      <c r="I22" s="87"/>
      <c r="J22" s="87"/>
      <c r="K22" s="87" t="s">
        <v>424</v>
      </c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</row>
    <row r="23" spans="1:33" s="97" customFormat="1" ht="23.25">
      <c r="A23" s="87"/>
      <c r="B23" s="87"/>
      <c r="C23" s="87"/>
      <c r="D23" s="87"/>
      <c r="F23" s="87"/>
      <c r="G23" s="87"/>
      <c r="H23" s="87"/>
      <c r="I23" s="87"/>
      <c r="J23" s="87"/>
      <c r="K23" s="87" t="s">
        <v>542</v>
      </c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</row>
    <row r="24" spans="1:33" ht="42.75" customHeight="1" thickBo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</row>
    <row r="25" spans="1:33" ht="42.75" customHeight="1" thickTop="1" thickBot="1">
      <c r="A25" s="87"/>
      <c r="B25" s="346" t="s">
        <v>115</v>
      </c>
      <c r="C25" s="322" t="s">
        <v>415</v>
      </c>
      <c r="D25" s="330"/>
      <c r="E25" s="330"/>
      <c r="F25" s="330"/>
      <c r="G25" s="330"/>
      <c r="H25" s="330"/>
      <c r="I25" s="330"/>
      <c r="J25" s="323"/>
      <c r="K25" s="322" t="s">
        <v>417</v>
      </c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23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</row>
    <row r="26" spans="1:33" ht="42.75" customHeight="1" thickTop="1" thickBot="1">
      <c r="A26" s="87"/>
      <c r="B26" s="347"/>
      <c r="C26" s="322" t="s">
        <v>100</v>
      </c>
      <c r="D26" s="323"/>
      <c r="E26" s="322" t="s">
        <v>101</v>
      </c>
      <c r="F26" s="323"/>
      <c r="G26" s="322" t="s">
        <v>416</v>
      </c>
      <c r="H26" s="323"/>
      <c r="I26" s="322" t="s">
        <v>25</v>
      </c>
      <c r="J26" s="323"/>
      <c r="K26" s="322" t="s">
        <v>418</v>
      </c>
      <c r="L26" s="323"/>
      <c r="M26" s="322" t="s">
        <v>419</v>
      </c>
      <c r="N26" s="323"/>
      <c r="O26" s="322" t="s">
        <v>420</v>
      </c>
      <c r="P26" s="323"/>
      <c r="Q26" s="322" t="s">
        <v>421</v>
      </c>
      <c r="R26" s="323"/>
      <c r="S26" s="322" t="s">
        <v>422</v>
      </c>
      <c r="T26" s="323"/>
      <c r="U26" s="322" t="s">
        <v>25</v>
      </c>
      <c r="V26" s="323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</row>
    <row r="27" spans="1:33" ht="42.75" customHeight="1" thickTop="1" thickBot="1">
      <c r="A27" s="87"/>
      <c r="B27" s="15" t="s">
        <v>123</v>
      </c>
      <c r="C27" s="322">
        <f>المهني!PB20</f>
        <v>1</v>
      </c>
      <c r="D27" s="323"/>
      <c r="E27" s="322">
        <f>المهني!PC20</f>
        <v>3</v>
      </c>
      <c r="F27" s="323"/>
      <c r="G27" s="322">
        <f>المهني!PD20</f>
        <v>3</v>
      </c>
      <c r="H27" s="323"/>
      <c r="I27" s="322">
        <f>G27+E27+C27</f>
        <v>7</v>
      </c>
      <c r="J27" s="323"/>
      <c r="K27" s="322">
        <f>المهني!PE52</f>
        <v>0</v>
      </c>
      <c r="L27" s="323"/>
      <c r="M27" s="322">
        <f>المهني!PF20</f>
        <v>0</v>
      </c>
      <c r="N27" s="323"/>
      <c r="O27" s="322">
        <f>المهني!PG20</f>
        <v>1</v>
      </c>
      <c r="P27" s="323"/>
      <c r="Q27" s="322">
        <f>المهني!PH20</f>
        <v>2</v>
      </c>
      <c r="R27" s="323"/>
      <c r="S27" s="322">
        <f>المهني!PI20</f>
        <v>4</v>
      </c>
      <c r="T27" s="323"/>
      <c r="U27" s="322">
        <f>S27+Q27+O27+M27+K27</f>
        <v>7</v>
      </c>
      <c r="V27" s="323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</row>
    <row r="28" spans="1:33" ht="35.25" customHeight="1" thickTop="1" thickBot="1">
      <c r="A28" s="87"/>
      <c r="B28" s="15" t="s">
        <v>124</v>
      </c>
      <c r="C28" s="322"/>
      <c r="D28" s="323"/>
      <c r="E28" s="322"/>
      <c r="F28" s="323"/>
      <c r="G28" s="322"/>
      <c r="H28" s="323"/>
      <c r="I28" s="322">
        <f t="shared" ref="I28:I31" si="2">G28+E28+C28</f>
        <v>0</v>
      </c>
      <c r="J28" s="323"/>
      <c r="K28" s="322"/>
      <c r="L28" s="323"/>
      <c r="M28" s="322"/>
      <c r="N28" s="323"/>
      <c r="O28" s="322"/>
      <c r="P28" s="323"/>
      <c r="Q28" s="322"/>
      <c r="R28" s="323"/>
      <c r="S28" s="322"/>
      <c r="T28" s="323"/>
      <c r="U28" s="322">
        <f t="shared" ref="U28:U33" si="3">S28+Q28+O28+M28+K28</f>
        <v>0</v>
      </c>
      <c r="V28" s="323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</row>
    <row r="29" spans="1:33" ht="35.25" customHeight="1" thickTop="1" thickBot="1">
      <c r="A29" s="87"/>
      <c r="B29" s="15" t="s">
        <v>125</v>
      </c>
      <c r="C29" s="322">
        <f>المهني!PB26</f>
        <v>0</v>
      </c>
      <c r="D29" s="323"/>
      <c r="E29" s="322">
        <f>المهني!PC26</f>
        <v>0</v>
      </c>
      <c r="F29" s="323"/>
      <c r="G29" s="322">
        <f>المهني!PD26</f>
        <v>1</v>
      </c>
      <c r="H29" s="323"/>
      <c r="I29" s="322">
        <f t="shared" si="2"/>
        <v>1</v>
      </c>
      <c r="J29" s="323"/>
      <c r="K29" s="322">
        <f>المهني!PE26</f>
        <v>0</v>
      </c>
      <c r="L29" s="323"/>
      <c r="M29" s="322">
        <f>المهني!PF26</f>
        <v>0</v>
      </c>
      <c r="N29" s="323"/>
      <c r="O29" s="322">
        <f>المهني!PG26</f>
        <v>0</v>
      </c>
      <c r="P29" s="323"/>
      <c r="Q29" s="322">
        <f>المهني!PH26</f>
        <v>0</v>
      </c>
      <c r="R29" s="323"/>
      <c r="S29" s="322">
        <f>المهني!PI26</f>
        <v>1</v>
      </c>
      <c r="T29" s="323"/>
      <c r="U29" s="322">
        <f t="shared" si="3"/>
        <v>1</v>
      </c>
      <c r="V29" s="323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</row>
    <row r="30" spans="1:33" ht="35.25" customHeight="1" thickTop="1" thickBot="1">
      <c r="A30" s="87"/>
      <c r="B30" s="15" t="s">
        <v>216</v>
      </c>
      <c r="C30" s="322"/>
      <c r="D30" s="323"/>
      <c r="E30" s="322"/>
      <c r="F30" s="323"/>
      <c r="G30" s="322"/>
      <c r="H30" s="323"/>
      <c r="I30" s="322">
        <f t="shared" si="2"/>
        <v>0</v>
      </c>
      <c r="J30" s="323"/>
      <c r="K30" s="322"/>
      <c r="L30" s="323"/>
      <c r="M30" s="322"/>
      <c r="N30" s="323"/>
      <c r="O30" s="322"/>
      <c r="P30" s="323"/>
      <c r="Q30" s="322"/>
      <c r="R30" s="323"/>
      <c r="S30" s="322"/>
      <c r="T30" s="323"/>
      <c r="U30" s="322">
        <f t="shared" si="3"/>
        <v>0</v>
      </c>
      <c r="V30" s="323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</row>
    <row r="31" spans="1:33" ht="35.25" customHeight="1" thickTop="1" thickBot="1">
      <c r="A31" s="135"/>
      <c r="B31" s="15" t="s">
        <v>488</v>
      </c>
      <c r="C31" s="322">
        <f>المهني!PB49</f>
        <v>1</v>
      </c>
      <c r="D31" s="323"/>
      <c r="E31" s="322"/>
      <c r="F31" s="323"/>
      <c r="G31" s="322"/>
      <c r="H31" s="323"/>
      <c r="I31" s="322">
        <f t="shared" si="2"/>
        <v>1</v>
      </c>
      <c r="J31" s="323"/>
      <c r="K31" s="322"/>
      <c r="L31" s="323"/>
      <c r="M31" s="322">
        <f>المهني!PF49</f>
        <v>1</v>
      </c>
      <c r="N31" s="323"/>
      <c r="O31" s="322"/>
      <c r="P31" s="323"/>
      <c r="Q31" s="322">
        <f>المهني!PH49</f>
        <v>0</v>
      </c>
      <c r="R31" s="323"/>
      <c r="S31" s="322"/>
      <c r="T31" s="323"/>
      <c r="U31" s="322">
        <f t="shared" si="3"/>
        <v>1</v>
      </c>
      <c r="V31" s="323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</row>
    <row r="32" spans="1:33" ht="35.25" customHeight="1" thickTop="1" thickBot="1">
      <c r="A32" s="209"/>
      <c r="B32" s="15" t="s">
        <v>523</v>
      </c>
      <c r="C32" s="322">
        <f>المهني!PB51</f>
        <v>0</v>
      </c>
      <c r="D32" s="323"/>
      <c r="E32" s="322"/>
      <c r="F32" s="323"/>
      <c r="G32" s="322">
        <f>المهني!PD51</f>
        <v>1</v>
      </c>
      <c r="H32" s="323"/>
      <c r="I32" s="322">
        <f t="shared" ref="I32" si="4">G32+E32+C32</f>
        <v>1</v>
      </c>
      <c r="J32" s="323"/>
      <c r="K32" s="322"/>
      <c r="L32" s="323"/>
      <c r="M32" s="322"/>
      <c r="N32" s="323"/>
      <c r="O32" s="322"/>
      <c r="P32" s="323"/>
      <c r="Q32" s="322">
        <f>المهني!PH51</f>
        <v>1</v>
      </c>
      <c r="R32" s="323"/>
      <c r="S32" s="322"/>
      <c r="T32" s="323"/>
      <c r="U32" s="322">
        <f t="shared" ref="U32" si="5">S32+Q32+O32+M32+K32</f>
        <v>1</v>
      </c>
      <c r="V32" s="323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</row>
    <row r="33" spans="1:33" ht="42.75" customHeight="1" thickTop="1" thickBot="1">
      <c r="A33" s="87"/>
      <c r="B33" s="55" t="s">
        <v>397</v>
      </c>
      <c r="C33" s="322">
        <f>المهني!PB46</f>
        <v>0</v>
      </c>
      <c r="D33" s="323"/>
      <c r="E33" s="322">
        <f>المهني!PC46</f>
        <v>0</v>
      </c>
      <c r="F33" s="323"/>
      <c r="G33" s="322">
        <f>المهني!PD46</f>
        <v>1</v>
      </c>
      <c r="H33" s="323"/>
      <c r="I33" s="322">
        <f>G33+E33+C33</f>
        <v>1</v>
      </c>
      <c r="J33" s="323"/>
      <c r="K33" s="322"/>
      <c r="L33" s="323"/>
      <c r="M33" s="322"/>
      <c r="N33" s="323"/>
      <c r="O33" s="322"/>
      <c r="P33" s="323"/>
      <c r="Q33" s="322"/>
      <c r="R33" s="323"/>
      <c r="S33" s="322">
        <f>المهني!PI46</f>
        <v>1</v>
      </c>
      <c r="T33" s="323"/>
      <c r="U33" s="322">
        <f t="shared" si="3"/>
        <v>1</v>
      </c>
      <c r="V33" s="323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</row>
    <row r="34" spans="1:33" ht="42.75" customHeight="1" thickTop="1" thickBot="1">
      <c r="A34" s="87"/>
      <c r="B34" s="15" t="s">
        <v>25</v>
      </c>
      <c r="C34" s="322">
        <f>SUM(C27:C33)</f>
        <v>2</v>
      </c>
      <c r="D34" s="323"/>
      <c r="E34" s="322">
        <f t="shared" ref="E34" si="6">SUM(E27:E33)</f>
        <v>3</v>
      </c>
      <c r="F34" s="323"/>
      <c r="G34" s="322">
        <f t="shared" ref="G34" si="7">SUM(G27:G33)</f>
        <v>6</v>
      </c>
      <c r="H34" s="323"/>
      <c r="I34" s="322">
        <f>G34+E34+C34</f>
        <v>11</v>
      </c>
      <c r="J34" s="323"/>
      <c r="K34" s="322">
        <f>SUM(K27:K33)</f>
        <v>0</v>
      </c>
      <c r="L34" s="323"/>
      <c r="M34" s="322">
        <f>SUM(M27:M33)</f>
        <v>1</v>
      </c>
      <c r="N34" s="323"/>
      <c r="O34" s="322">
        <f>SUM(O27:O33)</f>
        <v>1</v>
      </c>
      <c r="P34" s="323"/>
      <c r="Q34" s="322">
        <f>SUM(Q27:Q33)</f>
        <v>3</v>
      </c>
      <c r="R34" s="323"/>
      <c r="S34" s="322">
        <f>SUM(S27:T33)</f>
        <v>6</v>
      </c>
      <c r="T34" s="323"/>
      <c r="U34" s="322">
        <f>S34+Q34+O34+M34+K34</f>
        <v>11</v>
      </c>
      <c r="V34" s="323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</row>
    <row r="35" spans="1:33" ht="42.75" customHeight="1" thickTop="1">
      <c r="A35" s="87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</row>
    <row r="36" spans="1:33" s="97" customFormat="1" ht="23.25">
      <c r="A36" s="328" t="s">
        <v>148</v>
      </c>
      <c r="B36" s="328"/>
      <c r="C36" s="328"/>
      <c r="D36" s="328"/>
      <c r="E36" s="328"/>
      <c r="F36" s="86"/>
      <c r="G36" s="86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328" t="s">
        <v>112</v>
      </c>
      <c r="V36" s="328"/>
      <c r="W36" s="328"/>
      <c r="X36" s="87"/>
      <c r="Y36" s="87"/>
      <c r="Z36" s="87"/>
    </row>
    <row r="37" spans="1:33" s="97" customFormat="1" ht="23.25">
      <c r="A37" s="334" t="s">
        <v>188</v>
      </c>
      <c r="B37" s="334"/>
      <c r="C37" s="334"/>
      <c r="D37" s="334"/>
      <c r="E37" s="334"/>
      <c r="F37" s="86"/>
      <c r="G37" s="87"/>
      <c r="H37" s="87"/>
      <c r="I37" s="334" t="s">
        <v>192</v>
      </c>
      <c r="J37" s="334"/>
      <c r="K37" s="334"/>
      <c r="L37" s="334"/>
      <c r="M37" s="334"/>
      <c r="N37" s="334"/>
      <c r="O37" s="334"/>
      <c r="P37" s="87"/>
      <c r="Q37" s="86"/>
      <c r="R37" s="86"/>
      <c r="S37" s="87"/>
      <c r="T37" s="87"/>
      <c r="U37" s="87"/>
      <c r="V37" s="87"/>
      <c r="W37" s="87"/>
      <c r="X37" s="87"/>
      <c r="Y37" s="87"/>
      <c r="Z37" s="87"/>
    </row>
    <row r="38" spans="1:33" s="97" customFormat="1" ht="23.25">
      <c r="A38" s="328" t="s">
        <v>158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87"/>
      <c r="Z38" s="87"/>
    </row>
    <row r="39" spans="1:33" s="97" customFormat="1" ht="23.25">
      <c r="A39" s="328" t="s">
        <v>533</v>
      </c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87"/>
      <c r="Z39" s="87"/>
    </row>
    <row r="40" spans="1:33" s="97" customFormat="1" ht="23.25">
      <c r="A40" s="328" t="s">
        <v>159</v>
      </c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87"/>
      <c r="Z40" s="87"/>
    </row>
    <row r="41" spans="1:33" ht="42.75" customHeight="1" thickBot="1">
      <c r="A41" s="9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87"/>
      <c r="T41" s="87"/>
      <c r="U41" s="87"/>
      <c r="V41" s="87"/>
      <c r="W41" s="87"/>
      <c r="X41" s="87"/>
      <c r="Y41" s="87"/>
      <c r="Z41" s="87"/>
    </row>
    <row r="42" spans="1:33" ht="42.75" customHeight="1" thickTop="1" thickBot="1">
      <c r="A42" s="435" t="s">
        <v>160</v>
      </c>
      <c r="B42" s="322" t="s">
        <v>161</v>
      </c>
      <c r="C42" s="330"/>
      <c r="D42" s="323"/>
      <c r="E42" s="322" t="s">
        <v>162</v>
      </c>
      <c r="F42" s="330"/>
      <c r="G42" s="323"/>
      <c r="H42" s="322" t="s">
        <v>163</v>
      </c>
      <c r="I42" s="330"/>
      <c r="J42" s="330"/>
      <c r="K42" s="323"/>
      <c r="L42" s="438" t="s">
        <v>164</v>
      </c>
      <c r="M42" s="439"/>
      <c r="N42" s="322" t="s">
        <v>165</v>
      </c>
      <c r="O42" s="330"/>
      <c r="P42" s="330"/>
      <c r="Q42" s="330"/>
      <c r="R42" s="330"/>
      <c r="S42" s="323"/>
      <c r="T42" s="430" t="s">
        <v>306</v>
      </c>
      <c r="U42" s="430" t="s">
        <v>305</v>
      </c>
      <c r="V42" s="430" t="s">
        <v>46</v>
      </c>
      <c r="W42" s="440" t="s">
        <v>222</v>
      </c>
      <c r="X42" s="441"/>
      <c r="Y42" s="441"/>
      <c r="Z42" s="442"/>
    </row>
    <row r="43" spans="1:33" ht="42.75" customHeight="1" thickTop="1" thickBot="1">
      <c r="A43" s="436"/>
      <c r="B43" s="322" t="s">
        <v>166</v>
      </c>
      <c r="C43" s="323"/>
      <c r="D43" s="418" t="s">
        <v>167</v>
      </c>
      <c r="E43" s="430" t="s">
        <v>38</v>
      </c>
      <c r="F43" s="418" t="s">
        <v>39</v>
      </c>
      <c r="G43" s="430" t="s">
        <v>304</v>
      </c>
      <c r="H43" s="418" t="s">
        <v>40</v>
      </c>
      <c r="I43" s="446" t="s">
        <v>45</v>
      </c>
      <c r="J43" s="447"/>
      <c r="K43" s="418" t="s">
        <v>41</v>
      </c>
      <c r="L43" s="433" t="s">
        <v>168</v>
      </c>
      <c r="M43" s="434"/>
      <c r="N43" s="418" t="s">
        <v>169</v>
      </c>
      <c r="O43" s="418" t="s">
        <v>43</v>
      </c>
      <c r="P43" s="418" t="s">
        <v>353</v>
      </c>
      <c r="Q43" s="418" t="s">
        <v>44</v>
      </c>
      <c r="R43" s="418" t="s">
        <v>354</v>
      </c>
      <c r="S43" s="418" t="s">
        <v>170</v>
      </c>
      <c r="T43" s="431"/>
      <c r="U43" s="431"/>
      <c r="V43" s="431" t="s">
        <v>171</v>
      </c>
      <c r="W43" s="443" t="s">
        <v>475</v>
      </c>
      <c r="X43" s="443" t="s">
        <v>219</v>
      </c>
      <c r="Y43" s="443" t="s">
        <v>220</v>
      </c>
      <c r="Z43" s="443" t="s">
        <v>221</v>
      </c>
    </row>
    <row r="44" spans="1:33" ht="42.75" customHeight="1" thickTop="1">
      <c r="A44" s="436"/>
      <c r="B44" s="346" t="s">
        <v>172</v>
      </c>
      <c r="C44" s="108" t="s">
        <v>173</v>
      </c>
      <c r="D44" s="419"/>
      <c r="E44" s="431"/>
      <c r="F44" s="419"/>
      <c r="G44" s="431"/>
      <c r="H44" s="419"/>
      <c r="I44" s="448"/>
      <c r="J44" s="449"/>
      <c r="K44" s="419"/>
      <c r="L44" s="346" t="s">
        <v>99</v>
      </c>
      <c r="M44" s="108" t="s">
        <v>175</v>
      </c>
      <c r="N44" s="419" t="s">
        <v>176</v>
      </c>
      <c r="O44" s="419"/>
      <c r="P44" s="419" t="s">
        <v>176</v>
      </c>
      <c r="Q44" s="419"/>
      <c r="R44" s="419"/>
      <c r="S44" s="419"/>
      <c r="T44" s="431"/>
      <c r="U44" s="431"/>
      <c r="V44" s="431" t="s">
        <v>178</v>
      </c>
      <c r="W44" s="444"/>
      <c r="X44" s="444"/>
      <c r="Y44" s="444"/>
      <c r="Z44" s="444"/>
    </row>
    <row r="45" spans="1:33" ht="42.75" customHeight="1" thickBot="1">
      <c r="A45" s="437"/>
      <c r="B45" s="347"/>
      <c r="C45" s="112" t="s">
        <v>36</v>
      </c>
      <c r="D45" s="420"/>
      <c r="E45" s="432"/>
      <c r="F45" s="420"/>
      <c r="G45" s="432"/>
      <c r="H45" s="420"/>
      <c r="I45" s="450"/>
      <c r="J45" s="451"/>
      <c r="K45" s="420"/>
      <c r="L45" s="347"/>
      <c r="M45" s="112" t="s">
        <v>99</v>
      </c>
      <c r="N45" s="420" t="s">
        <v>179</v>
      </c>
      <c r="O45" s="420"/>
      <c r="P45" s="420" t="s">
        <v>180</v>
      </c>
      <c r="Q45" s="420"/>
      <c r="R45" s="420"/>
      <c r="S45" s="420"/>
      <c r="T45" s="432"/>
      <c r="U45" s="432"/>
      <c r="V45" s="432"/>
      <c r="W45" s="445"/>
      <c r="X45" s="445"/>
      <c r="Y45" s="445"/>
      <c r="Z45" s="445"/>
    </row>
    <row r="46" spans="1:33" ht="42.75" customHeight="1" thickTop="1" thickBot="1">
      <c r="A46" s="15" t="s">
        <v>123</v>
      </c>
      <c r="B46" s="15">
        <f>المهني!RI12</f>
        <v>4</v>
      </c>
      <c r="C46" s="15">
        <f>المهني!RJ12</f>
        <v>0</v>
      </c>
      <c r="D46" s="15">
        <f>المهني!RK12</f>
        <v>0</v>
      </c>
      <c r="E46" s="15">
        <f>المهني!RF12</f>
        <v>3</v>
      </c>
      <c r="F46" s="15">
        <f>المهني!RG12</f>
        <v>1</v>
      </c>
      <c r="G46" s="15">
        <f>المهني!RH12</f>
        <v>0</v>
      </c>
      <c r="H46" s="15">
        <f>المهني!RL12</f>
        <v>2</v>
      </c>
      <c r="I46" s="322">
        <f>المهني!RM12</f>
        <v>2</v>
      </c>
      <c r="J46" s="323"/>
      <c r="K46" s="15">
        <f>المهني!RN12</f>
        <v>0</v>
      </c>
      <c r="L46" s="15">
        <f>المهني!OU12</f>
        <v>4</v>
      </c>
      <c r="M46" s="15">
        <f>المهني!OV12</f>
        <v>0</v>
      </c>
      <c r="N46" s="15">
        <f>المهني!PP12</f>
        <v>4</v>
      </c>
      <c r="O46" s="15">
        <f>المهني!PQ12</f>
        <v>0</v>
      </c>
      <c r="P46" s="15">
        <f>المهني!PR12</f>
        <v>0</v>
      </c>
      <c r="Q46" s="15">
        <f>المهني!PS12</f>
        <v>0</v>
      </c>
      <c r="R46" s="15">
        <f>المهني!PT12</f>
        <v>0</v>
      </c>
      <c r="S46" s="15">
        <f>المهني!PU12</f>
        <v>0</v>
      </c>
      <c r="T46" s="15">
        <f>S46+Q46+P46+O46+N46</f>
        <v>4</v>
      </c>
      <c r="U46" s="15">
        <f>المهني!SA12</f>
        <v>2</v>
      </c>
      <c r="V46" s="15">
        <f>المهني!SN12</f>
        <v>422</v>
      </c>
      <c r="W46" s="15">
        <f>المهني!PV12</f>
        <v>4</v>
      </c>
      <c r="X46" s="15">
        <f>المهني!QB12</f>
        <v>4</v>
      </c>
      <c r="Y46" s="15">
        <f>المهني!QI12</f>
        <v>4</v>
      </c>
      <c r="Z46" s="15">
        <f>المهني!QM12</f>
        <v>4</v>
      </c>
    </row>
    <row r="47" spans="1:33" ht="42.75" customHeight="1" thickTop="1" thickBot="1">
      <c r="A47" s="15" t="s">
        <v>124</v>
      </c>
      <c r="B47" s="114">
        <v>0</v>
      </c>
      <c r="C47" s="114">
        <v>0</v>
      </c>
      <c r="D47" s="114">
        <v>0</v>
      </c>
      <c r="E47" s="114">
        <v>0</v>
      </c>
      <c r="F47" s="114">
        <v>0</v>
      </c>
      <c r="G47" s="114">
        <v>0</v>
      </c>
      <c r="H47" s="114">
        <v>0</v>
      </c>
      <c r="I47" s="452">
        <v>0</v>
      </c>
      <c r="J47" s="453"/>
      <c r="K47" s="114">
        <v>0</v>
      </c>
      <c r="L47" s="114">
        <v>0</v>
      </c>
      <c r="M47" s="114">
        <v>0</v>
      </c>
      <c r="N47" s="114">
        <v>0</v>
      </c>
      <c r="O47" s="114">
        <v>0</v>
      </c>
      <c r="P47" s="114">
        <v>0</v>
      </c>
      <c r="Q47" s="114">
        <v>0</v>
      </c>
      <c r="R47" s="114">
        <v>0</v>
      </c>
      <c r="S47" s="114">
        <v>0</v>
      </c>
      <c r="T47" s="114">
        <f>S47+Q47+P47+O47+N47</f>
        <v>0</v>
      </c>
      <c r="U47" s="114">
        <v>0</v>
      </c>
      <c r="V47" s="15">
        <v>0</v>
      </c>
      <c r="W47" s="15"/>
      <c r="X47" s="114">
        <v>0</v>
      </c>
      <c r="Y47" s="114">
        <v>0</v>
      </c>
      <c r="Z47" s="114">
        <v>0</v>
      </c>
    </row>
    <row r="48" spans="1:33" ht="42.75" customHeight="1" thickTop="1" thickBot="1">
      <c r="A48" s="15" t="s">
        <v>125</v>
      </c>
      <c r="B48" s="114">
        <v>0</v>
      </c>
      <c r="C48" s="114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452">
        <v>0</v>
      </c>
      <c r="J48" s="453"/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f>S48+Q48+P48+O48+N48</f>
        <v>0</v>
      </c>
      <c r="U48" s="114">
        <v>0</v>
      </c>
      <c r="V48" s="15">
        <v>0</v>
      </c>
      <c r="W48" s="15"/>
      <c r="X48" s="114">
        <v>0</v>
      </c>
      <c r="Y48" s="114">
        <v>0</v>
      </c>
      <c r="Z48" s="114">
        <v>0</v>
      </c>
    </row>
    <row r="49" spans="1:34" ht="42.75" customHeight="1" thickTop="1" thickBot="1">
      <c r="A49" s="15" t="s">
        <v>216</v>
      </c>
      <c r="B49" s="114">
        <v>0</v>
      </c>
      <c r="C49" s="114">
        <v>0</v>
      </c>
      <c r="D49" s="114">
        <v>0</v>
      </c>
      <c r="E49" s="114">
        <v>0</v>
      </c>
      <c r="F49" s="114">
        <v>0</v>
      </c>
      <c r="G49" s="114">
        <v>0</v>
      </c>
      <c r="H49" s="114">
        <v>0</v>
      </c>
      <c r="I49" s="452">
        <v>0</v>
      </c>
      <c r="J49" s="453"/>
      <c r="K49" s="114">
        <v>0</v>
      </c>
      <c r="L49" s="114">
        <v>0</v>
      </c>
      <c r="M49" s="114">
        <v>0</v>
      </c>
      <c r="N49" s="114">
        <v>0</v>
      </c>
      <c r="O49" s="114">
        <v>0</v>
      </c>
      <c r="P49" s="114">
        <v>0</v>
      </c>
      <c r="Q49" s="114">
        <v>0</v>
      </c>
      <c r="R49" s="114">
        <f>المهني!PT35</f>
        <v>0</v>
      </c>
      <c r="S49" s="114">
        <v>0</v>
      </c>
      <c r="T49" s="114">
        <f>S49+Q49+P49+O49+N49</f>
        <v>0</v>
      </c>
      <c r="U49" s="114">
        <v>0</v>
      </c>
      <c r="V49" s="15">
        <v>0</v>
      </c>
      <c r="W49" s="15"/>
      <c r="X49" s="114">
        <v>0</v>
      </c>
      <c r="Y49" s="114">
        <v>0</v>
      </c>
      <c r="Z49" s="114">
        <v>0</v>
      </c>
    </row>
    <row r="50" spans="1:34" ht="42.75" customHeight="1" thickTop="1" thickBot="1">
      <c r="A50" s="15" t="s">
        <v>488</v>
      </c>
      <c r="B50" s="114"/>
      <c r="C50" s="114"/>
      <c r="D50" s="114"/>
      <c r="E50" s="114"/>
      <c r="F50" s="114"/>
      <c r="G50" s="114"/>
      <c r="H50" s="114"/>
      <c r="I50" s="140"/>
      <c r="J50" s="141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5"/>
      <c r="W50" s="15"/>
      <c r="X50" s="114"/>
      <c r="Y50" s="114"/>
      <c r="Z50" s="114"/>
    </row>
    <row r="51" spans="1:34" ht="42.75" customHeight="1" thickTop="1" thickBot="1">
      <c r="A51" s="55" t="s">
        <v>397</v>
      </c>
      <c r="B51" s="114"/>
      <c r="C51" s="114"/>
      <c r="D51" s="114"/>
      <c r="E51" s="114"/>
      <c r="F51" s="114"/>
      <c r="G51" s="114"/>
      <c r="H51" s="114"/>
      <c r="I51" s="452"/>
      <c r="J51" s="453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5">
        <v>0</v>
      </c>
      <c r="W51" s="15"/>
      <c r="X51" s="114"/>
      <c r="Y51" s="114"/>
      <c r="Z51" s="114"/>
    </row>
    <row r="52" spans="1:34" ht="42.75" customHeight="1" thickTop="1" thickBot="1">
      <c r="A52" s="15" t="s">
        <v>25</v>
      </c>
      <c r="B52" s="15">
        <f t="shared" ref="B52:I52" si="8">B49+B48+B47+B46</f>
        <v>4</v>
      </c>
      <c r="C52" s="15">
        <f t="shared" si="8"/>
        <v>0</v>
      </c>
      <c r="D52" s="15">
        <f t="shared" si="8"/>
        <v>0</v>
      </c>
      <c r="E52" s="15">
        <f t="shared" si="8"/>
        <v>3</v>
      </c>
      <c r="F52" s="15">
        <f t="shared" si="8"/>
        <v>1</v>
      </c>
      <c r="G52" s="15">
        <f t="shared" si="8"/>
        <v>0</v>
      </c>
      <c r="H52" s="15">
        <f t="shared" si="8"/>
        <v>2</v>
      </c>
      <c r="I52" s="322">
        <f t="shared" si="8"/>
        <v>2</v>
      </c>
      <c r="J52" s="323"/>
      <c r="K52" s="15">
        <f t="shared" ref="K52:Z52" si="9">K49+K48+K47+K46</f>
        <v>0</v>
      </c>
      <c r="L52" s="15">
        <f t="shared" si="9"/>
        <v>4</v>
      </c>
      <c r="M52" s="15">
        <f t="shared" si="9"/>
        <v>0</v>
      </c>
      <c r="N52" s="15">
        <f t="shared" si="9"/>
        <v>4</v>
      </c>
      <c r="O52" s="15">
        <f t="shared" si="9"/>
        <v>0</v>
      </c>
      <c r="P52" s="15">
        <f t="shared" si="9"/>
        <v>0</v>
      </c>
      <c r="Q52" s="15">
        <f t="shared" si="9"/>
        <v>0</v>
      </c>
      <c r="R52" s="15">
        <f t="shared" si="9"/>
        <v>0</v>
      </c>
      <c r="S52" s="15">
        <f t="shared" si="9"/>
        <v>0</v>
      </c>
      <c r="T52" s="15">
        <f t="shared" si="9"/>
        <v>4</v>
      </c>
      <c r="U52" s="15">
        <f t="shared" si="9"/>
        <v>2</v>
      </c>
      <c r="V52" s="15">
        <f t="shared" si="9"/>
        <v>422</v>
      </c>
      <c r="W52" s="15">
        <f t="shared" si="9"/>
        <v>4</v>
      </c>
      <c r="X52" s="15">
        <f t="shared" si="9"/>
        <v>4</v>
      </c>
      <c r="Y52" s="15">
        <f t="shared" si="9"/>
        <v>4</v>
      </c>
      <c r="Z52" s="15">
        <f t="shared" si="9"/>
        <v>4</v>
      </c>
    </row>
    <row r="53" spans="1:34" ht="42.75" customHeight="1" thickTop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34" s="97" customFormat="1" ht="23.25">
      <c r="A54" s="87"/>
      <c r="B54" s="87"/>
      <c r="C54" s="87"/>
      <c r="D54" s="87"/>
      <c r="E54" s="87"/>
      <c r="I54" s="87"/>
      <c r="J54" s="87"/>
      <c r="K54" s="87"/>
      <c r="L54" s="87"/>
      <c r="M54" s="334" t="s">
        <v>423</v>
      </c>
      <c r="N54" s="334"/>
      <c r="O54" s="334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34" s="97" customFormat="1" ht="23.25">
      <c r="A55" s="87"/>
      <c r="B55" s="87"/>
      <c r="C55" s="87"/>
      <c r="D55" s="87"/>
      <c r="E55" s="87"/>
      <c r="G55" s="87"/>
      <c r="H55" s="87"/>
      <c r="I55" s="87"/>
      <c r="J55" s="87"/>
      <c r="K55" s="87"/>
      <c r="L55" s="87"/>
      <c r="M55" s="87" t="s">
        <v>192</v>
      </c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34" s="97" customFormat="1" ht="23.25">
      <c r="A56" s="87"/>
      <c r="B56" s="87"/>
      <c r="C56" s="87"/>
      <c r="D56" s="87"/>
      <c r="E56" s="87"/>
      <c r="G56" s="87"/>
      <c r="H56" s="87"/>
      <c r="I56" s="87"/>
      <c r="J56" s="87"/>
      <c r="K56" s="87"/>
      <c r="L56" s="87"/>
      <c r="M56" s="87" t="s">
        <v>542</v>
      </c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34" ht="42.75" customHeight="1" thickBo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34" ht="42.75" customHeight="1" thickTop="1" thickBot="1">
      <c r="A58" s="87"/>
      <c r="B58" s="346" t="s">
        <v>115</v>
      </c>
      <c r="C58" s="322" t="s">
        <v>415</v>
      </c>
      <c r="D58" s="330"/>
      <c r="E58" s="330"/>
      <c r="F58" s="330"/>
      <c r="G58" s="330"/>
      <c r="H58" s="330"/>
      <c r="I58" s="330"/>
      <c r="J58" s="323"/>
      <c r="K58" s="322" t="s">
        <v>417</v>
      </c>
      <c r="L58" s="330"/>
      <c r="M58" s="330"/>
      <c r="N58" s="330"/>
      <c r="O58" s="330"/>
      <c r="P58" s="330"/>
      <c r="Q58" s="330"/>
      <c r="R58" s="330"/>
      <c r="S58" s="330"/>
      <c r="T58" s="330"/>
      <c r="U58" s="330"/>
      <c r="V58" s="323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</row>
    <row r="59" spans="1:34" ht="42.75" customHeight="1" thickTop="1" thickBot="1">
      <c r="A59" s="87"/>
      <c r="B59" s="347"/>
      <c r="C59" s="322" t="s">
        <v>100</v>
      </c>
      <c r="D59" s="323"/>
      <c r="E59" s="322" t="s">
        <v>101</v>
      </c>
      <c r="F59" s="323"/>
      <c r="G59" s="322" t="s">
        <v>416</v>
      </c>
      <c r="H59" s="323"/>
      <c r="I59" s="322" t="s">
        <v>25</v>
      </c>
      <c r="J59" s="323"/>
      <c r="K59" s="322" t="s">
        <v>418</v>
      </c>
      <c r="L59" s="323"/>
      <c r="M59" s="322" t="s">
        <v>419</v>
      </c>
      <c r="N59" s="323"/>
      <c r="O59" s="322" t="s">
        <v>420</v>
      </c>
      <c r="P59" s="323"/>
      <c r="Q59" s="322" t="s">
        <v>421</v>
      </c>
      <c r="R59" s="323"/>
      <c r="S59" s="322" t="s">
        <v>422</v>
      </c>
      <c r="T59" s="323"/>
      <c r="U59" s="322" t="s">
        <v>25</v>
      </c>
      <c r="V59" s="323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</row>
    <row r="60" spans="1:34" ht="42.75" customHeight="1" thickTop="1" thickBot="1">
      <c r="A60" s="87"/>
      <c r="B60" s="15" t="s">
        <v>123</v>
      </c>
      <c r="C60" s="322">
        <f>المهني!PB12</f>
        <v>0</v>
      </c>
      <c r="D60" s="323"/>
      <c r="E60" s="322">
        <f>المهني!PC12</f>
        <v>3</v>
      </c>
      <c r="F60" s="323"/>
      <c r="G60" s="322">
        <f>المهني!PD12</f>
        <v>1</v>
      </c>
      <c r="H60" s="323"/>
      <c r="I60" s="322">
        <f>G60+E60+C60</f>
        <v>4</v>
      </c>
      <c r="J60" s="323"/>
      <c r="K60" s="322">
        <f>المهني!PE12</f>
        <v>0</v>
      </c>
      <c r="L60" s="323"/>
      <c r="M60" s="322">
        <f>المهني!PF12</f>
        <v>0</v>
      </c>
      <c r="N60" s="323"/>
      <c r="O60" s="322">
        <f>المهني!PG12</f>
        <v>0</v>
      </c>
      <c r="P60" s="323"/>
      <c r="Q60" s="322">
        <f>المهني!PH12</f>
        <v>1</v>
      </c>
      <c r="R60" s="323"/>
      <c r="S60" s="322">
        <f>المهني!PI12</f>
        <v>3</v>
      </c>
      <c r="T60" s="323"/>
      <c r="U60" s="322">
        <f>S60+Q60+O60+M60+K60</f>
        <v>4</v>
      </c>
      <c r="V60" s="323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</row>
    <row r="61" spans="1:34" ht="42.75" customHeight="1" thickTop="1" thickBot="1">
      <c r="A61" s="87"/>
      <c r="B61" s="15" t="s">
        <v>124</v>
      </c>
      <c r="C61" s="322"/>
      <c r="D61" s="323"/>
      <c r="E61" s="322"/>
      <c r="F61" s="323"/>
      <c r="G61" s="322"/>
      <c r="H61" s="323"/>
      <c r="I61" s="322">
        <f>H61+F61+D61</f>
        <v>0</v>
      </c>
      <c r="J61" s="323"/>
      <c r="K61" s="322"/>
      <c r="L61" s="323"/>
      <c r="M61" s="322"/>
      <c r="N61" s="323"/>
      <c r="O61" s="322"/>
      <c r="P61" s="323"/>
      <c r="Q61" s="322"/>
      <c r="R61" s="323"/>
      <c r="S61" s="322"/>
      <c r="T61" s="323"/>
      <c r="U61" s="322">
        <f>T61+Q61+O61+M61+K61</f>
        <v>0</v>
      </c>
      <c r="V61" s="323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</row>
    <row r="62" spans="1:34" ht="42.75" customHeight="1" thickTop="1" thickBot="1">
      <c r="A62" s="87"/>
      <c r="B62" s="15" t="s">
        <v>125</v>
      </c>
      <c r="C62" s="322"/>
      <c r="D62" s="323"/>
      <c r="E62" s="322"/>
      <c r="F62" s="323"/>
      <c r="G62" s="322"/>
      <c r="H62" s="323"/>
      <c r="I62" s="322">
        <f>H62+F62+D62</f>
        <v>0</v>
      </c>
      <c r="J62" s="323"/>
      <c r="K62" s="322"/>
      <c r="L62" s="323"/>
      <c r="M62" s="322"/>
      <c r="N62" s="323"/>
      <c r="O62" s="322"/>
      <c r="P62" s="323"/>
      <c r="Q62" s="322"/>
      <c r="R62" s="323"/>
      <c r="S62" s="322"/>
      <c r="T62" s="323"/>
      <c r="U62" s="322">
        <f>T62+Q62+O62+M62+K62</f>
        <v>0</v>
      </c>
      <c r="V62" s="323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</row>
    <row r="63" spans="1:34" ht="42.75" customHeight="1" thickTop="1" thickBot="1">
      <c r="A63" s="87"/>
      <c r="B63" s="15" t="s">
        <v>216</v>
      </c>
      <c r="C63" s="322"/>
      <c r="D63" s="323"/>
      <c r="E63" s="322"/>
      <c r="F63" s="323"/>
      <c r="G63" s="322"/>
      <c r="H63" s="323"/>
      <c r="I63" s="322">
        <f>H63+F63+D63</f>
        <v>0</v>
      </c>
      <c r="J63" s="323"/>
      <c r="K63" s="322"/>
      <c r="L63" s="323"/>
      <c r="M63" s="322"/>
      <c r="N63" s="323"/>
      <c r="O63" s="322"/>
      <c r="P63" s="323"/>
      <c r="Q63" s="322"/>
      <c r="R63" s="323"/>
      <c r="S63" s="322"/>
      <c r="T63" s="323"/>
      <c r="U63" s="322">
        <f>T63+Q63+O63+M63+K63</f>
        <v>0</v>
      </c>
      <c r="V63" s="323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</row>
    <row r="64" spans="1:34" ht="42.75" customHeight="1" thickTop="1" thickBot="1">
      <c r="A64" s="135"/>
      <c r="B64" s="15" t="s">
        <v>488</v>
      </c>
      <c r="C64" s="132"/>
      <c r="D64" s="133"/>
      <c r="E64" s="132"/>
      <c r="F64" s="133"/>
      <c r="G64" s="132"/>
      <c r="H64" s="133"/>
      <c r="I64" s="132"/>
      <c r="J64" s="133"/>
      <c r="K64" s="132"/>
      <c r="L64" s="133"/>
      <c r="M64" s="132"/>
      <c r="N64" s="133"/>
      <c r="O64" s="132"/>
      <c r="P64" s="133"/>
      <c r="Q64" s="132"/>
      <c r="R64" s="133"/>
      <c r="S64" s="132"/>
      <c r="T64" s="133"/>
      <c r="U64" s="132"/>
      <c r="V64" s="133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</row>
    <row r="65" spans="1:34" ht="42.75" customHeight="1" thickTop="1" thickBot="1">
      <c r="A65" s="87"/>
      <c r="B65" s="55" t="s">
        <v>397</v>
      </c>
      <c r="C65" s="322"/>
      <c r="D65" s="323"/>
      <c r="E65" s="322"/>
      <c r="F65" s="323"/>
      <c r="G65" s="322"/>
      <c r="H65" s="323"/>
      <c r="I65" s="322">
        <f>H65+F65+D65</f>
        <v>0</v>
      </c>
      <c r="J65" s="323"/>
      <c r="K65" s="322"/>
      <c r="L65" s="323"/>
      <c r="M65" s="322"/>
      <c r="N65" s="323"/>
      <c r="O65" s="322"/>
      <c r="P65" s="323"/>
      <c r="Q65" s="322"/>
      <c r="R65" s="323"/>
      <c r="S65" s="322"/>
      <c r="T65" s="323"/>
      <c r="U65" s="322">
        <f>T65+Q65+O65+M65+K65</f>
        <v>0</v>
      </c>
      <c r="V65" s="323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</row>
    <row r="66" spans="1:34" ht="42.75" customHeight="1" thickTop="1" thickBot="1">
      <c r="A66" s="87"/>
      <c r="B66" s="15" t="s">
        <v>25</v>
      </c>
      <c r="C66" s="322">
        <f>SUM(D60:D65)</f>
        <v>0</v>
      </c>
      <c r="D66" s="323"/>
      <c r="E66" s="322">
        <f>SUM(F60:F65)</f>
        <v>0</v>
      </c>
      <c r="F66" s="323"/>
      <c r="G66" s="322">
        <f>SUM(H60:H65)</f>
        <v>0</v>
      </c>
      <c r="H66" s="323"/>
      <c r="I66" s="322">
        <f>G66+E66+C66</f>
        <v>0</v>
      </c>
      <c r="J66" s="323"/>
      <c r="K66" s="322">
        <f>SUM(K60:K65)</f>
        <v>0</v>
      </c>
      <c r="L66" s="323"/>
      <c r="M66" s="322">
        <f>SUM(M60:M65)</f>
        <v>0</v>
      </c>
      <c r="N66" s="323"/>
      <c r="O66" s="322">
        <f>SUM(O60:O65)</f>
        <v>0</v>
      </c>
      <c r="P66" s="323"/>
      <c r="Q66" s="322">
        <f>SUM(Q60:Q65)</f>
        <v>1</v>
      </c>
      <c r="R66" s="323"/>
      <c r="S66" s="322">
        <f>SUM(T60:T65)</f>
        <v>0</v>
      </c>
      <c r="T66" s="323"/>
      <c r="U66" s="322">
        <f>S66+Q66+O66+M66+K66</f>
        <v>1</v>
      </c>
      <c r="V66" s="323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</row>
    <row r="67" spans="1:34" ht="42.75" customHeight="1" thickTop="1"/>
    <row r="68" spans="1:34" s="97" customFormat="1" ht="23.25">
      <c r="A68" s="328" t="s">
        <v>148</v>
      </c>
      <c r="B68" s="328"/>
      <c r="C68" s="328"/>
      <c r="D68" s="328"/>
      <c r="E68" s="328"/>
      <c r="F68" s="86"/>
      <c r="G68" s="86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328" t="s">
        <v>112</v>
      </c>
      <c r="V68" s="328"/>
      <c r="W68" s="328"/>
      <c r="X68" s="87"/>
      <c r="Y68" s="87"/>
      <c r="Z68" s="87"/>
    </row>
    <row r="69" spans="1:34" s="97" customFormat="1" ht="23.25">
      <c r="A69" s="334" t="s">
        <v>188</v>
      </c>
      <c r="B69" s="334"/>
      <c r="C69" s="334"/>
      <c r="D69" s="334"/>
      <c r="E69" s="334"/>
      <c r="F69" s="86"/>
      <c r="G69" s="87"/>
      <c r="H69" s="87"/>
      <c r="I69" s="87"/>
      <c r="J69" s="334" t="s">
        <v>186</v>
      </c>
      <c r="K69" s="334"/>
      <c r="L69" s="334"/>
      <c r="M69" s="334"/>
      <c r="N69" s="334"/>
      <c r="O69" s="87"/>
      <c r="P69" s="87"/>
      <c r="Q69" s="86"/>
      <c r="R69" s="86"/>
      <c r="S69" s="87"/>
      <c r="T69" s="87"/>
      <c r="U69" s="87"/>
      <c r="V69" s="87"/>
      <c r="W69" s="87"/>
      <c r="X69" s="87"/>
      <c r="Y69" s="87"/>
      <c r="Z69" s="87"/>
    </row>
    <row r="70" spans="1:34" s="97" customFormat="1" ht="23.25">
      <c r="A70" s="328" t="s">
        <v>158</v>
      </c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87"/>
      <c r="Z70" s="87"/>
    </row>
    <row r="71" spans="1:34" s="97" customFormat="1" ht="23.25">
      <c r="A71" s="328" t="s">
        <v>543</v>
      </c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87"/>
      <c r="Z71" s="87"/>
    </row>
    <row r="72" spans="1:34" s="97" customFormat="1" ht="23.25">
      <c r="A72" s="328" t="s">
        <v>159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87"/>
      <c r="Z72" s="87"/>
    </row>
    <row r="73" spans="1:34" ht="42.75" customHeight="1" thickBot="1">
      <c r="A73" s="9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87"/>
      <c r="T73" s="87"/>
      <c r="U73" s="87"/>
      <c r="V73" s="87"/>
      <c r="W73" s="87"/>
      <c r="X73" s="87"/>
      <c r="Y73" s="87"/>
      <c r="Z73" s="87"/>
    </row>
    <row r="74" spans="1:34" ht="42.75" customHeight="1" thickTop="1" thickBot="1">
      <c r="A74" s="435" t="s">
        <v>160</v>
      </c>
      <c r="B74" s="322" t="s">
        <v>161</v>
      </c>
      <c r="C74" s="330"/>
      <c r="D74" s="323"/>
      <c r="E74" s="322" t="s">
        <v>162</v>
      </c>
      <c r="F74" s="330"/>
      <c r="G74" s="323"/>
      <c r="H74" s="322" t="s">
        <v>163</v>
      </c>
      <c r="I74" s="330"/>
      <c r="J74" s="330"/>
      <c r="K74" s="323"/>
      <c r="L74" s="438" t="s">
        <v>164</v>
      </c>
      <c r="M74" s="439"/>
      <c r="N74" s="322" t="s">
        <v>165</v>
      </c>
      <c r="O74" s="330"/>
      <c r="P74" s="330"/>
      <c r="Q74" s="330"/>
      <c r="R74" s="330"/>
      <c r="S74" s="323"/>
      <c r="T74" s="430" t="s">
        <v>218</v>
      </c>
      <c r="U74" s="108"/>
      <c r="V74" s="109"/>
      <c r="W74" s="440" t="s">
        <v>222</v>
      </c>
      <c r="X74" s="441"/>
      <c r="Y74" s="441"/>
      <c r="Z74" s="442"/>
    </row>
    <row r="75" spans="1:34" ht="42.75" customHeight="1" thickTop="1" thickBot="1">
      <c r="A75" s="436"/>
      <c r="B75" s="322" t="s">
        <v>166</v>
      </c>
      <c r="C75" s="323"/>
      <c r="D75" s="418" t="s">
        <v>167</v>
      </c>
      <c r="E75" s="430" t="s">
        <v>38</v>
      </c>
      <c r="F75" s="418" t="s">
        <v>39</v>
      </c>
      <c r="G75" s="430" t="s">
        <v>304</v>
      </c>
      <c r="H75" s="418" t="s">
        <v>40</v>
      </c>
      <c r="I75" s="446" t="s">
        <v>45</v>
      </c>
      <c r="J75" s="447"/>
      <c r="K75" s="418" t="s">
        <v>41</v>
      </c>
      <c r="L75" s="433" t="s">
        <v>168</v>
      </c>
      <c r="M75" s="434"/>
      <c r="N75" s="418" t="s">
        <v>169</v>
      </c>
      <c r="O75" s="418" t="s">
        <v>43</v>
      </c>
      <c r="P75" s="418" t="s">
        <v>353</v>
      </c>
      <c r="Q75" s="418" t="s">
        <v>44</v>
      </c>
      <c r="R75" s="418" t="s">
        <v>354</v>
      </c>
      <c r="S75" s="418" t="s">
        <v>170</v>
      </c>
      <c r="T75" s="431"/>
      <c r="U75" s="110" t="s">
        <v>171</v>
      </c>
      <c r="V75" s="111" t="s">
        <v>171</v>
      </c>
      <c r="W75" s="443" t="s">
        <v>476</v>
      </c>
      <c r="X75" s="443" t="s">
        <v>219</v>
      </c>
      <c r="Y75" s="443" t="s">
        <v>220</v>
      </c>
      <c r="Z75" s="443" t="s">
        <v>221</v>
      </c>
    </row>
    <row r="76" spans="1:34" ht="42.75" customHeight="1" thickTop="1">
      <c r="A76" s="436"/>
      <c r="B76" s="346" t="s">
        <v>172</v>
      </c>
      <c r="C76" s="108" t="s">
        <v>173</v>
      </c>
      <c r="D76" s="419"/>
      <c r="E76" s="431"/>
      <c r="F76" s="419"/>
      <c r="G76" s="431"/>
      <c r="H76" s="419"/>
      <c r="I76" s="448"/>
      <c r="J76" s="449"/>
      <c r="K76" s="419"/>
      <c r="L76" s="346" t="s">
        <v>99</v>
      </c>
      <c r="M76" s="108" t="s">
        <v>175</v>
      </c>
      <c r="N76" s="419" t="s">
        <v>176</v>
      </c>
      <c r="O76" s="419"/>
      <c r="P76" s="419" t="s">
        <v>176</v>
      </c>
      <c r="Q76" s="419"/>
      <c r="R76" s="419"/>
      <c r="S76" s="419"/>
      <c r="T76" s="431"/>
      <c r="U76" s="110" t="s">
        <v>177</v>
      </c>
      <c r="V76" s="111" t="s">
        <v>178</v>
      </c>
      <c r="W76" s="444"/>
      <c r="X76" s="444"/>
      <c r="Y76" s="444"/>
      <c r="Z76" s="444"/>
    </row>
    <row r="77" spans="1:34" ht="42.75" customHeight="1" thickBot="1">
      <c r="A77" s="437"/>
      <c r="B77" s="347"/>
      <c r="C77" s="112" t="s">
        <v>36</v>
      </c>
      <c r="D77" s="420"/>
      <c r="E77" s="432"/>
      <c r="F77" s="420"/>
      <c r="G77" s="432"/>
      <c r="H77" s="420"/>
      <c r="I77" s="450"/>
      <c r="J77" s="451"/>
      <c r="K77" s="420"/>
      <c r="L77" s="347"/>
      <c r="M77" s="112" t="s">
        <v>99</v>
      </c>
      <c r="N77" s="420" t="s">
        <v>179</v>
      </c>
      <c r="O77" s="420"/>
      <c r="P77" s="420" t="s">
        <v>180</v>
      </c>
      <c r="Q77" s="420"/>
      <c r="R77" s="420"/>
      <c r="S77" s="420"/>
      <c r="T77" s="432"/>
      <c r="U77" s="112"/>
      <c r="V77" s="113"/>
      <c r="W77" s="445"/>
      <c r="X77" s="445"/>
      <c r="Y77" s="445"/>
      <c r="Z77" s="445"/>
    </row>
    <row r="78" spans="1:34" ht="42.75" customHeight="1" thickTop="1" thickBot="1">
      <c r="A78" s="15" t="s">
        <v>123</v>
      </c>
      <c r="B78" s="15">
        <f>المهني!RI15</f>
        <v>1</v>
      </c>
      <c r="C78" s="15">
        <f>المهني!RJ15</f>
        <v>0</v>
      </c>
      <c r="D78" s="15">
        <f>المهني!RK15</f>
        <v>0</v>
      </c>
      <c r="E78" s="15">
        <f>المهني!RF15</f>
        <v>1</v>
      </c>
      <c r="F78" s="15">
        <f>المهني!RG15</f>
        <v>0</v>
      </c>
      <c r="G78" s="15">
        <f>المهني!RH15</f>
        <v>0</v>
      </c>
      <c r="H78" s="15">
        <f>المهني!RL15</f>
        <v>1</v>
      </c>
      <c r="I78" s="322">
        <f>المهني!RM15</f>
        <v>0</v>
      </c>
      <c r="J78" s="323"/>
      <c r="K78" s="15">
        <f>المهني!RN15</f>
        <v>0</v>
      </c>
      <c r="L78" s="15">
        <f>المهني!OU15</f>
        <v>1</v>
      </c>
      <c r="M78" s="15">
        <f>المهني!OV15</f>
        <v>0</v>
      </c>
      <c r="N78" s="15">
        <f>المهني!PP15</f>
        <v>1</v>
      </c>
      <c r="O78" s="15">
        <f>المهني!PQ15</f>
        <v>0</v>
      </c>
      <c r="P78" s="15">
        <f>المهني!PR15</f>
        <v>0</v>
      </c>
      <c r="Q78" s="15">
        <f>المهني!PS15</f>
        <v>0</v>
      </c>
      <c r="R78" s="15">
        <v>0</v>
      </c>
      <c r="S78" s="15">
        <f>المهني!PU15</f>
        <v>0</v>
      </c>
      <c r="T78" s="15">
        <f>S78+Q78+P78+O78+N78</f>
        <v>1</v>
      </c>
      <c r="U78" s="15">
        <f>المهني!SA15</f>
        <v>0</v>
      </c>
      <c r="V78" s="15">
        <f>المهني!SN15</f>
        <v>0</v>
      </c>
      <c r="W78" s="15">
        <f>المهني!PV15</f>
        <v>1</v>
      </c>
      <c r="X78" s="15">
        <f>المهني!QB15</f>
        <v>1</v>
      </c>
      <c r="Y78" s="15">
        <f>المهني!QI15</f>
        <v>1</v>
      </c>
      <c r="Z78" s="15">
        <f>المهني!QM15</f>
        <v>1</v>
      </c>
    </row>
    <row r="79" spans="1:34" ht="42.75" customHeight="1" thickTop="1" thickBot="1">
      <c r="A79" s="15" t="s">
        <v>124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322">
        <v>0</v>
      </c>
      <c r="J79" s="323"/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f>S79+Q79+P79+O79+N79</f>
        <v>0</v>
      </c>
      <c r="U79" s="15">
        <v>0</v>
      </c>
      <c r="V79" s="15">
        <v>0</v>
      </c>
      <c r="W79" s="15"/>
      <c r="X79" s="15">
        <v>0</v>
      </c>
      <c r="Y79" s="15">
        <v>0</v>
      </c>
      <c r="Z79" s="15">
        <v>0</v>
      </c>
    </row>
    <row r="80" spans="1:34" ht="42.75" customHeight="1" thickTop="1" thickBot="1">
      <c r="A80" s="15" t="s">
        <v>125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322">
        <v>0</v>
      </c>
      <c r="J80" s="323"/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f>S80+Q80+P80+O80+N80</f>
        <v>0</v>
      </c>
      <c r="U80" s="15">
        <v>0</v>
      </c>
      <c r="V80" s="15">
        <v>0</v>
      </c>
      <c r="W80" s="15"/>
      <c r="X80" s="15">
        <v>0</v>
      </c>
      <c r="Y80" s="15">
        <v>0</v>
      </c>
      <c r="Z80" s="15">
        <v>0</v>
      </c>
    </row>
    <row r="81" spans="1:35" ht="42.75" customHeight="1" thickTop="1" thickBot="1">
      <c r="A81" s="15" t="s">
        <v>216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322">
        <v>0</v>
      </c>
      <c r="J81" s="323"/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f>S81+Q81+P81+O81+N81</f>
        <v>0</v>
      </c>
      <c r="U81" s="15">
        <v>0</v>
      </c>
      <c r="V81" s="15">
        <v>0</v>
      </c>
      <c r="W81" s="15"/>
      <c r="X81" s="15">
        <v>0</v>
      </c>
      <c r="Y81" s="15">
        <v>0</v>
      </c>
      <c r="Z81" s="15">
        <v>0</v>
      </c>
    </row>
    <row r="82" spans="1:35" ht="42.75" customHeight="1" thickTop="1" thickBot="1">
      <c r="A82" s="15" t="s">
        <v>488</v>
      </c>
      <c r="B82" s="15"/>
      <c r="C82" s="15"/>
      <c r="D82" s="15"/>
      <c r="E82" s="15"/>
      <c r="F82" s="15"/>
      <c r="G82" s="15"/>
      <c r="H82" s="15"/>
      <c r="I82" s="132"/>
      <c r="J82" s="13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35" ht="42.75" customHeight="1" thickTop="1" thickBot="1">
      <c r="A83" s="55" t="s">
        <v>397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322">
        <v>0</v>
      </c>
      <c r="J83" s="323"/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f>S83+Q83+P83+O83+N83</f>
        <v>0</v>
      </c>
      <c r="U83" s="15">
        <v>0</v>
      </c>
      <c r="V83" s="15">
        <v>0</v>
      </c>
      <c r="W83" s="15"/>
      <c r="X83" s="15">
        <v>0</v>
      </c>
      <c r="Y83" s="15">
        <v>0</v>
      </c>
      <c r="Z83" s="15">
        <v>0</v>
      </c>
    </row>
    <row r="84" spans="1:35" ht="42.75" customHeight="1" thickTop="1" thickBot="1">
      <c r="A84" s="15" t="s">
        <v>25</v>
      </c>
      <c r="B84" s="15">
        <f t="shared" ref="B84:I84" si="10">B81+B80+B79+B78</f>
        <v>1</v>
      </c>
      <c r="C84" s="15">
        <f t="shared" si="10"/>
        <v>0</v>
      </c>
      <c r="D84" s="15">
        <f t="shared" si="10"/>
        <v>0</v>
      </c>
      <c r="E84" s="15">
        <f t="shared" si="10"/>
        <v>1</v>
      </c>
      <c r="F84" s="15">
        <f t="shared" si="10"/>
        <v>0</v>
      </c>
      <c r="G84" s="15">
        <f t="shared" si="10"/>
        <v>0</v>
      </c>
      <c r="H84" s="15">
        <f t="shared" si="10"/>
        <v>1</v>
      </c>
      <c r="I84" s="322">
        <f t="shared" si="10"/>
        <v>0</v>
      </c>
      <c r="J84" s="323"/>
      <c r="K84" s="15">
        <f t="shared" ref="K84:Z84" si="11">K81+K80+K79+K78</f>
        <v>0</v>
      </c>
      <c r="L84" s="15">
        <f t="shared" si="11"/>
        <v>1</v>
      </c>
      <c r="M84" s="15">
        <f t="shared" si="11"/>
        <v>0</v>
      </c>
      <c r="N84" s="15">
        <f t="shared" si="11"/>
        <v>1</v>
      </c>
      <c r="O84" s="15">
        <f t="shared" si="11"/>
        <v>0</v>
      </c>
      <c r="P84" s="15">
        <f t="shared" si="11"/>
        <v>0</v>
      </c>
      <c r="Q84" s="15">
        <f t="shared" si="11"/>
        <v>0</v>
      </c>
      <c r="R84" s="15">
        <f t="shared" si="11"/>
        <v>0</v>
      </c>
      <c r="S84" s="15">
        <f t="shared" si="11"/>
        <v>0</v>
      </c>
      <c r="T84" s="15">
        <f t="shared" si="11"/>
        <v>1</v>
      </c>
      <c r="U84" s="15">
        <f t="shared" si="11"/>
        <v>0</v>
      </c>
      <c r="V84" s="15">
        <f t="shared" si="11"/>
        <v>0</v>
      </c>
      <c r="W84" s="15">
        <f t="shared" si="11"/>
        <v>1</v>
      </c>
      <c r="X84" s="15">
        <f t="shared" si="11"/>
        <v>1</v>
      </c>
      <c r="Y84" s="15">
        <f t="shared" si="11"/>
        <v>1</v>
      </c>
      <c r="Z84" s="15">
        <f t="shared" si="11"/>
        <v>1</v>
      </c>
    </row>
    <row r="85" spans="1:35" ht="42.75" customHeight="1" thickTop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35" s="97" customFormat="1" ht="23.25">
      <c r="A86" s="87"/>
      <c r="B86" s="87"/>
      <c r="C86" s="87"/>
      <c r="G86" s="87"/>
      <c r="H86" s="87"/>
      <c r="I86" s="334" t="s">
        <v>423</v>
      </c>
      <c r="J86" s="334"/>
      <c r="K86" s="334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35" s="97" customFormat="1" ht="23.25">
      <c r="A87" s="87"/>
      <c r="B87" s="87"/>
      <c r="C87" s="87"/>
      <c r="E87" s="87"/>
      <c r="F87" s="87"/>
      <c r="G87" s="87"/>
      <c r="H87" s="87"/>
      <c r="I87" s="87"/>
      <c r="J87" s="87" t="s">
        <v>186</v>
      </c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35" s="97" customFormat="1" ht="23.25">
      <c r="A88" s="87"/>
      <c r="B88" s="87"/>
      <c r="C88" s="87"/>
      <c r="E88" s="87"/>
      <c r="F88" s="87"/>
      <c r="G88" s="87"/>
      <c r="H88" s="87"/>
      <c r="I88" s="87"/>
      <c r="J88" s="87" t="s">
        <v>542</v>
      </c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35" ht="42.75" customHeight="1" thickBo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35" ht="42.75" customHeight="1" thickTop="1" thickBot="1">
      <c r="B90" s="346" t="s">
        <v>115</v>
      </c>
      <c r="C90" s="322" t="s">
        <v>415</v>
      </c>
      <c r="D90" s="330"/>
      <c r="E90" s="330"/>
      <c r="F90" s="330"/>
      <c r="G90" s="330"/>
      <c r="H90" s="330"/>
      <c r="I90" s="330"/>
      <c r="J90" s="323"/>
      <c r="K90" s="322" t="s">
        <v>417</v>
      </c>
      <c r="L90" s="330"/>
      <c r="M90" s="330"/>
      <c r="N90" s="330"/>
      <c r="O90" s="330"/>
      <c r="P90" s="330"/>
      <c r="Q90" s="330"/>
      <c r="R90" s="330"/>
      <c r="S90" s="330"/>
      <c r="T90" s="330"/>
      <c r="U90" s="330"/>
      <c r="V90" s="323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</row>
    <row r="91" spans="1:35" ht="42.75" customHeight="1" thickTop="1" thickBot="1">
      <c r="B91" s="347"/>
      <c r="C91" s="322" t="s">
        <v>100</v>
      </c>
      <c r="D91" s="323"/>
      <c r="E91" s="322" t="s">
        <v>101</v>
      </c>
      <c r="F91" s="323"/>
      <c r="G91" s="322" t="s">
        <v>416</v>
      </c>
      <c r="H91" s="323"/>
      <c r="I91" s="322" t="s">
        <v>25</v>
      </c>
      <c r="J91" s="323"/>
      <c r="K91" s="322" t="s">
        <v>418</v>
      </c>
      <c r="L91" s="323"/>
      <c r="M91" s="322" t="s">
        <v>419</v>
      </c>
      <c r="N91" s="323"/>
      <c r="O91" s="322" t="s">
        <v>420</v>
      </c>
      <c r="P91" s="323"/>
      <c r="Q91" s="322" t="s">
        <v>421</v>
      </c>
      <c r="R91" s="323"/>
      <c r="S91" s="322" t="s">
        <v>422</v>
      </c>
      <c r="T91" s="323"/>
      <c r="U91" s="322" t="s">
        <v>25</v>
      </c>
      <c r="V91" s="323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</row>
    <row r="92" spans="1:35" ht="42.75" customHeight="1" thickTop="1" thickBot="1">
      <c r="B92" s="15" t="s">
        <v>123</v>
      </c>
      <c r="C92" s="322">
        <f>المهني!PB15</f>
        <v>0</v>
      </c>
      <c r="D92" s="323"/>
      <c r="E92" s="322">
        <f>المهني!PC15</f>
        <v>0</v>
      </c>
      <c r="F92" s="323"/>
      <c r="G92" s="322">
        <f>المهني!PD15</f>
        <v>1</v>
      </c>
      <c r="H92" s="323"/>
      <c r="I92" s="322">
        <f>G92+E92+C92</f>
        <v>1</v>
      </c>
      <c r="J92" s="323"/>
      <c r="K92" s="322">
        <f>المهني!PE15</f>
        <v>0</v>
      </c>
      <c r="L92" s="323"/>
      <c r="M92" s="322">
        <f>المهني!PF15</f>
        <v>0</v>
      </c>
      <c r="N92" s="323"/>
      <c r="O92" s="322">
        <f>المهني!PG15</f>
        <v>0</v>
      </c>
      <c r="P92" s="323"/>
      <c r="Q92" s="322">
        <f>المهني!PH15</f>
        <v>1</v>
      </c>
      <c r="R92" s="323"/>
      <c r="S92" s="322">
        <f>المهني!PI15</f>
        <v>0</v>
      </c>
      <c r="T92" s="323"/>
      <c r="U92" s="322">
        <f>S92+Q92+O92+M92+K92</f>
        <v>1</v>
      </c>
      <c r="V92" s="323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</row>
    <row r="93" spans="1:35" ht="42.75" customHeight="1" thickTop="1" thickBot="1">
      <c r="B93" s="15" t="s">
        <v>124</v>
      </c>
      <c r="C93" s="322"/>
      <c r="D93" s="323"/>
      <c r="E93" s="322"/>
      <c r="F93" s="323"/>
      <c r="G93" s="322"/>
      <c r="H93" s="323"/>
      <c r="I93" s="322">
        <f>H93+E93+C93</f>
        <v>0</v>
      </c>
      <c r="J93" s="323"/>
      <c r="K93" s="322"/>
      <c r="L93" s="323"/>
      <c r="M93" s="322"/>
      <c r="N93" s="323"/>
      <c r="O93" s="322"/>
      <c r="P93" s="323"/>
      <c r="Q93" s="322"/>
      <c r="R93" s="323"/>
      <c r="S93" s="322"/>
      <c r="T93" s="323"/>
      <c r="U93" s="322">
        <f>T93+Q93+O93+M93+K93</f>
        <v>0</v>
      </c>
      <c r="V93" s="323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</row>
    <row r="94" spans="1:35" ht="42.75" customHeight="1" thickTop="1" thickBot="1">
      <c r="B94" s="15" t="s">
        <v>125</v>
      </c>
      <c r="C94" s="322"/>
      <c r="D94" s="323"/>
      <c r="E94" s="322"/>
      <c r="F94" s="323"/>
      <c r="G94" s="322"/>
      <c r="H94" s="323"/>
      <c r="I94" s="322">
        <f>H94+E94+C94</f>
        <v>0</v>
      </c>
      <c r="J94" s="323"/>
      <c r="K94" s="322"/>
      <c r="L94" s="323"/>
      <c r="M94" s="322"/>
      <c r="N94" s="323"/>
      <c r="O94" s="322"/>
      <c r="P94" s="323"/>
      <c r="Q94" s="322"/>
      <c r="R94" s="323"/>
      <c r="S94" s="322"/>
      <c r="T94" s="323"/>
      <c r="U94" s="322">
        <f>T94+Q94+O94+M94+K94</f>
        <v>0</v>
      </c>
      <c r="V94" s="323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</row>
    <row r="95" spans="1:35" ht="42.75" customHeight="1" thickTop="1" thickBot="1">
      <c r="B95" s="15" t="s">
        <v>216</v>
      </c>
      <c r="C95" s="322"/>
      <c r="D95" s="323"/>
      <c r="E95" s="322"/>
      <c r="F95" s="323"/>
      <c r="G95" s="322"/>
      <c r="H95" s="323"/>
      <c r="I95" s="322">
        <f>H95+E95+C95</f>
        <v>0</v>
      </c>
      <c r="J95" s="323"/>
      <c r="K95" s="322"/>
      <c r="L95" s="323"/>
      <c r="M95" s="322"/>
      <c r="N95" s="323"/>
      <c r="O95" s="322"/>
      <c r="P95" s="323"/>
      <c r="Q95" s="322"/>
      <c r="R95" s="323"/>
      <c r="S95" s="322"/>
      <c r="T95" s="323"/>
      <c r="U95" s="322">
        <f>T95+Q95+O95+M95+K95</f>
        <v>0</v>
      </c>
      <c r="V95" s="323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</row>
    <row r="96" spans="1:35" ht="42.75" customHeight="1" thickTop="1" thickBot="1">
      <c r="B96" s="15" t="s">
        <v>488</v>
      </c>
      <c r="C96" s="132"/>
      <c r="D96" s="133"/>
      <c r="E96" s="132"/>
      <c r="F96" s="133"/>
      <c r="G96" s="132"/>
      <c r="H96" s="133"/>
      <c r="I96" s="132"/>
      <c r="J96" s="133"/>
      <c r="K96" s="132"/>
      <c r="L96" s="133"/>
      <c r="M96" s="132"/>
      <c r="N96" s="133"/>
      <c r="O96" s="132"/>
      <c r="P96" s="133"/>
      <c r="Q96" s="132"/>
      <c r="R96" s="133"/>
      <c r="S96" s="132"/>
      <c r="T96" s="133"/>
      <c r="U96" s="132"/>
      <c r="V96" s="133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</row>
    <row r="97" spans="1:35" ht="42.75" customHeight="1" thickTop="1" thickBot="1">
      <c r="B97" s="55" t="s">
        <v>397</v>
      </c>
      <c r="C97" s="322"/>
      <c r="D97" s="323"/>
      <c r="E97" s="322"/>
      <c r="F97" s="323"/>
      <c r="G97" s="322"/>
      <c r="H97" s="323"/>
      <c r="I97" s="322">
        <f>H97+E97+C97</f>
        <v>0</v>
      </c>
      <c r="J97" s="323"/>
      <c r="K97" s="322"/>
      <c r="L97" s="323"/>
      <c r="M97" s="322"/>
      <c r="N97" s="323"/>
      <c r="O97" s="322"/>
      <c r="P97" s="323"/>
      <c r="Q97" s="322"/>
      <c r="R97" s="323"/>
      <c r="S97" s="322"/>
      <c r="T97" s="323"/>
      <c r="U97" s="322">
        <f>T97+Q97+O97+M97+K97</f>
        <v>0</v>
      </c>
      <c r="V97" s="323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</row>
    <row r="98" spans="1:35" ht="42.75" customHeight="1" thickTop="1" thickBot="1">
      <c r="B98" s="15" t="s">
        <v>25</v>
      </c>
      <c r="C98" s="322">
        <f>SUM(C92:C97)</f>
        <v>0</v>
      </c>
      <c r="D98" s="323"/>
      <c r="E98" s="322">
        <f>SUM(E92:E97)</f>
        <v>0</v>
      </c>
      <c r="F98" s="323"/>
      <c r="G98" s="322">
        <f>SUM(H92:H97)</f>
        <v>0</v>
      </c>
      <c r="H98" s="323"/>
      <c r="I98" s="322">
        <f>G98+E98+C98</f>
        <v>0</v>
      </c>
      <c r="J98" s="323"/>
      <c r="K98" s="322">
        <f>SUM(K92:K97)</f>
        <v>0</v>
      </c>
      <c r="L98" s="323"/>
      <c r="M98" s="322">
        <f>SUM(M92:M97)</f>
        <v>0</v>
      </c>
      <c r="N98" s="323"/>
      <c r="O98" s="322">
        <f>SUM(O92:O97)</f>
        <v>0</v>
      </c>
      <c r="P98" s="323"/>
      <c r="Q98" s="322">
        <f>SUM(Q92:Q97)</f>
        <v>1</v>
      </c>
      <c r="R98" s="323"/>
      <c r="S98" s="322">
        <f>SUM(T92:T97)</f>
        <v>0</v>
      </c>
      <c r="T98" s="323"/>
      <c r="U98" s="322">
        <f>S98+Q98+O98+M98+K98</f>
        <v>1</v>
      </c>
      <c r="V98" s="323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</row>
    <row r="99" spans="1:35" ht="42.75" customHeight="1" thickTop="1"/>
    <row r="100" spans="1:35" s="97" customFormat="1" ht="23.25">
      <c r="A100" s="328" t="s">
        <v>148</v>
      </c>
      <c r="B100" s="328"/>
      <c r="C100" s="328"/>
      <c r="D100" s="328"/>
      <c r="E100" s="328"/>
      <c r="F100" s="86"/>
      <c r="G100" s="86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328" t="s">
        <v>112</v>
      </c>
      <c r="V100" s="328"/>
      <c r="W100" s="328"/>
      <c r="X100" s="87"/>
      <c r="Y100" s="87"/>
      <c r="Z100" s="87"/>
    </row>
    <row r="101" spans="1:35" s="97" customFormat="1" ht="23.25">
      <c r="A101" s="334" t="s">
        <v>188</v>
      </c>
      <c r="B101" s="334"/>
      <c r="C101" s="334"/>
      <c r="D101" s="334"/>
      <c r="E101" s="334"/>
      <c r="F101" s="86"/>
      <c r="G101" s="87"/>
      <c r="H101" s="87"/>
      <c r="I101" s="334" t="s">
        <v>187</v>
      </c>
      <c r="J101" s="334"/>
      <c r="K101" s="334"/>
      <c r="L101" s="334"/>
      <c r="M101" s="334"/>
      <c r="N101" s="334"/>
      <c r="O101" s="87"/>
      <c r="P101" s="87"/>
      <c r="Q101" s="86"/>
      <c r="R101" s="86"/>
      <c r="S101" s="87"/>
      <c r="T101" s="87"/>
      <c r="U101" s="87"/>
      <c r="V101" s="87"/>
      <c r="W101" s="87"/>
      <c r="X101" s="87"/>
      <c r="Y101" s="87"/>
      <c r="Z101" s="87"/>
    </row>
    <row r="102" spans="1:35" s="97" customFormat="1" ht="23.25">
      <c r="A102" s="328" t="s">
        <v>158</v>
      </c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87"/>
      <c r="Z102" s="87"/>
    </row>
    <row r="103" spans="1:35" s="97" customFormat="1" ht="23.25">
      <c r="A103" s="328" t="s">
        <v>544</v>
      </c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23"/>
      <c r="Z103" s="23"/>
    </row>
    <row r="104" spans="1:35" s="97" customFormat="1" ht="23.25">
      <c r="A104" s="328" t="s">
        <v>159</v>
      </c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23"/>
      <c r="Z104" s="23"/>
    </row>
    <row r="105" spans="1:35" ht="42.75" customHeight="1" thickBot="1">
      <c r="A105" s="9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87"/>
      <c r="T105" s="87"/>
      <c r="U105" s="87"/>
      <c r="V105" s="87"/>
      <c r="W105" s="87"/>
      <c r="X105" s="87"/>
      <c r="Y105" s="87"/>
      <c r="Z105" s="87"/>
    </row>
    <row r="106" spans="1:35" ht="42.75" customHeight="1" thickTop="1" thickBot="1">
      <c r="A106" s="435" t="s">
        <v>160</v>
      </c>
      <c r="B106" s="322" t="s">
        <v>161</v>
      </c>
      <c r="C106" s="330"/>
      <c r="D106" s="323"/>
      <c r="E106" s="322" t="s">
        <v>162</v>
      </c>
      <c r="F106" s="330"/>
      <c r="G106" s="323"/>
      <c r="H106" s="322" t="s">
        <v>163</v>
      </c>
      <c r="I106" s="330"/>
      <c r="J106" s="330"/>
      <c r="K106" s="323"/>
      <c r="L106" s="438" t="s">
        <v>164</v>
      </c>
      <c r="M106" s="439"/>
      <c r="N106" s="322" t="s">
        <v>165</v>
      </c>
      <c r="O106" s="330"/>
      <c r="P106" s="330"/>
      <c r="Q106" s="330"/>
      <c r="R106" s="330"/>
      <c r="S106" s="323"/>
      <c r="T106" s="430" t="s">
        <v>218</v>
      </c>
      <c r="U106" s="430" t="s">
        <v>305</v>
      </c>
      <c r="V106" s="430" t="s">
        <v>46</v>
      </c>
      <c r="W106" s="440" t="s">
        <v>222</v>
      </c>
      <c r="X106" s="441"/>
      <c r="Y106" s="441"/>
      <c r="Z106" s="442"/>
    </row>
    <row r="107" spans="1:35" ht="42.75" customHeight="1" thickTop="1" thickBot="1">
      <c r="A107" s="436"/>
      <c r="B107" s="322" t="s">
        <v>166</v>
      </c>
      <c r="C107" s="323"/>
      <c r="D107" s="418" t="s">
        <v>167</v>
      </c>
      <c r="E107" s="430" t="s">
        <v>38</v>
      </c>
      <c r="F107" s="418" t="s">
        <v>39</v>
      </c>
      <c r="G107" s="430" t="s">
        <v>304</v>
      </c>
      <c r="H107" s="418" t="s">
        <v>40</v>
      </c>
      <c r="I107" s="446" t="s">
        <v>45</v>
      </c>
      <c r="J107" s="447"/>
      <c r="K107" s="418" t="s">
        <v>41</v>
      </c>
      <c r="L107" s="433" t="s">
        <v>168</v>
      </c>
      <c r="M107" s="434"/>
      <c r="N107" s="418" t="s">
        <v>169</v>
      </c>
      <c r="O107" s="418" t="s">
        <v>43</v>
      </c>
      <c r="P107" s="418" t="s">
        <v>353</v>
      </c>
      <c r="Q107" s="418" t="s">
        <v>44</v>
      </c>
      <c r="R107" s="418" t="s">
        <v>354</v>
      </c>
      <c r="S107" s="418" t="s">
        <v>170</v>
      </c>
      <c r="T107" s="431"/>
      <c r="U107" s="431"/>
      <c r="V107" s="431"/>
      <c r="W107" s="443" t="s">
        <v>477</v>
      </c>
      <c r="X107" s="443" t="s">
        <v>219</v>
      </c>
      <c r="Y107" s="443" t="s">
        <v>220</v>
      </c>
      <c r="Z107" s="443" t="s">
        <v>221</v>
      </c>
    </row>
    <row r="108" spans="1:35" ht="42.75" customHeight="1" thickTop="1">
      <c r="A108" s="436"/>
      <c r="B108" s="346" t="s">
        <v>172</v>
      </c>
      <c r="C108" s="108" t="s">
        <v>173</v>
      </c>
      <c r="D108" s="419"/>
      <c r="E108" s="431"/>
      <c r="F108" s="419"/>
      <c r="G108" s="431" t="s">
        <v>174</v>
      </c>
      <c r="H108" s="419"/>
      <c r="I108" s="448"/>
      <c r="J108" s="449"/>
      <c r="K108" s="419"/>
      <c r="L108" s="346" t="s">
        <v>99</v>
      </c>
      <c r="M108" s="108" t="s">
        <v>175</v>
      </c>
      <c r="N108" s="419" t="s">
        <v>176</v>
      </c>
      <c r="O108" s="419"/>
      <c r="P108" s="419" t="s">
        <v>176</v>
      </c>
      <c r="Q108" s="419"/>
      <c r="R108" s="419"/>
      <c r="S108" s="419"/>
      <c r="T108" s="431"/>
      <c r="U108" s="431"/>
      <c r="V108" s="431"/>
      <c r="W108" s="444"/>
      <c r="X108" s="444"/>
      <c r="Y108" s="444"/>
      <c r="Z108" s="444"/>
    </row>
    <row r="109" spans="1:35" ht="42.75" customHeight="1" thickBot="1">
      <c r="A109" s="437"/>
      <c r="B109" s="347"/>
      <c r="C109" s="112" t="s">
        <v>36</v>
      </c>
      <c r="D109" s="420"/>
      <c r="E109" s="432"/>
      <c r="F109" s="420"/>
      <c r="G109" s="432"/>
      <c r="H109" s="420"/>
      <c r="I109" s="450"/>
      <c r="J109" s="451"/>
      <c r="K109" s="420"/>
      <c r="L109" s="347"/>
      <c r="M109" s="112" t="s">
        <v>99</v>
      </c>
      <c r="N109" s="420" t="s">
        <v>179</v>
      </c>
      <c r="O109" s="420"/>
      <c r="P109" s="420" t="s">
        <v>180</v>
      </c>
      <c r="Q109" s="420"/>
      <c r="R109" s="420"/>
      <c r="S109" s="420"/>
      <c r="T109" s="432"/>
      <c r="U109" s="432"/>
      <c r="V109" s="432"/>
      <c r="W109" s="445"/>
      <c r="X109" s="445"/>
      <c r="Y109" s="445"/>
      <c r="Z109" s="445"/>
    </row>
    <row r="110" spans="1:35" ht="42.75" customHeight="1" thickTop="1" thickBot="1">
      <c r="A110" s="15" t="s">
        <v>123</v>
      </c>
      <c r="B110" s="15">
        <f>المهني!RI19</f>
        <v>2</v>
      </c>
      <c r="C110" s="15">
        <f>المهني!RJ19</f>
        <v>0</v>
      </c>
      <c r="D110" s="15">
        <f>المهني!RK19</f>
        <v>0</v>
      </c>
      <c r="E110" s="15">
        <f>المهني!RF19</f>
        <v>1</v>
      </c>
      <c r="F110" s="15">
        <f>المهني!RG19</f>
        <v>1</v>
      </c>
      <c r="G110" s="15">
        <f>المهني!RH19</f>
        <v>0</v>
      </c>
      <c r="H110" s="15">
        <f>المهني!RL19</f>
        <v>1</v>
      </c>
      <c r="I110" s="322">
        <f>المهني!RM19</f>
        <v>1</v>
      </c>
      <c r="J110" s="323"/>
      <c r="K110" s="15">
        <f>المهني!RN19</f>
        <v>0</v>
      </c>
      <c r="L110" s="15">
        <f>المهني!OU19</f>
        <v>2</v>
      </c>
      <c r="M110" s="15">
        <f>المهني!OV19</f>
        <v>0</v>
      </c>
      <c r="N110" s="15">
        <f>المهني!PP19</f>
        <v>1</v>
      </c>
      <c r="O110" s="15">
        <f>المهني!PQ19</f>
        <v>0</v>
      </c>
      <c r="P110" s="15">
        <f>المهني!PR19</f>
        <v>0</v>
      </c>
      <c r="Q110" s="15">
        <f>المهني!PS19</f>
        <v>1</v>
      </c>
      <c r="R110" s="15">
        <v>0</v>
      </c>
      <c r="S110" s="15">
        <f>المهني!PU19</f>
        <v>0</v>
      </c>
      <c r="T110" s="15">
        <f>S110+Q110+P110+O110+N110</f>
        <v>2</v>
      </c>
      <c r="U110" s="15">
        <f>المهني!SA19</f>
        <v>1</v>
      </c>
      <c r="V110" s="15">
        <f>المهني!SN19</f>
        <v>90</v>
      </c>
      <c r="W110" s="15">
        <f>المهني!PV19</f>
        <v>2</v>
      </c>
      <c r="X110" s="15">
        <f>المهني!QB19</f>
        <v>2</v>
      </c>
      <c r="Y110" s="15">
        <f>المهني!QI19</f>
        <v>2</v>
      </c>
      <c r="Z110" s="15">
        <f>المهني!PV19</f>
        <v>2</v>
      </c>
    </row>
    <row r="111" spans="1:35" ht="42.75" customHeight="1" thickTop="1" thickBot="1">
      <c r="A111" s="15" t="s">
        <v>124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322">
        <v>0</v>
      </c>
      <c r="J111" s="323"/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f>S111+Q111+P111+O111+N111</f>
        <v>0</v>
      </c>
      <c r="U111" s="15">
        <v>0</v>
      </c>
      <c r="V111" s="15">
        <v>0</v>
      </c>
      <c r="W111" s="15"/>
      <c r="X111" s="15">
        <v>0</v>
      </c>
      <c r="Y111" s="15">
        <v>0</v>
      </c>
      <c r="Z111" s="15">
        <v>0</v>
      </c>
    </row>
    <row r="112" spans="1:35" ht="42.75" customHeight="1" thickTop="1" thickBot="1">
      <c r="A112" s="15" t="s">
        <v>125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322">
        <v>0</v>
      </c>
      <c r="J112" s="323"/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f>S112+Q112+P112+O112+N112</f>
        <v>0</v>
      </c>
      <c r="U112" s="15">
        <v>0</v>
      </c>
      <c r="V112" s="15">
        <v>0</v>
      </c>
      <c r="W112" s="15"/>
      <c r="X112" s="15">
        <v>0</v>
      </c>
      <c r="Y112" s="15">
        <v>0</v>
      </c>
      <c r="Z112" s="15">
        <v>0</v>
      </c>
    </row>
    <row r="113" spans="1:34" ht="42.75" customHeight="1" thickTop="1" thickBot="1">
      <c r="A113" s="15" t="s">
        <v>216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322">
        <v>0</v>
      </c>
      <c r="J113" s="323"/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f>S113+Q113+P113+O113+N113</f>
        <v>0</v>
      </c>
      <c r="U113" s="15">
        <v>0</v>
      </c>
      <c r="V113" s="15">
        <v>0</v>
      </c>
      <c r="W113" s="15"/>
      <c r="X113" s="15">
        <v>0</v>
      </c>
      <c r="Y113" s="15">
        <v>0</v>
      </c>
      <c r="Z113" s="15">
        <v>0</v>
      </c>
    </row>
    <row r="114" spans="1:34" ht="42.75" customHeight="1" thickTop="1" thickBot="1">
      <c r="A114" s="15" t="s">
        <v>488</v>
      </c>
      <c r="B114" s="15"/>
      <c r="C114" s="15"/>
      <c r="D114" s="15"/>
      <c r="E114" s="15"/>
      <c r="F114" s="15"/>
      <c r="G114" s="15"/>
      <c r="H114" s="15"/>
      <c r="I114" s="132"/>
      <c r="J114" s="133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34" ht="42.75" customHeight="1" thickTop="1" thickBot="1">
      <c r="A115" s="55" t="s">
        <v>397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322">
        <v>0</v>
      </c>
      <c r="J115" s="323"/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/>
      <c r="X115" s="15">
        <v>0</v>
      </c>
      <c r="Y115" s="15">
        <v>0</v>
      </c>
      <c r="Z115" s="15">
        <v>0</v>
      </c>
    </row>
    <row r="116" spans="1:34" ht="42.75" customHeight="1" thickTop="1" thickBot="1">
      <c r="A116" s="15" t="s">
        <v>25</v>
      </c>
      <c r="B116" s="15">
        <f t="shared" ref="B116:I116" si="12">B113+B112+B111+B110</f>
        <v>2</v>
      </c>
      <c r="C116" s="15">
        <f t="shared" si="12"/>
        <v>0</v>
      </c>
      <c r="D116" s="15">
        <f t="shared" si="12"/>
        <v>0</v>
      </c>
      <c r="E116" s="15">
        <f t="shared" si="12"/>
        <v>1</v>
      </c>
      <c r="F116" s="15">
        <f t="shared" si="12"/>
        <v>1</v>
      </c>
      <c r="G116" s="15">
        <f t="shared" si="12"/>
        <v>0</v>
      </c>
      <c r="H116" s="15">
        <f t="shared" si="12"/>
        <v>1</v>
      </c>
      <c r="I116" s="322">
        <f t="shared" si="12"/>
        <v>1</v>
      </c>
      <c r="J116" s="323"/>
      <c r="K116" s="15">
        <f t="shared" ref="K116:Z116" si="13">K113+K112+K111+K110</f>
        <v>0</v>
      </c>
      <c r="L116" s="15">
        <f t="shared" si="13"/>
        <v>2</v>
      </c>
      <c r="M116" s="15">
        <f t="shared" si="13"/>
        <v>0</v>
      </c>
      <c r="N116" s="15">
        <f t="shared" si="13"/>
        <v>1</v>
      </c>
      <c r="O116" s="15">
        <f t="shared" si="13"/>
        <v>0</v>
      </c>
      <c r="P116" s="15">
        <f t="shared" si="13"/>
        <v>0</v>
      </c>
      <c r="Q116" s="15">
        <f t="shared" si="13"/>
        <v>1</v>
      </c>
      <c r="R116" s="15">
        <f t="shared" si="13"/>
        <v>0</v>
      </c>
      <c r="S116" s="15">
        <f t="shared" si="13"/>
        <v>0</v>
      </c>
      <c r="T116" s="15">
        <f t="shared" si="13"/>
        <v>2</v>
      </c>
      <c r="U116" s="15">
        <f t="shared" si="13"/>
        <v>1</v>
      </c>
      <c r="V116" s="15">
        <f t="shared" si="13"/>
        <v>90</v>
      </c>
      <c r="W116" s="15">
        <f t="shared" si="13"/>
        <v>2</v>
      </c>
      <c r="X116" s="15">
        <f t="shared" si="13"/>
        <v>2</v>
      </c>
      <c r="Y116" s="15">
        <f t="shared" si="13"/>
        <v>2</v>
      </c>
      <c r="Z116" s="15">
        <f t="shared" si="13"/>
        <v>2</v>
      </c>
    </row>
    <row r="117" spans="1:34" ht="42.75" customHeight="1" thickTop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34" ht="42.75" customHeight="1">
      <c r="A118" s="87"/>
      <c r="B118" s="87"/>
      <c r="C118" s="87"/>
      <c r="D118" s="87"/>
      <c r="E118" s="87"/>
      <c r="I118" s="87"/>
      <c r="J118" s="87"/>
      <c r="K118" s="87"/>
      <c r="L118" s="334" t="s">
        <v>423</v>
      </c>
      <c r="M118" s="334"/>
      <c r="N118" s="334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34" ht="42.75" customHeight="1">
      <c r="A119" s="87"/>
      <c r="B119" s="87"/>
      <c r="C119" s="87"/>
      <c r="D119" s="87"/>
      <c r="E119" s="87"/>
      <c r="G119" s="87"/>
      <c r="H119" s="87"/>
      <c r="I119" s="87"/>
      <c r="J119" s="87"/>
      <c r="K119" s="87"/>
      <c r="L119" s="87" t="s">
        <v>187</v>
      </c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34" ht="42.75" customHeight="1">
      <c r="A120" s="87"/>
      <c r="B120" s="87"/>
      <c r="C120" s="87"/>
      <c r="D120" s="87"/>
      <c r="E120" s="87"/>
      <c r="G120" s="87"/>
      <c r="H120" s="87"/>
      <c r="I120" s="87"/>
      <c r="J120" s="87"/>
      <c r="K120" s="87"/>
      <c r="L120" s="87" t="s">
        <v>542</v>
      </c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34" ht="42.75" customHeight="1" thickBo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34" ht="42.75" customHeight="1" thickTop="1" thickBot="1">
      <c r="A122" s="87"/>
      <c r="B122" s="346" t="s">
        <v>115</v>
      </c>
      <c r="C122" s="322" t="s">
        <v>415</v>
      </c>
      <c r="D122" s="330"/>
      <c r="E122" s="330"/>
      <c r="F122" s="330"/>
      <c r="G122" s="330"/>
      <c r="H122" s="330"/>
      <c r="I122" s="330"/>
      <c r="J122" s="323"/>
      <c r="K122" s="322" t="s">
        <v>417</v>
      </c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23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</row>
    <row r="123" spans="1:34" ht="42.75" customHeight="1" thickTop="1" thickBot="1">
      <c r="A123" s="87"/>
      <c r="B123" s="347"/>
      <c r="C123" s="322" t="s">
        <v>100</v>
      </c>
      <c r="D123" s="323"/>
      <c r="E123" s="322" t="s">
        <v>101</v>
      </c>
      <c r="F123" s="323"/>
      <c r="G123" s="322" t="s">
        <v>416</v>
      </c>
      <c r="H123" s="323"/>
      <c r="I123" s="322" t="s">
        <v>25</v>
      </c>
      <c r="J123" s="323"/>
      <c r="K123" s="322" t="s">
        <v>418</v>
      </c>
      <c r="L123" s="323"/>
      <c r="M123" s="322" t="s">
        <v>419</v>
      </c>
      <c r="N123" s="323"/>
      <c r="O123" s="322" t="s">
        <v>420</v>
      </c>
      <c r="P123" s="323"/>
      <c r="Q123" s="322" t="s">
        <v>421</v>
      </c>
      <c r="R123" s="323"/>
      <c r="S123" s="322" t="s">
        <v>422</v>
      </c>
      <c r="T123" s="323"/>
      <c r="U123" s="322" t="s">
        <v>25</v>
      </c>
      <c r="V123" s="323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</row>
    <row r="124" spans="1:34" ht="42.75" customHeight="1" thickTop="1" thickBot="1">
      <c r="A124" s="87"/>
      <c r="B124" s="15" t="s">
        <v>123</v>
      </c>
      <c r="C124" s="322">
        <f>المهني!PB19</f>
        <v>1</v>
      </c>
      <c r="D124" s="323"/>
      <c r="E124" s="322">
        <f>المهني!PC19</f>
        <v>0</v>
      </c>
      <c r="F124" s="323"/>
      <c r="G124" s="322">
        <f>المهني!PD19</f>
        <v>1</v>
      </c>
      <c r="H124" s="323"/>
      <c r="I124" s="322">
        <f>G124+E124+C124</f>
        <v>2</v>
      </c>
      <c r="J124" s="323"/>
      <c r="K124" s="322">
        <f>المهني!PE19</f>
        <v>0</v>
      </c>
      <c r="L124" s="323"/>
      <c r="M124" s="322">
        <f>المهني!PF19</f>
        <v>0</v>
      </c>
      <c r="N124" s="323"/>
      <c r="O124" s="322">
        <f>المهني!PG19</f>
        <v>1</v>
      </c>
      <c r="P124" s="323"/>
      <c r="Q124" s="322">
        <f>المهني!PH19</f>
        <v>0</v>
      </c>
      <c r="R124" s="323"/>
      <c r="S124" s="322">
        <f>المهني!PI19</f>
        <v>1</v>
      </c>
      <c r="T124" s="323"/>
      <c r="U124" s="322">
        <f>S124+Q124+O124+M124+K124</f>
        <v>2</v>
      </c>
      <c r="V124" s="323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</row>
    <row r="125" spans="1:34" ht="42.75" customHeight="1" thickTop="1" thickBot="1">
      <c r="A125" s="87"/>
      <c r="B125" s="15" t="s">
        <v>124</v>
      </c>
      <c r="C125" s="322"/>
      <c r="D125" s="323"/>
      <c r="E125" s="322"/>
      <c r="F125" s="323"/>
      <c r="G125" s="322"/>
      <c r="H125" s="323"/>
      <c r="I125" s="322">
        <f>H125+E125+C125</f>
        <v>0</v>
      </c>
      <c r="J125" s="323"/>
      <c r="K125" s="322"/>
      <c r="L125" s="323"/>
      <c r="M125" s="322"/>
      <c r="N125" s="323"/>
      <c r="O125" s="322"/>
      <c r="P125" s="323"/>
      <c r="Q125" s="322"/>
      <c r="R125" s="323"/>
      <c r="S125" s="322"/>
      <c r="T125" s="323"/>
      <c r="U125" s="322">
        <f>T125+Q125+O125+M125+K125</f>
        <v>0</v>
      </c>
      <c r="V125" s="323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</row>
    <row r="126" spans="1:34" ht="42.75" customHeight="1" thickTop="1" thickBot="1">
      <c r="A126" s="87"/>
      <c r="B126" s="15" t="s">
        <v>125</v>
      </c>
      <c r="C126" s="322"/>
      <c r="D126" s="323"/>
      <c r="E126" s="322"/>
      <c r="F126" s="323"/>
      <c r="G126" s="322"/>
      <c r="H126" s="323"/>
      <c r="I126" s="322">
        <f>H126+E126+C126</f>
        <v>0</v>
      </c>
      <c r="J126" s="323"/>
      <c r="K126" s="322"/>
      <c r="L126" s="323"/>
      <c r="M126" s="322"/>
      <c r="N126" s="323"/>
      <c r="O126" s="322"/>
      <c r="P126" s="323"/>
      <c r="Q126" s="322"/>
      <c r="R126" s="323"/>
      <c r="S126" s="322"/>
      <c r="T126" s="323"/>
      <c r="U126" s="322">
        <f>T126+Q126+O126+M126+K126</f>
        <v>0</v>
      </c>
      <c r="V126" s="323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</row>
    <row r="127" spans="1:34" ht="42.75" customHeight="1" thickTop="1" thickBot="1">
      <c r="A127" s="87"/>
      <c r="B127" s="15" t="s">
        <v>216</v>
      </c>
      <c r="C127" s="322"/>
      <c r="D127" s="323"/>
      <c r="E127" s="322"/>
      <c r="F127" s="323"/>
      <c r="G127" s="322"/>
      <c r="H127" s="323"/>
      <c r="I127" s="322">
        <f>H127+E127+C127</f>
        <v>0</v>
      </c>
      <c r="J127" s="323"/>
      <c r="K127" s="322"/>
      <c r="L127" s="323"/>
      <c r="M127" s="322"/>
      <c r="N127" s="323"/>
      <c r="O127" s="322"/>
      <c r="P127" s="323"/>
      <c r="Q127" s="322"/>
      <c r="R127" s="323"/>
      <c r="S127" s="322"/>
      <c r="T127" s="323"/>
      <c r="U127" s="322">
        <f>T127+Q127+O127+M127+K127</f>
        <v>0</v>
      </c>
      <c r="V127" s="323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</row>
    <row r="128" spans="1:34" ht="42.75" customHeight="1" thickTop="1" thickBot="1">
      <c r="A128" s="135"/>
      <c r="B128" s="15" t="s">
        <v>488</v>
      </c>
      <c r="C128" s="132"/>
      <c r="D128" s="133"/>
      <c r="E128" s="132"/>
      <c r="F128" s="133"/>
      <c r="G128" s="132"/>
      <c r="H128" s="133"/>
      <c r="I128" s="132"/>
      <c r="J128" s="133"/>
      <c r="K128" s="132"/>
      <c r="L128" s="133"/>
      <c r="M128" s="132"/>
      <c r="N128" s="133"/>
      <c r="O128" s="132"/>
      <c r="P128" s="133"/>
      <c r="Q128" s="132"/>
      <c r="R128" s="133"/>
      <c r="S128" s="132"/>
      <c r="T128" s="133"/>
      <c r="U128" s="132"/>
      <c r="V128" s="133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</row>
    <row r="129" spans="1:34" ht="42.75" customHeight="1" thickTop="1" thickBot="1">
      <c r="A129" s="87"/>
      <c r="B129" s="55" t="s">
        <v>397</v>
      </c>
      <c r="C129" s="322"/>
      <c r="D129" s="323"/>
      <c r="E129" s="322"/>
      <c r="F129" s="323"/>
      <c r="G129" s="322"/>
      <c r="H129" s="323"/>
      <c r="I129" s="322">
        <f>H129+E129+C129</f>
        <v>0</v>
      </c>
      <c r="J129" s="323"/>
      <c r="K129" s="322"/>
      <c r="L129" s="323"/>
      <c r="M129" s="322"/>
      <c r="N129" s="323"/>
      <c r="O129" s="322"/>
      <c r="P129" s="323"/>
      <c r="Q129" s="322"/>
      <c r="R129" s="323"/>
      <c r="S129" s="322"/>
      <c r="T129" s="323"/>
      <c r="U129" s="322">
        <f>T129+Q129+O129+M129+K129</f>
        <v>0</v>
      </c>
      <c r="V129" s="323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</row>
    <row r="130" spans="1:34" ht="42.75" customHeight="1" thickTop="1" thickBot="1">
      <c r="A130" s="87"/>
      <c r="B130" s="15" t="s">
        <v>25</v>
      </c>
      <c r="C130" s="322">
        <f>SUM(C124:C129)</f>
        <v>1</v>
      </c>
      <c r="D130" s="323"/>
      <c r="E130" s="322">
        <f>SUM(E124:E129)</f>
        <v>0</v>
      </c>
      <c r="F130" s="323"/>
      <c r="G130" s="322">
        <f>SUM(H124:H129)</f>
        <v>0</v>
      </c>
      <c r="H130" s="323"/>
      <c r="I130" s="322">
        <f>G130+E130+C130</f>
        <v>1</v>
      </c>
      <c r="J130" s="323"/>
      <c r="K130" s="322">
        <f>SUM(K124:K129)</f>
        <v>0</v>
      </c>
      <c r="L130" s="323"/>
      <c r="M130" s="322">
        <f>SUM(M124:M129)</f>
        <v>0</v>
      </c>
      <c r="N130" s="323"/>
      <c r="O130" s="322">
        <f>SUM(O124:O129)</f>
        <v>1</v>
      </c>
      <c r="P130" s="323"/>
      <c r="Q130" s="322">
        <f>SUM(Q124:Q129)</f>
        <v>0</v>
      </c>
      <c r="R130" s="323"/>
      <c r="S130" s="322">
        <f>SUM(T124:T129)</f>
        <v>0</v>
      </c>
      <c r="T130" s="323"/>
      <c r="U130" s="322">
        <f>S130+Q130+O130+M130+K130</f>
        <v>1</v>
      </c>
      <c r="V130" s="323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</row>
    <row r="131" spans="1:34" ht="42.75" customHeight="1" thickTop="1"/>
  </sheetData>
  <mergeCells count="481">
    <mergeCell ref="G32:H32"/>
    <mergeCell ref="I32:J32"/>
    <mergeCell ref="K32:L32"/>
    <mergeCell ref="M32:N32"/>
    <mergeCell ref="O32:P32"/>
    <mergeCell ref="Q32:R32"/>
    <mergeCell ref="S32:T32"/>
    <mergeCell ref="U32:V32"/>
    <mergeCell ref="S124:T124"/>
    <mergeCell ref="S130:T130"/>
    <mergeCell ref="S125:T125"/>
    <mergeCell ref="S126:T126"/>
    <mergeCell ref="S127:T127"/>
    <mergeCell ref="S129:T129"/>
    <mergeCell ref="O129:P129"/>
    <mergeCell ref="Q129:R129"/>
    <mergeCell ref="O123:P123"/>
    <mergeCell ref="Q123:R123"/>
    <mergeCell ref="O130:P130"/>
    <mergeCell ref="Q130:R130"/>
    <mergeCell ref="G124:H124"/>
    <mergeCell ref="I127:J127"/>
    <mergeCell ref="I124:J124"/>
    <mergeCell ref="K130:L130"/>
    <mergeCell ref="M123:N123"/>
    <mergeCell ref="M124:N124"/>
    <mergeCell ref="O124:P124"/>
    <mergeCell ref="Q124:R124"/>
    <mergeCell ref="K125:L125"/>
    <mergeCell ref="M125:N125"/>
    <mergeCell ref="O125:P125"/>
    <mergeCell ref="U95:V95"/>
    <mergeCell ref="U97:V97"/>
    <mergeCell ref="C127:D127"/>
    <mergeCell ref="E127:F127"/>
    <mergeCell ref="C129:D129"/>
    <mergeCell ref="E129:F129"/>
    <mergeCell ref="C130:D130"/>
    <mergeCell ref="E130:F130"/>
    <mergeCell ref="C124:D124"/>
    <mergeCell ref="E124:F124"/>
    <mergeCell ref="C125:D125"/>
    <mergeCell ref="E125:F125"/>
    <mergeCell ref="C126:D126"/>
    <mergeCell ref="E126:F126"/>
    <mergeCell ref="G130:H130"/>
    <mergeCell ref="G125:H125"/>
    <mergeCell ref="G126:H126"/>
    <mergeCell ref="G127:H127"/>
    <mergeCell ref="G129:H129"/>
    <mergeCell ref="K123:L123"/>
    <mergeCell ref="K124:L124"/>
    <mergeCell ref="K126:L126"/>
    <mergeCell ref="K127:L127"/>
    <mergeCell ref="K129:L129"/>
    <mergeCell ref="O97:P97"/>
    <mergeCell ref="Q97:R97"/>
    <mergeCell ref="S97:T97"/>
    <mergeCell ref="Q93:R93"/>
    <mergeCell ref="S93:T93"/>
    <mergeCell ref="K94:L94"/>
    <mergeCell ref="M94:N94"/>
    <mergeCell ref="O94:P94"/>
    <mergeCell ref="Q94:R94"/>
    <mergeCell ref="S94:T94"/>
    <mergeCell ref="C98:D98"/>
    <mergeCell ref="E98:F98"/>
    <mergeCell ref="G98:H98"/>
    <mergeCell ref="C90:J90"/>
    <mergeCell ref="K91:L91"/>
    <mergeCell ref="M91:N91"/>
    <mergeCell ref="K92:L92"/>
    <mergeCell ref="M92:N92"/>
    <mergeCell ref="K93:L93"/>
    <mergeCell ref="M93:N93"/>
    <mergeCell ref="C95:D95"/>
    <mergeCell ref="E95:F95"/>
    <mergeCell ref="G95:H95"/>
    <mergeCell ref="C97:D97"/>
    <mergeCell ref="E97:F97"/>
    <mergeCell ref="G97:H97"/>
    <mergeCell ref="C93:D93"/>
    <mergeCell ref="E93:F93"/>
    <mergeCell ref="G93:H93"/>
    <mergeCell ref="C94:D94"/>
    <mergeCell ref="E94:F94"/>
    <mergeCell ref="G94:H94"/>
    <mergeCell ref="I95:J95"/>
    <mergeCell ref="I97:J97"/>
    <mergeCell ref="S91:T91"/>
    <mergeCell ref="S66:T66"/>
    <mergeCell ref="S61:T61"/>
    <mergeCell ref="S62:T62"/>
    <mergeCell ref="S63:T63"/>
    <mergeCell ref="S65:T65"/>
    <mergeCell ref="M65:N65"/>
    <mergeCell ref="O65:P65"/>
    <mergeCell ref="Q65:R65"/>
    <mergeCell ref="M66:N66"/>
    <mergeCell ref="O66:P66"/>
    <mergeCell ref="Q66:R66"/>
    <mergeCell ref="K90:V90"/>
    <mergeCell ref="K61:L61"/>
    <mergeCell ref="M61:N61"/>
    <mergeCell ref="O61:P61"/>
    <mergeCell ref="Q61:R61"/>
    <mergeCell ref="U68:W68"/>
    <mergeCell ref="U91:V91"/>
    <mergeCell ref="S75:S77"/>
    <mergeCell ref="T74:T77"/>
    <mergeCell ref="A71:X71"/>
    <mergeCell ref="A72:X72"/>
    <mergeCell ref="I80:J80"/>
    <mergeCell ref="C91:D91"/>
    <mergeCell ref="E91:F91"/>
    <mergeCell ref="G91:H91"/>
    <mergeCell ref="C92:D92"/>
    <mergeCell ref="E92:F92"/>
    <mergeCell ref="G92:H92"/>
    <mergeCell ref="O91:P91"/>
    <mergeCell ref="Q91:R91"/>
    <mergeCell ref="K66:L66"/>
    <mergeCell ref="C66:D66"/>
    <mergeCell ref="E66:F66"/>
    <mergeCell ref="G66:H66"/>
    <mergeCell ref="A68:E68"/>
    <mergeCell ref="A69:E69"/>
    <mergeCell ref="B90:B91"/>
    <mergeCell ref="I91:J91"/>
    <mergeCell ref="I86:K86"/>
    <mergeCell ref="J69:N69"/>
    <mergeCell ref="I84:J84"/>
    <mergeCell ref="P75:P77"/>
    <mergeCell ref="Q75:Q77"/>
    <mergeCell ref="I83:J83"/>
    <mergeCell ref="I78:J78"/>
    <mergeCell ref="I79:J79"/>
    <mergeCell ref="E61:F61"/>
    <mergeCell ref="G61:H61"/>
    <mergeCell ref="C62:D62"/>
    <mergeCell ref="E62:F62"/>
    <mergeCell ref="G62:H62"/>
    <mergeCell ref="K59:L59"/>
    <mergeCell ref="M59:N59"/>
    <mergeCell ref="O59:P59"/>
    <mergeCell ref="K62:L62"/>
    <mergeCell ref="M62:N62"/>
    <mergeCell ref="O62:P62"/>
    <mergeCell ref="C59:D59"/>
    <mergeCell ref="E59:F59"/>
    <mergeCell ref="G59:H59"/>
    <mergeCell ref="C60:D60"/>
    <mergeCell ref="E60:F60"/>
    <mergeCell ref="G60:H60"/>
    <mergeCell ref="I61:J61"/>
    <mergeCell ref="K34:L34"/>
    <mergeCell ref="M34:N34"/>
    <mergeCell ref="I60:J60"/>
    <mergeCell ref="A36:E36"/>
    <mergeCell ref="K58:V58"/>
    <mergeCell ref="S59:T59"/>
    <mergeCell ref="S60:T60"/>
    <mergeCell ref="U60:V60"/>
    <mergeCell ref="A37:E37"/>
    <mergeCell ref="L42:M42"/>
    <mergeCell ref="Q59:R59"/>
    <mergeCell ref="K60:L60"/>
    <mergeCell ref="M60:N60"/>
    <mergeCell ref="O60:P60"/>
    <mergeCell ref="Q60:R60"/>
    <mergeCell ref="M54:O54"/>
    <mergeCell ref="Q33:R33"/>
    <mergeCell ref="S33:T33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G28:H28"/>
    <mergeCell ref="G29:H29"/>
    <mergeCell ref="G30:H30"/>
    <mergeCell ref="G33:H33"/>
    <mergeCell ref="G34:H34"/>
    <mergeCell ref="M26:N26"/>
    <mergeCell ref="O26:P26"/>
    <mergeCell ref="Q26:R26"/>
    <mergeCell ref="S26:T26"/>
    <mergeCell ref="K27:L27"/>
    <mergeCell ref="M27:N27"/>
    <mergeCell ref="O27:P27"/>
    <mergeCell ref="Q27:R27"/>
    <mergeCell ref="S27:T27"/>
    <mergeCell ref="O34:P34"/>
    <mergeCell ref="Q34:R34"/>
    <mergeCell ref="S34:T34"/>
    <mergeCell ref="K30:L30"/>
    <mergeCell ref="M30:N30"/>
    <mergeCell ref="O30:P30"/>
    <mergeCell ref="Q30:R30"/>
    <mergeCell ref="S30:T30"/>
    <mergeCell ref="K33:L33"/>
    <mergeCell ref="M33:N33"/>
    <mergeCell ref="C28:D28"/>
    <mergeCell ref="C29:D29"/>
    <mergeCell ref="C30:D30"/>
    <mergeCell ref="C33:D33"/>
    <mergeCell ref="C34:D34"/>
    <mergeCell ref="E26:F26"/>
    <mergeCell ref="E27:F27"/>
    <mergeCell ref="E28:F28"/>
    <mergeCell ref="E29:F29"/>
    <mergeCell ref="E30:F30"/>
    <mergeCell ref="E33:F33"/>
    <mergeCell ref="E34:F34"/>
    <mergeCell ref="C32:D32"/>
    <mergeCell ref="E32:F32"/>
    <mergeCell ref="U127:V127"/>
    <mergeCell ref="I129:J129"/>
    <mergeCell ref="U129:V129"/>
    <mergeCell ref="I130:J130"/>
    <mergeCell ref="U130:V130"/>
    <mergeCell ref="M127:N127"/>
    <mergeCell ref="O127:P127"/>
    <mergeCell ref="Q127:R127"/>
    <mergeCell ref="M129:N129"/>
    <mergeCell ref="M130:N130"/>
    <mergeCell ref="U124:V124"/>
    <mergeCell ref="I125:J125"/>
    <mergeCell ref="U125:V125"/>
    <mergeCell ref="I126:J126"/>
    <mergeCell ref="U126:V126"/>
    <mergeCell ref="M126:N126"/>
    <mergeCell ref="O126:P126"/>
    <mergeCell ref="Q126:R126"/>
    <mergeCell ref="I101:N101"/>
    <mergeCell ref="L118:N118"/>
    <mergeCell ref="N106:S106"/>
    <mergeCell ref="A102:X102"/>
    <mergeCell ref="A103:X103"/>
    <mergeCell ref="A104:X104"/>
    <mergeCell ref="I116:J116"/>
    <mergeCell ref="O107:O109"/>
    <mergeCell ref="K107:K109"/>
    <mergeCell ref="L107:M107"/>
    <mergeCell ref="N107:N109"/>
    <mergeCell ref="X107:X109"/>
    <mergeCell ref="Q125:R125"/>
    <mergeCell ref="C122:J122"/>
    <mergeCell ref="K122:V122"/>
    <mergeCell ref="S123:T123"/>
    <mergeCell ref="B122:B123"/>
    <mergeCell ref="I123:J123"/>
    <mergeCell ref="U123:V123"/>
    <mergeCell ref="C123:D123"/>
    <mergeCell ref="E123:F123"/>
    <mergeCell ref="G123:H123"/>
    <mergeCell ref="E107:E109"/>
    <mergeCell ref="G107:G109"/>
    <mergeCell ref="R107:R109"/>
    <mergeCell ref="U106:U109"/>
    <mergeCell ref="P107:P109"/>
    <mergeCell ref="Q107:Q109"/>
    <mergeCell ref="S107:S109"/>
    <mergeCell ref="L108:L109"/>
    <mergeCell ref="E106:G106"/>
    <mergeCell ref="H106:K106"/>
    <mergeCell ref="L106:M106"/>
    <mergeCell ref="F107:F109"/>
    <mergeCell ref="H107:H109"/>
    <mergeCell ref="I107:J109"/>
    <mergeCell ref="I110:J110"/>
    <mergeCell ref="I111:J111"/>
    <mergeCell ref="I112:J112"/>
    <mergeCell ref="I113:J113"/>
    <mergeCell ref="Y107:Y109"/>
    <mergeCell ref="Z107:Z109"/>
    <mergeCell ref="T106:T109"/>
    <mergeCell ref="W107:W109"/>
    <mergeCell ref="W106:Z106"/>
    <mergeCell ref="I115:J115"/>
    <mergeCell ref="V106:V109"/>
    <mergeCell ref="A100:E100"/>
    <mergeCell ref="U100:W100"/>
    <mergeCell ref="A101:E101"/>
    <mergeCell ref="B108:B109"/>
    <mergeCell ref="A106:A109"/>
    <mergeCell ref="B106:D106"/>
    <mergeCell ref="B107:C107"/>
    <mergeCell ref="D107:D109"/>
    <mergeCell ref="I98:J98"/>
    <mergeCell ref="U98:V98"/>
    <mergeCell ref="K95:L95"/>
    <mergeCell ref="M95:N95"/>
    <mergeCell ref="O95:P95"/>
    <mergeCell ref="Q95:R95"/>
    <mergeCell ref="I92:J92"/>
    <mergeCell ref="U92:V92"/>
    <mergeCell ref="I93:J93"/>
    <mergeCell ref="U93:V93"/>
    <mergeCell ref="I94:J94"/>
    <mergeCell ref="U94:V94"/>
    <mergeCell ref="O92:P92"/>
    <mergeCell ref="Q92:R92"/>
    <mergeCell ref="S92:T92"/>
    <mergeCell ref="O93:P93"/>
    <mergeCell ref="K98:L98"/>
    <mergeCell ref="M98:N98"/>
    <mergeCell ref="O98:P98"/>
    <mergeCell ref="Q98:R98"/>
    <mergeCell ref="S98:T98"/>
    <mergeCell ref="S95:T95"/>
    <mergeCell ref="K97:L97"/>
    <mergeCell ref="M97:N97"/>
    <mergeCell ref="Z75:Z77"/>
    <mergeCell ref="N75:N77"/>
    <mergeCell ref="E75:E77"/>
    <mergeCell ref="G75:G77"/>
    <mergeCell ref="B76:B77"/>
    <mergeCell ref="N74:S74"/>
    <mergeCell ref="W75:W77"/>
    <mergeCell ref="W74:Z74"/>
    <mergeCell ref="A70:X70"/>
    <mergeCell ref="L76:L77"/>
    <mergeCell ref="R75:R77"/>
    <mergeCell ref="X75:X77"/>
    <mergeCell ref="Y75:Y77"/>
    <mergeCell ref="E74:G74"/>
    <mergeCell ref="H74:K74"/>
    <mergeCell ref="L74:M74"/>
    <mergeCell ref="B75:C75"/>
    <mergeCell ref="D75:D77"/>
    <mergeCell ref="F75:F77"/>
    <mergeCell ref="H75:H77"/>
    <mergeCell ref="I75:J77"/>
    <mergeCell ref="K75:K77"/>
    <mergeCell ref="L75:M75"/>
    <mergeCell ref="O75:O77"/>
    <mergeCell ref="I81:J81"/>
    <mergeCell ref="A74:A77"/>
    <mergeCell ref="B74:D74"/>
    <mergeCell ref="I63:J63"/>
    <mergeCell ref="U63:V63"/>
    <mergeCell ref="I65:J65"/>
    <mergeCell ref="U65:V65"/>
    <mergeCell ref="I66:J66"/>
    <mergeCell ref="U66:V66"/>
    <mergeCell ref="M63:N63"/>
    <mergeCell ref="O63:P63"/>
    <mergeCell ref="Q63:R63"/>
    <mergeCell ref="K65:L65"/>
    <mergeCell ref="C65:D65"/>
    <mergeCell ref="E65:F65"/>
    <mergeCell ref="G65:H65"/>
    <mergeCell ref="K63:L63"/>
    <mergeCell ref="C63:D63"/>
    <mergeCell ref="E63:F63"/>
    <mergeCell ref="G63:H63"/>
    <mergeCell ref="U61:V61"/>
    <mergeCell ref="I62:J62"/>
    <mergeCell ref="U62:V62"/>
    <mergeCell ref="Q62:R62"/>
    <mergeCell ref="B43:C43"/>
    <mergeCell ref="D43:D45"/>
    <mergeCell ref="F43:F45"/>
    <mergeCell ref="H43:H45"/>
    <mergeCell ref="U42:U45"/>
    <mergeCell ref="B58:B59"/>
    <mergeCell ref="I59:J59"/>
    <mergeCell ref="U59:V59"/>
    <mergeCell ref="G43:G45"/>
    <mergeCell ref="T42:T45"/>
    <mergeCell ref="V42:V45"/>
    <mergeCell ref="I46:J46"/>
    <mergeCell ref="I47:J47"/>
    <mergeCell ref="I48:J48"/>
    <mergeCell ref="I49:J49"/>
    <mergeCell ref="I52:J52"/>
    <mergeCell ref="I51:J51"/>
    <mergeCell ref="C58:J58"/>
    <mergeCell ref="H42:K42"/>
    <mergeCell ref="C61:D61"/>
    <mergeCell ref="Z43:Z45"/>
    <mergeCell ref="A38:X38"/>
    <mergeCell ref="I37:O37"/>
    <mergeCell ref="B44:B45"/>
    <mergeCell ref="A42:A45"/>
    <mergeCell ref="B42:D42"/>
    <mergeCell ref="E42:G42"/>
    <mergeCell ref="A39:X39"/>
    <mergeCell ref="A40:X40"/>
    <mergeCell ref="E43:E45"/>
    <mergeCell ref="R43:R45"/>
    <mergeCell ref="L44:L45"/>
    <mergeCell ref="N43:N45"/>
    <mergeCell ref="I43:J45"/>
    <mergeCell ref="K43:K45"/>
    <mergeCell ref="L43:M43"/>
    <mergeCell ref="O43:O45"/>
    <mergeCell ref="U30:V30"/>
    <mergeCell ref="U33:V33"/>
    <mergeCell ref="U34:V34"/>
    <mergeCell ref="J21:L21"/>
    <mergeCell ref="W42:Z42"/>
    <mergeCell ref="W43:W45"/>
    <mergeCell ref="N42:S42"/>
    <mergeCell ref="P43:P45"/>
    <mergeCell ref="Q43:Q45"/>
    <mergeCell ref="S43:S45"/>
    <mergeCell ref="I28:J28"/>
    <mergeCell ref="I29:J29"/>
    <mergeCell ref="I30:J30"/>
    <mergeCell ref="I33:J33"/>
    <mergeCell ref="I34:J34"/>
    <mergeCell ref="U26:V26"/>
    <mergeCell ref="U27:V27"/>
    <mergeCell ref="U28:V28"/>
    <mergeCell ref="U29:V29"/>
    <mergeCell ref="X43:X45"/>
    <mergeCell ref="Y43:Y45"/>
    <mergeCell ref="U36:W36"/>
    <mergeCell ref="K25:V25"/>
    <mergeCell ref="O33:P33"/>
    <mergeCell ref="I3:P3"/>
    <mergeCell ref="X9:X11"/>
    <mergeCell ref="B25:B26"/>
    <mergeCell ref="I26:J26"/>
    <mergeCell ref="I27:J27"/>
    <mergeCell ref="C26:D26"/>
    <mergeCell ref="C27:D27"/>
    <mergeCell ref="C25:J25"/>
    <mergeCell ref="K26:L26"/>
    <mergeCell ref="A5:X5"/>
    <mergeCell ref="B8:D8"/>
    <mergeCell ref="E8:G8"/>
    <mergeCell ref="K8:L8"/>
    <mergeCell ref="B10:B11"/>
    <mergeCell ref="K10:K11"/>
    <mergeCell ref="G9:G11"/>
    <mergeCell ref="S8:S11"/>
    <mergeCell ref="J9:J11"/>
    <mergeCell ref="G26:H26"/>
    <mergeCell ref="G27:H27"/>
    <mergeCell ref="U2:W2"/>
    <mergeCell ref="A2:E2"/>
    <mergeCell ref="A3:E3"/>
    <mergeCell ref="Q9:Q11"/>
    <mergeCell ref="M8:R8"/>
    <mergeCell ref="I9:I11"/>
    <mergeCell ref="H8:J8"/>
    <mergeCell ref="A6:X6"/>
    <mergeCell ref="V9:V11"/>
    <mergeCell ref="V8:Y8"/>
    <mergeCell ref="Y9:Y11"/>
    <mergeCell ref="B9:C9"/>
    <mergeCell ref="D9:D11"/>
    <mergeCell ref="F9:F11"/>
    <mergeCell ref="H9:H11"/>
    <mergeCell ref="E9:E11"/>
    <mergeCell ref="K9:L9"/>
    <mergeCell ref="M9:M11"/>
    <mergeCell ref="N9:N11"/>
    <mergeCell ref="O9:O11"/>
    <mergeCell ref="P9:P11"/>
    <mergeCell ref="R9:R11"/>
    <mergeCell ref="W9:W11"/>
    <mergeCell ref="A8:A11"/>
    <mergeCell ref="U31:V31"/>
    <mergeCell ref="I31:J31"/>
    <mergeCell ref="C31:D31"/>
    <mergeCell ref="E31:F31"/>
    <mergeCell ref="G31:H31"/>
    <mergeCell ref="K31:L31"/>
    <mergeCell ref="M31:N31"/>
    <mergeCell ref="O31:P31"/>
    <mergeCell ref="Q31:R31"/>
    <mergeCell ref="S31:T31"/>
  </mergeCells>
  <printOptions horizontalCentered="1" verticalCentered="1"/>
  <pageMargins left="0.19685039370078741" right="0.19685039370078741" top="0.23622047244094491" bottom="0.19685039370078741" header="0.19685039370078741" footer="0.19685039370078741"/>
  <pageSetup paperSize="9" scale="47" orientation="landscape" horizontalDpi="300" verticalDpi="300" r:id="rId1"/>
  <rowBreaks count="3" manualBreakCount="3">
    <brk id="34" max="25" man="1"/>
    <brk id="67" max="16383" man="1"/>
    <brk id="99" max="16383" man="1"/>
  </rowBreaks>
  <ignoredErrors>
    <ignoredError sqref="W1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I94"/>
  <sheetViews>
    <sheetView rightToLeft="1" view="pageBreakPreview" topLeftCell="A7" zoomScale="50" zoomScaleNormal="100" zoomScaleSheetLayoutView="50" workbookViewId="0">
      <pane xSplit="1" ySplit="1" topLeftCell="E8" activePane="bottomRight" state="frozen"/>
      <selection activeCell="A7" sqref="A7"/>
      <selection pane="topRight" activeCell="B7" sqref="B7"/>
      <selection pane="bottomLeft" activeCell="A8" sqref="A8"/>
      <selection pane="bottomRight" activeCell="A7" sqref="A7"/>
    </sheetView>
  </sheetViews>
  <sheetFormatPr defaultColWidth="6.375" defaultRowHeight="20.25" customHeight="1"/>
  <cols>
    <col min="1" max="1" width="12.125" style="38" customWidth="1"/>
    <col min="2" max="2" width="7" style="46" customWidth="1"/>
    <col min="3" max="26" width="6" style="38" customWidth="1"/>
    <col min="27" max="28" width="6.75" style="38" customWidth="1"/>
    <col min="29" max="29" width="5.375" style="38" bestFit="1" customWidth="1"/>
    <col min="30" max="30" width="4" style="38" bestFit="1" customWidth="1"/>
    <col min="31" max="31" width="5.375" style="38" bestFit="1" customWidth="1"/>
    <col min="32" max="37" width="4" style="38" bestFit="1" customWidth="1"/>
    <col min="38" max="38" width="5.375" style="38" bestFit="1" customWidth="1"/>
    <col min="39" max="42" width="4" style="38" bestFit="1" customWidth="1"/>
    <col min="43" max="43" width="5.375" style="38" bestFit="1" customWidth="1"/>
    <col min="44" max="44" width="5.25" style="38" customWidth="1"/>
    <col min="45" max="45" width="6" style="38" customWidth="1"/>
    <col min="46" max="46" width="4" style="38" bestFit="1" customWidth="1"/>
    <col min="47" max="47" width="5.25" style="38" customWidth="1"/>
    <col min="48" max="49" width="6" style="38" customWidth="1"/>
    <col min="50" max="50" width="5.875" style="38" customWidth="1"/>
    <col min="51" max="51" width="6.125" style="38" customWidth="1"/>
    <col min="52" max="52" width="5.125" style="38" bestFit="1" customWidth="1"/>
    <col min="53" max="55" width="4" style="38" bestFit="1" customWidth="1"/>
    <col min="56" max="56" width="5.375" style="38" bestFit="1" customWidth="1"/>
    <col min="57" max="59" width="4" style="38" bestFit="1" customWidth="1"/>
    <col min="60" max="60" width="5.375" style="38" bestFit="1" customWidth="1"/>
    <col min="61" max="61" width="10.125" style="38" customWidth="1"/>
    <col min="62" max="16384" width="6.375" style="38"/>
  </cols>
  <sheetData>
    <row r="1" spans="1:61" s="28" customFormat="1" ht="26.25" customHeight="1">
      <c r="A1" s="460" t="s">
        <v>148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BB1" s="460" t="s">
        <v>112</v>
      </c>
      <c r="BC1" s="460"/>
      <c r="BD1" s="460"/>
      <c r="BE1" s="460"/>
      <c r="BF1" s="460"/>
      <c r="BG1" s="460"/>
      <c r="BH1" s="460"/>
      <c r="BI1" s="460"/>
    </row>
    <row r="2" spans="1:61" s="28" customFormat="1" ht="20.25" customHeight="1">
      <c r="A2" s="334" t="s">
        <v>188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Q2" s="31"/>
      <c r="R2" s="31"/>
      <c r="V2" s="334" t="s">
        <v>191</v>
      </c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</row>
    <row r="3" spans="1:61" s="28" customFormat="1" ht="20.25" customHeight="1">
      <c r="A3" s="460" t="s">
        <v>223</v>
      </c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60"/>
      <c r="AD3" s="460"/>
      <c r="AE3" s="460"/>
      <c r="AF3" s="460"/>
      <c r="AG3" s="460"/>
      <c r="AH3" s="460"/>
      <c r="AI3" s="460"/>
      <c r="AJ3" s="460"/>
      <c r="AK3" s="460"/>
      <c r="AL3" s="460"/>
      <c r="AM3" s="460"/>
      <c r="AN3" s="460"/>
      <c r="AO3" s="460"/>
      <c r="AP3" s="460"/>
      <c r="AQ3" s="460"/>
      <c r="AR3" s="460"/>
      <c r="AS3" s="460"/>
      <c r="AT3" s="460"/>
      <c r="AU3" s="460"/>
      <c r="AV3" s="460"/>
      <c r="AW3" s="460"/>
      <c r="AX3" s="460"/>
      <c r="AY3" s="460"/>
      <c r="AZ3" s="460"/>
      <c r="BA3" s="460"/>
      <c r="BB3" s="460"/>
      <c r="BC3" s="460"/>
      <c r="BD3" s="460"/>
      <c r="BE3" s="460"/>
      <c r="BF3" s="460"/>
      <c r="BG3" s="460"/>
      <c r="BH3" s="460"/>
      <c r="BI3" s="460"/>
    </row>
    <row r="4" spans="1:61" s="28" customFormat="1" ht="20.25" customHeight="1">
      <c r="A4" s="460" t="s">
        <v>543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  <c r="Y4" s="460"/>
      <c r="Z4" s="460"/>
      <c r="AA4" s="460"/>
      <c r="AB4" s="460"/>
      <c r="AC4" s="460"/>
      <c r="AD4" s="460"/>
      <c r="AE4" s="460"/>
      <c r="AF4" s="460"/>
      <c r="AG4" s="460"/>
      <c r="AH4" s="460"/>
      <c r="AI4" s="460"/>
      <c r="AJ4" s="460"/>
      <c r="AK4" s="460"/>
      <c r="AL4" s="460"/>
      <c r="AM4" s="460"/>
      <c r="AN4" s="460"/>
      <c r="AO4" s="460"/>
      <c r="AP4" s="460"/>
      <c r="AQ4" s="460"/>
      <c r="AR4" s="460"/>
      <c r="AS4" s="460"/>
      <c r="AT4" s="460"/>
      <c r="AU4" s="460"/>
      <c r="AV4" s="460"/>
      <c r="AW4" s="460"/>
      <c r="AX4" s="460"/>
      <c r="AY4" s="460"/>
      <c r="AZ4" s="460"/>
      <c r="BA4" s="460"/>
      <c r="BB4" s="460"/>
      <c r="BC4" s="460"/>
      <c r="BD4" s="460"/>
      <c r="BE4" s="460"/>
      <c r="BF4" s="460"/>
      <c r="BG4" s="460"/>
      <c r="BH4" s="460"/>
      <c r="BI4" s="460"/>
    </row>
    <row r="5" spans="1:61" s="28" customFormat="1" ht="20.25" customHeight="1">
      <c r="A5" s="460" t="s">
        <v>224</v>
      </c>
      <c r="B5" s="460"/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  <c r="AB5" s="460"/>
      <c r="AC5" s="460"/>
      <c r="AD5" s="460"/>
      <c r="AE5" s="460"/>
      <c r="AF5" s="460"/>
      <c r="AG5" s="460"/>
      <c r="AH5" s="460"/>
      <c r="AI5" s="460"/>
      <c r="AJ5" s="460"/>
      <c r="AK5" s="460"/>
      <c r="AL5" s="460"/>
      <c r="AM5" s="460"/>
      <c r="AN5" s="460"/>
      <c r="AO5" s="460"/>
      <c r="AP5" s="460"/>
      <c r="AQ5" s="460"/>
      <c r="AR5" s="460"/>
      <c r="AS5" s="460"/>
      <c r="AT5" s="460"/>
      <c r="AU5" s="460"/>
      <c r="AV5" s="460"/>
      <c r="AW5" s="460"/>
      <c r="AX5" s="460"/>
      <c r="AY5" s="460"/>
      <c r="AZ5" s="460"/>
      <c r="BA5" s="460"/>
      <c r="BB5" s="460"/>
      <c r="BC5" s="460"/>
      <c r="BD5" s="460"/>
      <c r="BE5" s="460"/>
      <c r="BF5" s="460"/>
      <c r="BG5" s="460"/>
      <c r="BH5" s="460"/>
      <c r="BI5" s="460"/>
    </row>
    <row r="6" spans="1:61" s="10" customFormat="1" ht="20.25" customHeight="1" thickBot="1">
      <c r="B6" s="40"/>
    </row>
    <row r="7" spans="1:61" s="10" customFormat="1" ht="125.25" thickTop="1" thickBot="1">
      <c r="A7" s="51" t="s">
        <v>115</v>
      </c>
      <c r="B7" s="51" t="s">
        <v>225</v>
      </c>
      <c r="C7" s="51" t="s">
        <v>229</v>
      </c>
      <c r="D7" s="51" t="s">
        <v>226</v>
      </c>
      <c r="E7" s="51" t="s">
        <v>227</v>
      </c>
      <c r="F7" s="51" t="s">
        <v>228</v>
      </c>
      <c r="G7" s="51" t="s">
        <v>230</v>
      </c>
      <c r="H7" s="51" t="s">
        <v>231</v>
      </c>
      <c r="I7" s="51" t="s">
        <v>232</v>
      </c>
      <c r="J7" s="51" t="s">
        <v>233</v>
      </c>
      <c r="K7" s="51" t="s">
        <v>234</v>
      </c>
      <c r="L7" s="51" t="s">
        <v>235</v>
      </c>
      <c r="M7" s="51" t="s">
        <v>236</v>
      </c>
      <c r="N7" s="51" t="s">
        <v>237</v>
      </c>
      <c r="O7" s="51" t="s">
        <v>238</v>
      </c>
      <c r="P7" s="51" t="s">
        <v>239</v>
      </c>
      <c r="Q7" s="51" t="s">
        <v>240</v>
      </c>
      <c r="R7" s="51" t="s">
        <v>241</v>
      </c>
      <c r="S7" s="51" t="s">
        <v>242</v>
      </c>
      <c r="T7" s="51" t="s">
        <v>243</v>
      </c>
      <c r="U7" s="51" t="s">
        <v>244</v>
      </c>
      <c r="V7" s="51" t="s">
        <v>245</v>
      </c>
      <c r="W7" s="51" t="s">
        <v>246</v>
      </c>
      <c r="X7" s="51" t="s">
        <v>247</v>
      </c>
      <c r="Y7" s="51" t="s">
        <v>248</v>
      </c>
      <c r="Z7" s="51" t="s">
        <v>249</v>
      </c>
      <c r="AA7" s="51" t="s">
        <v>250</v>
      </c>
      <c r="AB7" s="51" t="s">
        <v>251</v>
      </c>
      <c r="AC7" s="51" t="s">
        <v>252</v>
      </c>
      <c r="AD7" s="51" t="s">
        <v>253</v>
      </c>
      <c r="AE7" s="51" t="s">
        <v>254</v>
      </c>
      <c r="AF7" s="51" t="s">
        <v>255</v>
      </c>
      <c r="AG7" s="51" t="s">
        <v>256</v>
      </c>
      <c r="AH7" s="51" t="s">
        <v>257</v>
      </c>
      <c r="AI7" s="51" t="s">
        <v>258</v>
      </c>
      <c r="AJ7" s="51" t="s">
        <v>259</v>
      </c>
      <c r="AK7" s="51" t="s">
        <v>260</v>
      </c>
      <c r="AL7" s="51" t="s">
        <v>261</v>
      </c>
      <c r="AM7" s="51" t="s">
        <v>262</v>
      </c>
      <c r="AN7" s="51" t="s">
        <v>263</v>
      </c>
      <c r="AO7" s="51" t="s">
        <v>264</v>
      </c>
      <c r="AP7" s="51" t="s">
        <v>265</v>
      </c>
      <c r="AQ7" s="51" t="s">
        <v>266</v>
      </c>
      <c r="AR7" s="51" t="s">
        <v>267</v>
      </c>
      <c r="AS7" s="51" t="s">
        <v>268</v>
      </c>
      <c r="AT7" s="51" t="s">
        <v>269</v>
      </c>
      <c r="AU7" s="51" t="s">
        <v>270</v>
      </c>
      <c r="AV7" s="51" t="s">
        <v>271</v>
      </c>
      <c r="AW7" s="51" t="s">
        <v>272</v>
      </c>
      <c r="AX7" s="51" t="s">
        <v>273</v>
      </c>
      <c r="AY7" s="51" t="s">
        <v>274</v>
      </c>
      <c r="AZ7" s="51" t="s">
        <v>275</v>
      </c>
      <c r="BA7" s="51" t="s">
        <v>276</v>
      </c>
      <c r="BB7" s="51" t="s">
        <v>277</v>
      </c>
      <c r="BC7" s="51" t="s">
        <v>278</v>
      </c>
      <c r="BD7" s="51" t="s">
        <v>279</v>
      </c>
      <c r="BE7" s="51" t="s">
        <v>365</v>
      </c>
      <c r="BF7" s="51" t="s">
        <v>338</v>
      </c>
      <c r="BG7" s="51" t="s">
        <v>337</v>
      </c>
      <c r="BH7" s="51" t="s">
        <v>36</v>
      </c>
      <c r="BI7" s="51" t="s">
        <v>25</v>
      </c>
    </row>
    <row r="8" spans="1:61" s="36" customFormat="1" ht="71.25" customHeight="1" thickTop="1" thickBot="1">
      <c r="A8" s="461" t="s">
        <v>280</v>
      </c>
      <c r="B8" s="43" t="s">
        <v>73</v>
      </c>
      <c r="C8" s="30">
        <f>المهني!GJ20</f>
        <v>6</v>
      </c>
      <c r="D8" s="30">
        <f>المهني!GL20</f>
        <v>6</v>
      </c>
      <c r="E8" s="30">
        <f>المهني!GN20</f>
        <v>7</v>
      </c>
      <c r="F8" s="30">
        <f>المهني!GP20</f>
        <v>1</v>
      </c>
      <c r="G8" s="30">
        <f>المهني!GR20</f>
        <v>4</v>
      </c>
      <c r="H8" s="30">
        <f>المهني!GT20</f>
        <v>5</v>
      </c>
      <c r="I8" s="30">
        <f>المهني!GV20</f>
        <v>2</v>
      </c>
      <c r="J8" s="30">
        <f>المهني!GX20</f>
        <v>0</v>
      </c>
      <c r="K8" s="30">
        <f>المهني!GZ20</f>
        <v>0</v>
      </c>
      <c r="L8" s="30">
        <f>المهني!HB20</f>
        <v>0</v>
      </c>
      <c r="M8" s="30">
        <f>المهني!HD20</f>
        <v>0</v>
      </c>
      <c r="N8" s="30">
        <f>المهني!HF20</f>
        <v>6</v>
      </c>
      <c r="O8" s="30">
        <f>المهني!HH20</f>
        <v>1</v>
      </c>
      <c r="P8" s="30">
        <f>المهني!HJ20</f>
        <v>1</v>
      </c>
      <c r="Q8" s="30">
        <f>المهني!HL20</f>
        <v>0</v>
      </c>
      <c r="R8" s="30">
        <f>المهني!HN20</f>
        <v>0</v>
      </c>
      <c r="S8" s="30">
        <f>المهني!HP20</f>
        <v>2</v>
      </c>
      <c r="T8" s="30">
        <f>المهني!HR20</f>
        <v>1</v>
      </c>
      <c r="U8" s="30">
        <f>المهني!HT20</f>
        <v>0</v>
      </c>
      <c r="V8" s="30">
        <f>المهني!HV20</f>
        <v>3</v>
      </c>
      <c r="W8" s="30">
        <f>المهني!HX20</f>
        <v>2</v>
      </c>
      <c r="X8" s="30">
        <f>المهني!HZ20</f>
        <v>0</v>
      </c>
      <c r="Y8" s="30">
        <f>المهني!IB20</f>
        <v>1</v>
      </c>
      <c r="Z8" s="30">
        <f>المهني!ID20</f>
        <v>1</v>
      </c>
      <c r="AA8" s="30">
        <f>المهني!IF20</f>
        <v>13</v>
      </c>
      <c r="AB8" s="30">
        <f>المهني!IH20</f>
        <v>12</v>
      </c>
      <c r="AC8" s="30">
        <f>المهني!IJ20</f>
        <v>11</v>
      </c>
      <c r="AD8" s="30">
        <f>المهني!IL20</f>
        <v>0</v>
      </c>
      <c r="AE8" s="30">
        <f>المهني!IN20</f>
        <v>2</v>
      </c>
      <c r="AF8" s="30">
        <f>المهني!IP20</f>
        <v>0</v>
      </c>
      <c r="AG8" s="30">
        <f>المهني!IR20</f>
        <v>0</v>
      </c>
      <c r="AH8" s="30">
        <f>المهني!IT20</f>
        <v>0</v>
      </c>
      <c r="AI8" s="30">
        <f>المهني!IV20</f>
        <v>0</v>
      </c>
      <c r="AJ8" s="30">
        <f>المهني!IX20</f>
        <v>0</v>
      </c>
      <c r="AK8" s="30">
        <f>المهني!IZ20</f>
        <v>0</v>
      </c>
      <c r="AL8" s="30">
        <f>المهني!JB20</f>
        <v>11</v>
      </c>
      <c r="AM8" s="30">
        <f>المهني!JD20</f>
        <v>0</v>
      </c>
      <c r="AN8" s="30">
        <f>المهني!JF20</f>
        <v>0</v>
      </c>
      <c r="AO8" s="30">
        <f>المهني!JH20</f>
        <v>1</v>
      </c>
      <c r="AP8" s="30">
        <f>المهني!JJ20</f>
        <v>3</v>
      </c>
      <c r="AQ8" s="30">
        <f>المهني!JL20</f>
        <v>0</v>
      </c>
      <c r="AR8" s="30">
        <f>المهني!JN20</f>
        <v>3</v>
      </c>
      <c r="AS8" s="30">
        <f>المهني!JP20</f>
        <v>2</v>
      </c>
      <c r="AT8" s="30">
        <f>المهني!JR20</f>
        <v>2</v>
      </c>
      <c r="AU8" s="30">
        <f>المهني!JT20</f>
        <v>0</v>
      </c>
      <c r="AV8" s="30">
        <f>المهني!JV20</f>
        <v>0</v>
      </c>
      <c r="AW8" s="30">
        <f>المهني!JX20</f>
        <v>0</v>
      </c>
      <c r="AX8" s="30">
        <f>المهني!JZ20</f>
        <v>0</v>
      </c>
      <c r="AY8" s="30">
        <f>المهني!KB20</f>
        <v>0</v>
      </c>
      <c r="AZ8" s="30">
        <f>المهني!KD20</f>
        <v>0</v>
      </c>
      <c r="BA8" s="30">
        <f>المهني!KF20</f>
        <v>0</v>
      </c>
      <c r="BB8" s="30">
        <f>المهني!KH20</f>
        <v>1</v>
      </c>
      <c r="BC8" s="30">
        <f>المهني!KJ20</f>
        <v>0</v>
      </c>
      <c r="BD8" s="30">
        <f>المهني!KN20</f>
        <v>44</v>
      </c>
      <c r="BE8" s="30">
        <f>المهني!KL52</f>
        <v>0</v>
      </c>
      <c r="BF8" s="30"/>
      <c r="BG8" s="30"/>
      <c r="BH8" s="30">
        <f>المهني!KT20</f>
        <v>43</v>
      </c>
      <c r="BI8" s="30">
        <f>SUM(C8:BH8)</f>
        <v>197</v>
      </c>
    </row>
    <row r="9" spans="1:61" s="36" customFormat="1" ht="71.25" customHeight="1" thickTop="1" thickBot="1">
      <c r="A9" s="462"/>
      <c r="B9" s="43" t="s">
        <v>29</v>
      </c>
      <c r="C9" s="30">
        <f>المهني!GK20</f>
        <v>16</v>
      </c>
      <c r="D9" s="30">
        <f>المهني!GM20</f>
        <v>7</v>
      </c>
      <c r="E9" s="30">
        <f>المهني!GO20</f>
        <v>8</v>
      </c>
      <c r="F9" s="30">
        <f>المهني!GQ20</f>
        <v>0</v>
      </c>
      <c r="G9" s="30">
        <f>المهني!GS20</f>
        <v>12</v>
      </c>
      <c r="H9" s="30">
        <f>المهني!GU20</f>
        <v>8</v>
      </c>
      <c r="I9" s="30">
        <f>المهني!GW20</f>
        <v>2</v>
      </c>
      <c r="J9" s="30">
        <f>المهني!GY20</f>
        <v>0</v>
      </c>
      <c r="K9" s="30">
        <f>المهني!HA20</f>
        <v>0</v>
      </c>
      <c r="L9" s="30">
        <f>المهني!HC20</f>
        <v>0</v>
      </c>
      <c r="M9" s="30">
        <f>المهني!HE20</f>
        <v>0</v>
      </c>
      <c r="N9" s="30">
        <f>المهني!HG20</f>
        <v>2</v>
      </c>
      <c r="O9" s="30">
        <f>المهني!HI20</f>
        <v>2</v>
      </c>
      <c r="P9" s="30">
        <f>المهني!HK20</f>
        <v>1</v>
      </c>
      <c r="Q9" s="30">
        <f>المهني!HM20</f>
        <v>0</v>
      </c>
      <c r="R9" s="30">
        <f>المهني!HO20</f>
        <v>0</v>
      </c>
      <c r="S9" s="30">
        <f>المهني!HQ20</f>
        <v>0</v>
      </c>
      <c r="T9" s="30">
        <f>المهني!HS20</f>
        <v>1</v>
      </c>
      <c r="U9" s="30">
        <f>المهني!HU20</f>
        <v>0</v>
      </c>
      <c r="V9" s="30">
        <f>المهني!HW20</f>
        <v>0</v>
      </c>
      <c r="W9" s="30">
        <f>المهني!HY20</f>
        <v>2</v>
      </c>
      <c r="X9" s="30">
        <f>المهني!IA20</f>
        <v>0</v>
      </c>
      <c r="Y9" s="30">
        <f>المهني!IC20</f>
        <v>1</v>
      </c>
      <c r="Z9" s="30">
        <f>المهني!IE20</f>
        <v>0</v>
      </c>
      <c r="AA9" s="30">
        <f>المهني!IG20</f>
        <v>33</v>
      </c>
      <c r="AB9" s="30">
        <f>المهني!II20</f>
        <v>7</v>
      </c>
      <c r="AC9" s="30">
        <f>المهني!IK20</f>
        <v>1</v>
      </c>
      <c r="AD9" s="30">
        <f>المهني!IM20</f>
        <v>0</v>
      </c>
      <c r="AE9" s="30">
        <f>المهني!IO20</f>
        <v>2</v>
      </c>
      <c r="AF9" s="30">
        <f>المهني!IQ20</f>
        <v>0</v>
      </c>
      <c r="AG9" s="30">
        <f>المهني!IS20</f>
        <v>0</v>
      </c>
      <c r="AH9" s="30">
        <f>المهني!IU20</f>
        <v>0</v>
      </c>
      <c r="AI9" s="30">
        <f>المهني!IW20</f>
        <v>0</v>
      </c>
      <c r="AJ9" s="30">
        <f>المهني!IY20</f>
        <v>0</v>
      </c>
      <c r="AK9" s="30">
        <f>المهني!JA20</f>
        <v>0</v>
      </c>
      <c r="AL9" s="30">
        <f>المهني!JC20</f>
        <v>6</v>
      </c>
      <c r="AM9" s="30">
        <f>المهني!JE20</f>
        <v>0</v>
      </c>
      <c r="AN9" s="30">
        <f>المهني!JG20</f>
        <v>0</v>
      </c>
      <c r="AO9" s="30">
        <f>المهني!JI20</f>
        <v>0</v>
      </c>
      <c r="AP9" s="30">
        <f>المهني!JK20</f>
        <v>0</v>
      </c>
      <c r="AQ9" s="30">
        <f>المهني!JM20</f>
        <v>0</v>
      </c>
      <c r="AR9" s="30">
        <f>المهني!JO20</f>
        <v>1</v>
      </c>
      <c r="AS9" s="30">
        <f>المهني!JQ20</f>
        <v>1</v>
      </c>
      <c r="AT9" s="30">
        <f>المهني!JS20</f>
        <v>1</v>
      </c>
      <c r="AU9" s="30">
        <f>المهني!JU20</f>
        <v>4</v>
      </c>
      <c r="AV9" s="30">
        <f>المهني!JW20</f>
        <v>0</v>
      </c>
      <c r="AW9" s="30">
        <f>المهني!JY20</f>
        <v>0</v>
      </c>
      <c r="AX9" s="30">
        <f>المهني!KA20</f>
        <v>0</v>
      </c>
      <c r="AY9" s="30">
        <f>المهني!KC20</f>
        <v>0</v>
      </c>
      <c r="AZ9" s="30">
        <f>المهني!KE20</f>
        <v>2</v>
      </c>
      <c r="BA9" s="30">
        <f>المهني!KG20</f>
        <v>0</v>
      </c>
      <c r="BB9" s="30">
        <f>المهني!KI20</f>
        <v>0</v>
      </c>
      <c r="BC9" s="30">
        <f>المهني!KK20</f>
        <v>0</v>
      </c>
      <c r="BD9" s="30">
        <f>المهني!KO20</f>
        <v>41</v>
      </c>
      <c r="BE9" s="30"/>
      <c r="BF9" s="30"/>
      <c r="BG9" s="30"/>
      <c r="BH9" s="30">
        <f>المهني!KU20</f>
        <v>42</v>
      </c>
      <c r="BI9" s="30">
        <f>SUM(C9:BH9)</f>
        <v>203</v>
      </c>
    </row>
    <row r="10" spans="1:61" s="36" customFormat="1" ht="71.25" customHeight="1" thickTop="1" thickBot="1">
      <c r="A10" s="461" t="s">
        <v>281</v>
      </c>
      <c r="B10" s="43" t="s">
        <v>73</v>
      </c>
      <c r="C10" s="37">
        <f>المهني!GJ31</f>
        <v>0</v>
      </c>
      <c r="D10" s="37">
        <f>المهني!GL31</f>
        <v>0</v>
      </c>
      <c r="E10" s="37">
        <f>المهني!GN31</f>
        <v>0</v>
      </c>
      <c r="F10" s="37">
        <f>المهني!GP31</f>
        <v>0</v>
      </c>
      <c r="G10" s="37">
        <f>المهني!GR31</f>
        <v>0</v>
      </c>
      <c r="H10" s="37">
        <f>المهني!GT31</f>
        <v>0</v>
      </c>
      <c r="I10" s="37">
        <f>المهني!GV31</f>
        <v>0</v>
      </c>
      <c r="J10" s="37">
        <f>المهني!GX31</f>
        <v>0</v>
      </c>
      <c r="K10" s="37">
        <f>المهني!GZ31</f>
        <v>0</v>
      </c>
      <c r="L10" s="37">
        <f>المهني!HB31</f>
        <v>0</v>
      </c>
      <c r="M10" s="37">
        <f>المهني!HD31</f>
        <v>0</v>
      </c>
      <c r="N10" s="37">
        <f>المهني!HF31</f>
        <v>0</v>
      </c>
      <c r="O10" s="37">
        <f>المهني!HH31</f>
        <v>0</v>
      </c>
      <c r="P10" s="37">
        <f>المهني!HJ31</f>
        <v>0</v>
      </c>
      <c r="Q10" s="37">
        <f>المهني!HL31</f>
        <v>0</v>
      </c>
      <c r="R10" s="37">
        <f>المهني!HN31</f>
        <v>0</v>
      </c>
      <c r="S10" s="37">
        <f>المهني!HP31</f>
        <v>0</v>
      </c>
      <c r="T10" s="37">
        <f>المهني!HR31</f>
        <v>0</v>
      </c>
      <c r="U10" s="37">
        <f>المهني!HT31</f>
        <v>0</v>
      </c>
      <c r="V10" s="37">
        <f>المهني!HV31</f>
        <v>0</v>
      </c>
      <c r="W10" s="37">
        <f>المهني!HX31</f>
        <v>0</v>
      </c>
      <c r="X10" s="37">
        <f>المهني!HZ31</f>
        <v>0</v>
      </c>
      <c r="Y10" s="37">
        <f>المهني!IB31</f>
        <v>0</v>
      </c>
      <c r="Z10" s="37">
        <f>المهني!ID31</f>
        <v>0</v>
      </c>
      <c r="AA10" s="37">
        <f>المهني!IF31</f>
        <v>0</v>
      </c>
      <c r="AB10" s="37">
        <f>المهني!IH31</f>
        <v>0</v>
      </c>
      <c r="AC10" s="37">
        <f>المهني!IJ31</f>
        <v>0</v>
      </c>
      <c r="AD10" s="37">
        <f>المهني!IL31</f>
        <v>0</v>
      </c>
      <c r="AE10" s="37">
        <f>المهني!IN31</f>
        <v>0</v>
      </c>
      <c r="AF10" s="37">
        <f>المهني!IP31</f>
        <v>0</v>
      </c>
      <c r="AG10" s="37">
        <f>المهني!IR31</f>
        <v>0</v>
      </c>
      <c r="AH10" s="37">
        <f>المهني!IT31</f>
        <v>0</v>
      </c>
      <c r="AI10" s="37">
        <f>المهني!IV31</f>
        <v>0</v>
      </c>
      <c r="AJ10" s="37">
        <f>المهني!IX31</f>
        <v>0</v>
      </c>
      <c r="AK10" s="37">
        <f>المهني!IZ31</f>
        <v>0</v>
      </c>
      <c r="AL10" s="37">
        <f>المهني!JB31</f>
        <v>0</v>
      </c>
      <c r="AM10" s="37">
        <f>المهني!JD31</f>
        <v>0</v>
      </c>
      <c r="AN10" s="37">
        <f>المهني!JF31</f>
        <v>0</v>
      </c>
      <c r="AO10" s="37">
        <f>المهني!JH31</f>
        <v>0</v>
      </c>
      <c r="AP10" s="37">
        <f>المهني!JJ31</f>
        <v>0</v>
      </c>
      <c r="AQ10" s="37">
        <f>المهني!JL31</f>
        <v>0</v>
      </c>
      <c r="AR10" s="37">
        <f>المهني!JN31</f>
        <v>0</v>
      </c>
      <c r="AS10" s="37">
        <f>المهني!JP31</f>
        <v>0</v>
      </c>
      <c r="AT10" s="37">
        <f>المهني!JR31</f>
        <v>0</v>
      </c>
      <c r="AU10" s="37">
        <f>المهني!JT31</f>
        <v>0</v>
      </c>
      <c r="AV10" s="37">
        <f>المهني!JV31</f>
        <v>0</v>
      </c>
      <c r="AW10" s="37">
        <f>المهني!JX31</f>
        <v>0</v>
      </c>
      <c r="AX10" s="37">
        <f>المهني!JZ31</f>
        <v>0</v>
      </c>
      <c r="AY10" s="37">
        <f>المهني!KB31</f>
        <v>0</v>
      </c>
      <c r="AZ10" s="37">
        <f>المهني!KD31</f>
        <v>0</v>
      </c>
      <c r="BA10" s="37">
        <f>المهني!KF31</f>
        <v>0</v>
      </c>
      <c r="BB10" s="37">
        <f>المهني!KH31</f>
        <v>0</v>
      </c>
      <c r="BC10" s="37">
        <f>المهني!KJ31</f>
        <v>0</v>
      </c>
      <c r="BD10" s="37">
        <f>المهني!KN31</f>
        <v>0</v>
      </c>
      <c r="BE10" s="37"/>
      <c r="BF10" s="37"/>
      <c r="BG10" s="37"/>
      <c r="BH10" s="35">
        <f>المهني!KT31</f>
        <v>0</v>
      </c>
      <c r="BI10" s="35">
        <f t="shared" ref="BI10:BI13" si="0">SUM(C10:BH10)</f>
        <v>0</v>
      </c>
    </row>
    <row r="11" spans="1:61" s="36" customFormat="1" ht="71.25" customHeight="1" thickTop="1" thickBot="1">
      <c r="A11" s="462"/>
      <c r="B11" s="43" t="s">
        <v>29</v>
      </c>
      <c r="C11" s="37">
        <f>المهني!GK31</f>
        <v>0</v>
      </c>
      <c r="D11" s="37">
        <f>المهني!GM31</f>
        <v>0</v>
      </c>
      <c r="E11" s="37">
        <f>المهني!GO31</f>
        <v>0</v>
      </c>
      <c r="F11" s="37">
        <f>المهني!GQ31</f>
        <v>0</v>
      </c>
      <c r="G11" s="37">
        <f>المهني!GS31</f>
        <v>0</v>
      </c>
      <c r="H11" s="37">
        <f>المهني!GU31</f>
        <v>0</v>
      </c>
      <c r="I11" s="37">
        <f>المهني!GW31</f>
        <v>0</v>
      </c>
      <c r="J11" s="37">
        <f>المهني!GY31</f>
        <v>0</v>
      </c>
      <c r="K11" s="37">
        <f>المهني!HA31</f>
        <v>0</v>
      </c>
      <c r="L11" s="37">
        <f>المهني!HC31</f>
        <v>0</v>
      </c>
      <c r="M11" s="37">
        <f>المهني!HE31</f>
        <v>0</v>
      </c>
      <c r="N11" s="37">
        <f>المهني!HG31</f>
        <v>0</v>
      </c>
      <c r="O11" s="37">
        <f>المهني!HI31</f>
        <v>0</v>
      </c>
      <c r="P11" s="37">
        <f>المهني!HK31</f>
        <v>0</v>
      </c>
      <c r="Q11" s="37">
        <f>المهني!HM31</f>
        <v>0</v>
      </c>
      <c r="R11" s="37">
        <f>المهني!HO31</f>
        <v>0</v>
      </c>
      <c r="S11" s="37">
        <f>المهني!HQ31</f>
        <v>0</v>
      </c>
      <c r="T11" s="37">
        <f>المهني!HS31</f>
        <v>0</v>
      </c>
      <c r="U11" s="37">
        <f>المهني!HU31</f>
        <v>0</v>
      </c>
      <c r="V11" s="37">
        <f>المهني!HW31</f>
        <v>0</v>
      </c>
      <c r="W11" s="37">
        <f>المهني!HY31</f>
        <v>0</v>
      </c>
      <c r="X11" s="37">
        <f>المهني!IA31</f>
        <v>0</v>
      </c>
      <c r="Y11" s="37">
        <f>المهني!IC31</f>
        <v>0</v>
      </c>
      <c r="Z11" s="37">
        <f>المهني!IE31</f>
        <v>0</v>
      </c>
      <c r="AA11" s="37">
        <f>المهني!IG31</f>
        <v>0</v>
      </c>
      <c r="AB11" s="37">
        <f>المهني!II31</f>
        <v>0</v>
      </c>
      <c r="AC11" s="37">
        <f>المهني!IK31</f>
        <v>0</v>
      </c>
      <c r="AD11" s="37">
        <f>المهني!IM31</f>
        <v>0</v>
      </c>
      <c r="AE11" s="37">
        <f>المهني!IO31</f>
        <v>0</v>
      </c>
      <c r="AF11" s="37">
        <f>المهني!IQ31</f>
        <v>0</v>
      </c>
      <c r="AG11" s="37">
        <f>المهني!IS31</f>
        <v>0</v>
      </c>
      <c r="AH11" s="37">
        <f>المهني!IU31</f>
        <v>0</v>
      </c>
      <c r="AI11" s="37">
        <f>المهني!IW31</f>
        <v>0</v>
      </c>
      <c r="AJ11" s="37">
        <f>المهني!IY31</f>
        <v>0</v>
      </c>
      <c r="AK11" s="37">
        <f>المهني!JA31</f>
        <v>0</v>
      </c>
      <c r="AL11" s="37">
        <f>المهني!JC31</f>
        <v>0</v>
      </c>
      <c r="AM11" s="37">
        <f>المهني!JE31</f>
        <v>0</v>
      </c>
      <c r="AN11" s="37">
        <f>المهني!JG31</f>
        <v>0</v>
      </c>
      <c r="AO11" s="37">
        <f>المهني!JI31</f>
        <v>0</v>
      </c>
      <c r="AP11" s="37">
        <f>المهني!JK31</f>
        <v>0</v>
      </c>
      <c r="AQ11" s="37">
        <f>المهني!JM31</f>
        <v>0</v>
      </c>
      <c r="AR11" s="37">
        <f>المهني!JO31</f>
        <v>0</v>
      </c>
      <c r="AS11" s="37">
        <f>المهني!JQ31</f>
        <v>0</v>
      </c>
      <c r="AT11" s="37">
        <f>المهني!JS31</f>
        <v>0</v>
      </c>
      <c r="AU11" s="37">
        <f>المهني!JU31</f>
        <v>0</v>
      </c>
      <c r="AV11" s="37">
        <f>المهني!JW31</f>
        <v>0</v>
      </c>
      <c r="AW11" s="37">
        <f>المهني!JY31</f>
        <v>0</v>
      </c>
      <c r="AX11" s="37">
        <f>المهني!KA31</f>
        <v>0</v>
      </c>
      <c r="AY11" s="37">
        <f>المهني!KC31</f>
        <v>0</v>
      </c>
      <c r="AZ11" s="37">
        <f>المهني!KE31</f>
        <v>0</v>
      </c>
      <c r="BA11" s="37">
        <f>المهني!KG31</f>
        <v>0</v>
      </c>
      <c r="BB11" s="37">
        <f>المهني!KI31</f>
        <v>0</v>
      </c>
      <c r="BC11" s="37">
        <f>المهني!KK31</f>
        <v>0</v>
      </c>
      <c r="BD11" s="37">
        <f>المهني!KO31</f>
        <v>0</v>
      </c>
      <c r="BE11" s="37"/>
      <c r="BF11" s="37"/>
      <c r="BG11" s="37"/>
      <c r="BH11" s="35">
        <f>المهني!KU31</f>
        <v>0</v>
      </c>
      <c r="BI11" s="35">
        <f t="shared" si="0"/>
        <v>0</v>
      </c>
    </row>
    <row r="12" spans="1:61" s="36" customFormat="1" ht="71.25" customHeight="1" thickTop="1" thickBot="1">
      <c r="A12" s="461" t="s">
        <v>282</v>
      </c>
      <c r="B12" s="43" t="s">
        <v>73</v>
      </c>
      <c r="C12" s="130">
        <f>المهني!GJ26</f>
        <v>1</v>
      </c>
      <c r="D12" s="130">
        <f>المهني!GL26</f>
        <v>0</v>
      </c>
      <c r="E12" s="130">
        <f>المهني!GN26</f>
        <v>2</v>
      </c>
      <c r="F12" s="130">
        <f>المهني!GP26</f>
        <v>0</v>
      </c>
      <c r="G12" s="130">
        <f>المهني!GR26</f>
        <v>1</v>
      </c>
      <c r="H12" s="130">
        <f>المهني!GT26</f>
        <v>0</v>
      </c>
      <c r="I12" s="130">
        <f>المهني!GV26</f>
        <v>0</v>
      </c>
      <c r="J12" s="130">
        <f>المهني!GX26</f>
        <v>0</v>
      </c>
      <c r="K12" s="130">
        <f>المهني!GZ26</f>
        <v>0</v>
      </c>
      <c r="L12" s="130">
        <f>المهني!HB26</f>
        <v>1</v>
      </c>
      <c r="M12" s="130">
        <f>المهني!HD26</f>
        <v>0</v>
      </c>
      <c r="N12" s="130">
        <f>المهني!HF26</f>
        <v>1</v>
      </c>
      <c r="O12" s="130">
        <f>المهني!HH26</f>
        <v>0</v>
      </c>
      <c r="P12" s="130">
        <f>المهني!HJ26</f>
        <v>0</v>
      </c>
      <c r="Q12" s="130">
        <f>المهني!HL26</f>
        <v>0</v>
      </c>
      <c r="R12" s="130">
        <f>المهني!HN26</f>
        <v>0</v>
      </c>
      <c r="S12" s="130">
        <f>المهني!HP26</f>
        <v>0</v>
      </c>
      <c r="T12" s="130">
        <f>المهني!HR26</f>
        <v>0</v>
      </c>
      <c r="U12" s="130">
        <f>المهني!HT26</f>
        <v>0</v>
      </c>
      <c r="V12" s="130">
        <f>المهني!HV26</f>
        <v>0</v>
      </c>
      <c r="W12" s="130">
        <f>المهني!HX26</f>
        <v>0</v>
      </c>
      <c r="X12" s="130">
        <f>المهني!HZ26</f>
        <v>0</v>
      </c>
      <c r="Y12" s="130">
        <f>المهني!IB26</f>
        <v>0</v>
      </c>
      <c r="Z12" s="130">
        <f>المهني!ID26</f>
        <v>0</v>
      </c>
      <c r="AA12" s="130">
        <f>المهني!IF26</f>
        <v>0</v>
      </c>
      <c r="AB12" s="130">
        <f>المهني!IH26</f>
        <v>0</v>
      </c>
      <c r="AC12" s="130">
        <f>المهني!IJ26</f>
        <v>0</v>
      </c>
      <c r="AD12" s="130">
        <f>المهني!IL26</f>
        <v>0</v>
      </c>
      <c r="AE12" s="130">
        <f>المهني!IN26</f>
        <v>0</v>
      </c>
      <c r="AF12" s="130">
        <f>المهني!IP26</f>
        <v>0</v>
      </c>
      <c r="AG12" s="130">
        <f>المهني!IR26</f>
        <v>0</v>
      </c>
      <c r="AH12" s="130">
        <f>المهني!IT26</f>
        <v>0</v>
      </c>
      <c r="AI12" s="130">
        <f>المهني!IV26</f>
        <v>0</v>
      </c>
      <c r="AJ12" s="130">
        <f>المهني!IX26</f>
        <v>0</v>
      </c>
      <c r="AK12" s="130">
        <f>المهني!IZ26</f>
        <v>0</v>
      </c>
      <c r="AL12" s="130">
        <f>المهني!JB26</f>
        <v>0</v>
      </c>
      <c r="AM12" s="130">
        <f>المهني!JD26</f>
        <v>0</v>
      </c>
      <c r="AN12" s="130">
        <f>المهني!JF26</f>
        <v>0</v>
      </c>
      <c r="AO12" s="130">
        <f>المهني!JH26</f>
        <v>0</v>
      </c>
      <c r="AP12" s="130">
        <f>المهني!JJ26</f>
        <v>0</v>
      </c>
      <c r="AQ12" s="130">
        <f>المهني!JL26</f>
        <v>2</v>
      </c>
      <c r="AR12" s="130">
        <f>المهني!JN26</f>
        <v>3</v>
      </c>
      <c r="AS12" s="130">
        <f>المهني!JP26</f>
        <v>3</v>
      </c>
      <c r="AT12" s="130">
        <f>المهني!JR26</f>
        <v>0</v>
      </c>
      <c r="AU12" s="130">
        <f>المهني!JT26</f>
        <v>5</v>
      </c>
      <c r="AV12" s="130">
        <f>المهني!JV26</f>
        <v>0</v>
      </c>
      <c r="AW12" s="130">
        <f>المهني!JX26</f>
        <v>0</v>
      </c>
      <c r="AX12" s="130">
        <v>0</v>
      </c>
      <c r="AY12" s="130">
        <f>المهني!KB26</f>
        <v>0</v>
      </c>
      <c r="AZ12" s="130">
        <f>المهني!KD26</f>
        <v>0</v>
      </c>
      <c r="BA12" s="130">
        <f>المهني!KF26</f>
        <v>0</v>
      </c>
      <c r="BB12" s="130">
        <f>المهني!KH26</f>
        <v>0</v>
      </c>
      <c r="BC12" s="130">
        <f>المهني!KJ26</f>
        <v>0</v>
      </c>
      <c r="BD12" s="130">
        <f>المهني!KN26</f>
        <v>1</v>
      </c>
      <c r="BE12" s="130"/>
      <c r="BF12" s="130"/>
      <c r="BG12" s="130"/>
      <c r="BH12" s="130">
        <f>المهني!KT26</f>
        <v>0</v>
      </c>
      <c r="BI12" s="35">
        <f>SUM(C12:BH12)</f>
        <v>20</v>
      </c>
    </row>
    <row r="13" spans="1:61" s="36" customFormat="1" ht="71.25" customHeight="1" thickTop="1" thickBot="1">
      <c r="A13" s="462"/>
      <c r="B13" s="43" t="s">
        <v>29</v>
      </c>
      <c r="C13" s="130">
        <f>المهني!GK26</f>
        <v>0</v>
      </c>
      <c r="D13" s="130">
        <f>المهني!GM26</f>
        <v>3</v>
      </c>
      <c r="E13" s="130">
        <f>المهني!GO26</f>
        <v>1</v>
      </c>
      <c r="F13" s="130">
        <f>المهني!GQ26</f>
        <v>1</v>
      </c>
      <c r="G13" s="130">
        <f>المهني!GS26</f>
        <v>1</v>
      </c>
      <c r="H13" s="130">
        <f>المهني!GU26</f>
        <v>0</v>
      </c>
      <c r="I13" s="130">
        <f>المهني!GW26</f>
        <v>0</v>
      </c>
      <c r="J13" s="130">
        <f>المهني!GY26</f>
        <v>0</v>
      </c>
      <c r="K13" s="130">
        <f>المهني!HA26</f>
        <v>1</v>
      </c>
      <c r="L13" s="130">
        <f>المهني!HC26</f>
        <v>0</v>
      </c>
      <c r="M13" s="130">
        <f>المهني!HE26</f>
        <v>0</v>
      </c>
      <c r="N13" s="130">
        <f>المهني!HG26</f>
        <v>1</v>
      </c>
      <c r="O13" s="130">
        <f>المهني!HI26</f>
        <v>0</v>
      </c>
      <c r="P13" s="130">
        <f>المهني!HK26</f>
        <v>0</v>
      </c>
      <c r="Q13" s="130">
        <f>المهني!HM26</f>
        <v>0</v>
      </c>
      <c r="R13" s="130">
        <f>المهني!HO26</f>
        <v>0</v>
      </c>
      <c r="S13" s="130">
        <f>المهني!HQ26</f>
        <v>0</v>
      </c>
      <c r="T13" s="130">
        <f>المهني!HS26</f>
        <v>0</v>
      </c>
      <c r="U13" s="130">
        <f>المهني!HU26</f>
        <v>0</v>
      </c>
      <c r="V13" s="130">
        <f>المهني!HW26</f>
        <v>0</v>
      </c>
      <c r="W13" s="130">
        <f>المهني!HY26</f>
        <v>0</v>
      </c>
      <c r="X13" s="130">
        <f>المهني!IA26</f>
        <v>0</v>
      </c>
      <c r="Y13" s="130">
        <f>المهني!IC26</f>
        <v>0</v>
      </c>
      <c r="Z13" s="130">
        <f>المهني!IE26</f>
        <v>0</v>
      </c>
      <c r="AA13" s="130">
        <f>المهني!IG26</f>
        <v>0</v>
      </c>
      <c r="AB13" s="130">
        <f>المهني!II26</f>
        <v>0</v>
      </c>
      <c r="AC13" s="130">
        <f>المهني!IK26</f>
        <v>0</v>
      </c>
      <c r="AD13" s="130">
        <f>المهني!IM26</f>
        <v>0</v>
      </c>
      <c r="AE13" s="130">
        <f>المهني!IO26</f>
        <v>0</v>
      </c>
      <c r="AF13" s="130">
        <f>المهني!IQ26</f>
        <v>0</v>
      </c>
      <c r="AG13" s="130">
        <f>المهني!IS26</f>
        <v>0</v>
      </c>
      <c r="AH13" s="130">
        <f>المهني!IU26</f>
        <v>0</v>
      </c>
      <c r="AI13" s="130">
        <f>المهني!IW26</f>
        <v>0</v>
      </c>
      <c r="AJ13" s="130">
        <f>المهني!IY26</f>
        <v>0</v>
      </c>
      <c r="AK13" s="130">
        <f>المهني!JA26</f>
        <v>0</v>
      </c>
      <c r="AL13" s="130">
        <f>المهني!JC26</f>
        <v>0</v>
      </c>
      <c r="AM13" s="130">
        <f>المهني!JE26</f>
        <v>0</v>
      </c>
      <c r="AN13" s="130">
        <f>المهني!JG26</f>
        <v>0</v>
      </c>
      <c r="AO13" s="130">
        <f>المهني!JI26</f>
        <v>0</v>
      </c>
      <c r="AP13" s="130">
        <f>المهني!JK26</f>
        <v>0</v>
      </c>
      <c r="AQ13" s="130">
        <f>المهني!JM26</f>
        <v>0</v>
      </c>
      <c r="AR13" s="130">
        <f>المهني!JO26</f>
        <v>1</v>
      </c>
      <c r="AS13" s="130">
        <f>المهني!JQ26</f>
        <v>4</v>
      </c>
      <c r="AT13" s="130">
        <f>المهني!JS26</f>
        <v>2</v>
      </c>
      <c r="AU13" s="130">
        <f>المهني!JU26</f>
        <v>1</v>
      </c>
      <c r="AV13" s="130">
        <f>المهني!JW26</f>
        <v>0</v>
      </c>
      <c r="AW13" s="130">
        <f>المهني!JY26</f>
        <v>0</v>
      </c>
      <c r="AX13" s="130">
        <f>المهني!KA26</f>
        <v>0</v>
      </c>
      <c r="AY13" s="130">
        <f>المهني!KC26</f>
        <v>0</v>
      </c>
      <c r="AZ13" s="130">
        <f>المهني!KE26</f>
        <v>0</v>
      </c>
      <c r="BA13" s="130">
        <f>المهني!KG26</f>
        <v>0</v>
      </c>
      <c r="BB13" s="130">
        <f>المهني!KI26</f>
        <v>4</v>
      </c>
      <c r="BC13" s="130">
        <f>المهني!KK26</f>
        <v>0</v>
      </c>
      <c r="BD13" s="130">
        <f>المهني!KO26</f>
        <v>3</v>
      </c>
      <c r="BE13" s="130"/>
      <c r="BF13" s="130"/>
      <c r="BG13" s="130"/>
      <c r="BH13" s="130">
        <f>المهني!KU26</f>
        <v>5</v>
      </c>
      <c r="BI13" s="35">
        <f t="shared" si="0"/>
        <v>28</v>
      </c>
    </row>
    <row r="14" spans="1:61" s="36" customFormat="1" ht="67.5" customHeight="1" thickTop="1" thickBot="1">
      <c r="A14" s="454" t="s">
        <v>214</v>
      </c>
      <c r="B14" s="43" t="s">
        <v>73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7">
        <v>0</v>
      </c>
      <c r="BC14" s="37">
        <v>0</v>
      </c>
      <c r="BD14" s="37">
        <v>0</v>
      </c>
      <c r="BE14" s="37"/>
      <c r="BF14" s="37"/>
      <c r="BG14" s="37"/>
      <c r="BH14" s="35">
        <v>0</v>
      </c>
      <c r="BI14" s="35">
        <f>SUM(C14:BH14)</f>
        <v>0</v>
      </c>
    </row>
    <row r="15" spans="1:61" s="36" customFormat="1" ht="67.5" customHeight="1" thickTop="1" thickBot="1">
      <c r="A15" s="455"/>
      <c r="B15" s="43" t="s">
        <v>29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37"/>
      <c r="BF15" s="37"/>
      <c r="BG15" s="37"/>
      <c r="BH15" s="35">
        <f>المهني!KU35</f>
        <v>0</v>
      </c>
      <c r="BI15" s="35">
        <f>SUM(C15:BH15)</f>
        <v>0</v>
      </c>
    </row>
    <row r="16" spans="1:61" s="36" customFormat="1" ht="67.5" customHeight="1" thickTop="1" thickBot="1">
      <c r="A16" s="454" t="s">
        <v>488</v>
      </c>
      <c r="B16" s="43" t="s">
        <v>73</v>
      </c>
      <c r="C16" s="192">
        <f>المهني!GJ49</f>
        <v>0</v>
      </c>
      <c r="D16" s="35">
        <f>المهني!GL49</f>
        <v>1</v>
      </c>
      <c r="E16" s="35">
        <f>المهني!GN49</f>
        <v>0</v>
      </c>
      <c r="F16" s="35">
        <f>المهني!GP49</f>
        <v>0</v>
      </c>
      <c r="G16" s="35">
        <f>المهني!GR49</f>
        <v>0</v>
      </c>
      <c r="H16" s="35">
        <f>المهني!GT49</f>
        <v>0</v>
      </c>
      <c r="I16" s="35">
        <f>المهني!GV49</f>
        <v>0</v>
      </c>
      <c r="J16" s="35">
        <f>المهني!GX49</f>
        <v>0</v>
      </c>
      <c r="K16" s="35">
        <f>المهني!GZ49</f>
        <v>1</v>
      </c>
      <c r="L16" s="35">
        <f>المهني!HB49</f>
        <v>0</v>
      </c>
      <c r="M16" s="35">
        <f>المهني!HD49</f>
        <v>0</v>
      </c>
      <c r="N16" s="35">
        <f>المهني!HF49</f>
        <v>1</v>
      </c>
      <c r="O16" s="35">
        <f>المهني!HH49</f>
        <v>0</v>
      </c>
      <c r="P16" s="35">
        <f>المهني!HJ49</f>
        <v>0</v>
      </c>
      <c r="Q16" s="35">
        <f>المهني!HL49</f>
        <v>0</v>
      </c>
      <c r="R16" s="35">
        <f>المهني!HN49</f>
        <v>0</v>
      </c>
      <c r="S16" s="35">
        <f>المهني!HP49</f>
        <v>0</v>
      </c>
      <c r="T16" s="35">
        <f>المهني!HR49</f>
        <v>0</v>
      </c>
      <c r="U16" s="35">
        <f>المهني!HT49</f>
        <v>0</v>
      </c>
      <c r="V16" s="35">
        <f>المهني!HV49</f>
        <v>0</v>
      </c>
      <c r="W16" s="35">
        <f>المهني!HX49</f>
        <v>0</v>
      </c>
      <c r="X16" s="35">
        <f>المهني!HZ49</f>
        <v>0</v>
      </c>
      <c r="Y16" s="35">
        <f>المهني!IB49</f>
        <v>0</v>
      </c>
      <c r="Z16" s="35">
        <f>المهني!ID49</f>
        <v>0</v>
      </c>
      <c r="AA16" s="35">
        <f>المهني!IF49</f>
        <v>0</v>
      </c>
      <c r="AB16" s="35">
        <f>المهني!IH49</f>
        <v>0</v>
      </c>
      <c r="AC16" s="35">
        <f>المهني!IJ49</f>
        <v>0</v>
      </c>
      <c r="AD16" s="35">
        <f>المهني!IL49</f>
        <v>0</v>
      </c>
      <c r="AE16" s="35">
        <f>المهني!IN49</f>
        <v>0</v>
      </c>
      <c r="AF16" s="35">
        <f>المهني!IP49</f>
        <v>0</v>
      </c>
      <c r="AG16" s="35">
        <f>المهني!IR49</f>
        <v>0</v>
      </c>
      <c r="AH16" s="35">
        <f>المهني!IT49</f>
        <v>0</v>
      </c>
      <c r="AI16" s="35">
        <f>المهني!IV49</f>
        <v>0</v>
      </c>
      <c r="AJ16" s="35">
        <f>المهني!IX49</f>
        <v>0</v>
      </c>
      <c r="AK16" s="35">
        <f>المهني!IZ49</f>
        <v>0</v>
      </c>
      <c r="AL16" s="35">
        <f>المهني!JB49</f>
        <v>0</v>
      </c>
      <c r="AM16" s="35">
        <f>المهني!JD49</f>
        <v>0</v>
      </c>
      <c r="AN16" s="35">
        <f>المهني!JF49</f>
        <v>0</v>
      </c>
      <c r="AO16" s="35">
        <f>المهني!JH49</f>
        <v>0</v>
      </c>
      <c r="AP16" s="35">
        <f>المهني!JJ49</f>
        <v>0</v>
      </c>
      <c r="AQ16" s="35">
        <f>المهني!JL49</f>
        <v>0</v>
      </c>
      <c r="AR16" s="35">
        <f>المهني!JN49</f>
        <v>0</v>
      </c>
      <c r="AS16" s="35">
        <f>المهني!JP49</f>
        <v>0</v>
      </c>
      <c r="AT16" s="35">
        <f>المهني!JR49</f>
        <v>1</v>
      </c>
      <c r="AU16" s="35">
        <f>المهني!JT49</f>
        <v>0</v>
      </c>
      <c r="AV16" s="35">
        <f>المهني!JV49</f>
        <v>0</v>
      </c>
      <c r="AW16" s="35">
        <f>المهني!JX49</f>
        <v>0</v>
      </c>
      <c r="AX16" s="35">
        <v>0</v>
      </c>
      <c r="AY16" s="35">
        <f>المهني!KB30</f>
        <v>0</v>
      </c>
      <c r="AZ16" s="35">
        <f>المهني!KD49</f>
        <v>0</v>
      </c>
      <c r="BA16" s="35">
        <f>المهني!KF49</f>
        <v>0</v>
      </c>
      <c r="BB16" s="35">
        <f>المهني!KH49</f>
        <v>0</v>
      </c>
      <c r="BC16" s="35">
        <f>المهني!KJ49</f>
        <v>0</v>
      </c>
      <c r="BD16" s="35">
        <f>المهني!KN49</f>
        <v>0</v>
      </c>
      <c r="BE16" s="35"/>
      <c r="BF16" s="35"/>
      <c r="BG16" s="35"/>
      <c r="BH16" s="35">
        <f>المهني!KT49</f>
        <v>1</v>
      </c>
      <c r="BI16" s="35">
        <f t="shared" ref="BI16:BI19" si="1">SUM(C16:BH16)</f>
        <v>5</v>
      </c>
    </row>
    <row r="17" spans="1:61" s="36" customFormat="1" ht="67.5" customHeight="1" thickTop="1" thickBot="1">
      <c r="A17" s="455"/>
      <c r="B17" s="43" t="s">
        <v>29</v>
      </c>
      <c r="C17" s="35">
        <f>المهني!GK49</f>
        <v>1</v>
      </c>
      <c r="D17" s="35">
        <f>المهني!GM49</f>
        <v>0</v>
      </c>
      <c r="E17" s="35">
        <f>المهني!GO49</f>
        <v>1</v>
      </c>
      <c r="F17" s="35">
        <f>المهني!GQ49</f>
        <v>0</v>
      </c>
      <c r="G17" s="35">
        <f>المهني!GS49</f>
        <v>0</v>
      </c>
      <c r="H17" s="35">
        <f>المهني!GU49</f>
        <v>0</v>
      </c>
      <c r="I17" s="35">
        <f>المهني!GW49</f>
        <v>0</v>
      </c>
      <c r="J17" s="35">
        <f>المهني!GY49</f>
        <v>0</v>
      </c>
      <c r="K17" s="35">
        <f>المهني!HA49</f>
        <v>1</v>
      </c>
      <c r="L17" s="35">
        <f>المهني!HC49</f>
        <v>0</v>
      </c>
      <c r="M17" s="35">
        <f>المهني!HE49</f>
        <v>0</v>
      </c>
      <c r="N17" s="35">
        <f>المهني!HG49</f>
        <v>0</v>
      </c>
      <c r="O17" s="35">
        <f>المهني!HI49</f>
        <v>0</v>
      </c>
      <c r="P17" s="35">
        <f>المهني!HK49</f>
        <v>0</v>
      </c>
      <c r="Q17" s="35">
        <f>المهني!HM49</f>
        <v>0</v>
      </c>
      <c r="R17" s="35">
        <f>المهني!HO30</f>
        <v>0</v>
      </c>
      <c r="S17" s="35">
        <f>المهني!HQ49</f>
        <v>0</v>
      </c>
      <c r="T17" s="35">
        <f>المهني!HS49</f>
        <v>0</v>
      </c>
      <c r="U17" s="35">
        <f>المهني!HU49</f>
        <v>0</v>
      </c>
      <c r="V17" s="35">
        <f>المهني!HW49</f>
        <v>0</v>
      </c>
      <c r="W17" s="35">
        <f>المهني!HY49</f>
        <v>0</v>
      </c>
      <c r="X17" s="35">
        <f>المهني!IA49</f>
        <v>0</v>
      </c>
      <c r="Y17" s="35">
        <f>المهني!IC49</f>
        <v>0</v>
      </c>
      <c r="Z17" s="35">
        <f>المهني!IE49</f>
        <v>0</v>
      </c>
      <c r="AA17" s="35">
        <f>المهني!IG49</f>
        <v>0</v>
      </c>
      <c r="AB17" s="35">
        <f>المهني!II49</f>
        <v>0</v>
      </c>
      <c r="AC17" s="35">
        <f>المهني!IK49</f>
        <v>0</v>
      </c>
      <c r="AD17" s="35">
        <f>المهني!IM49</f>
        <v>0</v>
      </c>
      <c r="AE17" s="35">
        <f>المهني!IO49</f>
        <v>0</v>
      </c>
      <c r="AF17" s="35">
        <f>المهني!IQ49</f>
        <v>0</v>
      </c>
      <c r="AG17" s="35">
        <f>المهني!IS49</f>
        <v>0</v>
      </c>
      <c r="AH17" s="35">
        <f>المهني!IU49</f>
        <v>0</v>
      </c>
      <c r="AI17" s="35">
        <f>المهني!IW49</f>
        <v>0</v>
      </c>
      <c r="AJ17" s="35">
        <f>المهني!IY49</f>
        <v>0</v>
      </c>
      <c r="AK17" s="35">
        <f>المهني!JA49</f>
        <v>0</v>
      </c>
      <c r="AL17" s="35">
        <f>المهني!JC49</f>
        <v>0</v>
      </c>
      <c r="AM17" s="35">
        <f>المهني!JE49</f>
        <v>0</v>
      </c>
      <c r="AN17" s="35">
        <f>المهني!JG49</f>
        <v>0</v>
      </c>
      <c r="AO17" s="35">
        <f>المهني!JI49</f>
        <v>0</v>
      </c>
      <c r="AP17" s="35">
        <f>المهني!JK49</f>
        <v>0</v>
      </c>
      <c r="AQ17" s="35">
        <f>المهني!JM49</f>
        <v>0</v>
      </c>
      <c r="AR17" s="35">
        <f>المهني!JO49</f>
        <v>0</v>
      </c>
      <c r="AS17" s="35">
        <f>المهني!JQ49</f>
        <v>0</v>
      </c>
      <c r="AT17" s="35">
        <f>المهني!JS49</f>
        <v>0</v>
      </c>
      <c r="AU17" s="35">
        <f>المهني!JU49</f>
        <v>0</v>
      </c>
      <c r="AV17" s="35">
        <f>المهني!JW49</f>
        <v>0</v>
      </c>
      <c r="AW17" s="35">
        <f>المهني!JY49</f>
        <v>0</v>
      </c>
      <c r="AX17" s="35">
        <f>المهني!KA49</f>
        <v>0</v>
      </c>
      <c r="AY17" s="35">
        <f>المهني!KC30</f>
        <v>0</v>
      </c>
      <c r="AZ17" s="35">
        <f>المهني!KE49</f>
        <v>0</v>
      </c>
      <c r="BA17" s="35">
        <f>المهني!KG49</f>
        <v>0</v>
      </c>
      <c r="BB17" s="35">
        <f>المهني!KI49</f>
        <v>0</v>
      </c>
      <c r="BC17" s="35">
        <f>المهني!KK49</f>
        <v>0</v>
      </c>
      <c r="BD17" s="35">
        <f>المهني!KO49</f>
        <v>1</v>
      </c>
      <c r="BE17" s="35"/>
      <c r="BF17" s="35"/>
      <c r="BG17" s="35"/>
      <c r="BH17" s="35">
        <f>المهني!KU49</f>
        <v>0</v>
      </c>
      <c r="BI17" s="35">
        <f t="shared" si="1"/>
        <v>4</v>
      </c>
    </row>
    <row r="18" spans="1:61" s="36" customFormat="1" ht="67.5" customHeight="1" thickTop="1" thickBot="1">
      <c r="A18" s="454" t="s">
        <v>523</v>
      </c>
      <c r="B18" s="43" t="s">
        <v>73</v>
      </c>
      <c r="C18" s="191">
        <f>المهني!GJ32</f>
        <v>0</v>
      </c>
      <c r="D18" s="191">
        <f>المهني!GL32</f>
        <v>0</v>
      </c>
      <c r="E18" s="191">
        <f>المهني!GN32</f>
        <v>0</v>
      </c>
      <c r="F18" s="191">
        <f>المهني!GP32</f>
        <v>0</v>
      </c>
      <c r="G18" s="191">
        <f>المهني!GR32</f>
        <v>0</v>
      </c>
      <c r="H18" s="191">
        <f>المهني!GT32</f>
        <v>0</v>
      </c>
      <c r="I18" s="191">
        <f>المهني!GV32</f>
        <v>0</v>
      </c>
      <c r="J18" s="191">
        <f>المهني!GX32</f>
        <v>0</v>
      </c>
      <c r="K18" s="191">
        <f>المهني!GZ32</f>
        <v>0</v>
      </c>
      <c r="L18" s="191">
        <f>المهني!HB32</f>
        <v>0</v>
      </c>
      <c r="M18" s="191">
        <f>المهني!HD32</f>
        <v>0</v>
      </c>
      <c r="N18" s="35">
        <f>المهني!HF51</f>
        <v>1</v>
      </c>
      <c r="O18" s="191">
        <f>المهني!HH32</f>
        <v>0</v>
      </c>
      <c r="P18" s="191">
        <f>المهني!HJ32</f>
        <v>0</v>
      </c>
      <c r="Q18" s="191">
        <f>المهني!HL32</f>
        <v>0</v>
      </c>
      <c r="R18" s="191">
        <f>المهني!HN32</f>
        <v>0</v>
      </c>
      <c r="S18" s="191">
        <f>المهني!HP32</f>
        <v>0</v>
      </c>
      <c r="T18" s="191">
        <f>المهني!HR32</f>
        <v>0</v>
      </c>
      <c r="U18" s="191">
        <f>المهني!HT32</f>
        <v>0</v>
      </c>
      <c r="V18" s="191">
        <f>المهني!HV32</f>
        <v>0</v>
      </c>
      <c r="W18" s="191">
        <f>المهني!HX32</f>
        <v>0</v>
      </c>
      <c r="X18" s="191">
        <f>المهني!HZ32</f>
        <v>0</v>
      </c>
      <c r="Y18" s="191">
        <f>المهني!IB32</f>
        <v>0</v>
      </c>
      <c r="Z18" s="191">
        <f>المهني!ID32</f>
        <v>0</v>
      </c>
      <c r="AA18" s="191">
        <f>المهني!IF32</f>
        <v>0</v>
      </c>
      <c r="AB18" s="191">
        <f>المهني!IH32</f>
        <v>0</v>
      </c>
      <c r="AC18" s="191">
        <f>المهني!IJ32</f>
        <v>0</v>
      </c>
      <c r="AD18" s="191">
        <f>المهني!IL32</f>
        <v>0</v>
      </c>
      <c r="AE18" s="191">
        <f>المهني!IN32</f>
        <v>0</v>
      </c>
      <c r="AF18" s="191">
        <f>المهني!IP32</f>
        <v>0</v>
      </c>
      <c r="AG18" s="191">
        <f>المهني!IR32</f>
        <v>0</v>
      </c>
      <c r="AH18" s="191">
        <f>المهني!IT32</f>
        <v>0</v>
      </c>
      <c r="AI18" s="191">
        <f>المهني!IV32</f>
        <v>0</v>
      </c>
      <c r="AJ18" s="191">
        <f>المهني!IX32</f>
        <v>0</v>
      </c>
      <c r="AK18" s="191">
        <f>المهني!IZ32</f>
        <v>0</v>
      </c>
      <c r="AL18" s="191">
        <f>المهني!JB32</f>
        <v>0</v>
      </c>
      <c r="AM18" s="191">
        <f>المهني!JD32</f>
        <v>0</v>
      </c>
      <c r="AN18" s="191">
        <f>المهني!JF32</f>
        <v>0</v>
      </c>
      <c r="AO18" s="191">
        <f>المهني!JH32</f>
        <v>0</v>
      </c>
      <c r="AP18" s="191">
        <f>المهني!JJ32</f>
        <v>0</v>
      </c>
      <c r="AQ18" s="191">
        <f>المهني!JL32</f>
        <v>0</v>
      </c>
      <c r="AR18" s="191">
        <f>المهني!JN32</f>
        <v>0</v>
      </c>
      <c r="AS18" s="191">
        <f>المهني!JP32</f>
        <v>0</v>
      </c>
      <c r="AT18" s="191">
        <f>المهني!JR32</f>
        <v>0</v>
      </c>
      <c r="AU18" s="191">
        <f>المهني!JT32</f>
        <v>0</v>
      </c>
      <c r="AV18" s="191">
        <f>المهني!JV32</f>
        <v>0</v>
      </c>
      <c r="AW18" s="191">
        <f>المهني!JX32</f>
        <v>0</v>
      </c>
      <c r="AX18" s="191">
        <v>0</v>
      </c>
      <c r="AY18" s="191">
        <f>المهني!KB32</f>
        <v>0</v>
      </c>
      <c r="AZ18" s="191">
        <f>المهني!KD32</f>
        <v>0</v>
      </c>
      <c r="BA18" s="191">
        <f>المهني!KF32</f>
        <v>0</v>
      </c>
      <c r="BB18" s="191">
        <f>المهني!KH32</f>
        <v>0</v>
      </c>
      <c r="BC18" s="191">
        <f>المهني!KJ32</f>
        <v>0</v>
      </c>
      <c r="BD18" s="191">
        <f>المهني!KN32</f>
        <v>0</v>
      </c>
      <c r="BE18" s="191"/>
      <c r="BF18" s="191"/>
      <c r="BG18" s="191"/>
      <c r="BH18" s="191">
        <f>المهني!KT32</f>
        <v>0</v>
      </c>
      <c r="BI18" s="191">
        <f t="shared" si="1"/>
        <v>1</v>
      </c>
    </row>
    <row r="19" spans="1:61" s="36" customFormat="1" ht="67.5" customHeight="1" thickTop="1" thickBot="1">
      <c r="A19" s="455"/>
      <c r="B19" s="43" t="s">
        <v>29</v>
      </c>
      <c r="C19" s="191">
        <f>المهني!GK32</f>
        <v>0</v>
      </c>
      <c r="D19" s="191">
        <f>المهني!GM32</f>
        <v>0</v>
      </c>
      <c r="E19" s="191">
        <f>المهني!GO32</f>
        <v>0</v>
      </c>
      <c r="F19" s="191">
        <f>المهني!GQ32</f>
        <v>0</v>
      </c>
      <c r="G19" s="191">
        <f>المهني!GS32</f>
        <v>0</v>
      </c>
      <c r="H19" s="191">
        <f>المهني!GU32</f>
        <v>0</v>
      </c>
      <c r="I19" s="191">
        <f>المهني!GW32</f>
        <v>0</v>
      </c>
      <c r="J19" s="191">
        <f>المهني!GY32</f>
        <v>0</v>
      </c>
      <c r="K19" s="191">
        <f>المهني!HA32</f>
        <v>0</v>
      </c>
      <c r="L19" s="191">
        <f>المهني!HC32</f>
        <v>0</v>
      </c>
      <c r="M19" s="191">
        <f>المهني!HE32</f>
        <v>0</v>
      </c>
      <c r="N19" s="191">
        <f>المهني!HG51</f>
        <v>0</v>
      </c>
      <c r="O19" s="191">
        <f>المهني!HI32</f>
        <v>0</v>
      </c>
      <c r="P19" s="191">
        <f>المهني!HK32</f>
        <v>0</v>
      </c>
      <c r="Q19" s="191">
        <f>المهني!HM32</f>
        <v>0</v>
      </c>
      <c r="R19" s="191">
        <f>المهني!HO32</f>
        <v>0</v>
      </c>
      <c r="S19" s="191">
        <f>المهني!HQ32</f>
        <v>0</v>
      </c>
      <c r="T19" s="191">
        <f>المهني!HS32</f>
        <v>0</v>
      </c>
      <c r="U19" s="191">
        <f>المهني!HU32</f>
        <v>0</v>
      </c>
      <c r="V19" s="191">
        <f>المهني!HW32</f>
        <v>0</v>
      </c>
      <c r="W19" s="191">
        <f>المهني!HY32</f>
        <v>0</v>
      </c>
      <c r="X19" s="191">
        <f>المهني!IA32</f>
        <v>0</v>
      </c>
      <c r="Y19" s="191">
        <f>المهني!IC32</f>
        <v>0</v>
      </c>
      <c r="Z19" s="191">
        <f>المهني!IE32</f>
        <v>0</v>
      </c>
      <c r="AA19" s="191">
        <f>المهني!IG32</f>
        <v>0</v>
      </c>
      <c r="AB19" s="191">
        <f>المهني!II32</f>
        <v>0</v>
      </c>
      <c r="AC19" s="191">
        <f>المهني!IK32</f>
        <v>0</v>
      </c>
      <c r="AD19" s="191">
        <f>المهني!IM32</f>
        <v>0</v>
      </c>
      <c r="AE19" s="191">
        <f>المهني!IO32</f>
        <v>0</v>
      </c>
      <c r="AF19" s="191">
        <f>المهني!IQ32</f>
        <v>0</v>
      </c>
      <c r="AG19" s="191">
        <f>المهني!IS32</f>
        <v>0</v>
      </c>
      <c r="AH19" s="191">
        <f>المهني!IU32</f>
        <v>0</v>
      </c>
      <c r="AI19" s="191">
        <f>المهني!IW32</f>
        <v>0</v>
      </c>
      <c r="AJ19" s="191">
        <f>المهني!IY32</f>
        <v>0</v>
      </c>
      <c r="AK19" s="191">
        <f>المهني!JA32</f>
        <v>0</v>
      </c>
      <c r="AL19" s="191">
        <f>المهني!JC32</f>
        <v>0</v>
      </c>
      <c r="AM19" s="191">
        <f>المهني!JE32</f>
        <v>0</v>
      </c>
      <c r="AN19" s="191">
        <f>المهني!JG32</f>
        <v>0</v>
      </c>
      <c r="AO19" s="191">
        <f>المهني!JI32</f>
        <v>0</v>
      </c>
      <c r="AP19" s="191">
        <f>المهني!JK32</f>
        <v>0</v>
      </c>
      <c r="AQ19" s="191">
        <f>المهني!JM32</f>
        <v>0</v>
      </c>
      <c r="AR19" s="191">
        <f>المهني!JO32</f>
        <v>0</v>
      </c>
      <c r="AS19" s="191">
        <f>المهني!JQ32</f>
        <v>0</v>
      </c>
      <c r="AT19" s="191">
        <f>المهني!JS32</f>
        <v>0</v>
      </c>
      <c r="AU19" s="191">
        <f>المهني!JU32</f>
        <v>0</v>
      </c>
      <c r="AV19" s="191">
        <f>المهني!JW32</f>
        <v>0</v>
      </c>
      <c r="AW19" s="191">
        <f>المهني!JY32</f>
        <v>0</v>
      </c>
      <c r="AX19" s="191">
        <f>المهني!KA32</f>
        <v>0</v>
      </c>
      <c r="AY19" s="191">
        <f>المهني!KC32</f>
        <v>0</v>
      </c>
      <c r="AZ19" s="191">
        <f>المهني!KE32</f>
        <v>0</v>
      </c>
      <c r="BA19" s="191">
        <f>المهني!KG32</f>
        <v>0</v>
      </c>
      <c r="BB19" s="191">
        <f>المهني!KI32</f>
        <v>0</v>
      </c>
      <c r="BC19" s="191">
        <f>المهني!KK32</f>
        <v>0</v>
      </c>
      <c r="BD19" s="191">
        <f>المهني!KO32</f>
        <v>0</v>
      </c>
      <c r="BE19" s="191"/>
      <c r="BF19" s="191"/>
      <c r="BG19" s="191"/>
      <c r="BH19" s="191">
        <f>المهني!KU32</f>
        <v>0</v>
      </c>
      <c r="BI19" s="191">
        <f t="shared" si="1"/>
        <v>0</v>
      </c>
    </row>
    <row r="20" spans="1:61" s="36" customFormat="1" ht="67.5" customHeight="1" thickTop="1" thickBot="1">
      <c r="A20" s="454" t="s">
        <v>397</v>
      </c>
      <c r="B20" s="43" t="s">
        <v>73</v>
      </c>
      <c r="C20" s="37"/>
      <c r="D20" s="37"/>
      <c r="E20" s="37"/>
      <c r="F20" s="37"/>
      <c r="G20" s="37"/>
      <c r="H20" s="37"/>
      <c r="I20" s="37"/>
      <c r="J20" s="37"/>
      <c r="K20" s="37"/>
      <c r="L20" s="35"/>
      <c r="M20" s="35"/>
      <c r="N20" s="35">
        <f>المهني!HF51</f>
        <v>1</v>
      </c>
      <c r="O20" s="35"/>
      <c r="P20" s="35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5"/>
      <c r="BI20" s="35">
        <f t="shared" ref="BI20:BI21" si="2">SUM(C20:BH20)</f>
        <v>1</v>
      </c>
    </row>
    <row r="21" spans="1:61" s="36" customFormat="1" ht="67.5" customHeight="1" thickTop="1" thickBot="1">
      <c r="A21" s="455"/>
      <c r="B21" s="43" t="s">
        <v>29</v>
      </c>
      <c r="C21" s="37"/>
      <c r="D21" s="37"/>
      <c r="E21" s="37"/>
      <c r="F21" s="37"/>
      <c r="G21" s="37"/>
      <c r="H21" s="37"/>
      <c r="I21" s="37"/>
      <c r="J21" s="37"/>
      <c r="K21" s="37"/>
      <c r="L21" s="35"/>
      <c r="M21" s="35"/>
      <c r="N21" s="35"/>
      <c r="O21" s="35"/>
      <c r="P21" s="3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5"/>
      <c r="BI21" s="35">
        <f t="shared" si="2"/>
        <v>0</v>
      </c>
    </row>
    <row r="22" spans="1:61" s="36" customFormat="1" ht="67.5" customHeight="1" thickTop="1" thickBot="1">
      <c r="A22" s="466" t="s">
        <v>25</v>
      </c>
      <c r="B22" s="43" t="s">
        <v>73</v>
      </c>
      <c r="C22" s="30">
        <f>C14+C12+C10+C8+C16+C18</f>
        <v>7</v>
      </c>
      <c r="D22" s="30">
        <f t="shared" ref="D22:BI22" si="3">D14+D12+D10+D8+D16+D18</f>
        <v>7</v>
      </c>
      <c r="E22" s="30">
        <f t="shared" si="3"/>
        <v>9</v>
      </c>
      <c r="F22" s="30">
        <f t="shared" si="3"/>
        <v>1</v>
      </c>
      <c r="G22" s="30">
        <f t="shared" si="3"/>
        <v>5</v>
      </c>
      <c r="H22" s="30">
        <f t="shared" si="3"/>
        <v>5</v>
      </c>
      <c r="I22" s="30">
        <f t="shared" si="3"/>
        <v>2</v>
      </c>
      <c r="J22" s="30">
        <f t="shared" si="3"/>
        <v>0</v>
      </c>
      <c r="K22" s="30">
        <f t="shared" si="3"/>
        <v>1</v>
      </c>
      <c r="L22" s="30">
        <f t="shared" si="3"/>
        <v>1</v>
      </c>
      <c r="M22" s="30">
        <f t="shared" si="3"/>
        <v>0</v>
      </c>
      <c r="N22" s="30">
        <f>N14+N12+N10+N8+N16+N18+N20</f>
        <v>10</v>
      </c>
      <c r="O22" s="30">
        <f t="shared" si="3"/>
        <v>1</v>
      </c>
      <c r="P22" s="30">
        <f t="shared" si="3"/>
        <v>1</v>
      </c>
      <c r="Q22" s="30">
        <f t="shared" si="3"/>
        <v>0</v>
      </c>
      <c r="R22" s="30">
        <f t="shared" si="3"/>
        <v>0</v>
      </c>
      <c r="S22" s="30">
        <f t="shared" si="3"/>
        <v>2</v>
      </c>
      <c r="T22" s="30">
        <f t="shared" si="3"/>
        <v>1</v>
      </c>
      <c r="U22" s="30">
        <f t="shared" si="3"/>
        <v>0</v>
      </c>
      <c r="V22" s="30">
        <f t="shared" si="3"/>
        <v>3</v>
      </c>
      <c r="W22" s="30">
        <f t="shared" si="3"/>
        <v>2</v>
      </c>
      <c r="X22" s="30">
        <f t="shared" si="3"/>
        <v>0</v>
      </c>
      <c r="Y22" s="30">
        <f t="shared" si="3"/>
        <v>1</v>
      </c>
      <c r="Z22" s="30">
        <f t="shared" si="3"/>
        <v>1</v>
      </c>
      <c r="AA22" s="30">
        <f t="shared" si="3"/>
        <v>13</v>
      </c>
      <c r="AB22" s="30">
        <f t="shared" si="3"/>
        <v>12</v>
      </c>
      <c r="AC22" s="30">
        <f t="shared" si="3"/>
        <v>11</v>
      </c>
      <c r="AD22" s="30">
        <f t="shared" si="3"/>
        <v>0</v>
      </c>
      <c r="AE22" s="30">
        <f t="shared" si="3"/>
        <v>2</v>
      </c>
      <c r="AF22" s="30">
        <f t="shared" si="3"/>
        <v>0</v>
      </c>
      <c r="AG22" s="30">
        <f t="shared" si="3"/>
        <v>0</v>
      </c>
      <c r="AH22" s="30">
        <f t="shared" si="3"/>
        <v>0</v>
      </c>
      <c r="AI22" s="30">
        <f t="shared" si="3"/>
        <v>0</v>
      </c>
      <c r="AJ22" s="30">
        <f t="shared" si="3"/>
        <v>0</v>
      </c>
      <c r="AK22" s="30">
        <f t="shared" si="3"/>
        <v>0</v>
      </c>
      <c r="AL22" s="30">
        <f t="shared" si="3"/>
        <v>11</v>
      </c>
      <c r="AM22" s="30">
        <f t="shared" si="3"/>
        <v>0</v>
      </c>
      <c r="AN22" s="30">
        <f t="shared" si="3"/>
        <v>0</v>
      </c>
      <c r="AO22" s="30">
        <f t="shared" si="3"/>
        <v>1</v>
      </c>
      <c r="AP22" s="30">
        <f t="shared" si="3"/>
        <v>3</v>
      </c>
      <c r="AQ22" s="30">
        <f t="shared" si="3"/>
        <v>2</v>
      </c>
      <c r="AR22" s="30">
        <f t="shared" si="3"/>
        <v>6</v>
      </c>
      <c r="AS22" s="30">
        <f t="shared" si="3"/>
        <v>5</v>
      </c>
      <c r="AT22" s="30">
        <f t="shared" si="3"/>
        <v>3</v>
      </c>
      <c r="AU22" s="30">
        <f t="shared" si="3"/>
        <v>5</v>
      </c>
      <c r="AV22" s="30">
        <f t="shared" si="3"/>
        <v>0</v>
      </c>
      <c r="AW22" s="30">
        <f t="shared" si="3"/>
        <v>0</v>
      </c>
      <c r="AX22" s="30">
        <f t="shared" si="3"/>
        <v>0</v>
      </c>
      <c r="AY22" s="30">
        <f t="shared" si="3"/>
        <v>0</v>
      </c>
      <c r="AZ22" s="30">
        <f t="shared" si="3"/>
        <v>0</v>
      </c>
      <c r="BA22" s="30">
        <f t="shared" si="3"/>
        <v>0</v>
      </c>
      <c r="BB22" s="30">
        <f t="shared" si="3"/>
        <v>1</v>
      </c>
      <c r="BC22" s="30">
        <f t="shared" si="3"/>
        <v>0</v>
      </c>
      <c r="BD22" s="30">
        <f t="shared" si="3"/>
        <v>45</v>
      </c>
      <c r="BE22" s="30">
        <f t="shared" si="3"/>
        <v>0</v>
      </c>
      <c r="BF22" s="30">
        <f t="shared" si="3"/>
        <v>0</v>
      </c>
      <c r="BG22" s="30">
        <f t="shared" si="3"/>
        <v>0</v>
      </c>
      <c r="BH22" s="30">
        <f t="shared" si="3"/>
        <v>44</v>
      </c>
      <c r="BI22" s="30">
        <f>BI14+BI12+BI10+BI8+BI16+BI18+BI20</f>
        <v>224</v>
      </c>
    </row>
    <row r="23" spans="1:61" s="36" customFormat="1" ht="67.5" customHeight="1" thickTop="1" thickBot="1">
      <c r="A23" s="467"/>
      <c r="B23" s="43" t="s">
        <v>29</v>
      </c>
      <c r="C23" s="30">
        <f>C15+C13+C11+C9+C17+C19</f>
        <v>17</v>
      </c>
      <c r="D23" s="30">
        <f t="shared" ref="D23:BI23" si="4">D15+D13+D11+D9+D17+D19</f>
        <v>10</v>
      </c>
      <c r="E23" s="30">
        <f t="shared" si="4"/>
        <v>10</v>
      </c>
      <c r="F23" s="30">
        <f t="shared" si="4"/>
        <v>1</v>
      </c>
      <c r="G23" s="30">
        <f t="shared" si="4"/>
        <v>13</v>
      </c>
      <c r="H23" s="30">
        <f t="shared" si="4"/>
        <v>8</v>
      </c>
      <c r="I23" s="30">
        <f t="shared" si="4"/>
        <v>2</v>
      </c>
      <c r="J23" s="30">
        <f t="shared" si="4"/>
        <v>0</v>
      </c>
      <c r="K23" s="30">
        <f t="shared" si="4"/>
        <v>2</v>
      </c>
      <c r="L23" s="30">
        <f t="shared" si="4"/>
        <v>0</v>
      </c>
      <c r="M23" s="30">
        <f t="shared" si="4"/>
        <v>0</v>
      </c>
      <c r="N23" s="30">
        <f t="shared" si="4"/>
        <v>3</v>
      </c>
      <c r="O23" s="30">
        <f t="shared" si="4"/>
        <v>2</v>
      </c>
      <c r="P23" s="30">
        <f t="shared" si="4"/>
        <v>1</v>
      </c>
      <c r="Q23" s="30">
        <f t="shared" si="4"/>
        <v>0</v>
      </c>
      <c r="R23" s="30">
        <f t="shared" si="4"/>
        <v>0</v>
      </c>
      <c r="S23" s="30">
        <f t="shared" si="4"/>
        <v>0</v>
      </c>
      <c r="T23" s="30">
        <f t="shared" si="4"/>
        <v>1</v>
      </c>
      <c r="U23" s="30">
        <f t="shared" si="4"/>
        <v>0</v>
      </c>
      <c r="V23" s="30">
        <f t="shared" si="4"/>
        <v>0</v>
      </c>
      <c r="W23" s="30">
        <f t="shared" si="4"/>
        <v>2</v>
      </c>
      <c r="X23" s="30">
        <f t="shared" si="4"/>
        <v>0</v>
      </c>
      <c r="Y23" s="30">
        <f t="shared" si="4"/>
        <v>1</v>
      </c>
      <c r="Z23" s="30">
        <f t="shared" si="4"/>
        <v>0</v>
      </c>
      <c r="AA23" s="30">
        <f t="shared" si="4"/>
        <v>33</v>
      </c>
      <c r="AB23" s="30">
        <f t="shared" si="4"/>
        <v>7</v>
      </c>
      <c r="AC23" s="30">
        <f t="shared" si="4"/>
        <v>1</v>
      </c>
      <c r="AD23" s="30">
        <f t="shared" si="4"/>
        <v>0</v>
      </c>
      <c r="AE23" s="30">
        <f t="shared" si="4"/>
        <v>2</v>
      </c>
      <c r="AF23" s="30">
        <f t="shared" si="4"/>
        <v>0</v>
      </c>
      <c r="AG23" s="30">
        <f t="shared" si="4"/>
        <v>0</v>
      </c>
      <c r="AH23" s="30">
        <f t="shared" si="4"/>
        <v>0</v>
      </c>
      <c r="AI23" s="30">
        <f t="shared" si="4"/>
        <v>0</v>
      </c>
      <c r="AJ23" s="30">
        <f t="shared" si="4"/>
        <v>0</v>
      </c>
      <c r="AK23" s="30">
        <f t="shared" si="4"/>
        <v>0</v>
      </c>
      <c r="AL23" s="30">
        <f t="shared" si="4"/>
        <v>6</v>
      </c>
      <c r="AM23" s="30">
        <f t="shared" si="4"/>
        <v>0</v>
      </c>
      <c r="AN23" s="30">
        <f t="shared" si="4"/>
        <v>0</v>
      </c>
      <c r="AO23" s="30">
        <f t="shared" si="4"/>
        <v>0</v>
      </c>
      <c r="AP23" s="30">
        <f t="shared" si="4"/>
        <v>0</v>
      </c>
      <c r="AQ23" s="30">
        <f t="shared" si="4"/>
        <v>0</v>
      </c>
      <c r="AR23" s="30">
        <f t="shared" si="4"/>
        <v>2</v>
      </c>
      <c r="AS23" s="30">
        <f t="shared" si="4"/>
        <v>5</v>
      </c>
      <c r="AT23" s="30">
        <f t="shared" si="4"/>
        <v>3</v>
      </c>
      <c r="AU23" s="30">
        <f t="shared" si="4"/>
        <v>5</v>
      </c>
      <c r="AV23" s="30">
        <f t="shared" si="4"/>
        <v>0</v>
      </c>
      <c r="AW23" s="30">
        <f t="shared" si="4"/>
        <v>0</v>
      </c>
      <c r="AX23" s="30">
        <f t="shared" si="4"/>
        <v>0</v>
      </c>
      <c r="AY23" s="30">
        <f t="shared" si="4"/>
        <v>0</v>
      </c>
      <c r="AZ23" s="30">
        <f t="shared" si="4"/>
        <v>2</v>
      </c>
      <c r="BA23" s="30">
        <f t="shared" si="4"/>
        <v>0</v>
      </c>
      <c r="BB23" s="30">
        <f t="shared" si="4"/>
        <v>4</v>
      </c>
      <c r="BC23" s="30">
        <f t="shared" si="4"/>
        <v>0</v>
      </c>
      <c r="BD23" s="30">
        <f t="shared" si="4"/>
        <v>45</v>
      </c>
      <c r="BE23" s="30">
        <f t="shared" si="4"/>
        <v>0</v>
      </c>
      <c r="BF23" s="30">
        <f t="shared" si="4"/>
        <v>0</v>
      </c>
      <c r="BG23" s="30">
        <f t="shared" si="4"/>
        <v>0</v>
      </c>
      <c r="BH23" s="30">
        <f t="shared" si="4"/>
        <v>47</v>
      </c>
      <c r="BI23" s="30">
        <f t="shared" si="4"/>
        <v>235</v>
      </c>
    </row>
    <row r="24" spans="1:61" s="10" customFormat="1" ht="67.5" customHeight="1" thickTop="1" thickBot="1">
      <c r="A24" s="468"/>
      <c r="B24" s="44" t="s">
        <v>25</v>
      </c>
      <c r="C24" s="34">
        <f>C23+C22</f>
        <v>24</v>
      </c>
      <c r="D24" s="34">
        <f t="shared" ref="D24:BI24" si="5">D23+D22</f>
        <v>17</v>
      </c>
      <c r="E24" s="34">
        <f t="shared" si="5"/>
        <v>19</v>
      </c>
      <c r="F24" s="34">
        <f t="shared" si="5"/>
        <v>2</v>
      </c>
      <c r="G24" s="34">
        <f t="shared" si="5"/>
        <v>18</v>
      </c>
      <c r="H24" s="34">
        <f t="shared" si="5"/>
        <v>13</v>
      </c>
      <c r="I24" s="34">
        <f t="shared" si="5"/>
        <v>4</v>
      </c>
      <c r="J24" s="34">
        <f t="shared" si="5"/>
        <v>0</v>
      </c>
      <c r="K24" s="34">
        <f t="shared" si="5"/>
        <v>3</v>
      </c>
      <c r="L24" s="34">
        <f t="shared" si="5"/>
        <v>1</v>
      </c>
      <c r="M24" s="34">
        <f t="shared" si="5"/>
        <v>0</v>
      </c>
      <c r="N24" s="34">
        <f t="shared" si="5"/>
        <v>13</v>
      </c>
      <c r="O24" s="34">
        <f t="shared" si="5"/>
        <v>3</v>
      </c>
      <c r="P24" s="34">
        <f t="shared" si="5"/>
        <v>2</v>
      </c>
      <c r="Q24" s="34">
        <f t="shared" si="5"/>
        <v>0</v>
      </c>
      <c r="R24" s="34">
        <f t="shared" si="5"/>
        <v>0</v>
      </c>
      <c r="S24" s="34">
        <f t="shared" si="5"/>
        <v>2</v>
      </c>
      <c r="T24" s="34">
        <f t="shared" si="5"/>
        <v>2</v>
      </c>
      <c r="U24" s="34">
        <f t="shared" si="5"/>
        <v>0</v>
      </c>
      <c r="V24" s="34">
        <f t="shared" si="5"/>
        <v>3</v>
      </c>
      <c r="W24" s="34">
        <f t="shared" si="5"/>
        <v>4</v>
      </c>
      <c r="X24" s="34">
        <f t="shared" si="5"/>
        <v>0</v>
      </c>
      <c r="Y24" s="34">
        <f t="shared" si="5"/>
        <v>2</v>
      </c>
      <c r="Z24" s="34">
        <f t="shared" si="5"/>
        <v>1</v>
      </c>
      <c r="AA24" s="34">
        <f t="shared" si="5"/>
        <v>46</v>
      </c>
      <c r="AB24" s="34">
        <f t="shared" si="5"/>
        <v>19</v>
      </c>
      <c r="AC24" s="34">
        <f t="shared" si="5"/>
        <v>12</v>
      </c>
      <c r="AD24" s="34">
        <f t="shared" si="5"/>
        <v>0</v>
      </c>
      <c r="AE24" s="34">
        <f t="shared" si="5"/>
        <v>4</v>
      </c>
      <c r="AF24" s="34">
        <f t="shared" si="5"/>
        <v>0</v>
      </c>
      <c r="AG24" s="34">
        <f t="shared" si="5"/>
        <v>0</v>
      </c>
      <c r="AH24" s="34">
        <f t="shared" si="5"/>
        <v>0</v>
      </c>
      <c r="AI24" s="34">
        <f t="shared" si="5"/>
        <v>0</v>
      </c>
      <c r="AJ24" s="34">
        <f t="shared" si="5"/>
        <v>0</v>
      </c>
      <c r="AK24" s="34">
        <f t="shared" si="5"/>
        <v>0</v>
      </c>
      <c r="AL24" s="34">
        <f t="shared" si="5"/>
        <v>17</v>
      </c>
      <c r="AM24" s="34">
        <f t="shared" si="5"/>
        <v>0</v>
      </c>
      <c r="AN24" s="34">
        <f t="shared" si="5"/>
        <v>0</v>
      </c>
      <c r="AO24" s="34">
        <f t="shared" si="5"/>
        <v>1</v>
      </c>
      <c r="AP24" s="34">
        <f t="shared" si="5"/>
        <v>3</v>
      </c>
      <c r="AQ24" s="34">
        <f t="shared" si="5"/>
        <v>2</v>
      </c>
      <c r="AR24" s="34">
        <f t="shared" si="5"/>
        <v>8</v>
      </c>
      <c r="AS24" s="34">
        <f t="shared" si="5"/>
        <v>10</v>
      </c>
      <c r="AT24" s="34">
        <f t="shared" si="5"/>
        <v>6</v>
      </c>
      <c r="AU24" s="34">
        <f t="shared" si="5"/>
        <v>10</v>
      </c>
      <c r="AV24" s="34">
        <f t="shared" si="5"/>
        <v>0</v>
      </c>
      <c r="AW24" s="34">
        <f t="shared" si="5"/>
        <v>0</v>
      </c>
      <c r="AX24" s="34">
        <f t="shared" si="5"/>
        <v>0</v>
      </c>
      <c r="AY24" s="34">
        <f t="shared" si="5"/>
        <v>0</v>
      </c>
      <c r="AZ24" s="34">
        <f t="shared" si="5"/>
        <v>2</v>
      </c>
      <c r="BA24" s="34">
        <f t="shared" si="5"/>
        <v>0</v>
      </c>
      <c r="BB24" s="34">
        <f t="shared" si="5"/>
        <v>5</v>
      </c>
      <c r="BC24" s="34">
        <f t="shared" si="5"/>
        <v>0</v>
      </c>
      <c r="BD24" s="34">
        <f t="shared" si="5"/>
        <v>90</v>
      </c>
      <c r="BE24" s="34">
        <f>BE23+BE22</f>
        <v>0</v>
      </c>
      <c r="BF24" s="34">
        <f>BF23+BF22</f>
        <v>0</v>
      </c>
      <c r="BG24" s="34">
        <f>BG23+BG22</f>
        <v>0</v>
      </c>
      <c r="BH24" s="34">
        <f t="shared" si="5"/>
        <v>91</v>
      </c>
      <c r="BI24" s="34">
        <f t="shared" si="5"/>
        <v>459</v>
      </c>
    </row>
    <row r="25" spans="1:61" s="10" customFormat="1" ht="20.25" customHeight="1" thickTop="1">
      <c r="A25" s="9"/>
      <c r="B25" s="4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</row>
    <row r="26" spans="1:61" s="28" customFormat="1" ht="30" customHeight="1">
      <c r="A26" s="460" t="s">
        <v>148</v>
      </c>
      <c r="B26" s="460"/>
      <c r="C26" s="460"/>
      <c r="D26" s="460"/>
      <c r="E26" s="460"/>
      <c r="F26" s="460"/>
      <c r="G26" s="460"/>
      <c r="H26" s="460"/>
      <c r="I26" s="460"/>
      <c r="J26" s="460"/>
      <c r="K26" s="460"/>
      <c r="L26" s="460"/>
      <c r="BB26" s="460" t="s">
        <v>112</v>
      </c>
      <c r="BC26" s="460"/>
      <c r="BD26" s="460"/>
      <c r="BE26" s="460"/>
      <c r="BF26" s="460"/>
      <c r="BG26" s="460"/>
      <c r="BH26" s="460"/>
      <c r="BI26" s="460"/>
    </row>
    <row r="27" spans="1:61" s="28" customFormat="1" ht="20.25" customHeight="1">
      <c r="A27" s="334" t="s">
        <v>188</v>
      </c>
      <c r="B27" s="334"/>
      <c r="C27" s="334"/>
      <c r="D27" s="334"/>
      <c r="E27" s="334"/>
      <c r="F27" s="334"/>
      <c r="G27" s="334"/>
      <c r="H27" s="334"/>
      <c r="I27" s="334"/>
      <c r="J27" s="334"/>
      <c r="K27" s="334"/>
      <c r="L27" s="334"/>
      <c r="Q27" s="31"/>
      <c r="R27" s="31"/>
      <c r="V27" s="464" t="s">
        <v>192</v>
      </c>
      <c r="W27" s="464"/>
      <c r="X27" s="464"/>
      <c r="Y27" s="464"/>
      <c r="Z27" s="464"/>
      <c r="AA27" s="464"/>
      <c r="AB27" s="464"/>
      <c r="AC27" s="464"/>
      <c r="AD27" s="464"/>
      <c r="AE27" s="464"/>
      <c r="AF27" s="464"/>
      <c r="AG27" s="464"/>
      <c r="AH27" s="464"/>
      <c r="AI27" s="464"/>
    </row>
    <row r="28" spans="1:61" s="28" customFormat="1" ht="20.25" customHeight="1">
      <c r="A28" s="460" t="s">
        <v>223</v>
      </c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460"/>
      <c r="P28" s="460"/>
      <c r="Q28" s="460"/>
      <c r="R28" s="460"/>
      <c r="S28" s="460"/>
      <c r="T28" s="460"/>
      <c r="U28" s="460"/>
      <c r="V28" s="460"/>
      <c r="W28" s="460"/>
      <c r="X28" s="460"/>
      <c r="Y28" s="460"/>
      <c r="Z28" s="460"/>
      <c r="AA28" s="460"/>
      <c r="AB28" s="460"/>
      <c r="AC28" s="460"/>
      <c r="AD28" s="460"/>
      <c r="AE28" s="460"/>
      <c r="AF28" s="460"/>
      <c r="AG28" s="460"/>
      <c r="AH28" s="460"/>
      <c r="AI28" s="460"/>
      <c r="AJ28" s="460"/>
      <c r="AK28" s="460"/>
      <c r="AL28" s="460"/>
      <c r="AM28" s="460"/>
      <c r="AN28" s="460"/>
      <c r="AO28" s="460"/>
      <c r="AP28" s="460"/>
      <c r="AQ28" s="460"/>
      <c r="AR28" s="460"/>
      <c r="AS28" s="460"/>
      <c r="AT28" s="460"/>
      <c r="AU28" s="460"/>
      <c r="AV28" s="460"/>
      <c r="AW28" s="460"/>
      <c r="AX28" s="460"/>
      <c r="AY28" s="460"/>
      <c r="AZ28" s="460"/>
      <c r="BA28" s="460"/>
      <c r="BB28" s="460"/>
      <c r="BC28" s="460"/>
      <c r="BD28" s="460"/>
      <c r="BE28" s="460"/>
      <c r="BF28" s="460"/>
      <c r="BG28" s="460"/>
      <c r="BH28" s="460"/>
      <c r="BI28" s="460"/>
    </row>
    <row r="29" spans="1:61" s="28" customFormat="1" ht="20.25" customHeight="1">
      <c r="A29" s="460" t="s">
        <v>543</v>
      </c>
      <c r="B29" s="460"/>
      <c r="C29" s="460"/>
      <c r="D29" s="460"/>
      <c r="E29" s="460"/>
      <c r="F29" s="460"/>
      <c r="G29" s="460"/>
      <c r="H29" s="460"/>
      <c r="I29" s="460"/>
      <c r="J29" s="460"/>
      <c r="K29" s="460"/>
      <c r="L29" s="460"/>
      <c r="M29" s="460"/>
      <c r="N29" s="460"/>
      <c r="O29" s="460"/>
      <c r="P29" s="460"/>
      <c r="Q29" s="460"/>
      <c r="R29" s="460"/>
      <c r="S29" s="460"/>
      <c r="T29" s="460"/>
      <c r="U29" s="460"/>
      <c r="V29" s="460"/>
      <c r="W29" s="460"/>
      <c r="X29" s="460"/>
      <c r="Y29" s="460"/>
      <c r="Z29" s="460"/>
      <c r="AA29" s="460"/>
      <c r="AB29" s="460"/>
      <c r="AC29" s="460"/>
      <c r="AD29" s="460"/>
      <c r="AE29" s="460"/>
      <c r="AF29" s="460"/>
      <c r="AG29" s="460"/>
      <c r="AH29" s="460"/>
      <c r="AI29" s="460"/>
      <c r="AJ29" s="460"/>
      <c r="AK29" s="460"/>
      <c r="AL29" s="460"/>
      <c r="AM29" s="460"/>
      <c r="AN29" s="460"/>
      <c r="AO29" s="460"/>
      <c r="AP29" s="460"/>
      <c r="AQ29" s="460"/>
      <c r="AR29" s="460"/>
      <c r="AS29" s="460"/>
      <c r="AT29" s="460"/>
      <c r="AU29" s="460"/>
      <c r="AV29" s="460"/>
      <c r="AW29" s="460"/>
      <c r="AX29" s="460"/>
      <c r="AY29" s="460"/>
      <c r="AZ29" s="460"/>
      <c r="BA29" s="460"/>
      <c r="BB29" s="460"/>
      <c r="BC29" s="460"/>
      <c r="BD29" s="460"/>
      <c r="BE29" s="460"/>
      <c r="BF29" s="460"/>
      <c r="BG29" s="460"/>
      <c r="BH29" s="460"/>
      <c r="BI29" s="460"/>
    </row>
    <row r="30" spans="1:61" s="28" customFormat="1" ht="20.25" customHeight="1">
      <c r="A30" s="460" t="s">
        <v>224</v>
      </c>
      <c r="B30" s="460"/>
      <c r="C30" s="460"/>
      <c r="D30" s="460"/>
      <c r="E30" s="460"/>
      <c r="F30" s="460"/>
      <c r="G30" s="460"/>
      <c r="H30" s="460"/>
      <c r="I30" s="460"/>
      <c r="J30" s="460"/>
      <c r="K30" s="460"/>
      <c r="L30" s="460"/>
      <c r="M30" s="460"/>
      <c r="N30" s="460"/>
      <c r="O30" s="460"/>
      <c r="P30" s="460"/>
      <c r="Q30" s="460"/>
      <c r="R30" s="460"/>
      <c r="S30" s="460"/>
      <c r="T30" s="460"/>
      <c r="U30" s="460"/>
      <c r="V30" s="460"/>
      <c r="W30" s="460"/>
      <c r="X30" s="460"/>
      <c r="Y30" s="460"/>
      <c r="Z30" s="460"/>
      <c r="AA30" s="460"/>
      <c r="AB30" s="460"/>
      <c r="AC30" s="460"/>
      <c r="AD30" s="460"/>
      <c r="AE30" s="460"/>
      <c r="AF30" s="460"/>
      <c r="AG30" s="460"/>
      <c r="AH30" s="460"/>
      <c r="AI30" s="460"/>
      <c r="AJ30" s="460"/>
      <c r="AK30" s="460"/>
      <c r="AL30" s="460"/>
      <c r="AM30" s="460"/>
      <c r="AN30" s="460"/>
      <c r="AO30" s="460"/>
      <c r="AP30" s="460"/>
      <c r="AQ30" s="460"/>
      <c r="AR30" s="460"/>
      <c r="AS30" s="460"/>
      <c r="AT30" s="460"/>
      <c r="AU30" s="460"/>
      <c r="AV30" s="460"/>
      <c r="AW30" s="460"/>
      <c r="AX30" s="460"/>
      <c r="AY30" s="460"/>
      <c r="AZ30" s="460"/>
      <c r="BA30" s="460"/>
      <c r="BB30" s="460"/>
      <c r="BC30" s="460"/>
      <c r="BD30" s="460"/>
      <c r="BE30" s="460"/>
      <c r="BF30" s="460"/>
      <c r="BG30" s="460"/>
      <c r="BH30" s="460"/>
      <c r="BI30" s="460"/>
    </row>
    <row r="31" spans="1:61" s="10" customFormat="1" ht="20.25" customHeight="1" thickBot="1">
      <c r="B31" s="40"/>
    </row>
    <row r="32" spans="1:61" s="42" customFormat="1" ht="96" thickTop="1" thickBot="1">
      <c r="A32" s="41" t="s">
        <v>115</v>
      </c>
      <c r="B32" s="39" t="s">
        <v>225</v>
      </c>
      <c r="C32" s="41" t="s">
        <v>229</v>
      </c>
      <c r="D32" s="41" t="s">
        <v>226</v>
      </c>
      <c r="E32" s="41" t="s">
        <v>227</v>
      </c>
      <c r="F32" s="41" t="s">
        <v>228</v>
      </c>
      <c r="G32" s="41" t="s">
        <v>230</v>
      </c>
      <c r="H32" s="41" t="s">
        <v>231</v>
      </c>
      <c r="I32" s="41" t="s">
        <v>232</v>
      </c>
      <c r="J32" s="41" t="s">
        <v>233</v>
      </c>
      <c r="K32" s="41" t="s">
        <v>234</v>
      </c>
      <c r="L32" s="41" t="s">
        <v>235</v>
      </c>
      <c r="M32" s="41" t="s">
        <v>236</v>
      </c>
      <c r="N32" s="41" t="s">
        <v>237</v>
      </c>
      <c r="O32" s="41" t="s">
        <v>238</v>
      </c>
      <c r="P32" s="41" t="s">
        <v>239</v>
      </c>
      <c r="Q32" s="41" t="s">
        <v>240</v>
      </c>
      <c r="R32" s="41" t="s">
        <v>241</v>
      </c>
      <c r="S32" s="41" t="s">
        <v>242</v>
      </c>
      <c r="T32" s="41" t="s">
        <v>243</v>
      </c>
      <c r="U32" s="41" t="s">
        <v>244</v>
      </c>
      <c r="V32" s="41" t="s">
        <v>245</v>
      </c>
      <c r="W32" s="41" t="s">
        <v>246</v>
      </c>
      <c r="X32" s="41" t="s">
        <v>247</v>
      </c>
      <c r="Y32" s="41" t="s">
        <v>248</v>
      </c>
      <c r="Z32" s="41" t="s">
        <v>249</v>
      </c>
      <c r="AA32" s="41" t="s">
        <v>250</v>
      </c>
      <c r="AB32" s="41" t="s">
        <v>251</v>
      </c>
      <c r="AC32" s="41" t="s">
        <v>252</v>
      </c>
      <c r="AD32" s="41" t="s">
        <v>253</v>
      </c>
      <c r="AE32" s="41" t="s">
        <v>254</v>
      </c>
      <c r="AF32" s="41" t="s">
        <v>255</v>
      </c>
      <c r="AG32" s="41" t="s">
        <v>256</v>
      </c>
      <c r="AH32" s="41" t="s">
        <v>257</v>
      </c>
      <c r="AI32" s="41" t="s">
        <v>258</v>
      </c>
      <c r="AJ32" s="41" t="s">
        <v>259</v>
      </c>
      <c r="AK32" s="41" t="s">
        <v>260</v>
      </c>
      <c r="AL32" s="41" t="s">
        <v>261</v>
      </c>
      <c r="AM32" s="41" t="s">
        <v>262</v>
      </c>
      <c r="AN32" s="41" t="s">
        <v>263</v>
      </c>
      <c r="AO32" s="41" t="s">
        <v>264</v>
      </c>
      <c r="AP32" s="41" t="s">
        <v>265</v>
      </c>
      <c r="AQ32" s="41" t="s">
        <v>266</v>
      </c>
      <c r="AR32" s="41" t="s">
        <v>267</v>
      </c>
      <c r="AS32" s="41" t="s">
        <v>268</v>
      </c>
      <c r="AT32" s="41" t="s">
        <v>269</v>
      </c>
      <c r="AU32" s="41" t="s">
        <v>270</v>
      </c>
      <c r="AV32" s="41" t="s">
        <v>271</v>
      </c>
      <c r="AW32" s="41" t="s">
        <v>272</v>
      </c>
      <c r="AX32" s="41" t="s">
        <v>273</v>
      </c>
      <c r="AY32" s="41" t="s">
        <v>274</v>
      </c>
      <c r="AZ32" s="41" t="s">
        <v>275</v>
      </c>
      <c r="BA32" s="41" t="s">
        <v>276</v>
      </c>
      <c r="BB32" s="41" t="s">
        <v>277</v>
      </c>
      <c r="BC32" s="41" t="s">
        <v>278</v>
      </c>
      <c r="BD32" s="41" t="s">
        <v>279</v>
      </c>
      <c r="BE32" s="41" t="s">
        <v>365</v>
      </c>
      <c r="BF32" s="41" t="s">
        <v>338</v>
      </c>
      <c r="BG32" s="41" t="s">
        <v>337</v>
      </c>
      <c r="BH32" s="41" t="s">
        <v>36</v>
      </c>
      <c r="BI32" s="41" t="s">
        <v>25</v>
      </c>
    </row>
    <row r="33" spans="1:61" s="36" customFormat="1" ht="75.75" customHeight="1" thickTop="1" thickBot="1">
      <c r="A33" s="461" t="s">
        <v>280</v>
      </c>
      <c r="B33" s="43" t="s">
        <v>73</v>
      </c>
      <c r="C33" s="30">
        <f>المهني!GJ12</f>
        <v>4</v>
      </c>
      <c r="D33" s="30">
        <f>المهني!GL12</f>
        <v>3</v>
      </c>
      <c r="E33" s="30">
        <f>المهني!GN12</f>
        <v>4</v>
      </c>
      <c r="F33" s="30">
        <f>المهني!GP12</f>
        <v>0</v>
      </c>
      <c r="G33" s="30">
        <f>المهني!GR12</f>
        <v>2</v>
      </c>
      <c r="H33" s="30">
        <f>المهني!GT12</f>
        <v>5</v>
      </c>
      <c r="I33" s="30">
        <f>المهني!GV12</f>
        <v>1</v>
      </c>
      <c r="J33" s="30">
        <f>المهني!GX12</f>
        <v>0</v>
      </c>
      <c r="K33" s="30">
        <f>المهني!GZ12</f>
        <v>0</v>
      </c>
      <c r="L33" s="30">
        <f>المهني!HB12</f>
        <v>0</v>
      </c>
      <c r="M33" s="30">
        <f>المهني!HD12</f>
        <v>0</v>
      </c>
      <c r="N33" s="30">
        <f>المهني!HF12</f>
        <v>5</v>
      </c>
      <c r="O33" s="30">
        <f>المهني!HH12</f>
        <v>1</v>
      </c>
      <c r="P33" s="30">
        <f>المهني!HJ12</f>
        <v>0</v>
      </c>
      <c r="Q33" s="30">
        <f>المهني!HL12</f>
        <v>0</v>
      </c>
      <c r="R33" s="30">
        <f>المهني!HN12</f>
        <v>0</v>
      </c>
      <c r="S33" s="30">
        <f>المهني!HP12</f>
        <v>0</v>
      </c>
      <c r="T33" s="30">
        <f>المهني!HR12</f>
        <v>0</v>
      </c>
      <c r="U33" s="30">
        <f>المهني!HT12</f>
        <v>0</v>
      </c>
      <c r="V33" s="30">
        <f>المهني!HV12</f>
        <v>0</v>
      </c>
      <c r="W33" s="30">
        <f>المهني!HX12</f>
        <v>0</v>
      </c>
      <c r="X33" s="30">
        <f>المهني!HZ12</f>
        <v>0</v>
      </c>
      <c r="Y33" s="30">
        <f>المهني!IB12</f>
        <v>0</v>
      </c>
      <c r="Z33" s="30">
        <f>المهني!ID12</f>
        <v>1</v>
      </c>
      <c r="AA33" s="30">
        <f>المهني!IF12</f>
        <v>11</v>
      </c>
      <c r="AB33" s="30">
        <f>المهني!IH12</f>
        <v>6</v>
      </c>
      <c r="AC33" s="30">
        <f>المهني!IJ12</f>
        <v>9</v>
      </c>
      <c r="AD33" s="30">
        <f>المهني!IL12</f>
        <v>0</v>
      </c>
      <c r="AE33" s="30">
        <f>المهني!IN12</f>
        <v>2</v>
      </c>
      <c r="AF33" s="30">
        <f>المهني!IP12</f>
        <v>0</v>
      </c>
      <c r="AG33" s="30">
        <f>المهني!IR12</f>
        <v>0</v>
      </c>
      <c r="AH33" s="30">
        <f>المهني!IT12</f>
        <v>0</v>
      </c>
      <c r="AI33" s="30">
        <f>المهني!IV12</f>
        <v>0</v>
      </c>
      <c r="AJ33" s="30">
        <f>المهني!IX12</f>
        <v>0</v>
      </c>
      <c r="AK33" s="30">
        <f>المهني!IZ12</f>
        <v>0</v>
      </c>
      <c r="AL33" s="30">
        <f>المهني!JB12</f>
        <v>0</v>
      </c>
      <c r="AM33" s="30">
        <f>المهني!JD12</f>
        <v>0</v>
      </c>
      <c r="AN33" s="30">
        <f>المهني!JF12</f>
        <v>0</v>
      </c>
      <c r="AO33" s="30">
        <f>المهني!JH12</f>
        <v>0</v>
      </c>
      <c r="AP33" s="30">
        <f>المهني!JJ12</f>
        <v>3</v>
      </c>
      <c r="AQ33" s="30">
        <f>المهني!JL12</f>
        <v>0</v>
      </c>
      <c r="AR33" s="30">
        <f>المهني!JN12</f>
        <v>0</v>
      </c>
      <c r="AS33" s="30">
        <f>المهني!JP12</f>
        <v>1</v>
      </c>
      <c r="AT33" s="30">
        <f>المهني!JR12</f>
        <v>2</v>
      </c>
      <c r="AU33" s="30">
        <f>المهني!JT12</f>
        <v>0</v>
      </c>
      <c r="AV33" s="30">
        <f>المهني!JV12</f>
        <v>0</v>
      </c>
      <c r="AW33" s="30">
        <f>المهني!JX12</f>
        <v>0</v>
      </c>
      <c r="AX33" s="30">
        <f>المهني!JZ12</f>
        <v>0</v>
      </c>
      <c r="AY33" s="30">
        <f>المهني!KB12</f>
        <v>0</v>
      </c>
      <c r="AZ33" s="30">
        <f>المهني!KD12</f>
        <v>0</v>
      </c>
      <c r="BA33" s="30">
        <f>المهني!KF12</f>
        <v>0</v>
      </c>
      <c r="BB33" s="30">
        <f>المهني!KH12</f>
        <v>1</v>
      </c>
      <c r="BC33" s="30">
        <f>المهني!KJ12</f>
        <v>0</v>
      </c>
      <c r="BD33" s="30">
        <f>المهني!KN12</f>
        <v>23</v>
      </c>
      <c r="BE33" s="30">
        <f>المهني!KL12</f>
        <v>0</v>
      </c>
      <c r="BF33" s="30"/>
      <c r="BG33" s="30"/>
      <c r="BH33" s="30">
        <f>المهني!KT12</f>
        <v>30</v>
      </c>
      <c r="BI33" s="32">
        <f>SUM(C33:BH33)</f>
        <v>114</v>
      </c>
    </row>
    <row r="34" spans="1:61" s="36" customFormat="1" ht="85.5" customHeight="1" thickTop="1" thickBot="1">
      <c r="A34" s="462"/>
      <c r="B34" s="43" t="s">
        <v>29</v>
      </c>
      <c r="C34" s="30">
        <f>المهني!GK12</f>
        <v>11</v>
      </c>
      <c r="D34" s="30">
        <f>المهني!GM12</f>
        <v>6</v>
      </c>
      <c r="E34" s="30">
        <f>المهني!GO12</f>
        <v>3</v>
      </c>
      <c r="F34" s="30">
        <f>المهني!GQ12</f>
        <v>0</v>
      </c>
      <c r="G34" s="30">
        <f>المهني!GS12</f>
        <v>8</v>
      </c>
      <c r="H34" s="30">
        <f>المهني!GU12</f>
        <v>4</v>
      </c>
      <c r="I34" s="30">
        <f>المهني!GW12</f>
        <v>0</v>
      </c>
      <c r="J34" s="30">
        <f>المهني!GY12</f>
        <v>0</v>
      </c>
      <c r="K34" s="30">
        <f>المهني!HA12</f>
        <v>0</v>
      </c>
      <c r="L34" s="30">
        <f>المهني!HC12</f>
        <v>0</v>
      </c>
      <c r="M34" s="30">
        <f>المهني!HE12</f>
        <v>0</v>
      </c>
      <c r="N34" s="30">
        <f>المهني!HG12</f>
        <v>2</v>
      </c>
      <c r="O34" s="30">
        <f>المهني!HI12</f>
        <v>2</v>
      </c>
      <c r="P34" s="30">
        <f>المهني!HK12</f>
        <v>0</v>
      </c>
      <c r="Q34" s="30">
        <f>المهني!HM12</f>
        <v>0</v>
      </c>
      <c r="R34" s="30">
        <f>المهني!HO12</f>
        <v>0</v>
      </c>
      <c r="S34" s="30">
        <f>المهني!HQ12</f>
        <v>0</v>
      </c>
      <c r="T34" s="30">
        <f>المهني!HS12</f>
        <v>0</v>
      </c>
      <c r="U34" s="30">
        <f>المهني!HU12</f>
        <v>0</v>
      </c>
      <c r="V34" s="30">
        <f>المهني!HW12</f>
        <v>0</v>
      </c>
      <c r="W34" s="30">
        <f>المهني!HY12</f>
        <v>0</v>
      </c>
      <c r="X34" s="30">
        <f>المهني!IA12</f>
        <v>0</v>
      </c>
      <c r="Y34" s="30">
        <f>المهني!IC12</f>
        <v>0</v>
      </c>
      <c r="Z34" s="30">
        <f>المهني!IE12</f>
        <v>0</v>
      </c>
      <c r="AA34" s="30">
        <f>المهني!IG12</f>
        <v>32</v>
      </c>
      <c r="AB34" s="30">
        <f>المهني!II12</f>
        <v>5</v>
      </c>
      <c r="AC34" s="30">
        <f>المهني!IK12</f>
        <v>0</v>
      </c>
      <c r="AD34" s="30">
        <f>المهني!IM12</f>
        <v>0</v>
      </c>
      <c r="AE34" s="30">
        <f>المهني!IO12</f>
        <v>2</v>
      </c>
      <c r="AF34" s="30">
        <f>المهني!IQ12</f>
        <v>0</v>
      </c>
      <c r="AG34" s="30">
        <f>المهني!IS12</f>
        <v>0</v>
      </c>
      <c r="AH34" s="30">
        <f>المهني!IU12</f>
        <v>0</v>
      </c>
      <c r="AI34" s="30">
        <f>المهني!IW12</f>
        <v>0</v>
      </c>
      <c r="AJ34" s="30">
        <f>المهني!IY12</f>
        <v>0</v>
      </c>
      <c r="AK34" s="30">
        <f>المهني!JA12</f>
        <v>0</v>
      </c>
      <c r="AL34" s="30">
        <f>المهني!JC12</f>
        <v>3</v>
      </c>
      <c r="AM34" s="30">
        <f>المهني!JE12</f>
        <v>0</v>
      </c>
      <c r="AN34" s="30">
        <f>المهني!JG12</f>
        <v>0</v>
      </c>
      <c r="AO34" s="30">
        <f>المهني!JI12</f>
        <v>0</v>
      </c>
      <c r="AP34" s="30">
        <f>المهني!JK12</f>
        <v>0</v>
      </c>
      <c r="AQ34" s="30">
        <f>المهني!JM12</f>
        <v>0</v>
      </c>
      <c r="AR34" s="30">
        <f>المهني!JO12</f>
        <v>0</v>
      </c>
      <c r="AS34" s="30">
        <f>المهني!JQ12</f>
        <v>0</v>
      </c>
      <c r="AT34" s="30">
        <f>المهني!JS12</f>
        <v>0</v>
      </c>
      <c r="AU34" s="30">
        <f>المهني!JU12</f>
        <v>0</v>
      </c>
      <c r="AV34" s="30">
        <f>المهني!JW12</f>
        <v>0</v>
      </c>
      <c r="AW34" s="30">
        <f>المهني!JY12</f>
        <v>0</v>
      </c>
      <c r="AX34" s="30">
        <f>المهني!KA12</f>
        <v>0</v>
      </c>
      <c r="AY34" s="30">
        <f>المهني!KC12</f>
        <v>0</v>
      </c>
      <c r="AZ34" s="30">
        <f>المهني!KE12</f>
        <v>1</v>
      </c>
      <c r="BA34" s="30">
        <f>المهني!KG12</f>
        <v>0</v>
      </c>
      <c r="BB34" s="30">
        <f>المهني!KI12</f>
        <v>0</v>
      </c>
      <c r="BC34" s="30">
        <f>المهني!KK12</f>
        <v>0</v>
      </c>
      <c r="BD34" s="30">
        <f>المهني!KO12</f>
        <v>26</v>
      </c>
      <c r="BE34" s="30"/>
      <c r="BF34" s="30"/>
      <c r="BG34" s="30"/>
      <c r="BH34" s="30">
        <f>المهني!KU12</f>
        <v>21</v>
      </c>
      <c r="BI34" s="32">
        <f t="shared" ref="BI34:BI44" si="6">SUM(C34:BH34)</f>
        <v>126</v>
      </c>
    </row>
    <row r="35" spans="1:61" s="36" customFormat="1" ht="68.25" customHeight="1" thickTop="1" thickBot="1">
      <c r="A35" s="461" t="s">
        <v>281</v>
      </c>
      <c r="B35" s="43" t="s">
        <v>73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/>
      <c r="BF35" s="37"/>
      <c r="BG35" s="37"/>
      <c r="BH35" s="37">
        <v>0</v>
      </c>
      <c r="BI35" s="35">
        <f t="shared" si="6"/>
        <v>0</v>
      </c>
    </row>
    <row r="36" spans="1:61" s="36" customFormat="1" ht="68.25" customHeight="1" thickTop="1" thickBot="1">
      <c r="A36" s="462"/>
      <c r="B36" s="43" t="s">
        <v>29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37">
        <v>0</v>
      </c>
      <c r="AZ36" s="37">
        <v>0</v>
      </c>
      <c r="BA36" s="37">
        <v>0</v>
      </c>
      <c r="BB36" s="37">
        <v>0</v>
      </c>
      <c r="BC36" s="37">
        <v>0</v>
      </c>
      <c r="BD36" s="37">
        <v>0</v>
      </c>
      <c r="BE36" s="37"/>
      <c r="BF36" s="37"/>
      <c r="BG36" s="37"/>
      <c r="BH36" s="37">
        <v>0</v>
      </c>
      <c r="BI36" s="35">
        <f t="shared" si="6"/>
        <v>0</v>
      </c>
    </row>
    <row r="37" spans="1:61" s="36" customFormat="1" ht="75.75" customHeight="1" thickTop="1" thickBot="1">
      <c r="A37" s="461" t="s">
        <v>282</v>
      </c>
      <c r="B37" s="43" t="s">
        <v>73</v>
      </c>
      <c r="C37" s="30">
        <f t="shared" ref="C37:AH37" si="7">C12</f>
        <v>1</v>
      </c>
      <c r="D37" s="30">
        <f t="shared" si="7"/>
        <v>0</v>
      </c>
      <c r="E37" s="30">
        <f t="shared" si="7"/>
        <v>2</v>
      </c>
      <c r="F37" s="30">
        <f t="shared" si="7"/>
        <v>0</v>
      </c>
      <c r="G37" s="30">
        <f t="shared" si="7"/>
        <v>1</v>
      </c>
      <c r="H37" s="30">
        <f t="shared" si="7"/>
        <v>0</v>
      </c>
      <c r="I37" s="30">
        <f t="shared" si="7"/>
        <v>0</v>
      </c>
      <c r="J37" s="30">
        <f t="shared" si="7"/>
        <v>0</v>
      </c>
      <c r="K37" s="30">
        <f t="shared" si="7"/>
        <v>0</v>
      </c>
      <c r="L37" s="30">
        <f t="shared" si="7"/>
        <v>1</v>
      </c>
      <c r="M37" s="30">
        <f t="shared" si="7"/>
        <v>0</v>
      </c>
      <c r="N37" s="30">
        <f t="shared" si="7"/>
        <v>1</v>
      </c>
      <c r="O37" s="30">
        <f t="shared" si="7"/>
        <v>0</v>
      </c>
      <c r="P37" s="30">
        <f t="shared" si="7"/>
        <v>0</v>
      </c>
      <c r="Q37" s="30">
        <f t="shared" si="7"/>
        <v>0</v>
      </c>
      <c r="R37" s="30">
        <f t="shared" si="7"/>
        <v>0</v>
      </c>
      <c r="S37" s="30">
        <f t="shared" si="7"/>
        <v>0</v>
      </c>
      <c r="T37" s="30">
        <f t="shared" si="7"/>
        <v>0</v>
      </c>
      <c r="U37" s="30">
        <f t="shared" si="7"/>
        <v>0</v>
      </c>
      <c r="V37" s="30">
        <f t="shared" si="7"/>
        <v>0</v>
      </c>
      <c r="W37" s="30">
        <f t="shared" si="7"/>
        <v>0</v>
      </c>
      <c r="X37" s="30">
        <f t="shared" si="7"/>
        <v>0</v>
      </c>
      <c r="Y37" s="30">
        <f t="shared" si="7"/>
        <v>0</v>
      </c>
      <c r="Z37" s="30">
        <f t="shared" si="7"/>
        <v>0</v>
      </c>
      <c r="AA37" s="30">
        <f t="shared" si="7"/>
        <v>0</v>
      </c>
      <c r="AB37" s="30">
        <f t="shared" si="7"/>
        <v>0</v>
      </c>
      <c r="AC37" s="30">
        <f t="shared" si="7"/>
        <v>0</v>
      </c>
      <c r="AD37" s="30">
        <f t="shared" si="7"/>
        <v>0</v>
      </c>
      <c r="AE37" s="30">
        <f t="shared" si="7"/>
        <v>0</v>
      </c>
      <c r="AF37" s="30">
        <f t="shared" si="7"/>
        <v>0</v>
      </c>
      <c r="AG37" s="30">
        <f t="shared" si="7"/>
        <v>0</v>
      </c>
      <c r="AH37" s="30">
        <f t="shared" si="7"/>
        <v>0</v>
      </c>
      <c r="AI37" s="30">
        <f t="shared" ref="AI37:BD37" si="8">AI12</f>
        <v>0</v>
      </c>
      <c r="AJ37" s="30">
        <f t="shared" si="8"/>
        <v>0</v>
      </c>
      <c r="AK37" s="30">
        <f t="shared" si="8"/>
        <v>0</v>
      </c>
      <c r="AL37" s="30">
        <f t="shared" si="8"/>
        <v>0</v>
      </c>
      <c r="AM37" s="30">
        <f t="shared" si="8"/>
        <v>0</v>
      </c>
      <c r="AN37" s="30">
        <f t="shared" si="8"/>
        <v>0</v>
      </c>
      <c r="AO37" s="30">
        <f t="shared" si="8"/>
        <v>0</v>
      </c>
      <c r="AP37" s="30">
        <f t="shared" si="8"/>
        <v>0</v>
      </c>
      <c r="AQ37" s="30">
        <f t="shared" si="8"/>
        <v>2</v>
      </c>
      <c r="AR37" s="30">
        <f t="shared" si="8"/>
        <v>3</v>
      </c>
      <c r="AS37" s="30">
        <f t="shared" si="8"/>
        <v>3</v>
      </c>
      <c r="AT37" s="30">
        <f t="shared" si="8"/>
        <v>0</v>
      </c>
      <c r="AU37" s="30">
        <f t="shared" si="8"/>
        <v>5</v>
      </c>
      <c r="AV37" s="30">
        <f t="shared" si="8"/>
        <v>0</v>
      </c>
      <c r="AW37" s="30">
        <f t="shared" si="8"/>
        <v>0</v>
      </c>
      <c r="AX37" s="30">
        <f t="shared" si="8"/>
        <v>0</v>
      </c>
      <c r="AY37" s="30">
        <f t="shared" si="8"/>
        <v>0</v>
      </c>
      <c r="AZ37" s="30">
        <f t="shared" si="8"/>
        <v>0</v>
      </c>
      <c r="BA37" s="30">
        <f t="shared" si="8"/>
        <v>0</v>
      </c>
      <c r="BB37" s="30">
        <f t="shared" si="8"/>
        <v>0</v>
      </c>
      <c r="BC37" s="30">
        <f t="shared" si="8"/>
        <v>0</v>
      </c>
      <c r="BD37" s="30">
        <f t="shared" si="8"/>
        <v>1</v>
      </c>
      <c r="BE37" s="30"/>
      <c r="BF37" s="30"/>
      <c r="BG37" s="30"/>
      <c r="BH37" s="30">
        <f>BH12</f>
        <v>0</v>
      </c>
      <c r="BI37" s="35">
        <f t="shared" si="6"/>
        <v>20</v>
      </c>
    </row>
    <row r="38" spans="1:61" s="36" customFormat="1" ht="75.75" customHeight="1" thickTop="1" thickBot="1">
      <c r="A38" s="462"/>
      <c r="B38" s="43" t="s">
        <v>29</v>
      </c>
      <c r="C38" s="30">
        <f t="shared" ref="C38:AH38" si="9">C13</f>
        <v>0</v>
      </c>
      <c r="D38" s="30">
        <f t="shared" si="9"/>
        <v>3</v>
      </c>
      <c r="E38" s="30">
        <f t="shared" si="9"/>
        <v>1</v>
      </c>
      <c r="F38" s="30">
        <f t="shared" si="9"/>
        <v>1</v>
      </c>
      <c r="G38" s="30">
        <f t="shared" si="9"/>
        <v>1</v>
      </c>
      <c r="H38" s="30">
        <f t="shared" si="9"/>
        <v>0</v>
      </c>
      <c r="I38" s="30">
        <f t="shared" si="9"/>
        <v>0</v>
      </c>
      <c r="J38" s="30">
        <f t="shared" si="9"/>
        <v>0</v>
      </c>
      <c r="K38" s="30">
        <f t="shared" si="9"/>
        <v>1</v>
      </c>
      <c r="L38" s="30">
        <f t="shared" si="9"/>
        <v>0</v>
      </c>
      <c r="M38" s="30">
        <f t="shared" si="9"/>
        <v>0</v>
      </c>
      <c r="N38" s="30">
        <f t="shared" si="9"/>
        <v>1</v>
      </c>
      <c r="O38" s="30">
        <f t="shared" si="9"/>
        <v>0</v>
      </c>
      <c r="P38" s="30">
        <f t="shared" si="9"/>
        <v>0</v>
      </c>
      <c r="Q38" s="30">
        <f t="shared" si="9"/>
        <v>0</v>
      </c>
      <c r="R38" s="30">
        <f t="shared" si="9"/>
        <v>0</v>
      </c>
      <c r="S38" s="30">
        <f t="shared" si="9"/>
        <v>0</v>
      </c>
      <c r="T38" s="30">
        <f t="shared" si="9"/>
        <v>0</v>
      </c>
      <c r="U38" s="30">
        <f t="shared" si="9"/>
        <v>0</v>
      </c>
      <c r="V38" s="30">
        <f t="shared" si="9"/>
        <v>0</v>
      </c>
      <c r="W38" s="30">
        <f t="shared" si="9"/>
        <v>0</v>
      </c>
      <c r="X38" s="30">
        <f t="shared" si="9"/>
        <v>0</v>
      </c>
      <c r="Y38" s="30">
        <f t="shared" si="9"/>
        <v>0</v>
      </c>
      <c r="Z38" s="30">
        <f t="shared" si="9"/>
        <v>0</v>
      </c>
      <c r="AA38" s="30">
        <f t="shared" si="9"/>
        <v>0</v>
      </c>
      <c r="AB38" s="30">
        <f t="shared" si="9"/>
        <v>0</v>
      </c>
      <c r="AC38" s="30">
        <f t="shared" si="9"/>
        <v>0</v>
      </c>
      <c r="AD38" s="30">
        <f t="shared" si="9"/>
        <v>0</v>
      </c>
      <c r="AE38" s="30">
        <f t="shared" si="9"/>
        <v>0</v>
      </c>
      <c r="AF38" s="30">
        <f t="shared" si="9"/>
        <v>0</v>
      </c>
      <c r="AG38" s="30">
        <f t="shared" si="9"/>
        <v>0</v>
      </c>
      <c r="AH38" s="30">
        <f t="shared" si="9"/>
        <v>0</v>
      </c>
      <c r="AI38" s="30">
        <f t="shared" ref="AI38:BD38" si="10">AI13</f>
        <v>0</v>
      </c>
      <c r="AJ38" s="30">
        <f t="shared" si="10"/>
        <v>0</v>
      </c>
      <c r="AK38" s="30">
        <f t="shared" si="10"/>
        <v>0</v>
      </c>
      <c r="AL38" s="30">
        <f t="shared" si="10"/>
        <v>0</v>
      </c>
      <c r="AM38" s="30">
        <f t="shared" si="10"/>
        <v>0</v>
      </c>
      <c r="AN38" s="30">
        <f t="shared" si="10"/>
        <v>0</v>
      </c>
      <c r="AO38" s="30">
        <f t="shared" si="10"/>
        <v>0</v>
      </c>
      <c r="AP38" s="30">
        <f t="shared" si="10"/>
        <v>0</v>
      </c>
      <c r="AQ38" s="30">
        <f t="shared" si="10"/>
        <v>0</v>
      </c>
      <c r="AR38" s="30">
        <f t="shared" si="10"/>
        <v>1</v>
      </c>
      <c r="AS38" s="30">
        <f t="shared" si="10"/>
        <v>4</v>
      </c>
      <c r="AT38" s="30">
        <f t="shared" si="10"/>
        <v>2</v>
      </c>
      <c r="AU38" s="30">
        <f t="shared" si="10"/>
        <v>1</v>
      </c>
      <c r="AV38" s="30">
        <f t="shared" si="10"/>
        <v>0</v>
      </c>
      <c r="AW38" s="30">
        <f t="shared" si="10"/>
        <v>0</v>
      </c>
      <c r="AX38" s="30">
        <f t="shared" si="10"/>
        <v>0</v>
      </c>
      <c r="AY38" s="30">
        <f t="shared" si="10"/>
        <v>0</v>
      </c>
      <c r="AZ38" s="30">
        <f t="shared" si="10"/>
        <v>0</v>
      </c>
      <c r="BA38" s="30">
        <f t="shared" si="10"/>
        <v>0</v>
      </c>
      <c r="BB38" s="30">
        <f t="shared" si="10"/>
        <v>4</v>
      </c>
      <c r="BC38" s="30">
        <f t="shared" si="10"/>
        <v>0</v>
      </c>
      <c r="BD38" s="30">
        <f t="shared" si="10"/>
        <v>3</v>
      </c>
      <c r="BE38" s="30"/>
      <c r="BF38" s="30"/>
      <c r="BG38" s="30"/>
      <c r="BH38" s="30">
        <f>BH13</f>
        <v>5</v>
      </c>
      <c r="BI38" s="35">
        <f t="shared" si="6"/>
        <v>28</v>
      </c>
    </row>
    <row r="39" spans="1:61" s="36" customFormat="1" ht="68.25" customHeight="1" thickTop="1" thickBot="1">
      <c r="A39" s="454" t="s">
        <v>214</v>
      </c>
      <c r="B39" s="43" t="s">
        <v>73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37">
        <v>0</v>
      </c>
      <c r="AZ39" s="37">
        <v>0</v>
      </c>
      <c r="BA39" s="37">
        <v>0</v>
      </c>
      <c r="BB39" s="37">
        <v>0</v>
      </c>
      <c r="BC39" s="37">
        <v>0</v>
      </c>
      <c r="BD39" s="37">
        <v>0</v>
      </c>
      <c r="BE39" s="35"/>
      <c r="BF39" s="35"/>
      <c r="BG39" s="35"/>
      <c r="BH39" s="35">
        <v>0</v>
      </c>
      <c r="BI39" s="35">
        <f t="shared" si="6"/>
        <v>0</v>
      </c>
    </row>
    <row r="40" spans="1:61" s="36" customFormat="1" ht="68.25" customHeight="1" thickTop="1" thickBot="1">
      <c r="A40" s="455"/>
      <c r="B40" s="43" t="s">
        <v>29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37">
        <v>0</v>
      </c>
      <c r="AZ40" s="37">
        <v>0</v>
      </c>
      <c r="BA40" s="37">
        <v>0</v>
      </c>
      <c r="BB40" s="37">
        <v>0</v>
      </c>
      <c r="BC40" s="37">
        <v>0</v>
      </c>
      <c r="BD40" s="35">
        <v>0</v>
      </c>
      <c r="BE40" s="35"/>
      <c r="BF40" s="35"/>
      <c r="BG40" s="35"/>
      <c r="BH40" s="35">
        <f>المهني!KU35</f>
        <v>0</v>
      </c>
      <c r="BI40" s="35">
        <f t="shared" si="6"/>
        <v>0</v>
      </c>
    </row>
    <row r="41" spans="1:61" s="36" customFormat="1" ht="68.25" customHeight="1" thickTop="1" thickBot="1">
      <c r="A41" s="454" t="s">
        <v>488</v>
      </c>
      <c r="B41" s="43" t="s">
        <v>73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5"/>
      <c r="BE41" s="35"/>
      <c r="BF41" s="35"/>
      <c r="BG41" s="35"/>
      <c r="BH41" s="35"/>
      <c r="BI41" s="35"/>
    </row>
    <row r="42" spans="1:61" s="36" customFormat="1" ht="68.25" customHeight="1" thickTop="1" thickBot="1">
      <c r="A42" s="455"/>
      <c r="B42" s="43" t="s">
        <v>29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5"/>
      <c r="BE42" s="35"/>
      <c r="BF42" s="35"/>
      <c r="BG42" s="35"/>
      <c r="BH42" s="35"/>
      <c r="BI42" s="35"/>
    </row>
    <row r="43" spans="1:61" s="36" customFormat="1" ht="67.5" customHeight="1" thickTop="1" thickBot="1">
      <c r="A43" s="454" t="s">
        <v>397</v>
      </c>
      <c r="B43" s="43" t="s">
        <v>73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5"/>
      <c r="BI43" s="35">
        <f t="shared" si="6"/>
        <v>0</v>
      </c>
    </row>
    <row r="44" spans="1:61" s="36" customFormat="1" ht="67.5" customHeight="1" thickTop="1" thickBot="1">
      <c r="A44" s="455"/>
      <c r="B44" s="43" t="s">
        <v>29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5"/>
      <c r="BI44" s="35">
        <f t="shared" si="6"/>
        <v>0</v>
      </c>
    </row>
    <row r="45" spans="1:61" s="36" customFormat="1" ht="75.75" customHeight="1" thickTop="1" thickBot="1">
      <c r="A45" s="461" t="s">
        <v>25</v>
      </c>
      <c r="B45" s="43" t="s">
        <v>73</v>
      </c>
      <c r="C45" s="30">
        <f>C39+C37+C35+C33</f>
        <v>5</v>
      </c>
      <c r="D45" s="30">
        <f t="shared" ref="D45:BI45" si="11">D39+D37+D35+D33</f>
        <v>3</v>
      </c>
      <c r="E45" s="30">
        <f t="shared" si="11"/>
        <v>6</v>
      </c>
      <c r="F45" s="30">
        <f t="shared" si="11"/>
        <v>0</v>
      </c>
      <c r="G45" s="30">
        <f t="shared" si="11"/>
        <v>3</v>
      </c>
      <c r="H45" s="30">
        <f t="shared" si="11"/>
        <v>5</v>
      </c>
      <c r="I45" s="30">
        <f t="shared" si="11"/>
        <v>1</v>
      </c>
      <c r="J45" s="30">
        <f t="shared" si="11"/>
        <v>0</v>
      </c>
      <c r="K45" s="30">
        <f t="shared" si="11"/>
        <v>0</v>
      </c>
      <c r="L45" s="30">
        <f t="shared" si="11"/>
        <v>1</v>
      </c>
      <c r="M45" s="30">
        <f t="shared" si="11"/>
        <v>0</v>
      </c>
      <c r="N45" s="30">
        <f t="shared" si="11"/>
        <v>6</v>
      </c>
      <c r="O45" s="30">
        <f t="shared" si="11"/>
        <v>1</v>
      </c>
      <c r="P45" s="30">
        <f t="shared" si="11"/>
        <v>0</v>
      </c>
      <c r="Q45" s="30">
        <f t="shared" si="11"/>
        <v>0</v>
      </c>
      <c r="R45" s="30">
        <f t="shared" si="11"/>
        <v>0</v>
      </c>
      <c r="S45" s="30">
        <f t="shared" si="11"/>
        <v>0</v>
      </c>
      <c r="T45" s="30">
        <f t="shared" si="11"/>
        <v>0</v>
      </c>
      <c r="U45" s="30">
        <f t="shared" si="11"/>
        <v>0</v>
      </c>
      <c r="V45" s="30">
        <f t="shared" si="11"/>
        <v>0</v>
      </c>
      <c r="W45" s="30">
        <f t="shared" si="11"/>
        <v>0</v>
      </c>
      <c r="X45" s="30">
        <f t="shared" si="11"/>
        <v>0</v>
      </c>
      <c r="Y45" s="30">
        <f t="shared" si="11"/>
        <v>0</v>
      </c>
      <c r="Z45" s="30">
        <f t="shared" si="11"/>
        <v>1</v>
      </c>
      <c r="AA45" s="30">
        <f t="shared" si="11"/>
        <v>11</v>
      </c>
      <c r="AB45" s="30">
        <f t="shared" si="11"/>
        <v>6</v>
      </c>
      <c r="AC45" s="30">
        <f t="shared" si="11"/>
        <v>9</v>
      </c>
      <c r="AD45" s="30">
        <f t="shared" si="11"/>
        <v>0</v>
      </c>
      <c r="AE45" s="30">
        <f t="shared" si="11"/>
        <v>2</v>
      </c>
      <c r="AF45" s="30">
        <f t="shared" si="11"/>
        <v>0</v>
      </c>
      <c r="AG45" s="30">
        <f t="shared" si="11"/>
        <v>0</v>
      </c>
      <c r="AH45" s="30">
        <f t="shared" si="11"/>
        <v>0</v>
      </c>
      <c r="AI45" s="30">
        <f t="shared" si="11"/>
        <v>0</v>
      </c>
      <c r="AJ45" s="30">
        <f t="shared" si="11"/>
        <v>0</v>
      </c>
      <c r="AK45" s="30">
        <f t="shared" si="11"/>
        <v>0</v>
      </c>
      <c r="AL45" s="30">
        <f t="shared" si="11"/>
        <v>0</v>
      </c>
      <c r="AM45" s="30">
        <f t="shared" si="11"/>
        <v>0</v>
      </c>
      <c r="AN45" s="30">
        <f t="shared" si="11"/>
        <v>0</v>
      </c>
      <c r="AO45" s="30">
        <f t="shared" si="11"/>
        <v>0</v>
      </c>
      <c r="AP45" s="30">
        <f t="shared" si="11"/>
        <v>3</v>
      </c>
      <c r="AQ45" s="30">
        <f t="shared" si="11"/>
        <v>2</v>
      </c>
      <c r="AR45" s="30">
        <f t="shared" si="11"/>
        <v>3</v>
      </c>
      <c r="AS45" s="30">
        <f t="shared" si="11"/>
        <v>4</v>
      </c>
      <c r="AT45" s="30">
        <f t="shared" si="11"/>
        <v>2</v>
      </c>
      <c r="AU45" s="30">
        <f t="shared" si="11"/>
        <v>5</v>
      </c>
      <c r="AV45" s="30">
        <f t="shared" si="11"/>
        <v>0</v>
      </c>
      <c r="AW45" s="30">
        <f t="shared" si="11"/>
        <v>0</v>
      </c>
      <c r="AX45" s="30">
        <f t="shared" si="11"/>
        <v>0</v>
      </c>
      <c r="AY45" s="30">
        <f t="shared" si="11"/>
        <v>0</v>
      </c>
      <c r="AZ45" s="30">
        <f t="shared" si="11"/>
        <v>0</v>
      </c>
      <c r="BA45" s="30">
        <f t="shared" si="11"/>
        <v>0</v>
      </c>
      <c r="BB45" s="30">
        <f t="shared" si="11"/>
        <v>1</v>
      </c>
      <c r="BC45" s="30">
        <f t="shared" si="11"/>
        <v>0</v>
      </c>
      <c r="BD45" s="30">
        <f t="shared" si="11"/>
        <v>24</v>
      </c>
      <c r="BE45" s="30">
        <f t="shared" ref="BE45:BG46" si="12">BE39+BE37+BE35+BE33</f>
        <v>0</v>
      </c>
      <c r="BF45" s="30">
        <f t="shared" si="12"/>
        <v>0</v>
      </c>
      <c r="BG45" s="30">
        <f t="shared" si="12"/>
        <v>0</v>
      </c>
      <c r="BH45" s="30">
        <f t="shared" si="11"/>
        <v>30</v>
      </c>
      <c r="BI45" s="32">
        <f t="shared" si="11"/>
        <v>134</v>
      </c>
    </row>
    <row r="46" spans="1:61" s="36" customFormat="1" ht="75.75" customHeight="1" thickTop="1" thickBot="1">
      <c r="A46" s="463"/>
      <c r="B46" s="43" t="s">
        <v>29</v>
      </c>
      <c r="C46" s="30">
        <f>C40+C38+C36+C34</f>
        <v>11</v>
      </c>
      <c r="D46" s="30">
        <f t="shared" ref="D46:BI46" si="13">D40+D38+D36+D34</f>
        <v>9</v>
      </c>
      <c r="E46" s="30">
        <f t="shared" si="13"/>
        <v>4</v>
      </c>
      <c r="F46" s="30">
        <f t="shared" si="13"/>
        <v>1</v>
      </c>
      <c r="G46" s="30">
        <f t="shared" si="13"/>
        <v>9</v>
      </c>
      <c r="H46" s="30">
        <f t="shared" si="13"/>
        <v>4</v>
      </c>
      <c r="I46" s="30">
        <f t="shared" si="13"/>
        <v>0</v>
      </c>
      <c r="J46" s="30">
        <f t="shared" si="13"/>
        <v>0</v>
      </c>
      <c r="K46" s="30">
        <f t="shared" si="13"/>
        <v>1</v>
      </c>
      <c r="L46" s="30">
        <f t="shared" si="13"/>
        <v>0</v>
      </c>
      <c r="M46" s="30">
        <f t="shared" si="13"/>
        <v>0</v>
      </c>
      <c r="N46" s="30">
        <f t="shared" si="13"/>
        <v>3</v>
      </c>
      <c r="O46" s="30">
        <f t="shared" si="13"/>
        <v>2</v>
      </c>
      <c r="P46" s="30">
        <f t="shared" si="13"/>
        <v>0</v>
      </c>
      <c r="Q46" s="30">
        <f t="shared" si="13"/>
        <v>0</v>
      </c>
      <c r="R46" s="30">
        <f t="shared" si="13"/>
        <v>0</v>
      </c>
      <c r="S46" s="30">
        <f t="shared" si="13"/>
        <v>0</v>
      </c>
      <c r="T46" s="30">
        <f t="shared" si="13"/>
        <v>0</v>
      </c>
      <c r="U46" s="30">
        <f t="shared" si="13"/>
        <v>0</v>
      </c>
      <c r="V46" s="30">
        <f t="shared" si="13"/>
        <v>0</v>
      </c>
      <c r="W46" s="30">
        <f t="shared" si="13"/>
        <v>0</v>
      </c>
      <c r="X46" s="30">
        <f t="shared" si="13"/>
        <v>0</v>
      </c>
      <c r="Y46" s="30">
        <f t="shared" si="13"/>
        <v>0</v>
      </c>
      <c r="Z46" s="30">
        <f t="shared" si="13"/>
        <v>0</v>
      </c>
      <c r="AA46" s="30">
        <f t="shared" si="13"/>
        <v>32</v>
      </c>
      <c r="AB46" s="30">
        <f t="shared" si="13"/>
        <v>5</v>
      </c>
      <c r="AC46" s="30">
        <f t="shared" si="13"/>
        <v>0</v>
      </c>
      <c r="AD46" s="30">
        <f t="shared" si="13"/>
        <v>0</v>
      </c>
      <c r="AE46" s="30">
        <f t="shared" si="13"/>
        <v>2</v>
      </c>
      <c r="AF46" s="30">
        <f t="shared" si="13"/>
        <v>0</v>
      </c>
      <c r="AG46" s="30">
        <f t="shared" si="13"/>
        <v>0</v>
      </c>
      <c r="AH46" s="30">
        <f t="shared" si="13"/>
        <v>0</v>
      </c>
      <c r="AI46" s="30">
        <f t="shared" si="13"/>
        <v>0</v>
      </c>
      <c r="AJ46" s="30">
        <f t="shared" si="13"/>
        <v>0</v>
      </c>
      <c r="AK46" s="30">
        <f t="shared" si="13"/>
        <v>0</v>
      </c>
      <c r="AL46" s="30">
        <f t="shared" si="13"/>
        <v>3</v>
      </c>
      <c r="AM46" s="30">
        <f t="shared" si="13"/>
        <v>0</v>
      </c>
      <c r="AN46" s="30">
        <f t="shared" si="13"/>
        <v>0</v>
      </c>
      <c r="AO46" s="30">
        <f t="shared" si="13"/>
        <v>0</v>
      </c>
      <c r="AP46" s="30">
        <f t="shared" si="13"/>
        <v>0</v>
      </c>
      <c r="AQ46" s="30">
        <f t="shared" si="13"/>
        <v>0</v>
      </c>
      <c r="AR46" s="30">
        <f t="shared" si="13"/>
        <v>1</v>
      </c>
      <c r="AS46" s="30">
        <f t="shared" si="13"/>
        <v>4</v>
      </c>
      <c r="AT46" s="30">
        <f t="shared" si="13"/>
        <v>2</v>
      </c>
      <c r="AU46" s="30">
        <f t="shared" si="13"/>
        <v>1</v>
      </c>
      <c r="AV46" s="30">
        <f t="shared" si="13"/>
        <v>0</v>
      </c>
      <c r="AW46" s="30">
        <f t="shared" si="13"/>
        <v>0</v>
      </c>
      <c r="AX46" s="30">
        <f t="shared" si="13"/>
        <v>0</v>
      </c>
      <c r="AY46" s="30">
        <f t="shared" si="13"/>
        <v>0</v>
      </c>
      <c r="AZ46" s="30">
        <f t="shared" si="13"/>
        <v>1</v>
      </c>
      <c r="BA46" s="30">
        <f t="shared" si="13"/>
        <v>0</v>
      </c>
      <c r="BB46" s="30">
        <f t="shared" si="13"/>
        <v>4</v>
      </c>
      <c r="BC46" s="30">
        <f t="shared" si="13"/>
        <v>0</v>
      </c>
      <c r="BD46" s="30">
        <f t="shared" si="13"/>
        <v>29</v>
      </c>
      <c r="BE46" s="30">
        <f t="shared" si="12"/>
        <v>0</v>
      </c>
      <c r="BF46" s="30">
        <f t="shared" si="12"/>
        <v>0</v>
      </c>
      <c r="BG46" s="30">
        <f t="shared" si="12"/>
        <v>0</v>
      </c>
      <c r="BH46" s="30">
        <f t="shared" si="13"/>
        <v>26</v>
      </c>
      <c r="BI46" s="32">
        <f t="shared" si="13"/>
        <v>154</v>
      </c>
    </row>
    <row r="47" spans="1:61" s="36" customFormat="1" ht="75.75" customHeight="1" thickTop="1" thickBot="1">
      <c r="A47" s="462"/>
      <c r="B47" s="43" t="s">
        <v>25</v>
      </c>
      <c r="C47" s="32">
        <f>C46+C45</f>
        <v>16</v>
      </c>
      <c r="D47" s="32">
        <f t="shared" ref="D47:BI47" si="14">D46+D45</f>
        <v>12</v>
      </c>
      <c r="E47" s="32">
        <f t="shared" si="14"/>
        <v>10</v>
      </c>
      <c r="F47" s="32">
        <f t="shared" si="14"/>
        <v>1</v>
      </c>
      <c r="G47" s="32">
        <f t="shared" si="14"/>
        <v>12</v>
      </c>
      <c r="H47" s="32">
        <f t="shared" si="14"/>
        <v>9</v>
      </c>
      <c r="I47" s="32">
        <f t="shared" si="14"/>
        <v>1</v>
      </c>
      <c r="J47" s="32">
        <f t="shared" si="14"/>
        <v>0</v>
      </c>
      <c r="K47" s="32">
        <f t="shared" si="14"/>
        <v>1</v>
      </c>
      <c r="L47" s="32">
        <f t="shared" si="14"/>
        <v>1</v>
      </c>
      <c r="M47" s="32">
        <f t="shared" si="14"/>
        <v>0</v>
      </c>
      <c r="N47" s="32">
        <f t="shared" si="14"/>
        <v>9</v>
      </c>
      <c r="O47" s="32">
        <f t="shared" si="14"/>
        <v>3</v>
      </c>
      <c r="P47" s="32">
        <f t="shared" si="14"/>
        <v>0</v>
      </c>
      <c r="Q47" s="32">
        <f t="shared" si="14"/>
        <v>0</v>
      </c>
      <c r="R47" s="32">
        <f t="shared" si="14"/>
        <v>0</v>
      </c>
      <c r="S47" s="32">
        <f t="shared" si="14"/>
        <v>0</v>
      </c>
      <c r="T47" s="32">
        <f t="shared" si="14"/>
        <v>0</v>
      </c>
      <c r="U47" s="32">
        <f t="shared" si="14"/>
        <v>0</v>
      </c>
      <c r="V47" s="32">
        <f t="shared" si="14"/>
        <v>0</v>
      </c>
      <c r="W47" s="32">
        <f t="shared" si="14"/>
        <v>0</v>
      </c>
      <c r="X47" s="32">
        <f t="shared" si="14"/>
        <v>0</v>
      </c>
      <c r="Y47" s="32">
        <f t="shared" si="14"/>
        <v>0</v>
      </c>
      <c r="Z47" s="32">
        <f t="shared" si="14"/>
        <v>1</v>
      </c>
      <c r="AA47" s="32">
        <f t="shared" si="14"/>
        <v>43</v>
      </c>
      <c r="AB47" s="32">
        <f t="shared" si="14"/>
        <v>11</v>
      </c>
      <c r="AC47" s="32">
        <f t="shared" si="14"/>
        <v>9</v>
      </c>
      <c r="AD47" s="32">
        <f t="shared" si="14"/>
        <v>0</v>
      </c>
      <c r="AE47" s="32">
        <f t="shared" si="14"/>
        <v>4</v>
      </c>
      <c r="AF47" s="32">
        <f t="shared" si="14"/>
        <v>0</v>
      </c>
      <c r="AG47" s="32">
        <f t="shared" si="14"/>
        <v>0</v>
      </c>
      <c r="AH47" s="32">
        <f t="shared" si="14"/>
        <v>0</v>
      </c>
      <c r="AI47" s="32">
        <f t="shared" si="14"/>
        <v>0</v>
      </c>
      <c r="AJ47" s="32">
        <f t="shared" si="14"/>
        <v>0</v>
      </c>
      <c r="AK47" s="32">
        <f t="shared" si="14"/>
        <v>0</v>
      </c>
      <c r="AL47" s="32">
        <f t="shared" si="14"/>
        <v>3</v>
      </c>
      <c r="AM47" s="32">
        <f t="shared" si="14"/>
        <v>0</v>
      </c>
      <c r="AN47" s="32">
        <f t="shared" si="14"/>
        <v>0</v>
      </c>
      <c r="AO47" s="32">
        <f t="shared" si="14"/>
        <v>0</v>
      </c>
      <c r="AP47" s="32">
        <f t="shared" si="14"/>
        <v>3</v>
      </c>
      <c r="AQ47" s="32">
        <f t="shared" si="14"/>
        <v>2</v>
      </c>
      <c r="AR47" s="32">
        <f t="shared" si="14"/>
        <v>4</v>
      </c>
      <c r="AS47" s="32">
        <f t="shared" si="14"/>
        <v>8</v>
      </c>
      <c r="AT47" s="32">
        <f t="shared" si="14"/>
        <v>4</v>
      </c>
      <c r="AU47" s="32">
        <f t="shared" si="14"/>
        <v>6</v>
      </c>
      <c r="AV47" s="32">
        <f t="shared" si="14"/>
        <v>0</v>
      </c>
      <c r="AW47" s="32">
        <f t="shared" si="14"/>
        <v>0</v>
      </c>
      <c r="AX47" s="32">
        <f t="shared" si="14"/>
        <v>0</v>
      </c>
      <c r="AY47" s="32">
        <f t="shared" si="14"/>
        <v>0</v>
      </c>
      <c r="AZ47" s="32">
        <f t="shared" si="14"/>
        <v>1</v>
      </c>
      <c r="BA47" s="32">
        <f t="shared" si="14"/>
        <v>0</v>
      </c>
      <c r="BB47" s="32">
        <f t="shared" si="14"/>
        <v>5</v>
      </c>
      <c r="BC47" s="32">
        <f t="shared" si="14"/>
        <v>0</v>
      </c>
      <c r="BD47" s="32">
        <f t="shared" si="14"/>
        <v>53</v>
      </c>
      <c r="BE47" s="32">
        <f>BE46+BE45</f>
        <v>0</v>
      </c>
      <c r="BF47" s="32">
        <f>BF46+BF45</f>
        <v>0</v>
      </c>
      <c r="BG47" s="32">
        <f>BG46+BG45</f>
        <v>0</v>
      </c>
      <c r="BH47" s="32">
        <f t="shared" si="14"/>
        <v>56</v>
      </c>
      <c r="BI47" s="32">
        <f t="shared" si="14"/>
        <v>288</v>
      </c>
    </row>
    <row r="48" spans="1:61" s="10" customFormat="1" ht="20.25" customHeight="1" thickTop="1">
      <c r="A48" s="9"/>
      <c r="B48" s="45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</row>
    <row r="49" spans="1:61" s="28" customFormat="1" ht="28.5" customHeight="1">
      <c r="A49" s="460" t="s">
        <v>148</v>
      </c>
      <c r="B49" s="460"/>
      <c r="C49" s="460"/>
      <c r="D49" s="460"/>
      <c r="E49" s="460"/>
      <c r="F49" s="460"/>
      <c r="G49" s="460"/>
      <c r="H49" s="460"/>
      <c r="I49" s="460"/>
      <c r="J49" s="460"/>
      <c r="K49" s="460"/>
      <c r="L49" s="460"/>
      <c r="BB49" s="460" t="s">
        <v>112</v>
      </c>
      <c r="BC49" s="460"/>
      <c r="BD49" s="460"/>
      <c r="BE49" s="460"/>
      <c r="BF49" s="460"/>
      <c r="BG49" s="460"/>
      <c r="BH49" s="460"/>
      <c r="BI49" s="460"/>
    </row>
    <row r="50" spans="1:61" s="28" customFormat="1" ht="20.25" customHeight="1">
      <c r="A50" s="334" t="s">
        <v>188</v>
      </c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Q50" s="31"/>
      <c r="R50" s="31"/>
      <c r="V50" s="464" t="s">
        <v>186</v>
      </c>
      <c r="W50" s="464"/>
      <c r="X50" s="464"/>
      <c r="Y50" s="464"/>
      <c r="Z50" s="464"/>
      <c r="AA50" s="464"/>
      <c r="AB50" s="464"/>
      <c r="AC50" s="464"/>
      <c r="AD50" s="464"/>
      <c r="AE50" s="464"/>
      <c r="AF50" s="464"/>
      <c r="AG50" s="464"/>
      <c r="AH50" s="464"/>
      <c r="AI50" s="464"/>
    </row>
    <row r="51" spans="1:61" s="28" customFormat="1" ht="20.25" customHeight="1">
      <c r="A51" s="460" t="s">
        <v>223</v>
      </c>
      <c r="B51" s="460"/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460"/>
      <c r="S51" s="460"/>
      <c r="T51" s="460"/>
      <c r="U51" s="460"/>
      <c r="V51" s="460"/>
      <c r="W51" s="460"/>
      <c r="X51" s="460"/>
      <c r="Y51" s="460"/>
      <c r="Z51" s="460"/>
      <c r="AA51" s="460"/>
      <c r="AB51" s="460"/>
      <c r="AC51" s="460"/>
      <c r="AD51" s="460"/>
      <c r="AE51" s="460"/>
      <c r="AF51" s="460"/>
      <c r="AG51" s="460"/>
      <c r="AH51" s="460"/>
      <c r="AI51" s="460"/>
      <c r="AJ51" s="460"/>
      <c r="AK51" s="460"/>
      <c r="AL51" s="460"/>
      <c r="AM51" s="460"/>
      <c r="AN51" s="460"/>
      <c r="AO51" s="460"/>
      <c r="AP51" s="460"/>
      <c r="AQ51" s="460"/>
      <c r="AR51" s="460"/>
      <c r="AS51" s="460"/>
      <c r="AT51" s="460"/>
      <c r="AU51" s="460"/>
      <c r="AV51" s="460"/>
      <c r="AW51" s="460"/>
      <c r="AX51" s="460"/>
      <c r="AY51" s="460"/>
      <c r="AZ51" s="460"/>
      <c r="BA51" s="460"/>
      <c r="BB51" s="460"/>
      <c r="BC51" s="460"/>
      <c r="BD51" s="460"/>
      <c r="BE51" s="460"/>
      <c r="BF51" s="460"/>
      <c r="BG51" s="460"/>
      <c r="BH51" s="460"/>
      <c r="BI51" s="460"/>
    </row>
    <row r="52" spans="1:61" s="28" customFormat="1" ht="20.25" customHeight="1">
      <c r="A52" s="460" t="s">
        <v>543</v>
      </c>
      <c r="B52" s="460"/>
      <c r="C52" s="460"/>
      <c r="D52" s="460"/>
      <c r="E52" s="460"/>
      <c r="F52" s="460"/>
      <c r="G52" s="460"/>
      <c r="H52" s="460"/>
      <c r="I52" s="460"/>
      <c r="J52" s="460"/>
      <c r="K52" s="460"/>
      <c r="L52" s="460"/>
      <c r="M52" s="460"/>
      <c r="N52" s="460"/>
      <c r="O52" s="460"/>
      <c r="P52" s="460"/>
      <c r="Q52" s="460"/>
      <c r="R52" s="460"/>
      <c r="S52" s="460"/>
      <c r="T52" s="460"/>
      <c r="U52" s="460"/>
      <c r="V52" s="460"/>
      <c r="W52" s="460"/>
      <c r="X52" s="460"/>
      <c r="Y52" s="460"/>
      <c r="Z52" s="460"/>
      <c r="AA52" s="460"/>
      <c r="AB52" s="460"/>
      <c r="AC52" s="460"/>
      <c r="AD52" s="460"/>
      <c r="AE52" s="460"/>
      <c r="AF52" s="460"/>
      <c r="AG52" s="460"/>
      <c r="AH52" s="460"/>
      <c r="AI52" s="460"/>
      <c r="AJ52" s="460"/>
      <c r="AK52" s="460"/>
      <c r="AL52" s="460"/>
      <c r="AM52" s="460"/>
      <c r="AN52" s="460"/>
      <c r="AO52" s="460"/>
      <c r="AP52" s="460"/>
      <c r="AQ52" s="460"/>
      <c r="AR52" s="460"/>
      <c r="AS52" s="460"/>
      <c r="AT52" s="460"/>
      <c r="AU52" s="460"/>
      <c r="AV52" s="460"/>
      <c r="AW52" s="460"/>
      <c r="AX52" s="460"/>
      <c r="AY52" s="460"/>
      <c r="AZ52" s="460"/>
      <c r="BA52" s="460"/>
      <c r="BB52" s="460"/>
      <c r="BC52" s="460"/>
      <c r="BD52" s="460"/>
      <c r="BE52" s="460"/>
      <c r="BF52" s="460"/>
      <c r="BG52" s="460"/>
      <c r="BH52" s="460"/>
      <c r="BI52" s="460"/>
    </row>
    <row r="53" spans="1:61" s="28" customFormat="1" ht="20.25" customHeight="1">
      <c r="A53" s="460" t="s">
        <v>224</v>
      </c>
      <c r="B53" s="460"/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  <c r="U53" s="460"/>
      <c r="V53" s="460"/>
      <c r="W53" s="460"/>
      <c r="X53" s="460"/>
      <c r="Y53" s="460"/>
      <c r="Z53" s="460"/>
      <c r="AA53" s="460"/>
      <c r="AB53" s="460"/>
      <c r="AC53" s="460"/>
      <c r="AD53" s="460"/>
      <c r="AE53" s="460"/>
      <c r="AF53" s="460"/>
      <c r="AG53" s="460"/>
      <c r="AH53" s="460"/>
      <c r="AI53" s="460"/>
      <c r="AJ53" s="460"/>
      <c r="AK53" s="460"/>
      <c r="AL53" s="460"/>
      <c r="AM53" s="460"/>
      <c r="AN53" s="460"/>
      <c r="AO53" s="460"/>
      <c r="AP53" s="460"/>
      <c r="AQ53" s="460"/>
      <c r="AR53" s="460"/>
      <c r="AS53" s="460"/>
      <c r="AT53" s="460"/>
      <c r="AU53" s="460"/>
      <c r="AV53" s="460"/>
      <c r="AW53" s="460"/>
      <c r="AX53" s="460"/>
      <c r="AY53" s="460"/>
      <c r="AZ53" s="460"/>
      <c r="BA53" s="460"/>
      <c r="BB53" s="460"/>
      <c r="BC53" s="460"/>
      <c r="BD53" s="460"/>
      <c r="BE53" s="460"/>
      <c r="BF53" s="460"/>
      <c r="BG53" s="460"/>
      <c r="BH53" s="460"/>
      <c r="BI53" s="460"/>
    </row>
    <row r="54" spans="1:61" s="10" customFormat="1" ht="20.25" customHeight="1" thickBot="1">
      <c r="B54" s="40"/>
    </row>
    <row r="55" spans="1:61" s="10" customFormat="1" ht="132" customHeight="1" thickTop="1" thickBot="1">
      <c r="A55" s="51" t="s">
        <v>115</v>
      </c>
      <c r="B55" s="51" t="s">
        <v>225</v>
      </c>
      <c r="C55" s="51" t="s">
        <v>229</v>
      </c>
      <c r="D55" s="51" t="s">
        <v>226</v>
      </c>
      <c r="E55" s="51" t="s">
        <v>227</v>
      </c>
      <c r="F55" s="51" t="s">
        <v>228</v>
      </c>
      <c r="G55" s="51" t="s">
        <v>230</v>
      </c>
      <c r="H55" s="51" t="s">
        <v>231</v>
      </c>
      <c r="I55" s="51" t="s">
        <v>232</v>
      </c>
      <c r="J55" s="51" t="s">
        <v>233</v>
      </c>
      <c r="K55" s="51" t="s">
        <v>234</v>
      </c>
      <c r="L55" s="51" t="s">
        <v>235</v>
      </c>
      <c r="M55" s="51" t="s">
        <v>236</v>
      </c>
      <c r="N55" s="51" t="s">
        <v>237</v>
      </c>
      <c r="O55" s="51" t="s">
        <v>238</v>
      </c>
      <c r="P55" s="51" t="s">
        <v>239</v>
      </c>
      <c r="Q55" s="51" t="s">
        <v>240</v>
      </c>
      <c r="R55" s="51" t="s">
        <v>241</v>
      </c>
      <c r="S55" s="51" t="s">
        <v>242</v>
      </c>
      <c r="T55" s="51" t="s">
        <v>243</v>
      </c>
      <c r="U55" s="51" t="s">
        <v>244</v>
      </c>
      <c r="V55" s="51" t="s">
        <v>245</v>
      </c>
      <c r="W55" s="51" t="s">
        <v>246</v>
      </c>
      <c r="X55" s="51" t="s">
        <v>247</v>
      </c>
      <c r="Y55" s="51" t="s">
        <v>248</v>
      </c>
      <c r="Z55" s="51" t="s">
        <v>249</v>
      </c>
      <c r="AA55" s="51" t="s">
        <v>250</v>
      </c>
      <c r="AB55" s="51" t="s">
        <v>251</v>
      </c>
      <c r="AC55" s="51" t="s">
        <v>252</v>
      </c>
      <c r="AD55" s="51" t="s">
        <v>253</v>
      </c>
      <c r="AE55" s="51" t="s">
        <v>254</v>
      </c>
      <c r="AF55" s="51" t="s">
        <v>255</v>
      </c>
      <c r="AG55" s="51" t="s">
        <v>256</v>
      </c>
      <c r="AH55" s="51" t="s">
        <v>257</v>
      </c>
      <c r="AI55" s="51" t="s">
        <v>258</v>
      </c>
      <c r="AJ55" s="51" t="s">
        <v>259</v>
      </c>
      <c r="AK55" s="51" t="s">
        <v>260</v>
      </c>
      <c r="AL55" s="51" t="s">
        <v>261</v>
      </c>
      <c r="AM55" s="51" t="s">
        <v>262</v>
      </c>
      <c r="AN55" s="51" t="s">
        <v>263</v>
      </c>
      <c r="AO55" s="51" t="s">
        <v>264</v>
      </c>
      <c r="AP55" s="51" t="s">
        <v>265</v>
      </c>
      <c r="AQ55" s="51" t="s">
        <v>266</v>
      </c>
      <c r="AR55" s="51" t="s">
        <v>267</v>
      </c>
      <c r="AS55" s="51" t="s">
        <v>268</v>
      </c>
      <c r="AT55" s="51" t="s">
        <v>269</v>
      </c>
      <c r="AU55" s="51" t="s">
        <v>270</v>
      </c>
      <c r="AV55" s="51" t="s">
        <v>271</v>
      </c>
      <c r="AW55" s="51" t="s">
        <v>272</v>
      </c>
      <c r="AX55" s="51" t="s">
        <v>273</v>
      </c>
      <c r="AY55" s="51" t="s">
        <v>274</v>
      </c>
      <c r="AZ55" s="51" t="s">
        <v>275</v>
      </c>
      <c r="BA55" s="51" t="s">
        <v>276</v>
      </c>
      <c r="BB55" s="51" t="s">
        <v>277</v>
      </c>
      <c r="BC55" s="51" t="s">
        <v>278</v>
      </c>
      <c r="BD55" s="51" t="s">
        <v>279</v>
      </c>
      <c r="BE55" s="51" t="s">
        <v>365</v>
      </c>
      <c r="BF55" s="51" t="s">
        <v>338</v>
      </c>
      <c r="BG55" s="51" t="s">
        <v>337</v>
      </c>
      <c r="BH55" s="51" t="s">
        <v>36</v>
      </c>
      <c r="BI55" s="51" t="s">
        <v>25</v>
      </c>
    </row>
    <row r="56" spans="1:61" s="50" customFormat="1" ht="69.75" customHeight="1" thickTop="1" thickBot="1">
      <c r="A56" s="456" t="s">
        <v>280</v>
      </c>
      <c r="B56" s="32" t="s">
        <v>73</v>
      </c>
      <c r="C56" s="30">
        <f>المهني!GJ15</f>
        <v>1</v>
      </c>
      <c r="D56" s="30">
        <f>المهني!GL15</f>
        <v>1</v>
      </c>
      <c r="E56" s="30">
        <f>المهني!GN15</f>
        <v>1</v>
      </c>
      <c r="F56" s="30">
        <f>المهني!GP15</f>
        <v>1</v>
      </c>
      <c r="G56" s="30">
        <f>المهني!GR15</f>
        <v>1</v>
      </c>
      <c r="H56" s="30">
        <f>المهني!GT15</f>
        <v>0</v>
      </c>
      <c r="I56" s="30">
        <f>المهني!GV15</f>
        <v>0</v>
      </c>
      <c r="J56" s="30">
        <f>المهني!GX15</f>
        <v>0</v>
      </c>
      <c r="K56" s="30">
        <f>المهني!GZ15</f>
        <v>0</v>
      </c>
      <c r="L56" s="30">
        <f>المهني!HB15</f>
        <v>0</v>
      </c>
      <c r="M56" s="30">
        <f>المهني!HD15</f>
        <v>0</v>
      </c>
      <c r="N56" s="30">
        <f>المهني!HF15</f>
        <v>1</v>
      </c>
      <c r="O56" s="30">
        <f>المهني!HH15</f>
        <v>0</v>
      </c>
      <c r="P56" s="30">
        <f>المهني!HJ15</f>
        <v>1</v>
      </c>
      <c r="Q56" s="30">
        <f>المهني!HL15</f>
        <v>0</v>
      </c>
      <c r="R56" s="30">
        <f>المهني!HN15</f>
        <v>0</v>
      </c>
      <c r="S56" s="30">
        <f>المهني!HP15</f>
        <v>1</v>
      </c>
      <c r="T56" s="30">
        <f>المهني!HR15</f>
        <v>1</v>
      </c>
      <c r="U56" s="30">
        <f>المهني!HT15</f>
        <v>0</v>
      </c>
      <c r="V56" s="30">
        <f>المهني!HV15</f>
        <v>0</v>
      </c>
      <c r="W56" s="30">
        <f>المهني!HX15</f>
        <v>1</v>
      </c>
      <c r="X56" s="30">
        <f>المهني!HZ15</f>
        <v>0</v>
      </c>
      <c r="Y56" s="30">
        <f>المهني!IB15</f>
        <v>1</v>
      </c>
      <c r="Z56" s="30">
        <f>المهني!ID15</f>
        <v>0</v>
      </c>
      <c r="AA56" s="30">
        <f>المهني!IF15</f>
        <v>0</v>
      </c>
      <c r="AB56" s="30">
        <f>المهني!IH15</f>
        <v>1</v>
      </c>
      <c r="AC56" s="30">
        <f>المهني!IJ15</f>
        <v>0</v>
      </c>
      <c r="AD56" s="30">
        <f>المهني!IL15</f>
        <v>0</v>
      </c>
      <c r="AE56" s="30">
        <f>المهني!IN15</f>
        <v>0</v>
      </c>
      <c r="AF56" s="30">
        <f>المهني!IP15</f>
        <v>0</v>
      </c>
      <c r="AG56" s="30">
        <f>المهني!IR15</f>
        <v>0</v>
      </c>
      <c r="AH56" s="30">
        <f>المهني!IT15</f>
        <v>0</v>
      </c>
      <c r="AI56" s="30">
        <f>المهني!IV15</f>
        <v>0</v>
      </c>
      <c r="AJ56" s="30">
        <f>المهني!IX15</f>
        <v>0</v>
      </c>
      <c r="AK56" s="30">
        <f>المهني!IZ15</f>
        <v>0</v>
      </c>
      <c r="AL56" s="30">
        <f>المهني!JB15</f>
        <v>11</v>
      </c>
      <c r="AM56" s="30">
        <f>المهني!JD15</f>
        <v>0</v>
      </c>
      <c r="AN56" s="30">
        <f>المهني!JF15</f>
        <v>0</v>
      </c>
      <c r="AO56" s="30">
        <f>المهني!JH15</f>
        <v>1</v>
      </c>
      <c r="AP56" s="30">
        <f>المهني!JJ15</f>
        <v>0</v>
      </c>
      <c r="AQ56" s="30">
        <f>المهني!JL15</f>
        <v>0</v>
      </c>
      <c r="AR56" s="30">
        <f>المهني!JN15</f>
        <v>0</v>
      </c>
      <c r="AS56" s="30">
        <f>المهني!JP15</f>
        <v>1</v>
      </c>
      <c r="AT56" s="30">
        <f>المهني!JR15</f>
        <v>0</v>
      </c>
      <c r="AU56" s="30">
        <f>المهني!JT15</f>
        <v>0</v>
      </c>
      <c r="AV56" s="30">
        <f>المهني!JV15</f>
        <v>0</v>
      </c>
      <c r="AW56" s="30">
        <f>المهني!JX15</f>
        <v>0</v>
      </c>
      <c r="AX56" s="30">
        <f>المهني!JZ15</f>
        <v>0</v>
      </c>
      <c r="AY56" s="30">
        <f>المهني!KB15</f>
        <v>0</v>
      </c>
      <c r="AZ56" s="30">
        <f>المهني!KD15</f>
        <v>0</v>
      </c>
      <c r="BA56" s="30">
        <f>المهني!KF15</f>
        <v>0</v>
      </c>
      <c r="BB56" s="30">
        <f>المهني!KH15</f>
        <v>0</v>
      </c>
      <c r="BC56" s="30">
        <f>المهني!KJ15</f>
        <v>0</v>
      </c>
      <c r="BD56" s="30">
        <f>المهني!KN15</f>
        <v>9</v>
      </c>
      <c r="BE56" s="30"/>
      <c r="BF56" s="30"/>
      <c r="BG56" s="30"/>
      <c r="BH56" s="30">
        <f>المهني!KT15</f>
        <v>0</v>
      </c>
      <c r="BI56" s="32">
        <f>SUM(C56:BH56)</f>
        <v>34</v>
      </c>
    </row>
    <row r="57" spans="1:61" s="50" customFormat="1" ht="69.75" customHeight="1" thickTop="1" thickBot="1">
      <c r="A57" s="457"/>
      <c r="B57" s="32" t="s">
        <v>29</v>
      </c>
      <c r="C57" s="30">
        <f>المهني!GK15</f>
        <v>1</v>
      </c>
      <c r="D57" s="30">
        <f>المهني!GM15</f>
        <v>1</v>
      </c>
      <c r="E57" s="30">
        <f>المهني!GO15</f>
        <v>1</v>
      </c>
      <c r="F57" s="30">
        <f>المهني!GQ15</f>
        <v>0</v>
      </c>
      <c r="G57" s="30">
        <f>المهني!GS15</f>
        <v>2</v>
      </c>
      <c r="H57" s="30">
        <f>المهني!GU15</f>
        <v>1</v>
      </c>
      <c r="I57" s="30">
        <f>المهني!GW15</f>
        <v>0</v>
      </c>
      <c r="J57" s="30">
        <f>المهني!GY15</f>
        <v>0</v>
      </c>
      <c r="K57" s="30">
        <f>المهني!HA15</f>
        <v>0</v>
      </c>
      <c r="L57" s="30">
        <f>المهني!HC15</f>
        <v>0</v>
      </c>
      <c r="M57" s="30">
        <f>المهني!HE15</f>
        <v>0</v>
      </c>
      <c r="N57" s="30">
        <f>المهني!HG15</f>
        <v>0</v>
      </c>
      <c r="O57" s="30">
        <f>المهني!HI15</f>
        <v>0</v>
      </c>
      <c r="P57" s="30">
        <f>المهني!HK15</f>
        <v>1</v>
      </c>
      <c r="Q57" s="30">
        <f>المهني!HM15</f>
        <v>0</v>
      </c>
      <c r="R57" s="30">
        <f>المهني!HO15</f>
        <v>0</v>
      </c>
      <c r="S57" s="30">
        <f>المهني!HQ15</f>
        <v>0</v>
      </c>
      <c r="T57" s="30">
        <f>المهني!HS15</f>
        <v>0</v>
      </c>
      <c r="U57" s="30">
        <f>المهني!HU15</f>
        <v>0</v>
      </c>
      <c r="V57" s="30">
        <f>المهني!HW15</f>
        <v>0</v>
      </c>
      <c r="W57" s="30">
        <f>المهني!HY15</f>
        <v>2</v>
      </c>
      <c r="X57" s="30">
        <f>المهني!IA15</f>
        <v>0</v>
      </c>
      <c r="Y57" s="30">
        <f>المهني!IC15</f>
        <v>1</v>
      </c>
      <c r="Z57" s="30">
        <f>المهني!IE15</f>
        <v>0</v>
      </c>
      <c r="AA57" s="30">
        <f>المهني!IG15</f>
        <v>0</v>
      </c>
      <c r="AB57" s="30">
        <f>المهني!II15</f>
        <v>1</v>
      </c>
      <c r="AC57" s="30">
        <f>المهني!IK15</f>
        <v>0</v>
      </c>
      <c r="AD57" s="30">
        <f>المهني!IM15</f>
        <v>0</v>
      </c>
      <c r="AE57" s="30">
        <f>المهني!IO15</f>
        <v>0</v>
      </c>
      <c r="AF57" s="30">
        <f>المهني!IQ15</f>
        <v>0</v>
      </c>
      <c r="AG57" s="30">
        <f>المهني!IS15</f>
        <v>0</v>
      </c>
      <c r="AH57" s="30">
        <f>المهني!IU15</f>
        <v>0</v>
      </c>
      <c r="AI57" s="30">
        <f>المهني!IW15</f>
        <v>0</v>
      </c>
      <c r="AJ57" s="30">
        <f>المهني!IY15</f>
        <v>0</v>
      </c>
      <c r="AK57" s="30">
        <f>المهني!JA15</f>
        <v>0</v>
      </c>
      <c r="AL57" s="30">
        <f>المهني!JC15</f>
        <v>3</v>
      </c>
      <c r="AM57" s="30">
        <f>المهني!JE15</f>
        <v>0</v>
      </c>
      <c r="AN57" s="30">
        <f>المهني!JG15</f>
        <v>0</v>
      </c>
      <c r="AO57" s="30">
        <f>المهني!JI15</f>
        <v>0</v>
      </c>
      <c r="AP57" s="30">
        <f>المهني!JK15</f>
        <v>0</v>
      </c>
      <c r="AQ57" s="30">
        <f>المهني!JM15</f>
        <v>0</v>
      </c>
      <c r="AR57" s="30">
        <f>المهني!JO15</f>
        <v>0</v>
      </c>
      <c r="AS57" s="30">
        <f>المهني!JQ15</f>
        <v>0</v>
      </c>
      <c r="AT57" s="30">
        <f>المهني!JS15</f>
        <v>0</v>
      </c>
      <c r="AU57" s="30">
        <f>المهني!JU15</f>
        <v>0</v>
      </c>
      <c r="AV57" s="30">
        <f>المهني!JW15</f>
        <v>0</v>
      </c>
      <c r="AW57" s="30">
        <f>المهني!JY15</f>
        <v>0</v>
      </c>
      <c r="AX57" s="30">
        <f>المهني!KA15</f>
        <v>0</v>
      </c>
      <c r="AY57" s="30">
        <f>المهني!KC15</f>
        <v>0</v>
      </c>
      <c r="AZ57" s="30">
        <f>المهني!KE15</f>
        <v>0</v>
      </c>
      <c r="BA57" s="30">
        <f>المهني!KG15</f>
        <v>0</v>
      </c>
      <c r="BB57" s="30">
        <f>المهني!KI15</f>
        <v>0</v>
      </c>
      <c r="BC57" s="30">
        <f>المهني!KK15</f>
        <v>0</v>
      </c>
      <c r="BD57" s="30">
        <f>المهني!KO15</f>
        <v>2</v>
      </c>
      <c r="BE57" s="30"/>
      <c r="BF57" s="30"/>
      <c r="BG57" s="30"/>
      <c r="BH57" s="30">
        <f>المهني!KU15</f>
        <v>0</v>
      </c>
      <c r="BI57" s="32">
        <f t="shared" ref="BI57:BI63" si="15">SUM(C57:BH57)</f>
        <v>16</v>
      </c>
    </row>
    <row r="58" spans="1:61" s="50" customFormat="1" ht="65.25" customHeight="1" thickTop="1" thickBot="1">
      <c r="A58" s="456" t="s">
        <v>281</v>
      </c>
      <c r="B58" s="32" t="s">
        <v>73</v>
      </c>
      <c r="C58" s="33">
        <f t="shared" ref="C58:AH58" si="16">C10</f>
        <v>0</v>
      </c>
      <c r="D58" s="33">
        <f t="shared" si="16"/>
        <v>0</v>
      </c>
      <c r="E58" s="33">
        <f t="shared" si="16"/>
        <v>0</v>
      </c>
      <c r="F58" s="33">
        <f t="shared" si="16"/>
        <v>0</v>
      </c>
      <c r="G58" s="33">
        <f t="shared" si="16"/>
        <v>0</v>
      </c>
      <c r="H58" s="33">
        <f t="shared" si="16"/>
        <v>0</v>
      </c>
      <c r="I58" s="33">
        <f t="shared" si="16"/>
        <v>0</v>
      </c>
      <c r="J58" s="33">
        <f t="shared" si="16"/>
        <v>0</v>
      </c>
      <c r="K58" s="33">
        <f t="shared" si="16"/>
        <v>0</v>
      </c>
      <c r="L58" s="33">
        <f t="shared" si="16"/>
        <v>0</v>
      </c>
      <c r="M58" s="33">
        <f t="shared" si="16"/>
        <v>0</v>
      </c>
      <c r="N58" s="33">
        <f t="shared" si="16"/>
        <v>0</v>
      </c>
      <c r="O58" s="33">
        <f t="shared" si="16"/>
        <v>0</v>
      </c>
      <c r="P58" s="33">
        <f t="shared" si="16"/>
        <v>0</v>
      </c>
      <c r="Q58" s="33">
        <f t="shared" si="16"/>
        <v>0</v>
      </c>
      <c r="R58" s="33">
        <f t="shared" si="16"/>
        <v>0</v>
      </c>
      <c r="S58" s="33">
        <f t="shared" si="16"/>
        <v>0</v>
      </c>
      <c r="T58" s="33">
        <f t="shared" si="16"/>
        <v>0</v>
      </c>
      <c r="U58" s="33">
        <f t="shared" si="16"/>
        <v>0</v>
      </c>
      <c r="V58" s="33">
        <f t="shared" si="16"/>
        <v>0</v>
      </c>
      <c r="W58" s="33">
        <f t="shared" si="16"/>
        <v>0</v>
      </c>
      <c r="X58" s="33">
        <f t="shared" si="16"/>
        <v>0</v>
      </c>
      <c r="Y58" s="33">
        <f t="shared" si="16"/>
        <v>0</v>
      </c>
      <c r="Z58" s="33">
        <f t="shared" si="16"/>
        <v>0</v>
      </c>
      <c r="AA58" s="33">
        <f t="shared" si="16"/>
        <v>0</v>
      </c>
      <c r="AB58" s="33">
        <f t="shared" si="16"/>
        <v>0</v>
      </c>
      <c r="AC58" s="33">
        <f t="shared" si="16"/>
        <v>0</v>
      </c>
      <c r="AD58" s="33">
        <f t="shared" si="16"/>
        <v>0</v>
      </c>
      <c r="AE58" s="33">
        <f t="shared" si="16"/>
        <v>0</v>
      </c>
      <c r="AF58" s="33">
        <f t="shared" si="16"/>
        <v>0</v>
      </c>
      <c r="AG58" s="33">
        <f t="shared" si="16"/>
        <v>0</v>
      </c>
      <c r="AH58" s="33">
        <f t="shared" si="16"/>
        <v>0</v>
      </c>
      <c r="AI58" s="33">
        <f t="shared" ref="AI58:BD58" si="17">AI10</f>
        <v>0</v>
      </c>
      <c r="AJ58" s="33">
        <f t="shared" si="17"/>
        <v>0</v>
      </c>
      <c r="AK58" s="33">
        <f t="shared" si="17"/>
        <v>0</v>
      </c>
      <c r="AL58" s="33">
        <f t="shared" si="17"/>
        <v>0</v>
      </c>
      <c r="AM58" s="33">
        <f t="shared" si="17"/>
        <v>0</v>
      </c>
      <c r="AN58" s="33">
        <f t="shared" si="17"/>
        <v>0</v>
      </c>
      <c r="AO58" s="33">
        <f t="shared" si="17"/>
        <v>0</v>
      </c>
      <c r="AP58" s="33">
        <f t="shared" si="17"/>
        <v>0</v>
      </c>
      <c r="AQ58" s="33">
        <f t="shared" si="17"/>
        <v>0</v>
      </c>
      <c r="AR58" s="33">
        <f t="shared" si="17"/>
        <v>0</v>
      </c>
      <c r="AS58" s="33">
        <f t="shared" si="17"/>
        <v>0</v>
      </c>
      <c r="AT58" s="33">
        <f t="shared" si="17"/>
        <v>0</v>
      </c>
      <c r="AU58" s="33">
        <f t="shared" si="17"/>
        <v>0</v>
      </c>
      <c r="AV58" s="33">
        <f t="shared" si="17"/>
        <v>0</v>
      </c>
      <c r="AW58" s="33">
        <f t="shared" si="17"/>
        <v>0</v>
      </c>
      <c r="AX58" s="33">
        <f t="shared" si="17"/>
        <v>0</v>
      </c>
      <c r="AY58" s="33">
        <f t="shared" si="17"/>
        <v>0</v>
      </c>
      <c r="AZ58" s="33">
        <f t="shared" si="17"/>
        <v>0</v>
      </c>
      <c r="BA58" s="33">
        <f t="shared" si="17"/>
        <v>0</v>
      </c>
      <c r="BB58" s="33">
        <f t="shared" si="17"/>
        <v>0</v>
      </c>
      <c r="BC58" s="33">
        <f t="shared" si="17"/>
        <v>0</v>
      </c>
      <c r="BD58" s="33">
        <f t="shared" si="17"/>
        <v>0</v>
      </c>
      <c r="BE58" s="32"/>
      <c r="BF58" s="32"/>
      <c r="BG58" s="32"/>
      <c r="BH58" s="32">
        <f>BH10</f>
        <v>0</v>
      </c>
      <c r="BI58" s="32">
        <f t="shared" si="15"/>
        <v>0</v>
      </c>
    </row>
    <row r="59" spans="1:61" s="50" customFormat="1" ht="65.25" customHeight="1" thickTop="1" thickBot="1">
      <c r="A59" s="457"/>
      <c r="B59" s="32" t="s">
        <v>29</v>
      </c>
      <c r="C59" s="33">
        <f t="shared" ref="C59:AH59" si="18">C11</f>
        <v>0</v>
      </c>
      <c r="D59" s="33">
        <f t="shared" si="18"/>
        <v>0</v>
      </c>
      <c r="E59" s="33">
        <f t="shared" si="18"/>
        <v>0</v>
      </c>
      <c r="F59" s="33">
        <f t="shared" si="18"/>
        <v>0</v>
      </c>
      <c r="G59" s="33">
        <f t="shared" si="18"/>
        <v>0</v>
      </c>
      <c r="H59" s="33">
        <f t="shared" si="18"/>
        <v>0</v>
      </c>
      <c r="I59" s="33">
        <f t="shared" si="18"/>
        <v>0</v>
      </c>
      <c r="J59" s="33">
        <f t="shared" si="18"/>
        <v>0</v>
      </c>
      <c r="K59" s="33">
        <f t="shared" si="18"/>
        <v>0</v>
      </c>
      <c r="L59" s="33">
        <f t="shared" si="18"/>
        <v>0</v>
      </c>
      <c r="M59" s="33">
        <f t="shared" si="18"/>
        <v>0</v>
      </c>
      <c r="N59" s="33">
        <f t="shared" si="18"/>
        <v>0</v>
      </c>
      <c r="O59" s="33">
        <f t="shared" si="18"/>
        <v>0</v>
      </c>
      <c r="P59" s="33">
        <f t="shared" si="18"/>
        <v>0</v>
      </c>
      <c r="Q59" s="33">
        <f t="shared" si="18"/>
        <v>0</v>
      </c>
      <c r="R59" s="33">
        <f t="shared" si="18"/>
        <v>0</v>
      </c>
      <c r="S59" s="33">
        <f t="shared" si="18"/>
        <v>0</v>
      </c>
      <c r="T59" s="33">
        <f t="shared" si="18"/>
        <v>0</v>
      </c>
      <c r="U59" s="33">
        <f t="shared" si="18"/>
        <v>0</v>
      </c>
      <c r="V59" s="33">
        <f t="shared" si="18"/>
        <v>0</v>
      </c>
      <c r="W59" s="33">
        <f t="shared" si="18"/>
        <v>0</v>
      </c>
      <c r="X59" s="33">
        <f t="shared" si="18"/>
        <v>0</v>
      </c>
      <c r="Y59" s="33">
        <f t="shared" si="18"/>
        <v>0</v>
      </c>
      <c r="Z59" s="33">
        <f t="shared" si="18"/>
        <v>0</v>
      </c>
      <c r="AA59" s="33">
        <f t="shared" si="18"/>
        <v>0</v>
      </c>
      <c r="AB59" s="33">
        <f t="shared" si="18"/>
        <v>0</v>
      </c>
      <c r="AC59" s="33">
        <f t="shared" si="18"/>
        <v>0</v>
      </c>
      <c r="AD59" s="33">
        <f t="shared" si="18"/>
        <v>0</v>
      </c>
      <c r="AE59" s="33">
        <f t="shared" si="18"/>
        <v>0</v>
      </c>
      <c r="AF59" s="33">
        <f t="shared" si="18"/>
        <v>0</v>
      </c>
      <c r="AG59" s="33">
        <f t="shared" si="18"/>
        <v>0</v>
      </c>
      <c r="AH59" s="33">
        <f t="shared" si="18"/>
        <v>0</v>
      </c>
      <c r="AI59" s="33">
        <f t="shared" ref="AI59:BD59" si="19">AI11</f>
        <v>0</v>
      </c>
      <c r="AJ59" s="33">
        <f t="shared" si="19"/>
        <v>0</v>
      </c>
      <c r="AK59" s="33">
        <f t="shared" si="19"/>
        <v>0</v>
      </c>
      <c r="AL59" s="33">
        <f t="shared" si="19"/>
        <v>0</v>
      </c>
      <c r="AM59" s="33">
        <f t="shared" si="19"/>
        <v>0</v>
      </c>
      <c r="AN59" s="33">
        <f t="shared" si="19"/>
        <v>0</v>
      </c>
      <c r="AO59" s="33">
        <f t="shared" si="19"/>
        <v>0</v>
      </c>
      <c r="AP59" s="33">
        <f t="shared" si="19"/>
        <v>0</v>
      </c>
      <c r="AQ59" s="33">
        <f t="shared" si="19"/>
        <v>0</v>
      </c>
      <c r="AR59" s="33">
        <f t="shared" si="19"/>
        <v>0</v>
      </c>
      <c r="AS59" s="33">
        <f t="shared" si="19"/>
        <v>0</v>
      </c>
      <c r="AT59" s="33">
        <f t="shared" si="19"/>
        <v>0</v>
      </c>
      <c r="AU59" s="33">
        <f t="shared" si="19"/>
        <v>0</v>
      </c>
      <c r="AV59" s="33">
        <f t="shared" si="19"/>
        <v>0</v>
      </c>
      <c r="AW59" s="33">
        <f t="shared" si="19"/>
        <v>0</v>
      </c>
      <c r="AX59" s="33">
        <f t="shared" si="19"/>
        <v>0</v>
      </c>
      <c r="AY59" s="33">
        <f t="shared" si="19"/>
        <v>0</v>
      </c>
      <c r="AZ59" s="33">
        <f t="shared" si="19"/>
        <v>0</v>
      </c>
      <c r="BA59" s="33">
        <f t="shared" si="19"/>
        <v>0</v>
      </c>
      <c r="BB59" s="33">
        <f t="shared" si="19"/>
        <v>0</v>
      </c>
      <c r="BC59" s="33">
        <f t="shared" si="19"/>
        <v>0</v>
      </c>
      <c r="BD59" s="33">
        <f t="shared" si="19"/>
        <v>0</v>
      </c>
      <c r="BE59" s="32"/>
      <c r="BF59" s="32"/>
      <c r="BG59" s="32"/>
      <c r="BH59" s="32">
        <f>BH11</f>
        <v>0</v>
      </c>
      <c r="BI59" s="32">
        <f t="shared" si="15"/>
        <v>0</v>
      </c>
    </row>
    <row r="60" spans="1:61" s="50" customFormat="1" ht="65.25" customHeight="1" thickTop="1" thickBot="1">
      <c r="A60" s="456" t="s">
        <v>282</v>
      </c>
      <c r="B60" s="32" t="s">
        <v>73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33">
        <v>0</v>
      </c>
      <c r="AG60" s="33">
        <v>0</v>
      </c>
      <c r="AH60" s="33">
        <v>0</v>
      </c>
      <c r="AI60" s="33">
        <v>0</v>
      </c>
      <c r="AJ60" s="33">
        <v>0</v>
      </c>
      <c r="AK60" s="33">
        <v>0</v>
      </c>
      <c r="AL60" s="33">
        <v>0</v>
      </c>
      <c r="AM60" s="33">
        <v>0</v>
      </c>
      <c r="AN60" s="33">
        <v>0</v>
      </c>
      <c r="AO60" s="33">
        <v>0</v>
      </c>
      <c r="AP60" s="33">
        <v>0</v>
      </c>
      <c r="AQ60" s="33">
        <v>0</v>
      </c>
      <c r="AR60" s="33">
        <v>0</v>
      </c>
      <c r="AS60" s="33">
        <v>0</v>
      </c>
      <c r="AT60" s="33">
        <v>0</v>
      </c>
      <c r="AU60" s="33">
        <v>0</v>
      </c>
      <c r="AV60" s="33">
        <v>0</v>
      </c>
      <c r="AW60" s="33">
        <v>0</v>
      </c>
      <c r="AX60" s="33">
        <v>0</v>
      </c>
      <c r="AY60" s="33">
        <v>0</v>
      </c>
      <c r="AZ60" s="33">
        <v>0</v>
      </c>
      <c r="BA60" s="33">
        <v>0</v>
      </c>
      <c r="BB60" s="33">
        <v>0</v>
      </c>
      <c r="BC60" s="33">
        <v>0</v>
      </c>
      <c r="BD60" s="33">
        <v>0</v>
      </c>
      <c r="BE60" s="33"/>
      <c r="BF60" s="33"/>
      <c r="BG60" s="33"/>
      <c r="BH60" s="33">
        <v>0</v>
      </c>
      <c r="BI60" s="32">
        <f t="shared" si="15"/>
        <v>0</v>
      </c>
    </row>
    <row r="61" spans="1:61" s="50" customFormat="1" ht="65.25" customHeight="1" thickTop="1" thickBot="1">
      <c r="A61" s="457"/>
      <c r="B61" s="32" t="s">
        <v>29</v>
      </c>
      <c r="C61" s="33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  <c r="AC61" s="33">
        <v>0</v>
      </c>
      <c r="AD61" s="33">
        <v>0</v>
      </c>
      <c r="AE61" s="33">
        <v>0</v>
      </c>
      <c r="AF61" s="33">
        <v>0</v>
      </c>
      <c r="AG61" s="33">
        <v>0</v>
      </c>
      <c r="AH61" s="33">
        <v>0</v>
      </c>
      <c r="AI61" s="33">
        <v>0</v>
      </c>
      <c r="AJ61" s="33">
        <v>0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0</v>
      </c>
      <c r="AQ61" s="33">
        <v>0</v>
      </c>
      <c r="AR61" s="33">
        <v>0</v>
      </c>
      <c r="AS61" s="33">
        <v>0</v>
      </c>
      <c r="AT61" s="33">
        <v>0</v>
      </c>
      <c r="AU61" s="33">
        <v>0</v>
      </c>
      <c r="AV61" s="33">
        <v>0</v>
      </c>
      <c r="AW61" s="33">
        <v>0</v>
      </c>
      <c r="AX61" s="33">
        <v>0</v>
      </c>
      <c r="AY61" s="33">
        <v>0</v>
      </c>
      <c r="AZ61" s="33">
        <v>0</v>
      </c>
      <c r="BA61" s="33">
        <v>0</v>
      </c>
      <c r="BB61" s="33">
        <v>0</v>
      </c>
      <c r="BC61" s="33">
        <v>0</v>
      </c>
      <c r="BD61" s="33">
        <v>0</v>
      </c>
      <c r="BE61" s="33"/>
      <c r="BF61" s="33"/>
      <c r="BG61" s="33"/>
      <c r="BH61" s="33">
        <v>0</v>
      </c>
      <c r="BI61" s="32">
        <f t="shared" si="15"/>
        <v>0</v>
      </c>
    </row>
    <row r="62" spans="1:61" s="50" customFormat="1" ht="65.25" customHeight="1" thickTop="1" thickBot="1">
      <c r="A62" s="458" t="s">
        <v>214</v>
      </c>
      <c r="B62" s="32" t="s">
        <v>73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3">
        <v>0</v>
      </c>
      <c r="AH62" s="33">
        <v>0</v>
      </c>
      <c r="AI62" s="33">
        <v>0</v>
      </c>
      <c r="AJ62" s="33">
        <v>0</v>
      </c>
      <c r="AK62" s="33">
        <v>0</v>
      </c>
      <c r="AL62" s="33">
        <v>0</v>
      </c>
      <c r="AM62" s="33">
        <v>0</v>
      </c>
      <c r="AN62" s="33">
        <v>0</v>
      </c>
      <c r="AO62" s="33">
        <v>0</v>
      </c>
      <c r="AP62" s="33">
        <v>0</v>
      </c>
      <c r="AQ62" s="33">
        <v>0</v>
      </c>
      <c r="AR62" s="33">
        <v>0</v>
      </c>
      <c r="AS62" s="33">
        <v>0</v>
      </c>
      <c r="AT62" s="33">
        <v>0</v>
      </c>
      <c r="AU62" s="33">
        <v>0</v>
      </c>
      <c r="AV62" s="33">
        <v>0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  <c r="BC62" s="33">
        <v>0</v>
      </c>
      <c r="BD62" s="33">
        <v>0</v>
      </c>
      <c r="BE62" s="33"/>
      <c r="BF62" s="33"/>
      <c r="BG62" s="33"/>
      <c r="BH62" s="33">
        <v>0</v>
      </c>
      <c r="BI62" s="32">
        <f t="shared" si="15"/>
        <v>0</v>
      </c>
    </row>
    <row r="63" spans="1:61" s="50" customFormat="1" ht="65.25" customHeight="1" thickTop="1" thickBot="1">
      <c r="A63" s="459"/>
      <c r="B63" s="32" t="s">
        <v>29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0</v>
      </c>
      <c r="AI63" s="33">
        <v>0</v>
      </c>
      <c r="AJ63" s="33">
        <v>0</v>
      </c>
      <c r="AK63" s="33">
        <v>0</v>
      </c>
      <c r="AL63" s="33">
        <v>0</v>
      </c>
      <c r="AM63" s="33">
        <v>0</v>
      </c>
      <c r="AN63" s="33">
        <v>0</v>
      </c>
      <c r="AO63" s="33">
        <v>0</v>
      </c>
      <c r="AP63" s="33">
        <v>0</v>
      </c>
      <c r="AQ63" s="33">
        <v>0</v>
      </c>
      <c r="AR63" s="33">
        <v>0</v>
      </c>
      <c r="AS63" s="33">
        <v>0</v>
      </c>
      <c r="AT63" s="33">
        <v>0</v>
      </c>
      <c r="AU63" s="33">
        <v>0</v>
      </c>
      <c r="AV63" s="33">
        <v>0</v>
      </c>
      <c r="AW63" s="33">
        <v>0</v>
      </c>
      <c r="AX63" s="33">
        <v>0</v>
      </c>
      <c r="AY63" s="33">
        <v>0</v>
      </c>
      <c r="AZ63" s="33">
        <v>0</v>
      </c>
      <c r="BA63" s="33">
        <v>0</v>
      </c>
      <c r="BB63" s="33">
        <v>0</v>
      </c>
      <c r="BC63" s="33">
        <v>0</v>
      </c>
      <c r="BD63" s="33">
        <v>0</v>
      </c>
      <c r="BE63" s="33"/>
      <c r="BF63" s="33"/>
      <c r="BG63" s="33"/>
      <c r="BH63" s="33">
        <v>0</v>
      </c>
      <c r="BI63" s="32">
        <f t="shared" si="15"/>
        <v>0</v>
      </c>
    </row>
    <row r="64" spans="1:61" s="50" customFormat="1" ht="65.25" customHeight="1" thickTop="1" thickBot="1">
      <c r="A64" s="458" t="s">
        <v>488</v>
      </c>
      <c r="B64" s="32" t="s">
        <v>73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2"/>
    </row>
    <row r="65" spans="1:61" s="50" customFormat="1" ht="65.25" customHeight="1" thickTop="1" thickBot="1">
      <c r="A65" s="459"/>
      <c r="B65" s="32" t="s">
        <v>29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2"/>
    </row>
    <row r="66" spans="1:61" s="36" customFormat="1" ht="67.5" customHeight="1" thickTop="1" thickBot="1">
      <c r="A66" s="454" t="s">
        <v>397</v>
      </c>
      <c r="B66" s="43" t="s">
        <v>73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5"/>
      <c r="BI66" s="35">
        <f t="shared" ref="BI66:BI67" si="20">SUM(C66:BH66)</f>
        <v>0</v>
      </c>
    </row>
    <row r="67" spans="1:61" s="36" customFormat="1" ht="67.5" customHeight="1" thickTop="1" thickBot="1">
      <c r="A67" s="455"/>
      <c r="B67" s="43" t="s">
        <v>29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5"/>
      <c r="BI67" s="35">
        <f t="shared" si="20"/>
        <v>0</v>
      </c>
    </row>
    <row r="68" spans="1:61" s="50" customFormat="1" ht="69.75" customHeight="1" thickTop="1" thickBot="1">
      <c r="A68" s="456" t="s">
        <v>25</v>
      </c>
      <c r="B68" s="32" t="s">
        <v>73</v>
      </c>
      <c r="C68" s="30">
        <f>C62+C60+C58+C56</f>
        <v>1</v>
      </c>
      <c r="D68" s="30">
        <f t="shared" ref="D68:BI68" si="21">D62+D60+D58+D56</f>
        <v>1</v>
      </c>
      <c r="E68" s="30">
        <f t="shared" si="21"/>
        <v>1</v>
      </c>
      <c r="F68" s="30">
        <f t="shared" si="21"/>
        <v>1</v>
      </c>
      <c r="G68" s="30">
        <f t="shared" si="21"/>
        <v>1</v>
      </c>
      <c r="H68" s="30">
        <f t="shared" si="21"/>
        <v>0</v>
      </c>
      <c r="I68" s="60">
        <f t="shared" si="21"/>
        <v>0</v>
      </c>
      <c r="J68" s="60">
        <f t="shared" si="21"/>
        <v>0</v>
      </c>
      <c r="K68" s="30">
        <f t="shared" si="21"/>
        <v>0</v>
      </c>
      <c r="L68" s="60">
        <f t="shared" si="21"/>
        <v>0</v>
      </c>
      <c r="M68" s="60">
        <f t="shared" si="21"/>
        <v>0</v>
      </c>
      <c r="N68" s="30">
        <f t="shared" si="21"/>
        <v>1</v>
      </c>
      <c r="O68" s="60">
        <f t="shared" si="21"/>
        <v>0</v>
      </c>
      <c r="P68" s="30">
        <f t="shared" si="21"/>
        <v>1</v>
      </c>
      <c r="Q68" s="30">
        <f t="shared" si="21"/>
        <v>0</v>
      </c>
      <c r="R68" s="60">
        <f t="shared" si="21"/>
        <v>0</v>
      </c>
      <c r="S68" s="30">
        <f t="shared" si="21"/>
        <v>1</v>
      </c>
      <c r="T68" s="30">
        <f t="shared" si="21"/>
        <v>1</v>
      </c>
      <c r="U68" s="30">
        <f t="shared" si="21"/>
        <v>0</v>
      </c>
      <c r="V68" s="60">
        <f t="shared" si="21"/>
        <v>0</v>
      </c>
      <c r="W68" s="30">
        <f t="shared" si="21"/>
        <v>1</v>
      </c>
      <c r="X68" s="30">
        <f t="shared" si="21"/>
        <v>0</v>
      </c>
      <c r="Y68" s="30">
        <f t="shared" si="21"/>
        <v>1</v>
      </c>
      <c r="Z68" s="60">
        <f t="shared" si="21"/>
        <v>0</v>
      </c>
      <c r="AA68" s="30">
        <f t="shared" si="21"/>
        <v>0</v>
      </c>
      <c r="AB68" s="30">
        <f t="shared" si="21"/>
        <v>1</v>
      </c>
      <c r="AC68" s="30">
        <f t="shared" si="21"/>
        <v>0</v>
      </c>
      <c r="AD68" s="60">
        <f t="shared" si="21"/>
        <v>0</v>
      </c>
      <c r="AE68" s="30">
        <f t="shared" si="21"/>
        <v>0</v>
      </c>
      <c r="AF68" s="60">
        <f t="shared" si="21"/>
        <v>0</v>
      </c>
      <c r="AG68" s="60">
        <f t="shared" si="21"/>
        <v>0</v>
      </c>
      <c r="AH68" s="60">
        <f t="shared" si="21"/>
        <v>0</v>
      </c>
      <c r="AI68" s="60">
        <f t="shared" si="21"/>
        <v>0</v>
      </c>
      <c r="AJ68" s="60">
        <f t="shared" si="21"/>
        <v>0</v>
      </c>
      <c r="AK68" s="60">
        <f t="shared" si="21"/>
        <v>0</v>
      </c>
      <c r="AL68" s="30">
        <f t="shared" si="21"/>
        <v>11</v>
      </c>
      <c r="AM68" s="60">
        <f t="shared" si="21"/>
        <v>0</v>
      </c>
      <c r="AN68" s="60">
        <f t="shared" si="21"/>
        <v>0</v>
      </c>
      <c r="AO68" s="30">
        <f t="shared" si="21"/>
        <v>1</v>
      </c>
      <c r="AP68" s="60">
        <f t="shared" si="21"/>
        <v>0</v>
      </c>
      <c r="AQ68" s="60">
        <f t="shared" si="21"/>
        <v>0</v>
      </c>
      <c r="AR68" s="60">
        <f t="shared" si="21"/>
        <v>0</v>
      </c>
      <c r="AS68" s="30">
        <f t="shared" si="21"/>
        <v>1</v>
      </c>
      <c r="AT68" s="30">
        <f t="shared" si="21"/>
        <v>0</v>
      </c>
      <c r="AU68" s="60">
        <f t="shared" si="21"/>
        <v>0</v>
      </c>
      <c r="AV68" s="60">
        <f t="shared" si="21"/>
        <v>0</v>
      </c>
      <c r="AW68" s="30">
        <f t="shared" si="21"/>
        <v>0</v>
      </c>
      <c r="AX68" s="30">
        <f t="shared" si="21"/>
        <v>0</v>
      </c>
      <c r="AY68" s="60">
        <f t="shared" si="21"/>
        <v>0</v>
      </c>
      <c r="AZ68" s="60">
        <f t="shared" si="21"/>
        <v>0</v>
      </c>
      <c r="BA68" s="60">
        <f t="shared" si="21"/>
        <v>0</v>
      </c>
      <c r="BB68" s="60">
        <f t="shared" si="21"/>
        <v>0</v>
      </c>
      <c r="BC68" s="60">
        <f t="shared" si="21"/>
        <v>0</v>
      </c>
      <c r="BD68" s="30">
        <f>BD62+BD60+BD58+BD56</f>
        <v>9</v>
      </c>
      <c r="BE68" s="30">
        <f>BE62+BE60+BE58+BE56</f>
        <v>0</v>
      </c>
      <c r="BF68" s="30">
        <f>BF62+BF60+BF58+BF56</f>
        <v>0</v>
      </c>
      <c r="BG68" s="30">
        <f>BG62+BG60+BG58+BG56</f>
        <v>0</v>
      </c>
      <c r="BH68" s="30">
        <f t="shared" si="21"/>
        <v>0</v>
      </c>
      <c r="BI68" s="32">
        <f t="shared" si="21"/>
        <v>34</v>
      </c>
    </row>
    <row r="69" spans="1:61" s="50" customFormat="1" ht="69.75" customHeight="1" thickTop="1" thickBot="1">
      <c r="A69" s="465"/>
      <c r="B69" s="32" t="s">
        <v>29</v>
      </c>
      <c r="C69" s="30">
        <f>C63+C61+C59+C57</f>
        <v>1</v>
      </c>
      <c r="D69" s="30">
        <f t="shared" ref="D69:BI69" si="22">D63+D61+D59+D57</f>
        <v>1</v>
      </c>
      <c r="E69" s="30">
        <f t="shared" si="22"/>
        <v>1</v>
      </c>
      <c r="F69" s="30">
        <f t="shared" si="22"/>
        <v>0</v>
      </c>
      <c r="G69" s="30">
        <f t="shared" si="22"/>
        <v>2</v>
      </c>
      <c r="H69" s="30">
        <f t="shared" si="22"/>
        <v>1</v>
      </c>
      <c r="I69" s="60">
        <f t="shared" si="22"/>
        <v>0</v>
      </c>
      <c r="J69" s="60">
        <f t="shared" si="22"/>
        <v>0</v>
      </c>
      <c r="K69" s="30">
        <f t="shared" si="22"/>
        <v>0</v>
      </c>
      <c r="L69" s="60">
        <f t="shared" si="22"/>
        <v>0</v>
      </c>
      <c r="M69" s="60">
        <f t="shared" si="22"/>
        <v>0</v>
      </c>
      <c r="N69" s="30">
        <f t="shared" si="22"/>
        <v>0</v>
      </c>
      <c r="O69" s="60">
        <f t="shared" si="22"/>
        <v>0</v>
      </c>
      <c r="P69" s="30">
        <f t="shared" si="22"/>
        <v>1</v>
      </c>
      <c r="Q69" s="30">
        <f t="shared" si="22"/>
        <v>0</v>
      </c>
      <c r="R69" s="60">
        <f t="shared" si="22"/>
        <v>0</v>
      </c>
      <c r="S69" s="30">
        <f t="shared" si="22"/>
        <v>0</v>
      </c>
      <c r="T69" s="30">
        <f t="shared" si="22"/>
        <v>0</v>
      </c>
      <c r="U69" s="30">
        <f t="shared" si="22"/>
        <v>0</v>
      </c>
      <c r="V69" s="60">
        <f t="shared" si="22"/>
        <v>0</v>
      </c>
      <c r="W69" s="30">
        <f t="shared" si="22"/>
        <v>2</v>
      </c>
      <c r="X69" s="30">
        <f t="shared" si="22"/>
        <v>0</v>
      </c>
      <c r="Y69" s="30">
        <f t="shared" si="22"/>
        <v>1</v>
      </c>
      <c r="Z69" s="60">
        <f t="shared" si="22"/>
        <v>0</v>
      </c>
      <c r="AA69" s="30">
        <f t="shared" si="22"/>
        <v>0</v>
      </c>
      <c r="AB69" s="30">
        <f t="shared" si="22"/>
        <v>1</v>
      </c>
      <c r="AC69" s="30">
        <f t="shared" si="22"/>
        <v>0</v>
      </c>
      <c r="AD69" s="60">
        <f t="shared" si="22"/>
        <v>0</v>
      </c>
      <c r="AE69" s="30">
        <f t="shared" si="22"/>
        <v>0</v>
      </c>
      <c r="AF69" s="60">
        <f t="shared" si="22"/>
        <v>0</v>
      </c>
      <c r="AG69" s="60">
        <f t="shared" si="22"/>
        <v>0</v>
      </c>
      <c r="AH69" s="60">
        <f t="shared" si="22"/>
        <v>0</v>
      </c>
      <c r="AI69" s="60">
        <f t="shared" si="22"/>
        <v>0</v>
      </c>
      <c r="AJ69" s="60">
        <f t="shared" si="22"/>
        <v>0</v>
      </c>
      <c r="AK69" s="60">
        <f t="shared" si="22"/>
        <v>0</v>
      </c>
      <c r="AL69" s="30">
        <f t="shared" si="22"/>
        <v>3</v>
      </c>
      <c r="AM69" s="60">
        <f t="shared" si="22"/>
        <v>0</v>
      </c>
      <c r="AN69" s="60">
        <f t="shared" si="22"/>
        <v>0</v>
      </c>
      <c r="AO69" s="30">
        <f t="shared" si="22"/>
        <v>0</v>
      </c>
      <c r="AP69" s="60">
        <f t="shared" si="22"/>
        <v>0</v>
      </c>
      <c r="AQ69" s="60">
        <f t="shared" si="22"/>
        <v>0</v>
      </c>
      <c r="AR69" s="60">
        <f t="shared" si="22"/>
        <v>0</v>
      </c>
      <c r="AS69" s="30">
        <f t="shared" si="22"/>
        <v>0</v>
      </c>
      <c r="AT69" s="30">
        <f t="shared" si="22"/>
        <v>0</v>
      </c>
      <c r="AU69" s="60">
        <f t="shared" si="22"/>
        <v>0</v>
      </c>
      <c r="AV69" s="60">
        <f t="shared" si="22"/>
        <v>0</v>
      </c>
      <c r="AW69" s="30">
        <f t="shared" si="22"/>
        <v>0</v>
      </c>
      <c r="AX69" s="60">
        <f t="shared" si="22"/>
        <v>0</v>
      </c>
      <c r="AY69" s="60">
        <f t="shared" si="22"/>
        <v>0</v>
      </c>
      <c r="AZ69" s="60">
        <f t="shared" si="22"/>
        <v>0</v>
      </c>
      <c r="BA69" s="60">
        <f t="shared" si="22"/>
        <v>0</v>
      </c>
      <c r="BB69" s="60">
        <f t="shared" si="22"/>
        <v>0</v>
      </c>
      <c r="BC69" s="60">
        <f t="shared" si="22"/>
        <v>0</v>
      </c>
      <c r="BD69" s="30">
        <f t="shared" si="22"/>
        <v>2</v>
      </c>
      <c r="BE69" s="30">
        <f>BE63+BE61+BE59+BE57</f>
        <v>0</v>
      </c>
      <c r="BF69" s="30">
        <f>BF63+BF61+BF59+BF57</f>
        <v>0</v>
      </c>
      <c r="BG69" s="30">
        <f>BG63+BG61+BG59+BG57</f>
        <v>0</v>
      </c>
      <c r="BH69" s="30">
        <f t="shared" si="22"/>
        <v>0</v>
      </c>
      <c r="BI69" s="32">
        <f t="shared" si="22"/>
        <v>16</v>
      </c>
    </row>
    <row r="70" spans="1:61" s="50" customFormat="1" ht="69.75" customHeight="1" thickTop="1" thickBot="1">
      <c r="A70" s="457"/>
      <c r="B70" s="32" t="s">
        <v>25</v>
      </c>
      <c r="C70" s="32">
        <f>C69+C68</f>
        <v>2</v>
      </c>
      <c r="D70" s="32">
        <f t="shared" ref="D70:BI70" si="23">D69+D68</f>
        <v>2</v>
      </c>
      <c r="E70" s="32">
        <f t="shared" si="23"/>
        <v>2</v>
      </c>
      <c r="F70" s="32">
        <f t="shared" si="23"/>
        <v>1</v>
      </c>
      <c r="G70" s="32">
        <f t="shared" si="23"/>
        <v>3</v>
      </c>
      <c r="H70" s="32">
        <f t="shared" si="23"/>
        <v>1</v>
      </c>
      <c r="I70" s="32">
        <f t="shared" si="23"/>
        <v>0</v>
      </c>
      <c r="J70" s="32">
        <f t="shared" si="23"/>
        <v>0</v>
      </c>
      <c r="K70" s="32">
        <f t="shared" si="23"/>
        <v>0</v>
      </c>
      <c r="L70" s="32">
        <f t="shared" si="23"/>
        <v>0</v>
      </c>
      <c r="M70" s="32">
        <f t="shared" si="23"/>
        <v>0</v>
      </c>
      <c r="N70" s="32">
        <f t="shared" si="23"/>
        <v>1</v>
      </c>
      <c r="O70" s="32">
        <f t="shared" si="23"/>
        <v>0</v>
      </c>
      <c r="P70" s="32">
        <f t="shared" si="23"/>
        <v>2</v>
      </c>
      <c r="Q70" s="32">
        <f t="shared" si="23"/>
        <v>0</v>
      </c>
      <c r="R70" s="32">
        <f t="shared" si="23"/>
        <v>0</v>
      </c>
      <c r="S70" s="32">
        <f t="shared" si="23"/>
        <v>1</v>
      </c>
      <c r="T70" s="32">
        <f t="shared" si="23"/>
        <v>1</v>
      </c>
      <c r="U70" s="32">
        <f t="shared" si="23"/>
        <v>0</v>
      </c>
      <c r="V70" s="32">
        <f t="shared" si="23"/>
        <v>0</v>
      </c>
      <c r="W70" s="32">
        <f t="shared" si="23"/>
        <v>3</v>
      </c>
      <c r="X70" s="32">
        <f t="shared" si="23"/>
        <v>0</v>
      </c>
      <c r="Y70" s="32">
        <f t="shared" si="23"/>
        <v>2</v>
      </c>
      <c r="Z70" s="32">
        <f t="shared" si="23"/>
        <v>0</v>
      </c>
      <c r="AA70" s="32">
        <f t="shared" si="23"/>
        <v>0</v>
      </c>
      <c r="AB70" s="32">
        <f t="shared" si="23"/>
        <v>2</v>
      </c>
      <c r="AC70" s="32">
        <f t="shared" si="23"/>
        <v>0</v>
      </c>
      <c r="AD70" s="32">
        <f t="shared" si="23"/>
        <v>0</v>
      </c>
      <c r="AE70" s="32">
        <f t="shared" si="23"/>
        <v>0</v>
      </c>
      <c r="AF70" s="32">
        <f t="shared" si="23"/>
        <v>0</v>
      </c>
      <c r="AG70" s="32">
        <f t="shared" si="23"/>
        <v>0</v>
      </c>
      <c r="AH70" s="32">
        <f t="shared" si="23"/>
        <v>0</v>
      </c>
      <c r="AI70" s="32">
        <f t="shared" si="23"/>
        <v>0</v>
      </c>
      <c r="AJ70" s="32">
        <f t="shared" si="23"/>
        <v>0</v>
      </c>
      <c r="AK70" s="32">
        <f t="shared" si="23"/>
        <v>0</v>
      </c>
      <c r="AL70" s="32">
        <f t="shared" si="23"/>
        <v>14</v>
      </c>
      <c r="AM70" s="32">
        <f t="shared" si="23"/>
        <v>0</v>
      </c>
      <c r="AN70" s="32">
        <f t="shared" si="23"/>
        <v>0</v>
      </c>
      <c r="AO70" s="32">
        <f t="shared" si="23"/>
        <v>1</v>
      </c>
      <c r="AP70" s="32">
        <f t="shared" si="23"/>
        <v>0</v>
      </c>
      <c r="AQ70" s="32">
        <f t="shared" si="23"/>
        <v>0</v>
      </c>
      <c r="AR70" s="32">
        <f t="shared" si="23"/>
        <v>0</v>
      </c>
      <c r="AS70" s="32">
        <f t="shared" si="23"/>
        <v>1</v>
      </c>
      <c r="AT70" s="32">
        <f t="shared" si="23"/>
        <v>0</v>
      </c>
      <c r="AU70" s="32">
        <f t="shared" si="23"/>
        <v>0</v>
      </c>
      <c r="AV70" s="32">
        <f t="shared" si="23"/>
        <v>0</v>
      </c>
      <c r="AW70" s="32">
        <f t="shared" si="23"/>
        <v>0</v>
      </c>
      <c r="AX70" s="32">
        <f t="shared" si="23"/>
        <v>0</v>
      </c>
      <c r="AY70" s="32">
        <f t="shared" si="23"/>
        <v>0</v>
      </c>
      <c r="AZ70" s="32">
        <f t="shared" si="23"/>
        <v>0</v>
      </c>
      <c r="BA70" s="32">
        <f t="shared" si="23"/>
        <v>0</v>
      </c>
      <c r="BB70" s="32">
        <f t="shared" si="23"/>
        <v>0</v>
      </c>
      <c r="BC70" s="32">
        <f t="shared" si="23"/>
        <v>0</v>
      </c>
      <c r="BD70" s="32">
        <f>BD69+BD68</f>
        <v>11</v>
      </c>
      <c r="BE70" s="32">
        <f>BE69+BE68</f>
        <v>0</v>
      </c>
      <c r="BF70" s="32">
        <f>BF69+BF68</f>
        <v>0</v>
      </c>
      <c r="BG70" s="32">
        <f>BG69+BG68</f>
        <v>0</v>
      </c>
      <c r="BH70" s="32">
        <f t="shared" si="23"/>
        <v>0</v>
      </c>
      <c r="BI70" s="32">
        <f t="shared" si="23"/>
        <v>50</v>
      </c>
    </row>
    <row r="71" spans="1:61" s="10" customFormat="1" ht="20.25" customHeight="1" thickTop="1">
      <c r="A71" s="9"/>
      <c r="B71" s="45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8" customFormat="1" ht="30" customHeight="1">
      <c r="A72" s="460" t="s">
        <v>148</v>
      </c>
      <c r="B72" s="460"/>
      <c r="C72" s="460"/>
      <c r="D72" s="460"/>
      <c r="E72" s="460"/>
      <c r="F72" s="460"/>
      <c r="G72" s="460"/>
      <c r="H72" s="460"/>
      <c r="I72" s="460"/>
      <c r="J72" s="460"/>
      <c r="K72" s="460"/>
      <c r="L72" s="460"/>
      <c r="BB72" s="460" t="s">
        <v>112</v>
      </c>
      <c r="BC72" s="460"/>
      <c r="BD72" s="460"/>
      <c r="BE72" s="460"/>
      <c r="BF72" s="460"/>
      <c r="BG72" s="460"/>
      <c r="BH72" s="460"/>
      <c r="BI72" s="460"/>
    </row>
    <row r="73" spans="1:61" s="28" customFormat="1" ht="20.25" customHeight="1">
      <c r="A73" s="334" t="s">
        <v>188</v>
      </c>
      <c r="B73" s="334"/>
      <c r="C73" s="334"/>
      <c r="D73" s="334"/>
      <c r="E73" s="334"/>
      <c r="F73" s="334"/>
      <c r="G73" s="334"/>
      <c r="H73" s="334"/>
      <c r="I73" s="334"/>
      <c r="J73" s="334"/>
      <c r="K73" s="334"/>
      <c r="L73" s="334"/>
      <c r="Q73" s="31"/>
      <c r="R73" s="31"/>
      <c r="V73" s="464" t="s">
        <v>366</v>
      </c>
      <c r="W73" s="464"/>
      <c r="X73" s="464"/>
      <c r="Y73" s="464"/>
      <c r="Z73" s="464"/>
      <c r="AA73" s="464"/>
      <c r="AB73" s="464"/>
      <c r="AC73" s="464"/>
      <c r="AD73" s="464"/>
      <c r="AE73" s="464"/>
      <c r="AF73" s="464"/>
      <c r="AG73" s="464"/>
      <c r="AH73" s="464"/>
      <c r="AI73" s="464"/>
    </row>
    <row r="74" spans="1:61" s="28" customFormat="1" ht="20.25" customHeight="1">
      <c r="A74" s="460" t="s">
        <v>223</v>
      </c>
      <c r="B74" s="460"/>
      <c r="C74" s="460"/>
      <c r="D74" s="460"/>
      <c r="E74" s="460"/>
      <c r="F74" s="460"/>
      <c r="G74" s="460"/>
      <c r="H74" s="460"/>
      <c r="I74" s="460"/>
      <c r="J74" s="460"/>
      <c r="K74" s="460"/>
      <c r="L74" s="460"/>
      <c r="M74" s="460"/>
      <c r="N74" s="460"/>
      <c r="O74" s="460"/>
      <c r="P74" s="460"/>
      <c r="Q74" s="460"/>
      <c r="R74" s="460"/>
      <c r="S74" s="460"/>
      <c r="T74" s="460"/>
      <c r="U74" s="460"/>
      <c r="V74" s="460"/>
      <c r="W74" s="460"/>
      <c r="X74" s="460"/>
      <c r="Y74" s="460"/>
      <c r="Z74" s="460"/>
      <c r="AA74" s="460"/>
      <c r="AB74" s="460"/>
      <c r="AC74" s="460"/>
      <c r="AD74" s="460"/>
      <c r="AE74" s="460"/>
      <c r="AF74" s="460"/>
      <c r="AG74" s="460"/>
      <c r="AH74" s="460"/>
      <c r="AI74" s="460"/>
      <c r="AJ74" s="460"/>
      <c r="AK74" s="460"/>
      <c r="AL74" s="460"/>
      <c r="AM74" s="460"/>
      <c r="AN74" s="460"/>
      <c r="AO74" s="460"/>
      <c r="AP74" s="460"/>
      <c r="AQ74" s="460"/>
      <c r="AR74" s="460"/>
      <c r="AS74" s="460"/>
      <c r="AT74" s="460"/>
      <c r="AU74" s="460"/>
      <c r="AV74" s="460"/>
      <c r="AW74" s="460"/>
      <c r="AX74" s="460"/>
      <c r="AY74" s="460"/>
      <c r="AZ74" s="460"/>
      <c r="BA74" s="460"/>
      <c r="BB74" s="460"/>
      <c r="BC74" s="460"/>
      <c r="BD74" s="460"/>
      <c r="BE74" s="460"/>
      <c r="BF74" s="460"/>
      <c r="BG74" s="460"/>
      <c r="BH74" s="460"/>
      <c r="BI74" s="460"/>
    </row>
    <row r="75" spans="1:61" s="28" customFormat="1" ht="20.25" customHeight="1">
      <c r="A75" s="460" t="s">
        <v>543</v>
      </c>
      <c r="B75" s="460"/>
      <c r="C75" s="460"/>
      <c r="D75" s="460"/>
      <c r="E75" s="460"/>
      <c r="F75" s="460"/>
      <c r="G75" s="460"/>
      <c r="H75" s="460"/>
      <c r="I75" s="460"/>
      <c r="J75" s="460"/>
      <c r="K75" s="460"/>
      <c r="L75" s="460"/>
      <c r="M75" s="460"/>
      <c r="N75" s="460"/>
      <c r="O75" s="460"/>
      <c r="P75" s="460"/>
      <c r="Q75" s="460"/>
      <c r="R75" s="460"/>
      <c r="S75" s="460"/>
      <c r="T75" s="460"/>
      <c r="U75" s="460"/>
      <c r="V75" s="460"/>
      <c r="W75" s="460"/>
      <c r="X75" s="460"/>
      <c r="Y75" s="460"/>
      <c r="Z75" s="460"/>
      <c r="AA75" s="460"/>
      <c r="AB75" s="460"/>
      <c r="AC75" s="460"/>
      <c r="AD75" s="460"/>
      <c r="AE75" s="460"/>
      <c r="AF75" s="460"/>
      <c r="AG75" s="460"/>
      <c r="AH75" s="460"/>
      <c r="AI75" s="460"/>
      <c r="AJ75" s="460"/>
      <c r="AK75" s="460"/>
      <c r="AL75" s="460"/>
      <c r="AM75" s="460"/>
      <c r="AN75" s="460"/>
      <c r="AO75" s="460"/>
      <c r="AP75" s="460"/>
      <c r="AQ75" s="460"/>
      <c r="AR75" s="460"/>
      <c r="AS75" s="460"/>
      <c r="AT75" s="460"/>
      <c r="AU75" s="460"/>
      <c r="AV75" s="460"/>
      <c r="AW75" s="460"/>
      <c r="AX75" s="460"/>
      <c r="AY75" s="460"/>
      <c r="AZ75" s="460"/>
      <c r="BA75" s="460"/>
      <c r="BB75" s="460"/>
      <c r="BC75" s="460"/>
      <c r="BD75" s="460"/>
      <c r="BE75" s="460"/>
      <c r="BF75" s="460"/>
      <c r="BG75" s="460"/>
      <c r="BH75" s="460"/>
      <c r="BI75" s="460"/>
    </row>
    <row r="76" spans="1:61" s="28" customFormat="1" ht="20.25" customHeight="1">
      <c r="A76" s="460" t="s">
        <v>224</v>
      </c>
      <c r="B76" s="460"/>
      <c r="C76" s="460"/>
      <c r="D76" s="460"/>
      <c r="E76" s="460"/>
      <c r="F76" s="460"/>
      <c r="G76" s="460"/>
      <c r="H76" s="460"/>
      <c r="I76" s="460"/>
      <c r="J76" s="460"/>
      <c r="K76" s="460"/>
      <c r="L76" s="460"/>
      <c r="M76" s="460"/>
      <c r="N76" s="460"/>
      <c r="O76" s="460"/>
      <c r="P76" s="460"/>
      <c r="Q76" s="460"/>
      <c r="R76" s="460"/>
      <c r="S76" s="460"/>
      <c r="T76" s="460"/>
      <c r="U76" s="460"/>
      <c r="V76" s="460"/>
      <c r="W76" s="460"/>
      <c r="X76" s="460"/>
      <c r="Y76" s="460"/>
      <c r="Z76" s="460"/>
      <c r="AA76" s="460"/>
      <c r="AB76" s="460"/>
      <c r="AC76" s="460"/>
      <c r="AD76" s="460"/>
      <c r="AE76" s="460"/>
      <c r="AF76" s="460"/>
      <c r="AG76" s="460"/>
      <c r="AH76" s="460"/>
      <c r="AI76" s="460"/>
      <c r="AJ76" s="460"/>
      <c r="AK76" s="460"/>
      <c r="AL76" s="460"/>
      <c r="AM76" s="460"/>
      <c r="AN76" s="460"/>
      <c r="AO76" s="460"/>
      <c r="AP76" s="460"/>
      <c r="AQ76" s="460"/>
      <c r="AR76" s="460"/>
      <c r="AS76" s="460"/>
      <c r="AT76" s="460"/>
      <c r="AU76" s="460"/>
      <c r="AV76" s="460"/>
      <c r="AW76" s="460"/>
      <c r="AX76" s="460"/>
      <c r="AY76" s="460"/>
      <c r="AZ76" s="460"/>
      <c r="BA76" s="460"/>
      <c r="BB76" s="460"/>
      <c r="BC76" s="460"/>
      <c r="BD76" s="460"/>
      <c r="BE76" s="460"/>
      <c r="BF76" s="460"/>
      <c r="BG76" s="460"/>
      <c r="BH76" s="460"/>
      <c r="BI76" s="460"/>
    </row>
    <row r="77" spans="1:61" s="10" customFormat="1" ht="20.25" customHeight="1" thickBot="1">
      <c r="B77" s="40"/>
    </row>
    <row r="78" spans="1:61" s="10" customFormat="1" ht="125.25" thickTop="1" thickBot="1">
      <c r="A78" s="51" t="s">
        <v>115</v>
      </c>
      <c r="B78" s="51" t="s">
        <v>225</v>
      </c>
      <c r="C78" s="51" t="s">
        <v>229</v>
      </c>
      <c r="D78" s="51" t="s">
        <v>226</v>
      </c>
      <c r="E78" s="51" t="s">
        <v>227</v>
      </c>
      <c r="F78" s="51" t="s">
        <v>228</v>
      </c>
      <c r="G78" s="51" t="s">
        <v>230</v>
      </c>
      <c r="H78" s="51" t="s">
        <v>231</v>
      </c>
      <c r="I78" s="51" t="s">
        <v>232</v>
      </c>
      <c r="J78" s="51" t="s">
        <v>233</v>
      </c>
      <c r="K78" s="51" t="s">
        <v>234</v>
      </c>
      <c r="L78" s="51" t="s">
        <v>235</v>
      </c>
      <c r="M78" s="51" t="s">
        <v>236</v>
      </c>
      <c r="N78" s="51" t="s">
        <v>237</v>
      </c>
      <c r="O78" s="51" t="s">
        <v>238</v>
      </c>
      <c r="P78" s="51" t="s">
        <v>239</v>
      </c>
      <c r="Q78" s="51" t="s">
        <v>240</v>
      </c>
      <c r="R78" s="51" t="s">
        <v>241</v>
      </c>
      <c r="S78" s="51" t="s">
        <v>242</v>
      </c>
      <c r="T78" s="51" t="s">
        <v>243</v>
      </c>
      <c r="U78" s="51" t="s">
        <v>244</v>
      </c>
      <c r="V78" s="51" t="s">
        <v>245</v>
      </c>
      <c r="W78" s="51" t="s">
        <v>246</v>
      </c>
      <c r="X78" s="51" t="s">
        <v>247</v>
      </c>
      <c r="Y78" s="51" t="s">
        <v>248</v>
      </c>
      <c r="Z78" s="51" t="s">
        <v>249</v>
      </c>
      <c r="AA78" s="51" t="s">
        <v>250</v>
      </c>
      <c r="AB78" s="51" t="s">
        <v>251</v>
      </c>
      <c r="AC78" s="51" t="s">
        <v>252</v>
      </c>
      <c r="AD78" s="51" t="s">
        <v>253</v>
      </c>
      <c r="AE78" s="51" t="s">
        <v>254</v>
      </c>
      <c r="AF78" s="51" t="s">
        <v>255</v>
      </c>
      <c r="AG78" s="51" t="s">
        <v>256</v>
      </c>
      <c r="AH78" s="51" t="s">
        <v>257</v>
      </c>
      <c r="AI78" s="51" t="s">
        <v>258</v>
      </c>
      <c r="AJ78" s="51" t="s">
        <v>259</v>
      </c>
      <c r="AK78" s="51" t="s">
        <v>260</v>
      </c>
      <c r="AL78" s="51" t="s">
        <v>261</v>
      </c>
      <c r="AM78" s="51" t="s">
        <v>262</v>
      </c>
      <c r="AN78" s="51" t="s">
        <v>263</v>
      </c>
      <c r="AO78" s="51" t="s">
        <v>264</v>
      </c>
      <c r="AP78" s="51" t="s">
        <v>265</v>
      </c>
      <c r="AQ78" s="51" t="s">
        <v>266</v>
      </c>
      <c r="AR78" s="51" t="s">
        <v>267</v>
      </c>
      <c r="AS78" s="51" t="s">
        <v>268</v>
      </c>
      <c r="AT78" s="51" t="s">
        <v>269</v>
      </c>
      <c r="AU78" s="51" t="s">
        <v>270</v>
      </c>
      <c r="AV78" s="51" t="s">
        <v>271</v>
      </c>
      <c r="AW78" s="51" t="s">
        <v>272</v>
      </c>
      <c r="AX78" s="51" t="s">
        <v>273</v>
      </c>
      <c r="AY78" s="51" t="s">
        <v>274</v>
      </c>
      <c r="AZ78" s="51" t="s">
        <v>275</v>
      </c>
      <c r="BA78" s="51" t="s">
        <v>276</v>
      </c>
      <c r="BB78" s="51" t="s">
        <v>277</v>
      </c>
      <c r="BC78" s="51" t="s">
        <v>278</v>
      </c>
      <c r="BD78" s="51" t="s">
        <v>279</v>
      </c>
      <c r="BE78" s="51" t="s">
        <v>365</v>
      </c>
      <c r="BF78" s="51" t="s">
        <v>338</v>
      </c>
      <c r="BG78" s="51" t="s">
        <v>337</v>
      </c>
      <c r="BH78" s="51" t="s">
        <v>36</v>
      </c>
      <c r="BI78" s="51" t="s">
        <v>25</v>
      </c>
    </row>
    <row r="79" spans="1:61" s="50" customFormat="1" ht="69.75" customHeight="1" thickTop="1" thickBot="1">
      <c r="A79" s="456" t="s">
        <v>280</v>
      </c>
      <c r="B79" s="32" t="s">
        <v>73</v>
      </c>
      <c r="C79" s="30">
        <f>المهني!GJ19</f>
        <v>1</v>
      </c>
      <c r="D79" s="30">
        <f>المهني!GL19</f>
        <v>2</v>
      </c>
      <c r="E79" s="30">
        <f>المهني!GN19</f>
        <v>2</v>
      </c>
      <c r="F79" s="30">
        <f>المهني!GP19</f>
        <v>0</v>
      </c>
      <c r="G79" s="30">
        <f>المهني!GR19</f>
        <v>1</v>
      </c>
      <c r="H79" s="30">
        <f>المهني!GT19</f>
        <v>0</v>
      </c>
      <c r="I79" s="30">
        <f>المهني!GV19</f>
        <v>1</v>
      </c>
      <c r="J79" s="30">
        <f>المهني!GX19</f>
        <v>0</v>
      </c>
      <c r="K79" s="30">
        <f>المهني!GZ19</f>
        <v>0</v>
      </c>
      <c r="L79" s="30">
        <f>المهني!HB19</f>
        <v>0</v>
      </c>
      <c r="M79" s="30">
        <f>المهني!HD19</f>
        <v>0</v>
      </c>
      <c r="N79" s="30">
        <f>المهني!HF19</f>
        <v>0</v>
      </c>
      <c r="O79" s="30">
        <f>المهني!HH19</f>
        <v>0</v>
      </c>
      <c r="P79" s="30">
        <f>المهني!HJ19</f>
        <v>0</v>
      </c>
      <c r="Q79" s="30">
        <f>المهني!HL19</f>
        <v>0</v>
      </c>
      <c r="R79" s="30">
        <f>المهني!HN19</f>
        <v>0</v>
      </c>
      <c r="S79" s="30">
        <f>المهني!HP19</f>
        <v>1</v>
      </c>
      <c r="T79" s="30">
        <f>المهني!HR19</f>
        <v>0</v>
      </c>
      <c r="U79" s="30">
        <f>المهني!HT19</f>
        <v>0</v>
      </c>
      <c r="V79" s="30">
        <f>المهني!HV19</f>
        <v>3</v>
      </c>
      <c r="W79" s="30">
        <f>المهني!HX19</f>
        <v>1</v>
      </c>
      <c r="X79" s="30">
        <f>المهني!HZ19</f>
        <v>0</v>
      </c>
      <c r="Y79" s="30">
        <f>المهني!IB19</f>
        <v>0</v>
      </c>
      <c r="Z79" s="30">
        <f>المهني!ID19</f>
        <v>0</v>
      </c>
      <c r="AA79" s="30">
        <f>المهني!IF19</f>
        <v>2</v>
      </c>
      <c r="AB79" s="30">
        <f>المهني!IH19</f>
        <v>5</v>
      </c>
      <c r="AC79" s="30">
        <f>المهني!IJ19</f>
        <v>2</v>
      </c>
      <c r="AD79" s="30">
        <f>المهني!IL19</f>
        <v>0</v>
      </c>
      <c r="AE79" s="30">
        <f>المهني!IN19</f>
        <v>0</v>
      </c>
      <c r="AF79" s="30">
        <f>المهني!IP19</f>
        <v>0</v>
      </c>
      <c r="AG79" s="30">
        <f>المهني!IR19</f>
        <v>0</v>
      </c>
      <c r="AH79" s="30">
        <f>المهني!IT19</f>
        <v>0</v>
      </c>
      <c r="AI79" s="30">
        <f>المهني!IV19</f>
        <v>0</v>
      </c>
      <c r="AJ79" s="30">
        <f>المهني!IX19</f>
        <v>0</v>
      </c>
      <c r="AK79" s="30">
        <f>المهني!IZ19</f>
        <v>0</v>
      </c>
      <c r="AL79" s="30">
        <f>المهني!JB19</f>
        <v>0</v>
      </c>
      <c r="AM79" s="30">
        <f>المهني!JD19</f>
        <v>0</v>
      </c>
      <c r="AN79" s="30">
        <f>المهني!JF19</f>
        <v>0</v>
      </c>
      <c r="AO79" s="30">
        <f>المهني!JH19</f>
        <v>0</v>
      </c>
      <c r="AP79" s="30">
        <f>المهني!JJ19</f>
        <v>0</v>
      </c>
      <c r="AQ79" s="30">
        <f>المهني!JL19</f>
        <v>0</v>
      </c>
      <c r="AR79" s="30">
        <f>المهني!JN19</f>
        <v>3</v>
      </c>
      <c r="AS79" s="30">
        <f>المهني!JP19</f>
        <v>0</v>
      </c>
      <c r="AT79" s="30">
        <f>المهني!JR19</f>
        <v>0</v>
      </c>
      <c r="AU79" s="30">
        <f>المهني!JT19</f>
        <v>0</v>
      </c>
      <c r="AV79" s="30">
        <f>المهني!JV19</f>
        <v>0</v>
      </c>
      <c r="AW79" s="30">
        <f>المهني!JX19</f>
        <v>0</v>
      </c>
      <c r="AX79" s="30">
        <f>المهني!JZ19</f>
        <v>0</v>
      </c>
      <c r="AY79" s="30">
        <f>المهني!KB19</f>
        <v>0</v>
      </c>
      <c r="AZ79" s="30">
        <f>المهني!KD19</f>
        <v>0</v>
      </c>
      <c r="BA79" s="30">
        <f>المهني!KF19</f>
        <v>0</v>
      </c>
      <c r="BB79" s="30">
        <f>المهني!KH19</f>
        <v>0</v>
      </c>
      <c r="BC79" s="30">
        <f>المهني!KJ19</f>
        <v>0</v>
      </c>
      <c r="BD79" s="30">
        <f>المهني!KN19</f>
        <v>12</v>
      </c>
      <c r="BE79" s="30"/>
      <c r="BF79" s="30"/>
      <c r="BG79" s="30"/>
      <c r="BH79" s="30">
        <f>المهني!KT19</f>
        <v>13</v>
      </c>
      <c r="BI79" s="32">
        <f>SUM(C79:BH79)</f>
        <v>49</v>
      </c>
    </row>
    <row r="80" spans="1:61" s="50" customFormat="1" ht="69.75" customHeight="1" thickTop="1" thickBot="1">
      <c r="A80" s="457"/>
      <c r="B80" s="32" t="s">
        <v>29</v>
      </c>
      <c r="C80" s="30">
        <f>المهني!GK19</f>
        <v>4</v>
      </c>
      <c r="D80" s="30">
        <f>المهني!GM19</f>
        <v>0</v>
      </c>
      <c r="E80" s="30">
        <f>المهني!GO19</f>
        <v>4</v>
      </c>
      <c r="F80" s="30">
        <f>المهني!GQ19</f>
        <v>0</v>
      </c>
      <c r="G80" s="30">
        <f>المهني!GS19</f>
        <v>2</v>
      </c>
      <c r="H80" s="30">
        <f>المهني!GU19</f>
        <v>3</v>
      </c>
      <c r="I80" s="30">
        <f>المهني!GW19</f>
        <v>2</v>
      </c>
      <c r="J80" s="30">
        <f>المهني!GY19</f>
        <v>0</v>
      </c>
      <c r="K80" s="30">
        <f>المهني!HA19</f>
        <v>0</v>
      </c>
      <c r="L80" s="30">
        <f>المهني!HC19</f>
        <v>0</v>
      </c>
      <c r="M80" s="30">
        <f>المهني!HE19</f>
        <v>0</v>
      </c>
      <c r="N80" s="30">
        <f>المهني!HG19</f>
        <v>0</v>
      </c>
      <c r="O80" s="30">
        <f>المهني!HI19</f>
        <v>0</v>
      </c>
      <c r="P80" s="30">
        <f>المهني!HK19</f>
        <v>0</v>
      </c>
      <c r="Q80" s="30">
        <f>المهني!HM19</f>
        <v>0</v>
      </c>
      <c r="R80" s="30">
        <f>المهني!HO19</f>
        <v>0</v>
      </c>
      <c r="S80" s="30">
        <f>المهني!HQ19</f>
        <v>0</v>
      </c>
      <c r="T80" s="30">
        <f>المهني!HS19</f>
        <v>1</v>
      </c>
      <c r="U80" s="30">
        <f>المهني!HU19</f>
        <v>0</v>
      </c>
      <c r="V80" s="30">
        <f>المهني!HW19</f>
        <v>0</v>
      </c>
      <c r="W80" s="30">
        <f>المهني!HY19</f>
        <v>0</v>
      </c>
      <c r="X80" s="30">
        <f>المهني!IA19</f>
        <v>0</v>
      </c>
      <c r="Y80" s="30">
        <f>المهني!IC19</f>
        <v>0</v>
      </c>
      <c r="Z80" s="30">
        <f>المهني!IE19</f>
        <v>0</v>
      </c>
      <c r="AA80" s="30">
        <f>المهني!IG19</f>
        <v>1</v>
      </c>
      <c r="AB80" s="30">
        <f>المهني!II19</f>
        <v>1</v>
      </c>
      <c r="AC80" s="30">
        <f>المهني!IK19</f>
        <v>1</v>
      </c>
      <c r="AD80" s="30">
        <f>المهني!IM19</f>
        <v>0</v>
      </c>
      <c r="AE80" s="30">
        <f>المهني!IO19</f>
        <v>0</v>
      </c>
      <c r="AF80" s="30">
        <f>المهني!IQ19</f>
        <v>0</v>
      </c>
      <c r="AG80" s="30">
        <f>المهني!IS19</f>
        <v>0</v>
      </c>
      <c r="AH80" s="30">
        <f>المهني!IU19</f>
        <v>0</v>
      </c>
      <c r="AI80" s="30">
        <f>المهني!IW19</f>
        <v>0</v>
      </c>
      <c r="AJ80" s="30">
        <f>المهني!IY19</f>
        <v>0</v>
      </c>
      <c r="AK80" s="30">
        <f>المهني!JA19</f>
        <v>0</v>
      </c>
      <c r="AL80" s="30">
        <f>المهني!JC19</f>
        <v>0</v>
      </c>
      <c r="AM80" s="30">
        <f>المهني!JE19</f>
        <v>0</v>
      </c>
      <c r="AN80" s="30">
        <f>المهني!JG19</f>
        <v>0</v>
      </c>
      <c r="AO80" s="30">
        <f>المهني!JI19</f>
        <v>0</v>
      </c>
      <c r="AP80" s="30">
        <f>المهني!JK19</f>
        <v>0</v>
      </c>
      <c r="AQ80" s="30">
        <f>المهني!JM19</f>
        <v>0</v>
      </c>
      <c r="AR80" s="30">
        <f>المهني!JO19</f>
        <v>1</v>
      </c>
      <c r="AS80" s="30">
        <f>المهني!JQ19</f>
        <v>1</v>
      </c>
      <c r="AT80" s="30">
        <f>المهني!JS19</f>
        <v>1</v>
      </c>
      <c r="AU80" s="30">
        <f>المهني!JU19</f>
        <v>4</v>
      </c>
      <c r="AV80" s="30">
        <f>المهني!JW19</f>
        <v>0</v>
      </c>
      <c r="AW80" s="30">
        <f>المهني!JY19</f>
        <v>0</v>
      </c>
      <c r="AX80" s="30">
        <f>المهني!KA19</f>
        <v>0</v>
      </c>
      <c r="AY80" s="30">
        <f>المهني!KC19</f>
        <v>0</v>
      </c>
      <c r="AZ80" s="30">
        <f>المهني!KE19</f>
        <v>1</v>
      </c>
      <c r="BA80" s="30">
        <f>المهني!KG19</f>
        <v>0</v>
      </c>
      <c r="BB80" s="30">
        <f>المهني!KI19</f>
        <v>0</v>
      </c>
      <c r="BC80" s="30">
        <f>المهني!KK19</f>
        <v>0</v>
      </c>
      <c r="BD80" s="30">
        <f>المهني!KO19</f>
        <v>13</v>
      </c>
      <c r="BE80" s="30"/>
      <c r="BF80" s="30"/>
      <c r="BG80" s="30"/>
      <c r="BH80" s="30">
        <f>المهني!KU19</f>
        <v>21</v>
      </c>
      <c r="BI80" s="32">
        <f t="shared" ref="BI80:BI90" si="24">SUM(C80:BH80)</f>
        <v>61</v>
      </c>
    </row>
    <row r="81" spans="1:61" s="50" customFormat="1" ht="55.5" customHeight="1" thickTop="1" thickBot="1">
      <c r="A81" s="456" t="s">
        <v>281</v>
      </c>
      <c r="B81" s="32" t="s">
        <v>73</v>
      </c>
      <c r="C81" s="33">
        <v>0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3">
        <v>0</v>
      </c>
      <c r="AI81" s="33">
        <v>0</v>
      </c>
      <c r="AJ81" s="33">
        <v>0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  <c r="AQ81" s="33">
        <v>0</v>
      </c>
      <c r="AR81" s="33">
        <v>0</v>
      </c>
      <c r="AS81" s="33">
        <v>0</v>
      </c>
      <c r="AT81" s="33">
        <v>0</v>
      </c>
      <c r="AU81" s="33">
        <v>0</v>
      </c>
      <c r="AV81" s="33">
        <v>0</v>
      </c>
      <c r="AW81" s="33">
        <v>0</v>
      </c>
      <c r="AX81" s="33">
        <v>0</v>
      </c>
      <c r="AY81" s="33">
        <v>0</v>
      </c>
      <c r="AZ81" s="33">
        <v>0</v>
      </c>
      <c r="BA81" s="33">
        <v>0</v>
      </c>
      <c r="BB81" s="33">
        <v>0</v>
      </c>
      <c r="BC81" s="33">
        <v>0</v>
      </c>
      <c r="BD81" s="33">
        <v>0</v>
      </c>
      <c r="BE81" s="33"/>
      <c r="BF81" s="33"/>
      <c r="BG81" s="33"/>
      <c r="BH81" s="33">
        <v>0</v>
      </c>
      <c r="BI81" s="32">
        <f t="shared" si="24"/>
        <v>0</v>
      </c>
    </row>
    <row r="82" spans="1:61" s="50" customFormat="1" ht="55.5" customHeight="1" thickTop="1" thickBot="1">
      <c r="A82" s="457"/>
      <c r="B82" s="32" t="s">
        <v>29</v>
      </c>
      <c r="C82" s="33">
        <v>0</v>
      </c>
      <c r="D82" s="33">
        <v>0</v>
      </c>
      <c r="E82" s="33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3">
        <v>0</v>
      </c>
      <c r="AI82" s="33">
        <v>0</v>
      </c>
      <c r="AJ82" s="33">
        <v>0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  <c r="AQ82" s="33">
        <v>0</v>
      </c>
      <c r="AR82" s="33">
        <v>0</v>
      </c>
      <c r="AS82" s="33">
        <v>0</v>
      </c>
      <c r="AT82" s="33">
        <v>0</v>
      </c>
      <c r="AU82" s="33">
        <v>0</v>
      </c>
      <c r="AV82" s="33">
        <v>0</v>
      </c>
      <c r="AW82" s="33">
        <v>0</v>
      </c>
      <c r="AX82" s="33">
        <v>0</v>
      </c>
      <c r="AY82" s="33">
        <v>0</v>
      </c>
      <c r="AZ82" s="33">
        <v>0</v>
      </c>
      <c r="BA82" s="33">
        <v>0</v>
      </c>
      <c r="BB82" s="33">
        <v>0</v>
      </c>
      <c r="BC82" s="33">
        <v>0</v>
      </c>
      <c r="BD82" s="33">
        <v>0</v>
      </c>
      <c r="BE82" s="33"/>
      <c r="BF82" s="33"/>
      <c r="BG82" s="33"/>
      <c r="BH82" s="33">
        <v>0</v>
      </c>
      <c r="BI82" s="32">
        <f t="shared" si="24"/>
        <v>0</v>
      </c>
    </row>
    <row r="83" spans="1:61" s="50" customFormat="1" ht="55.5" customHeight="1" thickTop="1" thickBot="1">
      <c r="A83" s="456" t="s">
        <v>282</v>
      </c>
      <c r="B83" s="32" t="s">
        <v>73</v>
      </c>
      <c r="C83" s="33">
        <v>0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  <c r="AH83" s="33">
        <v>0</v>
      </c>
      <c r="AI83" s="33">
        <v>0</v>
      </c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  <c r="AR83" s="33">
        <v>0</v>
      </c>
      <c r="AS83" s="33">
        <v>0</v>
      </c>
      <c r="AT83" s="33">
        <v>0</v>
      </c>
      <c r="AU83" s="33">
        <v>0</v>
      </c>
      <c r="AV83" s="33">
        <v>0</v>
      </c>
      <c r="AW83" s="33">
        <v>0</v>
      </c>
      <c r="AX83" s="33">
        <v>0</v>
      </c>
      <c r="AY83" s="33">
        <v>0</v>
      </c>
      <c r="AZ83" s="33">
        <v>0</v>
      </c>
      <c r="BA83" s="33">
        <v>0</v>
      </c>
      <c r="BB83" s="33">
        <v>0</v>
      </c>
      <c r="BC83" s="33">
        <v>0</v>
      </c>
      <c r="BD83" s="33">
        <v>0</v>
      </c>
      <c r="BE83" s="33"/>
      <c r="BF83" s="33"/>
      <c r="BG83" s="33"/>
      <c r="BH83" s="33">
        <v>0</v>
      </c>
      <c r="BI83" s="32">
        <f t="shared" si="24"/>
        <v>0</v>
      </c>
    </row>
    <row r="84" spans="1:61" s="50" customFormat="1" ht="55.5" customHeight="1" thickTop="1" thickBot="1">
      <c r="A84" s="457"/>
      <c r="B84" s="32" t="s">
        <v>29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3">
        <v>0</v>
      </c>
      <c r="AI84" s="33">
        <v>0</v>
      </c>
      <c r="AJ84" s="33">
        <v>0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  <c r="AR84" s="33">
        <v>0</v>
      </c>
      <c r="AS84" s="33">
        <v>0</v>
      </c>
      <c r="AT84" s="33">
        <v>0</v>
      </c>
      <c r="AU84" s="33">
        <v>0</v>
      </c>
      <c r="AV84" s="33">
        <v>0</v>
      </c>
      <c r="AW84" s="33">
        <v>0</v>
      </c>
      <c r="AX84" s="33">
        <v>0</v>
      </c>
      <c r="AY84" s="33">
        <v>0</v>
      </c>
      <c r="AZ84" s="33">
        <v>0</v>
      </c>
      <c r="BA84" s="33">
        <v>0</v>
      </c>
      <c r="BB84" s="33">
        <v>0</v>
      </c>
      <c r="BC84" s="33">
        <v>0</v>
      </c>
      <c r="BD84" s="33">
        <v>0</v>
      </c>
      <c r="BE84" s="33"/>
      <c r="BF84" s="33"/>
      <c r="BG84" s="33"/>
      <c r="BH84" s="33">
        <v>0</v>
      </c>
      <c r="BI84" s="32">
        <f t="shared" si="24"/>
        <v>0</v>
      </c>
    </row>
    <row r="85" spans="1:61" s="50" customFormat="1" ht="55.5" customHeight="1" thickTop="1" thickBot="1">
      <c r="A85" s="458" t="s">
        <v>214</v>
      </c>
      <c r="B85" s="32" t="s">
        <v>73</v>
      </c>
      <c r="C85" s="33">
        <v>0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0</v>
      </c>
      <c r="AY85" s="33">
        <v>0</v>
      </c>
      <c r="AZ85" s="33">
        <v>0</v>
      </c>
      <c r="BA85" s="33">
        <v>0</v>
      </c>
      <c r="BB85" s="33">
        <v>0</v>
      </c>
      <c r="BC85" s="33">
        <v>0</v>
      </c>
      <c r="BD85" s="33">
        <v>0</v>
      </c>
      <c r="BE85" s="33"/>
      <c r="BF85" s="33"/>
      <c r="BG85" s="33"/>
      <c r="BH85" s="33">
        <v>0</v>
      </c>
      <c r="BI85" s="32">
        <f t="shared" si="24"/>
        <v>0</v>
      </c>
    </row>
    <row r="86" spans="1:61" s="50" customFormat="1" ht="55.5" customHeight="1" thickTop="1" thickBot="1">
      <c r="A86" s="459"/>
      <c r="B86" s="32" t="s">
        <v>29</v>
      </c>
      <c r="C86" s="33">
        <v>0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0</v>
      </c>
      <c r="AY86" s="33">
        <v>0</v>
      </c>
      <c r="AZ86" s="33">
        <v>0</v>
      </c>
      <c r="BA86" s="33">
        <v>0</v>
      </c>
      <c r="BB86" s="33">
        <v>0</v>
      </c>
      <c r="BC86" s="33">
        <v>0</v>
      </c>
      <c r="BD86" s="33">
        <v>0</v>
      </c>
      <c r="BE86" s="33"/>
      <c r="BF86" s="33"/>
      <c r="BG86" s="33"/>
      <c r="BH86" s="33">
        <v>0</v>
      </c>
      <c r="BI86" s="32">
        <f t="shared" si="24"/>
        <v>0</v>
      </c>
    </row>
    <row r="87" spans="1:61" s="50" customFormat="1" ht="55.5" customHeight="1" thickTop="1" thickBot="1">
      <c r="A87" s="458" t="s">
        <v>488</v>
      </c>
      <c r="B87" s="32" t="s">
        <v>73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2"/>
    </row>
    <row r="88" spans="1:61" s="50" customFormat="1" ht="55.5" customHeight="1" thickTop="1" thickBot="1">
      <c r="A88" s="459"/>
      <c r="B88" s="32" t="s">
        <v>29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2"/>
    </row>
    <row r="89" spans="1:61" s="36" customFormat="1" ht="67.5" customHeight="1" thickTop="1" thickBot="1">
      <c r="A89" s="454" t="s">
        <v>397</v>
      </c>
      <c r="B89" s="43" t="s">
        <v>73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5"/>
      <c r="BI89" s="35">
        <f t="shared" si="24"/>
        <v>0</v>
      </c>
    </row>
    <row r="90" spans="1:61" s="36" customFormat="1" ht="67.5" customHeight="1" thickTop="1" thickBot="1">
      <c r="A90" s="455"/>
      <c r="B90" s="43" t="s">
        <v>29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5"/>
      <c r="BI90" s="35">
        <f t="shared" si="24"/>
        <v>0</v>
      </c>
    </row>
    <row r="91" spans="1:61" s="50" customFormat="1" ht="70.5" customHeight="1" thickTop="1" thickBot="1">
      <c r="A91" s="456" t="s">
        <v>25</v>
      </c>
      <c r="B91" s="32" t="s">
        <v>73</v>
      </c>
      <c r="C91" s="30">
        <f>C85+C83+C81+C79</f>
        <v>1</v>
      </c>
      <c r="D91" s="30">
        <f t="shared" ref="D91:BI91" si="25">D85+D83+D81+D79</f>
        <v>2</v>
      </c>
      <c r="E91" s="30">
        <f t="shared" si="25"/>
        <v>2</v>
      </c>
      <c r="F91" s="30">
        <f t="shared" si="25"/>
        <v>0</v>
      </c>
      <c r="G91" s="30">
        <f t="shared" si="25"/>
        <v>1</v>
      </c>
      <c r="H91" s="30">
        <f t="shared" si="25"/>
        <v>0</v>
      </c>
      <c r="I91" s="30">
        <f t="shared" si="25"/>
        <v>1</v>
      </c>
      <c r="J91" s="30">
        <f t="shared" si="25"/>
        <v>0</v>
      </c>
      <c r="K91" s="30">
        <f t="shared" si="25"/>
        <v>0</v>
      </c>
      <c r="L91" s="30">
        <f t="shared" si="25"/>
        <v>0</v>
      </c>
      <c r="M91" s="30">
        <f t="shared" si="25"/>
        <v>0</v>
      </c>
      <c r="N91" s="30">
        <f t="shared" si="25"/>
        <v>0</v>
      </c>
      <c r="O91" s="30">
        <f t="shared" si="25"/>
        <v>0</v>
      </c>
      <c r="P91" s="30">
        <f t="shared" si="25"/>
        <v>0</v>
      </c>
      <c r="Q91" s="30">
        <f t="shared" si="25"/>
        <v>0</v>
      </c>
      <c r="R91" s="30">
        <f t="shared" si="25"/>
        <v>0</v>
      </c>
      <c r="S91" s="30">
        <f t="shared" si="25"/>
        <v>1</v>
      </c>
      <c r="T91" s="30">
        <f t="shared" si="25"/>
        <v>0</v>
      </c>
      <c r="U91" s="30">
        <f t="shared" si="25"/>
        <v>0</v>
      </c>
      <c r="V91" s="30">
        <f t="shared" si="25"/>
        <v>3</v>
      </c>
      <c r="W91" s="30">
        <f t="shared" si="25"/>
        <v>1</v>
      </c>
      <c r="X91" s="30">
        <f t="shared" si="25"/>
        <v>0</v>
      </c>
      <c r="Y91" s="30">
        <f t="shared" si="25"/>
        <v>0</v>
      </c>
      <c r="Z91" s="30">
        <f t="shared" si="25"/>
        <v>0</v>
      </c>
      <c r="AA91" s="30">
        <f t="shared" si="25"/>
        <v>2</v>
      </c>
      <c r="AB91" s="30">
        <f t="shared" si="25"/>
        <v>5</v>
      </c>
      <c r="AC91" s="30">
        <f t="shared" si="25"/>
        <v>2</v>
      </c>
      <c r="AD91" s="30">
        <f t="shared" si="25"/>
        <v>0</v>
      </c>
      <c r="AE91" s="30">
        <f t="shared" si="25"/>
        <v>0</v>
      </c>
      <c r="AF91" s="30">
        <f t="shared" si="25"/>
        <v>0</v>
      </c>
      <c r="AG91" s="30">
        <f t="shared" si="25"/>
        <v>0</v>
      </c>
      <c r="AH91" s="30">
        <f t="shared" si="25"/>
        <v>0</v>
      </c>
      <c r="AI91" s="30">
        <f t="shared" si="25"/>
        <v>0</v>
      </c>
      <c r="AJ91" s="30">
        <f t="shared" si="25"/>
        <v>0</v>
      </c>
      <c r="AK91" s="30">
        <f t="shared" si="25"/>
        <v>0</v>
      </c>
      <c r="AL91" s="30">
        <f t="shared" si="25"/>
        <v>0</v>
      </c>
      <c r="AM91" s="30">
        <f t="shared" si="25"/>
        <v>0</v>
      </c>
      <c r="AN91" s="30">
        <f t="shared" si="25"/>
        <v>0</v>
      </c>
      <c r="AO91" s="30">
        <f t="shared" si="25"/>
        <v>0</v>
      </c>
      <c r="AP91" s="30">
        <f t="shared" si="25"/>
        <v>0</v>
      </c>
      <c r="AQ91" s="30">
        <f t="shared" si="25"/>
        <v>0</v>
      </c>
      <c r="AR91" s="30">
        <f t="shared" si="25"/>
        <v>3</v>
      </c>
      <c r="AS91" s="30">
        <f t="shared" si="25"/>
        <v>0</v>
      </c>
      <c r="AT91" s="30">
        <f t="shared" si="25"/>
        <v>0</v>
      </c>
      <c r="AU91" s="30">
        <f t="shared" si="25"/>
        <v>0</v>
      </c>
      <c r="AV91" s="30">
        <f t="shared" si="25"/>
        <v>0</v>
      </c>
      <c r="AW91" s="30">
        <f t="shared" si="25"/>
        <v>0</v>
      </c>
      <c r="AX91" s="30">
        <f t="shared" si="25"/>
        <v>0</v>
      </c>
      <c r="AY91" s="30">
        <f t="shared" si="25"/>
        <v>0</v>
      </c>
      <c r="AZ91" s="30">
        <f t="shared" si="25"/>
        <v>0</v>
      </c>
      <c r="BA91" s="30">
        <f t="shared" si="25"/>
        <v>0</v>
      </c>
      <c r="BB91" s="30">
        <f t="shared" si="25"/>
        <v>0</v>
      </c>
      <c r="BC91" s="30">
        <f t="shared" si="25"/>
        <v>0</v>
      </c>
      <c r="BD91" s="30">
        <f t="shared" si="25"/>
        <v>12</v>
      </c>
      <c r="BE91" s="30">
        <f t="shared" ref="BE91:BG92" si="26">BE85+BE83+BE81+BE79</f>
        <v>0</v>
      </c>
      <c r="BF91" s="30">
        <f t="shared" si="26"/>
        <v>0</v>
      </c>
      <c r="BG91" s="30">
        <f t="shared" si="26"/>
        <v>0</v>
      </c>
      <c r="BH91" s="30">
        <f t="shared" si="25"/>
        <v>13</v>
      </c>
      <c r="BI91" s="32">
        <f t="shared" si="25"/>
        <v>49</v>
      </c>
    </row>
    <row r="92" spans="1:61" s="50" customFormat="1" ht="70.5" customHeight="1" thickTop="1" thickBot="1">
      <c r="A92" s="465"/>
      <c r="B92" s="32" t="s">
        <v>29</v>
      </c>
      <c r="C92" s="30">
        <f>C86+C84+C82+C80</f>
        <v>4</v>
      </c>
      <c r="D92" s="30">
        <f t="shared" ref="D92:BI92" si="27">D86+D84+D82+D80</f>
        <v>0</v>
      </c>
      <c r="E92" s="30">
        <f t="shared" si="27"/>
        <v>4</v>
      </c>
      <c r="F92" s="30">
        <f t="shared" si="27"/>
        <v>0</v>
      </c>
      <c r="G92" s="30">
        <f t="shared" si="27"/>
        <v>2</v>
      </c>
      <c r="H92" s="30">
        <f t="shared" si="27"/>
        <v>3</v>
      </c>
      <c r="I92" s="30">
        <f t="shared" si="27"/>
        <v>2</v>
      </c>
      <c r="J92" s="30">
        <f t="shared" si="27"/>
        <v>0</v>
      </c>
      <c r="K92" s="30">
        <f t="shared" si="27"/>
        <v>0</v>
      </c>
      <c r="L92" s="30">
        <f t="shared" si="27"/>
        <v>0</v>
      </c>
      <c r="M92" s="30">
        <f t="shared" si="27"/>
        <v>0</v>
      </c>
      <c r="N92" s="30">
        <f t="shared" si="27"/>
        <v>0</v>
      </c>
      <c r="O92" s="30">
        <f t="shared" si="27"/>
        <v>0</v>
      </c>
      <c r="P92" s="30">
        <f t="shared" si="27"/>
        <v>0</v>
      </c>
      <c r="Q92" s="30">
        <f t="shared" si="27"/>
        <v>0</v>
      </c>
      <c r="R92" s="30">
        <f t="shared" si="27"/>
        <v>0</v>
      </c>
      <c r="S92" s="30">
        <f t="shared" si="27"/>
        <v>0</v>
      </c>
      <c r="T92" s="30">
        <f t="shared" si="27"/>
        <v>1</v>
      </c>
      <c r="U92" s="30">
        <f t="shared" si="27"/>
        <v>0</v>
      </c>
      <c r="V92" s="30">
        <f t="shared" si="27"/>
        <v>0</v>
      </c>
      <c r="W92" s="30">
        <f t="shared" si="27"/>
        <v>0</v>
      </c>
      <c r="X92" s="30">
        <f t="shared" si="27"/>
        <v>0</v>
      </c>
      <c r="Y92" s="30">
        <f t="shared" si="27"/>
        <v>0</v>
      </c>
      <c r="Z92" s="30">
        <f t="shared" si="27"/>
        <v>0</v>
      </c>
      <c r="AA92" s="30">
        <f t="shared" si="27"/>
        <v>1</v>
      </c>
      <c r="AB92" s="30">
        <f t="shared" si="27"/>
        <v>1</v>
      </c>
      <c r="AC92" s="30">
        <f t="shared" si="27"/>
        <v>1</v>
      </c>
      <c r="AD92" s="30">
        <f t="shared" si="27"/>
        <v>0</v>
      </c>
      <c r="AE92" s="30">
        <f t="shared" si="27"/>
        <v>0</v>
      </c>
      <c r="AF92" s="30">
        <f t="shared" si="27"/>
        <v>0</v>
      </c>
      <c r="AG92" s="30">
        <f t="shared" si="27"/>
        <v>0</v>
      </c>
      <c r="AH92" s="30">
        <f t="shared" si="27"/>
        <v>0</v>
      </c>
      <c r="AI92" s="30">
        <f t="shared" si="27"/>
        <v>0</v>
      </c>
      <c r="AJ92" s="30">
        <f t="shared" si="27"/>
        <v>0</v>
      </c>
      <c r="AK92" s="30">
        <f t="shared" si="27"/>
        <v>0</v>
      </c>
      <c r="AL92" s="30">
        <f t="shared" si="27"/>
        <v>0</v>
      </c>
      <c r="AM92" s="30">
        <f t="shared" si="27"/>
        <v>0</v>
      </c>
      <c r="AN92" s="30">
        <f t="shared" si="27"/>
        <v>0</v>
      </c>
      <c r="AO92" s="30">
        <f t="shared" si="27"/>
        <v>0</v>
      </c>
      <c r="AP92" s="30">
        <f t="shared" si="27"/>
        <v>0</v>
      </c>
      <c r="AQ92" s="30">
        <f t="shared" si="27"/>
        <v>0</v>
      </c>
      <c r="AR92" s="30">
        <f t="shared" si="27"/>
        <v>1</v>
      </c>
      <c r="AS92" s="30">
        <f t="shared" si="27"/>
        <v>1</v>
      </c>
      <c r="AT92" s="30">
        <f t="shared" si="27"/>
        <v>1</v>
      </c>
      <c r="AU92" s="30">
        <f t="shared" si="27"/>
        <v>4</v>
      </c>
      <c r="AV92" s="30">
        <f t="shared" si="27"/>
        <v>0</v>
      </c>
      <c r="AW92" s="30">
        <f t="shared" si="27"/>
        <v>0</v>
      </c>
      <c r="AX92" s="30">
        <f t="shared" si="27"/>
        <v>0</v>
      </c>
      <c r="AY92" s="30">
        <f t="shared" si="27"/>
        <v>0</v>
      </c>
      <c r="AZ92" s="30">
        <f t="shared" si="27"/>
        <v>1</v>
      </c>
      <c r="BA92" s="30">
        <f t="shared" si="27"/>
        <v>0</v>
      </c>
      <c r="BB92" s="30">
        <f t="shared" si="27"/>
        <v>0</v>
      </c>
      <c r="BC92" s="30">
        <f t="shared" si="27"/>
        <v>0</v>
      </c>
      <c r="BD92" s="30">
        <f t="shared" si="27"/>
        <v>13</v>
      </c>
      <c r="BE92" s="30">
        <f t="shared" si="26"/>
        <v>0</v>
      </c>
      <c r="BF92" s="30">
        <f t="shared" si="26"/>
        <v>0</v>
      </c>
      <c r="BG92" s="30">
        <f t="shared" si="26"/>
        <v>0</v>
      </c>
      <c r="BH92" s="30">
        <f t="shared" si="27"/>
        <v>21</v>
      </c>
      <c r="BI92" s="32">
        <f t="shared" si="27"/>
        <v>61</v>
      </c>
    </row>
    <row r="93" spans="1:61" s="50" customFormat="1" ht="70.5" customHeight="1" thickTop="1" thickBot="1">
      <c r="A93" s="457"/>
      <c r="B93" s="32" t="s">
        <v>25</v>
      </c>
      <c r="C93" s="32">
        <f>C92+C91</f>
        <v>5</v>
      </c>
      <c r="D93" s="32">
        <f t="shared" ref="D93:BI93" si="28">D92+D91</f>
        <v>2</v>
      </c>
      <c r="E93" s="32">
        <f t="shared" si="28"/>
        <v>6</v>
      </c>
      <c r="F93" s="32">
        <f t="shared" si="28"/>
        <v>0</v>
      </c>
      <c r="G93" s="32">
        <f>G92+G91</f>
        <v>3</v>
      </c>
      <c r="H93" s="32">
        <f t="shared" si="28"/>
        <v>3</v>
      </c>
      <c r="I93" s="32">
        <f t="shared" si="28"/>
        <v>3</v>
      </c>
      <c r="J93" s="32">
        <f t="shared" si="28"/>
        <v>0</v>
      </c>
      <c r="K93" s="32">
        <f t="shared" si="28"/>
        <v>0</v>
      </c>
      <c r="L93" s="32">
        <f t="shared" si="28"/>
        <v>0</v>
      </c>
      <c r="M93" s="32">
        <f t="shared" si="28"/>
        <v>0</v>
      </c>
      <c r="N93" s="32">
        <f t="shared" si="28"/>
        <v>0</v>
      </c>
      <c r="O93" s="32">
        <f t="shared" si="28"/>
        <v>0</v>
      </c>
      <c r="P93" s="32">
        <f t="shared" si="28"/>
        <v>0</v>
      </c>
      <c r="Q93" s="32">
        <f t="shared" si="28"/>
        <v>0</v>
      </c>
      <c r="R93" s="32">
        <f t="shared" si="28"/>
        <v>0</v>
      </c>
      <c r="S93" s="32">
        <f t="shared" si="28"/>
        <v>1</v>
      </c>
      <c r="T93" s="32">
        <f t="shared" si="28"/>
        <v>1</v>
      </c>
      <c r="U93" s="32">
        <f t="shared" si="28"/>
        <v>0</v>
      </c>
      <c r="V93" s="32">
        <f t="shared" si="28"/>
        <v>3</v>
      </c>
      <c r="W93" s="32">
        <f t="shared" si="28"/>
        <v>1</v>
      </c>
      <c r="X93" s="32">
        <f t="shared" si="28"/>
        <v>0</v>
      </c>
      <c r="Y93" s="32">
        <f t="shared" si="28"/>
        <v>0</v>
      </c>
      <c r="Z93" s="32">
        <f t="shared" si="28"/>
        <v>0</v>
      </c>
      <c r="AA93" s="32">
        <f t="shared" si="28"/>
        <v>3</v>
      </c>
      <c r="AB93" s="32">
        <f t="shared" si="28"/>
        <v>6</v>
      </c>
      <c r="AC93" s="32">
        <f t="shared" si="28"/>
        <v>3</v>
      </c>
      <c r="AD93" s="32">
        <f t="shared" si="28"/>
        <v>0</v>
      </c>
      <c r="AE93" s="32">
        <f t="shared" si="28"/>
        <v>0</v>
      </c>
      <c r="AF93" s="32">
        <f t="shared" si="28"/>
        <v>0</v>
      </c>
      <c r="AG93" s="32">
        <f t="shared" si="28"/>
        <v>0</v>
      </c>
      <c r="AH93" s="32">
        <f t="shared" si="28"/>
        <v>0</v>
      </c>
      <c r="AI93" s="32">
        <f t="shared" si="28"/>
        <v>0</v>
      </c>
      <c r="AJ93" s="32">
        <f t="shared" si="28"/>
        <v>0</v>
      </c>
      <c r="AK93" s="32">
        <f t="shared" si="28"/>
        <v>0</v>
      </c>
      <c r="AL93" s="32">
        <f t="shared" si="28"/>
        <v>0</v>
      </c>
      <c r="AM93" s="32">
        <f t="shared" si="28"/>
        <v>0</v>
      </c>
      <c r="AN93" s="32">
        <f t="shared" si="28"/>
        <v>0</v>
      </c>
      <c r="AO93" s="32">
        <f t="shared" si="28"/>
        <v>0</v>
      </c>
      <c r="AP93" s="32">
        <f t="shared" si="28"/>
        <v>0</v>
      </c>
      <c r="AQ93" s="32">
        <f t="shared" si="28"/>
        <v>0</v>
      </c>
      <c r="AR93" s="32">
        <f t="shared" si="28"/>
        <v>4</v>
      </c>
      <c r="AS93" s="32">
        <f t="shared" si="28"/>
        <v>1</v>
      </c>
      <c r="AT93" s="32">
        <f t="shared" si="28"/>
        <v>1</v>
      </c>
      <c r="AU93" s="32">
        <f t="shared" si="28"/>
        <v>4</v>
      </c>
      <c r="AV93" s="32">
        <f t="shared" si="28"/>
        <v>0</v>
      </c>
      <c r="AW93" s="32">
        <f t="shared" si="28"/>
        <v>0</v>
      </c>
      <c r="AX93" s="32">
        <f t="shared" si="28"/>
        <v>0</v>
      </c>
      <c r="AY93" s="32">
        <f t="shared" si="28"/>
        <v>0</v>
      </c>
      <c r="AZ93" s="32">
        <f t="shared" si="28"/>
        <v>1</v>
      </c>
      <c r="BA93" s="32">
        <f t="shared" si="28"/>
        <v>0</v>
      </c>
      <c r="BB93" s="32">
        <f t="shared" si="28"/>
        <v>0</v>
      </c>
      <c r="BC93" s="32">
        <f t="shared" si="28"/>
        <v>0</v>
      </c>
      <c r="BD93" s="32">
        <f t="shared" si="28"/>
        <v>25</v>
      </c>
      <c r="BE93" s="32">
        <f>BE92+BE91</f>
        <v>0</v>
      </c>
      <c r="BF93" s="32">
        <f>BF92+BF91</f>
        <v>0</v>
      </c>
      <c r="BG93" s="32">
        <f>BG92+BG91</f>
        <v>0</v>
      </c>
      <c r="BH93" s="32">
        <f t="shared" si="28"/>
        <v>34</v>
      </c>
      <c r="BI93" s="32">
        <f t="shared" si="28"/>
        <v>110</v>
      </c>
    </row>
    <row r="94" spans="1:61" ht="20.25" customHeight="1" thickTop="1"/>
  </sheetData>
  <mergeCells count="57">
    <mergeCell ref="V2:AH2"/>
    <mergeCell ref="A2:L2"/>
    <mergeCell ref="A1:L1"/>
    <mergeCell ref="A26:L26"/>
    <mergeCell ref="BB26:BI26"/>
    <mergeCell ref="A8:A9"/>
    <mergeCell ref="A10:A11"/>
    <mergeCell ref="A12:A13"/>
    <mergeCell ref="A14:A15"/>
    <mergeCell ref="A22:A24"/>
    <mergeCell ref="A5:BI5"/>
    <mergeCell ref="A4:BI4"/>
    <mergeCell ref="A3:BI3"/>
    <mergeCell ref="BB1:BI1"/>
    <mergeCell ref="A20:A21"/>
    <mergeCell ref="A16:A17"/>
    <mergeCell ref="V27:AI27"/>
    <mergeCell ref="A49:L49"/>
    <mergeCell ref="A27:L27"/>
    <mergeCell ref="A28:BI28"/>
    <mergeCell ref="A29:BI29"/>
    <mergeCell ref="A30:BI30"/>
    <mergeCell ref="A33:A34"/>
    <mergeCell ref="A43:A44"/>
    <mergeCell ref="A41:A42"/>
    <mergeCell ref="A91:A93"/>
    <mergeCell ref="A89:A90"/>
    <mergeCell ref="A87:A88"/>
    <mergeCell ref="A76:BI76"/>
    <mergeCell ref="A56:A57"/>
    <mergeCell ref="A58:A59"/>
    <mergeCell ref="A60:A61"/>
    <mergeCell ref="A62:A63"/>
    <mergeCell ref="A68:A70"/>
    <mergeCell ref="A72:L72"/>
    <mergeCell ref="BB72:BI72"/>
    <mergeCell ref="A73:L73"/>
    <mergeCell ref="V73:AI73"/>
    <mergeCell ref="A74:BI74"/>
    <mergeCell ref="A75:BI75"/>
    <mergeCell ref="A66:A67"/>
    <mergeCell ref="A18:A19"/>
    <mergeCell ref="A79:A80"/>
    <mergeCell ref="A81:A82"/>
    <mergeCell ref="A83:A84"/>
    <mergeCell ref="A85:A86"/>
    <mergeCell ref="A64:A65"/>
    <mergeCell ref="A53:BI53"/>
    <mergeCell ref="A35:A36"/>
    <mergeCell ref="A37:A38"/>
    <mergeCell ref="A39:A40"/>
    <mergeCell ref="A45:A47"/>
    <mergeCell ref="BB49:BI49"/>
    <mergeCell ref="A50:L50"/>
    <mergeCell ref="V50:AI50"/>
    <mergeCell ref="A51:BI51"/>
    <mergeCell ref="A52:BI52"/>
  </mergeCells>
  <printOptions horizontalCentered="1" verticalCentered="1"/>
  <pageMargins left="0.15748031496062992" right="0.19685039370078741" top="0.2" bottom="0.27559055118110237" header="0.19685039370078741" footer="0.15748031496062992"/>
  <pageSetup paperSize="9" scale="41" orientation="landscape" horizontalDpi="300" verticalDpi="300" r:id="rId1"/>
  <rowBreaks count="3" manualBreakCount="3">
    <brk id="24" max="16383" man="1"/>
    <brk id="47" max="16383" man="1"/>
    <brk id="71" max="16383" man="1"/>
  </rowBreaks>
  <ignoredErrors>
    <ignoredError sqref="N2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5"/>
  <sheetViews>
    <sheetView rightToLeft="1" view="pageBreakPreview" zoomScaleNormal="100" zoomScaleSheetLayoutView="100" workbookViewId="0">
      <selection activeCell="A4" sqref="A4"/>
    </sheetView>
  </sheetViews>
  <sheetFormatPr defaultRowHeight="14.25"/>
  <cols>
    <col min="1" max="1" width="11.625" customWidth="1"/>
    <col min="5" max="5" width="11" customWidth="1"/>
    <col min="13" max="13" width="10.25" customWidth="1"/>
    <col min="14" max="14" width="10.875" customWidth="1"/>
  </cols>
  <sheetData>
    <row r="1" spans="1:18" ht="23.25">
      <c r="A1" s="61" t="s">
        <v>209</v>
      </c>
      <c r="B1" s="62"/>
      <c r="C1" s="62"/>
      <c r="D1" s="62"/>
      <c r="E1" s="62"/>
      <c r="F1" s="63"/>
      <c r="G1" s="63"/>
      <c r="H1" s="63"/>
      <c r="I1" s="63"/>
      <c r="J1" s="63"/>
      <c r="K1" s="63"/>
      <c r="L1" s="61" t="s">
        <v>191</v>
      </c>
      <c r="M1" s="62"/>
      <c r="N1" s="62"/>
      <c r="O1" s="63"/>
      <c r="P1" s="63"/>
      <c r="Q1" s="63"/>
      <c r="R1" s="63"/>
    </row>
    <row r="2" spans="1:18" ht="23.25">
      <c r="A2" s="471" t="s">
        <v>188</v>
      </c>
      <c r="B2" s="471"/>
      <c r="C2" s="471"/>
      <c r="D2" s="471"/>
      <c r="E2" s="471"/>
      <c r="F2" s="63"/>
      <c r="G2" s="63"/>
      <c r="H2" s="63"/>
      <c r="I2" s="63"/>
      <c r="J2" s="63"/>
      <c r="K2" s="63"/>
      <c r="L2" s="471" t="s">
        <v>112</v>
      </c>
      <c r="M2" s="471"/>
      <c r="N2" s="471"/>
      <c r="O2" s="63"/>
      <c r="P2" s="63"/>
      <c r="Q2" s="63"/>
      <c r="R2" s="63"/>
    </row>
    <row r="3" spans="1:18" ht="23.25">
      <c r="B3" s="62"/>
      <c r="C3" s="62"/>
      <c r="D3" s="62"/>
      <c r="E3" s="62"/>
      <c r="F3" s="62"/>
      <c r="G3" s="61" t="s">
        <v>425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18">
      <c r="F4" s="61" t="s">
        <v>545</v>
      </c>
    </row>
    <row r="5" spans="1:18" ht="24" thickBot="1">
      <c r="B5" s="64" t="s">
        <v>426</v>
      </c>
      <c r="F5" s="62"/>
      <c r="K5" s="64" t="s">
        <v>427</v>
      </c>
    </row>
    <row r="6" spans="1:18" ht="42" customHeight="1" thickTop="1" thickBot="1">
      <c r="B6" s="65" t="s">
        <v>309</v>
      </c>
      <c r="C6" s="65" t="s">
        <v>428</v>
      </c>
      <c r="D6" s="65" t="s">
        <v>346</v>
      </c>
      <c r="E6" s="65" t="s">
        <v>429</v>
      </c>
      <c r="F6" s="469" t="s">
        <v>430</v>
      </c>
      <c r="G6" s="476"/>
      <c r="H6" s="470"/>
      <c r="I6" s="65" t="s">
        <v>431</v>
      </c>
      <c r="K6" s="65" t="s">
        <v>432</v>
      </c>
      <c r="L6" s="65" t="s">
        <v>433</v>
      </c>
      <c r="M6" s="65" t="s">
        <v>434</v>
      </c>
      <c r="N6" s="65" t="s">
        <v>435</v>
      </c>
    </row>
    <row r="7" spans="1:18" ht="19.5" customHeight="1" thickTop="1" thickBot="1">
      <c r="B7" s="472">
        <f>المهني!OI52</f>
        <v>1</v>
      </c>
      <c r="C7" s="472">
        <f>المهني!OK52</f>
        <v>13</v>
      </c>
      <c r="D7" s="472">
        <f>المهني!OM52</f>
        <v>3</v>
      </c>
      <c r="E7" s="472">
        <f>المهني!OO52</f>
        <v>1</v>
      </c>
      <c r="F7" s="65" t="s">
        <v>436</v>
      </c>
      <c r="G7" s="65" t="s">
        <v>437</v>
      </c>
      <c r="H7" s="65" t="s">
        <v>438</v>
      </c>
      <c r="I7" s="482">
        <v>0</v>
      </c>
      <c r="K7" s="472">
        <f>المهني!Q52</f>
        <v>8</v>
      </c>
      <c r="L7" s="472">
        <f>المهني!R52</f>
        <v>0</v>
      </c>
      <c r="M7" s="472">
        <f>المهني!S52</f>
        <v>5</v>
      </c>
      <c r="N7" s="472">
        <f>المهني!T52</f>
        <v>0</v>
      </c>
    </row>
    <row r="8" spans="1:18" ht="22.5" customHeight="1" thickTop="1" thickBot="1">
      <c r="B8" s="473"/>
      <c r="C8" s="473"/>
      <c r="D8" s="473"/>
      <c r="E8" s="473"/>
      <c r="F8" s="66">
        <f>المهني!OT52</f>
        <v>2</v>
      </c>
      <c r="G8" s="66">
        <v>0</v>
      </c>
      <c r="H8" s="66">
        <v>0</v>
      </c>
      <c r="I8" s="483"/>
      <c r="K8" s="473"/>
      <c r="L8" s="473"/>
      <c r="M8" s="473"/>
      <c r="N8" s="473"/>
    </row>
    <row r="9" spans="1:18" ht="15" thickTop="1"/>
    <row r="10" spans="1:18" ht="24" thickBot="1">
      <c r="B10" s="64" t="s">
        <v>454</v>
      </c>
      <c r="I10" s="64" t="s">
        <v>455</v>
      </c>
    </row>
    <row r="11" spans="1:18" ht="16.5" thickTop="1" thickBot="1">
      <c r="B11" s="469" t="s">
        <v>439</v>
      </c>
      <c r="C11" s="476"/>
      <c r="D11" s="470"/>
      <c r="E11" s="65" t="s">
        <v>73</v>
      </c>
      <c r="F11" s="65" t="s">
        <v>29</v>
      </c>
      <c r="G11" s="65" t="s">
        <v>25</v>
      </c>
    </row>
    <row r="12" spans="1:18" ht="16.5" thickTop="1" thickBot="1">
      <c r="B12" s="469" t="s">
        <v>92</v>
      </c>
      <c r="C12" s="476"/>
      <c r="D12" s="470"/>
      <c r="E12" s="65">
        <f>المهني!KY52</f>
        <v>203</v>
      </c>
      <c r="F12" s="65">
        <f>المهني!KZ52</f>
        <v>215</v>
      </c>
      <c r="G12" s="65">
        <f>SUM(E12:F12)</f>
        <v>418</v>
      </c>
      <c r="I12" s="469" t="s">
        <v>225</v>
      </c>
      <c r="J12" s="470"/>
      <c r="K12" s="469" t="s">
        <v>453</v>
      </c>
      <c r="L12" s="470"/>
    </row>
    <row r="13" spans="1:18" ht="16.5" customHeight="1" thickTop="1" thickBot="1">
      <c r="B13" s="479" t="s">
        <v>93</v>
      </c>
      <c r="C13" s="469" t="s">
        <v>440</v>
      </c>
      <c r="D13" s="470"/>
      <c r="E13" s="65">
        <f>المهني!LA52</f>
        <v>0</v>
      </c>
      <c r="F13" s="65">
        <f>المهني!LB52</f>
        <v>0</v>
      </c>
      <c r="G13" s="65">
        <f t="shared" ref="G13:G21" si="0">SUM(E13:F13)</f>
        <v>0</v>
      </c>
      <c r="I13" s="469" t="s">
        <v>73</v>
      </c>
      <c r="J13" s="470"/>
      <c r="K13" s="469">
        <f>المهني!NC52</f>
        <v>63</v>
      </c>
      <c r="L13" s="470"/>
    </row>
    <row r="14" spans="1:18" ht="16.5" thickTop="1" thickBot="1">
      <c r="B14" s="480"/>
      <c r="C14" s="469" t="s">
        <v>292</v>
      </c>
      <c r="D14" s="470"/>
      <c r="E14" s="65">
        <f>المهني!LC52</f>
        <v>6</v>
      </c>
      <c r="F14" s="65">
        <f>المهني!LD52</f>
        <v>3</v>
      </c>
      <c r="G14" s="65">
        <f t="shared" si="0"/>
        <v>9</v>
      </c>
      <c r="I14" s="469" t="s">
        <v>29</v>
      </c>
      <c r="J14" s="470"/>
      <c r="K14" s="469">
        <f>المهني!ND52</f>
        <v>23</v>
      </c>
      <c r="L14" s="470"/>
    </row>
    <row r="15" spans="1:18" ht="16.5" thickTop="1" thickBot="1">
      <c r="B15" s="480"/>
      <c r="C15" s="469" t="s">
        <v>293</v>
      </c>
      <c r="D15" s="470"/>
      <c r="E15" s="65">
        <f>المهني!LE52</f>
        <v>0</v>
      </c>
      <c r="F15" s="65">
        <f>المهني!LF52</f>
        <v>0</v>
      </c>
      <c r="G15" s="65">
        <f t="shared" si="0"/>
        <v>0</v>
      </c>
      <c r="I15" s="469" t="s">
        <v>25</v>
      </c>
      <c r="J15" s="470"/>
      <c r="K15" s="469">
        <f>K14+K13</f>
        <v>86</v>
      </c>
      <c r="L15" s="470"/>
    </row>
    <row r="16" spans="1:18" ht="19.5" thickTop="1" thickBot="1">
      <c r="B16" s="480"/>
      <c r="C16" s="469" t="s">
        <v>294</v>
      </c>
      <c r="D16" s="470"/>
      <c r="E16" s="65">
        <f>المهني!LG52</f>
        <v>5</v>
      </c>
      <c r="F16" s="65">
        <f>المهني!LH52</f>
        <v>0</v>
      </c>
      <c r="G16" s="65">
        <f t="shared" si="0"/>
        <v>5</v>
      </c>
      <c r="I16" s="70" t="s">
        <v>451</v>
      </c>
    </row>
    <row r="17" spans="2:14" ht="16.5" thickTop="1" thickBot="1">
      <c r="B17" s="480"/>
      <c r="C17" s="469" t="s">
        <v>295</v>
      </c>
      <c r="D17" s="470"/>
      <c r="E17" s="65">
        <f>المهني!LI52</f>
        <v>3</v>
      </c>
      <c r="F17" s="65">
        <f>المهني!LJ52</f>
        <v>10</v>
      </c>
      <c r="G17" s="65">
        <f t="shared" si="0"/>
        <v>13</v>
      </c>
      <c r="I17" s="469" t="s">
        <v>115</v>
      </c>
      <c r="J17" s="470"/>
      <c r="K17" s="469" t="s">
        <v>452</v>
      </c>
      <c r="L17" s="470"/>
      <c r="M17" s="71"/>
      <c r="N17" s="71"/>
    </row>
    <row r="18" spans="2:14" ht="16.5" thickTop="1" thickBot="1">
      <c r="B18" s="480"/>
      <c r="C18" s="469" t="s">
        <v>296</v>
      </c>
      <c r="D18" s="470"/>
      <c r="E18" s="67"/>
      <c r="F18" s="65">
        <f>المهني!LL52</f>
        <v>5</v>
      </c>
      <c r="G18" s="65">
        <f t="shared" si="0"/>
        <v>5</v>
      </c>
      <c r="I18" s="469" t="s">
        <v>123</v>
      </c>
      <c r="J18" s="470"/>
      <c r="K18" s="469">
        <f>المهني!SO20</f>
        <v>26</v>
      </c>
      <c r="L18" s="470"/>
      <c r="M18" s="71"/>
      <c r="N18" s="71"/>
    </row>
    <row r="19" spans="2:14" ht="16.5" thickTop="1" thickBot="1">
      <c r="B19" s="480"/>
      <c r="C19" s="469" t="s">
        <v>441</v>
      </c>
      <c r="D19" s="470"/>
      <c r="E19" s="65">
        <f>المهني!LM52</f>
        <v>0</v>
      </c>
      <c r="F19" s="65">
        <f>المهني!LN52</f>
        <v>0</v>
      </c>
      <c r="G19" s="65">
        <f t="shared" si="0"/>
        <v>0</v>
      </c>
      <c r="I19" s="469" t="s">
        <v>124</v>
      </c>
      <c r="J19" s="470"/>
      <c r="K19" s="469"/>
      <c r="L19" s="470"/>
      <c r="M19" s="71"/>
      <c r="N19" s="71"/>
    </row>
    <row r="20" spans="2:14" ht="16.5" thickTop="1" thickBot="1">
      <c r="B20" s="480"/>
      <c r="C20" s="469" t="s">
        <v>548</v>
      </c>
      <c r="D20" s="470"/>
      <c r="E20" s="65">
        <f>المهني!LO52</f>
        <v>7</v>
      </c>
      <c r="F20" s="65">
        <f>المهني!LP52</f>
        <v>2</v>
      </c>
      <c r="G20" s="65">
        <f t="shared" si="0"/>
        <v>9</v>
      </c>
      <c r="I20" s="469" t="s">
        <v>125</v>
      </c>
      <c r="J20" s="470"/>
      <c r="K20" s="469"/>
      <c r="L20" s="470"/>
      <c r="M20" s="71"/>
      <c r="N20" s="71"/>
    </row>
    <row r="21" spans="2:14" ht="16.5" customHeight="1" thickTop="1" thickBot="1">
      <c r="B21" s="481"/>
      <c r="C21" s="469" t="s">
        <v>25</v>
      </c>
      <c r="D21" s="470"/>
      <c r="E21" s="65">
        <f>SUM(E13:E20)</f>
        <v>21</v>
      </c>
      <c r="F21" s="65">
        <f>SUM(F13:F20)</f>
        <v>20</v>
      </c>
      <c r="G21" s="65">
        <f t="shared" si="0"/>
        <v>41</v>
      </c>
      <c r="I21" s="469" t="s">
        <v>216</v>
      </c>
      <c r="J21" s="470"/>
      <c r="K21" s="469"/>
      <c r="L21" s="470"/>
      <c r="M21" s="71"/>
      <c r="N21" s="71"/>
    </row>
    <row r="22" spans="2:14" ht="22.5" customHeight="1" thickTop="1" thickBot="1">
      <c r="B22" s="469" t="s">
        <v>139</v>
      </c>
      <c r="C22" s="476"/>
      <c r="D22" s="470"/>
      <c r="E22" s="65">
        <f>E21+E12</f>
        <v>224</v>
      </c>
      <c r="F22" s="65">
        <f>F21+F12</f>
        <v>235</v>
      </c>
      <c r="G22" s="65">
        <f>G21+G12</f>
        <v>459</v>
      </c>
      <c r="I22" s="469" t="s">
        <v>397</v>
      </c>
      <c r="J22" s="470"/>
      <c r="K22" s="469"/>
      <c r="L22" s="470"/>
      <c r="M22" s="71"/>
      <c r="N22" s="71"/>
    </row>
    <row r="23" spans="2:14" ht="16.5" thickTop="1" thickBot="1">
      <c r="I23" s="469" t="s">
        <v>526</v>
      </c>
      <c r="J23" s="470"/>
      <c r="K23" s="469"/>
      <c r="L23" s="470"/>
      <c r="M23" s="71"/>
      <c r="N23" s="71"/>
    </row>
    <row r="24" spans="2:14" ht="16.5" thickTop="1" thickBot="1">
      <c r="I24" s="469" t="s">
        <v>527</v>
      </c>
      <c r="J24" s="470"/>
      <c r="K24" s="469"/>
      <c r="L24" s="470"/>
      <c r="M24" s="71"/>
      <c r="N24" s="71"/>
    </row>
    <row r="25" spans="2:14" ht="16.5" thickTop="1" thickBot="1">
      <c r="I25" s="469" t="s">
        <v>25</v>
      </c>
      <c r="J25" s="470"/>
      <c r="K25" s="469">
        <f>SUM(K18:K24)</f>
        <v>26</v>
      </c>
      <c r="L25" s="470"/>
      <c r="M25" s="71"/>
      <c r="N25" s="71"/>
    </row>
    <row r="26" spans="2:14" ht="24.75" thickTop="1" thickBot="1">
      <c r="B26" s="68" t="s">
        <v>456</v>
      </c>
    </row>
    <row r="27" spans="2:14" ht="17.25" customHeight="1" thickTop="1" thickBot="1">
      <c r="B27" s="469" t="s">
        <v>442</v>
      </c>
      <c r="C27" s="470"/>
      <c r="D27" s="474" t="s">
        <v>443</v>
      </c>
      <c r="E27" s="475"/>
      <c r="F27" s="469" t="s">
        <v>444</v>
      </c>
      <c r="G27" s="470"/>
      <c r="H27" s="469" t="s">
        <v>484</v>
      </c>
      <c r="I27" s="470"/>
      <c r="J27" s="469" t="s">
        <v>445</v>
      </c>
      <c r="K27" s="476"/>
      <c r="L27" s="470"/>
    </row>
    <row r="28" spans="2:14" ht="16.5" thickTop="1" thickBot="1">
      <c r="B28" s="65" t="s">
        <v>73</v>
      </c>
      <c r="C28" s="65" t="s">
        <v>29</v>
      </c>
      <c r="D28" s="65" t="s">
        <v>73</v>
      </c>
      <c r="E28" s="65" t="s">
        <v>29</v>
      </c>
      <c r="F28" s="65" t="s">
        <v>73</v>
      </c>
      <c r="G28" s="65" t="s">
        <v>29</v>
      </c>
      <c r="H28" s="65" t="s">
        <v>73</v>
      </c>
      <c r="I28" s="65" t="s">
        <v>29</v>
      </c>
      <c r="J28" s="65" t="s">
        <v>73</v>
      </c>
      <c r="K28" s="65" t="s">
        <v>29</v>
      </c>
      <c r="L28" s="65" t="s">
        <v>25</v>
      </c>
    </row>
    <row r="29" spans="2:14" ht="16.5" thickTop="1" thickBot="1">
      <c r="B29" s="65">
        <f>المهني!LT52</f>
        <v>47</v>
      </c>
      <c r="C29" s="65">
        <f>المهني!LU52</f>
        <v>61</v>
      </c>
      <c r="D29" s="65">
        <f>المهني!LV52</f>
        <v>29</v>
      </c>
      <c r="E29" s="65">
        <f>المهني!LW52</f>
        <v>16</v>
      </c>
      <c r="F29" s="65">
        <f>المهني!LX52</f>
        <v>29</v>
      </c>
      <c r="G29" s="65">
        <f>المهني!LY52</f>
        <v>27</v>
      </c>
      <c r="H29" s="65">
        <f>المهني!LZ52</f>
        <v>119</v>
      </c>
      <c r="I29" s="65">
        <f>المهني!MA52</f>
        <v>131</v>
      </c>
      <c r="J29" s="65">
        <f>F29+D29+B29+H29</f>
        <v>224</v>
      </c>
      <c r="K29" s="65">
        <f>G29+E29+C29+I29</f>
        <v>235</v>
      </c>
      <c r="L29" s="65">
        <f>SUM(J29:K29)</f>
        <v>459</v>
      </c>
    </row>
    <row r="30" spans="2:14" ht="15" thickTop="1"/>
    <row r="31" spans="2:14" ht="24" thickBot="1">
      <c r="B31" s="68" t="s">
        <v>457</v>
      </c>
    </row>
    <row r="32" spans="2:14" ht="16.5" thickTop="1" thickBot="1">
      <c r="B32" s="469" t="s">
        <v>446</v>
      </c>
      <c r="C32" s="470"/>
      <c r="D32" s="474" t="s">
        <v>447</v>
      </c>
      <c r="E32" s="475"/>
      <c r="F32" s="469" t="s">
        <v>448</v>
      </c>
      <c r="G32" s="470"/>
      <c r="H32" s="469" t="s">
        <v>449</v>
      </c>
      <c r="I32" s="470"/>
      <c r="J32" s="469" t="s">
        <v>479</v>
      </c>
      <c r="K32" s="470"/>
      <c r="L32" s="469" t="s">
        <v>25</v>
      </c>
      <c r="M32" s="476"/>
      <c r="N32" s="470"/>
    </row>
    <row r="33" spans="1:16" ht="16.5" thickTop="1" thickBot="1">
      <c r="B33" s="65" t="s">
        <v>73</v>
      </c>
      <c r="C33" s="65" t="s">
        <v>29</v>
      </c>
      <c r="D33" s="65" t="s">
        <v>73</v>
      </c>
      <c r="E33" s="65" t="s">
        <v>29</v>
      </c>
      <c r="F33" s="65" t="s">
        <v>73</v>
      </c>
      <c r="G33" s="65" t="s">
        <v>29</v>
      </c>
      <c r="H33" s="65" t="s">
        <v>73</v>
      </c>
      <c r="I33" s="65" t="s">
        <v>29</v>
      </c>
      <c r="J33" s="65" t="s">
        <v>73</v>
      </c>
      <c r="K33" s="65" t="s">
        <v>29</v>
      </c>
      <c r="L33" s="65" t="s">
        <v>73</v>
      </c>
      <c r="M33" s="65" t="s">
        <v>29</v>
      </c>
      <c r="N33" s="65" t="s">
        <v>25</v>
      </c>
    </row>
    <row r="34" spans="1:16" ht="16.5" thickTop="1" thickBot="1">
      <c r="B34" s="65">
        <f>المهني!ME52</f>
        <v>15</v>
      </c>
      <c r="C34" s="65">
        <f>المهني!MF52</f>
        <v>11</v>
      </c>
      <c r="D34" s="65">
        <f>المهني!MG52</f>
        <v>56</v>
      </c>
      <c r="E34" s="65">
        <f>المهني!MH52</f>
        <v>71</v>
      </c>
      <c r="F34" s="65">
        <f>المهني!MI52</f>
        <v>68</v>
      </c>
      <c r="G34" s="65">
        <f>المهني!MJ52</f>
        <v>54</v>
      </c>
      <c r="H34" s="65">
        <f>المهني!MK52</f>
        <v>69</v>
      </c>
      <c r="I34" s="65">
        <f>المهني!ML52</f>
        <v>83</v>
      </c>
      <c r="J34" s="65">
        <f>المهني!MM52</f>
        <v>16</v>
      </c>
      <c r="K34" s="65">
        <f>المهني!MN52</f>
        <v>16</v>
      </c>
      <c r="L34" s="65">
        <f>J34+H34+F34+D34+B34</f>
        <v>224</v>
      </c>
      <c r="M34" s="65">
        <f>K34+I34+G34+E34+C34</f>
        <v>235</v>
      </c>
      <c r="N34" s="65">
        <f>SUM(L34:M34)</f>
        <v>459</v>
      </c>
    </row>
    <row r="35" spans="1:16" ht="15" thickTop="1"/>
    <row r="36" spans="1:16" ht="23.25">
      <c r="A36" s="61" t="s">
        <v>209</v>
      </c>
      <c r="B36" s="62"/>
      <c r="C36" s="62"/>
      <c r="D36" s="62"/>
      <c r="E36" s="62"/>
      <c r="F36" s="63"/>
      <c r="G36" s="63"/>
      <c r="H36" s="63"/>
      <c r="I36" s="63"/>
      <c r="J36" s="63"/>
      <c r="K36" s="63"/>
      <c r="M36" s="61" t="s">
        <v>450</v>
      </c>
      <c r="N36" s="62"/>
      <c r="O36" s="63"/>
      <c r="P36" s="63"/>
    </row>
    <row r="37" spans="1:16" ht="23.25">
      <c r="A37" s="157" t="s">
        <v>188</v>
      </c>
      <c r="B37" s="157"/>
      <c r="C37" s="157"/>
      <c r="D37" s="157"/>
      <c r="E37" s="157"/>
      <c r="F37" s="63"/>
      <c r="G37" s="63"/>
      <c r="H37" s="63"/>
      <c r="I37" s="63"/>
      <c r="J37" s="63"/>
      <c r="K37" s="63"/>
      <c r="L37" s="471" t="s">
        <v>112</v>
      </c>
      <c r="M37" s="471"/>
      <c r="N37" s="471"/>
      <c r="O37" s="63"/>
      <c r="P37" s="63"/>
    </row>
    <row r="38" spans="1:16" ht="23.25">
      <c r="B38" s="62"/>
      <c r="C38" s="62"/>
      <c r="D38" s="62"/>
      <c r="E38" s="62"/>
      <c r="F38" s="62"/>
      <c r="G38" s="61" t="s">
        <v>425</v>
      </c>
      <c r="H38" s="62"/>
      <c r="I38" s="62"/>
      <c r="J38" s="62"/>
      <c r="K38" s="62"/>
      <c r="L38" s="62"/>
      <c r="M38" s="62"/>
      <c r="N38" s="62"/>
      <c r="O38" s="62"/>
      <c r="P38" s="62"/>
    </row>
    <row r="39" spans="1:16" ht="18">
      <c r="F39" s="61" t="s">
        <v>545</v>
      </c>
    </row>
    <row r="40" spans="1:16" ht="24" thickBot="1">
      <c r="B40" s="64" t="s">
        <v>426</v>
      </c>
      <c r="F40" s="62"/>
      <c r="K40" s="64" t="s">
        <v>427</v>
      </c>
    </row>
    <row r="41" spans="1:16" ht="46.5" thickTop="1" thickBot="1">
      <c r="B41" s="65" t="s">
        <v>309</v>
      </c>
      <c r="C41" s="65" t="s">
        <v>428</v>
      </c>
      <c r="D41" s="65" t="s">
        <v>346</v>
      </c>
      <c r="E41" s="65" t="s">
        <v>429</v>
      </c>
      <c r="F41" s="154" t="s">
        <v>430</v>
      </c>
      <c r="G41" s="156"/>
      <c r="H41" s="155"/>
      <c r="I41" s="65" t="s">
        <v>431</v>
      </c>
      <c r="K41" s="65" t="s">
        <v>432</v>
      </c>
      <c r="L41" s="65" t="s">
        <v>433</v>
      </c>
      <c r="M41" s="65" t="s">
        <v>434</v>
      </c>
      <c r="N41" s="65" t="s">
        <v>435</v>
      </c>
    </row>
    <row r="42" spans="1:16" ht="16.5" thickTop="1" thickBot="1">
      <c r="B42" s="472">
        <f>المهني!OI54</f>
        <v>1</v>
      </c>
      <c r="C42" s="472">
        <f>المهني!OK54</f>
        <v>10</v>
      </c>
      <c r="D42" s="472">
        <f>المهني!OM54</f>
        <v>3</v>
      </c>
      <c r="E42" s="472">
        <f>المهني!OO54</f>
        <v>1</v>
      </c>
      <c r="F42" s="65" t="s">
        <v>436</v>
      </c>
      <c r="G42" s="65" t="s">
        <v>437</v>
      </c>
      <c r="H42" s="65" t="s">
        <v>438</v>
      </c>
      <c r="I42" s="479">
        <v>0</v>
      </c>
      <c r="K42" s="472">
        <f>المهني!Q54</f>
        <v>6</v>
      </c>
      <c r="L42" s="472">
        <f>المهني!R54</f>
        <v>0</v>
      </c>
      <c r="M42" s="472">
        <f>المهني!S54</f>
        <v>4</v>
      </c>
      <c r="N42" s="472">
        <f>المهني!T54</f>
        <v>0</v>
      </c>
    </row>
    <row r="43" spans="1:16" ht="19.5" thickTop="1" thickBot="1">
      <c r="B43" s="473"/>
      <c r="C43" s="473"/>
      <c r="D43" s="473"/>
      <c r="E43" s="473"/>
      <c r="F43" s="73">
        <f>المهني!OT54</f>
        <v>1</v>
      </c>
      <c r="G43" s="73">
        <v>0</v>
      </c>
      <c r="H43" s="73">
        <v>0</v>
      </c>
      <c r="I43" s="481"/>
      <c r="K43" s="473"/>
      <c r="L43" s="473"/>
      <c r="M43" s="473"/>
      <c r="N43" s="473"/>
    </row>
    <row r="44" spans="1:16" ht="15" thickTop="1"/>
    <row r="45" spans="1:16" ht="24" thickBot="1">
      <c r="B45" s="64" t="s">
        <v>454</v>
      </c>
      <c r="I45" s="64" t="s">
        <v>455</v>
      </c>
    </row>
    <row r="46" spans="1:16" ht="16.5" customHeight="1" thickTop="1" thickBot="1">
      <c r="B46" s="469" t="s">
        <v>439</v>
      </c>
      <c r="C46" s="476"/>
      <c r="D46" s="470"/>
      <c r="E46" s="65" t="s">
        <v>73</v>
      </c>
      <c r="F46" s="65" t="s">
        <v>29</v>
      </c>
      <c r="G46" s="65" t="s">
        <v>25</v>
      </c>
    </row>
    <row r="47" spans="1:16" ht="16.5" customHeight="1" thickTop="1" thickBot="1">
      <c r="B47" s="469" t="s">
        <v>92</v>
      </c>
      <c r="C47" s="476"/>
      <c r="D47" s="470"/>
      <c r="E47" s="65">
        <f>المهني!KY54</f>
        <v>127</v>
      </c>
      <c r="F47" s="65">
        <f>المهني!KZ54</f>
        <v>141</v>
      </c>
      <c r="G47" s="65">
        <f>SUM(E47:F47)</f>
        <v>268</v>
      </c>
      <c r="I47" s="469" t="s">
        <v>225</v>
      </c>
      <c r="J47" s="470"/>
      <c r="K47" s="469" t="s">
        <v>453</v>
      </c>
      <c r="L47" s="470"/>
    </row>
    <row r="48" spans="1:16" ht="16.5" customHeight="1" thickTop="1" thickBot="1">
      <c r="B48" s="479" t="s">
        <v>93</v>
      </c>
      <c r="C48" s="469" t="s">
        <v>440</v>
      </c>
      <c r="D48" s="470"/>
      <c r="E48" s="65">
        <f>المهني!LA54</f>
        <v>0</v>
      </c>
      <c r="F48" s="65">
        <f>المهني!LB54</f>
        <v>0</v>
      </c>
      <c r="G48" s="65">
        <f t="shared" ref="G48:G56" si="1">SUM(E48:F48)</f>
        <v>0</v>
      </c>
      <c r="I48" s="469" t="s">
        <v>73</v>
      </c>
      <c r="J48" s="470"/>
      <c r="K48" s="469">
        <f>المهني!NC54</f>
        <v>63</v>
      </c>
      <c r="L48" s="470"/>
    </row>
    <row r="49" spans="2:12" ht="16.5" thickTop="1" thickBot="1">
      <c r="B49" s="480"/>
      <c r="C49" s="469" t="s">
        <v>292</v>
      </c>
      <c r="D49" s="470"/>
      <c r="E49" s="65">
        <f>المهني!LC54</f>
        <v>3</v>
      </c>
      <c r="F49" s="65">
        <f>المهني!LD54</f>
        <v>3</v>
      </c>
      <c r="G49" s="65">
        <f t="shared" si="1"/>
        <v>6</v>
      </c>
      <c r="I49" s="469" t="s">
        <v>29</v>
      </c>
      <c r="J49" s="470"/>
      <c r="K49" s="469">
        <f>المهني!ND54</f>
        <v>23</v>
      </c>
      <c r="L49" s="470"/>
    </row>
    <row r="50" spans="2:12" ht="16.5" thickTop="1" thickBot="1">
      <c r="B50" s="480"/>
      <c r="C50" s="469" t="s">
        <v>293</v>
      </c>
      <c r="D50" s="470"/>
      <c r="E50" s="65">
        <f>المهني!LE54</f>
        <v>0</v>
      </c>
      <c r="F50" s="65">
        <f>المهني!LF54</f>
        <v>0</v>
      </c>
      <c r="G50" s="65">
        <f t="shared" si="1"/>
        <v>0</v>
      </c>
      <c r="I50" s="469" t="s">
        <v>25</v>
      </c>
      <c r="J50" s="470"/>
      <c r="K50" s="469">
        <f>SUM(K48:K49)</f>
        <v>86</v>
      </c>
      <c r="L50" s="470"/>
    </row>
    <row r="51" spans="2:12" ht="19.5" thickTop="1" thickBot="1">
      <c r="B51" s="480"/>
      <c r="C51" s="469" t="s">
        <v>294</v>
      </c>
      <c r="D51" s="470"/>
      <c r="E51" s="65">
        <f>المهني!LG54</f>
        <v>3</v>
      </c>
      <c r="F51" s="65">
        <f>المهني!LH54</f>
        <v>0</v>
      </c>
      <c r="G51" s="65">
        <f t="shared" si="1"/>
        <v>3</v>
      </c>
      <c r="I51" s="70" t="s">
        <v>451</v>
      </c>
    </row>
    <row r="52" spans="2:12" ht="16.5" thickTop="1" thickBot="1">
      <c r="B52" s="480"/>
      <c r="C52" s="469" t="s">
        <v>295</v>
      </c>
      <c r="D52" s="470"/>
      <c r="E52" s="65">
        <f>المهني!LI54</f>
        <v>2</v>
      </c>
      <c r="F52" s="65">
        <f>المهني!LJ54</f>
        <v>7</v>
      </c>
      <c r="G52" s="65">
        <f t="shared" si="1"/>
        <v>9</v>
      </c>
      <c r="I52" s="469" t="s">
        <v>115</v>
      </c>
      <c r="J52" s="470"/>
      <c r="K52" s="469" t="s">
        <v>452</v>
      </c>
      <c r="L52" s="470"/>
    </row>
    <row r="53" spans="2:12" ht="16.5" thickTop="1" thickBot="1">
      <c r="B53" s="480"/>
      <c r="C53" s="469" t="s">
        <v>296</v>
      </c>
      <c r="D53" s="470"/>
      <c r="E53" s="67"/>
      <c r="F53" s="65">
        <f>المهني!LL54</f>
        <v>5</v>
      </c>
      <c r="G53" s="65">
        <f t="shared" si="1"/>
        <v>5</v>
      </c>
      <c r="I53" s="469" t="s">
        <v>123</v>
      </c>
      <c r="J53" s="470"/>
      <c r="K53" s="469">
        <f>المهني!SO54</f>
        <v>14</v>
      </c>
      <c r="L53" s="470"/>
    </row>
    <row r="54" spans="2:12" ht="16.5" thickTop="1" thickBot="1">
      <c r="B54" s="480"/>
      <c r="C54" s="469" t="s">
        <v>441</v>
      </c>
      <c r="D54" s="470"/>
      <c r="E54" s="65">
        <f>المهني!LM54</f>
        <v>0</v>
      </c>
      <c r="F54" s="65">
        <f>المهني!LN54</f>
        <v>0</v>
      </c>
      <c r="G54" s="65">
        <f t="shared" si="1"/>
        <v>0</v>
      </c>
      <c r="I54" s="469" t="s">
        <v>124</v>
      </c>
      <c r="J54" s="470"/>
      <c r="K54" s="469"/>
      <c r="L54" s="470"/>
    </row>
    <row r="55" spans="2:12" ht="16.5" thickTop="1" thickBot="1">
      <c r="B55" s="480"/>
      <c r="C55" s="469" t="s">
        <v>548</v>
      </c>
      <c r="D55" s="470"/>
      <c r="E55" s="65">
        <f>المهني!LO54</f>
        <v>6</v>
      </c>
      <c r="F55" s="65">
        <f>المهني!LP54</f>
        <v>2</v>
      </c>
      <c r="G55" s="65">
        <f t="shared" si="1"/>
        <v>8</v>
      </c>
      <c r="I55" s="469" t="s">
        <v>125</v>
      </c>
      <c r="J55" s="470"/>
      <c r="K55" s="469"/>
      <c r="L55" s="470"/>
    </row>
    <row r="56" spans="2:12" ht="16.5" customHeight="1" thickTop="1" thickBot="1">
      <c r="B56" s="481"/>
      <c r="C56" s="469" t="s">
        <v>25</v>
      </c>
      <c r="D56" s="470"/>
      <c r="E56" s="65">
        <f>SUM(E48:E55)</f>
        <v>14</v>
      </c>
      <c r="F56" s="65">
        <f>SUM(F48:F55)</f>
        <v>17</v>
      </c>
      <c r="G56" s="65">
        <f t="shared" si="1"/>
        <v>31</v>
      </c>
      <c r="I56" s="469" t="s">
        <v>216</v>
      </c>
      <c r="J56" s="470"/>
      <c r="K56" s="469"/>
      <c r="L56" s="470"/>
    </row>
    <row r="57" spans="2:12" ht="31.5" customHeight="1" thickTop="1" thickBot="1">
      <c r="B57" s="469" t="s">
        <v>139</v>
      </c>
      <c r="C57" s="476"/>
      <c r="D57" s="470"/>
      <c r="E57" s="65">
        <f>E56+E47</f>
        <v>141</v>
      </c>
      <c r="F57" s="65">
        <f>F56+F47</f>
        <v>158</v>
      </c>
      <c r="G57" s="65">
        <f>G56+G47</f>
        <v>299</v>
      </c>
      <c r="I57" s="469" t="s">
        <v>397</v>
      </c>
      <c r="J57" s="470"/>
      <c r="K57" s="469"/>
      <c r="L57" s="470"/>
    </row>
    <row r="58" spans="2:12" ht="16.5" thickTop="1" thickBot="1">
      <c r="I58" s="469" t="s">
        <v>25</v>
      </c>
      <c r="J58" s="470"/>
      <c r="K58" s="469">
        <f>SUM(K53:K57)</f>
        <v>14</v>
      </c>
      <c r="L58" s="470"/>
    </row>
    <row r="59" spans="2:12" ht="24.75" thickTop="1" thickBot="1">
      <c r="B59" s="68" t="s">
        <v>456</v>
      </c>
    </row>
    <row r="60" spans="2:12" ht="16.5" customHeight="1" thickTop="1" thickBot="1">
      <c r="B60" s="469" t="s">
        <v>442</v>
      </c>
      <c r="C60" s="470"/>
      <c r="D60" s="474" t="s">
        <v>443</v>
      </c>
      <c r="E60" s="475"/>
      <c r="F60" s="469" t="s">
        <v>444</v>
      </c>
      <c r="G60" s="470"/>
      <c r="H60" s="469" t="s">
        <v>484</v>
      </c>
      <c r="I60" s="470"/>
      <c r="J60" s="469" t="s">
        <v>445</v>
      </c>
      <c r="K60" s="476"/>
      <c r="L60" s="470"/>
    </row>
    <row r="61" spans="2:12" ht="16.5" thickTop="1" thickBot="1">
      <c r="B61" s="65" t="s">
        <v>73</v>
      </c>
      <c r="C61" s="65" t="s">
        <v>29</v>
      </c>
      <c r="D61" s="65" t="s">
        <v>73</v>
      </c>
      <c r="E61" s="65" t="s">
        <v>29</v>
      </c>
      <c r="F61" s="65" t="s">
        <v>73</v>
      </c>
      <c r="G61" s="65" t="s">
        <v>29</v>
      </c>
      <c r="H61" s="65" t="s">
        <v>73</v>
      </c>
      <c r="I61" s="65" t="s">
        <v>29</v>
      </c>
      <c r="J61" s="65" t="s">
        <v>73</v>
      </c>
      <c r="K61" s="65" t="s">
        <v>29</v>
      </c>
      <c r="L61" s="65" t="s">
        <v>25</v>
      </c>
    </row>
    <row r="62" spans="2:12" ht="16.5" thickTop="1" thickBot="1">
      <c r="B62" s="65">
        <f>المهني!LT54</f>
        <v>15</v>
      </c>
      <c r="C62" s="65">
        <f>المهني!LU54</f>
        <v>9</v>
      </c>
      <c r="D62" s="65">
        <f>المهني!LV54</f>
        <v>12</v>
      </c>
      <c r="E62" s="65">
        <f>المهني!LW54</f>
        <v>12</v>
      </c>
      <c r="F62" s="65">
        <f>المهني!LX54</f>
        <v>28</v>
      </c>
      <c r="G62" s="65">
        <f>المهني!LY54</f>
        <v>25</v>
      </c>
      <c r="H62" s="65">
        <f>المهني!LZ54</f>
        <v>86</v>
      </c>
      <c r="I62" s="65">
        <f>المهني!MA54</f>
        <v>112</v>
      </c>
      <c r="J62" s="65">
        <f>F62+D62+B62+H62</f>
        <v>141</v>
      </c>
      <c r="K62" s="65">
        <f>G62+E62+C62+I62</f>
        <v>158</v>
      </c>
      <c r="L62" s="65">
        <f>SUM(J62:K62)</f>
        <v>299</v>
      </c>
    </row>
    <row r="63" spans="2:12" ht="15" thickTop="1"/>
    <row r="64" spans="2:12" ht="24" thickBot="1">
      <c r="B64" s="68" t="s">
        <v>457</v>
      </c>
    </row>
    <row r="65" spans="1:16" ht="16.5" thickTop="1" thickBot="1">
      <c r="B65" s="469" t="s">
        <v>446</v>
      </c>
      <c r="C65" s="470"/>
      <c r="D65" s="474" t="s">
        <v>447</v>
      </c>
      <c r="E65" s="475"/>
      <c r="F65" s="469" t="s">
        <v>448</v>
      </c>
      <c r="G65" s="470"/>
      <c r="H65" s="469" t="s">
        <v>449</v>
      </c>
      <c r="I65" s="470"/>
      <c r="J65" s="469" t="s">
        <v>479</v>
      </c>
      <c r="K65" s="470"/>
      <c r="L65" s="469" t="s">
        <v>25</v>
      </c>
      <c r="M65" s="476"/>
      <c r="N65" s="470"/>
    </row>
    <row r="66" spans="1:16" ht="16.5" thickTop="1" thickBot="1">
      <c r="B66" s="65" t="s">
        <v>73</v>
      </c>
      <c r="C66" s="65" t="s">
        <v>29</v>
      </c>
      <c r="D66" s="65" t="s">
        <v>73</v>
      </c>
      <c r="E66" s="65" t="s">
        <v>29</v>
      </c>
      <c r="F66" s="65" t="s">
        <v>73</v>
      </c>
      <c r="G66" s="65" t="s">
        <v>29</v>
      </c>
      <c r="H66" s="65" t="s">
        <v>73</v>
      </c>
      <c r="I66" s="65" t="s">
        <v>29</v>
      </c>
      <c r="J66" s="65" t="s">
        <v>73</v>
      </c>
      <c r="K66" s="65" t="s">
        <v>29</v>
      </c>
      <c r="L66" s="65" t="s">
        <v>73</v>
      </c>
      <c r="M66" s="65" t="s">
        <v>29</v>
      </c>
      <c r="N66" s="65" t="s">
        <v>25</v>
      </c>
    </row>
    <row r="67" spans="1:16" ht="16.5" thickTop="1" thickBot="1">
      <c r="B67" s="65">
        <f>المهني!ME54</f>
        <v>13</v>
      </c>
      <c r="C67" s="65">
        <f>المهني!MF54</f>
        <v>6</v>
      </c>
      <c r="D67" s="65">
        <f>المهني!MG54</f>
        <v>26</v>
      </c>
      <c r="E67" s="65">
        <f>المهني!MH54</f>
        <v>25</v>
      </c>
      <c r="F67" s="65">
        <f>المهني!MI54</f>
        <v>43</v>
      </c>
      <c r="G67" s="65">
        <f>المهني!MJ54</f>
        <v>40</v>
      </c>
      <c r="H67" s="65">
        <f>المهني!MK54</f>
        <v>49</v>
      </c>
      <c r="I67" s="65">
        <f>المهني!ML54</f>
        <v>72</v>
      </c>
      <c r="J67" s="65">
        <f>المهني!MM54</f>
        <v>10</v>
      </c>
      <c r="K67" s="65">
        <f>المهني!MN54</f>
        <v>15</v>
      </c>
      <c r="L67" s="65">
        <f>J67+H67+F67+D67+B67</f>
        <v>141</v>
      </c>
      <c r="M67" s="65">
        <f>K67+I67+G67+E67+C67</f>
        <v>158</v>
      </c>
      <c r="N67" s="65">
        <f>SUM(L67:M67)</f>
        <v>299</v>
      </c>
    </row>
    <row r="68" spans="1:16" ht="15" thickTop="1"/>
    <row r="69" spans="1:16" ht="23.25">
      <c r="A69" s="61" t="s">
        <v>209</v>
      </c>
      <c r="B69" s="62"/>
      <c r="C69" s="62"/>
      <c r="D69" s="62"/>
      <c r="E69" s="62"/>
      <c r="F69" s="63"/>
      <c r="G69" s="63"/>
      <c r="H69" s="63"/>
      <c r="I69" s="63"/>
      <c r="J69" s="63"/>
      <c r="K69" s="63"/>
      <c r="M69" s="61" t="s">
        <v>186</v>
      </c>
      <c r="N69" s="62"/>
      <c r="O69" s="63"/>
      <c r="P69" s="63"/>
    </row>
    <row r="70" spans="1:16" ht="23.25">
      <c r="A70" s="157" t="s">
        <v>188</v>
      </c>
      <c r="B70" s="157"/>
      <c r="C70" s="157"/>
      <c r="D70" s="157"/>
      <c r="E70" s="157"/>
      <c r="F70" s="63"/>
      <c r="G70" s="63"/>
      <c r="H70" s="63"/>
      <c r="I70" s="63"/>
      <c r="J70" s="63"/>
      <c r="K70" s="63"/>
      <c r="L70" s="471" t="s">
        <v>112</v>
      </c>
      <c r="M70" s="471"/>
      <c r="N70" s="471"/>
      <c r="O70" s="63"/>
      <c r="P70" s="63"/>
    </row>
    <row r="71" spans="1:16" ht="23.25">
      <c r="B71" s="62"/>
      <c r="C71" s="62"/>
      <c r="D71" s="62"/>
      <c r="E71" s="62"/>
      <c r="F71" s="62"/>
      <c r="G71" s="61" t="s">
        <v>425</v>
      </c>
      <c r="H71" s="62"/>
      <c r="I71" s="62"/>
      <c r="J71" s="62"/>
      <c r="K71" s="62"/>
      <c r="L71" s="62"/>
      <c r="M71" s="62"/>
      <c r="N71" s="62"/>
      <c r="O71" s="62"/>
      <c r="P71" s="62"/>
    </row>
    <row r="72" spans="1:16" ht="18">
      <c r="F72" s="61" t="s">
        <v>545</v>
      </c>
    </row>
    <row r="73" spans="1:16" ht="24" thickBot="1">
      <c r="B73" s="64" t="s">
        <v>426</v>
      </c>
      <c r="F73" s="62"/>
      <c r="K73" s="64" t="s">
        <v>427</v>
      </c>
    </row>
    <row r="74" spans="1:16" ht="46.5" thickTop="1" thickBot="1">
      <c r="B74" s="65" t="s">
        <v>309</v>
      </c>
      <c r="C74" s="65" t="s">
        <v>428</v>
      </c>
      <c r="D74" s="65" t="s">
        <v>346</v>
      </c>
      <c r="E74" s="65" t="s">
        <v>429</v>
      </c>
      <c r="F74" s="154" t="s">
        <v>430</v>
      </c>
      <c r="G74" s="156"/>
      <c r="H74" s="155"/>
      <c r="I74" s="65" t="s">
        <v>431</v>
      </c>
      <c r="K74" s="65" t="s">
        <v>432</v>
      </c>
      <c r="L74" s="65" t="s">
        <v>433</v>
      </c>
      <c r="M74" s="65" t="s">
        <v>434</v>
      </c>
      <c r="N74" s="65" t="s">
        <v>435</v>
      </c>
    </row>
    <row r="75" spans="1:16" ht="16.5" thickTop="1" thickBot="1">
      <c r="B75" s="479">
        <f>المهني!OI55</f>
        <v>0</v>
      </c>
      <c r="C75" s="479">
        <f>المهني!OJ55</f>
        <v>1</v>
      </c>
      <c r="D75" s="479">
        <f>المهني!OM55</f>
        <v>0</v>
      </c>
      <c r="E75" s="479">
        <f>المهني!OO55</f>
        <v>0</v>
      </c>
      <c r="F75" s="65" t="s">
        <v>436</v>
      </c>
      <c r="G75" s="65" t="s">
        <v>437</v>
      </c>
      <c r="H75" s="65" t="s">
        <v>438</v>
      </c>
      <c r="I75" s="479">
        <v>0</v>
      </c>
      <c r="K75" s="479">
        <f>المهني!Q55</f>
        <v>1</v>
      </c>
      <c r="L75" s="479">
        <f>المهني!R55</f>
        <v>0</v>
      </c>
      <c r="M75" s="479">
        <f>المهني!S55</f>
        <v>0</v>
      </c>
      <c r="N75" s="479">
        <f>المهني!T55</f>
        <v>0</v>
      </c>
    </row>
    <row r="76" spans="1:16" ht="24.75" thickTop="1" thickBot="1">
      <c r="B76" s="481"/>
      <c r="C76" s="481"/>
      <c r="D76" s="481"/>
      <c r="E76" s="481"/>
      <c r="F76" s="69">
        <f>المهني!OT55</f>
        <v>1</v>
      </c>
      <c r="G76" s="69">
        <v>0</v>
      </c>
      <c r="H76" s="69">
        <v>0</v>
      </c>
      <c r="I76" s="481"/>
      <c r="K76" s="481"/>
      <c r="L76" s="481"/>
      <c r="M76" s="481"/>
      <c r="N76" s="481"/>
    </row>
    <row r="77" spans="1:16" ht="15" thickTop="1"/>
    <row r="78" spans="1:16" ht="24" thickBot="1">
      <c r="B78" s="64" t="s">
        <v>454</v>
      </c>
      <c r="I78" s="64" t="s">
        <v>455</v>
      </c>
    </row>
    <row r="79" spans="1:16" ht="16.5" customHeight="1" thickTop="1" thickBot="1">
      <c r="B79" s="154" t="s">
        <v>439</v>
      </c>
      <c r="C79" s="156"/>
      <c r="D79" s="155"/>
      <c r="E79" s="65" t="s">
        <v>73</v>
      </c>
      <c r="F79" s="65" t="s">
        <v>29</v>
      </c>
      <c r="G79" s="65" t="s">
        <v>25</v>
      </c>
    </row>
    <row r="80" spans="1:16" ht="16.5" customHeight="1" thickTop="1" thickBot="1">
      <c r="B80" s="154" t="s">
        <v>92</v>
      </c>
      <c r="C80" s="156"/>
      <c r="D80" s="155"/>
      <c r="E80" s="65">
        <f>المهني!KY55</f>
        <v>28</v>
      </c>
      <c r="F80" s="65">
        <f>المهني!KZ55</f>
        <v>13</v>
      </c>
      <c r="G80" s="65">
        <f>SUM(E80:F80)</f>
        <v>41</v>
      </c>
      <c r="I80" s="469" t="s">
        <v>225</v>
      </c>
      <c r="J80" s="470"/>
      <c r="K80" s="469" t="s">
        <v>453</v>
      </c>
      <c r="L80" s="470"/>
    </row>
    <row r="81" spans="2:12" ht="16.5" thickTop="1" thickBot="1">
      <c r="B81" s="479" t="s">
        <v>93</v>
      </c>
      <c r="C81" s="469" t="s">
        <v>440</v>
      </c>
      <c r="D81" s="470"/>
      <c r="E81" s="65">
        <f>المهني!LA55</f>
        <v>0</v>
      </c>
      <c r="F81" s="65">
        <f>المهني!LB55</f>
        <v>0</v>
      </c>
      <c r="G81" s="65">
        <f t="shared" ref="G81:G88" si="2">SUM(E81:F81)</f>
        <v>0</v>
      </c>
      <c r="I81" s="469" t="s">
        <v>73</v>
      </c>
      <c r="J81" s="470"/>
      <c r="K81" s="469">
        <f>المهني!NC55</f>
        <v>0</v>
      </c>
      <c r="L81" s="470"/>
    </row>
    <row r="82" spans="2:12" ht="16.5" thickTop="1" thickBot="1">
      <c r="B82" s="480"/>
      <c r="C82" s="469" t="s">
        <v>292</v>
      </c>
      <c r="D82" s="470"/>
      <c r="E82" s="65">
        <f>المهني!LC55</f>
        <v>3</v>
      </c>
      <c r="F82" s="65">
        <f>المهني!LD55</f>
        <v>0</v>
      </c>
      <c r="G82" s="65">
        <f t="shared" si="2"/>
        <v>3</v>
      </c>
      <c r="I82" s="469" t="s">
        <v>29</v>
      </c>
      <c r="J82" s="470"/>
      <c r="K82" s="469">
        <f>المهني!ND55</f>
        <v>0</v>
      </c>
      <c r="L82" s="470"/>
    </row>
    <row r="83" spans="2:12" ht="16.5" thickTop="1" thickBot="1">
      <c r="B83" s="480"/>
      <c r="C83" s="469" t="s">
        <v>293</v>
      </c>
      <c r="D83" s="470"/>
      <c r="E83" s="65">
        <f>المهني!LE55</f>
        <v>0</v>
      </c>
      <c r="F83" s="65">
        <f>المهني!LF55</f>
        <v>0</v>
      </c>
      <c r="G83" s="65">
        <f t="shared" si="2"/>
        <v>0</v>
      </c>
      <c r="I83" s="469" t="s">
        <v>25</v>
      </c>
      <c r="J83" s="470"/>
      <c r="K83" s="469">
        <f>SUM(K81:K82)</f>
        <v>0</v>
      </c>
      <c r="L83" s="470"/>
    </row>
    <row r="84" spans="2:12" ht="19.5" thickTop="1" thickBot="1">
      <c r="B84" s="480"/>
      <c r="C84" s="469" t="s">
        <v>294</v>
      </c>
      <c r="D84" s="470"/>
      <c r="E84" s="65">
        <f>المهني!LG55</f>
        <v>1</v>
      </c>
      <c r="F84" s="65">
        <f>المهني!LH55</f>
        <v>0</v>
      </c>
      <c r="G84" s="65">
        <f t="shared" si="2"/>
        <v>1</v>
      </c>
      <c r="I84" s="70" t="s">
        <v>451</v>
      </c>
    </row>
    <row r="85" spans="2:12" ht="16.5" thickTop="1" thickBot="1">
      <c r="B85" s="480"/>
      <c r="C85" s="469" t="s">
        <v>295</v>
      </c>
      <c r="D85" s="470"/>
      <c r="E85" s="65">
        <f>المهني!LI55</f>
        <v>1</v>
      </c>
      <c r="F85" s="65">
        <f>المهني!LJ55</f>
        <v>3</v>
      </c>
      <c r="G85" s="65">
        <f t="shared" si="2"/>
        <v>4</v>
      </c>
      <c r="I85" s="469" t="s">
        <v>115</v>
      </c>
      <c r="J85" s="470"/>
      <c r="K85" s="469" t="s">
        <v>452</v>
      </c>
      <c r="L85" s="470"/>
    </row>
    <row r="86" spans="2:12" ht="16.5" thickTop="1" thickBot="1">
      <c r="B86" s="480"/>
      <c r="C86" s="469" t="s">
        <v>296</v>
      </c>
      <c r="D86" s="470"/>
      <c r="E86" s="67"/>
      <c r="F86" s="65">
        <f>المهني!LL55</f>
        <v>0</v>
      </c>
      <c r="G86" s="65">
        <f t="shared" si="2"/>
        <v>0</v>
      </c>
      <c r="I86" s="469" t="s">
        <v>123</v>
      </c>
      <c r="J86" s="470"/>
      <c r="K86" s="469">
        <f>المهني!SO55</f>
        <v>7</v>
      </c>
      <c r="L86" s="470"/>
    </row>
    <row r="87" spans="2:12" ht="16.5" thickTop="1" thickBot="1">
      <c r="B87" s="480"/>
      <c r="C87" s="469" t="s">
        <v>441</v>
      </c>
      <c r="D87" s="470"/>
      <c r="E87" s="65">
        <f>المهني!LM55</f>
        <v>0</v>
      </c>
      <c r="F87" s="65">
        <f>المهني!LN55</f>
        <v>0</v>
      </c>
      <c r="G87" s="65">
        <f t="shared" si="2"/>
        <v>0</v>
      </c>
      <c r="I87" s="469" t="s">
        <v>124</v>
      </c>
      <c r="J87" s="470"/>
      <c r="K87" s="469"/>
      <c r="L87" s="470"/>
    </row>
    <row r="88" spans="2:12" ht="16.5" thickTop="1" thickBot="1">
      <c r="B88" s="481"/>
      <c r="C88" s="469" t="s">
        <v>548</v>
      </c>
      <c r="D88" s="470"/>
      <c r="E88" s="65">
        <f>SUM(E81:E87)</f>
        <v>5</v>
      </c>
      <c r="F88" s="65">
        <f>SUM(F81:F87)</f>
        <v>3</v>
      </c>
      <c r="G88" s="65">
        <f t="shared" si="2"/>
        <v>8</v>
      </c>
      <c r="I88" s="469" t="s">
        <v>125</v>
      </c>
      <c r="J88" s="470"/>
      <c r="K88" s="469"/>
      <c r="L88" s="470"/>
    </row>
    <row r="89" spans="2:12" ht="20.25" customHeight="1" thickTop="1" thickBot="1">
      <c r="B89" s="469" t="s">
        <v>139</v>
      </c>
      <c r="C89" s="476"/>
      <c r="D89" s="470"/>
      <c r="E89" s="65">
        <f>E88+E80</f>
        <v>33</v>
      </c>
      <c r="F89" s="65">
        <f t="shared" ref="F89:G89" si="3">F88+F80</f>
        <v>16</v>
      </c>
      <c r="G89" s="65">
        <f t="shared" si="3"/>
        <v>49</v>
      </c>
      <c r="I89" s="469" t="s">
        <v>216</v>
      </c>
      <c r="J89" s="470"/>
      <c r="K89" s="469"/>
      <c r="L89" s="470"/>
    </row>
    <row r="90" spans="2:12" ht="16.5" thickTop="1" thickBot="1">
      <c r="I90" s="469" t="s">
        <v>397</v>
      </c>
      <c r="J90" s="470"/>
      <c r="K90" s="469"/>
      <c r="L90" s="470"/>
    </row>
    <row r="91" spans="2:12" ht="16.5" thickTop="1" thickBot="1">
      <c r="I91" s="469" t="s">
        <v>25</v>
      </c>
      <c r="J91" s="470"/>
      <c r="K91" s="469">
        <f>SUM(K86:K90)</f>
        <v>7</v>
      </c>
      <c r="L91" s="470"/>
    </row>
    <row r="92" spans="2:12" ht="24.75" thickTop="1" thickBot="1">
      <c r="B92" s="68" t="s">
        <v>456</v>
      </c>
    </row>
    <row r="93" spans="2:12" ht="16.5" customHeight="1" thickTop="1" thickBot="1">
      <c r="B93" s="154" t="s">
        <v>442</v>
      </c>
      <c r="C93" s="155"/>
      <c r="D93" s="474" t="s">
        <v>443</v>
      </c>
      <c r="E93" s="475"/>
      <c r="F93" s="469" t="s">
        <v>444</v>
      </c>
      <c r="G93" s="470"/>
      <c r="H93" s="469" t="s">
        <v>484</v>
      </c>
      <c r="I93" s="470"/>
      <c r="J93" s="469" t="s">
        <v>445</v>
      </c>
      <c r="K93" s="476"/>
      <c r="L93" s="470"/>
    </row>
    <row r="94" spans="2:12" ht="16.5" thickTop="1" thickBot="1">
      <c r="B94" s="65" t="s">
        <v>73</v>
      </c>
      <c r="C94" s="65" t="s">
        <v>29</v>
      </c>
      <c r="D94" s="65" t="s">
        <v>73</v>
      </c>
      <c r="E94" s="65" t="s">
        <v>29</v>
      </c>
      <c r="F94" s="65" t="s">
        <v>73</v>
      </c>
      <c r="G94" s="65" t="s">
        <v>29</v>
      </c>
      <c r="H94" s="65" t="s">
        <v>73</v>
      </c>
      <c r="I94" s="65" t="s">
        <v>29</v>
      </c>
      <c r="J94" s="65" t="s">
        <v>73</v>
      </c>
      <c r="K94" s="65" t="s">
        <v>29</v>
      </c>
      <c r="L94" s="65" t="s">
        <v>25</v>
      </c>
    </row>
    <row r="95" spans="2:12" ht="16.5" thickTop="1" thickBot="1">
      <c r="B95" s="65">
        <f>المهني!LT55</f>
        <v>2</v>
      </c>
      <c r="C95" s="65">
        <f>المهني!LU55</f>
        <v>1</v>
      </c>
      <c r="D95" s="65">
        <f>المهني!LV55</f>
        <v>12</v>
      </c>
      <c r="E95" s="65">
        <f>المهني!LW55</f>
        <v>2</v>
      </c>
      <c r="F95" s="65">
        <f>المهني!LX55</f>
        <v>0</v>
      </c>
      <c r="G95" s="65">
        <f>المهني!LY55</f>
        <v>2</v>
      </c>
      <c r="H95" s="65">
        <f>المهني!LZ55</f>
        <v>20</v>
      </c>
      <c r="I95" s="65">
        <f>المهني!MA55</f>
        <v>11</v>
      </c>
      <c r="J95" s="65">
        <f>F95+D95+B95+H95</f>
        <v>34</v>
      </c>
      <c r="K95" s="65">
        <f>G95+E95+C95+I95</f>
        <v>16</v>
      </c>
      <c r="L95" s="65">
        <f>SUM(J95:K95)</f>
        <v>50</v>
      </c>
    </row>
    <row r="96" spans="2:12" ht="15" thickTop="1"/>
    <row r="97" spans="1:16" ht="24" thickBot="1">
      <c r="B97" s="68" t="s">
        <v>457</v>
      </c>
    </row>
    <row r="98" spans="1:16" ht="16.5" thickTop="1" thickBot="1">
      <c r="B98" s="154" t="s">
        <v>446</v>
      </c>
      <c r="C98" s="155"/>
      <c r="D98" s="474" t="s">
        <v>447</v>
      </c>
      <c r="E98" s="475"/>
      <c r="F98" s="469" t="s">
        <v>448</v>
      </c>
      <c r="G98" s="470"/>
      <c r="H98" s="469" t="s">
        <v>449</v>
      </c>
      <c r="I98" s="470"/>
      <c r="J98" s="469" t="s">
        <v>479</v>
      </c>
      <c r="K98" s="470"/>
      <c r="L98" s="469" t="s">
        <v>25</v>
      </c>
      <c r="M98" s="476"/>
      <c r="N98" s="470"/>
    </row>
    <row r="99" spans="1:16" ht="16.5" thickTop="1" thickBot="1">
      <c r="B99" s="65" t="s">
        <v>73</v>
      </c>
      <c r="C99" s="65" t="s">
        <v>29</v>
      </c>
      <c r="D99" s="65" t="s">
        <v>73</v>
      </c>
      <c r="E99" s="65" t="s">
        <v>29</v>
      </c>
      <c r="F99" s="65" t="s">
        <v>73</v>
      </c>
      <c r="G99" s="65" t="s">
        <v>29</v>
      </c>
      <c r="H99" s="65" t="s">
        <v>73</v>
      </c>
      <c r="I99" s="65" t="s">
        <v>29</v>
      </c>
      <c r="J99" s="65" t="s">
        <v>73</v>
      </c>
      <c r="K99" s="65" t="s">
        <v>29</v>
      </c>
      <c r="L99" s="65" t="s">
        <v>73</v>
      </c>
      <c r="M99" s="65" t="s">
        <v>29</v>
      </c>
      <c r="N99" s="65" t="s">
        <v>25</v>
      </c>
    </row>
    <row r="100" spans="1:16" ht="16.5" thickTop="1" thickBot="1">
      <c r="B100" s="65">
        <f>المهني!ME55</f>
        <v>0</v>
      </c>
      <c r="C100" s="65">
        <f>المهني!MF55</f>
        <v>0</v>
      </c>
      <c r="D100" s="65">
        <f>المهني!MG55</f>
        <v>3</v>
      </c>
      <c r="E100" s="65">
        <f>المهني!MH55</f>
        <v>5</v>
      </c>
      <c r="F100" s="65">
        <f>المهني!MI55</f>
        <v>16</v>
      </c>
      <c r="G100" s="65">
        <f>المهني!MJ55</f>
        <v>6</v>
      </c>
      <c r="H100" s="65">
        <f>المهني!MK55</f>
        <v>11</v>
      </c>
      <c r="I100" s="65">
        <f>المهني!ML55</f>
        <v>5</v>
      </c>
      <c r="J100" s="65">
        <f>المهني!MM55</f>
        <v>4</v>
      </c>
      <c r="K100" s="65">
        <f>المهني!MN55</f>
        <v>0</v>
      </c>
      <c r="L100" s="65">
        <f>J100+H100+F100+D100+B100</f>
        <v>34</v>
      </c>
      <c r="M100" s="65">
        <f>K100+I100+G100+E100+C100</f>
        <v>16</v>
      </c>
      <c r="N100" s="65">
        <f>SUM(L100:M100)</f>
        <v>50</v>
      </c>
    </row>
    <row r="101" spans="1:16" ht="15" thickTop="1"/>
    <row r="103" spans="1:16" ht="23.25">
      <c r="A103" s="61" t="s">
        <v>209</v>
      </c>
      <c r="B103" s="62"/>
      <c r="C103" s="62"/>
      <c r="D103" s="62"/>
      <c r="E103" s="62"/>
      <c r="F103" s="63"/>
      <c r="G103" s="63"/>
      <c r="H103" s="63"/>
      <c r="I103" s="63"/>
      <c r="J103" s="63"/>
      <c r="K103" s="63"/>
      <c r="M103" s="61" t="s">
        <v>187</v>
      </c>
      <c r="N103" s="62"/>
      <c r="O103" s="63"/>
      <c r="P103" s="63"/>
    </row>
    <row r="104" spans="1:16" ht="23.25">
      <c r="A104" s="157" t="s">
        <v>188</v>
      </c>
      <c r="B104" s="157"/>
      <c r="C104" s="157"/>
      <c r="D104" s="157"/>
      <c r="E104" s="157"/>
      <c r="F104" s="63"/>
      <c r="G104" s="63"/>
      <c r="H104" s="63"/>
      <c r="I104" s="63"/>
      <c r="J104" s="63"/>
      <c r="K104" s="63"/>
      <c r="L104" s="471" t="s">
        <v>112</v>
      </c>
      <c r="M104" s="471"/>
      <c r="N104" s="471"/>
      <c r="O104" s="63"/>
      <c r="P104" s="63"/>
    </row>
    <row r="105" spans="1:16" ht="23.25">
      <c r="B105" s="62"/>
      <c r="C105" s="62"/>
      <c r="D105" s="62"/>
      <c r="E105" s="62"/>
      <c r="F105" s="62"/>
      <c r="G105" s="61" t="s">
        <v>425</v>
      </c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1:16" ht="18">
      <c r="F106" s="61" t="s">
        <v>545</v>
      </c>
    </row>
    <row r="107" spans="1:16" ht="24" thickBot="1">
      <c r="B107" s="64" t="s">
        <v>426</v>
      </c>
      <c r="F107" s="62"/>
      <c r="K107" s="64" t="s">
        <v>427</v>
      </c>
    </row>
    <row r="108" spans="1:16" ht="46.5" thickTop="1" thickBot="1">
      <c r="B108" s="65" t="s">
        <v>309</v>
      </c>
      <c r="C108" s="65" t="s">
        <v>428</v>
      </c>
      <c r="D108" s="65" t="s">
        <v>346</v>
      </c>
      <c r="E108" s="65" t="s">
        <v>429</v>
      </c>
      <c r="F108" s="154" t="s">
        <v>430</v>
      </c>
      <c r="G108" s="156"/>
      <c r="H108" s="155"/>
      <c r="I108" s="65" t="s">
        <v>431</v>
      </c>
      <c r="K108" s="65" t="s">
        <v>432</v>
      </c>
      <c r="L108" s="65" t="s">
        <v>433</v>
      </c>
      <c r="M108" s="65" t="s">
        <v>434</v>
      </c>
      <c r="N108" s="65" t="s">
        <v>435</v>
      </c>
    </row>
    <row r="109" spans="1:16" ht="16.5" thickTop="1" thickBot="1">
      <c r="B109" s="482">
        <f>المهني!OI56</f>
        <v>0</v>
      </c>
      <c r="C109" s="482">
        <f>المهني!OK56</f>
        <v>2</v>
      </c>
      <c r="D109" s="482">
        <f>المهني!OM56</f>
        <v>0</v>
      </c>
      <c r="E109" s="482">
        <f>المهني!OO56</f>
        <v>0</v>
      </c>
      <c r="F109" s="65" t="s">
        <v>436</v>
      </c>
      <c r="G109" s="65" t="s">
        <v>437</v>
      </c>
      <c r="H109" s="65" t="s">
        <v>438</v>
      </c>
      <c r="I109" s="479">
        <v>0</v>
      </c>
      <c r="K109" s="477">
        <f>المهني!Q56</f>
        <v>1</v>
      </c>
      <c r="L109" s="477">
        <f>المهني!R56</f>
        <v>0</v>
      </c>
      <c r="M109" s="477">
        <f>المهني!S56</f>
        <v>1</v>
      </c>
      <c r="N109" s="477">
        <f>المهني!T56</f>
        <v>0</v>
      </c>
    </row>
    <row r="110" spans="1:16" ht="24.75" thickTop="1" thickBot="1">
      <c r="B110" s="483"/>
      <c r="C110" s="483"/>
      <c r="D110" s="483"/>
      <c r="E110" s="483"/>
      <c r="F110" s="69">
        <f>المهني!OT56</f>
        <v>0</v>
      </c>
      <c r="G110" s="69">
        <v>0</v>
      </c>
      <c r="H110" s="69">
        <v>0</v>
      </c>
      <c r="I110" s="481"/>
      <c r="K110" s="478"/>
      <c r="L110" s="478"/>
      <c r="M110" s="478"/>
      <c r="N110" s="478"/>
    </row>
    <row r="111" spans="1:16" ht="15" thickTop="1"/>
    <row r="112" spans="1:16" ht="24" thickBot="1">
      <c r="B112" s="64" t="s">
        <v>454</v>
      </c>
      <c r="I112" s="64" t="s">
        <v>455</v>
      </c>
    </row>
    <row r="113" spans="2:12" ht="16.5" customHeight="1" thickTop="1" thickBot="1">
      <c r="B113" s="154" t="s">
        <v>439</v>
      </c>
      <c r="C113" s="156"/>
      <c r="D113" s="155"/>
      <c r="E113" s="65" t="s">
        <v>73</v>
      </c>
      <c r="F113" s="65" t="s">
        <v>29</v>
      </c>
      <c r="G113" s="65" t="s">
        <v>25</v>
      </c>
    </row>
    <row r="114" spans="2:12" ht="16.5" customHeight="1" thickTop="1" thickBot="1">
      <c r="B114" s="154" t="s">
        <v>92</v>
      </c>
      <c r="C114" s="156"/>
      <c r="D114" s="155"/>
      <c r="E114" s="65">
        <f>المهني!KY56</f>
        <v>48</v>
      </c>
      <c r="F114" s="65">
        <f>المهني!KZ56</f>
        <v>61</v>
      </c>
      <c r="G114" s="65">
        <f>SUM(E114:F114)</f>
        <v>109</v>
      </c>
      <c r="I114" s="469" t="s">
        <v>225</v>
      </c>
      <c r="J114" s="470"/>
      <c r="K114" s="469" t="s">
        <v>453</v>
      </c>
      <c r="L114" s="470"/>
    </row>
    <row r="115" spans="2:12" ht="16.5" thickTop="1" thickBot="1">
      <c r="B115" s="479" t="s">
        <v>93</v>
      </c>
      <c r="C115" s="469" t="s">
        <v>440</v>
      </c>
      <c r="D115" s="470"/>
      <c r="E115" s="65">
        <f>المهني!LA56</f>
        <v>0</v>
      </c>
      <c r="F115" s="65">
        <f>المهني!LB56</f>
        <v>0</v>
      </c>
      <c r="G115" s="65">
        <f t="shared" ref="G115:G123" si="4">SUM(E115:F115)</f>
        <v>0</v>
      </c>
      <c r="I115" s="469" t="s">
        <v>73</v>
      </c>
      <c r="J115" s="470"/>
      <c r="K115" s="469">
        <f>المهني!NC56</f>
        <v>0</v>
      </c>
      <c r="L115" s="470"/>
    </row>
    <row r="116" spans="2:12" ht="16.5" thickTop="1" thickBot="1">
      <c r="B116" s="480"/>
      <c r="C116" s="469" t="s">
        <v>292</v>
      </c>
      <c r="D116" s="470"/>
      <c r="E116" s="65">
        <f>المهني!LC56</f>
        <v>0</v>
      </c>
      <c r="F116" s="65">
        <f>المهني!LD56</f>
        <v>0</v>
      </c>
      <c r="G116" s="65">
        <f t="shared" si="4"/>
        <v>0</v>
      </c>
      <c r="I116" s="469" t="s">
        <v>29</v>
      </c>
      <c r="J116" s="470"/>
      <c r="K116" s="469">
        <f>المهني!ND56</f>
        <v>0</v>
      </c>
      <c r="L116" s="470"/>
    </row>
    <row r="117" spans="2:12" ht="16.5" thickTop="1" thickBot="1">
      <c r="B117" s="480"/>
      <c r="C117" s="469" t="s">
        <v>293</v>
      </c>
      <c r="D117" s="470"/>
      <c r="E117" s="65">
        <f>المهني!LE56</f>
        <v>0</v>
      </c>
      <c r="F117" s="65">
        <f>المهني!LF56</f>
        <v>0</v>
      </c>
      <c r="G117" s="65">
        <f t="shared" si="4"/>
        <v>0</v>
      </c>
      <c r="I117" s="469" t="s">
        <v>25</v>
      </c>
      <c r="J117" s="470"/>
      <c r="K117" s="469">
        <f>SUM(K115:K116)</f>
        <v>0</v>
      </c>
      <c r="L117" s="470"/>
    </row>
    <row r="118" spans="2:12" ht="19.5" thickTop="1" thickBot="1">
      <c r="B118" s="480"/>
      <c r="C118" s="469" t="s">
        <v>294</v>
      </c>
      <c r="D118" s="470"/>
      <c r="E118" s="65">
        <f>المهني!LG56</f>
        <v>1</v>
      </c>
      <c r="F118" s="65">
        <f>المهني!LH56</f>
        <v>0</v>
      </c>
      <c r="G118" s="65">
        <f t="shared" si="4"/>
        <v>1</v>
      </c>
      <c r="I118" s="70" t="s">
        <v>451</v>
      </c>
    </row>
    <row r="119" spans="2:12" ht="16.5" thickTop="1" thickBot="1">
      <c r="B119" s="480"/>
      <c r="C119" s="469" t="s">
        <v>295</v>
      </c>
      <c r="D119" s="470"/>
      <c r="E119" s="65">
        <f>المهني!LI56</f>
        <v>0</v>
      </c>
      <c r="F119" s="65">
        <f>المهني!LJ56</f>
        <v>0</v>
      </c>
      <c r="G119" s="65">
        <f t="shared" si="4"/>
        <v>0</v>
      </c>
      <c r="I119" s="469" t="s">
        <v>115</v>
      </c>
      <c r="J119" s="470"/>
      <c r="K119" s="469" t="s">
        <v>452</v>
      </c>
      <c r="L119" s="470"/>
    </row>
    <row r="120" spans="2:12" ht="16.5" thickTop="1" thickBot="1">
      <c r="B120" s="480"/>
      <c r="C120" s="469" t="s">
        <v>296</v>
      </c>
      <c r="D120" s="470"/>
      <c r="E120" s="67"/>
      <c r="F120" s="65">
        <f>المهني!LL56</f>
        <v>0</v>
      </c>
      <c r="G120" s="65">
        <f t="shared" si="4"/>
        <v>0</v>
      </c>
      <c r="I120" s="469" t="s">
        <v>123</v>
      </c>
      <c r="J120" s="470"/>
      <c r="K120" s="469">
        <f>المهني!SO56</f>
        <v>5</v>
      </c>
      <c r="L120" s="470"/>
    </row>
    <row r="121" spans="2:12" ht="16.5" thickTop="1" thickBot="1">
      <c r="B121" s="480"/>
      <c r="C121" s="469" t="s">
        <v>441</v>
      </c>
      <c r="D121" s="470"/>
      <c r="E121" s="65">
        <f>المهني!LM56</f>
        <v>0</v>
      </c>
      <c r="F121" s="65">
        <f>المهني!LN56</f>
        <v>0</v>
      </c>
      <c r="G121" s="65">
        <f t="shared" si="4"/>
        <v>0</v>
      </c>
      <c r="I121" s="469" t="s">
        <v>124</v>
      </c>
      <c r="J121" s="470"/>
      <c r="K121" s="469"/>
      <c r="L121" s="470"/>
    </row>
    <row r="122" spans="2:12" ht="16.5" thickTop="1" thickBot="1">
      <c r="B122" s="481"/>
      <c r="C122" s="469" t="s">
        <v>548</v>
      </c>
      <c r="D122" s="470"/>
      <c r="E122" s="65">
        <f>SUM(E115:E121)</f>
        <v>1</v>
      </c>
      <c r="F122" s="65">
        <f>SUM(F115:F121)</f>
        <v>0</v>
      </c>
      <c r="G122" s="65">
        <f t="shared" si="4"/>
        <v>1</v>
      </c>
      <c r="I122" s="469" t="s">
        <v>125</v>
      </c>
      <c r="J122" s="470"/>
      <c r="K122" s="469"/>
      <c r="L122" s="470"/>
    </row>
    <row r="123" spans="2:12" ht="30" customHeight="1" thickTop="1" thickBot="1">
      <c r="B123" s="469" t="s">
        <v>139</v>
      </c>
      <c r="C123" s="476"/>
      <c r="D123" s="470"/>
      <c r="E123" s="65">
        <f>E122+E114</f>
        <v>49</v>
      </c>
      <c r="F123" s="65">
        <f>F122+F114</f>
        <v>61</v>
      </c>
      <c r="G123" s="65">
        <f t="shared" si="4"/>
        <v>110</v>
      </c>
      <c r="I123" s="469" t="s">
        <v>216</v>
      </c>
      <c r="J123" s="470"/>
      <c r="K123" s="469"/>
      <c r="L123" s="470"/>
    </row>
    <row r="124" spans="2:12" ht="16.5" thickTop="1" thickBot="1">
      <c r="I124" s="469" t="s">
        <v>397</v>
      </c>
      <c r="J124" s="470"/>
      <c r="K124" s="469"/>
      <c r="L124" s="470"/>
    </row>
    <row r="125" spans="2:12" ht="16.5" thickTop="1" thickBot="1">
      <c r="I125" s="469" t="s">
        <v>25</v>
      </c>
      <c r="J125" s="470"/>
      <c r="K125" s="469">
        <f>SUM(K120:K124)</f>
        <v>5</v>
      </c>
      <c r="L125" s="470"/>
    </row>
    <row r="126" spans="2:12" ht="24.75" thickTop="1" thickBot="1">
      <c r="B126" s="68" t="s">
        <v>456</v>
      </c>
    </row>
    <row r="127" spans="2:12" ht="16.5" customHeight="1" thickTop="1" thickBot="1">
      <c r="B127" s="154" t="s">
        <v>442</v>
      </c>
      <c r="C127" s="155"/>
      <c r="D127" s="474" t="s">
        <v>443</v>
      </c>
      <c r="E127" s="475"/>
      <c r="F127" s="469" t="s">
        <v>444</v>
      </c>
      <c r="G127" s="470"/>
      <c r="H127" s="469" t="s">
        <v>484</v>
      </c>
      <c r="I127" s="470"/>
      <c r="J127" s="469" t="s">
        <v>445</v>
      </c>
      <c r="K127" s="476"/>
      <c r="L127" s="470"/>
    </row>
    <row r="128" spans="2:12" ht="16.5" thickTop="1" thickBot="1">
      <c r="B128" s="65" t="s">
        <v>73</v>
      </c>
      <c r="C128" s="65" t="s">
        <v>29</v>
      </c>
      <c r="D128" s="65" t="s">
        <v>73</v>
      </c>
      <c r="E128" s="65" t="s">
        <v>29</v>
      </c>
      <c r="F128" s="65" t="s">
        <v>73</v>
      </c>
      <c r="G128" s="65" t="s">
        <v>29</v>
      </c>
      <c r="H128" s="65" t="s">
        <v>73</v>
      </c>
      <c r="I128" s="65" t="s">
        <v>29</v>
      </c>
      <c r="J128" s="65" t="s">
        <v>73</v>
      </c>
      <c r="K128" s="65" t="s">
        <v>29</v>
      </c>
      <c r="L128" s="65" t="s">
        <v>25</v>
      </c>
    </row>
    <row r="129" spans="2:14" ht="16.5" thickTop="1" thickBot="1">
      <c r="B129" s="65">
        <f>المهني!LT56</f>
        <v>30</v>
      </c>
      <c r="C129" s="65">
        <f>المهني!LU56</f>
        <v>51</v>
      </c>
      <c r="D129" s="65">
        <f>المهني!LV56</f>
        <v>5</v>
      </c>
      <c r="E129" s="65">
        <f>المهني!LW56</f>
        <v>2</v>
      </c>
      <c r="F129" s="65">
        <f>المهني!LX56</f>
        <v>1</v>
      </c>
      <c r="G129" s="65">
        <f>المهني!LY56</f>
        <v>0</v>
      </c>
      <c r="H129" s="65">
        <f>المهني!LZ56</f>
        <v>13</v>
      </c>
      <c r="I129" s="65">
        <f>المهني!MA56</f>
        <v>8</v>
      </c>
      <c r="J129" s="65">
        <f>F129+D129+B129+H129</f>
        <v>49</v>
      </c>
      <c r="K129" s="65">
        <f>G129+E129+C129+I129</f>
        <v>61</v>
      </c>
      <c r="L129" s="65">
        <f>SUM(J129:K129)</f>
        <v>110</v>
      </c>
    </row>
    <row r="130" spans="2:14" ht="15" thickTop="1"/>
    <row r="131" spans="2:14" ht="24" thickBot="1">
      <c r="B131" s="68" t="s">
        <v>457</v>
      </c>
    </row>
    <row r="132" spans="2:14" ht="16.5" thickTop="1" thickBot="1">
      <c r="B132" s="154" t="s">
        <v>446</v>
      </c>
      <c r="C132" s="155"/>
      <c r="D132" s="474" t="s">
        <v>447</v>
      </c>
      <c r="E132" s="475"/>
      <c r="F132" s="469" t="s">
        <v>448</v>
      </c>
      <c r="G132" s="470"/>
      <c r="H132" s="469" t="s">
        <v>449</v>
      </c>
      <c r="I132" s="470"/>
      <c r="J132" s="469" t="s">
        <v>479</v>
      </c>
      <c r="K132" s="470"/>
      <c r="L132" s="469" t="s">
        <v>25</v>
      </c>
      <c r="M132" s="476"/>
      <c r="N132" s="470"/>
    </row>
    <row r="133" spans="2:14" ht="16.5" thickTop="1" thickBot="1">
      <c r="B133" s="65" t="s">
        <v>73</v>
      </c>
      <c r="C133" s="65" t="s">
        <v>29</v>
      </c>
      <c r="D133" s="65" t="s">
        <v>73</v>
      </c>
      <c r="E133" s="65" t="s">
        <v>29</v>
      </c>
      <c r="F133" s="65" t="s">
        <v>73</v>
      </c>
      <c r="G133" s="65" t="s">
        <v>29</v>
      </c>
      <c r="H133" s="65" t="s">
        <v>73</v>
      </c>
      <c r="I133" s="65" t="s">
        <v>29</v>
      </c>
      <c r="J133" s="65" t="s">
        <v>73</v>
      </c>
      <c r="K133" s="65" t="s">
        <v>29</v>
      </c>
      <c r="L133" s="65" t="s">
        <v>73</v>
      </c>
      <c r="M133" s="65" t="s">
        <v>29</v>
      </c>
      <c r="N133" s="65" t="s">
        <v>25</v>
      </c>
    </row>
    <row r="134" spans="2:14" ht="16.5" thickTop="1" thickBot="1">
      <c r="B134" s="65">
        <f>المهني!ME56</f>
        <v>2</v>
      </c>
      <c r="C134" s="65">
        <f>المهني!MF56</f>
        <v>5</v>
      </c>
      <c r="D134" s="65">
        <f>المهني!MG56</f>
        <v>27</v>
      </c>
      <c r="E134" s="65">
        <f>المهني!MH56</f>
        <v>41</v>
      </c>
      <c r="F134" s="65">
        <f>المهني!MI56</f>
        <v>9</v>
      </c>
      <c r="G134" s="65">
        <f>المهني!MJ56</f>
        <v>8</v>
      </c>
      <c r="H134" s="65">
        <f>المهني!MK56</f>
        <v>9</v>
      </c>
      <c r="I134" s="65">
        <f>المهني!ML56</f>
        <v>6</v>
      </c>
      <c r="J134" s="65">
        <f>المهني!MM56</f>
        <v>2</v>
      </c>
      <c r="K134" s="65">
        <f>المهني!MN56</f>
        <v>1</v>
      </c>
      <c r="L134" s="65">
        <f>J134+H134+F134+D134+B134</f>
        <v>49</v>
      </c>
      <c r="M134" s="65">
        <f>K134+I134+G134+E134+C134</f>
        <v>61</v>
      </c>
      <c r="N134" s="65">
        <f>SUM(L134:M134)</f>
        <v>110</v>
      </c>
    </row>
    <row r="135" spans="2:14" ht="15" thickTop="1"/>
  </sheetData>
  <mergeCells count="220">
    <mergeCell ref="B123:D123"/>
    <mergeCell ref="M7:M8"/>
    <mergeCell ref="N7:N8"/>
    <mergeCell ref="B11:D11"/>
    <mergeCell ref="B12:D12"/>
    <mergeCell ref="I12:J12"/>
    <mergeCell ref="K12:L12"/>
    <mergeCell ref="A2:E2"/>
    <mergeCell ref="L2:N2"/>
    <mergeCell ref="F6:H6"/>
    <mergeCell ref="B7:B8"/>
    <mergeCell ref="C7:C8"/>
    <mergeCell ref="D7:D8"/>
    <mergeCell ref="E7:E8"/>
    <mergeCell ref="I7:I8"/>
    <mergeCell ref="K7:K8"/>
    <mergeCell ref="L7:L8"/>
    <mergeCell ref="C14:D14"/>
    <mergeCell ref="I14:J14"/>
    <mergeCell ref="K14:L14"/>
    <mergeCell ref="K18:L18"/>
    <mergeCell ref="I19:J19"/>
    <mergeCell ref="K19:L19"/>
    <mergeCell ref="I15:J15"/>
    <mergeCell ref="K15:L15"/>
    <mergeCell ref="C16:D16"/>
    <mergeCell ref="C17:D17"/>
    <mergeCell ref="C18:D18"/>
    <mergeCell ref="I17:J17"/>
    <mergeCell ref="K17:L17"/>
    <mergeCell ref="I18:J18"/>
    <mergeCell ref="C15:D15"/>
    <mergeCell ref="B32:C32"/>
    <mergeCell ref="D32:E32"/>
    <mergeCell ref="F32:G32"/>
    <mergeCell ref="H32:I32"/>
    <mergeCell ref="J32:K32"/>
    <mergeCell ref="L32:N32"/>
    <mergeCell ref="C19:D19"/>
    <mergeCell ref="C21:D21"/>
    <mergeCell ref="B27:C27"/>
    <mergeCell ref="D27:E27"/>
    <mergeCell ref="F27:G27"/>
    <mergeCell ref="I20:J20"/>
    <mergeCell ref="K20:L20"/>
    <mergeCell ref="C20:D20"/>
    <mergeCell ref="B22:D22"/>
    <mergeCell ref="B13:B21"/>
    <mergeCell ref="I21:J21"/>
    <mergeCell ref="K21:L21"/>
    <mergeCell ref="I22:J22"/>
    <mergeCell ref="K22:L22"/>
    <mergeCell ref="J27:L27"/>
    <mergeCell ref="C13:D13"/>
    <mergeCell ref="I13:J13"/>
    <mergeCell ref="K13:L13"/>
    <mergeCell ref="B46:D46"/>
    <mergeCell ref="B47:D47"/>
    <mergeCell ref="I47:J47"/>
    <mergeCell ref="K47:L47"/>
    <mergeCell ref="B42:B43"/>
    <mergeCell ref="C42:C43"/>
    <mergeCell ref="D42:D43"/>
    <mergeCell ref="E42:E43"/>
    <mergeCell ref="I42:I43"/>
    <mergeCell ref="K42:K43"/>
    <mergeCell ref="L42:L43"/>
    <mergeCell ref="C51:D51"/>
    <mergeCell ref="C52:D52"/>
    <mergeCell ref="C53:D53"/>
    <mergeCell ref="C48:D48"/>
    <mergeCell ref="I48:J48"/>
    <mergeCell ref="K48:L48"/>
    <mergeCell ref="C49:D49"/>
    <mergeCell ref="I49:J49"/>
    <mergeCell ref="K49:L49"/>
    <mergeCell ref="C50:D50"/>
    <mergeCell ref="K52:L52"/>
    <mergeCell ref="I53:J53"/>
    <mergeCell ref="K53:L53"/>
    <mergeCell ref="I52:J52"/>
    <mergeCell ref="N75:N76"/>
    <mergeCell ref="B65:C65"/>
    <mergeCell ref="D65:E65"/>
    <mergeCell ref="F65:G65"/>
    <mergeCell ref="H65:I65"/>
    <mergeCell ref="J65:K65"/>
    <mergeCell ref="L65:N65"/>
    <mergeCell ref="C54:D54"/>
    <mergeCell ref="C56:D56"/>
    <mergeCell ref="B60:C60"/>
    <mergeCell ref="D60:E60"/>
    <mergeCell ref="F60:G60"/>
    <mergeCell ref="I58:J58"/>
    <mergeCell ref="K58:L58"/>
    <mergeCell ref="H60:I60"/>
    <mergeCell ref="J60:L60"/>
    <mergeCell ref="C55:D55"/>
    <mergeCell ref="B57:D57"/>
    <mergeCell ref="B48:B56"/>
    <mergeCell ref="I50:J50"/>
    <mergeCell ref="K50:L50"/>
    <mergeCell ref="I57:J57"/>
    <mergeCell ref="K57:L57"/>
    <mergeCell ref="I54:J54"/>
    <mergeCell ref="I83:J83"/>
    <mergeCell ref="B75:B76"/>
    <mergeCell ref="C75:C76"/>
    <mergeCell ref="D75:D76"/>
    <mergeCell ref="E75:E76"/>
    <mergeCell ref="I75:I76"/>
    <mergeCell ref="K75:K76"/>
    <mergeCell ref="L75:L76"/>
    <mergeCell ref="M75:M76"/>
    <mergeCell ref="K109:K110"/>
    <mergeCell ref="I80:J80"/>
    <mergeCell ref="K80:L80"/>
    <mergeCell ref="D98:E98"/>
    <mergeCell ref="F98:G98"/>
    <mergeCell ref="H98:I98"/>
    <mergeCell ref="J98:K98"/>
    <mergeCell ref="L98:N98"/>
    <mergeCell ref="K91:L91"/>
    <mergeCell ref="C87:D87"/>
    <mergeCell ref="C88:D88"/>
    <mergeCell ref="I91:J91"/>
    <mergeCell ref="L104:N104"/>
    <mergeCell ref="E109:E110"/>
    <mergeCell ref="I109:I110"/>
    <mergeCell ref="D93:E93"/>
    <mergeCell ref="F93:G93"/>
    <mergeCell ref="C83:D83"/>
    <mergeCell ref="K83:L83"/>
    <mergeCell ref="C84:D84"/>
    <mergeCell ref="B89:D89"/>
    <mergeCell ref="C85:D85"/>
    <mergeCell ref="C86:D86"/>
    <mergeCell ref="I85:J85"/>
    <mergeCell ref="B109:B110"/>
    <mergeCell ref="C109:C110"/>
    <mergeCell ref="D109:D110"/>
    <mergeCell ref="H93:I93"/>
    <mergeCell ref="L109:L110"/>
    <mergeCell ref="J93:L93"/>
    <mergeCell ref="K85:L85"/>
    <mergeCell ref="I86:J86"/>
    <mergeCell ref="K86:L86"/>
    <mergeCell ref="K87:L87"/>
    <mergeCell ref="I88:J88"/>
    <mergeCell ref="K89:L89"/>
    <mergeCell ref="I87:J87"/>
    <mergeCell ref="B81:B88"/>
    <mergeCell ref="C81:D81"/>
    <mergeCell ref="I81:J81"/>
    <mergeCell ref="K81:L81"/>
    <mergeCell ref="C82:D82"/>
    <mergeCell ref="I82:J82"/>
    <mergeCell ref="K82:L82"/>
    <mergeCell ref="I90:J90"/>
    <mergeCell ref="K90:L90"/>
    <mergeCell ref="K88:L88"/>
    <mergeCell ref="I89:J89"/>
    <mergeCell ref="B115:B122"/>
    <mergeCell ref="C115:D115"/>
    <mergeCell ref="I115:J115"/>
    <mergeCell ref="K115:L115"/>
    <mergeCell ref="C116:D116"/>
    <mergeCell ref="I116:J116"/>
    <mergeCell ref="K116:L116"/>
    <mergeCell ref="C117:D117"/>
    <mergeCell ref="I121:J121"/>
    <mergeCell ref="K121:L121"/>
    <mergeCell ref="I122:J122"/>
    <mergeCell ref="K122:L122"/>
    <mergeCell ref="I119:J119"/>
    <mergeCell ref="K120:L120"/>
    <mergeCell ref="K119:L119"/>
    <mergeCell ref="I120:J120"/>
    <mergeCell ref="C119:D119"/>
    <mergeCell ref="C118:D118"/>
    <mergeCell ref="I117:J117"/>
    <mergeCell ref="K117:L117"/>
    <mergeCell ref="I23:J23"/>
    <mergeCell ref="K23:L23"/>
    <mergeCell ref="D132:E132"/>
    <mergeCell ref="F132:G132"/>
    <mergeCell ref="H132:I132"/>
    <mergeCell ref="J132:K132"/>
    <mergeCell ref="L132:N132"/>
    <mergeCell ref="C121:D121"/>
    <mergeCell ref="C122:D122"/>
    <mergeCell ref="D127:E127"/>
    <mergeCell ref="F127:G127"/>
    <mergeCell ref="I124:J124"/>
    <mergeCell ref="K124:L124"/>
    <mergeCell ref="I125:J125"/>
    <mergeCell ref="K125:L125"/>
    <mergeCell ref="I123:J123"/>
    <mergeCell ref="K123:L123"/>
    <mergeCell ref="J127:L127"/>
    <mergeCell ref="H127:I127"/>
    <mergeCell ref="C120:D120"/>
    <mergeCell ref="I114:J114"/>
    <mergeCell ref="K114:L114"/>
    <mergeCell ref="M109:M110"/>
    <mergeCell ref="N109:N110"/>
    <mergeCell ref="I24:J24"/>
    <mergeCell ref="K24:L24"/>
    <mergeCell ref="I25:J25"/>
    <mergeCell ref="K25:L25"/>
    <mergeCell ref="L70:N70"/>
    <mergeCell ref="L37:N37"/>
    <mergeCell ref="I55:J55"/>
    <mergeCell ref="K55:L55"/>
    <mergeCell ref="I56:J56"/>
    <mergeCell ref="K56:L56"/>
    <mergeCell ref="H27:I27"/>
    <mergeCell ref="K54:L54"/>
    <mergeCell ref="M42:M43"/>
    <mergeCell ref="N42:N43"/>
  </mergeCells>
  <pageMargins left="0.2" right="0.2" top="0.2" bottom="0.2" header="0.2" footer="0.2"/>
  <pageSetup paperSize="9" scale="87" orientation="landscape" horizontalDpi="300" verticalDpi="300" r:id="rId1"/>
  <rowBreaks count="3" manualBreakCount="3">
    <brk id="35" max="16383" man="1"/>
    <brk id="68" max="16383" man="1"/>
    <brk id="102" max="16383" man="1"/>
  </rowBreaks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169"/>
  <sheetViews>
    <sheetView rightToLeft="1" tabSelected="1" view="pageBreakPreview" zoomScale="90" zoomScaleNormal="100" zoomScaleSheetLayoutView="90" workbookViewId="0">
      <selection activeCell="D6" sqref="D6"/>
    </sheetView>
  </sheetViews>
  <sheetFormatPr defaultRowHeight="14.25"/>
  <sheetData>
    <row r="1" spans="1:16" ht="23.25">
      <c r="A1" s="61" t="s">
        <v>209</v>
      </c>
      <c r="B1" s="62"/>
      <c r="C1" s="62"/>
      <c r="D1" s="62"/>
      <c r="E1" s="62"/>
      <c r="F1" s="63"/>
      <c r="G1" s="63"/>
      <c r="H1" s="63"/>
      <c r="I1" s="63"/>
      <c r="J1" s="63"/>
      <c r="K1" s="63"/>
      <c r="L1" s="61" t="s">
        <v>191</v>
      </c>
      <c r="M1" s="62"/>
      <c r="N1" s="62"/>
      <c r="O1" s="63"/>
      <c r="P1" s="63"/>
    </row>
    <row r="2" spans="1:16" ht="23.25">
      <c r="A2" s="471" t="s">
        <v>188</v>
      </c>
      <c r="B2" s="471"/>
      <c r="C2" s="471"/>
      <c r="D2" s="471"/>
      <c r="E2" s="471"/>
      <c r="F2" s="63"/>
      <c r="G2" s="63"/>
      <c r="H2" s="63"/>
      <c r="I2" s="63"/>
      <c r="J2" s="63"/>
      <c r="K2" s="63"/>
      <c r="L2" s="471" t="s">
        <v>482</v>
      </c>
      <c r="M2" s="471"/>
      <c r="N2" s="471"/>
      <c r="O2" s="63"/>
      <c r="P2" s="63"/>
    </row>
    <row r="3" spans="1:16" ht="23.25">
      <c r="B3" s="62"/>
      <c r="C3" s="62"/>
      <c r="D3" s="62"/>
      <c r="E3" s="62"/>
      <c r="F3" s="62"/>
      <c r="G3" s="61" t="s">
        <v>425</v>
      </c>
      <c r="H3" s="62"/>
      <c r="I3" s="62"/>
      <c r="J3" s="62"/>
      <c r="K3" s="62"/>
      <c r="L3" s="62"/>
      <c r="M3" s="62"/>
      <c r="N3" s="62"/>
      <c r="O3" s="62"/>
      <c r="P3" s="62"/>
    </row>
    <row r="4" spans="1:16" ht="18">
      <c r="F4" s="61" t="s">
        <v>546</v>
      </c>
    </row>
    <row r="5" spans="1:16" ht="24" thickBot="1">
      <c r="B5" s="64" t="s">
        <v>426</v>
      </c>
      <c r="F5" s="62"/>
      <c r="K5" s="64" t="s">
        <v>427</v>
      </c>
    </row>
    <row r="6" spans="1:16" ht="76.5" thickTop="1" thickBot="1">
      <c r="B6" s="65" t="s">
        <v>309</v>
      </c>
      <c r="C6" s="65" t="s">
        <v>428</v>
      </c>
      <c r="D6" s="65" t="s">
        <v>346</v>
      </c>
      <c r="E6" s="65" t="s">
        <v>429</v>
      </c>
      <c r="F6" s="469" t="s">
        <v>430</v>
      </c>
      <c r="G6" s="476"/>
      <c r="H6" s="470"/>
      <c r="I6" s="65" t="s">
        <v>431</v>
      </c>
      <c r="K6" s="65" t="s">
        <v>432</v>
      </c>
      <c r="L6" s="65" t="s">
        <v>433</v>
      </c>
      <c r="M6" s="65" t="s">
        <v>434</v>
      </c>
      <c r="N6" s="65" t="s">
        <v>435</v>
      </c>
    </row>
    <row r="7" spans="1:16" ht="16.5" customHeight="1" thickTop="1" thickBot="1">
      <c r="B7" s="472">
        <f>المهني!OI20</f>
        <v>1</v>
      </c>
      <c r="C7" s="472">
        <f>المهني!OK20</f>
        <v>8</v>
      </c>
      <c r="D7" s="472">
        <f>المهني!OM20</f>
        <v>0</v>
      </c>
      <c r="E7" s="472">
        <f>المهني!OO20</f>
        <v>0</v>
      </c>
      <c r="F7" s="65" t="s">
        <v>436</v>
      </c>
      <c r="G7" s="65" t="s">
        <v>437</v>
      </c>
      <c r="H7" s="65" t="s">
        <v>438</v>
      </c>
      <c r="I7" s="482">
        <v>0</v>
      </c>
      <c r="K7" s="472">
        <f>المهني!Q20</f>
        <v>6</v>
      </c>
      <c r="L7" s="472">
        <f>المهني!R20</f>
        <v>0</v>
      </c>
      <c r="M7" s="472">
        <f>المهني!S20</f>
        <v>2</v>
      </c>
      <c r="N7" s="472">
        <f>المهني!T20</f>
        <v>0</v>
      </c>
    </row>
    <row r="8" spans="1:16" ht="21.75" thickTop="1" thickBot="1">
      <c r="B8" s="473"/>
      <c r="C8" s="473"/>
      <c r="D8" s="473"/>
      <c r="E8" s="473"/>
      <c r="F8" s="66">
        <f>المهني!OT20</f>
        <v>1</v>
      </c>
      <c r="G8" s="66">
        <v>0</v>
      </c>
      <c r="H8" s="66">
        <v>0</v>
      </c>
      <c r="I8" s="483"/>
      <c r="K8" s="473"/>
      <c r="L8" s="473"/>
      <c r="M8" s="473"/>
      <c r="N8" s="473"/>
    </row>
    <row r="9" spans="1:16" ht="15" thickTop="1"/>
    <row r="10" spans="1:16" ht="24" thickBot="1">
      <c r="B10" s="64" t="s">
        <v>454</v>
      </c>
      <c r="I10" s="64" t="s">
        <v>455</v>
      </c>
    </row>
    <row r="11" spans="1:16" ht="19.5" customHeight="1" thickTop="1" thickBot="1">
      <c r="B11" s="469" t="s">
        <v>439</v>
      </c>
      <c r="C11" s="476"/>
      <c r="D11" s="470"/>
      <c r="E11" s="65" t="s">
        <v>73</v>
      </c>
      <c r="F11" s="65" t="s">
        <v>29</v>
      </c>
      <c r="G11" s="65" t="s">
        <v>25</v>
      </c>
    </row>
    <row r="12" spans="1:16" ht="19.5" thickTop="1" thickBot="1">
      <c r="B12" s="469" t="s">
        <v>92</v>
      </c>
      <c r="C12" s="476"/>
      <c r="D12" s="470"/>
      <c r="E12" s="84">
        <f>المهني!KY20</f>
        <v>182</v>
      </c>
      <c r="F12" s="84">
        <f>المهني!KZ20</f>
        <v>189</v>
      </c>
      <c r="G12" s="84">
        <f>SUM(E12:F12)</f>
        <v>371</v>
      </c>
      <c r="I12" s="469" t="s">
        <v>225</v>
      </c>
      <c r="J12" s="470"/>
      <c r="K12" s="469" t="s">
        <v>453</v>
      </c>
      <c r="L12" s="470"/>
    </row>
    <row r="13" spans="1:16" ht="19.5" thickTop="1" thickBot="1">
      <c r="B13" s="479" t="s">
        <v>93</v>
      </c>
      <c r="C13" s="469" t="s">
        <v>440</v>
      </c>
      <c r="D13" s="470"/>
      <c r="E13" s="84">
        <f>المهني!LA20</f>
        <v>0</v>
      </c>
      <c r="F13" s="84">
        <f>المهني!LB20</f>
        <v>0</v>
      </c>
      <c r="G13" s="84">
        <f t="shared" ref="G13:G21" si="0">SUM(E13:F13)</f>
        <v>0</v>
      </c>
      <c r="I13" s="469" t="s">
        <v>73</v>
      </c>
      <c r="J13" s="470"/>
      <c r="K13" s="484">
        <f>المهني!NC20</f>
        <v>43</v>
      </c>
      <c r="L13" s="485"/>
    </row>
    <row r="14" spans="1:16" ht="19.5" thickTop="1" thickBot="1">
      <c r="B14" s="480"/>
      <c r="C14" s="469" t="s">
        <v>292</v>
      </c>
      <c r="D14" s="470"/>
      <c r="E14" s="84">
        <f>المهني!LC20</f>
        <v>6</v>
      </c>
      <c r="F14" s="84">
        <f>المهني!LD20</f>
        <v>0</v>
      </c>
      <c r="G14" s="84">
        <f t="shared" si="0"/>
        <v>6</v>
      </c>
      <c r="I14" s="469" t="s">
        <v>29</v>
      </c>
      <c r="J14" s="470"/>
      <c r="K14" s="484">
        <f>المهني!ND20</f>
        <v>17</v>
      </c>
      <c r="L14" s="485"/>
    </row>
    <row r="15" spans="1:16" ht="19.5" thickTop="1" thickBot="1">
      <c r="B15" s="480"/>
      <c r="C15" s="469" t="s">
        <v>293</v>
      </c>
      <c r="D15" s="470"/>
      <c r="E15" s="84">
        <f>المهني!LE20</f>
        <v>0</v>
      </c>
      <c r="F15" s="84">
        <f>المهني!LF20</f>
        <v>0</v>
      </c>
      <c r="G15" s="84">
        <f t="shared" si="0"/>
        <v>0</v>
      </c>
      <c r="I15" s="469" t="s">
        <v>25</v>
      </c>
      <c r="J15" s="470"/>
      <c r="K15" s="484">
        <f>K14+K13</f>
        <v>60</v>
      </c>
      <c r="L15" s="485"/>
    </row>
    <row r="16" spans="1:16" ht="19.5" thickTop="1" thickBot="1">
      <c r="B16" s="480"/>
      <c r="C16" s="469" t="s">
        <v>294</v>
      </c>
      <c r="D16" s="470"/>
      <c r="E16" s="84">
        <f>المهني!LG20</f>
        <v>3</v>
      </c>
      <c r="F16" s="84">
        <f>المهني!LH20</f>
        <v>0</v>
      </c>
      <c r="G16" s="84">
        <f t="shared" si="0"/>
        <v>3</v>
      </c>
      <c r="I16" s="70" t="s">
        <v>451</v>
      </c>
    </row>
    <row r="17" spans="2:14" ht="19.5" thickTop="1" thickBot="1">
      <c r="B17" s="480"/>
      <c r="C17" s="469" t="s">
        <v>295</v>
      </c>
      <c r="D17" s="470"/>
      <c r="E17" s="84">
        <f>المهني!LI20</f>
        <v>2</v>
      </c>
      <c r="F17" s="84">
        <f>المهني!LJ20</f>
        <v>9</v>
      </c>
      <c r="G17" s="84">
        <f t="shared" si="0"/>
        <v>11</v>
      </c>
      <c r="I17" s="469" t="s">
        <v>115</v>
      </c>
      <c r="J17" s="470"/>
      <c r="K17" s="469" t="s">
        <v>452</v>
      </c>
      <c r="L17" s="470"/>
      <c r="M17" s="71"/>
      <c r="N17" s="71"/>
    </row>
    <row r="18" spans="2:14" ht="19.5" thickTop="1" thickBot="1">
      <c r="B18" s="480"/>
      <c r="C18" s="469" t="s">
        <v>296</v>
      </c>
      <c r="D18" s="470"/>
      <c r="E18" s="85"/>
      <c r="F18" s="84">
        <f>المهني!LL20</f>
        <v>3</v>
      </c>
      <c r="G18" s="84">
        <f t="shared" si="0"/>
        <v>3</v>
      </c>
      <c r="I18" s="469" t="s">
        <v>123</v>
      </c>
      <c r="J18" s="470"/>
      <c r="K18" s="484">
        <f>المهني!SO20</f>
        <v>26</v>
      </c>
      <c r="L18" s="485"/>
      <c r="M18" s="71"/>
      <c r="N18" s="71"/>
    </row>
    <row r="19" spans="2:14" ht="19.5" thickTop="1" thickBot="1">
      <c r="B19" s="480"/>
      <c r="C19" s="469" t="s">
        <v>441</v>
      </c>
      <c r="D19" s="470"/>
      <c r="E19" s="84">
        <f>المهني!LM20</f>
        <v>0</v>
      </c>
      <c r="F19" s="84">
        <f>المهني!LN20</f>
        <v>0</v>
      </c>
      <c r="G19" s="84">
        <f t="shared" si="0"/>
        <v>0</v>
      </c>
      <c r="I19" s="469" t="s">
        <v>124</v>
      </c>
      <c r="J19" s="470"/>
      <c r="K19" s="484"/>
      <c r="L19" s="485"/>
      <c r="M19" s="71"/>
      <c r="N19" s="71"/>
    </row>
    <row r="20" spans="2:14" ht="19.5" thickTop="1" thickBot="1">
      <c r="B20" s="480"/>
      <c r="C20" s="469" t="s">
        <v>570</v>
      </c>
      <c r="D20" s="470"/>
      <c r="E20" s="84">
        <f>المهني!LO20</f>
        <v>4</v>
      </c>
      <c r="F20" s="84">
        <f>المهني!LP20</f>
        <v>2</v>
      </c>
      <c r="G20" s="84">
        <f t="shared" si="0"/>
        <v>6</v>
      </c>
      <c r="I20" s="469" t="s">
        <v>125</v>
      </c>
      <c r="J20" s="470"/>
      <c r="K20" s="484"/>
      <c r="L20" s="485"/>
      <c r="M20" s="71"/>
      <c r="N20" s="71"/>
    </row>
    <row r="21" spans="2:14" ht="19.5" thickTop="1" thickBot="1">
      <c r="B21" s="481"/>
      <c r="C21" s="469"/>
      <c r="D21" s="470"/>
      <c r="E21" s="84"/>
      <c r="F21" s="84"/>
      <c r="G21" s="84">
        <f t="shared" si="0"/>
        <v>0</v>
      </c>
      <c r="I21" s="469" t="s">
        <v>216</v>
      </c>
      <c r="J21" s="470"/>
      <c r="K21" s="484"/>
      <c r="L21" s="485"/>
      <c r="M21" s="71"/>
      <c r="N21" s="71"/>
    </row>
    <row r="22" spans="2:14" ht="19.5" thickTop="1" thickBot="1">
      <c r="B22" s="469" t="s">
        <v>139</v>
      </c>
      <c r="C22" s="476"/>
      <c r="D22" s="470"/>
      <c r="E22" s="84">
        <f>SUM(E12:E21)</f>
        <v>197</v>
      </c>
      <c r="F22" s="84">
        <f>SUM(F12:F21)</f>
        <v>203</v>
      </c>
      <c r="G22" s="84">
        <f>SUM(G12:G21)</f>
        <v>400</v>
      </c>
      <c r="I22" s="469" t="s">
        <v>397</v>
      </c>
      <c r="J22" s="470"/>
      <c r="K22" s="469"/>
      <c r="L22" s="470"/>
      <c r="M22" s="71"/>
      <c r="N22" s="71"/>
    </row>
    <row r="23" spans="2:14" ht="16.5" thickTop="1" thickBot="1">
      <c r="I23" s="469" t="s">
        <v>25</v>
      </c>
      <c r="J23" s="470"/>
      <c r="K23" s="469">
        <f>K18+K19+K20+K21+K22</f>
        <v>26</v>
      </c>
      <c r="L23" s="470"/>
      <c r="M23" s="71"/>
      <c r="N23" s="71"/>
    </row>
    <row r="24" spans="2:14" ht="15.75" thickTop="1">
      <c r="I24" s="71"/>
      <c r="J24" s="71"/>
      <c r="K24" s="71"/>
      <c r="L24" s="71"/>
      <c r="M24" s="71"/>
      <c r="N24" s="71"/>
    </row>
    <row r="25" spans="2:14" ht="24" thickBot="1">
      <c r="B25" s="68" t="s">
        <v>456</v>
      </c>
    </row>
    <row r="26" spans="2:14" s="70" customFormat="1" ht="19.5" thickTop="1" thickBot="1">
      <c r="B26" s="486" t="s">
        <v>442</v>
      </c>
      <c r="C26" s="487"/>
      <c r="D26" s="488" t="s">
        <v>443</v>
      </c>
      <c r="E26" s="489"/>
      <c r="F26" s="486" t="s">
        <v>444</v>
      </c>
      <c r="G26" s="487"/>
      <c r="H26" s="486" t="s">
        <v>484</v>
      </c>
      <c r="I26" s="487"/>
      <c r="J26" s="486" t="s">
        <v>445</v>
      </c>
      <c r="K26" s="490"/>
      <c r="L26" s="487"/>
    </row>
    <row r="27" spans="2:14" s="70" customFormat="1" ht="19.5" thickTop="1" thickBot="1">
      <c r="B27" s="83" t="s">
        <v>73</v>
      </c>
      <c r="C27" s="83" t="s">
        <v>29</v>
      </c>
      <c r="D27" s="83" t="s">
        <v>73</v>
      </c>
      <c r="E27" s="83" t="s">
        <v>29</v>
      </c>
      <c r="F27" s="83" t="s">
        <v>73</v>
      </c>
      <c r="G27" s="83" t="s">
        <v>29</v>
      </c>
      <c r="H27" s="83" t="s">
        <v>73</v>
      </c>
      <c r="I27" s="83" t="s">
        <v>29</v>
      </c>
      <c r="J27" s="83" t="s">
        <v>73</v>
      </c>
      <c r="K27" s="83" t="s">
        <v>29</v>
      </c>
      <c r="L27" s="83" t="s">
        <v>25</v>
      </c>
    </row>
    <row r="28" spans="2:14" s="70" customFormat="1" ht="19.5" thickTop="1" thickBot="1">
      <c r="B28" s="83">
        <f>المهني!LT20</f>
        <v>39</v>
      </c>
      <c r="C28" s="83">
        <f>المهني!LU20</f>
        <v>57</v>
      </c>
      <c r="D28" s="83">
        <f>المهني!LV20</f>
        <v>25</v>
      </c>
      <c r="E28" s="83">
        <f>المهني!LW20</f>
        <v>14</v>
      </c>
      <c r="F28" s="83">
        <f>المهني!LX20</f>
        <v>25</v>
      </c>
      <c r="G28" s="83">
        <f>المهني!LY20</f>
        <v>18</v>
      </c>
      <c r="H28" s="83">
        <f>المهني!LZ20</f>
        <v>108</v>
      </c>
      <c r="I28" s="83">
        <f>المهني!MA20</f>
        <v>114</v>
      </c>
      <c r="J28" s="83">
        <f>F28+D28+B28+H28</f>
        <v>197</v>
      </c>
      <c r="K28" s="83">
        <f>G28+E28+C28+I28</f>
        <v>203</v>
      </c>
      <c r="L28" s="83">
        <f>SUM(J28:K28)</f>
        <v>400</v>
      </c>
    </row>
    <row r="29" spans="2:14" ht="15" thickTop="1"/>
    <row r="30" spans="2:14" ht="24" thickBot="1">
      <c r="B30" s="68" t="s">
        <v>457</v>
      </c>
    </row>
    <row r="31" spans="2:14" s="70" customFormat="1" ht="19.5" thickTop="1" thickBot="1">
      <c r="B31" s="486" t="s">
        <v>446</v>
      </c>
      <c r="C31" s="487"/>
      <c r="D31" s="488" t="s">
        <v>447</v>
      </c>
      <c r="E31" s="489"/>
      <c r="F31" s="486" t="s">
        <v>448</v>
      </c>
      <c r="G31" s="487"/>
      <c r="H31" s="158" t="s">
        <v>449</v>
      </c>
      <c r="I31" s="159"/>
      <c r="J31" s="486" t="s">
        <v>480</v>
      </c>
      <c r="K31" s="487"/>
      <c r="L31" s="158" t="s">
        <v>25</v>
      </c>
      <c r="M31" s="160"/>
      <c r="N31" s="159"/>
    </row>
    <row r="32" spans="2:14" s="70" customFormat="1" ht="19.5" thickTop="1" thickBot="1">
      <c r="B32" s="83" t="s">
        <v>73</v>
      </c>
      <c r="C32" s="83" t="s">
        <v>29</v>
      </c>
      <c r="D32" s="83" t="s">
        <v>73</v>
      </c>
      <c r="E32" s="83" t="s">
        <v>29</v>
      </c>
      <c r="F32" s="83" t="s">
        <v>73</v>
      </c>
      <c r="G32" s="83" t="s">
        <v>29</v>
      </c>
      <c r="H32" s="83" t="s">
        <v>73</v>
      </c>
      <c r="I32" s="83" t="s">
        <v>29</v>
      </c>
      <c r="J32" s="83" t="s">
        <v>73</v>
      </c>
      <c r="K32" s="83" t="s">
        <v>29</v>
      </c>
      <c r="L32" s="83" t="s">
        <v>73</v>
      </c>
      <c r="M32" s="83" t="s">
        <v>29</v>
      </c>
      <c r="N32" s="83" t="s">
        <v>25</v>
      </c>
    </row>
    <row r="33" spans="1:16" s="70" customFormat="1" ht="19.5" thickTop="1" thickBot="1">
      <c r="B33" s="83">
        <f>المهني!ME20</f>
        <v>10</v>
      </c>
      <c r="C33" s="83">
        <f>المهني!MF20</f>
        <v>7</v>
      </c>
      <c r="D33" s="83">
        <f>المهني!MG20</f>
        <v>49</v>
      </c>
      <c r="E33" s="83">
        <f>المهني!MH20</f>
        <v>61</v>
      </c>
      <c r="F33" s="83">
        <f>المهني!MI20</f>
        <v>63</v>
      </c>
      <c r="G33" s="83">
        <f>المهني!MJ20</f>
        <v>50</v>
      </c>
      <c r="H33" s="83">
        <f>المهني!MK20</f>
        <v>59</v>
      </c>
      <c r="I33" s="83">
        <f>المهني!ML20</f>
        <v>71</v>
      </c>
      <c r="J33" s="83">
        <f>المهني!MM20</f>
        <v>16</v>
      </c>
      <c r="K33" s="83">
        <f>المهني!MN20</f>
        <v>14</v>
      </c>
      <c r="L33" s="83">
        <f>J33+H33+F33+D33+B33</f>
        <v>197</v>
      </c>
      <c r="M33" s="83">
        <f>K33+I33+G33+E33+C33</f>
        <v>203</v>
      </c>
      <c r="N33" s="83">
        <f>SUM(L33:M33)</f>
        <v>400</v>
      </c>
    </row>
    <row r="34" spans="1:16" ht="15" thickTop="1"/>
    <row r="35" spans="1:16" ht="23.25">
      <c r="A35" s="61" t="s">
        <v>209</v>
      </c>
      <c r="B35" s="62"/>
      <c r="C35" s="62"/>
      <c r="D35" s="62"/>
      <c r="E35" s="62"/>
      <c r="F35" s="63"/>
      <c r="G35" s="63"/>
      <c r="H35" s="63"/>
      <c r="I35" s="63"/>
      <c r="J35" s="63"/>
      <c r="K35" s="63"/>
      <c r="L35" s="61" t="s">
        <v>191</v>
      </c>
      <c r="N35" s="62"/>
      <c r="O35" s="63"/>
      <c r="P35" s="63"/>
    </row>
    <row r="36" spans="1:16" ht="23.25">
      <c r="A36" s="471" t="s">
        <v>188</v>
      </c>
      <c r="B36" s="471"/>
      <c r="C36" s="471"/>
      <c r="D36" s="471"/>
      <c r="E36" s="471"/>
      <c r="F36" s="63"/>
      <c r="G36" s="63"/>
      <c r="H36" s="63"/>
      <c r="I36" s="63"/>
      <c r="J36" s="63"/>
      <c r="K36" s="63"/>
      <c r="L36" s="157" t="s">
        <v>483</v>
      </c>
      <c r="M36" s="157"/>
      <c r="N36" s="157"/>
      <c r="O36" s="63"/>
      <c r="P36" s="63"/>
    </row>
    <row r="37" spans="1:16" ht="23.25">
      <c r="B37" s="62"/>
      <c r="C37" s="62"/>
      <c r="D37" s="62"/>
      <c r="E37" s="62"/>
      <c r="F37" s="62"/>
      <c r="G37" s="61" t="s">
        <v>425</v>
      </c>
      <c r="H37" s="62"/>
      <c r="I37" s="62"/>
      <c r="J37" s="62"/>
      <c r="K37" s="62"/>
      <c r="L37" s="62"/>
      <c r="M37" s="62"/>
      <c r="N37" s="62"/>
      <c r="O37" s="62"/>
      <c r="P37" s="62"/>
    </row>
    <row r="38" spans="1:16" ht="18">
      <c r="F38" s="61" t="s">
        <v>547</v>
      </c>
    </row>
    <row r="39" spans="1:16" ht="24" thickBot="1">
      <c r="B39" s="64" t="s">
        <v>426</v>
      </c>
      <c r="F39" s="62"/>
      <c r="K39" s="64" t="s">
        <v>427</v>
      </c>
    </row>
    <row r="40" spans="1:16" ht="76.5" thickTop="1" thickBot="1">
      <c r="B40" s="65" t="s">
        <v>309</v>
      </c>
      <c r="C40" s="65" t="s">
        <v>428</v>
      </c>
      <c r="D40" s="65" t="s">
        <v>346</v>
      </c>
      <c r="E40" s="65" t="s">
        <v>429</v>
      </c>
      <c r="F40" s="469" t="s">
        <v>430</v>
      </c>
      <c r="G40" s="476"/>
      <c r="H40" s="470"/>
      <c r="I40" s="65" t="s">
        <v>431</v>
      </c>
      <c r="K40" s="65" t="s">
        <v>432</v>
      </c>
      <c r="L40" s="65" t="s">
        <v>433</v>
      </c>
      <c r="M40" s="65" t="s">
        <v>434</v>
      </c>
      <c r="N40" s="65" t="s">
        <v>435</v>
      </c>
    </row>
    <row r="41" spans="1:16" ht="16.5" customHeight="1" thickTop="1" thickBot="1">
      <c r="B41" s="472">
        <f>المهني!OI26</f>
        <v>0</v>
      </c>
      <c r="C41" s="472">
        <f>المهني!OK26</f>
        <v>2</v>
      </c>
      <c r="D41" s="472">
        <f>المهني!OM26</f>
        <v>1</v>
      </c>
      <c r="E41" s="472">
        <f>المهني!OO26</f>
        <v>1</v>
      </c>
      <c r="F41" s="65" t="s">
        <v>436</v>
      </c>
      <c r="G41" s="65" t="s">
        <v>437</v>
      </c>
      <c r="H41" s="65" t="s">
        <v>438</v>
      </c>
      <c r="I41" s="479">
        <v>0</v>
      </c>
      <c r="K41" s="472">
        <f>المهني!Q26</f>
        <v>1</v>
      </c>
      <c r="L41" s="472">
        <f>المهني!R26</f>
        <v>0</v>
      </c>
      <c r="M41" s="472">
        <f>المهني!S26</f>
        <v>1</v>
      </c>
      <c r="N41" s="472">
        <f>المهني!T26</f>
        <v>0</v>
      </c>
    </row>
    <row r="42" spans="1:16" ht="19.5" customHeight="1" thickTop="1" thickBot="1">
      <c r="B42" s="473"/>
      <c r="C42" s="473"/>
      <c r="D42" s="473"/>
      <c r="E42" s="473"/>
      <c r="F42" s="73">
        <f>المهني!OT26</f>
        <v>1</v>
      </c>
      <c r="G42" s="73">
        <v>0</v>
      </c>
      <c r="H42" s="73">
        <v>0</v>
      </c>
      <c r="I42" s="481"/>
      <c r="K42" s="473"/>
      <c r="L42" s="473"/>
      <c r="M42" s="473"/>
      <c r="N42" s="473"/>
    </row>
    <row r="43" spans="1:16" ht="15" thickTop="1"/>
    <row r="44" spans="1:16" ht="24" thickBot="1">
      <c r="B44" s="64" t="s">
        <v>454</v>
      </c>
      <c r="I44" s="64" t="s">
        <v>455</v>
      </c>
    </row>
    <row r="45" spans="1:16" ht="16.5" thickTop="1" thickBot="1">
      <c r="B45" s="469" t="s">
        <v>439</v>
      </c>
      <c r="C45" s="476"/>
      <c r="D45" s="470"/>
      <c r="E45" s="65" t="s">
        <v>73</v>
      </c>
      <c r="F45" s="65" t="s">
        <v>29</v>
      </c>
      <c r="G45" s="65" t="s">
        <v>25</v>
      </c>
    </row>
    <row r="46" spans="1:16" ht="19.5" thickTop="1" thickBot="1">
      <c r="B46" s="469" t="s">
        <v>92</v>
      </c>
      <c r="C46" s="476"/>
      <c r="D46" s="470"/>
      <c r="E46" s="84">
        <f>المهني!KY26</f>
        <v>14</v>
      </c>
      <c r="F46" s="84">
        <f>المهني!KZ26</f>
        <v>22</v>
      </c>
      <c r="G46" s="84">
        <f>SUM(E46:F46)</f>
        <v>36</v>
      </c>
      <c r="I46" s="469" t="s">
        <v>225</v>
      </c>
      <c r="J46" s="470"/>
      <c r="K46" s="469" t="s">
        <v>453</v>
      </c>
      <c r="L46" s="470"/>
    </row>
    <row r="47" spans="1:16" ht="19.5" customHeight="1" thickTop="1" thickBot="1">
      <c r="B47" s="479" t="s">
        <v>93</v>
      </c>
      <c r="C47" s="469" t="s">
        <v>440</v>
      </c>
      <c r="D47" s="470"/>
      <c r="E47" s="84">
        <f>المهني!LA26</f>
        <v>0</v>
      </c>
      <c r="F47" s="84">
        <f>المهني!LB26</f>
        <v>0</v>
      </c>
      <c r="G47" s="84">
        <f t="shared" ref="G47:G54" si="1">SUM(E47:F47)</f>
        <v>0</v>
      </c>
      <c r="I47" s="469" t="s">
        <v>73</v>
      </c>
      <c r="J47" s="470"/>
      <c r="K47" s="469">
        <f>المهني!NC26</f>
        <v>20</v>
      </c>
      <c r="L47" s="470"/>
    </row>
    <row r="48" spans="1:16" ht="19.5" thickTop="1" thickBot="1">
      <c r="B48" s="480"/>
      <c r="C48" s="469" t="s">
        <v>292</v>
      </c>
      <c r="D48" s="470"/>
      <c r="E48" s="84">
        <f>المهني!LC26</f>
        <v>0</v>
      </c>
      <c r="F48" s="84">
        <f>المهني!LD26</f>
        <v>3</v>
      </c>
      <c r="G48" s="84">
        <f t="shared" si="1"/>
        <v>3</v>
      </c>
      <c r="I48" s="469" t="s">
        <v>29</v>
      </c>
      <c r="J48" s="470"/>
      <c r="K48" s="469">
        <f>المهني!ND26</f>
        <v>6</v>
      </c>
      <c r="L48" s="470"/>
    </row>
    <row r="49" spans="2:14" ht="19.5" thickTop="1" thickBot="1">
      <c r="B49" s="480"/>
      <c r="C49" s="469" t="s">
        <v>293</v>
      </c>
      <c r="D49" s="470"/>
      <c r="E49" s="84">
        <f>المهني!LE26</f>
        <v>0</v>
      </c>
      <c r="F49" s="84">
        <f>المهني!LF26</f>
        <v>0</v>
      </c>
      <c r="G49" s="84">
        <f t="shared" si="1"/>
        <v>0</v>
      </c>
      <c r="I49" s="469" t="s">
        <v>25</v>
      </c>
      <c r="J49" s="470"/>
      <c r="K49" s="469">
        <f>SUM(K47:K48)</f>
        <v>26</v>
      </c>
      <c r="L49" s="470"/>
    </row>
    <row r="50" spans="2:14" ht="19.5" thickTop="1" thickBot="1">
      <c r="B50" s="480"/>
      <c r="C50" s="469" t="s">
        <v>294</v>
      </c>
      <c r="D50" s="470"/>
      <c r="E50" s="84">
        <f>المهني!LG26</f>
        <v>2</v>
      </c>
      <c r="F50" s="84">
        <f>المهني!LH26</f>
        <v>0</v>
      </c>
      <c r="G50" s="84">
        <f t="shared" si="1"/>
        <v>2</v>
      </c>
      <c r="I50" s="70" t="s">
        <v>451</v>
      </c>
    </row>
    <row r="51" spans="2:14" ht="19.5" thickTop="1" thickBot="1">
      <c r="B51" s="480"/>
      <c r="C51" s="469" t="s">
        <v>295</v>
      </c>
      <c r="D51" s="470"/>
      <c r="E51" s="84">
        <f>المهني!LI26</f>
        <v>1</v>
      </c>
      <c r="F51" s="84">
        <f>المهني!LJ26</f>
        <v>1</v>
      </c>
      <c r="G51" s="84">
        <f t="shared" si="1"/>
        <v>2</v>
      </c>
      <c r="I51" s="469" t="s">
        <v>115</v>
      </c>
      <c r="J51" s="470"/>
      <c r="K51" s="469" t="s">
        <v>452</v>
      </c>
      <c r="L51" s="470"/>
    </row>
    <row r="52" spans="2:14" ht="19.5" thickTop="1" thickBot="1">
      <c r="B52" s="480"/>
      <c r="C52" s="469" t="s">
        <v>296</v>
      </c>
      <c r="D52" s="470"/>
      <c r="E52" s="85"/>
      <c r="F52" s="84">
        <f>المهني!LL26</f>
        <v>2</v>
      </c>
      <c r="G52" s="84">
        <f t="shared" si="1"/>
        <v>2</v>
      </c>
      <c r="I52" s="469" t="s">
        <v>123</v>
      </c>
      <c r="J52" s="470"/>
      <c r="K52" s="469"/>
      <c r="L52" s="470"/>
    </row>
    <row r="53" spans="2:14" ht="19.5" thickTop="1" thickBot="1">
      <c r="B53" s="480"/>
      <c r="C53" s="469" t="s">
        <v>441</v>
      </c>
      <c r="D53" s="470"/>
      <c r="E53" s="84">
        <f>المهني!LM26</f>
        <v>0</v>
      </c>
      <c r="F53" s="84">
        <f>المهني!LN26</f>
        <v>0</v>
      </c>
      <c r="G53" s="84">
        <f t="shared" si="1"/>
        <v>0</v>
      </c>
      <c r="I53" s="469" t="s">
        <v>124</v>
      </c>
      <c r="J53" s="470"/>
      <c r="K53" s="469"/>
      <c r="L53" s="470"/>
    </row>
    <row r="54" spans="2:14" ht="19.5" thickTop="1" thickBot="1">
      <c r="B54" s="480"/>
      <c r="C54" s="469" t="s">
        <v>570</v>
      </c>
      <c r="D54" s="470"/>
      <c r="E54" s="84">
        <f>المهني!LO26</f>
        <v>3</v>
      </c>
      <c r="F54" s="84">
        <f>المهني!LP26</f>
        <v>0</v>
      </c>
      <c r="G54" s="84">
        <f t="shared" si="1"/>
        <v>3</v>
      </c>
      <c r="I54" s="469" t="s">
        <v>125</v>
      </c>
      <c r="J54" s="470"/>
      <c r="K54" s="469">
        <f>المهني!SO26</f>
        <v>0</v>
      </c>
      <c r="L54" s="470"/>
    </row>
    <row r="55" spans="2:14" ht="19.5" customHeight="1" thickTop="1" thickBot="1">
      <c r="B55" s="481"/>
      <c r="C55" s="469"/>
      <c r="D55" s="470"/>
      <c r="E55" s="84"/>
      <c r="F55" s="84"/>
      <c r="G55" s="84">
        <f>SUM(E55:F55)</f>
        <v>0</v>
      </c>
      <c r="I55" s="469" t="s">
        <v>216</v>
      </c>
      <c r="J55" s="470"/>
      <c r="K55" s="469"/>
      <c r="L55" s="470"/>
    </row>
    <row r="56" spans="2:14" ht="18" customHeight="1" thickTop="1" thickBot="1">
      <c r="B56" s="469" t="s">
        <v>139</v>
      </c>
      <c r="C56" s="476"/>
      <c r="D56" s="470"/>
      <c r="E56" s="84">
        <f>SUM(E46:E55)</f>
        <v>20</v>
      </c>
      <c r="F56" s="84">
        <f>SUM(F46:F55)</f>
        <v>28</v>
      </c>
      <c r="G56" s="84">
        <f>SUM(G46:G55)</f>
        <v>48</v>
      </c>
      <c r="I56" s="469" t="s">
        <v>397</v>
      </c>
      <c r="J56" s="470"/>
      <c r="K56" s="469"/>
      <c r="L56" s="470"/>
    </row>
    <row r="57" spans="2:14" ht="16.5" thickTop="1" thickBot="1">
      <c r="I57" s="469" t="s">
        <v>25</v>
      </c>
      <c r="J57" s="470"/>
      <c r="K57" s="469">
        <f>SUM(K52:K56)</f>
        <v>0</v>
      </c>
      <c r="L57" s="470"/>
    </row>
    <row r="58" spans="2:14" ht="24.75" thickTop="1" thickBot="1">
      <c r="B58" s="68" t="s">
        <v>456</v>
      </c>
    </row>
    <row r="59" spans="2:14" s="70" customFormat="1" ht="22.5" customHeight="1" thickTop="1" thickBot="1">
      <c r="B59" s="486" t="s">
        <v>442</v>
      </c>
      <c r="C59" s="487"/>
      <c r="D59" s="488" t="s">
        <v>443</v>
      </c>
      <c r="E59" s="489"/>
      <c r="F59" s="486" t="s">
        <v>444</v>
      </c>
      <c r="G59" s="487"/>
      <c r="H59" s="486" t="s">
        <v>485</v>
      </c>
      <c r="I59" s="487"/>
      <c r="J59" s="486" t="s">
        <v>445</v>
      </c>
      <c r="K59" s="490"/>
      <c r="L59" s="487"/>
    </row>
    <row r="60" spans="2:14" s="70" customFormat="1" ht="19.5" thickTop="1" thickBot="1">
      <c r="B60" s="83" t="s">
        <v>73</v>
      </c>
      <c r="C60" s="83" t="s">
        <v>29</v>
      </c>
      <c r="D60" s="83" t="s">
        <v>73</v>
      </c>
      <c r="E60" s="83" t="s">
        <v>29</v>
      </c>
      <c r="F60" s="83" t="s">
        <v>73</v>
      </c>
      <c r="G60" s="83" t="s">
        <v>29</v>
      </c>
      <c r="H60" s="83" t="s">
        <v>73</v>
      </c>
      <c r="I60" s="83" t="s">
        <v>29</v>
      </c>
      <c r="J60" s="83" t="s">
        <v>73</v>
      </c>
      <c r="K60" s="83" t="s">
        <v>29</v>
      </c>
      <c r="L60" s="83" t="s">
        <v>25</v>
      </c>
    </row>
    <row r="61" spans="2:14" s="70" customFormat="1" ht="25.5" customHeight="1" thickTop="1" thickBot="1">
      <c r="B61" s="83">
        <f>المهني!LT26</f>
        <v>6</v>
      </c>
      <c r="C61" s="83">
        <f>المهني!LU26</f>
        <v>4</v>
      </c>
      <c r="D61" s="83">
        <f>المهني!LV26</f>
        <v>4</v>
      </c>
      <c r="E61" s="83">
        <f>المهني!LW26</f>
        <v>2</v>
      </c>
      <c r="F61" s="83">
        <f>المهني!LX26</f>
        <v>4</v>
      </c>
      <c r="G61" s="83">
        <f>المهني!LY26</f>
        <v>9</v>
      </c>
      <c r="H61" s="83">
        <f>المهني!LZ26</f>
        <v>6</v>
      </c>
      <c r="I61" s="83">
        <f>المهني!MA26</f>
        <v>13</v>
      </c>
      <c r="J61" s="83">
        <f>F61+D61+B61+H61</f>
        <v>20</v>
      </c>
      <c r="K61" s="83">
        <f>G61+E61+C61+I61</f>
        <v>28</v>
      </c>
      <c r="L61" s="83">
        <f>SUM(J61:K61)</f>
        <v>48</v>
      </c>
    </row>
    <row r="62" spans="2:14" ht="15" thickTop="1"/>
    <row r="63" spans="2:14" ht="24" thickBot="1">
      <c r="B63" s="68" t="s">
        <v>457</v>
      </c>
    </row>
    <row r="64" spans="2:14" s="70" customFormat="1" ht="21.75" customHeight="1" thickTop="1" thickBot="1">
      <c r="B64" s="486" t="s">
        <v>446</v>
      </c>
      <c r="C64" s="487"/>
      <c r="D64" s="488" t="s">
        <v>447</v>
      </c>
      <c r="E64" s="489"/>
      <c r="F64" s="486" t="s">
        <v>448</v>
      </c>
      <c r="G64" s="487"/>
      <c r="H64" s="486" t="s">
        <v>449</v>
      </c>
      <c r="I64" s="487"/>
      <c r="J64" s="486" t="s">
        <v>479</v>
      </c>
      <c r="K64" s="487"/>
      <c r="L64" s="158" t="s">
        <v>25</v>
      </c>
      <c r="M64" s="160"/>
      <c r="N64" s="159"/>
    </row>
    <row r="65" spans="1:16" s="70" customFormat="1" ht="21.75" customHeight="1" thickTop="1" thickBot="1">
      <c r="B65" s="83" t="s">
        <v>73</v>
      </c>
      <c r="C65" s="83" t="s">
        <v>29</v>
      </c>
      <c r="D65" s="83" t="s">
        <v>73</v>
      </c>
      <c r="E65" s="83" t="s">
        <v>29</v>
      </c>
      <c r="F65" s="83" t="s">
        <v>73</v>
      </c>
      <c r="G65" s="83" t="s">
        <v>29</v>
      </c>
      <c r="H65" s="83" t="s">
        <v>73</v>
      </c>
      <c r="I65" s="83" t="s">
        <v>29</v>
      </c>
      <c r="J65" s="83" t="s">
        <v>73</v>
      </c>
      <c r="K65" s="83" t="s">
        <v>29</v>
      </c>
      <c r="L65" s="83" t="s">
        <v>73</v>
      </c>
      <c r="M65" s="83" t="s">
        <v>29</v>
      </c>
      <c r="N65" s="83" t="s">
        <v>25</v>
      </c>
    </row>
    <row r="66" spans="1:16" s="70" customFormat="1" ht="24" customHeight="1" thickTop="1" thickBot="1">
      <c r="B66" s="83">
        <f>المهني!ME26</f>
        <v>5</v>
      </c>
      <c r="C66" s="83">
        <f>المهني!MF26</f>
        <v>4</v>
      </c>
      <c r="D66" s="83">
        <f>المهني!MG26</f>
        <v>5</v>
      </c>
      <c r="E66" s="83">
        <f>المهني!MH26</f>
        <v>6</v>
      </c>
      <c r="F66" s="83">
        <f>المهني!MI26</f>
        <v>3</v>
      </c>
      <c r="G66" s="83">
        <f>المهني!MJ26</f>
        <v>4</v>
      </c>
      <c r="H66" s="83">
        <f>المهني!MK26</f>
        <v>7</v>
      </c>
      <c r="I66" s="83">
        <f>المهني!ML26</f>
        <v>12</v>
      </c>
      <c r="J66" s="83">
        <f>المهني!MM26</f>
        <v>0</v>
      </c>
      <c r="K66" s="83">
        <f>المهني!MN26</f>
        <v>2</v>
      </c>
      <c r="L66" s="83">
        <f>J66+H66+F66+D66+B66</f>
        <v>20</v>
      </c>
      <c r="M66" s="83">
        <f>K66+I66+G66+E66+C66</f>
        <v>28</v>
      </c>
      <c r="N66" s="83">
        <f>SUM(L66:M66)</f>
        <v>48</v>
      </c>
    </row>
    <row r="67" spans="1:16" ht="24" thickTop="1">
      <c r="A67" s="61" t="s">
        <v>209</v>
      </c>
      <c r="B67" s="62"/>
      <c r="C67" s="62"/>
      <c r="D67" s="62"/>
      <c r="E67" s="62"/>
      <c r="F67" s="63"/>
      <c r="G67" s="63"/>
      <c r="H67" s="63"/>
      <c r="I67" s="63"/>
      <c r="J67" s="63"/>
      <c r="K67" s="63"/>
      <c r="L67" s="61" t="s">
        <v>191</v>
      </c>
      <c r="M67" s="62"/>
      <c r="N67" s="62"/>
      <c r="O67" s="63"/>
      <c r="P67" s="63"/>
    </row>
    <row r="68" spans="1:16" ht="23.25">
      <c r="A68" s="471" t="s">
        <v>188</v>
      </c>
      <c r="B68" s="471"/>
      <c r="C68" s="471"/>
      <c r="D68" s="471"/>
      <c r="E68" s="471"/>
      <c r="F68" s="63"/>
      <c r="G68" s="63"/>
      <c r="H68" s="63"/>
      <c r="I68" s="63"/>
      <c r="J68" s="63"/>
      <c r="K68" s="63"/>
      <c r="L68" s="471" t="s">
        <v>529</v>
      </c>
      <c r="M68" s="471"/>
      <c r="N68" s="471"/>
      <c r="O68" s="63"/>
      <c r="P68" s="63"/>
    </row>
    <row r="69" spans="1:16" ht="23.25">
      <c r="B69" s="62"/>
      <c r="C69" s="62"/>
      <c r="D69" s="62"/>
      <c r="E69" s="62"/>
      <c r="F69" s="62"/>
      <c r="G69" s="61" t="s">
        <v>425</v>
      </c>
      <c r="H69" s="62"/>
      <c r="I69" s="62"/>
      <c r="J69" s="62"/>
      <c r="K69" s="62"/>
      <c r="L69" s="62"/>
      <c r="M69" s="62"/>
      <c r="N69" s="62"/>
      <c r="O69" s="62"/>
      <c r="P69" s="62"/>
    </row>
    <row r="70" spans="1:16" ht="18">
      <c r="F70" s="61" t="s">
        <v>546</v>
      </c>
    </row>
    <row r="71" spans="1:16" ht="24" thickBot="1">
      <c r="B71" s="64" t="s">
        <v>426</v>
      </c>
      <c r="F71" s="62"/>
      <c r="K71" s="64" t="s">
        <v>427</v>
      </c>
    </row>
    <row r="72" spans="1:16" ht="76.5" thickTop="1" thickBot="1">
      <c r="B72" s="65" t="s">
        <v>309</v>
      </c>
      <c r="C72" s="65" t="s">
        <v>428</v>
      </c>
      <c r="D72" s="65" t="s">
        <v>346</v>
      </c>
      <c r="E72" s="65" t="s">
        <v>429</v>
      </c>
      <c r="F72" s="469" t="s">
        <v>430</v>
      </c>
      <c r="G72" s="476"/>
      <c r="H72" s="470"/>
      <c r="I72" s="65" t="s">
        <v>431</v>
      </c>
      <c r="K72" s="65" t="s">
        <v>432</v>
      </c>
      <c r="L72" s="65" t="s">
        <v>433</v>
      </c>
      <c r="M72" s="65" t="s">
        <v>434</v>
      </c>
      <c r="N72" s="65" t="s">
        <v>435</v>
      </c>
    </row>
    <row r="73" spans="1:16" ht="16.5" thickTop="1" thickBot="1">
      <c r="B73" s="472">
        <f>المهني!OI49</f>
        <v>0</v>
      </c>
      <c r="C73" s="472">
        <f>المهني!OK49</f>
        <v>1</v>
      </c>
      <c r="D73" s="472">
        <f>المهني!OM49</f>
        <v>0</v>
      </c>
      <c r="E73" s="472">
        <f>المهني!OO49</f>
        <v>0</v>
      </c>
      <c r="F73" s="65" t="s">
        <v>436</v>
      </c>
      <c r="G73" s="65" t="s">
        <v>437</v>
      </c>
      <c r="H73" s="65" t="s">
        <v>438</v>
      </c>
      <c r="I73" s="482">
        <v>0</v>
      </c>
      <c r="K73" s="472">
        <f>المهني!Q49</f>
        <v>0</v>
      </c>
      <c r="L73" s="472">
        <f>المهني!R49</f>
        <v>0</v>
      </c>
      <c r="M73" s="472">
        <f>المهني!S49</f>
        <v>1</v>
      </c>
      <c r="N73" s="472">
        <f>المهني!T49</f>
        <v>0</v>
      </c>
    </row>
    <row r="74" spans="1:16" ht="21.75" thickTop="1" thickBot="1">
      <c r="B74" s="473"/>
      <c r="C74" s="473"/>
      <c r="D74" s="473"/>
      <c r="E74" s="473"/>
      <c r="F74" s="66">
        <f>المهني!OT49</f>
        <v>0</v>
      </c>
      <c r="G74" s="66">
        <v>0</v>
      </c>
      <c r="H74" s="66">
        <v>0</v>
      </c>
      <c r="I74" s="483"/>
      <c r="K74" s="473"/>
      <c r="L74" s="473"/>
      <c r="M74" s="473"/>
      <c r="N74" s="473"/>
    </row>
    <row r="75" spans="1:16" ht="15" thickTop="1"/>
    <row r="76" spans="1:16" ht="24" thickBot="1">
      <c r="B76" s="64" t="s">
        <v>454</v>
      </c>
      <c r="I76" s="64" t="s">
        <v>455</v>
      </c>
    </row>
    <row r="77" spans="1:16" ht="16.5" customHeight="1" thickTop="1" thickBot="1">
      <c r="B77" s="469" t="s">
        <v>439</v>
      </c>
      <c r="C77" s="476"/>
      <c r="D77" s="470"/>
      <c r="E77" s="65" t="s">
        <v>73</v>
      </c>
      <c r="F77" s="65" t="s">
        <v>29</v>
      </c>
      <c r="G77" s="65" t="s">
        <v>25</v>
      </c>
    </row>
    <row r="78" spans="1:16" ht="19.5" customHeight="1" thickTop="1" thickBot="1">
      <c r="B78" s="469" t="s">
        <v>92</v>
      </c>
      <c r="C78" s="476"/>
      <c r="D78" s="470"/>
      <c r="E78" s="84">
        <f>المهني!KY49</f>
        <v>5</v>
      </c>
      <c r="F78" s="84">
        <f>المهني!KZ49</f>
        <v>4</v>
      </c>
      <c r="G78" s="84">
        <f>SUM(E78:F78)</f>
        <v>9</v>
      </c>
      <c r="I78" s="469" t="s">
        <v>225</v>
      </c>
      <c r="J78" s="470"/>
      <c r="K78" s="469" t="s">
        <v>453</v>
      </c>
      <c r="L78" s="470"/>
    </row>
    <row r="79" spans="1:16" ht="19.5" thickTop="1" thickBot="1">
      <c r="B79" s="479" t="s">
        <v>93</v>
      </c>
      <c r="C79" s="469" t="s">
        <v>440</v>
      </c>
      <c r="D79" s="470"/>
      <c r="E79" s="84">
        <f>المهني!LA49</f>
        <v>0</v>
      </c>
      <c r="F79" s="84">
        <f>المهني!LB49</f>
        <v>0</v>
      </c>
      <c r="G79" s="84">
        <f t="shared" ref="G79:G86" si="2">SUM(E79:F79)</f>
        <v>0</v>
      </c>
      <c r="I79" s="469" t="s">
        <v>73</v>
      </c>
      <c r="J79" s="470"/>
      <c r="K79" s="484">
        <f>المهني!NC49</f>
        <v>0</v>
      </c>
      <c r="L79" s="485"/>
    </row>
    <row r="80" spans="1:16" ht="19.5" thickTop="1" thickBot="1">
      <c r="B80" s="480"/>
      <c r="C80" s="469" t="s">
        <v>292</v>
      </c>
      <c r="D80" s="470"/>
      <c r="E80" s="84">
        <f>المهني!LC49</f>
        <v>0</v>
      </c>
      <c r="F80" s="84">
        <f>المهني!LD49</f>
        <v>0</v>
      </c>
      <c r="G80" s="84">
        <f t="shared" si="2"/>
        <v>0</v>
      </c>
      <c r="I80" s="469" t="s">
        <v>29</v>
      </c>
      <c r="J80" s="470"/>
      <c r="K80" s="484">
        <f>المهني!ND49</f>
        <v>0</v>
      </c>
      <c r="L80" s="485"/>
    </row>
    <row r="81" spans="1:17" ht="19.5" thickTop="1" thickBot="1">
      <c r="B81" s="480"/>
      <c r="C81" s="469" t="s">
        <v>293</v>
      </c>
      <c r="D81" s="470"/>
      <c r="E81" s="84">
        <f>المهني!LE49</f>
        <v>0</v>
      </c>
      <c r="F81" s="84">
        <f>المهني!LF49</f>
        <v>0</v>
      </c>
      <c r="G81" s="84">
        <f t="shared" si="2"/>
        <v>0</v>
      </c>
      <c r="I81" s="469" t="s">
        <v>25</v>
      </c>
      <c r="J81" s="470"/>
      <c r="K81" s="484">
        <f>K80+K79</f>
        <v>0</v>
      </c>
      <c r="L81" s="485"/>
    </row>
    <row r="82" spans="1:17" ht="19.5" thickTop="1" thickBot="1">
      <c r="B82" s="480"/>
      <c r="C82" s="469" t="s">
        <v>294</v>
      </c>
      <c r="D82" s="470"/>
      <c r="E82" s="84">
        <f>المهني!LG49</f>
        <v>0</v>
      </c>
      <c r="F82" s="84">
        <f>المهني!LH49</f>
        <v>0</v>
      </c>
      <c r="G82" s="84">
        <f t="shared" si="2"/>
        <v>0</v>
      </c>
      <c r="I82" s="70" t="s">
        <v>451</v>
      </c>
    </row>
    <row r="83" spans="1:17" ht="19.5" thickTop="1" thickBot="1">
      <c r="B83" s="480"/>
      <c r="C83" s="469" t="s">
        <v>295</v>
      </c>
      <c r="D83" s="470"/>
      <c r="E83" s="84">
        <f>المهني!LI49</f>
        <v>0</v>
      </c>
      <c r="F83" s="84">
        <f>المهني!LJ49</f>
        <v>0</v>
      </c>
      <c r="G83" s="84">
        <f t="shared" si="2"/>
        <v>0</v>
      </c>
      <c r="I83" s="469" t="s">
        <v>115</v>
      </c>
      <c r="J83" s="470"/>
      <c r="K83" s="469" t="s">
        <v>452</v>
      </c>
      <c r="L83" s="470"/>
      <c r="M83" s="71"/>
      <c r="N83" s="71"/>
    </row>
    <row r="84" spans="1:17" ht="19.5" thickTop="1" thickBot="1">
      <c r="B84" s="480"/>
      <c r="C84" s="469" t="s">
        <v>296</v>
      </c>
      <c r="D84" s="470"/>
      <c r="E84" s="85"/>
      <c r="F84" s="84">
        <f>المهني!LL49</f>
        <v>0</v>
      </c>
      <c r="G84" s="84">
        <f t="shared" si="2"/>
        <v>0</v>
      </c>
      <c r="I84" s="469" t="s">
        <v>123</v>
      </c>
      <c r="J84" s="470"/>
      <c r="K84" s="484">
        <f>المهني!SO49</f>
        <v>0</v>
      </c>
      <c r="L84" s="485"/>
      <c r="M84" s="71"/>
      <c r="N84" s="71"/>
    </row>
    <row r="85" spans="1:17" ht="19.5" thickTop="1" thickBot="1">
      <c r="B85" s="480"/>
      <c r="C85" s="469" t="s">
        <v>441</v>
      </c>
      <c r="D85" s="470"/>
      <c r="E85" s="84">
        <f>المهني!LM49</f>
        <v>0</v>
      </c>
      <c r="F85" s="84">
        <f>المهني!LN49</f>
        <v>0</v>
      </c>
      <c r="G85" s="84">
        <f t="shared" si="2"/>
        <v>0</v>
      </c>
      <c r="I85" s="469" t="s">
        <v>124</v>
      </c>
      <c r="J85" s="470"/>
      <c r="K85" s="484"/>
      <c r="L85" s="485"/>
      <c r="M85" s="71"/>
      <c r="N85" s="71"/>
    </row>
    <row r="86" spans="1:17" ht="19.5" thickTop="1" thickBot="1">
      <c r="B86" s="480"/>
      <c r="C86" s="469" t="s">
        <v>570</v>
      </c>
      <c r="D86" s="470"/>
      <c r="E86" s="84">
        <f>المهني!LO49</f>
        <v>0</v>
      </c>
      <c r="F86" s="84">
        <f>المهني!LP49</f>
        <v>0</v>
      </c>
      <c r="G86" s="84">
        <f t="shared" si="2"/>
        <v>0</v>
      </c>
      <c r="I86" s="469" t="s">
        <v>125</v>
      </c>
      <c r="J86" s="470"/>
      <c r="K86" s="484"/>
      <c r="L86" s="485"/>
      <c r="M86" s="71"/>
      <c r="N86" s="71"/>
    </row>
    <row r="87" spans="1:17" ht="19.5" thickTop="1" thickBot="1">
      <c r="B87" s="481"/>
      <c r="C87" s="469"/>
      <c r="D87" s="470"/>
      <c r="E87" s="84"/>
      <c r="F87" s="84"/>
      <c r="G87" s="84"/>
      <c r="I87" s="469" t="s">
        <v>216</v>
      </c>
      <c r="J87" s="470"/>
      <c r="K87" s="484"/>
      <c r="L87" s="485"/>
      <c r="M87" s="71"/>
      <c r="N87" s="71"/>
    </row>
    <row r="88" spans="1:17" ht="19.5" customHeight="1" thickTop="1" thickBot="1">
      <c r="B88" s="469" t="s">
        <v>139</v>
      </c>
      <c r="C88" s="476"/>
      <c r="D88" s="470"/>
      <c r="E88" s="84">
        <f>SUM(E78:E87)</f>
        <v>5</v>
      </c>
      <c r="F88" s="84">
        <f t="shared" ref="F88:G88" si="3">SUM(F78:F87)</f>
        <v>4</v>
      </c>
      <c r="G88" s="84">
        <f t="shared" si="3"/>
        <v>9</v>
      </c>
      <c r="I88" s="469" t="s">
        <v>397</v>
      </c>
      <c r="J88" s="470"/>
      <c r="K88" s="469"/>
      <c r="L88" s="470"/>
      <c r="M88" s="71"/>
      <c r="N88" s="71"/>
    </row>
    <row r="89" spans="1:17" ht="19.5" thickTop="1" thickBot="1">
      <c r="I89" s="469" t="s">
        <v>526</v>
      </c>
      <c r="J89" s="470"/>
      <c r="K89" s="484">
        <f>المهني!SO49</f>
        <v>0</v>
      </c>
      <c r="L89" s="485"/>
      <c r="M89" s="71"/>
      <c r="N89" s="71"/>
    </row>
    <row r="90" spans="1:17" ht="19.5" thickTop="1" thickBot="1">
      <c r="I90" s="469" t="s">
        <v>527</v>
      </c>
      <c r="J90" s="470"/>
      <c r="K90" s="484">
        <f>المهني!SO49</f>
        <v>0</v>
      </c>
      <c r="L90" s="485"/>
      <c r="M90" s="71"/>
      <c r="N90" s="71"/>
    </row>
    <row r="91" spans="1:17" ht="19.5" thickTop="1" thickBot="1">
      <c r="I91" s="491" t="s">
        <v>25</v>
      </c>
      <c r="J91" s="492"/>
      <c r="K91" s="484">
        <f>K86+K87+K88+K89+K90+K85+K84</f>
        <v>0</v>
      </c>
      <c r="L91" s="485"/>
      <c r="M91" s="71"/>
      <c r="N91" s="71"/>
    </row>
    <row r="92" spans="1:17" ht="24.75" thickTop="1" thickBot="1">
      <c r="B92" s="68" t="s">
        <v>456</v>
      </c>
    </row>
    <row r="93" spans="1:17" ht="19.5" customHeight="1" thickTop="1" thickBot="1">
      <c r="A93" s="70"/>
      <c r="B93" s="486" t="s">
        <v>442</v>
      </c>
      <c r="C93" s="487"/>
      <c r="D93" s="488" t="s">
        <v>443</v>
      </c>
      <c r="E93" s="489"/>
      <c r="F93" s="486" t="s">
        <v>444</v>
      </c>
      <c r="G93" s="487"/>
      <c r="H93" s="486" t="s">
        <v>484</v>
      </c>
      <c r="I93" s="487"/>
      <c r="J93" s="486" t="s">
        <v>445</v>
      </c>
      <c r="K93" s="490"/>
      <c r="L93" s="487"/>
      <c r="M93" s="70"/>
      <c r="N93" s="70"/>
      <c r="O93" s="70"/>
      <c r="P93" s="70"/>
      <c r="Q93" s="70"/>
    </row>
    <row r="94" spans="1:17" ht="19.5" thickTop="1" thickBot="1">
      <c r="A94" s="70"/>
      <c r="B94" s="83" t="s">
        <v>73</v>
      </c>
      <c r="C94" s="83" t="s">
        <v>29</v>
      </c>
      <c r="D94" s="83" t="s">
        <v>73</v>
      </c>
      <c r="E94" s="83" t="s">
        <v>29</v>
      </c>
      <c r="F94" s="83" t="s">
        <v>73</v>
      </c>
      <c r="G94" s="83" t="s">
        <v>29</v>
      </c>
      <c r="H94" s="83" t="s">
        <v>73</v>
      </c>
      <c r="I94" s="83" t="s">
        <v>29</v>
      </c>
      <c r="J94" s="83" t="s">
        <v>73</v>
      </c>
      <c r="K94" s="83" t="s">
        <v>29</v>
      </c>
      <c r="L94" s="83" t="s">
        <v>25</v>
      </c>
      <c r="M94" s="70"/>
      <c r="N94" s="70"/>
      <c r="O94" s="70"/>
      <c r="P94" s="70"/>
      <c r="Q94" s="70"/>
    </row>
    <row r="95" spans="1:17" ht="19.5" thickTop="1" thickBot="1">
      <c r="A95" s="70"/>
      <c r="B95" s="83">
        <f>المهني!LT49</f>
        <v>2</v>
      </c>
      <c r="C95" s="83">
        <f>المهني!LU49</f>
        <v>0</v>
      </c>
      <c r="D95" s="83">
        <f>المهني!LV49</f>
        <v>0</v>
      </c>
      <c r="E95" s="83">
        <f>المهني!LW49</f>
        <v>0</v>
      </c>
      <c r="F95" s="83">
        <f>المهني!LX49</f>
        <v>0</v>
      </c>
      <c r="G95" s="83">
        <f>المهني!LY49</f>
        <v>0</v>
      </c>
      <c r="H95" s="83">
        <f>المهني!LZ49</f>
        <v>3</v>
      </c>
      <c r="I95" s="83">
        <f>المهني!MA49</f>
        <v>4</v>
      </c>
      <c r="J95" s="83">
        <f>F95+D95+B95+H95</f>
        <v>5</v>
      </c>
      <c r="K95" s="83">
        <f>G95+E95+C95+I95</f>
        <v>4</v>
      </c>
      <c r="L95" s="83">
        <f>SUM(J95:K95)</f>
        <v>9</v>
      </c>
      <c r="M95" s="70"/>
      <c r="N95" s="70"/>
      <c r="O95" s="70"/>
      <c r="P95" s="70"/>
      <c r="Q95" s="70"/>
    </row>
    <row r="96" spans="1:17" ht="15" thickTop="1"/>
    <row r="97" spans="1:17" ht="24" thickBot="1">
      <c r="B97" s="68" t="s">
        <v>457</v>
      </c>
    </row>
    <row r="98" spans="1:17" ht="19.5" customHeight="1" thickTop="1" thickBot="1">
      <c r="A98" s="70"/>
      <c r="B98" s="486" t="s">
        <v>446</v>
      </c>
      <c r="C98" s="487"/>
      <c r="D98" s="488" t="s">
        <v>447</v>
      </c>
      <c r="E98" s="489"/>
      <c r="F98" s="486" t="s">
        <v>448</v>
      </c>
      <c r="G98" s="487"/>
      <c r="H98" s="188" t="s">
        <v>449</v>
      </c>
      <c r="I98" s="189"/>
      <c r="J98" s="486" t="s">
        <v>480</v>
      </c>
      <c r="K98" s="487"/>
      <c r="L98" s="188" t="s">
        <v>25</v>
      </c>
      <c r="M98" s="190"/>
      <c r="N98" s="189"/>
      <c r="O98" s="70"/>
      <c r="P98" s="70"/>
      <c r="Q98" s="70"/>
    </row>
    <row r="99" spans="1:17" ht="19.5" thickTop="1" thickBot="1">
      <c r="A99" s="70"/>
      <c r="B99" s="83" t="s">
        <v>73</v>
      </c>
      <c r="C99" s="83" t="s">
        <v>29</v>
      </c>
      <c r="D99" s="83" t="s">
        <v>73</v>
      </c>
      <c r="E99" s="83" t="s">
        <v>29</v>
      </c>
      <c r="F99" s="83" t="s">
        <v>73</v>
      </c>
      <c r="G99" s="83" t="s">
        <v>29</v>
      </c>
      <c r="H99" s="83" t="s">
        <v>73</v>
      </c>
      <c r="I99" s="83" t="s">
        <v>29</v>
      </c>
      <c r="J99" s="83" t="s">
        <v>73</v>
      </c>
      <c r="K99" s="83" t="s">
        <v>29</v>
      </c>
      <c r="L99" s="83" t="s">
        <v>73</v>
      </c>
      <c r="M99" s="83" t="s">
        <v>29</v>
      </c>
      <c r="N99" s="83" t="s">
        <v>25</v>
      </c>
      <c r="O99" s="70"/>
      <c r="P99" s="70"/>
      <c r="Q99" s="70"/>
    </row>
    <row r="100" spans="1:17" ht="19.5" thickTop="1" thickBot="1">
      <c r="A100" s="70"/>
      <c r="B100" s="83">
        <f>المهني!ME49</f>
        <v>0</v>
      </c>
      <c r="C100" s="83">
        <f>المهني!MF49</f>
        <v>0</v>
      </c>
      <c r="D100" s="83">
        <f>المهني!MG49</f>
        <v>2</v>
      </c>
      <c r="E100" s="83">
        <f>المهني!MH49</f>
        <v>4</v>
      </c>
      <c r="F100" s="83">
        <f>المهني!MI49</f>
        <v>0</v>
      </c>
      <c r="G100" s="83">
        <f>المهني!MJ49</f>
        <v>0</v>
      </c>
      <c r="H100" s="83">
        <f>المهني!MK49</f>
        <v>3</v>
      </c>
      <c r="I100" s="83">
        <f>المهني!ML49</f>
        <v>0</v>
      </c>
      <c r="J100" s="83">
        <f>المهني!MM49</f>
        <v>0</v>
      </c>
      <c r="K100" s="83">
        <f>المهني!MN49</f>
        <v>0</v>
      </c>
      <c r="L100" s="83">
        <f>J100+H100+F100+D100+B100</f>
        <v>5</v>
      </c>
      <c r="M100" s="83">
        <f>K100+I100+G100+E100+C100</f>
        <v>4</v>
      </c>
      <c r="N100" s="83">
        <f>SUM(L100:M100)</f>
        <v>9</v>
      </c>
      <c r="O100" s="70"/>
      <c r="P100" s="70"/>
      <c r="Q100" s="70"/>
    </row>
    <row r="101" spans="1:17" ht="24" thickTop="1">
      <c r="A101" s="61" t="s">
        <v>209</v>
      </c>
      <c r="B101" s="62"/>
      <c r="C101" s="62"/>
      <c r="D101" s="62"/>
      <c r="E101" s="62"/>
      <c r="F101" s="63"/>
      <c r="G101" s="63"/>
      <c r="H101" s="63"/>
      <c r="I101" s="63"/>
      <c r="J101" s="63"/>
      <c r="K101" s="63"/>
      <c r="L101" s="61" t="s">
        <v>191</v>
      </c>
      <c r="M101" s="62"/>
      <c r="N101" s="62"/>
      <c r="O101" s="63"/>
      <c r="P101" s="63"/>
    </row>
    <row r="102" spans="1:17" ht="23.25">
      <c r="A102" s="471" t="s">
        <v>188</v>
      </c>
      <c r="B102" s="471"/>
      <c r="C102" s="471"/>
      <c r="D102" s="471"/>
      <c r="E102" s="471"/>
      <c r="F102" s="63"/>
      <c r="G102" s="63"/>
      <c r="H102" s="63"/>
      <c r="I102" s="63"/>
      <c r="J102" s="63"/>
      <c r="K102" s="63"/>
      <c r="L102" s="471" t="s">
        <v>530</v>
      </c>
      <c r="M102" s="471"/>
      <c r="N102" s="471"/>
      <c r="O102" s="63"/>
      <c r="P102" s="63"/>
    </row>
    <row r="103" spans="1:17" ht="23.25">
      <c r="B103" s="62"/>
      <c r="C103" s="62"/>
      <c r="D103" s="62"/>
      <c r="E103" s="62"/>
      <c r="F103" s="62"/>
      <c r="G103" s="61" t="s">
        <v>425</v>
      </c>
      <c r="H103" s="62"/>
      <c r="I103" s="62"/>
      <c r="J103" s="62"/>
      <c r="K103" s="62"/>
      <c r="L103" s="62"/>
      <c r="M103" s="62"/>
      <c r="N103" s="62"/>
      <c r="O103" s="62"/>
      <c r="P103" s="62"/>
    </row>
    <row r="104" spans="1:17" ht="18">
      <c r="F104" s="61" t="s">
        <v>546</v>
      </c>
    </row>
    <row r="105" spans="1:17" ht="24" thickBot="1">
      <c r="B105" s="64" t="s">
        <v>426</v>
      </c>
      <c r="F105" s="62"/>
      <c r="K105" s="64" t="s">
        <v>427</v>
      </c>
    </row>
    <row r="106" spans="1:17" ht="76.5" thickTop="1" thickBot="1">
      <c r="B106" s="65" t="s">
        <v>309</v>
      </c>
      <c r="C106" s="65" t="s">
        <v>428</v>
      </c>
      <c r="D106" s="65" t="s">
        <v>346</v>
      </c>
      <c r="E106" s="65" t="s">
        <v>429</v>
      </c>
      <c r="F106" s="469" t="s">
        <v>430</v>
      </c>
      <c r="G106" s="476"/>
      <c r="H106" s="470"/>
      <c r="I106" s="65" t="s">
        <v>431</v>
      </c>
      <c r="K106" s="65" t="s">
        <v>432</v>
      </c>
      <c r="L106" s="65" t="s">
        <v>433</v>
      </c>
      <c r="M106" s="65" t="s">
        <v>434</v>
      </c>
      <c r="N106" s="65" t="s">
        <v>435</v>
      </c>
    </row>
    <row r="107" spans="1:17" ht="16.5" thickTop="1" thickBot="1">
      <c r="B107" s="472">
        <f>المهني!OI51</f>
        <v>0</v>
      </c>
      <c r="C107" s="472">
        <f>المهني!OK51</f>
        <v>1</v>
      </c>
      <c r="D107" s="472">
        <f>المهني!OM51</f>
        <v>1</v>
      </c>
      <c r="E107" s="472">
        <f>المهني!OO51</f>
        <v>0</v>
      </c>
      <c r="F107" s="65" t="s">
        <v>436</v>
      </c>
      <c r="G107" s="65" t="s">
        <v>437</v>
      </c>
      <c r="H107" s="65" t="s">
        <v>438</v>
      </c>
      <c r="I107" s="482">
        <v>0</v>
      </c>
      <c r="K107" s="472">
        <f>المهني!Q51</f>
        <v>0</v>
      </c>
      <c r="L107" s="472">
        <f>المهني!R51</f>
        <v>0</v>
      </c>
      <c r="M107" s="472">
        <f>المهني!S51</f>
        <v>1</v>
      </c>
      <c r="N107" s="472">
        <f>المهني!T51</f>
        <v>0</v>
      </c>
    </row>
    <row r="108" spans="1:17" ht="21.75" thickTop="1" thickBot="1">
      <c r="B108" s="473"/>
      <c r="C108" s="473"/>
      <c r="D108" s="473"/>
      <c r="E108" s="473"/>
      <c r="F108" s="66">
        <f>المهني!OT51</f>
        <v>0</v>
      </c>
      <c r="G108" s="66">
        <v>0</v>
      </c>
      <c r="H108" s="66">
        <v>0</v>
      </c>
      <c r="I108" s="483"/>
      <c r="K108" s="473"/>
      <c r="L108" s="473"/>
      <c r="M108" s="473"/>
      <c r="N108" s="473"/>
    </row>
    <row r="109" spans="1:17" ht="15" thickTop="1"/>
    <row r="110" spans="1:17" ht="24" thickBot="1">
      <c r="B110" s="64" t="s">
        <v>454</v>
      </c>
      <c r="I110" s="64" t="s">
        <v>455</v>
      </c>
    </row>
    <row r="111" spans="1:17" ht="16.5" customHeight="1" thickTop="1" thickBot="1">
      <c r="B111" s="469" t="s">
        <v>439</v>
      </c>
      <c r="C111" s="476"/>
      <c r="D111" s="470"/>
      <c r="E111" s="65" t="s">
        <v>73</v>
      </c>
      <c r="F111" s="65" t="s">
        <v>29</v>
      </c>
      <c r="G111" s="65" t="s">
        <v>25</v>
      </c>
    </row>
    <row r="112" spans="1:17" ht="19.5" customHeight="1" thickTop="1" thickBot="1">
      <c r="B112" s="469" t="s">
        <v>92</v>
      </c>
      <c r="C112" s="476"/>
      <c r="D112" s="470"/>
      <c r="E112" s="84">
        <f>المهني!KY51</f>
        <v>1</v>
      </c>
      <c r="F112" s="84">
        <f>المهني!KZ51</f>
        <v>0</v>
      </c>
      <c r="G112" s="84">
        <f>SUM(E112:F112)</f>
        <v>1</v>
      </c>
      <c r="I112" s="469" t="s">
        <v>225</v>
      </c>
      <c r="J112" s="470"/>
      <c r="K112" s="469" t="s">
        <v>453</v>
      </c>
      <c r="L112" s="470"/>
    </row>
    <row r="113" spans="1:17" ht="19.5" thickTop="1" thickBot="1">
      <c r="B113" s="479" t="s">
        <v>93</v>
      </c>
      <c r="C113" s="469" t="s">
        <v>440</v>
      </c>
      <c r="D113" s="470"/>
      <c r="E113" s="84">
        <f>المهني!LA51</f>
        <v>0</v>
      </c>
      <c r="F113" s="84">
        <f>المهني!LB51</f>
        <v>0</v>
      </c>
      <c r="G113" s="84">
        <f t="shared" ref="G113:G120" si="4">SUM(E113:F113)</f>
        <v>0</v>
      </c>
      <c r="I113" s="469" t="s">
        <v>73</v>
      </c>
      <c r="J113" s="470"/>
      <c r="K113" s="484">
        <f>المهني!NC121</f>
        <v>0</v>
      </c>
      <c r="L113" s="485"/>
    </row>
    <row r="114" spans="1:17" ht="19.5" thickTop="1" thickBot="1">
      <c r="B114" s="480"/>
      <c r="C114" s="469" t="s">
        <v>292</v>
      </c>
      <c r="D114" s="470"/>
      <c r="E114" s="84">
        <f>المهني!LC51</f>
        <v>0</v>
      </c>
      <c r="F114" s="84">
        <f>المهني!LD51</f>
        <v>0</v>
      </c>
      <c r="G114" s="84">
        <f t="shared" si="4"/>
        <v>0</v>
      </c>
      <c r="I114" s="469" t="s">
        <v>29</v>
      </c>
      <c r="J114" s="470"/>
      <c r="K114" s="484">
        <f>المهني!ND121</f>
        <v>0</v>
      </c>
      <c r="L114" s="485"/>
    </row>
    <row r="115" spans="1:17" ht="19.5" thickTop="1" thickBot="1">
      <c r="B115" s="480"/>
      <c r="C115" s="469" t="s">
        <v>293</v>
      </c>
      <c r="D115" s="470"/>
      <c r="E115" s="84">
        <f>المهني!LE51</f>
        <v>0</v>
      </c>
      <c r="F115" s="84">
        <f>المهني!LF51</f>
        <v>0</v>
      </c>
      <c r="G115" s="84">
        <f t="shared" si="4"/>
        <v>0</v>
      </c>
      <c r="I115" s="469" t="s">
        <v>25</v>
      </c>
      <c r="J115" s="470"/>
      <c r="K115" s="484">
        <f>K114+K113</f>
        <v>0</v>
      </c>
      <c r="L115" s="485"/>
    </row>
    <row r="116" spans="1:17" ht="19.5" thickTop="1" thickBot="1">
      <c r="B116" s="480"/>
      <c r="C116" s="469" t="s">
        <v>294</v>
      </c>
      <c r="D116" s="470"/>
      <c r="E116" s="84">
        <f>المهني!LG51</f>
        <v>0</v>
      </c>
      <c r="F116" s="84">
        <f>المهني!LH51</f>
        <v>0</v>
      </c>
      <c r="G116" s="84">
        <f t="shared" si="4"/>
        <v>0</v>
      </c>
      <c r="I116" s="70" t="s">
        <v>451</v>
      </c>
    </row>
    <row r="117" spans="1:17" ht="19.5" thickTop="1" thickBot="1">
      <c r="B117" s="480"/>
      <c r="C117" s="469" t="s">
        <v>295</v>
      </c>
      <c r="D117" s="470"/>
      <c r="E117" s="84">
        <f>المهني!LI51</f>
        <v>0</v>
      </c>
      <c r="F117" s="84">
        <f>المهني!LJ51</f>
        <v>0</v>
      </c>
      <c r="G117" s="84">
        <f t="shared" si="4"/>
        <v>0</v>
      </c>
      <c r="I117" s="469" t="s">
        <v>115</v>
      </c>
      <c r="J117" s="470"/>
      <c r="K117" s="469" t="s">
        <v>452</v>
      </c>
      <c r="L117" s="470"/>
      <c r="M117" s="71"/>
      <c r="N117" s="71"/>
    </row>
    <row r="118" spans="1:17" ht="19.5" thickTop="1" thickBot="1">
      <c r="B118" s="480"/>
      <c r="C118" s="469" t="s">
        <v>296</v>
      </c>
      <c r="D118" s="470"/>
      <c r="E118" s="85"/>
      <c r="F118" s="84">
        <f>المهني!LL51</f>
        <v>0</v>
      </c>
      <c r="G118" s="84">
        <f t="shared" si="4"/>
        <v>0</v>
      </c>
      <c r="I118" s="469" t="s">
        <v>123</v>
      </c>
      <c r="J118" s="470"/>
      <c r="K118" s="484">
        <f>المهني!SO121</f>
        <v>0</v>
      </c>
      <c r="L118" s="485"/>
      <c r="M118" s="71"/>
      <c r="N118" s="71"/>
    </row>
    <row r="119" spans="1:17" ht="19.5" thickTop="1" thickBot="1">
      <c r="B119" s="480"/>
      <c r="C119" s="469" t="s">
        <v>441</v>
      </c>
      <c r="D119" s="470"/>
      <c r="E119" s="84">
        <f>المهني!LM51</f>
        <v>0</v>
      </c>
      <c r="F119" s="84">
        <f>المهني!LN51</f>
        <v>0</v>
      </c>
      <c r="G119" s="84">
        <f t="shared" si="4"/>
        <v>0</v>
      </c>
      <c r="I119" s="469" t="s">
        <v>124</v>
      </c>
      <c r="J119" s="470"/>
      <c r="K119" s="484"/>
      <c r="L119" s="485"/>
      <c r="M119" s="71"/>
      <c r="N119" s="71"/>
    </row>
    <row r="120" spans="1:17" ht="19.5" thickTop="1" thickBot="1">
      <c r="B120" s="480"/>
      <c r="C120" s="469" t="s">
        <v>570</v>
      </c>
      <c r="D120" s="470"/>
      <c r="E120" s="84">
        <f>المهني!LO51</f>
        <v>0</v>
      </c>
      <c r="F120" s="84">
        <f>المهني!LP51</f>
        <v>0</v>
      </c>
      <c r="G120" s="84">
        <f t="shared" si="4"/>
        <v>0</v>
      </c>
      <c r="I120" s="469" t="s">
        <v>125</v>
      </c>
      <c r="J120" s="470"/>
      <c r="K120" s="484"/>
      <c r="L120" s="485"/>
      <c r="M120" s="71"/>
      <c r="N120" s="71"/>
    </row>
    <row r="121" spans="1:17" ht="19.5" thickTop="1" thickBot="1">
      <c r="B121" s="481"/>
      <c r="C121" s="469"/>
      <c r="D121" s="470"/>
      <c r="E121" s="84"/>
      <c r="F121" s="84"/>
      <c r="G121" s="84"/>
      <c r="I121" s="469" t="s">
        <v>216</v>
      </c>
      <c r="J121" s="470"/>
      <c r="K121" s="484"/>
      <c r="L121" s="485"/>
      <c r="M121" s="71"/>
      <c r="N121" s="71"/>
    </row>
    <row r="122" spans="1:17" ht="19.5" customHeight="1" thickTop="1" thickBot="1">
      <c r="B122" s="469" t="s">
        <v>139</v>
      </c>
      <c r="C122" s="476"/>
      <c r="D122" s="470"/>
      <c r="E122" s="84">
        <f>SUM(E112:E121)</f>
        <v>1</v>
      </c>
      <c r="F122" s="84">
        <f t="shared" ref="F122:G122" si="5">SUM(F112:F121)</f>
        <v>0</v>
      </c>
      <c r="G122" s="84">
        <f t="shared" si="5"/>
        <v>1</v>
      </c>
      <c r="I122" s="469" t="s">
        <v>397</v>
      </c>
      <c r="J122" s="470"/>
      <c r="K122" s="469"/>
      <c r="L122" s="470"/>
      <c r="M122" s="71"/>
      <c r="N122" s="71"/>
    </row>
    <row r="123" spans="1:17" ht="16.5" thickTop="1" thickBot="1">
      <c r="I123" s="469" t="s">
        <v>526</v>
      </c>
      <c r="J123" s="470"/>
      <c r="K123" s="469"/>
      <c r="L123" s="470"/>
      <c r="M123" s="71"/>
      <c r="N123" s="71"/>
    </row>
    <row r="124" spans="1:17" ht="16.5" thickTop="1" thickBot="1">
      <c r="I124" s="469" t="s">
        <v>527</v>
      </c>
      <c r="J124" s="470"/>
      <c r="K124" s="469"/>
      <c r="L124" s="470"/>
      <c r="M124" s="71"/>
      <c r="N124" s="71"/>
    </row>
    <row r="125" spans="1:17" ht="19.5" thickTop="1" thickBot="1">
      <c r="I125" s="469" t="s">
        <v>25</v>
      </c>
      <c r="J125" s="470"/>
      <c r="K125" s="484">
        <f>K120+K121+K122+K123+K124+K119+K118</f>
        <v>0</v>
      </c>
      <c r="L125" s="485"/>
      <c r="M125" s="71"/>
      <c r="N125" s="71"/>
    </row>
    <row r="126" spans="1:17" ht="24.75" thickTop="1" thickBot="1">
      <c r="B126" s="68" t="s">
        <v>456</v>
      </c>
    </row>
    <row r="127" spans="1:17" ht="19.5" customHeight="1" thickTop="1" thickBot="1">
      <c r="A127" s="70"/>
      <c r="B127" s="486" t="s">
        <v>442</v>
      </c>
      <c r="C127" s="487"/>
      <c r="D127" s="488" t="s">
        <v>443</v>
      </c>
      <c r="E127" s="489"/>
      <c r="F127" s="486" t="s">
        <v>444</v>
      </c>
      <c r="G127" s="487"/>
      <c r="H127" s="486" t="s">
        <v>484</v>
      </c>
      <c r="I127" s="487"/>
      <c r="J127" s="486" t="s">
        <v>445</v>
      </c>
      <c r="K127" s="490"/>
      <c r="L127" s="487"/>
      <c r="M127" s="70"/>
      <c r="N127" s="70"/>
      <c r="O127" s="70"/>
      <c r="P127" s="70"/>
      <c r="Q127" s="70"/>
    </row>
    <row r="128" spans="1:17" ht="19.5" thickTop="1" thickBot="1">
      <c r="A128" s="70"/>
      <c r="B128" s="83" t="s">
        <v>73</v>
      </c>
      <c r="C128" s="83" t="s">
        <v>29</v>
      </c>
      <c r="D128" s="83" t="s">
        <v>73</v>
      </c>
      <c r="E128" s="83" t="s">
        <v>29</v>
      </c>
      <c r="F128" s="83" t="s">
        <v>73</v>
      </c>
      <c r="G128" s="83" t="s">
        <v>29</v>
      </c>
      <c r="H128" s="83" t="s">
        <v>73</v>
      </c>
      <c r="I128" s="83" t="s">
        <v>29</v>
      </c>
      <c r="J128" s="83" t="s">
        <v>73</v>
      </c>
      <c r="K128" s="83" t="s">
        <v>29</v>
      </c>
      <c r="L128" s="83" t="s">
        <v>25</v>
      </c>
      <c r="M128" s="70"/>
      <c r="N128" s="70"/>
      <c r="O128" s="70"/>
      <c r="P128" s="70"/>
      <c r="Q128" s="70"/>
    </row>
    <row r="129" spans="1:17" ht="19.5" thickTop="1" thickBot="1">
      <c r="A129" s="70"/>
      <c r="B129" s="83">
        <f>المهني!LT51</f>
        <v>0</v>
      </c>
      <c r="C129" s="83">
        <f>المهني!LU51</f>
        <v>0</v>
      </c>
      <c r="D129" s="83">
        <f>المهني!LV51</f>
        <v>0</v>
      </c>
      <c r="E129" s="83">
        <f>المهني!LW51</f>
        <v>0</v>
      </c>
      <c r="F129" s="83">
        <f>المهني!LX51</f>
        <v>0</v>
      </c>
      <c r="G129" s="83">
        <f>المهني!LY51</f>
        <v>0</v>
      </c>
      <c r="H129" s="83">
        <f>المهني!LZ51</f>
        <v>1</v>
      </c>
      <c r="I129" s="83">
        <f>المهني!MA51</f>
        <v>0</v>
      </c>
      <c r="J129" s="83">
        <f>F129+D129+B129+H129</f>
        <v>1</v>
      </c>
      <c r="K129" s="83">
        <f>G129+E129+C129+I129</f>
        <v>0</v>
      </c>
      <c r="L129" s="83">
        <f>SUM(J129:K129)</f>
        <v>1</v>
      </c>
      <c r="M129" s="70"/>
      <c r="N129" s="70"/>
      <c r="O129" s="70"/>
      <c r="P129" s="70"/>
      <c r="Q129" s="70"/>
    </row>
    <row r="130" spans="1:17" ht="15" thickTop="1"/>
    <row r="131" spans="1:17" ht="24" thickBot="1">
      <c r="B131" s="68" t="s">
        <v>457</v>
      </c>
    </row>
    <row r="132" spans="1:17" ht="19.5" customHeight="1" thickTop="1" thickBot="1">
      <c r="A132" s="70"/>
      <c r="B132" s="486" t="s">
        <v>446</v>
      </c>
      <c r="C132" s="487"/>
      <c r="D132" s="488" t="s">
        <v>447</v>
      </c>
      <c r="E132" s="489"/>
      <c r="F132" s="486" t="s">
        <v>448</v>
      </c>
      <c r="G132" s="487"/>
      <c r="H132" s="188" t="s">
        <v>449</v>
      </c>
      <c r="I132" s="189"/>
      <c r="J132" s="486" t="s">
        <v>528</v>
      </c>
      <c r="K132" s="487"/>
      <c r="L132" s="188" t="s">
        <v>25</v>
      </c>
      <c r="M132" s="190"/>
      <c r="N132" s="189"/>
      <c r="O132" s="70"/>
      <c r="P132" s="70"/>
      <c r="Q132" s="70"/>
    </row>
    <row r="133" spans="1:17" ht="19.5" thickTop="1" thickBot="1">
      <c r="A133" s="70"/>
      <c r="B133" s="83" t="s">
        <v>73</v>
      </c>
      <c r="C133" s="83" t="s">
        <v>29</v>
      </c>
      <c r="D133" s="83" t="s">
        <v>73</v>
      </c>
      <c r="E133" s="83" t="s">
        <v>29</v>
      </c>
      <c r="F133" s="83" t="s">
        <v>73</v>
      </c>
      <c r="G133" s="83" t="s">
        <v>29</v>
      </c>
      <c r="H133" s="83" t="s">
        <v>73</v>
      </c>
      <c r="I133" s="83" t="s">
        <v>29</v>
      </c>
      <c r="J133" s="83" t="s">
        <v>73</v>
      </c>
      <c r="K133" s="83" t="s">
        <v>29</v>
      </c>
      <c r="L133" s="83" t="s">
        <v>73</v>
      </c>
      <c r="M133" s="83" t="s">
        <v>29</v>
      </c>
      <c r="N133" s="83" t="s">
        <v>25</v>
      </c>
      <c r="O133" s="70"/>
      <c r="P133" s="70"/>
      <c r="Q133" s="70"/>
    </row>
    <row r="134" spans="1:17" ht="19.5" thickTop="1" thickBot="1">
      <c r="A134" s="70"/>
      <c r="B134" s="83">
        <f>المهني!ME51</f>
        <v>0</v>
      </c>
      <c r="C134" s="83">
        <f>المهني!MF51</f>
        <v>0</v>
      </c>
      <c r="D134" s="83">
        <f>المهني!MG51</f>
        <v>0</v>
      </c>
      <c r="E134" s="83">
        <f>المهني!MH51</f>
        <v>0</v>
      </c>
      <c r="F134" s="83">
        <f>المهني!MI51</f>
        <v>1</v>
      </c>
      <c r="G134" s="83">
        <f>المهني!MJ51</f>
        <v>0</v>
      </c>
      <c r="H134" s="83">
        <f>المهني!MK51</f>
        <v>0</v>
      </c>
      <c r="I134" s="83">
        <f>المهني!ML51</f>
        <v>0</v>
      </c>
      <c r="J134" s="83">
        <f>المهني!MM51</f>
        <v>0</v>
      </c>
      <c r="K134" s="83">
        <f>المهني!MN51</f>
        <v>0</v>
      </c>
      <c r="L134" s="83">
        <f>J134+H134+F134+D134+B134</f>
        <v>1</v>
      </c>
      <c r="M134" s="83">
        <f>K134+I134+G134+E134+C134</f>
        <v>0</v>
      </c>
      <c r="N134" s="83">
        <f>SUM(L134:M134)</f>
        <v>1</v>
      </c>
      <c r="O134" s="70"/>
      <c r="P134" s="70"/>
      <c r="Q134" s="70"/>
    </row>
    <row r="135" spans="1:17" ht="24" thickTop="1">
      <c r="A135" s="61" t="s">
        <v>209</v>
      </c>
      <c r="B135" s="62"/>
      <c r="C135" s="62"/>
      <c r="D135" s="62"/>
      <c r="E135" s="62"/>
      <c r="F135" s="63"/>
      <c r="G135" s="63"/>
      <c r="H135" s="63"/>
      <c r="I135" s="63"/>
      <c r="J135" s="63"/>
      <c r="K135" s="63"/>
      <c r="L135" s="61" t="s">
        <v>191</v>
      </c>
      <c r="M135" s="62"/>
      <c r="N135" s="62"/>
      <c r="O135" s="63"/>
      <c r="P135" s="63"/>
    </row>
    <row r="136" spans="1:17" ht="23.25">
      <c r="A136" s="471" t="s">
        <v>188</v>
      </c>
      <c r="B136" s="471"/>
      <c r="C136" s="471"/>
      <c r="D136" s="471"/>
      <c r="E136" s="471"/>
      <c r="F136" s="63"/>
      <c r="G136" s="63"/>
      <c r="H136" s="63"/>
      <c r="I136" s="63"/>
      <c r="J136" s="63"/>
      <c r="K136" s="63"/>
      <c r="L136" s="61" t="s">
        <v>569</v>
      </c>
      <c r="M136" s="61"/>
      <c r="N136" s="61"/>
      <c r="O136" s="63"/>
      <c r="P136" s="63"/>
    </row>
    <row r="137" spans="1:17" ht="23.25">
      <c r="B137" s="62"/>
      <c r="C137" s="62"/>
      <c r="D137" s="62"/>
      <c r="E137" s="62"/>
      <c r="F137" s="62"/>
      <c r="G137" s="61" t="s">
        <v>425</v>
      </c>
      <c r="H137" s="62"/>
      <c r="I137" s="62"/>
      <c r="J137" s="62"/>
      <c r="K137" s="62"/>
      <c r="L137" s="62"/>
      <c r="M137" s="62"/>
      <c r="N137" s="62"/>
      <c r="O137" s="62"/>
      <c r="P137" s="62"/>
    </row>
    <row r="138" spans="1:17" ht="18">
      <c r="F138" s="61" t="s">
        <v>546</v>
      </c>
    </row>
    <row r="139" spans="1:17" ht="24" thickBot="1">
      <c r="B139" s="64" t="s">
        <v>426</v>
      </c>
      <c r="F139" s="62"/>
      <c r="K139" s="64" t="s">
        <v>427</v>
      </c>
    </row>
    <row r="140" spans="1:17" ht="76.5" thickTop="1" thickBot="1">
      <c r="B140" s="65" t="s">
        <v>309</v>
      </c>
      <c r="C140" s="65" t="s">
        <v>428</v>
      </c>
      <c r="D140" s="65" t="s">
        <v>346</v>
      </c>
      <c r="E140" s="65" t="s">
        <v>429</v>
      </c>
      <c r="F140" s="469" t="s">
        <v>430</v>
      </c>
      <c r="G140" s="476"/>
      <c r="H140" s="470"/>
      <c r="I140" s="65" t="s">
        <v>431</v>
      </c>
      <c r="K140" s="65" t="s">
        <v>432</v>
      </c>
      <c r="L140" s="65" t="s">
        <v>433</v>
      </c>
      <c r="M140" s="65" t="s">
        <v>434</v>
      </c>
      <c r="N140" s="65" t="s">
        <v>435</v>
      </c>
    </row>
    <row r="141" spans="1:17" ht="16.5" customHeight="1" thickTop="1" thickBot="1">
      <c r="B141" s="472">
        <f>المهني!OI47</f>
        <v>0</v>
      </c>
      <c r="C141" s="472">
        <f>المهني!OJ47</f>
        <v>1</v>
      </c>
      <c r="D141" s="472">
        <f>المهني!OK47</f>
        <v>1</v>
      </c>
      <c r="E141" s="472">
        <f>المهني!OL47</f>
        <v>0</v>
      </c>
      <c r="F141" s="65" t="s">
        <v>436</v>
      </c>
      <c r="G141" s="65" t="s">
        <v>437</v>
      </c>
      <c r="H141" s="65" t="s">
        <v>438</v>
      </c>
      <c r="I141" s="482">
        <v>0</v>
      </c>
      <c r="K141" s="472">
        <f>المهني!Q47</f>
        <v>1</v>
      </c>
      <c r="L141" s="472">
        <f>المهني!R85</f>
        <v>0</v>
      </c>
      <c r="M141" s="472">
        <f>المهني!S85</f>
        <v>0</v>
      </c>
      <c r="N141" s="472">
        <f>المهني!T85</f>
        <v>0</v>
      </c>
    </row>
    <row r="142" spans="1:17" ht="21.75" thickTop="1" thickBot="1">
      <c r="B142" s="473"/>
      <c r="C142" s="473"/>
      <c r="D142" s="473"/>
      <c r="E142" s="473"/>
      <c r="F142" s="66">
        <f>المهني!OT47</f>
        <v>0</v>
      </c>
      <c r="G142" s="66">
        <v>0</v>
      </c>
      <c r="H142" s="66">
        <f>المهني!OV47</f>
        <v>0</v>
      </c>
      <c r="I142" s="483"/>
      <c r="K142" s="473"/>
      <c r="L142" s="473"/>
      <c r="M142" s="473"/>
      <c r="N142" s="473"/>
    </row>
    <row r="143" spans="1:17" ht="15" thickTop="1"/>
    <row r="144" spans="1:17" ht="24" thickBot="1">
      <c r="B144" s="64" t="s">
        <v>454</v>
      </c>
      <c r="I144" s="64" t="s">
        <v>455</v>
      </c>
    </row>
    <row r="145" spans="2:14" ht="16.5" customHeight="1" thickTop="1" thickBot="1">
      <c r="B145" s="469" t="s">
        <v>439</v>
      </c>
      <c r="C145" s="476"/>
      <c r="D145" s="470"/>
      <c r="E145" s="65" t="s">
        <v>73</v>
      </c>
      <c r="F145" s="65" t="s">
        <v>29</v>
      </c>
      <c r="G145" s="65" t="s">
        <v>25</v>
      </c>
    </row>
    <row r="146" spans="2:14" ht="19.5" customHeight="1" thickTop="1" thickBot="1">
      <c r="B146" s="469" t="s">
        <v>92</v>
      </c>
      <c r="C146" s="476"/>
      <c r="D146" s="470"/>
      <c r="E146" s="84">
        <f>المهني!KY47</f>
        <v>1</v>
      </c>
      <c r="F146" s="84">
        <f>المهني!KZ47</f>
        <v>0</v>
      </c>
      <c r="G146" s="84">
        <f>SUM(E146:F146)</f>
        <v>1</v>
      </c>
      <c r="I146" s="469" t="s">
        <v>225</v>
      </c>
      <c r="J146" s="470"/>
      <c r="K146" s="469" t="s">
        <v>453</v>
      </c>
      <c r="L146" s="470"/>
    </row>
    <row r="147" spans="2:14" ht="19.5" thickTop="1" thickBot="1">
      <c r="B147" s="479" t="s">
        <v>93</v>
      </c>
      <c r="C147" s="469" t="s">
        <v>440</v>
      </c>
      <c r="D147" s="470"/>
      <c r="E147" s="84">
        <f>المهني!LA47</f>
        <v>0</v>
      </c>
      <c r="F147" s="84">
        <f>المهني!LB47</f>
        <v>0</v>
      </c>
      <c r="G147" s="84">
        <f t="shared" ref="G147:G154" si="6">SUM(E147:F147)</f>
        <v>0</v>
      </c>
      <c r="I147" s="469" t="s">
        <v>73</v>
      </c>
      <c r="J147" s="470"/>
      <c r="K147" s="484">
        <f>المهني!NC47</f>
        <v>0</v>
      </c>
      <c r="L147" s="485"/>
    </row>
    <row r="148" spans="2:14" ht="19.5" thickTop="1" thickBot="1">
      <c r="B148" s="480"/>
      <c r="C148" s="469" t="s">
        <v>292</v>
      </c>
      <c r="D148" s="470"/>
      <c r="E148" s="84">
        <f>المهني!LC47</f>
        <v>0</v>
      </c>
      <c r="F148" s="84">
        <f>المهني!LD47</f>
        <v>0</v>
      </c>
      <c r="G148" s="84">
        <f t="shared" si="6"/>
        <v>0</v>
      </c>
      <c r="I148" s="469" t="s">
        <v>29</v>
      </c>
      <c r="J148" s="470"/>
      <c r="K148" s="484">
        <f>المهني!ND47</f>
        <v>0</v>
      </c>
      <c r="L148" s="485"/>
    </row>
    <row r="149" spans="2:14" ht="19.5" thickTop="1" thickBot="1">
      <c r="B149" s="480"/>
      <c r="C149" s="469" t="s">
        <v>293</v>
      </c>
      <c r="D149" s="470"/>
      <c r="E149" s="84">
        <f>المهني!LE47</f>
        <v>0</v>
      </c>
      <c r="F149" s="84">
        <f>المهني!LF47</f>
        <v>0</v>
      </c>
      <c r="G149" s="84">
        <f t="shared" si="6"/>
        <v>0</v>
      </c>
      <c r="I149" s="469" t="s">
        <v>25</v>
      </c>
      <c r="J149" s="470"/>
      <c r="K149" s="484">
        <f>K148+K147</f>
        <v>0</v>
      </c>
      <c r="L149" s="485"/>
    </row>
    <row r="150" spans="2:14" ht="19.5" thickTop="1" thickBot="1">
      <c r="B150" s="480"/>
      <c r="C150" s="469" t="s">
        <v>294</v>
      </c>
      <c r="D150" s="470"/>
      <c r="E150" s="84">
        <f>المهني!LG47</f>
        <v>0</v>
      </c>
      <c r="F150" s="84">
        <f>المهني!LH47</f>
        <v>0</v>
      </c>
      <c r="G150" s="84">
        <f t="shared" si="6"/>
        <v>0</v>
      </c>
      <c r="I150" s="70" t="s">
        <v>451</v>
      </c>
    </row>
    <row r="151" spans="2:14" ht="19.5" thickTop="1" thickBot="1">
      <c r="B151" s="480"/>
      <c r="C151" s="469" t="s">
        <v>295</v>
      </c>
      <c r="D151" s="470"/>
      <c r="E151" s="84">
        <f>المهني!LI47</f>
        <v>0</v>
      </c>
      <c r="F151" s="84">
        <f>المهني!LJ47</f>
        <v>0</v>
      </c>
      <c r="G151" s="84">
        <f t="shared" si="6"/>
        <v>0</v>
      </c>
      <c r="I151" s="469" t="s">
        <v>115</v>
      </c>
      <c r="J151" s="470"/>
      <c r="K151" s="469" t="s">
        <v>452</v>
      </c>
      <c r="L151" s="470"/>
      <c r="M151" s="71"/>
      <c r="N151" s="71"/>
    </row>
    <row r="152" spans="2:14" ht="19.5" thickTop="1" thickBot="1">
      <c r="B152" s="480"/>
      <c r="C152" s="469" t="s">
        <v>296</v>
      </c>
      <c r="D152" s="470"/>
      <c r="E152" s="85"/>
      <c r="F152" s="84">
        <f>المهني!LL85</f>
        <v>0</v>
      </c>
      <c r="G152" s="84">
        <f t="shared" si="6"/>
        <v>0</v>
      </c>
      <c r="I152" s="469" t="s">
        <v>123</v>
      </c>
      <c r="J152" s="470"/>
      <c r="K152" s="484"/>
      <c r="L152" s="485"/>
      <c r="M152" s="71"/>
      <c r="N152" s="71"/>
    </row>
    <row r="153" spans="2:14" ht="19.5" thickTop="1" thickBot="1">
      <c r="B153" s="480"/>
      <c r="C153" s="469" t="s">
        <v>441</v>
      </c>
      <c r="D153" s="470"/>
      <c r="E153" s="84">
        <f>المهني!LM47</f>
        <v>0</v>
      </c>
      <c r="F153" s="84">
        <f>المهني!LN47</f>
        <v>0</v>
      </c>
      <c r="G153" s="84">
        <f t="shared" si="6"/>
        <v>0</v>
      </c>
      <c r="I153" s="469" t="s">
        <v>124</v>
      </c>
      <c r="J153" s="470"/>
      <c r="K153" s="484"/>
      <c r="L153" s="485"/>
      <c r="M153" s="71"/>
      <c r="N153" s="71"/>
    </row>
    <row r="154" spans="2:14" ht="19.5" thickTop="1" thickBot="1">
      <c r="B154" s="480"/>
      <c r="C154" s="469" t="s">
        <v>570</v>
      </c>
      <c r="D154" s="470"/>
      <c r="E154" s="84">
        <f>المهني!LO47</f>
        <v>0</v>
      </c>
      <c r="F154" s="84">
        <f>المهني!LP47</f>
        <v>0</v>
      </c>
      <c r="G154" s="84">
        <f t="shared" si="6"/>
        <v>0</v>
      </c>
      <c r="I154" s="469" t="s">
        <v>125</v>
      </c>
      <c r="J154" s="470"/>
      <c r="K154" s="484"/>
      <c r="L154" s="485"/>
      <c r="M154" s="71"/>
      <c r="N154" s="71"/>
    </row>
    <row r="155" spans="2:14" ht="19.5" thickTop="1" thickBot="1">
      <c r="B155" s="481"/>
      <c r="C155" s="469"/>
      <c r="D155" s="470"/>
      <c r="E155" s="84"/>
      <c r="F155" s="84"/>
      <c r="G155" s="84"/>
      <c r="I155" s="469" t="s">
        <v>216</v>
      </c>
      <c r="J155" s="470"/>
      <c r="K155" s="484"/>
      <c r="L155" s="485"/>
      <c r="M155" s="71"/>
      <c r="N155" s="71"/>
    </row>
    <row r="156" spans="2:14" ht="19.5" customHeight="1" thickTop="1" thickBot="1">
      <c r="B156" s="469" t="s">
        <v>139</v>
      </c>
      <c r="C156" s="476"/>
      <c r="D156" s="470"/>
      <c r="E156" s="84">
        <f>SUM(E146:E155)</f>
        <v>1</v>
      </c>
      <c r="F156" s="84">
        <f t="shared" ref="F156:G156" si="7">SUM(F146:F155)</f>
        <v>0</v>
      </c>
      <c r="G156" s="84">
        <f t="shared" si="7"/>
        <v>1</v>
      </c>
      <c r="I156" s="469" t="s">
        <v>397</v>
      </c>
      <c r="J156" s="470"/>
      <c r="K156" s="469"/>
      <c r="L156" s="470"/>
      <c r="M156" s="71"/>
      <c r="N156" s="71"/>
    </row>
    <row r="157" spans="2:14" ht="16.5" thickTop="1" thickBot="1">
      <c r="I157" s="469" t="s">
        <v>526</v>
      </c>
      <c r="J157" s="470"/>
      <c r="K157" s="469"/>
      <c r="L157" s="470"/>
      <c r="M157" s="71"/>
      <c r="N157" s="71"/>
    </row>
    <row r="158" spans="2:14" ht="16.5" thickTop="1" thickBot="1">
      <c r="I158" s="469" t="s">
        <v>527</v>
      </c>
      <c r="J158" s="470"/>
      <c r="K158" s="469"/>
      <c r="L158" s="470"/>
      <c r="M158" s="71"/>
      <c r="N158" s="71"/>
    </row>
    <row r="159" spans="2:14" ht="19.5" thickTop="1" thickBot="1">
      <c r="I159" s="469" t="s">
        <v>25</v>
      </c>
      <c r="J159" s="470"/>
      <c r="K159" s="484">
        <f>K154+K155+K156+K157+K158+K153+K152</f>
        <v>0</v>
      </c>
      <c r="L159" s="485"/>
      <c r="M159" s="71"/>
      <c r="N159" s="71"/>
    </row>
    <row r="160" spans="2:14" ht="24.75" thickTop="1" thickBot="1">
      <c r="B160" s="68" t="s">
        <v>456</v>
      </c>
    </row>
    <row r="161" spans="1:17" ht="19.5" customHeight="1" thickTop="1" thickBot="1">
      <c r="A161" s="70"/>
      <c r="B161" s="486" t="s">
        <v>442</v>
      </c>
      <c r="C161" s="487"/>
      <c r="D161" s="488" t="s">
        <v>443</v>
      </c>
      <c r="E161" s="489"/>
      <c r="F161" s="486" t="s">
        <v>444</v>
      </c>
      <c r="G161" s="487"/>
      <c r="H161" s="486" t="s">
        <v>484</v>
      </c>
      <c r="I161" s="487"/>
      <c r="J161" s="486" t="s">
        <v>445</v>
      </c>
      <c r="K161" s="490"/>
      <c r="L161" s="487"/>
      <c r="M161" s="70"/>
      <c r="N161" s="70"/>
      <c r="O161" s="70"/>
      <c r="P161" s="70"/>
      <c r="Q161" s="70"/>
    </row>
    <row r="162" spans="1:17" ht="19.5" thickTop="1" thickBot="1">
      <c r="A162" s="70"/>
      <c r="B162" s="83" t="s">
        <v>73</v>
      </c>
      <c r="C162" s="83" t="s">
        <v>29</v>
      </c>
      <c r="D162" s="83" t="s">
        <v>73</v>
      </c>
      <c r="E162" s="83" t="s">
        <v>29</v>
      </c>
      <c r="F162" s="83" t="s">
        <v>73</v>
      </c>
      <c r="G162" s="83" t="s">
        <v>29</v>
      </c>
      <c r="H162" s="83" t="s">
        <v>73</v>
      </c>
      <c r="I162" s="83" t="s">
        <v>29</v>
      </c>
      <c r="J162" s="83" t="s">
        <v>73</v>
      </c>
      <c r="K162" s="83" t="s">
        <v>29</v>
      </c>
      <c r="L162" s="83" t="s">
        <v>25</v>
      </c>
      <c r="M162" s="70"/>
      <c r="N162" s="70"/>
      <c r="O162" s="70"/>
      <c r="P162" s="70"/>
      <c r="Q162" s="70"/>
    </row>
    <row r="163" spans="1:17" ht="19.5" thickTop="1" thickBot="1">
      <c r="A163" s="70"/>
      <c r="B163" s="83">
        <f>المهني!LT47</f>
        <v>0</v>
      </c>
      <c r="C163" s="83">
        <f>المهني!LU47</f>
        <v>0</v>
      </c>
      <c r="D163" s="83">
        <f>المهني!LV47</f>
        <v>0</v>
      </c>
      <c r="E163" s="83">
        <f>المهني!LW47</f>
        <v>0</v>
      </c>
      <c r="F163" s="83">
        <f>المهني!LX47</f>
        <v>0</v>
      </c>
      <c r="G163" s="83">
        <f>المهني!LY47</f>
        <v>0</v>
      </c>
      <c r="H163" s="83">
        <f>المهني!LZ47</f>
        <v>1</v>
      </c>
      <c r="I163" s="83">
        <f>المهني!MA47</f>
        <v>0</v>
      </c>
      <c r="J163" s="83">
        <f>F163+D163+B163+H163</f>
        <v>1</v>
      </c>
      <c r="K163" s="83">
        <f>G163+E163+C163+I163</f>
        <v>0</v>
      </c>
      <c r="L163" s="83">
        <f>SUM(J163:K163)</f>
        <v>1</v>
      </c>
      <c r="M163" s="70"/>
      <c r="N163" s="70"/>
      <c r="O163" s="70"/>
      <c r="P163" s="70"/>
      <c r="Q163" s="70"/>
    </row>
    <row r="164" spans="1:17" ht="15" thickTop="1"/>
    <row r="165" spans="1:17" ht="24" thickBot="1">
      <c r="B165" s="68" t="s">
        <v>457</v>
      </c>
    </row>
    <row r="166" spans="1:17" ht="19.5" customHeight="1" thickTop="1" thickBot="1">
      <c r="A166" s="70"/>
      <c r="B166" s="486" t="s">
        <v>446</v>
      </c>
      <c r="C166" s="487"/>
      <c r="D166" s="488" t="s">
        <v>447</v>
      </c>
      <c r="E166" s="489"/>
      <c r="F166" s="486" t="s">
        <v>448</v>
      </c>
      <c r="G166" s="487"/>
      <c r="H166" s="212" t="s">
        <v>449</v>
      </c>
      <c r="I166" s="213"/>
      <c r="J166" s="486" t="s">
        <v>528</v>
      </c>
      <c r="K166" s="487"/>
      <c r="L166" s="212" t="s">
        <v>25</v>
      </c>
      <c r="M166" s="214"/>
      <c r="N166" s="213"/>
      <c r="O166" s="70"/>
      <c r="P166" s="70"/>
      <c r="Q166" s="70"/>
    </row>
    <row r="167" spans="1:17" ht="19.5" thickTop="1" thickBot="1">
      <c r="A167" s="70"/>
      <c r="B167" s="83" t="s">
        <v>73</v>
      </c>
      <c r="C167" s="83" t="s">
        <v>29</v>
      </c>
      <c r="D167" s="83" t="s">
        <v>73</v>
      </c>
      <c r="E167" s="83" t="s">
        <v>29</v>
      </c>
      <c r="F167" s="83" t="s">
        <v>73</v>
      </c>
      <c r="G167" s="83" t="s">
        <v>29</v>
      </c>
      <c r="H167" s="83" t="s">
        <v>73</v>
      </c>
      <c r="I167" s="83" t="s">
        <v>29</v>
      </c>
      <c r="J167" s="83" t="s">
        <v>73</v>
      </c>
      <c r="K167" s="83" t="s">
        <v>29</v>
      </c>
      <c r="L167" s="83" t="s">
        <v>73</v>
      </c>
      <c r="M167" s="83" t="s">
        <v>29</v>
      </c>
      <c r="N167" s="83" t="s">
        <v>25</v>
      </c>
      <c r="O167" s="70"/>
      <c r="P167" s="70"/>
      <c r="Q167" s="70"/>
    </row>
    <row r="168" spans="1:17" ht="19.5" thickTop="1" thickBot="1">
      <c r="A168" s="70"/>
      <c r="B168" s="83">
        <f>المهني!ME47</f>
        <v>0</v>
      </c>
      <c r="C168" s="83">
        <f>المهني!MF47</f>
        <v>0</v>
      </c>
      <c r="D168" s="83">
        <f>المهني!MG47</f>
        <v>0</v>
      </c>
      <c r="E168" s="83">
        <f>المهني!MH47</f>
        <v>0</v>
      </c>
      <c r="F168" s="83">
        <f>المهني!MI47</f>
        <v>1</v>
      </c>
      <c r="G168" s="83">
        <f>المهني!MJ47</f>
        <v>0</v>
      </c>
      <c r="H168" s="83">
        <f>المهني!MK47</f>
        <v>0</v>
      </c>
      <c r="I168" s="83">
        <f>المهني!ML47</f>
        <v>0</v>
      </c>
      <c r="J168" s="83">
        <f>المهني!MM47</f>
        <v>0</v>
      </c>
      <c r="K168" s="83">
        <f>المهني!MN47</f>
        <v>0</v>
      </c>
      <c r="L168" s="83">
        <f>J168+H168+F168+D168+B168</f>
        <v>1</v>
      </c>
      <c r="M168" s="83">
        <f>K168+I168+G168+E168+C168</f>
        <v>0</v>
      </c>
      <c r="N168" s="83">
        <f>SUM(L168:M168)</f>
        <v>1</v>
      </c>
      <c r="O168" s="70"/>
      <c r="P168" s="70"/>
      <c r="Q168" s="70"/>
    </row>
    <row r="169" spans="1:17" ht="15" thickTop="1"/>
  </sheetData>
  <mergeCells count="291">
    <mergeCell ref="B166:C166"/>
    <mergeCell ref="D166:E166"/>
    <mergeCell ref="F166:G166"/>
    <mergeCell ref="J166:K166"/>
    <mergeCell ref="B161:C161"/>
    <mergeCell ref="B132:C132"/>
    <mergeCell ref="B127:C127"/>
    <mergeCell ref="B98:C98"/>
    <mergeCell ref="B93:C93"/>
    <mergeCell ref="H93:I93"/>
    <mergeCell ref="H127:I127"/>
    <mergeCell ref="H161:I161"/>
    <mergeCell ref="I157:J157"/>
    <mergeCell ref="K157:L157"/>
    <mergeCell ref="I158:J158"/>
    <mergeCell ref="K158:L158"/>
    <mergeCell ref="I159:J159"/>
    <mergeCell ref="K159:L159"/>
    <mergeCell ref="D161:E161"/>
    <mergeCell ref="F161:G161"/>
    <mergeCell ref="J161:L161"/>
    <mergeCell ref="C154:D154"/>
    <mergeCell ref="I154:J154"/>
    <mergeCell ref="K154:L154"/>
    <mergeCell ref="C155:D155"/>
    <mergeCell ref="I155:J155"/>
    <mergeCell ref="K155:L155"/>
    <mergeCell ref="B156:D156"/>
    <mergeCell ref="I156:J156"/>
    <mergeCell ref="K156:L156"/>
    <mergeCell ref="B145:D145"/>
    <mergeCell ref="B146:D146"/>
    <mergeCell ref="I146:J146"/>
    <mergeCell ref="K146:L146"/>
    <mergeCell ref="B147:B155"/>
    <mergeCell ref="C147:D147"/>
    <mergeCell ref="I147:J147"/>
    <mergeCell ref="K147:L147"/>
    <mergeCell ref="C148:D148"/>
    <mergeCell ref="I148:J148"/>
    <mergeCell ref="K148:L148"/>
    <mergeCell ref="C149:D149"/>
    <mergeCell ref="I149:J149"/>
    <mergeCell ref="K149:L149"/>
    <mergeCell ref="C150:D150"/>
    <mergeCell ref="C151:D151"/>
    <mergeCell ref="I151:J151"/>
    <mergeCell ref="K151:L151"/>
    <mergeCell ref="C152:D152"/>
    <mergeCell ref="I152:J152"/>
    <mergeCell ref="K152:L152"/>
    <mergeCell ref="C153:D153"/>
    <mergeCell ref="I153:J153"/>
    <mergeCell ref="K153:L153"/>
    <mergeCell ref="A136:E136"/>
    <mergeCell ref="F140:H140"/>
    <mergeCell ref="B141:B142"/>
    <mergeCell ref="C141:C142"/>
    <mergeCell ref="D141:D142"/>
    <mergeCell ref="E141:E142"/>
    <mergeCell ref="I141:I142"/>
    <mergeCell ref="K141:K142"/>
    <mergeCell ref="L141:L142"/>
    <mergeCell ref="M141:M142"/>
    <mergeCell ref="N141:N142"/>
    <mergeCell ref="I123:J123"/>
    <mergeCell ref="K123:L123"/>
    <mergeCell ref="D127:E127"/>
    <mergeCell ref="F127:G127"/>
    <mergeCell ref="J127:L127"/>
    <mergeCell ref="D132:E132"/>
    <mergeCell ref="F132:G132"/>
    <mergeCell ref="J132:K132"/>
    <mergeCell ref="I124:J124"/>
    <mergeCell ref="K124:L124"/>
    <mergeCell ref="I125:J125"/>
    <mergeCell ref="K125:L125"/>
    <mergeCell ref="C120:D120"/>
    <mergeCell ref="I120:J120"/>
    <mergeCell ref="K120:L120"/>
    <mergeCell ref="C121:D121"/>
    <mergeCell ref="I121:J121"/>
    <mergeCell ref="K121:L121"/>
    <mergeCell ref="B122:D122"/>
    <mergeCell ref="I122:J122"/>
    <mergeCell ref="K122:L122"/>
    <mergeCell ref="B111:D111"/>
    <mergeCell ref="B112:D112"/>
    <mergeCell ref="I112:J112"/>
    <mergeCell ref="K112:L112"/>
    <mergeCell ref="B113:B121"/>
    <mergeCell ref="C113:D113"/>
    <mergeCell ref="I113:J113"/>
    <mergeCell ref="K113:L113"/>
    <mergeCell ref="C114:D114"/>
    <mergeCell ref="I114:J114"/>
    <mergeCell ref="K114:L114"/>
    <mergeCell ref="C115:D115"/>
    <mergeCell ref="I115:J115"/>
    <mergeCell ref="K115:L115"/>
    <mergeCell ref="C116:D116"/>
    <mergeCell ref="C117:D117"/>
    <mergeCell ref="I117:J117"/>
    <mergeCell ref="K117:L117"/>
    <mergeCell ref="C118:D118"/>
    <mergeCell ref="I118:J118"/>
    <mergeCell ref="K118:L118"/>
    <mergeCell ref="C119:D119"/>
    <mergeCell ref="I119:J119"/>
    <mergeCell ref="K119:L119"/>
    <mergeCell ref="A102:E102"/>
    <mergeCell ref="L102:N102"/>
    <mergeCell ref="F106:H106"/>
    <mergeCell ref="B107:B108"/>
    <mergeCell ref="C107:C108"/>
    <mergeCell ref="D107:D108"/>
    <mergeCell ref="E107:E108"/>
    <mergeCell ref="I107:I108"/>
    <mergeCell ref="K107:K108"/>
    <mergeCell ref="L107:L108"/>
    <mergeCell ref="M107:M108"/>
    <mergeCell ref="N107:N108"/>
    <mergeCell ref="I89:J89"/>
    <mergeCell ref="K89:L89"/>
    <mergeCell ref="D93:E93"/>
    <mergeCell ref="F93:G93"/>
    <mergeCell ref="J93:L93"/>
    <mergeCell ref="D98:E98"/>
    <mergeCell ref="F98:G98"/>
    <mergeCell ref="J98:K98"/>
    <mergeCell ref="I90:J90"/>
    <mergeCell ref="K90:L90"/>
    <mergeCell ref="I91:J91"/>
    <mergeCell ref="K91:L91"/>
    <mergeCell ref="C86:D86"/>
    <mergeCell ref="I86:J86"/>
    <mergeCell ref="K86:L86"/>
    <mergeCell ref="C87:D87"/>
    <mergeCell ref="I87:J87"/>
    <mergeCell ref="K87:L87"/>
    <mergeCell ref="B88:D88"/>
    <mergeCell ref="I88:J88"/>
    <mergeCell ref="K88:L88"/>
    <mergeCell ref="B77:D77"/>
    <mergeCell ref="B78:D78"/>
    <mergeCell ref="I78:J78"/>
    <mergeCell ref="K78:L78"/>
    <mergeCell ref="B79:B87"/>
    <mergeCell ref="C79:D79"/>
    <mergeCell ref="I79:J79"/>
    <mergeCell ref="K79:L79"/>
    <mergeCell ref="C80:D80"/>
    <mergeCell ref="I80:J80"/>
    <mergeCell ref="K80:L80"/>
    <mergeCell ref="C81:D81"/>
    <mergeCell ref="I81:J81"/>
    <mergeCell ref="K81:L81"/>
    <mergeCell ref="C82:D82"/>
    <mergeCell ref="C83:D83"/>
    <mergeCell ref="I83:J83"/>
    <mergeCell ref="K83:L83"/>
    <mergeCell ref="C84:D84"/>
    <mergeCell ref="I84:J84"/>
    <mergeCell ref="K84:L84"/>
    <mergeCell ref="C85:D85"/>
    <mergeCell ref="I85:J85"/>
    <mergeCell ref="K85:L85"/>
    <mergeCell ref="A68:E68"/>
    <mergeCell ref="L68:N68"/>
    <mergeCell ref="F72:H72"/>
    <mergeCell ref="B73:B74"/>
    <mergeCell ref="C73:C74"/>
    <mergeCell ref="D73:D74"/>
    <mergeCell ref="E73:E74"/>
    <mergeCell ref="I73:I74"/>
    <mergeCell ref="K73:K74"/>
    <mergeCell ref="L73:L74"/>
    <mergeCell ref="M73:M74"/>
    <mergeCell ref="N73:N74"/>
    <mergeCell ref="K49:L49"/>
    <mergeCell ref="I56:J56"/>
    <mergeCell ref="K56:L56"/>
    <mergeCell ref="I57:J57"/>
    <mergeCell ref="K57:L57"/>
    <mergeCell ref="C53:D53"/>
    <mergeCell ref="I53:J53"/>
    <mergeCell ref="K53:L53"/>
    <mergeCell ref="C55:D55"/>
    <mergeCell ref="I54:J54"/>
    <mergeCell ref="K54:L54"/>
    <mergeCell ref="B56:D56"/>
    <mergeCell ref="B64:C64"/>
    <mergeCell ref="D64:E64"/>
    <mergeCell ref="F64:G64"/>
    <mergeCell ref="H64:I64"/>
    <mergeCell ref="J64:K64"/>
    <mergeCell ref="B59:C59"/>
    <mergeCell ref="D59:E59"/>
    <mergeCell ref="F59:G59"/>
    <mergeCell ref="H59:I59"/>
    <mergeCell ref="J59:L59"/>
    <mergeCell ref="N41:N42"/>
    <mergeCell ref="B45:D45"/>
    <mergeCell ref="B46:D46"/>
    <mergeCell ref="I46:J46"/>
    <mergeCell ref="K46:L46"/>
    <mergeCell ref="B47:B55"/>
    <mergeCell ref="C54:D54"/>
    <mergeCell ref="I55:J55"/>
    <mergeCell ref="K55:L55"/>
    <mergeCell ref="C50:D50"/>
    <mergeCell ref="C51:D51"/>
    <mergeCell ref="I51:J51"/>
    <mergeCell ref="K51:L51"/>
    <mergeCell ref="C52:D52"/>
    <mergeCell ref="I52:J52"/>
    <mergeCell ref="K52:L52"/>
    <mergeCell ref="C47:D47"/>
    <mergeCell ref="I47:J47"/>
    <mergeCell ref="K47:L47"/>
    <mergeCell ref="C48:D48"/>
    <mergeCell ref="I48:J48"/>
    <mergeCell ref="K48:L48"/>
    <mergeCell ref="C49:D49"/>
    <mergeCell ref="I49:J49"/>
    <mergeCell ref="B31:C31"/>
    <mergeCell ref="D31:E31"/>
    <mergeCell ref="F31:G31"/>
    <mergeCell ref="J31:K31"/>
    <mergeCell ref="B26:C26"/>
    <mergeCell ref="D26:E26"/>
    <mergeCell ref="F26:G26"/>
    <mergeCell ref="J26:L26"/>
    <mergeCell ref="M41:M42"/>
    <mergeCell ref="A36:E36"/>
    <mergeCell ref="F40:H40"/>
    <mergeCell ref="B41:B42"/>
    <mergeCell ref="C41:C42"/>
    <mergeCell ref="D41:D42"/>
    <mergeCell ref="E41:E42"/>
    <mergeCell ref="I41:I42"/>
    <mergeCell ref="K41:K42"/>
    <mergeCell ref="L41:L42"/>
    <mergeCell ref="H26:I26"/>
    <mergeCell ref="B22:D22"/>
    <mergeCell ref="I21:J21"/>
    <mergeCell ref="K21:L21"/>
    <mergeCell ref="I22:J22"/>
    <mergeCell ref="K22:L22"/>
    <mergeCell ref="I23:J23"/>
    <mergeCell ref="K23:L23"/>
    <mergeCell ref="C19:D19"/>
    <mergeCell ref="I19:J19"/>
    <mergeCell ref="K19:L19"/>
    <mergeCell ref="C21:D21"/>
    <mergeCell ref="I20:J20"/>
    <mergeCell ref="K20:L20"/>
    <mergeCell ref="C16:D16"/>
    <mergeCell ref="C17:D17"/>
    <mergeCell ref="I17:J17"/>
    <mergeCell ref="K17:L17"/>
    <mergeCell ref="C18:D18"/>
    <mergeCell ref="I18:J18"/>
    <mergeCell ref="K18:L18"/>
    <mergeCell ref="B13:B21"/>
    <mergeCell ref="C13:D13"/>
    <mergeCell ref="I13:J13"/>
    <mergeCell ref="K13:L13"/>
    <mergeCell ref="C14:D14"/>
    <mergeCell ref="I14:J14"/>
    <mergeCell ref="K14:L14"/>
    <mergeCell ref="C15:D15"/>
    <mergeCell ref="I15:J15"/>
    <mergeCell ref="K15:L15"/>
    <mergeCell ref="C20:D20"/>
    <mergeCell ref="M7:M8"/>
    <mergeCell ref="N7:N8"/>
    <mergeCell ref="B11:D11"/>
    <mergeCell ref="B12:D12"/>
    <mergeCell ref="I12:J12"/>
    <mergeCell ref="K12:L12"/>
    <mergeCell ref="A2:E2"/>
    <mergeCell ref="L2:N2"/>
    <mergeCell ref="F6:H6"/>
    <mergeCell ref="B7:B8"/>
    <mergeCell ref="C7:C8"/>
    <mergeCell ref="D7:D8"/>
    <mergeCell ref="E7:E8"/>
    <mergeCell ref="I7:I8"/>
    <mergeCell ref="K7:K8"/>
    <mergeCell ref="L7:L8"/>
  </mergeCells>
  <printOptions horizontalCentered="1" verticalCentered="1"/>
  <pageMargins left="0.19685039370078741" right="0.19685039370078741" top="0.35433070866141736" bottom="0.2" header="0.31496062992125984" footer="0.2"/>
  <pageSetup paperSize="9" scale="78" fitToWidth="0" orientation="landscape" horizontalDpi="300" verticalDpi="300" r:id="rId1"/>
  <rowBreaks count="3" manualBreakCount="3">
    <brk id="34" max="16383" man="1"/>
    <brk id="66" max="16" man="1"/>
    <brk id="1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7</vt:i4>
      </vt:variant>
    </vt:vector>
  </HeadingPairs>
  <TitlesOfParts>
    <vt:vector size="18" baseType="lpstr">
      <vt:lpstr>المهني</vt:lpstr>
      <vt:lpstr>ج 1,2</vt:lpstr>
      <vt:lpstr>ج3</vt:lpstr>
      <vt:lpstr>ج4</vt:lpstr>
      <vt:lpstr>ج5</vt:lpstr>
      <vt:lpstr>ج6</vt:lpstr>
      <vt:lpstr>ج7,8</vt:lpstr>
      <vt:lpstr>ج9 وملحق</vt:lpstr>
      <vt:lpstr>جدول القوى العاملة</vt:lpstr>
      <vt:lpstr>ج 11</vt:lpstr>
      <vt:lpstr>ج11 حسب الفروع</vt:lpstr>
      <vt:lpstr>المهني!Print_Area</vt:lpstr>
      <vt:lpstr>'ج 1,2'!Print_Area</vt:lpstr>
      <vt:lpstr>'ج 11'!Print_Area</vt:lpstr>
      <vt:lpstr>ج4!Print_Area</vt:lpstr>
      <vt:lpstr>ج6!Print_Area</vt:lpstr>
      <vt:lpstr>'ج7,8'!Print_Area</vt:lpstr>
      <vt:lpstr>'ج9 وملحق'!Print_Area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Maher</cp:lastModifiedBy>
  <cp:lastPrinted>2026-01-21T10:56:23Z</cp:lastPrinted>
  <dcterms:created xsi:type="dcterms:W3CDTF">2010-01-18T05:54:12Z</dcterms:created>
  <dcterms:modified xsi:type="dcterms:W3CDTF">2026-01-21T11:20:37Z</dcterms:modified>
</cp:coreProperties>
</file>